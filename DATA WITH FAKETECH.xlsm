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795" yWindow="120" windowWidth="18000" windowHeight="6075" activeTab="4"/>
  </bookViews>
  <sheets>
    <sheet name="UserInput" sheetId="2" r:id="rId1"/>
    <sheet name="Tracking1" sheetId="34" r:id="rId2"/>
    <sheet name="Tracking2" sheetId="35" r:id="rId3"/>
    <sheet name="Tracking3" sheetId="36" r:id="rId4"/>
    <sheet name="EQLogs" sheetId="37" r:id="rId5"/>
    <sheet name="National_File" sheetId="38" r:id="rId6"/>
    <sheet name="PAYROLL" sheetId="39" r:id="rId7"/>
    <sheet name="REPORTS" sheetId="41" r:id="rId8"/>
    <sheet name="Tracking" sheetId="32" r:id="rId9"/>
    <sheet name="Reference" sheetId="28" r:id="rId10"/>
  </sheets>
  <externalReferences>
    <externalReference r:id="rId11"/>
  </externalReferences>
  <definedNames>
    <definedName name="_xlnm._FilterDatabase" localSheetId="8" hidden="1">Tracking!#REF!</definedName>
  </definedNames>
  <calcPr calcId="145621"/>
</workbook>
</file>

<file path=xl/calcChain.xml><?xml version="1.0" encoding="utf-8"?>
<calcChain xmlns="http://schemas.openxmlformats.org/spreadsheetml/2006/main">
  <c r="F30" i="39" l="1"/>
  <c r="F32" i="39" l="1"/>
  <c r="F31" i="39"/>
  <c r="I27" i="39"/>
  <c r="A27" i="39"/>
  <c r="I26" i="39"/>
  <c r="I25" i="39"/>
  <c r="I24" i="39"/>
  <c r="I23" i="39"/>
  <c r="I22" i="39"/>
  <c r="I21" i="39"/>
  <c r="I20" i="39"/>
  <c r="I19" i="39"/>
  <c r="I18" i="39"/>
  <c r="I17" i="39"/>
  <c r="I16" i="39"/>
  <c r="I15" i="39"/>
  <c r="I14" i="39"/>
  <c r="I13" i="39"/>
  <c r="I12" i="39"/>
  <c r="I11" i="39"/>
  <c r="I10" i="39"/>
  <c r="I9" i="39"/>
  <c r="I8" i="39"/>
  <c r="I7" i="39"/>
  <c r="I6" i="39"/>
  <c r="A6" i="39"/>
  <c r="AN4" i="28" l="1"/>
  <c r="AM4" i="28"/>
  <c r="AL4" i="28"/>
  <c r="AK4" i="28"/>
  <c r="AJ4" i="28"/>
  <c r="AI4" i="28"/>
  <c r="AH4" i="28"/>
  <c r="AF4" i="28"/>
  <c r="AE4" i="28"/>
  <c r="AD4" i="28"/>
  <c r="AC4" i="28"/>
  <c r="AB4" i="28"/>
  <c r="AA4" i="28"/>
  <c r="Z4" i="28"/>
  <c r="X4" i="28"/>
  <c r="W4" i="28"/>
  <c r="V4" i="28"/>
  <c r="U4" i="28"/>
  <c r="T4" i="28"/>
  <c r="S4" i="28"/>
  <c r="R4" i="28"/>
  <c r="P4" i="28"/>
  <c r="O4" i="28"/>
  <c r="N4" i="28"/>
  <c r="M4" i="28"/>
  <c r="L4" i="28"/>
  <c r="K4" i="28"/>
  <c r="J4" i="28"/>
  <c r="E3" i="28" l="1"/>
  <c r="E5" i="28" l="1"/>
  <c r="E4" i="28"/>
  <c r="E7" i="28"/>
  <c r="E6" i="28"/>
</calcChain>
</file>

<file path=xl/sharedStrings.xml><?xml version="1.0" encoding="utf-8"?>
<sst xmlns="http://schemas.openxmlformats.org/spreadsheetml/2006/main" count="23445" uniqueCount="4371">
  <si>
    <t>INVOICE WEEK NUMBER:</t>
  </si>
  <si>
    <t>EMPLOYEE 1 TECH NUMBER:</t>
  </si>
  <si>
    <t>EMPLOYEE 2 TECH NUMBER:</t>
  </si>
  <si>
    <t>EMPLOYEE 3 TECH NUMBER:</t>
  </si>
  <si>
    <t>EMPLOYEE 4 TECH NUMBER:</t>
  </si>
  <si>
    <t>EMPLOYEE 5 TECH NUMBER:</t>
  </si>
  <si>
    <t>EMPLOYEE 6 TECH NUMBER:</t>
  </si>
  <si>
    <t>EMPLOYEE 7 TECH NUMBER:</t>
  </si>
  <si>
    <t>EMPLOYEE 8 TECH NUMBER:</t>
  </si>
  <si>
    <t>EMPLOYEE 9 TECH NUMBER:</t>
  </si>
  <si>
    <t>EMPLOYEE 10 TECH NUMBER:</t>
  </si>
  <si>
    <t>1)</t>
  </si>
  <si>
    <t>***BEFORE RUNNING THIS MACRO***</t>
  </si>
  <si>
    <t>a)</t>
  </si>
  <si>
    <t>b)</t>
  </si>
  <si>
    <t>File -&gt; "Save As"</t>
  </si>
  <si>
    <t>Choose a new name for this week's report (e.g., "Paperwork_2015-06-15")</t>
  </si>
  <si>
    <t>c)</t>
  </si>
  <si>
    <t>d)</t>
  </si>
  <si>
    <r>
      <t>Select File Type "</t>
    </r>
    <r>
      <rPr>
        <b/>
        <sz val="11"/>
        <color rgb="FFFF0000"/>
        <rFont val="Calibri"/>
        <family val="2"/>
        <scheme val="minor"/>
      </rPr>
      <t>Excel Macro-Enabled Workbook</t>
    </r>
    <r>
      <rPr>
        <sz val="11"/>
        <color theme="1"/>
        <rFont val="Calibri"/>
        <family val="2"/>
        <scheme val="minor"/>
      </rPr>
      <t>"</t>
    </r>
  </si>
  <si>
    <t>e)</t>
  </si>
  <si>
    <t>Click "Save"</t>
  </si>
  <si>
    <t>2)</t>
  </si>
  <si>
    <t>Pool</t>
  </si>
  <si>
    <t>Open each of the tracking files that would be used for your reports (for Joe this is always 3)</t>
  </si>
  <si>
    <t>Add this week's tracking data to this workbook</t>
  </si>
  <si>
    <t xml:space="preserve">Copy all of the data (except the headers) from the first tracking file </t>
  </si>
  <si>
    <t>Select the "Tracking" sheet (tab) in this workbook and paste the data underneath the headers</t>
  </si>
  <si>
    <t>**If your data does not match these headers, tell Danielle before running the macro</t>
  </si>
  <si>
    <t>Copy all of the data (except the headers) from the second tracking file</t>
  </si>
  <si>
    <t>EMPLOYEE 11 TECH NUMBER:</t>
  </si>
  <si>
    <t>EMPLOYEE 12 TECH NUMBER:</t>
  </si>
  <si>
    <t>EMPLOYEE 13 TECH NUMBER:</t>
  </si>
  <si>
    <t>Select the "Tracking" sheet (tab) in this workbook again</t>
  </si>
  <si>
    <t>f)</t>
  </si>
  <si>
    <t>Paste the data directly underneath the data from the first tracking file</t>
  </si>
  <si>
    <t>g)</t>
  </si>
  <si>
    <t>Repeat for the rest of your tracking files</t>
  </si>
  <si>
    <t>3)</t>
  </si>
  <si>
    <t>Add this week's equipment buffer data to this workbook</t>
  </si>
  <si>
    <t>Repeat what you did for the tracking files, but put the data into the "EQLogs" worksheet</t>
  </si>
  <si>
    <t>4)</t>
  </si>
  <si>
    <t>**If you have less than 20 employees, leave extra boxes empty.</t>
  </si>
  <si>
    <t>Figure this out on your own, or you're an idiot</t>
  </si>
  <si>
    <t>**You do not need to include a tech number to get "Pool" numbers.  These are automatic.</t>
  </si>
  <si>
    <t>Number</t>
  </si>
  <si>
    <t>Fill in the yellow boxes to the right.</t>
  </si>
  <si>
    <t>Monday</t>
  </si>
  <si>
    <t>Tuesday</t>
  </si>
  <si>
    <t>Wednesday</t>
  </si>
  <si>
    <t>Thursday</t>
  </si>
  <si>
    <t>Friday</t>
  </si>
  <si>
    <t>Saturday</t>
  </si>
  <si>
    <t>Sunday</t>
  </si>
  <si>
    <t>TechNbr1</t>
  </si>
  <si>
    <t>TechNbr2</t>
  </si>
  <si>
    <t>TechNbr3</t>
  </si>
  <si>
    <t>TechNbr4</t>
  </si>
  <si>
    <t>TechNbr5</t>
  </si>
  <si>
    <t>TechNbr6</t>
  </si>
  <si>
    <t>TechNbr7</t>
  </si>
  <si>
    <t>TechNbr8</t>
  </si>
  <si>
    <t>TechNbr9</t>
  </si>
  <si>
    <t>TechNbr10</t>
  </si>
  <si>
    <t>TechNbr11</t>
  </si>
  <si>
    <t>TechNbr12</t>
  </si>
  <si>
    <t>TechNbr13</t>
  </si>
  <si>
    <t>TechNbr14</t>
  </si>
  <si>
    <t>TechNbr15</t>
  </si>
  <si>
    <t>TechNbr16</t>
  </si>
  <si>
    <t>TechNbr17</t>
  </si>
  <si>
    <t>TechNbr18</t>
  </si>
  <si>
    <t>TechNbr19</t>
  </si>
  <si>
    <t>TechNbr20</t>
  </si>
  <si>
    <t>Dates by Week Number</t>
  </si>
  <si>
    <t>Included Work Issue by Week Number</t>
  </si>
  <si>
    <t>Starting Date</t>
  </si>
  <si>
    <t>Ending Date</t>
  </si>
  <si>
    <t>Issue1 (Old)</t>
  </si>
  <si>
    <t>Issue2 (Old)</t>
  </si>
  <si>
    <t>Issue3 (New)</t>
  </si>
  <si>
    <t>LastClosed</t>
  </si>
  <si>
    <t>DISCO</t>
  </si>
  <si>
    <t>DUP</t>
  </si>
  <si>
    <t>**DateValue stored as text.  Convert cell format to "Date" to see normal date format</t>
  </si>
  <si>
    <t>Issue1</t>
  </si>
  <si>
    <t>Issue2</t>
  </si>
  <si>
    <t>Issue3</t>
  </si>
  <si>
    <t>LastClosedIssue</t>
  </si>
  <si>
    <t>invoiceWeek</t>
  </si>
  <si>
    <t>Column1</t>
  </si>
  <si>
    <t>Worksheet VBA Names</t>
  </si>
  <si>
    <t>Reference</t>
  </si>
  <si>
    <t>UserInput</t>
  </si>
  <si>
    <t>EQLogs</t>
  </si>
  <si>
    <t>Tracking</t>
  </si>
  <si>
    <t>EMPLOYEE 14 TECH NUMBER</t>
  </si>
  <si>
    <t>EMPLOYEE 15 TECH NUMBER</t>
  </si>
  <si>
    <t>EMPLOYEE 16 TECH NUMBER</t>
  </si>
  <si>
    <t>EMPLOYEE 17 TECH NUMBER</t>
  </si>
  <si>
    <t>EMPLOYEE 18 TECH NUMBER</t>
  </si>
  <si>
    <t>EMPLOYEE 19 TECH NUMBER</t>
  </si>
  <si>
    <t>EMPLOYEE 20 TECH NUMBER</t>
  </si>
  <si>
    <t>work_order_number</t>
  </si>
  <si>
    <t>account_number</t>
  </si>
  <si>
    <t>customer_name</t>
  </si>
  <si>
    <t>schedule_date</t>
  </si>
  <si>
    <t>JobNbr</t>
  </si>
  <si>
    <t>TechNbr</t>
  </si>
  <si>
    <t>SITE_ID</t>
  </si>
  <si>
    <t>NAME</t>
  </si>
  <si>
    <t>RA NAME</t>
  </si>
  <si>
    <t>DATE</t>
  </si>
  <si>
    <t>STATUS</t>
  </si>
  <si>
    <t>AMOUNT</t>
  </si>
  <si>
    <t>INVOICE</t>
  </si>
  <si>
    <t>COMMENTS</t>
  </si>
  <si>
    <t>53727</t>
  </si>
  <si>
    <t>609</t>
  </si>
  <si>
    <t>SAVE</t>
  </si>
  <si>
    <t>53732</t>
  </si>
  <si>
    <t>Joseph</t>
  </si>
  <si>
    <t>RYAN CROFT</t>
  </si>
  <si>
    <t>Santrese Hamm</t>
  </si>
  <si>
    <t>Alex Knyszek</t>
  </si>
  <si>
    <t>KASHE THOMAS</t>
  </si>
  <si>
    <t>benjamin fox</t>
  </si>
  <si>
    <t>Kimberly Winnett</t>
  </si>
  <si>
    <t>Megan Reaves</t>
  </si>
  <si>
    <t>Jennifer Svitak</t>
  </si>
  <si>
    <t>Amanda Minor</t>
  </si>
  <si>
    <t>Jessica Mcdonald</t>
  </si>
  <si>
    <t>Tabatha Wittasek</t>
  </si>
  <si>
    <t>Jermaine L Hines</t>
  </si>
  <si>
    <t>Aaron J Hagelin</t>
  </si>
  <si>
    <t>Michael Knight</t>
  </si>
  <si>
    <t>TYE LEONARD</t>
  </si>
  <si>
    <t>DANIEL SOKOLOWSKI</t>
  </si>
  <si>
    <t>John Accardi</t>
  </si>
  <si>
    <t>BREONNA WILLIAMS</t>
  </si>
  <si>
    <t>BRANDON KIRBY</t>
  </si>
  <si>
    <t>AMY YUSKO</t>
  </si>
  <si>
    <t>alexis Cribley</t>
  </si>
  <si>
    <t>LANCE E TAYLOR</t>
  </si>
  <si>
    <t>RANDOLPH TOMASEK</t>
  </si>
  <si>
    <t>Joe Caggiano</t>
  </si>
  <si>
    <t>MICHELLE ANDERSON</t>
  </si>
  <si>
    <t>Tatiana Rodgers</t>
  </si>
  <si>
    <t>JOHN FARMER</t>
  </si>
  <si>
    <t>JACKIE L CARDONA</t>
  </si>
  <si>
    <t>Freddie Murphy</t>
  </si>
  <si>
    <t>JEREMY JETT</t>
  </si>
  <si>
    <t>Michelle Gary</t>
  </si>
  <si>
    <t>Kelly Cavanagh</t>
  </si>
  <si>
    <t>Danielle Smith</t>
  </si>
  <si>
    <t>WILLARD T SMITH</t>
  </si>
  <si>
    <t>MELISSA PITMON</t>
  </si>
  <si>
    <t>CARYN SILICKAS</t>
  </si>
  <si>
    <t>RYAN DOMKE</t>
  </si>
  <si>
    <t>Andreas Carter</t>
  </si>
  <si>
    <t>TIERRA L HARDEN</t>
  </si>
  <si>
    <t>AMADIA WILLIAMS</t>
  </si>
  <si>
    <t>Brian Nix</t>
  </si>
  <si>
    <t>Ms. Amanda Kravochuck</t>
  </si>
  <si>
    <t>JOE WEBB</t>
  </si>
  <si>
    <t>CHARMAINE HUDSON</t>
  </si>
  <si>
    <t>ROBERT CERVENKA</t>
  </si>
  <si>
    <t>BARBARA STINER</t>
  </si>
  <si>
    <t>THOMAS HARTE</t>
  </si>
  <si>
    <t>BRITTANY MULLEN</t>
  </si>
  <si>
    <t>ANN FLORCOSKY</t>
  </si>
  <si>
    <t>JESSICA ELLESIN</t>
  </si>
  <si>
    <t>KATHLEEN DEBARR</t>
  </si>
  <si>
    <t>RODNEY A HAYNES</t>
  </si>
  <si>
    <t>Connie J Murphy</t>
  </si>
  <si>
    <t>Melanie Baptista</t>
  </si>
  <si>
    <t>ALEEH SHIHADEH</t>
  </si>
  <si>
    <t>Orlando Viccarone</t>
  </si>
  <si>
    <t>MARK RATCLIFF</t>
  </si>
  <si>
    <t>DAVID PLUM</t>
  </si>
  <si>
    <t>DESIREE KEY</t>
  </si>
  <si>
    <t>JOHN BUFFORD</t>
  </si>
  <si>
    <t>HANNE MURI</t>
  </si>
  <si>
    <t>IRENE WEBB</t>
  </si>
  <si>
    <t>Debra Buettner</t>
  </si>
  <si>
    <t>PEDRO AKINKUYOE</t>
  </si>
  <si>
    <t>Linda Bunch</t>
  </si>
  <si>
    <t>DAVID WHITE II</t>
  </si>
  <si>
    <t>Tim Stephen</t>
  </si>
  <si>
    <t>Jeffrey Perez</t>
  </si>
  <si>
    <t>TERRI WILD</t>
  </si>
  <si>
    <t>Daniel Michael</t>
  </si>
  <si>
    <t>MELISSA ANDERSON</t>
  </si>
  <si>
    <t>VICKI BOURNE</t>
  </si>
  <si>
    <t>BRIAN WILSON</t>
  </si>
  <si>
    <t>NOEL RUIZ</t>
  </si>
  <si>
    <t>Lynette Barrett</t>
  </si>
  <si>
    <t>jennifer kugler</t>
  </si>
  <si>
    <t>Preston Straus</t>
  </si>
  <si>
    <t>Teri Domke</t>
  </si>
  <si>
    <t>Andrea Springs</t>
  </si>
  <si>
    <t>JAMES M MANGANO</t>
  </si>
  <si>
    <t>Mario Mannella</t>
  </si>
  <si>
    <t>URSULA MARVETTE</t>
  </si>
  <si>
    <t>JOHN LEONARD</t>
  </si>
  <si>
    <t>RENEE DECOUVILLE</t>
  </si>
  <si>
    <t>EDNA FLEMMING</t>
  </si>
  <si>
    <t>DARRELL STARK</t>
  </si>
  <si>
    <t>Monique T Lesure</t>
  </si>
  <si>
    <t>James Stevens</t>
  </si>
  <si>
    <t>Jovan D Griffin</t>
  </si>
  <si>
    <t>TERRI KRATOVIL</t>
  </si>
  <si>
    <t>REBECCA MUSIC</t>
  </si>
  <si>
    <t>Michelle S Smith</t>
  </si>
  <si>
    <t>DARIAN M DIAL</t>
  </si>
  <si>
    <t>CO Brandon Posante</t>
  </si>
  <si>
    <t>BRUCE CRUM</t>
  </si>
  <si>
    <t>BRIAN HALL</t>
  </si>
  <si>
    <t>IssueGroup</t>
  </si>
  <si>
    <t>Old Issue</t>
  </si>
  <si>
    <t>New Issue</t>
  </si>
  <si>
    <t>Calcs from User Input</t>
  </si>
  <si>
    <t>EmployeeCount</t>
  </si>
  <si>
    <t>Production Recap</t>
  </si>
  <si>
    <t>TOTAL</t>
  </si>
  <si>
    <t>Number of Jobs Issued:</t>
  </si>
  <si>
    <t>Save Rate: (Saves/Issued)</t>
  </si>
  <si>
    <t>Number of Cancels:</t>
  </si>
  <si>
    <t>Field Save Rate: (Net Cancels)</t>
  </si>
  <si>
    <t>Number of Saves:</t>
  </si>
  <si>
    <t>All-In Save Rate:</t>
  </si>
  <si>
    <t>Number of UTC:</t>
  </si>
  <si>
    <t>Bad Debt Old Issue</t>
  </si>
  <si>
    <t>Bad Debt New Issue</t>
  </si>
  <si>
    <t>Bad Debt Cancel</t>
  </si>
  <si>
    <t/>
  </si>
  <si>
    <t>HD - HD/DVR</t>
  </si>
  <si>
    <t>Standard Digital</t>
  </si>
  <si>
    <t>EMTA/MTA</t>
  </si>
  <si>
    <t>Router, Modem</t>
  </si>
  <si>
    <t>Home Security TS</t>
  </si>
  <si>
    <t>Cable Card</t>
  </si>
  <si>
    <t>Analog</t>
  </si>
  <si>
    <t>All Others</t>
  </si>
  <si>
    <t>NP Disco (Old)</t>
  </si>
  <si>
    <t>NP Disco (New)</t>
  </si>
  <si>
    <t>HD - HD/DVR (Post Disco)</t>
  </si>
  <si>
    <t>Standard Digital (Post Disco)</t>
  </si>
  <si>
    <t>EMTA/MTA (Post Disco)</t>
  </si>
  <si>
    <t>Router, Modem (Post Disco)</t>
  </si>
  <si>
    <t>5170816</t>
  </si>
  <si>
    <t>22799309</t>
  </si>
  <si>
    <t>24285306</t>
  </si>
  <si>
    <t>6247209</t>
  </si>
  <si>
    <t>665915</t>
  </si>
  <si>
    <t>6247210</t>
  </si>
  <si>
    <t>950813</t>
  </si>
  <si>
    <t>6247223</t>
  </si>
  <si>
    <t>3704206</t>
  </si>
  <si>
    <t>6247225</t>
  </si>
  <si>
    <t>3827003</t>
  </si>
  <si>
    <t>6247227</t>
  </si>
  <si>
    <t>4006305</t>
  </si>
  <si>
    <t>6247228</t>
  </si>
  <si>
    <t>4019902</t>
  </si>
  <si>
    <t>6247235</t>
  </si>
  <si>
    <t>5597907</t>
  </si>
  <si>
    <t>6247246</t>
  </si>
  <si>
    <t>7433405</t>
  </si>
  <si>
    <t>6247260</t>
  </si>
  <si>
    <t>10961612</t>
  </si>
  <si>
    <t>6247268</t>
  </si>
  <si>
    <t>12534510</t>
  </si>
  <si>
    <t>6247270</t>
  </si>
  <si>
    <t>13001512</t>
  </si>
  <si>
    <t>6247275</t>
  </si>
  <si>
    <t>22123317</t>
  </si>
  <si>
    <t>6247277</t>
  </si>
  <si>
    <t>22612106</t>
  </si>
  <si>
    <t>6247282</t>
  </si>
  <si>
    <t>23404712</t>
  </si>
  <si>
    <t>6248276</t>
  </si>
  <si>
    <t>1636916</t>
  </si>
  <si>
    <t>6248277</t>
  </si>
  <si>
    <t>1804304</t>
  </si>
  <si>
    <t>6248281</t>
  </si>
  <si>
    <t>2911007</t>
  </si>
  <si>
    <t>6248285</t>
  </si>
  <si>
    <t>4518007</t>
  </si>
  <si>
    <t>6248288</t>
  </si>
  <si>
    <t>5254715</t>
  </si>
  <si>
    <t>6248299</t>
  </si>
  <si>
    <t>6985304</t>
  </si>
  <si>
    <t>6248303</t>
  </si>
  <si>
    <t>8753305</t>
  </si>
  <si>
    <t>6248307</t>
  </si>
  <si>
    <t>10021412</t>
  </si>
  <si>
    <t>6248308</t>
  </si>
  <si>
    <t>10812608</t>
  </si>
  <si>
    <t>6248313</t>
  </si>
  <si>
    <t>11910503</t>
  </si>
  <si>
    <t>6248314</t>
  </si>
  <si>
    <t>12238704</t>
  </si>
  <si>
    <t>6248318</t>
  </si>
  <si>
    <t>22971808</t>
  </si>
  <si>
    <t>6248319</t>
  </si>
  <si>
    <t>23098103</t>
  </si>
  <si>
    <t>R/S</t>
  </si>
  <si>
    <t>6248321</t>
  </si>
  <si>
    <t>23527509</t>
  </si>
  <si>
    <t>6249369</t>
  </si>
  <si>
    <t>2415509</t>
  </si>
  <si>
    <t>6249373</t>
  </si>
  <si>
    <t>3265905</t>
  </si>
  <si>
    <t>6249383</t>
  </si>
  <si>
    <t>6016301</t>
  </si>
  <si>
    <t>6249387</t>
  </si>
  <si>
    <t>6391508</t>
  </si>
  <si>
    <t>6249388</t>
  </si>
  <si>
    <t>6437911</t>
  </si>
  <si>
    <t>6249400</t>
  </si>
  <si>
    <t>9400312</t>
  </si>
  <si>
    <t>6249418</t>
  </si>
  <si>
    <t>21421108</t>
  </si>
  <si>
    <t>6249425</t>
  </si>
  <si>
    <t>23001009</t>
  </si>
  <si>
    <t>6249431</t>
  </si>
  <si>
    <t>23626305</t>
  </si>
  <si>
    <t>6249432</t>
  </si>
  <si>
    <t>23676408</t>
  </si>
  <si>
    <t>6249434</t>
  </si>
  <si>
    <t>24052504</t>
  </si>
  <si>
    <t>6250357</t>
  </si>
  <si>
    <t>2799103</t>
  </si>
  <si>
    <t>6250365</t>
  </si>
  <si>
    <t>4033906</t>
  </si>
  <si>
    <t>6250370</t>
  </si>
  <si>
    <t>5376508</t>
  </si>
  <si>
    <t>6250379</t>
  </si>
  <si>
    <t>7810803</t>
  </si>
  <si>
    <t>6250384</t>
  </si>
  <si>
    <t>11662611</t>
  </si>
  <si>
    <t>6250385</t>
  </si>
  <si>
    <t>11810211</t>
  </si>
  <si>
    <t>6250391</t>
  </si>
  <si>
    <t>21412906</t>
  </si>
  <si>
    <t>6250399</t>
  </si>
  <si>
    <t>23340904</t>
  </si>
  <si>
    <t>6250405</t>
  </si>
  <si>
    <t>24845502</t>
  </si>
  <si>
    <t>6250406</t>
  </si>
  <si>
    <t>24972103</t>
  </si>
  <si>
    <t>6250959</t>
  </si>
  <si>
    <t>1051202</t>
  </si>
  <si>
    <t>6250965</t>
  </si>
  <si>
    <t>2662610</t>
  </si>
  <si>
    <t>6250969</t>
  </si>
  <si>
    <t>3301004</t>
  </si>
  <si>
    <t>6250970</t>
  </si>
  <si>
    <t>3429114</t>
  </si>
  <si>
    <t>6250979</t>
  </si>
  <si>
    <t>5614002</t>
  </si>
  <si>
    <t>6250984</t>
  </si>
  <si>
    <t>7335606</t>
  </si>
  <si>
    <t>6250990</t>
  </si>
  <si>
    <t>9492412</t>
  </si>
  <si>
    <t>6250997</t>
  </si>
  <si>
    <t>11487611</t>
  </si>
  <si>
    <t>6251006</t>
  </si>
  <si>
    <t>21934310</t>
  </si>
  <si>
    <t>6251010</t>
  </si>
  <si>
    <t>22347506</t>
  </si>
  <si>
    <t>6251013</t>
  </si>
  <si>
    <t>22519308</t>
  </si>
  <si>
    <t>6251017</t>
  </si>
  <si>
    <t>23348414</t>
  </si>
  <si>
    <t>6251177</t>
  </si>
  <si>
    <t>1532507</t>
  </si>
  <si>
    <t>6251186</t>
  </si>
  <si>
    <t>2853607</t>
  </si>
  <si>
    <t>6251189</t>
  </si>
  <si>
    <t>3281204</t>
  </si>
  <si>
    <t>6251210</t>
  </si>
  <si>
    <t>7536202</t>
  </si>
  <si>
    <t>6251214</t>
  </si>
  <si>
    <t>8002406</t>
  </si>
  <si>
    <t>6251215</t>
  </si>
  <si>
    <t>8062704</t>
  </si>
  <si>
    <t>6251226</t>
  </si>
  <si>
    <t>9993017</t>
  </si>
  <si>
    <t>6251229</t>
  </si>
  <si>
    <t>11643006</t>
  </si>
  <si>
    <t>6251246</t>
  </si>
  <si>
    <t>23298709</t>
  </si>
  <si>
    <t>6251248</t>
  </si>
  <si>
    <t>23368711</t>
  </si>
  <si>
    <t>6252476</t>
  </si>
  <si>
    <t>3246011</t>
  </si>
  <si>
    <t>6252487</t>
  </si>
  <si>
    <t>6574008</t>
  </si>
  <si>
    <t>6252491</t>
  </si>
  <si>
    <t>7480601</t>
  </si>
  <si>
    <t>6252497</t>
  </si>
  <si>
    <t>8798107</t>
  </si>
  <si>
    <t>6252511</t>
  </si>
  <si>
    <t>11490614</t>
  </si>
  <si>
    <t>6252514</t>
  </si>
  <si>
    <t>11666104</t>
  </si>
  <si>
    <t>6252516</t>
  </si>
  <si>
    <t>12438604</t>
  </si>
  <si>
    <t>6252518</t>
  </si>
  <si>
    <t>12656208</t>
  </si>
  <si>
    <t>6252519</t>
  </si>
  <si>
    <t>12990503</t>
  </si>
  <si>
    <t>6252521</t>
  </si>
  <si>
    <t>21337403</t>
  </si>
  <si>
    <t>6252529</t>
  </si>
  <si>
    <t>22707610</t>
  </si>
  <si>
    <t>6252530</t>
  </si>
  <si>
    <t>22791209</t>
  </si>
  <si>
    <t>6252536</t>
  </si>
  <si>
    <t>23595208</t>
  </si>
  <si>
    <t>6247234</t>
  </si>
  <si>
    <t>6247279</t>
  </si>
  <si>
    <t>6247281</t>
  </si>
  <si>
    <t>23326409</t>
  </si>
  <si>
    <t>6247286</t>
  </si>
  <si>
    <t>6248274</t>
  </si>
  <si>
    <t>1318903</t>
  </si>
  <si>
    <t>6248302</t>
  </si>
  <si>
    <t>8714915</t>
  </si>
  <si>
    <t>6249389</t>
  </si>
  <si>
    <t>6249415</t>
  </si>
  <si>
    <t>6250354</t>
  </si>
  <si>
    <t>6250358</t>
  </si>
  <si>
    <t>6250369</t>
  </si>
  <si>
    <t>6250395</t>
  </si>
  <si>
    <t>6250400</t>
  </si>
  <si>
    <t>23638104</t>
  </si>
  <si>
    <t>6250968</t>
  </si>
  <si>
    <t>6250976</t>
  </si>
  <si>
    <t>4823911</t>
  </si>
  <si>
    <t>6251009</t>
  </si>
  <si>
    <t>22095709</t>
  </si>
  <si>
    <t>6251016</t>
  </si>
  <si>
    <t>6251018</t>
  </si>
  <si>
    <t>6251019</t>
  </si>
  <si>
    <t>6251188</t>
  </si>
  <si>
    <t>3279008</t>
  </si>
  <si>
    <t>6251247</t>
  </si>
  <si>
    <t>6252460</t>
  </si>
  <si>
    <t>6252527</t>
  </si>
  <si>
    <t>6252545</t>
  </si>
  <si>
    <t>24999702</t>
  </si>
  <si>
    <t>6252549</t>
  </si>
  <si>
    <t>25690701</t>
  </si>
  <si>
    <t>6257265</t>
  </si>
  <si>
    <t>992408</t>
  </si>
  <si>
    <t>Nancy Waselenchuk</t>
  </si>
  <si>
    <t>6253656</t>
  </si>
  <si>
    <t>17903</t>
  </si>
  <si>
    <t>Sean Harvey</t>
  </si>
  <si>
    <t>6253657</t>
  </si>
  <si>
    <t>57104</t>
  </si>
  <si>
    <t>KAREN KELSIE</t>
  </si>
  <si>
    <t>6253663</t>
  </si>
  <si>
    <t>2653918</t>
  </si>
  <si>
    <t>FELICIA WILBERG</t>
  </si>
  <si>
    <t>6253673</t>
  </si>
  <si>
    <t>6014608</t>
  </si>
  <si>
    <t>TERRY TURK</t>
  </si>
  <si>
    <t>6253680</t>
  </si>
  <si>
    <t>7479909</t>
  </si>
  <si>
    <t>Glenn Gronowski</t>
  </si>
  <si>
    <t>6253689</t>
  </si>
  <si>
    <t>9363911</t>
  </si>
  <si>
    <t>Kody Wentzel</t>
  </si>
  <si>
    <t>6253691</t>
  </si>
  <si>
    <t>10025118</t>
  </si>
  <si>
    <t>Nichole Viccarone</t>
  </si>
  <si>
    <t>6253694</t>
  </si>
  <si>
    <t>10633204</t>
  </si>
  <si>
    <t>SANDY DIKOWICZ</t>
  </si>
  <si>
    <t>6253698</t>
  </si>
  <si>
    <t>11308001</t>
  </si>
  <si>
    <t>JOHN WALL</t>
  </si>
  <si>
    <t>6253703</t>
  </si>
  <si>
    <t>21392413</t>
  </si>
  <si>
    <t>Valarie Britt</t>
  </si>
  <si>
    <t>6253712</t>
  </si>
  <si>
    <t>23586908</t>
  </si>
  <si>
    <t>david fribley</t>
  </si>
  <si>
    <t>6253713</t>
  </si>
  <si>
    <t>23597107</t>
  </si>
  <si>
    <t>NATORI SANTIAGO</t>
  </si>
  <si>
    <t>6253719</t>
  </si>
  <si>
    <t>24914502</t>
  </si>
  <si>
    <t>Vallery Powell</t>
  </si>
  <si>
    <t>6254642</t>
  </si>
  <si>
    <t>1348218</t>
  </si>
  <si>
    <t>ALAN HAINES</t>
  </si>
  <si>
    <t>6254643</t>
  </si>
  <si>
    <t>1361308</t>
  </si>
  <si>
    <t>Francisco Castriote</t>
  </si>
  <si>
    <t>6254645</t>
  </si>
  <si>
    <t>2828412</t>
  </si>
  <si>
    <t>ASIA PAYNE</t>
  </si>
  <si>
    <t>6254651</t>
  </si>
  <si>
    <t>6402108</t>
  </si>
  <si>
    <t>Nathan Harris</t>
  </si>
  <si>
    <t>6254655</t>
  </si>
  <si>
    <t>8163216</t>
  </si>
  <si>
    <t>Patrick Flemming</t>
  </si>
  <si>
    <t>6254661</t>
  </si>
  <si>
    <t>9283006</t>
  </si>
  <si>
    <t>THOMAS R MONTOWSKI</t>
  </si>
  <si>
    <t>6254663</t>
  </si>
  <si>
    <t>10132015</t>
  </si>
  <si>
    <t>Latanya Boyt</t>
  </si>
  <si>
    <t>6254672</t>
  </si>
  <si>
    <t>21654110</t>
  </si>
  <si>
    <t>Linda Rhea</t>
  </si>
  <si>
    <t>6255664</t>
  </si>
  <si>
    <t>1214602</t>
  </si>
  <si>
    <t>ALLAN J BOBEY</t>
  </si>
  <si>
    <t>6255675</t>
  </si>
  <si>
    <t>3723703</t>
  </si>
  <si>
    <t>james J petkewitz</t>
  </si>
  <si>
    <t>6255678</t>
  </si>
  <si>
    <t>5095613</t>
  </si>
  <si>
    <t>Stephen Siedlecki</t>
  </si>
  <si>
    <t>6255679</t>
  </si>
  <si>
    <t>5197308</t>
  </si>
  <si>
    <t>Jason Farris</t>
  </si>
  <si>
    <t>6255680</t>
  </si>
  <si>
    <t>5559003</t>
  </si>
  <si>
    <t>Amanda Smith</t>
  </si>
  <si>
    <t>6255681</t>
  </si>
  <si>
    <t>5871215</t>
  </si>
  <si>
    <t>stanley fiodorowicz</t>
  </si>
  <si>
    <t>6255687</t>
  </si>
  <si>
    <t>6963706</t>
  </si>
  <si>
    <t>JEFFREY J JAROSZ</t>
  </si>
  <si>
    <t>6255693</t>
  </si>
  <si>
    <t>8745210</t>
  </si>
  <si>
    <t>Nichole R Woody</t>
  </si>
  <si>
    <t>6255705</t>
  </si>
  <si>
    <t>12419705</t>
  </si>
  <si>
    <t>TRAJKO MALJANOVSKI</t>
  </si>
  <si>
    <t>6255708</t>
  </si>
  <si>
    <t>21935211</t>
  </si>
  <si>
    <t>CHRIS BUTLER</t>
  </si>
  <si>
    <t>6256568</t>
  </si>
  <si>
    <t>1325906</t>
  </si>
  <si>
    <t>MARQUETTA IRVING</t>
  </si>
  <si>
    <t>6256570</t>
  </si>
  <si>
    <t>1533407</t>
  </si>
  <si>
    <t>ALYSSICA JONES</t>
  </si>
  <si>
    <t>6256578</t>
  </si>
  <si>
    <t>3371713</t>
  </si>
  <si>
    <t>Patricia Meglone</t>
  </si>
  <si>
    <t>6256598</t>
  </si>
  <si>
    <t>8622708</t>
  </si>
  <si>
    <t>NICHOLAS FRANZ</t>
  </si>
  <si>
    <t>6256611</t>
  </si>
  <si>
    <t>12010705</t>
  </si>
  <si>
    <t>Allison Saraney</t>
  </si>
  <si>
    <t>6256614</t>
  </si>
  <si>
    <t>12977804</t>
  </si>
  <si>
    <t>VICTOR EDMON</t>
  </si>
  <si>
    <t>6256616</t>
  </si>
  <si>
    <t>21392505</t>
  </si>
  <si>
    <t>AMANDA GREENWALD</t>
  </si>
  <si>
    <t>6256618</t>
  </si>
  <si>
    <t>21573803</t>
  </si>
  <si>
    <t>NICHOLAS ROWAN</t>
  </si>
  <si>
    <t>6256624</t>
  </si>
  <si>
    <t>23319307</t>
  </si>
  <si>
    <t>THEODORE REYNAUD</t>
  </si>
  <si>
    <t>6256628</t>
  </si>
  <si>
    <t>23525714</t>
  </si>
  <si>
    <t>Matthew A Deforde</t>
  </si>
  <si>
    <t>6256631</t>
  </si>
  <si>
    <t>23758008</t>
  </si>
  <si>
    <t>Carolyn Curtis</t>
  </si>
  <si>
    <t>6256635</t>
  </si>
  <si>
    <t>25107802</t>
  </si>
  <si>
    <t>HENRY NELSON</t>
  </si>
  <si>
    <t>6256636</t>
  </si>
  <si>
    <t>25269702</t>
  </si>
  <si>
    <t>LILLIAM CASTRO</t>
  </si>
  <si>
    <t>6257273</t>
  </si>
  <si>
    <t>2169109</t>
  </si>
  <si>
    <t>Kyle Dixon</t>
  </si>
  <si>
    <t>6257278</t>
  </si>
  <si>
    <t>2951202</t>
  </si>
  <si>
    <t>CHRISTINA BULGARELLA</t>
  </si>
  <si>
    <t>6257279</t>
  </si>
  <si>
    <t>3138106</t>
  </si>
  <si>
    <t>ALAN NETTLE</t>
  </si>
  <si>
    <t>6257283</t>
  </si>
  <si>
    <t>3758103</t>
  </si>
  <si>
    <t>JOHN D NEMCEK</t>
  </si>
  <si>
    <t>6257286</t>
  </si>
  <si>
    <t>4198101</t>
  </si>
  <si>
    <t>ALEXA MINADEO</t>
  </si>
  <si>
    <t>6257290</t>
  </si>
  <si>
    <t>4934215</t>
  </si>
  <si>
    <t>Jesse Markko</t>
  </si>
  <si>
    <t>6257292</t>
  </si>
  <si>
    <t>5212305</t>
  </si>
  <si>
    <t>Marie Pittelko</t>
  </si>
  <si>
    <t>6257293</t>
  </si>
  <si>
    <t>5236807</t>
  </si>
  <si>
    <t>LOUIS KREN</t>
  </si>
  <si>
    <t>6257295</t>
  </si>
  <si>
    <t>5453801</t>
  </si>
  <si>
    <t>MELISSA MARANO</t>
  </si>
  <si>
    <t>6257297</t>
  </si>
  <si>
    <t>6117808</t>
  </si>
  <si>
    <t>Ebony S Bonner</t>
  </si>
  <si>
    <t>6257302</t>
  </si>
  <si>
    <t>8112409</t>
  </si>
  <si>
    <t>Sandra Worthing-Alves</t>
  </si>
  <si>
    <t>6257304</t>
  </si>
  <si>
    <t>9309505</t>
  </si>
  <si>
    <t>PAUL GILLY</t>
  </si>
  <si>
    <t>6257305</t>
  </si>
  <si>
    <t>9332814</t>
  </si>
  <si>
    <t>Brandon Metzko</t>
  </si>
  <si>
    <t>6257306</t>
  </si>
  <si>
    <t>9911015</t>
  </si>
  <si>
    <t>ashley gatlin</t>
  </si>
  <si>
    <t>6257312</t>
  </si>
  <si>
    <t>11042908</t>
  </si>
  <si>
    <t>Stephanie Bartlett</t>
  </si>
  <si>
    <t>6257313</t>
  </si>
  <si>
    <t>11243524</t>
  </si>
  <si>
    <t>DANIAL CALLAHAN</t>
  </si>
  <si>
    <t>6257315</t>
  </si>
  <si>
    <t>11686805</t>
  </si>
  <si>
    <t>JACKIE HARPER</t>
  </si>
  <si>
    <t>6257319</t>
  </si>
  <si>
    <t>12689811</t>
  </si>
  <si>
    <t>MATTHEW DUDA</t>
  </si>
  <si>
    <t>6257320</t>
  </si>
  <si>
    <t>21665904</t>
  </si>
  <si>
    <t>Gail Vollmar</t>
  </si>
  <si>
    <t>6257323</t>
  </si>
  <si>
    <t>22015619</t>
  </si>
  <si>
    <t>MRS GEORGIA BROADNEAX</t>
  </si>
  <si>
    <t>6257335</t>
  </si>
  <si>
    <t>25410204</t>
  </si>
  <si>
    <t>Giovanni J Stitt</t>
  </si>
  <si>
    <t>6257520</t>
  </si>
  <si>
    <t>2504803</t>
  </si>
  <si>
    <t>ELLEN MURPHY</t>
  </si>
  <si>
    <t>6257541</t>
  </si>
  <si>
    <t>6055814</t>
  </si>
  <si>
    <t>Christina McCracken</t>
  </si>
  <si>
    <t>6257553</t>
  </si>
  <si>
    <t>8130521</t>
  </si>
  <si>
    <t>ALEXANDRA BRAMANTE</t>
  </si>
  <si>
    <t>6257560</t>
  </si>
  <si>
    <t>9193901</t>
  </si>
  <si>
    <t>EDWARD H ROTH</t>
  </si>
  <si>
    <t>6257562</t>
  </si>
  <si>
    <t>9384718</t>
  </si>
  <si>
    <t>DESMOND SINGLETON</t>
  </si>
  <si>
    <t>6257565</t>
  </si>
  <si>
    <t>9932911</t>
  </si>
  <si>
    <t>Amber Heath</t>
  </si>
  <si>
    <t>6257581</t>
  </si>
  <si>
    <t>21572906</t>
  </si>
  <si>
    <t>Alexis J Hairston</t>
  </si>
  <si>
    <t>6257585</t>
  </si>
  <si>
    <t>22074210</t>
  </si>
  <si>
    <t>CHRISTINA HOBBS</t>
  </si>
  <si>
    <t>6257586</t>
  </si>
  <si>
    <t>22090811</t>
  </si>
  <si>
    <t>MYEISHA JACKSON</t>
  </si>
  <si>
    <t>6257592</t>
  </si>
  <si>
    <t>23577211</t>
  </si>
  <si>
    <t>Shawn Rupe</t>
  </si>
  <si>
    <t>6257600</t>
  </si>
  <si>
    <t>24873003</t>
  </si>
  <si>
    <t>SHADIA ABEDRADBO</t>
  </si>
  <si>
    <t>6257601</t>
  </si>
  <si>
    <t>24905803</t>
  </si>
  <si>
    <t>MARIA PORACH</t>
  </si>
  <si>
    <t>6258796</t>
  </si>
  <si>
    <t>3164301</t>
  </si>
  <si>
    <t>LYNN DORMENDO</t>
  </si>
  <si>
    <t>6258797</t>
  </si>
  <si>
    <t>3261906</t>
  </si>
  <si>
    <t>LITHA MACON</t>
  </si>
  <si>
    <t>6258808</t>
  </si>
  <si>
    <t>5030112</t>
  </si>
  <si>
    <t>Victoria Howard</t>
  </si>
  <si>
    <t>6258814</t>
  </si>
  <si>
    <t>6026507</t>
  </si>
  <si>
    <t>Chrissa Zychowski</t>
  </si>
  <si>
    <t>6258815</t>
  </si>
  <si>
    <t>6288006</t>
  </si>
  <si>
    <t>MICHELLE STASKO</t>
  </si>
  <si>
    <t>6258816</t>
  </si>
  <si>
    <t>6437703</t>
  </si>
  <si>
    <t>BRIAN MONAGHAN</t>
  </si>
  <si>
    <t>6258817</t>
  </si>
  <si>
    <t>6579218</t>
  </si>
  <si>
    <t>JULIANA HEDGE</t>
  </si>
  <si>
    <t>6258821</t>
  </si>
  <si>
    <t>8157516</t>
  </si>
  <si>
    <t>DONSHELL WRIGHT</t>
  </si>
  <si>
    <t>6258839</t>
  </si>
  <si>
    <t>11297703</t>
  </si>
  <si>
    <t>DANETTE KOMA</t>
  </si>
  <si>
    <t>6258842</t>
  </si>
  <si>
    <t>11795010</t>
  </si>
  <si>
    <t>SHERRI YERACE</t>
  </si>
  <si>
    <t>6258843</t>
  </si>
  <si>
    <t>11805616</t>
  </si>
  <si>
    <t>JESSE GASTON</t>
  </si>
  <si>
    <t>6258846</t>
  </si>
  <si>
    <t>12320107</t>
  </si>
  <si>
    <t>JOSEPH WISE</t>
  </si>
  <si>
    <t>6258856</t>
  </si>
  <si>
    <t>23278710</t>
  </si>
  <si>
    <t>shawniece dunnings</t>
  </si>
  <si>
    <t>6258857</t>
  </si>
  <si>
    <t>23525809</t>
  </si>
  <si>
    <t>MIYAKO AUSTIN</t>
  </si>
  <si>
    <t>6253709</t>
  </si>
  <si>
    <t>6254676</t>
  </si>
  <si>
    <t>6254677</t>
  </si>
  <si>
    <t>6254680</t>
  </si>
  <si>
    <t>6255651</t>
  </si>
  <si>
    <t>6255653</t>
  </si>
  <si>
    <t>6255671</t>
  </si>
  <si>
    <t>6255688</t>
  </si>
  <si>
    <t>6255699</t>
  </si>
  <si>
    <t>6255707</t>
  </si>
  <si>
    <t>6255714</t>
  </si>
  <si>
    <t>6256569</t>
  </si>
  <si>
    <t>6256599</t>
  </si>
  <si>
    <t>6256605</t>
  </si>
  <si>
    <t>10860318</t>
  </si>
  <si>
    <t>David Anderson</t>
  </si>
  <si>
    <t>6256619</t>
  </si>
  <si>
    <t>6257282</t>
  </si>
  <si>
    <t>6257595</t>
  </si>
  <si>
    <t>6258803</t>
  </si>
  <si>
    <t>6258807</t>
  </si>
  <si>
    <t>6258809</t>
  </si>
  <si>
    <t>6258827</t>
  </si>
  <si>
    <t>6258838</t>
  </si>
  <si>
    <t>6258852</t>
  </si>
  <si>
    <t>22383206</t>
  </si>
  <si>
    <t>CARLA MARI JOHNSON</t>
  </si>
  <si>
    <t>6258863</t>
  </si>
  <si>
    <t>JOSEPH PYLES</t>
  </si>
  <si>
    <t>Check Schedule Date</t>
  </si>
  <si>
    <t>OLD ISSUE: Saves</t>
  </si>
  <si>
    <t>OLD ISSUE: Discos</t>
  </si>
  <si>
    <t>NEW ISSUE: Saves</t>
  </si>
  <si>
    <t>NEW ISSUE: Discos</t>
  </si>
  <si>
    <t>UTC</t>
  </si>
  <si>
    <t>UNMARKED LINES; DUP#75 7/13</t>
  </si>
  <si>
    <t>6262204</t>
  </si>
  <si>
    <t>22314205</t>
  </si>
  <si>
    <t>ALEXIS SEARL</t>
  </si>
  <si>
    <t>6263196</t>
  </si>
  <si>
    <t>4805815</t>
  </si>
  <si>
    <t>LEEANN KUMPF</t>
  </si>
  <si>
    <t>6264770</t>
  </si>
  <si>
    <t>22229301</t>
  </si>
  <si>
    <t>LARRY MELUCH</t>
  </si>
  <si>
    <t>6259859</t>
  </si>
  <si>
    <t>1020304</t>
  </si>
  <si>
    <t>Haleigh Curlis</t>
  </si>
  <si>
    <t>6259871</t>
  </si>
  <si>
    <t>3466912</t>
  </si>
  <si>
    <t>JEFFREY JARRELL</t>
  </si>
  <si>
    <t>6259886</t>
  </si>
  <si>
    <t>5971602</t>
  </si>
  <si>
    <t>MATTHEW MAJCHROWICZ</t>
  </si>
  <si>
    <t>6259913</t>
  </si>
  <si>
    <t>11502202</t>
  </si>
  <si>
    <t>Roseann Mackinnon</t>
  </si>
  <si>
    <t>6259916</t>
  </si>
  <si>
    <t>12410609</t>
  </si>
  <si>
    <t>Michael Sather</t>
  </si>
  <si>
    <t>6259922</t>
  </si>
  <si>
    <t>21991412</t>
  </si>
  <si>
    <t>NATALIE KELLY</t>
  </si>
  <si>
    <t>6259924</t>
  </si>
  <si>
    <t>22333005</t>
  </si>
  <si>
    <t>Ante Saric</t>
  </si>
  <si>
    <t>6261017</t>
  </si>
  <si>
    <t>1175805</t>
  </si>
  <si>
    <t>KARY LEINWEBER</t>
  </si>
  <si>
    <t>6261018</t>
  </si>
  <si>
    <t>1287913</t>
  </si>
  <si>
    <t>TIANNA DOZIER</t>
  </si>
  <si>
    <t>6261024</t>
  </si>
  <si>
    <t>2976710</t>
  </si>
  <si>
    <t>ANGIE MCCAULLEY</t>
  </si>
  <si>
    <t>6261033</t>
  </si>
  <si>
    <t>5436304</t>
  </si>
  <si>
    <t>Mario Worwell</t>
  </si>
  <si>
    <t>6261034</t>
  </si>
  <si>
    <t>5785103</t>
  </si>
  <si>
    <t>REX BROWN</t>
  </si>
  <si>
    <t>6261052</t>
  </si>
  <si>
    <t>10147211</t>
  </si>
  <si>
    <t>LAUREN A CORNELE</t>
  </si>
  <si>
    <t>6261054</t>
  </si>
  <si>
    <t>10530412</t>
  </si>
  <si>
    <t>JEANEEN JOHNSON</t>
  </si>
  <si>
    <t>6261056</t>
  </si>
  <si>
    <t>10894617</t>
  </si>
  <si>
    <t>Cassidy Glyde</t>
  </si>
  <si>
    <t>6261058</t>
  </si>
  <si>
    <t>11030409</t>
  </si>
  <si>
    <t>BRENDA A STEWART</t>
  </si>
  <si>
    <t>6261070</t>
  </si>
  <si>
    <t>21581111</t>
  </si>
  <si>
    <t>WAYNE MELANSON</t>
  </si>
  <si>
    <t>6261073</t>
  </si>
  <si>
    <t>23294308</t>
  </si>
  <si>
    <t>Mr Jermaine Ikner</t>
  </si>
  <si>
    <t>6261074</t>
  </si>
  <si>
    <t>23335306</t>
  </si>
  <si>
    <t>TERRELL T CARROTHERS</t>
  </si>
  <si>
    <t>6262157</t>
  </si>
  <si>
    <t>1886612</t>
  </si>
  <si>
    <t>CONOR REGIN</t>
  </si>
  <si>
    <t>6262162</t>
  </si>
  <si>
    <t>3049113</t>
  </si>
  <si>
    <t>MARY RADKE</t>
  </si>
  <si>
    <t>6262172</t>
  </si>
  <si>
    <t>5998304</t>
  </si>
  <si>
    <t>RAYMOND RAMOS</t>
  </si>
  <si>
    <t>6262184</t>
  </si>
  <si>
    <t>9340316</t>
  </si>
  <si>
    <t>AMANDA RITZ</t>
  </si>
  <si>
    <t>6262188</t>
  </si>
  <si>
    <t>10529512</t>
  </si>
  <si>
    <t>DOUGLAS LIEBERMAN</t>
  </si>
  <si>
    <t>6262199</t>
  </si>
  <si>
    <t>12971604</t>
  </si>
  <si>
    <t>Anjanece Mitchell</t>
  </si>
  <si>
    <t>6262212</t>
  </si>
  <si>
    <t>23455910</t>
  </si>
  <si>
    <t>Jason Sopkovich</t>
  </si>
  <si>
    <t>6262998</t>
  </si>
  <si>
    <t>9501806</t>
  </si>
  <si>
    <t>BECKY PRICE</t>
  </si>
  <si>
    <t>6263004</t>
  </si>
  <si>
    <t>10751012</t>
  </si>
  <si>
    <t>Alexis King</t>
  </si>
  <si>
    <t>6263005</t>
  </si>
  <si>
    <t>11235611</t>
  </si>
  <si>
    <t>ALISE ROBINSON</t>
  </si>
  <si>
    <t>6263007</t>
  </si>
  <si>
    <t>11364614</t>
  </si>
  <si>
    <t>Cleo Coleman</t>
  </si>
  <si>
    <t>6263011</t>
  </si>
  <si>
    <t>12972111</t>
  </si>
  <si>
    <t>TAMI SINTIC</t>
  </si>
  <si>
    <t>6263012</t>
  </si>
  <si>
    <t>21652407</t>
  </si>
  <si>
    <t>RICK MACKIN</t>
  </si>
  <si>
    <t>6263014</t>
  </si>
  <si>
    <t>22954708</t>
  </si>
  <si>
    <t>Mr EHSAN FELEMBAN</t>
  </si>
  <si>
    <t>6263015</t>
  </si>
  <si>
    <t>23140207</t>
  </si>
  <si>
    <t>AMIRA HENDRIX</t>
  </si>
  <si>
    <t>6263019</t>
  </si>
  <si>
    <t>23440109</t>
  </si>
  <si>
    <t>Mr. Peter Bertulies</t>
  </si>
  <si>
    <t>6263020</t>
  </si>
  <si>
    <t>23587606</t>
  </si>
  <si>
    <t>Patricia Yarmesch</t>
  </si>
  <si>
    <t>6263194</t>
  </si>
  <si>
    <t>4314105</t>
  </si>
  <si>
    <t>Laurie Schill</t>
  </si>
  <si>
    <t>6263197</t>
  </si>
  <si>
    <t>4879411</t>
  </si>
  <si>
    <t>TYLER NICHOLS</t>
  </si>
  <si>
    <t>6263198</t>
  </si>
  <si>
    <t>4957007</t>
  </si>
  <si>
    <t>SAITH TATEM</t>
  </si>
  <si>
    <t>6263203</t>
  </si>
  <si>
    <t>6755705</t>
  </si>
  <si>
    <t>CLEOTHA P ANDREWS</t>
  </si>
  <si>
    <t>6263206</t>
  </si>
  <si>
    <t>8605001</t>
  </si>
  <si>
    <t>JEAN E WESTON</t>
  </si>
  <si>
    <t>6263208</t>
  </si>
  <si>
    <t>11095602</t>
  </si>
  <si>
    <t>JEAN STEERS</t>
  </si>
  <si>
    <t>6263210</t>
  </si>
  <si>
    <t>12989407</t>
  </si>
  <si>
    <t>Joanne Readinger</t>
  </si>
  <si>
    <t>6263409</t>
  </si>
  <si>
    <t>113402</t>
  </si>
  <si>
    <t>RALPH T EBOTMANYINAW</t>
  </si>
  <si>
    <t>6263422</t>
  </si>
  <si>
    <t>2911703</t>
  </si>
  <si>
    <t>David Spangler</t>
  </si>
  <si>
    <t>6263428</t>
  </si>
  <si>
    <t>3358812</t>
  </si>
  <si>
    <t>ALICIA SANFORD</t>
  </si>
  <si>
    <t>6263432</t>
  </si>
  <si>
    <t>4256003</t>
  </si>
  <si>
    <t>Kathryn Newman</t>
  </si>
  <si>
    <t>6263445</t>
  </si>
  <si>
    <t>6243701</t>
  </si>
  <si>
    <t>TAMMY FERGUSON</t>
  </si>
  <si>
    <t>6263449</t>
  </si>
  <si>
    <t>7476220</t>
  </si>
  <si>
    <t>ALEXANDER DRESS</t>
  </si>
  <si>
    <t>6263450</t>
  </si>
  <si>
    <t>7967013</t>
  </si>
  <si>
    <t>MARIA GAYNOR</t>
  </si>
  <si>
    <t>6263459</t>
  </si>
  <si>
    <t>9445207</t>
  </si>
  <si>
    <t>PAMELA BAILEY</t>
  </si>
  <si>
    <t>6263464</t>
  </si>
  <si>
    <t>10451816</t>
  </si>
  <si>
    <t>Mubarak Jakupi</t>
  </si>
  <si>
    <t>6263465</t>
  </si>
  <si>
    <t>10453906</t>
  </si>
  <si>
    <t>Brian Proppe</t>
  </si>
  <si>
    <t>6263466</t>
  </si>
  <si>
    <t>10469115</t>
  </si>
  <si>
    <t>MARLON BATES</t>
  </si>
  <si>
    <t>6263470</t>
  </si>
  <si>
    <t>11652413</t>
  </si>
  <si>
    <t>Michael Vraja</t>
  </si>
  <si>
    <t>6263475</t>
  </si>
  <si>
    <t>12439306</t>
  </si>
  <si>
    <t>JERRY KUBRAK</t>
  </si>
  <si>
    <t>6263479</t>
  </si>
  <si>
    <t>21613611</t>
  </si>
  <si>
    <t>Amy R Walden</t>
  </si>
  <si>
    <t>6263491</t>
  </si>
  <si>
    <t>24152805</t>
  </si>
  <si>
    <t>THOMAS LEWIS</t>
  </si>
  <si>
    <t>6263505</t>
  </si>
  <si>
    <t>25300403</t>
  </si>
  <si>
    <t>Carl Hill</t>
  </si>
  <si>
    <t>6264723</t>
  </si>
  <si>
    <t>281110</t>
  </si>
  <si>
    <t>ADAM REGALO</t>
  </si>
  <si>
    <t>6264724</t>
  </si>
  <si>
    <t>437902</t>
  </si>
  <si>
    <t>KIM MILAN</t>
  </si>
  <si>
    <t>6264731</t>
  </si>
  <si>
    <t>3949505</t>
  </si>
  <si>
    <t>Basem Qasem</t>
  </si>
  <si>
    <t>6264732</t>
  </si>
  <si>
    <t>4054323</t>
  </si>
  <si>
    <t>RAUL BOWERS</t>
  </si>
  <si>
    <t>6264737</t>
  </si>
  <si>
    <t>5180620</t>
  </si>
  <si>
    <t>CHANIQUE JOHNSON</t>
  </si>
  <si>
    <t>6264751</t>
  </si>
  <si>
    <t>8162218</t>
  </si>
  <si>
    <t>NATHANIEL ROANE</t>
  </si>
  <si>
    <t>6264755</t>
  </si>
  <si>
    <t>9482511</t>
  </si>
  <si>
    <t>Mike Pasela</t>
  </si>
  <si>
    <t>6264761</t>
  </si>
  <si>
    <t>11052806</t>
  </si>
  <si>
    <t>Bryce D Robertson</t>
  </si>
  <si>
    <t>6264771</t>
  </si>
  <si>
    <t>22275008</t>
  </si>
  <si>
    <t>James Facemire</t>
  </si>
  <si>
    <t>6259887</t>
  </si>
  <si>
    <t>6259902</t>
  </si>
  <si>
    <t>6259923</t>
  </si>
  <si>
    <t>6261027</t>
  </si>
  <si>
    <t>6261041</t>
  </si>
  <si>
    <t>6261062</t>
  </si>
  <si>
    <t>6261064</t>
  </si>
  <si>
    <t>6261067</t>
  </si>
  <si>
    <t>6262990</t>
  </si>
  <si>
    <t>6262991</t>
  </si>
  <si>
    <t>1583504</t>
  </si>
  <si>
    <t>MAUREEN NORMILE</t>
  </si>
  <si>
    <t>6262992</t>
  </si>
  <si>
    <t>6262993</t>
  </si>
  <si>
    <t>6263001</t>
  </si>
  <si>
    <t>6264736</t>
  </si>
  <si>
    <t>6264753</t>
  </si>
  <si>
    <t>6264765</t>
  </si>
  <si>
    <t>6264773</t>
  </si>
  <si>
    <t>Issue Date</t>
  </si>
  <si>
    <t>Turn-In Date</t>
  </si>
  <si>
    <t>Tech ID</t>
  </si>
  <si>
    <t>Orders Issued</t>
  </si>
  <si>
    <t>RS/Dups Other</t>
  </si>
  <si>
    <t>Net Issued</t>
  </si>
  <si>
    <t>Saves (Ct)</t>
  </si>
  <si>
    <t>Saves (%)</t>
  </si>
  <si>
    <t>Saves     ($)</t>
  </si>
  <si>
    <t>Avg per Save</t>
  </si>
  <si>
    <t>EQ Assn'd</t>
  </si>
  <si>
    <t>CPE Ret'd</t>
  </si>
  <si>
    <t>CPE           %</t>
  </si>
  <si>
    <t>Prem Dig</t>
  </si>
  <si>
    <t>Std Dig</t>
  </si>
  <si>
    <t>eMTA   MTA</t>
  </si>
  <si>
    <t>Home Sec</t>
  </si>
  <si>
    <t>To Be Disco'd</t>
  </si>
  <si>
    <t>Discos Done</t>
  </si>
  <si>
    <t>Disco         %</t>
  </si>
  <si>
    <t>Tech ID:</t>
  </si>
  <si>
    <t>Tech Name:</t>
  </si>
  <si>
    <t>compile</t>
  </si>
  <si>
    <t>Date_Ent</t>
  </si>
  <si>
    <t>Install_Date</t>
  </si>
  <si>
    <t>Cust_Type</t>
  </si>
  <si>
    <t>Home_Phone_Nbr</t>
  </si>
  <si>
    <t>Customer_Address</t>
  </si>
  <si>
    <t>Customer_Apartment</t>
  </si>
  <si>
    <t>City</t>
  </si>
  <si>
    <t>Zip</t>
  </si>
  <si>
    <t>Slice</t>
  </si>
  <si>
    <t>grid_id</t>
  </si>
  <si>
    <t>item_number</t>
  </si>
  <si>
    <t>serial_number</t>
  </si>
  <si>
    <t>GEO</t>
  </si>
  <si>
    <t>tag_number</t>
  </si>
  <si>
    <t>second_tag_number</t>
  </si>
  <si>
    <t>BulkCustomer</t>
  </si>
  <si>
    <t>Roommate</t>
  </si>
  <si>
    <t>billing_day</t>
  </si>
  <si>
    <t>Payment_Date_1</t>
  </si>
  <si>
    <t>last_payment_amount_1</t>
  </si>
  <si>
    <t>Payment_Date_2</t>
  </si>
  <si>
    <t>last_payment_amount_2</t>
  </si>
  <si>
    <t>Payment_Date_3</t>
  </si>
  <si>
    <t>last_payment_amount_3</t>
  </si>
  <si>
    <t>Service_Class</t>
  </si>
  <si>
    <t>Ar_Balance</t>
  </si>
  <si>
    <t>Current_Balance</t>
  </si>
  <si>
    <t>deposit_due</t>
  </si>
  <si>
    <t>AR_1_to_30</t>
  </si>
  <si>
    <t>AR_31_to_60</t>
  </si>
  <si>
    <t>AR_61_to_90</t>
  </si>
  <si>
    <t>AR_91_to_120</t>
  </si>
  <si>
    <t>AR_121_to_150</t>
  </si>
  <si>
    <t>AR_Over_150</t>
  </si>
  <si>
    <t>RGU_BASIC_FLAG</t>
  </si>
  <si>
    <t>RGU_DIGITAL_FLAG</t>
  </si>
  <si>
    <t>RGU_DATA_FLAG</t>
  </si>
  <si>
    <t>RGU_PHONE_FLAG</t>
  </si>
  <si>
    <t>Video</t>
  </si>
  <si>
    <t>Data</t>
  </si>
  <si>
    <t>phone</t>
  </si>
  <si>
    <t>WO_TYPE</t>
  </si>
  <si>
    <t>Q_CODES</t>
  </si>
  <si>
    <t>LAST_NSF_DATE</t>
  </si>
  <si>
    <t>NUMBER_OF_NSF_CHECKS</t>
  </si>
  <si>
    <t>HOME_PHONE</t>
  </si>
  <si>
    <t>BUSINESS_PHONE</t>
  </si>
  <si>
    <t>OTHER_PHONE</t>
  </si>
  <si>
    <t>PURCHASE_CODE</t>
  </si>
  <si>
    <t>SUB_NUMBER_INCREMENTED</t>
  </si>
  <si>
    <t>06/27/2015</t>
  </si>
  <si>
    <t>01/11/2012</t>
  </si>
  <si>
    <t>Residential</t>
  </si>
  <si>
    <t>000 000 0000</t>
  </si>
  <si>
    <t>16712   DELAWARE AVE</t>
  </si>
  <si>
    <t>LAKEWOOD</t>
  </si>
  <si>
    <t>44107</t>
  </si>
  <si>
    <t>494A</t>
  </si>
  <si>
    <t>CSA3250</t>
  </si>
  <si>
    <t>SABHNDSWJ</t>
  </si>
  <si>
    <t>Non</t>
  </si>
  <si>
    <t>11</t>
  </si>
  <si>
    <t>07/07/2015</t>
  </si>
  <si>
    <t>-127.35</t>
  </si>
  <si>
    <t>05/22/2015</t>
  </si>
  <si>
    <t>-30.00</t>
  </si>
  <si>
    <t>04/20/2015</t>
  </si>
  <si>
    <t>-112.72</t>
  </si>
  <si>
    <t>19.06</t>
  </si>
  <si>
    <t>0</t>
  </si>
  <si>
    <t>1</t>
  </si>
  <si>
    <t>A</t>
  </si>
  <si>
    <t>NoService</t>
  </si>
  <si>
    <t>NP</t>
  </si>
  <si>
    <t>4</t>
  </si>
  <si>
    <t>000 000-0000</t>
  </si>
  <si>
    <t>06/23/2015</t>
  </si>
  <si>
    <t>10/06/2014</t>
  </si>
  <si>
    <t>216 258 4645</t>
  </si>
  <si>
    <t>8902   CAMBRIDGE DR</t>
  </si>
  <si>
    <t>PARMA</t>
  </si>
  <si>
    <t>44129</t>
  </si>
  <si>
    <t>492A</t>
  </si>
  <si>
    <t>DN3002P</t>
  </si>
  <si>
    <t>3HW148WP0155A</t>
  </si>
  <si>
    <t>6</t>
  </si>
  <si>
    <t>05/21/2015</t>
  </si>
  <si>
    <t>-71.27</t>
  </si>
  <si>
    <t>05/02/2015</t>
  </si>
  <si>
    <t>-150.00</t>
  </si>
  <si>
    <t>04/22/2015</t>
  </si>
  <si>
    <t>497.56</t>
  </si>
  <si>
    <t>165.31</t>
  </si>
  <si>
    <t>181.06</t>
  </si>
  <si>
    <t>151.19</t>
  </si>
  <si>
    <t>PD</t>
  </si>
  <si>
    <t>216 258-4645</t>
  </si>
  <si>
    <t>11/11/2013</t>
  </si>
  <si>
    <t>440 773 4024</t>
  </si>
  <si>
    <t>6879   OAKWOOD RD</t>
  </si>
  <si>
    <t>PARMA HEIGHTS</t>
  </si>
  <si>
    <t>44130</t>
  </si>
  <si>
    <t>492D</t>
  </si>
  <si>
    <t>CSA830H</t>
  </si>
  <si>
    <t>SABKWQGFR</t>
  </si>
  <si>
    <t>04/27/2015</t>
  </si>
  <si>
    <t>-171.07</t>
  </si>
  <si>
    <t>03/17/2015</t>
  </si>
  <si>
    <t>-331.03</t>
  </si>
  <si>
    <t>02/14/2015</t>
  </si>
  <si>
    <t>-200.00</t>
  </si>
  <si>
    <t>374.41</t>
  </si>
  <si>
    <t>203.34</t>
  </si>
  <si>
    <t>171.07</t>
  </si>
  <si>
    <t>2015-05-27 00:00:00</t>
  </si>
  <si>
    <t>440 773-4024</t>
  </si>
  <si>
    <t>09/10/2014</t>
  </si>
  <si>
    <t>216 712 6031</t>
  </si>
  <si>
    <t>1666   LAUDERDALE AVE</t>
  </si>
  <si>
    <t>DDL0615</t>
  </si>
  <si>
    <t>QBAJ1C9002371</t>
  </si>
  <si>
    <t>8</t>
  </si>
  <si>
    <t>06/03/2015</t>
  </si>
  <si>
    <t>-106.68</t>
  </si>
  <si>
    <t>05/27/2015</t>
  </si>
  <si>
    <t>-70.00</t>
  </si>
  <si>
    <t>04/08/2015</t>
  </si>
  <si>
    <t>-160.00</t>
  </si>
  <si>
    <t>399.11</t>
  </si>
  <si>
    <t>50</t>
  </si>
  <si>
    <t>114.66</t>
  </si>
  <si>
    <t>234.45</t>
  </si>
  <si>
    <t>Noservice</t>
  </si>
  <si>
    <t>2015-06-18 00:00:00</t>
  </si>
  <si>
    <t>2</t>
  </si>
  <si>
    <t>216 712-6031</t>
  </si>
  <si>
    <t>04/18/2010</t>
  </si>
  <si>
    <t>440 429 4794</t>
  </si>
  <si>
    <t>5390   KNOLLWOOD DR</t>
  </si>
  <si>
    <t xml:space="preserve">     8</t>
  </si>
  <si>
    <t>CSH424H</t>
  </si>
  <si>
    <t>SABTNRBSR</t>
  </si>
  <si>
    <t>05/19/2015</t>
  </si>
  <si>
    <t>-20.00</t>
  </si>
  <si>
    <t>04/15/2015</t>
  </si>
  <si>
    <t>-74.96</t>
  </si>
  <si>
    <t>03/12/2015</t>
  </si>
  <si>
    <t>217.61</t>
  </si>
  <si>
    <t>81.33</t>
  </si>
  <si>
    <t>81.32</t>
  </si>
  <si>
    <t>54.96</t>
  </si>
  <si>
    <t>440 429-4794</t>
  </si>
  <si>
    <t>440 539-6357</t>
  </si>
  <si>
    <t>04/01/2015</t>
  </si>
  <si>
    <t>216 767 5010</t>
  </si>
  <si>
    <t>4419   TUXEDO AVE</t>
  </si>
  <si>
    <t>44134</t>
  </si>
  <si>
    <t>492B</t>
  </si>
  <si>
    <t>DUBW32N</t>
  </si>
  <si>
    <t>DC24M13003935</t>
  </si>
  <si>
    <t>06/09/2015</t>
  </si>
  <si>
    <t>-468.12</t>
  </si>
  <si>
    <t>.00</t>
  </si>
  <si>
    <t>1048.06</t>
  </si>
  <si>
    <t>307.51</t>
  </si>
  <si>
    <t>272.43</t>
  </si>
  <si>
    <t>468.12</t>
  </si>
  <si>
    <t>2015-06-12 00:00:00</t>
  </si>
  <si>
    <t>216 767-5010</t>
  </si>
  <si>
    <t>04/04/2015</t>
  </si>
  <si>
    <t>440 226 4048</t>
  </si>
  <si>
    <t>5565   STORRINGTON OVAL</t>
  </si>
  <si>
    <t>495A</t>
  </si>
  <si>
    <t>DUBW66P</t>
  </si>
  <si>
    <t>[C9D3X13000895]</t>
  </si>
  <si>
    <t>06/02/2015</t>
  </si>
  <si>
    <t>-240.00</t>
  </si>
  <si>
    <t>342.14</t>
  </si>
  <si>
    <t>112.82</t>
  </si>
  <si>
    <t>135.51</t>
  </si>
  <si>
    <t>93.81</t>
  </si>
  <si>
    <t>440 226-4048</t>
  </si>
  <si>
    <t>PUR</t>
  </si>
  <si>
    <t>03/03/2014</t>
  </si>
  <si>
    <t>20255   LORAIN RD</t>
  </si>
  <si>
    <t xml:space="preserve">   304</t>
  </si>
  <si>
    <t>FAIRVIEW PARK</t>
  </si>
  <si>
    <t>44126</t>
  </si>
  <si>
    <t>496A</t>
  </si>
  <si>
    <t>SABMDMKQL</t>
  </si>
  <si>
    <t>3</t>
  </si>
  <si>
    <t>05/14/2015</t>
  </si>
  <si>
    <t>-136.02</t>
  </si>
  <si>
    <t>04/19/2015</t>
  </si>
  <si>
    <t>03/22/2015</t>
  </si>
  <si>
    <t>468.61</t>
  </si>
  <si>
    <t>169.03</t>
  </si>
  <si>
    <t>163.58</t>
  </si>
  <si>
    <t>136</t>
  </si>
  <si>
    <t>440 319-8893</t>
  </si>
  <si>
    <t>04/10/2015</t>
  </si>
  <si>
    <t>440 305 1129</t>
  </si>
  <si>
    <t>8400   BROADVIEW RD</t>
  </si>
  <si>
    <t>BROADVIEW HEIGHTS</t>
  </si>
  <si>
    <t>44147</t>
  </si>
  <si>
    <t>498A</t>
  </si>
  <si>
    <t>DN4500B</t>
  </si>
  <si>
    <t>3H213BWP011E5</t>
  </si>
  <si>
    <t>10</t>
  </si>
  <si>
    <t>06/12/2015</t>
  </si>
  <si>
    <t>-133.96</t>
  </si>
  <si>
    <t>06/05/2015</t>
  </si>
  <si>
    <t>498.98</t>
  </si>
  <si>
    <t>25</t>
  </si>
  <si>
    <t>206.06</t>
  </si>
  <si>
    <t>133.96</t>
  </si>
  <si>
    <t>440 305-1129</t>
  </si>
  <si>
    <t>11/01/1986</t>
  </si>
  <si>
    <t>2580   PARMALEE DR</t>
  </si>
  <si>
    <t>SEVEN HILLS</t>
  </si>
  <si>
    <t>44131</t>
  </si>
  <si>
    <t>495B</t>
  </si>
  <si>
    <t>DAR502G</t>
  </si>
  <si>
    <t>7A9BMV4E7283136</t>
  </si>
  <si>
    <t>04/24/2015</t>
  </si>
  <si>
    <t>-341.50</t>
  </si>
  <si>
    <t>03/19/2015</t>
  </si>
  <si>
    <t>-164.73</t>
  </si>
  <si>
    <t>01/18/2015</t>
  </si>
  <si>
    <t>-156.55</t>
  </si>
  <si>
    <t>521.75</t>
  </si>
  <si>
    <t>171.85</t>
  </si>
  <si>
    <t>171.88</t>
  </si>
  <si>
    <t>178.02</t>
  </si>
  <si>
    <t>02/04/2015</t>
  </si>
  <si>
    <t>6571   STATE RD</t>
  </si>
  <si>
    <t xml:space="preserve">     1</t>
  </si>
  <si>
    <t>DAH4M13001248</t>
  </si>
  <si>
    <t>04/16/2015</t>
  </si>
  <si>
    <t>-135.72</t>
  </si>
  <si>
    <t>03/14/2015</t>
  </si>
  <si>
    <t>-128.33</t>
  </si>
  <si>
    <t>02/15/2015</t>
  </si>
  <si>
    <t>-124.14</t>
  </si>
  <si>
    <t>393.37</t>
  </si>
  <si>
    <t>137.72</t>
  </si>
  <si>
    <t>131.46</t>
  </si>
  <si>
    <t>124.19</t>
  </si>
  <si>
    <t>12/02/2014</t>
  </si>
  <si>
    <t>440 481 3049</t>
  </si>
  <si>
    <t>6903   YORK RD</t>
  </si>
  <si>
    <t xml:space="preserve">   207</t>
  </si>
  <si>
    <t>DSA392N</t>
  </si>
  <si>
    <t>262926161</t>
  </si>
  <si>
    <t>-153.58</t>
  </si>
  <si>
    <t>04/25/2015</t>
  </si>
  <si>
    <t>-153.56</t>
  </si>
  <si>
    <t>-157.67</t>
  </si>
  <si>
    <t>707.28</t>
  </si>
  <si>
    <t>209.84</t>
  </si>
  <si>
    <t>184.85</t>
  </si>
  <si>
    <t>312.59</t>
  </si>
  <si>
    <t>440 481-3049</t>
  </si>
  <si>
    <t>216 308-5060</t>
  </si>
  <si>
    <t>216 798 8639</t>
  </si>
  <si>
    <t>6945   YORK RD</t>
  </si>
  <si>
    <t>DUBW65P</t>
  </si>
  <si>
    <t>D8H4D31003360</t>
  </si>
  <si>
    <t>-42.54</t>
  </si>
  <si>
    <t>02/24/2015</t>
  </si>
  <si>
    <t>-107.34</t>
  </si>
  <si>
    <t>133.62</t>
  </si>
  <si>
    <t>48.54</t>
  </si>
  <si>
    <t>42.54</t>
  </si>
  <si>
    <t>216 798-8639</t>
  </si>
  <si>
    <t>09/30/2013</t>
  </si>
  <si>
    <t>216 860 9809</t>
  </si>
  <si>
    <t>10200  W RIDGEWOOD DR</t>
  </si>
  <si>
    <t xml:space="preserve">   112</t>
  </si>
  <si>
    <t>SABXRPQNT</t>
  </si>
  <si>
    <t>30</t>
  </si>
  <si>
    <t>-124.67</t>
  </si>
  <si>
    <t>04/17/2015</t>
  </si>
  <si>
    <t>-112.36</t>
  </si>
  <si>
    <t>03/13/2015</t>
  </si>
  <si>
    <t>-113.66</t>
  </si>
  <si>
    <t>125.07</t>
  </si>
  <si>
    <t>124.67</t>
  </si>
  <si>
    <t>216 860-9809</t>
  </si>
  <si>
    <t>216 287-2499</t>
  </si>
  <si>
    <t>06/24/2015</t>
  </si>
  <si>
    <t>03/04/2015</t>
  </si>
  <si>
    <t>6416   STUMPH RD</t>
  </si>
  <si>
    <t xml:space="preserve">  204B</t>
  </si>
  <si>
    <t>3HW14AWS01B4E</t>
  </si>
  <si>
    <t>05/28/2015</t>
  </si>
  <si>
    <t>-132.07</t>
  </si>
  <si>
    <t>-150.12</t>
  </si>
  <si>
    <t>462.29</t>
  </si>
  <si>
    <t>163.79</t>
  </si>
  <si>
    <t>167.65</t>
  </si>
  <si>
    <t>130.85</t>
  </si>
  <si>
    <t>216 287-3906</t>
  </si>
  <si>
    <t>04/13/2015</t>
  </si>
  <si>
    <t>440 477 2227</t>
  </si>
  <si>
    <t>5247   HAUSERMAN RD</t>
  </si>
  <si>
    <t>7</t>
  </si>
  <si>
    <t>-59.52</t>
  </si>
  <si>
    <t>08/27/2014</t>
  </si>
  <si>
    <t>-46.99</t>
  </si>
  <si>
    <t>07/22/2014</t>
  </si>
  <si>
    <t>-69.98</t>
  </si>
  <si>
    <t>490.15</t>
  </si>
  <si>
    <t>120.37</t>
  </si>
  <si>
    <t>120.36</t>
  </si>
  <si>
    <t>249.42</t>
  </si>
  <si>
    <t>440 477-2227</t>
  </si>
  <si>
    <t>02/07/2015</t>
  </si>
  <si>
    <t>2231   WYANDOTTE AVE</t>
  </si>
  <si>
    <t>494B</t>
  </si>
  <si>
    <t>GSH4742</t>
  </si>
  <si>
    <t>SACGVBPNN</t>
  </si>
  <si>
    <t>04/29/2015</t>
  </si>
  <si>
    <t>-302.80</t>
  </si>
  <si>
    <t>02/06/2015</t>
  </si>
  <si>
    <t>-50.00</t>
  </si>
  <si>
    <t>659.85</t>
  </si>
  <si>
    <t>109.73</t>
  </si>
  <si>
    <t>134.72</t>
  </si>
  <si>
    <t>415.4</t>
  </si>
  <si>
    <t>2015-05-11 00:00:00</t>
  </si>
  <si>
    <t>216 832-5753</t>
  </si>
  <si>
    <t>04/21/2015</t>
  </si>
  <si>
    <t>216 336 4213</t>
  </si>
  <si>
    <t>2020   LEWIS DR</t>
  </si>
  <si>
    <t>CB44D21001664</t>
  </si>
  <si>
    <t>5</t>
  </si>
  <si>
    <t>-60.00</t>
  </si>
  <si>
    <t>274.69</t>
  </si>
  <si>
    <t>71.08</t>
  </si>
  <si>
    <t>132.53</t>
  </si>
  <si>
    <t>216 336-4213</t>
  </si>
  <si>
    <t>09/07/2013</t>
  </si>
  <si>
    <t>12503   DETROIT AVE</t>
  </si>
  <si>
    <t xml:space="preserve">     4</t>
  </si>
  <si>
    <t>RGI6580</t>
  </si>
  <si>
    <t>[379781423300524007020006]</t>
  </si>
  <si>
    <t>05/23/2015</t>
  </si>
  <si>
    <t>-115.14</t>
  </si>
  <si>
    <t>-130.38</t>
  </si>
  <si>
    <t>345.91</t>
  </si>
  <si>
    <t>115.39</t>
  </si>
  <si>
    <t>115.38</t>
  </si>
  <si>
    <t>115.14</t>
  </si>
  <si>
    <t>216 212-4135</t>
  </si>
  <si>
    <t>05/12/2012</t>
  </si>
  <si>
    <t>412 260 1422</t>
  </si>
  <si>
    <t>500   EVELYN AVE</t>
  </si>
  <si>
    <t>DAR6022</t>
  </si>
  <si>
    <t>B1RBNS68B465270</t>
  </si>
  <si>
    <t>-218.91</t>
  </si>
  <si>
    <t>03/18/2015</t>
  </si>
  <si>
    <t>-245.63</t>
  </si>
  <si>
    <t>02/12/2015</t>
  </si>
  <si>
    <t>-440.15</t>
  </si>
  <si>
    <t>725.24</t>
  </si>
  <si>
    <t>226.39</t>
  </si>
  <si>
    <t>226.42</t>
  </si>
  <si>
    <t>412 260-1422</t>
  </si>
  <si>
    <t>01/07/2015</t>
  </si>
  <si>
    <t>216 647 2517</t>
  </si>
  <si>
    <t>351   VINEYARD DR</t>
  </si>
  <si>
    <t xml:space="preserve">   302</t>
  </si>
  <si>
    <t>DCI3825</t>
  </si>
  <si>
    <t>235998390</t>
  </si>
  <si>
    <t>05/16/2015</t>
  </si>
  <si>
    <t>-125.42</t>
  </si>
  <si>
    <t>03/09/2015</t>
  </si>
  <si>
    <t>-149.88</t>
  </si>
  <si>
    <t>01/03/2015</t>
  </si>
  <si>
    <t>164.02</t>
  </si>
  <si>
    <t>63.54</t>
  </si>
  <si>
    <t>79.14</t>
  </si>
  <si>
    <t>21.34</t>
  </si>
  <si>
    <t>216 647-2517</t>
  </si>
  <si>
    <t>04/23/2015</t>
  </si>
  <si>
    <t>216 801 6818</t>
  </si>
  <si>
    <t>5635   CHEVROLET BLVD</t>
  </si>
  <si>
    <t xml:space="preserve">     2</t>
  </si>
  <si>
    <t>23</t>
  </si>
  <si>
    <t>518.42</t>
  </si>
  <si>
    <t>184.44</t>
  </si>
  <si>
    <t>184.55</t>
  </si>
  <si>
    <t>149.43</t>
  </si>
  <si>
    <t>216 801-6818</t>
  </si>
  <si>
    <t>06/25/2015</t>
  </si>
  <si>
    <t>07/28/1994</t>
  </si>
  <si>
    <t>216 221 1905</t>
  </si>
  <si>
    <t>928   BEACH RD</t>
  </si>
  <si>
    <t>DGI5120</t>
  </si>
  <si>
    <t>[06634DH9B9Z9]</t>
  </si>
  <si>
    <t>05/11/2015</t>
  </si>
  <si>
    <t>-126.98</t>
  </si>
  <si>
    <t>02/20/2015</t>
  </si>
  <si>
    <t>258.55</t>
  </si>
  <si>
    <t>61.54</t>
  </si>
  <si>
    <t>133.1</t>
  </si>
  <si>
    <t>63.91</t>
  </si>
  <si>
    <t>216 221-1905</t>
  </si>
  <si>
    <t>03/08/2013</t>
  </si>
  <si>
    <t>6003   VELMA AVE</t>
  </si>
  <si>
    <t>DGI510U</t>
  </si>
  <si>
    <t>[0HYTV12VWY04]</t>
  </si>
  <si>
    <t>05/25/2015</t>
  </si>
  <si>
    <t>-212.76</t>
  </si>
  <si>
    <t>04/28/2015</t>
  </si>
  <si>
    <t>-242.52</t>
  </si>
  <si>
    <t>03/27/2015</t>
  </si>
  <si>
    <t>-298.51</t>
  </si>
  <si>
    <t>505.77</t>
  </si>
  <si>
    <t>23.76</t>
  </si>
  <si>
    <t>254.17</t>
  </si>
  <si>
    <t>227.84</t>
  </si>
  <si>
    <t>216 213 8756</t>
  </si>
  <si>
    <t>18947   HILLIARD BLVD</t>
  </si>
  <si>
    <t>ROCKY RIVER</t>
  </si>
  <si>
    <t>44116</t>
  </si>
  <si>
    <t>491A</t>
  </si>
  <si>
    <t>CSH824H</t>
  </si>
  <si>
    <t>SABPWLKSD</t>
  </si>
  <si>
    <t>27</t>
  </si>
  <si>
    <t>-130.70</t>
  </si>
  <si>
    <t>758.03</t>
  </si>
  <si>
    <t>96.91</t>
  </si>
  <si>
    <t>451.94</t>
  </si>
  <si>
    <t>209.18</t>
  </si>
  <si>
    <t>216 213-8756</t>
  </si>
  <si>
    <t>01/09/2014</t>
  </si>
  <si>
    <t>1409   MARLOWE AVE</t>
  </si>
  <si>
    <t xml:space="preserve">    10</t>
  </si>
  <si>
    <t>SABTBXJHF</t>
  </si>
  <si>
    <t>9</t>
  </si>
  <si>
    <t>-113.29</t>
  </si>
  <si>
    <t>03/25/2015</t>
  </si>
  <si>
    <t>-198.94</t>
  </si>
  <si>
    <t>03/03/2015</t>
  </si>
  <si>
    <t>234.7</t>
  </si>
  <si>
    <t>121.41</t>
  </si>
  <si>
    <t>113.29</t>
  </si>
  <si>
    <t>216 570-5080</t>
  </si>
  <si>
    <t>09/05/2014</t>
  </si>
  <si>
    <t>440 539 3819</t>
  </si>
  <si>
    <t>6907   LUELDA AVE</t>
  </si>
  <si>
    <t>DSA301U</t>
  </si>
  <si>
    <t>[234884924]</t>
  </si>
  <si>
    <t>05/30/2015</t>
  </si>
  <si>
    <t>-171.58</t>
  </si>
  <si>
    <t>478.81</t>
  </si>
  <si>
    <t>158.81</t>
  </si>
  <si>
    <t>181.5</t>
  </si>
  <si>
    <t>138.5</t>
  </si>
  <si>
    <t>440 539-3819</t>
  </si>
  <si>
    <t>01/08/2015</t>
  </si>
  <si>
    <t>216 404 6924</t>
  </si>
  <si>
    <t>8405   PELHAM DR</t>
  </si>
  <si>
    <t>DNG2000</t>
  </si>
  <si>
    <t>[23B1057T07F76]</t>
  </si>
  <si>
    <t>-274.17</t>
  </si>
  <si>
    <t>03/24/2015</t>
  </si>
  <si>
    <t>-173.18</t>
  </si>
  <si>
    <t>406.13</t>
  </si>
  <si>
    <t>228.38</t>
  </si>
  <si>
    <t>177.75</t>
  </si>
  <si>
    <t>2015-04-08 00:00:00</t>
  </si>
  <si>
    <t>216 404-6924</t>
  </si>
  <si>
    <t>12/09/2009</t>
  </si>
  <si>
    <t>216 544 4335</t>
  </si>
  <si>
    <t>6311   SNOW RD</t>
  </si>
  <si>
    <t>[0HYTV0RL5751]</t>
  </si>
  <si>
    <t>-56.26</t>
  </si>
  <si>
    <t>05/03/2015</t>
  </si>
  <si>
    <t>-51.99</t>
  </si>
  <si>
    <t>03/26/2015</t>
  </si>
  <si>
    <t>-66.66</t>
  </si>
  <si>
    <t>129.98</t>
  </si>
  <si>
    <t>71.99</t>
  </si>
  <si>
    <t>57.99</t>
  </si>
  <si>
    <t>216 544-4335</t>
  </si>
  <si>
    <t>06/14/2014</t>
  </si>
  <si>
    <t>440 623 0946</t>
  </si>
  <si>
    <t>26649   LAKE OF THE FALLS BLVD</t>
  </si>
  <si>
    <t>OLMSTED FALLS</t>
  </si>
  <si>
    <t>44138</t>
  </si>
  <si>
    <t>500A</t>
  </si>
  <si>
    <t>RGI5101</t>
  </si>
  <si>
    <t>[OXY345267]</t>
  </si>
  <si>
    <t>14</t>
  </si>
  <si>
    <t>04/12/2015</t>
  </si>
  <si>
    <t>-87.59</t>
  </si>
  <si>
    <t>03/02/2015</t>
  </si>
  <si>
    <t>-125.50</t>
  </si>
  <si>
    <t>02/03/2015</t>
  </si>
  <si>
    <t>-100.00</t>
  </si>
  <si>
    <t>228.97</t>
  </si>
  <si>
    <t>96.99</t>
  </si>
  <si>
    <t>65.99</t>
  </si>
  <si>
    <t>2015-05-30 00:00:00</t>
  </si>
  <si>
    <t>440 623-0946</t>
  </si>
  <si>
    <t>03/06/2015</t>
  </si>
  <si>
    <t>216 800 2167</t>
  </si>
  <si>
    <t>14401   DETROIT AVE</t>
  </si>
  <si>
    <t xml:space="preserve">   307</t>
  </si>
  <si>
    <t>SABLKSMPL</t>
  </si>
  <si>
    <t>05/26/2015</t>
  </si>
  <si>
    <t>-71.44</t>
  </si>
  <si>
    <t>05/06/2015</t>
  </si>
  <si>
    <t>-69.24</t>
  </si>
  <si>
    <t>04/02/2015</t>
  </si>
  <si>
    <t>-64.00</t>
  </si>
  <si>
    <t>379.67</t>
  </si>
  <si>
    <t>198.5</t>
  </si>
  <si>
    <t>71.44</t>
  </si>
  <si>
    <t>216 800-2167</t>
  </si>
  <si>
    <t>04/06/2015</t>
  </si>
  <si>
    <t>216 394 7848</t>
  </si>
  <si>
    <t>1050   TOLLIS PKWY</t>
  </si>
  <si>
    <t>DN30002</t>
  </si>
  <si>
    <t>3HW139WB05FA7</t>
  </si>
  <si>
    <t>-65.34</t>
  </si>
  <si>
    <t>-80.00</t>
  </si>
  <si>
    <t>262.62</t>
  </si>
  <si>
    <t>91.54</t>
  </si>
  <si>
    <t>85.54</t>
  </si>
  <si>
    <t>216 394-7848</t>
  </si>
  <si>
    <t>06/26/2015</t>
  </si>
  <si>
    <t>04/10/2010</t>
  </si>
  <si>
    <t>216 781 9073</t>
  </si>
  <si>
    <t>5253   HAUSERMAN RD</t>
  </si>
  <si>
    <t xml:space="preserve">   214</t>
  </si>
  <si>
    <t>0HYTSRTTV9J8</t>
  </si>
  <si>
    <t>05/29/2015</t>
  </si>
  <si>
    <t>-143.63</t>
  </si>
  <si>
    <t>-113.42</t>
  </si>
  <si>
    <t>03/28/2015</t>
  </si>
  <si>
    <t>-146.10</t>
  </si>
  <si>
    <t>253.45</t>
  </si>
  <si>
    <t>143.89</t>
  </si>
  <si>
    <t>109.56</t>
  </si>
  <si>
    <t>216 781-9073</t>
  </si>
  <si>
    <t>216 254-9657</t>
  </si>
  <si>
    <t>01/28/2015</t>
  </si>
  <si>
    <t>216 301 5371</t>
  </si>
  <si>
    <t>15312   CLIFTON BLVD</t>
  </si>
  <si>
    <t>SABWNDQZW</t>
  </si>
  <si>
    <t>-156.66</t>
  </si>
  <si>
    <t>-170.07</t>
  </si>
  <si>
    <t>03/21/2015</t>
  </si>
  <si>
    <t>-215.65</t>
  </si>
  <si>
    <t>534.76</t>
  </si>
  <si>
    <t>174.89</t>
  </si>
  <si>
    <t>197.61</t>
  </si>
  <si>
    <t>162.26</t>
  </si>
  <si>
    <t>216 301-5371</t>
  </si>
  <si>
    <t>04/07/2015</t>
  </si>
  <si>
    <t>216 566 4134</t>
  </si>
  <si>
    <t>1585   NEWMAN AVE</t>
  </si>
  <si>
    <t>3HW14AWE00D17</t>
  </si>
  <si>
    <t>05/01/2015</t>
  </si>
  <si>
    <t>-156.68</t>
  </si>
  <si>
    <t>355.6</t>
  </si>
  <si>
    <t>120.66</t>
  </si>
  <si>
    <t>120.65</t>
  </si>
  <si>
    <t>114.29</t>
  </si>
  <si>
    <t>216 566-4134</t>
  </si>
  <si>
    <t>06/06/2014</t>
  </si>
  <si>
    <t>216 262 8888</t>
  </si>
  <si>
    <t>22091   RIVER OAKS DR</t>
  </si>
  <si>
    <t xml:space="preserve">   C11</t>
  </si>
  <si>
    <t>244129751</t>
  </si>
  <si>
    <t>POL</t>
  </si>
  <si>
    <t>05/15/2015</t>
  </si>
  <si>
    <t>-73.54</t>
  </si>
  <si>
    <t>-147.08</t>
  </si>
  <si>
    <t>01/23/2015</t>
  </si>
  <si>
    <t>-68.54</t>
  </si>
  <si>
    <t>226.62</t>
  </si>
  <si>
    <t>79.54</t>
  </si>
  <si>
    <t>73.54</t>
  </si>
  <si>
    <t>216 262-8888</t>
  </si>
  <si>
    <t>12/04/2013</t>
  </si>
  <si>
    <t>216 470 8259</t>
  </si>
  <si>
    <t>3215   STANFIELD DR</t>
  </si>
  <si>
    <t>QBAJ1C9002110</t>
  </si>
  <si>
    <t>04/30/2015</t>
  </si>
  <si>
    <t>-261.25</t>
  </si>
  <si>
    <t>-190.73</t>
  </si>
  <si>
    <t>425.59</t>
  </si>
  <si>
    <t>181.25</t>
  </si>
  <si>
    <t>203.68</t>
  </si>
  <si>
    <t>40.66</t>
  </si>
  <si>
    <t>2014-05-16 00:00:00</t>
  </si>
  <si>
    <t>216 470-8259</t>
  </si>
  <si>
    <t>225 284 5929</t>
  </si>
  <si>
    <t>13468   CLIFTON BLVD</t>
  </si>
  <si>
    <t xml:space="preserve">   105</t>
  </si>
  <si>
    <t>260109990</t>
  </si>
  <si>
    <t>05/18/2015</t>
  </si>
  <si>
    <t>190.56</t>
  </si>
  <si>
    <t>63.48</t>
  </si>
  <si>
    <t>225 284-5929</t>
  </si>
  <si>
    <t>10/14/2014</t>
  </si>
  <si>
    <t>440 381 0391</t>
  </si>
  <si>
    <t>SABTBTJNK</t>
  </si>
  <si>
    <t>-104.31</t>
  </si>
  <si>
    <t>195.76</t>
  </si>
  <si>
    <t>100.88</t>
  </si>
  <si>
    <t>94.88</t>
  </si>
  <si>
    <t>2014-12-10 00:00:00</t>
  </si>
  <si>
    <t>440 381-0391</t>
  </si>
  <si>
    <t>11/07/2014</t>
  </si>
  <si>
    <t>216 323 3718</t>
  </si>
  <si>
    <t>11630  E HUFFMAN RD</t>
  </si>
  <si>
    <t xml:space="preserve">     9</t>
  </si>
  <si>
    <t>SABWPRWVR</t>
  </si>
  <si>
    <t>-49.42</t>
  </si>
  <si>
    <t>-138.48</t>
  </si>
  <si>
    <t>-41.53</t>
  </si>
  <si>
    <t>378.03</t>
  </si>
  <si>
    <t>97.2</t>
  </si>
  <si>
    <t>97.19</t>
  </si>
  <si>
    <t>183.64</t>
  </si>
  <si>
    <t>216 323-3718</t>
  </si>
  <si>
    <t>216 255 1905</t>
  </si>
  <si>
    <t>5686   BROADVIEW RD</t>
  </si>
  <si>
    <t xml:space="preserve">  2426</t>
  </si>
  <si>
    <t>CSA824H</t>
  </si>
  <si>
    <t>SABNQVKNN</t>
  </si>
  <si>
    <t>-142.97</t>
  </si>
  <si>
    <t>04/09/2015</t>
  </si>
  <si>
    <t>-196.42</t>
  </si>
  <si>
    <t>575.45</t>
  </si>
  <si>
    <t>159.07</t>
  </si>
  <si>
    <t>204.17</t>
  </si>
  <si>
    <t>212.21</t>
  </si>
  <si>
    <t>216 255-1905</t>
  </si>
  <si>
    <t>440 554 5219</t>
  </si>
  <si>
    <t>5461   CHEVROLET BLVD</t>
  </si>
  <si>
    <t xml:space="preserve">   306</t>
  </si>
  <si>
    <t>SABQNWWRT</t>
  </si>
  <si>
    <t>-74.60</t>
  </si>
  <si>
    <t>382.12</t>
  </si>
  <si>
    <t>120.25</t>
  </si>
  <si>
    <t>120.24</t>
  </si>
  <si>
    <t>141.63</t>
  </si>
  <si>
    <t>440 554-5219</t>
  </si>
  <si>
    <t>03/10/2014</t>
  </si>
  <si>
    <t>440 453 8820</t>
  </si>
  <si>
    <t>5800   LAURENT DR</t>
  </si>
  <si>
    <t xml:space="preserve">   512</t>
  </si>
  <si>
    <t>SABQRRCTD</t>
  </si>
  <si>
    <t>-58.01</t>
  </si>
  <si>
    <t>-130.00</t>
  </si>
  <si>
    <t>260.83</t>
  </si>
  <si>
    <t>130.3</t>
  </si>
  <si>
    <t>130.53</t>
  </si>
  <si>
    <t>440 453-8820</t>
  </si>
  <si>
    <t>440 845-7165</t>
  </si>
  <si>
    <t>01/10/2015</t>
  </si>
  <si>
    <t>440 570 0863</t>
  </si>
  <si>
    <t>18   MICHAEL DR</t>
  </si>
  <si>
    <t>OLMSTED TWP</t>
  </si>
  <si>
    <t>SABPMQLFJ</t>
  </si>
  <si>
    <t>06/07/2015</t>
  </si>
  <si>
    <t>-125.30</t>
  </si>
  <si>
    <t>-92.42</t>
  </si>
  <si>
    <t>02/17/2015</t>
  </si>
  <si>
    <t>-373.08</t>
  </si>
  <si>
    <t>232.84</t>
  </si>
  <si>
    <t>147.37</t>
  </si>
  <si>
    <t>85.47</t>
  </si>
  <si>
    <t>440 570-0863</t>
  </si>
  <si>
    <t>03/12/2012</t>
  </si>
  <si>
    <t>440 376 1267</t>
  </si>
  <si>
    <t>9230   INDEPENDENCE BLVD</t>
  </si>
  <si>
    <t xml:space="preserve">   201</t>
  </si>
  <si>
    <t>[0HYTSXM0L2X7]</t>
  </si>
  <si>
    <t>-103.98</t>
  </si>
  <si>
    <t>166.97</t>
  </si>
  <si>
    <t>51.99</t>
  </si>
  <si>
    <t>440 376-1267</t>
  </si>
  <si>
    <t>12/09/2014</t>
  </si>
  <si>
    <t>330 980 8365</t>
  </si>
  <si>
    <t>1596   OLIVEWOOD AVE</t>
  </si>
  <si>
    <t>3HW148WL010E4</t>
  </si>
  <si>
    <t>-82.00</t>
  </si>
  <si>
    <t>-81.07</t>
  </si>
  <si>
    <t>-321.44</t>
  </si>
  <si>
    <t>324.62</t>
  </si>
  <si>
    <t>6.52</t>
  </si>
  <si>
    <t>226.66</t>
  </si>
  <si>
    <t>91.44</t>
  </si>
  <si>
    <t>330 980-8365</t>
  </si>
  <si>
    <t>01/11/2014</t>
  </si>
  <si>
    <t>15126   ESTHER AVE</t>
  </si>
  <si>
    <t>DCI382P</t>
  </si>
  <si>
    <t>262300881</t>
  </si>
  <si>
    <t>-186.89</t>
  </si>
  <si>
    <t>03/30/2015</t>
  </si>
  <si>
    <t>-393.09</t>
  </si>
  <si>
    <t>-194.62</t>
  </si>
  <si>
    <t>389.62</t>
  </si>
  <si>
    <t>12.82</t>
  </si>
  <si>
    <t>182.35</t>
  </si>
  <si>
    <t>194.45</t>
  </si>
  <si>
    <t>330 607-8264</t>
  </si>
  <si>
    <t>02/11/2014</t>
  </si>
  <si>
    <t>330 705 5117</t>
  </si>
  <si>
    <t>6152   DENISON BLVD</t>
  </si>
  <si>
    <t>DSA321N</t>
  </si>
  <si>
    <t>263814109</t>
  </si>
  <si>
    <t>-146.94</t>
  </si>
  <si>
    <t>-89.60</t>
  </si>
  <si>
    <t>-225.00</t>
  </si>
  <si>
    <t>249.72</t>
  </si>
  <si>
    <t>124.98</t>
  </si>
  <si>
    <t>124.74</t>
  </si>
  <si>
    <t>2015-02-24 00:00:00</t>
  </si>
  <si>
    <t>330 705-5117</t>
  </si>
  <si>
    <t>06/05/2001</t>
  </si>
  <si>
    <t>6706   GILBERT AVE</t>
  </si>
  <si>
    <t>SABWCJNSF</t>
  </si>
  <si>
    <t>05/09/2015</t>
  </si>
  <si>
    <t>-214.14</t>
  </si>
  <si>
    <t>03/16/2015</t>
  </si>
  <si>
    <t>02/21/2015</t>
  </si>
  <si>
    <t>-192.88</t>
  </si>
  <si>
    <t>663.23</t>
  </si>
  <si>
    <t>221.55</t>
  </si>
  <si>
    <t>221.54</t>
  </si>
  <si>
    <t>220.14</t>
  </si>
  <si>
    <t>440 212-3460</t>
  </si>
  <si>
    <t>440 390 2651</t>
  </si>
  <si>
    <t>4206   WOODROW AVE</t>
  </si>
  <si>
    <t>260205384</t>
  </si>
  <si>
    <t>-171.10</t>
  </si>
  <si>
    <t>-148.10</t>
  </si>
  <si>
    <t>489.68</t>
  </si>
  <si>
    <t>220.32</t>
  </si>
  <si>
    <t>106.7</t>
  </si>
  <si>
    <t>162.66</t>
  </si>
  <si>
    <t>2015-06-16 00:00:00</t>
  </si>
  <si>
    <t>440 390-2651</t>
  </si>
  <si>
    <t>11/06/2014</t>
  </si>
  <si>
    <t>2025   ATKINS AVE</t>
  </si>
  <si>
    <t xml:space="preserve">    23</t>
  </si>
  <si>
    <t>D8D4M13002531</t>
  </si>
  <si>
    <t>-160.72</t>
  </si>
  <si>
    <t>-158.38</t>
  </si>
  <si>
    <t>04/03/2015</t>
  </si>
  <si>
    <t>566.11</t>
  </si>
  <si>
    <t>194.34</t>
  </si>
  <si>
    <t>210.11</t>
  </si>
  <si>
    <t>161.66</t>
  </si>
  <si>
    <t>216 905-7941</t>
  </si>
  <si>
    <t>803 374 1874</t>
  </si>
  <si>
    <t>1480   WARREN RD</t>
  </si>
  <si>
    <t xml:space="preserve">   308</t>
  </si>
  <si>
    <t>SABPVGDDM</t>
  </si>
  <si>
    <t>-81.98</t>
  </si>
  <si>
    <t>-103.26</t>
  </si>
  <si>
    <t>-118.29</t>
  </si>
  <si>
    <t>220.73</t>
  </si>
  <si>
    <t>108.87</t>
  </si>
  <si>
    <t>111.86</t>
  </si>
  <si>
    <t>803 374-1874</t>
  </si>
  <si>
    <t>06/11/2013</t>
  </si>
  <si>
    <t>216 789 5159</t>
  </si>
  <si>
    <t>18953   HILLIARD BLVD</t>
  </si>
  <si>
    <t>DGI6180</t>
  </si>
  <si>
    <t>0KKM1G17SCV1</t>
  </si>
  <si>
    <t>-65.99</t>
  </si>
  <si>
    <t>149.18</t>
  </si>
  <si>
    <t>87.59</t>
  </si>
  <si>
    <t>61.59</t>
  </si>
  <si>
    <t>2014-07-27 00:00:00</t>
  </si>
  <si>
    <t>216 789-5159</t>
  </si>
  <si>
    <t>11/24/2003</t>
  </si>
  <si>
    <t>440 842 8326</t>
  </si>
  <si>
    <t>6730   YORK RD</t>
  </si>
  <si>
    <t>DGI5101</t>
  </si>
  <si>
    <t>[08GG4F5NLNS3]</t>
  </si>
  <si>
    <t>-139.21</t>
  </si>
  <si>
    <t>04/11/2015</t>
  </si>
  <si>
    <t>-132.06</t>
  </si>
  <si>
    <t>03/08/2015</t>
  </si>
  <si>
    <t>-146.26</t>
  </si>
  <si>
    <t>284.78</t>
  </si>
  <si>
    <t>19.31</t>
  </si>
  <si>
    <t>140.67</t>
  </si>
  <si>
    <t>124.8</t>
  </si>
  <si>
    <t>440 842-8326</t>
  </si>
  <si>
    <t>07/11/2014</t>
  </si>
  <si>
    <t>716 771 9615</t>
  </si>
  <si>
    <t>2191   WATERBURY RD</t>
  </si>
  <si>
    <t>3HW141WR00461</t>
  </si>
  <si>
    <t>-91.08</t>
  </si>
  <si>
    <t>02/19/2015</t>
  </si>
  <si>
    <t>12/28/2014</t>
  </si>
  <si>
    <t>-70.14</t>
  </si>
  <si>
    <t>112.68</t>
  </si>
  <si>
    <t>64.14</t>
  </si>
  <si>
    <t>716 771-9615</t>
  </si>
  <si>
    <t>09/11/2014</t>
  </si>
  <si>
    <t>440 591 0354</t>
  </si>
  <si>
    <t>11824   MADISON AVE</t>
  </si>
  <si>
    <t xml:space="preserve">   19B</t>
  </si>
  <si>
    <t>3HW146W207101</t>
  </si>
  <si>
    <t>-143.72</t>
  </si>
  <si>
    <t>-125.84</t>
  </si>
  <si>
    <t>306.4</t>
  </si>
  <si>
    <t>148.91</t>
  </si>
  <si>
    <t>157.49</t>
  </si>
  <si>
    <t>2015-05-12 00:00:00</t>
  </si>
  <si>
    <t>440 591-0354</t>
  </si>
  <si>
    <t>12/12/2014</t>
  </si>
  <si>
    <t>440 234 1974</t>
  </si>
  <si>
    <t>24422   NOBOTTOM RD</t>
  </si>
  <si>
    <t>SABSQFVVC</t>
  </si>
  <si>
    <t>05/17/2015</t>
  </si>
  <si>
    <t>-115.59</t>
  </si>
  <si>
    <t>03/20/2015</t>
  </si>
  <si>
    <t>-98.91</t>
  </si>
  <si>
    <t>-154.80</t>
  </si>
  <si>
    <t>243.24</t>
  </si>
  <si>
    <t>121.65</t>
  </si>
  <si>
    <t>121.59</t>
  </si>
  <si>
    <t>440 234-1974</t>
  </si>
  <si>
    <t>06/21/2014</t>
  </si>
  <si>
    <t>216 904 0539</t>
  </si>
  <si>
    <t>2006   WATERBURY RD</t>
  </si>
  <si>
    <t xml:space="preserve">     5</t>
  </si>
  <si>
    <t>DN4500P</t>
  </si>
  <si>
    <t>3H214AW202599</t>
  </si>
  <si>
    <t>-442.93</t>
  </si>
  <si>
    <t>-178.63</t>
  </si>
  <si>
    <t>03/31/2015</t>
  </si>
  <si>
    <t>411.14</t>
  </si>
  <si>
    <t>205.62</t>
  </si>
  <si>
    <t>205.52</t>
  </si>
  <si>
    <t>2015-04-10 00:00:00</t>
  </si>
  <si>
    <t>216 904-0539</t>
  </si>
  <si>
    <t>08/29/2014</t>
  </si>
  <si>
    <t>440 623 8675</t>
  </si>
  <si>
    <t>9625   FERNWOOD DR</t>
  </si>
  <si>
    <t xml:space="preserve">  J240</t>
  </si>
  <si>
    <t>3H2145WU0173F</t>
  </si>
  <si>
    <t>29</t>
  </si>
  <si>
    <t>06/15/2015</t>
  </si>
  <si>
    <t>-170.06</t>
  </si>
  <si>
    <t>-90.00</t>
  </si>
  <si>
    <t>04/14/2015</t>
  </si>
  <si>
    <t>291.83</t>
  </si>
  <si>
    <t>121.77</t>
  </si>
  <si>
    <t>170.06</t>
  </si>
  <si>
    <t>440 623-8675</t>
  </si>
  <si>
    <t>440 532 3170</t>
  </si>
  <si>
    <t>20586   LORAIN RD</t>
  </si>
  <si>
    <t>3HW14AWD01B34</t>
  </si>
  <si>
    <t>67.75</t>
  </si>
  <si>
    <t>15.95</t>
  </si>
  <si>
    <t>9.95</t>
  </si>
  <si>
    <t>440 532-3170</t>
  </si>
  <si>
    <t>216 860 9469</t>
  </si>
  <si>
    <t>5269   KNOLLWOOD DR</t>
  </si>
  <si>
    <t>E124M13003375</t>
  </si>
  <si>
    <t>06/14/2015</t>
  </si>
  <si>
    <t>-142.45</t>
  </si>
  <si>
    <t>598.45</t>
  </si>
  <si>
    <t>245.62</t>
  </si>
  <si>
    <t>327.83</t>
  </si>
  <si>
    <t>216 860-9469</t>
  </si>
  <si>
    <t>440 481 3463</t>
  </si>
  <si>
    <t>9231   INDEPENDENCE BLVD</t>
  </si>
  <si>
    <t xml:space="preserve">   707</t>
  </si>
  <si>
    <t>SABQXXDNJ</t>
  </si>
  <si>
    <t>06/04/2015</t>
  </si>
  <si>
    <t>-35.73</t>
  </si>
  <si>
    <t>-92.64</t>
  </si>
  <si>
    <t>-65.98</t>
  </si>
  <si>
    <t>414.98</t>
  </si>
  <si>
    <t>124.58</t>
  </si>
  <si>
    <t>290.4</t>
  </si>
  <si>
    <t>440 481-3463</t>
  </si>
  <si>
    <t>440 591 8976</t>
  </si>
  <si>
    <t>6238   BIG CREEK PKWY</t>
  </si>
  <si>
    <t>16</t>
  </si>
  <si>
    <t>-150.29</t>
  </si>
  <si>
    <t>-171.48</t>
  </si>
  <si>
    <t>171.46</t>
  </si>
  <si>
    <t>86.07</t>
  </si>
  <si>
    <t>85.39</t>
  </si>
  <si>
    <t>440 591-8976</t>
  </si>
  <si>
    <t>440 884-5600</t>
  </si>
  <si>
    <t>6240   STUMPH RD</t>
  </si>
  <si>
    <t xml:space="preserve">   319</t>
  </si>
  <si>
    <t>260208240</t>
  </si>
  <si>
    <t>423.83</t>
  </si>
  <si>
    <t>151.1</t>
  </si>
  <si>
    <t>154.24</t>
  </si>
  <si>
    <t>118.49</t>
  </si>
  <si>
    <t>12/11/2014</t>
  </si>
  <si>
    <t>216 256 2107</t>
  </si>
  <si>
    <t>5216   KNOLLWOOD DR</t>
  </si>
  <si>
    <t>CSH4642</t>
  </si>
  <si>
    <t>SACBLVDZN</t>
  </si>
  <si>
    <t>05/12/2015</t>
  </si>
  <si>
    <t>02/13/2015</t>
  </si>
  <si>
    <t>-275.00</t>
  </si>
  <si>
    <t>256.62</t>
  </si>
  <si>
    <t>112.81</t>
  </si>
  <si>
    <t>129.05</t>
  </si>
  <si>
    <t>14.76</t>
  </si>
  <si>
    <t>216 256-2107</t>
  </si>
  <si>
    <t>216 323 5688</t>
  </si>
  <si>
    <t>1458   WINCHESTER AVE</t>
  </si>
  <si>
    <t>SABVMKCNQ</t>
  </si>
  <si>
    <t>21</t>
  </si>
  <si>
    <t>-345.82</t>
  </si>
  <si>
    <t>-105.00</t>
  </si>
  <si>
    <t>718.92</t>
  </si>
  <si>
    <t>293.22</t>
  </si>
  <si>
    <t>79.88</t>
  </si>
  <si>
    <t>345.82</t>
  </si>
  <si>
    <t>216 323-5688</t>
  </si>
  <si>
    <t>06/28/2015</t>
  </si>
  <si>
    <t>04/12/2006</t>
  </si>
  <si>
    <t>440 333 1068</t>
  </si>
  <si>
    <t>2778   GASSER BLVD</t>
  </si>
  <si>
    <t>[07WB0FLS1FH4]</t>
  </si>
  <si>
    <t>12</t>
  </si>
  <si>
    <t>-208.18</t>
  </si>
  <si>
    <t>-215.37</t>
  </si>
  <si>
    <t>03/29/2015</t>
  </si>
  <si>
    <t>-210.04</t>
  </si>
  <si>
    <t>388.66</t>
  </si>
  <si>
    <t>5.15</t>
  </si>
  <si>
    <t>210.28</t>
  </si>
  <si>
    <t>173.23</t>
  </si>
  <si>
    <t>440 333-1068</t>
  </si>
  <si>
    <t>440 895-2414</t>
  </si>
  <si>
    <t>440 666-6759</t>
  </si>
  <si>
    <t>02/13/2014</t>
  </si>
  <si>
    <t>5329   KNOLLWOOD DR</t>
  </si>
  <si>
    <t>SABVCLPWS</t>
  </si>
  <si>
    <t>13</t>
  </si>
  <si>
    <t>-284.24</t>
  </si>
  <si>
    <t>03/05/2015</t>
  </si>
  <si>
    <t>459.14</t>
  </si>
  <si>
    <t>224.8</t>
  </si>
  <si>
    <t>217.17</t>
  </si>
  <si>
    <t>17.17</t>
  </si>
  <si>
    <t>216 808-0900</t>
  </si>
  <si>
    <t>05/07/2015</t>
  </si>
  <si>
    <t>216 554 4942</t>
  </si>
  <si>
    <t>12227   CLIFTON BLVD</t>
  </si>
  <si>
    <t>3HW144WA023CD</t>
  </si>
  <si>
    <t>122.34</t>
  </si>
  <si>
    <t>216 554-4942</t>
  </si>
  <si>
    <t>12/11/1992</t>
  </si>
  <si>
    <t>216 524 4732</t>
  </si>
  <si>
    <t>6841   DREXEL DR</t>
  </si>
  <si>
    <t>[07WB0FT292C6]</t>
  </si>
  <si>
    <t>-338.94</t>
  </si>
  <si>
    <t>-144.54</t>
  </si>
  <si>
    <t>02/26/2015</t>
  </si>
  <si>
    <t>-188.35</t>
  </si>
  <si>
    <t>325.52</t>
  </si>
  <si>
    <t>170.67</t>
  </si>
  <si>
    <t>154.85</t>
  </si>
  <si>
    <t>2015-03-31 00:00:00</t>
  </si>
  <si>
    <t>216 524-4732</t>
  </si>
  <si>
    <t>216 741-2611</t>
  </si>
  <si>
    <t>11/13/2014</t>
  </si>
  <si>
    <t>216 502 8460</t>
  </si>
  <si>
    <t>5699   CHEVROLET BLVD</t>
  </si>
  <si>
    <t xml:space="preserve">  B201</t>
  </si>
  <si>
    <t>SABRZJGQH</t>
  </si>
  <si>
    <t>06/11/2015</t>
  </si>
  <si>
    <t>-300.00</t>
  </si>
  <si>
    <t>05/08/2015</t>
  </si>
  <si>
    <t>-79.64</t>
  </si>
  <si>
    <t>-137.53</t>
  </si>
  <si>
    <t>548.91</t>
  </si>
  <si>
    <t>161.91</t>
  </si>
  <si>
    <t>362</t>
  </si>
  <si>
    <t>2015-06-23 00:00:00</t>
  </si>
  <si>
    <t>216 502-8460</t>
  </si>
  <si>
    <t>216 346 8086</t>
  </si>
  <si>
    <t>6900   STATE RD</t>
  </si>
  <si>
    <t xml:space="preserve">   305</t>
  </si>
  <si>
    <t>SABTQZBWH</t>
  </si>
  <si>
    <t>-196.11</t>
  </si>
  <si>
    <t>-43.38</t>
  </si>
  <si>
    <t>243.35</t>
  </si>
  <si>
    <t>83.15</t>
  </si>
  <si>
    <t>83.14</t>
  </si>
  <si>
    <t>77.06</t>
  </si>
  <si>
    <t>216 346-8086</t>
  </si>
  <si>
    <t>216 673 2512</t>
  </si>
  <si>
    <t>11550  E HUFFMAN RD</t>
  </si>
  <si>
    <t>SABWFBDXB</t>
  </si>
  <si>
    <t>338.3</t>
  </si>
  <si>
    <t>87.4</t>
  </si>
  <si>
    <t>87.39</t>
  </si>
  <si>
    <t>163.51</t>
  </si>
  <si>
    <t>216 673-2512</t>
  </si>
  <si>
    <t>02/10/2015</t>
  </si>
  <si>
    <t>216 313 1620</t>
  </si>
  <si>
    <t>6789   YORK RD</t>
  </si>
  <si>
    <t xml:space="preserve">   115</t>
  </si>
  <si>
    <t>262116004</t>
  </si>
  <si>
    <t>-150.58</t>
  </si>
  <si>
    <t>-58.73</t>
  </si>
  <si>
    <t>326.98</t>
  </si>
  <si>
    <t>154.36</t>
  </si>
  <si>
    <t>172.62</t>
  </si>
  <si>
    <t>216 313-1620</t>
  </si>
  <si>
    <t>07/19/2014</t>
  </si>
  <si>
    <t>216 904 3476</t>
  </si>
  <si>
    <t>22337   LORAIN RD</t>
  </si>
  <si>
    <t>SACGCRTVF</t>
  </si>
  <si>
    <t>19</t>
  </si>
  <si>
    <t>-237.70</t>
  </si>
  <si>
    <t>-112.63</t>
  </si>
  <si>
    <t>-156.74</t>
  </si>
  <si>
    <t>448.5</t>
  </si>
  <si>
    <t>167.04</t>
  </si>
  <si>
    <t>43.76</t>
  </si>
  <si>
    <t>237.7</t>
  </si>
  <si>
    <t>2015-06-17 00:00:00</t>
  </si>
  <si>
    <t>216 904-3476</t>
  </si>
  <si>
    <t>216 210 6782</t>
  </si>
  <si>
    <t>6951   YORK RD</t>
  </si>
  <si>
    <t xml:space="preserve">   310</t>
  </si>
  <si>
    <t>267228747</t>
  </si>
  <si>
    <t>-133.80</t>
  </si>
  <si>
    <t>-111.76</t>
  </si>
  <si>
    <t>-133.74</t>
  </si>
  <si>
    <t>310.16</t>
  </si>
  <si>
    <t>195</t>
  </si>
  <si>
    <t>115.16</t>
  </si>
  <si>
    <t>216 210-6782</t>
  </si>
  <si>
    <t>216 645-1872</t>
  </si>
  <si>
    <t>07/13/2013</t>
  </si>
  <si>
    <t>440 212 6069</t>
  </si>
  <si>
    <t>27046   OAKWOOD CIR</t>
  </si>
  <si>
    <t xml:space="preserve">  103O</t>
  </si>
  <si>
    <t>SACBLXMJN</t>
  </si>
  <si>
    <t>06/01/2015</t>
  </si>
  <si>
    <t>-170.73</t>
  </si>
  <si>
    <t>-131.96</t>
  </si>
  <si>
    <t>04/05/2015</t>
  </si>
  <si>
    <t>-131.68</t>
  </si>
  <si>
    <t>331.85</t>
  </si>
  <si>
    <t>170.8</t>
  </si>
  <si>
    <t>161.05</t>
  </si>
  <si>
    <t>440 212-6069</t>
  </si>
  <si>
    <t>07/31/2010</t>
  </si>
  <si>
    <t>216 521 5165</t>
  </si>
  <si>
    <t>6260   PEARL RD</t>
  </si>
  <si>
    <t xml:space="preserve">   504</t>
  </si>
  <si>
    <t>-84.43</t>
  </si>
  <si>
    <t>04/18/2015</t>
  </si>
  <si>
    <t>-200.12</t>
  </si>
  <si>
    <t>-131.42</t>
  </si>
  <si>
    <t>168.94</t>
  </si>
  <si>
    <t>84.51</t>
  </si>
  <si>
    <t>84.43</t>
  </si>
  <si>
    <t>216 521-5165</t>
  </si>
  <si>
    <t>216 267-5030</t>
  </si>
  <si>
    <t>06/29/2015</t>
  </si>
  <si>
    <t>216 387 6581</t>
  </si>
  <si>
    <t>1517   NEWMAN AVE</t>
  </si>
  <si>
    <t>SABRRQBBH</t>
  </si>
  <si>
    <t>28</t>
  </si>
  <si>
    <t>06/16/2015</t>
  </si>
  <si>
    <t>-138.64</t>
  </si>
  <si>
    <t>547.84</t>
  </si>
  <si>
    <t>190.75</t>
  </si>
  <si>
    <t>226.88</t>
  </si>
  <si>
    <t>130.21</t>
  </si>
  <si>
    <t>216 387-6581</t>
  </si>
  <si>
    <t>09/09/2011</t>
  </si>
  <si>
    <t>216 375 8711</t>
  </si>
  <si>
    <t>14727   ARMIN AVE</t>
  </si>
  <si>
    <t>[23B1097N0AB76]</t>
  </si>
  <si>
    <t>-141.57</t>
  </si>
  <si>
    <t>-106.29</t>
  </si>
  <si>
    <t>398.7</t>
  </si>
  <si>
    <t>144.07</t>
  </si>
  <si>
    <t>254.63</t>
  </si>
  <si>
    <t>216 375-8711</t>
  </si>
  <si>
    <t>216 712-4714</t>
  </si>
  <si>
    <t>08/07/2014</t>
  </si>
  <si>
    <t>216 630 3009</t>
  </si>
  <si>
    <t>2021   HALSTEAD AVE</t>
  </si>
  <si>
    <t>SABSNRTBD</t>
  </si>
  <si>
    <t>05/31/2015</t>
  </si>
  <si>
    <t>-245.00</t>
  </si>
  <si>
    <t>-180.00</t>
  </si>
  <si>
    <t>511.31</t>
  </si>
  <si>
    <t>187.74</t>
  </si>
  <si>
    <t>184.47</t>
  </si>
  <si>
    <t>139.1</t>
  </si>
  <si>
    <t>2015-03-04 00:00:00</t>
  </si>
  <si>
    <t>216 630-3009</t>
  </si>
  <si>
    <t>216 856-3599</t>
  </si>
  <si>
    <t>01/27/2015</t>
  </si>
  <si>
    <t>330 523 8599</t>
  </si>
  <si>
    <t>5386   KNOLLWOOD DR</t>
  </si>
  <si>
    <t xml:space="preserve">     7</t>
  </si>
  <si>
    <t>CSH8642</t>
  </si>
  <si>
    <t>SACBJLJCD</t>
  </si>
  <si>
    <t>-156.29</t>
  </si>
  <si>
    <t>-147.88</t>
  </si>
  <si>
    <t>-292.45</t>
  </si>
  <si>
    <t>328.86</t>
  </si>
  <si>
    <t>148.36</t>
  </si>
  <si>
    <t>180.5</t>
  </si>
  <si>
    <t>330 523-8599</t>
  </si>
  <si>
    <t>11/04/2014</t>
  </si>
  <si>
    <t>216 502 6630</t>
  </si>
  <si>
    <t>6808   RIDGEWOOD AVE</t>
  </si>
  <si>
    <t>DGI6182</t>
  </si>
  <si>
    <t>0N5Z6DRSDD09</t>
  </si>
  <si>
    <t>-55.26</t>
  </si>
  <si>
    <t>02/28/2015</t>
  </si>
  <si>
    <t>-54.72</t>
  </si>
  <si>
    <t>94.7</t>
  </si>
  <si>
    <t>49.99</t>
  </si>
  <si>
    <t>44.71</t>
  </si>
  <si>
    <t>216 502-6630</t>
  </si>
  <si>
    <t>10/01/2013</t>
  </si>
  <si>
    <t>440 409 3706</t>
  </si>
  <si>
    <t>4292  W 202ND ST</t>
  </si>
  <si>
    <t>[073G4F1GKBL3]</t>
  </si>
  <si>
    <t>-202.89</t>
  </si>
  <si>
    <t>-378.40</t>
  </si>
  <si>
    <t>-853.44</t>
  </si>
  <si>
    <t>380.02</t>
  </si>
  <si>
    <t>176.97</t>
  </si>
  <si>
    <t>203.05</t>
  </si>
  <si>
    <t>2015-02-04 00:00:00</t>
  </si>
  <si>
    <t>440 409-3706</t>
  </si>
  <si>
    <t>216 832 3383</t>
  </si>
  <si>
    <t>13509   DETROIT AVE</t>
  </si>
  <si>
    <t xml:space="preserve">   103</t>
  </si>
  <si>
    <t>SABMHGRTD</t>
  </si>
  <si>
    <t>-130.54</t>
  </si>
  <si>
    <t>05/10/2015</t>
  </si>
  <si>
    <t>-151.57</t>
  </si>
  <si>
    <t>-140.12</t>
  </si>
  <si>
    <t>309.81</t>
  </si>
  <si>
    <t>144.8</t>
  </si>
  <si>
    <t>165.01</t>
  </si>
  <si>
    <t>216 832-3383</t>
  </si>
  <si>
    <t>216 502 0710</t>
  </si>
  <si>
    <t>11849   CLIFTON BLVD</t>
  </si>
  <si>
    <t xml:space="preserve">   117</t>
  </si>
  <si>
    <t>SABSQWDPT</t>
  </si>
  <si>
    <t>-125.28</t>
  </si>
  <si>
    <t>256.92</t>
  </si>
  <si>
    <t>131.64</t>
  </si>
  <si>
    <t>125.28</t>
  </si>
  <si>
    <t>216 502-0710</t>
  </si>
  <si>
    <t>04/11/2014</t>
  </si>
  <si>
    <t>440 777 5366</t>
  </si>
  <si>
    <t>3718   GLENBAR CT</t>
  </si>
  <si>
    <t>SABQSXXXC</t>
  </si>
  <si>
    <t>Bulk</t>
  </si>
  <si>
    <t>-88.54</t>
  </si>
  <si>
    <t>209.21</t>
  </si>
  <si>
    <t>114</t>
  </si>
  <si>
    <t>95.21</t>
  </si>
  <si>
    <t>440 777-5366</t>
  </si>
  <si>
    <t>440 781-5108</t>
  </si>
  <si>
    <t>09/14/2013</t>
  </si>
  <si>
    <t>330 391 8863</t>
  </si>
  <si>
    <t>18645   DETROIT AVE</t>
  </si>
  <si>
    <t xml:space="preserve">   102</t>
  </si>
  <si>
    <t>SABHRBVNZ</t>
  </si>
  <si>
    <t>05/13/2015</t>
  </si>
  <si>
    <t>-285.95</t>
  </si>
  <si>
    <t>-275.44</t>
  </si>
  <si>
    <t>12/16/2014</t>
  </si>
  <si>
    <t>-264.72</t>
  </si>
  <si>
    <t>272.09</t>
  </si>
  <si>
    <t>142.28</t>
  </si>
  <si>
    <t>129.81</t>
  </si>
  <si>
    <t>330 391-8863</t>
  </si>
  <si>
    <t>440 465 1937</t>
  </si>
  <si>
    <t>17920   DETROIT AVE</t>
  </si>
  <si>
    <t xml:space="preserve">   407</t>
  </si>
  <si>
    <t>3HW14AWU009BC</t>
  </si>
  <si>
    <t>-109.64</t>
  </si>
  <si>
    <t>231.64</t>
  </si>
  <si>
    <t>116</t>
  </si>
  <si>
    <t>115.64</t>
  </si>
  <si>
    <t>440 465-1937</t>
  </si>
  <si>
    <t>12/06/2014</t>
  </si>
  <si>
    <t>216 313 8721</t>
  </si>
  <si>
    <t>20845   LORAIN RD</t>
  </si>
  <si>
    <t xml:space="preserve">    15</t>
  </si>
  <si>
    <t>SABXWQJCF</t>
  </si>
  <si>
    <t>-212.98</t>
  </si>
  <si>
    <t>599.54</t>
  </si>
  <si>
    <t>228.84</t>
  </si>
  <si>
    <t>370.7</t>
  </si>
  <si>
    <t>2015-06-25 00:00:00</t>
  </si>
  <si>
    <t>216 313-8721</t>
  </si>
  <si>
    <t>440 381 5510</t>
  </si>
  <si>
    <t>5676   BROADVIEW RD</t>
  </si>
  <si>
    <t xml:space="preserve">   122</t>
  </si>
  <si>
    <t>264291743</t>
  </si>
  <si>
    <t>-55.10</t>
  </si>
  <si>
    <t>-155.02</t>
  </si>
  <si>
    <t>349.5</t>
  </si>
  <si>
    <t>195.25</t>
  </si>
  <si>
    <t>154.25</t>
  </si>
  <si>
    <t>440 381-5510</t>
  </si>
  <si>
    <t>02/11/2015</t>
  </si>
  <si>
    <t>216 860 2964</t>
  </si>
  <si>
    <t>SABTBLWRD</t>
  </si>
  <si>
    <t>-65.00</t>
  </si>
  <si>
    <t>-65.14</t>
  </si>
  <si>
    <t>235.26</t>
  </si>
  <si>
    <t>103.8</t>
  </si>
  <si>
    <t>216 860-2964</t>
  </si>
  <si>
    <t>440 832 9112</t>
  </si>
  <si>
    <t>10060   APACHE DR</t>
  </si>
  <si>
    <t>DC24M13003872</t>
  </si>
  <si>
    <t>05/05/2015</t>
  </si>
  <si>
    <t>-166.46</t>
  </si>
  <si>
    <t>635.92</t>
  </si>
  <si>
    <t>202.98</t>
  </si>
  <si>
    <t>190.67</t>
  </si>
  <si>
    <t>242.27</t>
  </si>
  <si>
    <t>U</t>
  </si>
  <si>
    <t>440 832-9112</t>
  </si>
  <si>
    <t>216 331 3134</t>
  </si>
  <si>
    <t>1632   LAKEWOOD AVE</t>
  </si>
  <si>
    <t>SABPMRRLK</t>
  </si>
  <si>
    <t>688.05</t>
  </si>
  <si>
    <t>223.95</t>
  </si>
  <si>
    <t>322.84</t>
  </si>
  <si>
    <t>141.26</t>
  </si>
  <si>
    <t>216 331-3134</t>
  </si>
  <si>
    <t>07/05/2013</t>
  </si>
  <si>
    <t>440 623 6120</t>
  </si>
  <si>
    <t>11580   CHEYENNE TRL</t>
  </si>
  <si>
    <t xml:space="preserve">     D</t>
  </si>
  <si>
    <t>RNCGA14</t>
  </si>
  <si>
    <t>[2DV105U300078]</t>
  </si>
  <si>
    <t>-125.18</t>
  </si>
  <si>
    <t>-125.13</t>
  </si>
  <si>
    <t>-135.41</t>
  </si>
  <si>
    <t>389.57</t>
  </si>
  <si>
    <t>132.18</t>
  </si>
  <si>
    <t>132.21</t>
  </si>
  <si>
    <t>125.18</t>
  </si>
  <si>
    <t>440 623-6120</t>
  </si>
  <si>
    <t>216 326 3444</t>
  </si>
  <si>
    <t>6923   YORK RD</t>
  </si>
  <si>
    <t>SABVDNBHX</t>
  </si>
  <si>
    <t>-125.24</t>
  </si>
  <si>
    <t>-135.29</t>
  </si>
  <si>
    <t>449.56</t>
  </si>
  <si>
    <t>158.38</t>
  </si>
  <si>
    <t>158.41</t>
  </si>
  <si>
    <t>132.77</t>
  </si>
  <si>
    <t>216 326-3444</t>
  </si>
  <si>
    <t>216 575 8355</t>
  </si>
  <si>
    <t>5305   KNOLLWOOD DR</t>
  </si>
  <si>
    <t xml:space="preserve">     3</t>
  </si>
  <si>
    <t>-139.16</t>
  </si>
  <si>
    <t>01/31/2015</t>
  </si>
  <si>
    <t>-156.09</t>
  </si>
  <si>
    <t>401.34</t>
  </si>
  <si>
    <t>18.96</t>
  </si>
  <si>
    <t>81.97</t>
  </si>
  <si>
    <t>222.4</t>
  </si>
  <si>
    <t>78.01</t>
  </si>
  <si>
    <t>216 575-8355</t>
  </si>
  <si>
    <t>03/07/2015</t>
  </si>
  <si>
    <t>216 688 8262</t>
  </si>
  <si>
    <t>6608   MANDALAY DR</t>
  </si>
  <si>
    <t>-181.56</t>
  </si>
  <si>
    <t>02/27/2015</t>
  </si>
  <si>
    <t>-125.00</t>
  </si>
  <si>
    <t>563.22</t>
  </si>
  <si>
    <t>438.81</t>
  </si>
  <si>
    <t>79.73</t>
  </si>
  <si>
    <t>44.68</t>
  </si>
  <si>
    <t>216 688-8262</t>
  </si>
  <si>
    <t>10256 INDEPENDENCE BLVD</t>
  </si>
  <si>
    <t>07/02/2015</t>
  </si>
  <si>
    <t>10/29/2014</t>
  </si>
  <si>
    <t>440 506 7715</t>
  </si>
  <si>
    <t>6020   RIDGE RD</t>
  </si>
  <si>
    <t>3HW143WK012B6</t>
  </si>
  <si>
    <t>NonBulk</t>
  </si>
  <si>
    <t>NonRoommate</t>
  </si>
  <si>
    <t>17</t>
  </si>
  <si>
    <t>-95.14</t>
  </si>
  <si>
    <t>05/04/2015</t>
  </si>
  <si>
    <t>166.99</t>
  </si>
  <si>
    <t>20</t>
  </si>
  <si>
    <t>93.54</t>
  </si>
  <si>
    <t>53.45</t>
  </si>
  <si>
    <t>440 506-7715</t>
  </si>
  <si>
    <t>07/04/2015</t>
  </si>
  <si>
    <t>06/15/2014</t>
  </si>
  <si>
    <t>585 297 0698</t>
  </si>
  <si>
    <t>10384   VALLEY FORGE DR</t>
  </si>
  <si>
    <t xml:space="preserve">    F4</t>
  </si>
  <si>
    <t>04/26/2015</t>
  </si>
  <si>
    <t>-61.92</t>
  </si>
  <si>
    <t>01/04/2015</t>
  </si>
  <si>
    <t>-61.74</t>
  </si>
  <si>
    <t>61.92</t>
  </si>
  <si>
    <t>33.96</t>
  </si>
  <si>
    <t>27.96</t>
  </si>
  <si>
    <t>585 297-0698</t>
  </si>
  <si>
    <t>07/06/2015</t>
  </si>
  <si>
    <t>07/17/1998</t>
  </si>
  <si>
    <t>440 243 3063</t>
  </si>
  <si>
    <t>9637   GRIST MILL RUN</t>
  </si>
  <si>
    <t>SACBQQRTV</t>
  </si>
  <si>
    <t>15</t>
  </si>
  <si>
    <t>-159.48</t>
  </si>
  <si>
    <t>-165.16</t>
  </si>
  <si>
    <t>-167.58</t>
  </si>
  <si>
    <t>330.76</t>
  </si>
  <si>
    <t>43.81</t>
  </si>
  <si>
    <t>161.1</t>
  </si>
  <si>
    <t>125.85</t>
  </si>
  <si>
    <t>440 243-3063</t>
  </si>
  <si>
    <t>440 235-3145</t>
  </si>
  <si>
    <t>06/30/2015</t>
  </si>
  <si>
    <t>04/19/2013</t>
  </si>
  <si>
    <t>419 788 5676</t>
  </si>
  <si>
    <t>1285   FRENCH AVE</t>
  </si>
  <si>
    <t>0HYTSSPVL4R3</t>
  </si>
  <si>
    <t>162.98</t>
  </si>
  <si>
    <t>2015-06-04 00:00:00</t>
  </si>
  <si>
    <t>419 788-5676</t>
  </si>
  <si>
    <t>08/13/2014</t>
  </si>
  <si>
    <t>216 712 4199</t>
  </si>
  <si>
    <t>2035   CHESTERLAND AVE</t>
  </si>
  <si>
    <t>[F3BK6B2000339]</t>
  </si>
  <si>
    <t>-76.68</t>
  </si>
  <si>
    <t>-42.00</t>
  </si>
  <si>
    <t>-65.88</t>
  </si>
  <si>
    <t>108.42</t>
  </si>
  <si>
    <t>59.88</t>
  </si>
  <si>
    <t>216 712-4199</t>
  </si>
  <si>
    <t>216 502-7860</t>
  </si>
  <si>
    <t>08/08/2013</t>
  </si>
  <si>
    <t>440 887 1687</t>
  </si>
  <si>
    <t>8503   WHITTINGTON DR</t>
  </si>
  <si>
    <t>SABSFSHGZ</t>
  </si>
  <si>
    <t>-157.00</t>
  </si>
  <si>
    <t>03/23/2015</t>
  </si>
  <si>
    <t>01/29/2015</t>
  </si>
  <si>
    <t>-182.03</t>
  </si>
  <si>
    <t>290.81</t>
  </si>
  <si>
    <t>99.11</t>
  </si>
  <si>
    <t>99.1</t>
  </si>
  <si>
    <t>92.6</t>
  </si>
  <si>
    <t>440 887-1687</t>
  </si>
  <si>
    <t>11/09/2012</t>
  </si>
  <si>
    <t>216 221 1202</t>
  </si>
  <si>
    <t>13121   FRANKLIN BLVD</t>
  </si>
  <si>
    <t>-28.54</t>
  </si>
  <si>
    <t>-61.47</t>
  </si>
  <si>
    <t>97.63</t>
  </si>
  <si>
    <t>34.55</t>
  </si>
  <si>
    <t>34.54</t>
  </si>
  <si>
    <t>28.54</t>
  </si>
  <si>
    <t>216 221-1202</t>
  </si>
  <si>
    <t>216 630-2665</t>
  </si>
  <si>
    <t>08/15/2014</t>
  </si>
  <si>
    <t>440 488 9353</t>
  </si>
  <si>
    <t>1343   KENILWORTH AVE</t>
  </si>
  <si>
    <t>SABWNQTSK</t>
  </si>
  <si>
    <t>-177.26</t>
  </si>
  <si>
    <t>-151.77</t>
  </si>
  <si>
    <t>392.73</t>
  </si>
  <si>
    <t>185.69</t>
  </si>
  <si>
    <t>207.04</t>
  </si>
  <si>
    <t>2015-05-01 00:00:00</t>
  </si>
  <si>
    <t>440 488-9353</t>
  </si>
  <si>
    <t>11/15/2014</t>
  </si>
  <si>
    <t>216 280 3850</t>
  </si>
  <si>
    <t>600   OMALLEY DR</t>
  </si>
  <si>
    <t xml:space="preserve">   202</t>
  </si>
  <si>
    <t>235998554</t>
  </si>
  <si>
    <t>07/15/2015</t>
  </si>
  <si>
    <t>-87.88</t>
  </si>
  <si>
    <t>-119.75</t>
  </si>
  <si>
    <t>-163.45</t>
  </si>
  <si>
    <t>-1.98</t>
  </si>
  <si>
    <t>216 280-3850</t>
  </si>
  <si>
    <t>11/10/2014</t>
  </si>
  <si>
    <t>440 334 0227</t>
  </si>
  <si>
    <t>8633   SCENICVIEW DR</t>
  </si>
  <si>
    <t>244140438</t>
  </si>
  <si>
    <t>-85.08</t>
  </si>
  <si>
    <t>01/25/2015</t>
  </si>
  <si>
    <t>149.69</t>
  </si>
  <si>
    <t>38.61</t>
  </si>
  <si>
    <t>440 334-0227</t>
  </si>
  <si>
    <t>07/01/2015</t>
  </si>
  <si>
    <t>12/14/2013</t>
  </si>
  <si>
    <t>440 915 9680</t>
  </si>
  <si>
    <t>9100  N CHURCH DR</t>
  </si>
  <si>
    <t xml:space="preserve">     B</t>
  </si>
  <si>
    <t>SABLKSHKS</t>
  </si>
  <si>
    <t>06/06/2015</t>
  </si>
  <si>
    <t>-126.41</t>
  </si>
  <si>
    <t>181.73</t>
  </si>
  <si>
    <t>142.99</t>
  </si>
  <si>
    <t>38.74</t>
  </si>
  <si>
    <t>440 915-9680</t>
  </si>
  <si>
    <t>06/11/2014</t>
  </si>
  <si>
    <t>216 482 1698</t>
  </si>
  <si>
    <t>5257   HAUSERMAN RD</t>
  </si>
  <si>
    <t xml:space="preserve">   213</t>
  </si>
  <si>
    <t>267228729</t>
  </si>
  <si>
    <t>-144.16</t>
  </si>
  <si>
    <t>-149.34</t>
  </si>
  <si>
    <t>03/11/2015</t>
  </si>
  <si>
    <t>-155.34</t>
  </si>
  <si>
    <t>524.53</t>
  </si>
  <si>
    <t>181.64</t>
  </si>
  <si>
    <t>184.17</t>
  </si>
  <si>
    <t>158.72</t>
  </si>
  <si>
    <t>216 482-1698</t>
  </si>
  <si>
    <t>216 848-1094</t>
  </si>
  <si>
    <t>216 256 2732</t>
  </si>
  <si>
    <t>1223   LAKELAND AVE</t>
  </si>
  <si>
    <t>SABRBPSNW</t>
  </si>
  <si>
    <t>-75.00</t>
  </si>
  <si>
    <t>455.67</t>
  </si>
  <si>
    <t>153.3</t>
  </si>
  <si>
    <t>153.29</t>
  </si>
  <si>
    <t>149.08</t>
  </si>
  <si>
    <t>216 256-2732</t>
  </si>
  <si>
    <t>216 319 6936</t>
  </si>
  <si>
    <t>14732   ATHENS AVE</t>
  </si>
  <si>
    <t>D484M13002591</t>
  </si>
  <si>
    <t>-5.00</t>
  </si>
  <si>
    <t>408</t>
  </si>
  <si>
    <t>140.07</t>
  </si>
  <si>
    <t>140.1</t>
  </si>
  <si>
    <t>127.83</t>
  </si>
  <si>
    <t>216 319-6936</t>
  </si>
  <si>
    <t>06/08/2006</t>
  </si>
  <si>
    <t>440 882 6254</t>
  </si>
  <si>
    <t>6747   GREENBRIAR DR</t>
  </si>
  <si>
    <t>6A5BMU47P215166</t>
  </si>
  <si>
    <t>-201.39</t>
  </si>
  <si>
    <t>-213.41</t>
  </si>
  <si>
    <t>-408.44</t>
  </si>
  <si>
    <t>632.61</t>
  </si>
  <si>
    <t>209.01</t>
  </si>
  <si>
    <t>231.34</t>
  </si>
  <si>
    <t>192.26</t>
  </si>
  <si>
    <t>2007-08-14 00:00:00</t>
  </si>
  <si>
    <t>440 882-6254</t>
  </si>
  <si>
    <t>216 385-0103</t>
  </si>
  <si>
    <t>08/16/2011</t>
  </si>
  <si>
    <t>937 903 7525</t>
  </si>
  <si>
    <t>9629   PLEASANT LAKE BLVD</t>
  </si>
  <si>
    <t xml:space="preserve">   Z15</t>
  </si>
  <si>
    <t>CSA830P</t>
  </si>
  <si>
    <t>SABLCZXFD</t>
  </si>
  <si>
    <t>-358.98</t>
  </si>
  <si>
    <t>-368.40</t>
  </si>
  <si>
    <t>-368.13</t>
  </si>
  <si>
    <t>439.83</t>
  </si>
  <si>
    <t>209.78</t>
  </si>
  <si>
    <t>230.05</t>
  </si>
  <si>
    <t>937 903-7525</t>
  </si>
  <si>
    <t>12/14/2014</t>
  </si>
  <si>
    <t>216 609 9526</t>
  </si>
  <si>
    <t>9505  N CHURCH DR</t>
  </si>
  <si>
    <t xml:space="preserve">   131</t>
  </si>
  <si>
    <t>[0HYTSS6JHTS3]</t>
  </si>
  <si>
    <t>-156.16</t>
  </si>
  <si>
    <t>-63.00</t>
  </si>
  <si>
    <t>307.64</t>
  </si>
  <si>
    <t>157.06</t>
  </si>
  <si>
    <t>150.58</t>
  </si>
  <si>
    <t>216 609-9526</t>
  </si>
  <si>
    <t>440 503 2175</t>
  </si>
  <si>
    <t>DC24M13003502</t>
  </si>
  <si>
    <t>-15.77</t>
  </si>
  <si>
    <t>-91.82</t>
  </si>
  <si>
    <t>446.11</t>
  </si>
  <si>
    <t>14.9</t>
  </si>
  <si>
    <t>171.52</t>
  </si>
  <si>
    <t>166.11</t>
  </si>
  <si>
    <t>108.48</t>
  </si>
  <si>
    <t>440 503-2175</t>
  </si>
  <si>
    <t>09/16/2013</t>
  </si>
  <si>
    <t>440 241 6522</t>
  </si>
  <si>
    <t>9656   PLEASANT LAKE BLVD</t>
  </si>
  <si>
    <t xml:space="preserve">   Y16</t>
  </si>
  <si>
    <t>SABWQFXSC</t>
  </si>
  <si>
    <t>-308.64</t>
  </si>
  <si>
    <t>-173.84</t>
  </si>
  <si>
    <t>-177.67</t>
  </si>
  <si>
    <t>273.22</t>
  </si>
  <si>
    <t>209.96</t>
  </si>
  <si>
    <t>63.26</t>
  </si>
  <si>
    <t>440 241-6522</t>
  </si>
  <si>
    <t>08/10/2010</t>
  </si>
  <si>
    <t>6145   CREEKHAVEN DR</t>
  </si>
  <si>
    <t>SABQDHKFD</t>
  </si>
  <si>
    <t>-147.32</t>
  </si>
  <si>
    <t>-155.55</t>
  </si>
  <si>
    <t>429.71</t>
  </si>
  <si>
    <t>134.51</t>
  </si>
  <si>
    <t>147.88</t>
  </si>
  <si>
    <t>147.32</t>
  </si>
  <si>
    <t>216 408-1525</t>
  </si>
  <si>
    <t>216 801 0282</t>
  </si>
  <si>
    <t xml:space="preserve">   602</t>
  </si>
  <si>
    <t>SACBXSLDJ</t>
  </si>
  <si>
    <t>-153.73</t>
  </si>
  <si>
    <t>-130.74</t>
  </si>
  <si>
    <t>-145.91</t>
  </si>
  <si>
    <t>179.1</t>
  </si>
  <si>
    <t>80</t>
  </si>
  <si>
    <t>216 801-0282</t>
  </si>
  <si>
    <t>216 889 3972</t>
  </si>
  <si>
    <t>5556   BROADVIEW RD</t>
  </si>
  <si>
    <t xml:space="preserve">  3218</t>
  </si>
  <si>
    <t>SABNNZQBG</t>
  </si>
  <si>
    <t>06/13/2015</t>
  </si>
  <si>
    <t>-88.00</t>
  </si>
  <si>
    <t>-81.89</t>
  </si>
  <si>
    <t>190.21</t>
  </si>
  <si>
    <t>110.61</t>
  </si>
  <si>
    <t>79.6</t>
  </si>
  <si>
    <t>216 889-3972</t>
  </si>
  <si>
    <t>315 560 4043</t>
  </si>
  <si>
    <t>11859   EDGEWATER DR</t>
  </si>
  <si>
    <t xml:space="preserve">   206</t>
  </si>
  <si>
    <t>3HW14AW501E7B</t>
  </si>
  <si>
    <t>-138.87</t>
  </si>
  <si>
    <t>-209.47</t>
  </si>
  <si>
    <t>392.71</t>
  </si>
  <si>
    <t>133.07</t>
  </si>
  <si>
    <t>133.06</t>
  </si>
  <si>
    <t>126.58</t>
  </si>
  <si>
    <t>315 560-4043</t>
  </si>
  <si>
    <t>12/18/2014</t>
  </si>
  <si>
    <t>216 379 6604</t>
  </si>
  <si>
    <t>1351   KENILWORTH AVE</t>
  </si>
  <si>
    <t>SABSWMQWQ</t>
  </si>
  <si>
    <t>-44.84</t>
  </si>
  <si>
    <t>-120.00</t>
  </si>
  <si>
    <t>122.71</t>
  </si>
  <si>
    <t>43.74</t>
  </si>
  <si>
    <t>78.97</t>
  </si>
  <si>
    <t>216 379-6604</t>
  </si>
  <si>
    <t>216 466 1341</t>
  </si>
  <si>
    <t>2209   LEWIS DR</t>
  </si>
  <si>
    <t>3H2149W80410C</t>
  </si>
  <si>
    <t>-126.83</t>
  </si>
  <si>
    <t>-134.72</t>
  </si>
  <si>
    <t>260.02</t>
  </si>
  <si>
    <t>133.19</t>
  </si>
  <si>
    <t>126.83</t>
  </si>
  <si>
    <t>216 466-1341</t>
  </si>
  <si>
    <t>10/13/2014</t>
  </si>
  <si>
    <t>440 574 1459</t>
  </si>
  <si>
    <t>1516  W ROYALTON RD</t>
  </si>
  <si>
    <t>SABNDDCJX</t>
  </si>
  <si>
    <t>-92.74</t>
  </si>
  <si>
    <t>191.84</t>
  </si>
  <si>
    <t>92.74</t>
  </si>
  <si>
    <t>440 574-1459</t>
  </si>
  <si>
    <t>02/12/2014</t>
  </si>
  <si>
    <t>216 509 6118</t>
  </si>
  <si>
    <t>1200   SENECA BLVD</t>
  </si>
  <si>
    <t>261340492</t>
  </si>
  <si>
    <t>-77.16</t>
  </si>
  <si>
    <t>-119.08</t>
  </si>
  <si>
    <t>02/02/2015</t>
  </si>
  <si>
    <t>-114.08</t>
  </si>
  <si>
    <t>184.62</t>
  </si>
  <si>
    <t>65.54</t>
  </si>
  <si>
    <t>59.54</t>
  </si>
  <si>
    <t>216 509-6118</t>
  </si>
  <si>
    <t>216 556 3097</t>
  </si>
  <si>
    <t>2040   ROBIN ST</t>
  </si>
  <si>
    <t>D9N4M13002289</t>
  </si>
  <si>
    <t>-175.36</t>
  </si>
  <si>
    <t>-170.72</t>
  </si>
  <si>
    <t>02/05/2015</t>
  </si>
  <si>
    <t>796.86</t>
  </si>
  <si>
    <t>511.98</t>
  </si>
  <si>
    <t>149.88</t>
  </si>
  <si>
    <t>132.85</t>
  </si>
  <si>
    <t>.56</t>
  </si>
  <si>
    <t>1.59</t>
  </si>
  <si>
    <t>216 556-3097</t>
  </si>
  <si>
    <t>01/24/2015</t>
  </si>
  <si>
    <t>216 213 6706</t>
  </si>
  <si>
    <t>812   TOLLIS PKWY</t>
  </si>
  <si>
    <t>260160327</t>
  </si>
  <si>
    <t>-54.54</t>
  </si>
  <si>
    <t>-58.97</t>
  </si>
  <si>
    <t>-201.41</t>
  </si>
  <si>
    <t>109.08</t>
  </si>
  <si>
    <t>54.54</t>
  </si>
  <si>
    <t>216 213-6706</t>
  </si>
  <si>
    <t>07/03/2015</t>
  </si>
  <si>
    <t>04/12/2013</t>
  </si>
  <si>
    <t>440 345 5253</t>
  </si>
  <si>
    <t>5935   PEARL RD</t>
  </si>
  <si>
    <t>236991819</t>
  </si>
  <si>
    <t>-218.22</t>
  </si>
  <si>
    <t>-166.77</t>
  </si>
  <si>
    <t>-213.22</t>
  </si>
  <si>
    <t>629.49</t>
  </si>
  <si>
    <t>209.39</t>
  </si>
  <si>
    <t>224.25</t>
  </si>
  <si>
    <t>195.85</t>
  </si>
  <si>
    <t>440 345-5253</t>
  </si>
  <si>
    <t>440 263-2217</t>
  </si>
  <si>
    <t>11/18/2014</t>
  </si>
  <si>
    <t>216 905 1487</t>
  </si>
  <si>
    <t>17033   MADISON AVE</t>
  </si>
  <si>
    <t xml:space="preserve">   107</t>
  </si>
  <si>
    <t>18</t>
  </si>
  <si>
    <t>-165.98</t>
  </si>
  <si>
    <t>-160.32</t>
  </si>
  <si>
    <t>172.09</t>
  </si>
  <si>
    <t>86.11</t>
  </si>
  <si>
    <t>85.98</t>
  </si>
  <si>
    <t>216 905-1487</t>
  </si>
  <si>
    <t>216 482 1334</t>
  </si>
  <si>
    <t>5257   KNOLLWOOD DR</t>
  </si>
  <si>
    <t>RARM760</t>
  </si>
  <si>
    <t>[D8DBUB344255020]</t>
  </si>
  <si>
    <t>-341.33</t>
  </si>
  <si>
    <t>684.71</t>
  </si>
  <si>
    <t>210.42</t>
  </si>
  <si>
    <t>474.29</t>
  </si>
  <si>
    <t>2015-05-18 00:00:00</t>
  </si>
  <si>
    <t>216 482-1334</t>
  </si>
  <si>
    <t>01/09/2015</t>
  </si>
  <si>
    <t>216 703 4701</t>
  </si>
  <si>
    <t>14555   MADISON AVE</t>
  </si>
  <si>
    <t xml:space="preserve">   610</t>
  </si>
  <si>
    <t>GSH9865</t>
  </si>
  <si>
    <t>SACGRHLMC</t>
  </si>
  <si>
    <t>-157.31</t>
  </si>
  <si>
    <t>-142.82</t>
  </si>
  <si>
    <t>-137.58</t>
  </si>
  <si>
    <t>537.55</t>
  </si>
  <si>
    <t>138.31</t>
  </si>
  <si>
    <t>141.44</t>
  </si>
  <si>
    <t>257.8</t>
  </si>
  <si>
    <t>216 703-4701</t>
  </si>
  <si>
    <t>216 338 5712</t>
  </si>
  <si>
    <t>1419   ROYCROFT AVE</t>
  </si>
  <si>
    <t>SABRRKTZG</t>
  </si>
  <si>
    <t>-60.57</t>
  </si>
  <si>
    <t>-122.37</t>
  </si>
  <si>
    <t>189.48</t>
  </si>
  <si>
    <t>5.36</t>
  </si>
  <si>
    <t>87.16</t>
  </si>
  <si>
    <t>96.96</t>
  </si>
  <si>
    <t>216 338-5712</t>
  </si>
  <si>
    <t>01/14/2013</t>
  </si>
  <si>
    <t>440 882 6535</t>
  </si>
  <si>
    <t>7102   WESTLAKE AVE</t>
  </si>
  <si>
    <t>[QBAJ1B8008147]</t>
  </si>
  <si>
    <t>-172.86</t>
  </si>
  <si>
    <t>-188.69</t>
  </si>
  <si>
    <t>-199.00</t>
  </si>
  <si>
    <t>410.62</t>
  </si>
  <si>
    <t>216.64</t>
  </si>
  <si>
    <t>193.98</t>
  </si>
  <si>
    <t>440 882-6535</t>
  </si>
  <si>
    <t>440 523-1654</t>
  </si>
  <si>
    <t>216 370 0486</t>
  </si>
  <si>
    <t>11480   CHEYENNE TRL</t>
  </si>
  <si>
    <t>0KKM1G8XFLC5</t>
  </si>
  <si>
    <t>-91.17</t>
  </si>
  <si>
    <t>-118.86</t>
  </si>
  <si>
    <t>405.75</t>
  </si>
  <si>
    <t>137.33</t>
  </si>
  <si>
    <t>124.94</t>
  </si>
  <si>
    <t>142.77</t>
  </si>
  <si>
    <t>.71</t>
  </si>
  <si>
    <t>216 370-0486</t>
  </si>
  <si>
    <t>1327   BONNIEVIEW AVE</t>
  </si>
  <si>
    <t>[3U81495X0AC63]</t>
  </si>
  <si>
    <t>-177.65</t>
  </si>
  <si>
    <t>310.82</t>
  </si>
  <si>
    <t>174.91</t>
  </si>
  <si>
    <t>135.91</t>
  </si>
  <si>
    <t>440 855 5059</t>
  </si>
  <si>
    <t>6035   COMMANCHE CT</t>
  </si>
  <si>
    <t xml:space="preserve">     G</t>
  </si>
  <si>
    <t>DCJ4M13004973</t>
  </si>
  <si>
    <t>-237.81</t>
  </si>
  <si>
    <t>-244.53</t>
  </si>
  <si>
    <t>541.26</t>
  </si>
  <si>
    <t>-24.43</t>
  </si>
  <si>
    <t>204.9</t>
  </si>
  <si>
    <t>211.13</t>
  </si>
  <si>
    <t>149.66</t>
  </si>
  <si>
    <t>440 855-5059</t>
  </si>
  <si>
    <t>10/09/2014</t>
  </si>
  <si>
    <t>216 314 4600</t>
  </si>
  <si>
    <t>D754M13000098</t>
  </si>
  <si>
    <t>-140.00</t>
  </si>
  <si>
    <t>-186.00</t>
  </si>
  <si>
    <t>396.21</t>
  </si>
  <si>
    <t>178.93</t>
  </si>
  <si>
    <t>178.96</t>
  </si>
  <si>
    <t>38.32</t>
  </si>
  <si>
    <t>216 314-4600</t>
  </si>
  <si>
    <t>440 731 5395</t>
  </si>
  <si>
    <t>5901   WILBER AVE</t>
  </si>
  <si>
    <t>3HW14AWV01BB3</t>
  </si>
  <si>
    <t>-25.00</t>
  </si>
  <si>
    <t>144.21</t>
  </si>
  <si>
    <t>64.67</t>
  </si>
  <si>
    <t>440 731-5395</t>
  </si>
  <si>
    <t>03/10/2015</t>
  </si>
  <si>
    <t>216 392 8753</t>
  </si>
  <si>
    <t>1303   COVE AVE</t>
  </si>
  <si>
    <t>SABNVCVLL</t>
  </si>
  <si>
    <t>794</t>
  </si>
  <si>
    <t>-97.00</t>
  </si>
  <si>
    <t>-175.24</t>
  </si>
  <si>
    <t>623.2</t>
  </si>
  <si>
    <t>189.96</t>
  </si>
  <si>
    <t>237.91</t>
  </si>
  <si>
    <t>195.33</t>
  </si>
  <si>
    <t>216 392-8753</t>
  </si>
  <si>
    <t>216 269-3016</t>
  </si>
  <si>
    <t>216 801 4411</t>
  </si>
  <si>
    <t>1277   COVE AVE</t>
  </si>
  <si>
    <t xml:space="preserve">   108</t>
  </si>
  <si>
    <t>E124M13002826</t>
  </si>
  <si>
    <t>-255.99</t>
  </si>
  <si>
    <t>409.02</t>
  </si>
  <si>
    <t>169.1</t>
  </si>
  <si>
    <t>239.92</t>
  </si>
  <si>
    <t>216 801-4411</t>
  </si>
  <si>
    <t>216 703-2151</t>
  </si>
  <si>
    <t>216 227 2875</t>
  </si>
  <si>
    <t>11810   LAKE AVE</t>
  </si>
  <si>
    <t>SABLLPQDS</t>
  </si>
  <si>
    <t>405.04</t>
  </si>
  <si>
    <t>137.26</t>
  </si>
  <si>
    <t>137.25</t>
  </si>
  <si>
    <t>216 227-2875</t>
  </si>
  <si>
    <t>216 538-0263</t>
  </si>
  <si>
    <t>12/11/1997</t>
  </si>
  <si>
    <t>216 524 2948</t>
  </si>
  <si>
    <t>967  E DECKER DR</t>
  </si>
  <si>
    <t>SABQVZMJX</t>
  </si>
  <si>
    <t>-313.87</t>
  </si>
  <si>
    <t>-153.90</t>
  </si>
  <si>
    <t>476.77</t>
  </si>
  <si>
    <t>161.38</t>
  </si>
  <si>
    <t>161.42</t>
  </si>
  <si>
    <t>153.97</t>
  </si>
  <si>
    <t>216 524-2948</t>
  </si>
  <si>
    <t>440 845-6000</t>
  </si>
  <si>
    <t>440 454 3400</t>
  </si>
  <si>
    <t>3540  W 210TH ST</t>
  </si>
  <si>
    <t>06/10/2015</t>
  </si>
  <si>
    <t>-92.98</t>
  </si>
  <si>
    <t>-86.98</t>
  </si>
  <si>
    <t>189.62</t>
  </si>
  <si>
    <t>93.66</t>
  </si>
  <si>
    <t>95.96</t>
  </si>
  <si>
    <t>440 454-3400</t>
  </si>
  <si>
    <t>01/17/2014</t>
  </si>
  <si>
    <t>440 523 8968</t>
  </si>
  <si>
    <t>12506   EDGEWATER DR</t>
  </si>
  <si>
    <t xml:space="preserve">   905</t>
  </si>
  <si>
    <t>SABKPGCLS</t>
  </si>
  <si>
    <t>-301.00</t>
  </si>
  <si>
    <t>-141.46</t>
  </si>
  <si>
    <t>-289.00</t>
  </si>
  <si>
    <t>306.29</t>
  </si>
  <si>
    <t>157.44</t>
  </si>
  <si>
    <t>148.85</t>
  </si>
  <si>
    <t>440 523-8968</t>
  </si>
  <si>
    <t>07/05/2015</t>
  </si>
  <si>
    <t>09/18/2009</t>
  </si>
  <si>
    <t>216 265 7870</t>
  </si>
  <si>
    <t>6024   POMONA DR</t>
  </si>
  <si>
    <t>[QBAJ1B8001669]</t>
  </si>
  <si>
    <t>-115.46</t>
  </si>
  <si>
    <t>-57.69</t>
  </si>
  <si>
    <t>12/24/2014</t>
  </si>
  <si>
    <t>290.25</t>
  </si>
  <si>
    <t>165.98</t>
  </si>
  <si>
    <t>63.81</t>
  </si>
  <si>
    <t>45.47</t>
  </si>
  <si>
    <t>14.99</t>
  </si>
  <si>
    <t>216 265-7870</t>
  </si>
  <si>
    <t>216 391-5065</t>
  </si>
  <si>
    <t>216 392-5058</t>
  </si>
  <si>
    <t>08/13/2013</t>
  </si>
  <si>
    <t>567 250 0373</t>
  </si>
  <si>
    <t>2825   FORESTVIEW AVE</t>
  </si>
  <si>
    <t>SACBJZXRT</t>
  </si>
  <si>
    <t>-124.54</t>
  </si>
  <si>
    <t>-124.49</t>
  </si>
  <si>
    <t>-130.66</t>
  </si>
  <si>
    <t>259.44</t>
  </si>
  <si>
    <t>131.59</t>
  </si>
  <si>
    <t>127.85</t>
  </si>
  <si>
    <t>567 250-0373</t>
  </si>
  <si>
    <t>06/19/2014</t>
  </si>
  <si>
    <t>216 773 8300</t>
  </si>
  <si>
    <t>1581   NEWMAN AVE</t>
  </si>
  <si>
    <t>DSA3925</t>
  </si>
  <si>
    <t>261919585</t>
  </si>
  <si>
    <t>-134.81</t>
  </si>
  <si>
    <t>03/01/2015</t>
  </si>
  <si>
    <t>153.08</t>
  </si>
  <si>
    <t>2014-12-17 00:00:00</t>
  </si>
  <si>
    <t>216 773-8300</t>
  </si>
  <si>
    <t>04/10/2014</t>
  </si>
  <si>
    <t>440 842 4721</t>
  </si>
  <si>
    <t>4302   FORESTWOOD DR</t>
  </si>
  <si>
    <t>237006880</t>
  </si>
  <si>
    <t>-320.69</t>
  </si>
  <si>
    <t>-323.00</t>
  </si>
  <si>
    <t>-322.00</t>
  </si>
  <si>
    <t>1406.75</t>
  </si>
  <si>
    <t>503.06</t>
  </si>
  <si>
    <t>275.57</t>
  </si>
  <si>
    <t>628.12</t>
  </si>
  <si>
    <t>2015-06-29 00:00:00</t>
  </si>
  <si>
    <t>440 842-4721</t>
  </si>
  <si>
    <t>216 315-6364</t>
  </si>
  <si>
    <t>04/11/1998</t>
  </si>
  <si>
    <t>216 303 3183</t>
  </si>
  <si>
    <t>6157   WAREHAM DR</t>
  </si>
  <si>
    <t>DTER715</t>
  </si>
  <si>
    <t>[401500202169]</t>
  </si>
  <si>
    <t>364.47</t>
  </si>
  <si>
    <t>132.89</t>
  </si>
  <si>
    <t>132.88</t>
  </si>
  <si>
    <t>98.7</t>
  </si>
  <si>
    <t>216 303-3183</t>
  </si>
  <si>
    <t>216 337 5365</t>
  </si>
  <si>
    <t>5440   BROADVIEW RD</t>
  </si>
  <si>
    <t>3H214BWH040EE</t>
  </si>
  <si>
    <t>128.16</t>
  </si>
  <si>
    <t>65.77</t>
  </si>
  <si>
    <t>62.39</t>
  </si>
  <si>
    <t>216 337-5365</t>
  </si>
  <si>
    <t>12/16/2013</t>
  </si>
  <si>
    <t>216 203 6802</t>
  </si>
  <si>
    <t>3414   CENTER DR</t>
  </si>
  <si>
    <t>236756858</t>
  </si>
  <si>
    <t>06/08/2015</t>
  </si>
  <si>
    <t>-190.78</t>
  </si>
  <si>
    <t>-213.38</t>
  </si>
  <si>
    <t>630.56</t>
  </si>
  <si>
    <t>213.96</t>
  </si>
  <si>
    <t>391.6</t>
  </si>
  <si>
    <t>216 203-6802</t>
  </si>
  <si>
    <t>06/30/2014</t>
  </si>
  <si>
    <t>410 935 9936</t>
  </si>
  <si>
    <t>7660   BROADVIEW RD</t>
  </si>
  <si>
    <t xml:space="preserve">   323</t>
  </si>
  <si>
    <t>236996858</t>
  </si>
  <si>
    <t>-471.96</t>
  </si>
  <si>
    <t>-227.21</t>
  </si>
  <si>
    <t>1001.6</t>
  </si>
  <si>
    <t>283.33</t>
  </si>
  <si>
    <t>718.27</t>
  </si>
  <si>
    <t>2015-06-01 00:00:00</t>
  </si>
  <si>
    <t>410 935-9936</t>
  </si>
  <si>
    <t>216 507 5672</t>
  </si>
  <si>
    <t>DA94F23000913</t>
  </si>
  <si>
    <t>-66.77</t>
  </si>
  <si>
    <t>-60.77</t>
  </si>
  <si>
    <t>-65.57</t>
  </si>
  <si>
    <t>135.31</t>
  </si>
  <si>
    <t>86.78</t>
  </si>
  <si>
    <t>48.53</t>
  </si>
  <si>
    <t>216 507-5672</t>
  </si>
  <si>
    <t>01/19/2013</t>
  </si>
  <si>
    <t>440 773 4472</t>
  </si>
  <si>
    <t>28   CARL LN</t>
  </si>
  <si>
    <t>-40.00</t>
  </si>
  <si>
    <t>138.23</t>
  </si>
  <si>
    <t>69.33</t>
  </si>
  <si>
    <t>68.9</t>
  </si>
  <si>
    <t>440 773-4472</t>
  </si>
  <si>
    <t>419 494 3170</t>
  </si>
  <si>
    <t>10256   INDEPENDENCE BLVD</t>
  </si>
  <si>
    <t xml:space="preserve">    12</t>
  </si>
  <si>
    <t>[379781431500305807020006]</t>
  </si>
  <si>
    <t>06/19/2015</t>
  </si>
  <si>
    <t>-49.99</t>
  </si>
  <si>
    <t>74.98</t>
  </si>
  <si>
    <t>24.99</t>
  </si>
  <si>
    <t>419 494-3170</t>
  </si>
  <si>
    <t>07/12/2014</t>
  </si>
  <si>
    <t>216 551 8244</t>
  </si>
  <si>
    <t>6400   KINGSDALE BLVD</t>
  </si>
  <si>
    <t xml:space="preserve">   203</t>
  </si>
  <si>
    <t>SACBSXSJN</t>
  </si>
  <si>
    <t>06/18/2015</t>
  </si>
  <si>
    <t>-116.11</t>
  </si>
  <si>
    <t>-340.10</t>
  </si>
  <si>
    <t>-147.42</t>
  </si>
  <si>
    <t>734.49</t>
  </si>
  <si>
    <t>204.57</t>
  </si>
  <si>
    <t>189.82</t>
  </si>
  <si>
    <t>340.1</t>
  </si>
  <si>
    <t>216 551-8244</t>
  </si>
  <si>
    <t>440 341-1170</t>
  </si>
  <si>
    <t>440 848 5400</t>
  </si>
  <si>
    <t>2203  W SPRAGUE RD</t>
  </si>
  <si>
    <t>RGI6141</t>
  </si>
  <si>
    <t>[0M16S9N0RNZ1]</t>
  </si>
  <si>
    <t>05/20/2015</t>
  </si>
  <si>
    <t>-201.78</t>
  </si>
  <si>
    <t>-113.75</t>
  </si>
  <si>
    <t>131.98</t>
  </si>
  <si>
    <t>440 848-5400</t>
  </si>
  <si>
    <t>12/26/2014</t>
  </si>
  <si>
    <t>11573  E HUFFMAN RD</t>
  </si>
  <si>
    <t xml:space="preserve">   A10</t>
  </si>
  <si>
    <t>SABHNFCZF</t>
  </si>
  <si>
    <t>-253.00</t>
  </si>
  <si>
    <t>-143.37</t>
  </si>
  <si>
    <t>127.96</t>
  </si>
  <si>
    <t>22.28</t>
  </si>
  <si>
    <t>105.68</t>
  </si>
  <si>
    <t>216 233-1584</t>
  </si>
  <si>
    <t>216 324-3432</t>
  </si>
  <si>
    <t>12/17/2014</t>
  </si>
  <si>
    <t>330 631 4100</t>
  </si>
  <si>
    <t>16805   HILLIARD RD</t>
  </si>
  <si>
    <t>SACBMGFPT</t>
  </si>
  <si>
    <t>-117.72</t>
  </si>
  <si>
    <t>-140.20</t>
  </si>
  <si>
    <t>-89.07</t>
  </si>
  <si>
    <t>224.92</t>
  </si>
  <si>
    <t>22.72</t>
  </si>
  <si>
    <t>125.1</t>
  </si>
  <si>
    <t>77.1</t>
  </si>
  <si>
    <t>330 631-4100</t>
  </si>
  <si>
    <t>440 429 1313</t>
  </si>
  <si>
    <t>4419   MILFORD AVE</t>
  </si>
  <si>
    <t>SABKWQVDB</t>
  </si>
  <si>
    <t>147.64</t>
  </si>
  <si>
    <t>51.34</t>
  </si>
  <si>
    <t>51.33</t>
  </si>
  <si>
    <t>44.97</t>
  </si>
  <si>
    <t>440 429-1313</t>
  </si>
  <si>
    <t>440 342-1075</t>
  </si>
  <si>
    <t>02/15/2007</t>
  </si>
  <si>
    <t>440 310 6655</t>
  </si>
  <si>
    <t>6942   OAKWOOD RD</t>
  </si>
  <si>
    <t>[07WB0FLS3570]</t>
  </si>
  <si>
    <t>-117.96</t>
  </si>
  <si>
    <t>-107.96</t>
  </si>
  <si>
    <t>82.82</t>
  </si>
  <si>
    <t>41.59</t>
  </si>
  <si>
    <t>41.23</t>
  </si>
  <si>
    <t>440 310-6655</t>
  </si>
  <si>
    <t>08/23/2013</t>
  </si>
  <si>
    <t>440 570 6755</t>
  </si>
  <si>
    <t>6404   MARIANA DR</t>
  </si>
  <si>
    <t>SABSQKFGL</t>
  </si>
  <si>
    <t>-408.00</t>
  </si>
  <si>
    <t>-196.05</t>
  </si>
  <si>
    <t>-194.00</t>
  </si>
  <si>
    <t>849.5</t>
  </si>
  <si>
    <t>232.32</t>
  </si>
  <si>
    <t>617.18</t>
  </si>
  <si>
    <t>2015-06-09 00:00:00</t>
  </si>
  <si>
    <t>440 570-6755</t>
  </si>
  <si>
    <t>440 532-0690</t>
  </si>
  <si>
    <t>440 334 6464</t>
  </si>
  <si>
    <t>7502   LIBERTY AVE</t>
  </si>
  <si>
    <t>[0M16SB33CKJ3]</t>
  </si>
  <si>
    <t>-295.47</t>
  </si>
  <si>
    <t>462.16</t>
  </si>
  <si>
    <t>172.13</t>
  </si>
  <si>
    <t>175.2</t>
  </si>
  <si>
    <t>114.83</t>
  </si>
  <si>
    <t>440 334-6464</t>
  </si>
  <si>
    <t>11/05/2014</t>
  </si>
  <si>
    <t>440 887 6486</t>
  </si>
  <si>
    <t>8007   JAMESON RD</t>
  </si>
  <si>
    <t>SACBLSWZW</t>
  </si>
  <si>
    <t>06/20/2015</t>
  </si>
  <si>
    <t>-261.15</t>
  </si>
  <si>
    <t>-110.00</t>
  </si>
  <si>
    <t>-51.92</t>
  </si>
  <si>
    <t>339.69</t>
  </si>
  <si>
    <t>100.32</t>
  </si>
  <si>
    <t>239.37</t>
  </si>
  <si>
    <t>2015-06-24 00:00:00</t>
  </si>
  <si>
    <t>440 887-6486</t>
  </si>
  <si>
    <t>216 801 0093</t>
  </si>
  <si>
    <t>1510   NEWMAN AVE</t>
  </si>
  <si>
    <t xml:space="preserve">   208</t>
  </si>
  <si>
    <t>3HW14AW201DA5</t>
  </si>
  <si>
    <t>-102.58</t>
  </si>
  <si>
    <t>258.88</t>
  </si>
  <si>
    <t>155.76</t>
  </si>
  <si>
    <t>103.12</t>
  </si>
  <si>
    <t>216 801-0093</t>
  </si>
  <si>
    <t>216 319 6693</t>
  </si>
  <si>
    <t>12228   CLIFTON BLVD</t>
  </si>
  <si>
    <t xml:space="preserve">    16</t>
  </si>
  <si>
    <t>D8H4D31003458</t>
  </si>
  <si>
    <t>203.79</t>
  </si>
  <si>
    <t>96.07</t>
  </si>
  <si>
    <t>107.72</t>
  </si>
  <si>
    <t>216 319-6693</t>
  </si>
  <si>
    <t>10/15/2013</t>
  </si>
  <si>
    <t>440 539 7133</t>
  </si>
  <si>
    <t>6630   STATE RD</t>
  </si>
  <si>
    <t xml:space="preserve">   327</t>
  </si>
  <si>
    <t>235561186</t>
  </si>
  <si>
    <t>12/23/2014</t>
  </si>
  <si>
    <t>-137.08</t>
  </si>
  <si>
    <t>147.08</t>
  </si>
  <si>
    <t>440 539-7133</t>
  </si>
  <si>
    <t>2212   GRANTWOOD DR</t>
  </si>
  <si>
    <t>-243.96</t>
  </si>
  <si>
    <t>-73.69</t>
  </si>
  <si>
    <t>168.19</t>
  </si>
  <si>
    <t>82.08</t>
  </si>
  <si>
    <t>216 398-5468</t>
  </si>
  <si>
    <t>20847   BELVIDERE AVE</t>
  </si>
  <si>
    <t>DC24M13003876</t>
  </si>
  <si>
    <t>-495.05</t>
  </si>
  <si>
    <t>-300.14</t>
  </si>
  <si>
    <t>696.94</t>
  </si>
  <si>
    <t>208.93</t>
  </si>
  <si>
    <t>488.01</t>
  </si>
  <si>
    <t>2015-06-30 00:00:00</t>
  </si>
  <si>
    <t>216 804-4037</t>
  </si>
  <si>
    <t>496.16</t>
  </si>
  <si>
    <t>170.64</t>
  </si>
  <si>
    <t>478.88</t>
  </si>
  <si>
    <t>154.33</t>
  </si>
  <si>
    <t>170.19</t>
  </si>
  <si>
    <t>323.17</t>
  </si>
  <si>
    <t>113.96</t>
  </si>
  <si>
    <t>12/27/1997</t>
  </si>
  <si>
    <t>216 521 1527</t>
  </si>
  <si>
    <t xml:space="preserve">   403</t>
  </si>
  <si>
    <t>SABJXTPZN</t>
  </si>
  <si>
    <t>-78.70</t>
  </si>
  <si>
    <t>-143.31</t>
  </si>
  <si>
    <t>02/22/2015</t>
  </si>
  <si>
    <t>-227.01</t>
  </si>
  <si>
    <t>174.53</t>
  </si>
  <si>
    <t>60.52</t>
  </si>
  <si>
    <t>60.57</t>
  </si>
  <si>
    <t>53.44</t>
  </si>
  <si>
    <t>216 521-1527</t>
  </si>
  <si>
    <t>216 622-8547</t>
  </si>
  <si>
    <t>07/09/2015</t>
  </si>
  <si>
    <t>6291826</t>
  </si>
  <si>
    <t>10052814</t>
  </si>
  <si>
    <t>AMANDA SCHMITZ</t>
  </si>
  <si>
    <t>10/22/2014</t>
  </si>
  <si>
    <t>440 823 2490</t>
  </si>
  <si>
    <t>9627   FERNWOOD DR</t>
  </si>
  <si>
    <t xml:space="preserve">  J220</t>
  </si>
  <si>
    <t>D754M13000831</t>
  </si>
  <si>
    <t>22</t>
  </si>
  <si>
    <t>-119.13</t>
  </si>
  <si>
    <t>-284.51</t>
  </si>
  <si>
    <t>-148.43</t>
  </si>
  <si>
    <t>269.81</t>
  </si>
  <si>
    <t>44.78</t>
  </si>
  <si>
    <t>144.6</t>
  </si>
  <si>
    <t>80.43</t>
  </si>
  <si>
    <t>440 823-2490</t>
  </si>
  <si>
    <t>07/13/2015</t>
  </si>
  <si>
    <t>6295162</t>
  </si>
  <si>
    <t>2085206</t>
  </si>
  <si>
    <t>SARAH MINCEY</t>
  </si>
  <si>
    <t>12/27/2013</t>
  </si>
  <si>
    <t>216 630 0888</t>
  </si>
  <si>
    <t>1639   BUNTS RD</t>
  </si>
  <si>
    <t>0LRJ1M8NNZM8</t>
  </si>
  <si>
    <t>07/20/2015</t>
  </si>
  <si>
    <t>-32.00</t>
  </si>
  <si>
    <t>-30.56</t>
  </si>
  <si>
    <t>-63.53</t>
  </si>
  <si>
    <t>33.2</t>
  </si>
  <si>
    <t>13.2</t>
  </si>
  <si>
    <t>216 630-0888</t>
  </si>
  <si>
    <t>07/11/2015</t>
  </si>
  <si>
    <t>6293517</t>
  </si>
  <si>
    <t>6265821</t>
  </si>
  <si>
    <t>4325410</t>
  </si>
  <si>
    <t>ALICE COLON</t>
  </si>
  <si>
    <t>216 801 5413</t>
  </si>
  <si>
    <t>8202   NEWPORT AVE</t>
  </si>
  <si>
    <t>3CC2455E04EBB</t>
  </si>
  <si>
    <t>-290.46</t>
  </si>
  <si>
    <t>-141.39</t>
  </si>
  <si>
    <t>828.5</t>
  </si>
  <si>
    <t>328.07</t>
  </si>
  <si>
    <t>209.97</t>
  </si>
  <si>
    <t>290.46</t>
  </si>
  <si>
    <t>2015-07-01 00:00:00</t>
  </si>
  <si>
    <t>216 801-5413</t>
  </si>
  <si>
    <t>6265823</t>
  </si>
  <si>
    <t>4571607</t>
  </si>
  <si>
    <t>JOVONATE CUMMINGS</t>
  </si>
  <si>
    <t>12/31/2014</t>
  </si>
  <si>
    <t>216 618 1983</t>
  </si>
  <si>
    <t>7619   ESSEN AVE</t>
  </si>
  <si>
    <t>3U81495W07F73</t>
  </si>
  <si>
    <t>-354.08</t>
  </si>
  <si>
    <t>-192.00</t>
  </si>
  <si>
    <t>521.29</t>
  </si>
  <si>
    <t>84.93</t>
  </si>
  <si>
    <t>244.29</t>
  </si>
  <si>
    <t>192.07</t>
  </si>
  <si>
    <t>2015-06-03 00:00:00</t>
  </si>
  <si>
    <t>216 618-1983</t>
  </si>
  <si>
    <t>6265825</t>
  </si>
  <si>
    <t>4808305</t>
  </si>
  <si>
    <t>DAVID LEWANDOWSKI</t>
  </si>
  <si>
    <t>04/21/2012</t>
  </si>
  <si>
    <t>17545   MADISON AVE</t>
  </si>
  <si>
    <t xml:space="preserve">   104</t>
  </si>
  <si>
    <t>SACBLZBCD</t>
  </si>
  <si>
    <t>-226.56</t>
  </si>
  <si>
    <t>-216.63</t>
  </si>
  <si>
    <t>-231.80</t>
  </si>
  <si>
    <t>643.52</t>
  </si>
  <si>
    <t>209.54</t>
  </si>
  <si>
    <t>233.07</t>
  </si>
  <si>
    <t>200.91</t>
  </si>
  <si>
    <t>419 356-1398</t>
  </si>
  <si>
    <t>6265832</t>
  </si>
  <si>
    <t>6033614</t>
  </si>
  <si>
    <t>DAMIEN DUDLEY</t>
  </si>
  <si>
    <t>08/16/2014</t>
  </si>
  <si>
    <t>216 931 6494</t>
  </si>
  <si>
    <t>5320   KNOLLWOOD DR</t>
  </si>
  <si>
    <t>3HW144WL01F55</t>
  </si>
  <si>
    <t>-118.79</t>
  </si>
  <si>
    <t>427.58</t>
  </si>
  <si>
    <t>119.28</t>
  </si>
  <si>
    <t>142</t>
  </si>
  <si>
    <t>118.79</t>
  </si>
  <si>
    <t>47.51</t>
  </si>
  <si>
    <t>216 931-6494</t>
  </si>
  <si>
    <t>6265841</t>
  </si>
  <si>
    <t>9094506</t>
  </si>
  <si>
    <t>RB WINSTON</t>
  </si>
  <si>
    <t>216 407 2382</t>
  </si>
  <si>
    <t>5880   STATE RD</t>
  </si>
  <si>
    <t>SABTRZTLL</t>
  </si>
  <si>
    <t>-149.53</t>
  </si>
  <si>
    <t>-86.38</t>
  </si>
  <si>
    <t>450.08</t>
  </si>
  <si>
    <t>145.78</t>
  </si>
  <si>
    <t>168.47</t>
  </si>
  <si>
    <t>135.83</t>
  </si>
  <si>
    <t>216 407-2382</t>
  </si>
  <si>
    <t>6265859</t>
  </si>
  <si>
    <t>12291606</t>
  </si>
  <si>
    <t>LARRY WEISS</t>
  </si>
  <si>
    <t>04/14/2006</t>
  </si>
  <si>
    <t>216 926 3816</t>
  </si>
  <si>
    <t>20077   LORAIN RD</t>
  </si>
  <si>
    <t>RGI5120</t>
  </si>
  <si>
    <t>[204756954]</t>
  </si>
  <si>
    <t>-36.98</t>
  </si>
  <si>
    <t>203.97</t>
  </si>
  <si>
    <t>216 926-3816</t>
  </si>
  <si>
    <t>6265860</t>
  </si>
  <si>
    <t>12575010</t>
  </si>
  <si>
    <t>SHIRLEY A PROFITT</t>
  </si>
  <si>
    <t>03/17/2014</t>
  </si>
  <si>
    <t>216 630 2865</t>
  </si>
  <si>
    <t xml:space="preserve">   Z12</t>
  </si>
  <si>
    <t>SABQSQSJW</t>
  </si>
  <si>
    <t>-175.00</t>
  </si>
  <si>
    <t>361.23</t>
  </si>
  <si>
    <t>115.3</t>
  </si>
  <si>
    <t>135.47</t>
  </si>
  <si>
    <t>110.46</t>
  </si>
  <si>
    <t>216 630-2865</t>
  </si>
  <si>
    <t>6265861</t>
  </si>
  <si>
    <t>21578607</t>
  </si>
  <si>
    <t>James Sneed</t>
  </si>
  <si>
    <t>02/25/2015</t>
  </si>
  <si>
    <t>216 816 4040</t>
  </si>
  <si>
    <t>11491  E HUFFMAN RD</t>
  </si>
  <si>
    <t>SABRPQNGG</t>
  </si>
  <si>
    <t>786</t>
  </si>
  <si>
    <t>-282.02</t>
  </si>
  <si>
    <t>-141.05</t>
  </si>
  <si>
    <t>-130.97</t>
  </si>
  <si>
    <t>508.97</t>
  </si>
  <si>
    <t>47.28</t>
  </si>
  <si>
    <t>179.67</t>
  </si>
  <si>
    <t>282.02</t>
  </si>
  <si>
    <t>2015-07-02 00:00:00</t>
  </si>
  <si>
    <t>216 816-4040</t>
  </si>
  <si>
    <t>6265865</t>
  </si>
  <si>
    <t>22767808</t>
  </si>
  <si>
    <t>KANDANCE L GRAVES</t>
  </si>
  <si>
    <t>216 214 3269</t>
  </si>
  <si>
    <t>11535   CHEYENNE TRL</t>
  </si>
  <si>
    <t>DAH4M13003479</t>
  </si>
  <si>
    <t>-120.98</t>
  </si>
  <si>
    <t>198.1</t>
  </si>
  <si>
    <t>70.35</t>
  </si>
  <si>
    <t>64.39</t>
  </si>
  <si>
    <t>63.36</t>
  </si>
  <si>
    <t>216 214-3269</t>
  </si>
  <si>
    <t>6265867</t>
  </si>
  <si>
    <t>23409510</t>
  </si>
  <si>
    <t>HATTAN KHAYAT</t>
  </si>
  <si>
    <t>08/21/2014</t>
  </si>
  <si>
    <t>216 466 1658</t>
  </si>
  <si>
    <t>6871   AMES RD</t>
  </si>
  <si>
    <t xml:space="preserve">   611</t>
  </si>
  <si>
    <t>0N5Z6DR4K807</t>
  </si>
  <si>
    <t>01/11/2015</t>
  </si>
  <si>
    <t>-186.34</t>
  </si>
  <si>
    <t>129.34</t>
  </si>
  <si>
    <t>45.99</t>
  </si>
  <si>
    <t>39.99</t>
  </si>
  <si>
    <t>43.36</t>
  </si>
  <si>
    <t>216 466-1658</t>
  </si>
  <si>
    <t>6265871</t>
  </si>
  <si>
    <t>23616707</t>
  </si>
  <si>
    <t>TIFFANY PEAKE</t>
  </si>
  <si>
    <t>05/04/2011</t>
  </si>
  <si>
    <t>216 256 8830</t>
  </si>
  <si>
    <t>9235  N CHURCH DR</t>
  </si>
  <si>
    <t>SABVCPKPC</t>
  </si>
  <si>
    <t>06/22/2015</t>
  </si>
  <si>
    <t>-143.75</t>
  </si>
  <si>
    <t>-168.80</t>
  </si>
  <si>
    <t>441.89</t>
  </si>
  <si>
    <t>148.04</t>
  </si>
  <si>
    <t>150.1</t>
  </si>
  <si>
    <t>143.75</t>
  </si>
  <si>
    <t>216 256-8830</t>
  </si>
  <si>
    <t>6265876</t>
  </si>
  <si>
    <t>24820703</t>
  </si>
  <si>
    <t>ASHTON GOAD</t>
  </si>
  <si>
    <t>440 503 5218</t>
  </si>
  <si>
    <t>27080   OAKWOOD DR</t>
  </si>
  <si>
    <t xml:space="preserve">  108A</t>
  </si>
  <si>
    <t>3HW14AW501576</t>
  </si>
  <si>
    <t>-67.54</t>
  </si>
  <si>
    <t>-72.34</t>
  </si>
  <si>
    <t>-85.00</t>
  </si>
  <si>
    <t>208.62</t>
  </si>
  <si>
    <t>67.54</t>
  </si>
  <si>
    <t>440 503-5218</t>
  </si>
  <si>
    <t>07/08/2015</t>
  </si>
  <si>
    <t>6284386</t>
  </si>
  <si>
    <t>2257206</t>
  </si>
  <si>
    <t>DAYON MEADOWS</t>
  </si>
  <si>
    <t>216 320 7509</t>
  </si>
  <si>
    <t>2097   BROWN RD</t>
  </si>
  <si>
    <t>3H214BWK04125</t>
  </si>
  <si>
    <t>614.08</t>
  </si>
  <si>
    <t>158.5</t>
  </si>
  <si>
    <t>215.17</t>
  </si>
  <si>
    <t>240.41</t>
  </si>
  <si>
    <t>216 320-7509</t>
  </si>
  <si>
    <t>6284401</t>
  </si>
  <si>
    <t>10415411</t>
  </si>
  <si>
    <t>CORY E ZAHORSKY</t>
  </si>
  <si>
    <t>02/18/2010</t>
  </si>
  <si>
    <t>440 521 4934</t>
  </si>
  <si>
    <t>22110   RIVER OAKS DR</t>
  </si>
  <si>
    <t xml:space="preserve">    3B</t>
  </si>
  <si>
    <t>[0HYTV136SLP6]</t>
  </si>
  <si>
    <t>-147.35</t>
  </si>
  <si>
    <t>442.08</t>
  </si>
  <si>
    <t>147.36</t>
  </si>
  <si>
    <t>147.35</t>
  </si>
  <si>
    <t>440 521-4934</t>
  </si>
  <si>
    <t>216 486-0957</t>
  </si>
  <si>
    <t>6284403</t>
  </si>
  <si>
    <t>10869009</t>
  </si>
  <si>
    <t>KRISTEN THADEUS</t>
  </si>
  <si>
    <t>02/18/2015</t>
  </si>
  <si>
    <t>216 394 7029</t>
  </si>
  <si>
    <t>20259   LORAIN RD</t>
  </si>
  <si>
    <t>SACGVBQXQ</t>
  </si>
  <si>
    <t>-65.12</t>
  </si>
  <si>
    <t>-205.00</t>
  </si>
  <si>
    <t>290.95</t>
  </si>
  <si>
    <t>216 394-7029</t>
  </si>
  <si>
    <t>6284408</t>
  </si>
  <si>
    <t>11980304</t>
  </si>
  <si>
    <t>PAULINE SKABAR</t>
  </si>
  <si>
    <t>10/20/2014</t>
  </si>
  <si>
    <t>440 409 9721</t>
  </si>
  <si>
    <t>4643   SARASOTA DR</t>
  </si>
  <si>
    <t>SABTSBJHG</t>
  </si>
  <si>
    <t>-152.71</t>
  </si>
  <si>
    <t>130.25</t>
  </si>
  <si>
    <t>22.41</t>
  </si>
  <si>
    <t>24.4</t>
  </si>
  <si>
    <t>83.44</t>
  </si>
  <si>
    <t>440 409-9721</t>
  </si>
  <si>
    <t>6284411</t>
  </si>
  <si>
    <t>22113912</t>
  </si>
  <si>
    <t>William M Mingas</t>
  </si>
  <si>
    <t>216 244 1429</t>
  </si>
  <si>
    <t>1300   SENECA BLVD</t>
  </si>
  <si>
    <t xml:space="preserve">   209</t>
  </si>
  <si>
    <t>3HW14BWN012CF</t>
  </si>
  <si>
    <t>-75.08</t>
  </si>
  <si>
    <t>118.62</t>
  </si>
  <si>
    <t>43.54</t>
  </si>
  <si>
    <t>37.54</t>
  </si>
  <si>
    <t>216 244-1429</t>
  </si>
  <si>
    <t>6284415</t>
  </si>
  <si>
    <t>23035306</t>
  </si>
  <si>
    <t>Stacie Godina</t>
  </si>
  <si>
    <t>440 479 0245</t>
  </si>
  <si>
    <t>22689   LENOX DR</t>
  </si>
  <si>
    <t>SABNDFGFN</t>
  </si>
  <si>
    <t>454.14</t>
  </si>
  <si>
    <t>165.38</t>
  </si>
  <si>
    <t>103.36</t>
  </si>
  <si>
    <t>185.4</t>
  </si>
  <si>
    <t>440 479-0245</t>
  </si>
  <si>
    <t>6284422</t>
  </si>
  <si>
    <t>23760202</t>
  </si>
  <si>
    <t>JOHN SEGAN</t>
  </si>
  <si>
    <t>216 618 4466</t>
  </si>
  <si>
    <t xml:space="preserve">   604</t>
  </si>
  <si>
    <t>SABRRZBHJ</t>
  </si>
  <si>
    <t>-117.24</t>
  </si>
  <si>
    <t>-264.13</t>
  </si>
  <si>
    <t>-283.35</t>
  </si>
  <si>
    <t>325.5</t>
  </si>
  <si>
    <t>133.34</t>
  </si>
  <si>
    <t>146.84</t>
  </si>
  <si>
    <t>45.32</t>
  </si>
  <si>
    <t>216 618-4466</t>
  </si>
  <si>
    <t>6291799</t>
  </si>
  <si>
    <t>1445615</t>
  </si>
  <si>
    <t>CHARLES BROWN</t>
  </si>
  <si>
    <t>11839   EDGEWATER DR</t>
  </si>
  <si>
    <t>SABVTLTLF</t>
  </si>
  <si>
    <t>-93.52</t>
  </si>
  <si>
    <t>299.76</t>
  </si>
  <si>
    <t>99.89</t>
  </si>
  <si>
    <t>122.58</t>
  </si>
  <si>
    <t>77.29</t>
  </si>
  <si>
    <t>6291804</t>
  </si>
  <si>
    <t>2834510</t>
  </si>
  <si>
    <t>milton parilla</t>
  </si>
  <si>
    <t>12/21/2012</t>
  </si>
  <si>
    <t>216 526 5260</t>
  </si>
  <si>
    <t>14940   DELAWARE AVE</t>
  </si>
  <si>
    <t>243596981</t>
  </si>
  <si>
    <t>-29.11</t>
  </si>
  <si>
    <t>-25.59</t>
  </si>
  <si>
    <t>417.44</t>
  </si>
  <si>
    <t>131.66</t>
  </si>
  <si>
    <t>131.65</t>
  </si>
  <si>
    <t>154.13</t>
  </si>
  <si>
    <t>216 526-5260</t>
  </si>
  <si>
    <t>6291810</t>
  </si>
  <si>
    <t>4332410</t>
  </si>
  <si>
    <t>CLINTON WILLIAMS</t>
  </si>
  <si>
    <t>216 804 5062</t>
  </si>
  <si>
    <t>3201   MARMORE AVE</t>
  </si>
  <si>
    <t>SABRGSLZX</t>
  </si>
  <si>
    <t>-132.24</t>
  </si>
  <si>
    <t>-188.17</t>
  </si>
  <si>
    <t>409.69</t>
  </si>
  <si>
    <t>138.73</t>
  </si>
  <si>
    <t>138.72</t>
  </si>
  <si>
    <t>132.24</t>
  </si>
  <si>
    <t>216 804-5062</t>
  </si>
  <si>
    <t>6291813</t>
  </si>
  <si>
    <t>5415705</t>
  </si>
  <si>
    <t>KATHLEEN KINDER</t>
  </si>
  <si>
    <t>12/12/2013</t>
  </si>
  <si>
    <t>440 308 2245</t>
  </si>
  <si>
    <t>16513   DELAWARE AVE</t>
  </si>
  <si>
    <t>SABPWLJGZ</t>
  </si>
  <si>
    <t>-199.51</t>
  </si>
  <si>
    <t>-199.46</t>
  </si>
  <si>
    <t>766.22</t>
  </si>
  <si>
    <t>218.94</t>
  </si>
  <si>
    <t>239.94</t>
  </si>
  <si>
    <t>307.34</t>
  </si>
  <si>
    <t>440 308-2245</t>
  </si>
  <si>
    <t>6291819</t>
  </si>
  <si>
    <t>8218408</t>
  </si>
  <si>
    <t>COLLEEN MCGERN</t>
  </si>
  <si>
    <t>216 526 7063</t>
  </si>
  <si>
    <t>20856   FAIRPARK DR</t>
  </si>
  <si>
    <t>D734M13000355</t>
  </si>
  <si>
    <t>-305.71</t>
  </si>
  <si>
    <t>-139.00</t>
  </si>
  <si>
    <t>-145.11</t>
  </si>
  <si>
    <t>648.54</t>
  </si>
  <si>
    <t>171.4</t>
  </si>
  <si>
    <t>171.43</t>
  </si>
  <si>
    <t>305.71</t>
  </si>
  <si>
    <t>2015-07-03 00:00:00</t>
  </si>
  <si>
    <t>216 526-7063</t>
  </si>
  <si>
    <t>6291824</t>
  </si>
  <si>
    <t>9429416</t>
  </si>
  <si>
    <t>KIMBERLY WILSON</t>
  </si>
  <si>
    <t>01/21/2015</t>
  </si>
  <si>
    <t>216 860 6677</t>
  </si>
  <si>
    <t>SABPWKTBW</t>
  </si>
  <si>
    <t>-83.00</t>
  </si>
  <si>
    <t>-250.00</t>
  </si>
  <si>
    <t>-153.40</t>
  </si>
  <si>
    <t>594.57</t>
  </si>
  <si>
    <t>163.06</t>
  </si>
  <si>
    <t>163.07</t>
  </si>
  <si>
    <t>268.44</t>
  </si>
  <si>
    <t>216 860-6677</t>
  </si>
  <si>
    <t>6291827</t>
  </si>
  <si>
    <t>10490302</t>
  </si>
  <si>
    <t>MICHELLE ATHERTON</t>
  </si>
  <si>
    <t>10/15/2014</t>
  </si>
  <si>
    <t>440 570 7303</t>
  </si>
  <si>
    <t>26856   BAGLEY RD</t>
  </si>
  <si>
    <t>SACDZNVQM</t>
  </si>
  <si>
    <t>-118.88</t>
  </si>
  <si>
    <t>-112.00</t>
  </si>
  <si>
    <t>192.05</t>
  </si>
  <si>
    <t>17.01</t>
  </si>
  <si>
    <t>78.13</t>
  </si>
  <si>
    <t>440 570-7303</t>
  </si>
  <si>
    <t>6291828</t>
  </si>
  <si>
    <t>11014820</t>
  </si>
  <si>
    <t>TINA L JONES</t>
  </si>
  <si>
    <t>10/17/2011</t>
  </si>
  <si>
    <t>440 523 8449</t>
  </si>
  <si>
    <t>17535   MADISON AVE</t>
  </si>
  <si>
    <t>267249632</t>
  </si>
  <si>
    <t>-352.23</t>
  </si>
  <si>
    <t>-172.99</t>
  </si>
  <si>
    <t>01/30/2015</t>
  </si>
  <si>
    <t>-175.33</t>
  </si>
  <si>
    <t>533.42</t>
  </si>
  <si>
    <t>180.17</t>
  </si>
  <si>
    <t>180.2</t>
  </si>
  <si>
    <t>173.05</t>
  </si>
  <si>
    <t>440 523-8449</t>
  </si>
  <si>
    <t>740 858-5638</t>
  </si>
  <si>
    <t>6291836</t>
  </si>
  <si>
    <t>21653606</t>
  </si>
  <si>
    <t>ELIZABETH PULTZ</t>
  </si>
  <si>
    <t>09/29/2014</t>
  </si>
  <si>
    <t>440 305 4281</t>
  </si>
  <si>
    <t>5629   CHEVROLET BLVD</t>
  </si>
  <si>
    <t>SABLQSGMV</t>
  </si>
  <si>
    <t>-93.00</t>
  </si>
  <si>
    <t>-28.70</t>
  </si>
  <si>
    <t>220.01</t>
  </si>
  <si>
    <t>120.91</t>
  </si>
  <si>
    <t>440 305-4281</t>
  </si>
  <si>
    <t>6291843</t>
  </si>
  <si>
    <t>23949601</t>
  </si>
  <si>
    <t>PIETRO DEMONTE</t>
  </si>
  <si>
    <t>07/20/2004</t>
  </si>
  <si>
    <t>440 821 6604</t>
  </si>
  <si>
    <t>1524  S YORKSHIRE DR</t>
  </si>
  <si>
    <t>[08GG4DJ1YGK4]</t>
  </si>
  <si>
    <t>-242.85</t>
  </si>
  <si>
    <t>-306.30</t>
  </si>
  <si>
    <t>675.8</t>
  </si>
  <si>
    <t>227.78</t>
  </si>
  <si>
    <t>227.77</t>
  </si>
  <si>
    <t>220.25</t>
  </si>
  <si>
    <t>2008-02-18 00:00:00</t>
  </si>
  <si>
    <t>440 821-6604</t>
  </si>
  <si>
    <t>6291847</t>
  </si>
  <si>
    <t>25107301</t>
  </si>
  <si>
    <t>THOMAS MASON</t>
  </si>
  <si>
    <t>06/02/2010</t>
  </si>
  <si>
    <t>440 235 5923</t>
  </si>
  <si>
    <t>8   MICHAEL DR</t>
  </si>
  <si>
    <t>-29.57</t>
  </si>
  <si>
    <t>-84.36</t>
  </si>
  <si>
    <t>249.28</t>
  </si>
  <si>
    <t>84.38</t>
  </si>
  <si>
    <t>84.37</t>
  </si>
  <si>
    <t>80.53</t>
  </si>
  <si>
    <t>440 235-5923</t>
  </si>
  <si>
    <t>07/10/2015</t>
  </si>
  <si>
    <t>6292998</t>
  </si>
  <si>
    <t>1934611</t>
  </si>
  <si>
    <t>KATHLEEN D FERANDA</t>
  </si>
  <si>
    <t>07/07/2006</t>
  </si>
  <si>
    <t>216 221 2704</t>
  </si>
  <si>
    <t xml:space="preserve">   419</t>
  </si>
  <si>
    <t>[07W7GW1R0R03]</t>
  </si>
  <si>
    <t>-360.00</t>
  </si>
  <si>
    <t>707.91</t>
  </si>
  <si>
    <t>156.81</t>
  </si>
  <si>
    <t>281.67</t>
  </si>
  <si>
    <t>269.43</t>
  </si>
  <si>
    <t>216 221-2704</t>
  </si>
  <si>
    <t>6293003</t>
  </si>
  <si>
    <t>3511707</t>
  </si>
  <si>
    <t>MICHELE LAUERSDORF</t>
  </si>
  <si>
    <t>06/23/2010</t>
  </si>
  <si>
    <t>216 712 4896</t>
  </si>
  <si>
    <t>2089   HALSTEAD AVE</t>
  </si>
  <si>
    <t>DNG3700</t>
  </si>
  <si>
    <t>[31E1385E0015F]</t>
  </si>
  <si>
    <t>-205.75</t>
  </si>
  <si>
    <t>-370.05</t>
  </si>
  <si>
    <t>410.1</t>
  </si>
  <si>
    <t>222.51</t>
  </si>
  <si>
    <t>187.59</t>
  </si>
  <si>
    <t>216 712-4896</t>
  </si>
  <si>
    <t>6293006</t>
  </si>
  <si>
    <t>5086616</t>
  </si>
  <si>
    <t>Joshalin Williams</t>
  </si>
  <si>
    <t>09/25/2013</t>
  </si>
  <si>
    <t>440 799 8403</t>
  </si>
  <si>
    <t>SABQLHGMQ</t>
  </si>
  <si>
    <t>-152.28</t>
  </si>
  <si>
    <t>-152.23</t>
  </si>
  <si>
    <t>-226.54</t>
  </si>
  <si>
    <t>312.19</t>
  </si>
  <si>
    <t>159.91</t>
  </si>
  <si>
    <t>152.28</t>
  </si>
  <si>
    <t>440 799-8403</t>
  </si>
  <si>
    <t>440 241-2537</t>
  </si>
  <si>
    <t>216 482-8034</t>
  </si>
  <si>
    <t>6293013</t>
  </si>
  <si>
    <t>7920701</t>
  </si>
  <si>
    <t>DARLENE WALAS</t>
  </si>
  <si>
    <t>09/09/1991</t>
  </si>
  <si>
    <t>440 845 4068</t>
  </si>
  <si>
    <t>7018   EDGECLIFF DR</t>
  </si>
  <si>
    <t>-185.96</t>
  </si>
  <si>
    <t>-179.96</t>
  </si>
  <si>
    <t>01/13/2015</t>
  </si>
  <si>
    <t>-167.21</t>
  </si>
  <si>
    <t>280.31</t>
  </si>
  <si>
    <t>93.67</t>
  </si>
  <si>
    <t>92.98</t>
  </si>
  <si>
    <t>440 845-4068</t>
  </si>
  <si>
    <t>440 539-2838</t>
  </si>
  <si>
    <t>6293026</t>
  </si>
  <si>
    <t>11661205</t>
  </si>
  <si>
    <t>LINDA PIETRASZ</t>
  </si>
  <si>
    <t>09/18/2012</t>
  </si>
  <si>
    <t>440 345 5665</t>
  </si>
  <si>
    <t>9233   INDEPENDENCE BLVD</t>
  </si>
  <si>
    <t>[08GG4F5FKCC8]</t>
  </si>
  <si>
    <t>-463.00</t>
  </si>
  <si>
    <t>01/02/2015</t>
  </si>
  <si>
    <t>-420.00</t>
  </si>
  <si>
    <t>10/08/2014</t>
  </si>
  <si>
    <t>-411.06</t>
  </si>
  <si>
    <t>355.16</t>
  </si>
  <si>
    <t>139.88</t>
  </si>
  <si>
    <t>139.48</t>
  </si>
  <si>
    <t>75.8</t>
  </si>
  <si>
    <t>440 345-5665</t>
  </si>
  <si>
    <t>216 538-3504</t>
  </si>
  <si>
    <t>6293030</t>
  </si>
  <si>
    <t>12685505</t>
  </si>
  <si>
    <t>Andrea Bedocs</t>
  </si>
  <si>
    <t>440 710 4656</t>
  </si>
  <si>
    <t>27216   COOK RD</t>
  </si>
  <si>
    <t xml:space="preserve">    50</t>
  </si>
  <si>
    <t>SABTVBXVW</t>
  </si>
  <si>
    <t>-141.34</t>
  </si>
  <si>
    <t>-133.90</t>
  </si>
  <si>
    <t>279.54</t>
  </si>
  <si>
    <t>150.54</t>
  </si>
  <si>
    <t>129</t>
  </si>
  <si>
    <t>440 710-4656</t>
  </si>
  <si>
    <t>6293035</t>
  </si>
  <si>
    <t>23420610</t>
  </si>
  <si>
    <t>KELLY FARINA</t>
  </si>
  <si>
    <t>03/14/2014</t>
  </si>
  <si>
    <t>440 345 5795</t>
  </si>
  <si>
    <t>8431   GREENWOOD VIEW DR</t>
  </si>
  <si>
    <t xml:space="preserve">   205</t>
  </si>
  <si>
    <t>SABVFPNZL</t>
  </si>
  <si>
    <t>-182.00</t>
  </si>
  <si>
    <t>-224.00</t>
  </si>
  <si>
    <t>981.23</t>
  </si>
  <si>
    <t>315.55</t>
  </si>
  <si>
    <t>285.2</t>
  </si>
  <si>
    <t>380.48</t>
  </si>
  <si>
    <t>440 345-5795</t>
  </si>
  <si>
    <t>440 241-1323</t>
  </si>
  <si>
    <t>6293038</t>
  </si>
  <si>
    <t>24381002</t>
  </si>
  <si>
    <t>JACQUETTAE JOHNSON</t>
  </si>
  <si>
    <t>440 532 3446</t>
  </si>
  <si>
    <t>8540   EVERGREEN TRL</t>
  </si>
  <si>
    <t>DCA4M13002264</t>
  </si>
  <si>
    <t>-213.42</t>
  </si>
  <si>
    <t>636.89</t>
  </si>
  <si>
    <t>8.8</t>
  </si>
  <si>
    <t>176.22</t>
  </si>
  <si>
    <t>435.67</t>
  </si>
  <si>
    <t>440 532-3446</t>
  </si>
  <si>
    <t>6293041</t>
  </si>
  <si>
    <t>25093502</t>
  </si>
  <si>
    <t>Janice Burke</t>
  </si>
  <si>
    <t>03/19/2012</t>
  </si>
  <si>
    <t>440 357 1936</t>
  </si>
  <si>
    <t>8   GRAND BLVD</t>
  </si>
  <si>
    <t>SACBQQRSN</t>
  </si>
  <si>
    <t>-508.62</t>
  </si>
  <si>
    <t>-240.58</t>
  </si>
  <si>
    <t>758.49</t>
  </si>
  <si>
    <t>247.8</t>
  </si>
  <si>
    <t>247.84</t>
  </si>
  <si>
    <t>262.85</t>
  </si>
  <si>
    <t>440 357-1936</t>
  </si>
  <si>
    <t>6293495</t>
  </si>
  <si>
    <t>4581109</t>
  </si>
  <si>
    <t>Paul Labanc</t>
  </si>
  <si>
    <t>216 240 7678</t>
  </si>
  <si>
    <t>1599   ELMWOOD AVE</t>
  </si>
  <si>
    <t>DCJ4M13006497</t>
  </si>
  <si>
    <t>24</t>
  </si>
  <si>
    <t>-141.61</t>
  </si>
  <si>
    <t>-182.99</t>
  </si>
  <si>
    <t>386.43</t>
  </si>
  <si>
    <t>193.46</t>
  </si>
  <si>
    <t>192.97</t>
  </si>
  <si>
    <t>216 240-7678</t>
  </si>
  <si>
    <t>6293498</t>
  </si>
  <si>
    <t>4911813</t>
  </si>
  <si>
    <t>Annie Singerman</t>
  </si>
  <si>
    <t>02/23/2012</t>
  </si>
  <si>
    <t>330 459 3942</t>
  </si>
  <si>
    <t>2095   NORTHLAND AVE</t>
  </si>
  <si>
    <t xml:space="preserve">     6</t>
  </si>
  <si>
    <t>249429163</t>
  </si>
  <si>
    <t>-125.56</t>
  </si>
  <si>
    <t>-245.06</t>
  </si>
  <si>
    <t>-241.03</t>
  </si>
  <si>
    <t>245.18</t>
  </si>
  <si>
    <t>125.65</t>
  </si>
  <si>
    <t>119.53</t>
  </si>
  <si>
    <t>330 459-3942</t>
  </si>
  <si>
    <t>6293500</t>
  </si>
  <si>
    <t>5961705</t>
  </si>
  <si>
    <t>BELINDA BAILEY</t>
  </si>
  <si>
    <t>216 301 8047</t>
  </si>
  <si>
    <t>7903   WHITTINGTON DR</t>
  </si>
  <si>
    <t>3HW149W5068D4</t>
  </si>
  <si>
    <t>102.42</t>
  </si>
  <si>
    <t>216 301-8047</t>
  </si>
  <si>
    <t>6293503</t>
  </si>
  <si>
    <t>6577516</t>
  </si>
  <si>
    <t>DIADRA PHILLIPS</t>
  </si>
  <si>
    <t>216 543 3825</t>
  </si>
  <si>
    <t>DCJ4M13004538</t>
  </si>
  <si>
    <t>-465.80</t>
  </si>
  <si>
    <t>-179.00</t>
  </si>
  <si>
    <t>-70.13</t>
  </si>
  <si>
    <t>1079.41</t>
  </si>
  <si>
    <t>334.25</t>
  </si>
  <si>
    <t>287.24</t>
  </si>
  <si>
    <t>457.92</t>
  </si>
  <si>
    <t>2015-07-06 00:00:00</t>
  </si>
  <si>
    <t>216 543-3825</t>
  </si>
  <si>
    <t>6293507</t>
  </si>
  <si>
    <t>7929315</t>
  </si>
  <si>
    <t>DANIELLE N TAYLOR</t>
  </si>
  <si>
    <t>216 681 6988</t>
  </si>
  <si>
    <t>3604   PARK DR</t>
  </si>
  <si>
    <t>3HW14AWA022B8</t>
  </si>
  <si>
    <t>-57.54</t>
  </si>
  <si>
    <t>-122.34</t>
  </si>
  <si>
    <t>178.62</t>
  </si>
  <si>
    <t>57.54</t>
  </si>
  <si>
    <t>216 681-6988</t>
  </si>
  <si>
    <t>6293511</t>
  </si>
  <si>
    <t>8886306</t>
  </si>
  <si>
    <t>WENDY GALLAWAY</t>
  </si>
  <si>
    <t>03/24/2014</t>
  </si>
  <si>
    <t>216 236 6180</t>
  </si>
  <si>
    <t>7104   BROADVIEW RD</t>
  </si>
  <si>
    <t>[073G4FNWSBG8]</t>
  </si>
  <si>
    <t>-59.54</t>
  </si>
  <si>
    <t>-81.14</t>
  </si>
  <si>
    <t>84.54</t>
  </si>
  <si>
    <t>64.54</t>
  </si>
  <si>
    <t>216 236-6180</t>
  </si>
  <si>
    <t>6293521</t>
  </si>
  <si>
    <t>11032315</t>
  </si>
  <si>
    <t>VINCENT HAYES</t>
  </si>
  <si>
    <t>11/23/2011</t>
  </si>
  <si>
    <t>440 503 8809</t>
  </si>
  <si>
    <t>6060   STUMPH RD</t>
  </si>
  <si>
    <t xml:space="preserve">  108B</t>
  </si>
  <si>
    <t>SABVKRSJK</t>
  </si>
  <si>
    <t>-116.15</t>
  </si>
  <si>
    <t>-324.25</t>
  </si>
  <si>
    <t>326.13</t>
  </si>
  <si>
    <t>166.82</t>
  </si>
  <si>
    <t>159.31</t>
  </si>
  <si>
    <t>440 503-8809</t>
  </si>
  <si>
    <t>440 590-5436</t>
  </si>
  <si>
    <t>6293522</t>
  </si>
  <si>
    <t>11057211</t>
  </si>
  <si>
    <t>Heather Woodhall</t>
  </si>
  <si>
    <t>11/24/2014</t>
  </si>
  <si>
    <t>440 669 1045</t>
  </si>
  <si>
    <t>3310   GRANTWOOD DR</t>
  </si>
  <si>
    <t>[379781423300454007020006]</t>
  </si>
  <si>
    <t>-99.98</t>
  </si>
  <si>
    <t>-99.92</t>
  </si>
  <si>
    <t>-79.78</t>
  </si>
  <si>
    <t>111.58</t>
  </si>
  <si>
    <t>440 669-1045</t>
  </si>
  <si>
    <t>6293524</t>
  </si>
  <si>
    <t>11830010</t>
  </si>
  <si>
    <t>Daniel TANCAK</t>
  </si>
  <si>
    <t>09/20/2012</t>
  </si>
  <si>
    <t>18915   DETROIT EXT</t>
  </si>
  <si>
    <t xml:space="preserve">   615</t>
  </si>
  <si>
    <t>[OHYTV0Y55P9O]</t>
  </si>
  <si>
    <t>-81.53</t>
  </si>
  <si>
    <t>244.6</t>
  </si>
  <si>
    <t>81.54</t>
  </si>
  <si>
    <t>81.53</t>
  </si>
  <si>
    <t>216 374-2927</t>
  </si>
  <si>
    <t>6293527</t>
  </si>
  <si>
    <t>12552414</t>
  </si>
  <si>
    <t>Lee Jacobson</t>
  </si>
  <si>
    <t>440 221 1204</t>
  </si>
  <si>
    <t>2012   BAXTERLY AVE</t>
  </si>
  <si>
    <t>SABNVPZMQ</t>
  </si>
  <si>
    <t>-124.56</t>
  </si>
  <si>
    <t>-108.97</t>
  </si>
  <si>
    <t>502.41</t>
  </si>
  <si>
    <t>-8.43</t>
  </si>
  <si>
    <t>163.99</t>
  </si>
  <si>
    <t>170.31</t>
  </si>
  <si>
    <t>176.54</t>
  </si>
  <si>
    <t>440 221-1204</t>
  </si>
  <si>
    <t>6293531</t>
  </si>
  <si>
    <t>21367516</t>
  </si>
  <si>
    <t>THEODORE HUFF</t>
  </si>
  <si>
    <t>440 541 4713</t>
  </si>
  <si>
    <t xml:space="preserve">   415</t>
  </si>
  <si>
    <t>E184M13002075</t>
  </si>
  <si>
    <t>675</t>
  </si>
  <si>
    <t>-210.00</t>
  </si>
  <si>
    <t>647.97</t>
  </si>
  <si>
    <t>221.62</t>
  </si>
  <si>
    <t>401.35</t>
  </si>
  <si>
    <t>440 541-4713</t>
  </si>
  <si>
    <t>6293532</t>
  </si>
  <si>
    <t>21577508</t>
  </si>
  <si>
    <t>ASHLEY RICHARD</t>
  </si>
  <si>
    <t>02/23/2015</t>
  </si>
  <si>
    <t>216 370 2365</t>
  </si>
  <si>
    <t>11455  E HUFFMAN RD</t>
  </si>
  <si>
    <t>D8H4D31003402</t>
  </si>
  <si>
    <t>-152.21</t>
  </si>
  <si>
    <t>-168.70</t>
  </si>
  <si>
    <t>515.56</t>
  </si>
  <si>
    <t>197.46</t>
  </si>
  <si>
    <t>293.1</t>
  </si>
  <si>
    <t>216 370-2365</t>
  </si>
  <si>
    <t>6293533</t>
  </si>
  <si>
    <t>22945904</t>
  </si>
  <si>
    <t>JENNIFER WHITESCARVER</t>
  </si>
  <si>
    <t>03/22/2006</t>
  </si>
  <si>
    <t>26169   HAWTHORNE CT</t>
  </si>
  <si>
    <t>[0HYTV13FT8D3]</t>
  </si>
  <si>
    <t>-148.00</t>
  </si>
  <si>
    <t>-169.53</t>
  </si>
  <si>
    <t>-159.95</t>
  </si>
  <si>
    <t>286.21</t>
  </si>
  <si>
    <t>138.85</t>
  </si>
  <si>
    <t>440 328-9548</t>
  </si>
  <si>
    <t>07/12/2015</t>
  </si>
  <si>
    <t>6293781</t>
  </si>
  <si>
    <t>335701</t>
  </si>
  <si>
    <t>MARIAN SACHS</t>
  </si>
  <si>
    <t>01/05/1996</t>
  </si>
  <si>
    <t>440 884 7899</t>
  </si>
  <si>
    <t>5478   HAUSERMAN RD</t>
  </si>
  <si>
    <t>[08GG4F5FLBJ1]</t>
  </si>
  <si>
    <t>-168.03</t>
  </si>
  <si>
    <t>-142.09</t>
  </si>
  <si>
    <t>-228.48</t>
  </si>
  <si>
    <t>584.31</t>
  </si>
  <si>
    <t>240.52</t>
  </si>
  <si>
    <t>175.76</t>
  </si>
  <si>
    <t>168.03</t>
  </si>
  <si>
    <t>440 884-7899</t>
  </si>
  <si>
    <t>440 687-2283</t>
  </si>
  <si>
    <t>6293784</t>
  </si>
  <si>
    <t>10453204</t>
  </si>
  <si>
    <t>PHYLLIS JOSEPH</t>
  </si>
  <si>
    <t>440 845 7606</t>
  </si>
  <si>
    <t>6466   STATE RD</t>
  </si>
  <si>
    <t xml:space="preserve">    M8</t>
  </si>
  <si>
    <t>07/27/2013</t>
  </si>
  <si>
    <t>-151.37</t>
  </si>
  <si>
    <t>06/21/2013</t>
  </si>
  <si>
    <t>-144.69</t>
  </si>
  <si>
    <t>05/10/2013</t>
  </si>
  <si>
    <t>-6.25</t>
  </si>
  <si>
    <t>313.83</t>
  </si>
  <si>
    <t>86.12</t>
  </si>
  <si>
    <t>141.6</t>
  </si>
  <si>
    <t>440 845-7606</t>
  </si>
  <si>
    <t>6293792</t>
  </si>
  <si>
    <t>11199611</t>
  </si>
  <si>
    <t>DESHAUNA THOMPSON</t>
  </si>
  <si>
    <t>5245   KNOLLWOOD DR</t>
  </si>
  <si>
    <t>3HW14AWJ00513</t>
  </si>
  <si>
    <t>-74.19</t>
  </si>
  <si>
    <t>502.57</t>
  </si>
  <si>
    <t>161.8</t>
  </si>
  <si>
    <t>159.53</t>
  </si>
  <si>
    <t>107.05</t>
  </si>
  <si>
    <t>74.19</t>
  </si>
  <si>
    <t>216 323-2995</t>
  </si>
  <si>
    <t>6293794</t>
  </si>
  <si>
    <t>3198307</t>
  </si>
  <si>
    <t>Larrietta Campbell</t>
  </si>
  <si>
    <t>216 396 6072</t>
  </si>
  <si>
    <t>6270   SPRINGWOOD RD</t>
  </si>
  <si>
    <t>DCA4M13002267</t>
  </si>
  <si>
    <t>-377.07</t>
  </si>
  <si>
    <t>-148.17</t>
  </si>
  <si>
    <t>-67.00</t>
  </si>
  <si>
    <t>646.69</t>
  </si>
  <si>
    <t>233.29</t>
  </si>
  <si>
    <t>37.73</t>
  </si>
  <si>
    <t>375.67</t>
  </si>
  <si>
    <t>216 396-6072</t>
  </si>
  <si>
    <t>6293804</t>
  </si>
  <si>
    <t>4165404</t>
  </si>
  <si>
    <t>MILTON RULLAN</t>
  </si>
  <si>
    <t>05/29/2014</t>
  </si>
  <si>
    <t>216 406 0583</t>
  </si>
  <si>
    <t>4804   SHERATON DR</t>
  </si>
  <si>
    <t>[234710638]</t>
  </si>
  <si>
    <t>-136.41</t>
  </si>
  <si>
    <t>-103.04</t>
  </si>
  <si>
    <t>-143.00</t>
  </si>
  <si>
    <t>584.09</t>
  </si>
  <si>
    <t>30.36</t>
  </si>
  <si>
    <t>163.9</t>
  </si>
  <si>
    <t>389.83</t>
  </si>
  <si>
    <t>216 406-0583</t>
  </si>
  <si>
    <t>216 224-7652</t>
  </si>
  <si>
    <t>6293806</t>
  </si>
  <si>
    <t>12521605</t>
  </si>
  <si>
    <t>TERRENCE MOSKEY</t>
  </si>
  <si>
    <t>216 703 3482</t>
  </si>
  <si>
    <t>SACCRNMXX</t>
  </si>
  <si>
    <t>427.37</t>
  </si>
  <si>
    <t>153.37</t>
  </si>
  <si>
    <t>153.4</t>
  </si>
  <si>
    <t>129.03</t>
  </si>
  <si>
    <t>216 703-3482</t>
  </si>
  <si>
    <t>440 494-5004</t>
  </si>
  <si>
    <t>6293814</t>
  </si>
  <si>
    <t>21940115</t>
  </si>
  <si>
    <t>ALISSA GUERRIERI</t>
  </si>
  <si>
    <t>330 720 5465</t>
  </si>
  <si>
    <t>19307   RIVERWOOD AVE</t>
  </si>
  <si>
    <t>[0HYTV136T2S3]</t>
  </si>
  <si>
    <t>-158.76</t>
  </si>
  <si>
    <t>-177.00</t>
  </si>
  <si>
    <t>-104.62</t>
  </si>
  <si>
    <t>392.25</t>
  </si>
  <si>
    <t>205.28</t>
  </si>
  <si>
    <t>186.97</t>
  </si>
  <si>
    <t>330 720-5465</t>
  </si>
  <si>
    <t>6293818</t>
  </si>
  <si>
    <t>23082903</t>
  </si>
  <si>
    <t>MARK ERNY</t>
  </si>
  <si>
    <t>10/05/2012</t>
  </si>
  <si>
    <t>440 225 2995</t>
  </si>
  <si>
    <t>9169   LAKE VIEW DR</t>
  </si>
  <si>
    <t>SACBZPMRM</t>
  </si>
  <si>
    <t>-335.53</t>
  </si>
  <si>
    <t>05/24/2015</t>
  </si>
  <si>
    <t>-358.16</t>
  </si>
  <si>
    <t>-651.16</t>
  </si>
  <si>
    <t>1638.99</t>
  </si>
  <si>
    <t>425.38</t>
  </si>
  <si>
    <t>958.51</t>
  </si>
  <si>
    <t>211.29</t>
  </si>
  <si>
    <t>440 225-2995</t>
  </si>
  <si>
    <t>6293824</t>
  </si>
  <si>
    <t>23691602</t>
  </si>
  <si>
    <t>IDALIN GUILFU</t>
  </si>
  <si>
    <t>216 233 9193</t>
  </si>
  <si>
    <t>6100   LAURENT DR</t>
  </si>
  <si>
    <t xml:space="preserve">   806</t>
  </si>
  <si>
    <t>SABNBPJBL</t>
  </si>
  <si>
    <t>-178.43</t>
  </si>
  <si>
    <t>373.66</t>
  </si>
  <si>
    <t>124.11</t>
  </si>
  <si>
    <t>71.12</t>
  </si>
  <si>
    <t>178.43</t>
  </si>
  <si>
    <t>216 233-9193</t>
  </si>
  <si>
    <t>6293826</t>
  </si>
  <si>
    <t>24278806</t>
  </si>
  <si>
    <t>BRANDON STERRICK</t>
  </si>
  <si>
    <t>440 212 9399</t>
  </si>
  <si>
    <t>1332   KENDAL DR</t>
  </si>
  <si>
    <t>SABRRPNXD</t>
  </si>
  <si>
    <t>-440.00</t>
  </si>
  <si>
    <t>1092.21</t>
  </si>
  <si>
    <t>243.93</t>
  </si>
  <si>
    <t>263.33</t>
  </si>
  <si>
    <t>169.38</t>
  </si>
  <si>
    <t>415.57</t>
  </si>
  <si>
    <t>440 212-9399</t>
  </si>
  <si>
    <t>6293827</t>
  </si>
  <si>
    <t>9082808</t>
  </si>
  <si>
    <t>DEBORAH SOTO</t>
  </si>
  <si>
    <t>11/20/2008</t>
  </si>
  <si>
    <t>216 398 5271</t>
  </si>
  <si>
    <t>2101   LORIMER DR</t>
  </si>
  <si>
    <t>SABHKHKKT</t>
  </si>
  <si>
    <t>-185.30</t>
  </si>
  <si>
    <t>-180.06</t>
  </si>
  <si>
    <t>-163.03</t>
  </si>
  <si>
    <t>647.51</t>
  </si>
  <si>
    <t>225.05</t>
  </si>
  <si>
    <t>204.46</t>
  </si>
  <si>
    <t>218</t>
  </si>
  <si>
    <t>216 398-5271</t>
  </si>
  <si>
    <t>6293830</t>
  </si>
  <si>
    <t>24573001</t>
  </si>
  <si>
    <t>JOSEPH CARMOLA</t>
  </si>
  <si>
    <t>330 495 0326</t>
  </si>
  <si>
    <t>1575   ORCHARD GROVE AVE</t>
  </si>
  <si>
    <t>[31123A5X01D1A]</t>
  </si>
  <si>
    <t>-185.00</t>
  </si>
  <si>
    <t>761.45</t>
  </si>
  <si>
    <t>201.26</t>
  </si>
  <si>
    <t>220.4</t>
  </si>
  <si>
    <t>339.79</t>
  </si>
  <si>
    <t>330 495-0326</t>
  </si>
  <si>
    <t>6295165</t>
  </si>
  <si>
    <t>1057511</t>
  </si>
  <si>
    <t>RJ PASQUALE</t>
  </si>
  <si>
    <t>440 444 4978</t>
  </si>
  <si>
    <t>6105   RIDGE RD</t>
  </si>
  <si>
    <t>DA94F23000933</t>
  </si>
  <si>
    <t>-173.95</t>
  </si>
  <si>
    <t>184.58</t>
  </si>
  <si>
    <t>76.77</t>
  </si>
  <si>
    <t>92.38</t>
  </si>
  <si>
    <t>15.43</t>
  </si>
  <si>
    <t>440 444-4978</t>
  </si>
  <si>
    <t>6295168</t>
  </si>
  <si>
    <t>1168616</t>
  </si>
  <si>
    <t>JULIA BATES</t>
  </si>
  <si>
    <t>216 903 0456</t>
  </si>
  <si>
    <t>14839   HILLIARD RD</t>
  </si>
  <si>
    <t>SABRGSNQX</t>
  </si>
  <si>
    <t>26</t>
  </si>
  <si>
    <t>-101.99</t>
  </si>
  <si>
    <t>-81.05</t>
  </si>
  <si>
    <t>-216.32</t>
  </si>
  <si>
    <t>164.88</t>
  </si>
  <si>
    <t>131.42</t>
  </si>
  <si>
    <t>33.46</t>
  </si>
  <si>
    <t>216 903-0456</t>
  </si>
  <si>
    <t>6295170</t>
  </si>
  <si>
    <t>2690810</t>
  </si>
  <si>
    <t>KARI GEORGE</t>
  </si>
  <si>
    <t>03/24/2012</t>
  </si>
  <si>
    <t>440 865 2469</t>
  </si>
  <si>
    <t>1591   LAUDERDALE AVE</t>
  </si>
  <si>
    <t>3CC1335D06E87</t>
  </si>
  <si>
    <t>06/17/2015</t>
  </si>
  <si>
    <t>-205.72</t>
  </si>
  <si>
    <t>-205.27</t>
  </si>
  <si>
    <t>-153.54</t>
  </si>
  <si>
    <t>439.46</t>
  </si>
  <si>
    <t>276.65</t>
  </si>
  <si>
    <t>162.81</t>
  </si>
  <si>
    <t>440 865-2469</t>
  </si>
  <si>
    <t>6295175</t>
  </si>
  <si>
    <t>11686307</t>
  </si>
  <si>
    <t>Karen Johnson</t>
  </si>
  <si>
    <t>216 254 0271</t>
  </si>
  <si>
    <t>3HW148WM0170C</t>
  </si>
  <si>
    <t>-111.26</t>
  </si>
  <si>
    <t>472.76</t>
  </si>
  <si>
    <t>121.56</t>
  </si>
  <si>
    <t>226.2</t>
  </si>
  <si>
    <t>100</t>
  </si>
  <si>
    <t>2015-07-08 00:00:00</t>
  </si>
  <si>
    <t>216 254-0271</t>
  </si>
  <si>
    <t>6295180</t>
  </si>
  <si>
    <t>4231305</t>
  </si>
  <si>
    <t>Michael Zarzour</t>
  </si>
  <si>
    <t>02/24/2014</t>
  </si>
  <si>
    <t>5715   GILBERT AVE</t>
  </si>
  <si>
    <t>243621572</t>
  </si>
  <si>
    <t>-149.18</t>
  </si>
  <si>
    <t>-75.39</t>
  </si>
  <si>
    <t>440 725-1310</t>
  </si>
  <si>
    <t>6295182</t>
  </si>
  <si>
    <t>4292503</t>
  </si>
  <si>
    <t>DENNIS JURCICH</t>
  </si>
  <si>
    <t>02/25/2010</t>
  </si>
  <si>
    <t>440 263 6763</t>
  </si>
  <si>
    <t>6503   ORCHARD AVE</t>
  </si>
  <si>
    <t>0HYTV12YXXT7</t>
  </si>
  <si>
    <t>155.98</t>
  </si>
  <si>
    <t>85.99</t>
  </si>
  <si>
    <t>69.99</t>
  </si>
  <si>
    <t>440 263-6763</t>
  </si>
  <si>
    <t>440 888-0282</t>
  </si>
  <si>
    <t>6295184</t>
  </si>
  <si>
    <t>21248807</t>
  </si>
  <si>
    <t>Loren C Young</t>
  </si>
  <si>
    <t>216 402 2696</t>
  </si>
  <si>
    <t>1491   ORCHARD GROVE AVE</t>
  </si>
  <si>
    <t>DC24M13003461</t>
  </si>
  <si>
    <t>891.43</t>
  </si>
  <si>
    <t>274.03</t>
  </si>
  <si>
    <t>306.47</t>
  </si>
  <si>
    <t>310.93</t>
  </si>
  <si>
    <t>216 402-2696</t>
  </si>
  <si>
    <t>6295189</t>
  </si>
  <si>
    <t>21811410</t>
  </si>
  <si>
    <t>Jeremy Sleeman</t>
  </si>
  <si>
    <t>07/22/2013</t>
  </si>
  <si>
    <t>216 712 7910</t>
  </si>
  <si>
    <t>1377   BELLE AVE</t>
  </si>
  <si>
    <t>SABWFBCPK</t>
  </si>
  <si>
    <t>-289.37</t>
  </si>
  <si>
    <t>-273.74</t>
  </si>
  <si>
    <t>01/05/2015</t>
  </si>
  <si>
    <t>-273.03</t>
  </si>
  <si>
    <t>281.24</t>
  </si>
  <si>
    <t>140.96</t>
  </si>
  <si>
    <t>140.28</t>
  </si>
  <si>
    <t>216 712-7910</t>
  </si>
  <si>
    <t>6295196</t>
  </si>
  <si>
    <t>6178308</t>
  </si>
  <si>
    <t>ANGELICA QUINTANA</t>
  </si>
  <si>
    <t>216 482 1085</t>
  </si>
  <si>
    <t>6003   WESTLAKE AVE</t>
  </si>
  <si>
    <t>SABLNPSWZ</t>
  </si>
  <si>
    <t>-254.85</t>
  </si>
  <si>
    <t>-128.93</t>
  </si>
  <si>
    <t>400.8</t>
  </si>
  <si>
    <t>217.35</t>
  </si>
  <si>
    <t>183.45</t>
  </si>
  <si>
    <t>216 482-1085</t>
  </si>
  <si>
    <t>6295197</t>
  </si>
  <si>
    <t>23019411</t>
  </si>
  <si>
    <t>Verenda Moore</t>
  </si>
  <si>
    <t>216 600 6974</t>
  </si>
  <si>
    <t>11125   CHEYENNE TRL</t>
  </si>
  <si>
    <t xml:space="preserve">   301</t>
  </si>
  <si>
    <t>SABTBXHTM</t>
  </si>
  <si>
    <t>-137.06</t>
  </si>
  <si>
    <t>-117.35</t>
  </si>
  <si>
    <t>-155.51</t>
  </si>
  <si>
    <t>343.64</t>
  </si>
  <si>
    <t>213.57</t>
  </si>
  <si>
    <t>130.07</t>
  </si>
  <si>
    <t>216 600-6974</t>
  </si>
  <si>
    <t>6295200</t>
  </si>
  <si>
    <t>23319407</t>
  </si>
  <si>
    <t>BRYAN SHURN</t>
  </si>
  <si>
    <t>216 799 5211</t>
  </si>
  <si>
    <t xml:space="preserve">  2427</t>
  </si>
  <si>
    <t>3HW14AW201840</t>
  </si>
  <si>
    <t>-54.03</t>
  </si>
  <si>
    <t>-146.48</t>
  </si>
  <si>
    <t>229.61</t>
  </si>
  <si>
    <t>151.91</t>
  </si>
  <si>
    <t>77.7</t>
  </si>
  <si>
    <t>216 799-5211</t>
  </si>
  <si>
    <t>6295202</t>
  </si>
  <si>
    <t>23320906</t>
  </si>
  <si>
    <t>JEANTTE CZARNECKI</t>
  </si>
  <si>
    <t>10/27/2014</t>
  </si>
  <si>
    <t>216 904 9051</t>
  </si>
  <si>
    <t xml:space="preserve">  2505</t>
  </si>
  <si>
    <t>262118175</t>
  </si>
  <si>
    <t>-196.37</t>
  </si>
  <si>
    <t>-375.68</t>
  </si>
  <si>
    <t>-533.93</t>
  </si>
  <si>
    <t>377.21</t>
  </si>
  <si>
    <t>189.3</t>
  </si>
  <si>
    <t>187.91</t>
  </si>
  <si>
    <t>216 904-9051</t>
  </si>
  <si>
    <t>6295204</t>
  </si>
  <si>
    <t>23412105</t>
  </si>
  <si>
    <t>cl Richard Petrella Jr</t>
  </si>
  <si>
    <t>216 673 2836</t>
  </si>
  <si>
    <t xml:space="preserve">   716</t>
  </si>
  <si>
    <t>3HW147W606F88</t>
  </si>
  <si>
    <t>-123.68</t>
  </si>
  <si>
    <t>-190.00</t>
  </si>
  <si>
    <t>391.76</t>
  </si>
  <si>
    <t>209.45</t>
  </si>
  <si>
    <t>182.31</t>
  </si>
  <si>
    <t>216 673-2836</t>
  </si>
  <si>
    <t>6295219</t>
  </si>
  <si>
    <t>8250608</t>
  </si>
  <si>
    <t>BAMBI TEMPLETON</t>
  </si>
  <si>
    <t>216 972 2245</t>
  </si>
  <si>
    <t>7289   OAKWOOD RD</t>
  </si>
  <si>
    <t>203</t>
  </si>
  <si>
    <t>30.78</t>
  </si>
  <si>
    <t>216 972-2245</t>
  </si>
  <si>
    <t>6295221</t>
  </si>
  <si>
    <t>8476202</t>
  </si>
  <si>
    <t>LINDA MYLES</t>
  </si>
  <si>
    <t>01/26/2010</t>
  </si>
  <si>
    <t>216 324 6315</t>
  </si>
  <si>
    <t>5993   CROSSVIEW RD</t>
  </si>
  <si>
    <t>271381437</t>
  </si>
  <si>
    <t>-128.90</t>
  </si>
  <si>
    <t>-170.36</t>
  </si>
  <si>
    <t>392.27</t>
  </si>
  <si>
    <t>160.38</t>
  </si>
  <si>
    <t>231.89</t>
  </si>
  <si>
    <t>216 324-6315</t>
  </si>
  <si>
    <t>440 328-7220</t>
  </si>
  <si>
    <t>6295223</t>
  </si>
  <si>
    <t>9058310</t>
  </si>
  <si>
    <t>CARL PENNY</t>
  </si>
  <si>
    <t>10/01/2007</t>
  </si>
  <si>
    <t>216 509 7415</t>
  </si>
  <si>
    <t>21921   RIVER OAKS DR</t>
  </si>
  <si>
    <t xml:space="preserve">    11</t>
  </si>
  <si>
    <t>SABLJGSWC</t>
  </si>
  <si>
    <t>-52.76</t>
  </si>
  <si>
    <t>-46.76</t>
  </si>
  <si>
    <t>-102.27</t>
  </si>
  <si>
    <t>105.53</t>
  </si>
  <si>
    <t>52.77</t>
  </si>
  <si>
    <t>52.76</t>
  </si>
  <si>
    <t>216 509-7415</t>
  </si>
  <si>
    <t>216 375-7612</t>
  </si>
  <si>
    <t>6265815</t>
  </si>
  <si>
    <t>440 799 8599</t>
  </si>
  <si>
    <t>391</t>
  </si>
  <si>
    <t>131.56</t>
  </si>
  <si>
    <t>440 799-8599</t>
  </si>
  <si>
    <t>6265846</t>
  </si>
  <si>
    <t>6265856</t>
  </si>
  <si>
    <t>11547918</t>
  </si>
  <si>
    <t>JESSICA SANGSTER</t>
  </si>
  <si>
    <t>708 724 9602</t>
  </si>
  <si>
    <t>651   VINEYARD DR</t>
  </si>
  <si>
    <t>262426909</t>
  </si>
  <si>
    <t>-152.08</t>
  </si>
  <si>
    <t>896.1</t>
  </si>
  <si>
    <t>589.02</t>
  </si>
  <si>
    <t>154.71</t>
  </si>
  <si>
    <t>130.34</t>
  </si>
  <si>
    <t>22.03</t>
  </si>
  <si>
    <t>708 724-9602</t>
  </si>
  <si>
    <t>6284413</t>
  </si>
  <si>
    <t>6284416</t>
  </si>
  <si>
    <t>23279305</t>
  </si>
  <si>
    <t>LARHONDA LEWIS</t>
  </si>
  <si>
    <t xml:space="preserve">   129</t>
  </si>
  <si>
    <t>236424751</t>
  </si>
  <si>
    <t>-224.14</t>
  </si>
  <si>
    <t>888.84</t>
  </si>
  <si>
    <t>698.14</t>
  </si>
  <si>
    <t>129.32</t>
  </si>
  <si>
    <t>45.93</t>
  </si>
  <si>
    <t>15.45</t>
  </si>
  <si>
    <t>216 239-7243</t>
  </si>
  <si>
    <t>6291808</t>
  </si>
  <si>
    <t>4125405</t>
  </si>
  <si>
    <t>ANGEL FELICIANO</t>
  </si>
  <si>
    <t>02/18/2014</t>
  </si>
  <si>
    <t>216 269 3279</t>
  </si>
  <si>
    <t>2910   BROOKDALE AVE</t>
  </si>
  <si>
    <t>262586313</t>
  </si>
  <si>
    <t>-78.31</t>
  </si>
  <si>
    <t>-156.57</t>
  </si>
  <si>
    <t>245.81</t>
  </si>
  <si>
    <t>64.58</t>
  </si>
  <si>
    <t>78.87</t>
  </si>
  <si>
    <t>16.97</t>
  </si>
  <si>
    <t>216 269-3279</t>
  </si>
  <si>
    <t>216 303-1939</t>
  </si>
  <si>
    <t>6291809</t>
  </si>
  <si>
    <t>6291815</t>
  </si>
  <si>
    <t>5557504</t>
  </si>
  <si>
    <t>LINDSEY SANCHEZ</t>
  </si>
  <si>
    <t>01/20/2015</t>
  </si>
  <si>
    <t>216 403 2927</t>
  </si>
  <si>
    <t>8318   PINEGROVE AVE</t>
  </si>
  <si>
    <t>-323.02</t>
  </si>
  <si>
    <t>645.65</t>
  </si>
  <si>
    <t>43.35</t>
  </si>
  <si>
    <t>269.63</t>
  </si>
  <si>
    <t>173</t>
  </si>
  <si>
    <t>148.11</t>
  </si>
  <si>
    <t>11.56</t>
  </si>
  <si>
    <t>216 403-2927</t>
  </si>
  <si>
    <t>6291838</t>
  </si>
  <si>
    <t>6293031</t>
  </si>
  <si>
    <t>12691614</t>
  </si>
  <si>
    <t>joanna oldfield</t>
  </si>
  <si>
    <t>216 712 6045</t>
  </si>
  <si>
    <t>1486  W 117TH ST</t>
  </si>
  <si>
    <t>339.22</t>
  </si>
  <si>
    <t>61.78</t>
  </si>
  <si>
    <t>153.96</t>
  </si>
  <si>
    <t>123.48</t>
  </si>
  <si>
    <t>216 712-6045</t>
  </si>
  <si>
    <t>6293508</t>
  </si>
  <si>
    <t>6293513</t>
  </si>
  <si>
    <t>6293520</t>
  </si>
  <si>
    <t>6293799</t>
  </si>
  <si>
    <t>6293813</t>
  </si>
  <si>
    <t>6293815</t>
  </si>
  <si>
    <t>6293821</t>
  </si>
  <si>
    <t>6293828</t>
  </si>
  <si>
    <t>6293834</t>
  </si>
  <si>
    <t>6295171</t>
  </si>
  <si>
    <t>6295179</t>
  </si>
  <si>
    <t>6295181</t>
  </si>
  <si>
    <t>13014308</t>
  </si>
  <si>
    <t>jennifer spears</t>
  </si>
  <si>
    <t>440 212 9421</t>
  </si>
  <si>
    <t>900   TOLLIS PKWY</t>
  </si>
  <si>
    <t xml:space="preserve">   605</t>
  </si>
  <si>
    <t>SABTQTBTF</t>
  </si>
  <si>
    <t>1443.95</t>
  </si>
  <si>
    <t>1060.3</t>
  </si>
  <si>
    <t>201.04</t>
  </si>
  <si>
    <t>171.54</t>
  </si>
  <si>
    <t>11.07</t>
  </si>
  <si>
    <t>440 212-9421</t>
  </si>
  <si>
    <t>6295186</t>
  </si>
  <si>
    <t>6295187</t>
  </si>
  <si>
    <t>6295201</t>
  </si>
  <si>
    <t>Tech#</t>
  </si>
  <si>
    <t>Name</t>
  </si>
  <si>
    <t>Assigned Date</t>
  </si>
  <si>
    <t>Days</t>
  </si>
  <si>
    <t>Serial Number</t>
  </si>
  <si>
    <t>Item</t>
  </si>
  <si>
    <t>Description</t>
  </si>
  <si>
    <t>Type</t>
  </si>
  <si>
    <t>DUBW32N-UBEE DVW32</t>
  </si>
  <si>
    <t>ROUTER</t>
  </si>
  <si>
    <t>QBAJ1B8000973</t>
  </si>
  <si>
    <t>DLINK SINGLE BAND</t>
  </si>
  <si>
    <t>DIG S/A EXPLORER 8</t>
  </si>
  <si>
    <t>HD</t>
  </si>
  <si>
    <t>DIG S/A 8240HDC HD</t>
  </si>
  <si>
    <t>SABSZXBCB</t>
  </si>
  <si>
    <t>DIG S/A 4240HDC HD</t>
  </si>
  <si>
    <t>DIG S/A - ROVI 464</t>
  </si>
  <si>
    <t>SACDDGJSZ</t>
  </si>
  <si>
    <t>GSH8742</t>
  </si>
  <si>
    <t>DSG S/A - TRIO 874</t>
  </si>
  <si>
    <t>SACDLSMRT</t>
  </si>
  <si>
    <t>GI:SB-6180</t>
  </si>
  <si>
    <t>SA:DPQ3212-NO BATT</t>
  </si>
  <si>
    <t>EMTA</t>
  </si>
  <si>
    <t>CISCO:DPC3825 GATE</t>
  </si>
  <si>
    <t>3HW14AW00242A</t>
  </si>
  <si>
    <t>NETGEAR CG3000DV2</t>
  </si>
  <si>
    <t>3111335E01384</t>
  </si>
  <si>
    <t>NEATGEAR DUALBAND</t>
  </si>
  <si>
    <t>SABVJPCVV</t>
  </si>
  <si>
    <t>GSH1642</t>
  </si>
  <si>
    <t>DSG S/A - TRIO 164</t>
  </si>
  <si>
    <t>SABXKFDSL</t>
  </si>
  <si>
    <t>SABXRSQSM</t>
  </si>
  <si>
    <t>GSH8642</t>
  </si>
  <si>
    <t>DSG S/A - TRIO 864</t>
  </si>
  <si>
    <t>SACCXLXLZ</t>
  </si>
  <si>
    <t>DSG S/A - TRIO 474</t>
  </si>
  <si>
    <t>SACCXMDGC</t>
  </si>
  <si>
    <t>SACCXPGQZ</t>
  </si>
  <si>
    <t>SACDGCVKP</t>
  </si>
  <si>
    <t>SACDLSMGP</t>
  </si>
  <si>
    <t>SA:DPQ3925-NO BATT</t>
  </si>
  <si>
    <t>3HW144WD02251</t>
  </si>
  <si>
    <t>DAH4M13003423</t>
  </si>
  <si>
    <t>DIG S/A EXPLORER 3</t>
  </si>
  <si>
    <t>STAND</t>
  </si>
  <si>
    <t>SACDDFMKD</t>
  </si>
  <si>
    <t>SACGXTTQM</t>
  </si>
  <si>
    <t>DSG S/A - TRIO 986</t>
  </si>
  <si>
    <t>3HW14AWW007EE</t>
  </si>
  <si>
    <t>FakeTech</t>
  </si>
  <si>
    <t>Copy tracking data to this spreadsheet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</si>
</sst>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164" formatCode="_(\$* #,##0.00_);_(\$* \(#,##0.00\);_(\$* \-??_);_(@_)"/>
    <numFmt numFmtId="165" formatCode="&quot;$&quot;#,##0.00"/>
    <numFmt numFmtId="166" formatCode="dddd"/>
    <numFmt numFmtId="167" formatCode="m/d;@"/>
    <numFmt numFmtId="168" formatCode="_(&quot;$&quot;* #,##0_);_(&quot;$&quot;* \(#,##0\);_(&quot;$&quot;* &quot;-&quot;??_);_(@_)"/>
    <numFmt numFmtId="169" formatCode="0.0%"/>
  </numFmts>
  <fonts count="3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7"/>
      <name val="Arial Narrow"/>
      <family val="2"/>
    </font>
    <font>
      <b/>
      <sz val="8"/>
      <name val="Arial"/>
      <family val="2"/>
    </font>
    <font>
      <u/>
      <sz val="8.25"/>
      <color indexed="12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b/>
      <sz val="11"/>
      <color rgb="FFFF0000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4"/>
      <color indexed="8"/>
      <name val="Calibri"/>
      <family val="2"/>
    </font>
    <font>
      <sz val="12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2"/>
      <color indexed="8"/>
      <name val="Calibri"/>
      <family val="2"/>
    </font>
    <font>
      <sz val="12"/>
      <color indexed="56"/>
      <name val="Calibri"/>
      <family val="2"/>
    </font>
    <font>
      <sz val="12"/>
      <name val="Calibri"/>
      <family val="2"/>
    </font>
    <font>
      <b/>
      <sz val="12"/>
      <color indexed="1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6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9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9" borderId="0" applyNumberFormat="0" applyBorder="0" applyAlignment="0" applyProtection="0"/>
    <xf numFmtId="0" fontId="10" fillId="3" borderId="0" applyNumberFormat="0" applyBorder="0" applyAlignment="0" applyProtection="0"/>
    <xf numFmtId="0" fontId="11" fillId="20" borderId="1" applyNumberFormat="0" applyAlignment="0" applyProtection="0"/>
    <xf numFmtId="0" fontId="12" fillId="21" borderId="2" applyNumberFormat="0" applyAlignment="0" applyProtection="0"/>
    <xf numFmtId="0" fontId="7" fillId="0" borderId="3" applyNumberFormat="0" applyFill="0" applyBorder="0" applyProtection="0">
      <alignment horizontal="center"/>
    </xf>
    <xf numFmtId="0" fontId="7" fillId="0" borderId="0" applyNumberFormat="0" applyFill="0" applyBorder="0" applyProtection="0">
      <alignment horizontal="center"/>
    </xf>
    <xf numFmtId="0" fontId="7" fillId="0" borderId="3" applyNumberFormat="0" applyFill="0" applyBorder="0" applyProtection="0">
      <alignment horizontal="center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4" borderId="0" applyNumberFormat="0" applyBorder="0" applyAlignment="0" applyProtection="0"/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2" fillId="0" borderId="0" applyNumberForma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2" fillId="0" borderId="0" applyNumberForma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6" fillId="0" borderId="0" applyNumberFormat="0" applyFill="0" applyBorder="0" applyAlignment="0" applyProtection="0">
      <alignment horizontal="center"/>
    </xf>
    <xf numFmtId="0" fontId="6" fillId="0" borderId="0" applyNumberForma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2" fillId="0" borderId="0" applyNumberForma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7" fillId="0" borderId="6" applyNumberFormat="0" applyFill="0" applyAlignment="0" applyProtection="0"/>
    <xf numFmtId="0" fontId="17" fillId="0" borderId="0" applyNumberForma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8" fillId="0" borderId="0" applyNumberFormat="0" applyFill="0" applyBorder="0" applyAlignment="0" applyProtection="0"/>
    <xf numFmtId="0" fontId="18" fillId="7" borderId="1" applyNumberFormat="0" applyAlignment="0" applyProtection="0"/>
    <xf numFmtId="0" fontId="19" fillId="0" borderId="7" applyNumberFormat="0" applyFill="0" applyAlignment="0" applyProtection="0"/>
    <xf numFmtId="0" fontId="20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2" fillId="23" borderId="8" applyNumberFormat="0" applyAlignment="0" applyProtection="0"/>
    <xf numFmtId="0" fontId="21" fillId="20" borderId="9" applyNumberForma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20" fontId="4" fillId="0" borderId="0" applyFont="0" applyFill="0" applyBorder="0" applyAlignment="0" applyProtection="0"/>
    <xf numFmtId="20" fontId="4" fillId="0" borderId="0" applyFont="0" applyFill="0" applyBorder="0" applyAlignment="0" applyProtection="0"/>
    <xf numFmtId="20" fontId="2" fillId="0" borderId="0" applyFill="0" applyBorder="0" applyAlignment="0" applyProtection="0"/>
    <xf numFmtId="20" fontId="4" fillId="0" borderId="0" applyFont="0" applyFill="0" applyBorder="0" applyAlignment="0" applyProtection="0"/>
    <xf numFmtId="20" fontId="4" fillId="0" borderId="0" applyFont="0" applyFill="0" applyBorder="0" applyAlignment="0" applyProtection="0"/>
    <xf numFmtId="20" fontId="4" fillId="0" borderId="0" applyFont="0" applyFill="0" applyBorder="0" applyAlignment="0" applyProtection="0"/>
    <xf numFmtId="20" fontId="4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3" fillId="0" borderId="10" applyNumberFormat="0" applyFill="0" applyAlignment="0" applyProtection="0"/>
    <xf numFmtId="0" fontId="23" fillId="0" borderId="0" applyNumberFormat="0" applyFill="0" applyBorder="0" applyAlignment="0" applyProtection="0"/>
    <xf numFmtId="44" fontId="29" fillId="0" borderId="0" applyFont="0" applyFill="0" applyBorder="0" applyAlignment="0" applyProtection="0"/>
    <xf numFmtId="9" fontId="29" fillId="0" borderId="0" applyFont="0" applyFill="0" applyBorder="0" applyAlignment="0" applyProtection="0"/>
  </cellStyleXfs>
  <cellXfs count="191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 applyAlignment="1">
      <alignment horizontal="right" vertical="top"/>
    </xf>
    <xf numFmtId="0" fontId="0" fillId="0" borderId="0" xfId="0" applyAlignment="1">
      <alignment vertical="top" wrapText="1"/>
    </xf>
    <xf numFmtId="0" fontId="25" fillId="0" borderId="0" xfId="0" applyFont="1"/>
    <xf numFmtId="0" fontId="25" fillId="0" borderId="11" xfId="0" applyFont="1" applyBorder="1" applyAlignment="1">
      <alignment horizontal="right"/>
    </xf>
    <xf numFmtId="0" fontId="25" fillId="0" borderId="11" xfId="0" applyFont="1" applyFill="1" applyBorder="1" applyAlignment="1">
      <alignment horizontal="center"/>
    </xf>
    <xf numFmtId="0" fontId="25" fillId="0" borderId="0" xfId="0" applyFont="1" applyAlignment="1">
      <alignment horizontal="right"/>
    </xf>
    <xf numFmtId="0" fontId="25" fillId="0" borderId="0" xfId="0" applyFont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/>
    </xf>
    <xf numFmtId="0" fontId="26" fillId="0" borderId="0" xfId="0" applyFont="1" applyFill="1" applyBorder="1" applyAlignment="1">
      <alignment horizontal="left"/>
    </xf>
    <xf numFmtId="49" fontId="25" fillId="0" borderId="11" xfId="0" applyNumberFormat="1" applyFont="1" applyBorder="1"/>
    <xf numFmtId="49" fontId="25" fillId="0" borderId="19" xfId="0" applyNumberFormat="1" applyFont="1" applyBorder="1"/>
    <xf numFmtId="49" fontId="25" fillId="0" borderId="26" xfId="0" applyNumberFormat="1" applyFont="1" applyBorder="1"/>
    <xf numFmtId="49" fontId="25" fillId="0" borderId="13" xfId="0" applyNumberFormat="1" applyFont="1" applyBorder="1"/>
    <xf numFmtId="0" fontId="26" fillId="25" borderId="22" xfId="0" applyFont="1" applyFill="1" applyBorder="1" applyAlignment="1">
      <alignment horizontal="center"/>
    </xf>
    <xf numFmtId="0" fontId="26" fillId="25" borderId="23" xfId="0" applyFont="1" applyFill="1" applyBorder="1" applyAlignment="1">
      <alignment horizontal="center"/>
    </xf>
    <xf numFmtId="0" fontId="26" fillId="25" borderId="24" xfId="0" applyFont="1" applyFill="1" applyBorder="1" applyAlignment="1">
      <alignment horizontal="center"/>
    </xf>
    <xf numFmtId="49" fontId="25" fillId="0" borderId="20" xfId="0" applyNumberFormat="1" applyFont="1" applyBorder="1" applyAlignment="1">
      <alignment horizontal="center"/>
    </xf>
    <xf numFmtId="49" fontId="25" fillId="0" borderId="25" xfId="0" applyNumberFormat="1" applyFont="1" applyBorder="1" applyAlignment="1">
      <alignment horizontal="center"/>
    </xf>
    <xf numFmtId="14" fontId="25" fillId="0" borderId="0" xfId="0" applyNumberFormat="1" applyFont="1" applyFill="1" applyBorder="1" applyAlignment="1">
      <alignment horizontal="center"/>
    </xf>
    <xf numFmtId="14" fontId="25" fillId="0" borderId="11" xfId="0" applyNumberFormat="1" applyFont="1" applyFill="1" applyBorder="1" applyAlignment="1">
      <alignment horizontal="center"/>
    </xf>
    <xf numFmtId="44" fontId="25" fillId="0" borderId="0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8" xfId="0" applyFont="1" applyBorder="1" applyAlignment="1">
      <alignment horizontal="right"/>
    </xf>
    <xf numFmtId="0" fontId="0" fillId="24" borderId="17" xfId="0" applyFont="1" applyFill="1" applyBorder="1" applyAlignment="1">
      <alignment horizontal="center"/>
    </xf>
    <xf numFmtId="0" fontId="1" fillId="0" borderId="12" xfId="0" applyFont="1" applyBorder="1" applyAlignment="1">
      <alignment horizontal="right"/>
    </xf>
    <xf numFmtId="0" fontId="0" fillId="24" borderId="14" xfId="0" applyFont="1" applyFill="1" applyBorder="1" applyAlignment="1">
      <alignment horizontal="center"/>
    </xf>
    <xf numFmtId="0" fontId="1" fillId="0" borderId="12" xfId="0" applyFont="1" applyFill="1" applyBorder="1" applyAlignment="1">
      <alignment horizontal="right"/>
    </xf>
    <xf numFmtId="0" fontId="1" fillId="0" borderId="15" xfId="0" applyFont="1" applyFill="1" applyBorder="1" applyAlignment="1">
      <alignment horizontal="right"/>
    </xf>
    <xf numFmtId="0" fontId="0" fillId="24" borderId="16" xfId="0" applyFont="1" applyFill="1" applyBorder="1" applyAlignment="1">
      <alignment horizontal="center"/>
    </xf>
    <xf numFmtId="1" fontId="25" fillId="0" borderId="11" xfId="0" applyNumberFormat="1" applyFont="1" applyFill="1" applyBorder="1" applyAlignment="1">
      <alignment horizontal="center"/>
    </xf>
    <xf numFmtId="49" fontId="0" fillId="0" borderId="0" xfId="0" applyNumberFormat="1" applyFont="1" applyFill="1"/>
    <xf numFmtId="14" fontId="25" fillId="0" borderId="11" xfId="0" applyNumberFormat="1" applyFont="1" applyFill="1" applyBorder="1" applyAlignment="1">
      <alignment horizontal="right"/>
    </xf>
    <xf numFmtId="0" fontId="0" fillId="0" borderId="0" xfId="0" applyFont="1" applyFill="1"/>
    <xf numFmtId="14" fontId="0" fillId="0" borderId="0" xfId="0" applyNumberFormat="1" applyFont="1" applyFill="1"/>
    <xf numFmtId="165" fontId="0" fillId="0" borderId="0" xfId="0" applyNumberFormat="1" applyFont="1" applyFill="1"/>
    <xf numFmtId="0" fontId="0" fillId="24" borderId="14" xfId="0" applyFont="1" applyFill="1" applyBorder="1" applyAlignment="1">
      <alignment horizontal="center" wrapText="1"/>
    </xf>
    <xf numFmtId="0" fontId="27" fillId="0" borderId="0" xfId="0" applyFont="1" applyAlignment="1" applyProtection="1">
      <alignment wrapText="1"/>
    </xf>
    <xf numFmtId="0" fontId="27" fillId="0" borderId="0" xfId="0" applyFont="1" applyBorder="1" applyAlignment="1" applyProtection="1">
      <alignment horizontal="center" wrapText="1"/>
    </xf>
    <xf numFmtId="0" fontId="27" fillId="0" borderId="0" xfId="0" applyFont="1" applyFill="1" applyBorder="1" applyAlignment="1" applyProtection="1">
      <alignment horizontal="center"/>
    </xf>
    <xf numFmtId="0" fontId="27" fillId="0" borderId="0" xfId="0" applyFont="1" applyProtection="1"/>
    <xf numFmtId="0" fontId="27" fillId="0" borderId="0" xfId="0" applyFont="1" applyFill="1" applyBorder="1" applyAlignment="1" applyProtection="1">
      <alignment horizontal="center" wrapText="1"/>
    </xf>
    <xf numFmtId="44" fontId="27" fillId="0" borderId="0" xfId="32" applyFont="1" applyFill="1" applyBorder="1" applyAlignment="1" applyProtection="1">
      <alignment horizontal="center"/>
    </xf>
    <xf numFmtId="44" fontId="27" fillId="0" borderId="0" xfId="32" applyFont="1" applyFill="1" applyBorder="1" applyAlignment="1" applyProtection="1">
      <alignment horizontal="center" wrapText="1"/>
    </xf>
    <xf numFmtId="44" fontId="27" fillId="0" borderId="0" xfId="0" applyNumberFormat="1" applyFont="1" applyFill="1" applyBorder="1" applyAlignment="1" applyProtection="1">
      <alignment horizontal="center"/>
    </xf>
    <xf numFmtId="0" fontId="27" fillId="0" borderId="0" xfId="0" applyFont="1" applyAlignment="1" applyProtection="1"/>
    <xf numFmtId="0" fontId="28" fillId="0" borderId="0" xfId="0" applyFont="1" applyProtection="1"/>
    <xf numFmtId="0" fontId="28" fillId="0" borderId="0" xfId="0" applyFont="1" applyAlignment="1" applyProtection="1">
      <alignment horizontal="center" wrapText="1"/>
    </xf>
    <xf numFmtId="0" fontId="28" fillId="0" borderId="0" xfId="0" applyFont="1" applyAlignment="1" applyProtection="1">
      <alignment horizontal="center"/>
    </xf>
    <xf numFmtId="0" fontId="28" fillId="0" borderId="0" xfId="0" applyNumberFormat="1" applyFont="1" applyProtection="1"/>
    <xf numFmtId="0" fontId="26" fillId="0" borderId="0" xfId="0" applyFont="1" applyFill="1"/>
    <xf numFmtId="0" fontId="1" fillId="0" borderId="0" xfId="0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/>
    </xf>
    <xf numFmtId="0" fontId="0" fillId="0" borderId="0" xfId="0" applyFill="1"/>
    <xf numFmtId="0" fontId="26" fillId="29" borderId="27" xfId="0" applyFont="1" applyFill="1" applyBorder="1"/>
    <xf numFmtId="0" fontId="26" fillId="29" borderId="49" xfId="0" applyFont="1" applyFill="1" applyBorder="1"/>
    <xf numFmtId="0" fontId="26" fillId="29" borderId="50" xfId="0" applyFont="1" applyFill="1" applyBorder="1"/>
    <xf numFmtId="0" fontId="1" fillId="32" borderId="43" xfId="0" applyFont="1" applyFill="1" applyBorder="1" applyAlignment="1">
      <alignment horizontal="center" vertical="center"/>
    </xf>
    <xf numFmtId="14" fontId="1" fillId="32" borderId="47" xfId="0" applyNumberFormat="1" applyFont="1" applyFill="1" applyBorder="1" applyAlignment="1">
      <alignment horizontal="center"/>
    </xf>
    <xf numFmtId="0" fontId="1" fillId="32" borderId="51" xfId="0" applyFont="1" applyFill="1" applyBorder="1" applyAlignment="1">
      <alignment horizontal="center" vertical="center"/>
    </xf>
    <xf numFmtId="14" fontId="1" fillId="32" borderId="29" xfId="0" applyNumberFormat="1" applyFont="1" applyFill="1" applyBorder="1" applyAlignment="1">
      <alignment horizontal="center"/>
    </xf>
    <xf numFmtId="0" fontId="1" fillId="32" borderId="53" xfId="0" applyFont="1" applyFill="1" applyBorder="1" applyAlignment="1">
      <alignment horizontal="center" vertical="center"/>
    </xf>
    <xf numFmtId="14" fontId="1" fillId="32" borderId="54" xfId="0" applyNumberFormat="1" applyFont="1" applyFill="1" applyBorder="1" applyAlignment="1">
      <alignment horizontal="center"/>
    </xf>
    <xf numFmtId="0" fontId="26" fillId="30" borderId="27" xfId="0" applyFont="1" applyFill="1" applyBorder="1"/>
    <xf numFmtId="0" fontId="26" fillId="30" borderId="49" xfId="0" applyFont="1" applyFill="1" applyBorder="1"/>
    <xf numFmtId="0" fontId="26" fillId="30" borderId="50" xfId="0" applyFont="1" applyFill="1" applyBorder="1"/>
    <xf numFmtId="0" fontId="1" fillId="31" borderId="43" xfId="0" applyFont="1" applyFill="1" applyBorder="1" applyAlignment="1">
      <alignment horizontal="center" vertical="center"/>
    </xf>
    <xf numFmtId="14" fontId="1" fillId="31" borderId="47" xfId="0" applyNumberFormat="1" applyFont="1" applyFill="1" applyBorder="1" applyAlignment="1">
      <alignment horizontal="center"/>
    </xf>
    <xf numFmtId="0" fontId="1" fillId="31" borderId="51" xfId="0" applyFont="1" applyFill="1" applyBorder="1" applyAlignment="1">
      <alignment horizontal="center" vertical="center"/>
    </xf>
    <xf numFmtId="14" fontId="1" fillId="31" borderId="29" xfId="0" applyNumberFormat="1" applyFont="1" applyFill="1" applyBorder="1" applyAlignment="1">
      <alignment horizontal="center"/>
    </xf>
    <xf numFmtId="0" fontId="1" fillId="31" borderId="56" xfId="0" applyFont="1" applyFill="1" applyBorder="1" applyAlignment="1">
      <alignment horizontal="center" vertical="center"/>
    </xf>
    <xf numFmtId="14" fontId="1" fillId="31" borderId="57" xfId="0" applyNumberFormat="1" applyFont="1" applyFill="1" applyBorder="1" applyAlignment="1">
      <alignment horizontal="center"/>
    </xf>
    <xf numFmtId="0" fontId="0" fillId="0" borderId="52" xfId="0" applyNumberFormat="1" applyBorder="1" applyAlignment="1">
      <alignment horizontal="right"/>
    </xf>
    <xf numFmtId="0" fontId="0" fillId="0" borderId="55" xfId="0" applyNumberFormat="1" applyBorder="1" applyAlignment="1">
      <alignment horizontal="right"/>
    </xf>
    <xf numFmtId="0" fontId="0" fillId="0" borderId="48" xfId="0" applyNumberFormat="1" applyBorder="1" applyAlignment="1">
      <alignment horizontal="right"/>
    </xf>
    <xf numFmtId="0" fontId="0" fillId="0" borderId="29" xfId="0" applyNumberFormat="1" applyBorder="1" applyAlignment="1">
      <alignment horizontal="right"/>
    </xf>
    <xf numFmtId="0" fontId="0" fillId="0" borderId="54" xfId="0" applyNumberFormat="1" applyBorder="1" applyAlignment="1">
      <alignment horizontal="right"/>
    </xf>
    <xf numFmtId="0" fontId="0" fillId="0" borderId="47" xfId="0" applyNumberFormat="1" applyBorder="1" applyAlignment="1">
      <alignment horizontal="right"/>
    </xf>
    <xf numFmtId="0" fontId="0" fillId="0" borderId="52" xfId="0" applyBorder="1" applyAlignment="1">
      <alignment horizontal="right"/>
    </xf>
    <xf numFmtId="0" fontId="0" fillId="0" borderId="55" xfId="0" applyBorder="1" applyAlignment="1">
      <alignment horizontal="right"/>
    </xf>
    <xf numFmtId="0" fontId="0" fillId="0" borderId="48" xfId="0" applyBorder="1" applyAlignment="1">
      <alignment horizontal="right"/>
    </xf>
    <xf numFmtId="0" fontId="0" fillId="0" borderId="29" xfId="0" applyBorder="1" applyAlignment="1">
      <alignment horizontal="right"/>
    </xf>
    <xf numFmtId="0" fontId="0" fillId="0" borderId="54" xfId="0" applyBorder="1" applyAlignment="1">
      <alignment horizontal="right"/>
    </xf>
    <xf numFmtId="0" fontId="0" fillId="0" borderId="47" xfId="0" applyBorder="1" applyAlignment="1">
      <alignment horizontal="right"/>
    </xf>
    <xf numFmtId="165" fontId="0" fillId="0" borderId="52" xfId="0" applyNumberFormat="1" applyBorder="1" applyAlignment="1">
      <alignment horizontal="right"/>
    </xf>
    <xf numFmtId="165" fontId="0" fillId="0" borderId="55" xfId="0" applyNumberFormat="1" applyBorder="1" applyAlignment="1">
      <alignment horizontal="right"/>
    </xf>
    <xf numFmtId="165" fontId="0" fillId="0" borderId="48" xfId="0" applyNumberFormat="1" applyBorder="1" applyAlignment="1">
      <alignment horizontal="right"/>
    </xf>
    <xf numFmtId="165" fontId="0" fillId="0" borderId="29" xfId="0" applyNumberFormat="1" applyBorder="1" applyAlignment="1">
      <alignment horizontal="right"/>
    </xf>
    <xf numFmtId="165" fontId="0" fillId="0" borderId="54" xfId="0" applyNumberFormat="1" applyBorder="1" applyAlignment="1">
      <alignment horizontal="right"/>
    </xf>
    <xf numFmtId="165" fontId="0" fillId="0" borderId="47" xfId="0" applyNumberFormat="1" applyBorder="1" applyAlignment="1">
      <alignment horizontal="right"/>
    </xf>
    <xf numFmtId="0" fontId="30" fillId="33" borderId="27" xfId="0" applyFont="1" applyFill="1" applyBorder="1" applyAlignment="1">
      <alignment horizontal="center" wrapText="1"/>
    </xf>
    <xf numFmtId="0" fontId="30" fillId="33" borderId="34" xfId="0" applyFont="1" applyFill="1" applyBorder="1" applyAlignment="1">
      <alignment horizontal="center" wrapText="1"/>
    </xf>
    <xf numFmtId="0" fontId="30" fillId="33" borderId="35" xfId="0" applyFont="1" applyFill="1" applyBorder="1" applyAlignment="1">
      <alignment horizontal="center" wrapText="1"/>
    </xf>
    <xf numFmtId="0" fontId="30" fillId="33" borderId="58" xfId="0" applyFont="1" applyFill="1" applyBorder="1" applyAlignment="1">
      <alignment horizontal="center" wrapText="1"/>
    </xf>
    <xf numFmtId="0" fontId="30" fillId="33" borderId="59" xfId="0" applyFont="1" applyFill="1" applyBorder="1" applyAlignment="1">
      <alignment horizontal="center" wrapText="1"/>
    </xf>
    <xf numFmtId="167" fontId="0" fillId="0" borderId="28" xfId="0" applyNumberFormat="1" applyFont="1" applyBorder="1" applyAlignment="1">
      <alignment horizontal="center"/>
    </xf>
    <xf numFmtId="0" fontId="0" fillId="0" borderId="12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14" xfId="0" applyFont="1" applyBorder="1" applyAlignment="1">
      <alignment horizontal="center"/>
    </xf>
    <xf numFmtId="9" fontId="1" fillId="0" borderId="11" xfId="94" applyFont="1" applyBorder="1" applyAlignment="1">
      <alignment horizontal="center"/>
    </xf>
    <xf numFmtId="168" fontId="0" fillId="0" borderId="11" xfId="93" applyNumberFormat="1" applyFont="1" applyBorder="1" applyAlignment="1" applyProtection="1">
      <alignment horizontal="center"/>
      <protection locked="0"/>
    </xf>
    <xf numFmtId="44" fontId="0" fillId="0" borderId="14" xfId="0" applyNumberFormat="1" applyFont="1" applyBorder="1" applyAlignment="1">
      <alignment horizontal="center"/>
    </xf>
    <xf numFmtId="0" fontId="0" fillId="0" borderId="14" xfId="0" applyFont="1" applyBorder="1" applyAlignment="1" applyProtection="1">
      <alignment horizontal="center"/>
      <protection locked="0"/>
    </xf>
    <xf numFmtId="169" fontId="1" fillId="0" borderId="14" xfId="94" applyNumberFormat="1" applyFont="1" applyBorder="1" applyAlignment="1">
      <alignment horizontal="center"/>
    </xf>
    <xf numFmtId="167" fontId="0" fillId="0" borderId="60" xfId="0" applyNumberFormat="1" applyFont="1" applyBorder="1" applyAlignment="1">
      <alignment horizontal="center"/>
    </xf>
    <xf numFmtId="0" fontId="0" fillId="0" borderId="39" xfId="0" applyFont="1" applyBorder="1" applyAlignment="1" applyProtection="1">
      <alignment horizontal="center"/>
      <protection locked="0"/>
    </xf>
    <xf numFmtId="0" fontId="0" fillId="0" borderId="26" xfId="0" applyFont="1" applyBorder="1" applyAlignment="1" applyProtection="1">
      <alignment horizontal="center"/>
      <protection locked="0"/>
    </xf>
    <xf numFmtId="0" fontId="0" fillId="0" borderId="61" xfId="0" applyFont="1" applyBorder="1" applyAlignment="1">
      <alignment horizontal="center"/>
    </xf>
    <xf numFmtId="9" fontId="1" fillId="0" borderId="26" xfId="94" applyFont="1" applyBorder="1" applyAlignment="1">
      <alignment horizontal="center"/>
    </xf>
    <xf numFmtId="168" fontId="0" fillId="0" borderId="26" xfId="93" applyNumberFormat="1" applyFont="1" applyBorder="1" applyAlignment="1" applyProtection="1">
      <alignment horizontal="center"/>
      <protection locked="0"/>
    </xf>
    <xf numFmtId="44" fontId="0" fillId="0" borderId="61" xfId="0" applyNumberFormat="1" applyFont="1" applyBorder="1" applyAlignment="1">
      <alignment horizontal="center"/>
    </xf>
    <xf numFmtId="0" fontId="0" fillId="0" borderId="61" xfId="0" applyFont="1" applyBorder="1" applyAlignment="1" applyProtection="1">
      <alignment horizontal="center"/>
      <protection locked="0"/>
    </xf>
    <xf numFmtId="169" fontId="1" fillId="0" borderId="61" xfId="94" applyNumberFormat="1" applyFont="1" applyBorder="1" applyAlignment="1">
      <alignment horizontal="center"/>
    </xf>
    <xf numFmtId="167" fontId="1" fillId="34" borderId="32" xfId="0" applyNumberFormat="1" applyFont="1" applyFill="1" applyBorder="1" applyAlignment="1">
      <alignment horizontal="center"/>
    </xf>
    <xf numFmtId="3" fontId="1" fillId="34" borderId="34" xfId="0" applyNumberFormat="1" applyFont="1" applyFill="1" applyBorder="1" applyAlignment="1" applyProtection="1">
      <alignment horizontal="center"/>
      <protection locked="0"/>
    </xf>
    <xf numFmtId="3" fontId="1" fillId="34" borderId="35" xfId="0" applyNumberFormat="1" applyFont="1" applyFill="1" applyBorder="1" applyAlignment="1" applyProtection="1">
      <alignment horizontal="center"/>
      <protection locked="0"/>
    </xf>
    <xf numFmtId="3" fontId="1" fillId="34" borderId="58" xfId="0" applyNumberFormat="1" applyFont="1" applyFill="1" applyBorder="1" applyAlignment="1">
      <alignment horizontal="center"/>
    </xf>
    <xf numFmtId="9" fontId="1" fillId="34" borderId="35" xfId="94" applyFont="1" applyFill="1" applyBorder="1" applyAlignment="1">
      <alignment horizontal="center"/>
    </xf>
    <xf numFmtId="168" fontId="1" fillId="34" borderId="35" xfId="93" applyNumberFormat="1" applyFont="1" applyFill="1" applyBorder="1" applyAlignment="1" applyProtection="1">
      <alignment horizontal="center"/>
      <protection locked="0"/>
    </xf>
    <xf numFmtId="44" fontId="1" fillId="34" borderId="58" xfId="93" applyNumberFormat="1" applyFont="1" applyFill="1" applyBorder="1" applyAlignment="1">
      <alignment horizontal="center"/>
    </xf>
    <xf numFmtId="3" fontId="1" fillId="34" borderId="58" xfId="0" applyNumberFormat="1" applyFont="1" applyFill="1" applyBorder="1" applyAlignment="1" applyProtection="1">
      <alignment horizontal="center"/>
      <protection locked="0"/>
    </xf>
    <xf numFmtId="169" fontId="1" fillId="34" borderId="58" xfId="94" applyNumberFormat="1" applyFont="1" applyFill="1" applyBorder="1" applyAlignment="1">
      <alignment horizontal="center"/>
    </xf>
    <xf numFmtId="0" fontId="31" fillId="0" borderId="0" xfId="0" applyFont="1" applyProtection="1"/>
    <xf numFmtId="0" fontId="28" fillId="28" borderId="32" xfId="0" applyFont="1" applyFill="1" applyBorder="1" applyAlignment="1" applyProtection="1">
      <alignment horizontal="center" wrapText="1"/>
    </xf>
    <xf numFmtId="166" fontId="31" fillId="28" borderId="34" xfId="0" applyNumberFormat="1" applyFont="1" applyFill="1" applyBorder="1" applyAlignment="1" applyProtection="1">
      <alignment horizontal="center" wrapText="1"/>
    </xf>
    <xf numFmtId="166" fontId="31" fillId="28" borderId="35" xfId="0" applyNumberFormat="1" applyFont="1" applyFill="1" applyBorder="1" applyAlignment="1" applyProtection="1">
      <alignment horizontal="center" wrapText="1"/>
    </xf>
    <xf numFmtId="0" fontId="31" fillId="28" borderId="32" xfId="0" applyFont="1" applyFill="1" applyBorder="1" applyAlignment="1" applyProtection="1">
      <alignment horizontal="center" wrapText="1"/>
    </xf>
    <xf numFmtId="0" fontId="31" fillId="0" borderId="36" xfId="0" applyFont="1" applyBorder="1" applyAlignment="1" applyProtection="1">
      <alignment horizontal="center" wrapText="1"/>
    </xf>
    <xf numFmtId="44" fontId="32" fillId="0" borderId="18" xfId="32" applyFont="1" applyFill="1" applyBorder="1" applyAlignment="1" applyProtection="1">
      <alignment horizontal="center" wrapText="1"/>
      <protection locked="0"/>
    </xf>
    <xf numFmtId="44" fontId="32" fillId="0" borderId="37" xfId="32" applyFont="1" applyFill="1" applyBorder="1" applyAlignment="1" applyProtection="1">
      <alignment horizontal="center" wrapText="1"/>
      <protection locked="0"/>
    </xf>
    <xf numFmtId="44" fontId="32" fillId="0" borderId="17" xfId="32" applyFont="1" applyFill="1" applyBorder="1" applyAlignment="1" applyProtection="1">
      <alignment horizontal="center" wrapText="1"/>
      <protection locked="0"/>
    </xf>
    <xf numFmtId="44" fontId="32" fillId="28" borderId="44" xfId="32" applyFont="1" applyFill="1" applyBorder="1" applyAlignment="1" applyProtection="1">
      <alignment horizontal="center" wrapText="1"/>
    </xf>
    <xf numFmtId="165" fontId="32" fillId="0" borderId="12" xfId="32" applyNumberFormat="1" applyFont="1" applyFill="1" applyBorder="1" applyAlignment="1" applyProtection="1">
      <alignment horizontal="center" wrapText="1"/>
      <protection locked="0"/>
    </xf>
    <xf numFmtId="165" fontId="32" fillId="0" borderId="19" xfId="32" applyNumberFormat="1" applyFont="1" applyFill="1" applyBorder="1" applyAlignment="1" applyProtection="1">
      <alignment horizontal="center" wrapText="1"/>
      <protection locked="0"/>
    </xf>
    <xf numFmtId="165" fontId="32" fillId="0" borderId="14" xfId="32" applyNumberFormat="1" applyFont="1" applyFill="1" applyBorder="1" applyAlignment="1" applyProtection="1">
      <alignment horizontal="center" wrapText="1"/>
      <protection locked="0"/>
    </xf>
    <xf numFmtId="44" fontId="32" fillId="28" borderId="45" xfId="32" applyFont="1" applyFill="1" applyBorder="1" applyAlignment="1" applyProtection="1">
      <alignment horizontal="center" wrapText="1"/>
    </xf>
    <xf numFmtId="1" fontId="33" fillId="0" borderId="12" xfId="32" applyNumberFormat="1" applyFont="1" applyFill="1" applyBorder="1" applyAlignment="1" applyProtection="1">
      <alignment horizontal="center" wrapText="1"/>
      <protection locked="0"/>
    </xf>
    <xf numFmtId="1" fontId="33" fillId="0" borderId="19" xfId="32" applyNumberFormat="1" applyFont="1" applyFill="1" applyBorder="1" applyAlignment="1" applyProtection="1">
      <alignment horizontal="center" wrapText="1"/>
      <protection locked="0"/>
    </xf>
    <xf numFmtId="1" fontId="33" fillId="0" borderId="14" xfId="32" applyNumberFormat="1" applyFont="1" applyFill="1" applyBorder="1" applyAlignment="1" applyProtection="1">
      <alignment horizontal="center" wrapText="1"/>
      <protection locked="0"/>
    </xf>
    <xf numFmtId="1" fontId="32" fillId="28" borderId="45" xfId="32" applyNumberFormat="1" applyFont="1" applyFill="1" applyBorder="1" applyAlignment="1" applyProtection="1">
      <alignment horizontal="center" wrapText="1"/>
    </xf>
    <xf numFmtId="1" fontId="33" fillId="0" borderId="12" xfId="0" applyNumberFormat="1" applyFont="1" applyFill="1" applyBorder="1" applyAlignment="1" applyProtection="1">
      <alignment horizontal="center" wrapText="1"/>
      <protection locked="0"/>
    </xf>
    <xf numFmtId="1" fontId="33" fillId="0" borderId="19" xfId="0" applyNumberFormat="1" applyFont="1" applyFill="1" applyBorder="1" applyAlignment="1" applyProtection="1">
      <alignment horizontal="center" wrapText="1"/>
      <protection locked="0"/>
    </xf>
    <xf numFmtId="1" fontId="33" fillId="0" borderId="14" xfId="0" applyNumberFormat="1" applyFont="1" applyFill="1" applyBorder="1" applyAlignment="1" applyProtection="1">
      <alignment horizontal="center" wrapText="1"/>
      <protection locked="0"/>
    </xf>
    <xf numFmtId="1" fontId="33" fillId="0" borderId="39" xfId="0" applyNumberFormat="1" applyFont="1" applyFill="1" applyBorder="1" applyAlignment="1" applyProtection="1">
      <alignment horizontal="center" wrapText="1"/>
      <protection locked="0"/>
    </xf>
    <xf numFmtId="1" fontId="33" fillId="0" borderId="13" xfId="0" applyNumberFormat="1" applyFont="1" applyFill="1" applyBorder="1" applyAlignment="1" applyProtection="1">
      <alignment horizontal="center" wrapText="1"/>
      <protection locked="0"/>
    </xf>
    <xf numFmtId="1" fontId="33" fillId="0" borderId="11" xfId="0" applyNumberFormat="1" applyFont="1" applyFill="1" applyBorder="1" applyAlignment="1" applyProtection="1">
      <alignment horizontal="center" wrapText="1"/>
      <protection locked="0"/>
    </xf>
    <xf numFmtId="1" fontId="32" fillId="28" borderId="46" xfId="32" applyNumberFormat="1" applyFont="1" applyFill="1" applyBorder="1" applyAlignment="1" applyProtection="1">
      <alignment horizontal="center" wrapText="1"/>
    </xf>
    <xf numFmtId="1" fontId="33" fillId="0" borderId="29" xfId="0" applyNumberFormat="1" applyFont="1" applyFill="1" applyBorder="1" applyAlignment="1" applyProtection="1">
      <alignment horizontal="center" wrapText="1"/>
      <protection locked="0"/>
    </xf>
    <xf numFmtId="1" fontId="33" fillId="0" borderId="40" xfId="0" applyNumberFormat="1" applyFont="1" applyFill="1" applyBorder="1" applyAlignment="1" applyProtection="1">
      <alignment horizontal="center" wrapText="1"/>
      <protection locked="0"/>
    </xf>
    <xf numFmtId="1" fontId="33" fillId="0" borderId="41" xfId="0" applyNumberFormat="1" applyFont="1" applyFill="1" applyBorder="1" applyAlignment="1" applyProtection="1">
      <alignment horizontal="center" wrapText="1"/>
      <protection locked="0"/>
    </xf>
    <xf numFmtId="1" fontId="32" fillId="28" borderId="47" xfId="32" applyNumberFormat="1" applyFont="1" applyFill="1" applyBorder="1" applyAlignment="1" applyProtection="1">
      <alignment horizontal="center" wrapText="1"/>
    </xf>
    <xf numFmtId="0" fontId="28" fillId="28" borderId="27" xfId="0" applyFont="1" applyFill="1" applyBorder="1" applyAlignment="1" applyProtection="1">
      <alignment horizontal="center" wrapText="1"/>
    </xf>
    <xf numFmtId="0" fontId="34" fillId="28" borderId="42" xfId="0" applyFont="1" applyFill="1" applyBorder="1" applyAlignment="1" applyProtection="1">
      <alignment horizontal="center" wrapText="1"/>
    </xf>
    <xf numFmtId="0" fontId="28" fillId="28" borderId="47" xfId="0" applyFont="1" applyFill="1" applyBorder="1" applyAlignment="1" applyProtection="1">
      <alignment horizontal="center" wrapText="1"/>
    </xf>
    <xf numFmtId="0" fontId="28" fillId="0" borderId="0" xfId="0" applyFont="1" applyFill="1" applyBorder="1" applyAlignment="1" applyProtection="1">
      <alignment horizontal="center" wrapText="1"/>
    </xf>
    <xf numFmtId="1" fontId="33" fillId="0" borderId="0" xfId="0" applyNumberFormat="1" applyFont="1" applyFill="1" applyBorder="1" applyAlignment="1" applyProtection="1">
      <alignment horizontal="center" wrapText="1"/>
    </xf>
    <xf numFmtId="0" fontId="28" fillId="0" borderId="0" xfId="0" applyFont="1" applyAlignment="1" applyProtection="1">
      <alignment horizontal="right"/>
    </xf>
    <xf numFmtId="1" fontId="28" fillId="0" borderId="38" xfId="0" applyNumberFormat="1" applyFont="1" applyBorder="1" applyAlignment="1" applyProtection="1">
      <alignment horizontal="center"/>
      <protection locked="0"/>
    </xf>
    <xf numFmtId="0" fontId="28" fillId="0" borderId="0" xfId="0" applyFont="1" applyAlignment="1" applyProtection="1"/>
    <xf numFmtId="0" fontId="28" fillId="0" borderId="0" xfId="0" applyFont="1" applyAlignment="1" applyProtection="1">
      <alignment horizontal="right" indent="1"/>
    </xf>
    <xf numFmtId="10" fontId="28" fillId="0" borderId="38" xfId="79" applyNumberFormat="1" applyFont="1" applyBorder="1" applyAlignment="1" applyProtection="1">
      <alignment horizontal="center"/>
    </xf>
    <xf numFmtId="1" fontId="28" fillId="0" borderId="28" xfId="0" applyNumberFormat="1" applyFont="1" applyBorder="1" applyAlignment="1" applyProtection="1">
      <alignment horizontal="center" wrapText="1"/>
      <protection locked="0"/>
    </xf>
    <xf numFmtId="10" fontId="28" fillId="0" borderId="28" xfId="79" applyNumberFormat="1" applyFont="1" applyBorder="1" applyAlignment="1" applyProtection="1">
      <alignment horizontal="center"/>
    </xf>
    <xf numFmtId="10" fontId="28" fillId="0" borderId="30" xfId="79" applyNumberFormat="1" applyFont="1" applyBorder="1" applyAlignment="1" applyProtection="1">
      <alignment horizontal="center"/>
    </xf>
    <xf numFmtId="1" fontId="28" fillId="0" borderId="31" xfId="0" applyNumberFormat="1" applyFont="1" applyBorder="1" applyAlignment="1" applyProtection="1">
      <alignment horizontal="center" wrapText="1"/>
      <protection locked="0"/>
    </xf>
    <xf numFmtId="0" fontId="31" fillId="28" borderId="27" xfId="0" applyFont="1" applyFill="1" applyBorder="1" applyAlignment="1" applyProtection="1">
      <alignment horizontal="center"/>
    </xf>
    <xf numFmtId="0" fontId="31" fillId="28" borderId="33" xfId="0" applyFont="1" applyFill="1" applyBorder="1" applyAlignment="1" applyProtection="1">
      <alignment horizontal="center"/>
    </xf>
    <xf numFmtId="0" fontId="31" fillId="28" borderId="43" xfId="0" applyFont="1" applyFill="1" applyBorder="1" applyAlignment="1" applyProtection="1">
      <alignment horizontal="center"/>
    </xf>
    <xf numFmtId="0" fontId="31" fillId="0" borderId="0" xfId="0" applyFont="1" applyAlignment="1" applyProtection="1">
      <alignment horizontal="right"/>
    </xf>
    <xf numFmtId="1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/>
    <xf numFmtId="0" fontId="0" fillId="0" borderId="0" xfId="0" quotePrefix="1" applyNumberFormat="1"/>
    <xf numFmtId="0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1" fillId="0" borderId="11" xfId="0" applyFont="1" applyBorder="1"/>
    <xf numFmtId="14" fontId="1" fillId="0" borderId="0" xfId="0" applyNumberFormat="1" applyFont="1"/>
    <xf numFmtId="11" fontId="0" fillId="0" borderId="0" xfId="0" applyNumberFormat="1"/>
    <xf numFmtId="0" fontId="1" fillId="0" borderId="0" xfId="0" applyFont="1" applyAlignment="1">
      <alignment horizontal="center"/>
    </xf>
    <xf numFmtId="0" fontId="26" fillId="26" borderId="19" xfId="0" applyFont="1" applyFill="1" applyBorder="1" applyAlignment="1">
      <alignment horizontal="left"/>
    </xf>
    <xf numFmtId="0" fontId="26" fillId="26" borderId="20" xfId="0" applyFont="1" applyFill="1" applyBorder="1" applyAlignment="1">
      <alignment horizontal="left"/>
    </xf>
    <xf numFmtId="0" fontId="26" fillId="27" borderId="19" xfId="0" applyFont="1" applyFill="1" applyBorder="1" applyAlignment="1">
      <alignment horizontal="left"/>
    </xf>
    <xf numFmtId="0" fontId="26" fillId="27" borderId="21" xfId="0" applyFont="1" applyFill="1" applyBorder="1" applyAlignment="1">
      <alignment horizontal="left"/>
    </xf>
    <xf numFmtId="0" fontId="26" fillId="27" borderId="20" xfId="0" applyFont="1" applyFill="1" applyBorder="1" applyAlignment="1">
      <alignment horizontal="left"/>
    </xf>
  </cellXfs>
  <cellStyles count="95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heck Cell 2" xfId="27"/>
    <cellStyle name="company information" xfId="28"/>
    <cellStyle name="company information 2" xfId="29"/>
    <cellStyle name="company information 3" xfId="30"/>
    <cellStyle name="Currency" xfId="93" builtinId="4"/>
    <cellStyle name="Currency 2" xfId="32"/>
    <cellStyle name="Currency 2 2" xfId="33"/>
    <cellStyle name="Currency 2 3" xfId="34"/>
    <cellStyle name="Currency 3" xfId="35"/>
    <cellStyle name="Currency 4" xfId="31"/>
    <cellStyle name="Explanatory Text 2" xfId="36"/>
    <cellStyle name="Good 2" xfId="37"/>
    <cellStyle name="header description" xfId="38"/>
    <cellStyle name="header description 2" xfId="39"/>
    <cellStyle name="header description 2 2" xfId="40"/>
    <cellStyle name="header description 2 3" xfId="41"/>
    <cellStyle name="header description 2 3 2" xfId="42"/>
    <cellStyle name="header description 2 3 3" xfId="43"/>
    <cellStyle name="header description 2 4" xfId="44"/>
    <cellStyle name="header E/D codes" xfId="45"/>
    <cellStyle name="header E/D codes 2" xfId="46"/>
    <cellStyle name="header E/D codes 2 2" xfId="47"/>
    <cellStyle name="header E/D codes 2 3" xfId="48"/>
    <cellStyle name="header E/D codes 2 3 2" xfId="49"/>
    <cellStyle name="header E/D codes 2 3 3" xfId="50"/>
    <cellStyle name="header E/D codes 2 4" xfId="51"/>
    <cellStyle name="header macro" xfId="52"/>
    <cellStyle name="header macro 2" xfId="53"/>
    <cellStyle name="header total" xfId="54"/>
    <cellStyle name="header total 2" xfId="55"/>
    <cellStyle name="header total 2 2" xfId="56"/>
    <cellStyle name="header total 2 3" xfId="57"/>
    <cellStyle name="header total 2 3 2" xfId="58"/>
    <cellStyle name="header total 2 3 3" xfId="59"/>
    <cellStyle name="header total 2 4" xfId="60"/>
    <cellStyle name="Heading 1 2" xfId="61"/>
    <cellStyle name="Heading 2 2" xfId="62"/>
    <cellStyle name="Heading 3 2" xfId="63"/>
    <cellStyle name="Heading 4 2" xfId="64"/>
    <cellStyle name="Hyperlink 2" xfId="65"/>
    <cellStyle name="Hyperlink 2 2" xfId="66"/>
    <cellStyle name="Input 2" xfId="67"/>
    <cellStyle name="Linked Cell 2" xfId="68"/>
    <cellStyle name="Neutral 2" xfId="69"/>
    <cellStyle name="Normal" xfId="0" builtinId="0"/>
    <cellStyle name="Normal 2" xfId="70"/>
    <cellStyle name="Normal 2 2" xfId="71"/>
    <cellStyle name="Normal 2 2 2" xfId="72"/>
    <cellStyle name="Normal 2 2 2 2" xfId="73"/>
    <cellStyle name="Normal 2 2 3" xfId="74"/>
    <cellStyle name="Normal 3" xfId="75"/>
    <cellStyle name="Note 2" xfId="76"/>
    <cellStyle name="Output 2" xfId="77"/>
    <cellStyle name="Percent" xfId="94" builtinId="5"/>
    <cellStyle name="Percent 2" xfId="79"/>
    <cellStyle name="Percent 2 2" xfId="80"/>
    <cellStyle name="Percent 2 3" xfId="81"/>
    <cellStyle name="Percent 3" xfId="82"/>
    <cellStyle name="Percent 4" xfId="78"/>
    <cellStyle name="time of day" xfId="83"/>
    <cellStyle name="time of day 2" xfId="84"/>
    <cellStyle name="time of day 2 2" xfId="85"/>
    <cellStyle name="time of day 2 3" xfId="86"/>
    <cellStyle name="time of day 2 3 2" xfId="87"/>
    <cellStyle name="time of day 2 3 3" xfId="88"/>
    <cellStyle name="time of day 2 4" xfId="89"/>
    <cellStyle name="Title 2" xfId="90"/>
    <cellStyle name="Total 2" xfId="91"/>
    <cellStyle name="Warning Text 2" xfId="92"/>
  </cellStyles>
  <dxfs count="6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$&quot;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0.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  <vertical style="thin">
          <color indexed="64"/>
        </vertical>
        <horizontal style="medium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auto="1"/>
        </top>
        <bottom style="medium">
          <color auto="1"/>
        </bottom>
        <vertical style="thin">
          <color indexed="64"/>
        </vertical>
        <horizontal style="medium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auto="1"/>
        </top>
        <bottom style="medium">
          <color auto="1"/>
        </bottom>
        <vertical style="thin">
          <color indexed="64"/>
        </vertical>
        <horizontal style="medium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auto="1"/>
        </top>
        <bottom style="medium">
          <color auto="1"/>
        </bottom>
        <vertical style="thin">
          <color indexed="64"/>
        </vertical>
        <horizontal style="medium">
          <color auto="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auto="1"/>
        </top>
        <bottom style="medium">
          <color auto="1"/>
        </bottom>
        <vertical style="thin">
          <color indexed="64"/>
        </vertical>
        <horizontal style="medium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auto="1"/>
        </top>
        <bottom style="medium">
          <color auto="1"/>
        </bottom>
        <vertical style="thin">
          <color indexed="64"/>
        </vertical>
        <horizontal style="medium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medium">
          <color auto="1"/>
        </top>
        <bottom style="medium">
          <color auto="1"/>
        </bottom>
        <vertical style="thin">
          <color indexed="64"/>
        </vertical>
        <horizontal style="medium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medium">
          <color auto="1"/>
        </top>
        <bottom style="medium">
          <color auto="1"/>
        </bottom>
        <vertical style="thin">
          <color auto="1"/>
        </vertical>
        <horizontal style="medium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_(&quot;$&quot;* #,##0_);_(&quot;$&quot;* \(#,##0\);_(&quot;$&quot;* &quot;-&quot;??_);_(@_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medium">
          <color auto="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medium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medium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  <vertical style="thin">
          <color indexed="64"/>
        </vertical>
        <horizontal style="medium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auto="1"/>
        </top>
        <bottom style="medium">
          <color auto="1"/>
        </bottom>
        <vertical style="thin">
          <color indexed="64"/>
        </vertical>
        <horizontal style="medium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medium">
          <color auto="1"/>
        </top>
        <bottom style="medium">
          <color auto="1"/>
        </bottom>
        <vertical style="thin">
          <color indexed="64"/>
        </vertical>
        <horizontal style="medium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m/d;@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condense val="0"/>
        <extend val="0"/>
        <color indexed="41"/>
      </font>
    </dxf>
  </dxfs>
  <tableStyles count="1" defaultTableStyle="TableStyleMedium2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nielle/Documents/Joey/RCH%20Cable/Weekly%20Reports/Payroll%20and%20Timesheets/Payroll%20OHCL152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VO"/>
      <sheetName val="Template Information"/>
      <sheetName val="Minimum Wage"/>
      <sheetName val="Pay Rates"/>
      <sheetName val="Invoice Rates"/>
      <sheetName val="Employee Recap"/>
      <sheetName val="Manager Comments"/>
      <sheetName val="Save Rate Report"/>
      <sheetName val="Override Report"/>
      <sheetName val="Margin Report"/>
      <sheetName val="Employee Weekly Production"/>
      <sheetName val="Invoice 1"/>
      <sheetName val="Invoice 2"/>
      <sheetName val="Invoice 3"/>
      <sheetName val="Invoice 4"/>
      <sheetName val="Employee 1"/>
      <sheetName val="Employee 2"/>
      <sheetName val="Employee 3"/>
      <sheetName val="Employee 4"/>
      <sheetName val="Employee 5"/>
      <sheetName val="Employee 6"/>
      <sheetName val="Employee 7"/>
      <sheetName val="Employee 8"/>
      <sheetName val="Employee 9"/>
      <sheetName val="Employee 10"/>
      <sheetName val="Employee 11"/>
      <sheetName val="Employee 12"/>
      <sheetName val="Employee 13"/>
      <sheetName val="Employee 14"/>
      <sheetName val="Employee 15"/>
      <sheetName val="Employee 16"/>
      <sheetName val="Employee 17"/>
      <sheetName val="Employee 18"/>
      <sheetName val="Employee 19"/>
      <sheetName val="Employee 20"/>
      <sheetName val="Employee 21"/>
      <sheetName val="Employee 22"/>
      <sheetName val="Employee 23"/>
      <sheetName val="Employee 24"/>
      <sheetName val="Employee 25"/>
      <sheetName val="Employee 26"/>
      <sheetName val="Employee 27"/>
      <sheetName val="Employee 28"/>
      <sheetName val="Employee 29"/>
      <sheetName val="Employee 30"/>
      <sheetName val="Employee 31"/>
      <sheetName val="Employee 32"/>
      <sheetName val="Employee 33"/>
      <sheetName val="Employee 34"/>
      <sheetName val="Employee 35"/>
      <sheetName val="Employee 36"/>
      <sheetName val="Employee 37"/>
      <sheetName val="Employee 38"/>
      <sheetName val="Employee 39"/>
      <sheetName val="Employee 40"/>
      <sheetName val="Employee 41"/>
      <sheetName val="Employee 42"/>
      <sheetName val="Employee 43"/>
      <sheetName val="Employee 44"/>
      <sheetName val="Employee 4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</sheetDataSet>
  </externalBook>
</externalLink>
</file>

<file path=xl/tables/table1.xml><?xml version="1.0" encoding="utf-8"?>
<table xmlns="http://schemas.openxmlformats.org/spreadsheetml/2006/main" id="1" name="Table22" displayName="Table22" ref="A5:R11" totalsRowShown="0" headerRowDxfId="64" dataDxfId="62" headerRowBorderDxfId="63" tableBorderDxfId="61">
  <autoFilter ref="A5:R11"/>
  <tableColumns count="18">
    <tableColumn id="1" name="Tech ID" dataDxfId="60"/>
    <tableColumn id="4" name="Orders Issued" dataDxfId="59"/>
    <tableColumn id="5" name="RS/Dups Other" dataDxfId="58"/>
    <tableColumn id="6" name="Net Issued" dataDxfId="57"/>
    <tableColumn id="7" name="Saves (Ct)" dataDxfId="56"/>
    <tableColumn id="8" name="Saves (%)" dataDxfId="55" dataCellStyle="Percent"/>
    <tableColumn id="9" name="Saves     ($)" dataDxfId="54" dataCellStyle="Currency"/>
    <tableColumn id="10" name="Avg per Save" dataDxfId="53"/>
    <tableColumn id="11" name="EQ Assn'd" dataDxfId="52"/>
    <tableColumn id="12" name="CPE Ret'd" dataDxfId="51"/>
    <tableColumn id="13" name="CPE           %" dataDxfId="50" dataCellStyle="Percent"/>
    <tableColumn id="14" name="Prem Dig" dataDxfId="49"/>
    <tableColumn id="15" name="Std Dig" dataDxfId="48"/>
    <tableColumn id="16" name="eMTA   MTA" dataDxfId="47"/>
    <tableColumn id="17" name="Home Sec" dataDxfId="46"/>
    <tableColumn id="18" name="To Be Disco'd" dataDxfId="45"/>
    <tableColumn id="19" name="Discos Done" dataDxfId="44"/>
    <tableColumn id="20" name="Disco         %" dataDxfId="43" dataCellStyle="Percent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9" name="tblTracking" displayName="tblTracking" ref="A1:O315" totalsRowShown="0" headerRowDxfId="42" dataDxfId="41">
  <autoFilter ref="A1:O315"/>
  <sortState ref="A2:N315">
    <sortCondition ref="H2:H315"/>
    <sortCondition ref="K2:K315" customList="SAVE,DISCO,R/S,CANCEL,DUP,UTC"/>
    <sortCondition ref="J2:J315"/>
    <sortCondition ref="I2:I315"/>
  </sortState>
  <tableColumns count="15">
    <tableColumn id="1" name="work_order_number" dataDxfId="40"/>
    <tableColumn id="2" name="account_number" dataDxfId="39"/>
    <tableColumn id="3" name="customer_name" dataDxfId="38"/>
    <tableColumn id="4" name="schedule_date" dataDxfId="37"/>
    <tableColumn id="5" name="SITE_ID" dataDxfId="36"/>
    <tableColumn id="6" name="NAME" dataDxfId="35"/>
    <tableColumn id="7" name="RA NAME" dataDxfId="34"/>
    <tableColumn id="8" name="TechNbr" dataDxfId="33"/>
    <tableColumn id="9" name="JobNbr" dataDxfId="32"/>
    <tableColumn id="10" name="DATE" dataDxfId="31"/>
    <tableColumn id="11" name="STATUS" dataDxfId="30"/>
    <tableColumn id="12" name="AMOUNT" dataDxfId="29"/>
    <tableColumn id="13" name="INVOICE" dataDxfId="28"/>
    <tableColumn id="15" name="IssueGroup" dataDxfId="27"/>
    <tableColumn id="14" name="COMMENTS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86:H139" totalsRowShown="0" headerRowDxfId="25" dataDxfId="23" headerRowBorderDxfId="24" tableBorderDxfId="22" totalsRowBorderDxfId="21">
  <autoFilter ref="A86:H139"/>
  <tableColumns count="8">
    <tableColumn id="1" name="Number" dataDxfId="20"/>
    <tableColumn id="2" name="Starting Date" dataDxfId="19"/>
    <tableColumn id="3" name="Ending Date" dataDxfId="18"/>
    <tableColumn id="4" name="Issue1 (Old)" dataDxfId="17"/>
    <tableColumn id="5" name="Issue2 (Old)" dataDxfId="16"/>
    <tableColumn id="6" name="Issue3 (New)" dataDxfId="15"/>
    <tableColumn id="7" name="LastClosed" dataDxfId="14"/>
    <tableColumn id="8" name="Column1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able3" displayName="Table3" ref="A30:H83" totalsRowShown="0" headerRowDxfId="12" dataDxfId="10" headerRowBorderDxfId="11" tableBorderDxfId="9" totalsRowBorderDxfId="8">
  <autoFilter ref="A30:H83"/>
  <tableColumns count="8">
    <tableColumn id="1" name="Number" dataDxfId="7"/>
    <tableColumn id="2" name="Monday" dataDxfId="6"/>
    <tableColumn id="3" name="Tuesday" dataDxfId="5"/>
    <tableColumn id="4" name="Wednesday" dataDxfId="4"/>
    <tableColumn id="5" name="Thursday" dataDxfId="3"/>
    <tableColumn id="6" name="Friday" dataDxfId="2"/>
    <tableColumn id="7" name="Saturday" dataDxfId="1"/>
    <tableColumn id="8" name="Sun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UserInput"/>
  <dimension ref="B2:F24"/>
  <sheetViews>
    <sheetView showGridLines="0" zoomScaleNormal="100" workbookViewId="0">
      <selection activeCell="D11" sqref="D11"/>
    </sheetView>
  </sheetViews>
  <sheetFormatPr defaultRowHeight="15" x14ac:dyDescent="0.25"/>
  <cols>
    <col min="1" max="1" width="2.7109375" style="12" customWidth="1"/>
    <col min="2" max="2" width="4.140625" style="3" customWidth="1"/>
    <col min="3" max="3" width="4.85546875" style="12" customWidth="1"/>
    <col min="4" max="4" width="85.7109375" style="12" customWidth="1"/>
    <col min="5" max="5" width="27.28515625" style="12" customWidth="1"/>
    <col min="6" max="16384" width="9.140625" style="12"/>
  </cols>
  <sheetData>
    <row r="2" spans="2:6" x14ac:dyDescent="0.25">
      <c r="B2" s="185" t="s">
        <v>12</v>
      </c>
      <c r="C2" s="185"/>
      <c r="D2" s="185"/>
    </row>
    <row r="3" spans="2:6" ht="15.75" thickBot="1" x14ac:dyDescent="0.3">
      <c r="C3" s="28"/>
      <c r="D3" s="28"/>
    </row>
    <row r="4" spans="2:6" x14ac:dyDescent="0.25">
      <c r="B4" s="3" t="s">
        <v>11</v>
      </c>
      <c r="C4" s="2" t="s">
        <v>4370</v>
      </c>
      <c r="D4" s="2"/>
      <c r="E4" s="29" t="s">
        <v>0</v>
      </c>
      <c r="F4" s="30">
        <v>29</v>
      </c>
    </row>
    <row r="5" spans="2:6" x14ac:dyDescent="0.25">
      <c r="C5" s="4" t="s">
        <v>13</v>
      </c>
      <c r="D5" s="12" t="s">
        <v>15</v>
      </c>
      <c r="E5" s="31" t="s">
        <v>1</v>
      </c>
      <c r="F5" s="42">
        <v>53732</v>
      </c>
    </row>
    <row r="6" spans="2:6" x14ac:dyDescent="0.25">
      <c r="C6" s="5" t="s">
        <v>14</v>
      </c>
      <c r="D6" s="12" t="s">
        <v>16</v>
      </c>
      <c r="E6" s="31" t="s">
        <v>2</v>
      </c>
      <c r="F6" s="32">
        <v>53727</v>
      </c>
    </row>
    <row r="7" spans="2:6" x14ac:dyDescent="0.25">
      <c r="C7" s="4" t="s">
        <v>17</v>
      </c>
      <c r="D7" s="12" t="s">
        <v>19</v>
      </c>
      <c r="E7" s="31" t="s">
        <v>3</v>
      </c>
      <c r="F7" s="32"/>
    </row>
    <row r="8" spans="2:6" x14ac:dyDescent="0.25">
      <c r="C8" s="4" t="s">
        <v>20</v>
      </c>
      <c r="D8" s="12" t="s">
        <v>21</v>
      </c>
      <c r="E8" s="31" t="s">
        <v>4</v>
      </c>
      <c r="F8" s="32"/>
    </row>
    <row r="9" spans="2:6" x14ac:dyDescent="0.25">
      <c r="B9" s="3" t="s">
        <v>22</v>
      </c>
      <c r="C9" s="13" t="s">
        <v>25</v>
      </c>
      <c r="D9" s="6"/>
      <c r="E9" s="31" t="s">
        <v>5</v>
      </c>
      <c r="F9" s="32"/>
    </row>
    <row r="10" spans="2:6" x14ac:dyDescent="0.25">
      <c r="C10" s="4" t="s">
        <v>13</v>
      </c>
      <c r="D10" s="12" t="s">
        <v>24</v>
      </c>
      <c r="E10" s="31" t="s">
        <v>6</v>
      </c>
      <c r="F10" s="32"/>
    </row>
    <row r="11" spans="2:6" x14ac:dyDescent="0.25">
      <c r="C11" s="4" t="s">
        <v>14</v>
      </c>
      <c r="D11" s="12" t="s">
        <v>26</v>
      </c>
      <c r="E11" s="31" t="s">
        <v>7</v>
      </c>
      <c r="F11" s="32"/>
    </row>
    <row r="12" spans="2:6" x14ac:dyDescent="0.25">
      <c r="C12" s="4" t="s">
        <v>17</v>
      </c>
      <c r="D12" s="12" t="s">
        <v>27</v>
      </c>
      <c r="E12" s="31" t="s">
        <v>8</v>
      </c>
      <c r="F12" s="32"/>
    </row>
    <row r="13" spans="2:6" x14ac:dyDescent="0.25">
      <c r="C13" s="4"/>
      <c r="D13" s="12" t="s">
        <v>28</v>
      </c>
      <c r="E13" s="31" t="s">
        <v>9</v>
      </c>
      <c r="F13" s="32"/>
    </row>
    <row r="14" spans="2:6" x14ac:dyDescent="0.25">
      <c r="C14" s="4" t="s">
        <v>18</v>
      </c>
      <c r="D14" s="12" t="s">
        <v>29</v>
      </c>
      <c r="E14" s="31" t="s">
        <v>10</v>
      </c>
      <c r="F14" s="32"/>
    </row>
    <row r="15" spans="2:6" x14ac:dyDescent="0.25">
      <c r="C15" s="4" t="s">
        <v>20</v>
      </c>
      <c r="D15" s="1" t="s">
        <v>33</v>
      </c>
      <c r="E15" s="33" t="s">
        <v>30</v>
      </c>
      <c r="F15" s="32"/>
    </row>
    <row r="16" spans="2:6" x14ac:dyDescent="0.25">
      <c r="C16" s="4" t="s">
        <v>34</v>
      </c>
      <c r="D16" s="12" t="s">
        <v>35</v>
      </c>
      <c r="E16" s="33" t="s">
        <v>31</v>
      </c>
      <c r="F16" s="32"/>
    </row>
    <row r="17" spans="2:6" x14ac:dyDescent="0.25">
      <c r="C17" s="4" t="s">
        <v>36</v>
      </c>
      <c r="D17" s="12" t="s">
        <v>37</v>
      </c>
      <c r="E17" s="33" t="s">
        <v>32</v>
      </c>
      <c r="F17" s="32"/>
    </row>
    <row r="18" spans="2:6" x14ac:dyDescent="0.25">
      <c r="B18" s="3" t="s">
        <v>38</v>
      </c>
      <c r="C18" s="14" t="s">
        <v>39</v>
      </c>
      <c r="E18" s="33" t="s">
        <v>96</v>
      </c>
      <c r="F18" s="32"/>
    </row>
    <row r="19" spans="2:6" x14ac:dyDescent="0.25">
      <c r="C19" s="4" t="s">
        <v>13</v>
      </c>
      <c r="D19" s="12" t="s">
        <v>40</v>
      </c>
      <c r="E19" s="33" t="s">
        <v>97</v>
      </c>
      <c r="F19" s="32"/>
    </row>
    <row r="20" spans="2:6" x14ac:dyDescent="0.25">
      <c r="B20" s="3" t="s">
        <v>41</v>
      </c>
      <c r="C20" s="14" t="s">
        <v>46</v>
      </c>
      <c r="E20" s="33" t="s">
        <v>98</v>
      </c>
      <c r="F20" s="32"/>
    </row>
    <row r="21" spans="2:6" x14ac:dyDescent="0.25">
      <c r="C21" s="4" t="s">
        <v>13</v>
      </c>
      <c r="D21" s="12" t="s">
        <v>43</v>
      </c>
      <c r="E21" s="33" t="s">
        <v>99</v>
      </c>
      <c r="F21" s="32"/>
    </row>
    <row r="22" spans="2:6" x14ac:dyDescent="0.25">
      <c r="C22" s="4"/>
      <c r="D22" s="12" t="s">
        <v>42</v>
      </c>
      <c r="E22" s="33" t="s">
        <v>100</v>
      </c>
      <c r="F22" s="32"/>
    </row>
    <row r="23" spans="2:6" x14ac:dyDescent="0.25">
      <c r="D23" s="12" t="s">
        <v>44</v>
      </c>
      <c r="E23" s="33" t="s">
        <v>101</v>
      </c>
      <c r="F23" s="32"/>
    </row>
    <row r="24" spans="2:6" ht="15.75" thickBot="1" x14ac:dyDescent="0.3">
      <c r="E24" s="34" t="s">
        <v>102</v>
      </c>
      <c r="F24" s="35"/>
    </row>
  </sheetData>
  <mergeCells count="1">
    <mergeCell ref="B2:D2"/>
  </mergeCells>
  <pageMargins left="0.7" right="0.7" top="0.75" bottom="0.75" header="0.3" footer="0.3"/>
  <pageSetup scale="64" orientation="portrait" r:id="rId1"/>
  <colBreaks count="1" manualBreakCount="1">
    <brk id="1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52"/>
  <sheetViews>
    <sheetView topLeftCell="H125" workbookViewId="0">
      <selection activeCell="J137" sqref="A1:BN152"/>
    </sheetView>
  </sheetViews>
  <sheetFormatPr defaultRowHeight="15" x14ac:dyDescent="0.25"/>
  <cols>
    <col min="1" max="61" width="9.140625" style="12"/>
    <col min="62" max="62" width="9.140625" style="175"/>
    <col min="63" max="63" width="9.140625" style="176"/>
    <col min="64" max="64" width="9.140625" style="177"/>
    <col min="65" max="16384" width="9.140625" style="12"/>
  </cols>
  <sheetData>
    <row r="1" spans="1:66" x14ac:dyDescent="0.25">
      <c r="A1" s="12" t="s">
        <v>1023</v>
      </c>
      <c r="B1" s="12" t="s">
        <v>103</v>
      </c>
      <c r="C1" s="12" t="s">
        <v>104</v>
      </c>
      <c r="D1" s="12" t="s">
        <v>105</v>
      </c>
      <c r="E1" s="12" t="s">
        <v>106</v>
      </c>
      <c r="F1" s="12" t="s">
        <v>1024</v>
      </c>
      <c r="G1" s="12" t="s">
        <v>1025</v>
      </c>
      <c r="H1" s="12" t="s">
        <v>1026</v>
      </c>
      <c r="I1" s="12" t="s">
        <v>1027</v>
      </c>
      <c r="J1" s="12" t="s">
        <v>1028</v>
      </c>
      <c r="K1" s="12" t="s">
        <v>1029</v>
      </c>
      <c r="L1" s="12" t="s">
        <v>1030</v>
      </c>
      <c r="M1" s="12" t="s">
        <v>1031</v>
      </c>
      <c r="N1" s="12" t="s">
        <v>1032</v>
      </c>
      <c r="O1" s="12" t="s">
        <v>1033</v>
      </c>
      <c r="P1" s="12" t="s">
        <v>1034</v>
      </c>
      <c r="Q1" s="12" t="s">
        <v>1035</v>
      </c>
      <c r="R1" s="12" t="s">
        <v>107</v>
      </c>
      <c r="S1" s="12" t="s">
        <v>1036</v>
      </c>
      <c r="T1" s="12" t="s">
        <v>1037</v>
      </c>
      <c r="U1" s="12" t="s">
        <v>108</v>
      </c>
      <c r="V1" s="12" t="s">
        <v>1038</v>
      </c>
      <c r="W1" s="12" t="s">
        <v>1039</v>
      </c>
      <c r="X1" s="12" t="s">
        <v>1040</v>
      </c>
      <c r="Y1" s="12" t="s">
        <v>1041</v>
      </c>
      <c r="Z1" s="12" t="s">
        <v>1042</v>
      </c>
      <c r="AA1" s="12" t="s">
        <v>1043</v>
      </c>
      <c r="AB1" s="12" t="s">
        <v>1044</v>
      </c>
      <c r="AC1" s="12" t="s">
        <v>1045</v>
      </c>
      <c r="AD1" s="12" t="s">
        <v>1046</v>
      </c>
      <c r="AE1" s="12" t="s">
        <v>1047</v>
      </c>
      <c r="AF1" s="12" t="s">
        <v>1048</v>
      </c>
      <c r="AG1" s="12" t="s">
        <v>1049</v>
      </c>
      <c r="AH1" s="12" t="s">
        <v>1050</v>
      </c>
      <c r="AI1" s="12" t="s">
        <v>1051</v>
      </c>
      <c r="AJ1" s="12" t="s">
        <v>1052</v>
      </c>
      <c r="AK1" s="12" t="s">
        <v>1053</v>
      </c>
      <c r="AL1" s="12" t="s">
        <v>1054</v>
      </c>
      <c r="AM1" s="12" t="s">
        <v>1055</v>
      </c>
      <c r="AN1" s="12" t="s">
        <v>1056</v>
      </c>
      <c r="AO1" s="12" t="s">
        <v>1057</v>
      </c>
      <c r="AP1" s="12" t="s">
        <v>1058</v>
      </c>
      <c r="AQ1" s="12" t="s">
        <v>1059</v>
      </c>
      <c r="AR1" s="12" t="s">
        <v>1060</v>
      </c>
      <c r="AS1" s="12" t="s">
        <v>1061</v>
      </c>
      <c r="AT1" s="12" t="s">
        <v>1062</v>
      </c>
      <c r="AU1" s="12" t="s">
        <v>1063</v>
      </c>
      <c r="AV1" s="12" t="s">
        <v>1064</v>
      </c>
      <c r="AW1" s="12" t="s">
        <v>1065</v>
      </c>
      <c r="AX1" s="12" t="s">
        <v>1066</v>
      </c>
      <c r="AY1" s="12" t="s">
        <v>1067</v>
      </c>
      <c r="AZ1" s="12" t="s">
        <v>1068</v>
      </c>
      <c r="BA1" s="12" t="s">
        <v>1069</v>
      </c>
      <c r="BB1" s="12" t="s">
        <v>1070</v>
      </c>
      <c r="BC1" s="12" t="s">
        <v>1071</v>
      </c>
      <c r="BD1" s="12" t="s">
        <v>1072</v>
      </c>
      <c r="BE1" s="12" t="s">
        <v>109</v>
      </c>
      <c r="BF1" s="12" t="s">
        <v>110</v>
      </c>
      <c r="BG1" s="12" t="s">
        <v>111</v>
      </c>
      <c r="BH1" s="12" t="s">
        <v>108</v>
      </c>
      <c r="BI1" s="12" t="s">
        <v>107</v>
      </c>
      <c r="BJ1" s="175" t="s">
        <v>112</v>
      </c>
      <c r="BK1" s="176" t="s">
        <v>113</v>
      </c>
      <c r="BL1" s="177" t="s">
        <v>114</v>
      </c>
      <c r="BM1" s="12" t="s">
        <v>115</v>
      </c>
      <c r="BN1" s="12" t="s">
        <v>116</v>
      </c>
    </row>
    <row r="2" spans="1:66" x14ac:dyDescent="0.25">
      <c r="A2" s="12" t="s">
        <v>1073</v>
      </c>
      <c r="B2" s="12" t="s">
        <v>456</v>
      </c>
      <c r="C2" s="12" t="s">
        <v>457</v>
      </c>
      <c r="D2" s="12" t="s">
        <v>458</v>
      </c>
      <c r="E2" s="175">
        <v>42191</v>
      </c>
      <c r="F2" s="12" t="s">
        <v>1074</v>
      </c>
      <c r="G2" s="12" t="s">
        <v>1075</v>
      </c>
      <c r="H2" s="12" t="s">
        <v>1076</v>
      </c>
      <c r="I2" s="12" t="s">
        <v>1077</v>
      </c>
      <c r="K2" s="12" t="s">
        <v>1078</v>
      </c>
      <c r="L2" s="12" t="s">
        <v>1079</v>
      </c>
      <c r="M2" s="12" t="s">
        <v>1080</v>
      </c>
      <c r="O2" s="178" t="s">
        <v>1081</v>
      </c>
      <c r="P2" s="178" t="s">
        <v>1082</v>
      </c>
      <c r="Q2" s="12" t="s">
        <v>1080</v>
      </c>
      <c r="R2" s="179">
        <v>45</v>
      </c>
      <c r="S2" s="178"/>
      <c r="U2" s="12" t="s">
        <v>117</v>
      </c>
      <c r="W2" s="12" t="s">
        <v>1083</v>
      </c>
      <c r="X2" s="12" t="s">
        <v>1084</v>
      </c>
      <c r="Y2" s="178" t="s">
        <v>1085</v>
      </c>
      <c r="Z2" s="12" t="s">
        <v>1086</v>
      </c>
      <c r="AA2" s="178" t="s">
        <v>1087</v>
      </c>
      <c r="AB2" s="12" t="s">
        <v>1088</v>
      </c>
      <c r="AC2" s="178" t="s">
        <v>1089</v>
      </c>
      <c r="AD2" s="12" t="s">
        <v>1090</v>
      </c>
      <c r="AE2" s="12" t="s">
        <v>1075</v>
      </c>
      <c r="AF2" s="12" t="s">
        <v>1091</v>
      </c>
      <c r="AG2" s="12" t="s">
        <v>1091</v>
      </c>
      <c r="AH2" s="12" t="s">
        <v>1092</v>
      </c>
      <c r="AI2" s="12" t="s">
        <v>1092</v>
      </c>
      <c r="AJ2" s="12" t="s">
        <v>1092</v>
      </c>
      <c r="AK2" s="12" t="s">
        <v>1092</v>
      </c>
      <c r="AL2" s="12" t="s">
        <v>1092</v>
      </c>
      <c r="AM2" s="12" t="s">
        <v>1092</v>
      </c>
      <c r="AN2" s="12" t="s">
        <v>1092</v>
      </c>
      <c r="AO2" s="178" t="s">
        <v>1093</v>
      </c>
      <c r="AP2" s="178" t="s">
        <v>1092</v>
      </c>
      <c r="AQ2" s="178" t="s">
        <v>1093</v>
      </c>
      <c r="AR2" s="178" t="s">
        <v>1092</v>
      </c>
      <c r="AS2" s="178" t="s">
        <v>1094</v>
      </c>
      <c r="AT2" s="178" t="s">
        <v>1094</v>
      </c>
      <c r="AU2" s="178" t="s">
        <v>1095</v>
      </c>
      <c r="AV2" s="12" t="s">
        <v>1096</v>
      </c>
      <c r="AW2" s="12" t="s">
        <v>1097</v>
      </c>
      <c r="AY2" s="178" t="s">
        <v>1092</v>
      </c>
      <c r="AZ2" s="12" t="s">
        <v>1098</v>
      </c>
      <c r="BA2" s="12" t="s">
        <v>1098</v>
      </c>
      <c r="BB2" s="12" t="s">
        <v>1098</v>
      </c>
      <c r="BD2" s="12" t="s">
        <v>1092</v>
      </c>
      <c r="BE2" s="12" t="s">
        <v>118</v>
      </c>
      <c r="BF2" s="12" t="s">
        <v>23</v>
      </c>
      <c r="BH2" s="12" t="s">
        <v>117</v>
      </c>
      <c r="BI2" s="179">
        <v>45</v>
      </c>
      <c r="BJ2" s="175">
        <v>42192</v>
      </c>
      <c r="BK2" s="176" t="s">
        <v>119</v>
      </c>
      <c r="BL2" s="177">
        <v>127.35</v>
      </c>
      <c r="BM2" s="12">
        <v>28</v>
      </c>
    </row>
    <row r="3" spans="1:66" x14ac:dyDescent="0.25">
      <c r="A3" s="12" t="s">
        <v>1099</v>
      </c>
      <c r="B3" s="12" t="s">
        <v>459</v>
      </c>
      <c r="C3" s="12" t="s">
        <v>460</v>
      </c>
      <c r="D3" s="12" t="s">
        <v>461</v>
      </c>
      <c r="E3" s="175">
        <v>42191</v>
      </c>
      <c r="F3" s="12" t="s">
        <v>1100</v>
      </c>
      <c r="G3" s="12" t="s">
        <v>1075</v>
      </c>
      <c r="H3" s="12" t="s">
        <v>1101</v>
      </c>
      <c r="I3" s="12" t="s">
        <v>1102</v>
      </c>
      <c r="K3" s="12" t="s">
        <v>1103</v>
      </c>
      <c r="L3" s="12" t="s">
        <v>1104</v>
      </c>
      <c r="M3" s="12" t="s">
        <v>1105</v>
      </c>
      <c r="O3" s="178" t="s">
        <v>1106</v>
      </c>
      <c r="P3" s="178" t="s">
        <v>1107</v>
      </c>
      <c r="Q3" s="12" t="s">
        <v>1105</v>
      </c>
      <c r="R3" s="179">
        <v>4</v>
      </c>
      <c r="S3" s="178"/>
      <c r="U3" s="12" t="s">
        <v>120</v>
      </c>
      <c r="W3" s="12" t="s">
        <v>1083</v>
      </c>
      <c r="X3" s="12" t="s">
        <v>1108</v>
      </c>
      <c r="Y3" s="178" t="s">
        <v>1109</v>
      </c>
      <c r="Z3" s="12" t="s">
        <v>1110</v>
      </c>
      <c r="AA3" s="178" t="s">
        <v>1111</v>
      </c>
      <c r="AB3" s="12" t="s">
        <v>1112</v>
      </c>
      <c r="AC3" s="178" t="s">
        <v>1113</v>
      </c>
      <c r="AD3" s="12" t="s">
        <v>1112</v>
      </c>
      <c r="AE3" s="12" t="s">
        <v>1075</v>
      </c>
      <c r="AF3" s="12" t="s">
        <v>1114</v>
      </c>
      <c r="AG3" s="12" t="s">
        <v>1092</v>
      </c>
      <c r="AH3" s="12" t="s">
        <v>1092</v>
      </c>
      <c r="AI3" s="12" t="s">
        <v>1115</v>
      </c>
      <c r="AJ3" s="12" t="s">
        <v>1116</v>
      </c>
      <c r="AK3" s="12" t="s">
        <v>1117</v>
      </c>
      <c r="AL3" s="12" t="s">
        <v>1092</v>
      </c>
      <c r="AM3" s="12" t="s">
        <v>1092</v>
      </c>
      <c r="AN3" s="12" t="s">
        <v>1092</v>
      </c>
      <c r="AO3" s="178" t="s">
        <v>1093</v>
      </c>
      <c r="AP3" s="178" t="s">
        <v>1093</v>
      </c>
      <c r="AQ3" s="178" t="s">
        <v>1093</v>
      </c>
      <c r="AR3" s="178" t="s">
        <v>1093</v>
      </c>
      <c r="AS3" s="178" t="s">
        <v>1118</v>
      </c>
      <c r="AT3" s="178" t="s">
        <v>1118</v>
      </c>
      <c r="AU3" s="178" t="s">
        <v>1118</v>
      </c>
      <c r="AV3" s="12" t="s">
        <v>1096</v>
      </c>
      <c r="AW3" s="12" t="s">
        <v>1097</v>
      </c>
      <c r="AY3" s="178" t="s">
        <v>1092</v>
      </c>
      <c r="AZ3" s="12" t="s">
        <v>1119</v>
      </c>
      <c r="BA3" s="12" t="s">
        <v>1098</v>
      </c>
      <c r="BB3" s="12" t="s">
        <v>1098</v>
      </c>
      <c r="BD3" s="12" t="s">
        <v>1092</v>
      </c>
      <c r="BE3" s="12" t="s">
        <v>118</v>
      </c>
      <c r="BF3" s="12" t="s">
        <v>121</v>
      </c>
      <c r="BH3" s="12" t="s">
        <v>120</v>
      </c>
      <c r="BI3" s="179">
        <v>4</v>
      </c>
      <c r="BJ3" s="175">
        <v>42204</v>
      </c>
      <c r="BK3" s="176" t="s">
        <v>82</v>
      </c>
      <c r="BM3" s="12">
        <v>29</v>
      </c>
    </row>
    <row r="4" spans="1:66" x14ac:dyDescent="0.25">
      <c r="A4" s="12" t="s">
        <v>1099</v>
      </c>
      <c r="B4" s="12" t="s">
        <v>462</v>
      </c>
      <c r="C4" s="12" t="s">
        <v>463</v>
      </c>
      <c r="D4" s="12" t="s">
        <v>464</v>
      </c>
      <c r="E4" s="175">
        <v>42191</v>
      </c>
      <c r="F4" s="12" t="s">
        <v>1120</v>
      </c>
      <c r="G4" s="12" t="s">
        <v>1075</v>
      </c>
      <c r="H4" s="12" t="s">
        <v>1121</v>
      </c>
      <c r="I4" s="12" t="s">
        <v>1122</v>
      </c>
      <c r="K4" s="12" t="s">
        <v>1123</v>
      </c>
      <c r="L4" s="12" t="s">
        <v>1124</v>
      </c>
      <c r="M4" s="12" t="s">
        <v>1125</v>
      </c>
      <c r="O4" s="178" t="s">
        <v>1126</v>
      </c>
      <c r="P4" s="178" t="s">
        <v>1127</v>
      </c>
      <c r="Q4" s="12" t="s">
        <v>1125</v>
      </c>
      <c r="R4" s="179">
        <v>5</v>
      </c>
      <c r="S4" s="178"/>
      <c r="U4" s="12" t="s">
        <v>120</v>
      </c>
      <c r="W4" s="12" t="s">
        <v>1083</v>
      </c>
      <c r="X4" s="12" t="s">
        <v>1084</v>
      </c>
      <c r="Y4" s="178" t="s">
        <v>1128</v>
      </c>
      <c r="Z4" s="12" t="s">
        <v>1129</v>
      </c>
      <c r="AA4" s="178" t="s">
        <v>1130</v>
      </c>
      <c r="AB4" s="12" t="s">
        <v>1131</v>
      </c>
      <c r="AC4" s="178" t="s">
        <v>1132</v>
      </c>
      <c r="AD4" s="12" t="s">
        <v>1133</v>
      </c>
      <c r="AE4" s="12" t="s">
        <v>1075</v>
      </c>
      <c r="AF4" s="12" t="s">
        <v>1134</v>
      </c>
      <c r="AG4" s="12" t="s">
        <v>1092</v>
      </c>
      <c r="AH4" s="12" t="s">
        <v>1092</v>
      </c>
      <c r="AI4" s="12" t="s">
        <v>1135</v>
      </c>
      <c r="AJ4" s="12" t="s">
        <v>1136</v>
      </c>
      <c r="AK4" s="12" t="s">
        <v>1092</v>
      </c>
      <c r="AL4" s="12" t="s">
        <v>1092</v>
      </c>
      <c r="AM4" s="12" t="s">
        <v>1092</v>
      </c>
      <c r="AN4" s="12" t="s">
        <v>1092</v>
      </c>
      <c r="AO4" s="178" t="s">
        <v>1093</v>
      </c>
      <c r="AP4" s="178" t="s">
        <v>1093</v>
      </c>
      <c r="AQ4" s="178" t="s">
        <v>1093</v>
      </c>
      <c r="AR4" s="178" t="s">
        <v>1093</v>
      </c>
      <c r="AS4" s="178" t="s">
        <v>1118</v>
      </c>
      <c r="AT4" s="178" t="s">
        <v>1118</v>
      </c>
      <c r="AU4" s="178" t="s">
        <v>1118</v>
      </c>
      <c r="AV4" s="12" t="s">
        <v>1096</v>
      </c>
      <c r="AW4" s="12" t="s">
        <v>1097</v>
      </c>
      <c r="AX4" s="178" t="s">
        <v>1137</v>
      </c>
      <c r="AY4" s="178" t="s">
        <v>1093</v>
      </c>
      <c r="AZ4" s="12" t="s">
        <v>1138</v>
      </c>
      <c r="BA4" s="12" t="s">
        <v>1138</v>
      </c>
      <c r="BB4" s="12" t="s">
        <v>1138</v>
      </c>
      <c r="BD4" s="12" t="s">
        <v>1092</v>
      </c>
      <c r="BE4" s="12" t="s">
        <v>118</v>
      </c>
      <c r="BF4" s="12" t="s">
        <v>121</v>
      </c>
      <c r="BH4" s="12" t="s">
        <v>120</v>
      </c>
      <c r="BI4" s="179">
        <v>5</v>
      </c>
      <c r="BJ4" s="175">
        <v>42204</v>
      </c>
      <c r="BK4" s="176" t="s">
        <v>82</v>
      </c>
      <c r="BM4" s="12">
        <v>29</v>
      </c>
    </row>
    <row r="5" spans="1:66" x14ac:dyDescent="0.25">
      <c r="A5" s="12" t="s">
        <v>1099</v>
      </c>
      <c r="B5" s="12" t="s">
        <v>465</v>
      </c>
      <c r="C5" s="12" t="s">
        <v>466</v>
      </c>
      <c r="D5" s="12" t="s">
        <v>467</v>
      </c>
      <c r="E5" s="175">
        <v>42191</v>
      </c>
      <c r="F5" s="12" t="s">
        <v>1139</v>
      </c>
      <c r="G5" s="12" t="s">
        <v>1075</v>
      </c>
      <c r="H5" s="12" t="s">
        <v>1140</v>
      </c>
      <c r="I5" s="12" t="s">
        <v>1141</v>
      </c>
      <c r="K5" s="12" t="s">
        <v>1078</v>
      </c>
      <c r="L5" s="12" t="s">
        <v>1079</v>
      </c>
      <c r="M5" s="12" t="s">
        <v>1080</v>
      </c>
      <c r="O5" s="178" t="s">
        <v>1142</v>
      </c>
      <c r="P5" s="178" t="s">
        <v>1143</v>
      </c>
      <c r="Q5" s="12" t="s">
        <v>1080</v>
      </c>
      <c r="R5" s="179">
        <v>6</v>
      </c>
      <c r="S5" s="178"/>
      <c r="U5" s="12" t="s">
        <v>120</v>
      </c>
      <c r="W5" s="12" t="s">
        <v>1083</v>
      </c>
      <c r="X5" s="12" t="s">
        <v>1144</v>
      </c>
      <c r="Y5" s="178" t="s">
        <v>1145</v>
      </c>
      <c r="Z5" s="12" t="s">
        <v>1146</v>
      </c>
      <c r="AA5" s="178" t="s">
        <v>1147</v>
      </c>
      <c r="AB5" s="12" t="s">
        <v>1148</v>
      </c>
      <c r="AC5" s="178" t="s">
        <v>1149</v>
      </c>
      <c r="AD5" s="12" t="s">
        <v>1150</v>
      </c>
      <c r="AE5" s="12" t="s">
        <v>1075</v>
      </c>
      <c r="AF5" s="12" t="s">
        <v>1151</v>
      </c>
      <c r="AG5" s="12" t="s">
        <v>1152</v>
      </c>
      <c r="AH5" s="12" t="s">
        <v>1092</v>
      </c>
      <c r="AI5" s="12" t="s">
        <v>1153</v>
      </c>
      <c r="AJ5" s="12" t="s">
        <v>1154</v>
      </c>
      <c r="AK5" s="12" t="s">
        <v>1092</v>
      </c>
      <c r="AL5" s="12" t="s">
        <v>1092</v>
      </c>
      <c r="AM5" s="12" t="s">
        <v>1092</v>
      </c>
      <c r="AN5" s="12" t="s">
        <v>1092</v>
      </c>
      <c r="AO5" s="178" t="s">
        <v>1092</v>
      </c>
      <c r="AP5" s="178" t="s">
        <v>1092</v>
      </c>
      <c r="AQ5" s="178" t="s">
        <v>1093</v>
      </c>
      <c r="AR5" s="178" t="s">
        <v>1093</v>
      </c>
      <c r="AS5" s="178" t="s">
        <v>1155</v>
      </c>
      <c r="AT5" s="178" t="s">
        <v>1118</v>
      </c>
      <c r="AU5" s="178" t="s">
        <v>1118</v>
      </c>
      <c r="AV5" s="12" t="s">
        <v>1096</v>
      </c>
      <c r="AW5" s="12" t="s">
        <v>1097</v>
      </c>
      <c r="AX5" s="178" t="s">
        <v>1156</v>
      </c>
      <c r="AY5" s="178" t="s">
        <v>1157</v>
      </c>
      <c r="AZ5" s="12" t="s">
        <v>1158</v>
      </c>
      <c r="BA5" s="12" t="s">
        <v>1098</v>
      </c>
      <c r="BB5" s="12" t="s">
        <v>1098</v>
      </c>
      <c r="BD5" s="12" t="s">
        <v>1092</v>
      </c>
      <c r="BE5" s="12" t="s">
        <v>118</v>
      </c>
      <c r="BF5" s="12" t="s">
        <v>121</v>
      </c>
      <c r="BH5" s="12" t="s">
        <v>120</v>
      </c>
      <c r="BI5" s="179">
        <v>6</v>
      </c>
      <c r="BJ5" s="175">
        <v>42202</v>
      </c>
      <c r="BK5" s="176" t="s">
        <v>82</v>
      </c>
      <c r="BM5" s="12">
        <v>29</v>
      </c>
    </row>
    <row r="6" spans="1:66" x14ac:dyDescent="0.25">
      <c r="A6" s="12" t="s">
        <v>1099</v>
      </c>
      <c r="B6" s="12" t="s">
        <v>468</v>
      </c>
      <c r="C6" s="12" t="s">
        <v>469</v>
      </c>
      <c r="D6" s="12" t="s">
        <v>470</v>
      </c>
      <c r="E6" s="175">
        <v>42191</v>
      </c>
      <c r="F6" s="12" t="s">
        <v>1159</v>
      </c>
      <c r="G6" s="12" t="s">
        <v>1075</v>
      </c>
      <c r="H6" s="12" t="s">
        <v>1160</v>
      </c>
      <c r="I6" s="12" t="s">
        <v>1161</v>
      </c>
      <c r="J6" s="12" t="s">
        <v>1162</v>
      </c>
      <c r="K6" s="12" t="s">
        <v>1103</v>
      </c>
      <c r="L6" s="12" t="s">
        <v>1104</v>
      </c>
      <c r="M6" s="12" t="s">
        <v>1105</v>
      </c>
      <c r="O6" s="178" t="s">
        <v>1163</v>
      </c>
      <c r="P6" s="178" t="s">
        <v>1164</v>
      </c>
      <c r="Q6" s="12" t="s">
        <v>1105</v>
      </c>
      <c r="R6" s="179">
        <v>7</v>
      </c>
      <c r="S6" s="178"/>
      <c r="U6" s="12" t="s">
        <v>120</v>
      </c>
      <c r="W6" s="12" t="s">
        <v>1083</v>
      </c>
      <c r="X6" s="12" t="s">
        <v>1157</v>
      </c>
      <c r="Y6" s="178" t="s">
        <v>1165</v>
      </c>
      <c r="Z6" s="12" t="s">
        <v>1166</v>
      </c>
      <c r="AA6" s="178" t="s">
        <v>1167</v>
      </c>
      <c r="AB6" s="12" t="s">
        <v>1168</v>
      </c>
      <c r="AC6" s="178" t="s">
        <v>1169</v>
      </c>
      <c r="AD6" s="12" t="s">
        <v>1168</v>
      </c>
      <c r="AE6" s="12" t="s">
        <v>1075</v>
      </c>
      <c r="AF6" s="12" t="s">
        <v>1170</v>
      </c>
      <c r="AG6" s="12" t="s">
        <v>1092</v>
      </c>
      <c r="AH6" s="12" t="s">
        <v>1092</v>
      </c>
      <c r="AI6" s="12" t="s">
        <v>1171</v>
      </c>
      <c r="AJ6" s="12" t="s">
        <v>1172</v>
      </c>
      <c r="AK6" s="12" t="s">
        <v>1173</v>
      </c>
      <c r="AL6" s="12" t="s">
        <v>1092</v>
      </c>
      <c r="AM6" s="12" t="s">
        <v>1092</v>
      </c>
      <c r="AN6" s="12" t="s">
        <v>1092</v>
      </c>
      <c r="AO6" s="178" t="s">
        <v>1093</v>
      </c>
      <c r="AP6" s="178" t="s">
        <v>1093</v>
      </c>
      <c r="AQ6" s="178" t="s">
        <v>1093</v>
      </c>
      <c r="AR6" s="178" t="s">
        <v>1092</v>
      </c>
      <c r="AS6" s="178" t="s">
        <v>1118</v>
      </c>
      <c r="AT6" s="178" t="s">
        <v>1118</v>
      </c>
      <c r="AU6" s="178" t="s">
        <v>1095</v>
      </c>
      <c r="AV6" s="12" t="s">
        <v>1096</v>
      </c>
      <c r="AW6" s="12" t="s">
        <v>1097</v>
      </c>
      <c r="AY6" s="178" t="s">
        <v>1092</v>
      </c>
      <c r="AZ6" s="12" t="s">
        <v>1174</v>
      </c>
      <c r="BA6" s="12" t="s">
        <v>1098</v>
      </c>
      <c r="BB6" s="12" t="s">
        <v>1175</v>
      </c>
      <c r="BD6" s="12" t="s">
        <v>1092</v>
      </c>
      <c r="BE6" s="12" t="s">
        <v>118</v>
      </c>
      <c r="BF6" s="12" t="s">
        <v>121</v>
      </c>
      <c r="BH6" s="12" t="s">
        <v>120</v>
      </c>
      <c r="BI6" s="179">
        <v>7</v>
      </c>
      <c r="BJ6" s="175">
        <v>42202</v>
      </c>
      <c r="BK6" s="176" t="s">
        <v>82</v>
      </c>
      <c r="BM6" s="12">
        <v>29</v>
      </c>
    </row>
    <row r="7" spans="1:66" x14ac:dyDescent="0.25">
      <c r="A7" s="12" t="s">
        <v>1099</v>
      </c>
      <c r="B7" s="12" t="s">
        <v>471</v>
      </c>
      <c r="C7" s="12" t="s">
        <v>472</v>
      </c>
      <c r="D7" s="12" t="s">
        <v>473</v>
      </c>
      <c r="E7" s="175">
        <v>42191</v>
      </c>
      <c r="F7" s="12" t="s">
        <v>1176</v>
      </c>
      <c r="G7" s="12" t="s">
        <v>1075</v>
      </c>
      <c r="H7" s="12" t="s">
        <v>1177</v>
      </c>
      <c r="I7" s="12" t="s">
        <v>1178</v>
      </c>
      <c r="K7" s="12" t="s">
        <v>1103</v>
      </c>
      <c r="L7" s="12" t="s">
        <v>1179</v>
      </c>
      <c r="M7" s="12" t="s">
        <v>1180</v>
      </c>
      <c r="O7" s="178" t="s">
        <v>1181</v>
      </c>
      <c r="P7" s="178" t="s">
        <v>1182</v>
      </c>
      <c r="Q7" s="12" t="s">
        <v>1180</v>
      </c>
      <c r="R7" s="179">
        <v>8</v>
      </c>
      <c r="S7" s="178"/>
      <c r="U7" s="12" t="s">
        <v>120</v>
      </c>
      <c r="W7" s="12" t="s">
        <v>1083</v>
      </c>
      <c r="X7" s="12" t="s">
        <v>1093</v>
      </c>
      <c r="Y7" s="178" t="s">
        <v>1183</v>
      </c>
      <c r="Z7" s="12" t="s">
        <v>1184</v>
      </c>
      <c r="AB7" s="12" t="s">
        <v>1185</v>
      </c>
      <c r="AD7" s="12" t="s">
        <v>1185</v>
      </c>
      <c r="AE7" s="12" t="s">
        <v>1075</v>
      </c>
      <c r="AF7" s="12" t="s">
        <v>1186</v>
      </c>
      <c r="AG7" s="12" t="s">
        <v>1092</v>
      </c>
      <c r="AH7" s="12" t="s">
        <v>1092</v>
      </c>
      <c r="AI7" s="12" t="s">
        <v>1187</v>
      </c>
      <c r="AJ7" s="12" t="s">
        <v>1188</v>
      </c>
      <c r="AK7" s="12" t="s">
        <v>1092</v>
      </c>
      <c r="AL7" s="12" t="s">
        <v>1189</v>
      </c>
      <c r="AM7" s="12" t="s">
        <v>1092</v>
      </c>
      <c r="AN7" s="12" t="s">
        <v>1092</v>
      </c>
      <c r="AO7" s="178" t="s">
        <v>1093</v>
      </c>
      <c r="AP7" s="178" t="s">
        <v>1093</v>
      </c>
      <c r="AQ7" s="178" t="s">
        <v>1093</v>
      </c>
      <c r="AR7" s="178" t="s">
        <v>1093</v>
      </c>
      <c r="AS7" s="178" t="s">
        <v>1118</v>
      </c>
      <c r="AT7" s="178" t="s">
        <v>1118</v>
      </c>
      <c r="AU7" s="178" t="s">
        <v>1118</v>
      </c>
      <c r="AV7" s="12" t="s">
        <v>1096</v>
      </c>
      <c r="AW7" s="12" t="s">
        <v>1097</v>
      </c>
      <c r="AX7" s="178" t="s">
        <v>1190</v>
      </c>
      <c r="AY7" s="178" t="s">
        <v>1093</v>
      </c>
      <c r="AZ7" s="12" t="s">
        <v>1191</v>
      </c>
      <c r="BA7" s="12" t="s">
        <v>1098</v>
      </c>
      <c r="BB7" s="12" t="s">
        <v>1098</v>
      </c>
      <c r="BD7" s="12" t="s">
        <v>1092</v>
      </c>
      <c r="BE7" s="12" t="s">
        <v>118</v>
      </c>
      <c r="BF7" s="12" t="s">
        <v>121</v>
      </c>
      <c r="BH7" s="12" t="s">
        <v>120</v>
      </c>
      <c r="BI7" s="179">
        <v>8</v>
      </c>
      <c r="BJ7" s="175">
        <v>42204</v>
      </c>
      <c r="BK7" s="176" t="s">
        <v>82</v>
      </c>
      <c r="BM7" s="12">
        <v>29</v>
      </c>
    </row>
    <row r="8" spans="1:66" x14ac:dyDescent="0.25">
      <c r="A8" s="12" t="s">
        <v>1099</v>
      </c>
      <c r="B8" s="12" t="s">
        <v>474</v>
      </c>
      <c r="C8" s="12" t="s">
        <v>475</v>
      </c>
      <c r="D8" s="12" t="s">
        <v>476</v>
      </c>
      <c r="E8" s="175">
        <v>42191</v>
      </c>
      <c r="F8" s="12" t="s">
        <v>1192</v>
      </c>
      <c r="G8" s="12" t="s">
        <v>1075</v>
      </c>
      <c r="H8" s="12" t="s">
        <v>1193</v>
      </c>
      <c r="I8" s="12" t="s">
        <v>1194</v>
      </c>
      <c r="K8" s="12" t="s">
        <v>1103</v>
      </c>
      <c r="L8" s="12" t="s">
        <v>1179</v>
      </c>
      <c r="M8" s="12" t="s">
        <v>1195</v>
      </c>
      <c r="O8" s="178" t="s">
        <v>1196</v>
      </c>
      <c r="P8" s="178" t="s">
        <v>1197</v>
      </c>
      <c r="Q8" s="12" t="s">
        <v>1195</v>
      </c>
      <c r="R8" s="179">
        <v>9</v>
      </c>
      <c r="S8" s="178"/>
      <c r="U8" s="12" t="s">
        <v>120</v>
      </c>
      <c r="W8" s="12" t="s">
        <v>1083</v>
      </c>
      <c r="X8" s="12" t="s">
        <v>1097</v>
      </c>
      <c r="Y8" s="178" t="s">
        <v>1198</v>
      </c>
      <c r="Z8" s="12" t="s">
        <v>1199</v>
      </c>
      <c r="AB8" s="12" t="s">
        <v>1185</v>
      </c>
      <c r="AD8" s="12" t="s">
        <v>1185</v>
      </c>
      <c r="AE8" s="12" t="s">
        <v>1075</v>
      </c>
      <c r="AF8" s="12" t="s">
        <v>1200</v>
      </c>
      <c r="AG8" s="12" t="s">
        <v>1092</v>
      </c>
      <c r="AH8" s="12" t="s">
        <v>1092</v>
      </c>
      <c r="AI8" s="12" t="s">
        <v>1201</v>
      </c>
      <c r="AJ8" s="12" t="s">
        <v>1202</v>
      </c>
      <c r="AK8" s="12" t="s">
        <v>1203</v>
      </c>
      <c r="AL8" s="12" t="s">
        <v>1092</v>
      </c>
      <c r="AM8" s="12" t="s">
        <v>1092</v>
      </c>
      <c r="AN8" s="12" t="s">
        <v>1092</v>
      </c>
      <c r="AO8" s="178" t="s">
        <v>1093</v>
      </c>
      <c r="AP8" s="178" t="s">
        <v>1093</v>
      </c>
      <c r="AQ8" s="178" t="s">
        <v>1093</v>
      </c>
      <c r="AR8" s="178" t="s">
        <v>1092</v>
      </c>
      <c r="AS8" s="178" t="s">
        <v>1118</v>
      </c>
      <c r="AT8" s="178" t="s">
        <v>1118</v>
      </c>
      <c r="AU8" s="178" t="s">
        <v>1095</v>
      </c>
      <c r="AV8" s="12" t="s">
        <v>1096</v>
      </c>
      <c r="AW8" s="12" t="s">
        <v>1097</v>
      </c>
      <c r="AY8" s="178" t="s">
        <v>1092</v>
      </c>
      <c r="AZ8" s="12" t="s">
        <v>1204</v>
      </c>
      <c r="BA8" s="12" t="s">
        <v>1098</v>
      </c>
      <c r="BB8" s="12" t="s">
        <v>1098</v>
      </c>
      <c r="BC8" s="178" t="s">
        <v>1205</v>
      </c>
      <c r="BD8" s="12" t="s">
        <v>1092</v>
      </c>
      <c r="BE8" s="12" t="s">
        <v>118</v>
      </c>
      <c r="BF8" s="12" t="s">
        <v>121</v>
      </c>
      <c r="BH8" s="12" t="s">
        <v>120</v>
      </c>
      <c r="BI8" s="179">
        <v>9</v>
      </c>
      <c r="BJ8" s="175">
        <v>42204</v>
      </c>
      <c r="BK8" s="176" t="s">
        <v>82</v>
      </c>
      <c r="BM8" s="12">
        <v>29</v>
      </c>
    </row>
    <row r="9" spans="1:66" x14ac:dyDescent="0.25">
      <c r="A9" s="12" t="s">
        <v>1099</v>
      </c>
      <c r="B9" s="12" t="s">
        <v>477</v>
      </c>
      <c r="C9" s="12" t="s">
        <v>478</v>
      </c>
      <c r="D9" s="12" t="s">
        <v>479</v>
      </c>
      <c r="E9" s="175">
        <v>42191</v>
      </c>
      <c r="F9" s="12" t="s">
        <v>1206</v>
      </c>
      <c r="G9" s="12" t="s">
        <v>1075</v>
      </c>
      <c r="H9" s="12" t="s">
        <v>1076</v>
      </c>
      <c r="I9" s="12" t="s">
        <v>1207</v>
      </c>
      <c r="J9" s="12" t="s">
        <v>1208</v>
      </c>
      <c r="K9" s="12" t="s">
        <v>1209</v>
      </c>
      <c r="L9" s="12" t="s">
        <v>1210</v>
      </c>
      <c r="M9" s="12" t="s">
        <v>1211</v>
      </c>
      <c r="O9" s="178" t="s">
        <v>1126</v>
      </c>
      <c r="P9" s="178" t="s">
        <v>1212</v>
      </c>
      <c r="Q9" s="12" t="s">
        <v>1211</v>
      </c>
      <c r="R9" s="179">
        <v>10</v>
      </c>
      <c r="S9" s="178"/>
      <c r="U9" s="12" t="s">
        <v>120</v>
      </c>
      <c r="W9" s="12" t="s">
        <v>1083</v>
      </c>
      <c r="X9" s="12" t="s">
        <v>1213</v>
      </c>
      <c r="Y9" s="178" t="s">
        <v>1214</v>
      </c>
      <c r="Z9" s="12" t="s">
        <v>1215</v>
      </c>
      <c r="AA9" s="178" t="s">
        <v>1216</v>
      </c>
      <c r="AB9" s="12" t="s">
        <v>1112</v>
      </c>
      <c r="AC9" s="178" t="s">
        <v>1217</v>
      </c>
      <c r="AD9" s="12" t="s">
        <v>1133</v>
      </c>
      <c r="AE9" s="12" t="s">
        <v>1075</v>
      </c>
      <c r="AF9" s="12" t="s">
        <v>1218</v>
      </c>
      <c r="AG9" s="12" t="s">
        <v>1092</v>
      </c>
      <c r="AH9" s="12" t="s">
        <v>1092</v>
      </c>
      <c r="AI9" s="12" t="s">
        <v>1219</v>
      </c>
      <c r="AJ9" s="12" t="s">
        <v>1220</v>
      </c>
      <c r="AK9" s="12" t="s">
        <v>1221</v>
      </c>
      <c r="AL9" s="12" t="s">
        <v>1092</v>
      </c>
      <c r="AM9" s="12" t="s">
        <v>1092</v>
      </c>
      <c r="AN9" s="12" t="s">
        <v>1092</v>
      </c>
      <c r="AO9" s="178" t="s">
        <v>1093</v>
      </c>
      <c r="AP9" s="178" t="s">
        <v>1093</v>
      </c>
      <c r="AQ9" s="178" t="s">
        <v>1093</v>
      </c>
      <c r="AR9" s="178" t="s">
        <v>1093</v>
      </c>
      <c r="AS9" s="178" t="s">
        <v>1118</v>
      </c>
      <c r="AT9" s="178" t="s">
        <v>1118</v>
      </c>
      <c r="AU9" s="178" t="s">
        <v>1094</v>
      </c>
      <c r="AV9" s="12" t="s">
        <v>1096</v>
      </c>
      <c r="AW9" s="12" t="s">
        <v>1097</v>
      </c>
      <c r="AY9" s="178" t="s">
        <v>1092</v>
      </c>
      <c r="AZ9" s="12" t="s">
        <v>1098</v>
      </c>
      <c r="BA9" s="12" t="s">
        <v>1098</v>
      </c>
      <c r="BB9" s="12" t="s">
        <v>1222</v>
      </c>
      <c r="BD9" s="12" t="s">
        <v>1092</v>
      </c>
      <c r="BE9" s="12" t="s">
        <v>118</v>
      </c>
      <c r="BF9" s="12" t="s">
        <v>121</v>
      </c>
      <c r="BH9" s="12" t="s">
        <v>120</v>
      </c>
      <c r="BI9" s="179">
        <v>10</v>
      </c>
      <c r="BJ9" s="175">
        <v>42205</v>
      </c>
      <c r="BK9" s="176" t="s">
        <v>82</v>
      </c>
      <c r="BM9" s="12">
        <v>30</v>
      </c>
    </row>
    <row r="10" spans="1:66" x14ac:dyDescent="0.25">
      <c r="A10" s="12" t="s">
        <v>1099</v>
      </c>
      <c r="B10" s="12" t="s">
        <v>480</v>
      </c>
      <c r="C10" s="12" t="s">
        <v>481</v>
      </c>
      <c r="D10" s="12" t="s">
        <v>482</v>
      </c>
      <c r="E10" s="175">
        <v>42191</v>
      </c>
      <c r="F10" s="12" t="s">
        <v>1223</v>
      </c>
      <c r="G10" s="12" t="s">
        <v>1075</v>
      </c>
      <c r="H10" s="12" t="s">
        <v>1224</v>
      </c>
      <c r="I10" s="12" t="s">
        <v>1225</v>
      </c>
      <c r="K10" s="12" t="s">
        <v>1226</v>
      </c>
      <c r="L10" s="12" t="s">
        <v>1227</v>
      </c>
      <c r="M10" s="12" t="s">
        <v>1228</v>
      </c>
      <c r="O10" s="178" t="s">
        <v>1229</v>
      </c>
      <c r="P10" s="178" t="s">
        <v>1230</v>
      </c>
      <c r="Q10" s="12" t="s">
        <v>1228</v>
      </c>
      <c r="R10" s="179">
        <v>11</v>
      </c>
      <c r="S10" s="178"/>
      <c r="U10" s="12" t="s">
        <v>120</v>
      </c>
      <c r="W10" s="12" t="s">
        <v>1083</v>
      </c>
      <c r="X10" s="12" t="s">
        <v>1231</v>
      </c>
      <c r="Y10" s="178" t="s">
        <v>1232</v>
      </c>
      <c r="Z10" s="12" t="s">
        <v>1233</v>
      </c>
      <c r="AA10" s="178" t="s">
        <v>1234</v>
      </c>
      <c r="AB10" s="12" t="s">
        <v>1233</v>
      </c>
      <c r="AD10" s="12" t="s">
        <v>1185</v>
      </c>
      <c r="AE10" s="12" t="s">
        <v>1075</v>
      </c>
      <c r="AF10" s="12" t="s">
        <v>1235</v>
      </c>
      <c r="AG10" s="12" t="s">
        <v>1236</v>
      </c>
      <c r="AH10" s="12" t="s">
        <v>1092</v>
      </c>
      <c r="AI10" s="12" t="s">
        <v>1237</v>
      </c>
      <c r="AJ10" s="12" t="s">
        <v>1238</v>
      </c>
      <c r="AK10" s="12" t="s">
        <v>1238</v>
      </c>
      <c r="AL10" s="12" t="s">
        <v>1092</v>
      </c>
      <c r="AM10" s="12" t="s">
        <v>1092</v>
      </c>
      <c r="AN10" s="12" t="s">
        <v>1092</v>
      </c>
      <c r="AO10" s="178" t="s">
        <v>1093</v>
      </c>
      <c r="AP10" s="178" t="s">
        <v>1093</v>
      </c>
      <c r="AQ10" s="178" t="s">
        <v>1093</v>
      </c>
      <c r="AR10" s="178" t="s">
        <v>1092</v>
      </c>
      <c r="AS10" s="178" t="s">
        <v>1118</v>
      </c>
      <c r="AT10" s="178" t="s">
        <v>1118</v>
      </c>
      <c r="AU10" s="178" t="s">
        <v>1095</v>
      </c>
      <c r="AV10" s="12" t="s">
        <v>1096</v>
      </c>
      <c r="AW10" s="12" t="s">
        <v>1097</v>
      </c>
      <c r="AX10" s="178" t="s">
        <v>1156</v>
      </c>
      <c r="AY10" s="178" t="s">
        <v>1157</v>
      </c>
      <c r="AZ10" s="12" t="s">
        <v>1239</v>
      </c>
      <c r="BA10" s="12" t="s">
        <v>1098</v>
      </c>
      <c r="BB10" s="12" t="s">
        <v>1098</v>
      </c>
      <c r="BD10" s="12" t="s">
        <v>1092</v>
      </c>
      <c r="BE10" s="12" t="s">
        <v>118</v>
      </c>
      <c r="BF10" s="12" t="s">
        <v>121</v>
      </c>
      <c r="BH10" s="12" t="s">
        <v>120</v>
      </c>
      <c r="BI10" s="179">
        <v>11</v>
      </c>
      <c r="BJ10" s="175">
        <v>42204</v>
      </c>
      <c r="BK10" s="176" t="s">
        <v>82</v>
      </c>
      <c r="BM10" s="12">
        <v>29</v>
      </c>
    </row>
    <row r="11" spans="1:66" x14ac:dyDescent="0.25">
      <c r="A11" s="12" t="s">
        <v>1099</v>
      </c>
      <c r="B11" s="12" t="s">
        <v>483</v>
      </c>
      <c r="C11" s="12" t="s">
        <v>484</v>
      </c>
      <c r="D11" s="12" t="s">
        <v>485</v>
      </c>
      <c r="E11" s="175">
        <v>42191</v>
      </c>
      <c r="F11" s="12" t="s">
        <v>1240</v>
      </c>
      <c r="G11" s="12" t="s">
        <v>1075</v>
      </c>
      <c r="H11" s="12" t="s">
        <v>1076</v>
      </c>
      <c r="I11" s="12" t="s">
        <v>1241</v>
      </c>
      <c r="K11" s="12" t="s">
        <v>1242</v>
      </c>
      <c r="L11" s="12" t="s">
        <v>1243</v>
      </c>
      <c r="M11" s="12" t="s">
        <v>1244</v>
      </c>
      <c r="O11" s="178" t="s">
        <v>1245</v>
      </c>
      <c r="P11" s="178" t="s">
        <v>1246</v>
      </c>
      <c r="Q11" s="12" t="s">
        <v>1244</v>
      </c>
      <c r="R11" s="179">
        <v>12</v>
      </c>
      <c r="S11" s="178"/>
      <c r="U11" s="12" t="s">
        <v>120</v>
      </c>
      <c r="W11" s="12" t="s">
        <v>1083</v>
      </c>
      <c r="X11" s="12" t="s">
        <v>1093</v>
      </c>
      <c r="Y11" s="178" t="s">
        <v>1247</v>
      </c>
      <c r="Z11" s="12" t="s">
        <v>1248</v>
      </c>
      <c r="AA11" s="178" t="s">
        <v>1249</v>
      </c>
      <c r="AB11" s="12" t="s">
        <v>1250</v>
      </c>
      <c r="AC11" s="178" t="s">
        <v>1251</v>
      </c>
      <c r="AD11" s="12" t="s">
        <v>1252</v>
      </c>
      <c r="AE11" s="12" t="s">
        <v>1075</v>
      </c>
      <c r="AF11" s="12" t="s">
        <v>1253</v>
      </c>
      <c r="AG11" s="12" t="s">
        <v>1092</v>
      </c>
      <c r="AH11" s="12" t="s">
        <v>1092</v>
      </c>
      <c r="AI11" s="12" t="s">
        <v>1254</v>
      </c>
      <c r="AJ11" s="12" t="s">
        <v>1255</v>
      </c>
      <c r="AK11" s="12" t="s">
        <v>1256</v>
      </c>
      <c r="AL11" s="12" t="s">
        <v>1092</v>
      </c>
      <c r="AM11" s="12" t="s">
        <v>1092</v>
      </c>
      <c r="AN11" s="12" t="s">
        <v>1092</v>
      </c>
      <c r="AO11" s="178" t="s">
        <v>1093</v>
      </c>
      <c r="AP11" s="178" t="s">
        <v>1092</v>
      </c>
      <c r="AQ11" s="178" t="s">
        <v>1093</v>
      </c>
      <c r="AR11" s="178" t="s">
        <v>1093</v>
      </c>
      <c r="AS11" s="178" t="s">
        <v>1118</v>
      </c>
      <c r="AT11" s="178" t="s">
        <v>1118</v>
      </c>
      <c r="AU11" s="178" t="s">
        <v>1118</v>
      </c>
      <c r="AV11" s="12" t="s">
        <v>1096</v>
      </c>
      <c r="AW11" s="12" t="s">
        <v>1097</v>
      </c>
      <c r="AY11" s="178" t="s">
        <v>1092</v>
      </c>
      <c r="AZ11" s="12" t="s">
        <v>1098</v>
      </c>
      <c r="BA11" s="12" t="s">
        <v>1098</v>
      </c>
      <c r="BB11" s="12" t="s">
        <v>1098</v>
      </c>
      <c r="BD11" s="12" t="s">
        <v>1092</v>
      </c>
      <c r="BE11" s="12" t="s">
        <v>118</v>
      </c>
      <c r="BF11" s="12" t="s">
        <v>121</v>
      </c>
      <c r="BH11" s="12" t="s">
        <v>120</v>
      </c>
      <c r="BI11" s="179">
        <v>12</v>
      </c>
      <c r="BJ11" s="175">
        <v>42204</v>
      </c>
      <c r="BK11" s="176" t="s">
        <v>82</v>
      </c>
      <c r="BM11" s="12">
        <v>29</v>
      </c>
    </row>
    <row r="12" spans="1:66" x14ac:dyDescent="0.25">
      <c r="A12" s="12" t="s">
        <v>1099</v>
      </c>
      <c r="B12" s="12" t="s">
        <v>486</v>
      </c>
      <c r="C12" s="12" t="s">
        <v>487</v>
      </c>
      <c r="D12" s="12" t="s">
        <v>488</v>
      </c>
      <c r="E12" s="175">
        <v>42191</v>
      </c>
      <c r="F12" s="12" t="s">
        <v>1257</v>
      </c>
      <c r="G12" s="12" t="s">
        <v>1075</v>
      </c>
      <c r="H12" s="12" t="s">
        <v>1076</v>
      </c>
      <c r="I12" s="12" t="s">
        <v>1258</v>
      </c>
      <c r="J12" s="12" t="s">
        <v>1259</v>
      </c>
      <c r="K12" s="12" t="s">
        <v>1103</v>
      </c>
      <c r="L12" s="12" t="s">
        <v>1179</v>
      </c>
      <c r="M12" s="12" t="s">
        <v>1180</v>
      </c>
      <c r="O12" s="178" t="s">
        <v>1181</v>
      </c>
      <c r="P12" s="178" t="s">
        <v>1260</v>
      </c>
      <c r="Q12" s="12" t="s">
        <v>1180</v>
      </c>
      <c r="R12" s="179">
        <v>13</v>
      </c>
      <c r="S12" s="178"/>
      <c r="U12" s="12" t="s">
        <v>120</v>
      </c>
      <c r="W12" s="12" t="s">
        <v>1083</v>
      </c>
      <c r="X12" s="12" t="s">
        <v>1097</v>
      </c>
      <c r="Y12" s="178" t="s">
        <v>1261</v>
      </c>
      <c r="Z12" s="12" t="s">
        <v>1262</v>
      </c>
      <c r="AA12" s="178" t="s">
        <v>1263</v>
      </c>
      <c r="AB12" s="12" t="s">
        <v>1264</v>
      </c>
      <c r="AC12" s="178" t="s">
        <v>1265</v>
      </c>
      <c r="AD12" s="12" t="s">
        <v>1266</v>
      </c>
      <c r="AE12" s="12" t="s">
        <v>1075</v>
      </c>
      <c r="AF12" s="12" t="s">
        <v>1267</v>
      </c>
      <c r="AG12" s="12" t="s">
        <v>1092</v>
      </c>
      <c r="AH12" s="12" t="s">
        <v>1092</v>
      </c>
      <c r="AI12" s="12" t="s">
        <v>1268</v>
      </c>
      <c r="AJ12" s="12" t="s">
        <v>1269</v>
      </c>
      <c r="AK12" s="12" t="s">
        <v>1270</v>
      </c>
      <c r="AL12" s="12" t="s">
        <v>1092</v>
      </c>
      <c r="AM12" s="12" t="s">
        <v>1092</v>
      </c>
      <c r="AN12" s="12" t="s">
        <v>1092</v>
      </c>
      <c r="AO12" s="178" t="s">
        <v>1093</v>
      </c>
      <c r="AP12" s="178" t="s">
        <v>1093</v>
      </c>
      <c r="AQ12" s="178" t="s">
        <v>1093</v>
      </c>
      <c r="AR12" s="178" t="s">
        <v>1093</v>
      </c>
      <c r="AS12" s="178" t="s">
        <v>1118</v>
      </c>
      <c r="AT12" s="178" t="s">
        <v>1118</v>
      </c>
      <c r="AU12" s="178" t="s">
        <v>1118</v>
      </c>
      <c r="AV12" s="12" t="s">
        <v>1096</v>
      </c>
      <c r="AW12" s="12" t="s">
        <v>1097</v>
      </c>
      <c r="AY12" s="178" t="s">
        <v>1092</v>
      </c>
      <c r="AZ12" s="12" t="s">
        <v>1098</v>
      </c>
      <c r="BA12" s="12" t="s">
        <v>1098</v>
      </c>
      <c r="BB12" s="12" t="s">
        <v>1098</v>
      </c>
      <c r="BD12" s="12" t="s">
        <v>1092</v>
      </c>
      <c r="BE12" s="12" t="s">
        <v>118</v>
      </c>
      <c r="BF12" s="12" t="s">
        <v>121</v>
      </c>
      <c r="BH12" s="12" t="s">
        <v>120</v>
      </c>
      <c r="BI12" s="179">
        <v>13</v>
      </c>
      <c r="BJ12" s="175">
        <v>42204</v>
      </c>
      <c r="BK12" s="176" t="s">
        <v>82</v>
      </c>
      <c r="BM12" s="12">
        <v>29</v>
      </c>
    </row>
    <row r="13" spans="1:66" x14ac:dyDescent="0.25">
      <c r="A13" s="12" t="s">
        <v>1099</v>
      </c>
      <c r="B13" s="12" t="s">
        <v>489</v>
      </c>
      <c r="C13" s="12" t="s">
        <v>490</v>
      </c>
      <c r="D13" s="12" t="s">
        <v>491</v>
      </c>
      <c r="E13" s="175">
        <v>42191</v>
      </c>
      <c r="F13" s="12" t="s">
        <v>1271</v>
      </c>
      <c r="G13" s="12" t="s">
        <v>1075</v>
      </c>
      <c r="H13" s="12" t="s">
        <v>1272</v>
      </c>
      <c r="I13" s="12" t="s">
        <v>1273</v>
      </c>
      <c r="J13" s="12" t="s">
        <v>1274</v>
      </c>
      <c r="K13" s="12" t="s">
        <v>1123</v>
      </c>
      <c r="L13" s="12" t="s">
        <v>1124</v>
      </c>
      <c r="M13" s="12" t="s">
        <v>1125</v>
      </c>
      <c r="O13" s="178" t="s">
        <v>1275</v>
      </c>
      <c r="P13" s="178" t="s">
        <v>1276</v>
      </c>
      <c r="Q13" s="12" t="s">
        <v>1125</v>
      </c>
      <c r="R13" s="179">
        <v>14</v>
      </c>
      <c r="S13" s="178"/>
      <c r="U13" s="12" t="s">
        <v>120</v>
      </c>
      <c r="W13" s="12" t="s">
        <v>1083</v>
      </c>
      <c r="X13" s="12" t="s">
        <v>1157</v>
      </c>
      <c r="Y13" s="178" t="s">
        <v>1198</v>
      </c>
      <c r="Z13" s="12" t="s">
        <v>1277</v>
      </c>
      <c r="AA13" s="178" t="s">
        <v>1278</v>
      </c>
      <c r="AB13" s="12" t="s">
        <v>1279</v>
      </c>
      <c r="AC13" s="178" t="s">
        <v>1249</v>
      </c>
      <c r="AD13" s="12" t="s">
        <v>1280</v>
      </c>
      <c r="AE13" s="12" t="s">
        <v>1075</v>
      </c>
      <c r="AF13" s="12" t="s">
        <v>1281</v>
      </c>
      <c r="AG13" s="12" t="s">
        <v>1092</v>
      </c>
      <c r="AH13" s="12" t="s">
        <v>1092</v>
      </c>
      <c r="AI13" s="12" t="s">
        <v>1282</v>
      </c>
      <c r="AJ13" s="12" t="s">
        <v>1283</v>
      </c>
      <c r="AK13" s="12" t="s">
        <v>1284</v>
      </c>
      <c r="AL13" s="12" t="s">
        <v>1092</v>
      </c>
      <c r="AM13" s="12" t="s">
        <v>1092</v>
      </c>
      <c r="AN13" s="12" t="s">
        <v>1092</v>
      </c>
      <c r="AO13" s="178" t="s">
        <v>1093</v>
      </c>
      <c r="AP13" s="178" t="s">
        <v>1093</v>
      </c>
      <c r="AQ13" s="178" t="s">
        <v>1093</v>
      </c>
      <c r="AR13" s="178" t="s">
        <v>1093</v>
      </c>
      <c r="AS13" s="178" t="s">
        <v>1118</v>
      </c>
      <c r="AT13" s="178" t="s">
        <v>1118</v>
      </c>
      <c r="AU13" s="178" t="s">
        <v>1118</v>
      </c>
      <c r="AV13" s="12" t="s">
        <v>1096</v>
      </c>
      <c r="AW13" s="12" t="s">
        <v>1097</v>
      </c>
      <c r="AX13" s="178" t="s">
        <v>1190</v>
      </c>
      <c r="AY13" s="178" t="s">
        <v>1093</v>
      </c>
      <c r="AZ13" s="12" t="s">
        <v>1285</v>
      </c>
      <c r="BA13" s="12" t="s">
        <v>1286</v>
      </c>
      <c r="BB13" s="12" t="s">
        <v>1098</v>
      </c>
      <c r="BD13" s="12" t="s">
        <v>1092</v>
      </c>
      <c r="BE13" s="12" t="s">
        <v>118</v>
      </c>
      <c r="BF13" s="12" t="s">
        <v>121</v>
      </c>
      <c r="BH13" s="12" t="s">
        <v>120</v>
      </c>
      <c r="BI13" s="179">
        <v>14</v>
      </c>
      <c r="BJ13" s="175">
        <v>42205</v>
      </c>
      <c r="BK13" s="176" t="s">
        <v>82</v>
      </c>
      <c r="BM13" s="12">
        <v>30</v>
      </c>
    </row>
    <row r="14" spans="1:66" x14ac:dyDescent="0.25">
      <c r="A14" s="12" t="s">
        <v>1099</v>
      </c>
      <c r="B14" s="12" t="s">
        <v>492</v>
      </c>
      <c r="C14" s="12" t="s">
        <v>493</v>
      </c>
      <c r="D14" s="12" t="s">
        <v>494</v>
      </c>
      <c r="E14" s="175">
        <v>42191</v>
      </c>
      <c r="F14" s="12" t="s">
        <v>1257</v>
      </c>
      <c r="G14" s="12" t="s">
        <v>1075</v>
      </c>
      <c r="H14" s="12" t="s">
        <v>1287</v>
      </c>
      <c r="I14" s="12" t="s">
        <v>1288</v>
      </c>
      <c r="J14" s="12" t="s">
        <v>1274</v>
      </c>
      <c r="K14" s="12" t="s">
        <v>1123</v>
      </c>
      <c r="L14" s="12" t="s">
        <v>1124</v>
      </c>
      <c r="M14" s="12" t="s">
        <v>1125</v>
      </c>
      <c r="O14" s="178" t="s">
        <v>1289</v>
      </c>
      <c r="P14" s="178" t="s">
        <v>1290</v>
      </c>
      <c r="Q14" s="12" t="s">
        <v>1125</v>
      </c>
      <c r="R14" s="179">
        <v>15</v>
      </c>
      <c r="S14" s="178"/>
      <c r="U14" s="12" t="s">
        <v>120</v>
      </c>
      <c r="W14" s="12" t="s">
        <v>1083</v>
      </c>
      <c r="X14" s="12" t="s">
        <v>1097</v>
      </c>
      <c r="Y14" s="178" t="s">
        <v>1167</v>
      </c>
      <c r="Z14" s="12" t="s">
        <v>1291</v>
      </c>
      <c r="AA14" s="178" t="s">
        <v>1130</v>
      </c>
      <c r="AB14" s="12" t="s">
        <v>1291</v>
      </c>
      <c r="AC14" s="178" t="s">
        <v>1292</v>
      </c>
      <c r="AD14" s="12" t="s">
        <v>1293</v>
      </c>
      <c r="AE14" s="12" t="s">
        <v>1075</v>
      </c>
      <c r="AF14" s="12" t="s">
        <v>1294</v>
      </c>
      <c r="AG14" s="12" t="s">
        <v>1092</v>
      </c>
      <c r="AH14" s="12" t="s">
        <v>1092</v>
      </c>
      <c r="AI14" s="12" t="s">
        <v>1295</v>
      </c>
      <c r="AJ14" s="12" t="s">
        <v>1296</v>
      </c>
      <c r="AK14" s="12" t="s">
        <v>1296</v>
      </c>
      <c r="AL14" s="12" t="s">
        <v>1092</v>
      </c>
      <c r="AM14" s="12" t="s">
        <v>1092</v>
      </c>
      <c r="AN14" s="12" t="s">
        <v>1092</v>
      </c>
      <c r="AO14" s="178" t="s">
        <v>1092</v>
      </c>
      <c r="AP14" s="178" t="s">
        <v>1092</v>
      </c>
      <c r="AQ14" s="178" t="s">
        <v>1093</v>
      </c>
      <c r="AR14" s="178" t="s">
        <v>1092</v>
      </c>
      <c r="AS14" s="178" t="s">
        <v>1155</v>
      </c>
      <c r="AT14" s="178" t="s">
        <v>1118</v>
      </c>
      <c r="AU14" s="178" t="s">
        <v>1095</v>
      </c>
      <c r="AV14" s="12" t="s">
        <v>1096</v>
      </c>
      <c r="AW14" s="12" t="s">
        <v>1097</v>
      </c>
      <c r="AY14" s="178" t="s">
        <v>1092</v>
      </c>
      <c r="AZ14" s="12" t="s">
        <v>1297</v>
      </c>
      <c r="BA14" s="12" t="s">
        <v>1098</v>
      </c>
      <c r="BB14" s="12" t="s">
        <v>1098</v>
      </c>
      <c r="BD14" s="12" t="s">
        <v>1092</v>
      </c>
      <c r="BE14" s="12" t="s">
        <v>118</v>
      </c>
      <c r="BF14" s="12" t="s">
        <v>121</v>
      </c>
      <c r="BH14" s="12" t="s">
        <v>120</v>
      </c>
      <c r="BI14" s="179">
        <v>15</v>
      </c>
      <c r="BJ14" s="175">
        <v>42205</v>
      </c>
      <c r="BK14" s="176" t="s">
        <v>82</v>
      </c>
      <c r="BM14" s="12">
        <v>30</v>
      </c>
    </row>
    <row r="15" spans="1:66" x14ac:dyDescent="0.25">
      <c r="A15" s="12" t="s">
        <v>1099</v>
      </c>
      <c r="B15" s="12" t="s">
        <v>495</v>
      </c>
      <c r="C15" s="12" t="s">
        <v>496</v>
      </c>
      <c r="D15" s="12" t="s">
        <v>497</v>
      </c>
      <c r="E15" s="175">
        <v>42191</v>
      </c>
      <c r="F15" s="12" t="s">
        <v>1298</v>
      </c>
      <c r="G15" s="12" t="s">
        <v>1075</v>
      </c>
      <c r="H15" s="12" t="s">
        <v>1299</v>
      </c>
      <c r="I15" s="12" t="s">
        <v>1300</v>
      </c>
      <c r="J15" s="12" t="s">
        <v>1301</v>
      </c>
      <c r="K15" s="12" t="s">
        <v>1123</v>
      </c>
      <c r="L15" s="12" t="s">
        <v>1124</v>
      </c>
      <c r="M15" s="12" t="s">
        <v>1125</v>
      </c>
      <c r="O15" s="178" t="s">
        <v>1163</v>
      </c>
      <c r="P15" s="178" t="s">
        <v>1302</v>
      </c>
      <c r="Q15" s="12" t="s">
        <v>1125</v>
      </c>
      <c r="R15" s="179">
        <v>16</v>
      </c>
      <c r="S15" s="178"/>
      <c r="U15" s="12" t="s">
        <v>120</v>
      </c>
      <c r="W15" s="12" t="s">
        <v>1083</v>
      </c>
      <c r="X15" s="12" t="s">
        <v>1303</v>
      </c>
      <c r="Y15" s="178" t="s">
        <v>1087</v>
      </c>
      <c r="Z15" s="12" t="s">
        <v>1304</v>
      </c>
      <c r="AA15" s="178" t="s">
        <v>1305</v>
      </c>
      <c r="AB15" s="12" t="s">
        <v>1306</v>
      </c>
      <c r="AC15" s="178" t="s">
        <v>1307</v>
      </c>
      <c r="AD15" s="12" t="s">
        <v>1308</v>
      </c>
      <c r="AE15" s="12" t="s">
        <v>1075</v>
      </c>
      <c r="AF15" s="12" t="s">
        <v>1134</v>
      </c>
      <c r="AG15" s="12" t="s">
        <v>1092</v>
      </c>
      <c r="AH15" s="12" t="s">
        <v>1092</v>
      </c>
      <c r="AI15" s="12" t="s">
        <v>1309</v>
      </c>
      <c r="AJ15" s="12" t="s">
        <v>1310</v>
      </c>
      <c r="AK15" s="12" t="s">
        <v>1310</v>
      </c>
      <c r="AL15" s="12" t="s">
        <v>1092</v>
      </c>
      <c r="AM15" s="12" t="s">
        <v>1092</v>
      </c>
      <c r="AN15" s="12" t="s">
        <v>1092</v>
      </c>
      <c r="AO15" s="178" t="s">
        <v>1093</v>
      </c>
      <c r="AP15" s="178" t="s">
        <v>1093</v>
      </c>
      <c r="AQ15" s="178" t="s">
        <v>1092</v>
      </c>
      <c r="AR15" s="178" t="s">
        <v>1092</v>
      </c>
      <c r="AS15" s="178" t="s">
        <v>1118</v>
      </c>
      <c r="AT15" s="178" t="s">
        <v>1095</v>
      </c>
      <c r="AU15" s="178" t="s">
        <v>1095</v>
      </c>
      <c r="AV15" s="12" t="s">
        <v>1096</v>
      </c>
      <c r="AW15" s="12" t="s">
        <v>1097</v>
      </c>
      <c r="AY15" s="178" t="s">
        <v>1092</v>
      </c>
      <c r="AZ15" s="12" t="s">
        <v>1311</v>
      </c>
      <c r="BA15" s="12" t="s">
        <v>1098</v>
      </c>
      <c r="BB15" s="12" t="s">
        <v>1312</v>
      </c>
      <c r="BD15" s="12" t="s">
        <v>1092</v>
      </c>
      <c r="BE15" s="12" t="s">
        <v>118</v>
      </c>
      <c r="BF15" s="12" t="s">
        <v>121</v>
      </c>
      <c r="BH15" s="12" t="s">
        <v>120</v>
      </c>
      <c r="BI15" s="179">
        <v>16</v>
      </c>
      <c r="BJ15" s="175">
        <v>42205</v>
      </c>
      <c r="BK15" s="176" t="s">
        <v>82</v>
      </c>
      <c r="BM15" s="12">
        <v>30</v>
      </c>
    </row>
    <row r="16" spans="1:66" x14ac:dyDescent="0.25">
      <c r="A16" s="12" t="s">
        <v>1313</v>
      </c>
      <c r="B16" s="12" t="s">
        <v>498</v>
      </c>
      <c r="C16" s="12" t="s">
        <v>499</v>
      </c>
      <c r="D16" s="12" t="s">
        <v>500</v>
      </c>
      <c r="E16" s="175">
        <v>42191</v>
      </c>
      <c r="F16" s="12" t="s">
        <v>1314</v>
      </c>
      <c r="G16" s="12" t="s">
        <v>1075</v>
      </c>
      <c r="H16" s="12" t="s">
        <v>1076</v>
      </c>
      <c r="I16" s="12" t="s">
        <v>1315</v>
      </c>
      <c r="J16" s="12" t="s">
        <v>1316</v>
      </c>
      <c r="K16" s="12" t="s">
        <v>1123</v>
      </c>
      <c r="L16" s="12" t="s">
        <v>1124</v>
      </c>
      <c r="M16" s="12" t="s">
        <v>1105</v>
      </c>
      <c r="O16" s="178" t="s">
        <v>1106</v>
      </c>
      <c r="P16" s="178" t="s">
        <v>1317</v>
      </c>
      <c r="Q16" s="12" t="s">
        <v>1105</v>
      </c>
      <c r="R16" s="179">
        <v>17</v>
      </c>
      <c r="S16" s="178"/>
      <c r="U16" s="12" t="s">
        <v>120</v>
      </c>
      <c r="W16" s="12" t="s">
        <v>1083</v>
      </c>
      <c r="X16" s="12" t="s">
        <v>1097</v>
      </c>
      <c r="Y16" s="178" t="s">
        <v>1318</v>
      </c>
      <c r="Z16" s="12" t="s">
        <v>1319</v>
      </c>
      <c r="AA16" s="178" t="s">
        <v>1305</v>
      </c>
      <c r="AB16" s="12" t="s">
        <v>1320</v>
      </c>
      <c r="AD16" s="12" t="s">
        <v>1185</v>
      </c>
      <c r="AE16" s="12" t="s">
        <v>1075</v>
      </c>
      <c r="AF16" s="12" t="s">
        <v>1321</v>
      </c>
      <c r="AG16" s="12" t="s">
        <v>1092</v>
      </c>
      <c r="AH16" s="12" t="s">
        <v>1092</v>
      </c>
      <c r="AI16" s="12" t="s">
        <v>1322</v>
      </c>
      <c r="AJ16" s="12" t="s">
        <v>1323</v>
      </c>
      <c r="AK16" s="12" t="s">
        <v>1324</v>
      </c>
      <c r="AL16" s="12" t="s">
        <v>1092</v>
      </c>
      <c r="AM16" s="12" t="s">
        <v>1092</v>
      </c>
      <c r="AN16" s="12" t="s">
        <v>1092</v>
      </c>
      <c r="AO16" s="178" t="s">
        <v>1093</v>
      </c>
      <c r="AP16" s="178" t="s">
        <v>1093</v>
      </c>
      <c r="AQ16" s="178" t="s">
        <v>1093</v>
      </c>
      <c r="AR16" s="178" t="s">
        <v>1093</v>
      </c>
      <c r="AS16" s="178" t="s">
        <v>1118</v>
      </c>
      <c r="AT16" s="178" t="s">
        <v>1118</v>
      </c>
      <c r="AU16" s="178" t="s">
        <v>1118</v>
      </c>
      <c r="AV16" s="12" t="s">
        <v>1096</v>
      </c>
      <c r="AW16" s="12" t="s">
        <v>1097</v>
      </c>
      <c r="AY16" s="178" t="s">
        <v>1092</v>
      </c>
      <c r="AZ16" s="12" t="s">
        <v>1098</v>
      </c>
      <c r="BA16" s="12" t="s">
        <v>1098</v>
      </c>
      <c r="BB16" s="12" t="s">
        <v>1325</v>
      </c>
      <c r="BD16" s="12" t="s">
        <v>1092</v>
      </c>
      <c r="BE16" s="12" t="s">
        <v>118</v>
      </c>
      <c r="BF16" s="12" t="s">
        <v>121</v>
      </c>
      <c r="BH16" s="12" t="s">
        <v>120</v>
      </c>
      <c r="BI16" s="179">
        <v>17</v>
      </c>
      <c r="BJ16" s="175">
        <v>42205</v>
      </c>
      <c r="BK16" s="176" t="s">
        <v>82</v>
      </c>
      <c r="BM16" s="12">
        <v>30</v>
      </c>
    </row>
    <row r="17" spans="1:65" x14ac:dyDescent="0.25">
      <c r="A17" s="12" t="s">
        <v>1313</v>
      </c>
      <c r="B17" s="12" t="s">
        <v>501</v>
      </c>
      <c r="C17" s="12" t="s">
        <v>502</v>
      </c>
      <c r="D17" s="12" t="s">
        <v>503</v>
      </c>
      <c r="E17" s="175">
        <v>42191</v>
      </c>
      <c r="F17" s="12" t="s">
        <v>1326</v>
      </c>
      <c r="G17" s="12" t="s">
        <v>1075</v>
      </c>
      <c r="H17" s="12" t="s">
        <v>1327</v>
      </c>
      <c r="I17" s="12" t="s">
        <v>1328</v>
      </c>
      <c r="J17" s="12" t="s">
        <v>1259</v>
      </c>
      <c r="K17" s="12" t="s">
        <v>1103</v>
      </c>
      <c r="L17" s="12" t="s">
        <v>1124</v>
      </c>
      <c r="M17" s="12" t="s">
        <v>1105</v>
      </c>
      <c r="Q17" s="12" t="s">
        <v>1105</v>
      </c>
      <c r="R17" s="179">
        <v>18</v>
      </c>
      <c r="S17" s="178"/>
      <c r="U17" s="12" t="s">
        <v>120</v>
      </c>
      <c r="W17" s="12" t="s">
        <v>1083</v>
      </c>
      <c r="X17" s="12" t="s">
        <v>1329</v>
      </c>
      <c r="Y17" s="178" t="s">
        <v>1223</v>
      </c>
      <c r="Z17" s="12" t="s">
        <v>1330</v>
      </c>
      <c r="AA17" s="178" t="s">
        <v>1331</v>
      </c>
      <c r="AB17" s="12" t="s">
        <v>1332</v>
      </c>
      <c r="AC17" s="178" t="s">
        <v>1333</v>
      </c>
      <c r="AD17" s="12" t="s">
        <v>1334</v>
      </c>
      <c r="AE17" s="12" t="s">
        <v>1075</v>
      </c>
      <c r="AF17" s="12" t="s">
        <v>1335</v>
      </c>
      <c r="AG17" s="12" t="s">
        <v>1092</v>
      </c>
      <c r="AH17" s="12" t="s">
        <v>1092</v>
      </c>
      <c r="AI17" s="12" t="s">
        <v>1336</v>
      </c>
      <c r="AJ17" s="12" t="s">
        <v>1337</v>
      </c>
      <c r="AK17" s="12" t="s">
        <v>1338</v>
      </c>
      <c r="AL17" s="12" t="s">
        <v>1092</v>
      </c>
      <c r="AM17" s="12" t="s">
        <v>1092</v>
      </c>
      <c r="AN17" s="12" t="s">
        <v>1092</v>
      </c>
      <c r="AO17" s="178" t="s">
        <v>1093</v>
      </c>
      <c r="AP17" s="178" t="s">
        <v>1093</v>
      </c>
      <c r="AQ17" s="178" t="s">
        <v>1093</v>
      </c>
      <c r="AR17" s="178" t="s">
        <v>1092</v>
      </c>
      <c r="AS17" s="178" t="s">
        <v>1118</v>
      </c>
      <c r="AT17" s="178" t="s">
        <v>1118</v>
      </c>
      <c r="AU17" s="178" t="s">
        <v>1095</v>
      </c>
      <c r="AV17" s="12" t="s">
        <v>1096</v>
      </c>
      <c r="AW17" s="12" t="s">
        <v>1097</v>
      </c>
      <c r="AY17" s="178" t="s">
        <v>1092</v>
      </c>
      <c r="AZ17" s="12" t="s">
        <v>1339</v>
      </c>
      <c r="BA17" s="12" t="s">
        <v>1098</v>
      </c>
      <c r="BB17" s="12" t="s">
        <v>1339</v>
      </c>
      <c r="BD17" s="12" t="s">
        <v>1092</v>
      </c>
      <c r="BE17" s="12" t="s">
        <v>118</v>
      </c>
      <c r="BF17" s="12" t="s">
        <v>121</v>
      </c>
      <c r="BH17" s="12" t="s">
        <v>120</v>
      </c>
      <c r="BI17" s="179">
        <v>18</v>
      </c>
      <c r="BJ17" s="175">
        <v>42202</v>
      </c>
      <c r="BK17" s="176" t="s">
        <v>82</v>
      </c>
      <c r="BM17" s="12">
        <v>29</v>
      </c>
    </row>
    <row r="18" spans="1:65" x14ac:dyDescent="0.25">
      <c r="A18" s="12" t="s">
        <v>1313</v>
      </c>
      <c r="B18" s="12" t="s">
        <v>504</v>
      </c>
      <c r="C18" s="12" t="s">
        <v>505</v>
      </c>
      <c r="D18" s="12" t="s">
        <v>506</v>
      </c>
      <c r="E18" s="175">
        <v>42191</v>
      </c>
      <c r="F18" s="12" t="s">
        <v>1340</v>
      </c>
      <c r="G18" s="12" t="s">
        <v>1075</v>
      </c>
      <c r="H18" s="12" t="s">
        <v>1076</v>
      </c>
      <c r="I18" s="12" t="s">
        <v>1341</v>
      </c>
      <c r="K18" s="12" t="s">
        <v>1078</v>
      </c>
      <c r="L18" s="12" t="s">
        <v>1079</v>
      </c>
      <c r="M18" s="12" t="s">
        <v>1342</v>
      </c>
      <c r="O18" s="178" t="s">
        <v>1343</v>
      </c>
      <c r="P18" s="178" t="s">
        <v>1344</v>
      </c>
      <c r="Q18" s="12" t="s">
        <v>1342</v>
      </c>
      <c r="R18" s="179">
        <v>19</v>
      </c>
      <c r="S18" s="178"/>
      <c r="U18" s="12" t="s">
        <v>120</v>
      </c>
      <c r="W18" s="12" t="s">
        <v>1083</v>
      </c>
      <c r="X18" s="12" t="s">
        <v>1329</v>
      </c>
      <c r="Y18" s="178" t="s">
        <v>1345</v>
      </c>
      <c r="Z18" s="12" t="s">
        <v>1346</v>
      </c>
      <c r="AA18" s="178" t="s">
        <v>1149</v>
      </c>
      <c r="AB18" s="12" t="s">
        <v>1088</v>
      </c>
      <c r="AC18" s="178" t="s">
        <v>1347</v>
      </c>
      <c r="AD18" s="12" t="s">
        <v>1348</v>
      </c>
      <c r="AE18" s="12" t="s">
        <v>1075</v>
      </c>
      <c r="AF18" s="12" t="s">
        <v>1349</v>
      </c>
      <c r="AG18" s="12" t="s">
        <v>1092</v>
      </c>
      <c r="AH18" s="12" t="s">
        <v>1092</v>
      </c>
      <c r="AI18" s="12" t="s">
        <v>1350</v>
      </c>
      <c r="AJ18" s="12" t="s">
        <v>1351</v>
      </c>
      <c r="AK18" s="12" t="s">
        <v>1352</v>
      </c>
      <c r="AL18" s="12" t="s">
        <v>1092</v>
      </c>
      <c r="AM18" s="12" t="s">
        <v>1092</v>
      </c>
      <c r="AN18" s="12" t="s">
        <v>1092</v>
      </c>
      <c r="AO18" s="178" t="s">
        <v>1093</v>
      </c>
      <c r="AP18" s="178" t="s">
        <v>1093</v>
      </c>
      <c r="AQ18" s="178" t="s">
        <v>1092</v>
      </c>
      <c r="AR18" s="178" t="s">
        <v>1092</v>
      </c>
      <c r="AS18" s="178" t="s">
        <v>1118</v>
      </c>
      <c r="AT18" s="178" t="s">
        <v>1095</v>
      </c>
      <c r="AU18" s="178" t="s">
        <v>1095</v>
      </c>
      <c r="AV18" s="12" t="s">
        <v>1096</v>
      </c>
      <c r="AW18" s="12" t="s">
        <v>1097</v>
      </c>
      <c r="AX18" s="178" t="s">
        <v>1353</v>
      </c>
      <c r="AY18" s="178" t="s">
        <v>1093</v>
      </c>
      <c r="AZ18" s="12" t="s">
        <v>1098</v>
      </c>
      <c r="BA18" s="12" t="s">
        <v>1098</v>
      </c>
      <c r="BB18" s="12" t="s">
        <v>1354</v>
      </c>
      <c r="BD18" s="12" t="s">
        <v>1092</v>
      </c>
      <c r="BE18" s="12" t="s">
        <v>118</v>
      </c>
      <c r="BF18" s="12" t="s">
        <v>121</v>
      </c>
      <c r="BH18" s="12" t="s">
        <v>120</v>
      </c>
      <c r="BI18" s="179">
        <v>19</v>
      </c>
      <c r="BJ18" s="175">
        <v>42202</v>
      </c>
      <c r="BK18" s="176" t="s">
        <v>82</v>
      </c>
      <c r="BM18" s="12">
        <v>29</v>
      </c>
    </row>
    <row r="19" spans="1:65" x14ac:dyDescent="0.25">
      <c r="A19" s="12" t="s">
        <v>1313</v>
      </c>
      <c r="B19" s="12" t="s">
        <v>507</v>
      </c>
      <c r="C19" s="12" t="s">
        <v>508</v>
      </c>
      <c r="D19" s="12" t="s">
        <v>509</v>
      </c>
      <c r="E19" s="175">
        <v>42191</v>
      </c>
      <c r="F19" s="12" t="s">
        <v>1355</v>
      </c>
      <c r="G19" s="12" t="s">
        <v>1075</v>
      </c>
      <c r="H19" s="12" t="s">
        <v>1356</v>
      </c>
      <c r="I19" s="12" t="s">
        <v>1357</v>
      </c>
      <c r="K19" s="12" t="s">
        <v>1078</v>
      </c>
      <c r="L19" s="12" t="s">
        <v>1079</v>
      </c>
      <c r="M19" s="12" t="s">
        <v>1342</v>
      </c>
      <c r="O19" s="178" t="s">
        <v>1289</v>
      </c>
      <c r="P19" s="178" t="s">
        <v>1358</v>
      </c>
      <c r="Q19" s="12" t="s">
        <v>1342</v>
      </c>
      <c r="R19" s="179">
        <v>20</v>
      </c>
      <c r="S19" s="178"/>
      <c r="U19" s="12" t="s">
        <v>120</v>
      </c>
      <c r="W19" s="12" t="s">
        <v>1083</v>
      </c>
      <c r="X19" s="12" t="s">
        <v>1359</v>
      </c>
      <c r="Y19" s="178" t="s">
        <v>1234</v>
      </c>
      <c r="Z19" s="12" t="s">
        <v>1360</v>
      </c>
      <c r="AB19" s="12" t="s">
        <v>1185</v>
      </c>
      <c r="AD19" s="12" t="s">
        <v>1185</v>
      </c>
      <c r="AE19" s="12" t="s">
        <v>1075</v>
      </c>
      <c r="AF19" s="12" t="s">
        <v>1361</v>
      </c>
      <c r="AG19" s="12" t="s">
        <v>1092</v>
      </c>
      <c r="AH19" s="12" t="s">
        <v>1092</v>
      </c>
      <c r="AI19" s="12" t="s">
        <v>1362</v>
      </c>
      <c r="AJ19" s="12" t="s">
        <v>1362</v>
      </c>
      <c r="AK19" s="12" t="s">
        <v>1363</v>
      </c>
      <c r="AL19" s="12" t="s">
        <v>1092</v>
      </c>
      <c r="AM19" s="12" t="s">
        <v>1092</v>
      </c>
      <c r="AN19" s="12" t="s">
        <v>1092</v>
      </c>
      <c r="AO19" s="178" t="s">
        <v>1092</v>
      </c>
      <c r="AP19" s="178" t="s">
        <v>1092</v>
      </c>
      <c r="AQ19" s="178" t="s">
        <v>1093</v>
      </c>
      <c r="AR19" s="178" t="s">
        <v>1092</v>
      </c>
      <c r="AS19" s="178" t="s">
        <v>1155</v>
      </c>
      <c r="AT19" s="178" t="s">
        <v>1118</v>
      </c>
      <c r="AU19" s="178" t="s">
        <v>1095</v>
      </c>
      <c r="AV19" s="12" t="s">
        <v>1096</v>
      </c>
      <c r="AW19" s="12" t="s">
        <v>1097</v>
      </c>
      <c r="AY19" s="178" t="s">
        <v>1092</v>
      </c>
      <c r="AZ19" s="12" t="s">
        <v>1364</v>
      </c>
      <c r="BA19" s="12" t="s">
        <v>1098</v>
      </c>
      <c r="BB19" s="12" t="s">
        <v>1098</v>
      </c>
      <c r="BD19" s="12" t="s">
        <v>1092</v>
      </c>
      <c r="BE19" s="12" t="s">
        <v>118</v>
      </c>
      <c r="BF19" s="12" t="s">
        <v>121</v>
      </c>
      <c r="BH19" s="12" t="s">
        <v>120</v>
      </c>
      <c r="BI19" s="179">
        <v>20</v>
      </c>
      <c r="BJ19" s="175">
        <v>42205</v>
      </c>
      <c r="BK19" s="176" t="s">
        <v>119</v>
      </c>
      <c r="BL19" s="177">
        <v>203.61</v>
      </c>
      <c r="BM19" s="12">
        <v>30</v>
      </c>
    </row>
    <row r="20" spans="1:65" x14ac:dyDescent="0.25">
      <c r="A20" s="12" t="s">
        <v>1313</v>
      </c>
      <c r="B20" s="12" t="s">
        <v>510</v>
      </c>
      <c r="C20" s="12" t="s">
        <v>511</v>
      </c>
      <c r="D20" s="12" t="s">
        <v>512</v>
      </c>
      <c r="E20" s="175">
        <v>42191</v>
      </c>
      <c r="F20" s="12" t="s">
        <v>1365</v>
      </c>
      <c r="G20" s="12" t="s">
        <v>1075</v>
      </c>
      <c r="H20" s="12" t="s">
        <v>1076</v>
      </c>
      <c r="I20" s="12" t="s">
        <v>1366</v>
      </c>
      <c r="J20" s="12" t="s">
        <v>1367</v>
      </c>
      <c r="K20" s="12" t="s">
        <v>1078</v>
      </c>
      <c r="L20" s="12" t="s">
        <v>1079</v>
      </c>
      <c r="M20" s="12" t="s">
        <v>1342</v>
      </c>
      <c r="O20" s="178" t="s">
        <v>1368</v>
      </c>
      <c r="P20" s="178" t="s">
        <v>1369</v>
      </c>
      <c r="Q20" s="12" t="s">
        <v>1342</v>
      </c>
      <c r="R20" s="179">
        <v>21</v>
      </c>
      <c r="S20" s="178"/>
      <c r="U20" s="12" t="s">
        <v>120</v>
      </c>
      <c r="W20" s="12" t="s">
        <v>1083</v>
      </c>
      <c r="X20" s="12" t="s">
        <v>1329</v>
      </c>
      <c r="Y20" s="178" t="s">
        <v>1370</v>
      </c>
      <c r="Z20" s="12" t="s">
        <v>1371</v>
      </c>
      <c r="AA20" s="178" t="s">
        <v>1278</v>
      </c>
      <c r="AB20" s="12" t="s">
        <v>1371</v>
      </c>
      <c r="AC20" s="178" t="s">
        <v>1263</v>
      </c>
      <c r="AD20" s="12" t="s">
        <v>1372</v>
      </c>
      <c r="AE20" s="12" t="s">
        <v>1075</v>
      </c>
      <c r="AF20" s="12" t="s">
        <v>1373</v>
      </c>
      <c r="AG20" s="12" t="s">
        <v>1092</v>
      </c>
      <c r="AH20" s="12" t="s">
        <v>1092</v>
      </c>
      <c r="AI20" s="12" t="s">
        <v>1374</v>
      </c>
      <c r="AJ20" s="12" t="s">
        <v>1375</v>
      </c>
      <c r="AK20" s="12" t="s">
        <v>1376</v>
      </c>
      <c r="AL20" s="12" t="s">
        <v>1092</v>
      </c>
      <c r="AM20" s="12" t="s">
        <v>1092</v>
      </c>
      <c r="AN20" s="12" t="s">
        <v>1092</v>
      </c>
      <c r="AO20" s="178" t="s">
        <v>1093</v>
      </c>
      <c r="AP20" s="178" t="s">
        <v>1093</v>
      </c>
      <c r="AQ20" s="178" t="s">
        <v>1093</v>
      </c>
      <c r="AR20" s="178" t="s">
        <v>1092</v>
      </c>
      <c r="AS20" s="178" t="s">
        <v>1118</v>
      </c>
      <c r="AT20" s="178" t="s">
        <v>1118</v>
      </c>
      <c r="AU20" s="178" t="s">
        <v>1095</v>
      </c>
      <c r="AV20" s="12" t="s">
        <v>1096</v>
      </c>
      <c r="AW20" s="12" t="s">
        <v>1097</v>
      </c>
      <c r="AY20" s="178" t="s">
        <v>1092</v>
      </c>
      <c r="AZ20" s="12" t="s">
        <v>1098</v>
      </c>
      <c r="BA20" s="12" t="s">
        <v>1098</v>
      </c>
      <c r="BB20" s="12" t="s">
        <v>1377</v>
      </c>
      <c r="BC20" s="178" t="s">
        <v>1205</v>
      </c>
      <c r="BD20" s="12" t="s">
        <v>1092</v>
      </c>
      <c r="BE20" s="12" t="s">
        <v>118</v>
      </c>
      <c r="BF20" s="12" t="s">
        <v>121</v>
      </c>
      <c r="BH20" s="12" t="s">
        <v>120</v>
      </c>
      <c r="BI20" s="179">
        <v>21</v>
      </c>
      <c r="BJ20" s="175">
        <v>42200</v>
      </c>
      <c r="BK20" s="176" t="s">
        <v>119</v>
      </c>
      <c r="BL20" s="177">
        <v>230.52</v>
      </c>
      <c r="BM20" s="12">
        <v>29</v>
      </c>
    </row>
    <row r="21" spans="1:65" x14ac:dyDescent="0.25">
      <c r="A21" s="12" t="s">
        <v>1313</v>
      </c>
      <c r="B21" s="12" t="s">
        <v>513</v>
      </c>
      <c r="C21" s="12" t="s">
        <v>514</v>
      </c>
      <c r="D21" s="12" t="s">
        <v>515</v>
      </c>
      <c r="E21" s="175">
        <v>42191</v>
      </c>
      <c r="F21" s="12" t="s">
        <v>1378</v>
      </c>
      <c r="G21" s="12" t="s">
        <v>1075</v>
      </c>
      <c r="H21" s="12" t="s">
        <v>1379</v>
      </c>
      <c r="I21" s="12" t="s">
        <v>1380</v>
      </c>
      <c r="K21" s="12" t="s">
        <v>1242</v>
      </c>
      <c r="L21" s="12" t="s">
        <v>1243</v>
      </c>
      <c r="M21" s="12" t="s">
        <v>1244</v>
      </c>
      <c r="O21" s="178" t="s">
        <v>1381</v>
      </c>
      <c r="P21" s="178" t="s">
        <v>1382</v>
      </c>
      <c r="Q21" s="12" t="s">
        <v>1244</v>
      </c>
      <c r="R21" s="179">
        <v>22</v>
      </c>
      <c r="S21" s="178"/>
      <c r="U21" s="12" t="s">
        <v>120</v>
      </c>
      <c r="W21" s="12" t="s">
        <v>1083</v>
      </c>
      <c r="X21" s="12" t="s">
        <v>1213</v>
      </c>
      <c r="Y21" s="178" t="s">
        <v>1278</v>
      </c>
      <c r="Z21" s="12" t="s">
        <v>1383</v>
      </c>
      <c r="AA21" s="178" t="s">
        <v>1384</v>
      </c>
      <c r="AB21" s="12" t="s">
        <v>1385</v>
      </c>
      <c r="AC21" s="178" t="s">
        <v>1386</v>
      </c>
      <c r="AD21" s="12" t="s">
        <v>1387</v>
      </c>
      <c r="AE21" s="12" t="s">
        <v>1075</v>
      </c>
      <c r="AF21" s="12" t="s">
        <v>1388</v>
      </c>
      <c r="AG21" s="12" t="s">
        <v>1092</v>
      </c>
      <c r="AH21" s="12" t="s">
        <v>1092</v>
      </c>
      <c r="AI21" s="12" t="s">
        <v>1389</v>
      </c>
      <c r="AJ21" s="12" t="s">
        <v>1390</v>
      </c>
      <c r="AK21" s="12" t="s">
        <v>1188</v>
      </c>
      <c r="AL21" s="12" t="s">
        <v>1092</v>
      </c>
      <c r="AM21" s="12" t="s">
        <v>1092</v>
      </c>
      <c r="AN21" s="12" t="s">
        <v>1092</v>
      </c>
      <c r="AO21" s="178" t="s">
        <v>1093</v>
      </c>
      <c r="AP21" s="178" t="s">
        <v>1093</v>
      </c>
      <c r="AQ21" s="178" t="s">
        <v>1093</v>
      </c>
      <c r="AR21" s="178" t="s">
        <v>1093</v>
      </c>
      <c r="AS21" s="178" t="s">
        <v>1118</v>
      </c>
      <c r="AT21" s="178" t="s">
        <v>1118</v>
      </c>
      <c r="AU21" s="178" t="s">
        <v>1118</v>
      </c>
      <c r="AV21" s="12" t="s">
        <v>1096</v>
      </c>
      <c r="AW21" s="12" t="s">
        <v>1097</v>
      </c>
      <c r="AY21" s="178" t="s">
        <v>1092</v>
      </c>
      <c r="AZ21" s="12" t="s">
        <v>1391</v>
      </c>
      <c r="BA21" s="12" t="s">
        <v>1098</v>
      </c>
      <c r="BB21" s="12" t="s">
        <v>1391</v>
      </c>
      <c r="BD21" s="12" t="s">
        <v>1092</v>
      </c>
      <c r="BE21" s="12" t="s">
        <v>118</v>
      </c>
      <c r="BF21" s="12" t="s">
        <v>121</v>
      </c>
      <c r="BH21" s="12" t="s">
        <v>120</v>
      </c>
      <c r="BI21" s="179">
        <v>22</v>
      </c>
      <c r="BJ21" s="175">
        <v>42204</v>
      </c>
      <c r="BK21" s="176" t="s">
        <v>82</v>
      </c>
      <c r="BM21" s="12">
        <v>29</v>
      </c>
    </row>
    <row r="22" spans="1:65" x14ac:dyDescent="0.25">
      <c r="A22" s="12" t="s">
        <v>1313</v>
      </c>
      <c r="B22" s="12" t="s">
        <v>516</v>
      </c>
      <c r="C22" s="12" t="s">
        <v>517</v>
      </c>
      <c r="D22" s="12" t="s">
        <v>518</v>
      </c>
      <c r="E22" s="175">
        <v>42191</v>
      </c>
      <c r="F22" s="12" t="s">
        <v>1392</v>
      </c>
      <c r="G22" s="12" t="s">
        <v>1075</v>
      </c>
      <c r="H22" s="12" t="s">
        <v>1393</v>
      </c>
      <c r="I22" s="12" t="s">
        <v>1394</v>
      </c>
      <c r="J22" s="12" t="s">
        <v>1395</v>
      </c>
      <c r="K22" s="12" t="s">
        <v>1226</v>
      </c>
      <c r="L22" s="12" t="s">
        <v>1227</v>
      </c>
      <c r="M22" s="12" t="s">
        <v>1228</v>
      </c>
      <c r="O22" s="178" t="s">
        <v>1396</v>
      </c>
      <c r="P22" s="178" t="s">
        <v>1397</v>
      </c>
      <c r="Q22" s="12" t="s">
        <v>1228</v>
      </c>
      <c r="R22" s="179">
        <v>23</v>
      </c>
      <c r="S22" s="178"/>
      <c r="U22" s="12" t="s">
        <v>120</v>
      </c>
      <c r="W22" s="12" t="s">
        <v>1083</v>
      </c>
      <c r="X22" s="12" t="s">
        <v>1329</v>
      </c>
      <c r="Y22" s="178" t="s">
        <v>1398</v>
      </c>
      <c r="Z22" s="12" t="s">
        <v>1399</v>
      </c>
      <c r="AA22" s="178" t="s">
        <v>1400</v>
      </c>
      <c r="AB22" s="12" t="s">
        <v>1401</v>
      </c>
      <c r="AC22" s="178" t="s">
        <v>1402</v>
      </c>
      <c r="AD22" s="12" t="s">
        <v>1088</v>
      </c>
      <c r="AE22" s="12" t="s">
        <v>1075</v>
      </c>
      <c r="AF22" s="12" t="s">
        <v>1403</v>
      </c>
      <c r="AG22" s="12" t="s">
        <v>1092</v>
      </c>
      <c r="AH22" s="12" t="s">
        <v>1092</v>
      </c>
      <c r="AI22" s="12" t="s">
        <v>1404</v>
      </c>
      <c r="AJ22" s="12" t="s">
        <v>1405</v>
      </c>
      <c r="AK22" s="12" t="s">
        <v>1406</v>
      </c>
      <c r="AL22" s="12" t="s">
        <v>1092</v>
      </c>
      <c r="AM22" s="12" t="s">
        <v>1092</v>
      </c>
      <c r="AN22" s="12" t="s">
        <v>1092</v>
      </c>
      <c r="AO22" s="178" t="s">
        <v>1092</v>
      </c>
      <c r="AP22" s="178" t="s">
        <v>1092</v>
      </c>
      <c r="AQ22" s="178" t="s">
        <v>1093</v>
      </c>
      <c r="AR22" s="178" t="s">
        <v>1092</v>
      </c>
      <c r="AS22" s="178" t="s">
        <v>1155</v>
      </c>
      <c r="AT22" s="178" t="s">
        <v>1118</v>
      </c>
      <c r="AU22" s="178" t="s">
        <v>1095</v>
      </c>
      <c r="AV22" s="12" t="s">
        <v>1096</v>
      </c>
      <c r="AW22" s="12" t="s">
        <v>1097</v>
      </c>
      <c r="AY22" s="178" t="s">
        <v>1092</v>
      </c>
      <c r="AZ22" s="12" t="s">
        <v>1407</v>
      </c>
      <c r="BA22" s="12" t="s">
        <v>1098</v>
      </c>
      <c r="BB22" s="12" t="s">
        <v>1098</v>
      </c>
      <c r="BD22" s="12" t="s">
        <v>1092</v>
      </c>
      <c r="BE22" s="12" t="s">
        <v>118</v>
      </c>
      <c r="BF22" s="12" t="s">
        <v>121</v>
      </c>
      <c r="BH22" s="12" t="s">
        <v>120</v>
      </c>
      <c r="BI22" s="179">
        <v>23</v>
      </c>
      <c r="BJ22" s="175">
        <v>42204</v>
      </c>
      <c r="BK22" s="176" t="s">
        <v>82</v>
      </c>
      <c r="BM22" s="12">
        <v>29</v>
      </c>
    </row>
    <row r="23" spans="1:65" x14ac:dyDescent="0.25">
      <c r="A23" s="12" t="s">
        <v>1313</v>
      </c>
      <c r="B23" s="12" t="s">
        <v>519</v>
      </c>
      <c r="C23" s="12" t="s">
        <v>520</v>
      </c>
      <c r="D23" s="12" t="s">
        <v>521</v>
      </c>
      <c r="E23" s="175">
        <v>42191</v>
      </c>
      <c r="F23" s="12" t="s">
        <v>1408</v>
      </c>
      <c r="G23" s="12" t="s">
        <v>1075</v>
      </c>
      <c r="H23" s="12" t="s">
        <v>1409</v>
      </c>
      <c r="I23" s="12" t="s">
        <v>1410</v>
      </c>
      <c r="J23" s="12" t="s">
        <v>1411</v>
      </c>
      <c r="K23" s="12" t="s">
        <v>1103</v>
      </c>
      <c r="L23" s="12" t="s">
        <v>1124</v>
      </c>
      <c r="M23" s="12" t="s">
        <v>1105</v>
      </c>
      <c r="Q23" s="12" t="s">
        <v>1105</v>
      </c>
      <c r="R23" s="179">
        <v>24</v>
      </c>
      <c r="S23" s="178"/>
      <c r="U23" s="12" t="s">
        <v>120</v>
      </c>
      <c r="W23" s="12" t="s">
        <v>1083</v>
      </c>
      <c r="X23" s="12" t="s">
        <v>1412</v>
      </c>
      <c r="Z23" s="12" t="s">
        <v>1185</v>
      </c>
      <c r="AB23" s="12" t="s">
        <v>1185</v>
      </c>
      <c r="AD23" s="12" t="s">
        <v>1185</v>
      </c>
      <c r="AE23" s="12" t="s">
        <v>1075</v>
      </c>
      <c r="AF23" s="12" t="s">
        <v>1413</v>
      </c>
      <c r="AG23" s="12" t="s">
        <v>1092</v>
      </c>
      <c r="AH23" s="12" t="s">
        <v>1092</v>
      </c>
      <c r="AI23" s="12" t="s">
        <v>1414</v>
      </c>
      <c r="AJ23" s="12" t="s">
        <v>1415</v>
      </c>
      <c r="AK23" s="12" t="s">
        <v>1416</v>
      </c>
      <c r="AL23" s="12" t="s">
        <v>1092</v>
      </c>
      <c r="AM23" s="12" t="s">
        <v>1092</v>
      </c>
      <c r="AN23" s="12" t="s">
        <v>1092</v>
      </c>
      <c r="AO23" s="178" t="s">
        <v>1093</v>
      </c>
      <c r="AP23" s="178" t="s">
        <v>1093</v>
      </c>
      <c r="AQ23" s="178" t="s">
        <v>1093</v>
      </c>
      <c r="AR23" s="178" t="s">
        <v>1093</v>
      </c>
      <c r="AS23" s="178" t="s">
        <v>1118</v>
      </c>
      <c r="AT23" s="178" t="s">
        <v>1118</v>
      </c>
      <c r="AU23" s="178" t="s">
        <v>1118</v>
      </c>
      <c r="AV23" s="12" t="s">
        <v>1096</v>
      </c>
      <c r="AW23" s="12" t="s">
        <v>1097</v>
      </c>
      <c r="AY23" s="178" t="s">
        <v>1092</v>
      </c>
      <c r="AZ23" s="12" t="s">
        <v>1417</v>
      </c>
      <c r="BA23" s="12" t="s">
        <v>1098</v>
      </c>
      <c r="BB23" s="12" t="s">
        <v>1098</v>
      </c>
      <c r="BD23" s="12" t="s">
        <v>1092</v>
      </c>
      <c r="BE23" s="12" t="s">
        <v>118</v>
      </c>
      <c r="BF23" s="12" t="s">
        <v>121</v>
      </c>
      <c r="BH23" s="12" t="s">
        <v>120</v>
      </c>
      <c r="BI23" s="179">
        <v>24</v>
      </c>
      <c r="BJ23" s="175">
        <v>42202</v>
      </c>
      <c r="BK23" s="176" t="s">
        <v>82</v>
      </c>
      <c r="BM23" s="12">
        <v>29</v>
      </c>
    </row>
    <row r="24" spans="1:65" x14ac:dyDescent="0.25">
      <c r="A24" s="12" t="s">
        <v>1418</v>
      </c>
      <c r="B24" s="12" t="s">
        <v>522</v>
      </c>
      <c r="C24" s="12" t="s">
        <v>523</v>
      </c>
      <c r="D24" s="12" t="s">
        <v>524</v>
      </c>
      <c r="E24" s="175">
        <v>42191</v>
      </c>
      <c r="F24" s="12" t="s">
        <v>1419</v>
      </c>
      <c r="G24" s="12" t="s">
        <v>1075</v>
      </c>
      <c r="H24" s="12" t="s">
        <v>1420</v>
      </c>
      <c r="I24" s="12" t="s">
        <v>1421</v>
      </c>
      <c r="K24" s="12" t="s">
        <v>1078</v>
      </c>
      <c r="L24" s="12" t="s">
        <v>1079</v>
      </c>
      <c r="M24" s="12" t="s">
        <v>1080</v>
      </c>
      <c r="O24" s="178" t="s">
        <v>1422</v>
      </c>
      <c r="P24" s="178" t="s">
        <v>1423</v>
      </c>
      <c r="Q24" s="12" t="s">
        <v>1080</v>
      </c>
      <c r="R24" s="179">
        <v>25</v>
      </c>
      <c r="S24" s="178"/>
      <c r="U24" s="12" t="s">
        <v>120</v>
      </c>
      <c r="W24" s="12" t="s">
        <v>1083</v>
      </c>
      <c r="X24" s="12" t="s">
        <v>1213</v>
      </c>
      <c r="Y24" s="178" t="s">
        <v>1424</v>
      </c>
      <c r="Z24" s="12" t="s">
        <v>1425</v>
      </c>
      <c r="AA24" s="178" t="s">
        <v>1249</v>
      </c>
      <c r="AB24" s="12" t="s">
        <v>1425</v>
      </c>
      <c r="AC24" s="178" t="s">
        <v>1426</v>
      </c>
      <c r="AD24" s="12" t="s">
        <v>1425</v>
      </c>
      <c r="AE24" s="12" t="s">
        <v>1075</v>
      </c>
      <c r="AF24" s="12" t="s">
        <v>1427</v>
      </c>
      <c r="AG24" s="12" t="s">
        <v>1092</v>
      </c>
      <c r="AH24" s="12" t="s">
        <v>1092</v>
      </c>
      <c r="AI24" s="12" t="s">
        <v>1428</v>
      </c>
      <c r="AJ24" s="12" t="s">
        <v>1429</v>
      </c>
      <c r="AK24" s="12" t="s">
        <v>1430</v>
      </c>
      <c r="AL24" s="12" t="s">
        <v>1092</v>
      </c>
      <c r="AM24" s="12" t="s">
        <v>1092</v>
      </c>
      <c r="AN24" s="12" t="s">
        <v>1092</v>
      </c>
      <c r="AO24" s="178" t="s">
        <v>1093</v>
      </c>
      <c r="AP24" s="178" t="s">
        <v>1092</v>
      </c>
      <c r="AQ24" s="178" t="s">
        <v>1093</v>
      </c>
      <c r="AR24" s="178" t="s">
        <v>1092</v>
      </c>
      <c r="AS24" s="178" t="s">
        <v>1118</v>
      </c>
      <c r="AT24" s="178" t="s">
        <v>1118</v>
      </c>
      <c r="AU24" s="178" t="s">
        <v>1095</v>
      </c>
      <c r="AV24" s="12" t="s">
        <v>1096</v>
      </c>
      <c r="AW24" s="12" t="s">
        <v>1097</v>
      </c>
      <c r="AY24" s="178" t="s">
        <v>1092</v>
      </c>
      <c r="AZ24" s="12" t="s">
        <v>1431</v>
      </c>
      <c r="BA24" s="12" t="s">
        <v>1098</v>
      </c>
      <c r="BB24" s="12" t="s">
        <v>1098</v>
      </c>
      <c r="BC24" s="178" t="s">
        <v>1205</v>
      </c>
      <c r="BD24" s="12" t="s">
        <v>1092</v>
      </c>
      <c r="BE24" s="12" t="s">
        <v>118</v>
      </c>
      <c r="BF24" s="12" t="s">
        <v>121</v>
      </c>
      <c r="BH24" s="12" t="s">
        <v>120</v>
      </c>
      <c r="BI24" s="179">
        <v>25</v>
      </c>
      <c r="BJ24" s="175">
        <v>42205</v>
      </c>
      <c r="BK24" s="176" t="s">
        <v>82</v>
      </c>
      <c r="BM24" s="12">
        <v>30</v>
      </c>
    </row>
    <row r="25" spans="1:65" x14ac:dyDescent="0.25">
      <c r="A25" s="12" t="s">
        <v>1418</v>
      </c>
      <c r="B25" s="12" t="s">
        <v>525</v>
      </c>
      <c r="C25" s="12" t="s">
        <v>526</v>
      </c>
      <c r="D25" s="12" t="s">
        <v>527</v>
      </c>
      <c r="E25" s="175">
        <v>42191</v>
      </c>
      <c r="F25" s="12" t="s">
        <v>1432</v>
      </c>
      <c r="G25" s="12" t="s">
        <v>1075</v>
      </c>
      <c r="H25" s="12" t="s">
        <v>1076</v>
      </c>
      <c r="I25" s="12" t="s">
        <v>1433</v>
      </c>
      <c r="K25" s="12" t="s">
        <v>1103</v>
      </c>
      <c r="L25" s="12" t="s">
        <v>1104</v>
      </c>
      <c r="M25" s="12" t="s">
        <v>1180</v>
      </c>
      <c r="O25" s="178" t="s">
        <v>1434</v>
      </c>
      <c r="P25" s="178" t="s">
        <v>1435</v>
      </c>
      <c r="Q25" s="12" t="s">
        <v>1180</v>
      </c>
      <c r="R25" s="179">
        <v>26</v>
      </c>
      <c r="S25" s="178"/>
      <c r="U25" s="12" t="s">
        <v>120</v>
      </c>
      <c r="W25" s="12" t="s">
        <v>1083</v>
      </c>
      <c r="X25" s="12" t="s">
        <v>1144</v>
      </c>
      <c r="Y25" s="178" t="s">
        <v>1436</v>
      </c>
      <c r="Z25" s="12" t="s">
        <v>1437</v>
      </c>
      <c r="AA25" s="178" t="s">
        <v>1438</v>
      </c>
      <c r="AB25" s="12" t="s">
        <v>1439</v>
      </c>
      <c r="AC25" s="178" t="s">
        <v>1440</v>
      </c>
      <c r="AD25" s="12" t="s">
        <v>1441</v>
      </c>
      <c r="AE25" s="12" t="s">
        <v>1075</v>
      </c>
      <c r="AF25" s="12" t="s">
        <v>1442</v>
      </c>
      <c r="AG25" s="12" t="s">
        <v>1443</v>
      </c>
      <c r="AH25" s="12" t="s">
        <v>1092</v>
      </c>
      <c r="AI25" s="12" t="s">
        <v>1444</v>
      </c>
      <c r="AJ25" s="12" t="s">
        <v>1445</v>
      </c>
      <c r="AK25" s="12" t="s">
        <v>1092</v>
      </c>
      <c r="AL25" s="12" t="s">
        <v>1092</v>
      </c>
      <c r="AM25" s="12" t="s">
        <v>1092</v>
      </c>
      <c r="AN25" s="12" t="s">
        <v>1092</v>
      </c>
      <c r="AO25" s="178" t="s">
        <v>1093</v>
      </c>
      <c r="AP25" s="178" t="s">
        <v>1093</v>
      </c>
      <c r="AQ25" s="178" t="s">
        <v>1093</v>
      </c>
      <c r="AR25" s="178" t="s">
        <v>1093</v>
      </c>
      <c r="AS25" s="178" t="s">
        <v>1118</v>
      </c>
      <c r="AT25" s="178" t="s">
        <v>1118</v>
      </c>
      <c r="AU25" s="178" t="s">
        <v>1118</v>
      </c>
      <c r="AV25" s="12" t="s">
        <v>1096</v>
      </c>
      <c r="AW25" s="12" t="s">
        <v>1097</v>
      </c>
      <c r="AY25" s="178" t="s">
        <v>1092</v>
      </c>
      <c r="AZ25" s="12" t="s">
        <v>1098</v>
      </c>
      <c r="BA25" s="12" t="s">
        <v>1098</v>
      </c>
      <c r="BB25" s="12" t="s">
        <v>1098</v>
      </c>
      <c r="BC25" s="178" t="s">
        <v>1205</v>
      </c>
      <c r="BD25" s="12" t="s">
        <v>1092</v>
      </c>
      <c r="BE25" s="12" t="s">
        <v>118</v>
      </c>
      <c r="BF25" s="12" t="s">
        <v>121</v>
      </c>
      <c r="BH25" s="12" t="s">
        <v>120</v>
      </c>
      <c r="BI25" s="179">
        <v>26</v>
      </c>
      <c r="BJ25" s="175">
        <v>42204</v>
      </c>
      <c r="BK25" s="176" t="s">
        <v>82</v>
      </c>
      <c r="BM25" s="12">
        <v>29</v>
      </c>
    </row>
    <row r="26" spans="1:65" x14ac:dyDescent="0.25">
      <c r="A26" s="12" t="s">
        <v>1418</v>
      </c>
      <c r="B26" s="12" t="s">
        <v>528</v>
      </c>
      <c r="C26" s="12" t="s">
        <v>529</v>
      </c>
      <c r="D26" s="12" t="s">
        <v>530</v>
      </c>
      <c r="E26" s="175">
        <v>42191</v>
      </c>
      <c r="F26" s="12" t="s">
        <v>1440</v>
      </c>
      <c r="G26" s="12" t="s">
        <v>1075</v>
      </c>
      <c r="H26" s="12" t="s">
        <v>1446</v>
      </c>
      <c r="I26" s="12" t="s">
        <v>1447</v>
      </c>
      <c r="J26" s="12" t="s">
        <v>1411</v>
      </c>
      <c r="K26" s="12" t="s">
        <v>1448</v>
      </c>
      <c r="L26" s="12" t="s">
        <v>1449</v>
      </c>
      <c r="M26" s="12" t="s">
        <v>1450</v>
      </c>
      <c r="O26" s="178" t="s">
        <v>1451</v>
      </c>
      <c r="P26" s="178" t="s">
        <v>1452</v>
      </c>
      <c r="Q26" s="12" t="s">
        <v>1450</v>
      </c>
      <c r="R26" s="179">
        <v>27</v>
      </c>
      <c r="S26" s="178"/>
      <c r="U26" s="12" t="s">
        <v>120</v>
      </c>
      <c r="W26" s="12" t="s">
        <v>1083</v>
      </c>
      <c r="X26" s="12" t="s">
        <v>1453</v>
      </c>
      <c r="Y26" s="178" t="s">
        <v>1223</v>
      </c>
      <c r="Z26" s="12" t="s">
        <v>1454</v>
      </c>
      <c r="AB26" s="12" t="s">
        <v>1185</v>
      </c>
      <c r="AD26" s="12" t="s">
        <v>1185</v>
      </c>
      <c r="AE26" s="12" t="s">
        <v>1075</v>
      </c>
      <c r="AF26" s="12" t="s">
        <v>1455</v>
      </c>
      <c r="AG26" s="12" t="s">
        <v>1092</v>
      </c>
      <c r="AH26" s="12" t="s">
        <v>1092</v>
      </c>
      <c r="AI26" s="12" t="s">
        <v>1456</v>
      </c>
      <c r="AJ26" s="12" t="s">
        <v>1457</v>
      </c>
      <c r="AK26" s="12" t="s">
        <v>1458</v>
      </c>
      <c r="AL26" s="12" t="s">
        <v>1092</v>
      </c>
      <c r="AM26" s="12" t="s">
        <v>1092</v>
      </c>
      <c r="AN26" s="12" t="s">
        <v>1092</v>
      </c>
      <c r="AO26" s="178" t="s">
        <v>1093</v>
      </c>
      <c r="AP26" s="178" t="s">
        <v>1093</v>
      </c>
      <c r="AQ26" s="178" t="s">
        <v>1092</v>
      </c>
      <c r="AR26" s="178" t="s">
        <v>1092</v>
      </c>
      <c r="AS26" s="178" t="s">
        <v>1118</v>
      </c>
      <c r="AT26" s="178" t="s">
        <v>1095</v>
      </c>
      <c r="AU26" s="178" t="s">
        <v>1095</v>
      </c>
      <c r="AV26" s="12" t="s">
        <v>1096</v>
      </c>
      <c r="AW26" s="12" t="s">
        <v>1097</v>
      </c>
      <c r="AY26" s="178" t="s">
        <v>1092</v>
      </c>
      <c r="AZ26" s="12" t="s">
        <v>1459</v>
      </c>
      <c r="BA26" s="12" t="s">
        <v>1098</v>
      </c>
      <c r="BB26" s="12" t="s">
        <v>1098</v>
      </c>
      <c r="BD26" s="12" t="s">
        <v>1092</v>
      </c>
      <c r="BE26" s="12" t="s">
        <v>118</v>
      </c>
      <c r="BF26" s="12" t="s">
        <v>121</v>
      </c>
      <c r="BH26" s="12" t="s">
        <v>120</v>
      </c>
      <c r="BI26" s="179">
        <v>27</v>
      </c>
      <c r="BJ26" s="175">
        <v>42202</v>
      </c>
      <c r="BK26" s="176" t="s">
        <v>82</v>
      </c>
      <c r="BM26" s="12">
        <v>29</v>
      </c>
    </row>
    <row r="27" spans="1:65" x14ac:dyDescent="0.25">
      <c r="A27" s="12" t="s">
        <v>1418</v>
      </c>
      <c r="B27" s="12" t="s">
        <v>531</v>
      </c>
      <c r="C27" s="12" t="s">
        <v>532</v>
      </c>
      <c r="D27" s="12" t="s">
        <v>533</v>
      </c>
      <c r="E27" s="175">
        <v>42191</v>
      </c>
      <c r="F27" s="12" t="s">
        <v>1460</v>
      </c>
      <c r="G27" s="12" t="s">
        <v>1075</v>
      </c>
      <c r="H27" s="12" t="s">
        <v>1076</v>
      </c>
      <c r="I27" s="12" t="s">
        <v>1461</v>
      </c>
      <c r="J27" s="12" t="s">
        <v>1462</v>
      </c>
      <c r="K27" s="12" t="s">
        <v>1078</v>
      </c>
      <c r="L27" s="12" t="s">
        <v>1079</v>
      </c>
      <c r="M27" s="12" t="s">
        <v>1342</v>
      </c>
      <c r="O27" s="178" t="s">
        <v>1451</v>
      </c>
      <c r="P27" s="178" t="s">
        <v>1463</v>
      </c>
      <c r="Q27" s="12" t="s">
        <v>1342</v>
      </c>
      <c r="R27" s="179">
        <v>28</v>
      </c>
      <c r="S27" s="178"/>
      <c r="U27" s="12" t="s">
        <v>120</v>
      </c>
      <c r="W27" s="12" t="s">
        <v>1083</v>
      </c>
      <c r="X27" s="12" t="s">
        <v>1464</v>
      </c>
      <c r="Y27" s="178" t="s">
        <v>1278</v>
      </c>
      <c r="Z27" s="12" t="s">
        <v>1465</v>
      </c>
      <c r="AA27" s="178" t="s">
        <v>1466</v>
      </c>
      <c r="AB27" s="12" t="s">
        <v>1467</v>
      </c>
      <c r="AC27" s="178" t="s">
        <v>1468</v>
      </c>
      <c r="AD27" s="12" t="s">
        <v>1112</v>
      </c>
      <c r="AE27" s="12" t="s">
        <v>1075</v>
      </c>
      <c r="AF27" s="12" t="s">
        <v>1469</v>
      </c>
      <c r="AG27" s="12" t="s">
        <v>1092</v>
      </c>
      <c r="AH27" s="12" t="s">
        <v>1092</v>
      </c>
      <c r="AI27" s="12" t="s">
        <v>1470</v>
      </c>
      <c r="AJ27" s="12" t="s">
        <v>1471</v>
      </c>
      <c r="AK27" s="12" t="s">
        <v>1092</v>
      </c>
      <c r="AL27" s="12" t="s">
        <v>1092</v>
      </c>
      <c r="AM27" s="12" t="s">
        <v>1092</v>
      </c>
      <c r="AN27" s="12" t="s">
        <v>1092</v>
      </c>
      <c r="AO27" s="178" t="s">
        <v>1093</v>
      </c>
      <c r="AP27" s="178" t="s">
        <v>1093</v>
      </c>
      <c r="AQ27" s="178" t="s">
        <v>1093</v>
      </c>
      <c r="AR27" s="178" t="s">
        <v>1092</v>
      </c>
      <c r="AS27" s="178" t="s">
        <v>1118</v>
      </c>
      <c r="AT27" s="178" t="s">
        <v>1118</v>
      </c>
      <c r="AU27" s="178" t="s">
        <v>1095</v>
      </c>
      <c r="AV27" s="12" t="s">
        <v>1096</v>
      </c>
      <c r="AW27" s="12" t="s">
        <v>1097</v>
      </c>
      <c r="AY27" s="178" t="s">
        <v>1092</v>
      </c>
      <c r="AZ27" s="12" t="s">
        <v>1098</v>
      </c>
      <c r="BA27" s="12" t="s">
        <v>1098</v>
      </c>
      <c r="BB27" s="12" t="s">
        <v>1472</v>
      </c>
      <c r="BD27" s="12" t="s">
        <v>1092</v>
      </c>
      <c r="BE27" s="12" t="s">
        <v>118</v>
      </c>
      <c r="BF27" s="12" t="s">
        <v>121</v>
      </c>
      <c r="BH27" s="12" t="s">
        <v>120</v>
      </c>
      <c r="BI27" s="179">
        <v>28</v>
      </c>
      <c r="BJ27" s="175">
        <v>42202</v>
      </c>
      <c r="BK27" s="176" t="s">
        <v>82</v>
      </c>
      <c r="BM27" s="12">
        <v>29</v>
      </c>
    </row>
    <row r="28" spans="1:65" x14ac:dyDescent="0.25">
      <c r="A28" s="12" t="s">
        <v>1418</v>
      </c>
      <c r="B28" s="12" t="s">
        <v>534</v>
      </c>
      <c r="C28" s="12" t="s">
        <v>535</v>
      </c>
      <c r="D28" s="12" t="s">
        <v>536</v>
      </c>
      <c r="E28" s="175">
        <v>42191</v>
      </c>
      <c r="F28" s="12" t="s">
        <v>1473</v>
      </c>
      <c r="G28" s="12" t="s">
        <v>1075</v>
      </c>
      <c r="H28" s="12" t="s">
        <v>1474</v>
      </c>
      <c r="I28" s="12" t="s">
        <v>1475</v>
      </c>
      <c r="K28" s="12" t="s">
        <v>1103</v>
      </c>
      <c r="L28" s="12" t="s">
        <v>1104</v>
      </c>
      <c r="M28" s="12" t="s">
        <v>1180</v>
      </c>
      <c r="O28" s="178" t="s">
        <v>1476</v>
      </c>
      <c r="P28" s="178" t="s">
        <v>1477</v>
      </c>
      <c r="Q28" s="12" t="s">
        <v>1180</v>
      </c>
      <c r="R28" s="179">
        <v>29</v>
      </c>
      <c r="S28" s="178"/>
      <c r="U28" s="12" t="s">
        <v>120</v>
      </c>
      <c r="W28" s="12" t="s">
        <v>1083</v>
      </c>
      <c r="X28" s="12" t="s">
        <v>1359</v>
      </c>
      <c r="Y28" s="178" t="s">
        <v>1478</v>
      </c>
      <c r="Z28" s="12" t="s">
        <v>1150</v>
      </c>
      <c r="AA28" s="178" t="s">
        <v>1128</v>
      </c>
      <c r="AB28" s="12" t="s">
        <v>1150</v>
      </c>
      <c r="AC28" s="178" t="s">
        <v>1426</v>
      </c>
      <c r="AD28" s="12" t="s">
        <v>1479</v>
      </c>
      <c r="AE28" s="12" t="s">
        <v>1075</v>
      </c>
      <c r="AF28" s="12" t="s">
        <v>1480</v>
      </c>
      <c r="AG28" s="12" t="s">
        <v>1092</v>
      </c>
      <c r="AH28" s="12" t="s">
        <v>1092</v>
      </c>
      <c r="AI28" s="12" t="s">
        <v>1481</v>
      </c>
      <c r="AJ28" s="12" t="s">
        <v>1482</v>
      </c>
      <c r="AK28" s="12" t="s">
        <v>1483</v>
      </c>
      <c r="AL28" s="12" t="s">
        <v>1092</v>
      </c>
      <c r="AM28" s="12" t="s">
        <v>1092</v>
      </c>
      <c r="AN28" s="12" t="s">
        <v>1092</v>
      </c>
      <c r="AO28" s="178" t="s">
        <v>1093</v>
      </c>
      <c r="AP28" s="178" t="s">
        <v>1093</v>
      </c>
      <c r="AQ28" s="178" t="s">
        <v>1093</v>
      </c>
      <c r="AR28" s="178" t="s">
        <v>1092</v>
      </c>
      <c r="AS28" s="178" t="s">
        <v>1118</v>
      </c>
      <c r="AT28" s="178" t="s">
        <v>1118</v>
      </c>
      <c r="AU28" s="178" t="s">
        <v>1095</v>
      </c>
      <c r="AV28" s="12" t="s">
        <v>1096</v>
      </c>
      <c r="AW28" s="12" t="s">
        <v>1097</v>
      </c>
      <c r="AY28" s="178" t="s">
        <v>1092</v>
      </c>
      <c r="AZ28" s="12" t="s">
        <v>1484</v>
      </c>
      <c r="BA28" s="12" t="s">
        <v>1098</v>
      </c>
      <c r="BB28" s="12" t="s">
        <v>1484</v>
      </c>
      <c r="BC28" s="178" t="s">
        <v>1205</v>
      </c>
      <c r="BD28" s="12" t="s">
        <v>1092</v>
      </c>
      <c r="BE28" s="12" t="s">
        <v>118</v>
      </c>
      <c r="BF28" s="12" t="s">
        <v>121</v>
      </c>
      <c r="BH28" s="12" t="s">
        <v>120</v>
      </c>
      <c r="BI28" s="179">
        <v>29</v>
      </c>
      <c r="BJ28" s="175">
        <v>42205</v>
      </c>
      <c r="BK28" s="176" t="s">
        <v>82</v>
      </c>
      <c r="BM28" s="12">
        <v>30</v>
      </c>
    </row>
    <row r="29" spans="1:65" x14ac:dyDescent="0.25">
      <c r="A29" s="12" t="s">
        <v>1418</v>
      </c>
      <c r="B29" s="12" t="s">
        <v>537</v>
      </c>
      <c r="C29" s="12" t="s">
        <v>538</v>
      </c>
      <c r="D29" s="12" t="s">
        <v>539</v>
      </c>
      <c r="E29" s="175">
        <v>42191</v>
      </c>
      <c r="F29" s="12" t="s">
        <v>1485</v>
      </c>
      <c r="G29" s="12" t="s">
        <v>1075</v>
      </c>
      <c r="H29" s="12" t="s">
        <v>1486</v>
      </c>
      <c r="I29" s="12" t="s">
        <v>1487</v>
      </c>
      <c r="K29" s="12" t="s">
        <v>1103</v>
      </c>
      <c r="L29" s="12" t="s">
        <v>1104</v>
      </c>
      <c r="M29" s="12" t="s">
        <v>1105</v>
      </c>
      <c r="O29" s="178" t="s">
        <v>1488</v>
      </c>
      <c r="P29" s="178" t="s">
        <v>1489</v>
      </c>
      <c r="Q29" s="12" t="s">
        <v>1105</v>
      </c>
      <c r="R29" s="179">
        <v>30</v>
      </c>
      <c r="S29" s="178"/>
      <c r="U29" s="12" t="s">
        <v>120</v>
      </c>
      <c r="W29" s="12" t="s">
        <v>1083</v>
      </c>
      <c r="X29" s="12" t="s">
        <v>1144</v>
      </c>
      <c r="Y29" s="178" t="s">
        <v>1438</v>
      </c>
      <c r="Z29" s="12" t="s">
        <v>1490</v>
      </c>
      <c r="AA29" s="178" t="s">
        <v>1491</v>
      </c>
      <c r="AB29" s="12" t="s">
        <v>1492</v>
      </c>
      <c r="AD29" s="12" t="s">
        <v>1185</v>
      </c>
      <c r="AE29" s="12" t="s">
        <v>1075</v>
      </c>
      <c r="AF29" s="12" t="s">
        <v>1493</v>
      </c>
      <c r="AG29" s="12" t="s">
        <v>1092</v>
      </c>
      <c r="AH29" s="12" t="s">
        <v>1092</v>
      </c>
      <c r="AI29" s="12" t="s">
        <v>1494</v>
      </c>
      <c r="AJ29" s="12" t="s">
        <v>1495</v>
      </c>
      <c r="AK29" s="12" t="s">
        <v>1092</v>
      </c>
      <c r="AL29" s="12" t="s">
        <v>1092</v>
      </c>
      <c r="AM29" s="12" t="s">
        <v>1092</v>
      </c>
      <c r="AN29" s="12" t="s">
        <v>1092</v>
      </c>
      <c r="AO29" s="178" t="s">
        <v>1093</v>
      </c>
      <c r="AP29" s="178" t="s">
        <v>1093</v>
      </c>
      <c r="AQ29" s="178" t="s">
        <v>1093</v>
      </c>
      <c r="AR29" s="178" t="s">
        <v>1092</v>
      </c>
      <c r="AS29" s="178" t="s">
        <v>1118</v>
      </c>
      <c r="AT29" s="178" t="s">
        <v>1118</v>
      </c>
      <c r="AU29" s="178" t="s">
        <v>1095</v>
      </c>
      <c r="AV29" s="12" t="s">
        <v>1096</v>
      </c>
      <c r="AW29" s="12" t="s">
        <v>1097</v>
      </c>
      <c r="AX29" s="178" t="s">
        <v>1496</v>
      </c>
      <c r="AY29" s="178" t="s">
        <v>1093</v>
      </c>
      <c r="AZ29" s="12" t="s">
        <v>1497</v>
      </c>
      <c r="BA29" s="12" t="s">
        <v>1098</v>
      </c>
      <c r="BB29" s="12" t="s">
        <v>1098</v>
      </c>
      <c r="BC29" s="178" t="s">
        <v>1205</v>
      </c>
      <c r="BD29" s="12" t="s">
        <v>1092</v>
      </c>
      <c r="BE29" s="12" t="s">
        <v>118</v>
      </c>
      <c r="BF29" s="12" t="s">
        <v>121</v>
      </c>
      <c r="BH29" s="12" t="s">
        <v>120</v>
      </c>
      <c r="BI29" s="179">
        <v>30</v>
      </c>
      <c r="BJ29" s="175">
        <v>42205</v>
      </c>
      <c r="BK29" s="176" t="s">
        <v>119</v>
      </c>
      <c r="BL29" s="177">
        <v>407</v>
      </c>
      <c r="BM29" s="12">
        <v>30</v>
      </c>
    </row>
    <row r="30" spans="1:65" x14ac:dyDescent="0.25">
      <c r="A30" s="12" t="s">
        <v>1418</v>
      </c>
      <c r="B30" s="12" t="s">
        <v>540</v>
      </c>
      <c r="C30" s="12" t="s">
        <v>541</v>
      </c>
      <c r="D30" s="12" t="s">
        <v>542</v>
      </c>
      <c r="E30" s="175">
        <v>42191</v>
      </c>
      <c r="F30" s="12" t="s">
        <v>1498</v>
      </c>
      <c r="G30" s="12" t="s">
        <v>1075</v>
      </c>
      <c r="H30" s="12" t="s">
        <v>1499</v>
      </c>
      <c r="I30" s="12" t="s">
        <v>1500</v>
      </c>
      <c r="K30" s="12" t="s">
        <v>1103</v>
      </c>
      <c r="L30" s="12" t="s">
        <v>1104</v>
      </c>
      <c r="M30" s="12" t="s">
        <v>1180</v>
      </c>
      <c r="O30" s="178" t="s">
        <v>1434</v>
      </c>
      <c r="P30" s="178" t="s">
        <v>1501</v>
      </c>
      <c r="Q30" s="12" t="s">
        <v>1180</v>
      </c>
      <c r="R30" s="179">
        <v>31</v>
      </c>
      <c r="S30" s="178"/>
      <c r="U30" s="12" t="s">
        <v>120</v>
      </c>
      <c r="W30" s="12" t="s">
        <v>1083</v>
      </c>
      <c r="X30" s="12" t="s">
        <v>1464</v>
      </c>
      <c r="Y30" s="178" t="s">
        <v>1198</v>
      </c>
      <c r="Z30" s="12" t="s">
        <v>1502</v>
      </c>
      <c r="AA30" s="178" t="s">
        <v>1503</v>
      </c>
      <c r="AB30" s="12" t="s">
        <v>1504</v>
      </c>
      <c r="AC30" s="178" t="s">
        <v>1505</v>
      </c>
      <c r="AD30" s="12" t="s">
        <v>1506</v>
      </c>
      <c r="AE30" s="12" t="s">
        <v>1075</v>
      </c>
      <c r="AF30" s="12" t="s">
        <v>1507</v>
      </c>
      <c r="AG30" s="12" t="s">
        <v>1092</v>
      </c>
      <c r="AH30" s="12" t="s">
        <v>1092</v>
      </c>
      <c r="AI30" s="12" t="s">
        <v>1508</v>
      </c>
      <c r="AJ30" s="12" t="s">
        <v>1509</v>
      </c>
      <c r="AK30" s="12" t="s">
        <v>1092</v>
      </c>
      <c r="AL30" s="12" t="s">
        <v>1092</v>
      </c>
      <c r="AM30" s="12" t="s">
        <v>1092</v>
      </c>
      <c r="AN30" s="12" t="s">
        <v>1092</v>
      </c>
      <c r="AO30" s="178" t="s">
        <v>1092</v>
      </c>
      <c r="AP30" s="178" t="s">
        <v>1092</v>
      </c>
      <c r="AQ30" s="178" t="s">
        <v>1093</v>
      </c>
      <c r="AR30" s="178" t="s">
        <v>1092</v>
      </c>
      <c r="AS30" s="178" t="s">
        <v>1155</v>
      </c>
      <c r="AT30" s="178" t="s">
        <v>1118</v>
      </c>
      <c r="AU30" s="178" t="s">
        <v>1095</v>
      </c>
      <c r="AV30" s="12" t="s">
        <v>1096</v>
      </c>
      <c r="AW30" s="12" t="s">
        <v>1097</v>
      </c>
      <c r="AY30" s="178" t="s">
        <v>1092</v>
      </c>
      <c r="AZ30" s="12" t="s">
        <v>1510</v>
      </c>
      <c r="BA30" s="12" t="s">
        <v>1098</v>
      </c>
      <c r="BB30" s="12" t="s">
        <v>1098</v>
      </c>
      <c r="BC30" s="178" t="s">
        <v>1205</v>
      </c>
      <c r="BD30" s="12" t="s">
        <v>1092</v>
      </c>
      <c r="BE30" s="12" t="s">
        <v>118</v>
      </c>
      <c r="BF30" s="12" t="s">
        <v>121</v>
      </c>
      <c r="BH30" s="12" t="s">
        <v>120</v>
      </c>
      <c r="BI30" s="179">
        <v>31</v>
      </c>
      <c r="BJ30" s="175">
        <v>42205</v>
      </c>
      <c r="BK30" s="176" t="s">
        <v>82</v>
      </c>
      <c r="BM30" s="12">
        <v>30</v>
      </c>
    </row>
    <row r="31" spans="1:65" x14ac:dyDescent="0.25">
      <c r="A31" s="12" t="s">
        <v>1418</v>
      </c>
      <c r="B31" s="12" t="s">
        <v>543</v>
      </c>
      <c r="C31" s="12" t="s">
        <v>544</v>
      </c>
      <c r="D31" s="12" t="s">
        <v>545</v>
      </c>
      <c r="E31" s="175">
        <v>42191</v>
      </c>
      <c r="F31" s="12" t="s">
        <v>1511</v>
      </c>
      <c r="G31" s="12" t="s">
        <v>1075</v>
      </c>
      <c r="H31" s="12" t="s">
        <v>1512</v>
      </c>
      <c r="I31" s="12" t="s">
        <v>1513</v>
      </c>
      <c r="K31" s="12" t="s">
        <v>1514</v>
      </c>
      <c r="L31" s="12" t="s">
        <v>1515</v>
      </c>
      <c r="M31" s="12" t="s">
        <v>1516</v>
      </c>
      <c r="O31" s="178" t="s">
        <v>1517</v>
      </c>
      <c r="P31" s="178" t="s">
        <v>1518</v>
      </c>
      <c r="Q31" s="12" t="s">
        <v>1516</v>
      </c>
      <c r="R31" s="179">
        <v>32</v>
      </c>
      <c r="S31" s="178"/>
      <c r="U31" s="12" t="s">
        <v>120</v>
      </c>
      <c r="W31" s="12" t="s">
        <v>1083</v>
      </c>
      <c r="X31" s="12" t="s">
        <v>1519</v>
      </c>
      <c r="Y31" s="178" t="s">
        <v>1520</v>
      </c>
      <c r="Z31" s="12" t="s">
        <v>1521</v>
      </c>
      <c r="AA31" s="178" t="s">
        <v>1522</v>
      </c>
      <c r="AB31" s="12" t="s">
        <v>1523</v>
      </c>
      <c r="AC31" s="178" t="s">
        <v>1524</v>
      </c>
      <c r="AD31" s="12" t="s">
        <v>1525</v>
      </c>
      <c r="AE31" s="12" t="s">
        <v>1075</v>
      </c>
      <c r="AF31" s="12" t="s">
        <v>1526</v>
      </c>
      <c r="AG31" s="12" t="s">
        <v>1092</v>
      </c>
      <c r="AH31" s="12" t="s">
        <v>1092</v>
      </c>
      <c r="AI31" s="12" t="s">
        <v>1527</v>
      </c>
      <c r="AJ31" s="12" t="s">
        <v>1528</v>
      </c>
      <c r="AK31" s="12" t="s">
        <v>1528</v>
      </c>
      <c r="AL31" s="12" t="s">
        <v>1092</v>
      </c>
      <c r="AM31" s="12" t="s">
        <v>1092</v>
      </c>
      <c r="AN31" s="12" t="s">
        <v>1092</v>
      </c>
      <c r="AO31" s="178" t="s">
        <v>1092</v>
      </c>
      <c r="AP31" s="178" t="s">
        <v>1092</v>
      </c>
      <c r="AQ31" s="178" t="s">
        <v>1093</v>
      </c>
      <c r="AR31" s="178" t="s">
        <v>1092</v>
      </c>
      <c r="AS31" s="178" t="s">
        <v>1155</v>
      </c>
      <c r="AT31" s="178" t="s">
        <v>1118</v>
      </c>
      <c r="AU31" s="178" t="s">
        <v>1095</v>
      </c>
      <c r="AV31" s="12" t="s">
        <v>1096</v>
      </c>
      <c r="AW31" s="12" t="s">
        <v>1097</v>
      </c>
      <c r="AX31" s="178" t="s">
        <v>1529</v>
      </c>
      <c r="AY31" s="178" t="s">
        <v>1157</v>
      </c>
      <c r="AZ31" s="12" t="s">
        <v>1530</v>
      </c>
      <c r="BA31" s="12" t="s">
        <v>1098</v>
      </c>
      <c r="BB31" s="12" t="s">
        <v>1098</v>
      </c>
      <c r="BC31" s="178" t="s">
        <v>1205</v>
      </c>
      <c r="BD31" s="12" t="s">
        <v>1092</v>
      </c>
      <c r="BE31" s="12" t="s">
        <v>118</v>
      </c>
      <c r="BF31" s="12" t="s">
        <v>121</v>
      </c>
      <c r="BH31" s="12" t="s">
        <v>120</v>
      </c>
      <c r="BI31" s="179">
        <v>32</v>
      </c>
      <c r="BJ31" s="175">
        <v>42200</v>
      </c>
      <c r="BK31" s="176" t="s">
        <v>119</v>
      </c>
      <c r="BL31" s="177">
        <v>228.97</v>
      </c>
      <c r="BM31" s="12">
        <v>29</v>
      </c>
    </row>
    <row r="32" spans="1:65" x14ac:dyDescent="0.25">
      <c r="A32" s="12" t="s">
        <v>1418</v>
      </c>
      <c r="B32" s="12" t="s">
        <v>546</v>
      </c>
      <c r="C32" s="12" t="s">
        <v>547</v>
      </c>
      <c r="D32" s="12" t="s">
        <v>548</v>
      </c>
      <c r="E32" s="175">
        <v>42191</v>
      </c>
      <c r="F32" s="12" t="s">
        <v>1531</v>
      </c>
      <c r="G32" s="12" t="s">
        <v>1075</v>
      </c>
      <c r="H32" s="12" t="s">
        <v>1532</v>
      </c>
      <c r="I32" s="12" t="s">
        <v>1533</v>
      </c>
      <c r="J32" s="12" t="s">
        <v>1534</v>
      </c>
      <c r="K32" s="12" t="s">
        <v>1078</v>
      </c>
      <c r="L32" s="12" t="s">
        <v>1079</v>
      </c>
      <c r="M32" s="12" t="s">
        <v>1342</v>
      </c>
      <c r="O32" s="178" t="s">
        <v>1126</v>
      </c>
      <c r="P32" s="178" t="s">
        <v>1535</v>
      </c>
      <c r="Q32" s="12" t="s">
        <v>1342</v>
      </c>
      <c r="R32" s="179">
        <v>33</v>
      </c>
      <c r="S32" s="178"/>
      <c r="U32" s="12" t="s">
        <v>120</v>
      </c>
      <c r="W32" s="12" t="s">
        <v>1083</v>
      </c>
      <c r="X32" s="12" t="s">
        <v>1108</v>
      </c>
      <c r="Y32" s="178" t="s">
        <v>1536</v>
      </c>
      <c r="Z32" s="12" t="s">
        <v>1537</v>
      </c>
      <c r="AA32" s="178" t="s">
        <v>1538</v>
      </c>
      <c r="AB32" s="12" t="s">
        <v>1539</v>
      </c>
      <c r="AC32" s="178" t="s">
        <v>1540</v>
      </c>
      <c r="AD32" s="12" t="s">
        <v>1541</v>
      </c>
      <c r="AE32" s="12" t="s">
        <v>1075</v>
      </c>
      <c r="AF32" s="12" t="s">
        <v>1542</v>
      </c>
      <c r="AG32" s="12" t="s">
        <v>1092</v>
      </c>
      <c r="AH32" s="12" t="s">
        <v>1092</v>
      </c>
      <c r="AI32" s="12" t="s">
        <v>1350</v>
      </c>
      <c r="AJ32" s="12" t="s">
        <v>1543</v>
      </c>
      <c r="AK32" s="12" t="s">
        <v>1544</v>
      </c>
      <c r="AL32" s="12" t="s">
        <v>1092</v>
      </c>
      <c r="AM32" s="12" t="s">
        <v>1092</v>
      </c>
      <c r="AN32" s="12" t="s">
        <v>1092</v>
      </c>
      <c r="AO32" s="178" t="s">
        <v>1093</v>
      </c>
      <c r="AP32" s="178" t="s">
        <v>1093</v>
      </c>
      <c r="AQ32" s="178" t="s">
        <v>1092</v>
      </c>
      <c r="AR32" s="178" t="s">
        <v>1092</v>
      </c>
      <c r="AS32" s="178" t="s">
        <v>1118</v>
      </c>
      <c r="AT32" s="178" t="s">
        <v>1095</v>
      </c>
      <c r="AU32" s="178" t="s">
        <v>1095</v>
      </c>
      <c r="AV32" s="12" t="s">
        <v>1096</v>
      </c>
      <c r="AW32" s="12" t="s">
        <v>1097</v>
      </c>
      <c r="AY32" s="178" t="s">
        <v>1092</v>
      </c>
      <c r="AZ32" s="12" t="s">
        <v>1545</v>
      </c>
      <c r="BA32" s="12" t="s">
        <v>1098</v>
      </c>
      <c r="BB32" s="12" t="s">
        <v>1098</v>
      </c>
      <c r="BD32" s="12" t="s">
        <v>1092</v>
      </c>
      <c r="BE32" s="12" t="s">
        <v>118</v>
      </c>
      <c r="BF32" s="12" t="s">
        <v>121</v>
      </c>
      <c r="BH32" s="12" t="s">
        <v>120</v>
      </c>
      <c r="BI32" s="179">
        <v>33</v>
      </c>
      <c r="BJ32" s="175">
        <v>42202</v>
      </c>
      <c r="BK32" s="176" t="s">
        <v>82</v>
      </c>
      <c r="BM32" s="12">
        <v>29</v>
      </c>
    </row>
    <row r="33" spans="1:65" x14ac:dyDescent="0.25">
      <c r="A33" s="12" t="s">
        <v>1418</v>
      </c>
      <c r="B33" s="12" t="s">
        <v>549</v>
      </c>
      <c r="C33" s="12" t="s">
        <v>550</v>
      </c>
      <c r="D33" s="12" t="s">
        <v>551</v>
      </c>
      <c r="E33" s="175">
        <v>42191</v>
      </c>
      <c r="F33" s="12" t="s">
        <v>1546</v>
      </c>
      <c r="G33" s="12" t="s">
        <v>1075</v>
      </c>
      <c r="H33" s="12" t="s">
        <v>1547</v>
      </c>
      <c r="I33" s="12" t="s">
        <v>1548</v>
      </c>
      <c r="J33" s="12" t="s">
        <v>1208</v>
      </c>
      <c r="K33" s="12" t="s">
        <v>1226</v>
      </c>
      <c r="L33" s="12" t="s">
        <v>1227</v>
      </c>
      <c r="M33" s="12" t="s">
        <v>1228</v>
      </c>
      <c r="O33" s="178" t="s">
        <v>1549</v>
      </c>
      <c r="P33" s="178" t="s">
        <v>1550</v>
      </c>
      <c r="Q33" s="12" t="s">
        <v>1228</v>
      </c>
      <c r="R33" s="179">
        <v>34</v>
      </c>
      <c r="S33" s="178"/>
      <c r="U33" s="12" t="s">
        <v>120</v>
      </c>
      <c r="W33" s="12" t="s">
        <v>1083</v>
      </c>
      <c r="X33" s="12" t="s">
        <v>1108</v>
      </c>
      <c r="Y33" s="178" t="s">
        <v>1538</v>
      </c>
      <c r="Z33" s="12" t="s">
        <v>1551</v>
      </c>
      <c r="AA33" s="178" t="s">
        <v>1192</v>
      </c>
      <c r="AB33" s="12" t="s">
        <v>1552</v>
      </c>
      <c r="AD33" s="12" t="s">
        <v>1185</v>
      </c>
      <c r="AE33" s="12" t="s">
        <v>1075</v>
      </c>
      <c r="AF33" s="12" t="s">
        <v>1553</v>
      </c>
      <c r="AG33" s="12" t="s">
        <v>1092</v>
      </c>
      <c r="AH33" s="12" t="s">
        <v>1092</v>
      </c>
      <c r="AI33" s="12" t="s">
        <v>1554</v>
      </c>
      <c r="AJ33" s="12" t="s">
        <v>1555</v>
      </c>
      <c r="AK33" s="12" t="s">
        <v>1555</v>
      </c>
      <c r="AL33" s="12" t="s">
        <v>1092</v>
      </c>
      <c r="AM33" s="12" t="s">
        <v>1092</v>
      </c>
      <c r="AN33" s="12" t="s">
        <v>1092</v>
      </c>
      <c r="AO33" s="178" t="s">
        <v>1092</v>
      </c>
      <c r="AP33" s="178" t="s">
        <v>1092</v>
      </c>
      <c r="AQ33" s="178" t="s">
        <v>1093</v>
      </c>
      <c r="AR33" s="178" t="s">
        <v>1092</v>
      </c>
      <c r="AS33" s="178" t="s">
        <v>1155</v>
      </c>
      <c r="AT33" s="178" t="s">
        <v>1118</v>
      </c>
      <c r="AU33" s="178" t="s">
        <v>1095</v>
      </c>
      <c r="AV33" s="12" t="s">
        <v>1096</v>
      </c>
      <c r="AW33" s="12" t="s">
        <v>1097</v>
      </c>
      <c r="AY33" s="178" t="s">
        <v>1092</v>
      </c>
      <c r="AZ33" s="12" t="s">
        <v>1556</v>
      </c>
      <c r="BA33" s="12" t="s">
        <v>1098</v>
      </c>
      <c r="BB33" s="12" t="s">
        <v>1098</v>
      </c>
      <c r="BD33" s="12" t="s">
        <v>1092</v>
      </c>
      <c r="BE33" s="12" t="s">
        <v>118</v>
      </c>
      <c r="BF33" s="12" t="s">
        <v>121</v>
      </c>
      <c r="BH33" s="12" t="s">
        <v>120</v>
      </c>
      <c r="BI33" s="179">
        <v>34</v>
      </c>
      <c r="BJ33" s="175">
        <v>42204</v>
      </c>
      <c r="BK33" s="176" t="s">
        <v>82</v>
      </c>
      <c r="BM33" s="12">
        <v>29</v>
      </c>
    </row>
    <row r="34" spans="1:65" x14ac:dyDescent="0.25">
      <c r="A34" s="12" t="s">
        <v>1557</v>
      </c>
      <c r="B34" s="12" t="s">
        <v>552</v>
      </c>
      <c r="C34" s="12" t="s">
        <v>553</v>
      </c>
      <c r="D34" s="12" t="s">
        <v>554</v>
      </c>
      <c r="E34" s="175">
        <v>42191</v>
      </c>
      <c r="F34" s="12" t="s">
        <v>1558</v>
      </c>
      <c r="G34" s="12" t="s">
        <v>1075</v>
      </c>
      <c r="H34" s="12" t="s">
        <v>1559</v>
      </c>
      <c r="I34" s="12" t="s">
        <v>1560</v>
      </c>
      <c r="J34" s="12" t="s">
        <v>1561</v>
      </c>
      <c r="K34" s="12" t="s">
        <v>1103</v>
      </c>
      <c r="L34" s="12" t="s">
        <v>1124</v>
      </c>
      <c r="M34" s="12" t="s">
        <v>1105</v>
      </c>
      <c r="O34" s="178" t="s">
        <v>1434</v>
      </c>
      <c r="P34" s="178" t="s">
        <v>1562</v>
      </c>
      <c r="Q34" s="12" t="s">
        <v>1105</v>
      </c>
      <c r="R34" s="179">
        <v>35</v>
      </c>
      <c r="S34" s="178"/>
      <c r="U34" s="12" t="s">
        <v>120</v>
      </c>
      <c r="W34" s="12" t="s">
        <v>1083</v>
      </c>
      <c r="X34" s="12" t="s">
        <v>1231</v>
      </c>
      <c r="Y34" s="178" t="s">
        <v>1563</v>
      </c>
      <c r="Z34" s="12" t="s">
        <v>1564</v>
      </c>
      <c r="AA34" s="178" t="s">
        <v>1408</v>
      </c>
      <c r="AB34" s="12" t="s">
        <v>1565</v>
      </c>
      <c r="AC34" s="178" t="s">
        <v>1566</v>
      </c>
      <c r="AD34" s="12" t="s">
        <v>1567</v>
      </c>
      <c r="AE34" s="12" t="s">
        <v>1075</v>
      </c>
      <c r="AF34" s="12" t="s">
        <v>1568</v>
      </c>
      <c r="AG34" s="12" t="s">
        <v>1092</v>
      </c>
      <c r="AH34" s="12" t="s">
        <v>1092</v>
      </c>
      <c r="AI34" s="12" t="s">
        <v>1569</v>
      </c>
      <c r="AJ34" s="12" t="s">
        <v>1570</v>
      </c>
      <c r="AK34" s="12" t="s">
        <v>1092</v>
      </c>
      <c r="AL34" s="12" t="s">
        <v>1092</v>
      </c>
      <c r="AM34" s="12" t="s">
        <v>1092</v>
      </c>
      <c r="AN34" s="12" t="s">
        <v>1092</v>
      </c>
      <c r="AO34" s="178" t="s">
        <v>1093</v>
      </c>
      <c r="AP34" s="178" t="s">
        <v>1092</v>
      </c>
      <c r="AQ34" s="178" t="s">
        <v>1093</v>
      </c>
      <c r="AR34" s="178" t="s">
        <v>1092</v>
      </c>
      <c r="AS34" s="178" t="s">
        <v>1118</v>
      </c>
      <c r="AT34" s="178" t="s">
        <v>1118</v>
      </c>
      <c r="AU34" s="178" t="s">
        <v>1095</v>
      </c>
      <c r="AV34" s="12" t="s">
        <v>1096</v>
      </c>
      <c r="AW34" s="12" t="s">
        <v>1097</v>
      </c>
      <c r="AY34" s="178" t="s">
        <v>1092</v>
      </c>
      <c r="AZ34" s="12" t="s">
        <v>1571</v>
      </c>
      <c r="BA34" s="12" t="s">
        <v>1098</v>
      </c>
      <c r="BB34" s="12" t="s">
        <v>1572</v>
      </c>
      <c r="BD34" s="12" t="s">
        <v>1092</v>
      </c>
      <c r="BE34" s="12" t="s">
        <v>118</v>
      </c>
      <c r="BF34" s="12" t="s">
        <v>121</v>
      </c>
      <c r="BH34" s="12" t="s">
        <v>120</v>
      </c>
      <c r="BI34" s="179">
        <v>35</v>
      </c>
      <c r="BJ34" s="175">
        <v>42202</v>
      </c>
      <c r="BK34" s="176" t="s">
        <v>119</v>
      </c>
      <c r="BL34" s="177">
        <v>113.45</v>
      </c>
      <c r="BM34" s="12">
        <v>29</v>
      </c>
    </row>
    <row r="35" spans="1:65" x14ac:dyDescent="0.25">
      <c r="A35" s="12" t="s">
        <v>1557</v>
      </c>
      <c r="B35" s="12" t="s">
        <v>555</v>
      </c>
      <c r="C35" s="12" t="s">
        <v>556</v>
      </c>
      <c r="D35" s="12" t="s">
        <v>557</v>
      </c>
      <c r="E35" s="175">
        <v>42191</v>
      </c>
      <c r="F35" s="12" t="s">
        <v>1573</v>
      </c>
      <c r="G35" s="12" t="s">
        <v>1075</v>
      </c>
      <c r="H35" s="12" t="s">
        <v>1574</v>
      </c>
      <c r="I35" s="12" t="s">
        <v>1575</v>
      </c>
      <c r="K35" s="12" t="s">
        <v>1078</v>
      </c>
      <c r="L35" s="12" t="s">
        <v>1079</v>
      </c>
      <c r="M35" s="12" t="s">
        <v>1080</v>
      </c>
      <c r="O35" s="178" t="s">
        <v>1451</v>
      </c>
      <c r="P35" s="178" t="s">
        <v>1576</v>
      </c>
      <c r="Q35" s="12" t="s">
        <v>1080</v>
      </c>
      <c r="R35" s="179">
        <v>36</v>
      </c>
      <c r="S35" s="178"/>
      <c r="U35" s="12" t="s">
        <v>120</v>
      </c>
      <c r="W35" s="12" t="s">
        <v>1083</v>
      </c>
      <c r="X35" s="12" t="s">
        <v>1108</v>
      </c>
      <c r="Y35" s="178" t="s">
        <v>1147</v>
      </c>
      <c r="Z35" s="12" t="s">
        <v>1577</v>
      </c>
      <c r="AA35" s="178" t="s">
        <v>1247</v>
      </c>
      <c r="AB35" s="12" t="s">
        <v>1578</v>
      </c>
      <c r="AC35" s="178" t="s">
        <v>1579</v>
      </c>
      <c r="AD35" s="12" t="s">
        <v>1580</v>
      </c>
      <c r="AE35" s="12" t="s">
        <v>1075</v>
      </c>
      <c r="AF35" s="12" t="s">
        <v>1581</v>
      </c>
      <c r="AG35" s="12" t="s">
        <v>1092</v>
      </c>
      <c r="AH35" s="12" t="s">
        <v>1092</v>
      </c>
      <c r="AI35" s="12" t="s">
        <v>1582</v>
      </c>
      <c r="AJ35" s="12" t="s">
        <v>1583</v>
      </c>
      <c r="AK35" s="12" t="s">
        <v>1584</v>
      </c>
      <c r="AL35" s="12" t="s">
        <v>1092</v>
      </c>
      <c r="AM35" s="12" t="s">
        <v>1092</v>
      </c>
      <c r="AN35" s="12" t="s">
        <v>1092</v>
      </c>
      <c r="AO35" s="178" t="s">
        <v>1093</v>
      </c>
      <c r="AP35" s="178" t="s">
        <v>1093</v>
      </c>
      <c r="AQ35" s="178" t="s">
        <v>1093</v>
      </c>
      <c r="AR35" s="178" t="s">
        <v>1092</v>
      </c>
      <c r="AS35" s="178" t="s">
        <v>1118</v>
      </c>
      <c r="AT35" s="178" t="s">
        <v>1118</v>
      </c>
      <c r="AU35" s="178" t="s">
        <v>1095</v>
      </c>
      <c r="AV35" s="12" t="s">
        <v>1096</v>
      </c>
      <c r="AW35" s="12" t="s">
        <v>1097</v>
      </c>
      <c r="AY35" s="178" t="s">
        <v>1092</v>
      </c>
      <c r="AZ35" s="12" t="s">
        <v>1585</v>
      </c>
      <c r="BA35" s="12" t="s">
        <v>1098</v>
      </c>
      <c r="BB35" s="12" t="s">
        <v>1098</v>
      </c>
      <c r="BD35" s="12" t="s">
        <v>1092</v>
      </c>
      <c r="BE35" s="12" t="s">
        <v>118</v>
      </c>
      <c r="BF35" s="12" t="s">
        <v>121</v>
      </c>
      <c r="BH35" s="12" t="s">
        <v>120</v>
      </c>
      <c r="BI35" s="179">
        <v>36</v>
      </c>
      <c r="BJ35" s="175">
        <v>42202</v>
      </c>
      <c r="BK35" s="176" t="s">
        <v>82</v>
      </c>
      <c r="BM35" s="12">
        <v>29</v>
      </c>
    </row>
    <row r="36" spans="1:65" x14ac:dyDescent="0.25">
      <c r="A36" s="12" t="s">
        <v>1557</v>
      </c>
      <c r="B36" s="12" t="s">
        <v>558</v>
      </c>
      <c r="C36" s="12" t="s">
        <v>559</v>
      </c>
      <c r="D36" s="12" t="s">
        <v>560</v>
      </c>
      <c r="E36" s="175">
        <v>42191</v>
      </c>
      <c r="F36" s="12" t="s">
        <v>1586</v>
      </c>
      <c r="G36" s="12" t="s">
        <v>1075</v>
      </c>
      <c r="H36" s="12" t="s">
        <v>1587</v>
      </c>
      <c r="I36" s="12" t="s">
        <v>1588</v>
      </c>
      <c r="K36" s="12" t="s">
        <v>1078</v>
      </c>
      <c r="L36" s="12" t="s">
        <v>1079</v>
      </c>
      <c r="M36" s="12" t="s">
        <v>1342</v>
      </c>
      <c r="O36" s="178" t="s">
        <v>1106</v>
      </c>
      <c r="P36" s="178" t="s">
        <v>1589</v>
      </c>
      <c r="Q36" s="12" t="s">
        <v>1342</v>
      </c>
      <c r="R36" s="179">
        <v>37</v>
      </c>
      <c r="S36" s="178"/>
      <c r="U36" s="12" t="s">
        <v>120</v>
      </c>
      <c r="W36" s="12" t="s">
        <v>1083</v>
      </c>
      <c r="X36" s="12" t="s">
        <v>1329</v>
      </c>
      <c r="Y36" s="178" t="s">
        <v>1590</v>
      </c>
      <c r="Z36" s="12" t="s">
        <v>1591</v>
      </c>
      <c r="AB36" s="12" t="s">
        <v>1185</v>
      </c>
      <c r="AD36" s="12" t="s">
        <v>1185</v>
      </c>
      <c r="AE36" s="12" t="s">
        <v>1075</v>
      </c>
      <c r="AF36" s="12" t="s">
        <v>1592</v>
      </c>
      <c r="AG36" s="12" t="s">
        <v>1092</v>
      </c>
      <c r="AH36" s="12" t="s">
        <v>1092</v>
      </c>
      <c r="AI36" s="12" t="s">
        <v>1593</v>
      </c>
      <c r="AJ36" s="12" t="s">
        <v>1594</v>
      </c>
      <c r="AK36" s="12" t="s">
        <v>1595</v>
      </c>
      <c r="AL36" s="12" t="s">
        <v>1092</v>
      </c>
      <c r="AM36" s="12" t="s">
        <v>1092</v>
      </c>
      <c r="AN36" s="12" t="s">
        <v>1092</v>
      </c>
      <c r="AO36" s="178" t="s">
        <v>1093</v>
      </c>
      <c r="AP36" s="178" t="s">
        <v>1093</v>
      </c>
      <c r="AQ36" s="178" t="s">
        <v>1093</v>
      </c>
      <c r="AR36" s="178" t="s">
        <v>1092</v>
      </c>
      <c r="AS36" s="178" t="s">
        <v>1118</v>
      </c>
      <c r="AT36" s="178" t="s">
        <v>1118</v>
      </c>
      <c r="AU36" s="178" t="s">
        <v>1095</v>
      </c>
      <c r="AV36" s="12" t="s">
        <v>1096</v>
      </c>
      <c r="AW36" s="12" t="s">
        <v>1097</v>
      </c>
      <c r="AY36" s="178" t="s">
        <v>1092</v>
      </c>
      <c r="AZ36" s="12" t="s">
        <v>1596</v>
      </c>
      <c r="BA36" s="12" t="s">
        <v>1098</v>
      </c>
      <c r="BB36" s="12" t="s">
        <v>1098</v>
      </c>
      <c r="BD36" s="12" t="s">
        <v>1092</v>
      </c>
      <c r="BE36" s="12" t="s">
        <v>118</v>
      </c>
      <c r="BF36" s="12" t="s">
        <v>121</v>
      </c>
      <c r="BH36" s="12" t="s">
        <v>120</v>
      </c>
      <c r="BI36" s="179">
        <v>37</v>
      </c>
      <c r="BJ36" s="175">
        <v>42202</v>
      </c>
      <c r="BK36" s="176" t="s">
        <v>82</v>
      </c>
      <c r="BM36" s="12">
        <v>29</v>
      </c>
    </row>
    <row r="37" spans="1:65" x14ac:dyDescent="0.25">
      <c r="A37" s="12" t="s">
        <v>1557</v>
      </c>
      <c r="B37" s="12" t="s">
        <v>561</v>
      </c>
      <c r="C37" s="12" t="s">
        <v>562</v>
      </c>
      <c r="D37" s="12" t="s">
        <v>563</v>
      </c>
      <c r="E37" s="175">
        <v>42191</v>
      </c>
      <c r="F37" s="12" t="s">
        <v>1597</v>
      </c>
      <c r="G37" s="12" t="s">
        <v>1075</v>
      </c>
      <c r="H37" s="12" t="s">
        <v>1598</v>
      </c>
      <c r="I37" s="12" t="s">
        <v>1599</v>
      </c>
      <c r="J37" s="12" t="s">
        <v>1600</v>
      </c>
      <c r="K37" s="12" t="s">
        <v>1448</v>
      </c>
      <c r="L37" s="12" t="s">
        <v>1449</v>
      </c>
      <c r="M37" s="12" t="s">
        <v>1450</v>
      </c>
      <c r="O37" s="178" t="s">
        <v>1396</v>
      </c>
      <c r="P37" s="178" t="s">
        <v>1601</v>
      </c>
      <c r="Q37" s="12" t="s">
        <v>1450</v>
      </c>
      <c r="R37" s="179">
        <v>38</v>
      </c>
      <c r="S37" s="178" t="s">
        <v>1602</v>
      </c>
      <c r="U37" s="12" t="s">
        <v>120</v>
      </c>
      <c r="W37" s="12" t="s">
        <v>1083</v>
      </c>
      <c r="X37" s="12" t="s">
        <v>1108</v>
      </c>
      <c r="Y37" s="178" t="s">
        <v>1603</v>
      </c>
      <c r="Z37" s="12" t="s">
        <v>1604</v>
      </c>
      <c r="AA37" s="178" t="s">
        <v>1491</v>
      </c>
      <c r="AB37" s="12" t="s">
        <v>1605</v>
      </c>
      <c r="AC37" s="178" t="s">
        <v>1606</v>
      </c>
      <c r="AD37" s="12" t="s">
        <v>1607</v>
      </c>
      <c r="AE37" s="12" t="s">
        <v>1075</v>
      </c>
      <c r="AF37" s="12" t="s">
        <v>1608</v>
      </c>
      <c r="AG37" s="12" t="s">
        <v>1092</v>
      </c>
      <c r="AH37" s="12" t="s">
        <v>1092</v>
      </c>
      <c r="AI37" s="12" t="s">
        <v>1609</v>
      </c>
      <c r="AJ37" s="12" t="s">
        <v>1610</v>
      </c>
      <c r="AK37" s="12" t="s">
        <v>1610</v>
      </c>
      <c r="AL37" s="12" t="s">
        <v>1092</v>
      </c>
      <c r="AM37" s="12" t="s">
        <v>1092</v>
      </c>
      <c r="AN37" s="12" t="s">
        <v>1092</v>
      </c>
      <c r="AO37" s="178" t="s">
        <v>1092</v>
      </c>
      <c r="AP37" s="178" t="s">
        <v>1092</v>
      </c>
      <c r="AQ37" s="178" t="s">
        <v>1093</v>
      </c>
      <c r="AR37" s="178" t="s">
        <v>1092</v>
      </c>
      <c r="AS37" s="178" t="s">
        <v>1155</v>
      </c>
      <c r="AT37" s="178" t="s">
        <v>1118</v>
      </c>
      <c r="AU37" s="178" t="s">
        <v>1095</v>
      </c>
      <c r="AV37" s="12" t="s">
        <v>1096</v>
      </c>
      <c r="AW37" s="12" t="s">
        <v>1097</v>
      </c>
      <c r="AY37" s="178" t="s">
        <v>1092</v>
      </c>
      <c r="AZ37" s="12" t="s">
        <v>1611</v>
      </c>
      <c r="BA37" s="12" t="s">
        <v>1098</v>
      </c>
      <c r="BB37" s="12" t="s">
        <v>1098</v>
      </c>
      <c r="BD37" s="12" t="s">
        <v>1092</v>
      </c>
      <c r="BE37" s="12" t="s">
        <v>118</v>
      </c>
      <c r="BF37" s="12" t="s">
        <v>121</v>
      </c>
      <c r="BH37" s="12" t="s">
        <v>120</v>
      </c>
      <c r="BI37" s="179">
        <v>38</v>
      </c>
      <c r="BJ37" s="175">
        <v>42195</v>
      </c>
      <c r="BK37" s="176" t="s">
        <v>119</v>
      </c>
      <c r="BL37" s="177">
        <v>147.08000000000001</v>
      </c>
      <c r="BM37" s="12">
        <v>28</v>
      </c>
    </row>
    <row r="38" spans="1:65" x14ac:dyDescent="0.25">
      <c r="A38" s="12" t="s">
        <v>1557</v>
      </c>
      <c r="B38" s="12" t="s">
        <v>564</v>
      </c>
      <c r="C38" s="12" t="s">
        <v>565</v>
      </c>
      <c r="D38" s="12" t="s">
        <v>566</v>
      </c>
      <c r="E38" s="175">
        <v>42191</v>
      </c>
      <c r="F38" s="12" t="s">
        <v>1612</v>
      </c>
      <c r="G38" s="12" t="s">
        <v>1075</v>
      </c>
      <c r="H38" s="12" t="s">
        <v>1613</v>
      </c>
      <c r="I38" s="12" t="s">
        <v>1614</v>
      </c>
      <c r="K38" s="12" t="s">
        <v>1103</v>
      </c>
      <c r="L38" s="12" t="s">
        <v>1179</v>
      </c>
      <c r="M38" s="12" t="s">
        <v>1244</v>
      </c>
      <c r="O38" s="178" t="s">
        <v>1142</v>
      </c>
      <c r="P38" s="178" t="s">
        <v>1615</v>
      </c>
      <c r="Q38" s="12" t="s">
        <v>1244</v>
      </c>
      <c r="R38" s="179">
        <v>39</v>
      </c>
      <c r="S38" s="178"/>
      <c r="U38" s="12" t="s">
        <v>120</v>
      </c>
      <c r="W38" s="12" t="s">
        <v>1083</v>
      </c>
      <c r="X38" s="12" t="s">
        <v>1097</v>
      </c>
      <c r="Y38" s="178" t="s">
        <v>1563</v>
      </c>
      <c r="Z38" s="12" t="s">
        <v>1133</v>
      </c>
      <c r="AA38" s="178" t="s">
        <v>1616</v>
      </c>
      <c r="AB38" s="12" t="s">
        <v>1617</v>
      </c>
      <c r="AC38" s="178" t="s">
        <v>1440</v>
      </c>
      <c r="AD38" s="12" t="s">
        <v>1618</v>
      </c>
      <c r="AE38" s="12" t="s">
        <v>1075</v>
      </c>
      <c r="AF38" s="12" t="s">
        <v>1619</v>
      </c>
      <c r="AG38" s="12" t="s">
        <v>1092</v>
      </c>
      <c r="AH38" s="12" t="s">
        <v>1092</v>
      </c>
      <c r="AI38" s="12" t="s">
        <v>1620</v>
      </c>
      <c r="AJ38" s="12" t="s">
        <v>1621</v>
      </c>
      <c r="AK38" s="12" t="s">
        <v>1622</v>
      </c>
      <c r="AL38" s="12" t="s">
        <v>1092</v>
      </c>
      <c r="AM38" s="12" t="s">
        <v>1092</v>
      </c>
      <c r="AN38" s="12" t="s">
        <v>1092</v>
      </c>
      <c r="AO38" s="178" t="s">
        <v>1093</v>
      </c>
      <c r="AP38" s="178" t="s">
        <v>1093</v>
      </c>
      <c r="AQ38" s="178" t="s">
        <v>1093</v>
      </c>
      <c r="AR38" s="178" t="s">
        <v>1093</v>
      </c>
      <c r="AS38" s="178" t="s">
        <v>1118</v>
      </c>
      <c r="AT38" s="178" t="s">
        <v>1118</v>
      </c>
      <c r="AU38" s="178" t="s">
        <v>1094</v>
      </c>
      <c r="AV38" s="12" t="s">
        <v>1096</v>
      </c>
      <c r="AW38" s="12" t="s">
        <v>1097</v>
      </c>
      <c r="AX38" s="178" t="s">
        <v>1623</v>
      </c>
      <c r="AY38" s="178" t="s">
        <v>1093</v>
      </c>
      <c r="AZ38" s="12" t="s">
        <v>1624</v>
      </c>
      <c r="BA38" s="12" t="s">
        <v>1098</v>
      </c>
      <c r="BB38" s="12" t="s">
        <v>1098</v>
      </c>
      <c r="BD38" s="12" t="s">
        <v>1092</v>
      </c>
      <c r="BE38" s="12" t="s">
        <v>118</v>
      </c>
      <c r="BF38" s="12" t="s">
        <v>121</v>
      </c>
      <c r="BH38" s="12" t="s">
        <v>120</v>
      </c>
      <c r="BI38" s="179">
        <v>39</v>
      </c>
      <c r="BJ38" s="175">
        <v>42205</v>
      </c>
      <c r="BK38" s="176" t="s">
        <v>82</v>
      </c>
      <c r="BM38" s="12">
        <v>30</v>
      </c>
    </row>
    <row r="39" spans="1:65" x14ac:dyDescent="0.25">
      <c r="A39" s="12" t="s">
        <v>1557</v>
      </c>
      <c r="B39" s="12" t="s">
        <v>567</v>
      </c>
      <c r="C39" s="12" t="s">
        <v>568</v>
      </c>
      <c r="D39" s="12" t="s">
        <v>569</v>
      </c>
      <c r="E39" s="175">
        <v>42191</v>
      </c>
      <c r="F39" s="12" t="s">
        <v>1586</v>
      </c>
      <c r="G39" s="12" t="s">
        <v>1075</v>
      </c>
      <c r="H39" s="12" t="s">
        <v>1625</v>
      </c>
      <c r="I39" s="12" t="s">
        <v>1626</v>
      </c>
      <c r="J39" s="12" t="s">
        <v>1627</v>
      </c>
      <c r="K39" s="12" t="s">
        <v>1078</v>
      </c>
      <c r="L39" s="12" t="s">
        <v>1079</v>
      </c>
      <c r="M39" s="12" t="s">
        <v>1342</v>
      </c>
      <c r="O39" s="178" t="s">
        <v>1396</v>
      </c>
      <c r="P39" s="178" t="s">
        <v>1628</v>
      </c>
      <c r="Q39" s="12" t="s">
        <v>1342</v>
      </c>
      <c r="R39" s="179">
        <v>40</v>
      </c>
      <c r="S39" s="178"/>
      <c r="U39" s="12" t="s">
        <v>120</v>
      </c>
      <c r="W39" s="12" t="s">
        <v>1083</v>
      </c>
      <c r="X39" s="12" t="s">
        <v>1329</v>
      </c>
      <c r="Y39" s="178" t="s">
        <v>1629</v>
      </c>
      <c r="Z39" s="12" t="s">
        <v>1088</v>
      </c>
      <c r="AA39" s="178" t="s">
        <v>1176</v>
      </c>
      <c r="AB39" s="12" t="s">
        <v>1360</v>
      </c>
      <c r="AD39" s="12" t="s">
        <v>1185</v>
      </c>
      <c r="AE39" s="12" t="s">
        <v>1075</v>
      </c>
      <c r="AF39" s="12" t="s">
        <v>1630</v>
      </c>
      <c r="AG39" s="12" t="s">
        <v>1092</v>
      </c>
      <c r="AH39" s="12" t="s">
        <v>1092</v>
      </c>
      <c r="AI39" s="12" t="s">
        <v>1404</v>
      </c>
      <c r="AJ39" s="12" t="s">
        <v>1404</v>
      </c>
      <c r="AK39" s="12" t="s">
        <v>1631</v>
      </c>
      <c r="AL39" s="12" t="s">
        <v>1092</v>
      </c>
      <c r="AM39" s="12" t="s">
        <v>1092</v>
      </c>
      <c r="AN39" s="12" t="s">
        <v>1092</v>
      </c>
      <c r="AO39" s="178" t="s">
        <v>1092</v>
      </c>
      <c r="AP39" s="178" t="s">
        <v>1092</v>
      </c>
      <c r="AQ39" s="178" t="s">
        <v>1093</v>
      </c>
      <c r="AR39" s="178" t="s">
        <v>1092</v>
      </c>
      <c r="AS39" s="178" t="s">
        <v>1155</v>
      </c>
      <c r="AT39" s="178" t="s">
        <v>1118</v>
      </c>
      <c r="AU39" s="178" t="s">
        <v>1095</v>
      </c>
      <c r="AV39" s="12" t="s">
        <v>1096</v>
      </c>
      <c r="AW39" s="12" t="s">
        <v>1097</v>
      </c>
      <c r="AY39" s="178" t="s">
        <v>1092</v>
      </c>
      <c r="AZ39" s="12" t="s">
        <v>1632</v>
      </c>
      <c r="BA39" s="12" t="s">
        <v>1098</v>
      </c>
      <c r="BB39" s="12" t="s">
        <v>1098</v>
      </c>
      <c r="BD39" s="12" t="s">
        <v>1092</v>
      </c>
      <c r="BE39" s="12" t="s">
        <v>118</v>
      </c>
      <c r="BF39" s="12" t="s">
        <v>121</v>
      </c>
      <c r="BH39" s="12" t="s">
        <v>120</v>
      </c>
      <c r="BI39" s="179">
        <v>40</v>
      </c>
      <c r="BJ39" s="175">
        <v>42205</v>
      </c>
      <c r="BK39" s="176" t="s">
        <v>82</v>
      </c>
      <c r="BM39" s="12">
        <v>30</v>
      </c>
    </row>
    <row r="40" spans="1:65" x14ac:dyDescent="0.25">
      <c r="A40" s="12" t="s">
        <v>1557</v>
      </c>
      <c r="B40" s="12" t="s">
        <v>570</v>
      </c>
      <c r="C40" s="12" t="s">
        <v>571</v>
      </c>
      <c r="D40" s="12" t="s">
        <v>572</v>
      </c>
      <c r="E40" s="175">
        <v>42191</v>
      </c>
      <c r="F40" s="12" t="s">
        <v>1633</v>
      </c>
      <c r="G40" s="12" t="s">
        <v>1075</v>
      </c>
      <c r="H40" s="12" t="s">
        <v>1634</v>
      </c>
      <c r="I40" s="12" t="s">
        <v>1258</v>
      </c>
      <c r="J40" s="12" t="s">
        <v>1367</v>
      </c>
      <c r="K40" s="12" t="s">
        <v>1103</v>
      </c>
      <c r="L40" s="12" t="s">
        <v>1179</v>
      </c>
      <c r="M40" s="12" t="s">
        <v>1180</v>
      </c>
      <c r="O40" s="178" t="s">
        <v>1451</v>
      </c>
      <c r="P40" s="178" t="s">
        <v>1635</v>
      </c>
      <c r="Q40" s="12" t="s">
        <v>1180</v>
      </c>
      <c r="R40" s="179">
        <v>41</v>
      </c>
      <c r="S40" s="178"/>
      <c r="U40" s="12" t="s">
        <v>120</v>
      </c>
      <c r="W40" s="12" t="s">
        <v>1083</v>
      </c>
      <c r="X40" s="12" t="s">
        <v>1231</v>
      </c>
      <c r="Y40" s="178" t="s">
        <v>1128</v>
      </c>
      <c r="Z40" s="12" t="s">
        <v>1636</v>
      </c>
      <c r="AA40" s="178" t="s">
        <v>1089</v>
      </c>
      <c r="AB40" s="12" t="s">
        <v>1148</v>
      </c>
      <c r="AC40" s="178" t="s">
        <v>1440</v>
      </c>
      <c r="AD40" s="12" t="s">
        <v>1525</v>
      </c>
      <c r="AE40" s="12" t="s">
        <v>1075</v>
      </c>
      <c r="AF40" s="12" t="s">
        <v>1637</v>
      </c>
      <c r="AG40" s="12" t="s">
        <v>1092</v>
      </c>
      <c r="AH40" s="12" t="s">
        <v>1092</v>
      </c>
      <c r="AI40" s="12" t="s">
        <v>1638</v>
      </c>
      <c r="AJ40" s="12" t="s">
        <v>1639</v>
      </c>
      <c r="AK40" s="12" t="s">
        <v>1092</v>
      </c>
      <c r="AL40" s="12" t="s">
        <v>1092</v>
      </c>
      <c r="AM40" s="12" t="s">
        <v>1092</v>
      </c>
      <c r="AN40" s="12" t="s">
        <v>1092</v>
      </c>
      <c r="AO40" s="178" t="s">
        <v>1093</v>
      </c>
      <c r="AP40" s="178" t="s">
        <v>1093</v>
      </c>
      <c r="AQ40" s="178" t="s">
        <v>1093</v>
      </c>
      <c r="AR40" s="178" t="s">
        <v>1092</v>
      </c>
      <c r="AS40" s="178" t="s">
        <v>1118</v>
      </c>
      <c r="AT40" s="178" t="s">
        <v>1118</v>
      </c>
      <c r="AU40" s="178" t="s">
        <v>1095</v>
      </c>
      <c r="AV40" s="12" t="s">
        <v>1096</v>
      </c>
      <c r="AW40" s="12" t="s">
        <v>1097</v>
      </c>
      <c r="AX40" s="178" t="s">
        <v>1640</v>
      </c>
      <c r="AY40" s="178" t="s">
        <v>1157</v>
      </c>
      <c r="AZ40" s="12" t="s">
        <v>1641</v>
      </c>
      <c r="BA40" s="12" t="s">
        <v>1098</v>
      </c>
      <c r="BB40" s="12" t="s">
        <v>1098</v>
      </c>
      <c r="BD40" s="12" t="s">
        <v>1092</v>
      </c>
      <c r="BE40" s="12" t="s">
        <v>118</v>
      </c>
      <c r="BF40" s="12" t="s">
        <v>121</v>
      </c>
      <c r="BH40" s="12" t="s">
        <v>120</v>
      </c>
      <c r="BI40" s="179">
        <v>41</v>
      </c>
      <c r="BJ40" s="175">
        <v>42204</v>
      </c>
      <c r="BK40" s="176" t="s">
        <v>82</v>
      </c>
      <c r="BM40" s="12">
        <v>29</v>
      </c>
    </row>
    <row r="41" spans="1:65" x14ac:dyDescent="0.25">
      <c r="A41" s="12" t="s">
        <v>1557</v>
      </c>
      <c r="B41" s="12" t="s">
        <v>573</v>
      </c>
      <c r="C41" s="12" t="s">
        <v>574</v>
      </c>
      <c r="D41" s="12" t="s">
        <v>575</v>
      </c>
      <c r="E41" s="175">
        <v>42191</v>
      </c>
      <c r="F41" s="12" t="s">
        <v>1642</v>
      </c>
      <c r="G41" s="12" t="s">
        <v>1075</v>
      </c>
      <c r="H41" s="12" t="s">
        <v>1643</v>
      </c>
      <c r="I41" s="12" t="s">
        <v>1644</v>
      </c>
      <c r="J41" s="12" t="s">
        <v>1645</v>
      </c>
      <c r="K41" s="12" t="s">
        <v>1123</v>
      </c>
      <c r="L41" s="12" t="s">
        <v>1124</v>
      </c>
      <c r="M41" s="12" t="s">
        <v>1105</v>
      </c>
      <c r="O41" s="178" t="s">
        <v>1163</v>
      </c>
      <c r="P41" s="178" t="s">
        <v>1646</v>
      </c>
      <c r="Q41" s="12" t="s">
        <v>1105</v>
      </c>
      <c r="R41" s="179">
        <v>42</v>
      </c>
      <c r="S41" s="178"/>
      <c r="U41" s="12" t="s">
        <v>120</v>
      </c>
      <c r="W41" s="12" t="s">
        <v>1083</v>
      </c>
      <c r="X41" s="12" t="s">
        <v>1329</v>
      </c>
      <c r="Y41" s="178" t="s">
        <v>1247</v>
      </c>
      <c r="Z41" s="12" t="s">
        <v>1647</v>
      </c>
      <c r="AA41" s="178" t="s">
        <v>1505</v>
      </c>
      <c r="AB41" s="12" t="s">
        <v>1648</v>
      </c>
      <c r="AC41" s="178" t="s">
        <v>1505</v>
      </c>
      <c r="AD41" s="12" t="s">
        <v>1649</v>
      </c>
      <c r="AE41" s="12" t="s">
        <v>1075</v>
      </c>
      <c r="AF41" s="12" t="s">
        <v>1650</v>
      </c>
      <c r="AG41" s="12" t="s">
        <v>1092</v>
      </c>
      <c r="AH41" s="12" t="s">
        <v>1092</v>
      </c>
      <c r="AI41" s="12" t="s">
        <v>1651</v>
      </c>
      <c r="AJ41" s="12" t="s">
        <v>1652</v>
      </c>
      <c r="AK41" s="12" t="s">
        <v>1653</v>
      </c>
      <c r="AL41" s="12" t="s">
        <v>1092</v>
      </c>
      <c r="AM41" s="12" t="s">
        <v>1092</v>
      </c>
      <c r="AN41" s="12" t="s">
        <v>1092</v>
      </c>
      <c r="AO41" s="178" t="s">
        <v>1093</v>
      </c>
      <c r="AP41" s="178" t="s">
        <v>1093</v>
      </c>
      <c r="AQ41" s="178" t="s">
        <v>1092</v>
      </c>
      <c r="AR41" s="178" t="s">
        <v>1092</v>
      </c>
      <c r="AS41" s="178" t="s">
        <v>1118</v>
      </c>
      <c r="AT41" s="178" t="s">
        <v>1095</v>
      </c>
      <c r="AU41" s="178" t="s">
        <v>1095</v>
      </c>
      <c r="AV41" s="12" t="s">
        <v>1096</v>
      </c>
      <c r="AW41" s="12" t="s">
        <v>1097</v>
      </c>
      <c r="AY41" s="178" t="s">
        <v>1092</v>
      </c>
      <c r="AZ41" s="12" t="s">
        <v>1654</v>
      </c>
      <c r="BA41" s="12" t="s">
        <v>1098</v>
      </c>
      <c r="BB41" s="12" t="s">
        <v>1098</v>
      </c>
      <c r="BD41" s="12" t="s">
        <v>1092</v>
      </c>
      <c r="BE41" s="12" t="s">
        <v>118</v>
      </c>
      <c r="BF41" s="12" t="s">
        <v>121</v>
      </c>
      <c r="BH41" s="12" t="s">
        <v>120</v>
      </c>
      <c r="BI41" s="179">
        <v>42</v>
      </c>
      <c r="BJ41" s="175">
        <v>42204</v>
      </c>
      <c r="BK41" s="176" t="s">
        <v>82</v>
      </c>
      <c r="BM41" s="12">
        <v>29</v>
      </c>
    </row>
    <row r="42" spans="1:65" x14ac:dyDescent="0.25">
      <c r="A42" s="12" t="s">
        <v>1557</v>
      </c>
      <c r="B42" s="12" t="s">
        <v>576</v>
      </c>
      <c r="C42" s="12" t="s">
        <v>577</v>
      </c>
      <c r="D42" s="12" t="s">
        <v>578</v>
      </c>
      <c r="E42" s="175">
        <v>42191</v>
      </c>
      <c r="F42" s="12" t="s">
        <v>1642</v>
      </c>
      <c r="G42" s="12" t="s">
        <v>1075</v>
      </c>
      <c r="H42" s="12" t="s">
        <v>1655</v>
      </c>
      <c r="I42" s="12" t="s">
        <v>1656</v>
      </c>
      <c r="J42" s="12" t="s">
        <v>1657</v>
      </c>
      <c r="K42" s="12" t="s">
        <v>1103</v>
      </c>
      <c r="L42" s="12" t="s">
        <v>1179</v>
      </c>
      <c r="M42" s="12" t="s">
        <v>1195</v>
      </c>
      <c r="O42" s="178" t="s">
        <v>1658</v>
      </c>
      <c r="P42" s="178" t="s">
        <v>1659</v>
      </c>
      <c r="Q42" s="12" t="s">
        <v>1195</v>
      </c>
      <c r="R42" s="179">
        <v>43</v>
      </c>
      <c r="S42" s="178"/>
      <c r="U42" s="12" t="s">
        <v>120</v>
      </c>
      <c r="W42" s="12" t="s">
        <v>1083</v>
      </c>
      <c r="X42" s="12" t="s">
        <v>1329</v>
      </c>
      <c r="Y42" s="178" t="s">
        <v>1109</v>
      </c>
      <c r="Z42" s="12" t="s">
        <v>1660</v>
      </c>
      <c r="AA42" s="178" t="s">
        <v>1661</v>
      </c>
      <c r="AB42" s="12" t="s">
        <v>1662</v>
      </c>
      <c r="AC42" s="178" t="s">
        <v>1307</v>
      </c>
      <c r="AD42" s="12" t="s">
        <v>1133</v>
      </c>
      <c r="AE42" s="12" t="s">
        <v>1075</v>
      </c>
      <c r="AF42" s="12" t="s">
        <v>1663</v>
      </c>
      <c r="AG42" s="12" t="s">
        <v>1092</v>
      </c>
      <c r="AH42" s="12" t="s">
        <v>1092</v>
      </c>
      <c r="AI42" s="12" t="s">
        <v>1664</v>
      </c>
      <c r="AJ42" s="12" t="s">
        <v>1665</v>
      </c>
      <c r="AK42" s="12" t="s">
        <v>1666</v>
      </c>
      <c r="AL42" s="12" t="s">
        <v>1092</v>
      </c>
      <c r="AM42" s="12" t="s">
        <v>1092</v>
      </c>
      <c r="AN42" s="12" t="s">
        <v>1092</v>
      </c>
      <c r="AO42" s="178" t="s">
        <v>1093</v>
      </c>
      <c r="AP42" s="178" t="s">
        <v>1093</v>
      </c>
      <c r="AQ42" s="178" t="s">
        <v>1092</v>
      </c>
      <c r="AR42" s="178" t="s">
        <v>1092</v>
      </c>
      <c r="AS42" s="178" t="s">
        <v>1118</v>
      </c>
      <c r="AT42" s="178" t="s">
        <v>1095</v>
      </c>
      <c r="AU42" s="178" t="s">
        <v>1095</v>
      </c>
      <c r="AV42" s="12" t="s">
        <v>1096</v>
      </c>
      <c r="AW42" s="12" t="s">
        <v>1097</v>
      </c>
      <c r="AY42" s="178" t="s">
        <v>1092</v>
      </c>
      <c r="AZ42" s="12" t="s">
        <v>1667</v>
      </c>
      <c r="BA42" s="12" t="s">
        <v>1098</v>
      </c>
      <c r="BB42" s="12" t="s">
        <v>1098</v>
      </c>
      <c r="BD42" s="12" t="s">
        <v>1092</v>
      </c>
      <c r="BE42" s="12" t="s">
        <v>118</v>
      </c>
      <c r="BF42" s="12" t="s">
        <v>121</v>
      </c>
      <c r="BH42" s="12" t="s">
        <v>120</v>
      </c>
      <c r="BI42" s="179">
        <v>43</v>
      </c>
      <c r="BJ42" s="175">
        <v>42204</v>
      </c>
      <c r="BK42" s="176" t="s">
        <v>82</v>
      </c>
      <c r="BM42" s="12">
        <v>29</v>
      </c>
    </row>
    <row r="43" spans="1:65" x14ac:dyDescent="0.25">
      <c r="A43" s="12" t="s">
        <v>1557</v>
      </c>
      <c r="B43" s="12" t="s">
        <v>579</v>
      </c>
      <c r="C43" s="12" t="s">
        <v>580</v>
      </c>
      <c r="D43" s="12" t="s">
        <v>581</v>
      </c>
      <c r="E43" s="175">
        <v>42191</v>
      </c>
      <c r="F43" s="12" t="s">
        <v>1586</v>
      </c>
      <c r="G43" s="12" t="s">
        <v>1075</v>
      </c>
      <c r="H43" s="12" t="s">
        <v>1668</v>
      </c>
      <c r="I43" s="12" t="s">
        <v>1669</v>
      </c>
      <c r="J43" s="12" t="s">
        <v>1670</v>
      </c>
      <c r="K43" s="12" t="s">
        <v>1103</v>
      </c>
      <c r="L43" s="12" t="s">
        <v>1124</v>
      </c>
      <c r="M43" s="12" t="s">
        <v>1105</v>
      </c>
      <c r="O43" s="178" t="s">
        <v>1163</v>
      </c>
      <c r="P43" s="178" t="s">
        <v>1671</v>
      </c>
      <c r="Q43" s="12" t="s">
        <v>1105</v>
      </c>
      <c r="R43" s="179">
        <v>44</v>
      </c>
      <c r="S43" s="178"/>
      <c r="U43" s="12" t="s">
        <v>120</v>
      </c>
      <c r="W43" s="12" t="s">
        <v>1083</v>
      </c>
      <c r="X43" s="12" t="s">
        <v>1329</v>
      </c>
      <c r="Y43" s="178" t="s">
        <v>1503</v>
      </c>
      <c r="Z43" s="12" t="s">
        <v>1672</v>
      </c>
      <c r="AB43" s="12" t="s">
        <v>1185</v>
      </c>
      <c r="AD43" s="12" t="s">
        <v>1185</v>
      </c>
      <c r="AE43" s="12" t="s">
        <v>1075</v>
      </c>
      <c r="AF43" s="12" t="s">
        <v>1673</v>
      </c>
      <c r="AG43" s="12" t="s">
        <v>1092</v>
      </c>
      <c r="AH43" s="12" t="s">
        <v>1092</v>
      </c>
      <c r="AI43" s="12" t="s">
        <v>1674</v>
      </c>
      <c r="AJ43" s="12" t="s">
        <v>1675</v>
      </c>
      <c r="AK43" s="12" t="s">
        <v>1676</v>
      </c>
      <c r="AL43" s="12" t="s">
        <v>1092</v>
      </c>
      <c r="AM43" s="12" t="s">
        <v>1092</v>
      </c>
      <c r="AN43" s="12" t="s">
        <v>1092</v>
      </c>
      <c r="AO43" s="178" t="s">
        <v>1093</v>
      </c>
      <c r="AP43" s="178" t="s">
        <v>1093</v>
      </c>
      <c r="AQ43" s="178" t="s">
        <v>1093</v>
      </c>
      <c r="AR43" s="178" t="s">
        <v>1092</v>
      </c>
      <c r="AS43" s="178" t="s">
        <v>1118</v>
      </c>
      <c r="AT43" s="178" t="s">
        <v>1118</v>
      </c>
      <c r="AU43" s="178" t="s">
        <v>1095</v>
      </c>
      <c r="AV43" s="12" t="s">
        <v>1096</v>
      </c>
      <c r="AW43" s="12" t="s">
        <v>1097</v>
      </c>
      <c r="AY43" s="178" t="s">
        <v>1092</v>
      </c>
      <c r="AZ43" s="12" t="s">
        <v>1677</v>
      </c>
      <c r="BA43" s="12" t="s">
        <v>1098</v>
      </c>
      <c r="BB43" s="12" t="s">
        <v>1098</v>
      </c>
      <c r="BD43" s="12" t="s">
        <v>1092</v>
      </c>
      <c r="BE43" s="12" t="s">
        <v>118</v>
      </c>
      <c r="BF43" s="12" t="s">
        <v>121</v>
      </c>
      <c r="BH43" s="12" t="s">
        <v>120</v>
      </c>
      <c r="BI43" s="179">
        <v>44</v>
      </c>
      <c r="BJ43" s="175">
        <v>42202</v>
      </c>
      <c r="BK43" s="176" t="s">
        <v>82</v>
      </c>
      <c r="BM43" s="12">
        <v>29</v>
      </c>
    </row>
    <row r="44" spans="1:65" x14ac:dyDescent="0.25">
      <c r="A44" s="12" t="s">
        <v>1557</v>
      </c>
      <c r="B44" s="12" t="s">
        <v>582</v>
      </c>
      <c r="C44" s="12" t="s">
        <v>583</v>
      </c>
      <c r="D44" s="12" t="s">
        <v>584</v>
      </c>
      <c r="E44" s="175">
        <v>42191</v>
      </c>
      <c r="F44" s="12" t="s">
        <v>1678</v>
      </c>
      <c r="G44" s="12" t="s">
        <v>1075</v>
      </c>
      <c r="H44" s="12" t="s">
        <v>1679</v>
      </c>
      <c r="I44" s="12" t="s">
        <v>1680</v>
      </c>
      <c r="J44" s="12" t="s">
        <v>1681</v>
      </c>
      <c r="K44" s="12" t="s">
        <v>1103</v>
      </c>
      <c r="L44" s="12" t="s">
        <v>1104</v>
      </c>
      <c r="M44" s="12" t="s">
        <v>1180</v>
      </c>
      <c r="O44" s="178" t="s">
        <v>1451</v>
      </c>
      <c r="P44" s="178" t="s">
        <v>1682</v>
      </c>
      <c r="Q44" s="12" t="s">
        <v>1180</v>
      </c>
      <c r="R44" s="179">
        <v>45</v>
      </c>
      <c r="S44" s="178"/>
      <c r="U44" s="12" t="s">
        <v>120</v>
      </c>
      <c r="W44" s="12" t="s">
        <v>1083</v>
      </c>
      <c r="X44" s="12" t="s">
        <v>1231</v>
      </c>
      <c r="Y44" s="178" t="s">
        <v>1538</v>
      </c>
      <c r="Z44" s="12" t="s">
        <v>1683</v>
      </c>
      <c r="AA44" s="178" t="s">
        <v>1167</v>
      </c>
      <c r="AB44" s="12" t="s">
        <v>1684</v>
      </c>
      <c r="AC44" s="178" t="s">
        <v>1566</v>
      </c>
      <c r="AD44" s="12" t="s">
        <v>1112</v>
      </c>
      <c r="AE44" s="12" t="s">
        <v>1075</v>
      </c>
      <c r="AF44" s="12" t="s">
        <v>1685</v>
      </c>
      <c r="AG44" s="12" t="s">
        <v>1092</v>
      </c>
      <c r="AH44" s="12" t="s">
        <v>1092</v>
      </c>
      <c r="AI44" s="12" t="s">
        <v>1686</v>
      </c>
      <c r="AJ44" s="12" t="s">
        <v>1687</v>
      </c>
      <c r="AK44" s="12" t="s">
        <v>1092</v>
      </c>
      <c r="AL44" s="12" t="s">
        <v>1092</v>
      </c>
      <c r="AM44" s="12" t="s">
        <v>1092</v>
      </c>
      <c r="AN44" s="12" t="s">
        <v>1092</v>
      </c>
      <c r="AO44" s="178" t="s">
        <v>1093</v>
      </c>
      <c r="AP44" s="178" t="s">
        <v>1093</v>
      </c>
      <c r="AQ44" s="178" t="s">
        <v>1093</v>
      </c>
      <c r="AR44" s="178" t="s">
        <v>1093</v>
      </c>
      <c r="AS44" s="178" t="s">
        <v>1118</v>
      </c>
      <c r="AT44" s="178" t="s">
        <v>1118</v>
      </c>
      <c r="AU44" s="178" t="s">
        <v>1118</v>
      </c>
      <c r="AV44" s="12" t="s">
        <v>1096</v>
      </c>
      <c r="AW44" s="12" t="s">
        <v>1097</v>
      </c>
      <c r="AY44" s="178" t="s">
        <v>1092</v>
      </c>
      <c r="AZ44" s="12" t="s">
        <v>1688</v>
      </c>
      <c r="BA44" s="12" t="s">
        <v>1689</v>
      </c>
      <c r="BB44" s="12" t="s">
        <v>1688</v>
      </c>
      <c r="BD44" s="12" t="s">
        <v>1092</v>
      </c>
      <c r="BE44" s="12" t="s">
        <v>118</v>
      </c>
      <c r="BF44" s="12" t="s">
        <v>121</v>
      </c>
      <c r="BH44" s="12" t="s">
        <v>120</v>
      </c>
      <c r="BI44" s="179">
        <v>45</v>
      </c>
      <c r="BJ44" s="175">
        <v>42205</v>
      </c>
      <c r="BK44" s="176" t="s">
        <v>82</v>
      </c>
      <c r="BM44" s="12">
        <v>30</v>
      </c>
    </row>
    <row r="45" spans="1:65" x14ac:dyDescent="0.25">
      <c r="A45" s="12" t="s">
        <v>1557</v>
      </c>
      <c r="B45" s="12" t="s">
        <v>585</v>
      </c>
      <c r="C45" s="12" t="s">
        <v>586</v>
      </c>
      <c r="D45" s="12" t="s">
        <v>587</v>
      </c>
      <c r="E45" s="175">
        <v>42191</v>
      </c>
      <c r="F45" s="12" t="s">
        <v>1690</v>
      </c>
      <c r="G45" s="12" t="s">
        <v>1075</v>
      </c>
      <c r="H45" s="12" t="s">
        <v>1691</v>
      </c>
      <c r="I45" s="12" t="s">
        <v>1692</v>
      </c>
      <c r="K45" s="12" t="s">
        <v>1693</v>
      </c>
      <c r="L45" s="12" t="s">
        <v>1515</v>
      </c>
      <c r="M45" s="12" t="s">
        <v>1516</v>
      </c>
      <c r="O45" s="178" t="s">
        <v>1163</v>
      </c>
      <c r="P45" s="178" t="s">
        <v>1694</v>
      </c>
      <c r="Q45" s="12" t="s">
        <v>1516</v>
      </c>
      <c r="R45" s="179">
        <v>46</v>
      </c>
      <c r="S45" s="178"/>
      <c r="U45" s="12" t="s">
        <v>120</v>
      </c>
      <c r="W45" s="12" t="s">
        <v>1083</v>
      </c>
      <c r="X45" s="12" t="s">
        <v>1231</v>
      </c>
      <c r="Y45" s="178" t="s">
        <v>1695</v>
      </c>
      <c r="Z45" s="12" t="s">
        <v>1696</v>
      </c>
      <c r="AA45" s="178" t="s">
        <v>1261</v>
      </c>
      <c r="AB45" s="12" t="s">
        <v>1697</v>
      </c>
      <c r="AC45" s="178" t="s">
        <v>1698</v>
      </c>
      <c r="AD45" s="12" t="s">
        <v>1699</v>
      </c>
      <c r="AE45" s="12" t="s">
        <v>1075</v>
      </c>
      <c r="AF45" s="12" t="s">
        <v>1700</v>
      </c>
      <c r="AG45" s="12" t="s">
        <v>1092</v>
      </c>
      <c r="AH45" s="12" t="s">
        <v>1092</v>
      </c>
      <c r="AI45" s="12" t="s">
        <v>1701</v>
      </c>
      <c r="AJ45" s="12" t="s">
        <v>1702</v>
      </c>
      <c r="AK45" s="12" t="s">
        <v>1092</v>
      </c>
      <c r="AL45" s="12" t="s">
        <v>1092</v>
      </c>
      <c r="AM45" s="12" t="s">
        <v>1092</v>
      </c>
      <c r="AN45" s="12" t="s">
        <v>1092</v>
      </c>
      <c r="AO45" s="178" t="s">
        <v>1093</v>
      </c>
      <c r="AP45" s="178" t="s">
        <v>1093</v>
      </c>
      <c r="AQ45" s="178" t="s">
        <v>1092</v>
      </c>
      <c r="AR45" s="178" t="s">
        <v>1092</v>
      </c>
      <c r="AS45" s="178" t="s">
        <v>1118</v>
      </c>
      <c r="AT45" s="178" t="s">
        <v>1095</v>
      </c>
      <c r="AU45" s="178" t="s">
        <v>1095</v>
      </c>
      <c r="AV45" s="12" t="s">
        <v>1096</v>
      </c>
      <c r="AW45" s="12" t="s">
        <v>1097</v>
      </c>
      <c r="AY45" s="178" t="s">
        <v>1092</v>
      </c>
      <c r="AZ45" s="12" t="s">
        <v>1703</v>
      </c>
      <c r="BA45" s="12" t="s">
        <v>1098</v>
      </c>
      <c r="BB45" s="12" t="s">
        <v>1098</v>
      </c>
      <c r="BD45" s="12" t="s">
        <v>1092</v>
      </c>
      <c r="BE45" s="12" t="s">
        <v>118</v>
      </c>
      <c r="BF45" s="12" t="s">
        <v>121</v>
      </c>
      <c r="BH45" s="12" t="s">
        <v>120</v>
      </c>
      <c r="BI45" s="179">
        <v>46</v>
      </c>
      <c r="BJ45" s="175">
        <v>42202</v>
      </c>
      <c r="BK45" s="176" t="s">
        <v>119</v>
      </c>
      <c r="BL45" s="177">
        <v>358.08</v>
      </c>
      <c r="BM45" s="12">
        <v>29</v>
      </c>
    </row>
    <row r="46" spans="1:65" x14ac:dyDescent="0.25">
      <c r="A46" s="12" t="s">
        <v>1557</v>
      </c>
      <c r="B46" s="12" t="s">
        <v>588</v>
      </c>
      <c r="C46" s="12" t="s">
        <v>589</v>
      </c>
      <c r="D46" s="12" t="s">
        <v>590</v>
      </c>
      <c r="E46" s="175">
        <v>42191</v>
      </c>
      <c r="F46" s="12" t="s">
        <v>1704</v>
      </c>
      <c r="G46" s="12" t="s">
        <v>1075</v>
      </c>
      <c r="H46" s="12" t="s">
        <v>1705</v>
      </c>
      <c r="I46" s="12" t="s">
        <v>1706</v>
      </c>
      <c r="J46" s="12" t="s">
        <v>1707</v>
      </c>
      <c r="K46" s="12" t="s">
        <v>1123</v>
      </c>
      <c r="L46" s="12" t="s">
        <v>1124</v>
      </c>
      <c r="M46" s="12" t="s">
        <v>1125</v>
      </c>
      <c r="O46" s="178" t="s">
        <v>1434</v>
      </c>
      <c r="P46" s="178" t="s">
        <v>1708</v>
      </c>
      <c r="Q46" s="12" t="s">
        <v>1125</v>
      </c>
      <c r="R46" s="179">
        <v>47</v>
      </c>
      <c r="S46" s="178"/>
      <c r="U46" s="12" t="s">
        <v>120</v>
      </c>
      <c r="W46" s="12" t="s">
        <v>1083</v>
      </c>
      <c r="X46" s="12" t="s">
        <v>1108</v>
      </c>
      <c r="Y46" s="178" t="s">
        <v>1505</v>
      </c>
      <c r="Z46" s="12" t="s">
        <v>1709</v>
      </c>
      <c r="AA46" s="178" t="s">
        <v>1400</v>
      </c>
      <c r="AB46" s="12" t="s">
        <v>1332</v>
      </c>
      <c r="AC46" s="178" t="s">
        <v>1573</v>
      </c>
      <c r="AD46" s="12" t="s">
        <v>1332</v>
      </c>
      <c r="AE46" s="12" t="s">
        <v>1075</v>
      </c>
      <c r="AF46" s="12" t="s">
        <v>1710</v>
      </c>
      <c r="AG46" s="12" t="s">
        <v>1092</v>
      </c>
      <c r="AH46" s="12" t="s">
        <v>1092</v>
      </c>
      <c r="AI46" s="12" t="s">
        <v>1509</v>
      </c>
      <c r="AJ46" s="12" t="s">
        <v>1711</v>
      </c>
      <c r="AK46" s="12" t="s">
        <v>1711</v>
      </c>
      <c r="AL46" s="12" t="s">
        <v>1359</v>
      </c>
      <c r="AM46" s="12" t="s">
        <v>1092</v>
      </c>
      <c r="AN46" s="12" t="s">
        <v>1092</v>
      </c>
      <c r="AO46" s="178" t="s">
        <v>1092</v>
      </c>
      <c r="AP46" s="178" t="s">
        <v>1092</v>
      </c>
      <c r="AQ46" s="178" t="s">
        <v>1093</v>
      </c>
      <c r="AR46" s="178" t="s">
        <v>1092</v>
      </c>
      <c r="AS46" s="178" t="s">
        <v>1155</v>
      </c>
      <c r="AT46" s="178" t="s">
        <v>1118</v>
      </c>
      <c r="AU46" s="178" t="s">
        <v>1095</v>
      </c>
      <c r="AV46" s="12" t="s">
        <v>1096</v>
      </c>
      <c r="AW46" s="12" t="s">
        <v>1097</v>
      </c>
      <c r="AY46" s="178" t="s">
        <v>1092</v>
      </c>
      <c r="AZ46" s="12" t="s">
        <v>1712</v>
      </c>
      <c r="BA46" s="12" t="s">
        <v>1712</v>
      </c>
      <c r="BB46" s="12" t="s">
        <v>1712</v>
      </c>
      <c r="BC46" s="178" t="s">
        <v>1205</v>
      </c>
      <c r="BD46" s="12" t="s">
        <v>1092</v>
      </c>
      <c r="BE46" s="12" t="s">
        <v>118</v>
      </c>
      <c r="BF46" s="12" t="s">
        <v>121</v>
      </c>
      <c r="BH46" s="12" t="s">
        <v>120</v>
      </c>
      <c r="BI46" s="179">
        <v>47</v>
      </c>
      <c r="BJ46" s="175">
        <v>42204</v>
      </c>
      <c r="BK46" s="176" t="s">
        <v>82</v>
      </c>
      <c r="BM46" s="12">
        <v>29</v>
      </c>
    </row>
    <row r="47" spans="1:65" x14ac:dyDescent="0.25">
      <c r="A47" s="12" t="s">
        <v>1073</v>
      </c>
      <c r="B47" s="12" t="s">
        <v>591</v>
      </c>
      <c r="C47" s="12" t="s">
        <v>592</v>
      </c>
      <c r="D47" s="12" t="s">
        <v>593</v>
      </c>
      <c r="E47" s="175">
        <v>42191</v>
      </c>
      <c r="F47" s="12" t="s">
        <v>1713</v>
      </c>
      <c r="G47" s="12" t="s">
        <v>1075</v>
      </c>
      <c r="H47" s="12" t="s">
        <v>1714</v>
      </c>
      <c r="I47" s="12" t="s">
        <v>1715</v>
      </c>
      <c r="K47" s="12" t="s">
        <v>1078</v>
      </c>
      <c r="L47" s="12" t="s">
        <v>1079</v>
      </c>
      <c r="M47" s="12" t="s">
        <v>1342</v>
      </c>
      <c r="O47" s="178" t="s">
        <v>1106</v>
      </c>
      <c r="P47" s="178" t="s">
        <v>1716</v>
      </c>
      <c r="Q47" s="12" t="s">
        <v>1342</v>
      </c>
      <c r="R47" s="179">
        <v>48</v>
      </c>
      <c r="S47" s="178"/>
      <c r="U47" s="12" t="s">
        <v>120</v>
      </c>
      <c r="W47" s="12" t="s">
        <v>1083</v>
      </c>
      <c r="X47" s="12" t="s">
        <v>1464</v>
      </c>
      <c r="Y47" s="178" t="s">
        <v>1147</v>
      </c>
      <c r="Z47" s="12" t="s">
        <v>1717</v>
      </c>
      <c r="AA47" s="178" t="s">
        <v>1247</v>
      </c>
      <c r="AB47" s="12" t="s">
        <v>1718</v>
      </c>
      <c r="AC47" s="178" t="s">
        <v>1468</v>
      </c>
      <c r="AD47" s="12" t="s">
        <v>1719</v>
      </c>
      <c r="AE47" s="12" t="s">
        <v>1075</v>
      </c>
      <c r="AF47" s="12" t="s">
        <v>1720</v>
      </c>
      <c r="AG47" s="12" t="s">
        <v>1721</v>
      </c>
      <c r="AH47" s="12" t="s">
        <v>1092</v>
      </c>
      <c r="AI47" s="12" t="s">
        <v>1722</v>
      </c>
      <c r="AJ47" s="12" t="s">
        <v>1723</v>
      </c>
      <c r="AK47" s="12" t="s">
        <v>1092</v>
      </c>
      <c r="AL47" s="12" t="s">
        <v>1092</v>
      </c>
      <c r="AM47" s="12" t="s">
        <v>1092</v>
      </c>
      <c r="AN47" s="12" t="s">
        <v>1092</v>
      </c>
      <c r="AO47" s="178" t="s">
        <v>1093</v>
      </c>
      <c r="AP47" s="178" t="s">
        <v>1093</v>
      </c>
      <c r="AQ47" s="178" t="s">
        <v>1093</v>
      </c>
      <c r="AR47" s="178" t="s">
        <v>1092</v>
      </c>
      <c r="AS47" s="178" t="s">
        <v>1118</v>
      </c>
      <c r="AT47" s="178" t="s">
        <v>1118</v>
      </c>
      <c r="AU47" s="178" t="s">
        <v>1095</v>
      </c>
      <c r="AV47" s="12" t="s">
        <v>1096</v>
      </c>
      <c r="AW47" s="12" t="s">
        <v>1097</v>
      </c>
      <c r="AY47" s="178" t="s">
        <v>1092</v>
      </c>
      <c r="AZ47" s="12" t="s">
        <v>1724</v>
      </c>
      <c r="BA47" s="12" t="s">
        <v>1098</v>
      </c>
      <c r="BB47" s="12" t="s">
        <v>1098</v>
      </c>
      <c r="BD47" s="12" t="s">
        <v>1092</v>
      </c>
      <c r="BE47" s="12" t="s">
        <v>118</v>
      </c>
      <c r="BF47" s="12" t="s">
        <v>121</v>
      </c>
      <c r="BH47" s="12" t="s">
        <v>120</v>
      </c>
      <c r="BI47" s="179">
        <v>48</v>
      </c>
      <c r="BJ47" s="175">
        <v>42202</v>
      </c>
      <c r="BK47" s="176" t="s">
        <v>82</v>
      </c>
      <c r="BM47" s="12">
        <v>29</v>
      </c>
    </row>
    <row r="48" spans="1:65" x14ac:dyDescent="0.25">
      <c r="A48" s="12" t="s">
        <v>1073</v>
      </c>
      <c r="B48" s="12" t="s">
        <v>594</v>
      </c>
      <c r="C48" s="12" t="s">
        <v>595</v>
      </c>
      <c r="D48" s="12" t="s">
        <v>596</v>
      </c>
      <c r="E48" s="175">
        <v>42191</v>
      </c>
      <c r="F48" s="12" t="s">
        <v>1725</v>
      </c>
      <c r="G48" s="12" t="s">
        <v>1075</v>
      </c>
      <c r="H48" s="12" t="s">
        <v>1076</v>
      </c>
      <c r="I48" s="12" t="s">
        <v>1726</v>
      </c>
      <c r="K48" s="12" t="s">
        <v>1078</v>
      </c>
      <c r="L48" s="12" t="s">
        <v>1079</v>
      </c>
      <c r="M48" s="12" t="s">
        <v>1342</v>
      </c>
      <c r="O48" s="178" t="s">
        <v>1727</v>
      </c>
      <c r="P48" s="178" t="s">
        <v>1728</v>
      </c>
      <c r="Q48" s="12" t="s">
        <v>1342</v>
      </c>
      <c r="R48" s="179">
        <v>49</v>
      </c>
      <c r="S48" s="178"/>
      <c r="U48" s="12" t="s">
        <v>120</v>
      </c>
      <c r="W48" s="12" t="s">
        <v>1083</v>
      </c>
      <c r="X48" s="12" t="s">
        <v>1084</v>
      </c>
      <c r="Y48" s="178" t="s">
        <v>1629</v>
      </c>
      <c r="Z48" s="12" t="s">
        <v>1729</v>
      </c>
      <c r="AA48" s="178" t="s">
        <v>1730</v>
      </c>
      <c r="AB48" s="12" t="s">
        <v>1731</v>
      </c>
      <c r="AC48" s="178" t="s">
        <v>1426</v>
      </c>
      <c r="AD48" s="12" t="s">
        <v>1732</v>
      </c>
      <c r="AE48" s="12" t="s">
        <v>1075</v>
      </c>
      <c r="AF48" s="12" t="s">
        <v>1733</v>
      </c>
      <c r="AG48" s="12" t="s">
        <v>1734</v>
      </c>
      <c r="AH48" s="12" t="s">
        <v>1092</v>
      </c>
      <c r="AI48" s="12" t="s">
        <v>1735</v>
      </c>
      <c r="AJ48" s="12" t="s">
        <v>1736</v>
      </c>
      <c r="AK48" s="12" t="s">
        <v>1092</v>
      </c>
      <c r="AL48" s="12" t="s">
        <v>1092</v>
      </c>
      <c r="AM48" s="12" t="s">
        <v>1092</v>
      </c>
      <c r="AN48" s="12" t="s">
        <v>1092</v>
      </c>
      <c r="AO48" s="178" t="s">
        <v>1093</v>
      </c>
      <c r="AP48" s="178" t="s">
        <v>1093</v>
      </c>
      <c r="AQ48" s="178" t="s">
        <v>1093</v>
      </c>
      <c r="AR48" s="178" t="s">
        <v>1092</v>
      </c>
      <c r="AS48" s="178" t="s">
        <v>1118</v>
      </c>
      <c r="AT48" s="178" t="s">
        <v>1118</v>
      </c>
      <c r="AU48" s="178" t="s">
        <v>1095</v>
      </c>
      <c r="AV48" s="12" t="s">
        <v>1096</v>
      </c>
      <c r="AW48" s="12" t="s">
        <v>1097</v>
      </c>
      <c r="AY48" s="178" t="s">
        <v>1092</v>
      </c>
      <c r="AZ48" s="12" t="s">
        <v>1098</v>
      </c>
      <c r="BA48" s="12" t="s">
        <v>1737</v>
      </c>
      <c r="BB48" s="12" t="s">
        <v>1098</v>
      </c>
      <c r="BD48" s="12" t="s">
        <v>1092</v>
      </c>
      <c r="BE48" s="12" t="s">
        <v>118</v>
      </c>
      <c r="BF48" s="12" t="s">
        <v>121</v>
      </c>
      <c r="BH48" s="12" t="s">
        <v>120</v>
      </c>
      <c r="BI48" s="179">
        <v>49</v>
      </c>
      <c r="BJ48" s="175">
        <v>42195</v>
      </c>
      <c r="BK48" s="176" t="s">
        <v>119</v>
      </c>
      <c r="BL48" s="177">
        <v>376.8</v>
      </c>
      <c r="BM48" s="12">
        <v>28</v>
      </c>
    </row>
    <row r="49" spans="1:65" x14ac:dyDescent="0.25">
      <c r="A49" s="12" t="s">
        <v>1073</v>
      </c>
      <c r="B49" s="12" t="s">
        <v>597</v>
      </c>
      <c r="C49" s="12" t="s">
        <v>598</v>
      </c>
      <c r="D49" s="12" t="s">
        <v>599</v>
      </c>
      <c r="E49" s="175">
        <v>42191</v>
      </c>
      <c r="F49" s="12" t="s">
        <v>1738</v>
      </c>
      <c r="G49" s="12" t="s">
        <v>1075</v>
      </c>
      <c r="H49" s="12" t="s">
        <v>1739</v>
      </c>
      <c r="I49" s="12" t="s">
        <v>1740</v>
      </c>
      <c r="K49" s="12" t="s">
        <v>1123</v>
      </c>
      <c r="L49" s="12" t="s">
        <v>1124</v>
      </c>
      <c r="M49" s="12" t="s">
        <v>1105</v>
      </c>
      <c r="O49" s="178" t="s">
        <v>1741</v>
      </c>
      <c r="P49" s="178" t="s">
        <v>1742</v>
      </c>
      <c r="Q49" s="12" t="s">
        <v>1105</v>
      </c>
      <c r="R49" s="179">
        <v>50</v>
      </c>
      <c r="S49" s="178"/>
      <c r="U49" s="12" t="s">
        <v>120</v>
      </c>
      <c r="W49" s="12" t="s">
        <v>1083</v>
      </c>
      <c r="X49" s="12" t="s">
        <v>1084</v>
      </c>
      <c r="Y49" s="178" t="s">
        <v>1165</v>
      </c>
      <c r="Z49" s="12" t="s">
        <v>1743</v>
      </c>
      <c r="AA49" s="178" t="s">
        <v>1355</v>
      </c>
      <c r="AB49" s="12" t="s">
        <v>1744</v>
      </c>
      <c r="AC49" s="178" t="s">
        <v>1217</v>
      </c>
      <c r="AD49" s="12" t="s">
        <v>1745</v>
      </c>
      <c r="AE49" s="12" t="s">
        <v>1075</v>
      </c>
      <c r="AF49" s="12" t="s">
        <v>1746</v>
      </c>
      <c r="AG49" s="12" t="s">
        <v>1092</v>
      </c>
      <c r="AH49" s="12" t="s">
        <v>1092</v>
      </c>
      <c r="AI49" s="12" t="s">
        <v>1747</v>
      </c>
      <c r="AJ49" s="12" t="s">
        <v>1748</v>
      </c>
      <c r="AK49" s="12" t="s">
        <v>1092</v>
      </c>
      <c r="AL49" s="12" t="s">
        <v>1092</v>
      </c>
      <c r="AM49" s="12" t="s">
        <v>1092</v>
      </c>
      <c r="AN49" s="12" t="s">
        <v>1092</v>
      </c>
      <c r="AO49" s="178" t="s">
        <v>1093</v>
      </c>
      <c r="AP49" s="178" t="s">
        <v>1093</v>
      </c>
      <c r="AQ49" s="178" t="s">
        <v>1093</v>
      </c>
      <c r="AR49" s="178" t="s">
        <v>1093</v>
      </c>
      <c r="AS49" s="178" t="s">
        <v>1118</v>
      </c>
      <c r="AT49" s="178" t="s">
        <v>1118</v>
      </c>
      <c r="AU49" s="178" t="s">
        <v>1094</v>
      </c>
      <c r="AV49" s="12" t="s">
        <v>1096</v>
      </c>
      <c r="AW49" s="12" t="s">
        <v>1097</v>
      </c>
      <c r="AX49" s="178" t="s">
        <v>1749</v>
      </c>
      <c r="AY49" s="178" t="s">
        <v>1157</v>
      </c>
      <c r="AZ49" s="12" t="s">
        <v>1750</v>
      </c>
      <c r="BA49" s="12" t="s">
        <v>1098</v>
      </c>
      <c r="BB49" s="12" t="s">
        <v>1098</v>
      </c>
      <c r="BD49" s="12" t="s">
        <v>1092</v>
      </c>
      <c r="BE49" s="12" t="s">
        <v>118</v>
      </c>
      <c r="BF49" s="12" t="s">
        <v>121</v>
      </c>
      <c r="BH49" s="12" t="s">
        <v>120</v>
      </c>
      <c r="BI49" s="179">
        <v>50</v>
      </c>
      <c r="BJ49" s="175">
        <v>42204</v>
      </c>
      <c r="BK49" s="176" t="s">
        <v>82</v>
      </c>
      <c r="BM49" s="12">
        <v>29</v>
      </c>
    </row>
    <row r="50" spans="1:65" x14ac:dyDescent="0.25">
      <c r="A50" s="12" t="s">
        <v>1073</v>
      </c>
      <c r="B50" s="12" t="s">
        <v>600</v>
      </c>
      <c r="C50" s="12" t="s">
        <v>601</v>
      </c>
      <c r="D50" s="12" t="s">
        <v>602</v>
      </c>
      <c r="E50" s="175">
        <v>42191</v>
      </c>
      <c r="F50" s="12" t="s">
        <v>1751</v>
      </c>
      <c r="G50" s="12" t="s">
        <v>1075</v>
      </c>
      <c r="H50" s="12" t="s">
        <v>1076</v>
      </c>
      <c r="I50" s="12" t="s">
        <v>1752</v>
      </c>
      <c r="K50" s="12" t="s">
        <v>1103</v>
      </c>
      <c r="L50" s="12" t="s">
        <v>1104</v>
      </c>
      <c r="M50" s="12" t="s">
        <v>1180</v>
      </c>
      <c r="O50" s="178" t="s">
        <v>1451</v>
      </c>
      <c r="P50" s="178" t="s">
        <v>1753</v>
      </c>
      <c r="Q50" s="12" t="s">
        <v>1180</v>
      </c>
      <c r="R50" s="179">
        <v>51</v>
      </c>
      <c r="S50" s="178"/>
      <c r="U50" s="12" t="s">
        <v>120</v>
      </c>
      <c r="W50" s="12" t="s">
        <v>1083</v>
      </c>
      <c r="X50" s="12" t="s">
        <v>1359</v>
      </c>
      <c r="Y50" s="178" t="s">
        <v>1754</v>
      </c>
      <c r="Z50" s="12" t="s">
        <v>1755</v>
      </c>
      <c r="AA50" s="178" t="s">
        <v>1756</v>
      </c>
      <c r="AB50" s="12" t="s">
        <v>1755</v>
      </c>
      <c r="AC50" s="178" t="s">
        <v>1757</v>
      </c>
      <c r="AD50" s="12" t="s">
        <v>1758</v>
      </c>
      <c r="AE50" s="12" t="s">
        <v>1075</v>
      </c>
      <c r="AF50" s="12" t="s">
        <v>1759</v>
      </c>
      <c r="AG50" s="12" t="s">
        <v>1092</v>
      </c>
      <c r="AH50" s="12" t="s">
        <v>1092</v>
      </c>
      <c r="AI50" s="12" t="s">
        <v>1760</v>
      </c>
      <c r="AJ50" s="12" t="s">
        <v>1761</v>
      </c>
      <c r="AK50" s="12" t="s">
        <v>1762</v>
      </c>
      <c r="AL50" s="12" t="s">
        <v>1092</v>
      </c>
      <c r="AM50" s="12" t="s">
        <v>1092</v>
      </c>
      <c r="AN50" s="12" t="s">
        <v>1092</v>
      </c>
      <c r="AO50" s="178" t="s">
        <v>1093</v>
      </c>
      <c r="AP50" s="178" t="s">
        <v>1093</v>
      </c>
      <c r="AQ50" s="178" t="s">
        <v>1093</v>
      </c>
      <c r="AR50" s="178" t="s">
        <v>1092</v>
      </c>
      <c r="AS50" s="178" t="s">
        <v>1118</v>
      </c>
      <c r="AT50" s="178" t="s">
        <v>1118</v>
      </c>
      <c r="AU50" s="178" t="s">
        <v>1095</v>
      </c>
      <c r="AV50" s="12" t="s">
        <v>1096</v>
      </c>
      <c r="AW50" s="12" t="s">
        <v>1097</v>
      </c>
      <c r="AY50" s="178" t="s">
        <v>1092</v>
      </c>
      <c r="AZ50" s="12" t="s">
        <v>1098</v>
      </c>
      <c r="BA50" s="12" t="s">
        <v>1098</v>
      </c>
      <c r="BB50" s="12" t="s">
        <v>1763</v>
      </c>
      <c r="BD50" s="12" t="s">
        <v>1092</v>
      </c>
      <c r="BE50" s="12" t="s">
        <v>118</v>
      </c>
      <c r="BF50" s="12" t="s">
        <v>121</v>
      </c>
      <c r="BH50" s="12" t="s">
        <v>120</v>
      </c>
      <c r="BI50" s="179">
        <v>51</v>
      </c>
      <c r="BJ50" s="175">
        <v>42204</v>
      </c>
      <c r="BK50" s="176" t="s">
        <v>82</v>
      </c>
      <c r="BM50" s="12">
        <v>29</v>
      </c>
    </row>
    <row r="51" spans="1:65" x14ac:dyDescent="0.25">
      <c r="A51" s="12" t="s">
        <v>1073</v>
      </c>
      <c r="B51" s="12" t="s">
        <v>603</v>
      </c>
      <c r="C51" s="12" t="s">
        <v>604</v>
      </c>
      <c r="D51" s="12" t="s">
        <v>605</v>
      </c>
      <c r="E51" s="175">
        <v>42191</v>
      </c>
      <c r="F51" s="12" t="s">
        <v>1440</v>
      </c>
      <c r="G51" s="12" t="s">
        <v>1075</v>
      </c>
      <c r="H51" s="12" t="s">
        <v>1764</v>
      </c>
      <c r="I51" s="12" t="s">
        <v>1765</v>
      </c>
      <c r="K51" s="12" t="s">
        <v>1103</v>
      </c>
      <c r="L51" s="12" t="s">
        <v>1179</v>
      </c>
      <c r="M51" s="12" t="s">
        <v>1180</v>
      </c>
      <c r="O51" s="178" t="s">
        <v>1275</v>
      </c>
      <c r="P51" s="178" t="s">
        <v>1766</v>
      </c>
      <c r="Q51" s="12" t="s">
        <v>1180</v>
      </c>
      <c r="R51" s="179">
        <v>52</v>
      </c>
      <c r="S51" s="178"/>
      <c r="U51" s="12" t="s">
        <v>120</v>
      </c>
      <c r="W51" s="12" t="s">
        <v>1083</v>
      </c>
      <c r="X51" s="12" t="s">
        <v>1453</v>
      </c>
      <c r="Y51" s="178" t="s">
        <v>1232</v>
      </c>
      <c r="Z51" s="12" t="s">
        <v>1767</v>
      </c>
      <c r="AA51" s="178" t="s">
        <v>1478</v>
      </c>
      <c r="AB51" s="12" t="s">
        <v>1768</v>
      </c>
      <c r="AD51" s="12" t="s">
        <v>1185</v>
      </c>
      <c r="AE51" s="12" t="s">
        <v>1075</v>
      </c>
      <c r="AF51" s="12" t="s">
        <v>1769</v>
      </c>
      <c r="AG51" s="12" t="s">
        <v>1092</v>
      </c>
      <c r="AH51" s="12" t="s">
        <v>1092</v>
      </c>
      <c r="AI51" s="12" t="s">
        <v>1770</v>
      </c>
      <c r="AJ51" s="12" t="s">
        <v>1771</v>
      </c>
      <c r="AK51" s="12" t="s">
        <v>1092</v>
      </c>
      <c r="AL51" s="12" t="s">
        <v>1772</v>
      </c>
      <c r="AM51" s="12" t="s">
        <v>1092</v>
      </c>
      <c r="AN51" s="12" t="s">
        <v>1092</v>
      </c>
      <c r="AO51" s="178" t="s">
        <v>1093</v>
      </c>
      <c r="AP51" s="178" t="s">
        <v>1093</v>
      </c>
      <c r="AQ51" s="178" t="s">
        <v>1093</v>
      </c>
      <c r="AR51" s="178" t="s">
        <v>1093</v>
      </c>
      <c r="AS51" s="178" t="s">
        <v>1118</v>
      </c>
      <c r="AT51" s="178" t="s">
        <v>1118</v>
      </c>
      <c r="AU51" s="178" t="s">
        <v>1118</v>
      </c>
      <c r="AV51" s="12" t="s">
        <v>1096</v>
      </c>
      <c r="AW51" s="12" t="s">
        <v>1097</v>
      </c>
      <c r="AX51" s="178" t="s">
        <v>1773</v>
      </c>
      <c r="AY51" s="178" t="s">
        <v>1093</v>
      </c>
      <c r="AZ51" s="12" t="s">
        <v>1774</v>
      </c>
      <c r="BA51" s="12" t="s">
        <v>1098</v>
      </c>
      <c r="BB51" s="12" t="s">
        <v>1098</v>
      </c>
      <c r="BD51" s="12" t="s">
        <v>1092</v>
      </c>
      <c r="BE51" s="12" t="s">
        <v>118</v>
      </c>
      <c r="BF51" s="12" t="s">
        <v>121</v>
      </c>
      <c r="BH51" s="12" t="s">
        <v>120</v>
      </c>
      <c r="BI51" s="179">
        <v>52</v>
      </c>
      <c r="BJ51" s="175">
        <v>42205</v>
      </c>
      <c r="BK51" s="176" t="s">
        <v>82</v>
      </c>
      <c r="BM51" s="12">
        <v>30</v>
      </c>
    </row>
    <row r="52" spans="1:65" x14ac:dyDescent="0.25">
      <c r="A52" s="12" t="s">
        <v>1073</v>
      </c>
      <c r="B52" s="12" t="s">
        <v>606</v>
      </c>
      <c r="C52" s="12" t="s">
        <v>607</v>
      </c>
      <c r="D52" s="12" t="s">
        <v>608</v>
      </c>
      <c r="E52" s="175">
        <v>42191</v>
      </c>
      <c r="F52" s="12" t="s">
        <v>1775</v>
      </c>
      <c r="G52" s="12" t="s">
        <v>1075</v>
      </c>
      <c r="H52" s="12" t="s">
        <v>1076</v>
      </c>
      <c r="I52" s="12" t="s">
        <v>1776</v>
      </c>
      <c r="J52" s="12" t="s">
        <v>1777</v>
      </c>
      <c r="K52" s="12" t="s">
        <v>1078</v>
      </c>
      <c r="L52" s="12" t="s">
        <v>1079</v>
      </c>
      <c r="M52" s="12" t="s">
        <v>1080</v>
      </c>
      <c r="O52" s="178" t="s">
        <v>1181</v>
      </c>
      <c r="P52" s="178" t="s">
        <v>1778</v>
      </c>
      <c r="Q52" s="12" t="s">
        <v>1080</v>
      </c>
      <c r="R52" s="179">
        <v>53</v>
      </c>
      <c r="S52" s="178"/>
      <c r="U52" s="12" t="s">
        <v>120</v>
      </c>
      <c r="W52" s="12" t="s">
        <v>1083</v>
      </c>
      <c r="X52" s="12" t="s">
        <v>1108</v>
      </c>
      <c r="Y52" s="178" t="s">
        <v>1370</v>
      </c>
      <c r="Z52" s="12" t="s">
        <v>1779</v>
      </c>
      <c r="AA52" s="178" t="s">
        <v>1278</v>
      </c>
      <c r="AB52" s="12" t="s">
        <v>1780</v>
      </c>
      <c r="AC52" s="178" t="s">
        <v>1781</v>
      </c>
      <c r="AD52" s="12" t="s">
        <v>1780</v>
      </c>
      <c r="AE52" s="12" t="s">
        <v>1075</v>
      </c>
      <c r="AF52" s="12" t="s">
        <v>1782</v>
      </c>
      <c r="AG52" s="12" t="s">
        <v>1092</v>
      </c>
      <c r="AH52" s="12" t="s">
        <v>1092</v>
      </c>
      <c r="AI52" s="12" t="s">
        <v>1783</v>
      </c>
      <c r="AJ52" s="12" t="s">
        <v>1784</v>
      </c>
      <c r="AK52" s="12" t="s">
        <v>1785</v>
      </c>
      <c r="AL52" s="12" t="s">
        <v>1092</v>
      </c>
      <c r="AM52" s="12" t="s">
        <v>1092</v>
      </c>
      <c r="AN52" s="12" t="s">
        <v>1092</v>
      </c>
      <c r="AO52" s="178" t="s">
        <v>1093</v>
      </c>
      <c r="AP52" s="178" t="s">
        <v>1093</v>
      </c>
      <c r="AQ52" s="178" t="s">
        <v>1093</v>
      </c>
      <c r="AR52" s="178" t="s">
        <v>1093</v>
      </c>
      <c r="AS52" s="178" t="s">
        <v>1118</v>
      </c>
      <c r="AT52" s="178" t="s">
        <v>1118</v>
      </c>
      <c r="AU52" s="178" t="s">
        <v>1118</v>
      </c>
      <c r="AV52" s="12" t="s">
        <v>1096</v>
      </c>
      <c r="AW52" s="12" t="s">
        <v>1097</v>
      </c>
      <c r="AY52" s="178" t="s">
        <v>1092</v>
      </c>
      <c r="AZ52" s="12" t="s">
        <v>1098</v>
      </c>
      <c r="BA52" s="12" t="s">
        <v>1098</v>
      </c>
      <c r="BB52" s="12" t="s">
        <v>1786</v>
      </c>
      <c r="BD52" s="12" t="s">
        <v>1092</v>
      </c>
      <c r="BE52" s="12" t="s">
        <v>118</v>
      </c>
      <c r="BF52" s="12" t="s">
        <v>121</v>
      </c>
      <c r="BH52" s="12" t="s">
        <v>120</v>
      </c>
      <c r="BI52" s="179">
        <v>53</v>
      </c>
      <c r="BJ52" s="175">
        <v>42200</v>
      </c>
      <c r="BK52" s="176" t="s">
        <v>119</v>
      </c>
      <c r="BL52" s="177">
        <v>371.77</v>
      </c>
      <c r="BM52" s="12">
        <v>29</v>
      </c>
    </row>
    <row r="53" spans="1:65" x14ac:dyDescent="0.25">
      <c r="A53" s="12" t="s">
        <v>1073</v>
      </c>
      <c r="B53" s="12" t="s">
        <v>609</v>
      </c>
      <c r="C53" s="12" t="s">
        <v>610</v>
      </c>
      <c r="D53" s="12" t="s">
        <v>611</v>
      </c>
      <c r="E53" s="175">
        <v>42191</v>
      </c>
      <c r="F53" s="12" t="s">
        <v>1713</v>
      </c>
      <c r="G53" s="12" t="s">
        <v>1075</v>
      </c>
      <c r="H53" s="12" t="s">
        <v>1787</v>
      </c>
      <c r="I53" s="12" t="s">
        <v>1788</v>
      </c>
      <c r="J53" s="12" t="s">
        <v>1789</v>
      </c>
      <c r="K53" s="12" t="s">
        <v>1078</v>
      </c>
      <c r="L53" s="12" t="s">
        <v>1079</v>
      </c>
      <c r="M53" s="12" t="s">
        <v>1342</v>
      </c>
      <c r="O53" s="178" t="s">
        <v>1451</v>
      </c>
      <c r="P53" s="178" t="s">
        <v>1790</v>
      </c>
      <c r="Q53" s="12" t="s">
        <v>1342</v>
      </c>
      <c r="R53" s="179">
        <v>54</v>
      </c>
      <c r="S53" s="178"/>
      <c r="U53" s="12" t="s">
        <v>120</v>
      </c>
      <c r="W53" s="12" t="s">
        <v>1083</v>
      </c>
      <c r="X53" s="12" t="s">
        <v>1464</v>
      </c>
      <c r="Y53" s="178" t="s">
        <v>1536</v>
      </c>
      <c r="Z53" s="12" t="s">
        <v>1791</v>
      </c>
      <c r="AA53" s="178" t="s">
        <v>1345</v>
      </c>
      <c r="AB53" s="12" t="s">
        <v>1792</v>
      </c>
      <c r="AC53" s="178" t="s">
        <v>1176</v>
      </c>
      <c r="AD53" s="12" t="s">
        <v>1793</v>
      </c>
      <c r="AE53" s="12" t="s">
        <v>1075</v>
      </c>
      <c r="AF53" s="12" t="s">
        <v>1794</v>
      </c>
      <c r="AG53" s="12" t="s">
        <v>1092</v>
      </c>
      <c r="AH53" s="12" t="s">
        <v>1092</v>
      </c>
      <c r="AI53" s="12" t="s">
        <v>1795</v>
      </c>
      <c r="AJ53" s="12" t="s">
        <v>1796</v>
      </c>
      <c r="AK53" s="12" t="s">
        <v>1092</v>
      </c>
      <c r="AL53" s="12" t="s">
        <v>1092</v>
      </c>
      <c r="AM53" s="12" t="s">
        <v>1092</v>
      </c>
      <c r="AN53" s="12" t="s">
        <v>1092</v>
      </c>
      <c r="AO53" s="178" t="s">
        <v>1093</v>
      </c>
      <c r="AP53" s="178" t="s">
        <v>1093</v>
      </c>
      <c r="AQ53" s="178" t="s">
        <v>1093</v>
      </c>
      <c r="AR53" s="178" t="s">
        <v>1092</v>
      </c>
      <c r="AS53" s="178" t="s">
        <v>1118</v>
      </c>
      <c r="AT53" s="178" t="s">
        <v>1118</v>
      </c>
      <c r="AU53" s="178" t="s">
        <v>1095</v>
      </c>
      <c r="AV53" s="12" t="s">
        <v>1096</v>
      </c>
      <c r="AW53" s="12" t="s">
        <v>1097</v>
      </c>
      <c r="AY53" s="178" t="s">
        <v>1092</v>
      </c>
      <c r="AZ53" s="12" t="s">
        <v>1797</v>
      </c>
      <c r="BA53" s="12" t="s">
        <v>1098</v>
      </c>
      <c r="BB53" s="12" t="s">
        <v>1098</v>
      </c>
      <c r="BD53" s="12" t="s">
        <v>1092</v>
      </c>
      <c r="BE53" s="12" t="s">
        <v>118</v>
      </c>
      <c r="BF53" s="12" t="s">
        <v>121</v>
      </c>
      <c r="BH53" s="12" t="s">
        <v>120</v>
      </c>
      <c r="BI53" s="179">
        <v>54</v>
      </c>
      <c r="BJ53" s="175">
        <v>42202</v>
      </c>
      <c r="BK53" s="176" t="s">
        <v>82</v>
      </c>
      <c r="BM53" s="12">
        <v>29</v>
      </c>
    </row>
    <row r="54" spans="1:65" x14ac:dyDescent="0.25">
      <c r="A54" s="12" t="s">
        <v>1073</v>
      </c>
      <c r="B54" s="12" t="s">
        <v>612</v>
      </c>
      <c r="C54" s="12" t="s">
        <v>613</v>
      </c>
      <c r="D54" s="12" t="s">
        <v>614</v>
      </c>
      <c r="E54" s="175">
        <v>42191</v>
      </c>
      <c r="F54" s="12" t="s">
        <v>1798</v>
      </c>
      <c r="G54" s="12" t="s">
        <v>1075</v>
      </c>
      <c r="H54" s="12" t="s">
        <v>1799</v>
      </c>
      <c r="I54" s="12" t="s">
        <v>1800</v>
      </c>
      <c r="J54" s="12" t="s">
        <v>1367</v>
      </c>
      <c r="K54" s="12" t="s">
        <v>1448</v>
      </c>
      <c r="L54" s="12" t="s">
        <v>1449</v>
      </c>
      <c r="M54" s="12" t="s">
        <v>1450</v>
      </c>
      <c r="O54" s="178" t="s">
        <v>1801</v>
      </c>
      <c r="P54" s="178" t="s">
        <v>1802</v>
      </c>
      <c r="Q54" s="12" t="s">
        <v>1450</v>
      </c>
      <c r="R54" s="179">
        <v>55</v>
      </c>
      <c r="S54" s="178"/>
      <c r="U54" s="12" t="s">
        <v>120</v>
      </c>
      <c r="W54" s="12" t="s">
        <v>1083</v>
      </c>
      <c r="X54" s="12" t="s">
        <v>1084</v>
      </c>
      <c r="Y54" s="178" t="s">
        <v>1478</v>
      </c>
      <c r="Z54" s="12" t="s">
        <v>1803</v>
      </c>
      <c r="AA54" s="178" t="s">
        <v>1261</v>
      </c>
      <c r="AB54" s="12" t="s">
        <v>1803</v>
      </c>
      <c r="AC54" s="178" t="s">
        <v>1263</v>
      </c>
      <c r="AD54" s="12" t="s">
        <v>1521</v>
      </c>
      <c r="AE54" s="12" t="s">
        <v>1075</v>
      </c>
      <c r="AF54" s="12" t="s">
        <v>1804</v>
      </c>
      <c r="AG54" s="12" t="s">
        <v>1092</v>
      </c>
      <c r="AH54" s="12" t="s">
        <v>1092</v>
      </c>
      <c r="AI54" s="12" t="s">
        <v>1805</v>
      </c>
      <c r="AJ54" s="12" t="s">
        <v>1806</v>
      </c>
      <c r="AK54" s="12" t="s">
        <v>1092</v>
      </c>
      <c r="AL54" s="12" t="s">
        <v>1092</v>
      </c>
      <c r="AM54" s="12" t="s">
        <v>1092</v>
      </c>
      <c r="AN54" s="12" t="s">
        <v>1092</v>
      </c>
      <c r="AO54" s="178" t="s">
        <v>1092</v>
      </c>
      <c r="AP54" s="178" t="s">
        <v>1092</v>
      </c>
      <c r="AQ54" s="178" t="s">
        <v>1093</v>
      </c>
      <c r="AR54" s="178" t="s">
        <v>1092</v>
      </c>
      <c r="AS54" s="178" t="s">
        <v>1155</v>
      </c>
      <c r="AT54" s="178" t="s">
        <v>1118</v>
      </c>
      <c r="AU54" s="178" t="s">
        <v>1095</v>
      </c>
      <c r="AV54" s="12" t="s">
        <v>1096</v>
      </c>
      <c r="AW54" s="12" t="s">
        <v>1097</v>
      </c>
      <c r="AX54" s="178" t="s">
        <v>1807</v>
      </c>
      <c r="AY54" s="178" t="s">
        <v>1093</v>
      </c>
      <c r="AZ54" s="12" t="s">
        <v>1808</v>
      </c>
      <c r="BA54" s="12" t="s">
        <v>1098</v>
      </c>
      <c r="BB54" s="12" t="s">
        <v>1098</v>
      </c>
      <c r="BD54" s="12" t="s">
        <v>1092</v>
      </c>
      <c r="BE54" s="12" t="s">
        <v>118</v>
      </c>
      <c r="BF54" s="12" t="s">
        <v>121</v>
      </c>
      <c r="BH54" s="12" t="s">
        <v>120</v>
      </c>
      <c r="BI54" s="179">
        <v>55</v>
      </c>
      <c r="BJ54" s="175">
        <v>42200</v>
      </c>
      <c r="BK54" s="176" t="s">
        <v>119</v>
      </c>
      <c r="BL54" s="177">
        <v>149.18</v>
      </c>
      <c r="BM54" s="12">
        <v>29</v>
      </c>
    </row>
    <row r="55" spans="1:65" x14ac:dyDescent="0.25">
      <c r="A55" s="12" t="s">
        <v>1073</v>
      </c>
      <c r="B55" s="12" t="s">
        <v>615</v>
      </c>
      <c r="C55" s="12" t="s">
        <v>616</v>
      </c>
      <c r="D55" s="12" t="s">
        <v>617</v>
      </c>
      <c r="E55" s="175">
        <v>42191</v>
      </c>
      <c r="F55" s="12" t="s">
        <v>1809</v>
      </c>
      <c r="G55" s="12" t="s">
        <v>1075</v>
      </c>
      <c r="H55" s="12" t="s">
        <v>1810</v>
      </c>
      <c r="I55" s="12" t="s">
        <v>1811</v>
      </c>
      <c r="K55" s="12" t="s">
        <v>1123</v>
      </c>
      <c r="L55" s="12" t="s">
        <v>1124</v>
      </c>
      <c r="M55" s="12" t="s">
        <v>1125</v>
      </c>
      <c r="O55" s="178" t="s">
        <v>1812</v>
      </c>
      <c r="P55" s="178" t="s">
        <v>1813</v>
      </c>
      <c r="Q55" s="12" t="s">
        <v>1125</v>
      </c>
      <c r="R55" s="179">
        <v>56</v>
      </c>
      <c r="S55" s="178"/>
      <c r="U55" s="12" t="s">
        <v>120</v>
      </c>
      <c r="W55" s="12" t="s">
        <v>1083</v>
      </c>
      <c r="X55" s="12" t="s">
        <v>1144</v>
      </c>
      <c r="Y55" s="178" t="s">
        <v>1087</v>
      </c>
      <c r="Z55" s="12" t="s">
        <v>1814</v>
      </c>
      <c r="AA55" s="178" t="s">
        <v>1815</v>
      </c>
      <c r="AB55" s="12" t="s">
        <v>1816</v>
      </c>
      <c r="AC55" s="178" t="s">
        <v>1817</v>
      </c>
      <c r="AD55" s="12" t="s">
        <v>1818</v>
      </c>
      <c r="AE55" s="12" t="s">
        <v>1075</v>
      </c>
      <c r="AF55" s="12" t="s">
        <v>1819</v>
      </c>
      <c r="AG55" s="12" t="s">
        <v>1820</v>
      </c>
      <c r="AH55" s="12" t="s">
        <v>1092</v>
      </c>
      <c r="AI55" s="12" t="s">
        <v>1821</v>
      </c>
      <c r="AJ55" s="12" t="s">
        <v>1822</v>
      </c>
      <c r="AK55" s="12" t="s">
        <v>1092</v>
      </c>
      <c r="AL55" s="12" t="s">
        <v>1092</v>
      </c>
      <c r="AM55" s="12" t="s">
        <v>1092</v>
      </c>
      <c r="AN55" s="12" t="s">
        <v>1092</v>
      </c>
      <c r="AO55" s="178" t="s">
        <v>1093</v>
      </c>
      <c r="AP55" s="178" t="s">
        <v>1092</v>
      </c>
      <c r="AQ55" s="178" t="s">
        <v>1093</v>
      </c>
      <c r="AR55" s="178" t="s">
        <v>1093</v>
      </c>
      <c r="AS55" s="178" t="s">
        <v>1118</v>
      </c>
      <c r="AT55" s="178" t="s">
        <v>1118</v>
      </c>
      <c r="AU55" s="178" t="s">
        <v>1118</v>
      </c>
      <c r="AV55" s="12" t="s">
        <v>1096</v>
      </c>
      <c r="AW55" s="12" t="s">
        <v>1097</v>
      </c>
      <c r="AY55" s="178" t="s">
        <v>1092</v>
      </c>
      <c r="AZ55" s="12" t="s">
        <v>1823</v>
      </c>
      <c r="BA55" s="12" t="s">
        <v>1098</v>
      </c>
      <c r="BB55" s="12" t="s">
        <v>1098</v>
      </c>
      <c r="BC55" s="178" t="s">
        <v>1205</v>
      </c>
      <c r="BD55" s="12" t="s">
        <v>1092</v>
      </c>
      <c r="BE55" s="12" t="s">
        <v>118</v>
      </c>
      <c r="BF55" s="12" t="s">
        <v>121</v>
      </c>
      <c r="BH55" s="12" t="s">
        <v>120</v>
      </c>
      <c r="BI55" s="179">
        <v>56</v>
      </c>
      <c r="BJ55" s="175">
        <v>42205</v>
      </c>
      <c r="BK55" s="176" t="s">
        <v>119</v>
      </c>
      <c r="BL55" s="177">
        <v>265.47000000000003</v>
      </c>
      <c r="BM55" s="12">
        <v>30</v>
      </c>
    </row>
    <row r="56" spans="1:65" x14ac:dyDescent="0.25">
      <c r="A56" s="12" t="s">
        <v>1073</v>
      </c>
      <c r="B56" s="12" t="s">
        <v>618</v>
      </c>
      <c r="C56" s="12" t="s">
        <v>619</v>
      </c>
      <c r="D56" s="12" t="s">
        <v>620</v>
      </c>
      <c r="E56" s="175">
        <v>42191</v>
      </c>
      <c r="F56" s="12" t="s">
        <v>1824</v>
      </c>
      <c r="G56" s="12" t="s">
        <v>1075</v>
      </c>
      <c r="H56" s="12" t="s">
        <v>1825</v>
      </c>
      <c r="I56" s="12" t="s">
        <v>1826</v>
      </c>
      <c r="K56" s="12" t="s">
        <v>1078</v>
      </c>
      <c r="L56" s="12" t="s">
        <v>1079</v>
      </c>
      <c r="M56" s="12" t="s">
        <v>1342</v>
      </c>
      <c r="O56" s="178" t="s">
        <v>1106</v>
      </c>
      <c r="P56" s="178" t="s">
        <v>1827</v>
      </c>
      <c r="Q56" s="12" t="s">
        <v>1342</v>
      </c>
      <c r="R56" s="179">
        <v>57</v>
      </c>
      <c r="S56" s="178"/>
      <c r="U56" s="12" t="s">
        <v>120</v>
      </c>
      <c r="W56" s="12" t="s">
        <v>1083</v>
      </c>
      <c r="X56" s="12" t="s">
        <v>1084</v>
      </c>
      <c r="Y56" s="178" t="s">
        <v>1128</v>
      </c>
      <c r="Z56" s="12" t="s">
        <v>1828</v>
      </c>
      <c r="AA56" s="178" t="s">
        <v>1829</v>
      </c>
      <c r="AB56" s="12" t="s">
        <v>1828</v>
      </c>
      <c r="AC56" s="178" t="s">
        <v>1830</v>
      </c>
      <c r="AD56" s="12" t="s">
        <v>1831</v>
      </c>
      <c r="AE56" s="12" t="s">
        <v>1075</v>
      </c>
      <c r="AF56" s="12" t="s">
        <v>1832</v>
      </c>
      <c r="AG56" s="12" t="s">
        <v>1092</v>
      </c>
      <c r="AH56" s="12" t="s">
        <v>1092</v>
      </c>
      <c r="AI56" s="12" t="s">
        <v>1295</v>
      </c>
      <c r="AJ56" s="12" t="s">
        <v>1833</v>
      </c>
      <c r="AK56" s="12" t="s">
        <v>1092</v>
      </c>
      <c r="AL56" s="12" t="s">
        <v>1092</v>
      </c>
      <c r="AM56" s="12" t="s">
        <v>1092</v>
      </c>
      <c r="AN56" s="12" t="s">
        <v>1092</v>
      </c>
      <c r="AO56" s="178" t="s">
        <v>1092</v>
      </c>
      <c r="AP56" s="178" t="s">
        <v>1092</v>
      </c>
      <c r="AQ56" s="178" t="s">
        <v>1093</v>
      </c>
      <c r="AR56" s="178" t="s">
        <v>1092</v>
      </c>
      <c r="AS56" s="178" t="s">
        <v>1155</v>
      </c>
      <c r="AT56" s="178" t="s">
        <v>1118</v>
      </c>
      <c r="AU56" s="178" t="s">
        <v>1095</v>
      </c>
      <c r="AV56" s="12" t="s">
        <v>1096</v>
      </c>
      <c r="AW56" s="12" t="s">
        <v>1097</v>
      </c>
      <c r="AY56" s="178" t="s">
        <v>1092</v>
      </c>
      <c r="AZ56" s="12" t="s">
        <v>1834</v>
      </c>
      <c r="BA56" s="12" t="s">
        <v>1098</v>
      </c>
      <c r="BB56" s="12" t="s">
        <v>1098</v>
      </c>
      <c r="BD56" s="12" t="s">
        <v>1092</v>
      </c>
      <c r="BE56" s="12" t="s">
        <v>118</v>
      </c>
      <c r="BF56" s="12" t="s">
        <v>121</v>
      </c>
      <c r="BH56" s="12" t="s">
        <v>120</v>
      </c>
      <c r="BI56" s="179">
        <v>57</v>
      </c>
      <c r="BJ56" s="175">
        <v>42200</v>
      </c>
      <c r="BK56" s="176" t="s">
        <v>119</v>
      </c>
      <c r="BL56" s="177">
        <v>112.68</v>
      </c>
      <c r="BM56" s="12">
        <v>29</v>
      </c>
    </row>
    <row r="57" spans="1:65" x14ac:dyDescent="0.25">
      <c r="A57" s="12" t="s">
        <v>1073</v>
      </c>
      <c r="B57" s="12" t="s">
        <v>621</v>
      </c>
      <c r="C57" s="12" t="s">
        <v>622</v>
      </c>
      <c r="D57" s="12" t="s">
        <v>623</v>
      </c>
      <c r="E57" s="175">
        <v>42191</v>
      </c>
      <c r="F57" s="12" t="s">
        <v>1835</v>
      </c>
      <c r="G57" s="12" t="s">
        <v>1075</v>
      </c>
      <c r="H57" s="12" t="s">
        <v>1836</v>
      </c>
      <c r="I57" s="12" t="s">
        <v>1837</v>
      </c>
      <c r="J57" s="12" t="s">
        <v>1838</v>
      </c>
      <c r="K57" s="12" t="s">
        <v>1078</v>
      </c>
      <c r="L57" s="12" t="s">
        <v>1079</v>
      </c>
      <c r="M57" s="12" t="s">
        <v>1342</v>
      </c>
      <c r="O57" s="178" t="s">
        <v>1106</v>
      </c>
      <c r="P57" s="178" t="s">
        <v>1839</v>
      </c>
      <c r="Q57" s="12" t="s">
        <v>1342</v>
      </c>
      <c r="R57" s="179">
        <v>58</v>
      </c>
      <c r="S57" s="178"/>
      <c r="U57" s="12" t="s">
        <v>120</v>
      </c>
      <c r="W57" s="12" t="s">
        <v>1083</v>
      </c>
      <c r="X57" s="12" t="s">
        <v>1084</v>
      </c>
      <c r="Y57" s="178" t="s">
        <v>1147</v>
      </c>
      <c r="Z57" s="12" t="s">
        <v>1840</v>
      </c>
      <c r="AA57" s="178" t="s">
        <v>1147</v>
      </c>
      <c r="AB57" s="12" t="s">
        <v>1525</v>
      </c>
      <c r="AC57" s="178" t="s">
        <v>1616</v>
      </c>
      <c r="AD57" s="12" t="s">
        <v>1841</v>
      </c>
      <c r="AE57" s="12" t="s">
        <v>1075</v>
      </c>
      <c r="AF57" s="12" t="s">
        <v>1842</v>
      </c>
      <c r="AG57" s="12" t="s">
        <v>1092</v>
      </c>
      <c r="AH57" s="12" t="s">
        <v>1092</v>
      </c>
      <c r="AI57" s="12" t="s">
        <v>1843</v>
      </c>
      <c r="AJ57" s="12" t="s">
        <v>1844</v>
      </c>
      <c r="AK57" s="12" t="s">
        <v>1092</v>
      </c>
      <c r="AL57" s="12" t="s">
        <v>1092</v>
      </c>
      <c r="AM57" s="12" t="s">
        <v>1092</v>
      </c>
      <c r="AN57" s="12" t="s">
        <v>1092</v>
      </c>
      <c r="AO57" s="178" t="s">
        <v>1093</v>
      </c>
      <c r="AP57" s="178" t="s">
        <v>1093</v>
      </c>
      <c r="AQ57" s="178" t="s">
        <v>1093</v>
      </c>
      <c r="AR57" s="178" t="s">
        <v>1092</v>
      </c>
      <c r="AS57" s="178" t="s">
        <v>1118</v>
      </c>
      <c r="AT57" s="178" t="s">
        <v>1118</v>
      </c>
      <c r="AU57" s="178" t="s">
        <v>1095</v>
      </c>
      <c r="AV57" s="12" t="s">
        <v>1096</v>
      </c>
      <c r="AW57" s="12" t="s">
        <v>1097</v>
      </c>
      <c r="AX57" s="178" t="s">
        <v>1845</v>
      </c>
      <c r="AY57" s="178" t="s">
        <v>1093</v>
      </c>
      <c r="AZ57" s="12" t="s">
        <v>1846</v>
      </c>
      <c r="BA57" s="12" t="s">
        <v>1098</v>
      </c>
      <c r="BB57" s="12" t="s">
        <v>1098</v>
      </c>
      <c r="BD57" s="12" t="s">
        <v>1092</v>
      </c>
      <c r="BE57" s="12" t="s">
        <v>118</v>
      </c>
      <c r="BF57" s="12" t="s">
        <v>121</v>
      </c>
      <c r="BH57" s="12" t="s">
        <v>120</v>
      </c>
      <c r="BI57" s="179">
        <v>58</v>
      </c>
      <c r="BJ57" s="175">
        <v>42201</v>
      </c>
      <c r="BK57" s="176" t="s">
        <v>119</v>
      </c>
      <c r="BL57" s="177">
        <v>66.400000000000006</v>
      </c>
      <c r="BM57" s="12">
        <v>29</v>
      </c>
    </row>
    <row r="58" spans="1:65" x14ac:dyDescent="0.25">
      <c r="A58" s="12" t="s">
        <v>1073</v>
      </c>
      <c r="B58" s="12" t="s">
        <v>624</v>
      </c>
      <c r="C58" s="12" t="s">
        <v>625</v>
      </c>
      <c r="D58" s="12" t="s">
        <v>626</v>
      </c>
      <c r="E58" s="175">
        <v>42191</v>
      </c>
      <c r="F58" s="12" t="s">
        <v>1847</v>
      </c>
      <c r="G58" s="12" t="s">
        <v>1075</v>
      </c>
      <c r="H58" s="12" t="s">
        <v>1848</v>
      </c>
      <c r="I58" s="12" t="s">
        <v>1849</v>
      </c>
      <c r="K58" s="12" t="s">
        <v>1514</v>
      </c>
      <c r="L58" s="12" t="s">
        <v>1515</v>
      </c>
      <c r="M58" s="12" t="s">
        <v>1516</v>
      </c>
      <c r="O58" s="178" t="s">
        <v>1163</v>
      </c>
      <c r="P58" s="178" t="s">
        <v>1850</v>
      </c>
      <c r="Q58" s="12" t="s">
        <v>1516</v>
      </c>
      <c r="R58" s="179">
        <v>59</v>
      </c>
      <c r="S58" s="178"/>
      <c r="U58" s="12" t="s">
        <v>120</v>
      </c>
      <c r="W58" s="12" t="s">
        <v>1083</v>
      </c>
      <c r="X58" s="12" t="s">
        <v>1464</v>
      </c>
      <c r="Y58" s="178" t="s">
        <v>1851</v>
      </c>
      <c r="Z58" s="12" t="s">
        <v>1852</v>
      </c>
      <c r="AA58" s="178" t="s">
        <v>1853</v>
      </c>
      <c r="AB58" s="12" t="s">
        <v>1854</v>
      </c>
      <c r="AC58" s="178" t="s">
        <v>1698</v>
      </c>
      <c r="AD58" s="12" t="s">
        <v>1855</v>
      </c>
      <c r="AE58" s="12" t="s">
        <v>1075</v>
      </c>
      <c r="AF58" s="12" t="s">
        <v>1856</v>
      </c>
      <c r="AG58" s="12" t="s">
        <v>1092</v>
      </c>
      <c r="AH58" s="12" t="s">
        <v>1092</v>
      </c>
      <c r="AI58" s="12" t="s">
        <v>1857</v>
      </c>
      <c r="AJ58" s="12" t="s">
        <v>1858</v>
      </c>
      <c r="AK58" s="12" t="s">
        <v>1092</v>
      </c>
      <c r="AL58" s="12" t="s">
        <v>1092</v>
      </c>
      <c r="AM58" s="12" t="s">
        <v>1092</v>
      </c>
      <c r="AN58" s="12" t="s">
        <v>1092</v>
      </c>
      <c r="AO58" s="178" t="s">
        <v>1093</v>
      </c>
      <c r="AP58" s="178" t="s">
        <v>1093</v>
      </c>
      <c r="AQ58" s="178" t="s">
        <v>1092</v>
      </c>
      <c r="AR58" s="178" t="s">
        <v>1092</v>
      </c>
      <c r="AS58" s="178" t="s">
        <v>1118</v>
      </c>
      <c r="AT58" s="178" t="s">
        <v>1095</v>
      </c>
      <c r="AU58" s="178" t="s">
        <v>1095</v>
      </c>
      <c r="AV58" s="12" t="s">
        <v>1096</v>
      </c>
      <c r="AW58" s="12" t="s">
        <v>1097</v>
      </c>
      <c r="AY58" s="178" t="s">
        <v>1092</v>
      </c>
      <c r="AZ58" s="12" t="s">
        <v>1859</v>
      </c>
      <c r="BA58" s="12" t="s">
        <v>1098</v>
      </c>
      <c r="BB58" s="12" t="s">
        <v>1098</v>
      </c>
      <c r="BD58" s="12" t="s">
        <v>1092</v>
      </c>
      <c r="BE58" s="12" t="s">
        <v>118</v>
      </c>
      <c r="BF58" s="12" t="s">
        <v>121</v>
      </c>
      <c r="BH58" s="12" t="s">
        <v>120</v>
      </c>
      <c r="BI58" s="179">
        <v>59</v>
      </c>
      <c r="BJ58" s="175">
        <v>42201</v>
      </c>
      <c r="BK58" s="176" t="s">
        <v>119</v>
      </c>
      <c r="BL58" s="177">
        <v>364.9</v>
      </c>
      <c r="BM58" s="12">
        <v>29</v>
      </c>
    </row>
    <row r="59" spans="1:65" x14ac:dyDescent="0.25">
      <c r="A59" s="12" t="s">
        <v>1073</v>
      </c>
      <c r="B59" s="12" t="s">
        <v>627</v>
      </c>
      <c r="C59" s="12" t="s">
        <v>628</v>
      </c>
      <c r="D59" s="12" t="s">
        <v>629</v>
      </c>
      <c r="E59" s="175">
        <v>42191</v>
      </c>
      <c r="F59" s="12" t="s">
        <v>1860</v>
      </c>
      <c r="G59" s="12" t="s">
        <v>1075</v>
      </c>
      <c r="H59" s="12" t="s">
        <v>1861</v>
      </c>
      <c r="I59" s="12" t="s">
        <v>1862</v>
      </c>
      <c r="J59" s="12" t="s">
        <v>1863</v>
      </c>
      <c r="K59" s="12" t="s">
        <v>1078</v>
      </c>
      <c r="L59" s="12" t="s">
        <v>1079</v>
      </c>
      <c r="M59" s="12" t="s">
        <v>1342</v>
      </c>
      <c r="O59" s="178" t="s">
        <v>1864</v>
      </c>
      <c r="P59" s="178" t="s">
        <v>1865</v>
      </c>
      <c r="Q59" s="12" t="s">
        <v>1342</v>
      </c>
      <c r="R59" s="179">
        <v>60</v>
      </c>
      <c r="S59" s="178"/>
      <c r="U59" s="12" t="s">
        <v>120</v>
      </c>
      <c r="W59" s="12" t="s">
        <v>1083</v>
      </c>
      <c r="X59" s="12" t="s">
        <v>1084</v>
      </c>
      <c r="Y59" s="178" t="s">
        <v>1128</v>
      </c>
      <c r="Z59" s="12" t="s">
        <v>1866</v>
      </c>
      <c r="AA59" s="178" t="s">
        <v>1586</v>
      </c>
      <c r="AB59" s="12" t="s">
        <v>1867</v>
      </c>
      <c r="AC59" s="178" t="s">
        <v>1868</v>
      </c>
      <c r="AD59" s="12" t="s">
        <v>1867</v>
      </c>
      <c r="AE59" s="12" t="s">
        <v>1075</v>
      </c>
      <c r="AF59" s="12" t="s">
        <v>1869</v>
      </c>
      <c r="AG59" s="12" t="s">
        <v>1092</v>
      </c>
      <c r="AH59" s="12" t="s">
        <v>1092</v>
      </c>
      <c r="AI59" s="12" t="s">
        <v>1870</v>
      </c>
      <c r="AJ59" s="12" t="s">
        <v>1871</v>
      </c>
      <c r="AK59" s="12" t="s">
        <v>1092</v>
      </c>
      <c r="AL59" s="12" t="s">
        <v>1092</v>
      </c>
      <c r="AM59" s="12" t="s">
        <v>1092</v>
      </c>
      <c r="AN59" s="12" t="s">
        <v>1092</v>
      </c>
      <c r="AO59" s="178" t="s">
        <v>1093</v>
      </c>
      <c r="AP59" s="178" t="s">
        <v>1093</v>
      </c>
      <c r="AQ59" s="178" t="s">
        <v>1093</v>
      </c>
      <c r="AR59" s="178" t="s">
        <v>1093</v>
      </c>
      <c r="AS59" s="178" t="s">
        <v>1118</v>
      </c>
      <c r="AT59" s="178" t="s">
        <v>1118</v>
      </c>
      <c r="AU59" s="178" t="s">
        <v>1118</v>
      </c>
      <c r="AV59" s="12" t="s">
        <v>1096</v>
      </c>
      <c r="AW59" s="12" t="s">
        <v>1097</v>
      </c>
      <c r="AX59" s="178" t="s">
        <v>1872</v>
      </c>
      <c r="AY59" s="178" t="s">
        <v>1157</v>
      </c>
      <c r="AZ59" s="12" t="s">
        <v>1873</v>
      </c>
      <c r="BA59" s="12" t="s">
        <v>1098</v>
      </c>
      <c r="BB59" s="12" t="s">
        <v>1098</v>
      </c>
      <c r="BD59" s="12" t="s">
        <v>1092</v>
      </c>
      <c r="BE59" s="12" t="s">
        <v>118</v>
      </c>
      <c r="BF59" s="12" t="s">
        <v>121</v>
      </c>
      <c r="BH59" s="12" t="s">
        <v>120</v>
      </c>
      <c r="BI59" s="179">
        <v>60</v>
      </c>
      <c r="BJ59" s="175">
        <v>42202</v>
      </c>
      <c r="BK59" s="176" t="s">
        <v>82</v>
      </c>
      <c r="BM59" s="12">
        <v>29</v>
      </c>
    </row>
    <row r="60" spans="1:65" x14ac:dyDescent="0.25">
      <c r="A60" s="12" t="s">
        <v>1073</v>
      </c>
      <c r="B60" s="12" t="s">
        <v>630</v>
      </c>
      <c r="C60" s="12" t="s">
        <v>631</v>
      </c>
      <c r="D60" s="12" t="s">
        <v>632</v>
      </c>
      <c r="E60" s="175">
        <v>42191</v>
      </c>
      <c r="F60" s="12" t="s">
        <v>1874</v>
      </c>
      <c r="G60" s="12" t="s">
        <v>1075</v>
      </c>
      <c r="H60" s="12" t="s">
        <v>1875</v>
      </c>
      <c r="I60" s="12" t="s">
        <v>1876</v>
      </c>
      <c r="J60" s="12" t="s">
        <v>1877</v>
      </c>
      <c r="K60" s="12" t="s">
        <v>1514</v>
      </c>
      <c r="L60" s="12" t="s">
        <v>1515</v>
      </c>
      <c r="M60" s="12" t="s">
        <v>1516</v>
      </c>
      <c r="O60" s="178" t="s">
        <v>1864</v>
      </c>
      <c r="P60" s="178" t="s">
        <v>1878</v>
      </c>
      <c r="Q60" s="12" t="s">
        <v>1516</v>
      </c>
      <c r="R60" s="179">
        <v>61</v>
      </c>
      <c r="S60" s="178"/>
      <c r="U60" s="12" t="s">
        <v>120</v>
      </c>
      <c r="W60" s="12" t="s">
        <v>1083</v>
      </c>
      <c r="X60" s="12" t="s">
        <v>1879</v>
      </c>
      <c r="Y60" s="178" t="s">
        <v>1880</v>
      </c>
      <c r="Z60" s="12" t="s">
        <v>1881</v>
      </c>
      <c r="AA60" s="178" t="s">
        <v>1398</v>
      </c>
      <c r="AB60" s="12" t="s">
        <v>1882</v>
      </c>
      <c r="AC60" s="178" t="s">
        <v>1883</v>
      </c>
      <c r="AD60" s="12" t="s">
        <v>1525</v>
      </c>
      <c r="AE60" s="12" t="s">
        <v>1075</v>
      </c>
      <c r="AF60" s="12" t="s">
        <v>1884</v>
      </c>
      <c r="AG60" s="12" t="s">
        <v>1092</v>
      </c>
      <c r="AH60" s="12" t="s">
        <v>1092</v>
      </c>
      <c r="AI60" s="12" t="s">
        <v>1885</v>
      </c>
      <c r="AJ60" s="12" t="s">
        <v>1092</v>
      </c>
      <c r="AK60" s="12" t="s">
        <v>1886</v>
      </c>
      <c r="AL60" s="12" t="s">
        <v>1092</v>
      </c>
      <c r="AM60" s="12" t="s">
        <v>1092</v>
      </c>
      <c r="AN60" s="12" t="s">
        <v>1092</v>
      </c>
      <c r="AO60" s="178" t="s">
        <v>1092</v>
      </c>
      <c r="AP60" s="178" t="s">
        <v>1092</v>
      </c>
      <c r="AQ60" s="178" t="s">
        <v>1093</v>
      </c>
      <c r="AR60" s="178" t="s">
        <v>1092</v>
      </c>
      <c r="AS60" s="178" t="s">
        <v>1155</v>
      </c>
      <c r="AT60" s="178" t="s">
        <v>1118</v>
      </c>
      <c r="AU60" s="178" t="s">
        <v>1095</v>
      </c>
      <c r="AV60" s="12" t="s">
        <v>1096</v>
      </c>
      <c r="AW60" s="12" t="s">
        <v>1097</v>
      </c>
      <c r="AX60" s="178" t="s">
        <v>1773</v>
      </c>
      <c r="AY60" s="178" t="s">
        <v>1213</v>
      </c>
      <c r="AZ60" s="12" t="s">
        <v>1887</v>
      </c>
      <c r="BA60" s="12" t="s">
        <v>1098</v>
      </c>
      <c r="BB60" s="12" t="s">
        <v>1098</v>
      </c>
      <c r="BD60" s="12" t="s">
        <v>1092</v>
      </c>
      <c r="BE60" s="12" t="s">
        <v>118</v>
      </c>
      <c r="BF60" s="12" t="s">
        <v>121</v>
      </c>
      <c r="BH60" s="12" t="s">
        <v>120</v>
      </c>
      <c r="BI60" s="179">
        <v>61</v>
      </c>
      <c r="BJ60" s="175">
        <v>42202</v>
      </c>
      <c r="BK60" s="176" t="s">
        <v>82</v>
      </c>
      <c r="BM60" s="12">
        <v>29</v>
      </c>
    </row>
    <row r="61" spans="1:65" x14ac:dyDescent="0.25">
      <c r="A61" s="12" t="s">
        <v>1073</v>
      </c>
      <c r="B61" s="12" t="s">
        <v>633</v>
      </c>
      <c r="C61" s="12" t="s">
        <v>634</v>
      </c>
      <c r="D61" s="12" t="s">
        <v>635</v>
      </c>
      <c r="E61" s="175">
        <v>42191</v>
      </c>
      <c r="F61" s="12" t="s">
        <v>1531</v>
      </c>
      <c r="G61" s="12" t="s">
        <v>1075</v>
      </c>
      <c r="H61" s="12" t="s">
        <v>1888</v>
      </c>
      <c r="I61" s="12" t="s">
        <v>1889</v>
      </c>
      <c r="J61" s="12" t="s">
        <v>1645</v>
      </c>
      <c r="K61" s="12" t="s">
        <v>1209</v>
      </c>
      <c r="L61" s="12" t="s">
        <v>1210</v>
      </c>
      <c r="M61" s="12" t="s">
        <v>1211</v>
      </c>
      <c r="O61" s="178" t="s">
        <v>1106</v>
      </c>
      <c r="P61" s="178" t="s">
        <v>1890</v>
      </c>
      <c r="Q61" s="12" t="s">
        <v>1211</v>
      </c>
      <c r="R61" s="179">
        <v>62</v>
      </c>
      <c r="S61" s="178"/>
      <c r="U61" s="12" t="s">
        <v>120</v>
      </c>
      <c r="W61" s="12" t="s">
        <v>1083</v>
      </c>
      <c r="X61" s="12" t="s">
        <v>1108</v>
      </c>
      <c r="Z61" s="12" t="s">
        <v>1185</v>
      </c>
      <c r="AB61" s="12" t="s">
        <v>1185</v>
      </c>
      <c r="AD61" s="12" t="s">
        <v>1185</v>
      </c>
      <c r="AE61" s="12" t="s">
        <v>1075</v>
      </c>
      <c r="AF61" s="12" t="s">
        <v>1891</v>
      </c>
      <c r="AG61" s="12" t="s">
        <v>1092</v>
      </c>
      <c r="AH61" s="12" t="s">
        <v>1092</v>
      </c>
      <c r="AI61" s="12" t="s">
        <v>1892</v>
      </c>
      <c r="AJ61" s="12" t="s">
        <v>1892</v>
      </c>
      <c r="AK61" s="12" t="s">
        <v>1892</v>
      </c>
      <c r="AL61" s="12" t="s">
        <v>1893</v>
      </c>
      <c r="AM61" s="12" t="s">
        <v>1893</v>
      </c>
      <c r="AN61" s="12" t="s">
        <v>1092</v>
      </c>
      <c r="AO61" s="178" t="s">
        <v>1092</v>
      </c>
      <c r="AP61" s="178" t="s">
        <v>1092</v>
      </c>
      <c r="AQ61" s="178" t="s">
        <v>1093</v>
      </c>
      <c r="AR61" s="178" t="s">
        <v>1092</v>
      </c>
      <c r="AS61" s="178" t="s">
        <v>1155</v>
      </c>
      <c r="AT61" s="178" t="s">
        <v>1118</v>
      </c>
      <c r="AU61" s="178" t="s">
        <v>1095</v>
      </c>
      <c r="AV61" s="12" t="s">
        <v>1096</v>
      </c>
      <c r="AW61" s="12" t="s">
        <v>1097</v>
      </c>
      <c r="AY61" s="178" t="s">
        <v>1092</v>
      </c>
      <c r="AZ61" s="12" t="s">
        <v>1894</v>
      </c>
      <c r="BA61" s="12" t="s">
        <v>1098</v>
      </c>
      <c r="BB61" s="12" t="s">
        <v>1098</v>
      </c>
      <c r="BD61" s="12" t="s">
        <v>1092</v>
      </c>
      <c r="BE61" s="12" t="s">
        <v>118</v>
      </c>
      <c r="BF61" s="12" t="s">
        <v>121</v>
      </c>
      <c r="BH61" s="12" t="s">
        <v>120</v>
      </c>
      <c r="BI61" s="179">
        <v>62</v>
      </c>
      <c r="BJ61" s="175">
        <v>42205</v>
      </c>
      <c r="BK61" s="176" t="s">
        <v>82</v>
      </c>
      <c r="BM61" s="12">
        <v>30</v>
      </c>
    </row>
    <row r="62" spans="1:65" x14ac:dyDescent="0.25">
      <c r="A62" s="12" t="s">
        <v>1073</v>
      </c>
      <c r="B62" s="12" t="s">
        <v>636</v>
      </c>
      <c r="C62" s="12" t="s">
        <v>637</v>
      </c>
      <c r="D62" s="12" t="s">
        <v>638</v>
      </c>
      <c r="E62" s="175">
        <v>42191</v>
      </c>
      <c r="F62" s="12" t="s">
        <v>1883</v>
      </c>
      <c r="G62" s="12" t="s">
        <v>1075</v>
      </c>
      <c r="H62" s="12" t="s">
        <v>1895</v>
      </c>
      <c r="I62" s="12" t="s">
        <v>1896</v>
      </c>
      <c r="J62" s="12" t="s">
        <v>1645</v>
      </c>
      <c r="K62" s="12" t="s">
        <v>1103</v>
      </c>
      <c r="L62" s="12" t="s">
        <v>1104</v>
      </c>
      <c r="M62" s="12" t="s">
        <v>1105</v>
      </c>
      <c r="O62" s="178" t="s">
        <v>1181</v>
      </c>
      <c r="P62" s="178" t="s">
        <v>1897</v>
      </c>
      <c r="Q62" s="12" t="s">
        <v>1105</v>
      </c>
      <c r="R62" s="179">
        <v>63</v>
      </c>
      <c r="S62" s="178"/>
      <c r="U62" s="12" t="s">
        <v>120</v>
      </c>
      <c r="W62" s="12" t="s">
        <v>1083</v>
      </c>
      <c r="X62" s="12" t="s">
        <v>1519</v>
      </c>
      <c r="Y62" s="178" t="s">
        <v>1898</v>
      </c>
      <c r="Z62" s="12" t="s">
        <v>1899</v>
      </c>
      <c r="AB62" s="12" t="s">
        <v>1185</v>
      </c>
      <c r="AD62" s="12" t="s">
        <v>1185</v>
      </c>
      <c r="AE62" s="12" t="s">
        <v>1075</v>
      </c>
      <c r="AF62" s="12" t="s">
        <v>1900</v>
      </c>
      <c r="AG62" s="12" t="s">
        <v>1236</v>
      </c>
      <c r="AH62" s="12" t="s">
        <v>1092</v>
      </c>
      <c r="AI62" s="12" t="s">
        <v>1901</v>
      </c>
      <c r="AJ62" s="12" t="s">
        <v>1902</v>
      </c>
      <c r="AK62" s="12" t="s">
        <v>1092</v>
      </c>
      <c r="AL62" s="12" t="s">
        <v>1092</v>
      </c>
      <c r="AM62" s="12" t="s">
        <v>1092</v>
      </c>
      <c r="AN62" s="12" t="s">
        <v>1092</v>
      </c>
      <c r="AO62" s="178" t="s">
        <v>1093</v>
      </c>
      <c r="AP62" s="178" t="s">
        <v>1093</v>
      </c>
      <c r="AQ62" s="178" t="s">
        <v>1093</v>
      </c>
      <c r="AR62" s="178" t="s">
        <v>1093</v>
      </c>
      <c r="AS62" s="178" t="s">
        <v>1118</v>
      </c>
      <c r="AT62" s="178" t="s">
        <v>1118</v>
      </c>
      <c r="AU62" s="178" t="s">
        <v>1118</v>
      </c>
      <c r="AV62" s="12" t="s">
        <v>1096</v>
      </c>
      <c r="AW62" s="12" t="s">
        <v>1097</v>
      </c>
      <c r="AX62" s="178" t="s">
        <v>1773</v>
      </c>
      <c r="AY62" s="178" t="s">
        <v>1093</v>
      </c>
      <c r="AZ62" s="12" t="s">
        <v>1903</v>
      </c>
      <c r="BA62" s="12" t="s">
        <v>1098</v>
      </c>
      <c r="BB62" s="12" t="s">
        <v>1098</v>
      </c>
      <c r="BD62" s="12" t="s">
        <v>1092</v>
      </c>
      <c r="BE62" s="12" t="s">
        <v>118</v>
      </c>
      <c r="BF62" s="12" t="s">
        <v>121</v>
      </c>
      <c r="BH62" s="12" t="s">
        <v>120</v>
      </c>
      <c r="BI62" s="179">
        <v>63</v>
      </c>
      <c r="BJ62" s="175">
        <v>42202</v>
      </c>
      <c r="BK62" s="176" t="s">
        <v>82</v>
      </c>
      <c r="BM62" s="12">
        <v>29</v>
      </c>
    </row>
    <row r="63" spans="1:65" x14ac:dyDescent="0.25">
      <c r="A63" s="12" t="s">
        <v>1073</v>
      </c>
      <c r="B63" s="12" t="s">
        <v>639</v>
      </c>
      <c r="C63" s="12" t="s">
        <v>640</v>
      </c>
      <c r="D63" s="12" t="s">
        <v>641</v>
      </c>
      <c r="E63" s="175">
        <v>42191</v>
      </c>
      <c r="F63" s="12" t="s">
        <v>1835</v>
      </c>
      <c r="G63" s="12" t="s">
        <v>1075</v>
      </c>
      <c r="H63" s="12" t="s">
        <v>1904</v>
      </c>
      <c r="I63" s="12" t="s">
        <v>1905</v>
      </c>
      <c r="J63" s="12" t="s">
        <v>1906</v>
      </c>
      <c r="K63" s="12" t="s">
        <v>1123</v>
      </c>
      <c r="L63" s="12" t="s">
        <v>1124</v>
      </c>
      <c r="M63" s="12" t="s">
        <v>1125</v>
      </c>
      <c r="O63" s="178" t="s">
        <v>1451</v>
      </c>
      <c r="P63" s="178" t="s">
        <v>1907</v>
      </c>
      <c r="Q63" s="12" t="s">
        <v>1125</v>
      </c>
      <c r="R63" s="179">
        <v>64</v>
      </c>
      <c r="S63" s="178"/>
      <c r="U63" s="12" t="s">
        <v>120</v>
      </c>
      <c r="W63" s="12" t="s">
        <v>1083</v>
      </c>
      <c r="X63" s="12" t="s">
        <v>1084</v>
      </c>
      <c r="Y63" s="178" t="s">
        <v>1908</v>
      </c>
      <c r="Z63" s="12" t="s">
        <v>1909</v>
      </c>
      <c r="AA63" s="178" t="s">
        <v>1147</v>
      </c>
      <c r="AB63" s="12" t="s">
        <v>1910</v>
      </c>
      <c r="AC63" s="178" t="s">
        <v>1111</v>
      </c>
      <c r="AD63" s="12" t="s">
        <v>1911</v>
      </c>
      <c r="AE63" s="12" t="s">
        <v>1075</v>
      </c>
      <c r="AF63" s="12" t="s">
        <v>1912</v>
      </c>
      <c r="AG63" s="12" t="s">
        <v>1092</v>
      </c>
      <c r="AH63" s="12" t="s">
        <v>1092</v>
      </c>
      <c r="AI63" s="12" t="s">
        <v>1913</v>
      </c>
      <c r="AJ63" s="12" t="s">
        <v>1914</v>
      </c>
      <c r="AK63" s="12" t="s">
        <v>1092</v>
      </c>
      <c r="AL63" s="12" t="s">
        <v>1092</v>
      </c>
      <c r="AM63" s="12" t="s">
        <v>1092</v>
      </c>
      <c r="AN63" s="12" t="s">
        <v>1092</v>
      </c>
      <c r="AO63" s="178" t="s">
        <v>1093</v>
      </c>
      <c r="AP63" s="178" t="s">
        <v>1093</v>
      </c>
      <c r="AQ63" s="178" t="s">
        <v>1093</v>
      </c>
      <c r="AR63" s="178" t="s">
        <v>1092</v>
      </c>
      <c r="AS63" s="178" t="s">
        <v>1118</v>
      </c>
      <c r="AT63" s="178" t="s">
        <v>1118</v>
      </c>
      <c r="AU63" s="178" t="s">
        <v>1095</v>
      </c>
      <c r="AV63" s="12" t="s">
        <v>1096</v>
      </c>
      <c r="AW63" s="12" t="s">
        <v>1097</v>
      </c>
      <c r="AY63" s="178" t="s">
        <v>1092</v>
      </c>
      <c r="AZ63" s="12" t="s">
        <v>1915</v>
      </c>
      <c r="BA63" s="12" t="s">
        <v>1098</v>
      </c>
      <c r="BB63" s="12" t="s">
        <v>1098</v>
      </c>
      <c r="BD63" s="12" t="s">
        <v>1092</v>
      </c>
      <c r="BE63" s="12" t="s">
        <v>118</v>
      </c>
      <c r="BF63" s="12" t="s">
        <v>121</v>
      </c>
      <c r="BH63" s="12" t="s">
        <v>120</v>
      </c>
      <c r="BI63" s="179">
        <v>64</v>
      </c>
      <c r="BJ63" s="175">
        <v>42204</v>
      </c>
      <c r="BK63" s="176" t="s">
        <v>82</v>
      </c>
      <c r="BM63" s="12">
        <v>29</v>
      </c>
    </row>
    <row r="64" spans="1:65" x14ac:dyDescent="0.25">
      <c r="A64" s="12" t="s">
        <v>1073</v>
      </c>
      <c r="B64" s="12" t="s">
        <v>642</v>
      </c>
      <c r="C64" s="12" t="s">
        <v>643</v>
      </c>
      <c r="D64" s="12" t="s">
        <v>644</v>
      </c>
      <c r="E64" s="175">
        <v>42191</v>
      </c>
      <c r="F64" s="12" t="s">
        <v>1234</v>
      </c>
      <c r="G64" s="12" t="s">
        <v>1075</v>
      </c>
      <c r="H64" s="12" t="s">
        <v>1916</v>
      </c>
      <c r="I64" s="12" t="s">
        <v>1917</v>
      </c>
      <c r="J64" s="12" t="s">
        <v>1600</v>
      </c>
      <c r="K64" s="12" t="s">
        <v>1123</v>
      </c>
      <c r="L64" s="12" t="s">
        <v>1124</v>
      </c>
      <c r="M64" s="12" t="s">
        <v>1105</v>
      </c>
      <c r="Q64" s="12" t="s">
        <v>1105</v>
      </c>
      <c r="R64" s="179">
        <v>65</v>
      </c>
      <c r="S64" s="178"/>
      <c r="U64" s="12" t="s">
        <v>120</v>
      </c>
      <c r="W64" s="12" t="s">
        <v>1083</v>
      </c>
      <c r="X64" s="12" t="s">
        <v>1918</v>
      </c>
      <c r="Y64" s="178" t="s">
        <v>1908</v>
      </c>
      <c r="Z64" s="12" t="s">
        <v>1919</v>
      </c>
      <c r="AA64" s="178" t="s">
        <v>1130</v>
      </c>
      <c r="AB64" s="12" t="s">
        <v>1348</v>
      </c>
      <c r="AC64" s="178" t="s">
        <v>1130</v>
      </c>
      <c r="AD64" s="12" t="s">
        <v>1920</v>
      </c>
      <c r="AE64" s="12" t="s">
        <v>1075</v>
      </c>
      <c r="AF64" s="12" t="s">
        <v>1921</v>
      </c>
      <c r="AG64" s="12" t="s">
        <v>1092</v>
      </c>
      <c r="AH64" s="12" t="s">
        <v>1092</v>
      </c>
      <c r="AI64" s="12" t="s">
        <v>1922</v>
      </c>
      <c r="AJ64" s="12" t="s">
        <v>1092</v>
      </c>
      <c r="AK64" s="12" t="s">
        <v>1923</v>
      </c>
      <c r="AL64" s="12" t="s">
        <v>1092</v>
      </c>
      <c r="AM64" s="12" t="s">
        <v>1092</v>
      </c>
      <c r="AN64" s="12" t="s">
        <v>1092</v>
      </c>
      <c r="AO64" s="178" t="s">
        <v>1093</v>
      </c>
      <c r="AP64" s="178" t="s">
        <v>1092</v>
      </c>
      <c r="AQ64" s="178" t="s">
        <v>1092</v>
      </c>
      <c r="AR64" s="178" t="s">
        <v>1092</v>
      </c>
      <c r="AS64" s="178" t="s">
        <v>1118</v>
      </c>
      <c r="AT64" s="178" t="s">
        <v>1095</v>
      </c>
      <c r="AU64" s="178" t="s">
        <v>1095</v>
      </c>
      <c r="AV64" s="12" t="s">
        <v>1096</v>
      </c>
      <c r="AW64" s="12" t="s">
        <v>1097</v>
      </c>
      <c r="AX64" s="178" t="s">
        <v>1773</v>
      </c>
      <c r="AY64" s="178" t="s">
        <v>1093</v>
      </c>
      <c r="AZ64" s="12" t="s">
        <v>1924</v>
      </c>
      <c r="BA64" s="12" t="s">
        <v>1098</v>
      </c>
      <c r="BB64" s="12" t="s">
        <v>1925</v>
      </c>
      <c r="BD64" s="12" t="s">
        <v>1092</v>
      </c>
      <c r="BE64" s="12" t="s">
        <v>118</v>
      </c>
      <c r="BF64" s="12" t="s">
        <v>121</v>
      </c>
      <c r="BH64" s="12" t="s">
        <v>120</v>
      </c>
      <c r="BI64" s="179">
        <v>65</v>
      </c>
      <c r="BJ64" s="175">
        <v>42204</v>
      </c>
      <c r="BK64" s="176" t="s">
        <v>82</v>
      </c>
      <c r="BM64" s="12">
        <v>29</v>
      </c>
    </row>
    <row r="65" spans="1:65" x14ac:dyDescent="0.25">
      <c r="A65" s="12" t="s">
        <v>1073</v>
      </c>
      <c r="B65" s="12" t="s">
        <v>645</v>
      </c>
      <c r="C65" s="12" t="s">
        <v>646</v>
      </c>
      <c r="D65" s="12" t="s">
        <v>647</v>
      </c>
      <c r="E65" s="175">
        <v>42191</v>
      </c>
      <c r="F65" s="12" t="s">
        <v>1538</v>
      </c>
      <c r="G65" s="12" t="s">
        <v>1075</v>
      </c>
      <c r="H65" s="12" t="s">
        <v>1076</v>
      </c>
      <c r="I65" s="12" t="s">
        <v>1926</v>
      </c>
      <c r="J65" s="12" t="s">
        <v>1927</v>
      </c>
      <c r="K65" s="12" t="s">
        <v>1123</v>
      </c>
      <c r="L65" s="12" t="s">
        <v>1124</v>
      </c>
      <c r="M65" s="12" t="s">
        <v>1105</v>
      </c>
      <c r="O65" s="178" t="s">
        <v>1275</v>
      </c>
      <c r="P65" s="178" t="s">
        <v>1928</v>
      </c>
      <c r="Q65" s="12" t="s">
        <v>1105</v>
      </c>
      <c r="R65" s="179">
        <v>66</v>
      </c>
      <c r="S65" s="178"/>
      <c r="U65" s="12" t="s">
        <v>120</v>
      </c>
      <c r="W65" s="12" t="s">
        <v>1083</v>
      </c>
      <c r="X65" s="12" t="s">
        <v>1108</v>
      </c>
      <c r="Z65" s="12" t="s">
        <v>1185</v>
      </c>
      <c r="AB65" s="12" t="s">
        <v>1185</v>
      </c>
      <c r="AD65" s="12" t="s">
        <v>1185</v>
      </c>
      <c r="AE65" s="12" t="s">
        <v>1075</v>
      </c>
      <c r="AF65" s="12" t="s">
        <v>1929</v>
      </c>
      <c r="AG65" s="12" t="s">
        <v>1092</v>
      </c>
      <c r="AH65" s="12" t="s">
        <v>1092</v>
      </c>
      <c r="AI65" s="12" t="s">
        <v>1930</v>
      </c>
      <c r="AJ65" s="12" t="s">
        <v>1931</v>
      </c>
      <c r="AK65" s="12" t="s">
        <v>1932</v>
      </c>
      <c r="AL65" s="12" t="s">
        <v>1092</v>
      </c>
      <c r="AM65" s="12" t="s">
        <v>1092</v>
      </c>
      <c r="AN65" s="12" t="s">
        <v>1092</v>
      </c>
      <c r="AO65" s="178" t="s">
        <v>1093</v>
      </c>
      <c r="AP65" s="178" t="s">
        <v>1093</v>
      </c>
      <c r="AQ65" s="178" t="s">
        <v>1093</v>
      </c>
      <c r="AR65" s="178" t="s">
        <v>1093</v>
      </c>
      <c r="AS65" s="178" t="s">
        <v>1118</v>
      </c>
      <c r="AT65" s="178" t="s">
        <v>1118</v>
      </c>
      <c r="AU65" s="178" t="s">
        <v>1094</v>
      </c>
      <c r="AV65" s="12" t="s">
        <v>1096</v>
      </c>
      <c r="AW65" s="12" t="s">
        <v>1097</v>
      </c>
      <c r="AY65" s="178" t="s">
        <v>1092</v>
      </c>
      <c r="AZ65" s="12" t="s">
        <v>1098</v>
      </c>
      <c r="BA65" s="12" t="s">
        <v>1098</v>
      </c>
      <c r="BB65" s="12" t="s">
        <v>1098</v>
      </c>
      <c r="BD65" s="12" t="s">
        <v>1092</v>
      </c>
      <c r="BE65" s="12" t="s">
        <v>118</v>
      </c>
      <c r="BF65" s="12" t="s">
        <v>121</v>
      </c>
      <c r="BH65" s="12" t="s">
        <v>120</v>
      </c>
      <c r="BI65" s="179">
        <v>66</v>
      </c>
      <c r="BJ65" s="175">
        <v>42204</v>
      </c>
      <c r="BK65" s="176" t="s">
        <v>82</v>
      </c>
      <c r="BM65" s="12">
        <v>29</v>
      </c>
    </row>
    <row r="66" spans="1:65" x14ac:dyDescent="0.25">
      <c r="A66" s="12" t="s">
        <v>1073</v>
      </c>
      <c r="B66" s="12" t="s">
        <v>648</v>
      </c>
      <c r="C66" s="12" t="s">
        <v>649</v>
      </c>
      <c r="D66" s="12" t="s">
        <v>650</v>
      </c>
      <c r="E66" s="175">
        <v>42191</v>
      </c>
      <c r="F66" s="12" t="s">
        <v>1933</v>
      </c>
      <c r="G66" s="12" t="s">
        <v>1075</v>
      </c>
      <c r="H66" s="12" t="s">
        <v>1934</v>
      </c>
      <c r="I66" s="12" t="s">
        <v>1935</v>
      </c>
      <c r="J66" s="12" t="s">
        <v>1863</v>
      </c>
      <c r="K66" s="12" t="s">
        <v>1103</v>
      </c>
      <c r="L66" s="12" t="s">
        <v>1104</v>
      </c>
      <c r="M66" s="12" t="s">
        <v>1105</v>
      </c>
      <c r="O66" s="178" t="s">
        <v>1936</v>
      </c>
      <c r="P66" s="178" t="s">
        <v>1937</v>
      </c>
      <c r="Q66" s="12" t="s">
        <v>1105</v>
      </c>
      <c r="R66" s="179">
        <v>67</v>
      </c>
      <c r="S66" s="178"/>
      <c r="U66" s="12" t="s">
        <v>120</v>
      </c>
      <c r="W66" s="12" t="s">
        <v>1083</v>
      </c>
      <c r="X66" s="12" t="s">
        <v>1084</v>
      </c>
      <c r="Y66" s="178" t="s">
        <v>1938</v>
      </c>
      <c r="Z66" s="12" t="s">
        <v>1112</v>
      </c>
      <c r="AA66" s="178" t="s">
        <v>1730</v>
      </c>
      <c r="AB66" s="12" t="s">
        <v>1133</v>
      </c>
      <c r="AC66" s="178" t="s">
        <v>1939</v>
      </c>
      <c r="AD66" s="12" t="s">
        <v>1940</v>
      </c>
      <c r="AE66" s="12" t="s">
        <v>1075</v>
      </c>
      <c r="AF66" s="12" t="s">
        <v>1941</v>
      </c>
      <c r="AG66" s="12" t="s">
        <v>1092</v>
      </c>
      <c r="AH66" s="12" t="s">
        <v>1092</v>
      </c>
      <c r="AI66" s="12" t="s">
        <v>1942</v>
      </c>
      <c r="AJ66" s="12" t="s">
        <v>1943</v>
      </c>
      <c r="AK66" s="12" t="s">
        <v>1944</v>
      </c>
      <c r="AL66" s="12" t="s">
        <v>1092</v>
      </c>
      <c r="AM66" s="12" t="s">
        <v>1092</v>
      </c>
      <c r="AN66" s="12" t="s">
        <v>1092</v>
      </c>
      <c r="AO66" s="178" t="s">
        <v>1093</v>
      </c>
      <c r="AP66" s="178" t="s">
        <v>1093</v>
      </c>
      <c r="AQ66" s="178" t="s">
        <v>1093</v>
      </c>
      <c r="AR66" s="178" t="s">
        <v>1092</v>
      </c>
      <c r="AS66" s="178" t="s">
        <v>1118</v>
      </c>
      <c r="AT66" s="178" t="s">
        <v>1118</v>
      </c>
      <c r="AU66" s="178" t="s">
        <v>1095</v>
      </c>
      <c r="AV66" s="12" t="s">
        <v>1096</v>
      </c>
      <c r="AW66" s="12" t="s">
        <v>1097</v>
      </c>
      <c r="AY66" s="178" t="s">
        <v>1092</v>
      </c>
      <c r="AZ66" s="12" t="s">
        <v>1945</v>
      </c>
      <c r="BA66" s="12" t="s">
        <v>1098</v>
      </c>
      <c r="BB66" s="12" t="s">
        <v>1098</v>
      </c>
      <c r="BD66" s="12" t="s">
        <v>1092</v>
      </c>
      <c r="BE66" s="12" t="s">
        <v>118</v>
      </c>
      <c r="BF66" s="12" t="s">
        <v>121</v>
      </c>
      <c r="BH66" s="12" t="s">
        <v>120</v>
      </c>
      <c r="BI66" s="179">
        <v>67</v>
      </c>
      <c r="BJ66" s="175">
        <v>42203</v>
      </c>
      <c r="BK66" s="176" t="s">
        <v>119</v>
      </c>
      <c r="BM66" s="12">
        <v>29</v>
      </c>
    </row>
    <row r="67" spans="1:65" x14ac:dyDescent="0.25">
      <c r="A67" s="12" t="s">
        <v>1073</v>
      </c>
      <c r="B67" s="12" t="s">
        <v>651</v>
      </c>
      <c r="C67" s="12" t="s">
        <v>652</v>
      </c>
      <c r="D67" s="12" t="s">
        <v>653</v>
      </c>
      <c r="E67" s="175">
        <v>42191</v>
      </c>
      <c r="F67" s="12" t="s">
        <v>1757</v>
      </c>
      <c r="G67" s="12" t="s">
        <v>1075</v>
      </c>
      <c r="H67" s="12" t="s">
        <v>1946</v>
      </c>
      <c r="I67" s="12" t="s">
        <v>1947</v>
      </c>
      <c r="K67" s="12" t="s">
        <v>1078</v>
      </c>
      <c r="L67" s="12" t="s">
        <v>1079</v>
      </c>
      <c r="M67" s="12" t="s">
        <v>1342</v>
      </c>
      <c r="O67" s="178" t="s">
        <v>1451</v>
      </c>
      <c r="P67" s="178" t="s">
        <v>1948</v>
      </c>
      <c r="Q67" s="12" t="s">
        <v>1342</v>
      </c>
      <c r="R67" s="179">
        <v>68</v>
      </c>
      <c r="S67" s="178"/>
      <c r="U67" s="12" t="s">
        <v>120</v>
      </c>
      <c r="X67" s="12" t="s">
        <v>1949</v>
      </c>
      <c r="Y67" s="178" t="s">
        <v>1232</v>
      </c>
      <c r="Z67" s="12" t="s">
        <v>1950</v>
      </c>
      <c r="AA67" s="178" t="s">
        <v>1478</v>
      </c>
      <c r="AB67" s="12" t="s">
        <v>1133</v>
      </c>
      <c r="AC67" s="178" t="s">
        <v>1579</v>
      </c>
      <c r="AD67" s="12" t="s">
        <v>1951</v>
      </c>
      <c r="AE67" s="12" t="s">
        <v>1075</v>
      </c>
      <c r="AF67" s="12" t="s">
        <v>1952</v>
      </c>
      <c r="AG67" s="12" t="s">
        <v>1092</v>
      </c>
      <c r="AH67" s="12" t="s">
        <v>1092</v>
      </c>
      <c r="AI67" s="12" t="s">
        <v>1953</v>
      </c>
      <c r="AJ67" s="12" t="s">
        <v>1954</v>
      </c>
      <c r="AK67" s="12" t="s">
        <v>1092</v>
      </c>
      <c r="AL67" s="12" t="s">
        <v>1955</v>
      </c>
      <c r="AM67" s="12" t="s">
        <v>1092</v>
      </c>
      <c r="AN67" s="12" t="s">
        <v>1092</v>
      </c>
      <c r="AO67" s="178" t="s">
        <v>1093</v>
      </c>
      <c r="AP67" s="178" t="s">
        <v>1093</v>
      </c>
      <c r="AQ67" s="178" t="s">
        <v>1093</v>
      </c>
      <c r="AR67" s="178" t="s">
        <v>1093</v>
      </c>
      <c r="AS67" s="178" t="s">
        <v>1118</v>
      </c>
      <c r="AT67" s="178" t="s">
        <v>1118</v>
      </c>
      <c r="AU67" s="178" t="s">
        <v>1118</v>
      </c>
      <c r="AV67" s="12" t="s">
        <v>1096</v>
      </c>
      <c r="AW67" s="12" t="s">
        <v>1097</v>
      </c>
      <c r="AX67" s="178" t="s">
        <v>1773</v>
      </c>
      <c r="AY67" s="178" t="s">
        <v>1093</v>
      </c>
      <c r="AZ67" s="12" t="s">
        <v>1956</v>
      </c>
      <c r="BA67" s="12" t="s">
        <v>1098</v>
      </c>
      <c r="BB67" s="12" t="s">
        <v>1098</v>
      </c>
      <c r="BD67" s="12" t="s">
        <v>1092</v>
      </c>
      <c r="BE67" s="12" t="s">
        <v>118</v>
      </c>
      <c r="BF67" s="12" t="s">
        <v>121</v>
      </c>
      <c r="BH67" s="12" t="s">
        <v>120</v>
      </c>
      <c r="BI67" s="179">
        <v>68</v>
      </c>
      <c r="BJ67" s="175">
        <v>42205</v>
      </c>
      <c r="BK67" s="176" t="s">
        <v>82</v>
      </c>
      <c r="BM67" s="12">
        <v>30</v>
      </c>
    </row>
    <row r="68" spans="1:65" x14ac:dyDescent="0.25">
      <c r="A68" s="12" t="s">
        <v>1957</v>
      </c>
      <c r="B68" s="12" t="s">
        <v>654</v>
      </c>
      <c r="C68" s="12" t="s">
        <v>655</v>
      </c>
      <c r="D68" s="12" t="s">
        <v>656</v>
      </c>
      <c r="E68" s="175">
        <v>42191</v>
      </c>
      <c r="F68" s="12" t="s">
        <v>1958</v>
      </c>
      <c r="G68" s="12" t="s">
        <v>1075</v>
      </c>
      <c r="H68" s="12" t="s">
        <v>1959</v>
      </c>
      <c r="I68" s="12" t="s">
        <v>1960</v>
      </c>
      <c r="K68" s="12" t="s">
        <v>1448</v>
      </c>
      <c r="L68" s="12" t="s">
        <v>1449</v>
      </c>
      <c r="M68" s="12" t="s">
        <v>1450</v>
      </c>
      <c r="O68" s="178" t="s">
        <v>1422</v>
      </c>
      <c r="P68" s="178" t="s">
        <v>1961</v>
      </c>
      <c r="Q68" s="12" t="s">
        <v>1450</v>
      </c>
      <c r="R68" s="179">
        <v>69</v>
      </c>
      <c r="S68" s="178"/>
      <c r="U68" s="12" t="s">
        <v>120</v>
      </c>
      <c r="W68" s="12" t="s">
        <v>1083</v>
      </c>
      <c r="X68" s="12" t="s">
        <v>1962</v>
      </c>
      <c r="Y68" s="178" t="s">
        <v>1234</v>
      </c>
      <c r="Z68" s="12" t="s">
        <v>1963</v>
      </c>
      <c r="AA68" s="178" t="s">
        <v>1345</v>
      </c>
      <c r="AB68" s="12" t="s">
        <v>1964</v>
      </c>
      <c r="AC68" s="178" t="s">
        <v>1965</v>
      </c>
      <c r="AD68" s="12" t="s">
        <v>1966</v>
      </c>
      <c r="AE68" s="12" t="s">
        <v>1075</v>
      </c>
      <c r="AF68" s="12" t="s">
        <v>1967</v>
      </c>
      <c r="AG68" s="12" t="s">
        <v>1968</v>
      </c>
      <c r="AH68" s="12" t="s">
        <v>1092</v>
      </c>
      <c r="AI68" s="12" t="s">
        <v>1969</v>
      </c>
      <c r="AJ68" s="12" t="s">
        <v>1970</v>
      </c>
      <c r="AK68" s="12" t="s">
        <v>1092</v>
      </c>
      <c r="AL68" s="12" t="s">
        <v>1092</v>
      </c>
      <c r="AM68" s="12" t="s">
        <v>1092</v>
      </c>
      <c r="AN68" s="12" t="s">
        <v>1092</v>
      </c>
      <c r="AO68" s="178" t="s">
        <v>1093</v>
      </c>
      <c r="AP68" s="178" t="s">
        <v>1093</v>
      </c>
      <c r="AQ68" s="178" t="s">
        <v>1093</v>
      </c>
      <c r="AR68" s="178" t="s">
        <v>1092</v>
      </c>
      <c r="AS68" s="178" t="s">
        <v>1118</v>
      </c>
      <c r="AT68" s="178" t="s">
        <v>1118</v>
      </c>
      <c r="AU68" s="178" t="s">
        <v>1095</v>
      </c>
      <c r="AV68" s="12" t="s">
        <v>1096</v>
      </c>
      <c r="AW68" s="12" t="s">
        <v>1097</v>
      </c>
      <c r="AY68" s="178" t="s">
        <v>1092</v>
      </c>
      <c r="AZ68" s="12" t="s">
        <v>1971</v>
      </c>
      <c r="BA68" s="12" t="s">
        <v>1972</v>
      </c>
      <c r="BB68" s="12" t="s">
        <v>1973</v>
      </c>
      <c r="BC68" s="178" t="s">
        <v>1205</v>
      </c>
      <c r="BD68" s="12" t="s">
        <v>1092</v>
      </c>
      <c r="BE68" s="12" t="s">
        <v>118</v>
      </c>
      <c r="BF68" s="12" t="s">
        <v>121</v>
      </c>
      <c r="BH68" s="12" t="s">
        <v>120</v>
      </c>
      <c r="BI68" s="179">
        <v>69</v>
      </c>
      <c r="BJ68" s="175">
        <v>42202</v>
      </c>
      <c r="BK68" s="176" t="s">
        <v>119</v>
      </c>
      <c r="BL68" s="177">
        <v>383.51</v>
      </c>
      <c r="BM68" s="12">
        <v>29</v>
      </c>
    </row>
    <row r="69" spans="1:65" x14ac:dyDescent="0.25">
      <c r="A69" s="12" t="s">
        <v>1957</v>
      </c>
      <c r="B69" s="12" t="s">
        <v>657</v>
      </c>
      <c r="C69" s="12" t="s">
        <v>658</v>
      </c>
      <c r="D69" s="12" t="s">
        <v>659</v>
      </c>
      <c r="E69" s="175">
        <v>42191</v>
      </c>
      <c r="F69" s="12" t="s">
        <v>1974</v>
      </c>
      <c r="G69" s="12" t="s">
        <v>1075</v>
      </c>
      <c r="H69" s="12" t="s">
        <v>1076</v>
      </c>
      <c r="I69" s="12" t="s">
        <v>1975</v>
      </c>
      <c r="J69" s="12" t="s">
        <v>1645</v>
      </c>
      <c r="K69" s="12" t="s">
        <v>1103</v>
      </c>
      <c r="L69" s="12" t="s">
        <v>1104</v>
      </c>
      <c r="M69" s="12" t="s">
        <v>1105</v>
      </c>
      <c r="O69" s="178" t="s">
        <v>1451</v>
      </c>
      <c r="P69" s="178" t="s">
        <v>1976</v>
      </c>
      <c r="Q69" s="12" t="s">
        <v>1105</v>
      </c>
      <c r="R69" s="179">
        <v>70</v>
      </c>
      <c r="S69" s="178"/>
      <c r="U69" s="12" t="s">
        <v>120</v>
      </c>
      <c r="W69" s="12" t="s">
        <v>1083</v>
      </c>
      <c r="X69" s="12" t="s">
        <v>1977</v>
      </c>
      <c r="Y69" s="178" t="s">
        <v>1590</v>
      </c>
      <c r="Z69" s="12" t="s">
        <v>1133</v>
      </c>
      <c r="AA69" s="178" t="s">
        <v>1566</v>
      </c>
      <c r="AB69" s="12" t="s">
        <v>1978</v>
      </c>
      <c r="AC69" s="178" t="s">
        <v>1979</v>
      </c>
      <c r="AD69" s="12" t="s">
        <v>1112</v>
      </c>
      <c r="AE69" s="12" t="s">
        <v>1075</v>
      </c>
      <c r="AF69" s="12" t="s">
        <v>1980</v>
      </c>
      <c r="AG69" s="12" t="s">
        <v>1092</v>
      </c>
      <c r="AH69" s="12" t="s">
        <v>1092</v>
      </c>
      <c r="AI69" s="12" t="s">
        <v>1981</v>
      </c>
      <c r="AJ69" s="12" t="s">
        <v>1982</v>
      </c>
      <c r="AK69" s="12" t="s">
        <v>1983</v>
      </c>
      <c r="AL69" s="12" t="s">
        <v>1092</v>
      </c>
      <c r="AM69" s="12" t="s">
        <v>1092</v>
      </c>
      <c r="AN69" s="12" t="s">
        <v>1092</v>
      </c>
      <c r="AO69" s="178" t="s">
        <v>1093</v>
      </c>
      <c r="AP69" s="178" t="s">
        <v>1093</v>
      </c>
      <c r="AQ69" s="178" t="s">
        <v>1093</v>
      </c>
      <c r="AR69" s="178" t="s">
        <v>1093</v>
      </c>
      <c r="AS69" s="178" t="s">
        <v>1118</v>
      </c>
      <c r="AT69" s="178" t="s">
        <v>1118</v>
      </c>
      <c r="AU69" s="178" t="s">
        <v>1118</v>
      </c>
      <c r="AV69" s="12" t="s">
        <v>1096</v>
      </c>
      <c r="AW69" s="12" t="s">
        <v>1097</v>
      </c>
      <c r="AY69" s="178" t="s">
        <v>1092</v>
      </c>
      <c r="AZ69" s="12" t="s">
        <v>1098</v>
      </c>
      <c r="BA69" s="12" t="s">
        <v>1098</v>
      </c>
      <c r="BB69" s="12" t="s">
        <v>1984</v>
      </c>
      <c r="BD69" s="12" t="s">
        <v>1092</v>
      </c>
      <c r="BE69" s="12" t="s">
        <v>118</v>
      </c>
      <c r="BF69" s="12" t="s">
        <v>121</v>
      </c>
      <c r="BH69" s="12" t="s">
        <v>120</v>
      </c>
      <c r="BI69" s="179">
        <v>70</v>
      </c>
      <c r="BJ69" s="175">
        <v>42202</v>
      </c>
      <c r="BK69" s="176" t="s">
        <v>82</v>
      </c>
      <c r="BM69" s="12">
        <v>29</v>
      </c>
    </row>
    <row r="70" spans="1:65" x14ac:dyDescent="0.25">
      <c r="A70" s="12" t="s">
        <v>1957</v>
      </c>
      <c r="B70" s="12" t="s">
        <v>660</v>
      </c>
      <c r="C70" s="12" t="s">
        <v>661</v>
      </c>
      <c r="D70" s="12" t="s">
        <v>662</v>
      </c>
      <c r="E70" s="175">
        <v>42191</v>
      </c>
      <c r="F70" s="12" t="s">
        <v>1985</v>
      </c>
      <c r="G70" s="12" t="s">
        <v>1075</v>
      </c>
      <c r="H70" s="12" t="s">
        <v>1986</v>
      </c>
      <c r="I70" s="12" t="s">
        <v>1987</v>
      </c>
      <c r="J70" s="12" t="s">
        <v>1411</v>
      </c>
      <c r="K70" s="12" t="s">
        <v>1078</v>
      </c>
      <c r="L70" s="12" t="s">
        <v>1079</v>
      </c>
      <c r="M70" s="12" t="s">
        <v>1342</v>
      </c>
      <c r="O70" s="178" t="s">
        <v>1549</v>
      </c>
      <c r="P70" s="178" t="s">
        <v>1988</v>
      </c>
      <c r="Q70" s="12" t="s">
        <v>1342</v>
      </c>
      <c r="R70" s="179">
        <v>71</v>
      </c>
      <c r="S70" s="178"/>
      <c r="U70" s="12" t="s">
        <v>120</v>
      </c>
      <c r="W70" s="12" t="s">
        <v>1083</v>
      </c>
      <c r="X70" s="12" t="s">
        <v>1329</v>
      </c>
      <c r="Z70" s="12" t="s">
        <v>1185</v>
      </c>
      <c r="AB70" s="12" t="s">
        <v>1185</v>
      </c>
      <c r="AD70" s="12" t="s">
        <v>1185</v>
      </c>
      <c r="AE70" s="12" t="s">
        <v>1075</v>
      </c>
      <c r="AF70" s="12" t="s">
        <v>1338</v>
      </c>
      <c r="AG70" s="12" t="s">
        <v>1092</v>
      </c>
      <c r="AH70" s="12" t="s">
        <v>1092</v>
      </c>
      <c r="AI70" s="12" t="s">
        <v>1404</v>
      </c>
      <c r="AJ70" s="12" t="s">
        <v>1404</v>
      </c>
      <c r="AK70" s="12" t="s">
        <v>1989</v>
      </c>
      <c r="AL70" s="12" t="s">
        <v>1092</v>
      </c>
      <c r="AM70" s="12" t="s">
        <v>1092</v>
      </c>
      <c r="AN70" s="12" t="s">
        <v>1092</v>
      </c>
      <c r="AO70" s="178" t="s">
        <v>1092</v>
      </c>
      <c r="AP70" s="178" t="s">
        <v>1092</v>
      </c>
      <c r="AQ70" s="178" t="s">
        <v>1093</v>
      </c>
      <c r="AR70" s="178" t="s">
        <v>1092</v>
      </c>
      <c r="AS70" s="178" t="s">
        <v>1155</v>
      </c>
      <c r="AT70" s="178" t="s">
        <v>1118</v>
      </c>
      <c r="AU70" s="178" t="s">
        <v>1095</v>
      </c>
      <c r="AV70" s="12" t="s">
        <v>1096</v>
      </c>
      <c r="AW70" s="12" t="s">
        <v>1097</v>
      </c>
      <c r="AY70" s="178" t="s">
        <v>1092</v>
      </c>
      <c r="AZ70" s="12" t="s">
        <v>1990</v>
      </c>
      <c r="BA70" s="12" t="s">
        <v>1098</v>
      </c>
      <c r="BB70" s="12" t="s">
        <v>1098</v>
      </c>
      <c r="BD70" s="12" t="s">
        <v>1092</v>
      </c>
      <c r="BE70" s="12" t="s">
        <v>118</v>
      </c>
      <c r="BF70" s="12" t="s">
        <v>121</v>
      </c>
      <c r="BH70" s="12" t="s">
        <v>120</v>
      </c>
      <c r="BI70" s="179">
        <v>71</v>
      </c>
      <c r="BJ70" s="175">
        <v>42205</v>
      </c>
      <c r="BK70" s="176" t="s">
        <v>82</v>
      </c>
      <c r="BM70" s="12">
        <v>30</v>
      </c>
    </row>
    <row r="71" spans="1:65" x14ac:dyDescent="0.25">
      <c r="A71" s="12" t="s">
        <v>1957</v>
      </c>
      <c r="B71" s="12" t="s">
        <v>663</v>
      </c>
      <c r="C71" s="12" t="s">
        <v>664</v>
      </c>
      <c r="D71" s="12" t="s">
        <v>665</v>
      </c>
      <c r="E71" s="175">
        <v>42191</v>
      </c>
      <c r="F71" s="12" t="s">
        <v>1991</v>
      </c>
      <c r="G71" s="12" t="s">
        <v>1075</v>
      </c>
      <c r="H71" s="12" t="s">
        <v>1992</v>
      </c>
      <c r="I71" s="12" t="s">
        <v>1993</v>
      </c>
      <c r="K71" s="12" t="s">
        <v>1242</v>
      </c>
      <c r="L71" s="12" t="s">
        <v>1243</v>
      </c>
      <c r="M71" s="12" t="s">
        <v>1195</v>
      </c>
      <c r="O71" s="178" t="s">
        <v>1422</v>
      </c>
      <c r="P71" s="178" t="s">
        <v>1994</v>
      </c>
      <c r="Q71" s="12" t="s">
        <v>1195</v>
      </c>
      <c r="R71" s="179">
        <v>72</v>
      </c>
      <c r="S71" s="178"/>
      <c r="U71" s="12" t="s">
        <v>120</v>
      </c>
      <c r="W71" s="12" t="s">
        <v>1083</v>
      </c>
      <c r="X71" s="12" t="s">
        <v>1231</v>
      </c>
      <c r="Y71" s="178" t="s">
        <v>1128</v>
      </c>
      <c r="Z71" s="12" t="s">
        <v>1995</v>
      </c>
      <c r="AA71" s="178" t="s">
        <v>1505</v>
      </c>
      <c r="AB71" s="12" t="s">
        <v>1996</v>
      </c>
      <c r="AC71" s="178" t="s">
        <v>1997</v>
      </c>
      <c r="AD71" s="12" t="s">
        <v>1998</v>
      </c>
      <c r="AE71" s="12" t="s">
        <v>1075</v>
      </c>
      <c r="AF71" s="12" t="s">
        <v>1999</v>
      </c>
      <c r="AG71" s="12" t="s">
        <v>1092</v>
      </c>
      <c r="AH71" s="12" t="s">
        <v>1092</v>
      </c>
      <c r="AI71" s="12" t="s">
        <v>2000</v>
      </c>
      <c r="AJ71" s="12" t="s">
        <v>2001</v>
      </c>
      <c r="AK71" s="12" t="s">
        <v>1092</v>
      </c>
      <c r="AL71" s="12" t="s">
        <v>1092</v>
      </c>
      <c r="AM71" s="12" t="s">
        <v>1092</v>
      </c>
      <c r="AN71" s="12" t="s">
        <v>1092</v>
      </c>
      <c r="AO71" s="178" t="s">
        <v>1093</v>
      </c>
      <c r="AP71" s="178" t="s">
        <v>1093</v>
      </c>
      <c r="AQ71" s="178" t="s">
        <v>1093</v>
      </c>
      <c r="AR71" s="178" t="s">
        <v>1093</v>
      </c>
      <c r="AS71" s="178" t="s">
        <v>1118</v>
      </c>
      <c r="AT71" s="178" t="s">
        <v>1118</v>
      </c>
      <c r="AU71" s="178" t="s">
        <v>1118</v>
      </c>
      <c r="AV71" s="12" t="s">
        <v>1096</v>
      </c>
      <c r="AW71" s="12" t="s">
        <v>1097</v>
      </c>
      <c r="AX71" s="178" t="s">
        <v>2002</v>
      </c>
      <c r="AY71" s="178" t="s">
        <v>1093</v>
      </c>
      <c r="AZ71" s="12" t="s">
        <v>2003</v>
      </c>
      <c r="BA71" s="12" t="s">
        <v>2004</v>
      </c>
      <c r="BB71" s="12" t="s">
        <v>1098</v>
      </c>
      <c r="BC71" s="178" t="s">
        <v>1205</v>
      </c>
      <c r="BD71" s="12" t="s">
        <v>1092</v>
      </c>
      <c r="BE71" s="12" t="s">
        <v>118</v>
      </c>
      <c r="BF71" s="12" t="s">
        <v>121</v>
      </c>
      <c r="BH71" s="12" t="s">
        <v>120</v>
      </c>
      <c r="BI71" s="179">
        <v>72</v>
      </c>
      <c r="BJ71" s="175">
        <v>42204</v>
      </c>
      <c r="BK71" s="176" t="s">
        <v>82</v>
      </c>
      <c r="BM71" s="12">
        <v>29</v>
      </c>
    </row>
    <row r="72" spans="1:65" x14ac:dyDescent="0.25">
      <c r="A72" s="12" t="s">
        <v>1957</v>
      </c>
      <c r="B72" s="12" t="s">
        <v>666</v>
      </c>
      <c r="C72" s="12" t="s">
        <v>667</v>
      </c>
      <c r="D72" s="12" t="s">
        <v>668</v>
      </c>
      <c r="E72" s="175">
        <v>42191</v>
      </c>
      <c r="F72" s="12" t="s">
        <v>2005</v>
      </c>
      <c r="G72" s="12" t="s">
        <v>1075</v>
      </c>
      <c r="H72" s="12" t="s">
        <v>2006</v>
      </c>
      <c r="I72" s="12" t="s">
        <v>2007</v>
      </c>
      <c r="J72" s="12" t="s">
        <v>2008</v>
      </c>
      <c r="K72" s="12" t="s">
        <v>1103</v>
      </c>
      <c r="L72" s="12" t="s">
        <v>1124</v>
      </c>
      <c r="M72" s="12" t="s">
        <v>1105</v>
      </c>
      <c r="O72" s="178" t="s">
        <v>1163</v>
      </c>
      <c r="P72" s="178" t="s">
        <v>2009</v>
      </c>
      <c r="Q72" s="12" t="s">
        <v>1105</v>
      </c>
      <c r="R72" s="179">
        <v>73</v>
      </c>
      <c r="S72" s="178"/>
      <c r="U72" s="12" t="s">
        <v>120</v>
      </c>
      <c r="W72" s="12" t="s">
        <v>1083</v>
      </c>
      <c r="X72" s="12" t="s">
        <v>1977</v>
      </c>
      <c r="Y72" s="178" t="s">
        <v>2010</v>
      </c>
      <c r="Z72" s="12" t="s">
        <v>2011</v>
      </c>
      <c r="AA72" s="178" t="s">
        <v>2012</v>
      </c>
      <c r="AB72" s="12" t="s">
        <v>2013</v>
      </c>
      <c r="AC72" s="178" t="s">
        <v>1326</v>
      </c>
      <c r="AD72" s="12" t="s">
        <v>2014</v>
      </c>
      <c r="AE72" s="12" t="s">
        <v>1075</v>
      </c>
      <c r="AF72" s="12" t="s">
        <v>2015</v>
      </c>
      <c r="AG72" s="12" t="s">
        <v>1236</v>
      </c>
      <c r="AH72" s="12" t="s">
        <v>1092</v>
      </c>
      <c r="AI72" s="12" t="s">
        <v>2016</v>
      </c>
      <c r="AJ72" s="12" t="s">
        <v>2017</v>
      </c>
      <c r="AK72" s="12" t="s">
        <v>1092</v>
      </c>
      <c r="AL72" s="12" t="s">
        <v>1092</v>
      </c>
      <c r="AM72" s="12" t="s">
        <v>1092</v>
      </c>
      <c r="AN72" s="12" t="s">
        <v>1092</v>
      </c>
      <c r="AO72" s="178" t="s">
        <v>1093</v>
      </c>
      <c r="AP72" s="178" t="s">
        <v>1093</v>
      </c>
      <c r="AQ72" s="178" t="s">
        <v>1093</v>
      </c>
      <c r="AR72" s="178" t="s">
        <v>1092</v>
      </c>
      <c r="AS72" s="178" t="s">
        <v>1118</v>
      </c>
      <c r="AT72" s="178" t="s">
        <v>1118</v>
      </c>
      <c r="AU72" s="178" t="s">
        <v>1095</v>
      </c>
      <c r="AV72" s="12" t="s">
        <v>1096</v>
      </c>
      <c r="AW72" s="12" t="s">
        <v>1097</v>
      </c>
      <c r="AX72" s="178" t="s">
        <v>2018</v>
      </c>
      <c r="AY72" s="178" t="s">
        <v>1157</v>
      </c>
      <c r="AZ72" s="12" t="s">
        <v>2019</v>
      </c>
      <c r="BA72" s="12" t="s">
        <v>1098</v>
      </c>
      <c r="BB72" s="12" t="s">
        <v>1098</v>
      </c>
      <c r="BD72" s="12" t="s">
        <v>1092</v>
      </c>
      <c r="BE72" s="12" t="s">
        <v>118</v>
      </c>
      <c r="BF72" s="12" t="s">
        <v>121</v>
      </c>
      <c r="BH72" s="12" t="s">
        <v>120</v>
      </c>
      <c r="BI72" s="179">
        <v>73</v>
      </c>
      <c r="BJ72" s="175">
        <v>42202</v>
      </c>
      <c r="BK72" s="176" t="s">
        <v>82</v>
      </c>
      <c r="BM72" s="12">
        <v>29</v>
      </c>
    </row>
    <row r="73" spans="1:65" x14ac:dyDescent="0.25">
      <c r="A73" s="12" t="s">
        <v>1957</v>
      </c>
      <c r="B73" s="12" t="s">
        <v>669</v>
      </c>
      <c r="C73" s="12" t="s">
        <v>670</v>
      </c>
      <c r="D73" s="12" t="s">
        <v>671</v>
      </c>
      <c r="E73" s="175">
        <v>42191</v>
      </c>
      <c r="F73" s="12" t="s">
        <v>1775</v>
      </c>
      <c r="G73" s="12" t="s">
        <v>1075</v>
      </c>
      <c r="H73" s="12" t="s">
        <v>2020</v>
      </c>
      <c r="I73" s="12" t="s">
        <v>2021</v>
      </c>
      <c r="J73" s="12" t="s">
        <v>2022</v>
      </c>
      <c r="K73" s="12" t="s">
        <v>1103</v>
      </c>
      <c r="L73" s="12" t="s">
        <v>1179</v>
      </c>
      <c r="M73" s="12" t="s">
        <v>1244</v>
      </c>
      <c r="O73" s="178" t="s">
        <v>1163</v>
      </c>
      <c r="P73" s="178" t="s">
        <v>2023</v>
      </c>
      <c r="Q73" s="12" t="s">
        <v>1244</v>
      </c>
      <c r="R73" s="179">
        <v>74</v>
      </c>
      <c r="S73" s="178"/>
      <c r="U73" s="12" t="s">
        <v>120</v>
      </c>
      <c r="W73" s="12" t="s">
        <v>1083</v>
      </c>
      <c r="X73" s="12" t="s">
        <v>1108</v>
      </c>
      <c r="Y73" s="178" t="s">
        <v>1754</v>
      </c>
      <c r="Z73" s="12" t="s">
        <v>1525</v>
      </c>
      <c r="AA73" s="178" t="s">
        <v>1261</v>
      </c>
      <c r="AB73" s="12" t="s">
        <v>2024</v>
      </c>
      <c r="AC73" s="178" t="s">
        <v>1314</v>
      </c>
      <c r="AD73" s="12" t="s">
        <v>2025</v>
      </c>
      <c r="AE73" s="12" t="s">
        <v>1075</v>
      </c>
      <c r="AF73" s="12" t="s">
        <v>2026</v>
      </c>
      <c r="AG73" s="12" t="s">
        <v>1092</v>
      </c>
      <c r="AH73" s="12" t="s">
        <v>1092</v>
      </c>
      <c r="AI73" s="12" t="s">
        <v>2027</v>
      </c>
      <c r="AJ73" s="12" t="s">
        <v>2028</v>
      </c>
      <c r="AK73" s="12" t="s">
        <v>2029</v>
      </c>
      <c r="AL73" s="12" t="s">
        <v>1092</v>
      </c>
      <c r="AM73" s="12" t="s">
        <v>1092</v>
      </c>
      <c r="AN73" s="12" t="s">
        <v>1092</v>
      </c>
      <c r="AO73" s="178" t="s">
        <v>1093</v>
      </c>
      <c r="AP73" s="178" t="s">
        <v>1093</v>
      </c>
      <c r="AQ73" s="178" t="s">
        <v>1092</v>
      </c>
      <c r="AR73" s="178" t="s">
        <v>1092</v>
      </c>
      <c r="AS73" s="178" t="s">
        <v>1118</v>
      </c>
      <c r="AT73" s="178" t="s">
        <v>1095</v>
      </c>
      <c r="AU73" s="178" t="s">
        <v>1095</v>
      </c>
      <c r="AV73" s="12" t="s">
        <v>1096</v>
      </c>
      <c r="AW73" s="12" t="s">
        <v>1097</v>
      </c>
      <c r="AY73" s="178" t="s">
        <v>1092</v>
      </c>
      <c r="AZ73" s="12" t="s">
        <v>2030</v>
      </c>
      <c r="BA73" s="12" t="s">
        <v>1098</v>
      </c>
      <c r="BB73" s="12" t="s">
        <v>2030</v>
      </c>
      <c r="BD73" s="12" t="s">
        <v>1092</v>
      </c>
      <c r="BE73" s="12" t="s">
        <v>118</v>
      </c>
      <c r="BF73" s="12" t="s">
        <v>121</v>
      </c>
      <c r="BH73" s="12" t="s">
        <v>120</v>
      </c>
      <c r="BI73" s="179">
        <v>74</v>
      </c>
      <c r="BJ73" s="175">
        <v>42204</v>
      </c>
      <c r="BK73" s="176" t="s">
        <v>82</v>
      </c>
      <c r="BM73" s="12">
        <v>29</v>
      </c>
    </row>
    <row r="74" spans="1:65" x14ac:dyDescent="0.25">
      <c r="A74" s="12" t="s">
        <v>1957</v>
      </c>
      <c r="B74" s="12" t="s">
        <v>672</v>
      </c>
      <c r="C74" s="12" t="s">
        <v>673</v>
      </c>
      <c r="D74" s="12" t="s">
        <v>674</v>
      </c>
      <c r="E74" s="175">
        <v>42191</v>
      </c>
      <c r="F74" s="12" t="s">
        <v>1985</v>
      </c>
      <c r="G74" s="12" t="s">
        <v>1075</v>
      </c>
      <c r="H74" s="12" t="s">
        <v>2031</v>
      </c>
      <c r="I74" s="12" t="s">
        <v>2032</v>
      </c>
      <c r="J74" s="12" t="s">
        <v>1162</v>
      </c>
      <c r="K74" s="12" t="s">
        <v>1123</v>
      </c>
      <c r="L74" s="12" t="s">
        <v>1124</v>
      </c>
      <c r="M74" s="12" t="s">
        <v>1105</v>
      </c>
      <c r="O74" s="178" t="s">
        <v>1163</v>
      </c>
      <c r="P74" s="178" t="s">
        <v>2033</v>
      </c>
      <c r="Q74" s="12" t="s">
        <v>1105</v>
      </c>
      <c r="R74" s="179">
        <v>75</v>
      </c>
      <c r="S74" s="178"/>
      <c r="U74" s="12" t="s">
        <v>120</v>
      </c>
      <c r="W74" s="12" t="s">
        <v>1083</v>
      </c>
      <c r="X74" s="12" t="s">
        <v>1329</v>
      </c>
      <c r="Z74" s="12" t="s">
        <v>1185</v>
      </c>
      <c r="AB74" s="12" t="s">
        <v>1185</v>
      </c>
      <c r="AD74" s="12" t="s">
        <v>1185</v>
      </c>
      <c r="AE74" s="12" t="s">
        <v>1075</v>
      </c>
      <c r="AF74" s="12" t="s">
        <v>2034</v>
      </c>
      <c r="AG74" s="12" t="s">
        <v>1092</v>
      </c>
      <c r="AH74" s="12" t="s">
        <v>1092</v>
      </c>
      <c r="AI74" s="12" t="s">
        <v>2035</v>
      </c>
      <c r="AJ74" s="12" t="s">
        <v>2036</v>
      </c>
      <c r="AK74" s="12" t="s">
        <v>2037</v>
      </c>
      <c r="AL74" s="12" t="s">
        <v>1092</v>
      </c>
      <c r="AM74" s="12" t="s">
        <v>1092</v>
      </c>
      <c r="AN74" s="12" t="s">
        <v>1092</v>
      </c>
      <c r="AO74" s="178" t="s">
        <v>1093</v>
      </c>
      <c r="AP74" s="178" t="s">
        <v>1093</v>
      </c>
      <c r="AQ74" s="178" t="s">
        <v>1093</v>
      </c>
      <c r="AR74" s="178" t="s">
        <v>1092</v>
      </c>
      <c r="AS74" s="178" t="s">
        <v>1118</v>
      </c>
      <c r="AT74" s="178" t="s">
        <v>1118</v>
      </c>
      <c r="AU74" s="178" t="s">
        <v>1095</v>
      </c>
      <c r="AV74" s="12" t="s">
        <v>1096</v>
      </c>
      <c r="AW74" s="12" t="s">
        <v>1097</v>
      </c>
      <c r="AY74" s="178" t="s">
        <v>1092</v>
      </c>
      <c r="AZ74" s="12" t="s">
        <v>2038</v>
      </c>
      <c r="BA74" s="12" t="s">
        <v>1098</v>
      </c>
      <c r="BB74" s="12" t="s">
        <v>1098</v>
      </c>
      <c r="BD74" s="12" t="s">
        <v>1092</v>
      </c>
      <c r="BE74" s="12" t="s">
        <v>118</v>
      </c>
      <c r="BF74" s="12" t="s">
        <v>121</v>
      </c>
      <c r="BH74" s="12" t="s">
        <v>120</v>
      </c>
      <c r="BI74" s="179">
        <v>75</v>
      </c>
      <c r="BJ74" s="175">
        <v>42204</v>
      </c>
      <c r="BK74" s="176" t="s">
        <v>82</v>
      </c>
      <c r="BM74" s="12">
        <v>29</v>
      </c>
    </row>
    <row r="75" spans="1:65" x14ac:dyDescent="0.25">
      <c r="A75" s="12" t="s">
        <v>1957</v>
      </c>
      <c r="B75" s="12" t="s">
        <v>675</v>
      </c>
      <c r="C75" s="12" t="s">
        <v>676</v>
      </c>
      <c r="D75" s="12" t="s">
        <v>677</v>
      </c>
      <c r="E75" s="175">
        <v>42191</v>
      </c>
      <c r="F75" s="12" t="s">
        <v>2039</v>
      </c>
      <c r="G75" s="12" t="s">
        <v>1075</v>
      </c>
      <c r="H75" s="12" t="s">
        <v>2040</v>
      </c>
      <c r="I75" s="12" t="s">
        <v>2041</v>
      </c>
      <c r="J75" s="12" t="s">
        <v>2042</v>
      </c>
      <c r="K75" s="12" t="s">
        <v>1123</v>
      </c>
      <c r="L75" s="12" t="s">
        <v>1124</v>
      </c>
      <c r="M75" s="12" t="s">
        <v>1125</v>
      </c>
      <c r="O75" s="178" t="s">
        <v>1275</v>
      </c>
      <c r="P75" s="178" t="s">
        <v>2043</v>
      </c>
      <c r="Q75" s="12" t="s">
        <v>1125</v>
      </c>
      <c r="R75" s="179">
        <v>76</v>
      </c>
      <c r="S75" s="178"/>
      <c r="U75" s="12" t="s">
        <v>120</v>
      </c>
      <c r="W75" s="12" t="s">
        <v>1083</v>
      </c>
      <c r="X75" s="12" t="s">
        <v>1231</v>
      </c>
      <c r="Y75" s="178" t="s">
        <v>1370</v>
      </c>
      <c r="Z75" s="12" t="s">
        <v>2044</v>
      </c>
      <c r="AA75" s="178" t="s">
        <v>1438</v>
      </c>
      <c r="AB75" s="12" t="s">
        <v>2045</v>
      </c>
      <c r="AC75" s="178" t="s">
        <v>1113</v>
      </c>
      <c r="AD75" s="12" t="s">
        <v>1525</v>
      </c>
      <c r="AE75" s="12" t="s">
        <v>1075</v>
      </c>
      <c r="AF75" s="12" t="s">
        <v>2046</v>
      </c>
      <c r="AG75" s="12" t="s">
        <v>1092</v>
      </c>
      <c r="AH75" s="12" t="s">
        <v>1092</v>
      </c>
      <c r="AI75" s="12" t="s">
        <v>2047</v>
      </c>
      <c r="AJ75" s="12" t="s">
        <v>2048</v>
      </c>
      <c r="AK75" s="12" t="s">
        <v>1092</v>
      </c>
      <c r="AL75" s="12" t="s">
        <v>1092</v>
      </c>
      <c r="AM75" s="12" t="s">
        <v>1092</v>
      </c>
      <c r="AN75" s="12" t="s">
        <v>1092</v>
      </c>
      <c r="AO75" s="178" t="s">
        <v>1093</v>
      </c>
      <c r="AP75" s="178" t="s">
        <v>1093</v>
      </c>
      <c r="AQ75" s="178" t="s">
        <v>1093</v>
      </c>
      <c r="AR75" s="178" t="s">
        <v>1093</v>
      </c>
      <c r="AS75" s="178" t="s">
        <v>1118</v>
      </c>
      <c r="AT75" s="178" t="s">
        <v>1118</v>
      </c>
      <c r="AU75" s="178" t="s">
        <v>1118</v>
      </c>
      <c r="AV75" s="12" t="s">
        <v>1096</v>
      </c>
      <c r="AW75" s="12" t="s">
        <v>1097</v>
      </c>
      <c r="AY75" s="178" t="s">
        <v>1092</v>
      </c>
      <c r="AZ75" s="12" t="s">
        <v>2049</v>
      </c>
      <c r="BA75" s="12" t="s">
        <v>1098</v>
      </c>
      <c r="BB75" s="12" t="s">
        <v>1098</v>
      </c>
      <c r="BD75" s="12" t="s">
        <v>1092</v>
      </c>
      <c r="BE75" s="12" t="s">
        <v>118</v>
      </c>
      <c r="BF75" s="12" t="s">
        <v>121</v>
      </c>
      <c r="BH75" s="12" t="s">
        <v>120</v>
      </c>
      <c r="BI75" s="179">
        <v>76</v>
      </c>
      <c r="BJ75" s="175">
        <v>42204</v>
      </c>
      <c r="BK75" s="176" t="s">
        <v>82</v>
      </c>
      <c r="BM75" s="12">
        <v>29</v>
      </c>
    </row>
    <row r="76" spans="1:65" x14ac:dyDescent="0.25">
      <c r="A76" s="12" t="s">
        <v>1957</v>
      </c>
      <c r="B76" s="12" t="s">
        <v>678</v>
      </c>
      <c r="C76" s="12" t="s">
        <v>679</v>
      </c>
      <c r="D76" s="12" t="s">
        <v>680</v>
      </c>
      <c r="E76" s="175">
        <v>42191</v>
      </c>
      <c r="F76" s="12" t="s">
        <v>2050</v>
      </c>
      <c r="G76" s="12" t="s">
        <v>1075</v>
      </c>
      <c r="H76" s="12" t="s">
        <v>2051</v>
      </c>
      <c r="I76" s="12" t="s">
        <v>2052</v>
      </c>
      <c r="J76" s="12" t="s">
        <v>1863</v>
      </c>
      <c r="K76" s="12" t="s">
        <v>1209</v>
      </c>
      <c r="L76" s="12" t="s">
        <v>1210</v>
      </c>
      <c r="M76" s="12" t="s">
        <v>1211</v>
      </c>
      <c r="O76" s="178" t="s">
        <v>1343</v>
      </c>
      <c r="P76" s="178" t="s">
        <v>2053</v>
      </c>
      <c r="Q76" s="12" t="s">
        <v>1211</v>
      </c>
      <c r="R76" s="179">
        <v>77</v>
      </c>
      <c r="S76" s="178"/>
      <c r="U76" s="12" t="s">
        <v>120</v>
      </c>
      <c r="W76" s="12" t="s">
        <v>1083</v>
      </c>
      <c r="X76" s="12" t="s">
        <v>2054</v>
      </c>
      <c r="Y76" s="178" t="s">
        <v>1198</v>
      </c>
      <c r="Z76" s="12" t="s">
        <v>2055</v>
      </c>
      <c r="AA76" s="178" t="s">
        <v>1217</v>
      </c>
      <c r="AB76" s="12" t="s">
        <v>2056</v>
      </c>
      <c r="AC76" s="178" t="s">
        <v>1426</v>
      </c>
      <c r="AD76" s="12" t="s">
        <v>2057</v>
      </c>
      <c r="AE76" s="12" t="s">
        <v>1075</v>
      </c>
      <c r="AF76" s="12" t="s">
        <v>2058</v>
      </c>
      <c r="AG76" s="12" t="s">
        <v>1092</v>
      </c>
      <c r="AH76" s="12" t="s">
        <v>1092</v>
      </c>
      <c r="AI76" s="12" t="s">
        <v>2059</v>
      </c>
      <c r="AJ76" s="12" t="s">
        <v>2060</v>
      </c>
      <c r="AK76" s="12" t="s">
        <v>1092</v>
      </c>
      <c r="AL76" s="12" t="s">
        <v>2061</v>
      </c>
      <c r="AM76" s="12" t="s">
        <v>1092</v>
      </c>
      <c r="AN76" s="12" t="s">
        <v>1092</v>
      </c>
      <c r="AO76" s="178" t="s">
        <v>1093</v>
      </c>
      <c r="AP76" s="178" t="s">
        <v>1093</v>
      </c>
      <c r="AQ76" s="178" t="s">
        <v>1092</v>
      </c>
      <c r="AR76" s="178" t="s">
        <v>1092</v>
      </c>
      <c r="AS76" s="178" t="s">
        <v>1118</v>
      </c>
      <c r="AT76" s="178" t="s">
        <v>1095</v>
      </c>
      <c r="AU76" s="178" t="s">
        <v>1095</v>
      </c>
      <c r="AV76" s="12" t="s">
        <v>1096</v>
      </c>
      <c r="AW76" s="12" t="s">
        <v>1097</v>
      </c>
      <c r="AX76" s="178" t="s">
        <v>2062</v>
      </c>
      <c r="AY76" s="178" t="s">
        <v>1093</v>
      </c>
      <c r="AZ76" s="12" t="s">
        <v>2063</v>
      </c>
      <c r="BA76" s="12" t="s">
        <v>1098</v>
      </c>
      <c r="BB76" s="12" t="s">
        <v>1098</v>
      </c>
      <c r="BD76" s="12" t="s">
        <v>1092</v>
      </c>
      <c r="BE76" s="12" t="s">
        <v>118</v>
      </c>
      <c r="BF76" s="12" t="s">
        <v>121</v>
      </c>
      <c r="BH76" s="12" t="s">
        <v>120</v>
      </c>
      <c r="BI76" s="179">
        <v>77</v>
      </c>
      <c r="BJ76" s="175">
        <v>42205</v>
      </c>
      <c r="BK76" s="176" t="s">
        <v>82</v>
      </c>
      <c r="BM76" s="12">
        <v>30</v>
      </c>
    </row>
    <row r="77" spans="1:65" x14ac:dyDescent="0.25">
      <c r="A77" s="12" t="s">
        <v>1957</v>
      </c>
      <c r="B77" s="12" t="s">
        <v>681</v>
      </c>
      <c r="C77" s="12" t="s">
        <v>682</v>
      </c>
      <c r="D77" s="12" t="s">
        <v>683</v>
      </c>
      <c r="E77" s="175">
        <v>42191</v>
      </c>
      <c r="F77" s="12" t="s">
        <v>2039</v>
      </c>
      <c r="G77" s="12" t="s">
        <v>1075</v>
      </c>
      <c r="H77" s="12" t="s">
        <v>2064</v>
      </c>
      <c r="I77" s="12" t="s">
        <v>2065</v>
      </c>
      <c r="J77" s="12" t="s">
        <v>2066</v>
      </c>
      <c r="K77" s="12" t="s">
        <v>1123</v>
      </c>
      <c r="L77" s="12" t="s">
        <v>1124</v>
      </c>
      <c r="M77" s="12" t="s">
        <v>1125</v>
      </c>
      <c r="O77" s="178" t="s">
        <v>1275</v>
      </c>
      <c r="P77" s="178" t="s">
        <v>2067</v>
      </c>
      <c r="Q77" s="12" t="s">
        <v>1125</v>
      </c>
      <c r="R77" s="179">
        <v>78</v>
      </c>
      <c r="S77" s="178"/>
      <c r="U77" s="12" t="s">
        <v>120</v>
      </c>
      <c r="W77" s="12" t="s">
        <v>1083</v>
      </c>
      <c r="X77" s="12" t="s">
        <v>1231</v>
      </c>
      <c r="Y77" s="178" t="s">
        <v>1145</v>
      </c>
      <c r="Z77" s="12" t="s">
        <v>2068</v>
      </c>
      <c r="AA77" s="178" t="s">
        <v>1326</v>
      </c>
      <c r="AB77" s="12" t="s">
        <v>2069</v>
      </c>
      <c r="AC77" s="178" t="s">
        <v>1505</v>
      </c>
      <c r="AD77" s="12" t="s">
        <v>2070</v>
      </c>
      <c r="AE77" s="12" t="s">
        <v>1075</v>
      </c>
      <c r="AF77" s="12" t="s">
        <v>2071</v>
      </c>
      <c r="AG77" s="12" t="s">
        <v>1092</v>
      </c>
      <c r="AH77" s="12" t="s">
        <v>1092</v>
      </c>
      <c r="AI77" s="12" t="s">
        <v>2072</v>
      </c>
      <c r="AJ77" s="12" t="s">
        <v>2073</v>
      </c>
      <c r="AK77" s="12" t="s">
        <v>1092</v>
      </c>
      <c r="AL77" s="12" t="s">
        <v>1092</v>
      </c>
      <c r="AM77" s="12" t="s">
        <v>1092</v>
      </c>
      <c r="AN77" s="12" t="s">
        <v>1092</v>
      </c>
      <c r="AO77" s="178" t="s">
        <v>1093</v>
      </c>
      <c r="AP77" s="178" t="s">
        <v>1093</v>
      </c>
      <c r="AQ77" s="178" t="s">
        <v>1093</v>
      </c>
      <c r="AR77" s="178" t="s">
        <v>1093</v>
      </c>
      <c r="AS77" s="178" t="s">
        <v>1118</v>
      </c>
      <c r="AT77" s="178" t="s">
        <v>1118</v>
      </c>
      <c r="AU77" s="178" t="s">
        <v>1094</v>
      </c>
      <c r="AV77" s="12" t="s">
        <v>1096</v>
      </c>
      <c r="AW77" s="12" t="s">
        <v>1097</v>
      </c>
      <c r="AY77" s="178" t="s">
        <v>1092</v>
      </c>
      <c r="AZ77" s="12" t="s">
        <v>2074</v>
      </c>
      <c r="BA77" s="12" t="s">
        <v>1098</v>
      </c>
      <c r="BB77" s="12" t="s">
        <v>2075</v>
      </c>
      <c r="BD77" s="12" t="s">
        <v>1092</v>
      </c>
      <c r="BE77" s="12" t="s">
        <v>118</v>
      </c>
      <c r="BF77" s="12" t="s">
        <v>121</v>
      </c>
      <c r="BH77" s="12" t="s">
        <v>120</v>
      </c>
      <c r="BI77" s="179">
        <v>78</v>
      </c>
      <c r="BJ77" s="175">
        <v>42194</v>
      </c>
      <c r="BK77" s="176" t="s">
        <v>119</v>
      </c>
      <c r="BL77" s="177">
        <v>200</v>
      </c>
      <c r="BM77" s="12">
        <v>28</v>
      </c>
    </row>
    <row r="78" spans="1:65" x14ac:dyDescent="0.25">
      <c r="A78" s="12" t="s">
        <v>1957</v>
      </c>
      <c r="B78" s="12" t="s">
        <v>684</v>
      </c>
      <c r="C78" s="12" t="s">
        <v>685</v>
      </c>
      <c r="D78" s="12" t="s">
        <v>686</v>
      </c>
      <c r="E78" s="175">
        <v>42191</v>
      </c>
      <c r="F78" s="12" t="s">
        <v>2076</v>
      </c>
      <c r="G78" s="12" t="s">
        <v>1075</v>
      </c>
      <c r="H78" s="12" t="s">
        <v>2077</v>
      </c>
      <c r="I78" s="12" t="s">
        <v>2078</v>
      </c>
      <c r="J78" s="12" t="s">
        <v>2079</v>
      </c>
      <c r="K78" s="12" t="s">
        <v>1514</v>
      </c>
      <c r="L78" s="12" t="s">
        <v>1515</v>
      </c>
      <c r="M78" s="12" t="s">
        <v>1516</v>
      </c>
      <c r="O78" s="178" t="s">
        <v>1936</v>
      </c>
      <c r="P78" s="178" t="s">
        <v>2080</v>
      </c>
      <c r="Q78" s="12" t="s">
        <v>1516</v>
      </c>
      <c r="R78" s="179">
        <v>79</v>
      </c>
      <c r="S78" s="178"/>
      <c r="U78" s="12" t="s">
        <v>120</v>
      </c>
      <c r="W78" s="12" t="s">
        <v>1083</v>
      </c>
      <c r="X78" s="12" t="s">
        <v>1977</v>
      </c>
      <c r="Y78" s="178" t="s">
        <v>2081</v>
      </c>
      <c r="Z78" s="12" t="s">
        <v>2082</v>
      </c>
      <c r="AA78" s="178" t="s">
        <v>1616</v>
      </c>
      <c r="AB78" s="12" t="s">
        <v>2083</v>
      </c>
      <c r="AC78" s="178" t="s">
        <v>2084</v>
      </c>
      <c r="AD78" s="12" t="s">
        <v>2085</v>
      </c>
      <c r="AE78" s="12" t="s">
        <v>1075</v>
      </c>
      <c r="AF78" s="12" t="s">
        <v>2086</v>
      </c>
      <c r="AG78" s="12" t="s">
        <v>1092</v>
      </c>
      <c r="AH78" s="12" t="s">
        <v>1092</v>
      </c>
      <c r="AI78" s="12" t="s">
        <v>2087</v>
      </c>
      <c r="AJ78" s="12" t="s">
        <v>2088</v>
      </c>
      <c r="AK78" s="12" t="s">
        <v>1092</v>
      </c>
      <c r="AL78" s="12" t="s">
        <v>1092</v>
      </c>
      <c r="AM78" s="12" t="s">
        <v>1092</v>
      </c>
      <c r="AN78" s="12" t="s">
        <v>1092</v>
      </c>
      <c r="AO78" s="178" t="s">
        <v>1093</v>
      </c>
      <c r="AP78" s="178" t="s">
        <v>1093</v>
      </c>
      <c r="AQ78" s="178" t="s">
        <v>1093</v>
      </c>
      <c r="AR78" s="178" t="s">
        <v>1092</v>
      </c>
      <c r="AS78" s="178" t="s">
        <v>1118</v>
      </c>
      <c r="AT78" s="178" t="s">
        <v>1118</v>
      </c>
      <c r="AU78" s="178" t="s">
        <v>1095</v>
      </c>
      <c r="AV78" s="12" t="s">
        <v>1096</v>
      </c>
      <c r="AW78" s="12" t="s">
        <v>1097</v>
      </c>
      <c r="AY78" s="178" t="s">
        <v>1092</v>
      </c>
      <c r="AZ78" s="12" t="s">
        <v>2089</v>
      </c>
      <c r="BA78" s="12" t="s">
        <v>1098</v>
      </c>
      <c r="BB78" s="12" t="s">
        <v>1098</v>
      </c>
      <c r="BD78" s="12" t="s">
        <v>1092</v>
      </c>
      <c r="BE78" s="12" t="s">
        <v>118</v>
      </c>
      <c r="BF78" s="12" t="s">
        <v>121</v>
      </c>
      <c r="BH78" s="12" t="s">
        <v>120</v>
      </c>
      <c r="BI78" s="179">
        <v>79</v>
      </c>
      <c r="BJ78" s="175">
        <v>42205</v>
      </c>
      <c r="BK78" s="176" t="s">
        <v>82</v>
      </c>
      <c r="BM78" s="12">
        <v>30</v>
      </c>
    </row>
    <row r="79" spans="1:65" x14ac:dyDescent="0.25">
      <c r="A79" s="12" t="s">
        <v>1957</v>
      </c>
      <c r="B79" s="12" t="s">
        <v>687</v>
      </c>
      <c r="C79" s="12" t="s">
        <v>688</v>
      </c>
      <c r="D79" s="12" t="s">
        <v>689</v>
      </c>
      <c r="E79" s="175">
        <v>42191</v>
      </c>
      <c r="F79" s="12" t="s">
        <v>2090</v>
      </c>
      <c r="G79" s="12" t="s">
        <v>1075</v>
      </c>
      <c r="H79" s="12" t="s">
        <v>2091</v>
      </c>
      <c r="I79" s="12" t="s">
        <v>2092</v>
      </c>
      <c r="J79" s="12" t="s">
        <v>2093</v>
      </c>
      <c r="K79" s="12" t="s">
        <v>1123</v>
      </c>
      <c r="L79" s="12" t="s">
        <v>1124</v>
      </c>
      <c r="M79" s="12" t="s">
        <v>1105</v>
      </c>
      <c r="Q79" s="12" t="s">
        <v>1105</v>
      </c>
      <c r="R79" s="179">
        <v>80</v>
      </c>
      <c r="S79" s="178"/>
      <c r="U79" s="12" t="s">
        <v>120</v>
      </c>
      <c r="W79" s="12" t="s">
        <v>1083</v>
      </c>
      <c r="X79" s="12" t="s">
        <v>1231</v>
      </c>
      <c r="Y79" s="178" t="s">
        <v>1183</v>
      </c>
      <c r="Z79" s="12" t="s">
        <v>2094</v>
      </c>
      <c r="AA79" s="178" t="s">
        <v>2095</v>
      </c>
      <c r="AB79" s="12" t="s">
        <v>2096</v>
      </c>
      <c r="AC79" s="178" t="s">
        <v>1400</v>
      </c>
      <c r="AD79" s="12" t="s">
        <v>2097</v>
      </c>
      <c r="AE79" s="12" t="s">
        <v>1075</v>
      </c>
      <c r="AF79" s="12" t="s">
        <v>2098</v>
      </c>
      <c r="AG79" s="12" t="s">
        <v>1092</v>
      </c>
      <c r="AH79" s="12" t="s">
        <v>1092</v>
      </c>
      <c r="AI79" s="12" t="s">
        <v>2099</v>
      </c>
      <c r="AJ79" s="12" t="s">
        <v>2100</v>
      </c>
      <c r="AK79" s="12" t="s">
        <v>1092</v>
      </c>
      <c r="AL79" s="12" t="s">
        <v>1092</v>
      </c>
      <c r="AM79" s="12" t="s">
        <v>1092</v>
      </c>
      <c r="AN79" s="12" t="s">
        <v>1092</v>
      </c>
      <c r="AO79" s="178" t="s">
        <v>1093</v>
      </c>
      <c r="AP79" s="178" t="s">
        <v>1092</v>
      </c>
      <c r="AQ79" s="178" t="s">
        <v>1092</v>
      </c>
      <c r="AR79" s="178" t="s">
        <v>1092</v>
      </c>
      <c r="AS79" s="178" t="s">
        <v>1118</v>
      </c>
      <c r="AT79" s="178" t="s">
        <v>1095</v>
      </c>
      <c r="AU79" s="178" t="s">
        <v>1095</v>
      </c>
      <c r="AV79" s="12" t="s">
        <v>1096</v>
      </c>
      <c r="AW79" s="12" t="s">
        <v>1097</v>
      </c>
      <c r="AY79" s="178" t="s">
        <v>1092</v>
      </c>
      <c r="AZ79" s="12" t="s">
        <v>2101</v>
      </c>
      <c r="BA79" s="12" t="s">
        <v>2102</v>
      </c>
      <c r="BB79" s="12" t="s">
        <v>1098</v>
      </c>
      <c r="BD79" s="12" t="s">
        <v>1092</v>
      </c>
      <c r="BE79" s="12" t="s">
        <v>118</v>
      </c>
      <c r="BF79" s="12" t="s">
        <v>121</v>
      </c>
      <c r="BH79" s="12" t="s">
        <v>120</v>
      </c>
      <c r="BI79" s="179">
        <v>80</v>
      </c>
      <c r="BJ79" s="175">
        <v>42201</v>
      </c>
      <c r="BK79" s="176" t="s">
        <v>119</v>
      </c>
      <c r="BL79" s="177">
        <v>168.94</v>
      </c>
      <c r="BM79" s="12">
        <v>29</v>
      </c>
    </row>
    <row r="80" spans="1:65" x14ac:dyDescent="0.25">
      <c r="A80" s="12" t="s">
        <v>2103</v>
      </c>
      <c r="B80" s="12" t="s">
        <v>690</v>
      </c>
      <c r="C80" s="12" t="s">
        <v>691</v>
      </c>
      <c r="D80" s="12" t="s">
        <v>692</v>
      </c>
      <c r="E80" s="175">
        <v>42191</v>
      </c>
      <c r="F80" s="12" t="s">
        <v>1438</v>
      </c>
      <c r="G80" s="12" t="s">
        <v>1075</v>
      </c>
      <c r="H80" s="12" t="s">
        <v>2104</v>
      </c>
      <c r="I80" s="12" t="s">
        <v>2105</v>
      </c>
      <c r="K80" s="12" t="s">
        <v>1078</v>
      </c>
      <c r="L80" s="12" t="s">
        <v>1079</v>
      </c>
      <c r="M80" s="12" t="s">
        <v>1342</v>
      </c>
      <c r="O80" s="178" t="s">
        <v>1163</v>
      </c>
      <c r="P80" s="178" t="s">
        <v>2106</v>
      </c>
      <c r="Q80" s="12" t="s">
        <v>1342</v>
      </c>
      <c r="R80" s="179">
        <v>81</v>
      </c>
      <c r="S80" s="178"/>
      <c r="U80" s="12" t="s">
        <v>120</v>
      </c>
      <c r="W80" s="12" t="s">
        <v>1083</v>
      </c>
      <c r="X80" s="12" t="s">
        <v>2107</v>
      </c>
      <c r="Y80" s="178" t="s">
        <v>2108</v>
      </c>
      <c r="Z80" s="12" t="s">
        <v>2109</v>
      </c>
      <c r="AB80" s="12" t="s">
        <v>1185</v>
      </c>
      <c r="AD80" s="12" t="s">
        <v>1185</v>
      </c>
      <c r="AE80" s="12" t="s">
        <v>1075</v>
      </c>
      <c r="AF80" s="12" t="s">
        <v>2110</v>
      </c>
      <c r="AG80" s="12" t="s">
        <v>1092</v>
      </c>
      <c r="AH80" s="12" t="s">
        <v>1092</v>
      </c>
      <c r="AI80" s="12" t="s">
        <v>2111</v>
      </c>
      <c r="AJ80" s="12" t="s">
        <v>2112</v>
      </c>
      <c r="AK80" s="12" t="s">
        <v>2113</v>
      </c>
      <c r="AL80" s="12" t="s">
        <v>1092</v>
      </c>
      <c r="AM80" s="12" t="s">
        <v>1092</v>
      </c>
      <c r="AN80" s="12" t="s">
        <v>1092</v>
      </c>
      <c r="AO80" s="178" t="s">
        <v>1093</v>
      </c>
      <c r="AP80" s="178" t="s">
        <v>1093</v>
      </c>
      <c r="AQ80" s="178" t="s">
        <v>1093</v>
      </c>
      <c r="AR80" s="178" t="s">
        <v>1093</v>
      </c>
      <c r="AS80" s="178" t="s">
        <v>1118</v>
      </c>
      <c r="AT80" s="178" t="s">
        <v>1118</v>
      </c>
      <c r="AU80" s="178" t="s">
        <v>1118</v>
      </c>
      <c r="AV80" s="12" t="s">
        <v>1096</v>
      </c>
      <c r="AW80" s="12" t="s">
        <v>1097</v>
      </c>
      <c r="AX80" s="178" t="s">
        <v>1156</v>
      </c>
      <c r="AY80" s="178" t="s">
        <v>1093</v>
      </c>
      <c r="AZ80" s="12" t="s">
        <v>2114</v>
      </c>
      <c r="BA80" s="12" t="s">
        <v>1098</v>
      </c>
      <c r="BB80" s="12" t="s">
        <v>1098</v>
      </c>
      <c r="BD80" s="12" t="s">
        <v>1092</v>
      </c>
      <c r="BE80" s="12" t="s">
        <v>118</v>
      </c>
      <c r="BF80" s="12" t="s">
        <v>121</v>
      </c>
      <c r="BH80" s="12" t="s">
        <v>120</v>
      </c>
      <c r="BI80" s="179">
        <v>81</v>
      </c>
      <c r="BJ80" s="175">
        <v>42202</v>
      </c>
      <c r="BK80" s="176" t="s">
        <v>82</v>
      </c>
      <c r="BM80" s="12">
        <v>29</v>
      </c>
    </row>
    <row r="81" spans="1:66" x14ac:dyDescent="0.25">
      <c r="A81" s="12" t="s">
        <v>2103</v>
      </c>
      <c r="B81" s="12" t="s">
        <v>693</v>
      </c>
      <c r="C81" s="12" t="s">
        <v>694</v>
      </c>
      <c r="D81" s="12" t="s">
        <v>695</v>
      </c>
      <c r="E81" s="175">
        <v>42191</v>
      </c>
      <c r="F81" s="12" t="s">
        <v>2115</v>
      </c>
      <c r="G81" s="12" t="s">
        <v>1075</v>
      </c>
      <c r="H81" s="12" t="s">
        <v>2116</v>
      </c>
      <c r="I81" s="12" t="s">
        <v>2117</v>
      </c>
      <c r="K81" s="12" t="s">
        <v>1078</v>
      </c>
      <c r="L81" s="12" t="s">
        <v>1079</v>
      </c>
      <c r="M81" s="12" t="s">
        <v>1342</v>
      </c>
      <c r="O81" s="178" t="s">
        <v>1488</v>
      </c>
      <c r="P81" s="178" t="s">
        <v>2118</v>
      </c>
      <c r="Q81" s="12" t="s">
        <v>1342</v>
      </c>
      <c r="R81" s="179">
        <v>82</v>
      </c>
      <c r="S81" s="178"/>
      <c r="U81" s="12" t="s">
        <v>120</v>
      </c>
      <c r="W81" s="12" t="s">
        <v>1083</v>
      </c>
      <c r="X81" s="12" t="s">
        <v>1464</v>
      </c>
      <c r="Y81" s="178" t="s">
        <v>1147</v>
      </c>
      <c r="Z81" s="12" t="s">
        <v>2119</v>
      </c>
      <c r="AA81" s="178" t="s">
        <v>1985</v>
      </c>
      <c r="AB81" s="12" t="s">
        <v>2120</v>
      </c>
      <c r="AC81" s="178" t="s">
        <v>1590</v>
      </c>
      <c r="AD81" s="12" t="s">
        <v>1360</v>
      </c>
      <c r="AE81" s="12" t="s">
        <v>1075</v>
      </c>
      <c r="AF81" s="12" t="s">
        <v>2121</v>
      </c>
      <c r="AG81" s="12" t="s">
        <v>1092</v>
      </c>
      <c r="AH81" s="12" t="s">
        <v>1092</v>
      </c>
      <c r="AI81" s="12" t="s">
        <v>2122</v>
      </c>
      <c r="AJ81" s="12" t="s">
        <v>2123</v>
      </c>
      <c r="AK81" s="12" t="s">
        <v>1092</v>
      </c>
      <c r="AL81" s="12" t="s">
        <v>1092</v>
      </c>
      <c r="AM81" s="12" t="s">
        <v>1092</v>
      </c>
      <c r="AN81" s="12" t="s">
        <v>1092</v>
      </c>
      <c r="AO81" s="178" t="s">
        <v>1093</v>
      </c>
      <c r="AP81" s="178" t="s">
        <v>1093</v>
      </c>
      <c r="AQ81" s="178" t="s">
        <v>1093</v>
      </c>
      <c r="AR81" s="178" t="s">
        <v>1093</v>
      </c>
      <c r="AS81" s="178" t="s">
        <v>1118</v>
      </c>
      <c r="AT81" s="178" t="s">
        <v>1118</v>
      </c>
      <c r="AU81" s="178" t="s">
        <v>1094</v>
      </c>
      <c r="AV81" s="12" t="s">
        <v>1096</v>
      </c>
      <c r="AW81" s="12" t="s">
        <v>1097</v>
      </c>
      <c r="AY81" s="178" t="s">
        <v>1092</v>
      </c>
      <c r="AZ81" s="12" t="s">
        <v>2124</v>
      </c>
      <c r="BA81" s="12" t="s">
        <v>1098</v>
      </c>
      <c r="BB81" s="12" t="s">
        <v>2125</v>
      </c>
      <c r="BC81" s="178" t="s">
        <v>1205</v>
      </c>
      <c r="BD81" s="12" t="s">
        <v>1092</v>
      </c>
      <c r="BE81" s="12" t="s">
        <v>118</v>
      </c>
      <c r="BF81" s="12" t="s">
        <v>121</v>
      </c>
      <c r="BH81" s="12" t="s">
        <v>120</v>
      </c>
      <c r="BI81" s="179">
        <v>82</v>
      </c>
      <c r="BJ81" s="175">
        <v>42199</v>
      </c>
      <c r="BK81" s="176" t="s">
        <v>119</v>
      </c>
      <c r="BL81" s="177">
        <v>400</v>
      </c>
      <c r="BM81" s="12">
        <v>29</v>
      </c>
    </row>
    <row r="82" spans="1:66" x14ac:dyDescent="0.25">
      <c r="A82" s="12" t="s">
        <v>2103</v>
      </c>
      <c r="B82" s="12" t="s">
        <v>696</v>
      </c>
      <c r="C82" s="12" t="s">
        <v>697</v>
      </c>
      <c r="D82" s="12" t="s">
        <v>698</v>
      </c>
      <c r="E82" s="175">
        <v>42191</v>
      </c>
      <c r="F82" s="12" t="s">
        <v>2126</v>
      </c>
      <c r="G82" s="12" t="s">
        <v>1075</v>
      </c>
      <c r="H82" s="12" t="s">
        <v>2127</v>
      </c>
      <c r="I82" s="12" t="s">
        <v>2128</v>
      </c>
      <c r="J82" s="12" t="s">
        <v>1367</v>
      </c>
      <c r="K82" s="12" t="s">
        <v>1078</v>
      </c>
      <c r="L82" s="12" t="s">
        <v>1079</v>
      </c>
      <c r="M82" s="12" t="s">
        <v>1342</v>
      </c>
      <c r="O82" s="178" t="s">
        <v>1451</v>
      </c>
      <c r="P82" s="178" t="s">
        <v>2129</v>
      </c>
      <c r="Q82" s="12" t="s">
        <v>1342</v>
      </c>
      <c r="R82" s="179">
        <v>83</v>
      </c>
      <c r="S82" s="178"/>
      <c r="U82" s="12" t="s">
        <v>120</v>
      </c>
      <c r="W82" s="12" t="s">
        <v>1083</v>
      </c>
      <c r="X82" s="12" t="s">
        <v>1329</v>
      </c>
      <c r="Y82" s="178" t="s">
        <v>2130</v>
      </c>
      <c r="Z82" s="12" t="s">
        <v>2131</v>
      </c>
      <c r="AA82" s="178" t="s">
        <v>1520</v>
      </c>
      <c r="AB82" s="12" t="s">
        <v>1112</v>
      </c>
      <c r="AC82" s="178" t="s">
        <v>1566</v>
      </c>
      <c r="AD82" s="12" t="s">
        <v>2132</v>
      </c>
      <c r="AE82" s="12" t="s">
        <v>1075</v>
      </c>
      <c r="AF82" s="12" t="s">
        <v>2133</v>
      </c>
      <c r="AG82" s="12" t="s">
        <v>1092</v>
      </c>
      <c r="AH82" s="12" t="s">
        <v>1092</v>
      </c>
      <c r="AI82" s="12" t="s">
        <v>2134</v>
      </c>
      <c r="AJ82" s="12" t="s">
        <v>2135</v>
      </c>
      <c r="AK82" s="12" t="s">
        <v>2136</v>
      </c>
      <c r="AL82" s="12" t="s">
        <v>1092</v>
      </c>
      <c r="AM82" s="12" t="s">
        <v>1092</v>
      </c>
      <c r="AN82" s="12" t="s">
        <v>1092</v>
      </c>
      <c r="AO82" s="178" t="s">
        <v>1093</v>
      </c>
      <c r="AP82" s="178" t="s">
        <v>1093</v>
      </c>
      <c r="AQ82" s="178" t="s">
        <v>1093</v>
      </c>
      <c r="AR82" s="178" t="s">
        <v>1092</v>
      </c>
      <c r="AS82" s="178" t="s">
        <v>1118</v>
      </c>
      <c r="AT82" s="178" t="s">
        <v>1118</v>
      </c>
      <c r="AU82" s="178" t="s">
        <v>1095</v>
      </c>
      <c r="AV82" s="12" t="s">
        <v>1096</v>
      </c>
      <c r="AW82" s="12" t="s">
        <v>1097</v>
      </c>
      <c r="AX82" s="178" t="s">
        <v>2137</v>
      </c>
      <c r="AY82" s="178" t="s">
        <v>1093</v>
      </c>
      <c r="AZ82" s="12" t="s">
        <v>2138</v>
      </c>
      <c r="BA82" s="12" t="s">
        <v>1098</v>
      </c>
      <c r="BB82" s="12" t="s">
        <v>2139</v>
      </c>
      <c r="BD82" s="12" t="s">
        <v>1092</v>
      </c>
      <c r="BE82" s="12" t="s">
        <v>118</v>
      </c>
      <c r="BF82" s="12" t="s">
        <v>121</v>
      </c>
      <c r="BH82" s="12" t="s">
        <v>120</v>
      </c>
      <c r="BI82" s="179">
        <v>83</v>
      </c>
      <c r="BJ82" s="175">
        <v>42203</v>
      </c>
      <c r="BK82" s="176" t="s">
        <v>119</v>
      </c>
      <c r="BL82" s="177">
        <v>324</v>
      </c>
      <c r="BM82" s="12">
        <v>29</v>
      </c>
    </row>
    <row r="83" spans="1:66" x14ac:dyDescent="0.25">
      <c r="A83" s="12" t="s">
        <v>2103</v>
      </c>
      <c r="B83" s="12" t="s">
        <v>699</v>
      </c>
      <c r="C83" s="12" t="s">
        <v>700</v>
      </c>
      <c r="D83" s="12" t="s">
        <v>701</v>
      </c>
      <c r="E83" s="175">
        <v>42191</v>
      </c>
      <c r="F83" s="12" t="s">
        <v>2140</v>
      </c>
      <c r="G83" s="12" t="s">
        <v>1075</v>
      </c>
      <c r="H83" s="12" t="s">
        <v>2141</v>
      </c>
      <c r="I83" s="12" t="s">
        <v>2142</v>
      </c>
      <c r="J83" s="12" t="s">
        <v>2143</v>
      </c>
      <c r="K83" s="12" t="s">
        <v>1103</v>
      </c>
      <c r="L83" s="12" t="s">
        <v>1104</v>
      </c>
      <c r="M83" s="12" t="s">
        <v>1105</v>
      </c>
      <c r="O83" s="178" t="s">
        <v>2144</v>
      </c>
      <c r="P83" s="178" t="s">
        <v>2145</v>
      </c>
      <c r="Q83" s="12" t="s">
        <v>1105</v>
      </c>
      <c r="R83" s="179">
        <v>84</v>
      </c>
      <c r="S83" s="178"/>
      <c r="U83" s="12" t="s">
        <v>120</v>
      </c>
      <c r="W83" s="12" t="s">
        <v>1083</v>
      </c>
      <c r="X83" s="12" t="s">
        <v>1519</v>
      </c>
      <c r="Y83" s="178" t="s">
        <v>1370</v>
      </c>
      <c r="Z83" s="12" t="s">
        <v>2146</v>
      </c>
      <c r="AA83" s="178" t="s">
        <v>1503</v>
      </c>
      <c r="AB83" s="12" t="s">
        <v>2147</v>
      </c>
      <c r="AC83" s="178" t="s">
        <v>1730</v>
      </c>
      <c r="AD83" s="12" t="s">
        <v>2148</v>
      </c>
      <c r="AE83" s="12" t="s">
        <v>1075</v>
      </c>
      <c r="AF83" s="12" t="s">
        <v>2149</v>
      </c>
      <c r="AG83" s="12" t="s">
        <v>1092</v>
      </c>
      <c r="AH83" s="12" t="s">
        <v>1092</v>
      </c>
      <c r="AI83" s="12" t="s">
        <v>2150</v>
      </c>
      <c r="AJ83" s="12" t="s">
        <v>2151</v>
      </c>
      <c r="AK83" s="12" t="s">
        <v>1092</v>
      </c>
      <c r="AL83" s="12" t="s">
        <v>1092</v>
      </c>
      <c r="AM83" s="12" t="s">
        <v>1092</v>
      </c>
      <c r="AN83" s="12" t="s">
        <v>1092</v>
      </c>
      <c r="AO83" s="178" t="s">
        <v>1093</v>
      </c>
      <c r="AP83" s="178" t="s">
        <v>1093</v>
      </c>
      <c r="AQ83" s="178" t="s">
        <v>1093</v>
      </c>
      <c r="AR83" s="178" t="s">
        <v>1092</v>
      </c>
      <c r="AS83" s="178" t="s">
        <v>1118</v>
      </c>
      <c r="AT83" s="178" t="s">
        <v>1118</v>
      </c>
      <c r="AU83" s="178" t="s">
        <v>1095</v>
      </c>
      <c r="AV83" s="12" t="s">
        <v>1096</v>
      </c>
      <c r="AW83" s="12" t="s">
        <v>1097</v>
      </c>
      <c r="AY83" s="178" t="s">
        <v>1092</v>
      </c>
      <c r="AZ83" s="12" t="s">
        <v>2152</v>
      </c>
      <c r="BA83" s="12" t="s">
        <v>1098</v>
      </c>
      <c r="BB83" s="12" t="s">
        <v>1098</v>
      </c>
      <c r="BD83" s="12" t="s">
        <v>1092</v>
      </c>
      <c r="BE83" s="12" t="s">
        <v>118</v>
      </c>
      <c r="BF83" s="12" t="s">
        <v>121</v>
      </c>
      <c r="BH83" s="12" t="s">
        <v>120</v>
      </c>
      <c r="BI83" s="179">
        <v>84</v>
      </c>
      <c r="BJ83" s="175">
        <v>42205</v>
      </c>
      <c r="BK83" s="176" t="s">
        <v>82</v>
      </c>
      <c r="BM83" s="12">
        <v>30</v>
      </c>
    </row>
    <row r="84" spans="1:66" x14ac:dyDescent="0.25">
      <c r="A84" s="12" t="s">
        <v>2103</v>
      </c>
      <c r="B84" s="12" t="s">
        <v>702</v>
      </c>
      <c r="C84" s="12" t="s">
        <v>703</v>
      </c>
      <c r="D84" s="12" t="s">
        <v>704</v>
      </c>
      <c r="E84" s="175">
        <v>42191</v>
      </c>
      <c r="F84" s="12" t="s">
        <v>2153</v>
      </c>
      <c r="G84" s="12" t="s">
        <v>1075</v>
      </c>
      <c r="H84" s="12" t="s">
        <v>2154</v>
      </c>
      <c r="I84" s="12" t="s">
        <v>2155</v>
      </c>
      <c r="K84" s="12" t="s">
        <v>1103</v>
      </c>
      <c r="L84" s="12" t="s">
        <v>1104</v>
      </c>
      <c r="M84" s="12" t="s">
        <v>1180</v>
      </c>
      <c r="O84" s="178" t="s">
        <v>2156</v>
      </c>
      <c r="P84" s="178" t="s">
        <v>2157</v>
      </c>
      <c r="Q84" s="12" t="s">
        <v>1180</v>
      </c>
      <c r="R84" s="179">
        <v>85</v>
      </c>
      <c r="S84" s="178"/>
      <c r="U84" s="12" t="s">
        <v>120</v>
      </c>
      <c r="W84" s="12" t="s">
        <v>1083</v>
      </c>
      <c r="X84" s="12" t="s">
        <v>1084</v>
      </c>
      <c r="Y84" s="178" t="s">
        <v>1147</v>
      </c>
      <c r="Z84" s="12" t="s">
        <v>1348</v>
      </c>
      <c r="AA84" s="178" t="s">
        <v>1883</v>
      </c>
      <c r="AB84" s="12" t="s">
        <v>2158</v>
      </c>
      <c r="AC84" s="178" t="s">
        <v>2159</v>
      </c>
      <c r="AD84" s="12" t="s">
        <v>2160</v>
      </c>
      <c r="AE84" s="12" t="s">
        <v>1075</v>
      </c>
      <c r="AF84" s="12" t="s">
        <v>2161</v>
      </c>
      <c r="AG84" s="12" t="s">
        <v>1092</v>
      </c>
      <c r="AH84" s="12" t="s">
        <v>1092</v>
      </c>
      <c r="AI84" s="12" t="s">
        <v>2162</v>
      </c>
      <c r="AJ84" s="12" t="s">
        <v>2163</v>
      </c>
      <c r="AK84" s="12" t="s">
        <v>1092</v>
      </c>
      <c r="AL84" s="12" t="s">
        <v>1092</v>
      </c>
      <c r="AM84" s="12" t="s">
        <v>1092</v>
      </c>
      <c r="AN84" s="12" t="s">
        <v>1092</v>
      </c>
      <c r="AO84" s="178" t="s">
        <v>1092</v>
      </c>
      <c r="AP84" s="178" t="s">
        <v>1092</v>
      </c>
      <c r="AQ84" s="178" t="s">
        <v>1093</v>
      </c>
      <c r="AR84" s="178" t="s">
        <v>1092</v>
      </c>
      <c r="AS84" s="178" t="s">
        <v>1155</v>
      </c>
      <c r="AT84" s="178" t="s">
        <v>1118</v>
      </c>
      <c r="AU84" s="178" t="s">
        <v>1095</v>
      </c>
      <c r="AV84" s="12" t="s">
        <v>1096</v>
      </c>
      <c r="AW84" s="12" t="s">
        <v>1097</v>
      </c>
      <c r="AY84" s="178" t="s">
        <v>1092</v>
      </c>
      <c r="AZ84" s="12" t="s">
        <v>2164</v>
      </c>
      <c r="BA84" s="12" t="s">
        <v>1098</v>
      </c>
      <c r="BB84" s="12" t="s">
        <v>1098</v>
      </c>
      <c r="BD84" s="12" t="s">
        <v>1092</v>
      </c>
      <c r="BE84" s="12" t="s">
        <v>118</v>
      </c>
      <c r="BF84" s="12" t="s">
        <v>121</v>
      </c>
      <c r="BH84" s="12" t="s">
        <v>120</v>
      </c>
      <c r="BI84" s="179">
        <v>85</v>
      </c>
      <c r="BJ84" s="175">
        <v>42205</v>
      </c>
      <c r="BK84" s="176" t="s">
        <v>82</v>
      </c>
      <c r="BM84" s="12">
        <v>30</v>
      </c>
    </row>
    <row r="85" spans="1:66" x14ac:dyDescent="0.25">
      <c r="A85" s="12" t="s">
        <v>2103</v>
      </c>
      <c r="B85" s="12" t="s">
        <v>705</v>
      </c>
      <c r="C85" s="12" t="s">
        <v>706</v>
      </c>
      <c r="D85" s="12" t="s">
        <v>707</v>
      </c>
      <c r="E85" s="175">
        <v>42191</v>
      </c>
      <c r="F85" s="12" t="s">
        <v>2165</v>
      </c>
      <c r="G85" s="12" t="s">
        <v>1075</v>
      </c>
      <c r="H85" s="12" t="s">
        <v>2166</v>
      </c>
      <c r="I85" s="12" t="s">
        <v>2167</v>
      </c>
      <c r="K85" s="12" t="s">
        <v>1209</v>
      </c>
      <c r="L85" s="12" t="s">
        <v>1210</v>
      </c>
      <c r="M85" s="12" t="s">
        <v>1211</v>
      </c>
      <c r="O85" s="178" t="s">
        <v>1812</v>
      </c>
      <c r="P85" s="178" t="s">
        <v>2168</v>
      </c>
      <c r="Q85" s="12" t="s">
        <v>1211</v>
      </c>
      <c r="R85" s="179">
        <v>86</v>
      </c>
      <c r="S85" s="178"/>
      <c r="U85" s="12" t="s">
        <v>120</v>
      </c>
      <c r="W85" s="12" t="s">
        <v>1083</v>
      </c>
      <c r="X85" s="12" t="s">
        <v>1519</v>
      </c>
      <c r="Y85" s="178" t="s">
        <v>1147</v>
      </c>
      <c r="Z85" s="12" t="s">
        <v>2169</v>
      </c>
      <c r="AA85" s="178" t="s">
        <v>1491</v>
      </c>
      <c r="AB85" s="12" t="s">
        <v>2170</v>
      </c>
      <c r="AC85" s="178" t="s">
        <v>1265</v>
      </c>
      <c r="AD85" s="12" t="s">
        <v>2171</v>
      </c>
      <c r="AE85" s="12" t="s">
        <v>1075</v>
      </c>
      <c r="AF85" s="12" t="s">
        <v>2172</v>
      </c>
      <c r="AG85" s="12" t="s">
        <v>1092</v>
      </c>
      <c r="AH85" s="12" t="s">
        <v>1092</v>
      </c>
      <c r="AI85" s="12" t="s">
        <v>2173</v>
      </c>
      <c r="AJ85" s="12" t="s">
        <v>2174</v>
      </c>
      <c r="AK85" s="12" t="s">
        <v>1092</v>
      </c>
      <c r="AL85" s="12" t="s">
        <v>1092</v>
      </c>
      <c r="AM85" s="12" t="s">
        <v>1092</v>
      </c>
      <c r="AN85" s="12" t="s">
        <v>1092</v>
      </c>
      <c r="AO85" s="178" t="s">
        <v>1093</v>
      </c>
      <c r="AP85" s="178" t="s">
        <v>1093</v>
      </c>
      <c r="AQ85" s="178" t="s">
        <v>1093</v>
      </c>
      <c r="AR85" s="178" t="s">
        <v>1092</v>
      </c>
      <c r="AS85" s="178" t="s">
        <v>1118</v>
      </c>
      <c r="AT85" s="178" t="s">
        <v>1118</v>
      </c>
      <c r="AU85" s="178" t="s">
        <v>1095</v>
      </c>
      <c r="AV85" s="12" t="s">
        <v>1096</v>
      </c>
      <c r="AW85" s="12" t="s">
        <v>1097</v>
      </c>
      <c r="AX85" s="178" t="s">
        <v>2175</v>
      </c>
      <c r="AY85" s="178" t="s">
        <v>1213</v>
      </c>
      <c r="AZ85" s="12" t="s">
        <v>2176</v>
      </c>
      <c r="BA85" s="12" t="s">
        <v>1098</v>
      </c>
      <c r="BB85" s="12" t="s">
        <v>1098</v>
      </c>
      <c r="BC85" s="178" t="s">
        <v>1205</v>
      </c>
      <c r="BD85" s="12" t="s">
        <v>1092</v>
      </c>
      <c r="BE85" s="12" t="s">
        <v>118</v>
      </c>
      <c r="BF85" s="12" t="s">
        <v>121</v>
      </c>
      <c r="BH85" s="12" t="s">
        <v>120</v>
      </c>
      <c r="BI85" s="179">
        <v>86</v>
      </c>
      <c r="BJ85" s="175">
        <v>42202</v>
      </c>
      <c r="BK85" s="176" t="s">
        <v>82</v>
      </c>
      <c r="BM85" s="12">
        <v>29</v>
      </c>
    </row>
    <row r="86" spans="1:66" x14ac:dyDescent="0.25">
      <c r="A86" s="12" t="s">
        <v>2103</v>
      </c>
      <c r="B86" s="12" t="s">
        <v>708</v>
      </c>
      <c r="C86" s="12" t="s">
        <v>709</v>
      </c>
      <c r="D86" s="12" t="s">
        <v>710</v>
      </c>
      <c r="E86" s="175">
        <v>42191</v>
      </c>
      <c r="F86" s="12" t="s">
        <v>1633</v>
      </c>
      <c r="G86" s="12" t="s">
        <v>1075</v>
      </c>
      <c r="H86" s="12" t="s">
        <v>2177</v>
      </c>
      <c r="I86" s="12" t="s">
        <v>2178</v>
      </c>
      <c r="J86" s="12" t="s">
        <v>2179</v>
      </c>
      <c r="K86" s="12" t="s">
        <v>1078</v>
      </c>
      <c r="L86" s="12" t="s">
        <v>1079</v>
      </c>
      <c r="M86" s="12" t="s">
        <v>1342</v>
      </c>
      <c r="O86" s="178" t="s">
        <v>1126</v>
      </c>
      <c r="P86" s="178" t="s">
        <v>2180</v>
      </c>
      <c r="Q86" s="12" t="s">
        <v>1342</v>
      </c>
      <c r="R86" s="179">
        <v>87</v>
      </c>
      <c r="S86" s="178"/>
      <c r="U86" s="12" t="s">
        <v>120</v>
      </c>
      <c r="W86" s="12" t="s">
        <v>1083</v>
      </c>
      <c r="X86" s="12" t="s">
        <v>1519</v>
      </c>
      <c r="Y86" s="178" t="s">
        <v>2081</v>
      </c>
      <c r="Z86" s="12" t="s">
        <v>2181</v>
      </c>
      <c r="AA86" s="178" t="s">
        <v>2182</v>
      </c>
      <c r="AB86" s="12" t="s">
        <v>2183</v>
      </c>
      <c r="AC86" s="178" t="s">
        <v>1192</v>
      </c>
      <c r="AD86" s="12" t="s">
        <v>2184</v>
      </c>
      <c r="AE86" s="12" t="s">
        <v>1075</v>
      </c>
      <c r="AF86" s="12" t="s">
        <v>2185</v>
      </c>
      <c r="AG86" s="12" t="s">
        <v>1092</v>
      </c>
      <c r="AH86" s="12" t="s">
        <v>1092</v>
      </c>
      <c r="AI86" s="12" t="s">
        <v>2186</v>
      </c>
      <c r="AJ86" s="12" t="s">
        <v>2187</v>
      </c>
      <c r="AK86" s="12" t="s">
        <v>1092</v>
      </c>
      <c r="AL86" s="12" t="s">
        <v>1092</v>
      </c>
      <c r="AM86" s="12" t="s">
        <v>1092</v>
      </c>
      <c r="AN86" s="12" t="s">
        <v>1092</v>
      </c>
      <c r="AO86" s="178" t="s">
        <v>1093</v>
      </c>
      <c r="AP86" s="178" t="s">
        <v>1093</v>
      </c>
      <c r="AQ86" s="178" t="s">
        <v>1093</v>
      </c>
      <c r="AR86" s="178" t="s">
        <v>1093</v>
      </c>
      <c r="AS86" s="178" t="s">
        <v>1118</v>
      </c>
      <c r="AT86" s="178" t="s">
        <v>1118</v>
      </c>
      <c r="AU86" s="178" t="s">
        <v>1118</v>
      </c>
      <c r="AV86" s="12" t="s">
        <v>1096</v>
      </c>
      <c r="AW86" s="12" t="s">
        <v>1097</v>
      </c>
      <c r="AY86" s="178" t="s">
        <v>1092</v>
      </c>
      <c r="AZ86" s="12" t="s">
        <v>2188</v>
      </c>
      <c r="BA86" s="12" t="s">
        <v>1098</v>
      </c>
      <c r="BB86" s="12" t="s">
        <v>1098</v>
      </c>
      <c r="BD86" s="12" t="s">
        <v>1092</v>
      </c>
      <c r="BE86" s="12" t="s">
        <v>118</v>
      </c>
      <c r="BF86" s="12" t="s">
        <v>121</v>
      </c>
      <c r="BH86" s="12" t="s">
        <v>120</v>
      </c>
      <c r="BI86" s="179">
        <v>87</v>
      </c>
      <c r="BJ86" s="175">
        <v>42202</v>
      </c>
      <c r="BK86" s="176" t="s">
        <v>82</v>
      </c>
      <c r="BM86" s="12">
        <v>29</v>
      </c>
    </row>
    <row r="87" spans="1:66" x14ac:dyDescent="0.25">
      <c r="A87" s="12" t="s">
        <v>2103</v>
      </c>
      <c r="B87" s="12" t="s">
        <v>711</v>
      </c>
      <c r="C87" s="12" t="s">
        <v>712</v>
      </c>
      <c r="D87" s="12" t="s">
        <v>713</v>
      </c>
      <c r="E87" s="175">
        <v>42191</v>
      </c>
      <c r="F87" s="12" t="s">
        <v>1661</v>
      </c>
      <c r="G87" s="12" t="s">
        <v>1075</v>
      </c>
      <c r="H87" s="12" t="s">
        <v>2189</v>
      </c>
      <c r="I87" s="12" t="s">
        <v>2190</v>
      </c>
      <c r="J87" s="12" t="s">
        <v>2191</v>
      </c>
      <c r="K87" s="12" t="s">
        <v>1078</v>
      </c>
      <c r="L87" s="12" t="s">
        <v>1079</v>
      </c>
      <c r="M87" s="12" t="s">
        <v>1342</v>
      </c>
      <c r="O87" s="178" t="s">
        <v>1451</v>
      </c>
      <c r="P87" s="178" t="s">
        <v>2192</v>
      </c>
      <c r="Q87" s="12" t="s">
        <v>1342</v>
      </c>
      <c r="R87" s="179">
        <v>88</v>
      </c>
      <c r="S87" s="178"/>
      <c r="U87" s="12" t="s">
        <v>120</v>
      </c>
      <c r="W87" s="12" t="s">
        <v>1083</v>
      </c>
      <c r="X87" s="12" t="s">
        <v>1464</v>
      </c>
      <c r="Y87" s="178" t="s">
        <v>1438</v>
      </c>
      <c r="Z87" s="12" t="s">
        <v>2193</v>
      </c>
      <c r="AB87" s="12" t="s">
        <v>1185</v>
      </c>
      <c r="AD87" s="12" t="s">
        <v>1185</v>
      </c>
      <c r="AE87" s="12" t="s">
        <v>1075</v>
      </c>
      <c r="AF87" s="12" t="s">
        <v>2194</v>
      </c>
      <c r="AG87" s="12" t="s">
        <v>1092</v>
      </c>
      <c r="AH87" s="12" t="s">
        <v>1092</v>
      </c>
      <c r="AI87" s="12" t="s">
        <v>2195</v>
      </c>
      <c r="AJ87" s="12" t="s">
        <v>2196</v>
      </c>
      <c r="AK87" s="12" t="s">
        <v>1092</v>
      </c>
      <c r="AL87" s="12" t="s">
        <v>1092</v>
      </c>
      <c r="AM87" s="12" t="s">
        <v>1092</v>
      </c>
      <c r="AN87" s="12" t="s">
        <v>1092</v>
      </c>
      <c r="AO87" s="178" t="s">
        <v>1093</v>
      </c>
      <c r="AP87" s="178" t="s">
        <v>1093</v>
      </c>
      <c r="AQ87" s="178" t="s">
        <v>1093</v>
      </c>
      <c r="AR87" s="178" t="s">
        <v>1092</v>
      </c>
      <c r="AS87" s="178" t="s">
        <v>1118</v>
      </c>
      <c r="AT87" s="178" t="s">
        <v>1118</v>
      </c>
      <c r="AU87" s="178" t="s">
        <v>1095</v>
      </c>
      <c r="AV87" s="12" t="s">
        <v>1096</v>
      </c>
      <c r="AW87" s="12" t="s">
        <v>1097</v>
      </c>
      <c r="AY87" s="178" t="s">
        <v>1092</v>
      </c>
      <c r="AZ87" s="12" t="s">
        <v>2197</v>
      </c>
      <c r="BA87" s="12" t="s">
        <v>1098</v>
      </c>
      <c r="BB87" s="12" t="s">
        <v>2197</v>
      </c>
      <c r="BD87" s="12" t="s">
        <v>1092</v>
      </c>
      <c r="BE87" s="12" t="s">
        <v>118</v>
      </c>
      <c r="BF87" s="12" t="s">
        <v>121</v>
      </c>
      <c r="BH87" s="12" t="s">
        <v>120</v>
      </c>
      <c r="BI87" s="179">
        <v>88</v>
      </c>
      <c r="BJ87" s="175">
        <v>42202</v>
      </c>
      <c r="BK87" s="176" t="s">
        <v>82</v>
      </c>
      <c r="BM87" s="12">
        <v>29</v>
      </c>
    </row>
    <row r="88" spans="1:66" x14ac:dyDescent="0.25">
      <c r="A88" s="12" t="s">
        <v>2103</v>
      </c>
      <c r="B88" s="12" t="s">
        <v>714</v>
      </c>
      <c r="C88" s="180">
        <v>11297703</v>
      </c>
      <c r="D88" s="12" t="s">
        <v>716</v>
      </c>
      <c r="E88" s="175">
        <v>42191</v>
      </c>
      <c r="F88" s="12" t="s">
        <v>2198</v>
      </c>
      <c r="G88" s="12" t="s">
        <v>1075</v>
      </c>
      <c r="H88" s="12" t="s">
        <v>2199</v>
      </c>
      <c r="I88" s="12" t="s">
        <v>2200</v>
      </c>
      <c r="K88" s="12" t="s">
        <v>1209</v>
      </c>
      <c r="L88" s="12" t="s">
        <v>1210</v>
      </c>
      <c r="M88" s="12" t="s">
        <v>1211</v>
      </c>
      <c r="O88" s="178" t="s">
        <v>1163</v>
      </c>
      <c r="P88" s="178" t="s">
        <v>2201</v>
      </c>
      <c r="Q88" s="12" t="s">
        <v>1211</v>
      </c>
      <c r="R88" s="179">
        <v>89</v>
      </c>
      <c r="S88" s="178"/>
      <c r="U88" s="12" t="s">
        <v>120</v>
      </c>
      <c r="V88" s="12" t="s">
        <v>2202</v>
      </c>
      <c r="W88" s="12" t="s">
        <v>1083</v>
      </c>
      <c r="X88" s="12" t="s">
        <v>1084</v>
      </c>
      <c r="Y88" s="178" t="s">
        <v>1938</v>
      </c>
      <c r="Z88" s="12" t="s">
        <v>1525</v>
      </c>
      <c r="AA88" s="178" t="s">
        <v>1249</v>
      </c>
      <c r="AB88" s="12" t="s">
        <v>2203</v>
      </c>
      <c r="AC88" s="178" t="s">
        <v>1757</v>
      </c>
      <c r="AD88" s="12" t="s">
        <v>2203</v>
      </c>
      <c r="AE88" s="12" t="s">
        <v>1075</v>
      </c>
      <c r="AF88" s="12" t="s">
        <v>2204</v>
      </c>
      <c r="AG88" s="12" t="s">
        <v>1092</v>
      </c>
      <c r="AH88" s="12" t="s">
        <v>1092</v>
      </c>
      <c r="AI88" s="12" t="s">
        <v>2205</v>
      </c>
      <c r="AJ88" s="12" t="s">
        <v>2206</v>
      </c>
      <c r="AK88" s="12" t="s">
        <v>1092</v>
      </c>
      <c r="AL88" s="12" t="s">
        <v>1092</v>
      </c>
      <c r="AM88" s="12" t="s">
        <v>1092</v>
      </c>
      <c r="AN88" s="12" t="s">
        <v>1092</v>
      </c>
      <c r="AO88" s="178" t="s">
        <v>1093</v>
      </c>
      <c r="AP88" s="178" t="s">
        <v>1093</v>
      </c>
      <c r="AQ88" s="178" t="s">
        <v>1093</v>
      </c>
      <c r="AR88" s="178" t="s">
        <v>1093</v>
      </c>
      <c r="AS88" s="178" t="s">
        <v>1118</v>
      </c>
      <c r="AT88" s="178" t="s">
        <v>1118</v>
      </c>
      <c r="AU88" s="178" t="s">
        <v>1118</v>
      </c>
      <c r="AV88" s="12" t="s">
        <v>1096</v>
      </c>
      <c r="AW88" s="12" t="s">
        <v>1097</v>
      </c>
      <c r="AY88" s="178" t="s">
        <v>1092</v>
      </c>
      <c r="AZ88" s="12" t="s">
        <v>2207</v>
      </c>
      <c r="BA88" s="12" t="s">
        <v>1098</v>
      </c>
      <c r="BB88" s="12" t="s">
        <v>2208</v>
      </c>
      <c r="BD88" s="12" t="s">
        <v>1092</v>
      </c>
      <c r="BE88" s="12" t="s">
        <v>118</v>
      </c>
      <c r="BF88" s="12" t="s">
        <v>121</v>
      </c>
      <c r="BH88" s="12" t="s">
        <v>120</v>
      </c>
      <c r="BI88" s="179">
        <v>89</v>
      </c>
      <c r="BK88" s="176" t="s">
        <v>766</v>
      </c>
      <c r="BN88" s="12" t="s">
        <v>767</v>
      </c>
    </row>
    <row r="89" spans="1:66" x14ac:dyDescent="0.25">
      <c r="A89" s="12" t="s">
        <v>2103</v>
      </c>
      <c r="B89" s="12" t="s">
        <v>717</v>
      </c>
      <c r="C89" s="12" t="s">
        <v>718</v>
      </c>
      <c r="D89" s="12" t="s">
        <v>719</v>
      </c>
      <c r="E89" s="175">
        <v>42191</v>
      </c>
      <c r="F89" s="12" t="s">
        <v>2209</v>
      </c>
      <c r="G89" s="12" t="s">
        <v>1075</v>
      </c>
      <c r="H89" s="12" t="s">
        <v>2210</v>
      </c>
      <c r="I89" s="12" t="s">
        <v>2211</v>
      </c>
      <c r="J89" s="12" t="s">
        <v>2212</v>
      </c>
      <c r="K89" s="12" t="s">
        <v>1078</v>
      </c>
      <c r="L89" s="12" t="s">
        <v>1079</v>
      </c>
      <c r="M89" s="12" t="s">
        <v>1080</v>
      </c>
      <c r="O89" s="178" t="s">
        <v>1081</v>
      </c>
      <c r="P89" s="178" t="s">
        <v>2213</v>
      </c>
      <c r="Q89" s="12" t="s">
        <v>1080</v>
      </c>
      <c r="R89" s="179">
        <v>90</v>
      </c>
      <c r="S89" s="178"/>
      <c r="U89" s="12" t="s">
        <v>120</v>
      </c>
      <c r="W89" s="12" t="s">
        <v>1083</v>
      </c>
      <c r="X89" s="12" t="s">
        <v>1519</v>
      </c>
      <c r="Y89" s="178" t="s">
        <v>2214</v>
      </c>
      <c r="Z89" s="12" t="s">
        <v>2215</v>
      </c>
      <c r="AA89" s="178" t="s">
        <v>1169</v>
      </c>
      <c r="AB89" s="12" t="s">
        <v>2216</v>
      </c>
      <c r="AC89" s="178" t="s">
        <v>2217</v>
      </c>
      <c r="AD89" s="12" t="s">
        <v>2218</v>
      </c>
      <c r="AE89" s="12" t="s">
        <v>1075</v>
      </c>
      <c r="AF89" s="12" t="s">
        <v>2219</v>
      </c>
      <c r="AG89" s="12" t="s">
        <v>1092</v>
      </c>
      <c r="AH89" s="12" t="s">
        <v>1092</v>
      </c>
      <c r="AI89" s="12" t="s">
        <v>2220</v>
      </c>
      <c r="AJ89" s="12" t="s">
        <v>2221</v>
      </c>
      <c r="AK89" s="12" t="s">
        <v>1092</v>
      </c>
      <c r="AL89" s="12" t="s">
        <v>1092</v>
      </c>
      <c r="AM89" s="12" t="s">
        <v>1092</v>
      </c>
      <c r="AN89" s="12" t="s">
        <v>1092</v>
      </c>
      <c r="AO89" s="178" t="s">
        <v>1093</v>
      </c>
      <c r="AP89" s="178" t="s">
        <v>1093</v>
      </c>
      <c r="AQ89" s="178" t="s">
        <v>1093</v>
      </c>
      <c r="AR89" s="178" t="s">
        <v>1093</v>
      </c>
      <c r="AS89" s="178" t="s">
        <v>1118</v>
      </c>
      <c r="AT89" s="178" t="s">
        <v>1118</v>
      </c>
      <c r="AU89" s="178" t="s">
        <v>1118</v>
      </c>
      <c r="AV89" s="12" t="s">
        <v>1096</v>
      </c>
      <c r="AW89" s="12" t="s">
        <v>1097</v>
      </c>
      <c r="AY89" s="178" t="s">
        <v>1092</v>
      </c>
      <c r="AZ89" s="12" t="s">
        <v>2222</v>
      </c>
      <c r="BA89" s="12" t="s">
        <v>1098</v>
      </c>
      <c r="BB89" s="12" t="s">
        <v>1098</v>
      </c>
      <c r="BD89" s="12" t="s">
        <v>1092</v>
      </c>
      <c r="BE89" s="12" t="s">
        <v>118</v>
      </c>
      <c r="BF89" s="12" t="s">
        <v>121</v>
      </c>
      <c r="BH89" s="12" t="s">
        <v>120</v>
      </c>
      <c r="BI89" s="179">
        <v>90</v>
      </c>
      <c r="BJ89" s="175">
        <v>42202</v>
      </c>
      <c r="BK89" s="176" t="s">
        <v>82</v>
      </c>
      <c r="BM89" s="12">
        <v>29</v>
      </c>
    </row>
    <row r="90" spans="1:66" x14ac:dyDescent="0.25">
      <c r="A90" s="12" t="s">
        <v>2103</v>
      </c>
      <c r="B90" s="12" t="s">
        <v>720</v>
      </c>
      <c r="C90" s="12" t="s">
        <v>721</v>
      </c>
      <c r="D90" s="12" t="s">
        <v>722</v>
      </c>
      <c r="E90" s="175">
        <v>42191</v>
      </c>
      <c r="F90" s="12" t="s">
        <v>1661</v>
      </c>
      <c r="G90" s="12" t="s">
        <v>1075</v>
      </c>
      <c r="H90" s="12" t="s">
        <v>2223</v>
      </c>
      <c r="I90" s="12" t="s">
        <v>2224</v>
      </c>
      <c r="J90" s="12" t="s">
        <v>2225</v>
      </c>
      <c r="K90" s="12" t="s">
        <v>1078</v>
      </c>
      <c r="L90" s="12" t="s">
        <v>1079</v>
      </c>
      <c r="M90" s="12" t="s">
        <v>1080</v>
      </c>
      <c r="O90" s="178" t="s">
        <v>1106</v>
      </c>
      <c r="P90" s="178" t="s">
        <v>2226</v>
      </c>
      <c r="Q90" s="12" t="s">
        <v>1080</v>
      </c>
      <c r="R90" s="179">
        <v>91</v>
      </c>
      <c r="S90" s="178"/>
      <c r="U90" s="12" t="s">
        <v>120</v>
      </c>
      <c r="W90" s="12" t="s">
        <v>1083</v>
      </c>
      <c r="X90" s="12" t="s">
        <v>1464</v>
      </c>
      <c r="Y90" s="178" t="s">
        <v>1165</v>
      </c>
      <c r="Z90" s="12" t="s">
        <v>2227</v>
      </c>
      <c r="AB90" s="12" t="s">
        <v>1185</v>
      </c>
      <c r="AD90" s="12" t="s">
        <v>1185</v>
      </c>
      <c r="AE90" s="12" t="s">
        <v>1075</v>
      </c>
      <c r="AF90" s="12" t="s">
        <v>2228</v>
      </c>
      <c r="AG90" s="12" t="s">
        <v>1092</v>
      </c>
      <c r="AH90" s="12" t="s">
        <v>1092</v>
      </c>
      <c r="AI90" s="12" t="s">
        <v>2229</v>
      </c>
      <c r="AJ90" s="12" t="s">
        <v>2230</v>
      </c>
      <c r="AK90" s="12" t="s">
        <v>1092</v>
      </c>
      <c r="AL90" s="12" t="s">
        <v>1092</v>
      </c>
      <c r="AM90" s="12" t="s">
        <v>1092</v>
      </c>
      <c r="AN90" s="12" t="s">
        <v>1092</v>
      </c>
      <c r="AO90" s="178" t="s">
        <v>1093</v>
      </c>
      <c r="AP90" s="178" t="s">
        <v>1093</v>
      </c>
      <c r="AQ90" s="178" t="s">
        <v>1093</v>
      </c>
      <c r="AR90" s="178" t="s">
        <v>1092</v>
      </c>
      <c r="AS90" s="178" t="s">
        <v>1118</v>
      </c>
      <c r="AT90" s="178" t="s">
        <v>1118</v>
      </c>
      <c r="AU90" s="178" t="s">
        <v>1095</v>
      </c>
      <c r="AV90" s="12" t="s">
        <v>1096</v>
      </c>
      <c r="AW90" s="12" t="s">
        <v>1097</v>
      </c>
      <c r="AY90" s="178" t="s">
        <v>1092</v>
      </c>
      <c r="AZ90" s="12" t="s">
        <v>2231</v>
      </c>
      <c r="BA90" s="12" t="s">
        <v>1098</v>
      </c>
      <c r="BB90" s="12" t="s">
        <v>1098</v>
      </c>
      <c r="BD90" s="12" t="s">
        <v>1092</v>
      </c>
      <c r="BE90" s="12" t="s">
        <v>118</v>
      </c>
      <c r="BF90" s="12" t="s">
        <v>121</v>
      </c>
      <c r="BH90" s="12" t="s">
        <v>120</v>
      </c>
      <c r="BI90" s="179">
        <v>91</v>
      </c>
      <c r="BJ90" s="175">
        <v>42205</v>
      </c>
      <c r="BK90" s="176" t="s">
        <v>82</v>
      </c>
      <c r="BM90" s="12">
        <v>30</v>
      </c>
    </row>
    <row r="91" spans="1:66" x14ac:dyDescent="0.25">
      <c r="A91" s="12" t="s">
        <v>2103</v>
      </c>
      <c r="B91" s="12" t="s">
        <v>723</v>
      </c>
      <c r="C91" s="12" t="s">
        <v>724</v>
      </c>
      <c r="D91" s="12" t="s">
        <v>725</v>
      </c>
      <c r="E91" s="175">
        <v>42191</v>
      </c>
      <c r="F91" s="12" t="s">
        <v>2232</v>
      </c>
      <c r="G91" s="12" t="s">
        <v>1075</v>
      </c>
      <c r="H91" s="12" t="s">
        <v>2233</v>
      </c>
      <c r="I91" s="12" t="s">
        <v>2234</v>
      </c>
      <c r="J91" s="12" t="s">
        <v>2235</v>
      </c>
      <c r="K91" s="12" t="s">
        <v>1209</v>
      </c>
      <c r="L91" s="12" t="s">
        <v>1210</v>
      </c>
      <c r="M91" s="12" t="s">
        <v>1211</v>
      </c>
      <c r="O91" s="178" t="s">
        <v>1163</v>
      </c>
      <c r="P91" s="178" t="s">
        <v>2236</v>
      </c>
      <c r="Q91" s="12" t="s">
        <v>1211</v>
      </c>
      <c r="R91" s="179">
        <v>92</v>
      </c>
      <c r="S91" s="178"/>
      <c r="U91" s="12" t="s">
        <v>120</v>
      </c>
      <c r="W91" s="12" t="s">
        <v>1083</v>
      </c>
      <c r="X91" s="12" t="s">
        <v>1108</v>
      </c>
      <c r="Y91" s="178" t="s">
        <v>1313</v>
      </c>
      <c r="Z91" s="12" t="s">
        <v>2237</v>
      </c>
      <c r="AA91" s="178" t="s">
        <v>2010</v>
      </c>
      <c r="AB91" s="12" t="s">
        <v>1348</v>
      </c>
      <c r="AC91" s="178" t="s">
        <v>2010</v>
      </c>
      <c r="AD91" s="12" t="s">
        <v>1150</v>
      </c>
      <c r="AE91" s="12" t="s">
        <v>1075</v>
      </c>
      <c r="AF91" s="12" t="s">
        <v>2238</v>
      </c>
      <c r="AG91" s="12" t="s">
        <v>1092</v>
      </c>
      <c r="AH91" s="12" t="s">
        <v>1092</v>
      </c>
      <c r="AI91" s="12" t="s">
        <v>2239</v>
      </c>
      <c r="AJ91" s="12" t="s">
        <v>1092</v>
      </c>
      <c r="AK91" s="12" t="s">
        <v>1092</v>
      </c>
      <c r="AL91" s="12" t="s">
        <v>2240</v>
      </c>
      <c r="AM91" s="12" t="s">
        <v>1092</v>
      </c>
      <c r="AN91" s="12" t="s">
        <v>1092</v>
      </c>
      <c r="AO91" s="178" t="s">
        <v>1093</v>
      </c>
      <c r="AP91" s="178" t="s">
        <v>1093</v>
      </c>
      <c r="AQ91" s="178" t="s">
        <v>1093</v>
      </c>
      <c r="AR91" s="178" t="s">
        <v>1093</v>
      </c>
      <c r="AS91" s="178" t="s">
        <v>1118</v>
      </c>
      <c r="AT91" s="178" t="s">
        <v>1118</v>
      </c>
      <c r="AU91" s="178" t="s">
        <v>1118</v>
      </c>
      <c r="AV91" s="12" t="s">
        <v>1096</v>
      </c>
      <c r="AW91" s="12" t="s">
        <v>1097</v>
      </c>
      <c r="AX91" s="178" t="s">
        <v>2241</v>
      </c>
      <c r="AY91" s="178" t="s">
        <v>1097</v>
      </c>
      <c r="AZ91" s="12" t="s">
        <v>2242</v>
      </c>
      <c r="BA91" s="12" t="s">
        <v>1098</v>
      </c>
      <c r="BB91" s="12" t="s">
        <v>1098</v>
      </c>
      <c r="BD91" s="12" t="s">
        <v>1092</v>
      </c>
      <c r="BE91" s="12" t="s">
        <v>118</v>
      </c>
      <c r="BF91" s="12" t="s">
        <v>121</v>
      </c>
      <c r="BH91" s="12" t="s">
        <v>120</v>
      </c>
      <c r="BI91" s="179">
        <v>92</v>
      </c>
      <c r="BJ91" s="175">
        <v>42202</v>
      </c>
      <c r="BK91" s="176" t="s">
        <v>82</v>
      </c>
      <c r="BM91" s="12">
        <v>29</v>
      </c>
    </row>
    <row r="92" spans="1:66" x14ac:dyDescent="0.25">
      <c r="A92" s="12" t="s">
        <v>2103</v>
      </c>
      <c r="B92" s="12" t="s">
        <v>726</v>
      </c>
      <c r="C92" s="12" t="s">
        <v>727</v>
      </c>
      <c r="D92" s="12" t="s">
        <v>728</v>
      </c>
      <c r="E92" s="175">
        <v>42191</v>
      </c>
      <c r="F92" s="12" t="s">
        <v>1633</v>
      </c>
      <c r="G92" s="12" t="s">
        <v>1075</v>
      </c>
      <c r="H92" s="12" t="s">
        <v>2243</v>
      </c>
      <c r="I92" s="12" t="s">
        <v>2244</v>
      </c>
      <c r="J92" s="12" t="s">
        <v>2245</v>
      </c>
      <c r="K92" s="12" t="s">
        <v>1103</v>
      </c>
      <c r="L92" s="12" t="s">
        <v>1179</v>
      </c>
      <c r="M92" s="12" t="s">
        <v>1195</v>
      </c>
      <c r="O92" s="178" t="s">
        <v>1741</v>
      </c>
      <c r="P92" s="178" t="s">
        <v>2246</v>
      </c>
      <c r="Q92" s="12" t="s">
        <v>1195</v>
      </c>
      <c r="R92" s="179">
        <v>93</v>
      </c>
      <c r="S92" s="178"/>
      <c r="U92" s="12" t="s">
        <v>120</v>
      </c>
      <c r="W92" s="12" t="s">
        <v>1083</v>
      </c>
      <c r="X92" s="12" t="s">
        <v>1519</v>
      </c>
      <c r="Y92" s="178" t="s">
        <v>1145</v>
      </c>
      <c r="Z92" s="12" t="s">
        <v>2247</v>
      </c>
      <c r="AA92" s="178" t="s">
        <v>2214</v>
      </c>
      <c r="AB92" s="12" t="s">
        <v>1882</v>
      </c>
      <c r="AC92" s="178" t="s">
        <v>1326</v>
      </c>
      <c r="AD92" s="12" t="s">
        <v>2248</v>
      </c>
      <c r="AE92" s="12" t="s">
        <v>1075</v>
      </c>
      <c r="AF92" s="12" t="s">
        <v>2249</v>
      </c>
      <c r="AG92" s="12" t="s">
        <v>1092</v>
      </c>
      <c r="AH92" s="12" t="s">
        <v>1092</v>
      </c>
      <c r="AI92" s="12" t="s">
        <v>2250</v>
      </c>
      <c r="AJ92" s="12" t="s">
        <v>2251</v>
      </c>
      <c r="AK92" s="12" t="s">
        <v>1092</v>
      </c>
      <c r="AL92" s="12" t="s">
        <v>1092</v>
      </c>
      <c r="AM92" s="12" t="s">
        <v>1092</v>
      </c>
      <c r="AN92" s="12" t="s">
        <v>1092</v>
      </c>
      <c r="AO92" s="178" t="s">
        <v>1093</v>
      </c>
      <c r="AP92" s="178" t="s">
        <v>1093</v>
      </c>
      <c r="AQ92" s="178" t="s">
        <v>1093</v>
      </c>
      <c r="AR92" s="178" t="s">
        <v>1093</v>
      </c>
      <c r="AS92" s="178" t="s">
        <v>1118</v>
      </c>
      <c r="AT92" s="178" t="s">
        <v>1118</v>
      </c>
      <c r="AU92" s="178" t="s">
        <v>1094</v>
      </c>
      <c r="AV92" s="12" t="s">
        <v>1096</v>
      </c>
      <c r="AW92" s="12" t="s">
        <v>1097</v>
      </c>
      <c r="AY92" s="178" t="s">
        <v>1092</v>
      </c>
      <c r="AZ92" s="12" t="s">
        <v>2252</v>
      </c>
      <c r="BA92" s="12" t="s">
        <v>1098</v>
      </c>
      <c r="BB92" s="12" t="s">
        <v>1098</v>
      </c>
      <c r="BD92" s="12" t="s">
        <v>1092</v>
      </c>
      <c r="BE92" s="12" t="s">
        <v>118</v>
      </c>
      <c r="BF92" s="12" t="s">
        <v>121</v>
      </c>
      <c r="BH92" s="12" t="s">
        <v>120</v>
      </c>
      <c r="BI92" s="179">
        <v>93</v>
      </c>
      <c r="BJ92" s="175">
        <v>42204</v>
      </c>
      <c r="BK92" s="176" t="s">
        <v>119</v>
      </c>
      <c r="BL92" s="177">
        <v>339.52</v>
      </c>
      <c r="BM92" s="12">
        <v>29</v>
      </c>
    </row>
    <row r="93" spans="1:66" x14ac:dyDescent="0.25">
      <c r="A93" s="12" t="s">
        <v>2103</v>
      </c>
      <c r="B93" s="12" t="s">
        <v>729</v>
      </c>
      <c r="C93" s="12" t="s">
        <v>730</v>
      </c>
      <c r="D93" s="12" t="s">
        <v>731</v>
      </c>
      <c r="E93" s="175">
        <v>42191</v>
      </c>
      <c r="F93" s="12" t="s">
        <v>2253</v>
      </c>
      <c r="G93" s="12" t="s">
        <v>1075</v>
      </c>
      <c r="H93" s="12" t="s">
        <v>2254</v>
      </c>
      <c r="I93" s="12" t="s">
        <v>1669</v>
      </c>
      <c r="J93" s="12" t="s">
        <v>1534</v>
      </c>
      <c r="K93" s="12" t="s">
        <v>1103</v>
      </c>
      <c r="L93" s="12" t="s">
        <v>1124</v>
      </c>
      <c r="M93" s="12" t="s">
        <v>1105</v>
      </c>
      <c r="O93" s="178" t="s">
        <v>1163</v>
      </c>
      <c r="P93" s="178" t="s">
        <v>2255</v>
      </c>
      <c r="Q93" s="12" t="s">
        <v>1105</v>
      </c>
      <c r="R93" s="179">
        <v>94</v>
      </c>
      <c r="S93" s="178"/>
      <c r="U93" s="12" t="s">
        <v>120</v>
      </c>
      <c r="W93" s="12" t="s">
        <v>1083</v>
      </c>
      <c r="X93" s="12" t="s">
        <v>1084</v>
      </c>
      <c r="Y93" s="178" t="s">
        <v>1563</v>
      </c>
      <c r="Z93" s="12" t="s">
        <v>1148</v>
      </c>
      <c r="AA93" s="178" t="s">
        <v>1616</v>
      </c>
      <c r="AB93" s="12" t="s">
        <v>2256</v>
      </c>
      <c r="AC93" s="178" t="s">
        <v>1113</v>
      </c>
      <c r="AD93" s="12" t="s">
        <v>2257</v>
      </c>
      <c r="AE93" s="12" t="s">
        <v>1075</v>
      </c>
      <c r="AF93" s="12" t="s">
        <v>2258</v>
      </c>
      <c r="AG93" s="12" t="s">
        <v>1092</v>
      </c>
      <c r="AH93" s="12" t="s">
        <v>1092</v>
      </c>
      <c r="AI93" s="12" t="s">
        <v>1269</v>
      </c>
      <c r="AJ93" s="12" t="s">
        <v>2259</v>
      </c>
      <c r="AK93" s="12" t="s">
        <v>1092</v>
      </c>
      <c r="AL93" s="12" t="s">
        <v>1092</v>
      </c>
      <c r="AM93" s="12" t="s">
        <v>1092</v>
      </c>
      <c r="AN93" s="12" t="s">
        <v>1092</v>
      </c>
      <c r="AO93" s="178" t="s">
        <v>1093</v>
      </c>
      <c r="AP93" s="178" t="s">
        <v>1093</v>
      </c>
      <c r="AQ93" s="178" t="s">
        <v>1093</v>
      </c>
      <c r="AR93" s="178" t="s">
        <v>1093</v>
      </c>
      <c r="AS93" s="178" t="s">
        <v>1118</v>
      </c>
      <c r="AT93" s="178" t="s">
        <v>1118</v>
      </c>
      <c r="AU93" s="178" t="s">
        <v>1094</v>
      </c>
      <c r="AV93" s="12" t="s">
        <v>1096</v>
      </c>
      <c r="AW93" s="12" t="s">
        <v>1097</v>
      </c>
      <c r="AY93" s="178" t="s">
        <v>1092</v>
      </c>
      <c r="AZ93" s="12" t="s">
        <v>2260</v>
      </c>
      <c r="BA93" s="12" t="s">
        <v>1098</v>
      </c>
      <c r="BB93" s="12" t="s">
        <v>2260</v>
      </c>
      <c r="BD93" s="12" t="s">
        <v>1092</v>
      </c>
      <c r="BE93" s="12" t="s">
        <v>118</v>
      </c>
      <c r="BF93" s="12" t="s">
        <v>121</v>
      </c>
      <c r="BH93" s="12" t="s">
        <v>120</v>
      </c>
      <c r="BI93" s="179">
        <v>94</v>
      </c>
      <c r="BJ93" s="175">
        <v>42202</v>
      </c>
      <c r="BK93" s="176" t="s">
        <v>82</v>
      </c>
      <c r="BM93" s="12">
        <v>29</v>
      </c>
    </row>
    <row r="94" spans="1:66" x14ac:dyDescent="0.25">
      <c r="A94" s="12" t="s">
        <v>1099</v>
      </c>
      <c r="B94" s="12" t="s">
        <v>732</v>
      </c>
      <c r="C94" s="12" t="s">
        <v>395</v>
      </c>
      <c r="D94" s="12" t="s">
        <v>195</v>
      </c>
      <c r="E94" s="175">
        <v>42191</v>
      </c>
      <c r="F94" s="12" t="s">
        <v>1176</v>
      </c>
      <c r="G94" s="12" t="s">
        <v>1075</v>
      </c>
      <c r="H94" s="12" t="s">
        <v>2261</v>
      </c>
      <c r="I94" s="12" t="s">
        <v>2262</v>
      </c>
      <c r="J94" s="12" t="s">
        <v>1208</v>
      </c>
      <c r="K94" s="12" t="s">
        <v>1123</v>
      </c>
      <c r="L94" s="12" t="s">
        <v>1124</v>
      </c>
      <c r="M94" s="12" t="s">
        <v>1105</v>
      </c>
      <c r="O94" s="178" t="s">
        <v>1181</v>
      </c>
      <c r="P94" s="178" t="s">
        <v>2263</v>
      </c>
      <c r="Q94" s="12" t="s">
        <v>1105</v>
      </c>
      <c r="R94" s="179">
        <v>95</v>
      </c>
      <c r="S94" s="178"/>
      <c r="U94" s="12" t="s">
        <v>120</v>
      </c>
      <c r="W94" s="12" t="s">
        <v>1083</v>
      </c>
      <c r="X94" s="12" t="s">
        <v>1093</v>
      </c>
      <c r="Y94" s="178" t="s">
        <v>2264</v>
      </c>
      <c r="Z94" s="12" t="s">
        <v>2265</v>
      </c>
      <c r="AB94" s="12" t="s">
        <v>1185</v>
      </c>
      <c r="AD94" s="12" t="s">
        <v>1185</v>
      </c>
      <c r="AE94" s="12" t="s">
        <v>1075</v>
      </c>
      <c r="AF94" s="12" t="s">
        <v>2266</v>
      </c>
      <c r="AG94" s="12" t="s">
        <v>1092</v>
      </c>
      <c r="AH94" s="12" t="s">
        <v>1092</v>
      </c>
      <c r="AI94" s="12" t="s">
        <v>2267</v>
      </c>
      <c r="AJ94" s="12" t="s">
        <v>2268</v>
      </c>
      <c r="AK94" s="12" t="s">
        <v>2269</v>
      </c>
      <c r="AL94" s="12" t="s">
        <v>1092</v>
      </c>
      <c r="AM94" s="12" t="s">
        <v>1092</v>
      </c>
      <c r="AN94" s="12" t="s">
        <v>1092</v>
      </c>
      <c r="AO94" s="178" t="s">
        <v>1093</v>
      </c>
      <c r="AP94" s="178" t="s">
        <v>1093</v>
      </c>
      <c r="AQ94" s="178" t="s">
        <v>1093</v>
      </c>
      <c r="AR94" s="178" t="s">
        <v>1093</v>
      </c>
      <c r="AS94" s="178" t="s">
        <v>1118</v>
      </c>
      <c r="AT94" s="178" t="s">
        <v>1118</v>
      </c>
      <c r="AU94" s="178" t="s">
        <v>1118</v>
      </c>
      <c r="AV94" s="12" t="s">
        <v>1096</v>
      </c>
      <c r="AW94" s="12" t="s">
        <v>2270</v>
      </c>
      <c r="AY94" s="178" t="s">
        <v>1092</v>
      </c>
      <c r="AZ94" s="12" t="s">
        <v>2271</v>
      </c>
      <c r="BA94" s="12" t="s">
        <v>1098</v>
      </c>
      <c r="BB94" s="12" t="s">
        <v>1098</v>
      </c>
      <c r="BD94" s="12" t="s">
        <v>1092</v>
      </c>
      <c r="BE94" s="12" t="s">
        <v>118</v>
      </c>
      <c r="BF94" s="12" t="s">
        <v>121</v>
      </c>
      <c r="BH94" s="12" t="s">
        <v>120</v>
      </c>
      <c r="BI94" s="179">
        <v>95</v>
      </c>
      <c r="BK94" s="176" t="s">
        <v>83</v>
      </c>
    </row>
    <row r="95" spans="1:66" x14ac:dyDescent="0.25">
      <c r="A95" s="12" t="s">
        <v>1313</v>
      </c>
      <c r="B95" s="12" t="s">
        <v>733</v>
      </c>
      <c r="C95" s="12" t="s">
        <v>417</v>
      </c>
      <c r="D95" s="12" t="s">
        <v>206</v>
      </c>
      <c r="E95" s="175">
        <v>42191</v>
      </c>
      <c r="F95" s="12" t="s">
        <v>1590</v>
      </c>
      <c r="G95" s="12" t="s">
        <v>1075</v>
      </c>
      <c r="H95" s="12" t="s">
        <v>2272</v>
      </c>
      <c r="I95" s="12" t="s">
        <v>2273</v>
      </c>
      <c r="K95" s="12" t="s">
        <v>1078</v>
      </c>
      <c r="L95" s="12" t="s">
        <v>1079</v>
      </c>
      <c r="M95" s="12" t="s">
        <v>1342</v>
      </c>
      <c r="O95" s="178" t="s">
        <v>1163</v>
      </c>
      <c r="P95" s="178" t="s">
        <v>2274</v>
      </c>
      <c r="Q95" s="12" t="s">
        <v>1342</v>
      </c>
      <c r="R95" s="179">
        <v>96</v>
      </c>
      <c r="S95" s="178"/>
      <c r="U95" s="12" t="s">
        <v>120</v>
      </c>
      <c r="W95" s="12" t="s">
        <v>1083</v>
      </c>
      <c r="X95" s="12" t="s">
        <v>1093</v>
      </c>
      <c r="Z95" s="12" t="s">
        <v>1185</v>
      </c>
      <c r="AB95" s="12" t="s">
        <v>1185</v>
      </c>
      <c r="AD95" s="12" t="s">
        <v>1185</v>
      </c>
      <c r="AE95" s="12" t="s">
        <v>1075</v>
      </c>
      <c r="AF95" s="12" t="s">
        <v>2275</v>
      </c>
      <c r="AG95" s="12" t="s">
        <v>1092</v>
      </c>
      <c r="AH95" s="12" t="s">
        <v>1092</v>
      </c>
      <c r="AI95" s="12" t="s">
        <v>2276</v>
      </c>
      <c r="AJ95" s="12" t="s">
        <v>2277</v>
      </c>
      <c r="AK95" s="12" t="s">
        <v>2278</v>
      </c>
      <c r="AL95" s="12" t="s">
        <v>1092</v>
      </c>
      <c r="AM95" s="12" t="s">
        <v>1092</v>
      </c>
      <c r="AN95" s="12" t="s">
        <v>1092</v>
      </c>
      <c r="AO95" s="178" t="s">
        <v>1093</v>
      </c>
      <c r="AP95" s="178" t="s">
        <v>1093</v>
      </c>
      <c r="AQ95" s="178" t="s">
        <v>1093</v>
      </c>
      <c r="AR95" s="178" t="s">
        <v>1093</v>
      </c>
      <c r="AS95" s="178" t="s">
        <v>1118</v>
      </c>
      <c r="AT95" s="178" t="s">
        <v>1118</v>
      </c>
      <c r="AU95" s="178" t="s">
        <v>1118</v>
      </c>
      <c r="AV95" s="12" t="s">
        <v>1096</v>
      </c>
      <c r="AW95" s="12" t="s">
        <v>2270</v>
      </c>
      <c r="AY95" s="178" t="s">
        <v>1092</v>
      </c>
      <c r="AZ95" s="12" t="s">
        <v>2279</v>
      </c>
      <c r="BA95" s="12" t="s">
        <v>1098</v>
      </c>
      <c r="BB95" s="12" t="s">
        <v>1098</v>
      </c>
      <c r="BD95" s="12" t="s">
        <v>1092</v>
      </c>
      <c r="BE95" s="12" t="s">
        <v>118</v>
      </c>
      <c r="BF95" s="12" t="s">
        <v>121</v>
      </c>
      <c r="BH95" s="12" t="s">
        <v>120</v>
      </c>
      <c r="BI95" s="179">
        <v>96</v>
      </c>
      <c r="BK95" s="176" t="s">
        <v>83</v>
      </c>
    </row>
    <row r="96" spans="1:66" x14ac:dyDescent="0.25">
      <c r="A96" s="12" t="s">
        <v>1313</v>
      </c>
      <c r="B96" s="12" t="s">
        <v>734</v>
      </c>
      <c r="C96" s="12" t="s">
        <v>419</v>
      </c>
      <c r="D96" s="12" t="s">
        <v>207</v>
      </c>
      <c r="E96" s="175">
        <v>42191</v>
      </c>
      <c r="F96" s="12" t="s">
        <v>2280</v>
      </c>
      <c r="G96" s="12" t="s">
        <v>1075</v>
      </c>
      <c r="H96" s="12" t="s">
        <v>2281</v>
      </c>
      <c r="I96" s="12" t="s">
        <v>2282</v>
      </c>
      <c r="J96" s="12" t="s">
        <v>2283</v>
      </c>
      <c r="K96" s="12" t="s">
        <v>1123</v>
      </c>
      <c r="L96" s="12" t="s">
        <v>1124</v>
      </c>
      <c r="M96" s="12" t="s">
        <v>1105</v>
      </c>
      <c r="O96" s="178" t="s">
        <v>2284</v>
      </c>
      <c r="P96" s="178" t="s">
        <v>2285</v>
      </c>
      <c r="Q96" s="12" t="s">
        <v>1105</v>
      </c>
      <c r="R96" s="179">
        <v>97</v>
      </c>
      <c r="S96" s="178"/>
      <c r="U96" s="12" t="s">
        <v>120</v>
      </c>
      <c r="W96" s="12" t="s">
        <v>1083</v>
      </c>
      <c r="X96" s="12" t="s">
        <v>1359</v>
      </c>
      <c r="Y96" s="178" t="s">
        <v>1111</v>
      </c>
      <c r="Z96" s="12" t="s">
        <v>2286</v>
      </c>
      <c r="AA96" s="178" t="s">
        <v>1540</v>
      </c>
      <c r="AB96" s="12" t="s">
        <v>2287</v>
      </c>
      <c r="AC96" s="178" t="s">
        <v>2159</v>
      </c>
      <c r="AD96" s="12" t="s">
        <v>2288</v>
      </c>
      <c r="AE96" s="12" t="s">
        <v>1075</v>
      </c>
      <c r="AF96" s="12" t="s">
        <v>2289</v>
      </c>
      <c r="AG96" s="12" t="s">
        <v>1092</v>
      </c>
      <c r="AH96" s="12" t="s">
        <v>1092</v>
      </c>
      <c r="AI96" s="12" t="s">
        <v>2290</v>
      </c>
      <c r="AJ96" s="12" t="s">
        <v>2291</v>
      </c>
      <c r="AK96" s="12" t="s">
        <v>2292</v>
      </c>
      <c r="AL96" s="12" t="s">
        <v>1092</v>
      </c>
      <c r="AM96" s="12" t="s">
        <v>1092</v>
      </c>
      <c r="AN96" s="12" t="s">
        <v>1092</v>
      </c>
      <c r="AO96" s="178" t="s">
        <v>1093</v>
      </c>
      <c r="AP96" s="178" t="s">
        <v>1093</v>
      </c>
      <c r="AQ96" s="178" t="s">
        <v>1093</v>
      </c>
      <c r="AR96" s="178" t="s">
        <v>1093</v>
      </c>
      <c r="AS96" s="178" t="s">
        <v>1118</v>
      </c>
      <c r="AT96" s="178" t="s">
        <v>1118</v>
      </c>
      <c r="AU96" s="178" t="s">
        <v>1118</v>
      </c>
      <c r="AV96" s="12" t="s">
        <v>1096</v>
      </c>
      <c r="AW96" s="12" t="s">
        <v>2270</v>
      </c>
      <c r="AY96" s="178" t="s">
        <v>1092</v>
      </c>
      <c r="AZ96" s="12" t="s">
        <v>2293</v>
      </c>
      <c r="BA96" s="12" t="s">
        <v>1098</v>
      </c>
      <c r="BB96" s="12" t="s">
        <v>1098</v>
      </c>
      <c r="BC96" s="178" t="s">
        <v>1205</v>
      </c>
      <c r="BD96" s="12" t="s">
        <v>1092</v>
      </c>
      <c r="BE96" s="12" t="s">
        <v>118</v>
      </c>
      <c r="BF96" s="12" t="s">
        <v>121</v>
      </c>
      <c r="BH96" s="12" t="s">
        <v>120</v>
      </c>
      <c r="BI96" s="179">
        <v>97</v>
      </c>
      <c r="BK96" s="176" t="s">
        <v>83</v>
      </c>
    </row>
    <row r="97" spans="1:65" x14ac:dyDescent="0.25">
      <c r="A97" s="12" t="s">
        <v>1313</v>
      </c>
      <c r="B97" s="12" t="s">
        <v>735</v>
      </c>
      <c r="C97" s="12" t="s">
        <v>421</v>
      </c>
      <c r="D97" s="12" t="s">
        <v>208</v>
      </c>
      <c r="E97" s="175">
        <v>42191</v>
      </c>
      <c r="F97" s="12" t="s">
        <v>1468</v>
      </c>
      <c r="G97" s="12" t="s">
        <v>1075</v>
      </c>
      <c r="H97" s="12" t="s">
        <v>2294</v>
      </c>
      <c r="I97" s="12" t="s">
        <v>2295</v>
      </c>
      <c r="J97" s="12" t="s">
        <v>1301</v>
      </c>
      <c r="K97" s="12" t="s">
        <v>1123</v>
      </c>
      <c r="L97" s="12" t="s">
        <v>1124</v>
      </c>
      <c r="M97" s="12" t="s">
        <v>1125</v>
      </c>
      <c r="O97" s="178" t="s">
        <v>1451</v>
      </c>
      <c r="P97" s="178" t="s">
        <v>2296</v>
      </c>
      <c r="Q97" s="12" t="s">
        <v>1125</v>
      </c>
      <c r="R97" s="179">
        <v>98</v>
      </c>
      <c r="S97" s="178"/>
      <c r="U97" s="12" t="s">
        <v>120</v>
      </c>
      <c r="W97" s="12" t="s">
        <v>1083</v>
      </c>
      <c r="X97" s="12" t="s">
        <v>1213</v>
      </c>
      <c r="Y97" s="178" t="s">
        <v>1754</v>
      </c>
      <c r="Z97" s="12" t="s">
        <v>2297</v>
      </c>
      <c r="AA97" s="178" t="s">
        <v>2084</v>
      </c>
      <c r="AB97" s="12" t="s">
        <v>2298</v>
      </c>
      <c r="AD97" s="12" t="s">
        <v>1185</v>
      </c>
      <c r="AE97" s="12" t="s">
        <v>1075</v>
      </c>
      <c r="AF97" s="12" t="s">
        <v>2299</v>
      </c>
      <c r="AG97" s="12" t="s">
        <v>1092</v>
      </c>
      <c r="AH97" s="12" t="s">
        <v>1092</v>
      </c>
      <c r="AI97" s="12" t="s">
        <v>2300</v>
      </c>
      <c r="AJ97" s="12" t="s">
        <v>2301</v>
      </c>
      <c r="AK97" s="12" t="s">
        <v>2302</v>
      </c>
      <c r="AL97" s="12" t="s">
        <v>1092</v>
      </c>
      <c r="AM97" s="12" t="s">
        <v>1092</v>
      </c>
      <c r="AN97" s="12" t="s">
        <v>1092</v>
      </c>
      <c r="AO97" s="178" t="s">
        <v>1093</v>
      </c>
      <c r="AP97" s="178" t="s">
        <v>1093</v>
      </c>
      <c r="AQ97" s="178" t="s">
        <v>1093</v>
      </c>
      <c r="AR97" s="178" t="s">
        <v>1093</v>
      </c>
      <c r="AS97" s="178" t="s">
        <v>1118</v>
      </c>
      <c r="AT97" s="178" t="s">
        <v>1118</v>
      </c>
      <c r="AU97" s="178" t="s">
        <v>1118</v>
      </c>
      <c r="AV97" s="12" t="s">
        <v>1096</v>
      </c>
      <c r="AW97" s="12" t="s">
        <v>2270</v>
      </c>
      <c r="AY97" s="178" t="s">
        <v>1092</v>
      </c>
      <c r="AZ97" s="12" t="s">
        <v>2303</v>
      </c>
      <c r="BA97" s="12" t="s">
        <v>1098</v>
      </c>
      <c r="BB97" s="12" t="s">
        <v>1098</v>
      </c>
      <c r="BD97" s="12" t="s">
        <v>1092</v>
      </c>
      <c r="BE97" s="12" t="s">
        <v>118</v>
      </c>
      <c r="BF97" s="12" t="s">
        <v>121</v>
      </c>
      <c r="BH97" s="12" t="s">
        <v>120</v>
      </c>
      <c r="BI97" s="179">
        <v>98</v>
      </c>
      <c r="BK97" s="176" t="s">
        <v>83</v>
      </c>
    </row>
    <row r="98" spans="1:65" x14ac:dyDescent="0.25">
      <c r="A98" s="12" t="s">
        <v>1418</v>
      </c>
      <c r="B98" s="12" t="s">
        <v>736</v>
      </c>
      <c r="C98" s="12" t="s">
        <v>460</v>
      </c>
      <c r="D98" s="12" t="s">
        <v>461</v>
      </c>
      <c r="E98" s="175">
        <v>42191</v>
      </c>
      <c r="F98" s="12" t="s">
        <v>1100</v>
      </c>
      <c r="G98" s="12" t="s">
        <v>1075</v>
      </c>
      <c r="H98" s="12" t="s">
        <v>1101</v>
      </c>
      <c r="I98" s="12" t="s">
        <v>1102</v>
      </c>
      <c r="K98" s="12" t="s">
        <v>1103</v>
      </c>
      <c r="L98" s="12" t="s">
        <v>1104</v>
      </c>
      <c r="M98" s="12" t="s">
        <v>1105</v>
      </c>
      <c r="O98" s="178" t="s">
        <v>1106</v>
      </c>
      <c r="P98" s="178" t="s">
        <v>1107</v>
      </c>
      <c r="Q98" s="12" t="s">
        <v>1105</v>
      </c>
      <c r="R98" s="179">
        <v>99</v>
      </c>
      <c r="S98" s="178"/>
      <c r="U98" s="12" t="s">
        <v>120</v>
      </c>
      <c r="W98" s="12" t="s">
        <v>1083</v>
      </c>
      <c r="X98" s="12" t="s">
        <v>1108</v>
      </c>
      <c r="Y98" s="178" t="s">
        <v>1109</v>
      </c>
      <c r="Z98" s="12" t="s">
        <v>1110</v>
      </c>
      <c r="AA98" s="178" t="s">
        <v>1111</v>
      </c>
      <c r="AB98" s="12" t="s">
        <v>1112</v>
      </c>
      <c r="AC98" s="178" t="s">
        <v>1113</v>
      </c>
      <c r="AD98" s="12" t="s">
        <v>1112</v>
      </c>
      <c r="AE98" s="12" t="s">
        <v>1075</v>
      </c>
      <c r="AF98" s="12" t="s">
        <v>1114</v>
      </c>
      <c r="AG98" s="12" t="s">
        <v>1092</v>
      </c>
      <c r="AH98" s="12" t="s">
        <v>1092</v>
      </c>
      <c r="AI98" s="12" t="s">
        <v>1115</v>
      </c>
      <c r="AJ98" s="12" t="s">
        <v>1116</v>
      </c>
      <c r="AK98" s="12" t="s">
        <v>1117</v>
      </c>
      <c r="AL98" s="12" t="s">
        <v>1092</v>
      </c>
      <c r="AM98" s="12" t="s">
        <v>1092</v>
      </c>
      <c r="AN98" s="12" t="s">
        <v>1092</v>
      </c>
      <c r="AO98" s="178" t="s">
        <v>1093</v>
      </c>
      <c r="AP98" s="178" t="s">
        <v>1093</v>
      </c>
      <c r="AQ98" s="178" t="s">
        <v>1093</v>
      </c>
      <c r="AR98" s="178" t="s">
        <v>1093</v>
      </c>
      <c r="AS98" s="178" t="s">
        <v>1118</v>
      </c>
      <c r="AT98" s="178" t="s">
        <v>1118</v>
      </c>
      <c r="AU98" s="178" t="s">
        <v>1118</v>
      </c>
      <c r="AV98" s="12" t="s">
        <v>1096</v>
      </c>
      <c r="AW98" s="12" t="s">
        <v>2270</v>
      </c>
      <c r="AY98" s="178" t="s">
        <v>1092</v>
      </c>
      <c r="AZ98" s="12" t="s">
        <v>1119</v>
      </c>
      <c r="BA98" s="12" t="s">
        <v>1098</v>
      </c>
      <c r="BB98" s="12" t="s">
        <v>1098</v>
      </c>
      <c r="BD98" s="12" t="s">
        <v>1092</v>
      </c>
      <c r="BE98" s="12" t="s">
        <v>118</v>
      </c>
      <c r="BF98" s="12" t="s">
        <v>121</v>
      </c>
      <c r="BH98" s="12" t="s">
        <v>120</v>
      </c>
      <c r="BI98" s="179">
        <v>99</v>
      </c>
      <c r="BK98" s="176" t="s">
        <v>83</v>
      </c>
    </row>
    <row r="99" spans="1:65" x14ac:dyDescent="0.25">
      <c r="A99" s="12" t="s">
        <v>1418</v>
      </c>
      <c r="B99" s="12" t="s">
        <v>737</v>
      </c>
      <c r="C99" s="12" t="s">
        <v>463</v>
      </c>
      <c r="D99" s="12" t="s">
        <v>464</v>
      </c>
      <c r="E99" s="175">
        <v>42191</v>
      </c>
      <c r="F99" s="12" t="s">
        <v>1120</v>
      </c>
      <c r="G99" s="12" t="s">
        <v>1075</v>
      </c>
      <c r="H99" s="12" t="s">
        <v>1121</v>
      </c>
      <c r="I99" s="12" t="s">
        <v>1122</v>
      </c>
      <c r="K99" s="12" t="s">
        <v>1123</v>
      </c>
      <c r="L99" s="12" t="s">
        <v>1124</v>
      </c>
      <c r="M99" s="12" t="s">
        <v>1125</v>
      </c>
      <c r="O99" s="178" t="s">
        <v>1126</v>
      </c>
      <c r="P99" s="178" t="s">
        <v>1127</v>
      </c>
      <c r="Q99" s="12" t="s">
        <v>1125</v>
      </c>
      <c r="R99" s="179">
        <v>100</v>
      </c>
      <c r="S99" s="178"/>
      <c r="U99" s="12" t="s">
        <v>120</v>
      </c>
      <c r="W99" s="12" t="s">
        <v>1083</v>
      </c>
      <c r="X99" s="12" t="s">
        <v>1084</v>
      </c>
      <c r="Y99" s="178" t="s">
        <v>1128</v>
      </c>
      <c r="Z99" s="12" t="s">
        <v>1129</v>
      </c>
      <c r="AA99" s="178" t="s">
        <v>1130</v>
      </c>
      <c r="AB99" s="12" t="s">
        <v>1131</v>
      </c>
      <c r="AC99" s="178" t="s">
        <v>1132</v>
      </c>
      <c r="AD99" s="12" t="s">
        <v>1133</v>
      </c>
      <c r="AE99" s="12" t="s">
        <v>1075</v>
      </c>
      <c r="AF99" s="12" t="s">
        <v>1134</v>
      </c>
      <c r="AG99" s="12" t="s">
        <v>1092</v>
      </c>
      <c r="AH99" s="12" t="s">
        <v>1092</v>
      </c>
      <c r="AI99" s="12" t="s">
        <v>1135</v>
      </c>
      <c r="AJ99" s="12" t="s">
        <v>1136</v>
      </c>
      <c r="AK99" s="12" t="s">
        <v>1092</v>
      </c>
      <c r="AL99" s="12" t="s">
        <v>1092</v>
      </c>
      <c r="AM99" s="12" t="s">
        <v>1092</v>
      </c>
      <c r="AN99" s="12" t="s">
        <v>1092</v>
      </c>
      <c r="AO99" s="178" t="s">
        <v>1093</v>
      </c>
      <c r="AP99" s="178" t="s">
        <v>1093</v>
      </c>
      <c r="AQ99" s="178" t="s">
        <v>1093</v>
      </c>
      <c r="AR99" s="178" t="s">
        <v>1093</v>
      </c>
      <c r="AS99" s="178" t="s">
        <v>1118</v>
      </c>
      <c r="AT99" s="178" t="s">
        <v>1118</v>
      </c>
      <c r="AU99" s="178" t="s">
        <v>1118</v>
      </c>
      <c r="AV99" s="12" t="s">
        <v>1096</v>
      </c>
      <c r="AW99" s="12" t="s">
        <v>2270</v>
      </c>
      <c r="AX99" s="178" t="s">
        <v>1137</v>
      </c>
      <c r="AY99" s="178" t="s">
        <v>1093</v>
      </c>
      <c r="AZ99" s="12" t="s">
        <v>1138</v>
      </c>
      <c r="BA99" s="12" t="s">
        <v>1138</v>
      </c>
      <c r="BB99" s="12" t="s">
        <v>1138</v>
      </c>
      <c r="BD99" s="12" t="s">
        <v>1092</v>
      </c>
      <c r="BE99" s="12" t="s">
        <v>118</v>
      </c>
      <c r="BF99" s="12" t="s">
        <v>121</v>
      </c>
      <c r="BH99" s="12" t="s">
        <v>120</v>
      </c>
      <c r="BI99" s="179">
        <v>100</v>
      </c>
      <c r="BK99" s="176" t="s">
        <v>83</v>
      </c>
    </row>
    <row r="100" spans="1:65" x14ac:dyDescent="0.25">
      <c r="A100" s="12" t="s">
        <v>1418</v>
      </c>
      <c r="B100" s="12" t="s">
        <v>738</v>
      </c>
      <c r="C100" s="12" t="s">
        <v>466</v>
      </c>
      <c r="D100" s="12" t="s">
        <v>467</v>
      </c>
      <c r="E100" s="175">
        <v>42191</v>
      </c>
      <c r="F100" s="12" t="s">
        <v>1139</v>
      </c>
      <c r="G100" s="12" t="s">
        <v>1075</v>
      </c>
      <c r="H100" s="12" t="s">
        <v>1140</v>
      </c>
      <c r="I100" s="12" t="s">
        <v>1141</v>
      </c>
      <c r="K100" s="12" t="s">
        <v>1078</v>
      </c>
      <c r="L100" s="12" t="s">
        <v>1079</v>
      </c>
      <c r="M100" s="12" t="s">
        <v>1080</v>
      </c>
      <c r="O100" s="178" t="s">
        <v>1142</v>
      </c>
      <c r="P100" s="178" t="s">
        <v>1143</v>
      </c>
      <c r="Q100" s="12" t="s">
        <v>1080</v>
      </c>
      <c r="R100" s="179">
        <v>101</v>
      </c>
      <c r="S100" s="178"/>
      <c r="U100" s="12" t="s">
        <v>120</v>
      </c>
      <c r="W100" s="12" t="s">
        <v>1083</v>
      </c>
      <c r="X100" s="12" t="s">
        <v>1144</v>
      </c>
      <c r="Y100" s="178" t="s">
        <v>1145</v>
      </c>
      <c r="Z100" s="12" t="s">
        <v>1146</v>
      </c>
      <c r="AA100" s="178" t="s">
        <v>1147</v>
      </c>
      <c r="AB100" s="12" t="s">
        <v>1148</v>
      </c>
      <c r="AC100" s="178" t="s">
        <v>1149</v>
      </c>
      <c r="AD100" s="12" t="s">
        <v>1150</v>
      </c>
      <c r="AE100" s="12" t="s">
        <v>1075</v>
      </c>
      <c r="AF100" s="12" t="s">
        <v>1151</v>
      </c>
      <c r="AG100" s="12" t="s">
        <v>1152</v>
      </c>
      <c r="AH100" s="12" t="s">
        <v>1092</v>
      </c>
      <c r="AI100" s="12" t="s">
        <v>1153</v>
      </c>
      <c r="AJ100" s="12" t="s">
        <v>1154</v>
      </c>
      <c r="AK100" s="12" t="s">
        <v>1092</v>
      </c>
      <c r="AL100" s="12" t="s">
        <v>1092</v>
      </c>
      <c r="AM100" s="12" t="s">
        <v>1092</v>
      </c>
      <c r="AN100" s="12" t="s">
        <v>1092</v>
      </c>
      <c r="AO100" s="178" t="s">
        <v>1092</v>
      </c>
      <c r="AP100" s="178" t="s">
        <v>1092</v>
      </c>
      <c r="AQ100" s="178" t="s">
        <v>1093</v>
      </c>
      <c r="AR100" s="178" t="s">
        <v>1093</v>
      </c>
      <c r="AS100" s="178" t="s">
        <v>1155</v>
      </c>
      <c r="AT100" s="178" t="s">
        <v>1118</v>
      </c>
      <c r="AU100" s="178" t="s">
        <v>1118</v>
      </c>
      <c r="AV100" s="12" t="s">
        <v>1096</v>
      </c>
      <c r="AW100" s="12" t="s">
        <v>2270</v>
      </c>
      <c r="AX100" s="178" t="s">
        <v>1156</v>
      </c>
      <c r="AY100" s="178" t="s">
        <v>1157</v>
      </c>
      <c r="AZ100" s="12" t="s">
        <v>1158</v>
      </c>
      <c r="BA100" s="12" t="s">
        <v>1098</v>
      </c>
      <c r="BB100" s="12" t="s">
        <v>1098</v>
      </c>
      <c r="BD100" s="12" t="s">
        <v>1092</v>
      </c>
      <c r="BE100" s="12" t="s">
        <v>118</v>
      </c>
      <c r="BF100" s="12" t="s">
        <v>121</v>
      </c>
      <c r="BH100" s="12" t="s">
        <v>120</v>
      </c>
      <c r="BI100" s="179">
        <v>101</v>
      </c>
      <c r="BK100" s="176" t="s">
        <v>83</v>
      </c>
    </row>
    <row r="101" spans="1:65" x14ac:dyDescent="0.25">
      <c r="A101" s="12" t="s">
        <v>1418</v>
      </c>
      <c r="B101" s="12" t="s">
        <v>739</v>
      </c>
      <c r="C101" s="12" t="s">
        <v>472</v>
      </c>
      <c r="D101" s="12" t="s">
        <v>473</v>
      </c>
      <c r="E101" s="175">
        <v>42191</v>
      </c>
      <c r="F101" s="12" t="s">
        <v>1176</v>
      </c>
      <c r="G101" s="12" t="s">
        <v>1075</v>
      </c>
      <c r="H101" s="12" t="s">
        <v>1177</v>
      </c>
      <c r="I101" s="12" t="s">
        <v>1178</v>
      </c>
      <c r="K101" s="12" t="s">
        <v>1103</v>
      </c>
      <c r="L101" s="12" t="s">
        <v>1179</v>
      </c>
      <c r="M101" s="12" t="s">
        <v>1180</v>
      </c>
      <c r="O101" s="178" t="s">
        <v>1181</v>
      </c>
      <c r="P101" s="178" t="s">
        <v>1182</v>
      </c>
      <c r="Q101" s="12" t="s">
        <v>1180</v>
      </c>
      <c r="R101" s="179">
        <v>102</v>
      </c>
      <c r="S101" s="178"/>
      <c r="U101" s="12" t="s">
        <v>120</v>
      </c>
      <c r="W101" s="12" t="s">
        <v>1083</v>
      </c>
      <c r="X101" s="12" t="s">
        <v>1093</v>
      </c>
      <c r="Y101" s="178" t="s">
        <v>1183</v>
      </c>
      <c r="Z101" s="12" t="s">
        <v>1184</v>
      </c>
      <c r="AB101" s="12" t="s">
        <v>1185</v>
      </c>
      <c r="AD101" s="12" t="s">
        <v>1185</v>
      </c>
      <c r="AE101" s="12" t="s">
        <v>1075</v>
      </c>
      <c r="AF101" s="12" t="s">
        <v>1186</v>
      </c>
      <c r="AG101" s="12" t="s">
        <v>1092</v>
      </c>
      <c r="AH101" s="12" t="s">
        <v>1092</v>
      </c>
      <c r="AI101" s="12" t="s">
        <v>1187</v>
      </c>
      <c r="AJ101" s="12" t="s">
        <v>1188</v>
      </c>
      <c r="AK101" s="12" t="s">
        <v>1092</v>
      </c>
      <c r="AL101" s="12" t="s">
        <v>1189</v>
      </c>
      <c r="AM101" s="12" t="s">
        <v>1092</v>
      </c>
      <c r="AN101" s="12" t="s">
        <v>1092</v>
      </c>
      <c r="AO101" s="178" t="s">
        <v>1093</v>
      </c>
      <c r="AP101" s="178" t="s">
        <v>1093</v>
      </c>
      <c r="AQ101" s="178" t="s">
        <v>1093</v>
      </c>
      <c r="AR101" s="178" t="s">
        <v>1093</v>
      </c>
      <c r="AS101" s="178" t="s">
        <v>1118</v>
      </c>
      <c r="AT101" s="178" t="s">
        <v>1118</v>
      </c>
      <c r="AU101" s="178" t="s">
        <v>1118</v>
      </c>
      <c r="AV101" s="12" t="s">
        <v>1096</v>
      </c>
      <c r="AW101" s="12" t="s">
        <v>2270</v>
      </c>
      <c r="AX101" s="178" t="s">
        <v>1190</v>
      </c>
      <c r="AY101" s="178" t="s">
        <v>1093</v>
      </c>
      <c r="AZ101" s="12" t="s">
        <v>1191</v>
      </c>
      <c r="BA101" s="12" t="s">
        <v>1098</v>
      </c>
      <c r="BB101" s="12" t="s">
        <v>1098</v>
      </c>
      <c r="BD101" s="12" t="s">
        <v>1092</v>
      </c>
      <c r="BE101" s="12" t="s">
        <v>118</v>
      </c>
      <c r="BF101" s="12" t="s">
        <v>121</v>
      </c>
      <c r="BH101" s="12" t="s">
        <v>120</v>
      </c>
      <c r="BI101" s="179">
        <v>102</v>
      </c>
      <c r="BK101" s="176" t="s">
        <v>83</v>
      </c>
    </row>
    <row r="102" spans="1:65" x14ac:dyDescent="0.25">
      <c r="A102" s="12" t="s">
        <v>1418</v>
      </c>
      <c r="B102" s="12" t="s">
        <v>740</v>
      </c>
      <c r="C102" s="12" t="s">
        <v>484</v>
      </c>
      <c r="D102" s="12" t="s">
        <v>485</v>
      </c>
      <c r="E102" s="175">
        <v>42191</v>
      </c>
      <c r="F102" s="12" t="s">
        <v>1240</v>
      </c>
      <c r="G102" s="12" t="s">
        <v>1075</v>
      </c>
      <c r="H102" s="12" t="s">
        <v>1076</v>
      </c>
      <c r="I102" s="12" t="s">
        <v>1241</v>
      </c>
      <c r="K102" s="12" t="s">
        <v>1242</v>
      </c>
      <c r="L102" s="12" t="s">
        <v>1243</v>
      </c>
      <c r="M102" s="12" t="s">
        <v>1244</v>
      </c>
      <c r="O102" s="178" t="s">
        <v>1245</v>
      </c>
      <c r="P102" s="178" t="s">
        <v>1246</v>
      </c>
      <c r="Q102" s="12" t="s">
        <v>1244</v>
      </c>
      <c r="R102" s="179">
        <v>103</v>
      </c>
      <c r="S102" s="178"/>
      <c r="U102" s="12" t="s">
        <v>120</v>
      </c>
      <c r="W102" s="12" t="s">
        <v>1083</v>
      </c>
      <c r="X102" s="12" t="s">
        <v>1093</v>
      </c>
      <c r="Y102" s="178" t="s">
        <v>1247</v>
      </c>
      <c r="Z102" s="12" t="s">
        <v>1248</v>
      </c>
      <c r="AA102" s="178" t="s">
        <v>1249</v>
      </c>
      <c r="AB102" s="12" t="s">
        <v>1250</v>
      </c>
      <c r="AC102" s="178" t="s">
        <v>1251</v>
      </c>
      <c r="AD102" s="12" t="s">
        <v>1252</v>
      </c>
      <c r="AE102" s="12" t="s">
        <v>1075</v>
      </c>
      <c r="AF102" s="12" t="s">
        <v>1253</v>
      </c>
      <c r="AG102" s="12" t="s">
        <v>1092</v>
      </c>
      <c r="AH102" s="12" t="s">
        <v>1092</v>
      </c>
      <c r="AI102" s="12" t="s">
        <v>1254</v>
      </c>
      <c r="AJ102" s="12" t="s">
        <v>1255</v>
      </c>
      <c r="AK102" s="12" t="s">
        <v>1256</v>
      </c>
      <c r="AL102" s="12" t="s">
        <v>1092</v>
      </c>
      <c r="AM102" s="12" t="s">
        <v>1092</v>
      </c>
      <c r="AN102" s="12" t="s">
        <v>1092</v>
      </c>
      <c r="AO102" s="178" t="s">
        <v>1093</v>
      </c>
      <c r="AP102" s="178" t="s">
        <v>1092</v>
      </c>
      <c r="AQ102" s="178" t="s">
        <v>1093</v>
      </c>
      <c r="AR102" s="178" t="s">
        <v>1093</v>
      </c>
      <c r="AS102" s="178" t="s">
        <v>1118</v>
      </c>
      <c r="AT102" s="178" t="s">
        <v>1118</v>
      </c>
      <c r="AU102" s="178" t="s">
        <v>1118</v>
      </c>
      <c r="AV102" s="12" t="s">
        <v>1096</v>
      </c>
      <c r="AW102" s="12" t="s">
        <v>2270</v>
      </c>
      <c r="AY102" s="178" t="s">
        <v>1092</v>
      </c>
      <c r="AZ102" s="12" t="s">
        <v>1098</v>
      </c>
      <c r="BA102" s="12" t="s">
        <v>1098</v>
      </c>
      <c r="BB102" s="12" t="s">
        <v>1098</v>
      </c>
      <c r="BD102" s="12" t="s">
        <v>1092</v>
      </c>
      <c r="BE102" s="12" t="s">
        <v>118</v>
      </c>
      <c r="BF102" s="12" t="s">
        <v>121</v>
      </c>
      <c r="BH102" s="12" t="s">
        <v>120</v>
      </c>
      <c r="BI102" s="179">
        <v>103</v>
      </c>
      <c r="BK102" s="176" t="s">
        <v>83</v>
      </c>
    </row>
    <row r="103" spans="1:65" x14ac:dyDescent="0.25">
      <c r="A103" s="12" t="s">
        <v>1418</v>
      </c>
      <c r="B103" s="12" t="s">
        <v>741</v>
      </c>
      <c r="C103" s="12" t="s">
        <v>487</v>
      </c>
      <c r="D103" s="12" t="s">
        <v>488</v>
      </c>
      <c r="E103" s="175">
        <v>42191</v>
      </c>
      <c r="F103" s="12" t="s">
        <v>1257</v>
      </c>
      <c r="G103" s="12" t="s">
        <v>1075</v>
      </c>
      <c r="H103" s="12" t="s">
        <v>1076</v>
      </c>
      <c r="I103" s="12" t="s">
        <v>1258</v>
      </c>
      <c r="J103" s="12" t="s">
        <v>1259</v>
      </c>
      <c r="K103" s="12" t="s">
        <v>1103</v>
      </c>
      <c r="L103" s="12" t="s">
        <v>1179</v>
      </c>
      <c r="M103" s="12" t="s">
        <v>1180</v>
      </c>
      <c r="O103" s="178" t="s">
        <v>1181</v>
      </c>
      <c r="P103" s="178" t="s">
        <v>1260</v>
      </c>
      <c r="Q103" s="12" t="s">
        <v>1180</v>
      </c>
      <c r="R103" s="179">
        <v>104</v>
      </c>
      <c r="S103" s="178"/>
      <c r="U103" s="12" t="s">
        <v>120</v>
      </c>
      <c r="W103" s="12" t="s">
        <v>1083</v>
      </c>
      <c r="X103" s="12" t="s">
        <v>1097</v>
      </c>
      <c r="Y103" s="178" t="s">
        <v>1261</v>
      </c>
      <c r="Z103" s="12" t="s">
        <v>1262</v>
      </c>
      <c r="AA103" s="178" t="s">
        <v>1263</v>
      </c>
      <c r="AB103" s="12" t="s">
        <v>1264</v>
      </c>
      <c r="AC103" s="178" t="s">
        <v>1265</v>
      </c>
      <c r="AD103" s="12" t="s">
        <v>1266</v>
      </c>
      <c r="AE103" s="12" t="s">
        <v>1075</v>
      </c>
      <c r="AF103" s="12" t="s">
        <v>1267</v>
      </c>
      <c r="AG103" s="12" t="s">
        <v>1092</v>
      </c>
      <c r="AH103" s="12" t="s">
        <v>1092</v>
      </c>
      <c r="AI103" s="12" t="s">
        <v>1268</v>
      </c>
      <c r="AJ103" s="12" t="s">
        <v>1269</v>
      </c>
      <c r="AK103" s="12" t="s">
        <v>1270</v>
      </c>
      <c r="AL103" s="12" t="s">
        <v>1092</v>
      </c>
      <c r="AM103" s="12" t="s">
        <v>1092</v>
      </c>
      <c r="AN103" s="12" t="s">
        <v>1092</v>
      </c>
      <c r="AO103" s="178" t="s">
        <v>1093</v>
      </c>
      <c r="AP103" s="178" t="s">
        <v>1093</v>
      </c>
      <c r="AQ103" s="178" t="s">
        <v>1093</v>
      </c>
      <c r="AR103" s="178" t="s">
        <v>1093</v>
      </c>
      <c r="AS103" s="178" t="s">
        <v>1118</v>
      </c>
      <c r="AT103" s="178" t="s">
        <v>1118</v>
      </c>
      <c r="AU103" s="178" t="s">
        <v>1118</v>
      </c>
      <c r="AV103" s="12" t="s">
        <v>1096</v>
      </c>
      <c r="AW103" s="12" t="s">
        <v>2270</v>
      </c>
      <c r="AY103" s="178" t="s">
        <v>1092</v>
      </c>
      <c r="AZ103" s="12" t="s">
        <v>1098</v>
      </c>
      <c r="BA103" s="12" t="s">
        <v>1098</v>
      </c>
      <c r="BB103" s="12" t="s">
        <v>1098</v>
      </c>
      <c r="BD103" s="12" t="s">
        <v>1092</v>
      </c>
      <c r="BE103" s="12" t="s">
        <v>118</v>
      </c>
      <c r="BF103" s="12" t="s">
        <v>121</v>
      </c>
      <c r="BH103" s="12" t="s">
        <v>120</v>
      </c>
      <c r="BI103" s="179">
        <v>104</v>
      </c>
      <c r="BK103" s="176" t="s">
        <v>83</v>
      </c>
    </row>
    <row r="104" spans="1:65" x14ac:dyDescent="0.25">
      <c r="A104" s="12" t="s">
        <v>1418</v>
      </c>
      <c r="B104" s="12" t="s">
        <v>742</v>
      </c>
      <c r="C104" s="12" t="s">
        <v>490</v>
      </c>
      <c r="D104" s="12" t="s">
        <v>491</v>
      </c>
      <c r="E104" s="175">
        <v>42191</v>
      </c>
      <c r="F104" s="12" t="s">
        <v>1271</v>
      </c>
      <c r="G104" s="12" t="s">
        <v>1075</v>
      </c>
      <c r="H104" s="12" t="s">
        <v>1272</v>
      </c>
      <c r="I104" s="12" t="s">
        <v>1273</v>
      </c>
      <c r="J104" s="12" t="s">
        <v>1274</v>
      </c>
      <c r="K104" s="12" t="s">
        <v>1123</v>
      </c>
      <c r="L104" s="12" t="s">
        <v>1124</v>
      </c>
      <c r="M104" s="12" t="s">
        <v>1125</v>
      </c>
      <c r="O104" s="178" t="s">
        <v>1275</v>
      </c>
      <c r="P104" s="178" t="s">
        <v>1276</v>
      </c>
      <c r="Q104" s="12" t="s">
        <v>1125</v>
      </c>
      <c r="R104" s="179">
        <v>105</v>
      </c>
      <c r="S104" s="178"/>
      <c r="U104" s="12" t="s">
        <v>120</v>
      </c>
      <c r="W104" s="12" t="s">
        <v>1083</v>
      </c>
      <c r="X104" s="12" t="s">
        <v>1157</v>
      </c>
      <c r="Y104" s="178" t="s">
        <v>1198</v>
      </c>
      <c r="Z104" s="12" t="s">
        <v>1277</v>
      </c>
      <c r="AA104" s="178" t="s">
        <v>1278</v>
      </c>
      <c r="AB104" s="12" t="s">
        <v>1279</v>
      </c>
      <c r="AC104" s="178" t="s">
        <v>1249</v>
      </c>
      <c r="AD104" s="12" t="s">
        <v>1280</v>
      </c>
      <c r="AE104" s="12" t="s">
        <v>1075</v>
      </c>
      <c r="AF104" s="12" t="s">
        <v>1281</v>
      </c>
      <c r="AG104" s="12" t="s">
        <v>1092</v>
      </c>
      <c r="AH104" s="12" t="s">
        <v>1092</v>
      </c>
      <c r="AI104" s="12" t="s">
        <v>1282</v>
      </c>
      <c r="AJ104" s="12" t="s">
        <v>1283</v>
      </c>
      <c r="AK104" s="12" t="s">
        <v>1284</v>
      </c>
      <c r="AL104" s="12" t="s">
        <v>1092</v>
      </c>
      <c r="AM104" s="12" t="s">
        <v>1092</v>
      </c>
      <c r="AN104" s="12" t="s">
        <v>1092</v>
      </c>
      <c r="AO104" s="178" t="s">
        <v>1093</v>
      </c>
      <c r="AP104" s="178" t="s">
        <v>1093</v>
      </c>
      <c r="AQ104" s="178" t="s">
        <v>1093</v>
      </c>
      <c r="AR104" s="178" t="s">
        <v>1093</v>
      </c>
      <c r="AS104" s="178" t="s">
        <v>1118</v>
      </c>
      <c r="AT104" s="178" t="s">
        <v>1118</v>
      </c>
      <c r="AU104" s="178" t="s">
        <v>1118</v>
      </c>
      <c r="AV104" s="12" t="s">
        <v>1096</v>
      </c>
      <c r="AW104" s="12" t="s">
        <v>2270</v>
      </c>
      <c r="AX104" s="178" t="s">
        <v>1190</v>
      </c>
      <c r="AY104" s="178" t="s">
        <v>1093</v>
      </c>
      <c r="AZ104" s="12" t="s">
        <v>1285</v>
      </c>
      <c r="BA104" s="12" t="s">
        <v>1286</v>
      </c>
      <c r="BB104" s="12" t="s">
        <v>1098</v>
      </c>
      <c r="BD104" s="12" t="s">
        <v>1092</v>
      </c>
      <c r="BE104" s="12" t="s">
        <v>118</v>
      </c>
      <c r="BF104" s="12" t="s">
        <v>121</v>
      </c>
      <c r="BH104" s="12" t="s">
        <v>120</v>
      </c>
      <c r="BI104" s="179">
        <v>105</v>
      </c>
      <c r="BK104" s="176" t="s">
        <v>83</v>
      </c>
    </row>
    <row r="105" spans="1:65" x14ac:dyDescent="0.25">
      <c r="A105" s="12" t="s">
        <v>1557</v>
      </c>
      <c r="B105" s="12" t="s">
        <v>743</v>
      </c>
      <c r="C105" s="12" t="s">
        <v>499</v>
      </c>
      <c r="D105" s="12" t="s">
        <v>500</v>
      </c>
      <c r="E105" s="175">
        <v>42191</v>
      </c>
      <c r="F105" s="12" t="s">
        <v>1314</v>
      </c>
      <c r="G105" s="12" t="s">
        <v>1075</v>
      </c>
      <c r="H105" s="12" t="s">
        <v>1076</v>
      </c>
      <c r="I105" s="12" t="s">
        <v>1315</v>
      </c>
      <c r="J105" s="12" t="s">
        <v>1316</v>
      </c>
      <c r="K105" s="12" t="s">
        <v>1123</v>
      </c>
      <c r="L105" s="12" t="s">
        <v>1124</v>
      </c>
      <c r="M105" s="12" t="s">
        <v>1105</v>
      </c>
      <c r="O105" s="178" t="s">
        <v>1106</v>
      </c>
      <c r="P105" s="178" t="s">
        <v>1317</v>
      </c>
      <c r="Q105" s="12" t="s">
        <v>1105</v>
      </c>
      <c r="R105" s="179">
        <v>106</v>
      </c>
      <c r="S105" s="178"/>
      <c r="U105" s="12" t="s">
        <v>120</v>
      </c>
      <c r="W105" s="12" t="s">
        <v>1083</v>
      </c>
      <c r="X105" s="12" t="s">
        <v>1097</v>
      </c>
      <c r="Y105" s="178" t="s">
        <v>1318</v>
      </c>
      <c r="Z105" s="12" t="s">
        <v>1319</v>
      </c>
      <c r="AA105" s="178" t="s">
        <v>1305</v>
      </c>
      <c r="AB105" s="12" t="s">
        <v>1320</v>
      </c>
      <c r="AD105" s="12" t="s">
        <v>1185</v>
      </c>
      <c r="AE105" s="12" t="s">
        <v>1075</v>
      </c>
      <c r="AF105" s="12" t="s">
        <v>1321</v>
      </c>
      <c r="AG105" s="12" t="s">
        <v>1092</v>
      </c>
      <c r="AH105" s="12" t="s">
        <v>1092</v>
      </c>
      <c r="AI105" s="12" t="s">
        <v>1322</v>
      </c>
      <c r="AJ105" s="12" t="s">
        <v>1323</v>
      </c>
      <c r="AK105" s="12" t="s">
        <v>1324</v>
      </c>
      <c r="AL105" s="12" t="s">
        <v>1092</v>
      </c>
      <c r="AM105" s="12" t="s">
        <v>1092</v>
      </c>
      <c r="AN105" s="12" t="s">
        <v>1092</v>
      </c>
      <c r="AO105" s="178" t="s">
        <v>1093</v>
      </c>
      <c r="AP105" s="178" t="s">
        <v>1093</v>
      </c>
      <c r="AQ105" s="178" t="s">
        <v>1093</v>
      </c>
      <c r="AR105" s="178" t="s">
        <v>1093</v>
      </c>
      <c r="AS105" s="178" t="s">
        <v>1118</v>
      </c>
      <c r="AT105" s="178" t="s">
        <v>1118</v>
      </c>
      <c r="AU105" s="178" t="s">
        <v>1118</v>
      </c>
      <c r="AV105" s="12" t="s">
        <v>1096</v>
      </c>
      <c r="AW105" s="12" t="s">
        <v>2270</v>
      </c>
      <c r="AY105" s="178" t="s">
        <v>1092</v>
      </c>
      <c r="AZ105" s="12" t="s">
        <v>1098</v>
      </c>
      <c r="BA105" s="12" t="s">
        <v>1098</v>
      </c>
      <c r="BB105" s="12" t="s">
        <v>1325</v>
      </c>
      <c r="BD105" s="12" t="s">
        <v>1092</v>
      </c>
      <c r="BE105" s="12" t="s">
        <v>118</v>
      </c>
      <c r="BF105" s="12" t="s">
        <v>121</v>
      </c>
      <c r="BH105" s="12" t="s">
        <v>120</v>
      </c>
      <c r="BI105" s="179">
        <v>106</v>
      </c>
      <c r="BK105" s="176" t="s">
        <v>83</v>
      </c>
    </row>
    <row r="106" spans="1:65" x14ac:dyDescent="0.25">
      <c r="A106" s="12" t="s">
        <v>1557</v>
      </c>
      <c r="B106" s="12" t="s">
        <v>744</v>
      </c>
      <c r="C106" s="12" t="s">
        <v>514</v>
      </c>
      <c r="D106" s="12" t="s">
        <v>515</v>
      </c>
      <c r="E106" s="175">
        <v>42191</v>
      </c>
      <c r="F106" s="12" t="s">
        <v>1378</v>
      </c>
      <c r="G106" s="12" t="s">
        <v>1075</v>
      </c>
      <c r="H106" s="12" t="s">
        <v>1379</v>
      </c>
      <c r="I106" s="12" t="s">
        <v>1380</v>
      </c>
      <c r="K106" s="12" t="s">
        <v>1242</v>
      </c>
      <c r="L106" s="12" t="s">
        <v>1243</v>
      </c>
      <c r="M106" s="12" t="s">
        <v>1244</v>
      </c>
      <c r="O106" s="178" t="s">
        <v>1381</v>
      </c>
      <c r="P106" s="178" t="s">
        <v>1382</v>
      </c>
      <c r="Q106" s="12" t="s">
        <v>1244</v>
      </c>
      <c r="R106" s="179">
        <v>107</v>
      </c>
      <c r="S106" s="178"/>
      <c r="U106" s="12" t="s">
        <v>120</v>
      </c>
      <c r="W106" s="12" t="s">
        <v>1083</v>
      </c>
      <c r="X106" s="12" t="s">
        <v>1213</v>
      </c>
      <c r="Y106" s="178" t="s">
        <v>1278</v>
      </c>
      <c r="Z106" s="12" t="s">
        <v>1383</v>
      </c>
      <c r="AA106" s="178" t="s">
        <v>1384</v>
      </c>
      <c r="AB106" s="12" t="s">
        <v>1385</v>
      </c>
      <c r="AC106" s="178" t="s">
        <v>1386</v>
      </c>
      <c r="AD106" s="12" t="s">
        <v>1387</v>
      </c>
      <c r="AE106" s="12" t="s">
        <v>1075</v>
      </c>
      <c r="AF106" s="12" t="s">
        <v>1388</v>
      </c>
      <c r="AG106" s="12" t="s">
        <v>1092</v>
      </c>
      <c r="AH106" s="12" t="s">
        <v>1092</v>
      </c>
      <c r="AI106" s="12" t="s">
        <v>1389</v>
      </c>
      <c r="AJ106" s="12" t="s">
        <v>1390</v>
      </c>
      <c r="AK106" s="12" t="s">
        <v>1188</v>
      </c>
      <c r="AL106" s="12" t="s">
        <v>1092</v>
      </c>
      <c r="AM106" s="12" t="s">
        <v>1092</v>
      </c>
      <c r="AN106" s="12" t="s">
        <v>1092</v>
      </c>
      <c r="AO106" s="178" t="s">
        <v>1093</v>
      </c>
      <c r="AP106" s="178" t="s">
        <v>1093</v>
      </c>
      <c r="AQ106" s="178" t="s">
        <v>1093</v>
      </c>
      <c r="AR106" s="178" t="s">
        <v>1093</v>
      </c>
      <c r="AS106" s="178" t="s">
        <v>1118</v>
      </c>
      <c r="AT106" s="178" t="s">
        <v>1118</v>
      </c>
      <c r="AU106" s="178" t="s">
        <v>1118</v>
      </c>
      <c r="AV106" s="12" t="s">
        <v>1096</v>
      </c>
      <c r="AW106" s="12" t="s">
        <v>2270</v>
      </c>
      <c r="AY106" s="178" t="s">
        <v>1092</v>
      </c>
      <c r="AZ106" s="12" t="s">
        <v>1391</v>
      </c>
      <c r="BA106" s="12" t="s">
        <v>1098</v>
      </c>
      <c r="BB106" s="12" t="s">
        <v>1391</v>
      </c>
      <c r="BD106" s="12" t="s">
        <v>1092</v>
      </c>
      <c r="BE106" s="12" t="s">
        <v>118</v>
      </c>
      <c r="BF106" s="12" t="s">
        <v>121</v>
      </c>
      <c r="BH106" s="12" t="s">
        <v>120</v>
      </c>
      <c r="BI106" s="179">
        <v>107</v>
      </c>
      <c r="BK106" s="176" t="s">
        <v>83</v>
      </c>
    </row>
    <row r="107" spans="1:65" x14ac:dyDescent="0.25">
      <c r="A107" s="12" t="s">
        <v>1557</v>
      </c>
      <c r="B107" s="12" t="s">
        <v>745</v>
      </c>
      <c r="C107" s="12" t="s">
        <v>746</v>
      </c>
      <c r="D107" s="12" t="s">
        <v>747</v>
      </c>
      <c r="E107" s="175">
        <v>42191</v>
      </c>
      <c r="F107" s="12" t="s">
        <v>1775</v>
      </c>
      <c r="G107" s="12" t="s">
        <v>1075</v>
      </c>
      <c r="H107" s="12" t="s">
        <v>2304</v>
      </c>
      <c r="I107" s="12" t="s">
        <v>2305</v>
      </c>
      <c r="J107" s="12" t="s">
        <v>2306</v>
      </c>
      <c r="K107" s="12" t="s">
        <v>1103</v>
      </c>
      <c r="L107" s="12" t="s">
        <v>1104</v>
      </c>
      <c r="M107" s="12" t="s">
        <v>1105</v>
      </c>
      <c r="Q107" s="12" t="s">
        <v>1105</v>
      </c>
      <c r="R107" s="179">
        <v>108</v>
      </c>
      <c r="S107" s="178"/>
      <c r="U107" s="12" t="s">
        <v>120</v>
      </c>
      <c r="W107" s="12" t="s">
        <v>1083</v>
      </c>
      <c r="X107" s="12" t="s">
        <v>1108</v>
      </c>
      <c r="Y107" s="178" t="s">
        <v>1540</v>
      </c>
      <c r="Z107" s="12" t="s">
        <v>2307</v>
      </c>
      <c r="AA107" s="178" t="s">
        <v>2159</v>
      </c>
      <c r="AB107" s="12" t="s">
        <v>2307</v>
      </c>
      <c r="AC107" s="178" t="s">
        <v>2308</v>
      </c>
      <c r="AD107" s="12" t="s">
        <v>2309</v>
      </c>
      <c r="AE107" s="12" t="s">
        <v>1075</v>
      </c>
      <c r="AF107" s="12" t="s">
        <v>2310</v>
      </c>
      <c r="AG107" s="12" t="s">
        <v>1092</v>
      </c>
      <c r="AH107" s="12" t="s">
        <v>1092</v>
      </c>
      <c r="AI107" s="12" t="s">
        <v>2311</v>
      </c>
      <c r="AJ107" s="12" t="s">
        <v>2312</v>
      </c>
      <c r="AK107" s="12" t="s">
        <v>2313</v>
      </c>
      <c r="AL107" s="12" t="s">
        <v>2314</v>
      </c>
      <c r="AM107" s="12" t="s">
        <v>1092</v>
      </c>
      <c r="AN107" s="12" t="s">
        <v>1092</v>
      </c>
      <c r="AO107" s="178" t="s">
        <v>1092</v>
      </c>
      <c r="AP107" s="178" t="s">
        <v>1092</v>
      </c>
      <c r="AQ107" s="178" t="s">
        <v>1092</v>
      </c>
      <c r="AR107" s="178" t="s">
        <v>1093</v>
      </c>
      <c r="AS107" s="178" t="s">
        <v>1155</v>
      </c>
      <c r="AT107" s="178" t="s">
        <v>1095</v>
      </c>
      <c r="AU107" s="178" t="s">
        <v>1118</v>
      </c>
      <c r="AV107" s="12" t="s">
        <v>1096</v>
      </c>
      <c r="AW107" s="12" t="s">
        <v>2270</v>
      </c>
      <c r="AY107" s="178" t="s">
        <v>1092</v>
      </c>
      <c r="AZ107" s="12" t="s">
        <v>2315</v>
      </c>
      <c r="BA107" s="12" t="s">
        <v>1098</v>
      </c>
      <c r="BB107" s="12" t="s">
        <v>1098</v>
      </c>
      <c r="BD107" s="12" t="s">
        <v>1092</v>
      </c>
      <c r="BE107" s="12" t="s">
        <v>118</v>
      </c>
      <c r="BF107" s="12" t="s">
        <v>121</v>
      </c>
      <c r="BH107" s="12" t="s">
        <v>120</v>
      </c>
      <c r="BI107" s="179">
        <v>108</v>
      </c>
      <c r="BJ107" s="175">
        <v>42205</v>
      </c>
      <c r="BK107" s="176" t="s">
        <v>82</v>
      </c>
      <c r="BM107" s="12">
        <v>30</v>
      </c>
    </row>
    <row r="108" spans="1:65" x14ac:dyDescent="0.25">
      <c r="A108" s="12" t="s">
        <v>1557</v>
      </c>
      <c r="B108" s="12" t="s">
        <v>748</v>
      </c>
      <c r="C108" s="12" t="s">
        <v>520</v>
      </c>
      <c r="D108" s="12" t="s">
        <v>521</v>
      </c>
      <c r="E108" s="175">
        <v>42191</v>
      </c>
      <c r="F108" s="12" t="s">
        <v>1408</v>
      </c>
      <c r="G108" s="12" t="s">
        <v>1075</v>
      </c>
      <c r="H108" s="12" t="s">
        <v>1409</v>
      </c>
      <c r="I108" s="12" t="s">
        <v>1410</v>
      </c>
      <c r="J108" s="12" t="s">
        <v>1411</v>
      </c>
      <c r="K108" s="12" t="s">
        <v>1103</v>
      </c>
      <c r="L108" s="12" t="s">
        <v>1124</v>
      </c>
      <c r="M108" s="12" t="s">
        <v>1105</v>
      </c>
      <c r="Q108" s="12" t="s">
        <v>1105</v>
      </c>
      <c r="R108" s="179">
        <v>109</v>
      </c>
      <c r="S108" s="178"/>
      <c r="U108" s="12" t="s">
        <v>120</v>
      </c>
      <c r="W108" s="12" t="s">
        <v>1083</v>
      </c>
      <c r="X108" s="12" t="s">
        <v>1412</v>
      </c>
      <c r="Z108" s="12" t="s">
        <v>1185</v>
      </c>
      <c r="AB108" s="12" t="s">
        <v>1185</v>
      </c>
      <c r="AD108" s="12" t="s">
        <v>1185</v>
      </c>
      <c r="AE108" s="12" t="s">
        <v>1075</v>
      </c>
      <c r="AF108" s="12" t="s">
        <v>1413</v>
      </c>
      <c r="AG108" s="12" t="s">
        <v>1092</v>
      </c>
      <c r="AH108" s="12" t="s">
        <v>1092</v>
      </c>
      <c r="AI108" s="12" t="s">
        <v>1414</v>
      </c>
      <c r="AJ108" s="12" t="s">
        <v>1415</v>
      </c>
      <c r="AK108" s="12" t="s">
        <v>1416</v>
      </c>
      <c r="AL108" s="12" t="s">
        <v>1092</v>
      </c>
      <c r="AM108" s="12" t="s">
        <v>1092</v>
      </c>
      <c r="AN108" s="12" t="s">
        <v>1092</v>
      </c>
      <c r="AO108" s="178" t="s">
        <v>1093</v>
      </c>
      <c r="AP108" s="178" t="s">
        <v>1093</v>
      </c>
      <c r="AQ108" s="178" t="s">
        <v>1093</v>
      </c>
      <c r="AR108" s="178" t="s">
        <v>1093</v>
      </c>
      <c r="AS108" s="178" t="s">
        <v>1118</v>
      </c>
      <c r="AT108" s="178" t="s">
        <v>1118</v>
      </c>
      <c r="AU108" s="178" t="s">
        <v>1118</v>
      </c>
      <c r="AV108" s="12" t="s">
        <v>1096</v>
      </c>
      <c r="AW108" s="12" t="s">
        <v>2270</v>
      </c>
      <c r="AY108" s="178" t="s">
        <v>1092</v>
      </c>
      <c r="AZ108" s="12" t="s">
        <v>1417</v>
      </c>
      <c r="BA108" s="12" t="s">
        <v>1098</v>
      </c>
      <c r="BB108" s="12" t="s">
        <v>1098</v>
      </c>
      <c r="BD108" s="12" t="s">
        <v>1092</v>
      </c>
      <c r="BE108" s="12" t="s">
        <v>118</v>
      </c>
      <c r="BF108" s="12" t="s">
        <v>121</v>
      </c>
      <c r="BH108" s="12" t="s">
        <v>120</v>
      </c>
      <c r="BI108" s="179">
        <v>109</v>
      </c>
      <c r="BK108" s="176" t="s">
        <v>83</v>
      </c>
    </row>
    <row r="109" spans="1:65" x14ac:dyDescent="0.25">
      <c r="A109" s="12" t="s">
        <v>1073</v>
      </c>
      <c r="B109" s="12" t="s">
        <v>749</v>
      </c>
      <c r="C109" s="12" t="s">
        <v>526</v>
      </c>
      <c r="D109" s="12" t="s">
        <v>527</v>
      </c>
      <c r="E109" s="175">
        <v>42191</v>
      </c>
      <c r="F109" s="12" t="s">
        <v>1432</v>
      </c>
      <c r="G109" s="12" t="s">
        <v>1075</v>
      </c>
      <c r="H109" s="12" t="s">
        <v>1076</v>
      </c>
      <c r="I109" s="12" t="s">
        <v>1433</v>
      </c>
      <c r="K109" s="12" t="s">
        <v>1103</v>
      </c>
      <c r="L109" s="12" t="s">
        <v>1104</v>
      </c>
      <c r="M109" s="12" t="s">
        <v>1180</v>
      </c>
      <c r="O109" s="178" t="s">
        <v>1434</v>
      </c>
      <c r="P109" s="178" t="s">
        <v>1435</v>
      </c>
      <c r="Q109" s="12" t="s">
        <v>1180</v>
      </c>
      <c r="R109" s="179">
        <v>110</v>
      </c>
      <c r="S109" s="178"/>
      <c r="U109" s="12" t="s">
        <v>120</v>
      </c>
      <c r="W109" s="12" t="s">
        <v>1083</v>
      </c>
      <c r="X109" s="12" t="s">
        <v>1144</v>
      </c>
      <c r="Y109" s="178" t="s">
        <v>1436</v>
      </c>
      <c r="Z109" s="12" t="s">
        <v>1437</v>
      </c>
      <c r="AA109" s="178" t="s">
        <v>1438</v>
      </c>
      <c r="AB109" s="12" t="s">
        <v>1439</v>
      </c>
      <c r="AC109" s="178" t="s">
        <v>1440</v>
      </c>
      <c r="AD109" s="12" t="s">
        <v>1441</v>
      </c>
      <c r="AE109" s="12" t="s">
        <v>1075</v>
      </c>
      <c r="AF109" s="12" t="s">
        <v>1442</v>
      </c>
      <c r="AG109" s="12" t="s">
        <v>1443</v>
      </c>
      <c r="AH109" s="12" t="s">
        <v>1092</v>
      </c>
      <c r="AI109" s="12" t="s">
        <v>1444</v>
      </c>
      <c r="AJ109" s="12" t="s">
        <v>1445</v>
      </c>
      <c r="AK109" s="12" t="s">
        <v>1092</v>
      </c>
      <c r="AL109" s="12" t="s">
        <v>1092</v>
      </c>
      <c r="AM109" s="12" t="s">
        <v>1092</v>
      </c>
      <c r="AN109" s="12" t="s">
        <v>1092</v>
      </c>
      <c r="AO109" s="178" t="s">
        <v>1093</v>
      </c>
      <c r="AP109" s="178" t="s">
        <v>1093</v>
      </c>
      <c r="AQ109" s="178" t="s">
        <v>1093</v>
      </c>
      <c r="AR109" s="178" t="s">
        <v>1093</v>
      </c>
      <c r="AS109" s="178" t="s">
        <v>1118</v>
      </c>
      <c r="AT109" s="178" t="s">
        <v>1118</v>
      </c>
      <c r="AU109" s="178" t="s">
        <v>1118</v>
      </c>
      <c r="AV109" s="12" t="s">
        <v>1096</v>
      </c>
      <c r="AW109" s="12" t="s">
        <v>2270</v>
      </c>
      <c r="AY109" s="178" t="s">
        <v>1092</v>
      </c>
      <c r="AZ109" s="12" t="s">
        <v>1098</v>
      </c>
      <c r="BA109" s="12" t="s">
        <v>1098</v>
      </c>
      <c r="BB109" s="12" t="s">
        <v>1098</v>
      </c>
      <c r="BC109" s="178" t="s">
        <v>1205</v>
      </c>
      <c r="BD109" s="12" t="s">
        <v>1092</v>
      </c>
      <c r="BE109" s="12" t="s">
        <v>118</v>
      </c>
      <c r="BF109" s="12" t="s">
        <v>121</v>
      </c>
      <c r="BH109" s="12" t="s">
        <v>120</v>
      </c>
      <c r="BI109" s="179">
        <v>110</v>
      </c>
      <c r="BK109" s="176" t="s">
        <v>83</v>
      </c>
    </row>
    <row r="110" spans="1:65" x14ac:dyDescent="0.25">
      <c r="A110" s="12" t="s">
        <v>1957</v>
      </c>
      <c r="B110" s="12" t="s">
        <v>750</v>
      </c>
      <c r="C110" s="12" t="s">
        <v>583</v>
      </c>
      <c r="D110" s="12" t="s">
        <v>584</v>
      </c>
      <c r="E110" s="175">
        <v>42191</v>
      </c>
      <c r="F110" s="12" t="s">
        <v>1678</v>
      </c>
      <c r="G110" s="12" t="s">
        <v>1075</v>
      </c>
      <c r="H110" s="12" t="s">
        <v>1679</v>
      </c>
      <c r="I110" s="12" t="s">
        <v>1680</v>
      </c>
      <c r="J110" s="12" t="s">
        <v>1681</v>
      </c>
      <c r="K110" s="12" t="s">
        <v>1103</v>
      </c>
      <c r="L110" s="12" t="s">
        <v>1104</v>
      </c>
      <c r="M110" s="12" t="s">
        <v>1180</v>
      </c>
      <c r="O110" s="178" t="s">
        <v>1451</v>
      </c>
      <c r="P110" s="178" t="s">
        <v>1682</v>
      </c>
      <c r="Q110" s="12" t="s">
        <v>1180</v>
      </c>
      <c r="R110" s="179">
        <v>111</v>
      </c>
      <c r="S110" s="178"/>
      <c r="U110" s="12" t="s">
        <v>120</v>
      </c>
      <c r="W110" s="12" t="s">
        <v>1083</v>
      </c>
      <c r="X110" s="12" t="s">
        <v>1231</v>
      </c>
      <c r="Y110" s="178" t="s">
        <v>1538</v>
      </c>
      <c r="Z110" s="12" t="s">
        <v>1683</v>
      </c>
      <c r="AA110" s="178" t="s">
        <v>1167</v>
      </c>
      <c r="AB110" s="12" t="s">
        <v>1684</v>
      </c>
      <c r="AC110" s="178" t="s">
        <v>1566</v>
      </c>
      <c r="AD110" s="12" t="s">
        <v>1112</v>
      </c>
      <c r="AE110" s="12" t="s">
        <v>1075</v>
      </c>
      <c r="AF110" s="12" t="s">
        <v>1685</v>
      </c>
      <c r="AG110" s="12" t="s">
        <v>1092</v>
      </c>
      <c r="AH110" s="12" t="s">
        <v>1092</v>
      </c>
      <c r="AI110" s="12" t="s">
        <v>1686</v>
      </c>
      <c r="AJ110" s="12" t="s">
        <v>1687</v>
      </c>
      <c r="AK110" s="12" t="s">
        <v>1092</v>
      </c>
      <c r="AL110" s="12" t="s">
        <v>1092</v>
      </c>
      <c r="AM110" s="12" t="s">
        <v>1092</v>
      </c>
      <c r="AN110" s="12" t="s">
        <v>1092</v>
      </c>
      <c r="AO110" s="178" t="s">
        <v>1093</v>
      </c>
      <c r="AP110" s="178" t="s">
        <v>1093</v>
      </c>
      <c r="AQ110" s="178" t="s">
        <v>1093</v>
      </c>
      <c r="AR110" s="178" t="s">
        <v>1093</v>
      </c>
      <c r="AS110" s="178" t="s">
        <v>1118</v>
      </c>
      <c r="AT110" s="178" t="s">
        <v>1118</v>
      </c>
      <c r="AU110" s="178" t="s">
        <v>1118</v>
      </c>
      <c r="AV110" s="12" t="s">
        <v>1096</v>
      </c>
      <c r="AW110" s="12" t="s">
        <v>2270</v>
      </c>
      <c r="AY110" s="178" t="s">
        <v>1092</v>
      </c>
      <c r="AZ110" s="12" t="s">
        <v>1688</v>
      </c>
      <c r="BA110" s="12" t="s">
        <v>1689</v>
      </c>
      <c r="BB110" s="12" t="s">
        <v>1688</v>
      </c>
      <c r="BD110" s="12" t="s">
        <v>1092</v>
      </c>
      <c r="BE110" s="12" t="s">
        <v>118</v>
      </c>
      <c r="BF110" s="12" t="s">
        <v>121</v>
      </c>
      <c r="BH110" s="12" t="s">
        <v>120</v>
      </c>
      <c r="BI110" s="179">
        <v>111</v>
      </c>
      <c r="BK110" s="176" t="s">
        <v>83</v>
      </c>
    </row>
    <row r="111" spans="1:65" x14ac:dyDescent="0.25">
      <c r="A111" s="12" t="s">
        <v>2103</v>
      </c>
      <c r="B111" s="12" t="s">
        <v>751</v>
      </c>
      <c r="C111" s="12" t="s">
        <v>604</v>
      </c>
      <c r="D111" s="12" t="s">
        <v>605</v>
      </c>
      <c r="E111" s="175">
        <v>42191</v>
      </c>
      <c r="F111" s="12" t="s">
        <v>1440</v>
      </c>
      <c r="G111" s="12" t="s">
        <v>1075</v>
      </c>
      <c r="H111" s="12" t="s">
        <v>1764</v>
      </c>
      <c r="I111" s="12" t="s">
        <v>1765</v>
      </c>
      <c r="K111" s="12" t="s">
        <v>1103</v>
      </c>
      <c r="L111" s="12" t="s">
        <v>1179</v>
      </c>
      <c r="M111" s="12" t="s">
        <v>1180</v>
      </c>
      <c r="O111" s="178" t="s">
        <v>1275</v>
      </c>
      <c r="P111" s="178" t="s">
        <v>1766</v>
      </c>
      <c r="Q111" s="12" t="s">
        <v>1180</v>
      </c>
      <c r="R111" s="179">
        <v>112</v>
      </c>
      <c r="S111" s="178"/>
      <c r="U111" s="12" t="s">
        <v>120</v>
      </c>
      <c r="W111" s="12" t="s">
        <v>1083</v>
      </c>
      <c r="X111" s="12" t="s">
        <v>1453</v>
      </c>
      <c r="Y111" s="178" t="s">
        <v>1232</v>
      </c>
      <c r="Z111" s="12" t="s">
        <v>1767</v>
      </c>
      <c r="AA111" s="178" t="s">
        <v>1478</v>
      </c>
      <c r="AB111" s="12" t="s">
        <v>1768</v>
      </c>
      <c r="AD111" s="12" t="s">
        <v>1185</v>
      </c>
      <c r="AE111" s="12" t="s">
        <v>1075</v>
      </c>
      <c r="AF111" s="12" t="s">
        <v>1769</v>
      </c>
      <c r="AG111" s="12" t="s">
        <v>1092</v>
      </c>
      <c r="AH111" s="12" t="s">
        <v>1092</v>
      </c>
      <c r="AI111" s="12" t="s">
        <v>1770</v>
      </c>
      <c r="AJ111" s="12" t="s">
        <v>1771</v>
      </c>
      <c r="AK111" s="12" t="s">
        <v>1092</v>
      </c>
      <c r="AL111" s="12" t="s">
        <v>1772</v>
      </c>
      <c r="AM111" s="12" t="s">
        <v>1092</v>
      </c>
      <c r="AN111" s="12" t="s">
        <v>1092</v>
      </c>
      <c r="AO111" s="178" t="s">
        <v>1093</v>
      </c>
      <c r="AP111" s="178" t="s">
        <v>1093</v>
      </c>
      <c r="AQ111" s="178" t="s">
        <v>1093</v>
      </c>
      <c r="AR111" s="178" t="s">
        <v>1093</v>
      </c>
      <c r="AS111" s="178" t="s">
        <v>1118</v>
      </c>
      <c r="AT111" s="178" t="s">
        <v>1118</v>
      </c>
      <c r="AU111" s="178" t="s">
        <v>1118</v>
      </c>
      <c r="AV111" s="12" t="s">
        <v>1096</v>
      </c>
      <c r="AW111" s="12" t="s">
        <v>2270</v>
      </c>
      <c r="AX111" s="178" t="s">
        <v>1773</v>
      </c>
      <c r="AY111" s="178" t="s">
        <v>1093</v>
      </c>
      <c r="AZ111" s="12" t="s">
        <v>1774</v>
      </c>
      <c r="BA111" s="12" t="s">
        <v>1098</v>
      </c>
      <c r="BB111" s="12" t="s">
        <v>1098</v>
      </c>
      <c r="BD111" s="12" t="s">
        <v>1092</v>
      </c>
      <c r="BE111" s="12" t="s">
        <v>118</v>
      </c>
      <c r="BF111" s="12" t="s">
        <v>121</v>
      </c>
      <c r="BH111" s="12" t="s">
        <v>120</v>
      </c>
      <c r="BI111" s="179">
        <v>112</v>
      </c>
      <c r="BK111" s="176" t="s">
        <v>83</v>
      </c>
    </row>
    <row r="112" spans="1:65" x14ac:dyDescent="0.25">
      <c r="A112" s="12" t="s">
        <v>2103</v>
      </c>
      <c r="B112" s="12" t="s">
        <v>752</v>
      </c>
      <c r="C112" s="12" t="s">
        <v>607</v>
      </c>
      <c r="D112" s="12" t="s">
        <v>608</v>
      </c>
      <c r="E112" s="175">
        <v>42191</v>
      </c>
      <c r="F112" s="12" t="s">
        <v>1775</v>
      </c>
      <c r="G112" s="12" t="s">
        <v>1075</v>
      </c>
      <c r="H112" s="12" t="s">
        <v>1076</v>
      </c>
      <c r="I112" s="12" t="s">
        <v>1776</v>
      </c>
      <c r="J112" s="12" t="s">
        <v>1777</v>
      </c>
      <c r="K112" s="12" t="s">
        <v>1078</v>
      </c>
      <c r="L112" s="12" t="s">
        <v>1079</v>
      </c>
      <c r="M112" s="12" t="s">
        <v>1080</v>
      </c>
      <c r="O112" s="178" t="s">
        <v>1181</v>
      </c>
      <c r="P112" s="178" t="s">
        <v>1778</v>
      </c>
      <c r="Q112" s="12" t="s">
        <v>1080</v>
      </c>
      <c r="R112" s="179">
        <v>113</v>
      </c>
      <c r="S112" s="178"/>
      <c r="U112" s="12" t="s">
        <v>120</v>
      </c>
      <c r="W112" s="12" t="s">
        <v>1083</v>
      </c>
      <c r="X112" s="12" t="s">
        <v>1108</v>
      </c>
      <c r="Y112" s="178" t="s">
        <v>1370</v>
      </c>
      <c r="Z112" s="12" t="s">
        <v>1779</v>
      </c>
      <c r="AA112" s="178" t="s">
        <v>1278</v>
      </c>
      <c r="AB112" s="12" t="s">
        <v>1780</v>
      </c>
      <c r="AC112" s="178" t="s">
        <v>1781</v>
      </c>
      <c r="AD112" s="12" t="s">
        <v>1780</v>
      </c>
      <c r="AE112" s="12" t="s">
        <v>1075</v>
      </c>
      <c r="AF112" s="12" t="s">
        <v>1782</v>
      </c>
      <c r="AG112" s="12" t="s">
        <v>1092</v>
      </c>
      <c r="AH112" s="12" t="s">
        <v>1092</v>
      </c>
      <c r="AI112" s="12" t="s">
        <v>1783</v>
      </c>
      <c r="AJ112" s="12" t="s">
        <v>1784</v>
      </c>
      <c r="AK112" s="12" t="s">
        <v>1785</v>
      </c>
      <c r="AL112" s="12" t="s">
        <v>1092</v>
      </c>
      <c r="AM112" s="12" t="s">
        <v>1092</v>
      </c>
      <c r="AN112" s="12" t="s">
        <v>1092</v>
      </c>
      <c r="AO112" s="178" t="s">
        <v>1093</v>
      </c>
      <c r="AP112" s="178" t="s">
        <v>1093</v>
      </c>
      <c r="AQ112" s="178" t="s">
        <v>1093</v>
      </c>
      <c r="AR112" s="178" t="s">
        <v>1093</v>
      </c>
      <c r="AS112" s="178" t="s">
        <v>1118</v>
      </c>
      <c r="AT112" s="178" t="s">
        <v>1118</v>
      </c>
      <c r="AU112" s="178" t="s">
        <v>1118</v>
      </c>
      <c r="AV112" s="12" t="s">
        <v>1096</v>
      </c>
      <c r="AW112" s="12" t="s">
        <v>2270</v>
      </c>
      <c r="AY112" s="178" t="s">
        <v>1092</v>
      </c>
      <c r="AZ112" s="12" t="s">
        <v>1098</v>
      </c>
      <c r="BA112" s="12" t="s">
        <v>1098</v>
      </c>
      <c r="BB112" s="12" t="s">
        <v>1786</v>
      </c>
      <c r="BD112" s="12" t="s">
        <v>1092</v>
      </c>
      <c r="BE112" s="12" t="s">
        <v>118</v>
      </c>
      <c r="BF112" s="12" t="s">
        <v>121</v>
      </c>
      <c r="BH112" s="12" t="s">
        <v>120</v>
      </c>
      <c r="BI112" s="179">
        <v>113</v>
      </c>
      <c r="BK112" s="176" t="s">
        <v>83</v>
      </c>
    </row>
    <row r="113" spans="1:66" x14ac:dyDescent="0.25">
      <c r="A113" s="12" t="s">
        <v>2103</v>
      </c>
      <c r="B113" s="12" t="s">
        <v>753</v>
      </c>
      <c r="C113" s="12" t="s">
        <v>616</v>
      </c>
      <c r="D113" s="12" t="s">
        <v>617</v>
      </c>
      <c r="E113" s="175">
        <v>42191</v>
      </c>
      <c r="F113" s="12" t="s">
        <v>1809</v>
      </c>
      <c r="G113" s="12" t="s">
        <v>1075</v>
      </c>
      <c r="H113" s="12" t="s">
        <v>1810</v>
      </c>
      <c r="I113" s="12" t="s">
        <v>1811</v>
      </c>
      <c r="K113" s="12" t="s">
        <v>1123</v>
      </c>
      <c r="L113" s="12" t="s">
        <v>1124</v>
      </c>
      <c r="M113" s="12" t="s">
        <v>1125</v>
      </c>
      <c r="O113" s="178" t="s">
        <v>1812</v>
      </c>
      <c r="P113" s="178" t="s">
        <v>1813</v>
      </c>
      <c r="Q113" s="12" t="s">
        <v>1125</v>
      </c>
      <c r="R113" s="179">
        <v>114</v>
      </c>
      <c r="S113" s="178"/>
      <c r="U113" s="12" t="s">
        <v>120</v>
      </c>
      <c r="W113" s="12" t="s">
        <v>1083</v>
      </c>
      <c r="X113" s="12" t="s">
        <v>1144</v>
      </c>
      <c r="Y113" s="178" t="s">
        <v>1087</v>
      </c>
      <c r="Z113" s="12" t="s">
        <v>1814</v>
      </c>
      <c r="AA113" s="178" t="s">
        <v>1815</v>
      </c>
      <c r="AB113" s="12" t="s">
        <v>1816</v>
      </c>
      <c r="AC113" s="178" t="s">
        <v>1817</v>
      </c>
      <c r="AD113" s="12" t="s">
        <v>1818</v>
      </c>
      <c r="AE113" s="12" t="s">
        <v>1075</v>
      </c>
      <c r="AF113" s="12" t="s">
        <v>1819</v>
      </c>
      <c r="AG113" s="12" t="s">
        <v>1820</v>
      </c>
      <c r="AH113" s="12" t="s">
        <v>1092</v>
      </c>
      <c r="AI113" s="12" t="s">
        <v>1821</v>
      </c>
      <c r="AJ113" s="12" t="s">
        <v>1822</v>
      </c>
      <c r="AK113" s="12" t="s">
        <v>1092</v>
      </c>
      <c r="AL113" s="12" t="s">
        <v>1092</v>
      </c>
      <c r="AM113" s="12" t="s">
        <v>1092</v>
      </c>
      <c r="AN113" s="12" t="s">
        <v>1092</v>
      </c>
      <c r="AO113" s="178" t="s">
        <v>1093</v>
      </c>
      <c r="AP113" s="178" t="s">
        <v>1092</v>
      </c>
      <c r="AQ113" s="178" t="s">
        <v>1093</v>
      </c>
      <c r="AR113" s="178" t="s">
        <v>1093</v>
      </c>
      <c r="AS113" s="178" t="s">
        <v>1118</v>
      </c>
      <c r="AT113" s="178" t="s">
        <v>1118</v>
      </c>
      <c r="AU113" s="178" t="s">
        <v>1118</v>
      </c>
      <c r="AV113" s="12" t="s">
        <v>1096</v>
      </c>
      <c r="AW113" s="12" t="s">
        <v>2270</v>
      </c>
      <c r="AY113" s="178" t="s">
        <v>1092</v>
      </c>
      <c r="AZ113" s="12" t="s">
        <v>1823</v>
      </c>
      <c r="BA113" s="12" t="s">
        <v>1098</v>
      </c>
      <c r="BB113" s="12" t="s">
        <v>1098</v>
      </c>
      <c r="BC113" s="178" t="s">
        <v>1205</v>
      </c>
      <c r="BD113" s="12" t="s">
        <v>1092</v>
      </c>
      <c r="BE113" s="12" t="s">
        <v>118</v>
      </c>
      <c r="BF113" s="12" t="s">
        <v>121</v>
      </c>
      <c r="BH113" s="12" t="s">
        <v>120</v>
      </c>
      <c r="BI113" s="179">
        <v>114</v>
      </c>
      <c r="BK113" s="176" t="s">
        <v>83</v>
      </c>
    </row>
    <row r="114" spans="1:66" x14ac:dyDescent="0.25">
      <c r="A114" s="12" t="s">
        <v>2103</v>
      </c>
      <c r="B114" s="12" t="s">
        <v>754</v>
      </c>
      <c r="C114" s="12" t="s">
        <v>628</v>
      </c>
      <c r="D114" s="12" t="s">
        <v>629</v>
      </c>
      <c r="E114" s="175">
        <v>42191</v>
      </c>
      <c r="F114" s="12" t="s">
        <v>1860</v>
      </c>
      <c r="G114" s="12" t="s">
        <v>1075</v>
      </c>
      <c r="H114" s="12" t="s">
        <v>1861</v>
      </c>
      <c r="I114" s="12" t="s">
        <v>1862</v>
      </c>
      <c r="J114" s="12" t="s">
        <v>1863</v>
      </c>
      <c r="K114" s="12" t="s">
        <v>1078</v>
      </c>
      <c r="L114" s="12" t="s">
        <v>1079</v>
      </c>
      <c r="M114" s="12" t="s">
        <v>1342</v>
      </c>
      <c r="O114" s="178" t="s">
        <v>1864</v>
      </c>
      <c r="P114" s="178" t="s">
        <v>1865</v>
      </c>
      <c r="Q114" s="12" t="s">
        <v>1342</v>
      </c>
      <c r="R114" s="179">
        <v>115</v>
      </c>
      <c r="S114" s="178"/>
      <c r="U114" s="12" t="s">
        <v>120</v>
      </c>
      <c r="W114" s="12" t="s">
        <v>1083</v>
      </c>
      <c r="X114" s="12" t="s">
        <v>1084</v>
      </c>
      <c r="Y114" s="178" t="s">
        <v>1128</v>
      </c>
      <c r="Z114" s="12" t="s">
        <v>1866</v>
      </c>
      <c r="AA114" s="178" t="s">
        <v>1586</v>
      </c>
      <c r="AB114" s="12" t="s">
        <v>1867</v>
      </c>
      <c r="AC114" s="178" t="s">
        <v>1868</v>
      </c>
      <c r="AD114" s="12" t="s">
        <v>1867</v>
      </c>
      <c r="AE114" s="12" t="s">
        <v>1075</v>
      </c>
      <c r="AF114" s="12" t="s">
        <v>1869</v>
      </c>
      <c r="AG114" s="12" t="s">
        <v>1092</v>
      </c>
      <c r="AH114" s="12" t="s">
        <v>1092</v>
      </c>
      <c r="AI114" s="12" t="s">
        <v>1870</v>
      </c>
      <c r="AJ114" s="12" t="s">
        <v>1871</v>
      </c>
      <c r="AK114" s="12" t="s">
        <v>1092</v>
      </c>
      <c r="AL114" s="12" t="s">
        <v>1092</v>
      </c>
      <c r="AM114" s="12" t="s">
        <v>1092</v>
      </c>
      <c r="AN114" s="12" t="s">
        <v>1092</v>
      </c>
      <c r="AO114" s="178" t="s">
        <v>1093</v>
      </c>
      <c r="AP114" s="178" t="s">
        <v>1093</v>
      </c>
      <c r="AQ114" s="178" t="s">
        <v>1093</v>
      </c>
      <c r="AR114" s="178" t="s">
        <v>1093</v>
      </c>
      <c r="AS114" s="178" t="s">
        <v>1118</v>
      </c>
      <c r="AT114" s="178" t="s">
        <v>1118</v>
      </c>
      <c r="AU114" s="178" t="s">
        <v>1118</v>
      </c>
      <c r="AV114" s="12" t="s">
        <v>1096</v>
      </c>
      <c r="AW114" s="12" t="s">
        <v>2270</v>
      </c>
      <c r="AX114" s="178" t="s">
        <v>1872</v>
      </c>
      <c r="AY114" s="178" t="s">
        <v>1157</v>
      </c>
      <c r="AZ114" s="12" t="s">
        <v>1873</v>
      </c>
      <c r="BA114" s="12" t="s">
        <v>1098</v>
      </c>
      <c r="BB114" s="12" t="s">
        <v>1098</v>
      </c>
      <c r="BD114" s="12" t="s">
        <v>1092</v>
      </c>
      <c r="BE114" s="12" t="s">
        <v>118</v>
      </c>
      <c r="BF114" s="12" t="s">
        <v>121</v>
      </c>
      <c r="BH114" s="12" t="s">
        <v>120</v>
      </c>
      <c r="BI114" s="179">
        <v>115</v>
      </c>
      <c r="BK114" s="176" t="s">
        <v>83</v>
      </c>
    </row>
    <row r="115" spans="1:66" x14ac:dyDescent="0.25">
      <c r="A115" s="12" t="s">
        <v>2103</v>
      </c>
      <c r="B115" s="12" t="s">
        <v>755</v>
      </c>
      <c r="C115" s="12" t="s">
        <v>637</v>
      </c>
      <c r="D115" s="12" t="s">
        <v>638</v>
      </c>
      <c r="E115" s="175">
        <v>42191</v>
      </c>
      <c r="F115" s="12" t="s">
        <v>1883</v>
      </c>
      <c r="G115" s="12" t="s">
        <v>1075</v>
      </c>
      <c r="H115" s="12" t="s">
        <v>1895</v>
      </c>
      <c r="I115" s="12" t="s">
        <v>1896</v>
      </c>
      <c r="J115" s="12" t="s">
        <v>1645</v>
      </c>
      <c r="K115" s="12" t="s">
        <v>1103</v>
      </c>
      <c r="L115" s="12" t="s">
        <v>1104</v>
      </c>
      <c r="M115" s="12" t="s">
        <v>1105</v>
      </c>
      <c r="O115" s="178" t="s">
        <v>1181</v>
      </c>
      <c r="P115" s="178" t="s">
        <v>1897</v>
      </c>
      <c r="Q115" s="12" t="s">
        <v>1105</v>
      </c>
      <c r="R115" s="179">
        <v>116</v>
      </c>
      <c r="S115" s="178"/>
      <c r="U115" s="12" t="s">
        <v>120</v>
      </c>
      <c r="W115" s="12" t="s">
        <v>1083</v>
      </c>
      <c r="X115" s="12" t="s">
        <v>1519</v>
      </c>
      <c r="Y115" s="178" t="s">
        <v>1898</v>
      </c>
      <c r="Z115" s="12" t="s">
        <v>1899</v>
      </c>
      <c r="AB115" s="12" t="s">
        <v>1185</v>
      </c>
      <c r="AD115" s="12" t="s">
        <v>1185</v>
      </c>
      <c r="AE115" s="12" t="s">
        <v>1075</v>
      </c>
      <c r="AF115" s="12" t="s">
        <v>1900</v>
      </c>
      <c r="AG115" s="12" t="s">
        <v>1236</v>
      </c>
      <c r="AH115" s="12" t="s">
        <v>1092</v>
      </c>
      <c r="AI115" s="12" t="s">
        <v>1901</v>
      </c>
      <c r="AJ115" s="12" t="s">
        <v>1902</v>
      </c>
      <c r="AK115" s="12" t="s">
        <v>1092</v>
      </c>
      <c r="AL115" s="12" t="s">
        <v>1092</v>
      </c>
      <c r="AM115" s="12" t="s">
        <v>1092</v>
      </c>
      <c r="AN115" s="12" t="s">
        <v>1092</v>
      </c>
      <c r="AO115" s="178" t="s">
        <v>1093</v>
      </c>
      <c r="AP115" s="178" t="s">
        <v>1093</v>
      </c>
      <c r="AQ115" s="178" t="s">
        <v>1093</v>
      </c>
      <c r="AR115" s="178" t="s">
        <v>1093</v>
      </c>
      <c r="AS115" s="178" t="s">
        <v>1118</v>
      </c>
      <c r="AT115" s="178" t="s">
        <v>1118</v>
      </c>
      <c r="AU115" s="178" t="s">
        <v>1118</v>
      </c>
      <c r="AV115" s="12" t="s">
        <v>1096</v>
      </c>
      <c r="AW115" s="12" t="s">
        <v>2270</v>
      </c>
      <c r="AX115" s="178" t="s">
        <v>1773</v>
      </c>
      <c r="AY115" s="178" t="s">
        <v>1093</v>
      </c>
      <c r="AZ115" s="12" t="s">
        <v>1903</v>
      </c>
      <c r="BA115" s="12" t="s">
        <v>1098</v>
      </c>
      <c r="BB115" s="12" t="s">
        <v>1098</v>
      </c>
      <c r="BD115" s="12" t="s">
        <v>1092</v>
      </c>
      <c r="BE115" s="12" t="s">
        <v>118</v>
      </c>
      <c r="BF115" s="12" t="s">
        <v>121</v>
      </c>
      <c r="BH115" s="12" t="s">
        <v>120</v>
      </c>
      <c r="BI115" s="179">
        <v>116</v>
      </c>
      <c r="BK115" s="176" t="s">
        <v>83</v>
      </c>
    </row>
    <row r="116" spans="1:66" x14ac:dyDescent="0.25">
      <c r="A116" s="12" t="s">
        <v>2103</v>
      </c>
      <c r="B116" s="12" t="s">
        <v>756</v>
      </c>
      <c r="C116" s="12" t="s">
        <v>757</v>
      </c>
      <c r="D116" s="12" t="s">
        <v>758</v>
      </c>
      <c r="E116" s="175">
        <v>42191</v>
      </c>
      <c r="F116" s="12" t="s">
        <v>2316</v>
      </c>
      <c r="G116" s="12" t="s">
        <v>1075</v>
      </c>
      <c r="H116" s="12" t="s">
        <v>2317</v>
      </c>
      <c r="I116" s="12" t="s">
        <v>2318</v>
      </c>
      <c r="J116" s="12" t="s">
        <v>1274</v>
      </c>
      <c r="K116" s="12" t="s">
        <v>1123</v>
      </c>
      <c r="L116" s="12" t="s">
        <v>1124</v>
      </c>
      <c r="M116" s="12" t="s">
        <v>1125</v>
      </c>
      <c r="Q116" s="12" t="s">
        <v>1125</v>
      </c>
      <c r="R116" s="179">
        <v>117</v>
      </c>
      <c r="S116" s="178"/>
      <c r="U116" s="12" t="s">
        <v>120</v>
      </c>
      <c r="W116" s="12" t="s">
        <v>1083</v>
      </c>
      <c r="X116" s="12" t="s">
        <v>1329</v>
      </c>
      <c r="Y116" s="178" t="s">
        <v>1579</v>
      </c>
      <c r="Z116" s="12" t="s">
        <v>2319</v>
      </c>
      <c r="AA116" s="178" t="s">
        <v>2320</v>
      </c>
      <c r="AB116" s="12" t="s">
        <v>2321</v>
      </c>
      <c r="AD116" s="12" t="s">
        <v>1185</v>
      </c>
      <c r="AE116" s="12" t="s">
        <v>1075</v>
      </c>
      <c r="AF116" s="12" t="s">
        <v>2322</v>
      </c>
      <c r="AG116" s="12" t="s">
        <v>1092</v>
      </c>
      <c r="AH116" s="12" t="s">
        <v>1092</v>
      </c>
      <c r="AI116" s="12" t="s">
        <v>2323</v>
      </c>
      <c r="AJ116" s="12" t="s">
        <v>2324</v>
      </c>
      <c r="AK116" s="12" t="s">
        <v>2325</v>
      </c>
      <c r="AL116" s="12" t="s">
        <v>1092</v>
      </c>
      <c r="AM116" s="12" t="s">
        <v>1092</v>
      </c>
      <c r="AN116" s="12" t="s">
        <v>1092</v>
      </c>
      <c r="AO116" s="178" t="s">
        <v>1092</v>
      </c>
      <c r="AP116" s="178" t="s">
        <v>1092</v>
      </c>
      <c r="AQ116" s="178" t="s">
        <v>1092</v>
      </c>
      <c r="AR116" s="178" t="s">
        <v>1093</v>
      </c>
      <c r="AS116" s="178" t="s">
        <v>1155</v>
      </c>
      <c r="AT116" s="178" t="s">
        <v>1095</v>
      </c>
      <c r="AU116" s="178" t="s">
        <v>1118</v>
      </c>
      <c r="AV116" s="12" t="s">
        <v>1096</v>
      </c>
      <c r="AW116" s="12" t="s">
        <v>2270</v>
      </c>
      <c r="AY116" s="178" t="s">
        <v>1092</v>
      </c>
      <c r="AZ116" s="12" t="s">
        <v>2326</v>
      </c>
      <c r="BA116" s="12" t="s">
        <v>1098</v>
      </c>
      <c r="BB116" s="12" t="s">
        <v>1098</v>
      </c>
      <c r="BD116" s="12" t="s">
        <v>1092</v>
      </c>
      <c r="BE116" s="12" t="s">
        <v>118</v>
      </c>
      <c r="BF116" s="12" t="s">
        <v>121</v>
      </c>
      <c r="BH116" s="12" t="s">
        <v>120</v>
      </c>
      <c r="BI116" s="179">
        <v>117</v>
      </c>
      <c r="BJ116" s="175">
        <v>42205</v>
      </c>
      <c r="BK116" s="176" t="s">
        <v>82</v>
      </c>
      <c r="BM116" s="12">
        <v>30</v>
      </c>
    </row>
    <row r="117" spans="1:66" x14ac:dyDescent="0.25">
      <c r="A117" s="12" t="s">
        <v>2103</v>
      </c>
      <c r="B117" s="12" t="s">
        <v>759</v>
      </c>
      <c r="C117" s="12" t="s">
        <v>652</v>
      </c>
      <c r="D117" s="12" t="s">
        <v>653</v>
      </c>
      <c r="E117" s="175">
        <v>42191</v>
      </c>
      <c r="F117" s="12" t="s">
        <v>1757</v>
      </c>
      <c r="G117" s="12" t="s">
        <v>1075</v>
      </c>
      <c r="H117" s="12" t="s">
        <v>1946</v>
      </c>
      <c r="I117" s="12" t="s">
        <v>1947</v>
      </c>
      <c r="K117" s="12" t="s">
        <v>1078</v>
      </c>
      <c r="L117" s="12" t="s">
        <v>1079</v>
      </c>
      <c r="M117" s="12" t="s">
        <v>1342</v>
      </c>
      <c r="O117" s="178" t="s">
        <v>1451</v>
      </c>
      <c r="P117" s="178" t="s">
        <v>1948</v>
      </c>
      <c r="Q117" s="12" t="s">
        <v>1342</v>
      </c>
      <c r="R117" s="179">
        <v>118</v>
      </c>
      <c r="S117" s="178"/>
      <c r="U117" s="12" t="s">
        <v>120</v>
      </c>
      <c r="X117" s="12" t="s">
        <v>1949</v>
      </c>
      <c r="Y117" s="178" t="s">
        <v>1232</v>
      </c>
      <c r="Z117" s="12" t="s">
        <v>1950</v>
      </c>
      <c r="AA117" s="178" t="s">
        <v>1478</v>
      </c>
      <c r="AB117" s="12" t="s">
        <v>1133</v>
      </c>
      <c r="AC117" s="178" t="s">
        <v>1579</v>
      </c>
      <c r="AD117" s="12" t="s">
        <v>1951</v>
      </c>
      <c r="AE117" s="12" t="s">
        <v>1075</v>
      </c>
      <c r="AF117" s="12" t="s">
        <v>1952</v>
      </c>
      <c r="AG117" s="12" t="s">
        <v>1092</v>
      </c>
      <c r="AH117" s="12" t="s">
        <v>1092</v>
      </c>
      <c r="AI117" s="12" t="s">
        <v>1953</v>
      </c>
      <c r="AJ117" s="12" t="s">
        <v>1954</v>
      </c>
      <c r="AK117" s="12" t="s">
        <v>1092</v>
      </c>
      <c r="AL117" s="12" t="s">
        <v>1955</v>
      </c>
      <c r="AM117" s="12" t="s">
        <v>1092</v>
      </c>
      <c r="AN117" s="12" t="s">
        <v>1092</v>
      </c>
      <c r="AO117" s="178" t="s">
        <v>1093</v>
      </c>
      <c r="AP117" s="178" t="s">
        <v>1093</v>
      </c>
      <c r="AQ117" s="178" t="s">
        <v>1093</v>
      </c>
      <c r="AR117" s="178" t="s">
        <v>1093</v>
      </c>
      <c r="AS117" s="178" t="s">
        <v>1118</v>
      </c>
      <c r="AT117" s="178" t="s">
        <v>1118</v>
      </c>
      <c r="AU117" s="178" t="s">
        <v>1118</v>
      </c>
      <c r="AV117" s="12" t="s">
        <v>1096</v>
      </c>
      <c r="AW117" s="12" t="s">
        <v>2270</v>
      </c>
      <c r="AX117" s="178" t="s">
        <v>1773</v>
      </c>
      <c r="AY117" s="178" t="s">
        <v>1093</v>
      </c>
      <c r="AZ117" s="12" t="s">
        <v>1956</v>
      </c>
      <c r="BA117" s="12" t="s">
        <v>1098</v>
      </c>
      <c r="BB117" s="12" t="s">
        <v>1098</v>
      </c>
      <c r="BD117" s="12" t="s">
        <v>1092</v>
      </c>
      <c r="BE117" s="12" t="s">
        <v>118</v>
      </c>
      <c r="BF117" s="12" t="s">
        <v>121</v>
      </c>
      <c r="BH117" s="12" t="s">
        <v>120</v>
      </c>
      <c r="BI117" s="179">
        <v>118</v>
      </c>
      <c r="BK117" s="176" t="s">
        <v>83</v>
      </c>
    </row>
    <row r="118" spans="1:66" x14ac:dyDescent="0.25">
      <c r="A118" s="181">
        <v>42194</v>
      </c>
      <c r="B118" s="180">
        <v>6291090</v>
      </c>
      <c r="C118" s="180">
        <v>10917306</v>
      </c>
      <c r="D118" s="12" t="s">
        <v>760</v>
      </c>
      <c r="E118" s="175">
        <v>42194</v>
      </c>
      <c r="I118" s="12" t="s">
        <v>2327</v>
      </c>
      <c r="BF118" s="12" t="s">
        <v>121</v>
      </c>
      <c r="BH118" s="180">
        <v>53732</v>
      </c>
      <c r="BI118" s="179">
        <v>1</v>
      </c>
      <c r="BJ118" s="175">
        <v>42194</v>
      </c>
      <c r="BK118" s="176" t="s">
        <v>82</v>
      </c>
      <c r="BM118" s="12">
        <v>28</v>
      </c>
    </row>
    <row r="119" spans="1:66" x14ac:dyDescent="0.25">
      <c r="A119" s="12" t="s">
        <v>2103</v>
      </c>
      <c r="B119" s="12" t="s">
        <v>705</v>
      </c>
      <c r="C119" s="12" t="s">
        <v>706</v>
      </c>
      <c r="D119" s="12" t="s">
        <v>707</v>
      </c>
      <c r="E119" s="175">
        <v>42191</v>
      </c>
      <c r="F119" s="12" t="s">
        <v>2165</v>
      </c>
      <c r="G119" s="12" t="s">
        <v>1075</v>
      </c>
      <c r="H119" s="12" t="s">
        <v>2166</v>
      </c>
      <c r="I119" s="12" t="s">
        <v>2167</v>
      </c>
      <c r="K119" s="12" t="s">
        <v>1209</v>
      </c>
      <c r="L119" s="12" t="s">
        <v>1210</v>
      </c>
      <c r="M119" s="12" t="s">
        <v>1211</v>
      </c>
      <c r="O119" s="178" t="s">
        <v>1812</v>
      </c>
      <c r="P119" s="178" t="s">
        <v>2168</v>
      </c>
      <c r="Q119" s="12" t="s">
        <v>1211</v>
      </c>
      <c r="R119" s="179">
        <v>86</v>
      </c>
      <c r="S119" s="178"/>
      <c r="U119" s="12">
        <v>11111</v>
      </c>
      <c r="W119" s="12" t="s">
        <v>1083</v>
      </c>
      <c r="X119" s="12" t="s">
        <v>1519</v>
      </c>
      <c r="Y119" s="178" t="s">
        <v>1147</v>
      </c>
      <c r="Z119" s="12" t="s">
        <v>2169</v>
      </c>
      <c r="AA119" s="178" t="s">
        <v>1491</v>
      </c>
      <c r="AB119" s="12" t="s">
        <v>2170</v>
      </c>
      <c r="AC119" s="178" t="s">
        <v>1265</v>
      </c>
      <c r="AD119" s="12" t="s">
        <v>2171</v>
      </c>
      <c r="AE119" s="12" t="s">
        <v>1075</v>
      </c>
      <c r="AF119" s="12" t="s">
        <v>2172</v>
      </c>
      <c r="AG119" s="12" t="s">
        <v>1092</v>
      </c>
      <c r="AH119" s="12" t="s">
        <v>1092</v>
      </c>
      <c r="AI119" s="12" t="s">
        <v>2173</v>
      </c>
      <c r="AJ119" s="12" t="s">
        <v>2174</v>
      </c>
      <c r="AK119" s="12" t="s">
        <v>1092</v>
      </c>
      <c r="AL119" s="12" t="s">
        <v>1092</v>
      </c>
      <c r="AM119" s="12" t="s">
        <v>1092</v>
      </c>
      <c r="AN119" s="12" t="s">
        <v>1092</v>
      </c>
      <c r="AO119" s="178" t="s">
        <v>1093</v>
      </c>
      <c r="AP119" s="178" t="s">
        <v>1093</v>
      </c>
      <c r="AQ119" s="178" t="s">
        <v>1093</v>
      </c>
      <c r="AR119" s="178" t="s">
        <v>1092</v>
      </c>
      <c r="AS119" s="178" t="s">
        <v>1118</v>
      </c>
      <c r="AT119" s="178" t="s">
        <v>1118</v>
      </c>
      <c r="AU119" s="178" t="s">
        <v>1095</v>
      </c>
      <c r="AV119" s="12" t="s">
        <v>1096</v>
      </c>
      <c r="AW119" s="12" t="s">
        <v>1097</v>
      </c>
      <c r="AX119" s="178" t="s">
        <v>2175</v>
      </c>
      <c r="AY119" s="178" t="s">
        <v>1213</v>
      </c>
      <c r="AZ119" s="12" t="s">
        <v>2176</v>
      </c>
      <c r="BA119" s="12" t="s">
        <v>1098</v>
      </c>
      <c r="BB119" s="12" t="s">
        <v>1098</v>
      </c>
      <c r="BC119" s="178" t="s">
        <v>1205</v>
      </c>
      <c r="BD119" s="12" t="s">
        <v>1092</v>
      </c>
      <c r="BE119" s="12" t="s">
        <v>118</v>
      </c>
      <c r="BF119" s="12" t="s">
        <v>4369</v>
      </c>
      <c r="BH119" s="12">
        <v>11111</v>
      </c>
      <c r="BI119" s="179">
        <v>86</v>
      </c>
      <c r="BJ119" s="175">
        <v>42202</v>
      </c>
      <c r="BK119" s="176" t="s">
        <v>82</v>
      </c>
      <c r="BM119" s="12">
        <v>29</v>
      </c>
    </row>
    <row r="120" spans="1:66" x14ac:dyDescent="0.25">
      <c r="A120" s="12" t="s">
        <v>2103</v>
      </c>
      <c r="B120" s="12" t="s">
        <v>708</v>
      </c>
      <c r="C120" s="12" t="s">
        <v>709</v>
      </c>
      <c r="D120" s="12" t="s">
        <v>710</v>
      </c>
      <c r="E120" s="175">
        <v>42191</v>
      </c>
      <c r="F120" s="12" t="s">
        <v>1633</v>
      </c>
      <c r="G120" s="12" t="s">
        <v>1075</v>
      </c>
      <c r="H120" s="12" t="s">
        <v>2177</v>
      </c>
      <c r="I120" s="12" t="s">
        <v>2178</v>
      </c>
      <c r="J120" s="12" t="s">
        <v>2179</v>
      </c>
      <c r="K120" s="12" t="s">
        <v>1078</v>
      </c>
      <c r="L120" s="12" t="s">
        <v>1079</v>
      </c>
      <c r="M120" s="12" t="s">
        <v>1342</v>
      </c>
      <c r="O120" s="178" t="s">
        <v>1126</v>
      </c>
      <c r="P120" s="178" t="s">
        <v>2180</v>
      </c>
      <c r="Q120" s="12" t="s">
        <v>1342</v>
      </c>
      <c r="R120" s="179">
        <v>87</v>
      </c>
      <c r="S120" s="178"/>
      <c r="U120" s="12">
        <v>11111</v>
      </c>
      <c r="W120" s="12" t="s">
        <v>1083</v>
      </c>
      <c r="X120" s="12" t="s">
        <v>1519</v>
      </c>
      <c r="Y120" s="178" t="s">
        <v>2081</v>
      </c>
      <c r="Z120" s="12" t="s">
        <v>2181</v>
      </c>
      <c r="AA120" s="178" t="s">
        <v>2182</v>
      </c>
      <c r="AB120" s="12" t="s">
        <v>2183</v>
      </c>
      <c r="AC120" s="178" t="s">
        <v>1192</v>
      </c>
      <c r="AD120" s="12" t="s">
        <v>2184</v>
      </c>
      <c r="AE120" s="12" t="s">
        <v>1075</v>
      </c>
      <c r="AF120" s="12" t="s">
        <v>2185</v>
      </c>
      <c r="AG120" s="12" t="s">
        <v>1092</v>
      </c>
      <c r="AH120" s="12" t="s">
        <v>1092</v>
      </c>
      <c r="AI120" s="12" t="s">
        <v>2186</v>
      </c>
      <c r="AJ120" s="12" t="s">
        <v>2187</v>
      </c>
      <c r="AK120" s="12" t="s">
        <v>1092</v>
      </c>
      <c r="AL120" s="12" t="s">
        <v>1092</v>
      </c>
      <c r="AM120" s="12" t="s">
        <v>1092</v>
      </c>
      <c r="AN120" s="12" t="s">
        <v>1092</v>
      </c>
      <c r="AO120" s="178" t="s">
        <v>1093</v>
      </c>
      <c r="AP120" s="178" t="s">
        <v>1093</v>
      </c>
      <c r="AQ120" s="178" t="s">
        <v>1093</v>
      </c>
      <c r="AR120" s="178" t="s">
        <v>1093</v>
      </c>
      <c r="AS120" s="178" t="s">
        <v>1118</v>
      </c>
      <c r="AT120" s="178" t="s">
        <v>1118</v>
      </c>
      <c r="AU120" s="178" t="s">
        <v>1118</v>
      </c>
      <c r="AV120" s="12" t="s">
        <v>1096</v>
      </c>
      <c r="AW120" s="12" t="s">
        <v>1097</v>
      </c>
      <c r="AY120" s="178" t="s">
        <v>1092</v>
      </c>
      <c r="AZ120" s="12" t="s">
        <v>2188</v>
      </c>
      <c r="BA120" s="12" t="s">
        <v>1098</v>
      </c>
      <c r="BB120" s="12" t="s">
        <v>1098</v>
      </c>
      <c r="BD120" s="12" t="s">
        <v>1092</v>
      </c>
      <c r="BE120" s="12" t="s">
        <v>118</v>
      </c>
      <c r="BF120" s="12" t="s">
        <v>4369</v>
      </c>
      <c r="BH120" s="12">
        <v>11111</v>
      </c>
      <c r="BI120" s="179">
        <v>87</v>
      </c>
      <c r="BJ120" s="175">
        <v>42202</v>
      </c>
      <c r="BK120" s="176" t="s">
        <v>82</v>
      </c>
      <c r="BM120" s="12">
        <v>29</v>
      </c>
    </row>
    <row r="121" spans="1:66" x14ac:dyDescent="0.25">
      <c r="A121" s="12" t="s">
        <v>2103</v>
      </c>
      <c r="B121" s="12" t="s">
        <v>711</v>
      </c>
      <c r="C121" s="12" t="s">
        <v>712</v>
      </c>
      <c r="D121" s="12" t="s">
        <v>713</v>
      </c>
      <c r="E121" s="175">
        <v>42191</v>
      </c>
      <c r="F121" s="12" t="s">
        <v>1661</v>
      </c>
      <c r="G121" s="12" t="s">
        <v>1075</v>
      </c>
      <c r="H121" s="12" t="s">
        <v>2189</v>
      </c>
      <c r="I121" s="12" t="s">
        <v>2190</v>
      </c>
      <c r="J121" s="12" t="s">
        <v>2191</v>
      </c>
      <c r="K121" s="12" t="s">
        <v>1078</v>
      </c>
      <c r="L121" s="12" t="s">
        <v>1079</v>
      </c>
      <c r="M121" s="12" t="s">
        <v>1342</v>
      </c>
      <c r="O121" s="178" t="s">
        <v>1451</v>
      </c>
      <c r="P121" s="178" t="s">
        <v>2192</v>
      </c>
      <c r="Q121" s="12" t="s">
        <v>1342</v>
      </c>
      <c r="R121" s="179">
        <v>88</v>
      </c>
      <c r="S121" s="178"/>
      <c r="U121" s="12">
        <v>11111</v>
      </c>
      <c r="W121" s="12" t="s">
        <v>1083</v>
      </c>
      <c r="X121" s="12" t="s">
        <v>1464</v>
      </c>
      <c r="Y121" s="178" t="s">
        <v>1438</v>
      </c>
      <c r="Z121" s="12" t="s">
        <v>2193</v>
      </c>
      <c r="AB121" s="12" t="s">
        <v>1185</v>
      </c>
      <c r="AD121" s="12" t="s">
        <v>1185</v>
      </c>
      <c r="AE121" s="12" t="s">
        <v>1075</v>
      </c>
      <c r="AF121" s="12" t="s">
        <v>2194</v>
      </c>
      <c r="AG121" s="12" t="s">
        <v>1092</v>
      </c>
      <c r="AH121" s="12" t="s">
        <v>1092</v>
      </c>
      <c r="AI121" s="12" t="s">
        <v>2195</v>
      </c>
      <c r="AJ121" s="12" t="s">
        <v>2196</v>
      </c>
      <c r="AK121" s="12" t="s">
        <v>1092</v>
      </c>
      <c r="AL121" s="12" t="s">
        <v>1092</v>
      </c>
      <c r="AM121" s="12" t="s">
        <v>1092</v>
      </c>
      <c r="AN121" s="12" t="s">
        <v>1092</v>
      </c>
      <c r="AO121" s="178" t="s">
        <v>1093</v>
      </c>
      <c r="AP121" s="178" t="s">
        <v>1093</v>
      </c>
      <c r="AQ121" s="178" t="s">
        <v>1093</v>
      </c>
      <c r="AR121" s="178" t="s">
        <v>1092</v>
      </c>
      <c r="AS121" s="178" t="s">
        <v>1118</v>
      </c>
      <c r="AT121" s="178" t="s">
        <v>1118</v>
      </c>
      <c r="AU121" s="178" t="s">
        <v>1095</v>
      </c>
      <c r="AV121" s="12" t="s">
        <v>1096</v>
      </c>
      <c r="AW121" s="12" t="s">
        <v>1097</v>
      </c>
      <c r="AY121" s="178" t="s">
        <v>1092</v>
      </c>
      <c r="AZ121" s="12" t="s">
        <v>2197</v>
      </c>
      <c r="BA121" s="12" t="s">
        <v>1098</v>
      </c>
      <c r="BB121" s="12" t="s">
        <v>2197</v>
      </c>
      <c r="BD121" s="12" t="s">
        <v>1092</v>
      </c>
      <c r="BE121" s="12" t="s">
        <v>118</v>
      </c>
      <c r="BF121" s="12" t="s">
        <v>4369</v>
      </c>
      <c r="BH121" s="12">
        <v>11111</v>
      </c>
      <c r="BI121" s="179">
        <v>88</v>
      </c>
      <c r="BJ121" s="175">
        <v>42202</v>
      </c>
      <c r="BK121" s="176" t="s">
        <v>82</v>
      </c>
      <c r="BM121" s="12">
        <v>29</v>
      </c>
    </row>
    <row r="122" spans="1:66" x14ac:dyDescent="0.25">
      <c r="A122" s="12" t="s">
        <v>2103</v>
      </c>
      <c r="B122" s="12" t="s">
        <v>714</v>
      </c>
      <c r="C122" s="180">
        <v>11297703</v>
      </c>
      <c r="D122" s="12" t="s">
        <v>716</v>
      </c>
      <c r="E122" s="175">
        <v>42191</v>
      </c>
      <c r="F122" s="12" t="s">
        <v>2198</v>
      </c>
      <c r="G122" s="12" t="s">
        <v>1075</v>
      </c>
      <c r="H122" s="12" t="s">
        <v>2199</v>
      </c>
      <c r="I122" s="12" t="s">
        <v>2200</v>
      </c>
      <c r="K122" s="12" t="s">
        <v>1209</v>
      </c>
      <c r="L122" s="12" t="s">
        <v>1210</v>
      </c>
      <c r="M122" s="12" t="s">
        <v>1211</v>
      </c>
      <c r="O122" s="178" t="s">
        <v>1163</v>
      </c>
      <c r="P122" s="178" t="s">
        <v>2201</v>
      </c>
      <c r="Q122" s="12" t="s">
        <v>1211</v>
      </c>
      <c r="R122" s="179">
        <v>89</v>
      </c>
      <c r="S122" s="178"/>
      <c r="U122" s="12">
        <v>11111</v>
      </c>
      <c r="V122" s="12" t="s">
        <v>2202</v>
      </c>
      <c r="W122" s="12" t="s">
        <v>1083</v>
      </c>
      <c r="X122" s="12" t="s">
        <v>1084</v>
      </c>
      <c r="Y122" s="178" t="s">
        <v>1938</v>
      </c>
      <c r="Z122" s="12" t="s">
        <v>1525</v>
      </c>
      <c r="AA122" s="178" t="s">
        <v>1249</v>
      </c>
      <c r="AB122" s="12" t="s">
        <v>2203</v>
      </c>
      <c r="AC122" s="178" t="s">
        <v>1757</v>
      </c>
      <c r="AD122" s="12" t="s">
        <v>2203</v>
      </c>
      <c r="AE122" s="12" t="s">
        <v>1075</v>
      </c>
      <c r="AF122" s="12" t="s">
        <v>2204</v>
      </c>
      <c r="AG122" s="12" t="s">
        <v>1092</v>
      </c>
      <c r="AH122" s="12" t="s">
        <v>1092</v>
      </c>
      <c r="AI122" s="12" t="s">
        <v>2205</v>
      </c>
      <c r="AJ122" s="12" t="s">
        <v>2206</v>
      </c>
      <c r="AK122" s="12" t="s">
        <v>1092</v>
      </c>
      <c r="AL122" s="12" t="s">
        <v>1092</v>
      </c>
      <c r="AM122" s="12" t="s">
        <v>1092</v>
      </c>
      <c r="AN122" s="12" t="s">
        <v>1092</v>
      </c>
      <c r="AO122" s="178" t="s">
        <v>1093</v>
      </c>
      <c r="AP122" s="178" t="s">
        <v>1093</v>
      </c>
      <c r="AQ122" s="178" t="s">
        <v>1093</v>
      </c>
      <c r="AR122" s="178" t="s">
        <v>1093</v>
      </c>
      <c r="AS122" s="178" t="s">
        <v>1118</v>
      </c>
      <c r="AT122" s="178" t="s">
        <v>1118</v>
      </c>
      <c r="AU122" s="178" t="s">
        <v>1118</v>
      </c>
      <c r="AV122" s="12" t="s">
        <v>1096</v>
      </c>
      <c r="AW122" s="12" t="s">
        <v>1097</v>
      </c>
      <c r="AY122" s="178" t="s">
        <v>1092</v>
      </c>
      <c r="AZ122" s="12" t="s">
        <v>2207</v>
      </c>
      <c r="BA122" s="12" t="s">
        <v>1098</v>
      </c>
      <c r="BB122" s="12" t="s">
        <v>2208</v>
      </c>
      <c r="BD122" s="12" t="s">
        <v>1092</v>
      </c>
      <c r="BE122" s="12" t="s">
        <v>118</v>
      </c>
      <c r="BF122" s="12" t="s">
        <v>4369</v>
      </c>
      <c r="BH122" s="12">
        <v>11111</v>
      </c>
      <c r="BI122" s="179">
        <v>89</v>
      </c>
      <c r="BK122" s="176" t="s">
        <v>766</v>
      </c>
      <c r="BN122" s="12" t="s">
        <v>767</v>
      </c>
    </row>
    <row r="123" spans="1:66" x14ac:dyDescent="0.25">
      <c r="A123" s="12" t="s">
        <v>2103</v>
      </c>
      <c r="B123" s="12" t="s">
        <v>717</v>
      </c>
      <c r="C123" s="12" t="s">
        <v>718</v>
      </c>
      <c r="D123" s="12" t="s">
        <v>719</v>
      </c>
      <c r="E123" s="175">
        <v>42191</v>
      </c>
      <c r="F123" s="12" t="s">
        <v>2209</v>
      </c>
      <c r="G123" s="12" t="s">
        <v>1075</v>
      </c>
      <c r="H123" s="12" t="s">
        <v>2210</v>
      </c>
      <c r="I123" s="12" t="s">
        <v>2211</v>
      </c>
      <c r="J123" s="12" t="s">
        <v>2212</v>
      </c>
      <c r="K123" s="12" t="s">
        <v>1078</v>
      </c>
      <c r="L123" s="12" t="s">
        <v>1079</v>
      </c>
      <c r="M123" s="12" t="s">
        <v>1080</v>
      </c>
      <c r="O123" s="178" t="s">
        <v>1081</v>
      </c>
      <c r="P123" s="178" t="s">
        <v>2213</v>
      </c>
      <c r="Q123" s="12" t="s">
        <v>1080</v>
      </c>
      <c r="R123" s="179">
        <v>90</v>
      </c>
      <c r="S123" s="178"/>
      <c r="U123" s="12">
        <v>11111</v>
      </c>
      <c r="W123" s="12" t="s">
        <v>1083</v>
      </c>
      <c r="X123" s="12" t="s">
        <v>1519</v>
      </c>
      <c r="Y123" s="178" t="s">
        <v>2214</v>
      </c>
      <c r="Z123" s="12" t="s">
        <v>2215</v>
      </c>
      <c r="AA123" s="178" t="s">
        <v>1169</v>
      </c>
      <c r="AB123" s="12" t="s">
        <v>2216</v>
      </c>
      <c r="AC123" s="178" t="s">
        <v>2217</v>
      </c>
      <c r="AD123" s="12" t="s">
        <v>2218</v>
      </c>
      <c r="AE123" s="12" t="s">
        <v>1075</v>
      </c>
      <c r="AF123" s="12" t="s">
        <v>2219</v>
      </c>
      <c r="AG123" s="12" t="s">
        <v>1092</v>
      </c>
      <c r="AH123" s="12" t="s">
        <v>1092</v>
      </c>
      <c r="AI123" s="12" t="s">
        <v>2220</v>
      </c>
      <c r="AJ123" s="12" t="s">
        <v>2221</v>
      </c>
      <c r="AK123" s="12" t="s">
        <v>1092</v>
      </c>
      <c r="AL123" s="12" t="s">
        <v>1092</v>
      </c>
      <c r="AM123" s="12" t="s">
        <v>1092</v>
      </c>
      <c r="AN123" s="12" t="s">
        <v>1092</v>
      </c>
      <c r="AO123" s="178" t="s">
        <v>1093</v>
      </c>
      <c r="AP123" s="178" t="s">
        <v>1093</v>
      </c>
      <c r="AQ123" s="178" t="s">
        <v>1093</v>
      </c>
      <c r="AR123" s="178" t="s">
        <v>1093</v>
      </c>
      <c r="AS123" s="178" t="s">
        <v>1118</v>
      </c>
      <c r="AT123" s="178" t="s">
        <v>1118</v>
      </c>
      <c r="AU123" s="178" t="s">
        <v>1118</v>
      </c>
      <c r="AV123" s="12" t="s">
        <v>1096</v>
      </c>
      <c r="AW123" s="12" t="s">
        <v>1097</v>
      </c>
      <c r="AY123" s="178" t="s">
        <v>1092</v>
      </c>
      <c r="AZ123" s="12" t="s">
        <v>2222</v>
      </c>
      <c r="BA123" s="12" t="s">
        <v>1098</v>
      </c>
      <c r="BB123" s="12" t="s">
        <v>1098</v>
      </c>
      <c r="BD123" s="12" t="s">
        <v>1092</v>
      </c>
      <c r="BE123" s="12" t="s">
        <v>118</v>
      </c>
      <c r="BF123" s="12" t="s">
        <v>4369</v>
      </c>
      <c r="BH123" s="12">
        <v>11111</v>
      </c>
      <c r="BI123" s="179">
        <v>90</v>
      </c>
      <c r="BJ123" s="175">
        <v>42202</v>
      </c>
      <c r="BK123" s="176" t="s">
        <v>82</v>
      </c>
      <c r="BM123" s="12">
        <v>29</v>
      </c>
    </row>
    <row r="124" spans="1:66" x14ac:dyDescent="0.25">
      <c r="A124" s="12" t="s">
        <v>2103</v>
      </c>
      <c r="B124" s="12" t="s">
        <v>720</v>
      </c>
      <c r="C124" s="12" t="s">
        <v>721</v>
      </c>
      <c r="D124" s="12" t="s">
        <v>722</v>
      </c>
      <c r="E124" s="175">
        <v>42191</v>
      </c>
      <c r="F124" s="12" t="s">
        <v>1661</v>
      </c>
      <c r="G124" s="12" t="s">
        <v>1075</v>
      </c>
      <c r="H124" s="12" t="s">
        <v>2223</v>
      </c>
      <c r="I124" s="12" t="s">
        <v>2224</v>
      </c>
      <c r="J124" s="12" t="s">
        <v>2225</v>
      </c>
      <c r="K124" s="12" t="s">
        <v>1078</v>
      </c>
      <c r="L124" s="12" t="s">
        <v>1079</v>
      </c>
      <c r="M124" s="12" t="s">
        <v>1080</v>
      </c>
      <c r="O124" s="178" t="s">
        <v>1106</v>
      </c>
      <c r="P124" s="178" t="s">
        <v>2226</v>
      </c>
      <c r="Q124" s="12" t="s">
        <v>1080</v>
      </c>
      <c r="R124" s="179">
        <v>91</v>
      </c>
      <c r="S124" s="178"/>
      <c r="U124" s="12">
        <v>11111</v>
      </c>
      <c r="W124" s="12" t="s">
        <v>1083</v>
      </c>
      <c r="X124" s="12" t="s">
        <v>1464</v>
      </c>
      <c r="Y124" s="178" t="s">
        <v>1165</v>
      </c>
      <c r="Z124" s="12" t="s">
        <v>2227</v>
      </c>
      <c r="AB124" s="12" t="s">
        <v>1185</v>
      </c>
      <c r="AD124" s="12" t="s">
        <v>1185</v>
      </c>
      <c r="AE124" s="12" t="s">
        <v>1075</v>
      </c>
      <c r="AF124" s="12" t="s">
        <v>2228</v>
      </c>
      <c r="AG124" s="12" t="s">
        <v>1092</v>
      </c>
      <c r="AH124" s="12" t="s">
        <v>1092</v>
      </c>
      <c r="AI124" s="12" t="s">
        <v>2229</v>
      </c>
      <c r="AJ124" s="12" t="s">
        <v>2230</v>
      </c>
      <c r="AK124" s="12" t="s">
        <v>1092</v>
      </c>
      <c r="AL124" s="12" t="s">
        <v>1092</v>
      </c>
      <c r="AM124" s="12" t="s">
        <v>1092</v>
      </c>
      <c r="AN124" s="12" t="s">
        <v>1092</v>
      </c>
      <c r="AO124" s="178" t="s">
        <v>1093</v>
      </c>
      <c r="AP124" s="178" t="s">
        <v>1093</v>
      </c>
      <c r="AQ124" s="178" t="s">
        <v>1093</v>
      </c>
      <c r="AR124" s="178" t="s">
        <v>1092</v>
      </c>
      <c r="AS124" s="178" t="s">
        <v>1118</v>
      </c>
      <c r="AT124" s="178" t="s">
        <v>1118</v>
      </c>
      <c r="AU124" s="178" t="s">
        <v>1095</v>
      </c>
      <c r="AV124" s="12" t="s">
        <v>1096</v>
      </c>
      <c r="AW124" s="12" t="s">
        <v>1097</v>
      </c>
      <c r="AY124" s="178" t="s">
        <v>1092</v>
      </c>
      <c r="AZ124" s="12" t="s">
        <v>2231</v>
      </c>
      <c r="BA124" s="12" t="s">
        <v>1098</v>
      </c>
      <c r="BB124" s="12" t="s">
        <v>1098</v>
      </c>
      <c r="BD124" s="12" t="s">
        <v>1092</v>
      </c>
      <c r="BE124" s="12" t="s">
        <v>118</v>
      </c>
      <c r="BF124" s="12" t="s">
        <v>4369</v>
      </c>
      <c r="BH124" s="12">
        <v>11111</v>
      </c>
      <c r="BI124" s="179">
        <v>91</v>
      </c>
      <c r="BJ124" s="175">
        <v>42205</v>
      </c>
      <c r="BK124" s="176" t="s">
        <v>82</v>
      </c>
      <c r="BM124" s="12">
        <v>30</v>
      </c>
    </row>
    <row r="125" spans="1:66" x14ac:dyDescent="0.25">
      <c r="A125" s="12" t="s">
        <v>2103</v>
      </c>
      <c r="B125" s="12" t="s">
        <v>723</v>
      </c>
      <c r="C125" s="12" t="s">
        <v>724</v>
      </c>
      <c r="D125" s="12" t="s">
        <v>725</v>
      </c>
      <c r="E125" s="175">
        <v>42191</v>
      </c>
      <c r="F125" s="12" t="s">
        <v>2232</v>
      </c>
      <c r="G125" s="12" t="s">
        <v>1075</v>
      </c>
      <c r="H125" s="12" t="s">
        <v>2233</v>
      </c>
      <c r="I125" s="12" t="s">
        <v>2234</v>
      </c>
      <c r="J125" s="12" t="s">
        <v>2235</v>
      </c>
      <c r="K125" s="12" t="s">
        <v>1209</v>
      </c>
      <c r="L125" s="12" t="s">
        <v>1210</v>
      </c>
      <c r="M125" s="12" t="s">
        <v>1211</v>
      </c>
      <c r="O125" s="178" t="s">
        <v>1163</v>
      </c>
      <c r="P125" s="178" t="s">
        <v>2236</v>
      </c>
      <c r="Q125" s="12" t="s">
        <v>1211</v>
      </c>
      <c r="R125" s="179">
        <v>92</v>
      </c>
      <c r="S125" s="178"/>
      <c r="U125" s="12">
        <v>11111</v>
      </c>
      <c r="W125" s="12" t="s">
        <v>1083</v>
      </c>
      <c r="X125" s="12" t="s">
        <v>1108</v>
      </c>
      <c r="Y125" s="178" t="s">
        <v>1313</v>
      </c>
      <c r="Z125" s="12" t="s">
        <v>2237</v>
      </c>
      <c r="AA125" s="178" t="s">
        <v>2010</v>
      </c>
      <c r="AB125" s="12" t="s">
        <v>1348</v>
      </c>
      <c r="AC125" s="178" t="s">
        <v>2010</v>
      </c>
      <c r="AD125" s="12" t="s">
        <v>1150</v>
      </c>
      <c r="AE125" s="12" t="s">
        <v>1075</v>
      </c>
      <c r="AF125" s="12" t="s">
        <v>2238</v>
      </c>
      <c r="AG125" s="12" t="s">
        <v>1092</v>
      </c>
      <c r="AH125" s="12" t="s">
        <v>1092</v>
      </c>
      <c r="AI125" s="12" t="s">
        <v>2239</v>
      </c>
      <c r="AJ125" s="12" t="s">
        <v>1092</v>
      </c>
      <c r="AK125" s="12" t="s">
        <v>1092</v>
      </c>
      <c r="AL125" s="12" t="s">
        <v>2240</v>
      </c>
      <c r="AM125" s="12" t="s">
        <v>1092</v>
      </c>
      <c r="AN125" s="12" t="s">
        <v>1092</v>
      </c>
      <c r="AO125" s="178" t="s">
        <v>1093</v>
      </c>
      <c r="AP125" s="178" t="s">
        <v>1093</v>
      </c>
      <c r="AQ125" s="178" t="s">
        <v>1093</v>
      </c>
      <c r="AR125" s="178" t="s">
        <v>1093</v>
      </c>
      <c r="AS125" s="178" t="s">
        <v>1118</v>
      </c>
      <c r="AT125" s="178" t="s">
        <v>1118</v>
      </c>
      <c r="AU125" s="178" t="s">
        <v>1118</v>
      </c>
      <c r="AV125" s="12" t="s">
        <v>1096</v>
      </c>
      <c r="AW125" s="12" t="s">
        <v>1097</v>
      </c>
      <c r="AX125" s="178" t="s">
        <v>2241</v>
      </c>
      <c r="AY125" s="178" t="s">
        <v>1097</v>
      </c>
      <c r="AZ125" s="12" t="s">
        <v>2242</v>
      </c>
      <c r="BA125" s="12" t="s">
        <v>1098</v>
      </c>
      <c r="BB125" s="12" t="s">
        <v>1098</v>
      </c>
      <c r="BD125" s="12" t="s">
        <v>1092</v>
      </c>
      <c r="BE125" s="12" t="s">
        <v>118</v>
      </c>
      <c r="BF125" s="12" t="s">
        <v>4369</v>
      </c>
      <c r="BH125" s="12">
        <v>11111</v>
      </c>
      <c r="BI125" s="179">
        <v>92</v>
      </c>
      <c r="BJ125" s="175">
        <v>42202</v>
      </c>
      <c r="BK125" s="176" t="s">
        <v>82</v>
      </c>
      <c r="BM125" s="12">
        <v>29</v>
      </c>
    </row>
    <row r="126" spans="1:66" x14ac:dyDescent="0.25">
      <c r="A126" s="12" t="s">
        <v>2103</v>
      </c>
      <c r="B126" s="12" t="s">
        <v>726</v>
      </c>
      <c r="C126" s="12" t="s">
        <v>727</v>
      </c>
      <c r="D126" s="12" t="s">
        <v>728</v>
      </c>
      <c r="E126" s="175">
        <v>42191</v>
      </c>
      <c r="F126" s="12" t="s">
        <v>1633</v>
      </c>
      <c r="G126" s="12" t="s">
        <v>1075</v>
      </c>
      <c r="H126" s="12" t="s">
        <v>2243</v>
      </c>
      <c r="I126" s="12" t="s">
        <v>2244</v>
      </c>
      <c r="J126" s="12" t="s">
        <v>2245</v>
      </c>
      <c r="K126" s="12" t="s">
        <v>1103</v>
      </c>
      <c r="L126" s="12" t="s">
        <v>1179</v>
      </c>
      <c r="M126" s="12" t="s">
        <v>1195</v>
      </c>
      <c r="O126" s="178" t="s">
        <v>1741</v>
      </c>
      <c r="P126" s="178" t="s">
        <v>2246</v>
      </c>
      <c r="Q126" s="12" t="s">
        <v>1195</v>
      </c>
      <c r="R126" s="179">
        <v>93</v>
      </c>
      <c r="S126" s="178"/>
      <c r="U126" s="12">
        <v>11111</v>
      </c>
      <c r="W126" s="12" t="s">
        <v>1083</v>
      </c>
      <c r="X126" s="12" t="s">
        <v>1519</v>
      </c>
      <c r="Y126" s="178" t="s">
        <v>1145</v>
      </c>
      <c r="Z126" s="12" t="s">
        <v>2247</v>
      </c>
      <c r="AA126" s="178" t="s">
        <v>2214</v>
      </c>
      <c r="AB126" s="12" t="s">
        <v>1882</v>
      </c>
      <c r="AC126" s="178" t="s">
        <v>1326</v>
      </c>
      <c r="AD126" s="12" t="s">
        <v>2248</v>
      </c>
      <c r="AE126" s="12" t="s">
        <v>1075</v>
      </c>
      <c r="AF126" s="12" t="s">
        <v>2249</v>
      </c>
      <c r="AG126" s="12" t="s">
        <v>1092</v>
      </c>
      <c r="AH126" s="12" t="s">
        <v>1092</v>
      </c>
      <c r="AI126" s="12" t="s">
        <v>2250</v>
      </c>
      <c r="AJ126" s="12" t="s">
        <v>2251</v>
      </c>
      <c r="AK126" s="12" t="s">
        <v>1092</v>
      </c>
      <c r="AL126" s="12" t="s">
        <v>1092</v>
      </c>
      <c r="AM126" s="12" t="s">
        <v>1092</v>
      </c>
      <c r="AN126" s="12" t="s">
        <v>1092</v>
      </c>
      <c r="AO126" s="178" t="s">
        <v>1093</v>
      </c>
      <c r="AP126" s="178" t="s">
        <v>1093</v>
      </c>
      <c r="AQ126" s="178" t="s">
        <v>1093</v>
      </c>
      <c r="AR126" s="178" t="s">
        <v>1093</v>
      </c>
      <c r="AS126" s="178" t="s">
        <v>1118</v>
      </c>
      <c r="AT126" s="178" t="s">
        <v>1118</v>
      </c>
      <c r="AU126" s="178" t="s">
        <v>1094</v>
      </c>
      <c r="AV126" s="12" t="s">
        <v>1096</v>
      </c>
      <c r="AW126" s="12" t="s">
        <v>1097</v>
      </c>
      <c r="AY126" s="178" t="s">
        <v>1092</v>
      </c>
      <c r="AZ126" s="12" t="s">
        <v>2252</v>
      </c>
      <c r="BA126" s="12" t="s">
        <v>1098</v>
      </c>
      <c r="BB126" s="12" t="s">
        <v>1098</v>
      </c>
      <c r="BD126" s="12" t="s">
        <v>1092</v>
      </c>
      <c r="BE126" s="12" t="s">
        <v>118</v>
      </c>
      <c r="BF126" s="12" t="s">
        <v>4369</v>
      </c>
      <c r="BH126" s="12">
        <v>11111</v>
      </c>
      <c r="BI126" s="179">
        <v>93</v>
      </c>
      <c r="BJ126" s="175">
        <v>42204</v>
      </c>
      <c r="BK126" s="176" t="s">
        <v>119</v>
      </c>
      <c r="BL126" s="177">
        <v>339.52</v>
      </c>
      <c r="BM126" s="12">
        <v>29</v>
      </c>
    </row>
    <row r="127" spans="1:66" x14ac:dyDescent="0.25">
      <c r="A127" s="12" t="s">
        <v>2103</v>
      </c>
      <c r="B127" s="12" t="s">
        <v>729</v>
      </c>
      <c r="C127" s="12" t="s">
        <v>730</v>
      </c>
      <c r="D127" s="12" t="s">
        <v>731</v>
      </c>
      <c r="E127" s="175">
        <v>42191</v>
      </c>
      <c r="F127" s="12" t="s">
        <v>2253</v>
      </c>
      <c r="G127" s="12" t="s">
        <v>1075</v>
      </c>
      <c r="H127" s="12" t="s">
        <v>2254</v>
      </c>
      <c r="I127" s="12" t="s">
        <v>1669</v>
      </c>
      <c r="J127" s="12" t="s">
        <v>1534</v>
      </c>
      <c r="K127" s="12" t="s">
        <v>1103</v>
      </c>
      <c r="L127" s="12" t="s">
        <v>1124</v>
      </c>
      <c r="M127" s="12" t="s">
        <v>1105</v>
      </c>
      <c r="O127" s="178" t="s">
        <v>1163</v>
      </c>
      <c r="P127" s="178" t="s">
        <v>2255</v>
      </c>
      <c r="Q127" s="12" t="s">
        <v>1105</v>
      </c>
      <c r="R127" s="179">
        <v>94</v>
      </c>
      <c r="S127" s="178"/>
      <c r="U127" s="12">
        <v>11111</v>
      </c>
      <c r="W127" s="12" t="s">
        <v>1083</v>
      </c>
      <c r="X127" s="12" t="s">
        <v>1084</v>
      </c>
      <c r="Y127" s="178" t="s">
        <v>1563</v>
      </c>
      <c r="Z127" s="12" t="s">
        <v>1148</v>
      </c>
      <c r="AA127" s="178" t="s">
        <v>1616</v>
      </c>
      <c r="AB127" s="12" t="s">
        <v>2256</v>
      </c>
      <c r="AC127" s="178" t="s">
        <v>1113</v>
      </c>
      <c r="AD127" s="12" t="s">
        <v>2257</v>
      </c>
      <c r="AE127" s="12" t="s">
        <v>1075</v>
      </c>
      <c r="AF127" s="12" t="s">
        <v>2258</v>
      </c>
      <c r="AG127" s="12" t="s">
        <v>1092</v>
      </c>
      <c r="AH127" s="12" t="s">
        <v>1092</v>
      </c>
      <c r="AI127" s="12" t="s">
        <v>1269</v>
      </c>
      <c r="AJ127" s="12" t="s">
        <v>2259</v>
      </c>
      <c r="AK127" s="12" t="s">
        <v>1092</v>
      </c>
      <c r="AL127" s="12" t="s">
        <v>1092</v>
      </c>
      <c r="AM127" s="12" t="s">
        <v>1092</v>
      </c>
      <c r="AN127" s="12" t="s">
        <v>1092</v>
      </c>
      <c r="AO127" s="178" t="s">
        <v>1093</v>
      </c>
      <c r="AP127" s="178" t="s">
        <v>1093</v>
      </c>
      <c r="AQ127" s="178" t="s">
        <v>1093</v>
      </c>
      <c r="AR127" s="178" t="s">
        <v>1093</v>
      </c>
      <c r="AS127" s="178" t="s">
        <v>1118</v>
      </c>
      <c r="AT127" s="178" t="s">
        <v>1118</v>
      </c>
      <c r="AU127" s="178" t="s">
        <v>1094</v>
      </c>
      <c r="AV127" s="12" t="s">
        <v>1096</v>
      </c>
      <c r="AW127" s="12" t="s">
        <v>1097</v>
      </c>
      <c r="AY127" s="178" t="s">
        <v>1092</v>
      </c>
      <c r="AZ127" s="12" t="s">
        <v>2260</v>
      </c>
      <c r="BA127" s="12" t="s">
        <v>1098</v>
      </c>
      <c r="BB127" s="12" t="s">
        <v>2260</v>
      </c>
      <c r="BD127" s="12" t="s">
        <v>1092</v>
      </c>
      <c r="BE127" s="12" t="s">
        <v>118</v>
      </c>
      <c r="BF127" s="12" t="s">
        <v>4369</v>
      </c>
      <c r="BH127" s="12">
        <v>11111</v>
      </c>
      <c r="BI127" s="179">
        <v>94</v>
      </c>
      <c r="BJ127" s="175">
        <v>42202</v>
      </c>
      <c r="BK127" s="176" t="s">
        <v>82</v>
      </c>
      <c r="BM127" s="12">
        <v>29</v>
      </c>
    </row>
    <row r="128" spans="1:66" x14ac:dyDescent="0.25">
      <c r="A128" s="12" t="s">
        <v>1099</v>
      </c>
      <c r="B128" s="12" t="s">
        <v>732</v>
      </c>
      <c r="C128" s="12" t="s">
        <v>395</v>
      </c>
      <c r="D128" s="12" t="s">
        <v>195</v>
      </c>
      <c r="E128" s="175">
        <v>42191</v>
      </c>
      <c r="F128" s="12" t="s">
        <v>1176</v>
      </c>
      <c r="G128" s="12" t="s">
        <v>1075</v>
      </c>
      <c r="H128" s="12" t="s">
        <v>2261</v>
      </c>
      <c r="I128" s="12" t="s">
        <v>2262</v>
      </c>
      <c r="J128" s="12" t="s">
        <v>1208</v>
      </c>
      <c r="K128" s="12" t="s">
        <v>1123</v>
      </c>
      <c r="L128" s="12" t="s">
        <v>1124</v>
      </c>
      <c r="M128" s="12" t="s">
        <v>1105</v>
      </c>
      <c r="O128" s="178" t="s">
        <v>1181</v>
      </c>
      <c r="P128" s="178" t="s">
        <v>2263</v>
      </c>
      <c r="Q128" s="12" t="s">
        <v>1105</v>
      </c>
      <c r="R128" s="179">
        <v>95</v>
      </c>
      <c r="S128" s="178"/>
      <c r="U128" s="12">
        <v>11111</v>
      </c>
      <c r="W128" s="12" t="s">
        <v>1083</v>
      </c>
      <c r="X128" s="12" t="s">
        <v>1093</v>
      </c>
      <c r="Y128" s="178" t="s">
        <v>2264</v>
      </c>
      <c r="Z128" s="12" t="s">
        <v>2265</v>
      </c>
      <c r="AB128" s="12" t="s">
        <v>1185</v>
      </c>
      <c r="AD128" s="12" t="s">
        <v>1185</v>
      </c>
      <c r="AE128" s="12" t="s">
        <v>1075</v>
      </c>
      <c r="AF128" s="12" t="s">
        <v>2266</v>
      </c>
      <c r="AG128" s="12" t="s">
        <v>1092</v>
      </c>
      <c r="AH128" s="12" t="s">
        <v>1092</v>
      </c>
      <c r="AI128" s="12" t="s">
        <v>2267</v>
      </c>
      <c r="AJ128" s="12" t="s">
        <v>2268</v>
      </c>
      <c r="AK128" s="12" t="s">
        <v>2269</v>
      </c>
      <c r="AL128" s="12" t="s">
        <v>1092</v>
      </c>
      <c r="AM128" s="12" t="s">
        <v>1092</v>
      </c>
      <c r="AN128" s="12" t="s">
        <v>1092</v>
      </c>
      <c r="AO128" s="178" t="s">
        <v>1093</v>
      </c>
      <c r="AP128" s="178" t="s">
        <v>1093</v>
      </c>
      <c r="AQ128" s="178" t="s">
        <v>1093</v>
      </c>
      <c r="AR128" s="178" t="s">
        <v>1093</v>
      </c>
      <c r="AS128" s="178" t="s">
        <v>1118</v>
      </c>
      <c r="AT128" s="178" t="s">
        <v>1118</v>
      </c>
      <c r="AU128" s="178" t="s">
        <v>1118</v>
      </c>
      <c r="AV128" s="12" t="s">
        <v>1096</v>
      </c>
      <c r="AW128" s="12" t="s">
        <v>2270</v>
      </c>
      <c r="AY128" s="178" t="s">
        <v>1092</v>
      </c>
      <c r="AZ128" s="12" t="s">
        <v>2271</v>
      </c>
      <c r="BA128" s="12" t="s">
        <v>1098</v>
      </c>
      <c r="BB128" s="12" t="s">
        <v>1098</v>
      </c>
      <c r="BD128" s="12" t="s">
        <v>1092</v>
      </c>
      <c r="BE128" s="12" t="s">
        <v>118</v>
      </c>
      <c r="BF128" s="12" t="s">
        <v>4369</v>
      </c>
      <c r="BH128" s="12">
        <v>11111</v>
      </c>
      <c r="BI128" s="179">
        <v>95</v>
      </c>
      <c r="BK128" s="176" t="s">
        <v>83</v>
      </c>
    </row>
    <row r="129" spans="1:65" x14ac:dyDescent="0.25">
      <c r="A129" s="12" t="s">
        <v>1313</v>
      </c>
      <c r="B129" s="12" t="s">
        <v>733</v>
      </c>
      <c r="C129" s="12" t="s">
        <v>417</v>
      </c>
      <c r="D129" s="12" t="s">
        <v>206</v>
      </c>
      <c r="E129" s="175">
        <v>42191</v>
      </c>
      <c r="F129" s="12" t="s">
        <v>1590</v>
      </c>
      <c r="G129" s="12" t="s">
        <v>1075</v>
      </c>
      <c r="H129" s="12" t="s">
        <v>2272</v>
      </c>
      <c r="I129" s="12" t="s">
        <v>2273</v>
      </c>
      <c r="K129" s="12" t="s">
        <v>1078</v>
      </c>
      <c r="L129" s="12" t="s">
        <v>1079</v>
      </c>
      <c r="M129" s="12" t="s">
        <v>1342</v>
      </c>
      <c r="O129" s="178" t="s">
        <v>1163</v>
      </c>
      <c r="P129" s="178" t="s">
        <v>2274</v>
      </c>
      <c r="Q129" s="12" t="s">
        <v>1342</v>
      </c>
      <c r="R129" s="179">
        <v>96</v>
      </c>
      <c r="S129" s="178"/>
      <c r="U129" s="12">
        <v>11111</v>
      </c>
      <c r="W129" s="12" t="s">
        <v>1083</v>
      </c>
      <c r="X129" s="12" t="s">
        <v>1093</v>
      </c>
      <c r="Z129" s="12" t="s">
        <v>1185</v>
      </c>
      <c r="AB129" s="12" t="s">
        <v>1185</v>
      </c>
      <c r="AD129" s="12" t="s">
        <v>1185</v>
      </c>
      <c r="AE129" s="12" t="s">
        <v>1075</v>
      </c>
      <c r="AF129" s="12" t="s">
        <v>2275</v>
      </c>
      <c r="AG129" s="12" t="s">
        <v>1092</v>
      </c>
      <c r="AH129" s="12" t="s">
        <v>1092</v>
      </c>
      <c r="AI129" s="12" t="s">
        <v>2276</v>
      </c>
      <c r="AJ129" s="12" t="s">
        <v>2277</v>
      </c>
      <c r="AK129" s="12" t="s">
        <v>2278</v>
      </c>
      <c r="AL129" s="12" t="s">
        <v>1092</v>
      </c>
      <c r="AM129" s="12" t="s">
        <v>1092</v>
      </c>
      <c r="AN129" s="12" t="s">
        <v>1092</v>
      </c>
      <c r="AO129" s="178" t="s">
        <v>1093</v>
      </c>
      <c r="AP129" s="178" t="s">
        <v>1093</v>
      </c>
      <c r="AQ129" s="178" t="s">
        <v>1093</v>
      </c>
      <c r="AR129" s="178" t="s">
        <v>1093</v>
      </c>
      <c r="AS129" s="178" t="s">
        <v>1118</v>
      </c>
      <c r="AT129" s="178" t="s">
        <v>1118</v>
      </c>
      <c r="AU129" s="178" t="s">
        <v>1118</v>
      </c>
      <c r="AV129" s="12" t="s">
        <v>1096</v>
      </c>
      <c r="AW129" s="12" t="s">
        <v>2270</v>
      </c>
      <c r="AY129" s="178" t="s">
        <v>1092</v>
      </c>
      <c r="AZ129" s="12" t="s">
        <v>2279</v>
      </c>
      <c r="BA129" s="12" t="s">
        <v>1098</v>
      </c>
      <c r="BB129" s="12" t="s">
        <v>1098</v>
      </c>
      <c r="BD129" s="12" t="s">
        <v>1092</v>
      </c>
      <c r="BE129" s="12" t="s">
        <v>118</v>
      </c>
      <c r="BF129" s="12" t="s">
        <v>4369</v>
      </c>
      <c r="BH129" s="12">
        <v>11111</v>
      </c>
      <c r="BI129" s="179">
        <v>96</v>
      </c>
      <c r="BK129" s="176" t="s">
        <v>83</v>
      </c>
    </row>
    <row r="130" spans="1:65" x14ac:dyDescent="0.25">
      <c r="A130" s="12" t="s">
        <v>1313</v>
      </c>
      <c r="B130" s="12" t="s">
        <v>734</v>
      </c>
      <c r="C130" s="12" t="s">
        <v>419</v>
      </c>
      <c r="D130" s="12" t="s">
        <v>207</v>
      </c>
      <c r="E130" s="175">
        <v>42191</v>
      </c>
      <c r="F130" s="12" t="s">
        <v>2280</v>
      </c>
      <c r="G130" s="12" t="s">
        <v>1075</v>
      </c>
      <c r="H130" s="12" t="s">
        <v>2281</v>
      </c>
      <c r="I130" s="12" t="s">
        <v>2282</v>
      </c>
      <c r="J130" s="12" t="s">
        <v>2283</v>
      </c>
      <c r="K130" s="12" t="s">
        <v>1123</v>
      </c>
      <c r="L130" s="12" t="s">
        <v>1124</v>
      </c>
      <c r="M130" s="12" t="s">
        <v>1105</v>
      </c>
      <c r="O130" s="178" t="s">
        <v>2284</v>
      </c>
      <c r="P130" s="178" t="s">
        <v>2285</v>
      </c>
      <c r="Q130" s="12" t="s">
        <v>1105</v>
      </c>
      <c r="R130" s="179">
        <v>97</v>
      </c>
      <c r="S130" s="178"/>
      <c r="U130" s="12">
        <v>11111</v>
      </c>
      <c r="W130" s="12" t="s">
        <v>1083</v>
      </c>
      <c r="X130" s="12" t="s">
        <v>1359</v>
      </c>
      <c r="Y130" s="178" t="s">
        <v>1111</v>
      </c>
      <c r="Z130" s="12" t="s">
        <v>2286</v>
      </c>
      <c r="AA130" s="178" t="s">
        <v>1540</v>
      </c>
      <c r="AB130" s="12" t="s">
        <v>2287</v>
      </c>
      <c r="AC130" s="178" t="s">
        <v>2159</v>
      </c>
      <c r="AD130" s="12" t="s">
        <v>2288</v>
      </c>
      <c r="AE130" s="12" t="s">
        <v>1075</v>
      </c>
      <c r="AF130" s="12" t="s">
        <v>2289</v>
      </c>
      <c r="AG130" s="12" t="s">
        <v>1092</v>
      </c>
      <c r="AH130" s="12" t="s">
        <v>1092</v>
      </c>
      <c r="AI130" s="12" t="s">
        <v>2290</v>
      </c>
      <c r="AJ130" s="12" t="s">
        <v>2291</v>
      </c>
      <c r="AK130" s="12" t="s">
        <v>2292</v>
      </c>
      <c r="AL130" s="12" t="s">
        <v>1092</v>
      </c>
      <c r="AM130" s="12" t="s">
        <v>1092</v>
      </c>
      <c r="AN130" s="12" t="s">
        <v>1092</v>
      </c>
      <c r="AO130" s="178" t="s">
        <v>1093</v>
      </c>
      <c r="AP130" s="178" t="s">
        <v>1093</v>
      </c>
      <c r="AQ130" s="178" t="s">
        <v>1093</v>
      </c>
      <c r="AR130" s="178" t="s">
        <v>1093</v>
      </c>
      <c r="AS130" s="178" t="s">
        <v>1118</v>
      </c>
      <c r="AT130" s="178" t="s">
        <v>1118</v>
      </c>
      <c r="AU130" s="178" t="s">
        <v>1118</v>
      </c>
      <c r="AV130" s="12" t="s">
        <v>1096</v>
      </c>
      <c r="AW130" s="12" t="s">
        <v>2270</v>
      </c>
      <c r="AY130" s="178" t="s">
        <v>1092</v>
      </c>
      <c r="AZ130" s="12" t="s">
        <v>2293</v>
      </c>
      <c r="BA130" s="12" t="s">
        <v>1098</v>
      </c>
      <c r="BB130" s="12" t="s">
        <v>1098</v>
      </c>
      <c r="BC130" s="178" t="s">
        <v>1205</v>
      </c>
      <c r="BD130" s="12" t="s">
        <v>1092</v>
      </c>
      <c r="BE130" s="12" t="s">
        <v>118</v>
      </c>
      <c r="BF130" s="12" t="s">
        <v>4369</v>
      </c>
      <c r="BH130" s="12">
        <v>11111</v>
      </c>
      <c r="BI130" s="179">
        <v>97</v>
      </c>
      <c r="BK130" s="176" t="s">
        <v>83</v>
      </c>
    </row>
    <row r="131" spans="1:65" x14ac:dyDescent="0.25">
      <c r="A131" s="12" t="s">
        <v>1313</v>
      </c>
      <c r="B131" s="12" t="s">
        <v>735</v>
      </c>
      <c r="C131" s="12" t="s">
        <v>421</v>
      </c>
      <c r="D131" s="12" t="s">
        <v>208</v>
      </c>
      <c r="E131" s="175">
        <v>42191</v>
      </c>
      <c r="F131" s="12" t="s">
        <v>1468</v>
      </c>
      <c r="G131" s="12" t="s">
        <v>1075</v>
      </c>
      <c r="H131" s="12" t="s">
        <v>2294</v>
      </c>
      <c r="I131" s="12" t="s">
        <v>2295</v>
      </c>
      <c r="J131" s="12" t="s">
        <v>1301</v>
      </c>
      <c r="K131" s="12" t="s">
        <v>1123</v>
      </c>
      <c r="L131" s="12" t="s">
        <v>1124</v>
      </c>
      <c r="M131" s="12" t="s">
        <v>1125</v>
      </c>
      <c r="O131" s="178" t="s">
        <v>1451</v>
      </c>
      <c r="P131" s="178" t="s">
        <v>2296</v>
      </c>
      <c r="Q131" s="12" t="s">
        <v>1125</v>
      </c>
      <c r="R131" s="179">
        <v>98</v>
      </c>
      <c r="S131" s="178"/>
      <c r="U131" s="12">
        <v>11111</v>
      </c>
      <c r="W131" s="12" t="s">
        <v>1083</v>
      </c>
      <c r="X131" s="12" t="s">
        <v>1213</v>
      </c>
      <c r="Y131" s="178" t="s">
        <v>1754</v>
      </c>
      <c r="Z131" s="12" t="s">
        <v>2297</v>
      </c>
      <c r="AA131" s="178" t="s">
        <v>2084</v>
      </c>
      <c r="AB131" s="12" t="s">
        <v>2298</v>
      </c>
      <c r="AD131" s="12" t="s">
        <v>1185</v>
      </c>
      <c r="AE131" s="12" t="s">
        <v>1075</v>
      </c>
      <c r="AF131" s="12" t="s">
        <v>2299</v>
      </c>
      <c r="AG131" s="12" t="s">
        <v>1092</v>
      </c>
      <c r="AH131" s="12" t="s">
        <v>1092</v>
      </c>
      <c r="AI131" s="12" t="s">
        <v>2300</v>
      </c>
      <c r="AJ131" s="12" t="s">
        <v>2301</v>
      </c>
      <c r="AK131" s="12" t="s">
        <v>2302</v>
      </c>
      <c r="AL131" s="12" t="s">
        <v>1092</v>
      </c>
      <c r="AM131" s="12" t="s">
        <v>1092</v>
      </c>
      <c r="AN131" s="12" t="s">
        <v>1092</v>
      </c>
      <c r="AO131" s="178" t="s">
        <v>1093</v>
      </c>
      <c r="AP131" s="178" t="s">
        <v>1093</v>
      </c>
      <c r="AQ131" s="178" t="s">
        <v>1093</v>
      </c>
      <c r="AR131" s="178" t="s">
        <v>1093</v>
      </c>
      <c r="AS131" s="178" t="s">
        <v>1118</v>
      </c>
      <c r="AT131" s="178" t="s">
        <v>1118</v>
      </c>
      <c r="AU131" s="178" t="s">
        <v>1118</v>
      </c>
      <c r="AV131" s="12" t="s">
        <v>1096</v>
      </c>
      <c r="AW131" s="12" t="s">
        <v>2270</v>
      </c>
      <c r="AY131" s="178" t="s">
        <v>1092</v>
      </c>
      <c r="AZ131" s="12" t="s">
        <v>2303</v>
      </c>
      <c r="BA131" s="12" t="s">
        <v>1098</v>
      </c>
      <c r="BB131" s="12" t="s">
        <v>1098</v>
      </c>
      <c r="BD131" s="12" t="s">
        <v>1092</v>
      </c>
      <c r="BE131" s="12" t="s">
        <v>118</v>
      </c>
      <c r="BF131" s="12" t="s">
        <v>4369</v>
      </c>
      <c r="BH131" s="12">
        <v>11111</v>
      </c>
      <c r="BI131" s="179">
        <v>98</v>
      </c>
      <c r="BK131" s="176" t="s">
        <v>83</v>
      </c>
    </row>
    <row r="132" spans="1:65" x14ac:dyDescent="0.25">
      <c r="A132" s="12" t="s">
        <v>1418</v>
      </c>
      <c r="B132" s="12" t="s">
        <v>736</v>
      </c>
      <c r="C132" s="12" t="s">
        <v>460</v>
      </c>
      <c r="D132" s="12" t="s">
        <v>461</v>
      </c>
      <c r="E132" s="175">
        <v>42191</v>
      </c>
      <c r="F132" s="12" t="s">
        <v>1100</v>
      </c>
      <c r="G132" s="12" t="s">
        <v>1075</v>
      </c>
      <c r="H132" s="12" t="s">
        <v>1101</v>
      </c>
      <c r="I132" s="12" t="s">
        <v>1102</v>
      </c>
      <c r="K132" s="12" t="s">
        <v>1103</v>
      </c>
      <c r="L132" s="12" t="s">
        <v>1104</v>
      </c>
      <c r="M132" s="12" t="s">
        <v>1105</v>
      </c>
      <c r="O132" s="178" t="s">
        <v>1106</v>
      </c>
      <c r="P132" s="178" t="s">
        <v>1107</v>
      </c>
      <c r="Q132" s="12" t="s">
        <v>1105</v>
      </c>
      <c r="R132" s="179">
        <v>99</v>
      </c>
      <c r="S132" s="178"/>
      <c r="U132" s="12">
        <v>11111</v>
      </c>
      <c r="W132" s="12" t="s">
        <v>1083</v>
      </c>
      <c r="X132" s="12" t="s">
        <v>1108</v>
      </c>
      <c r="Y132" s="178" t="s">
        <v>1109</v>
      </c>
      <c r="Z132" s="12" t="s">
        <v>1110</v>
      </c>
      <c r="AA132" s="178" t="s">
        <v>1111</v>
      </c>
      <c r="AB132" s="12" t="s">
        <v>1112</v>
      </c>
      <c r="AC132" s="178" t="s">
        <v>1113</v>
      </c>
      <c r="AD132" s="12" t="s">
        <v>1112</v>
      </c>
      <c r="AE132" s="12" t="s">
        <v>1075</v>
      </c>
      <c r="AF132" s="12" t="s">
        <v>1114</v>
      </c>
      <c r="AG132" s="12" t="s">
        <v>1092</v>
      </c>
      <c r="AH132" s="12" t="s">
        <v>1092</v>
      </c>
      <c r="AI132" s="12" t="s">
        <v>1115</v>
      </c>
      <c r="AJ132" s="12" t="s">
        <v>1116</v>
      </c>
      <c r="AK132" s="12" t="s">
        <v>1117</v>
      </c>
      <c r="AL132" s="12" t="s">
        <v>1092</v>
      </c>
      <c r="AM132" s="12" t="s">
        <v>1092</v>
      </c>
      <c r="AN132" s="12" t="s">
        <v>1092</v>
      </c>
      <c r="AO132" s="178" t="s">
        <v>1093</v>
      </c>
      <c r="AP132" s="178" t="s">
        <v>1093</v>
      </c>
      <c r="AQ132" s="178" t="s">
        <v>1093</v>
      </c>
      <c r="AR132" s="178" t="s">
        <v>1093</v>
      </c>
      <c r="AS132" s="178" t="s">
        <v>1118</v>
      </c>
      <c r="AT132" s="178" t="s">
        <v>1118</v>
      </c>
      <c r="AU132" s="178" t="s">
        <v>1118</v>
      </c>
      <c r="AV132" s="12" t="s">
        <v>1096</v>
      </c>
      <c r="AW132" s="12" t="s">
        <v>2270</v>
      </c>
      <c r="AY132" s="178" t="s">
        <v>1092</v>
      </c>
      <c r="AZ132" s="12" t="s">
        <v>1119</v>
      </c>
      <c r="BA132" s="12" t="s">
        <v>1098</v>
      </c>
      <c r="BB132" s="12" t="s">
        <v>1098</v>
      </c>
      <c r="BD132" s="12" t="s">
        <v>1092</v>
      </c>
      <c r="BE132" s="12" t="s">
        <v>118</v>
      </c>
      <c r="BF132" s="12" t="s">
        <v>4369</v>
      </c>
      <c r="BH132" s="12">
        <v>11111</v>
      </c>
      <c r="BI132" s="179">
        <v>99</v>
      </c>
      <c r="BK132" s="176" t="s">
        <v>83</v>
      </c>
    </row>
    <row r="133" spans="1:65" x14ac:dyDescent="0.25">
      <c r="A133" s="12" t="s">
        <v>1418</v>
      </c>
      <c r="B133" s="12" t="s">
        <v>737</v>
      </c>
      <c r="C133" s="12" t="s">
        <v>463</v>
      </c>
      <c r="D133" s="12" t="s">
        <v>464</v>
      </c>
      <c r="E133" s="175">
        <v>42191</v>
      </c>
      <c r="F133" s="12" t="s">
        <v>1120</v>
      </c>
      <c r="G133" s="12" t="s">
        <v>1075</v>
      </c>
      <c r="H133" s="12" t="s">
        <v>1121</v>
      </c>
      <c r="I133" s="12" t="s">
        <v>1122</v>
      </c>
      <c r="K133" s="12" t="s">
        <v>1123</v>
      </c>
      <c r="L133" s="12" t="s">
        <v>1124</v>
      </c>
      <c r="M133" s="12" t="s">
        <v>1125</v>
      </c>
      <c r="O133" s="178" t="s">
        <v>1126</v>
      </c>
      <c r="P133" s="178" t="s">
        <v>1127</v>
      </c>
      <c r="Q133" s="12" t="s">
        <v>1125</v>
      </c>
      <c r="R133" s="179">
        <v>100</v>
      </c>
      <c r="S133" s="178"/>
      <c r="U133" s="12">
        <v>11111</v>
      </c>
      <c r="W133" s="12" t="s">
        <v>1083</v>
      </c>
      <c r="X133" s="12" t="s">
        <v>1084</v>
      </c>
      <c r="Y133" s="178" t="s">
        <v>1128</v>
      </c>
      <c r="Z133" s="12" t="s">
        <v>1129</v>
      </c>
      <c r="AA133" s="178" t="s">
        <v>1130</v>
      </c>
      <c r="AB133" s="12" t="s">
        <v>1131</v>
      </c>
      <c r="AC133" s="178" t="s">
        <v>1132</v>
      </c>
      <c r="AD133" s="12" t="s">
        <v>1133</v>
      </c>
      <c r="AE133" s="12" t="s">
        <v>1075</v>
      </c>
      <c r="AF133" s="12" t="s">
        <v>1134</v>
      </c>
      <c r="AG133" s="12" t="s">
        <v>1092</v>
      </c>
      <c r="AH133" s="12" t="s">
        <v>1092</v>
      </c>
      <c r="AI133" s="12" t="s">
        <v>1135</v>
      </c>
      <c r="AJ133" s="12" t="s">
        <v>1136</v>
      </c>
      <c r="AK133" s="12" t="s">
        <v>1092</v>
      </c>
      <c r="AL133" s="12" t="s">
        <v>1092</v>
      </c>
      <c r="AM133" s="12" t="s">
        <v>1092</v>
      </c>
      <c r="AN133" s="12" t="s">
        <v>1092</v>
      </c>
      <c r="AO133" s="178" t="s">
        <v>1093</v>
      </c>
      <c r="AP133" s="178" t="s">
        <v>1093</v>
      </c>
      <c r="AQ133" s="178" t="s">
        <v>1093</v>
      </c>
      <c r="AR133" s="178" t="s">
        <v>1093</v>
      </c>
      <c r="AS133" s="178" t="s">
        <v>1118</v>
      </c>
      <c r="AT133" s="178" t="s">
        <v>1118</v>
      </c>
      <c r="AU133" s="178" t="s">
        <v>1118</v>
      </c>
      <c r="AV133" s="12" t="s">
        <v>1096</v>
      </c>
      <c r="AW133" s="12" t="s">
        <v>2270</v>
      </c>
      <c r="AX133" s="178" t="s">
        <v>1137</v>
      </c>
      <c r="AY133" s="178" t="s">
        <v>1093</v>
      </c>
      <c r="AZ133" s="12" t="s">
        <v>1138</v>
      </c>
      <c r="BA133" s="12" t="s">
        <v>1138</v>
      </c>
      <c r="BB133" s="12" t="s">
        <v>1138</v>
      </c>
      <c r="BD133" s="12" t="s">
        <v>1092</v>
      </c>
      <c r="BE133" s="12" t="s">
        <v>118</v>
      </c>
      <c r="BF133" s="12" t="s">
        <v>4369</v>
      </c>
      <c r="BH133" s="12">
        <v>11111</v>
      </c>
      <c r="BI133" s="179">
        <v>100</v>
      </c>
      <c r="BK133" s="176" t="s">
        <v>83</v>
      </c>
    </row>
    <row r="134" spans="1:65" x14ac:dyDescent="0.25">
      <c r="A134" s="12" t="s">
        <v>1418</v>
      </c>
      <c r="B134" s="12" t="s">
        <v>738</v>
      </c>
      <c r="C134" s="12" t="s">
        <v>466</v>
      </c>
      <c r="D134" s="12" t="s">
        <v>467</v>
      </c>
      <c r="E134" s="175">
        <v>42191</v>
      </c>
      <c r="F134" s="12" t="s">
        <v>1139</v>
      </c>
      <c r="G134" s="12" t="s">
        <v>1075</v>
      </c>
      <c r="H134" s="12" t="s">
        <v>1140</v>
      </c>
      <c r="I134" s="12" t="s">
        <v>1141</v>
      </c>
      <c r="K134" s="12" t="s">
        <v>1078</v>
      </c>
      <c r="L134" s="12" t="s">
        <v>1079</v>
      </c>
      <c r="M134" s="12" t="s">
        <v>1080</v>
      </c>
      <c r="O134" s="178" t="s">
        <v>1142</v>
      </c>
      <c r="P134" s="178" t="s">
        <v>1143</v>
      </c>
      <c r="Q134" s="12" t="s">
        <v>1080</v>
      </c>
      <c r="R134" s="179">
        <v>101</v>
      </c>
      <c r="S134" s="178"/>
      <c r="U134" s="12">
        <v>11111</v>
      </c>
      <c r="W134" s="12" t="s">
        <v>1083</v>
      </c>
      <c r="X134" s="12" t="s">
        <v>1144</v>
      </c>
      <c r="Y134" s="178" t="s">
        <v>1145</v>
      </c>
      <c r="Z134" s="12" t="s">
        <v>1146</v>
      </c>
      <c r="AA134" s="178" t="s">
        <v>1147</v>
      </c>
      <c r="AB134" s="12" t="s">
        <v>1148</v>
      </c>
      <c r="AC134" s="178" t="s">
        <v>1149</v>
      </c>
      <c r="AD134" s="12" t="s">
        <v>1150</v>
      </c>
      <c r="AE134" s="12" t="s">
        <v>1075</v>
      </c>
      <c r="AF134" s="12" t="s">
        <v>1151</v>
      </c>
      <c r="AG134" s="12" t="s">
        <v>1152</v>
      </c>
      <c r="AH134" s="12" t="s">
        <v>1092</v>
      </c>
      <c r="AI134" s="12" t="s">
        <v>1153</v>
      </c>
      <c r="AJ134" s="12" t="s">
        <v>1154</v>
      </c>
      <c r="AK134" s="12" t="s">
        <v>1092</v>
      </c>
      <c r="AL134" s="12" t="s">
        <v>1092</v>
      </c>
      <c r="AM134" s="12" t="s">
        <v>1092</v>
      </c>
      <c r="AN134" s="12" t="s">
        <v>1092</v>
      </c>
      <c r="AO134" s="178" t="s">
        <v>1092</v>
      </c>
      <c r="AP134" s="178" t="s">
        <v>1092</v>
      </c>
      <c r="AQ134" s="178" t="s">
        <v>1093</v>
      </c>
      <c r="AR134" s="178" t="s">
        <v>1093</v>
      </c>
      <c r="AS134" s="178" t="s">
        <v>1155</v>
      </c>
      <c r="AT134" s="178" t="s">
        <v>1118</v>
      </c>
      <c r="AU134" s="178" t="s">
        <v>1118</v>
      </c>
      <c r="AV134" s="12" t="s">
        <v>1096</v>
      </c>
      <c r="AW134" s="12" t="s">
        <v>2270</v>
      </c>
      <c r="AX134" s="178" t="s">
        <v>1156</v>
      </c>
      <c r="AY134" s="178" t="s">
        <v>1157</v>
      </c>
      <c r="AZ134" s="12" t="s">
        <v>1158</v>
      </c>
      <c r="BA134" s="12" t="s">
        <v>1098</v>
      </c>
      <c r="BB134" s="12" t="s">
        <v>1098</v>
      </c>
      <c r="BD134" s="12" t="s">
        <v>1092</v>
      </c>
      <c r="BE134" s="12" t="s">
        <v>118</v>
      </c>
      <c r="BF134" s="12" t="s">
        <v>4369</v>
      </c>
      <c r="BH134" s="12">
        <v>11111</v>
      </c>
      <c r="BI134" s="179">
        <v>101</v>
      </c>
      <c r="BK134" s="176" t="s">
        <v>83</v>
      </c>
    </row>
    <row r="135" spans="1:65" x14ac:dyDescent="0.25">
      <c r="A135" s="12" t="s">
        <v>1418</v>
      </c>
      <c r="B135" s="12" t="s">
        <v>739</v>
      </c>
      <c r="C135" s="12" t="s">
        <v>472</v>
      </c>
      <c r="D135" s="12" t="s">
        <v>473</v>
      </c>
      <c r="E135" s="175">
        <v>42191</v>
      </c>
      <c r="F135" s="12" t="s">
        <v>1176</v>
      </c>
      <c r="G135" s="12" t="s">
        <v>1075</v>
      </c>
      <c r="H135" s="12" t="s">
        <v>1177</v>
      </c>
      <c r="I135" s="12" t="s">
        <v>1178</v>
      </c>
      <c r="K135" s="12" t="s">
        <v>1103</v>
      </c>
      <c r="L135" s="12" t="s">
        <v>1179</v>
      </c>
      <c r="M135" s="12" t="s">
        <v>1180</v>
      </c>
      <c r="O135" s="178" t="s">
        <v>1181</v>
      </c>
      <c r="P135" s="178" t="s">
        <v>1182</v>
      </c>
      <c r="Q135" s="12" t="s">
        <v>1180</v>
      </c>
      <c r="R135" s="179">
        <v>102</v>
      </c>
      <c r="S135" s="178"/>
      <c r="U135" s="12">
        <v>11111</v>
      </c>
      <c r="W135" s="12" t="s">
        <v>1083</v>
      </c>
      <c r="X135" s="12" t="s">
        <v>1093</v>
      </c>
      <c r="Y135" s="178" t="s">
        <v>1183</v>
      </c>
      <c r="Z135" s="12" t="s">
        <v>1184</v>
      </c>
      <c r="AB135" s="12" t="s">
        <v>1185</v>
      </c>
      <c r="AD135" s="12" t="s">
        <v>1185</v>
      </c>
      <c r="AE135" s="12" t="s">
        <v>1075</v>
      </c>
      <c r="AF135" s="12" t="s">
        <v>1186</v>
      </c>
      <c r="AG135" s="12" t="s">
        <v>1092</v>
      </c>
      <c r="AH135" s="12" t="s">
        <v>1092</v>
      </c>
      <c r="AI135" s="12" t="s">
        <v>1187</v>
      </c>
      <c r="AJ135" s="12" t="s">
        <v>1188</v>
      </c>
      <c r="AK135" s="12" t="s">
        <v>1092</v>
      </c>
      <c r="AL135" s="12" t="s">
        <v>1189</v>
      </c>
      <c r="AM135" s="12" t="s">
        <v>1092</v>
      </c>
      <c r="AN135" s="12" t="s">
        <v>1092</v>
      </c>
      <c r="AO135" s="178" t="s">
        <v>1093</v>
      </c>
      <c r="AP135" s="178" t="s">
        <v>1093</v>
      </c>
      <c r="AQ135" s="178" t="s">
        <v>1093</v>
      </c>
      <c r="AR135" s="178" t="s">
        <v>1093</v>
      </c>
      <c r="AS135" s="178" t="s">
        <v>1118</v>
      </c>
      <c r="AT135" s="178" t="s">
        <v>1118</v>
      </c>
      <c r="AU135" s="178" t="s">
        <v>1118</v>
      </c>
      <c r="AV135" s="12" t="s">
        <v>1096</v>
      </c>
      <c r="AW135" s="12" t="s">
        <v>2270</v>
      </c>
      <c r="AX135" s="178" t="s">
        <v>1190</v>
      </c>
      <c r="AY135" s="178" t="s">
        <v>1093</v>
      </c>
      <c r="AZ135" s="12" t="s">
        <v>1191</v>
      </c>
      <c r="BA135" s="12" t="s">
        <v>1098</v>
      </c>
      <c r="BB135" s="12" t="s">
        <v>1098</v>
      </c>
      <c r="BD135" s="12" t="s">
        <v>1092</v>
      </c>
      <c r="BE135" s="12" t="s">
        <v>118</v>
      </c>
      <c r="BF135" s="12" t="s">
        <v>4369</v>
      </c>
      <c r="BH135" s="12">
        <v>11111</v>
      </c>
      <c r="BI135" s="179">
        <v>102</v>
      </c>
      <c r="BK135" s="176" t="s">
        <v>83</v>
      </c>
    </row>
    <row r="136" spans="1:65" x14ac:dyDescent="0.25">
      <c r="A136" s="12" t="s">
        <v>1418</v>
      </c>
      <c r="B136" s="12" t="s">
        <v>740</v>
      </c>
      <c r="C136" s="12" t="s">
        <v>484</v>
      </c>
      <c r="D136" s="12" t="s">
        <v>485</v>
      </c>
      <c r="E136" s="175">
        <v>42191</v>
      </c>
      <c r="F136" s="12" t="s">
        <v>1240</v>
      </c>
      <c r="G136" s="12" t="s">
        <v>1075</v>
      </c>
      <c r="H136" s="12" t="s">
        <v>1076</v>
      </c>
      <c r="I136" s="12" t="s">
        <v>1241</v>
      </c>
      <c r="K136" s="12" t="s">
        <v>1242</v>
      </c>
      <c r="L136" s="12" t="s">
        <v>1243</v>
      </c>
      <c r="M136" s="12" t="s">
        <v>1244</v>
      </c>
      <c r="O136" s="178" t="s">
        <v>1245</v>
      </c>
      <c r="P136" s="178" t="s">
        <v>1246</v>
      </c>
      <c r="Q136" s="12" t="s">
        <v>1244</v>
      </c>
      <c r="R136" s="179">
        <v>103</v>
      </c>
      <c r="S136" s="178"/>
      <c r="U136" s="12">
        <v>11111</v>
      </c>
      <c r="W136" s="12" t="s">
        <v>1083</v>
      </c>
      <c r="X136" s="12" t="s">
        <v>1093</v>
      </c>
      <c r="Y136" s="178" t="s">
        <v>1247</v>
      </c>
      <c r="Z136" s="12" t="s">
        <v>1248</v>
      </c>
      <c r="AA136" s="178" t="s">
        <v>1249</v>
      </c>
      <c r="AB136" s="12" t="s">
        <v>1250</v>
      </c>
      <c r="AC136" s="178" t="s">
        <v>1251</v>
      </c>
      <c r="AD136" s="12" t="s">
        <v>1252</v>
      </c>
      <c r="AE136" s="12" t="s">
        <v>1075</v>
      </c>
      <c r="AF136" s="12" t="s">
        <v>1253</v>
      </c>
      <c r="AG136" s="12" t="s">
        <v>1092</v>
      </c>
      <c r="AH136" s="12" t="s">
        <v>1092</v>
      </c>
      <c r="AI136" s="12" t="s">
        <v>1254</v>
      </c>
      <c r="AJ136" s="12" t="s">
        <v>1255</v>
      </c>
      <c r="AK136" s="12" t="s">
        <v>1256</v>
      </c>
      <c r="AL136" s="12" t="s">
        <v>1092</v>
      </c>
      <c r="AM136" s="12" t="s">
        <v>1092</v>
      </c>
      <c r="AN136" s="12" t="s">
        <v>1092</v>
      </c>
      <c r="AO136" s="178" t="s">
        <v>1093</v>
      </c>
      <c r="AP136" s="178" t="s">
        <v>1092</v>
      </c>
      <c r="AQ136" s="178" t="s">
        <v>1093</v>
      </c>
      <c r="AR136" s="178" t="s">
        <v>1093</v>
      </c>
      <c r="AS136" s="178" t="s">
        <v>1118</v>
      </c>
      <c r="AT136" s="178" t="s">
        <v>1118</v>
      </c>
      <c r="AU136" s="178" t="s">
        <v>1118</v>
      </c>
      <c r="AV136" s="12" t="s">
        <v>1096</v>
      </c>
      <c r="AW136" s="12" t="s">
        <v>2270</v>
      </c>
      <c r="AY136" s="178" t="s">
        <v>1092</v>
      </c>
      <c r="AZ136" s="12" t="s">
        <v>1098</v>
      </c>
      <c r="BA136" s="12" t="s">
        <v>1098</v>
      </c>
      <c r="BB136" s="12" t="s">
        <v>1098</v>
      </c>
      <c r="BD136" s="12" t="s">
        <v>1092</v>
      </c>
      <c r="BE136" s="12" t="s">
        <v>118</v>
      </c>
      <c r="BF136" s="12" t="s">
        <v>4369</v>
      </c>
      <c r="BH136" s="12">
        <v>11111</v>
      </c>
      <c r="BI136" s="179">
        <v>103</v>
      </c>
      <c r="BK136" s="176" t="s">
        <v>83</v>
      </c>
    </row>
    <row r="137" spans="1:65" x14ac:dyDescent="0.25">
      <c r="A137" s="12" t="s">
        <v>1418</v>
      </c>
      <c r="B137" s="12" t="s">
        <v>741</v>
      </c>
      <c r="C137" s="12" t="s">
        <v>487</v>
      </c>
      <c r="D137" s="12" t="s">
        <v>488</v>
      </c>
      <c r="E137" s="175">
        <v>42191</v>
      </c>
      <c r="F137" s="12" t="s">
        <v>1257</v>
      </c>
      <c r="G137" s="12" t="s">
        <v>1075</v>
      </c>
      <c r="H137" s="12" t="s">
        <v>1076</v>
      </c>
      <c r="I137" s="12" t="s">
        <v>1258</v>
      </c>
      <c r="J137" s="12" t="s">
        <v>1259</v>
      </c>
      <c r="K137" s="12" t="s">
        <v>1103</v>
      </c>
      <c r="L137" s="12" t="s">
        <v>1179</v>
      </c>
      <c r="M137" s="12" t="s">
        <v>1180</v>
      </c>
      <c r="O137" s="178" t="s">
        <v>1181</v>
      </c>
      <c r="P137" s="178" t="s">
        <v>1260</v>
      </c>
      <c r="Q137" s="12" t="s">
        <v>1180</v>
      </c>
      <c r="R137" s="179">
        <v>104</v>
      </c>
      <c r="S137" s="178"/>
      <c r="U137" s="12">
        <v>11111</v>
      </c>
      <c r="W137" s="12" t="s">
        <v>1083</v>
      </c>
      <c r="X137" s="12" t="s">
        <v>1097</v>
      </c>
      <c r="Y137" s="178" t="s">
        <v>1261</v>
      </c>
      <c r="Z137" s="12" t="s">
        <v>1262</v>
      </c>
      <c r="AA137" s="178" t="s">
        <v>1263</v>
      </c>
      <c r="AB137" s="12" t="s">
        <v>1264</v>
      </c>
      <c r="AC137" s="178" t="s">
        <v>1265</v>
      </c>
      <c r="AD137" s="12" t="s">
        <v>1266</v>
      </c>
      <c r="AE137" s="12" t="s">
        <v>1075</v>
      </c>
      <c r="AF137" s="12" t="s">
        <v>1267</v>
      </c>
      <c r="AG137" s="12" t="s">
        <v>1092</v>
      </c>
      <c r="AH137" s="12" t="s">
        <v>1092</v>
      </c>
      <c r="AI137" s="12" t="s">
        <v>1268</v>
      </c>
      <c r="AJ137" s="12" t="s">
        <v>1269</v>
      </c>
      <c r="AK137" s="12" t="s">
        <v>1270</v>
      </c>
      <c r="AL137" s="12" t="s">
        <v>1092</v>
      </c>
      <c r="AM137" s="12" t="s">
        <v>1092</v>
      </c>
      <c r="AN137" s="12" t="s">
        <v>1092</v>
      </c>
      <c r="AO137" s="178" t="s">
        <v>1093</v>
      </c>
      <c r="AP137" s="178" t="s">
        <v>1093</v>
      </c>
      <c r="AQ137" s="178" t="s">
        <v>1093</v>
      </c>
      <c r="AR137" s="178" t="s">
        <v>1093</v>
      </c>
      <c r="AS137" s="178" t="s">
        <v>1118</v>
      </c>
      <c r="AT137" s="178" t="s">
        <v>1118</v>
      </c>
      <c r="AU137" s="178" t="s">
        <v>1118</v>
      </c>
      <c r="AV137" s="12" t="s">
        <v>1096</v>
      </c>
      <c r="AW137" s="12" t="s">
        <v>2270</v>
      </c>
      <c r="AY137" s="178" t="s">
        <v>1092</v>
      </c>
      <c r="AZ137" s="12" t="s">
        <v>1098</v>
      </c>
      <c r="BA137" s="12" t="s">
        <v>1098</v>
      </c>
      <c r="BB137" s="12" t="s">
        <v>1098</v>
      </c>
      <c r="BD137" s="12" t="s">
        <v>1092</v>
      </c>
      <c r="BE137" s="12" t="s">
        <v>118</v>
      </c>
      <c r="BF137" s="12" t="s">
        <v>4369</v>
      </c>
      <c r="BH137" s="12">
        <v>11111</v>
      </c>
      <c r="BI137" s="179">
        <v>104</v>
      </c>
      <c r="BK137" s="176" t="s">
        <v>83</v>
      </c>
    </row>
    <row r="138" spans="1:65" x14ac:dyDescent="0.25">
      <c r="A138" s="12" t="s">
        <v>1418</v>
      </c>
      <c r="B138" s="12" t="s">
        <v>742</v>
      </c>
      <c r="C138" s="12" t="s">
        <v>490</v>
      </c>
      <c r="D138" s="12" t="s">
        <v>491</v>
      </c>
      <c r="E138" s="175">
        <v>42191</v>
      </c>
      <c r="F138" s="12" t="s">
        <v>1271</v>
      </c>
      <c r="G138" s="12" t="s">
        <v>1075</v>
      </c>
      <c r="H138" s="12" t="s">
        <v>1272</v>
      </c>
      <c r="I138" s="12" t="s">
        <v>1273</v>
      </c>
      <c r="J138" s="12" t="s">
        <v>1274</v>
      </c>
      <c r="K138" s="12" t="s">
        <v>1123</v>
      </c>
      <c r="L138" s="12" t="s">
        <v>1124</v>
      </c>
      <c r="M138" s="12" t="s">
        <v>1125</v>
      </c>
      <c r="O138" s="178" t="s">
        <v>1275</v>
      </c>
      <c r="P138" s="178" t="s">
        <v>1276</v>
      </c>
      <c r="Q138" s="12" t="s">
        <v>1125</v>
      </c>
      <c r="R138" s="179">
        <v>105</v>
      </c>
      <c r="S138" s="178"/>
      <c r="U138" s="12">
        <v>11111</v>
      </c>
      <c r="W138" s="12" t="s">
        <v>1083</v>
      </c>
      <c r="X138" s="12" t="s">
        <v>1157</v>
      </c>
      <c r="Y138" s="178" t="s">
        <v>1198</v>
      </c>
      <c r="Z138" s="12" t="s">
        <v>1277</v>
      </c>
      <c r="AA138" s="178" t="s">
        <v>1278</v>
      </c>
      <c r="AB138" s="12" t="s">
        <v>1279</v>
      </c>
      <c r="AC138" s="178" t="s">
        <v>1249</v>
      </c>
      <c r="AD138" s="12" t="s">
        <v>1280</v>
      </c>
      <c r="AE138" s="12" t="s">
        <v>1075</v>
      </c>
      <c r="AF138" s="12" t="s">
        <v>1281</v>
      </c>
      <c r="AG138" s="12" t="s">
        <v>1092</v>
      </c>
      <c r="AH138" s="12" t="s">
        <v>1092</v>
      </c>
      <c r="AI138" s="12" t="s">
        <v>1282</v>
      </c>
      <c r="AJ138" s="12" t="s">
        <v>1283</v>
      </c>
      <c r="AK138" s="12" t="s">
        <v>1284</v>
      </c>
      <c r="AL138" s="12" t="s">
        <v>1092</v>
      </c>
      <c r="AM138" s="12" t="s">
        <v>1092</v>
      </c>
      <c r="AN138" s="12" t="s">
        <v>1092</v>
      </c>
      <c r="AO138" s="178" t="s">
        <v>1093</v>
      </c>
      <c r="AP138" s="178" t="s">
        <v>1093</v>
      </c>
      <c r="AQ138" s="178" t="s">
        <v>1093</v>
      </c>
      <c r="AR138" s="178" t="s">
        <v>1093</v>
      </c>
      <c r="AS138" s="178" t="s">
        <v>1118</v>
      </c>
      <c r="AT138" s="178" t="s">
        <v>1118</v>
      </c>
      <c r="AU138" s="178" t="s">
        <v>1118</v>
      </c>
      <c r="AV138" s="12" t="s">
        <v>1096</v>
      </c>
      <c r="AW138" s="12" t="s">
        <v>2270</v>
      </c>
      <c r="AX138" s="178" t="s">
        <v>1190</v>
      </c>
      <c r="AY138" s="178" t="s">
        <v>1093</v>
      </c>
      <c r="AZ138" s="12" t="s">
        <v>1285</v>
      </c>
      <c r="BA138" s="12" t="s">
        <v>1286</v>
      </c>
      <c r="BB138" s="12" t="s">
        <v>1098</v>
      </c>
      <c r="BD138" s="12" t="s">
        <v>1092</v>
      </c>
      <c r="BE138" s="12" t="s">
        <v>118</v>
      </c>
      <c r="BF138" s="12" t="s">
        <v>4369</v>
      </c>
      <c r="BH138" s="12">
        <v>11111</v>
      </c>
      <c r="BI138" s="179">
        <v>105</v>
      </c>
      <c r="BK138" s="176" t="s">
        <v>83</v>
      </c>
    </row>
    <row r="139" spans="1:65" x14ac:dyDescent="0.25">
      <c r="A139" s="12" t="s">
        <v>1557</v>
      </c>
      <c r="B139" s="12" t="s">
        <v>743</v>
      </c>
      <c r="C139" s="12" t="s">
        <v>499</v>
      </c>
      <c r="D139" s="12" t="s">
        <v>500</v>
      </c>
      <c r="E139" s="175">
        <v>42191</v>
      </c>
      <c r="F139" s="12" t="s">
        <v>1314</v>
      </c>
      <c r="G139" s="12" t="s">
        <v>1075</v>
      </c>
      <c r="H139" s="12" t="s">
        <v>1076</v>
      </c>
      <c r="I139" s="12" t="s">
        <v>1315</v>
      </c>
      <c r="J139" s="12" t="s">
        <v>1316</v>
      </c>
      <c r="K139" s="12" t="s">
        <v>1123</v>
      </c>
      <c r="L139" s="12" t="s">
        <v>1124</v>
      </c>
      <c r="M139" s="12" t="s">
        <v>1105</v>
      </c>
      <c r="O139" s="178" t="s">
        <v>1106</v>
      </c>
      <c r="P139" s="178" t="s">
        <v>1317</v>
      </c>
      <c r="Q139" s="12" t="s">
        <v>1105</v>
      </c>
      <c r="R139" s="179">
        <v>106</v>
      </c>
      <c r="S139" s="178"/>
      <c r="U139" s="12">
        <v>11111</v>
      </c>
      <c r="W139" s="12" t="s">
        <v>1083</v>
      </c>
      <c r="X139" s="12" t="s">
        <v>1097</v>
      </c>
      <c r="Y139" s="178" t="s">
        <v>1318</v>
      </c>
      <c r="Z139" s="12" t="s">
        <v>1319</v>
      </c>
      <c r="AA139" s="178" t="s">
        <v>1305</v>
      </c>
      <c r="AB139" s="12" t="s">
        <v>1320</v>
      </c>
      <c r="AD139" s="12" t="s">
        <v>1185</v>
      </c>
      <c r="AE139" s="12" t="s">
        <v>1075</v>
      </c>
      <c r="AF139" s="12" t="s">
        <v>1321</v>
      </c>
      <c r="AG139" s="12" t="s">
        <v>1092</v>
      </c>
      <c r="AH139" s="12" t="s">
        <v>1092</v>
      </c>
      <c r="AI139" s="12" t="s">
        <v>1322</v>
      </c>
      <c r="AJ139" s="12" t="s">
        <v>1323</v>
      </c>
      <c r="AK139" s="12" t="s">
        <v>1324</v>
      </c>
      <c r="AL139" s="12" t="s">
        <v>1092</v>
      </c>
      <c r="AM139" s="12" t="s">
        <v>1092</v>
      </c>
      <c r="AN139" s="12" t="s">
        <v>1092</v>
      </c>
      <c r="AO139" s="178" t="s">
        <v>1093</v>
      </c>
      <c r="AP139" s="178" t="s">
        <v>1093</v>
      </c>
      <c r="AQ139" s="178" t="s">
        <v>1093</v>
      </c>
      <c r="AR139" s="178" t="s">
        <v>1093</v>
      </c>
      <c r="AS139" s="178" t="s">
        <v>1118</v>
      </c>
      <c r="AT139" s="178" t="s">
        <v>1118</v>
      </c>
      <c r="AU139" s="178" t="s">
        <v>1118</v>
      </c>
      <c r="AV139" s="12" t="s">
        <v>1096</v>
      </c>
      <c r="AW139" s="12" t="s">
        <v>2270</v>
      </c>
      <c r="AY139" s="178" t="s">
        <v>1092</v>
      </c>
      <c r="AZ139" s="12" t="s">
        <v>1098</v>
      </c>
      <c r="BA139" s="12" t="s">
        <v>1098</v>
      </c>
      <c r="BB139" s="12" t="s">
        <v>1325</v>
      </c>
      <c r="BD139" s="12" t="s">
        <v>1092</v>
      </c>
      <c r="BE139" s="12" t="s">
        <v>118</v>
      </c>
      <c r="BF139" s="12" t="s">
        <v>4369</v>
      </c>
      <c r="BH139" s="12">
        <v>11111</v>
      </c>
      <c r="BI139" s="179">
        <v>106</v>
      </c>
      <c r="BK139" s="176" t="s">
        <v>83</v>
      </c>
    </row>
    <row r="140" spans="1:65" x14ac:dyDescent="0.25">
      <c r="A140" s="12" t="s">
        <v>1557</v>
      </c>
      <c r="B140" s="12" t="s">
        <v>744</v>
      </c>
      <c r="C140" s="12" t="s">
        <v>514</v>
      </c>
      <c r="D140" s="12" t="s">
        <v>515</v>
      </c>
      <c r="E140" s="175">
        <v>42191</v>
      </c>
      <c r="F140" s="12" t="s">
        <v>1378</v>
      </c>
      <c r="G140" s="12" t="s">
        <v>1075</v>
      </c>
      <c r="H140" s="12" t="s">
        <v>1379</v>
      </c>
      <c r="I140" s="12" t="s">
        <v>1380</v>
      </c>
      <c r="K140" s="12" t="s">
        <v>1242</v>
      </c>
      <c r="L140" s="12" t="s">
        <v>1243</v>
      </c>
      <c r="M140" s="12" t="s">
        <v>1244</v>
      </c>
      <c r="O140" s="178" t="s">
        <v>1381</v>
      </c>
      <c r="P140" s="178" t="s">
        <v>1382</v>
      </c>
      <c r="Q140" s="12" t="s">
        <v>1244</v>
      </c>
      <c r="R140" s="179">
        <v>107</v>
      </c>
      <c r="S140" s="178"/>
      <c r="U140" s="12">
        <v>11111</v>
      </c>
      <c r="W140" s="12" t="s">
        <v>1083</v>
      </c>
      <c r="X140" s="12" t="s">
        <v>1213</v>
      </c>
      <c r="Y140" s="178" t="s">
        <v>1278</v>
      </c>
      <c r="Z140" s="12" t="s">
        <v>1383</v>
      </c>
      <c r="AA140" s="178" t="s">
        <v>1384</v>
      </c>
      <c r="AB140" s="12" t="s">
        <v>1385</v>
      </c>
      <c r="AC140" s="178" t="s">
        <v>1386</v>
      </c>
      <c r="AD140" s="12" t="s">
        <v>1387</v>
      </c>
      <c r="AE140" s="12" t="s">
        <v>1075</v>
      </c>
      <c r="AF140" s="12" t="s">
        <v>1388</v>
      </c>
      <c r="AG140" s="12" t="s">
        <v>1092</v>
      </c>
      <c r="AH140" s="12" t="s">
        <v>1092</v>
      </c>
      <c r="AI140" s="12" t="s">
        <v>1389</v>
      </c>
      <c r="AJ140" s="12" t="s">
        <v>1390</v>
      </c>
      <c r="AK140" s="12" t="s">
        <v>1188</v>
      </c>
      <c r="AL140" s="12" t="s">
        <v>1092</v>
      </c>
      <c r="AM140" s="12" t="s">
        <v>1092</v>
      </c>
      <c r="AN140" s="12" t="s">
        <v>1092</v>
      </c>
      <c r="AO140" s="178" t="s">
        <v>1093</v>
      </c>
      <c r="AP140" s="178" t="s">
        <v>1093</v>
      </c>
      <c r="AQ140" s="178" t="s">
        <v>1093</v>
      </c>
      <c r="AR140" s="178" t="s">
        <v>1093</v>
      </c>
      <c r="AS140" s="178" t="s">
        <v>1118</v>
      </c>
      <c r="AT140" s="178" t="s">
        <v>1118</v>
      </c>
      <c r="AU140" s="178" t="s">
        <v>1118</v>
      </c>
      <c r="AV140" s="12" t="s">
        <v>1096</v>
      </c>
      <c r="AW140" s="12" t="s">
        <v>2270</v>
      </c>
      <c r="AY140" s="178" t="s">
        <v>1092</v>
      </c>
      <c r="AZ140" s="12" t="s">
        <v>1391</v>
      </c>
      <c r="BA140" s="12" t="s">
        <v>1098</v>
      </c>
      <c r="BB140" s="12" t="s">
        <v>1391</v>
      </c>
      <c r="BD140" s="12" t="s">
        <v>1092</v>
      </c>
      <c r="BE140" s="12" t="s">
        <v>118</v>
      </c>
      <c r="BF140" s="12" t="s">
        <v>4369</v>
      </c>
      <c r="BH140" s="12">
        <v>11111</v>
      </c>
      <c r="BI140" s="179">
        <v>107</v>
      </c>
      <c r="BK140" s="176" t="s">
        <v>83</v>
      </c>
    </row>
    <row r="141" spans="1:65" x14ac:dyDescent="0.25">
      <c r="A141" s="12" t="s">
        <v>1557</v>
      </c>
      <c r="B141" s="12" t="s">
        <v>745</v>
      </c>
      <c r="C141" s="12" t="s">
        <v>746</v>
      </c>
      <c r="D141" s="12" t="s">
        <v>747</v>
      </c>
      <c r="E141" s="175">
        <v>42191</v>
      </c>
      <c r="F141" s="12" t="s">
        <v>1775</v>
      </c>
      <c r="G141" s="12" t="s">
        <v>1075</v>
      </c>
      <c r="H141" s="12" t="s">
        <v>2304</v>
      </c>
      <c r="I141" s="12" t="s">
        <v>2305</v>
      </c>
      <c r="J141" s="12" t="s">
        <v>2306</v>
      </c>
      <c r="K141" s="12" t="s">
        <v>1103</v>
      </c>
      <c r="L141" s="12" t="s">
        <v>1104</v>
      </c>
      <c r="M141" s="12" t="s">
        <v>1105</v>
      </c>
      <c r="Q141" s="12" t="s">
        <v>1105</v>
      </c>
      <c r="R141" s="179">
        <v>108</v>
      </c>
      <c r="S141" s="178"/>
      <c r="U141" s="12">
        <v>11111</v>
      </c>
      <c r="W141" s="12" t="s">
        <v>1083</v>
      </c>
      <c r="X141" s="12" t="s">
        <v>1108</v>
      </c>
      <c r="Y141" s="178" t="s">
        <v>1540</v>
      </c>
      <c r="Z141" s="12" t="s">
        <v>2307</v>
      </c>
      <c r="AA141" s="178" t="s">
        <v>2159</v>
      </c>
      <c r="AB141" s="12" t="s">
        <v>2307</v>
      </c>
      <c r="AC141" s="178" t="s">
        <v>2308</v>
      </c>
      <c r="AD141" s="12" t="s">
        <v>2309</v>
      </c>
      <c r="AE141" s="12" t="s">
        <v>1075</v>
      </c>
      <c r="AF141" s="12" t="s">
        <v>2310</v>
      </c>
      <c r="AG141" s="12" t="s">
        <v>1092</v>
      </c>
      <c r="AH141" s="12" t="s">
        <v>1092</v>
      </c>
      <c r="AI141" s="12" t="s">
        <v>2311</v>
      </c>
      <c r="AJ141" s="12" t="s">
        <v>2312</v>
      </c>
      <c r="AK141" s="12" t="s">
        <v>2313</v>
      </c>
      <c r="AL141" s="12" t="s">
        <v>2314</v>
      </c>
      <c r="AM141" s="12" t="s">
        <v>1092</v>
      </c>
      <c r="AN141" s="12" t="s">
        <v>1092</v>
      </c>
      <c r="AO141" s="178" t="s">
        <v>1092</v>
      </c>
      <c r="AP141" s="178" t="s">
        <v>1092</v>
      </c>
      <c r="AQ141" s="178" t="s">
        <v>1092</v>
      </c>
      <c r="AR141" s="178" t="s">
        <v>1093</v>
      </c>
      <c r="AS141" s="178" t="s">
        <v>1155</v>
      </c>
      <c r="AT141" s="178" t="s">
        <v>1095</v>
      </c>
      <c r="AU141" s="178" t="s">
        <v>1118</v>
      </c>
      <c r="AV141" s="12" t="s">
        <v>1096</v>
      </c>
      <c r="AW141" s="12" t="s">
        <v>2270</v>
      </c>
      <c r="AY141" s="178" t="s">
        <v>1092</v>
      </c>
      <c r="AZ141" s="12" t="s">
        <v>2315</v>
      </c>
      <c r="BA141" s="12" t="s">
        <v>1098</v>
      </c>
      <c r="BB141" s="12" t="s">
        <v>1098</v>
      </c>
      <c r="BD141" s="12" t="s">
        <v>1092</v>
      </c>
      <c r="BE141" s="12" t="s">
        <v>118</v>
      </c>
      <c r="BF141" s="12" t="s">
        <v>4369</v>
      </c>
      <c r="BH141" s="12">
        <v>11111</v>
      </c>
      <c r="BI141" s="179">
        <v>108</v>
      </c>
      <c r="BJ141" s="175">
        <v>42205</v>
      </c>
      <c r="BK141" s="176" t="s">
        <v>82</v>
      </c>
      <c r="BM141" s="12">
        <v>30</v>
      </c>
    </row>
    <row r="142" spans="1:65" x14ac:dyDescent="0.25">
      <c r="A142" s="12" t="s">
        <v>1557</v>
      </c>
      <c r="B142" s="12" t="s">
        <v>748</v>
      </c>
      <c r="C142" s="12" t="s">
        <v>520</v>
      </c>
      <c r="D142" s="12" t="s">
        <v>521</v>
      </c>
      <c r="E142" s="175">
        <v>42191</v>
      </c>
      <c r="F142" s="12" t="s">
        <v>1408</v>
      </c>
      <c r="G142" s="12" t="s">
        <v>1075</v>
      </c>
      <c r="H142" s="12" t="s">
        <v>1409</v>
      </c>
      <c r="I142" s="12" t="s">
        <v>1410</v>
      </c>
      <c r="J142" s="12" t="s">
        <v>1411</v>
      </c>
      <c r="K142" s="12" t="s">
        <v>1103</v>
      </c>
      <c r="L142" s="12" t="s">
        <v>1124</v>
      </c>
      <c r="M142" s="12" t="s">
        <v>1105</v>
      </c>
      <c r="Q142" s="12" t="s">
        <v>1105</v>
      </c>
      <c r="R142" s="179">
        <v>109</v>
      </c>
      <c r="S142" s="178"/>
      <c r="U142" s="12">
        <v>11111</v>
      </c>
      <c r="W142" s="12" t="s">
        <v>1083</v>
      </c>
      <c r="X142" s="12" t="s">
        <v>1412</v>
      </c>
      <c r="Z142" s="12" t="s">
        <v>1185</v>
      </c>
      <c r="AB142" s="12" t="s">
        <v>1185</v>
      </c>
      <c r="AD142" s="12" t="s">
        <v>1185</v>
      </c>
      <c r="AE142" s="12" t="s">
        <v>1075</v>
      </c>
      <c r="AF142" s="12" t="s">
        <v>1413</v>
      </c>
      <c r="AG142" s="12" t="s">
        <v>1092</v>
      </c>
      <c r="AH142" s="12" t="s">
        <v>1092</v>
      </c>
      <c r="AI142" s="12" t="s">
        <v>1414</v>
      </c>
      <c r="AJ142" s="12" t="s">
        <v>1415</v>
      </c>
      <c r="AK142" s="12" t="s">
        <v>1416</v>
      </c>
      <c r="AL142" s="12" t="s">
        <v>1092</v>
      </c>
      <c r="AM142" s="12" t="s">
        <v>1092</v>
      </c>
      <c r="AN142" s="12" t="s">
        <v>1092</v>
      </c>
      <c r="AO142" s="178" t="s">
        <v>1093</v>
      </c>
      <c r="AP142" s="178" t="s">
        <v>1093</v>
      </c>
      <c r="AQ142" s="178" t="s">
        <v>1093</v>
      </c>
      <c r="AR142" s="178" t="s">
        <v>1093</v>
      </c>
      <c r="AS142" s="178" t="s">
        <v>1118</v>
      </c>
      <c r="AT142" s="178" t="s">
        <v>1118</v>
      </c>
      <c r="AU142" s="178" t="s">
        <v>1118</v>
      </c>
      <c r="AV142" s="12" t="s">
        <v>1096</v>
      </c>
      <c r="AW142" s="12" t="s">
        <v>2270</v>
      </c>
      <c r="AY142" s="178" t="s">
        <v>1092</v>
      </c>
      <c r="AZ142" s="12" t="s">
        <v>1417</v>
      </c>
      <c r="BA142" s="12" t="s">
        <v>1098</v>
      </c>
      <c r="BB142" s="12" t="s">
        <v>1098</v>
      </c>
      <c r="BD142" s="12" t="s">
        <v>1092</v>
      </c>
      <c r="BE142" s="12" t="s">
        <v>118</v>
      </c>
      <c r="BF142" s="12" t="s">
        <v>4369</v>
      </c>
      <c r="BH142" s="12">
        <v>11111</v>
      </c>
      <c r="BI142" s="179">
        <v>109</v>
      </c>
      <c r="BK142" s="176" t="s">
        <v>83</v>
      </c>
    </row>
    <row r="143" spans="1:65" x14ac:dyDescent="0.25">
      <c r="A143" s="12" t="s">
        <v>1073</v>
      </c>
      <c r="B143" s="12" t="s">
        <v>749</v>
      </c>
      <c r="C143" s="12" t="s">
        <v>526</v>
      </c>
      <c r="D143" s="12" t="s">
        <v>527</v>
      </c>
      <c r="E143" s="175">
        <v>42191</v>
      </c>
      <c r="F143" s="12" t="s">
        <v>1432</v>
      </c>
      <c r="G143" s="12" t="s">
        <v>1075</v>
      </c>
      <c r="H143" s="12" t="s">
        <v>1076</v>
      </c>
      <c r="I143" s="12" t="s">
        <v>1433</v>
      </c>
      <c r="K143" s="12" t="s">
        <v>1103</v>
      </c>
      <c r="L143" s="12" t="s">
        <v>1104</v>
      </c>
      <c r="M143" s="12" t="s">
        <v>1180</v>
      </c>
      <c r="O143" s="178" t="s">
        <v>1434</v>
      </c>
      <c r="P143" s="178" t="s">
        <v>1435</v>
      </c>
      <c r="Q143" s="12" t="s">
        <v>1180</v>
      </c>
      <c r="R143" s="179">
        <v>110</v>
      </c>
      <c r="S143" s="178"/>
      <c r="U143" s="12">
        <v>11111</v>
      </c>
      <c r="W143" s="12" t="s">
        <v>1083</v>
      </c>
      <c r="X143" s="12" t="s">
        <v>1144</v>
      </c>
      <c r="Y143" s="178" t="s">
        <v>1436</v>
      </c>
      <c r="Z143" s="12" t="s">
        <v>1437</v>
      </c>
      <c r="AA143" s="178" t="s">
        <v>1438</v>
      </c>
      <c r="AB143" s="12" t="s">
        <v>1439</v>
      </c>
      <c r="AC143" s="178" t="s">
        <v>1440</v>
      </c>
      <c r="AD143" s="12" t="s">
        <v>1441</v>
      </c>
      <c r="AE143" s="12" t="s">
        <v>1075</v>
      </c>
      <c r="AF143" s="12" t="s">
        <v>1442</v>
      </c>
      <c r="AG143" s="12" t="s">
        <v>1443</v>
      </c>
      <c r="AH143" s="12" t="s">
        <v>1092</v>
      </c>
      <c r="AI143" s="12" t="s">
        <v>1444</v>
      </c>
      <c r="AJ143" s="12" t="s">
        <v>1445</v>
      </c>
      <c r="AK143" s="12" t="s">
        <v>1092</v>
      </c>
      <c r="AL143" s="12" t="s">
        <v>1092</v>
      </c>
      <c r="AM143" s="12" t="s">
        <v>1092</v>
      </c>
      <c r="AN143" s="12" t="s">
        <v>1092</v>
      </c>
      <c r="AO143" s="178" t="s">
        <v>1093</v>
      </c>
      <c r="AP143" s="178" t="s">
        <v>1093</v>
      </c>
      <c r="AQ143" s="178" t="s">
        <v>1093</v>
      </c>
      <c r="AR143" s="178" t="s">
        <v>1093</v>
      </c>
      <c r="AS143" s="178" t="s">
        <v>1118</v>
      </c>
      <c r="AT143" s="178" t="s">
        <v>1118</v>
      </c>
      <c r="AU143" s="178" t="s">
        <v>1118</v>
      </c>
      <c r="AV143" s="12" t="s">
        <v>1096</v>
      </c>
      <c r="AW143" s="12" t="s">
        <v>2270</v>
      </c>
      <c r="AY143" s="178" t="s">
        <v>1092</v>
      </c>
      <c r="AZ143" s="12" t="s">
        <v>1098</v>
      </c>
      <c r="BA143" s="12" t="s">
        <v>1098</v>
      </c>
      <c r="BB143" s="12" t="s">
        <v>1098</v>
      </c>
      <c r="BC143" s="178" t="s">
        <v>1205</v>
      </c>
      <c r="BD143" s="12" t="s">
        <v>1092</v>
      </c>
      <c r="BE143" s="12" t="s">
        <v>118</v>
      </c>
      <c r="BF143" s="12" t="s">
        <v>4369</v>
      </c>
      <c r="BH143" s="12">
        <v>11111</v>
      </c>
      <c r="BI143" s="179">
        <v>110</v>
      </c>
      <c r="BK143" s="176" t="s">
        <v>83</v>
      </c>
    </row>
    <row r="144" spans="1:65" x14ac:dyDescent="0.25">
      <c r="A144" s="12" t="s">
        <v>1957</v>
      </c>
      <c r="B144" s="12" t="s">
        <v>750</v>
      </c>
      <c r="C144" s="12" t="s">
        <v>583</v>
      </c>
      <c r="D144" s="12" t="s">
        <v>584</v>
      </c>
      <c r="E144" s="175">
        <v>42191</v>
      </c>
      <c r="F144" s="12" t="s">
        <v>1678</v>
      </c>
      <c r="G144" s="12" t="s">
        <v>1075</v>
      </c>
      <c r="H144" s="12" t="s">
        <v>1679</v>
      </c>
      <c r="I144" s="12" t="s">
        <v>1680</v>
      </c>
      <c r="J144" s="12" t="s">
        <v>1681</v>
      </c>
      <c r="K144" s="12" t="s">
        <v>1103</v>
      </c>
      <c r="L144" s="12" t="s">
        <v>1104</v>
      </c>
      <c r="M144" s="12" t="s">
        <v>1180</v>
      </c>
      <c r="O144" s="178" t="s">
        <v>1451</v>
      </c>
      <c r="P144" s="178" t="s">
        <v>1682</v>
      </c>
      <c r="Q144" s="12" t="s">
        <v>1180</v>
      </c>
      <c r="R144" s="179">
        <v>111</v>
      </c>
      <c r="S144" s="178"/>
      <c r="U144" s="12">
        <v>11111</v>
      </c>
      <c r="W144" s="12" t="s">
        <v>1083</v>
      </c>
      <c r="X144" s="12" t="s">
        <v>1231</v>
      </c>
      <c r="Y144" s="178" t="s">
        <v>1538</v>
      </c>
      <c r="Z144" s="12" t="s">
        <v>1683</v>
      </c>
      <c r="AA144" s="178" t="s">
        <v>1167</v>
      </c>
      <c r="AB144" s="12" t="s">
        <v>1684</v>
      </c>
      <c r="AC144" s="178" t="s">
        <v>1566</v>
      </c>
      <c r="AD144" s="12" t="s">
        <v>1112</v>
      </c>
      <c r="AE144" s="12" t="s">
        <v>1075</v>
      </c>
      <c r="AF144" s="12" t="s">
        <v>1685</v>
      </c>
      <c r="AG144" s="12" t="s">
        <v>1092</v>
      </c>
      <c r="AH144" s="12" t="s">
        <v>1092</v>
      </c>
      <c r="AI144" s="12" t="s">
        <v>1686</v>
      </c>
      <c r="AJ144" s="12" t="s">
        <v>1687</v>
      </c>
      <c r="AK144" s="12" t="s">
        <v>1092</v>
      </c>
      <c r="AL144" s="12" t="s">
        <v>1092</v>
      </c>
      <c r="AM144" s="12" t="s">
        <v>1092</v>
      </c>
      <c r="AN144" s="12" t="s">
        <v>1092</v>
      </c>
      <c r="AO144" s="178" t="s">
        <v>1093</v>
      </c>
      <c r="AP144" s="178" t="s">
        <v>1093</v>
      </c>
      <c r="AQ144" s="178" t="s">
        <v>1093</v>
      </c>
      <c r="AR144" s="178" t="s">
        <v>1093</v>
      </c>
      <c r="AS144" s="178" t="s">
        <v>1118</v>
      </c>
      <c r="AT144" s="178" t="s">
        <v>1118</v>
      </c>
      <c r="AU144" s="178" t="s">
        <v>1118</v>
      </c>
      <c r="AV144" s="12" t="s">
        <v>1096</v>
      </c>
      <c r="AW144" s="12" t="s">
        <v>2270</v>
      </c>
      <c r="AY144" s="178" t="s">
        <v>1092</v>
      </c>
      <c r="AZ144" s="12" t="s">
        <v>1688</v>
      </c>
      <c r="BA144" s="12" t="s">
        <v>1689</v>
      </c>
      <c r="BB144" s="12" t="s">
        <v>1688</v>
      </c>
      <c r="BD144" s="12" t="s">
        <v>1092</v>
      </c>
      <c r="BE144" s="12" t="s">
        <v>118</v>
      </c>
      <c r="BF144" s="12" t="s">
        <v>4369</v>
      </c>
      <c r="BH144" s="12">
        <v>11111</v>
      </c>
      <c r="BI144" s="179">
        <v>111</v>
      </c>
      <c r="BK144" s="176" t="s">
        <v>83</v>
      </c>
    </row>
    <row r="145" spans="1:65" x14ac:dyDescent="0.25">
      <c r="A145" s="12" t="s">
        <v>2103</v>
      </c>
      <c r="B145" s="12" t="s">
        <v>751</v>
      </c>
      <c r="C145" s="12" t="s">
        <v>604</v>
      </c>
      <c r="D145" s="12" t="s">
        <v>605</v>
      </c>
      <c r="E145" s="175">
        <v>42191</v>
      </c>
      <c r="F145" s="12" t="s">
        <v>1440</v>
      </c>
      <c r="G145" s="12" t="s">
        <v>1075</v>
      </c>
      <c r="H145" s="12" t="s">
        <v>1764</v>
      </c>
      <c r="I145" s="12" t="s">
        <v>1765</v>
      </c>
      <c r="K145" s="12" t="s">
        <v>1103</v>
      </c>
      <c r="L145" s="12" t="s">
        <v>1179</v>
      </c>
      <c r="M145" s="12" t="s">
        <v>1180</v>
      </c>
      <c r="O145" s="178" t="s">
        <v>1275</v>
      </c>
      <c r="P145" s="178" t="s">
        <v>1766</v>
      </c>
      <c r="Q145" s="12" t="s">
        <v>1180</v>
      </c>
      <c r="R145" s="179">
        <v>112</v>
      </c>
      <c r="S145" s="178"/>
      <c r="U145" s="12">
        <v>11111</v>
      </c>
      <c r="W145" s="12" t="s">
        <v>1083</v>
      </c>
      <c r="X145" s="12" t="s">
        <v>1453</v>
      </c>
      <c r="Y145" s="178" t="s">
        <v>1232</v>
      </c>
      <c r="Z145" s="12" t="s">
        <v>1767</v>
      </c>
      <c r="AA145" s="178" t="s">
        <v>1478</v>
      </c>
      <c r="AB145" s="12" t="s">
        <v>1768</v>
      </c>
      <c r="AD145" s="12" t="s">
        <v>1185</v>
      </c>
      <c r="AE145" s="12" t="s">
        <v>1075</v>
      </c>
      <c r="AF145" s="12" t="s">
        <v>1769</v>
      </c>
      <c r="AG145" s="12" t="s">
        <v>1092</v>
      </c>
      <c r="AH145" s="12" t="s">
        <v>1092</v>
      </c>
      <c r="AI145" s="12" t="s">
        <v>1770</v>
      </c>
      <c r="AJ145" s="12" t="s">
        <v>1771</v>
      </c>
      <c r="AK145" s="12" t="s">
        <v>1092</v>
      </c>
      <c r="AL145" s="12" t="s">
        <v>1772</v>
      </c>
      <c r="AM145" s="12" t="s">
        <v>1092</v>
      </c>
      <c r="AN145" s="12" t="s">
        <v>1092</v>
      </c>
      <c r="AO145" s="178" t="s">
        <v>1093</v>
      </c>
      <c r="AP145" s="178" t="s">
        <v>1093</v>
      </c>
      <c r="AQ145" s="178" t="s">
        <v>1093</v>
      </c>
      <c r="AR145" s="178" t="s">
        <v>1093</v>
      </c>
      <c r="AS145" s="178" t="s">
        <v>1118</v>
      </c>
      <c r="AT145" s="178" t="s">
        <v>1118</v>
      </c>
      <c r="AU145" s="178" t="s">
        <v>1118</v>
      </c>
      <c r="AV145" s="12" t="s">
        <v>1096</v>
      </c>
      <c r="AW145" s="12" t="s">
        <v>2270</v>
      </c>
      <c r="AX145" s="178" t="s">
        <v>1773</v>
      </c>
      <c r="AY145" s="178" t="s">
        <v>1093</v>
      </c>
      <c r="AZ145" s="12" t="s">
        <v>1774</v>
      </c>
      <c r="BA145" s="12" t="s">
        <v>1098</v>
      </c>
      <c r="BB145" s="12" t="s">
        <v>1098</v>
      </c>
      <c r="BD145" s="12" t="s">
        <v>1092</v>
      </c>
      <c r="BE145" s="12" t="s">
        <v>118</v>
      </c>
      <c r="BF145" s="12" t="s">
        <v>4369</v>
      </c>
      <c r="BH145" s="12">
        <v>11111</v>
      </c>
      <c r="BI145" s="179">
        <v>112</v>
      </c>
      <c r="BK145" s="176" t="s">
        <v>83</v>
      </c>
    </row>
    <row r="146" spans="1:65" x14ac:dyDescent="0.25">
      <c r="A146" s="12" t="s">
        <v>2103</v>
      </c>
      <c r="B146" s="12" t="s">
        <v>752</v>
      </c>
      <c r="C146" s="12" t="s">
        <v>607</v>
      </c>
      <c r="D146" s="12" t="s">
        <v>608</v>
      </c>
      <c r="E146" s="175">
        <v>42191</v>
      </c>
      <c r="F146" s="12" t="s">
        <v>1775</v>
      </c>
      <c r="G146" s="12" t="s">
        <v>1075</v>
      </c>
      <c r="H146" s="12" t="s">
        <v>1076</v>
      </c>
      <c r="I146" s="12" t="s">
        <v>1776</v>
      </c>
      <c r="J146" s="12" t="s">
        <v>1777</v>
      </c>
      <c r="K146" s="12" t="s">
        <v>1078</v>
      </c>
      <c r="L146" s="12" t="s">
        <v>1079</v>
      </c>
      <c r="M146" s="12" t="s">
        <v>1080</v>
      </c>
      <c r="O146" s="178" t="s">
        <v>1181</v>
      </c>
      <c r="P146" s="178" t="s">
        <v>1778</v>
      </c>
      <c r="Q146" s="12" t="s">
        <v>1080</v>
      </c>
      <c r="R146" s="179">
        <v>113</v>
      </c>
      <c r="S146" s="178"/>
      <c r="U146" s="12">
        <v>11111</v>
      </c>
      <c r="W146" s="12" t="s">
        <v>1083</v>
      </c>
      <c r="X146" s="12" t="s">
        <v>1108</v>
      </c>
      <c r="Y146" s="178" t="s">
        <v>1370</v>
      </c>
      <c r="Z146" s="12" t="s">
        <v>1779</v>
      </c>
      <c r="AA146" s="178" t="s">
        <v>1278</v>
      </c>
      <c r="AB146" s="12" t="s">
        <v>1780</v>
      </c>
      <c r="AC146" s="178" t="s">
        <v>1781</v>
      </c>
      <c r="AD146" s="12" t="s">
        <v>1780</v>
      </c>
      <c r="AE146" s="12" t="s">
        <v>1075</v>
      </c>
      <c r="AF146" s="12" t="s">
        <v>1782</v>
      </c>
      <c r="AG146" s="12" t="s">
        <v>1092</v>
      </c>
      <c r="AH146" s="12" t="s">
        <v>1092</v>
      </c>
      <c r="AI146" s="12" t="s">
        <v>1783</v>
      </c>
      <c r="AJ146" s="12" t="s">
        <v>1784</v>
      </c>
      <c r="AK146" s="12" t="s">
        <v>1785</v>
      </c>
      <c r="AL146" s="12" t="s">
        <v>1092</v>
      </c>
      <c r="AM146" s="12" t="s">
        <v>1092</v>
      </c>
      <c r="AN146" s="12" t="s">
        <v>1092</v>
      </c>
      <c r="AO146" s="178" t="s">
        <v>1093</v>
      </c>
      <c r="AP146" s="178" t="s">
        <v>1093</v>
      </c>
      <c r="AQ146" s="178" t="s">
        <v>1093</v>
      </c>
      <c r="AR146" s="178" t="s">
        <v>1093</v>
      </c>
      <c r="AS146" s="178" t="s">
        <v>1118</v>
      </c>
      <c r="AT146" s="178" t="s">
        <v>1118</v>
      </c>
      <c r="AU146" s="178" t="s">
        <v>1118</v>
      </c>
      <c r="AV146" s="12" t="s">
        <v>1096</v>
      </c>
      <c r="AW146" s="12" t="s">
        <v>2270</v>
      </c>
      <c r="AY146" s="178" t="s">
        <v>1092</v>
      </c>
      <c r="AZ146" s="12" t="s">
        <v>1098</v>
      </c>
      <c r="BA146" s="12" t="s">
        <v>1098</v>
      </c>
      <c r="BB146" s="12" t="s">
        <v>1786</v>
      </c>
      <c r="BD146" s="12" t="s">
        <v>1092</v>
      </c>
      <c r="BE146" s="12" t="s">
        <v>118</v>
      </c>
      <c r="BF146" s="12" t="s">
        <v>4369</v>
      </c>
      <c r="BH146" s="12">
        <v>11111</v>
      </c>
      <c r="BI146" s="179">
        <v>113</v>
      </c>
      <c r="BK146" s="176" t="s">
        <v>83</v>
      </c>
    </row>
    <row r="147" spans="1:65" x14ac:dyDescent="0.25">
      <c r="A147" s="12" t="s">
        <v>2103</v>
      </c>
      <c r="B147" s="12" t="s">
        <v>753</v>
      </c>
      <c r="C147" s="12" t="s">
        <v>616</v>
      </c>
      <c r="D147" s="12" t="s">
        <v>617</v>
      </c>
      <c r="E147" s="175">
        <v>42191</v>
      </c>
      <c r="F147" s="12" t="s">
        <v>1809</v>
      </c>
      <c r="G147" s="12" t="s">
        <v>1075</v>
      </c>
      <c r="H147" s="12" t="s">
        <v>1810</v>
      </c>
      <c r="I147" s="12" t="s">
        <v>1811</v>
      </c>
      <c r="K147" s="12" t="s">
        <v>1123</v>
      </c>
      <c r="L147" s="12" t="s">
        <v>1124</v>
      </c>
      <c r="M147" s="12" t="s">
        <v>1125</v>
      </c>
      <c r="O147" s="178" t="s">
        <v>1812</v>
      </c>
      <c r="P147" s="178" t="s">
        <v>1813</v>
      </c>
      <c r="Q147" s="12" t="s">
        <v>1125</v>
      </c>
      <c r="R147" s="179">
        <v>114</v>
      </c>
      <c r="S147" s="178"/>
      <c r="U147" s="12">
        <v>11111</v>
      </c>
      <c r="W147" s="12" t="s">
        <v>1083</v>
      </c>
      <c r="X147" s="12" t="s">
        <v>1144</v>
      </c>
      <c r="Y147" s="178" t="s">
        <v>1087</v>
      </c>
      <c r="Z147" s="12" t="s">
        <v>1814</v>
      </c>
      <c r="AA147" s="178" t="s">
        <v>1815</v>
      </c>
      <c r="AB147" s="12" t="s">
        <v>1816</v>
      </c>
      <c r="AC147" s="178" t="s">
        <v>1817</v>
      </c>
      <c r="AD147" s="12" t="s">
        <v>1818</v>
      </c>
      <c r="AE147" s="12" t="s">
        <v>1075</v>
      </c>
      <c r="AF147" s="12" t="s">
        <v>1819</v>
      </c>
      <c r="AG147" s="12" t="s">
        <v>1820</v>
      </c>
      <c r="AH147" s="12" t="s">
        <v>1092</v>
      </c>
      <c r="AI147" s="12" t="s">
        <v>1821</v>
      </c>
      <c r="AJ147" s="12" t="s">
        <v>1822</v>
      </c>
      <c r="AK147" s="12" t="s">
        <v>1092</v>
      </c>
      <c r="AL147" s="12" t="s">
        <v>1092</v>
      </c>
      <c r="AM147" s="12" t="s">
        <v>1092</v>
      </c>
      <c r="AN147" s="12" t="s">
        <v>1092</v>
      </c>
      <c r="AO147" s="178" t="s">
        <v>1093</v>
      </c>
      <c r="AP147" s="178" t="s">
        <v>1092</v>
      </c>
      <c r="AQ147" s="178" t="s">
        <v>1093</v>
      </c>
      <c r="AR147" s="178" t="s">
        <v>1093</v>
      </c>
      <c r="AS147" s="178" t="s">
        <v>1118</v>
      </c>
      <c r="AT147" s="178" t="s">
        <v>1118</v>
      </c>
      <c r="AU147" s="178" t="s">
        <v>1118</v>
      </c>
      <c r="AV147" s="12" t="s">
        <v>1096</v>
      </c>
      <c r="AW147" s="12" t="s">
        <v>2270</v>
      </c>
      <c r="AY147" s="178" t="s">
        <v>1092</v>
      </c>
      <c r="AZ147" s="12" t="s">
        <v>1823</v>
      </c>
      <c r="BA147" s="12" t="s">
        <v>1098</v>
      </c>
      <c r="BB147" s="12" t="s">
        <v>1098</v>
      </c>
      <c r="BC147" s="178" t="s">
        <v>1205</v>
      </c>
      <c r="BD147" s="12" t="s">
        <v>1092</v>
      </c>
      <c r="BE147" s="12" t="s">
        <v>118</v>
      </c>
      <c r="BF147" s="12" t="s">
        <v>4369</v>
      </c>
      <c r="BH147" s="12">
        <v>11111</v>
      </c>
      <c r="BI147" s="179">
        <v>114</v>
      </c>
      <c r="BK147" s="176" t="s">
        <v>83</v>
      </c>
    </row>
    <row r="148" spans="1:65" x14ac:dyDescent="0.25">
      <c r="A148" s="12" t="s">
        <v>2103</v>
      </c>
      <c r="B148" s="12" t="s">
        <v>754</v>
      </c>
      <c r="C148" s="12" t="s">
        <v>628</v>
      </c>
      <c r="D148" s="12" t="s">
        <v>629</v>
      </c>
      <c r="E148" s="175">
        <v>42191</v>
      </c>
      <c r="F148" s="12" t="s">
        <v>1860</v>
      </c>
      <c r="G148" s="12" t="s">
        <v>1075</v>
      </c>
      <c r="H148" s="12" t="s">
        <v>1861</v>
      </c>
      <c r="I148" s="12" t="s">
        <v>1862</v>
      </c>
      <c r="J148" s="12" t="s">
        <v>1863</v>
      </c>
      <c r="K148" s="12" t="s">
        <v>1078</v>
      </c>
      <c r="L148" s="12" t="s">
        <v>1079</v>
      </c>
      <c r="M148" s="12" t="s">
        <v>1342</v>
      </c>
      <c r="O148" s="178" t="s">
        <v>1864</v>
      </c>
      <c r="P148" s="178" t="s">
        <v>1865</v>
      </c>
      <c r="Q148" s="12" t="s">
        <v>1342</v>
      </c>
      <c r="R148" s="179">
        <v>115</v>
      </c>
      <c r="S148" s="178"/>
      <c r="U148" s="12">
        <v>11111</v>
      </c>
      <c r="W148" s="12" t="s">
        <v>1083</v>
      </c>
      <c r="X148" s="12" t="s">
        <v>1084</v>
      </c>
      <c r="Y148" s="178" t="s">
        <v>1128</v>
      </c>
      <c r="Z148" s="12" t="s">
        <v>1866</v>
      </c>
      <c r="AA148" s="178" t="s">
        <v>1586</v>
      </c>
      <c r="AB148" s="12" t="s">
        <v>1867</v>
      </c>
      <c r="AC148" s="178" t="s">
        <v>1868</v>
      </c>
      <c r="AD148" s="12" t="s">
        <v>1867</v>
      </c>
      <c r="AE148" s="12" t="s">
        <v>1075</v>
      </c>
      <c r="AF148" s="12" t="s">
        <v>1869</v>
      </c>
      <c r="AG148" s="12" t="s">
        <v>1092</v>
      </c>
      <c r="AH148" s="12" t="s">
        <v>1092</v>
      </c>
      <c r="AI148" s="12" t="s">
        <v>1870</v>
      </c>
      <c r="AJ148" s="12" t="s">
        <v>1871</v>
      </c>
      <c r="AK148" s="12" t="s">
        <v>1092</v>
      </c>
      <c r="AL148" s="12" t="s">
        <v>1092</v>
      </c>
      <c r="AM148" s="12" t="s">
        <v>1092</v>
      </c>
      <c r="AN148" s="12" t="s">
        <v>1092</v>
      </c>
      <c r="AO148" s="178" t="s">
        <v>1093</v>
      </c>
      <c r="AP148" s="178" t="s">
        <v>1093</v>
      </c>
      <c r="AQ148" s="178" t="s">
        <v>1093</v>
      </c>
      <c r="AR148" s="178" t="s">
        <v>1093</v>
      </c>
      <c r="AS148" s="178" t="s">
        <v>1118</v>
      </c>
      <c r="AT148" s="178" t="s">
        <v>1118</v>
      </c>
      <c r="AU148" s="178" t="s">
        <v>1118</v>
      </c>
      <c r="AV148" s="12" t="s">
        <v>1096</v>
      </c>
      <c r="AW148" s="12" t="s">
        <v>2270</v>
      </c>
      <c r="AX148" s="178" t="s">
        <v>1872</v>
      </c>
      <c r="AY148" s="178" t="s">
        <v>1157</v>
      </c>
      <c r="AZ148" s="12" t="s">
        <v>1873</v>
      </c>
      <c r="BA148" s="12" t="s">
        <v>1098</v>
      </c>
      <c r="BB148" s="12" t="s">
        <v>1098</v>
      </c>
      <c r="BD148" s="12" t="s">
        <v>1092</v>
      </c>
      <c r="BE148" s="12" t="s">
        <v>118</v>
      </c>
      <c r="BF148" s="12" t="s">
        <v>4369</v>
      </c>
      <c r="BH148" s="12">
        <v>11111</v>
      </c>
      <c r="BI148" s="179">
        <v>115</v>
      </c>
      <c r="BK148" s="176" t="s">
        <v>83</v>
      </c>
    </row>
    <row r="149" spans="1:65" x14ac:dyDescent="0.25">
      <c r="A149" s="12" t="s">
        <v>2103</v>
      </c>
      <c r="B149" s="12" t="s">
        <v>755</v>
      </c>
      <c r="C149" s="12" t="s">
        <v>637</v>
      </c>
      <c r="D149" s="12" t="s">
        <v>638</v>
      </c>
      <c r="E149" s="175">
        <v>42191</v>
      </c>
      <c r="F149" s="12" t="s">
        <v>1883</v>
      </c>
      <c r="G149" s="12" t="s">
        <v>1075</v>
      </c>
      <c r="H149" s="12" t="s">
        <v>1895</v>
      </c>
      <c r="I149" s="12" t="s">
        <v>1896</v>
      </c>
      <c r="J149" s="12" t="s">
        <v>1645</v>
      </c>
      <c r="K149" s="12" t="s">
        <v>1103</v>
      </c>
      <c r="L149" s="12" t="s">
        <v>1104</v>
      </c>
      <c r="M149" s="12" t="s">
        <v>1105</v>
      </c>
      <c r="O149" s="178" t="s">
        <v>1181</v>
      </c>
      <c r="P149" s="178" t="s">
        <v>1897</v>
      </c>
      <c r="Q149" s="12" t="s">
        <v>1105</v>
      </c>
      <c r="R149" s="179">
        <v>116</v>
      </c>
      <c r="S149" s="178"/>
      <c r="U149" s="12">
        <v>11111</v>
      </c>
      <c r="W149" s="12" t="s">
        <v>1083</v>
      </c>
      <c r="X149" s="12" t="s">
        <v>1519</v>
      </c>
      <c r="Y149" s="178" t="s">
        <v>1898</v>
      </c>
      <c r="Z149" s="12" t="s">
        <v>1899</v>
      </c>
      <c r="AB149" s="12" t="s">
        <v>1185</v>
      </c>
      <c r="AD149" s="12" t="s">
        <v>1185</v>
      </c>
      <c r="AE149" s="12" t="s">
        <v>1075</v>
      </c>
      <c r="AF149" s="12" t="s">
        <v>1900</v>
      </c>
      <c r="AG149" s="12" t="s">
        <v>1236</v>
      </c>
      <c r="AH149" s="12" t="s">
        <v>1092</v>
      </c>
      <c r="AI149" s="12" t="s">
        <v>1901</v>
      </c>
      <c r="AJ149" s="12" t="s">
        <v>1902</v>
      </c>
      <c r="AK149" s="12" t="s">
        <v>1092</v>
      </c>
      <c r="AL149" s="12" t="s">
        <v>1092</v>
      </c>
      <c r="AM149" s="12" t="s">
        <v>1092</v>
      </c>
      <c r="AN149" s="12" t="s">
        <v>1092</v>
      </c>
      <c r="AO149" s="178" t="s">
        <v>1093</v>
      </c>
      <c r="AP149" s="178" t="s">
        <v>1093</v>
      </c>
      <c r="AQ149" s="178" t="s">
        <v>1093</v>
      </c>
      <c r="AR149" s="178" t="s">
        <v>1093</v>
      </c>
      <c r="AS149" s="178" t="s">
        <v>1118</v>
      </c>
      <c r="AT149" s="178" t="s">
        <v>1118</v>
      </c>
      <c r="AU149" s="178" t="s">
        <v>1118</v>
      </c>
      <c r="AV149" s="12" t="s">
        <v>1096</v>
      </c>
      <c r="AW149" s="12" t="s">
        <v>2270</v>
      </c>
      <c r="AX149" s="178" t="s">
        <v>1773</v>
      </c>
      <c r="AY149" s="178" t="s">
        <v>1093</v>
      </c>
      <c r="AZ149" s="12" t="s">
        <v>1903</v>
      </c>
      <c r="BA149" s="12" t="s">
        <v>1098</v>
      </c>
      <c r="BB149" s="12" t="s">
        <v>1098</v>
      </c>
      <c r="BD149" s="12" t="s">
        <v>1092</v>
      </c>
      <c r="BE149" s="12" t="s">
        <v>118</v>
      </c>
      <c r="BF149" s="12" t="s">
        <v>4369</v>
      </c>
      <c r="BH149" s="12">
        <v>11111</v>
      </c>
      <c r="BI149" s="179">
        <v>116</v>
      </c>
      <c r="BK149" s="176" t="s">
        <v>83</v>
      </c>
    </row>
    <row r="150" spans="1:65" x14ac:dyDescent="0.25">
      <c r="A150" s="12" t="s">
        <v>2103</v>
      </c>
      <c r="B150" s="12" t="s">
        <v>756</v>
      </c>
      <c r="C150" s="12" t="s">
        <v>757</v>
      </c>
      <c r="D150" s="12" t="s">
        <v>758</v>
      </c>
      <c r="E150" s="175">
        <v>42191</v>
      </c>
      <c r="F150" s="12" t="s">
        <v>2316</v>
      </c>
      <c r="G150" s="12" t="s">
        <v>1075</v>
      </c>
      <c r="H150" s="12" t="s">
        <v>2317</v>
      </c>
      <c r="I150" s="12" t="s">
        <v>2318</v>
      </c>
      <c r="J150" s="12" t="s">
        <v>1274</v>
      </c>
      <c r="K150" s="12" t="s">
        <v>1123</v>
      </c>
      <c r="L150" s="12" t="s">
        <v>1124</v>
      </c>
      <c r="M150" s="12" t="s">
        <v>1125</v>
      </c>
      <c r="Q150" s="12" t="s">
        <v>1125</v>
      </c>
      <c r="R150" s="179">
        <v>117</v>
      </c>
      <c r="S150" s="178"/>
      <c r="U150" s="12">
        <v>11111</v>
      </c>
      <c r="W150" s="12" t="s">
        <v>1083</v>
      </c>
      <c r="X150" s="12" t="s">
        <v>1329</v>
      </c>
      <c r="Y150" s="178" t="s">
        <v>1579</v>
      </c>
      <c r="Z150" s="12" t="s">
        <v>2319</v>
      </c>
      <c r="AA150" s="178" t="s">
        <v>2320</v>
      </c>
      <c r="AB150" s="12" t="s">
        <v>2321</v>
      </c>
      <c r="AD150" s="12" t="s">
        <v>1185</v>
      </c>
      <c r="AE150" s="12" t="s">
        <v>1075</v>
      </c>
      <c r="AF150" s="12" t="s">
        <v>2322</v>
      </c>
      <c r="AG150" s="12" t="s">
        <v>1092</v>
      </c>
      <c r="AH150" s="12" t="s">
        <v>1092</v>
      </c>
      <c r="AI150" s="12" t="s">
        <v>2323</v>
      </c>
      <c r="AJ150" s="12" t="s">
        <v>2324</v>
      </c>
      <c r="AK150" s="12" t="s">
        <v>2325</v>
      </c>
      <c r="AL150" s="12" t="s">
        <v>1092</v>
      </c>
      <c r="AM150" s="12" t="s">
        <v>1092</v>
      </c>
      <c r="AN150" s="12" t="s">
        <v>1092</v>
      </c>
      <c r="AO150" s="178" t="s">
        <v>1092</v>
      </c>
      <c r="AP150" s="178" t="s">
        <v>1092</v>
      </c>
      <c r="AQ150" s="178" t="s">
        <v>1092</v>
      </c>
      <c r="AR150" s="178" t="s">
        <v>1093</v>
      </c>
      <c r="AS150" s="178" t="s">
        <v>1155</v>
      </c>
      <c r="AT150" s="178" t="s">
        <v>1095</v>
      </c>
      <c r="AU150" s="178" t="s">
        <v>1118</v>
      </c>
      <c r="AV150" s="12" t="s">
        <v>1096</v>
      </c>
      <c r="AW150" s="12" t="s">
        <v>2270</v>
      </c>
      <c r="AY150" s="178" t="s">
        <v>1092</v>
      </c>
      <c r="AZ150" s="12" t="s">
        <v>2326</v>
      </c>
      <c r="BA150" s="12" t="s">
        <v>1098</v>
      </c>
      <c r="BB150" s="12" t="s">
        <v>1098</v>
      </c>
      <c r="BD150" s="12" t="s">
        <v>1092</v>
      </c>
      <c r="BE150" s="12" t="s">
        <v>118</v>
      </c>
      <c r="BF150" s="12" t="s">
        <v>4369</v>
      </c>
      <c r="BH150" s="12">
        <v>11111</v>
      </c>
      <c r="BI150" s="179">
        <v>117</v>
      </c>
      <c r="BJ150" s="175">
        <v>42205</v>
      </c>
      <c r="BK150" s="176" t="s">
        <v>82</v>
      </c>
      <c r="BM150" s="12">
        <v>30</v>
      </c>
    </row>
    <row r="151" spans="1:65" x14ac:dyDescent="0.25">
      <c r="A151" s="12" t="s">
        <v>2103</v>
      </c>
      <c r="B151" s="12" t="s">
        <v>759</v>
      </c>
      <c r="C151" s="12" t="s">
        <v>652</v>
      </c>
      <c r="D151" s="12" t="s">
        <v>653</v>
      </c>
      <c r="E151" s="175">
        <v>42191</v>
      </c>
      <c r="F151" s="12" t="s">
        <v>1757</v>
      </c>
      <c r="G151" s="12" t="s">
        <v>1075</v>
      </c>
      <c r="H151" s="12" t="s">
        <v>1946</v>
      </c>
      <c r="I151" s="12" t="s">
        <v>1947</v>
      </c>
      <c r="K151" s="12" t="s">
        <v>1078</v>
      </c>
      <c r="L151" s="12" t="s">
        <v>1079</v>
      </c>
      <c r="M151" s="12" t="s">
        <v>1342</v>
      </c>
      <c r="O151" s="178" t="s">
        <v>1451</v>
      </c>
      <c r="P151" s="178" t="s">
        <v>1948</v>
      </c>
      <c r="Q151" s="12" t="s">
        <v>1342</v>
      </c>
      <c r="R151" s="179">
        <v>118</v>
      </c>
      <c r="S151" s="178"/>
      <c r="U151" s="12">
        <v>11111</v>
      </c>
      <c r="X151" s="12" t="s">
        <v>1949</v>
      </c>
      <c r="Y151" s="178" t="s">
        <v>1232</v>
      </c>
      <c r="Z151" s="12" t="s">
        <v>1950</v>
      </c>
      <c r="AA151" s="178" t="s">
        <v>1478</v>
      </c>
      <c r="AB151" s="12" t="s">
        <v>1133</v>
      </c>
      <c r="AC151" s="178" t="s">
        <v>1579</v>
      </c>
      <c r="AD151" s="12" t="s">
        <v>1951</v>
      </c>
      <c r="AE151" s="12" t="s">
        <v>1075</v>
      </c>
      <c r="AF151" s="12" t="s">
        <v>1952</v>
      </c>
      <c r="AG151" s="12" t="s">
        <v>1092</v>
      </c>
      <c r="AH151" s="12" t="s">
        <v>1092</v>
      </c>
      <c r="AI151" s="12" t="s">
        <v>1953</v>
      </c>
      <c r="AJ151" s="12" t="s">
        <v>1954</v>
      </c>
      <c r="AK151" s="12" t="s">
        <v>1092</v>
      </c>
      <c r="AL151" s="12" t="s">
        <v>1955</v>
      </c>
      <c r="AM151" s="12" t="s">
        <v>1092</v>
      </c>
      <c r="AN151" s="12" t="s">
        <v>1092</v>
      </c>
      <c r="AO151" s="178" t="s">
        <v>1093</v>
      </c>
      <c r="AP151" s="178" t="s">
        <v>1093</v>
      </c>
      <c r="AQ151" s="178" t="s">
        <v>1093</v>
      </c>
      <c r="AR151" s="178" t="s">
        <v>1093</v>
      </c>
      <c r="AS151" s="178" t="s">
        <v>1118</v>
      </c>
      <c r="AT151" s="178" t="s">
        <v>1118</v>
      </c>
      <c r="AU151" s="178" t="s">
        <v>1118</v>
      </c>
      <c r="AV151" s="12" t="s">
        <v>1096</v>
      </c>
      <c r="AW151" s="12" t="s">
        <v>2270</v>
      </c>
      <c r="AX151" s="178" t="s">
        <v>1773</v>
      </c>
      <c r="AY151" s="178" t="s">
        <v>1093</v>
      </c>
      <c r="AZ151" s="12" t="s">
        <v>1956</v>
      </c>
      <c r="BA151" s="12" t="s">
        <v>1098</v>
      </c>
      <c r="BB151" s="12" t="s">
        <v>1098</v>
      </c>
      <c r="BD151" s="12" t="s">
        <v>1092</v>
      </c>
      <c r="BE151" s="12" t="s">
        <v>118</v>
      </c>
      <c r="BF151" s="12" t="s">
        <v>4369</v>
      </c>
      <c r="BH151" s="12">
        <v>11111</v>
      </c>
      <c r="BI151" s="179">
        <v>118</v>
      </c>
      <c r="BK151" s="176" t="s">
        <v>83</v>
      </c>
    </row>
    <row r="152" spans="1:65" x14ac:dyDescent="0.25">
      <c r="A152" s="181">
        <v>42194</v>
      </c>
      <c r="B152" s="180">
        <v>6291090</v>
      </c>
      <c r="C152" s="180">
        <v>10917306</v>
      </c>
      <c r="D152" s="12" t="s">
        <v>760</v>
      </c>
      <c r="E152" s="175">
        <v>42194</v>
      </c>
      <c r="I152" s="12" t="s">
        <v>2327</v>
      </c>
      <c r="U152" s="12">
        <v>11111</v>
      </c>
      <c r="BF152" s="12" t="s">
        <v>4369</v>
      </c>
      <c r="BH152" s="180">
        <v>11111</v>
      </c>
      <c r="BI152" s="179">
        <v>1</v>
      </c>
      <c r="BJ152" s="175">
        <v>42194</v>
      </c>
      <c r="BK152" s="176" t="s">
        <v>82</v>
      </c>
      <c r="BM152" s="12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N112"/>
  <sheetViews>
    <sheetView topLeftCell="R98" workbookViewId="0">
      <selection activeCell="U114" sqref="A1:XFD1048576"/>
    </sheetView>
  </sheetViews>
  <sheetFormatPr defaultColWidth="9.7109375" defaultRowHeight="15" x14ac:dyDescent="0.25"/>
  <cols>
    <col min="1" max="61" width="9.7109375" style="12"/>
    <col min="62" max="62" width="9.7109375" style="175"/>
    <col min="63" max="63" width="9.7109375" style="176"/>
    <col min="64" max="64" width="9.7109375" style="177"/>
    <col min="65" max="16384" width="9.7109375" style="12"/>
  </cols>
  <sheetData>
    <row r="1" spans="1:66" x14ac:dyDescent="0.25">
      <c r="A1" s="12" t="s">
        <v>1023</v>
      </c>
      <c r="B1" s="12" t="s">
        <v>103</v>
      </c>
      <c r="C1" s="12" t="s">
        <v>104</v>
      </c>
      <c r="D1" s="12" t="s">
        <v>105</v>
      </c>
      <c r="E1" s="12" t="s">
        <v>106</v>
      </c>
      <c r="F1" s="12" t="s">
        <v>1024</v>
      </c>
      <c r="G1" s="12" t="s">
        <v>1025</v>
      </c>
      <c r="H1" s="12" t="s">
        <v>1026</v>
      </c>
      <c r="I1" s="12" t="s">
        <v>1027</v>
      </c>
      <c r="J1" s="12" t="s">
        <v>1028</v>
      </c>
      <c r="K1" s="12" t="s">
        <v>1029</v>
      </c>
      <c r="L1" s="12" t="s">
        <v>1030</v>
      </c>
      <c r="M1" s="12" t="s">
        <v>1031</v>
      </c>
      <c r="N1" s="12" t="s">
        <v>1032</v>
      </c>
      <c r="O1" s="12" t="s">
        <v>1033</v>
      </c>
      <c r="P1" s="12" t="s">
        <v>1034</v>
      </c>
      <c r="Q1" s="12" t="s">
        <v>1035</v>
      </c>
      <c r="R1" s="12" t="s">
        <v>107</v>
      </c>
      <c r="S1" s="12" t="s">
        <v>1036</v>
      </c>
      <c r="T1" s="12" t="s">
        <v>1037</v>
      </c>
      <c r="U1" s="12" t="s">
        <v>108</v>
      </c>
      <c r="V1" s="12" t="s">
        <v>1038</v>
      </c>
      <c r="W1" s="12" t="s">
        <v>1039</v>
      </c>
      <c r="X1" s="12" t="s">
        <v>1040</v>
      </c>
      <c r="Y1" s="12" t="s">
        <v>1041</v>
      </c>
      <c r="Z1" s="12" t="s">
        <v>1042</v>
      </c>
      <c r="AA1" s="12" t="s">
        <v>1043</v>
      </c>
      <c r="AB1" s="12" t="s">
        <v>1044</v>
      </c>
      <c r="AC1" s="12" t="s">
        <v>1045</v>
      </c>
      <c r="AD1" s="12" t="s">
        <v>1046</v>
      </c>
      <c r="AE1" s="12" t="s">
        <v>1047</v>
      </c>
      <c r="AF1" s="12" t="s">
        <v>1048</v>
      </c>
      <c r="AG1" s="12" t="s">
        <v>1049</v>
      </c>
      <c r="AH1" s="12" t="s">
        <v>1050</v>
      </c>
      <c r="AI1" s="12" t="s">
        <v>1051</v>
      </c>
      <c r="AJ1" s="12" t="s">
        <v>1052</v>
      </c>
      <c r="AK1" s="12" t="s">
        <v>1053</v>
      </c>
      <c r="AL1" s="12" t="s">
        <v>1054</v>
      </c>
      <c r="AM1" s="12" t="s">
        <v>1055</v>
      </c>
      <c r="AN1" s="12" t="s">
        <v>1056</v>
      </c>
      <c r="AO1" s="12" t="s">
        <v>1057</v>
      </c>
      <c r="AP1" s="12" t="s">
        <v>1058</v>
      </c>
      <c r="AQ1" s="12" t="s">
        <v>1059</v>
      </c>
      <c r="AR1" s="12" t="s">
        <v>1060</v>
      </c>
      <c r="AS1" s="12" t="s">
        <v>1061</v>
      </c>
      <c r="AT1" s="12" t="s">
        <v>1062</v>
      </c>
      <c r="AU1" s="12" t="s">
        <v>1063</v>
      </c>
      <c r="AV1" s="12" t="s">
        <v>1064</v>
      </c>
      <c r="AW1" s="12" t="s">
        <v>1065</v>
      </c>
      <c r="AX1" s="12" t="s">
        <v>1066</v>
      </c>
      <c r="AY1" s="12" t="s">
        <v>1067</v>
      </c>
      <c r="AZ1" s="12" t="s">
        <v>1068</v>
      </c>
      <c r="BA1" s="12" t="s">
        <v>1069</v>
      </c>
      <c r="BB1" s="12" t="s">
        <v>1070</v>
      </c>
      <c r="BC1" s="12" t="s">
        <v>1071</v>
      </c>
      <c r="BD1" s="12" t="s">
        <v>1072</v>
      </c>
      <c r="BE1" s="12" t="s">
        <v>109</v>
      </c>
      <c r="BF1" s="12" t="s">
        <v>110</v>
      </c>
      <c r="BG1" s="12" t="s">
        <v>111</v>
      </c>
      <c r="BH1" s="12" t="s">
        <v>108</v>
      </c>
      <c r="BI1" s="12" t="s">
        <v>107</v>
      </c>
      <c r="BJ1" s="175" t="s">
        <v>112</v>
      </c>
      <c r="BK1" s="176" t="s">
        <v>113</v>
      </c>
      <c r="BL1" s="177" t="s">
        <v>114</v>
      </c>
      <c r="BM1" s="12" t="s">
        <v>115</v>
      </c>
      <c r="BN1" s="12" t="s">
        <v>116</v>
      </c>
    </row>
    <row r="2" spans="1:66" x14ac:dyDescent="0.25">
      <c r="A2" s="12" t="s">
        <v>2328</v>
      </c>
      <c r="B2" s="12" t="s">
        <v>768</v>
      </c>
      <c r="C2" s="12" t="s">
        <v>769</v>
      </c>
      <c r="D2" s="12" t="s">
        <v>770</v>
      </c>
      <c r="E2" s="175">
        <v>42198</v>
      </c>
      <c r="F2" s="12" t="s">
        <v>2329</v>
      </c>
      <c r="G2" s="12" t="s">
        <v>1075</v>
      </c>
      <c r="H2" s="12" t="s">
        <v>2330</v>
      </c>
      <c r="I2" s="12" t="s">
        <v>2331</v>
      </c>
      <c r="J2" s="12" t="s">
        <v>2306</v>
      </c>
      <c r="K2" s="12" t="s">
        <v>1103</v>
      </c>
      <c r="L2" s="12" t="s">
        <v>1104</v>
      </c>
      <c r="M2" s="12" t="s">
        <v>1105</v>
      </c>
      <c r="O2" s="178" t="s">
        <v>1106</v>
      </c>
      <c r="P2" s="178" t="s">
        <v>2332</v>
      </c>
      <c r="Q2" s="12" t="s">
        <v>1105</v>
      </c>
      <c r="R2" s="179">
        <v>26</v>
      </c>
      <c r="S2" s="178"/>
      <c r="U2" s="12" t="s">
        <v>117</v>
      </c>
      <c r="V2" s="12" t="s">
        <v>2333</v>
      </c>
      <c r="W2" s="12" t="s">
        <v>2334</v>
      </c>
      <c r="X2" s="12" t="s">
        <v>2335</v>
      </c>
      <c r="Y2" s="178" t="s">
        <v>1695</v>
      </c>
      <c r="Z2" s="12" t="s">
        <v>2336</v>
      </c>
      <c r="AA2" s="178" t="s">
        <v>2337</v>
      </c>
      <c r="AB2" s="12" t="s">
        <v>2336</v>
      </c>
      <c r="AC2" s="178" t="s">
        <v>1540</v>
      </c>
      <c r="AD2" s="12" t="s">
        <v>1604</v>
      </c>
      <c r="AE2" s="12" t="s">
        <v>1075</v>
      </c>
      <c r="AF2" s="12" t="s">
        <v>2338</v>
      </c>
      <c r="AG2" s="12" t="s">
        <v>2339</v>
      </c>
      <c r="AH2" s="12" t="s">
        <v>1092</v>
      </c>
      <c r="AI2" s="12" t="s">
        <v>2340</v>
      </c>
      <c r="AJ2" s="12" t="s">
        <v>2341</v>
      </c>
      <c r="AK2" s="12" t="s">
        <v>1092</v>
      </c>
      <c r="AL2" s="12" t="s">
        <v>1092</v>
      </c>
      <c r="AM2" s="12" t="s">
        <v>1092</v>
      </c>
      <c r="AN2" s="12" t="s">
        <v>1092</v>
      </c>
      <c r="AO2" s="178" t="s">
        <v>1092</v>
      </c>
      <c r="AP2" s="178" t="s">
        <v>1092</v>
      </c>
      <c r="AQ2" s="178" t="s">
        <v>1093</v>
      </c>
      <c r="AR2" s="178" t="s">
        <v>1092</v>
      </c>
      <c r="AS2" s="178" t="s">
        <v>1155</v>
      </c>
      <c r="AT2" s="178" t="s">
        <v>1094</v>
      </c>
      <c r="AU2" s="178" t="s">
        <v>1095</v>
      </c>
      <c r="AV2" s="12" t="s">
        <v>1096</v>
      </c>
      <c r="AW2" s="12" t="s">
        <v>1097</v>
      </c>
      <c r="AY2" s="178" t="s">
        <v>1092</v>
      </c>
      <c r="AZ2" s="12" t="s">
        <v>2342</v>
      </c>
      <c r="BA2" s="12" t="s">
        <v>1098</v>
      </c>
      <c r="BB2" s="12" t="s">
        <v>1098</v>
      </c>
      <c r="BD2" s="12" t="s">
        <v>1092</v>
      </c>
      <c r="BE2" s="12" t="s">
        <v>118</v>
      </c>
      <c r="BF2" s="12" t="s">
        <v>23</v>
      </c>
      <c r="BH2" s="12" t="s">
        <v>117</v>
      </c>
      <c r="BI2" s="179">
        <v>26</v>
      </c>
      <c r="BJ2" s="175">
        <v>42198</v>
      </c>
      <c r="BK2" s="176" t="s">
        <v>119</v>
      </c>
      <c r="BL2" s="177">
        <v>82.87</v>
      </c>
      <c r="BM2" s="12">
        <v>29</v>
      </c>
    </row>
    <row r="3" spans="1:66" x14ac:dyDescent="0.25">
      <c r="A3" s="12" t="s">
        <v>2343</v>
      </c>
      <c r="B3" s="12" t="s">
        <v>771</v>
      </c>
      <c r="C3" s="12" t="s">
        <v>772</v>
      </c>
      <c r="D3" s="12" t="s">
        <v>773</v>
      </c>
      <c r="E3" s="175">
        <v>42198</v>
      </c>
      <c r="F3" s="12" t="s">
        <v>2344</v>
      </c>
      <c r="G3" s="12" t="s">
        <v>1075</v>
      </c>
      <c r="H3" s="12" t="s">
        <v>2345</v>
      </c>
      <c r="I3" s="12" t="s">
        <v>2346</v>
      </c>
      <c r="J3" s="12" t="s">
        <v>2347</v>
      </c>
      <c r="K3" s="12" t="s">
        <v>1123</v>
      </c>
      <c r="L3" s="12" t="s">
        <v>1124</v>
      </c>
      <c r="M3" s="12" t="s">
        <v>1125</v>
      </c>
      <c r="Q3" s="12" t="s">
        <v>1125</v>
      </c>
      <c r="R3" s="179">
        <v>39</v>
      </c>
      <c r="S3" s="178"/>
      <c r="U3" s="12" t="s">
        <v>117</v>
      </c>
      <c r="V3" s="12" t="s">
        <v>2333</v>
      </c>
      <c r="W3" s="12" t="s">
        <v>2334</v>
      </c>
      <c r="X3" s="12" t="s">
        <v>1977</v>
      </c>
      <c r="Y3" s="178" t="s">
        <v>2348</v>
      </c>
      <c r="Z3" s="12" t="s">
        <v>2349</v>
      </c>
      <c r="AA3" s="178" t="s">
        <v>1468</v>
      </c>
      <c r="AB3" s="12" t="s">
        <v>2349</v>
      </c>
      <c r="AC3" s="178" t="s">
        <v>2350</v>
      </c>
      <c r="AD3" s="12" t="s">
        <v>2351</v>
      </c>
      <c r="AE3" s="12" t="s">
        <v>1075</v>
      </c>
      <c r="AF3" s="12" t="s">
        <v>2352</v>
      </c>
      <c r="AG3" s="12" t="s">
        <v>1092</v>
      </c>
      <c r="AH3" s="12" t="s">
        <v>1092</v>
      </c>
      <c r="AI3" s="12" t="s">
        <v>2353</v>
      </c>
      <c r="AJ3" s="12" t="s">
        <v>2354</v>
      </c>
      <c r="AK3" s="12" t="s">
        <v>1092</v>
      </c>
      <c r="AL3" s="12" t="s">
        <v>1092</v>
      </c>
      <c r="AM3" s="12" t="s">
        <v>1092</v>
      </c>
      <c r="AN3" s="12" t="s">
        <v>1092</v>
      </c>
      <c r="AO3" s="178" t="s">
        <v>1093</v>
      </c>
      <c r="AP3" s="178" t="s">
        <v>1092</v>
      </c>
      <c r="AQ3" s="178" t="s">
        <v>1092</v>
      </c>
      <c r="AR3" s="178" t="s">
        <v>1092</v>
      </c>
      <c r="AS3" s="178" t="s">
        <v>1094</v>
      </c>
      <c r="AT3" s="178" t="s">
        <v>1095</v>
      </c>
      <c r="AU3" s="178" t="s">
        <v>1095</v>
      </c>
      <c r="AV3" s="12" t="s">
        <v>1096</v>
      </c>
      <c r="AW3" s="12" t="s">
        <v>1097</v>
      </c>
      <c r="AY3" s="178" t="s">
        <v>1092</v>
      </c>
      <c r="AZ3" s="12" t="s">
        <v>2355</v>
      </c>
      <c r="BA3" s="12" t="s">
        <v>1098</v>
      </c>
      <c r="BB3" s="12" t="s">
        <v>1098</v>
      </c>
      <c r="BD3" s="12" t="s">
        <v>1092</v>
      </c>
      <c r="BE3" s="12" t="s">
        <v>118</v>
      </c>
      <c r="BF3" s="12" t="s">
        <v>23</v>
      </c>
      <c r="BH3" s="12" t="s">
        <v>117</v>
      </c>
      <c r="BI3" s="179">
        <v>39</v>
      </c>
      <c r="BJ3" s="175">
        <v>42198</v>
      </c>
      <c r="BK3" s="176" t="s">
        <v>119</v>
      </c>
      <c r="BL3" s="177">
        <v>27.96</v>
      </c>
      <c r="BM3" s="12">
        <v>29</v>
      </c>
    </row>
    <row r="4" spans="1:66" x14ac:dyDescent="0.25">
      <c r="A4" s="12" t="s">
        <v>2356</v>
      </c>
      <c r="B4" s="12" t="s">
        <v>774</v>
      </c>
      <c r="C4" s="12" t="s">
        <v>775</v>
      </c>
      <c r="D4" s="12" t="s">
        <v>776</v>
      </c>
      <c r="E4" s="175">
        <v>42198</v>
      </c>
      <c r="F4" s="12" t="s">
        <v>2357</v>
      </c>
      <c r="G4" s="12" t="s">
        <v>1075</v>
      </c>
      <c r="H4" s="12" t="s">
        <v>2358</v>
      </c>
      <c r="I4" s="12" t="s">
        <v>2359</v>
      </c>
      <c r="K4" s="12" t="s">
        <v>1514</v>
      </c>
      <c r="L4" s="12" t="s">
        <v>1515</v>
      </c>
      <c r="M4" s="12" t="s">
        <v>1516</v>
      </c>
      <c r="O4" s="178" t="s">
        <v>2144</v>
      </c>
      <c r="P4" s="178" t="s">
        <v>2360</v>
      </c>
      <c r="Q4" s="12" t="s">
        <v>1516</v>
      </c>
      <c r="R4" s="179">
        <v>70</v>
      </c>
      <c r="S4" s="178"/>
      <c r="U4" s="12" t="s">
        <v>117</v>
      </c>
      <c r="V4" s="12" t="s">
        <v>2333</v>
      </c>
      <c r="W4" s="12" t="s">
        <v>2334</v>
      </c>
      <c r="X4" s="12" t="s">
        <v>2361</v>
      </c>
      <c r="Y4" s="178" t="s">
        <v>1234</v>
      </c>
      <c r="Z4" s="12" t="s">
        <v>2362</v>
      </c>
      <c r="AA4" s="178" t="s">
        <v>2264</v>
      </c>
      <c r="AB4" s="12" t="s">
        <v>2363</v>
      </c>
      <c r="AC4" s="178" t="s">
        <v>1192</v>
      </c>
      <c r="AD4" s="12" t="s">
        <v>2364</v>
      </c>
      <c r="AE4" s="12" t="s">
        <v>1075</v>
      </c>
      <c r="AF4" s="12" t="s">
        <v>2365</v>
      </c>
      <c r="AG4" s="12" t="s">
        <v>2366</v>
      </c>
      <c r="AH4" s="12" t="s">
        <v>1092</v>
      </c>
      <c r="AI4" s="12" t="s">
        <v>2367</v>
      </c>
      <c r="AJ4" s="12" t="s">
        <v>2368</v>
      </c>
      <c r="AK4" s="12" t="s">
        <v>1092</v>
      </c>
      <c r="AL4" s="12" t="s">
        <v>1092</v>
      </c>
      <c r="AM4" s="12" t="s">
        <v>1092</v>
      </c>
      <c r="AN4" s="12" t="s">
        <v>1092</v>
      </c>
      <c r="AO4" s="178" t="s">
        <v>1093</v>
      </c>
      <c r="AP4" s="178" t="s">
        <v>1093</v>
      </c>
      <c r="AQ4" s="178" t="s">
        <v>1093</v>
      </c>
      <c r="AR4" s="178" t="s">
        <v>1093</v>
      </c>
      <c r="AS4" s="178" t="s">
        <v>1094</v>
      </c>
      <c r="AT4" s="178" t="s">
        <v>1094</v>
      </c>
      <c r="AU4" s="178" t="s">
        <v>1094</v>
      </c>
      <c r="AV4" s="12" t="s">
        <v>1096</v>
      </c>
      <c r="AW4" s="12" t="s">
        <v>1097</v>
      </c>
      <c r="AY4" s="178" t="s">
        <v>1092</v>
      </c>
      <c r="AZ4" s="12" t="s">
        <v>2369</v>
      </c>
      <c r="BA4" s="12" t="s">
        <v>2370</v>
      </c>
      <c r="BB4" s="12" t="s">
        <v>1098</v>
      </c>
      <c r="BD4" s="12" t="s">
        <v>1092</v>
      </c>
      <c r="BE4" s="12" t="s">
        <v>118</v>
      </c>
      <c r="BF4" s="12" t="s">
        <v>23</v>
      </c>
      <c r="BH4" s="12" t="s">
        <v>117</v>
      </c>
      <c r="BI4" s="179">
        <v>70</v>
      </c>
      <c r="BJ4" s="175">
        <v>42198</v>
      </c>
      <c r="BK4" s="176" t="s">
        <v>119</v>
      </c>
      <c r="BL4" s="177">
        <v>159.47</v>
      </c>
      <c r="BM4" s="12">
        <v>29</v>
      </c>
    </row>
    <row r="5" spans="1:66" x14ac:dyDescent="0.25">
      <c r="A5" s="12" t="s">
        <v>2371</v>
      </c>
      <c r="B5" s="12" t="s">
        <v>777</v>
      </c>
      <c r="C5" s="12" t="s">
        <v>778</v>
      </c>
      <c r="D5" s="12" t="s">
        <v>779</v>
      </c>
      <c r="E5" s="175">
        <v>42198</v>
      </c>
      <c r="F5" s="12" t="s">
        <v>2372</v>
      </c>
      <c r="G5" s="12" t="s">
        <v>1075</v>
      </c>
      <c r="H5" s="12" t="s">
        <v>2373</v>
      </c>
      <c r="I5" s="12" t="s">
        <v>2374</v>
      </c>
      <c r="K5" s="12" t="s">
        <v>1078</v>
      </c>
      <c r="L5" s="12" t="s">
        <v>1079</v>
      </c>
      <c r="M5" s="12" t="s">
        <v>1342</v>
      </c>
      <c r="O5" s="178" t="s">
        <v>1434</v>
      </c>
      <c r="P5" s="178" t="s">
        <v>2375</v>
      </c>
      <c r="Q5" s="12" t="s">
        <v>1342</v>
      </c>
      <c r="R5" s="179">
        <v>2</v>
      </c>
      <c r="S5" s="178"/>
      <c r="U5" s="12" t="s">
        <v>120</v>
      </c>
      <c r="W5" s="12" t="s">
        <v>1083</v>
      </c>
      <c r="X5" s="12" t="s">
        <v>2054</v>
      </c>
      <c r="Y5" s="178" t="s">
        <v>2264</v>
      </c>
      <c r="Z5" s="12" t="s">
        <v>1803</v>
      </c>
      <c r="AA5" s="178" t="s">
        <v>1192</v>
      </c>
      <c r="AB5" s="12" t="s">
        <v>1803</v>
      </c>
      <c r="AC5" s="178" t="s">
        <v>2316</v>
      </c>
      <c r="AD5" s="12" t="s">
        <v>1803</v>
      </c>
      <c r="AE5" s="12" t="s">
        <v>1075</v>
      </c>
      <c r="AF5" s="12" t="s">
        <v>2376</v>
      </c>
      <c r="AG5" s="12" t="s">
        <v>1092</v>
      </c>
      <c r="AH5" s="12" t="s">
        <v>1092</v>
      </c>
      <c r="AI5" s="12" t="s">
        <v>1527</v>
      </c>
      <c r="AJ5" s="12" t="s">
        <v>1528</v>
      </c>
      <c r="AK5" s="12" t="s">
        <v>1092</v>
      </c>
      <c r="AL5" s="12" t="s">
        <v>1092</v>
      </c>
      <c r="AM5" s="12" t="s">
        <v>1092</v>
      </c>
      <c r="AN5" s="12" t="s">
        <v>1092</v>
      </c>
      <c r="AO5" s="178" t="s">
        <v>1092</v>
      </c>
      <c r="AP5" s="178" t="s">
        <v>1092</v>
      </c>
      <c r="AQ5" s="178" t="s">
        <v>1093</v>
      </c>
      <c r="AR5" s="178" t="s">
        <v>1092</v>
      </c>
      <c r="AS5" s="178" t="s">
        <v>1155</v>
      </c>
      <c r="AT5" s="178" t="s">
        <v>1118</v>
      </c>
      <c r="AU5" s="178" t="s">
        <v>1095</v>
      </c>
      <c r="AV5" s="12" t="s">
        <v>1096</v>
      </c>
      <c r="AW5" s="12" t="s">
        <v>1097</v>
      </c>
      <c r="AX5" s="178" t="s">
        <v>2377</v>
      </c>
      <c r="AY5" s="178" t="s">
        <v>1093</v>
      </c>
      <c r="AZ5" s="12" t="s">
        <v>2378</v>
      </c>
      <c r="BA5" s="12" t="s">
        <v>1098</v>
      </c>
      <c r="BB5" s="12" t="s">
        <v>1098</v>
      </c>
      <c r="BD5" s="12" t="s">
        <v>1092</v>
      </c>
      <c r="BE5" s="12" t="s">
        <v>118</v>
      </c>
      <c r="BF5" s="12" t="s">
        <v>121</v>
      </c>
      <c r="BH5" s="12" t="s">
        <v>120</v>
      </c>
      <c r="BI5" s="179">
        <v>2</v>
      </c>
      <c r="BJ5" s="175">
        <v>42208</v>
      </c>
      <c r="BK5" s="176" t="s">
        <v>82</v>
      </c>
      <c r="BL5" s="12"/>
      <c r="BM5" s="12">
        <v>30</v>
      </c>
    </row>
    <row r="6" spans="1:66" x14ac:dyDescent="0.25">
      <c r="A6" s="12" t="s">
        <v>2371</v>
      </c>
      <c r="B6" s="12" t="s">
        <v>780</v>
      </c>
      <c r="C6" s="12" t="s">
        <v>781</v>
      </c>
      <c r="D6" s="12" t="s">
        <v>782</v>
      </c>
      <c r="E6" s="175">
        <v>42198</v>
      </c>
      <c r="F6" s="12" t="s">
        <v>2379</v>
      </c>
      <c r="G6" s="12" t="s">
        <v>1075</v>
      </c>
      <c r="H6" s="12" t="s">
        <v>2380</v>
      </c>
      <c r="I6" s="12" t="s">
        <v>2381</v>
      </c>
      <c r="K6" s="12" t="s">
        <v>1078</v>
      </c>
      <c r="L6" s="12" t="s">
        <v>1079</v>
      </c>
      <c r="M6" s="12" t="s">
        <v>1342</v>
      </c>
      <c r="O6" s="178" t="s">
        <v>1142</v>
      </c>
      <c r="P6" s="178" t="s">
        <v>2382</v>
      </c>
      <c r="Q6" s="12" t="s">
        <v>1342</v>
      </c>
      <c r="R6" s="179">
        <v>3</v>
      </c>
      <c r="S6" s="178"/>
      <c r="U6" s="12" t="s">
        <v>120</v>
      </c>
      <c r="W6" s="12" t="s">
        <v>1083</v>
      </c>
      <c r="X6" s="12" t="s">
        <v>1977</v>
      </c>
      <c r="Y6" s="178" t="s">
        <v>2337</v>
      </c>
      <c r="Z6" s="12" t="s">
        <v>2383</v>
      </c>
      <c r="AA6" s="178" t="s">
        <v>1355</v>
      </c>
      <c r="AB6" s="12" t="s">
        <v>2384</v>
      </c>
      <c r="AC6" s="178" t="s">
        <v>1491</v>
      </c>
      <c r="AD6" s="12" t="s">
        <v>2385</v>
      </c>
      <c r="AE6" s="12" t="s">
        <v>1075</v>
      </c>
      <c r="AF6" s="12" t="s">
        <v>2386</v>
      </c>
      <c r="AG6" s="12" t="s">
        <v>1092</v>
      </c>
      <c r="AH6" s="12" t="s">
        <v>1092</v>
      </c>
      <c r="AI6" s="12" t="s">
        <v>1295</v>
      </c>
      <c r="AJ6" s="12" t="s">
        <v>2387</v>
      </c>
      <c r="AK6" s="12" t="s">
        <v>1092</v>
      </c>
      <c r="AL6" s="12" t="s">
        <v>1092</v>
      </c>
      <c r="AM6" s="12" t="s">
        <v>1092</v>
      </c>
      <c r="AN6" s="12" t="s">
        <v>1092</v>
      </c>
      <c r="AO6" s="178" t="s">
        <v>1092</v>
      </c>
      <c r="AP6" s="178" t="s">
        <v>1092</v>
      </c>
      <c r="AQ6" s="178" t="s">
        <v>1093</v>
      </c>
      <c r="AR6" s="178" t="s">
        <v>1092</v>
      </c>
      <c r="AS6" s="178" t="s">
        <v>1155</v>
      </c>
      <c r="AT6" s="178" t="s">
        <v>1118</v>
      </c>
      <c r="AU6" s="178" t="s">
        <v>1095</v>
      </c>
      <c r="AV6" s="12" t="s">
        <v>1096</v>
      </c>
      <c r="AW6" s="12" t="s">
        <v>1097</v>
      </c>
      <c r="AY6" s="178" t="s">
        <v>1092</v>
      </c>
      <c r="AZ6" s="12" t="s">
        <v>2388</v>
      </c>
      <c r="BA6" s="12" t="s">
        <v>1098</v>
      </c>
      <c r="BB6" s="12" t="s">
        <v>2389</v>
      </c>
      <c r="BC6" s="178" t="s">
        <v>1205</v>
      </c>
      <c r="BD6" s="12" t="s">
        <v>1092</v>
      </c>
      <c r="BE6" s="12" t="s">
        <v>118</v>
      </c>
      <c r="BF6" s="12" t="s">
        <v>121</v>
      </c>
      <c r="BH6" s="12" t="s">
        <v>120</v>
      </c>
      <c r="BI6" s="179">
        <v>3</v>
      </c>
      <c r="BJ6" s="175">
        <v>42209</v>
      </c>
      <c r="BK6" s="176" t="s">
        <v>82</v>
      </c>
      <c r="BL6" s="12"/>
      <c r="BM6" s="12">
        <v>30</v>
      </c>
    </row>
    <row r="7" spans="1:66" x14ac:dyDescent="0.25">
      <c r="A7" s="12" t="s">
        <v>2371</v>
      </c>
      <c r="B7" s="12" t="s">
        <v>783</v>
      </c>
      <c r="C7" s="12" t="s">
        <v>784</v>
      </c>
      <c r="D7" s="12" t="s">
        <v>785</v>
      </c>
      <c r="E7" s="175">
        <v>42198</v>
      </c>
      <c r="F7" s="12" t="s">
        <v>2390</v>
      </c>
      <c r="G7" s="12" t="s">
        <v>1075</v>
      </c>
      <c r="H7" s="12" t="s">
        <v>2391</v>
      </c>
      <c r="I7" s="12" t="s">
        <v>2392</v>
      </c>
      <c r="K7" s="12" t="s">
        <v>1103</v>
      </c>
      <c r="L7" s="12" t="s">
        <v>1104</v>
      </c>
      <c r="M7" s="12" t="s">
        <v>1105</v>
      </c>
      <c r="O7" s="178" t="s">
        <v>1163</v>
      </c>
      <c r="P7" s="178" t="s">
        <v>2393</v>
      </c>
      <c r="Q7" s="12" t="s">
        <v>1105</v>
      </c>
      <c r="R7" s="179">
        <v>4</v>
      </c>
      <c r="S7" s="178"/>
      <c r="U7" s="12" t="s">
        <v>120</v>
      </c>
      <c r="W7" s="12" t="s">
        <v>1083</v>
      </c>
      <c r="X7" s="12" t="s">
        <v>1144</v>
      </c>
      <c r="Y7" s="178" t="s">
        <v>1883</v>
      </c>
      <c r="Z7" s="12" t="s">
        <v>2394</v>
      </c>
      <c r="AA7" s="178" t="s">
        <v>2395</v>
      </c>
      <c r="AB7" s="12" t="s">
        <v>1112</v>
      </c>
      <c r="AC7" s="178" t="s">
        <v>2396</v>
      </c>
      <c r="AD7" s="12" t="s">
        <v>2397</v>
      </c>
      <c r="AE7" s="12" t="s">
        <v>1075</v>
      </c>
      <c r="AF7" s="12" t="s">
        <v>2398</v>
      </c>
      <c r="AG7" s="12" t="s">
        <v>1092</v>
      </c>
      <c r="AH7" s="12" t="s">
        <v>1092</v>
      </c>
      <c r="AI7" s="12" t="s">
        <v>2399</v>
      </c>
      <c r="AJ7" s="12" t="s">
        <v>2400</v>
      </c>
      <c r="AK7" s="12" t="s">
        <v>2401</v>
      </c>
      <c r="AL7" s="12" t="s">
        <v>1092</v>
      </c>
      <c r="AM7" s="12" t="s">
        <v>1092</v>
      </c>
      <c r="AN7" s="12" t="s">
        <v>1092</v>
      </c>
      <c r="AO7" s="178" t="s">
        <v>1093</v>
      </c>
      <c r="AP7" s="178" t="s">
        <v>1093</v>
      </c>
      <c r="AQ7" s="178" t="s">
        <v>1092</v>
      </c>
      <c r="AR7" s="178" t="s">
        <v>1092</v>
      </c>
      <c r="AS7" s="178" t="s">
        <v>1118</v>
      </c>
      <c r="AT7" s="178" t="s">
        <v>1095</v>
      </c>
      <c r="AU7" s="178" t="s">
        <v>1095</v>
      </c>
      <c r="AV7" s="12" t="s">
        <v>1096</v>
      </c>
      <c r="AW7" s="12" t="s">
        <v>1097</v>
      </c>
      <c r="AY7" s="178" t="s">
        <v>1092</v>
      </c>
      <c r="AZ7" s="12" t="s">
        <v>2402</v>
      </c>
      <c r="BA7" s="12" t="s">
        <v>1098</v>
      </c>
      <c r="BB7" s="12" t="s">
        <v>1098</v>
      </c>
      <c r="BD7" s="12" t="s">
        <v>1092</v>
      </c>
      <c r="BE7" s="12" t="s">
        <v>118</v>
      </c>
      <c r="BF7" s="12" t="s">
        <v>121</v>
      </c>
      <c r="BH7" s="12" t="s">
        <v>120</v>
      </c>
      <c r="BI7" s="179">
        <v>4</v>
      </c>
      <c r="BJ7" s="175">
        <v>42209</v>
      </c>
      <c r="BK7" s="176" t="s">
        <v>119</v>
      </c>
      <c r="BL7" s="177">
        <v>191.7</v>
      </c>
      <c r="BM7" s="12">
        <v>30</v>
      </c>
    </row>
    <row r="8" spans="1:66" x14ac:dyDescent="0.25">
      <c r="A8" s="12" t="s">
        <v>2371</v>
      </c>
      <c r="B8" s="12" t="s">
        <v>786</v>
      </c>
      <c r="C8" s="12" t="s">
        <v>787</v>
      </c>
      <c r="D8" s="12" t="s">
        <v>788</v>
      </c>
      <c r="E8" s="175">
        <v>42198</v>
      </c>
      <c r="F8" s="12" t="s">
        <v>2403</v>
      </c>
      <c r="G8" s="12" t="s">
        <v>1075</v>
      </c>
      <c r="H8" s="12" t="s">
        <v>2404</v>
      </c>
      <c r="I8" s="12" t="s">
        <v>2405</v>
      </c>
      <c r="K8" s="12" t="s">
        <v>1078</v>
      </c>
      <c r="L8" s="12" t="s">
        <v>1079</v>
      </c>
      <c r="M8" s="12" t="s">
        <v>1342</v>
      </c>
      <c r="Q8" s="12" t="s">
        <v>1342</v>
      </c>
      <c r="R8" s="179">
        <v>5</v>
      </c>
      <c r="S8" s="178"/>
      <c r="U8" s="12" t="s">
        <v>120</v>
      </c>
      <c r="W8" s="12" t="s">
        <v>1083</v>
      </c>
      <c r="X8" s="12" t="s">
        <v>1464</v>
      </c>
      <c r="Y8" s="178" t="s">
        <v>1111</v>
      </c>
      <c r="Z8" s="12" t="s">
        <v>2406</v>
      </c>
      <c r="AA8" s="178" t="s">
        <v>1579</v>
      </c>
      <c r="AB8" s="12" t="s">
        <v>2406</v>
      </c>
      <c r="AC8" s="178" t="s">
        <v>1426</v>
      </c>
      <c r="AD8" s="12" t="s">
        <v>2407</v>
      </c>
      <c r="AE8" s="12" t="s">
        <v>1075</v>
      </c>
      <c r="AF8" s="12" t="s">
        <v>2408</v>
      </c>
      <c r="AG8" s="12" t="s">
        <v>1092</v>
      </c>
      <c r="AH8" s="12" t="s">
        <v>1092</v>
      </c>
      <c r="AI8" s="12" t="s">
        <v>2409</v>
      </c>
      <c r="AJ8" s="12" t="s">
        <v>2410</v>
      </c>
      <c r="AK8" s="12" t="s">
        <v>2411</v>
      </c>
      <c r="AL8" s="12" t="s">
        <v>1092</v>
      </c>
      <c r="AM8" s="12" t="s">
        <v>1092</v>
      </c>
      <c r="AN8" s="12" t="s">
        <v>1092</v>
      </c>
      <c r="AO8" s="178" t="s">
        <v>1093</v>
      </c>
      <c r="AP8" s="178" t="s">
        <v>1092</v>
      </c>
      <c r="AQ8" s="178" t="s">
        <v>1092</v>
      </c>
      <c r="AR8" s="178" t="s">
        <v>1092</v>
      </c>
      <c r="AS8" s="178" t="s">
        <v>1118</v>
      </c>
      <c r="AT8" s="178" t="s">
        <v>1095</v>
      </c>
      <c r="AU8" s="178" t="s">
        <v>1095</v>
      </c>
      <c r="AV8" s="12" t="s">
        <v>1096</v>
      </c>
      <c r="AW8" s="12" t="s">
        <v>1097</v>
      </c>
      <c r="AY8" s="178" t="s">
        <v>1092</v>
      </c>
      <c r="AZ8" s="12" t="s">
        <v>2412</v>
      </c>
      <c r="BA8" s="12" t="s">
        <v>1098</v>
      </c>
      <c r="BB8" s="12" t="s">
        <v>2413</v>
      </c>
      <c r="BD8" s="12" t="s">
        <v>1092</v>
      </c>
      <c r="BE8" s="12" t="s">
        <v>118</v>
      </c>
      <c r="BF8" s="12" t="s">
        <v>121</v>
      </c>
      <c r="BH8" s="12" t="s">
        <v>120</v>
      </c>
      <c r="BI8" s="179">
        <v>5</v>
      </c>
      <c r="BJ8" s="175">
        <v>42209</v>
      </c>
      <c r="BK8" s="176" t="s">
        <v>119</v>
      </c>
      <c r="BL8" s="177">
        <v>70</v>
      </c>
      <c r="BM8" s="12">
        <v>30</v>
      </c>
    </row>
    <row r="9" spans="1:66" x14ac:dyDescent="0.25">
      <c r="A9" s="12" t="s">
        <v>2371</v>
      </c>
      <c r="B9" s="12" t="s">
        <v>789</v>
      </c>
      <c r="C9" s="12" t="s">
        <v>790</v>
      </c>
      <c r="D9" s="12" t="s">
        <v>791</v>
      </c>
      <c r="E9" s="175">
        <v>42198</v>
      </c>
      <c r="F9" s="12" t="s">
        <v>2414</v>
      </c>
      <c r="G9" s="12" t="s">
        <v>1075</v>
      </c>
      <c r="H9" s="12" t="s">
        <v>2415</v>
      </c>
      <c r="I9" s="12" t="s">
        <v>2416</v>
      </c>
      <c r="J9" s="12" t="s">
        <v>1863</v>
      </c>
      <c r="K9" s="12" t="s">
        <v>1078</v>
      </c>
      <c r="L9" s="12" t="s">
        <v>1079</v>
      </c>
      <c r="M9" s="12" t="s">
        <v>1080</v>
      </c>
      <c r="O9" s="178" t="s">
        <v>1451</v>
      </c>
      <c r="P9" s="178" t="s">
        <v>2417</v>
      </c>
      <c r="Q9" s="12" t="s">
        <v>1080</v>
      </c>
      <c r="R9" s="179">
        <v>6</v>
      </c>
      <c r="S9" s="178"/>
      <c r="U9" s="12" t="s">
        <v>120</v>
      </c>
      <c r="W9" s="12" t="s">
        <v>1083</v>
      </c>
      <c r="X9" s="12" t="s">
        <v>2361</v>
      </c>
      <c r="Y9" s="178" t="s">
        <v>1318</v>
      </c>
      <c r="Z9" s="12" t="s">
        <v>2418</v>
      </c>
      <c r="AA9" s="178" t="s">
        <v>1214</v>
      </c>
      <c r="AB9" s="12" t="s">
        <v>2419</v>
      </c>
      <c r="AC9" s="178" t="s">
        <v>1616</v>
      </c>
      <c r="AD9" s="12" t="s">
        <v>2419</v>
      </c>
      <c r="AE9" s="12" t="s">
        <v>1075</v>
      </c>
      <c r="AF9" s="12" t="s">
        <v>2420</v>
      </c>
      <c r="AG9" s="12" t="s">
        <v>1092</v>
      </c>
      <c r="AH9" s="12" t="s">
        <v>1092</v>
      </c>
      <c r="AI9" s="12" t="s">
        <v>2421</v>
      </c>
      <c r="AJ9" s="12" t="s">
        <v>2422</v>
      </c>
      <c r="AK9" s="12" t="s">
        <v>1092</v>
      </c>
      <c r="AL9" s="12" t="s">
        <v>1092</v>
      </c>
      <c r="AM9" s="12" t="s">
        <v>1092</v>
      </c>
      <c r="AN9" s="12" t="s">
        <v>1092</v>
      </c>
      <c r="AO9" s="178" t="s">
        <v>1093</v>
      </c>
      <c r="AP9" s="178" t="s">
        <v>1093</v>
      </c>
      <c r="AQ9" s="178" t="s">
        <v>1093</v>
      </c>
      <c r="AR9" s="178" t="s">
        <v>1092</v>
      </c>
      <c r="AS9" s="178" t="s">
        <v>1118</v>
      </c>
      <c r="AT9" s="178" t="s">
        <v>1118</v>
      </c>
      <c r="AU9" s="178" t="s">
        <v>1095</v>
      </c>
      <c r="AV9" s="12" t="s">
        <v>1096</v>
      </c>
      <c r="AW9" s="12" t="s">
        <v>1097</v>
      </c>
      <c r="AX9" s="178" t="s">
        <v>2423</v>
      </c>
      <c r="AY9" s="178" t="s">
        <v>1093</v>
      </c>
      <c r="AZ9" s="12" t="s">
        <v>2424</v>
      </c>
      <c r="BA9" s="12" t="s">
        <v>1098</v>
      </c>
      <c r="BB9" s="12" t="s">
        <v>2424</v>
      </c>
      <c r="BD9" s="12" t="s">
        <v>1092</v>
      </c>
      <c r="BE9" s="12" t="s">
        <v>118</v>
      </c>
      <c r="BF9" s="12" t="s">
        <v>121</v>
      </c>
      <c r="BH9" s="12" t="s">
        <v>120</v>
      </c>
      <c r="BI9" s="179">
        <v>6</v>
      </c>
      <c r="BJ9" s="175">
        <v>42201</v>
      </c>
      <c r="BK9" s="176" t="s">
        <v>119</v>
      </c>
      <c r="BL9" s="177">
        <v>207.04</v>
      </c>
      <c r="BM9" s="12">
        <v>29</v>
      </c>
    </row>
    <row r="10" spans="1:66" x14ac:dyDescent="0.25">
      <c r="A10" s="12" t="s">
        <v>2371</v>
      </c>
      <c r="B10" s="12" t="s">
        <v>792</v>
      </c>
      <c r="C10" s="12" t="s">
        <v>793</v>
      </c>
      <c r="D10" s="12" t="s">
        <v>794</v>
      </c>
      <c r="E10" s="175">
        <v>42198</v>
      </c>
      <c r="F10" s="12" t="s">
        <v>2425</v>
      </c>
      <c r="G10" s="12" t="s">
        <v>1075</v>
      </c>
      <c r="H10" s="12" t="s">
        <v>2426</v>
      </c>
      <c r="I10" s="12" t="s">
        <v>2427</v>
      </c>
      <c r="J10" s="12" t="s">
        <v>2428</v>
      </c>
      <c r="K10" s="12" t="s">
        <v>1103</v>
      </c>
      <c r="L10" s="12" t="s">
        <v>1179</v>
      </c>
      <c r="M10" s="12" t="s">
        <v>1195</v>
      </c>
      <c r="O10" s="178" t="s">
        <v>1396</v>
      </c>
      <c r="P10" s="178" t="s">
        <v>2429</v>
      </c>
      <c r="Q10" s="12" t="s">
        <v>1195</v>
      </c>
      <c r="R10" s="179">
        <v>7</v>
      </c>
      <c r="S10" s="178"/>
      <c r="U10" s="12" t="s">
        <v>120</v>
      </c>
      <c r="W10" s="12" t="s">
        <v>1083</v>
      </c>
      <c r="X10" s="12" t="s">
        <v>2361</v>
      </c>
      <c r="Y10" s="178" t="s">
        <v>2430</v>
      </c>
      <c r="Z10" s="12" t="s">
        <v>2431</v>
      </c>
      <c r="AA10" s="178" t="s">
        <v>2095</v>
      </c>
      <c r="AB10" s="12" t="s">
        <v>2432</v>
      </c>
      <c r="AC10" s="178" t="s">
        <v>1130</v>
      </c>
      <c r="AD10" s="12" t="s">
        <v>2433</v>
      </c>
      <c r="AE10" s="12" t="s">
        <v>1075</v>
      </c>
      <c r="AF10" s="12" t="s">
        <v>2434</v>
      </c>
      <c r="AG10" s="12" t="s">
        <v>2434</v>
      </c>
      <c r="AH10" s="12" t="s">
        <v>1092</v>
      </c>
      <c r="AI10" s="12" t="s">
        <v>1092</v>
      </c>
      <c r="AJ10" s="12" t="s">
        <v>1092</v>
      </c>
      <c r="AK10" s="12" t="s">
        <v>1092</v>
      </c>
      <c r="AL10" s="12" t="s">
        <v>1092</v>
      </c>
      <c r="AM10" s="12" t="s">
        <v>1092</v>
      </c>
      <c r="AN10" s="12" t="s">
        <v>1092</v>
      </c>
      <c r="AO10" s="178" t="s">
        <v>1092</v>
      </c>
      <c r="AP10" s="178" t="s">
        <v>1092</v>
      </c>
      <c r="AQ10" s="178" t="s">
        <v>1093</v>
      </c>
      <c r="AR10" s="178" t="s">
        <v>1092</v>
      </c>
      <c r="AS10" s="178" t="s">
        <v>1155</v>
      </c>
      <c r="AT10" s="178" t="s">
        <v>1094</v>
      </c>
      <c r="AU10" s="178" t="s">
        <v>1095</v>
      </c>
      <c r="AV10" s="12" t="s">
        <v>1096</v>
      </c>
      <c r="AW10" s="12" t="s">
        <v>1097</v>
      </c>
      <c r="AY10" s="178" t="s">
        <v>1092</v>
      </c>
      <c r="AZ10" s="12" t="s">
        <v>2435</v>
      </c>
      <c r="BA10" s="12" t="s">
        <v>1098</v>
      </c>
      <c r="BB10" s="12" t="s">
        <v>1098</v>
      </c>
      <c r="BD10" s="12" t="s">
        <v>1092</v>
      </c>
      <c r="BE10" s="12" t="s">
        <v>118</v>
      </c>
      <c r="BF10" s="12" t="s">
        <v>121</v>
      </c>
      <c r="BH10" s="12" t="s">
        <v>120</v>
      </c>
      <c r="BI10" s="179">
        <v>7</v>
      </c>
      <c r="BJ10" s="175">
        <v>42199</v>
      </c>
      <c r="BK10" s="176" t="s">
        <v>119</v>
      </c>
      <c r="BL10" s="177">
        <v>87.88</v>
      </c>
      <c r="BM10" s="12">
        <v>29</v>
      </c>
    </row>
    <row r="11" spans="1:66" x14ac:dyDescent="0.25">
      <c r="A11" s="12" t="s">
        <v>2371</v>
      </c>
      <c r="B11" s="12" t="s">
        <v>795</v>
      </c>
      <c r="C11" s="12" t="s">
        <v>796</v>
      </c>
      <c r="D11" s="12" t="s">
        <v>797</v>
      </c>
      <c r="E11" s="175">
        <v>42198</v>
      </c>
      <c r="F11" s="12" t="s">
        <v>2436</v>
      </c>
      <c r="G11" s="12" t="s">
        <v>1075</v>
      </c>
      <c r="H11" s="12" t="s">
        <v>2437</v>
      </c>
      <c r="I11" s="12" t="s">
        <v>2438</v>
      </c>
      <c r="J11" s="12" t="s">
        <v>2428</v>
      </c>
      <c r="K11" s="12" t="s">
        <v>1226</v>
      </c>
      <c r="L11" s="12" t="s">
        <v>1227</v>
      </c>
      <c r="M11" s="12" t="s">
        <v>1228</v>
      </c>
      <c r="O11" s="178" t="s">
        <v>1396</v>
      </c>
      <c r="P11" s="178" t="s">
        <v>2439</v>
      </c>
      <c r="Q11" s="12" t="s">
        <v>1228</v>
      </c>
      <c r="R11" s="179">
        <v>8</v>
      </c>
      <c r="S11" s="178"/>
      <c r="U11" s="12" t="s">
        <v>120</v>
      </c>
      <c r="W11" s="12" t="s">
        <v>1083</v>
      </c>
      <c r="X11" s="12" t="s">
        <v>1231</v>
      </c>
      <c r="Y11" s="178" t="s">
        <v>1111</v>
      </c>
      <c r="Z11" s="12" t="s">
        <v>2440</v>
      </c>
      <c r="AA11" s="178" t="s">
        <v>1263</v>
      </c>
      <c r="AB11" s="12" t="s">
        <v>1291</v>
      </c>
      <c r="AC11" s="178" t="s">
        <v>2441</v>
      </c>
      <c r="AD11" s="12" t="s">
        <v>2440</v>
      </c>
      <c r="AE11" s="12" t="s">
        <v>1075</v>
      </c>
      <c r="AF11" s="12" t="s">
        <v>2442</v>
      </c>
      <c r="AG11" s="12" t="s">
        <v>2339</v>
      </c>
      <c r="AH11" s="12" t="s">
        <v>1092</v>
      </c>
      <c r="AI11" s="12" t="s">
        <v>1295</v>
      </c>
      <c r="AJ11" s="12" t="s">
        <v>1296</v>
      </c>
      <c r="AK11" s="12" t="s">
        <v>2443</v>
      </c>
      <c r="AL11" s="12" t="s">
        <v>1092</v>
      </c>
      <c r="AM11" s="12" t="s">
        <v>1092</v>
      </c>
      <c r="AN11" s="12" t="s">
        <v>1092</v>
      </c>
      <c r="AO11" s="178" t="s">
        <v>1092</v>
      </c>
      <c r="AP11" s="178" t="s">
        <v>1092</v>
      </c>
      <c r="AQ11" s="178" t="s">
        <v>1093</v>
      </c>
      <c r="AR11" s="178" t="s">
        <v>1092</v>
      </c>
      <c r="AS11" s="178" t="s">
        <v>1155</v>
      </c>
      <c r="AT11" s="178" t="s">
        <v>1094</v>
      </c>
      <c r="AU11" s="178" t="s">
        <v>1095</v>
      </c>
      <c r="AV11" s="12" t="s">
        <v>1096</v>
      </c>
      <c r="AW11" s="12" t="s">
        <v>1097</v>
      </c>
      <c r="AY11" s="178" t="s">
        <v>1092</v>
      </c>
      <c r="AZ11" s="12" t="s">
        <v>2444</v>
      </c>
      <c r="BA11" s="12" t="s">
        <v>1098</v>
      </c>
      <c r="BB11" s="12" t="s">
        <v>1098</v>
      </c>
      <c r="BD11" s="12" t="s">
        <v>1092</v>
      </c>
      <c r="BE11" s="12" t="s">
        <v>118</v>
      </c>
      <c r="BF11" s="12" t="s">
        <v>121</v>
      </c>
      <c r="BH11" s="12" t="s">
        <v>120</v>
      </c>
      <c r="BI11" s="179">
        <v>8</v>
      </c>
      <c r="BJ11" s="175">
        <v>42199</v>
      </c>
      <c r="BK11" s="176" t="s">
        <v>119</v>
      </c>
      <c r="BL11" s="177">
        <v>150.96</v>
      </c>
      <c r="BM11" s="12">
        <v>29</v>
      </c>
    </row>
    <row r="12" spans="1:66" x14ac:dyDescent="0.25">
      <c r="A12" s="12" t="s">
        <v>2445</v>
      </c>
      <c r="B12" s="12" t="s">
        <v>798</v>
      </c>
      <c r="C12" s="12" t="s">
        <v>799</v>
      </c>
      <c r="D12" s="12" t="s">
        <v>800</v>
      </c>
      <c r="E12" s="175">
        <v>42198</v>
      </c>
      <c r="F12" s="12" t="s">
        <v>2446</v>
      </c>
      <c r="G12" s="12" t="s">
        <v>1075</v>
      </c>
      <c r="H12" s="12" t="s">
        <v>2447</v>
      </c>
      <c r="I12" s="12" t="s">
        <v>2448</v>
      </c>
      <c r="J12" s="12" t="s">
        <v>2449</v>
      </c>
      <c r="K12" s="12" t="s">
        <v>1123</v>
      </c>
      <c r="L12" s="12" t="s">
        <v>1124</v>
      </c>
      <c r="M12" s="12" t="s">
        <v>1125</v>
      </c>
      <c r="O12" s="178" t="s">
        <v>1126</v>
      </c>
      <c r="P12" s="178" t="s">
        <v>2450</v>
      </c>
      <c r="Q12" s="12" t="s">
        <v>1125</v>
      </c>
      <c r="R12" s="179">
        <v>9</v>
      </c>
      <c r="S12" s="178"/>
      <c r="U12" s="12" t="s">
        <v>120</v>
      </c>
      <c r="W12" s="12" t="s">
        <v>1083</v>
      </c>
      <c r="X12" s="12" t="s">
        <v>1519</v>
      </c>
      <c r="Y12" s="178" t="s">
        <v>2451</v>
      </c>
      <c r="Z12" s="12" t="s">
        <v>2452</v>
      </c>
      <c r="AA12" s="178" t="s">
        <v>1436</v>
      </c>
      <c r="AB12" s="12" t="s">
        <v>2452</v>
      </c>
      <c r="AC12" s="178" t="s">
        <v>1730</v>
      </c>
      <c r="AD12" s="12" t="s">
        <v>2452</v>
      </c>
      <c r="AE12" s="12" t="s">
        <v>1075</v>
      </c>
      <c r="AF12" s="12" t="s">
        <v>2453</v>
      </c>
      <c r="AG12" s="12" t="s">
        <v>1092</v>
      </c>
      <c r="AH12" s="12" t="s">
        <v>1092</v>
      </c>
      <c r="AI12" s="12" t="s">
        <v>2454</v>
      </c>
      <c r="AJ12" s="12" t="s">
        <v>2455</v>
      </c>
      <c r="AK12" s="12" t="s">
        <v>1092</v>
      </c>
      <c r="AL12" s="12" t="s">
        <v>1092</v>
      </c>
      <c r="AM12" s="12" t="s">
        <v>1092</v>
      </c>
      <c r="AN12" s="12" t="s">
        <v>1092</v>
      </c>
      <c r="AO12" s="178" t="s">
        <v>1093</v>
      </c>
      <c r="AP12" s="178" t="s">
        <v>1093</v>
      </c>
      <c r="AQ12" s="178" t="s">
        <v>1093</v>
      </c>
      <c r="AR12" s="178" t="s">
        <v>1092</v>
      </c>
      <c r="AS12" s="178" t="s">
        <v>1118</v>
      </c>
      <c r="AT12" s="178" t="s">
        <v>1118</v>
      </c>
      <c r="AU12" s="178" t="s">
        <v>1095</v>
      </c>
      <c r="AV12" s="12" t="s">
        <v>1096</v>
      </c>
      <c r="AW12" s="12" t="s">
        <v>1097</v>
      </c>
      <c r="AY12" s="178" t="s">
        <v>1092</v>
      </c>
      <c r="AZ12" s="12" t="s">
        <v>2456</v>
      </c>
      <c r="BA12" s="12" t="s">
        <v>1098</v>
      </c>
      <c r="BB12" s="12" t="s">
        <v>1098</v>
      </c>
      <c r="BD12" s="12" t="s">
        <v>1092</v>
      </c>
      <c r="BE12" s="12" t="s">
        <v>118</v>
      </c>
      <c r="BF12" s="12" t="s">
        <v>121</v>
      </c>
      <c r="BH12" s="12" t="s">
        <v>120</v>
      </c>
      <c r="BI12" s="179">
        <v>9</v>
      </c>
      <c r="BJ12" s="175">
        <v>42212</v>
      </c>
      <c r="BK12" s="176" t="s">
        <v>82</v>
      </c>
      <c r="BL12" s="12"/>
    </row>
    <row r="13" spans="1:66" x14ac:dyDescent="0.25">
      <c r="A13" s="12" t="s">
        <v>2445</v>
      </c>
      <c r="B13" s="12" t="s">
        <v>801</v>
      </c>
      <c r="C13" s="12" t="s">
        <v>802</v>
      </c>
      <c r="D13" s="12" t="s">
        <v>803</v>
      </c>
      <c r="E13" s="175">
        <v>42198</v>
      </c>
      <c r="F13" s="12" t="s">
        <v>2457</v>
      </c>
      <c r="G13" s="12" t="s">
        <v>1075</v>
      </c>
      <c r="H13" s="12" t="s">
        <v>2458</v>
      </c>
      <c r="I13" s="12" t="s">
        <v>2459</v>
      </c>
      <c r="J13" s="12" t="s">
        <v>2460</v>
      </c>
      <c r="K13" s="12" t="s">
        <v>1103</v>
      </c>
      <c r="L13" s="12" t="s">
        <v>1124</v>
      </c>
      <c r="M13" s="12" t="s">
        <v>1105</v>
      </c>
      <c r="O13" s="178" t="s">
        <v>1275</v>
      </c>
      <c r="P13" s="178" t="s">
        <v>2461</v>
      </c>
      <c r="Q13" s="12" t="s">
        <v>1105</v>
      </c>
      <c r="R13" s="179">
        <v>10</v>
      </c>
      <c r="S13" s="178"/>
      <c r="U13" s="12" t="s">
        <v>120</v>
      </c>
      <c r="W13" s="12" t="s">
        <v>1083</v>
      </c>
      <c r="X13" s="12" t="s">
        <v>1084</v>
      </c>
      <c r="Y13" s="178" t="s">
        <v>1629</v>
      </c>
      <c r="Z13" s="12" t="s">
        <v>2462</v>
      </c>
      <c r="AA13" s="178" t="s">
        <v>1730</v>
      </c>
      <c r="AB13" s="12" t="s">
        <v>2463</v>
      </c>
      <c r="AC13" s="178" t="s">
        <v>2464</v>
      </c>
      <c r="AD13" s="12" t="s">
        <v>2465</v>
      </c>
      <c r="AE13" s="12" t="s">
        <v>1075</v>
      </c>
      <c r="AF13" s="12" t="s">
        <v>2466</v>
      </c>
      <c r="AG13" s="12" t="s">
        <v>1092</v>
      </c>
      <c r="AH13" s="12" t="s">
        <v>1092</v>
      </c>
      <c r="AI13" s="12" t="s">
        <v>2467</v>
      </c>
      <c r="AJ13" s="12" t="s">
        <v>2468</v>
      </c>
      <c r="AK13" s="12" t="s">
        <v>2469</v>
      </c>
      <c r="AL13" s="12" t="s">
        <v>1092</v>
      </c>
      <c r="AM13" s="12" t="s">
        <v>1092</v>
      </c>
      <c r="AN13" s="12" t="s">
        <v>1092</v>
      </c>
      <c r="AO13" s="178" t="s">
        <v>1093</v>
      </c>
      <c r="AP13" s="178" t="s">
        <v>1093</v>
      </c>
      <c r="AQ13" s="178" t="s">
        <v>1093</v>
      </c>
      <c r="AR13" s="178" t="s">
        <v>1093</v>
      </c>
      <c r="AS13" s="178" t="s">
        <v>1118</v>
      </c>
      <c r="AT13" s="178" t="s">
        <v>1118</v>
      </c>
      <c r="AU13" s="178" t="s">
        <v>1118</v>
      </c>
      <c r="AV13" s="12" t="s">
        <v>1096</v>
      </c>
      <c r="AW13" s="12" t="s">
        <v>1097</v>
      </c>
      <c r="AY13" s="178" t="s">
        <v>1092</v>
      </c>
      <c r="AZ13" s="12" t="s">
        <v>2470</v>
      </c>
      <c r="BA13" s="12" t="s">
        <v>2471</v>
      </c>
      <c r="BB13" s="12" t="s">
        <v>1098</v>
      </c>
      <c r="BD13" s="12" t="s">
        <v>1092</v>
      </c>
      <c r="BE13" s="12" t="s">
        <v>118</v>
      </c>
      <c r="BF13" s="12" t="s">
        <v>121</v>
      </c>
      <c r="BH13" s="12" t="s">
        <v>120</v>
      </c>
      <c r="BI13" s="179">
        <v>10</v>
      </c>
      <c r="BJ13" s="175">
        <v>42209</v>
      </c>
      <c r="BK13" s="176" t="s">
        <v>82</v>
      </c>
      <c r="BL13" s="12"/>
      <c r="BM13" s="12">
        <v>30</v>
      </c>
    </row>
    <row r="14" spans="1:66" x14ac:dyDescent="0.25">
      <c r="A14" s="12" t="s">
        <v>2445</v>
      </c>
      <c r="B14" s="12" t="s">
        <v>804</v>
      </c>
      <c r="C14" s="12" t="s">
        <v>805</v>
      </c>
      <c r="D14" s="12" t="s">
        <v>806</v>
      </c>
      <c r="E14" s="175">
        <v>42198</v>
      </c>
      <c r="F14" s="12" t="s">
        <v>2012</v>
      </c>
      <c r="G14" s="12" t="s">
        <v>1075</v>
      </c>
      <c r="H14" s="12" t="s">
        <v>2472</v>
      </c>
      <c r="I14" s="12" t="s">
        <v>2473</v>
      </c>
      <c r="K14" s="12" t="s">
        <v>1078</v>
      </c>
      <c r="L14" s="12" t="s">
        <v>1079</v>
      </c>
      <c r="M14" s="12" t="s">
        <v>1080</v>
      </c>
      <c r="O14" s="178" t="s">
        <v>1163</v>
      </c>
      <c r="P14" s="178" t="s">
        <v>2474</v>
      </c>
      <c r="Q14" s="12" t="s">
        <v>1080</v>
      </c>
      <c r="R14" s="179">
        <v>11</v>
      </c>
      <c r="S14" s="178"/>
      <c r="U14" s="12" t="s">
        <v>120</v>
      </c>
      <c r="W14" s="12" t="s">
        <v>1083</v>
      </c>
      <c r="X14" s="12" t="s">
        <v>1144</v>
      </c>
      <c r="Y14" s="178" t="s">
        <v>1590</v>
      </c>
      <c r="Z14" s="12" t="s">
        <v>1088</v>
      </c>
      <c r="AA14" s="178" t="s">
        <v>1590</v>
      </c>
      <c r="AB14" s="12" t="s">
        <v>2475</v>
      </c>
      <c r="AD14" s="12" t="s">
        <v>1185</v>
      </c>
      <c r="AE14" s="12" t="s">
        <v>1075</v>
      </c>
      <c r="AF14" s="12" t="s">
        <v>2476</v>
      </c>
      <c r="AG14" s="12" t="s">
        <v>1092</v>
      </c>
      <c r="AH14" s="12" t="s">
        <v>1092</v>
      </c>
      <c r="AI14" s="12" t="s">
        <v>2477</v>
      </c>
      <c r="AJ14" s="12" t="s">
        <v>2478</v>
      </c>
      <c r="AK14" s="12" t="s">
        <v>2479</v>
      </c>
      <c r="AL14" s="12" t="s">
        <v>1092</v>
      </c>
      <c r="AM14" s="12" t="s">
        <v>1092</v>
      </c>
      <c r="AN14" s="12" t="s">
        <v>1092</v>
      </c>
      <c r="AO14" s="178" t="s">
        <v>1093</v>
      </c>
      <c r="AP14" s="178" t="s">
        <v>1093</v>
      </c>
      <c r="AQ14" s="178" t="s">
        <v>1093</v>
      </c>
      <c r="AR14" s="178" t="s">
        <v>1092</v>
      </c>
      <c r="AS14" s="178" t="s">
        <v>1118</v>
      </c>
      <c r="AT14" s="178" t="s">
        <v>1118</v>
      </c>
      <c r="AU14" s="178" t="s">
        <v>1095</v>
      </c>
      <c r="AV14" s="12" t="s">
        <v>1096</v>
      </c>
      <c r="AW14" s="12" t="s">
        <v>1097</v>
      </c>
      <c r="AY14" s="178" t="s">
        <v>1092</v>
      </c>
      <c r="AZ14" s="12" t="s">
        <v>2480</v>
      </c>
      <c r="BA14" s="12" t="s">
        <v>1098</v>
      </c>
      <c r="BB14" s="12" t="s">
        <v>1098</v>
      </c>
      <c r="BD14" s="12" t="s">
        <v>1092</v>
      </c>
      <c r="BE14" s="12" t="s">
        <v>118</v>
      </c>
      <c r="BF14" s="12" t="s">
        <v>121</v>
      </c>
      <c r="BH14" s="12" t="s">
        <v>120</v>
      </c>
      <c r="BI14" s="179">
        <v>11</v>
      </c>
      <c r="BJ14" s="175">
        <v>42209</v>
      </c>
      <c r="BK14" s="176" t="s">
        <v>82</v>
      </c>
      <c r="BL14" s="12"/>
      <c r="BM14" s="12">
        <v>30</v>
      </c>
    </row>
    <row r="15" spans="1:66" x14ac:dyDescent="0.25">
      <c r="A15" s="12" t="s">
        <v>2445</v>
      </c>
      <c r="B15" s="12" t="s">
        <v>807</v>
      </c>
      <c r="C15" s="12" t="s">
        <v>808</v>
      </c>
      <c r="D15" s="12" t="s">
        <v>809</v>
      </c>
      <c r="E15" s="175">
        <v>42198</v>
      </c>
      <c r="F15" s="12" t="s">
        <v>2012</v>
      </c>
      <c r="G15" s="12" t="s">
        <v>1075</v>
      </c>
      <c r="H15" s="12" t="s">
        <v>2481</v>
      </c>
      <c r="I15" s="12" t="s">
        <v>2482</v>
      </c>
      <c r="K15" s="12" t="s">
        <v>1078</v>
      </c>
      <c r="L15" s="12" t="s">
        <v>1079</v>
      </c>
      <c r="M15" s="12" t="s">
        <v>1342</v>
      </c>
      <c r="O15" s="178" t="s">
        <v>1181</v>
      </c>
      <c r="P15" s="178" t="s">
        <v>2483</v>
      </c>
      <c r="Q15" s="12" t="s">
        <v>1342</v>
      </c>
      <c r="R15" s="179">
        <v>12</v>
      </c>
      <c r="S15" s="178"/>
      <c r="U15" s="12" t="s">
        <v>120</v>
      </c>
      <c r="W15" s="12" t="s">
        <v>1083</v>
      </c>
      <c r="X15" s="12" t="s">
        <v>1144</v>
      </c>
      <c r="Y15" s="178" t="s">
        <v>2328</v>
      </c>
      <c r="Z15" s="12" t="s">
        <v>2484</v>
      </c>
      <c r="AB15" s="12" t="s">
        <v>1185</v>
      </c>
      <c r="AD15" s="12" t="s">
        <v>1185</v>
      </c>
      <c r="AE15" s="12" t="s">
        <v>1075</v>
      </c>
      <c r="AF15" s="12" t="s">
        <v>2485</v>
      </c>
      <c r="AG15" s="12" t="s">
        <v>1092</v>
      </c>
      <c r="AH15" s="12" t="s">
        <v>1092</v>
      </c>
      <c r="AI15" s="12" t="s">
        <v>2486</v>
      </c>
      <c r="AJ15" s="12" t="s">
        <v>2487</v>
      </c>
      <c r="AK15" s="12" t="s">
        <v>2488</v>
      </c>
      <c r="AL15" s="12" t="s">
        <v>1092</v>
      </c>
      <c r="AM15" s="12" t="s">
        <v>1092</v>
      </c>
      <c r="AN15" s="12" t="s">
        <v>1092</v>
      </c>
      <c r="AO15" s="178" t="s">
        <v>1093</v>
      </c>
      <c r="AP15" s="178" t="s">
        <v>1093</v>
      </c>
      <c r="AQ15" s="178" t="s">
        <v>1093</v>
      </c>
      <c r="AR15" s="178" t="s">
        <v>1093</v>
      </c>
      <c r="AS15" s="178" t="s">
        <v>1118</v>
      </c>
      <c r="AT15" s="178" t="s">
        <v>1118</v>
      </c>
      <c r="AU15" s="178" t="s">
        <v>1118</v>
      </c>
      <c r="AV15" s="12" t="s">
        <v>1096</v>
      </c>
      <c r="AW15" s="12" t="s">
        <v>1097</v>
      </c>
      <c r="AY15" s="178" t="s">
        <v>1092</v>
      </c>
      <c r="AZ15" s="12" t="s">
        <v>2489</v>
      </c>
      <c r="BA15" s="12" t="s">
        <v>1098</v>
      </c>
      <c r="BB15" s="12" t="s">
        <v>1098</v>
      </c>
      <c r="BD15" s="12" t="s">
        <v>1092</v>
      </c>
      <c r="BE15" s="12" t="s">
        <v>118</v>
      </c>
      <c r="BF15" s="12" t="s">
        <v>121</v>
      </c>
      <c r="BH15" s="12" t="s">
        <v>120</v>
      </c>
      <c r="BI15" s="179">
        <v>12</v>
      </c>
      <c r="BJ15" s="175">
        <v>42212</v>
      </c>
      <c r="BK15" s="176" t="s">
        <v>82</v>
      </c>
      <c r="BL15" s="12"/>
    </row>
    <row r="16" spans="1:66" x14ac:dyDescent="0.25">
      <c r="A16" s="12" t="s">
        <v>2445</v>
      </c>
      <c r="B16" s="12" t="s">
        <v>810</v>
      </c>
      <c r="C16" s="12" t="s">
        <v>811</v>
      </c>
      <c r="D16" s="12" t="s">
        <v>812</v>
      </c>
      <c r="E16" s="175">
        <v>42198</v>
      </c>
      <c r="F16" s="12" t="s">
        <v>2490</v>
      </c>
      <c r="G16" s="12" t="s">
        <v>1075</v>
      </c>
      <c r="H16" s="12" t="s">
        <v>2491</v>
      </c>
      <c r="I16" s="12" t="s">
        <v>2492</v>
      </c>
      <c r="K16" s="12" t="s">
        <v>1123</v>
      </c>
      <c r="L16" s="12" t="s">
        <v>1124</v>
      </c>
      <c r="M16" s="12" t="s">
        <v>1125</v>
      </c>
      <c r="O16" s="178" t="s">
        <v>1245</v>
      </c>
      <c r="P16" s="178" t="s">
        <v>2493</v>
      </c>
      <c r="Q16" s="12" t="s">
        <v>1125</v>
      </c>
      <c r="R16" s="179">
        <v>13</v>
      </c>
      <c r="S16" s="178"/>
      <c r="U16" s="12" t="s">
        <v>120</v>
      </c>
      <c r="W16" s="12" t="s">
        <v>1083</v>
      </c>
      <c r="X16" s="12" t="s">
        <v>1144</v>
      </c>
      <c r="Y16" s="178" t="s">
        <v>1234</v>
      </c>
      <c r="Z16" s="12" t="s">
        <v>2494</v>
      </c>
      <c r="AA16" s="178" t="s">
        <v>1965</v>
      </c>
      <c r="AB16" s="12" t="s">
        <v>2495</v>
      </c>
      <c r="AC16" s="178" t="s">
        <v>1531</v>
      </c>
      <c r="AD16" s="12" t="s">
        <v>2496</v>
      </c>
      <c r="AE16" s="12" t="s">
        <v>1075</v>
      </c>
      <c r="AF16" s="12" t="s">
        <v>2497</v>
      </c>
      <c r="AG16" s="12" t="s">
        <v>1092</v>
      </c>
      <c r="AH16" s="12" t="s">
        <v>1092</v>
      </c>
      <c r="AI16" s="12" t="s">
        <v>2498</v>
      </c>
      <c r="AJ16" s="12" t="s">
        <v>2499</v>
      </c>
      <c r="AK16" s="12" t="s">
        <v>2500</v>
      </c>
      <c r="AL16" s="12" t="s">
        <v>1092</v>
      </c>
      <c r="AM16" s="12" t="s">
        <v>1092</v>
      </c>
      <c r="AN16" s="12" t="s">
        <v>1092</v>
      </c>
      <c r="AO16" s="178" t="s">
        <v>1093</v>
      </c>
      <c r="AP16" s="178" t="s">
        <v>1092</v>
      </c>
      <c r="AQ16" s="178" t="s">
        <v>1093</v>
      </c>
      <c r="AR16" s="178" t="s">
        <v>1093</v>
      </c>
      <c r="AS16" s="178" t="s">
        <v>1118</v>
      </c>
      <c r="AT16" s="178" t="s">
        <v>1118</v>
      </c>
      <c r="AU16" s="178" t="s">
        <v>1118</v>
      </c>
      <c r="AV16" s="12" t="s">
        <v>1096</v>
      </c>
      <c r="AW16" s="12" t="s">
        <v>1097</v>
      </c>
      <c r="AX16" s="178" t="s">
        <v>2501</v>
      </c>
      <c r="AY16" s="178" t="s">
        <v>1093</v>
      </c>
      <c r="AZ16" s="12" t="s">
        <v>2502</v>
      </c>
      <c r="BA16" s="12" t="s">
        <v>1098</v>
      </c>
      <c r="BB16" s="12" t="s">
        <v>2503</v>
      </c>
      <c r="BD16" s="12" t="s">
        <v>1092</v>
      </c>
      <c r="BE16" s="12" t="s">
        <v>118</v>
      </c>
      <c r="BF16" s="12" t="s">
        <v>121</v>
      </c>
      <c r="BH16" s="12" t="s">
        <v>120</v>
      </c>
      <c r="BI16" s="179">
        <v>13</v>
      </c>
      <c r="BJ16" s="175">
        <v>42210</v>
      </c>
      <c r="BK16" s="176" t="s">
        <v>82</v>
      </c>
      <c r="BL16" s="12"/>
      <c r="BM16" s="12">
        <v>30</v>
      </c>
    </row>
    <row r="17" spans="1:65" x14ac:dyDescent="0.25">
      <c r="A17" s="12" t="s">
        <v>2445</v>
      </c>
      <c r="B17" s="12" t="s">
        <v>813</v>
      </c>
      <c r="C17" s="12" t="s">
        <v>814</v>
      </c>
      <c r="D17" s="12" t="s">
        <v>815</v>
      </c>
      <c r="E17" s="175">
        <v>42198</v>
      </c>
      <c r="F17" s="12" t="s">
        <v>2504</v>
      </c>
      <c r="G17" s="12" t="s">
        <v>1075</v>
      </c>
      <c r="H17" s="12" t="s">
        <v>2505</v>
      </c>
      <c r="I17" s="12" t="s">
        <v>2506</v>
      </c>
      <c r="J17" s="12" t="s">
        <v>2507</v>
      </c>
      <c r="K17" s="12" t="s">
        <v>1103</v>
      </c>
      <c r="L17" s="12" t="s">
        <v>1124</v>
      </c>
      <c r="M17" s="12" t="s">
        <v>1125</v>
      </c>
      <c r="O17" s="178" t="s">
        <v>2508</v>
      </c>
      <c r="P17" s="178" t="s">
        <v>2509</v>
      </c>
      <c r="Q17" s="12" t="s">
        <v>1125</v>
      </c>
      <c r="R17" s="179">
        <v>14</v>
      </c>
      <c r="S17" s="178"/>
      <c r="U17" s="12" t="s">
        <v>120</v>
      </c>
      <c r="W17" s="12" t="s">
        <v>1083</v>
      </c>
      <c r="X17" s="12" t="s">
        <v>1918</v>
      </c>
      <c r="Y17" s="178" t="s">
        <v>1538</v>
      </c>
      <c r="Z17" s="12" t="s">
        <v>2510</v>
      </c>
      <c r="AA17" s="178" t="s">
        <v>1979</v>
      </c>
      <c r="AB17" s="12" t="s">
        <v>2511</v>
      </c>
      <c r="AC17" s="178" t="s">
        <v>1402</v>
      </c>
      <c r="AD17" s="12" t="s">
        <v>2512</v>
      </c>
      <c r="AE17" s="12" t="s">
        <v>1075</v>
      </c>
      <c r="AF17" s="12" t="s">
        <v>2513</v>
      </c>
      <c r="AG17" s="12" t="s">
        <v>1092</v>
      </c>
      <c r="AH17" s="12" t="s">
        <v>1092</v>
      </c>
      <c r="AI17" s="12" t="s">
        <v>2514</v>
      </c>
      <c r="AJ17" s="12" t="s">
        <v>2515</v>
      </c>
      <c r="AK17" s="12" t="s">
        <v>1092</v>
      </c>
      <c r="AL17" s="12" t="s">
        <v>1092</v>
      </c>
      <c r="AM17" s="12" t="s">
        <v>1092</v>
      </c>
      <c r="AN17" s="12" t="s">
        <v>1092</v>
      </c>
      <c r="AO17" s="178" t="s">
        <v>1093</v>
      </c>
      <c r="AP17" s="178" t="s">
        <v>1093</v>
      </c>
      <c r="AQ17" s="178" t="s">
        <v>1093</v>
      </c>
      <c r="AR17" s="178" t="s">
        <v>1093</v>
      </c>
      <c r="AS17" s="178" t="s">
        <v>1118</v>
      </c>
      <c r="AT17" s="178" t="s">
        <v>1118</v>
      </c>
      <c r="AU17" s="178" t="s">
        <v>1118</v>
      </c>
      <c r="AV17" s="12" t="s">
        <v>1096</v>
      </c>
      <c r="AW17" s="12" t="s">
        <v>1097</v>
      </c>
      <c r="AY17" s="178" t="s">
        <v>1092</v>
      </c>
      <c r="AZ17" s="12" t="s">
        <v>2516</v>
      </c>
      <c r="BA17" s="12" t="s">
        <v>1098</v>
      </c>
      <c r="BB17" s="12" t="s">
        <v>1098</v>
      </c>
      <c r="BD17" s="12" t="s">
        <v>1092</v>
      </c>
      <c r="BE17" s="12" t="s">
        <v>118</v>
      </c>
      <c r="BF17" s="12" t="s">
        <v>121</v>
      </c>
      <c r="BH17" s="12" t="s">
        <v>120</v>
      </c>
      <c r="BI17" s="179">
        <v>14</v>
      </c>
      <c r="BJ17" s="175">
        <v>42207</v>
      </c>
      <c r="BK17" s="176" t="s">
        <v>119</v>
      </c>
      <c r="BL17" s="177">
        <v>644.34</v>
      </c>
      <c r="BM17" s="12">
        <v>30</v>
      </c>
    </row>
    <row r="18" spans="1:65" x14ac:dyDescent="0.25">
      <c r="A18" s="12" t="s">
        <v>2445</v>
      </c>
      <c r="B18" s="12" t="s">
        <v>816</v>
      </c>
      <c r="C18" s="12" t="s">
        <v>817</v>
      </c>
      <c r="D18" s="12" t="s">
        <v>818</v>
      </c>
      <c r="E18" s="175">
        <v>42198</v>
      </c>
      <c r="F18" s="12" t="s">
        <v>2517</v>
      </c>
      <c r="G18" s="12" t="s">
        <v>1075</v>
      </c>
      <c r="H18" s="12" t="s">
        <v>2518</v>
      </c>
      <c r="I18" s="12" t="s">
        <v>2519</v>
      </c>
      <c r="J18" s="12" t="s">
        <v>2520</v>
      </c>
      <c r="K18" s="12" t="s">
        <v>1123</v>
      </c>
      <c r="L18" s="12" t="s">
        <v>1124</v>
      </c>
      <c r="M18" s="12" t="s">
        <v>1125</v>
      </c>
      <c r="O18" s="178" t="s">
        <v>1434</v>
      </c>
      <c r="P18" s="178" t="s">
        <v>2521</v>
      </c>
      <c r="Q18" s="12" t="s">
        <v>1125</v>
      </c>
      <c r="R18" s="179">
        <v>15</v>
      </c>
      <c r="S18" s="178"/>
      <c r="U18" s="12" t="s">
        <v>120</v>
      </c>
      <c r="W18" s="12" t="s">
        <v>1083</v>
      </c>
      <c r="X18" s="12" t="s">
        <v>1918</v>
      </c>
      <c r="Y18" s="178" t="s">
        <v>1985</v>
      </c>
      <c r="Z18" s="12" t="s">
        <v>2522</v>
      </c>
      <c r="AA18" s="178" t="s">
        <v>1408</v>
      </c>
      <c r="AB18" s="12" t="s">
        <v>2523</v>
      </c>
      <c r="AC18" s="178" t="s">
        <v>1089</v>
      </c>
      <c r="AD18" s="12" t="s">
        <v>1088</v>
      </c>
      <c r="AE18" s="12" t="s">
        <v>1075</v>
      </c>
      <c r="AF18" s="12" t="s">
        <v>2524</v>
      </c>
      <c r="AG18" s="12" t="s">
        <v>1092</v>
      </c>
      <c r="AH18" s="12" t="s">
        <v>1092</v>
      </c>
      <c r="AI18" s="12" t="s">
        <v>2525</v>
      </c>
      <c r="AJ18" s="12" t="s">
        <v>2526</v>
      </c>
      <c r="AK18" s="12" t="s">
        <v>1092</v>
      </c>
      <c r="AL18" s="12" t="s">
        <v>1092</v>
      </c>
      <c r="AM18" s="12" t="s">
        <v>1092</v>
      </c>
      <c r="AN18" s="12" t="s">
        <v>1092</v>
      </c>
      <c r="AO18" s="178" t="s">
        <v>1093</v>
      </c>
      <c r="AP18" s="178" t="s">
        <v>1093</v>
      </c>
      <c r="AQ18" s="178" t="s">
        <v>1093</v>
      </c>
      <c r="AR18" s="178" t="s">
        <v>1092</v>
      </c>
      <c r="AS18" s="178" t="s">
        <v>1118</v>
      </c>
      <c r="AT18" s="178" t="s">
        <v>1118</v>
      </c>
      <c r="AU18" s="178" t="s">
        <v>1095</v>
      </c>
      <c r="AV18" s="12" t="s">
        <v>1096</v>
      </c>
      <c r="AW18" s="12" t="s">
        <v>1097</v>
      </c>
      <c r="AY18" s="178" t="s">
        <v>1092</v>
      </c>
      <c r="AZ18" s="12" t="s">
        <v>2527</v>
      </c>
      <c r="BA18" s="12" t="s">
        <v>1098</v>
      </c>
      <c r="BB18" s="12" t="s">
        <v>1098</v>
      </c>
      <c r="BC18" s="178" t="s">
        <v>1205</v>
      </c>
      <c r="BD18" s="12" t="s">
        <v>1092</v>
      </c>
      <c r="BE18" s="12" t="s">
        <v>118</v>
      </c>
      <c r="BF18" s="12" t="s">
        <v>121</v>
      </c>
      <c r="BH18" s="12" t="s">
        <v>120</v>
      </c>
      <c r="BI18" s="179">
        <v>15</v>
      </c>
      <c r="BJ18" s="175">
        <v>42210</v>
      </c>
      <c r="BK18" s="176" t="s">
        <v>82</v>
      </c>
      <c r="BL18" s="12"/>
      <c r="BM18" s="12">
        <v>30</v>
      </c>
    </row>
    <row r="19" spans="1:65" x14ac:dyDescent="0.25">
      <c r="A19" s="12" t="s">
        <v>2445</v>
      </c>
      <c r="B19" s="12" t="s">
        <v>819</v>
      </c>
      <c r="C19" s="12" t="s">
        <v>820</v>
      </c>
      <c r="D19" s="12" t="s">
        <v>821</v>
      </c>
      <c r="E19" s="175">
        <v>42198</v>
      </c>
      <c r="F19" s="12" t="s">
        <v>1815</v>
      </c>
      <c r="G19" s="12" t="s">
        <v>1075</v>
      </c>
      <c r="H19" s="12" t="s">
        <v>2528</v>
      </c>
      <c r="I19" s="12" t="s">
        <v>1935</v>
      </c>
      <c r="J19" s="12" t="s">
        <v>1462</v>
      </c>
      <c r="K19" s="12" t="s">
        <v>1103</v>
      </c>
      <c r="L19" s="12" t="s">
        <v>1104</v>
      </c>
      <c r="M19" s="12" t="s">
        <v>1105</v>
      </c>
      <c r="O19" s="178" t="s">
        <v>1181</v>
      </c>
      <c r="P19" s="178" t="s">
        <v>2529</v>
      </c>
      <c r="Q19" s="12" t="s">
        <v>1105</v>
      </c>
      <c r="R19" s="179">
        <v>16</v>
      </c>
      <c r="S19" s="178"/>
      <c r="U19" s="12" t="s">
        <v>120</v>
      </c>
      <c r="W19" s="12" t="s">
        <v>1083</v>
      </c>
      <c r="X19" s="12" t="s">
        <v>1084</v>
      </c>
      <c r="Y19" s="178" t="s">
        <v>2451</v>
      </c>
      <c r="Z19" s="12" t="s">
        <v>1348</v>
      </c>
      <c r="AA19" s="178" t="s">
        <v>1851</v>
      </c>
      <c r="AB19" s="12" t="s">
        <v>2530</v>
      </c>
      <c r="AC19" s="178" t="s">
        <v>1438</v>
      </c>
      <c r="AD19" s="12" t="s">
        <v>2531</v>
      </c>
      <c r="AE19" s="12" t="s">
        <v>1075</v>
      </c>
      <c r="AF19" s="12" t="s">
        <v>2532</v>
      </c>
      <c r="AG19" s="12" t="s">
        <v>1092</v>
      </c>
      <c r="AH19" s="12" t="s">
        <v>2533</v>
      </c>
      <c r="AI19" s="12" t="s">
        <v>2534</v>
      </c>
      <c r="AJ19" s="12" t="s">
        <v>2535</v>
      </c>
      <c r="AK19" s="12" t="s">
        <v>2536</v>
      </c>
      <c r="AL19" s="12" t="s">
        <v>1092</v>
      </c>
      <c r="AM19" s="12" t="s">
        <v>1092</v>
      </c>
      <c r="AN19" s="12" t="s">
        <v>1092</v>
      </c>
      <c r="AO19" s="178" t="s">
        <v>1093</v>
      </c>
      <c r="AP19" s="178" t="s">
        <v>1093</v>
      </c>
      <c r="AQ19" s="178" t="s">
        <v>1093</v>
      </c>
      <c r="AR19" s="178" t="s">
        <v>1093</v>
      </c>
      <c r="AS19" s="178" t="s">
        <v>1118</v>
      </c>
      <c r="AT19" s="178" t="s">
        <v>1118</v>
      </c>
      <c r="AU19" s="178" t="s">
        <v>1094</v>
      </c>
      <c r="AV19" s="12" t="s">
        <v>1096</v>
      </c>
      <c r="AW19" s="12" t="s">
        <v>1097</v>
      </c>
      <c r="AY19" s="178" t="s">
        <v>1092</v>
      </c>
      <c r="AZ19" s="12" t="s">
        <v>2537</v>
      </c>
      <c r="BA19" s="12" t="s">
        <v>1098</v>
      </c>
      <c r="BB19" s="12" t="s">
        <v>1098</v>
      </c>
      <c r="BD19" s="12" t="s">
        <v>1092</v>
      </c>
      <c r="BE19" s="12" t="s">
        <v>118</v>
      </c>
      <c r="BF19" s="12" t="s">
        <v>121</v>
      </c>
      <c r="BH19" s="12" t="s">
        <v>120</v>
      </c>
      <c r="BI19" s="179">
        <v>16</v>
      </c>
      <c r="BJ19" s="175">
        <v>42209</v>
      </c>
      <c r="BK19" s="176" t="s">
        <v>82</v>
      </c>
      <c r="BL19" s="12"/>
      <c r="BM19" s="12">
        <v>30</v>
      </c>
    </row>
    <row r="20" spans="1:65" x14ac:dyDescent="0.25">
      <c r="A20" s="12" t="s">
        <v>2445</v>
      </c>
      <c r="B20" s="12" t="s">
        <v>822</v>
      </c>
      <c r="C20" s="12" t="s">
        <v>823</v>
      </c>
      <c r="D20" s="12" t="s">
        <v>824</v>
      </c>
      <c r="E20" s="175">
        <v>42198</v>
      </c>
      <c r="F20" s="12" t="s">
        <v>2538</v>
      </c>
      <c r="G20" s="12" t="s">
        <v>1075</v>
      </c>
      <c r="H20" s="12" t="s">
        <v>2539</v>
      </c>
      <c r="I20" s="12" t="s">
        <v>2540</v>
      </c>
      <c r="J20" s="12" t="s">
        <v>2541</v>
      </c>
      <c r="K20" s="12" t="s">
        <v>1103</v>
      </c>
      <c r="L20" s="12" t="s">
        <v>1124</v>
      </c>
      <c r="M20" s="12" t="s">
        <v>1125</v>
      </c>
      <c r="O20" s="178" t="s">
        <v>1163</v>
      </c>
      <c r="P20" s="178" t="s">
        <v>2542</v>
      </c>
      <c r="Q20" s="12" t="s">
        <v>1125</v>
      </c>
      <c r="R20" s="179">
        <v>17</v>
      </c>
      <c r="S20" s="178"/>
      <c r="U20" s="12" t="s">
        <v>120</v>
      </c>
      <c r="W20" s="12" t="s">
        <v>1083</v>
      </c>
      <c r="X20" s="12" t="s">
        <v>1918</v>
      </c>
      <c r="Y20" s="178" t="s">
        <v>1147</v>
      </c>
      <c r="Z20" s="12" t="s">
        <v>2543</v>
      </c>
      <c r="AA20" s="178" t="s">
        <v>1326</v>
      </c>
      <c r="AB20" s="12" t="s">
        <v>2544</v>
      </c>
      <c r="AC20" s="178" t="s">
        <v>1468</v>
      </c>
      <c r="AD20" s="12" t="s">
        <v>2545</v>
      </c>
      <c r="AE20" s="12" t="s">
        <v>1075</v>
      </c>
      <c r="AF20" s="12" t="s">
        <v>2546</v>
      </c>
      <c r="AG20" s="12" t="s">
        <v>1092</v>
      </c>
      <c r="AH20" s="12" t="s">
        <v>1092</v>
      </c>
      <c r="AI20" s="12" t="s">
        <v>2547</v>
      </c>
      <c r="AJ20" s="12" t="s">
        <v>2548</v>
      </c>
      <c r="AK20" s="12" t="s">
        <v>1092</v>
      </c>
      <c r="AL20" s="12" t="s">
        <v>1092</v>
      </c>
      <c r="AM20" s="12" t="s">
        <v>1092</v>
      </c>
      <c r="AN20" s="12" t="s">
        <v>1092</v>
      </c>
      <c r="AO20" s="178" t="s">
        <v>1093</v>
      </c>
      <c r="AP20" s="178" t="s">
        <v>1093</v>
      </c>
      <c r="AQ20" s="178" t="s">
        <v>1093</v>
      </c>
      <c r="AR20" s="178" t="s">
        <v>1093</v>
      </c>
      <c r="AS20" s="178" t="s">
        <v>1118</v>
      </c>
      <c r="AT20" s="178" t="s">
        <v>1118</v>
      </c>
      <c r="AU20" s="178" t="s">
        <v>1094</v>
      </c>
      <c r="AV20" s="12" t="s">
        <v>1096</v>
      </c>
      <c r="AW20" s="12" t="s">
        <v>1097</v>
      </c>
      <c r="AY20" s="178" t="s">
        <v>1092</v>
      </c>
      <c r="AZ20" s="12" t="s">
        <v>2549</v>
      </c>
      <c r="BA20" s="12" t="s">
        <v>1098</v>
      </c>
      <c r="BB20" s="12" t="s">
        <v>2549</v>
      </c>
      <c r="BD20" s="12" t="s">
        <v>1092</v>
      </c>
      <c r="BE20" s="12" t="s">
        <v>118</v>
      </c>
      <c r="BF20" s="12" t="s">
        <v>121</v>
      </c>
      <c r="BH20" s="12" t="s">
        <v>120</v>
      </c>
      <c r="BI20" s="179">
        <v>17</v>
      </c>
      <c r="BJ20" s="175">
        <v>42209</v>
      </c>
      <c r="BK20" s="176" t="s">
        <v>82</v>
      </c>
      <c r="BL20" s="12"/>
      <c r="BM20" s="12">
        <v>30</v>
      </c>
    </row>
    <row r="21" spans="1:65" x14ac:dyDescent="0.25">
      <c r="A21" s="12" t="s">
        <v>2445</v>
      </c>
      <c r="B21" s="12" t="s">
        <v>825</v>
      </c>
      <c r="C21" s="12" t="s">
        <v>826</v>
      </c>
      <c r="D21" s="12" t="s">
        <v>827</v>
      </c>
      <c r="E21" s="175">
        <v>42198</v>
      </c>
      <c r="F21" s="12" t="s">
        <v>2550</v>
      </c>
      <c r="G21" s="12" t="s">
        <v>1075</v>
      </c>
      <c r="H21" s="12" t="s">
        <v>1076</v>
      </c>
      <c r="I21" s="12" t="s">
        <v>2551</v>
      </c>
      <c r="J21" s="12" t="s">
        <v>1162</v>
      </c>
      <c r="K21" s="12" t="s">
        <v>1123</v>
      </c>
      <c r="L21" s="12" t="s">
        <v>1124</v>
      </c>
      <c r="M21" s="12" t="s">
        <v>1105</v>
      </c>
      <c r="O21" s="178" t="s">
        <v>1451</v>
      </c>
      <c r="P21" s="178" t="s">
        <v>2552</v>
      </c>
      <c r="Q21" s="12" t="s">
        <v>1105</v>
      </c>
      <c r="R21" s="179">
        <v>18</v>
      </c>
      <c r="S21" s="178"/>
      <c r="U21" s="12" t="s">
        <v>120</v>
      </c>
      <c r="W21" s="12" t="s">
        <v>1083</v>
      </c>
      <c r="X21" s="12" t="s">
        <v>1231</v>
      </c>
      <c r="Y21" s="178" t="s">
        <v>1370</v>
      </c>
      <c r="Z21" s="12" t="s">
        <v>2553</v>
      </c>
      <c r="AA21" s="178" t="s">
        <v>1278</v>
      </c>
      <c r="AB21" s="12" t="s">
        <v>2554</v>
      </c>
      <c r="AC21" s="178" t="s">
        <v>1505</v>
      </c>
      <c r="AD21" s="12" t="s">
        <v>2554</v>
      </c>
      <c r="AE21" s="12" t="s">
        <v>1075</v>
      </c>
      <c r="AF21" s="12" t="s">
        <v>2555</v>
      </c>
      <c r="AG21" s="12" t="s">
        <v>1092</v>
      </c>
      <c r="AH21" s="12" t="s">
        <v>1092</v>
      </c>
      <c r="AI21" s="12" t="s">
        <v>2556</v>
      </c>
      <c r="AJ21" s="12" t="s">
        <v>2557</v>
      </c>
      <c r="AK21" s="12" t="s">
        <v>2558</v>
      </c>
      <c r="AL21" s="12" t="s">
        <v>1092</v>
      </c>
      <c r="AM21" s="12" t="s">
        <v>1092</v>
      </c>
      <c r="AN21" s="12" t="s">
        <v>1092</v>
      </c>
      <c r="AO21" s="178" t="s">
        <v>1093</v>
      </c>
      <c r="AP21" s="178" t="s">
        <v>1093</v>
      </c>
      <c r="AQ21" s="178" t="s">
        <v>1092</v>
      </c>
      <c r="AR21" s="178" t="s">
        <v>1092</v>
      </c>
      <c r="AS21" s="178" t="s">
        <v>1118</v>
      </c>
      <c r="AT21" s="178" t="s">
        <v>1095</v>
      </c>
      <c r="AU21" s="178" t="s">
        <v>1095</v>
      </c>
      <c r="AV21" s="12" t="s">
        <v>1096</v>
      </c>
      <c r="AW21" s="12" t="s">
        <v>1097</v>
      </c>
      <c r="AY21" s="178" t="s">
        <v>1092</v>
      </c>
      <c r="AZ21" s="12" t="s">
        <v>1098</v>
      </c>
      <c r="BA21" s="12" t="s">
        <v>1098</v>
      </c>
      <c r="BB21" s="12" t="s">
        <v>2559</v>
      </c>
      <c r="BD21" s="12" t="s">
        <v>1092</v>
      </c>
      <c r="BE21" s="12" t="s">
        <v>118</v>
      </c>
      <c r="BF21" s="12" t="s">
        <v>121</v>
      </c>
      <c r="BH21" s="12" t="s">
        <v>120</v>
      </c>
      <c r="BI21" s="179">
        <v>18</v>
      </c>
      <c r="BJ21" s="175">
        <v>42209</v>
      </c>
      <c r="BK21" s="176" t="s">
        <v>82</v>
      </c>
      <c r="BL21" s="12"/>
      <c r="BM21" s="12">
        <v>30</v>
      </c>
    </row>
    <row r="22" spans="1:65" x14ac:dyDescent="0.25">
      <c r="A22" s="12" t="s">
        <v>2445</v>
      </c>
      <c r="B22" s="12" t="s">
        <v>828</v>
      </c>
      <c r="C22" s="12" t="s">
        <v>829</v>
      </c>
      <c r="D22" s="12" t="s">
        <v>830</v>
      </c>
      <c r="E22" s="175">
        <v>42198</v>
      </c>
      <c r="F22" s="12" t="s">
        <v>1633</v>
      </c>
      <c r="G22" s="12" t="s">
        <v>1075</v>
      </c>
      <c r="H22" s="12" t="s">
        <v>2560</v>
      </c>
      <c r="I22" s="12" t="s">
        <v>2244</v>
      </c>
      <c r="J22" s="12" t="s">
        <v>2561</v>
      </c>
      <c r="K22" s="12" t="s">
        <v>1103</v>
      </c>
      <c r="L22" s="12" t="s">
        <v>1179</v>
      </c>
      <c r="M22" s="12" t="s">
        <v>1195</v>
      </c>
      <c r="O22" s="178" t="s">
        <v>1936</v>
      </c>
      <c r="P22" s="178" t="s">
        <v>2562</v>
      </c>
      <c r="Q22" s="12" t="s">
        <v>1195</v>
      </c>
      <c r="R22" s="179">
        <v>19</v>
      </c>
      <c r="S22" s="178"/>
      <c r="U22" s="12" t="s">
        <v>120</v>
      </c>
      <c r="W22" s="12" t="s">
        <v>1083</v>
      </c>
      <c r="X22" s="12" t="s">
        <v>1519</v>
      </c>
      <c r="Y22" s="178" t="s">
        <v>1478</v>
      </c>
      <c r="Z22" s="12" t="s">
        <v>2563</v>
      </c>
      <c r="AA22" s="178" t="s">
        <v>1503</v>
      </c>
      <c r="AB22" s="12" t="s">
        <v>2564</v>
      </c>
      <c r="AC22" s="178" t="s">
        <v>1965</v>
      </c>
      <c r="AD22" s="12" t="s">
        <v>2565</v>
      </c>
      <c r="AE22" s="12" t="s">
        <v>1075</v>
      </c>
      <c r="AF22" s="12" t="s">
        <v>2566</v>
      </c>
      <c r="AG22" s="12" t="s">
        <v>1092</v>
      </c>
      <c r="AH22" s="12" t="s">
        <v>1092</v>
      </c>
      <c r="AI22" s="12" t="s">
        <v>2400</v>
      </c>
      <c r="AJ22" s="12" t="s">
        <v>2567</v>
      </c>
      <c r="AK22" s="12" t="s">
        <v>1092</v>
      </c>
      <c r="AL22" s="12" t="s">
        <v>1092</v>
      </c>
      <c r="AM22" s="12" t="s">
        <v>1092</v>
      </c>
      <c r="AN22" s="12" t="s">
        <v>1092</v>
      </c>
      <c r="AO22" s="178" t="s">
        <v>1093</v>
      </c>
      <c r="AP22" s="178" t="s">
        <v>1093</v>
      </c>
      <c r="AQ22" s="178" t="s">
        <v>1092</v>
      </c>
      <c r="AR22" s="178" t="s">
        <v>1092</v>
      </c>
      <c r="AS22" s="178" t="s">
        <v>1118</v>
      </c>
      <c r="AT22" s="178" t="s">
        <v>1095</v>
      </c>
      <c r="AU22" s="178" t="s">
        <v>1095</v>
      </c>
      <c r="AV22" s="12" t="s">
        <v>1096</v>
      </c>
      <c r="AW22" s="12" t="s">
        <v>1097</v>
      </c>
      <c r="AY22" s="178" t="s">
        <v>1092</v>
      </c>
      <c r="AZ22" s="12" t="s">
        <v>2568</v>
      </c>
      <c r="BA22" s="12" t="s">
        <v>1098</v>
      </c>
      <c r="BB22" s="12" t="s">
        <v>1098</v>
      </c>
      <c r="BD22" s="12" t="s">
        <v>1092</v>
      </c>
      <c r="BE22" s="12" t="s">
        <v>118</v>
      </c>
      <c r="BF22" s="12" t="s">
        <v>121</v>
      </c>
      <c r="BH22" s="12" t="s">
        <v>120</v>
      </c>
      <c r="BI22" s="179">
        <v>19</v>
      </c>
      <c r="BJ22" s="175">
        <v>42209</v>
      </c>
      <c r="BK22" s="176" t="s">
        <v>119</v>
      </c>
      <c r="BL22" s="177">
        <v>179.1</v>
      </c>
      <c r="BM22" s="12">
        <v>30</v>
      </c>
    </row>
    <row r="23" spans="1:65" x14ac:dyDescent="0.25">
      <c r="A23" s="12" t="s">
        <v>2445</v>
      </c>
      <c r="B23" s="12" t="s">
        <v>831</v>
      </c>
      <c r="C23" s="12" t="s">
        <v>832</v>
      </c>
      <c r="D23" s="12" t="s">
        <v>833</v>
      </c>
      <c r="E23" s="175">
        <v>42198</v>
      </c>
      <c r="F23" s="12" t="s">
        <v>1263</v>
      </c>
      <c r="G23" s="12" t="s">
        <v>1075</v>
      </c>
      <c r="H23" s="12" t="s">
        <v>2569</v>
      </c>
      <c r="I23" s="12" t="s">
        <v>2570</v>
      </c>
      <c r="J23" s="12" t="s">
        <v>2571</v>
      </c>
      <c r="K23" s="12" t="s">
        <v>1103</v>
      </c>
      <c r="L23" s="12" t="s">
        <v>1179</v>
      </c>
      <c r="M23" s="12" t="s">
        <v>1195</v>
      </c>
      <c r="O23" s="178" t="s">
        <v>1126</v>
      </c>
      <c r="P23" s="178" t="s">
        <v>2572</v>
      </c>
      <c r="Q23" s="12" t="s">
        <v>1195</v>
      </c>
      <c r="R23" s="179">
        <v>20</v>
      </c>
      <c r="S23" s="178"/>
      <c r="U23" s="12" t="s">
        <v>120</v>
      </c>
      <c r="W23" s="12" t="s">
        <v>1083</v>
      </c>
      <c r="X23" s="12" t="s">
        <v>1519</v>
      </c>
      <c r="Y23" s="178" t="s">
        <v>2573</v>
      </c>
      <c r="Z23" s="12" t="s">
        <v>2574</v>
      </c>
      <c r="AA23" s="178" t="s">
        <v>1616</v>
      </c>
      <c r="AB23" s="12" t="s">
        <v>2575</v>
      </c>
      <c r="AD23" s="12" t="s">
        <v>1185</v>
      </c>
      <c r="AE23" s="12" t="s">
        <v>1075</v>
      </c>
      <c r="AF23" s="12" t="s">
        <v>2576</v>
      </c>
      <c r="AG23" s="12" t="s">
        <v>1092</v>
      </c>
      <c r="AH23" s="12" t="s">
        <v>1092</v>
      </c>
      <c r="AI23" s="12" t="s">
        <v>2577</v>
      </c>
      <c r="AJ23" s="12" t="s">
        <v>2578</v>
      </c>
      <c r="AK23" s="12" t="s">
        <v>1092</v>
      </c>
      <c r="AL23" s="12" t="s">
        <v>1092</v>
      </c>
      <c r="AM23" s="12" t="s">
        <v>1092</v>
      </c>
      <c r="AN23" s="12" t="s">
        <v>1092</v>
      </c>
      <c r="AO23" s="178" t="s">
        <v>1093</v>
      </c>
      <c r="AP23" s="178" t="s">
        <v>1093</v>
      </c>
      <c r="AQ23" s="178" t="s">
        <v>1093</v>
      </c>
      <c r="AR23" s="178" t="s">
        <v>1092</v>
      </c>
      <c r="AS23" s="178" t="s">
        <v>1118</v>
      </c>
      <c r="AT23" s="178" t="s">
        <v>1118</v>
      </c>
      <c r="AU23" s="178" t="s">
        <v>1095</v>
      </c>
      <c r="AV23" s="12" t="s">
        <v>1096</v>
      </c>
      <c r="AW23" s="12" t="s">
        <v>1097</v>
      </c>
      <c r="AY23" s="178" t="s">
        <v>1092</v>
      </c>
      <c r="AZ23" s="12" t="s">
        <v>2579</v>
      </c>
      <c r="BA23" s="12" t="s">
        <v>1098</v>
      </c>
      <c r="BB23" s="12" t="s">
        <v>1098</v>
      </c>
      <c r="BD23" s="12" t="s">
        <v>1092</v>
      </c>
      <c r="BE23" s="12" t="s">
        <v>118</v>
      </c>
      <c r="BF23" s="12" t="s">
        <v>121</v>
      </c>
      <c r="BH23" s="12" t="s">
        <v>120</v>
      </c>
      <c r="BI23" s="179">
        <v>20</v>
      </c>
      <c r="BJ23" s="175">
        <v>42210</v>
      </c>
      <c r="BK23" s="176" t="s">
        <v>82</v>
      </c>
      <c r="BL23" s="12"/>
      <c r="BM23" s="12">
        <v>30</v>
      </c>
    </row>
    <row r="24" spans="1:65" x14ac:dyDescent="0.25">
      <c r="A24" s="12" t="s">
        <v>2328</v>
      </c>
      <c r="B24" s="12" t="s">
        <v>834</v>
      </c>
      <c r="C24" s="12" t="s">
        <v>835</v>
      </c>
      <c r="D24" s="12" t="s">
        <v>836</v>
      </c>
      <c r="E24" s="175">
        <v>42198</v>
      </c>
      <c r="F24" s="12" t="s">
        <v>2464</v>
      </c>
      <c r="G24" s="12" t="s">
        <v>1075</v>
      </c>
      <c r="H24" s="12" t="s">
        <v>2580</v>
      </c>
      <c r="I24" s="12" t="s">
        <v>2581</v>
      </c>
      <c r="J24" s="12" t="s">
        <v>2582</v>
      </c>
      <c r="K24" s="12" t="s">
        <v>1078</v>
      </c>
      <c r="L24" s="12" t="s">
        <v>1079</v>
      </c>
      <c r="M24" s="12" t="s">
        <v>1342</v>
      </c>
      <c r="O24" s="178" t="s">
        <v>1106</v>
      </c>
      <c r="P24" s="178" t="s">
        <v>2583</v>
      </c>
      <c r="Q24" s="12" t="s">
        <v>1342</v>
      </c>
      <c r="R24" s="179">
        <v>21</v>
      </c>
      <c r="S24" s="178"/>
      <c r="U24" s="12" t="s">
        <v>120</v>
      </c>
      <c r="W24" s="12" t="s">
        <v>1083</v>
      </c>
      <c r="X24" s="12" t="s">
        <v>1084</v>
      </c>
      <c r="Y24" s="178" t="s">
        <v>1111</v>
      </c>
      <c r="Z24" s="12" t="s">
        <v>2584</v>
      </c>
      <c r="AA24" s="178" t="s">
        <v>1111</v>
      </c>
      <c r="AB24" s="12" t="s">
        <v>2585</v>
      </c>
      <c r="AD24" s="12" t="s">
        <v>1185</v>
      </c>
      <c r="AE24" s="12" t="s">
        <v>1075</v>
      </c>
      <c r="AF24" s="12" t="s">
        <v>2586</v>
      </c>
      <c r="AG24" s="12" t="s">
        <v>1092</v>
      </c>
      <c r="AH24" s="12" t="s">
        <v>1092</v>
      </c>
      <c r="AI24" s="12" t="s">
        <v>2587</v>
      </c>
      <c r="AJ24" s="12" t="s">
        <v>2588</v>
      </c>
      <c r="AK24" s="12" t="s">
        <v>2589</v>
      </c>
      <c r="AL24" s="12" t="s">
        <v>1092</v>
      </c>
      <c r="AM24" s="12" t="s">
        <v>1092</v>
      </c>
      <c r="AN24" s="12" t="s">
        <v>1092</v>
      </c>
      <c r="AO24" s="178" t="s">
        <v>1093</v>
      </c>
      <c r="AP24" s="178" t="s">
        <v>1093</v>
      </c>
      <c r="AQ24" s="178" t="s">
        <v>1093</v>
      </c>
      <c r="AR24" s="178" t="s">
        <v>1092</v>
      </c>
      <c r="AS24" s="178" t="s">
        <v>1118</v>
      </c>
      <c r="AT24" s="178" t="s">
        <v>1118</v>
      </c>
      <c r="AU24" s="178" t="s">
        <v>1095</v>
      </c>
      <c r="AV24" s="12" t="s">
        <v>1096</v>
      </c>
      <c r="AW24" s="12" t="s">
        <v>1097</v>
      </c>
      <c r="AY24" s="178" t="s">
        <v>1092</v>
      </c>
      <c r="AZ24" s="12" t="s">
        <v>2590</v>
      </c>
      <c r="BA24" s="12" t="s">
        <v>1098</v>
      </c>
      <c r="BB24" s="12" t="s">
        <v>1098</v>
      </c>
      <c r="BD24" s="12" t="s">
        <v>1092</v>
      </c>
      <c r="BE24" s="12" t="s">
        <v>118</v>
      </c>
      <c r="BF24" s="12" t="s">
        <v>121</v>
      </c>
      <c r="BH24" s="12" t="s">
        <v>120</v>
      </c>
      <c r="BI24" s="179">
        <v>21</v>
      </c>
      <c r="BJ24" s="175">
        <v>42200</v>
      </c>
      <c r="BK24" s="176" t="s">
        <v>119</v>
      </c>
      <c r="BL24" s="177">
        <v>259.64</v>
      </c>
      <c r="BM24" s="12">
        <v>29</v>
      </c>
    </row>
    <row r="25" spans="1:65" x14ac:dyDescent="0.25">
      <c r="A25" s="12" t="s">
        <v>2328</v>
      </c>
      <c r="B25" s="12" t="s">
        <v>837</v>
      </c>
      <c r="C25" s="12" t="s">
        <v>838</v>
      </c>
      <c r="D25" s="12" t="s">
        <v>839</v>
      </c>
      <c r="E25" s="175">
        <v>42198</v>
      </c>
      <c r="F25" s="12" t="s">
        <v>2591</v>
      </c>
      <c r="G25" s="12" t="s">
        <v>1075</v>
      </c>
      <c r="H25" s="12" t="s">
        <v>2592</v>
      </c>
      <c r="I25" s="12" t="s">
        <v>2593</v>
      </c>
      <c r="K25" s="12" t="s">
        <v>1078</v>
      </c>
      <c r="L25" s="12" t="s">
        <v>1079</v>
      </c>
      <c r="M25" s="12" t="s">
        <v>1080</v>
      </c>
      <c r="O25" s="178" t="s">
        <v>1163</v>
      </c>
      <c r="P25" s="178" t="s">
        <v>2594</v>
      </c>
      <c r="Q25" s="12" t="s">
        <v>1080</v>
      </c>
      <c r="R25" s="179">
        <v>22</v>
      </c>
      <c r="S25" s="178"/>
      <c r="U25" s="12" t="s">
        <v>120</v>
      </c>
      <c r="W25" s="12" t="s">
        <v>1083</v>
      </c>
      <c r="X25" s="12" t="s">
        <v>2335</v>
      </c>
      <c r="Y25" s="178" t="s">
        <v>1438</v>
      </c>
      <c r="Z25" s="12" t="s">
        <v>2595</v>
      </c>
      <c r="AA25" s="178" t="s">
        <v>2348</v>
      </c>
      <c r="AB25" s="12" t="s">
        <v>2596</v>
      </c>
      <c r="AC25" s="178" t="s">
        <v>1817</v>
      </c>
      <c r="AD25" s="12" t="s">
        <v>1360</v>
      </c>
      <c r="AE25" s="12" t="s">
        <v>1075</v>
      </c>
      <c r="AF25" s="12" t="s">
        <v>2597</v>
      </c>
      <c r="AG25" s="12" t="s">
        <v>1092</v>
      </c>
      <c r="AH25" s="12" t="s">
        <v>1092</v>
      </c>
      <c r="AI25" s="12" t="s">
        <v>2598</v>
      </c>
      <c r="AJ25" s="12" t="s">
        <v>2599</v>
      </c>
      <c r="AK25" s="12" t="s">
        <v>1092</v>
      </c>
      <c r="AL25" s="12" t="s">
        <v>1092</v>
      </c>
      <c r="AM25" s="12" t="s">
        <v>1092</v>
      </c>
      <c r="AN25" s="12" t="s">
        <v>1092</v>
      </c>
      <c r="AO25" s="178" t="s">
        <v>1093</v>
      </c>
      <c r="AP25" s="178" t="s">
        <v>1093</v>
      </c>
      <c r="AQ25" s="178" t="s">
        <v>1093</v>
      </c>
      <c r="AR25" s="178" t="s">
        <v>1092</v>
      </c>
      <c r="AS25" s="178" t="s">
        <v>1118</v>
      </c>
      <c r="AT25" s="178" t="s">
        <v>1094</v>
      </c>
      <c r="AU25" s="178" t="s">
        <v>1095</v>
      </c>
      <c r="AV25" s="12" t="s">
        <v>1096</v>
      </c>
      <c r="AW25" s="12" t="s">
        <v>1097</v>
      </c>
      <c r="AY25" s="178" t="s">
        <v>1092</v>
      </c>
      <c r="AZ25" s="12" t="s">
        <v>2600</v>
      </c>
      <c r="BA25" s="12" t="s">
        <v>1098</v>
      </c>
      <c r="BB25" s="12" t="s">
        <v>1098</v>
      </c>
      <c r="BD25" s="12" t="s">
        <v>1092</v>
      </c>
      <c r="BE25" s="12" t="s">
        <v>118</v>
      </c>
      <c r="BF25" s="12" t="s">
        <v>121</v>
      </c>
      <c r="BH25" s="12" t="s">
        <v>120</v>
      </c>
      <c r="BI25" s="179">
        <v>22</v>
      </c>
      <c r="BJ25" s="175">
        <v>42208</v>
      </c>
      <c r="BK25" s="176" t="s">
        <v>82</v>
      </c>
      <c r="BL25" s="12"/>
      <c r="BM25" s="12">
        <v>30</v>
      </c>
    </row>
    <row r="26" spans="1:65" x14ac:dyDescent="0.25">
      <c r="A26" s="12" t="s">
        <v>2328</v>
      </c>
      <c r="B26" s="12" t="s">
        <v>840</v>
      </c>
      <c r="C26" s="12" t="s">
        <v>841</v>
      </c>
      <c r="D26" s="12" t="s">
        <v>842</v>
      </c>
      <c r="E26" s="175">
        <v>42198</v>
      </c>
      <c r="F26" s="12" t="s">
        <v>1939</v>
      </c>
      <c r="G26" s="12" t="s">
        <v>1075</v>
      </c>
      <c r="H26" s="12" t="s">
        <v>2601</v>
      </c>
      <c r="I26" s="12" t="s">
        <v>2602</v>
      </c>
      <c r="K26" s="12" t="s">
        <v>1078</v>
      </c>
      <c r="L26" s="12" t="s">
        <v>1079</v>
      </c>
      <c r="M26" s="12" t="s">
        <v>1342</v>
      </c>
      <c r="O26" s="178" t="s">
        <v>1864</v>
      </c>
      <c r="P26" s="178" t="s">
        <v>2603</v>
      </c>
      <c r="Q26" s="12" t="s">
        <v>1342</v>
      </c>
      <c r="R26" s="179">
        <v>23</v>
      </c>
      <c r="S26" s="178"/>
      <c r="U26" s="12" t="s">
        <v>120</v>
      </c>
      <c r="W26" s="12" t="s">
        <v>1083</v>
      </c>
      <c r="X26" s="12" t="s">
        <v>1977</v>
      </c>
      <c r="Y26" s="178" t="s">
        <v>1424</v>
      </c>
      <c r="Z26" s="12" t="s">
        <v>2604</v>
      </c>
      <c r="AA26" s="178" t="s">
        <v>1661</v>
      </c>
      <c r="AB26" s="12" t="s">
        <v>2604</v>
      </c>
      <c r="AC26" s="178" t="s">
        <v>1314</v>
      </c>
      <c r="AD26" s="12" t="s">
        <v>2605</v>
      </c>
      <c r="AE26" s="12" t="s">
        <v>1075</v>
      </c>
      <c r="AF26" s="12" t="s">
        <v>2606</v>
      </c>
      <c r="AG26" s="12" t="s">
        <v>1092</v>
      </c>
      <c r="AH26" s="12" t="s">
        <v>1092</v>
      </c>
      <c r="AI26" s="12" t="s">
        <v>2607</v>
      </c>
      <c r="AJ26" s="12" t="s">
        <v>2608</v>
      </c>
      <c r="AK26" s="12" t="s">
        <v>1092</v>
      </c>
      <c r="AL26" s="12" t="s">
        <v>1092</v>
      </c>
      <c r="AM26" s="12" t="s">
        <v>1092</v>
      </c>
      <c r="AN26" s="12" t="s">
        <v>1092</v>
      </c>
      <c r="AO26" s="178" t="s">
        <v>1093</v>
      </c>
      <c r="AP26" s="178" t="s">
        <v>1093</v>
      </c>
      <c r="AQ26" s="178" t="s">
        <v>1093</v>
      </c>
      <c r="AR26" s="178" t="s">
        <v>1092</v>
      </c>
      <c r="AS26" s="178" t="s">
        <v>1118</v>
      </c>
      <c r="AT26" s="178" t="s">
        <v>1118</v>
      </c>
      <c r="AU26" s="178" t="s">
        <v>1095</v>
      </c>
      <c r="AV26" s="12" t="s">
        <v>1096</v>
      </c>
      <c r="AW26" s="12" t="s">
        <v>1097</v>
      </c>
      <c r="AY26" s="178" t="s">
        <v>1092</v>
      </c>
      <c r="AZ26" s="12" t="s">
        <v>2609</v>
      </c>
      <c r="BA26" s="12" t="s">
        <v>1098</v>
      </c>
      <c r="BB26" s="12" t="s">
        <v>1098</v>
      </c>
      <c r="BD26" s="12" t="s">
        <v>1092</v>
      </c>
      <c r="BE26" s="12" t="s">
        <v>118</v>
      </c>
      <c r="BF26" s="12" t="s">
        <v>121</v>
      </c>
      <c r="BH26" s="12" t="s">
        <v>120</v>
      </c>
      <c r="BI26" s="179">
        <v>23</v>
      </c>
      <c r="BJ26" s="175">
        <v>42209</v>
      </c>
      <c r="BK26" s="176" t="s">
        <v>82</v>
      </c>
      <c r="BL26" s="12"/>
      <c r="BM26" s="12">
        <v>30</v>
      </c>
    </row>
    <row r="27" spans="1:65" x14ac:dyDescent="0.25">
      <c r="A27" s="12" t="s">
        <v>2328</v>
      </c>
      <c r="B27" s="12" t="s">
        <v>843</v>
      </c>
      <c r="C27" s="12" t="s">
        <v>844</v>
      </c>
      <c r="D27" s="12" t="s">
        <v>845</v>
      </c>
      <c r="E27" s="175">
        <v>42198</v>
      </c>
      <c r="F27" s="12" t="s">
        <v>2610</v>
      </c>
      <c r="G27" s="12" t="s">
        <v>1075</v>
      </c>
      <c r="H27" s="12" t="s">
        <v>2611</v>
      </c>
      <c r="I27" s="12" t="s">
        <v>2612</v>
      </c>
      <c r="J27" s="12" t="s">
        <v>2143</v>
      </c>
      <c r="K27" s="12" t="s">
        <v>1226</v>
      </c>
      <c r="L27" s="12" t="s">
        <v>1227</v>
      </c>
      <c r="M27" s="12" t="s">
        <v>1228</v>
      </c>
      <c r="O27" s="178" t="s">
        <v>1126</v>
      </c>
      <c r="P27" s="178" t="s">
        <v>2613</v>
      </c>
      <c r="Q27" s="12" t="s">
        <v>1228</v>
      </c>
      <c r="R27" s="179">
        <v>24</v>
      </c>
      <c r="S27" s="178"/>
      <c r="U27" s="12" t="s">
        <v>120</v>
      </c>
      <c r="W27" s="12" t="s">
        <v>1083</v>
      </c>
      <c r="X27" s="12" t="s">
        <v>1977</v>
      </c>
      <c r="Y27" s="178" t="s">
        <v>1111</v>
      </c>
      <c r="Z27" s="12" t="s">
        <v>2614</v>
      </c>
      <c r="AA27" s="178" t="s">
        <v>1176</v>
      </c>
      <c r="AB27" s="12" t="s">
        <v>2614</v>
      </c>
      <c r="AC27" s="178" t="s">
        <v>1522</v>
      </c>
      <c r="AD27" s="12" t="s">
        <v>2614</v>
      </c>
      <c r="AE27" s="12" t="s">
        <v>1075</v>
      </c>
      <c r="AF27" s="12" t="s">
        <v>2615</v>
      </c>
      <c r="AG27" s="12" t="s">
        <v>1092</v>
      </c>
      <c r="AH27" s="12" t="s">
        <v>1092</v>
      </c>
      <c r="AI27" s="12" t="s">
        <v>2400</v>
      </c>
      <c r="AJ27" s="12" t="s">
        <v>2616</v>
      </c>
      <c r="AK27" s="12" t="s">
        <v>1092</v>
      </c>
      <c r="AL27" s="12" t="s">
        <v>1092</v>
      </c>
      <c r="AM27" s="12" t="s">
        <v>1092</v>
      </c>
      <c r="AN27" s="12" t="s">
        <v>1092</v>
      </c>
      <c r="AO27" s="178" t="s">
        <v>1093</v>
      </c>
      <c r="AP27" s="178" t="s">
        <v>1093</v>
      </c>
      <c r="AQ27" s="178" t="s">
        <v>1092</v>
      </c>
      <c r="AR27" s="178" t="s">
        <v>1092</v>
      </c>
      <c r="AS27" s="178" t="s">
        <v>1118</v>
      </c>
      <c r="AT27" s="178" t="s">
        <v>1095</v>
      </c>
      <c r="AU27" s="178" t="s">
        <v>1095</v>
      </c>
      <c r="AV27" s="12" t="s">
        <v>1096</v>
      </c>
      <c r="AW27" s="12" t="s">
        <v>1097</v>
      </c>
      <c r="AY27" s="178" t="s">
        <v>1092</v>
      </c>
      <c r="AZ27" s="12" t="s">
        <v>2617</v>
      </c>
      <c r="BA27" s="12" t="s">
        <v>1098</v>
      </c>
      <c r="BB27" s="12" t="s">
        <v>1098</v>
      </c>
      <c r="BD27" s="12" t="s">
        <v>1092</v>
      </c>
      <c r="BE27" s="12" t="s">
        <v>118</v>
      </c>
      <c r="BF27" s="12" t="s">
        <v>121</v>
      </c>
      <c r="BH27" s="12" t="s">
        <v>120</v>
      </c>
      <c r="BI27" s="179">
        <v>24</v>
      </c>
      <c r="BJ27" s="175">
        <v>42209</v>
      </c>
      <c r="BK27" s="176" t="s">
        <v>82</v>
      </c>
      <c r="BL27" s="12"/>
      <c r="BM27" s="12">
        <v>30</v>
      </c>
    </row>
    <row r="28" spans="1:65" x14ac:dyDescent="0.25">
      <c r="A28" s="12" t="s">
        <v>2328</v>
      </c>
      <c r="B28" s="12" t="s">
        <v>846</v>
      </c>
      <c r="C28" s="12" t="s">
        <v>847</v>
      </c>
      <c r="D28" s="12" t="s">
        <v>848</v>
      </c>
      <c r="E28" s="175">
        <v>42198</v>
      </c>
      <c r="F28" s="12" t="s">
        <v>2618</v>
      </c>
      <c r="G28" s="12" t="s">
        <v>1075</v>
      </c>
      <c r="H28" s="12" t="s">
        <v>2619</v>
      </c>
      <c r="I28" s="12" t="s">
        <v>2620</v>
      </c>
      <c r="J28" s="12" t="s">
        <v>1627</v>
      </c>
      <c r="K28" s="12" t="s">
        <v>1226</v>
      </c>
      <c r="L28" s="12" t="s">
        <v>1227</v>
      </c>
      <c r="M28" s="12" t="s">
        <v>1228</v>
      </c>
      <c r="O28" s="178" t="s">
        <v>1727</v>
      </c>
      <c r="P28" s="178" t="s">
        <v>2621</v>
      </c>
      <c r="Q28" s="12" t="s">
        <v>1228</v>
      </c>
      <c r="R28" s="179">
        <v>25</v>
      </c>
      <c r="S28" s="178"/>
      <c r="U28" s="12" t="s">
        <v>120</v>
      </c>
      <c r="W28" s="12" t="s">
        <v>1083</v>
      </c>
      <c r="X28" s="12" t="s">
        <v>1962</v>
      </c>
      <c r="Y28" s="178" t="s">
        <v>1436</v>
      </c>
      <c r="Z28" s="12" t="s">
        <v>2622</v>
      </c>
      <c r="AA28" s="178" t="s">
        <v>1781</v>
      </c>
      <c r="AB28" s="12" t="s">
        <v>2623</v>
      </c>
      <c r="AC28" s="178" t="s">
        <v>2624</v>
      </c>
      <c r="AD28" s="12" t="s">
        <v>2625</v>
      </c>
      <c r="AE28" s="12" t="s">
        <v>1075</v>
      </c>
      <c r="AF28" s="12" t="s">
        <v>2626</v>
      </c>
      <c r="AG28" s="12" t="s">
        <v>1092</v>
      </c>
      <c r="AH28" s="12" t="s">
        <v>1092</v>
      </c>
      <c r="AI28" s="12" t="s">
        <v>2627</v>
      </c>
      <c r="AJ28" s="12" t="s">
        <v>2628</v>
      </c>
      <c r="AK28" s="12" t="s">
        <v>2628</v>
      </c>
      <c r="AL28" s="12" t="s">
        <v>1092</v>
      </c>
      <c r="AM28" s="12" t="s">
        <v>1092</v>
      </c>
      <c r="AN28" s="12" t="s">
        <v>1092</v>
      </c>
      <c r="AO28" s="178" t="s">
        <v>1092</v>
      </c>
      <c r="AP28" s="178" t="s">
        <v>1092</v>
      </c>
      <c r="AQ28" s="178" t="s">
        <v>1093</v>
      </c>
      <c r="AR28" s="178" t="s">
        <v>1092</v>
      </c>
      <c r="AS28" s="178" t="s">
        <v>1155</v>
      </c>
      <c r="AT28" s="178" t="s">
        <v>1118</v>
      </c>
      <c r="AU28" s="178" t="s">
        <v>1095</v>
      </c>
      <c r="AV28" s="12" t="s">
        <v>1096</v>
      </c>
      <c r="AW28" s="12" t="s">
        <v>1097</v>
      </c>
      <c r="AY28" s="178" t="s">
        <v>1092</v>
      </c>
      <c r="AZ28" s="12" t="s">
        <v>2629</v>
      </c>
      <c r="BA28" s="12" t="s">
        <v>1098</v>
      </c>
      <c r="BB28" s="12" t="s">
        <v>1098</v>
      </c>
      <c r="BD28" s="12" t="s">
        <v>1092</v>
      </c>
      <c r="BE28" s="12" t="s">
        <v>118</v>
      </c>
      <c r="BF28" s="12" t="s">
        <v>121</v>
      </c>
      <c r="BH28" s="12" t="s">
        <v>120</v>
      </c>
      <c r="BI28" s="179">
        <v>25</v>
      </c>
      <c r="BJ28" s="175">
        <v>42201</v>
      </c>
      <c r="BK28" s="176" t="s">
        <v>119</v>
      </c>
      <c r="BL28" s="177">
        <v>119.08</v>
      </c>
      <c r="BM28" s="12">
        <v>29</v>
      </c>
    </row>
    <row r="29" spans="1:65" x14ac:dyDescent="0.25">
      <c r="A29" s="12" t="s">
        <v>2328</v>
      </c>
      <c r="B29" s="12" t="s">
        <v>849</v>
      </c>
      <c r="C29" s="12" t="s">
        <v>850</v>
      </c>
      <c r="D29" s="12" t="s">
        <v>851</v>
      </c>
      <c r="E29" s="175">
        <v>42198</v>
      </c>
      <c r="F29" s="12" t="s">
        <v>2217</v>
      </c>
      <c r="G29" s="12" t="s">
        <v>1075</v>
      </c>
      <c r="H29" s="12" t="s">
        <v>2630</v>
      </c>
      <c r="I29" s="12" t="s">
        <v>2631</v>
      </c>
      <c r="J29" s="12" t="s">
        <v>1411</v>
      </c>
      <c r="K29" s="12" t="s">
        <v>1078</v>
      </c>
      <c r="L29" s="12" t="s">
        <v>1079</v>
      </c>
      <c r="M29" s="12" t="s">
        <v>1342</v>
      </c>
      <c r="O29" s="178" t="s">
        <v>1181</v>
      </c>
      <c r="P29" s="178" t="s">
        <v>2632</v>
      </c>
      <c r="Q29" s="12" t="s">
        <v>1342</v>
      </c>
      <c r="R29" s="179">
        <v>26</v>
      </c>
      <c r="S29" s="178"/>
      <c r="U29" s="12" t="s">
        <v>120</v>
      </c>
      <c r="W29" s="12" t="s">
        <v>1083</v>
      </c>
      <c r="X29" s="12" t="s">
        <v>1918</v>
      </c>
      <c r="Y29" s="178" t="s">
        <v>1586</v>
      </c>
      <c r="Z29" s="12" t="s">
        <v>2633</v>
      </c>
      <c r="AA29" s="178" t="s">
        <v>1817</v>
      </c>
      <c r="AB29" s="12" t="s">
        <v>2634</v>
      </c>
      <c r="AC29" s="178" t="s">
        <v>2635</v>
      </c>
      <c r="AD29" s="12" t="s">
        <v>1150</v>
      </c>
      <c r="AE29" s="12" t="s">
        <v>1075</v>
      </c>
      <c r="AF29" s="12" t="s">
        <v>2636</v>
      </c>
      <c r="AG29" s="12" t="s">
        <v>1092</v>
      </c>
      <c r="AH29" s="12" t="s">
        <v>1092</v>
      </c>
      <c r="AI29" s="12" t="s">
        <v>2637</v>
      </c>
      <c r="AJ29" s="12" t="s">
        <v>2638</v>
      </c>
      <c r="AK29" s="12" t="s">
        <v>2639</v>
      </c>
      <c r="AL29" s="12" t="s">
        <v>2640</v>
      </c>
      <c r="AM29" s="12" t="s">
        <v>2641</v>
      </c>
      <c r="AN29" s="12" t="s">
        <v>1092</v>
      </c>
      <c r="AO29" s="178" t="s">
        <v>1093</v>
      </c>
      <c r="AP29" s="178" t="s">
        <v>1093</v>
      </c>
      <c r="AQ29" s="178" t="s">
        <v>1093</v>
      </c>
      <c r="AR29" s="178" t="s">
        <v>1092</v>
      </c>
      <c r="AS29" s="178" t="s">
        <v>1118</v>
      </c>
      <c r="AT29" s="178" t="s">
        <v>1118</v>
      </c>
      <c r="AU29" s="178" t="s">
        <v>1095</v>
      </c>
      <c r="AV29" s="12" t="s">
        <v>1096</v>
      </c>
      <c r="AW29" s="12" t="s">
        <v>1097</v>
      </c>
      <c r="AY29" s="178" t="s">
        <v>1092</v>
      </c>
      <c r="AZ29" s="12" t="s">
        <v>2642</v>
      </c>
      <c r="BA29" s="12" t="s">
        <v>1098</v>
      </c>
      <c r="BB29" s="12" t="s">
        <v>1098</v>
      </c>
      <c r="BD29" s="12" t="s">
        <v>1092</v>
      </c>
      <c r="BE29" s="12" t="s">
        <v>118</v>
      </c>
      <c r="BF29" s="12" t="s">
        <v>121</v>
      </c>
      <c r="BH29" s="12" t="s">
        <v>120</v>
      </c>
      <c r="BI29" s="179">
        <v>26</v>
      </c>
      <c r="BJ29" s="175">
        <v>42209</v>
      </c>
      <c r="BK29" s="176" t="s">
        <v>82</v>
      </c>
      <c r="BL29" s="12"/>
      <c r="BM29" s="12">
        <v>30</v>
      </c>
    </row>
    <row r="30" spans="1:65" x14ac:dyDescent="0.25">
      <c r="A30" s="12" t="s">
        <v>2328</v>
      </c>
      <c r="B30" s="12" t="s">
        <v>852</v>
      </c>
      <c r="C30" s="12" t="s">
        <v>853</v>
      </c>
      <c r="D30" s="12" t="s">
        <v>854</v>
      </c>
      <c r="E30" s="175">
        <v>42198</v>
      </c>
      <c r="F30" s="12" t="s">
        <v>2643</v>
      </c>
      <c r="G30" s="12" t="s">
        <v>1075</v>
      </c>
      <c r="H30" s="12" t="s">
        <v>2644</v>
      </c>
      <c r="I30" s="12" t="s">
        <v>2645</v>
      </c>
      <c r="K30" s="12" t="s">
        <v>1226</v>
      </c>
      <c r="L30" s="12" t="s">
        <v>1227</v>
      </c>
      <c r="M30" s="12" t="s">
        <v>1228</v>
      </c>
      <c r="O30" s="178" t="s">
        <v>1727</v>
      </c>
      <c r="P30" s="178" t="s">
        <v>2646</v>
      </c>
      <c r="Q30" s="12" t="s">
        <v>1228</v>
      </c>
      <c r="R30" s="179">
        <v>27</v>
      </c>
      <c r="S30" s="178"/>
      <c r="U30" s="12" t="s">
        <v>120</v>
      </c>
      <c r="W30" s="12" t="s">
        <v>1083</v>
      </c>
      <c r="X30" s="12" t="s">
        <v>2335</v>
      </c>
      <c r="Y30" s="178" t="s">
        <v>2348</v>
      </c>
      <c r="Z30" s="12" t="s">
        <v>2647</v>
      </c>
      <c r="AA30" s="178" t="s">
        <v>1505</v>
      </c>
      <c r="AB30" s="12" t="s">
        <v>2648</v>
      </c>
      <c r="AC30" s="178" t="s">
        <v>1757</v>
      </c>
      <c r="AD30" s="12" t="s">
        <v>2649</v>
      </c>
      <c r="AE30" s="12" t="s">
        <v>1075</v>
      </c>
      <c r="AF30" s="12" t="s">
        <v>2650</v>
      </c>
      <c r="AG30" s="12" t="s">
        <v>1092</v>
      </c>
      <c r="AH30" s="12" t="s">
        <v>1092</v>
      </c>
      <c r="AI30" s="12" t="s">
        <v>2651</v>
      </c>
      <c r="AJ30" s="12" t="s">
        <v>2651</v>
      </c>
      <c r="AK30" s="12" t="s">
        <v>1092</v>
      </c>
      <c r="AL30" s="12" t="s">
        <v>1092</v>
      </c>
      <c r="AM30" s="12" t="s">
        <v>1092</v>
      </c>
      <c r="AN30" s="12" t="s">
        <v>1092</v>
      </c>
      <c r="AO30" s="178" t="s">
        <v>1092</v>
      </c>
      <c r="AP30" s="178" t="s">
        <v>1092</v>
      </c>
      <c r="AQ30" s="178" t="s">
        <v>1093</v>
      </c>
      <c r="AR30" s="178" t="s">
        <v>1092</v>
      </c>
      <c r="AS30" s="178" t="s">
        <v>1155</v>
      </c>
      <c r="AT30" s="178" t="s">
        <v>1118</v>
      </c>
      <c r="AU30" s="178" t="s">
        <v>1095</v>
      </c>
      <c r="AV30" s="12" t="s">
        <v>1096</v>
      </c>
      <c r="AW30" s="12" t="s">
        <v>1097</v>
      </c>
      <c r="AY30" s="178" t="s">
        <v>1092</v>
      </c>
      <c r="AZ30" s="12" t="s">
        <v>2652</v>
      </c>
      <c r="BA30" s="12" t="s">
        <v>1098</v>
      </c>
      <c r="BB30" s="12" t="s">
        <v>1098</v>
      </c>
      <c r="BD30" s="12" t="s">
        <v>1092</v>
      </c>
      <c r="BE30" s="12" t="s">
        <v>118</v>
      </c>
      <c r="BF30" s="12" t="s">
        <v>121</v>
      </c>
      <c r="BH30" s="12" t="s">
        <v>120</v>
      </c>
      <c r="BI30" s="179">
        <v>27</v>
      </c>
      <c r="BJ30" s="175">
        <v>42209</v>
      </c>
      <c r="BK30" s="176" t="s">
        <v>82</v>
      </c>
      <c r="BL30" s="12"/>
      <c r="BM30" s="12">
        <v>30</v>
      </c>
    </row>
    <row r="31" spans="1:65" x14ac:dyDescent="0.25">
      <c r="A31" s="12" t="s">
        <v>2653</v>
      </c>
      <c r="B31" s="12" t="s">
        <v>855</v>
      </c>
      <c r="C31" s="12" t="s">
        <v>856</v>
      </c>
      <c r="D31" s="12" t="s">
        <v>857</v>
      </c>
      <c r="E31" s="175">
        <v>42198</v>
      </c>
      <c r="F31" s="12" t="s">
        <v>2654</v>
      </c>
      <c r="G31" s="12" t="s">
        <v>1075</v>
      </c>
      <c r="H31" s="12" t="s">
        <v>2655</v>
      </c>
      <c r="I31" s="12" t="s">
        <v>2656</v>
      </c>
      <c r="K31" s="12" t="s">
        <v>1123</v>
      </c>
      <c r="L31" s="12" t="s">
        <v>1124</v>
      </c>
      <c r="M31" s="12" t="s">
        <v>1105</v>
      </c>
      <c r="O31" s="178" t="s">
        <v>1275</v>
      </c>
      <c r="P31" s="178" t="s">
        <v>2657</v>
      </c>
      <c r="Q31" s="12" t="s">
        <v>1105</v>
      </c>
      <c r="R31" s="179">
        <v>28</v>
      </c>
      <c r="S31" s="178"/>
      <c r="U31" s="12" t="s">
        <v>120</v>
      </c>
      <c r="W31" s="12" t="s">
        <v>1083</v>
      </c>
      <c r="X31" s="12" t="s">
        <v>1962</v>
      </c>
      <c r="Y31" s="178" t="s">
        <v>1616</v>
      </c>
      <c r="Z31" s="12" t="s">
        <v>2658</v>
      </c>
      <c r="AA31" s="178" t="s">
        <v>1965</v>
      </c>
      <c r="AB31" s="12" t="s">
        <v>2659</v>
      </c>
      <c r="AC31" s="178" t="s">
        <v>1531</v>
      </c>
      <c r="AD31" s="12" t="s">
        <v>2660</v>
      </c>
      <c r="AE31" s="12" t="s">
        <v>1075</v>
      </c>
      <c r="AF31" s="12" t="s">
        <v>2661</v>
      </c>
      <c r="AG31" s="12" t="s">
        <v>1092</v>
      </c>
      <c r="AH31" s="12" t="s">
        <v>1092</v>
      </c>
      <c r="AI31" s="12" t="s">
        <v>2662</v>
      </c>
      <c r="AJ31" s="12" t="s">
        <v>2663</v>
      </c>
      <c r="AK31" s="12" t="s">
        <v>2664</v>
      </c>
      <c r="AL31" s="12" t="s">
        <v>1092</v>
      </c>
      <c r="AM31" s="12" t="s">
        <v>1092</v>
      </c>
      <c r="AN31" s="12" t="s">
        <v>1092</v>
      </c>
      <c r="AO31" s="178" t="s">
        <v>1093</v>
      </c>
      <c r="AP31" s="178" t="s">
        <v>1093</v>
      </c>
      <c r="AQ31" s="178" t="s">
        <v>1093</v>
      </c>
      <c r="AR31" s="178" t="s">
        <v>1093</v>
      </c>
      <c r="AS31" s="178" t="s">
        <v>1118</v>
      </c>
      <c r="AT31" s="178" t="s">
        <v>1118</v>
      </c>
      <c r="AU31" s="178" t="s">
        <v>1094</v>
      </c>
      <c r="AV31" s="12" t="s">
        <v>1096</v>
      </c>
      <c r="AW31" s="12" t="s">
        <v>1097</v>
      </c>
      <c r="AY31" s="178" t="s">
        <v>1092</v>
      </c>
      <c r="AZ31" s="12" t="s">
        <v>2665</v>
      </c>
      <c r="BA31" s="12" t="s">
        <v>1098</v>
      </c>
      <c r="BB31" s="12" t="s">
        <v>2666</v>
      </c>
      <c r="BD31" s="12" t="s">
        <v>1092</v>
      </c>
      <c r="BE31" s="12" t="s">
        <v>118</v>
      </c>
      <c r="BF31" s="12" t="s">
        <v>121</v>
      </c>
      <c r="BH31" s="12" t="s">
        <v>120</v>
      </c>
      <c r="BI31" s="179">
        <v>28</v>
      </c>
      <c r="BJ31" s="175">
        <v>42209</v>
      </c>
      <c r="BK31" s="176" t="s">
        <v>82</v>
      </c>
      <c r="BL31" s="12"/>
      <c r="BM31" s="12">
        <v>30</v>
      </c>
    </row>
    <row r="32" spans="1:65" x14ac:dyDescent="0.25">
      <c r="A32" s="12" t="s">
        <v>2653</v>
      </c>
      <c r="B32" s="12" t="s">
        <v>858</v>
      </c>
      <c r="C32" s="12" t="s">
        <v>859</v>
      </c>
      <c r="D32" s="12" t="s">
        <v>860</v>
      </c>
      <c r="E32" s="175">
        <v>42198</v>
      </c>
      <c r="F32" s="12" t="s">
        <v>2667</v>
      </c>
      <c r="G32" s="12" t="s">
        <v>1075</v>
      </c>
      <c r="H32" s="12" t="s">
        <v>2668</v>
      </c>
      <c r="I32" s="12" t="s">
        <v>2669</v>
      </c>
      <c r="J32" s="12" t="s">
        <v>2670</v>
      </c>
      <c r="K32" s="12" t="s">
        <v>1078</v>
      </c>
      <c r="L32" s="12" t="s">
        <v>1079</v>
      </c>
      <c r="M32" s="12" t="s">
        <v>1080</v>
      </c>
      <c r="Q32" s="12" t="s">
        <v>1080</v>
      </c>
      <c r="R32" s="179">
        <v>29</v>
      </c>
      <c r="S32" s="178"/>
      <c r="U32" s="12" t="s">
        <v>120</v>
      </c>
      <c r="W32" s="12" t="s">
        <v>1083</v>
      </c>
      <c r="X32" s="12" t="s">
        <v>2671</v>
      </c>
      <c r="Y32" s="178" t="s">
        <v>1898</v>
      </c>
      <c r="Z32" s="12" t="s">
        <v>1552</v>
      </c>
      <c r="AA32" s="178" t="s">
        <v>1149</v>
      </c>
      <c r="AB32" s="12" t="s">
        <v>2672</v>
      </c>
      <c r="AC32" s="178" t="s">
        <v>1698</v>
      </c>
      <c r="AD32" s="12" t="s">
        <v>2673</v>
      </c>
      <c r="AE32" s="12" t="s">
        <v>1075</v>
      </c>
      <c r="AF32" s="12" t="s">
        <v>2674</v>
      </c>
      <c r="AG32" s="12" t="s">
        <v>1092</v>
      </c>
      <c r="AH32" s="12" t="s">
        <v>1092</v>
      </c>
      <c r="AI32" s="12" t="s">
        <v>2675</v>
      </c>
      <c r="AJ32" s="12" t="s">
        <v>2676</v>
      </c>
      <c r="AK32" s="12" t="s">
        <v>1092</v>
      </c>
      <c r="AL32" s="12" t="s">
        <v>1092</v>
      </c>
      <c r="AM32" s="12" t="s">
        <v>1092</v>
      </c>
      <c r="AN32" s="12" t="s">
        <v>1092</v>
      </c>
      <c r="AO32" s="178" t="s">
        <v>1093</v>
      </c>
      <c r="AP32" s="178" t="s">
        <v>1092</v>
      </c>
      <c r="AQ32" s="178" t="s">
        <v>1092</v>
      </c>
      <c r="AR32" s="178" t="s">
        <v>1092</v>
      </c>
      <c r="AS32" s="178" t="s">
        <v>1118</v>
      </c>
      <c r="AT32" s="178" t="s">
        <v>1095</v>
      </c>
      <c r="AU32" s="178" t="s">
        <v>1095</v>
      </c>
      <c r="AV32" s="12" t="s">
        <v>1096</v>
      </c>
      <c r="AW32" s="12" t="s">
        <v>1097</v>
      </c>
      <c r="AY32" s="178" t="s">
        <v>1092</v>
      </c>
      <c r="AZ32" s="12" t="s">
        <v>2677</v>
      </c>
      <c r="BA32" s="12" t="s">
        <v>1098</v>
      </c>
      <c r="BB32" s="12" t="s">
        <v>1098</v>
      </c>
      <c r="BD32" s="12" t="s">
        <v>1092</v>
      </c>
      <c r="BE32" s="12" t="s">
        <v>118</v>
      </c>
      <c r="BF32" s="12" t="s">
        <v>121</v>
      </c>
      <c r="BH32" s="12" t="s">
        <v>120</v>
      </c>
      <c r="BI32" s="179">
        <v>29</v>
      </c>
      <c r="BJ32" s="175">
        <v>42212</v>
      </c>
      <c r="BK32" s="176" t="s">
        <v>82</v>
      </c>
      <c r="BL32" s="12"/>
    </row>
    <row r="33" spans="1:65" x14ac:dyDescent="0.25">
      <c r="A33" s="12" t="s">
        <v>2653</v>
      </c>
      <c r="B33" s="12" t="s">
        <v>861</v>
      </c>
      <c r="C33" s="12" t="s">
        <v>862</v>
      </c>
      <c r="D33" s="12" t="s">
        <v>863</v>
      </c>
      <c r="E33" s="175">
        <v>42198</v>
      </c>
      <c r="F33" s="12" t="s">
        <v>1756</v>
      </c>
      <c r="G33" s="12" t="s">
        <v>1075</v>
      </c>
      <c r="H33" s="12" t="s">
        <v>2678</v>
      </c>
      <c r="I33" s="12" t="s">
        <v>2679</v>
      </c>
      <c r="J33" s="12" t="s">
        <v>1259</v>
      </c>
      <c r="K33" s="12" t="s">
        <v>1103</v>
      </c>
      <c r="L33" s="12" t="s">
        <v>1104</v>
      </c>
      <c r="M33" s="12" t="s">
        <v>1105</v>
      </c>
      <c r="O33" s="178" t="s">
        <v>2680</v>
      </c>
      <c r="P33" s="178" t="s">
        <v>2681</v>
      </c>
      <c r="Q33" s="12" t="s">
        <v>1105</v>
      </c>
      <c r="R33" s="179">
        <v>30</v>
      </c>
      <c r="S33" s="178"/>
      <c r="U33" s="12" t="s">
        <v>120</v>
      </c>
      <c r="W33" s="12" t="s">
        <v>1083</v>
      </c>
      <c r="X33" s="12" t="s">
        <v>1918</v>
      </c>
      <c r="Y33" s="178" t="s">
        <v>1214</v>
      </c>
      <c r="Z33" s="12" t="s">
        <v>2682</v>
      </c>
      <c r="AA33" s="178" t="s">
        <v>1345</v>
      </c>
      <c r="AB33" s="12" t="s">
        <v>1525</v>
      </c>
      <c r="AD33" s="12" t="s">
        <v>1185</v>
      </c>
      <c r="AE33" s="12" t="s">
        <v>1075</v>
      </c>
      <c r="AF33" s="12" t="s">
        <v>2683</v>
      </c>
      <c r="AG33" s="12" t="s">
        <v>1092</v>
      </c>
      <c r="AH33" s="12" t="s">
        <v>1092</v>
      </c>
      <c r="AI33" s="12" t="s">
        <v>2684</v>
      </c>
      <c r="AJ33" s="12" t="s">
        <v>2685</v>
      </c>
      <c r="AK33" s="12" t="s">
        <v>1092</v>
      </c>
      <c r="AL33" s="12" t="s">
        <v>1092</v>
      </c>
      <c r="AM33" s="12" t="s">
        <v>1092</v>
      </c>
      <c r="AN33" s="12" t="s">
        <v>1092</v>
      </c>
      <c r="AO33" s="178" t="s">
        <v>1093</v>
      </c>
      <c r="AP33" s="178" t="s">
        <v>1093</v>
      </c>
      <c r="AQ33" s="178" t="s">
        <v>1093</v>
      </c>
      <c r="AR33" s="178" t="s">
        <v>1092</v>
      </c>
      <c r="AS33" s="178" t="s">
        <v>1118</v>
      </c>
      <c r="AT33" s="178" t="s">
        <v>1118</v>
      </c>
      <c r="AU33" s="178" t="s">
        <v>1095</v>
      </c>
      <c r="AV33" s="12" t="s">
        <v>1096</v>
      </c>
      <c r="AW33" s="12" t="s">
        <v>1097</v>
      </c>
      <c r="AX33" s="178" t="s">
        <v>2686</v>
      </c>
      <c r="AY33" s="178" t="s">
        <v>1093</v>
      </c>
      <c r="AZ33" s="12" t="s">
        <v>2687</v>
      </c>
      <c r="BA33" s="12" t="s">
        <v>1098</v>
      </c>
      <c r="BB33" s="12" t="s">
        <v>1098</v>
      </c>
      <c r="BC33" s="178" t="s">
        <v>1205</v>
      </c>
      <c r="BD33" s="12" t="s">
        <v>1092</v>
      </c>
      <c r="BE33" s="12" t="s">
        <v>118</v>
      </c>
      <c r="BF33" s="12" t="s">
        <v>121</v>
      </c>
      <c r="BH33" s="12" t="s">
        <v>120</v>
      </c>
      <c r="BI33" s="179">
        <v>30</v>
      </c>
      <c r="BJ33" s="175">
        <v>42209</v>
      </c>
      <c r="BK33" s="176" t="s">
        <v>82</v>
      </c>
      <c r="BL33" s="12"/>
      <c r="BM33" s="12">
        <v>30</v>
      </c>
    </row>
    <row r="34" spans="1:65" x14ac:dyDescent="0.25">
      <c r="A34" s="12" t="s">
        <v>2653</v>
      </c>
      <c r="B34" s="12" t="s">
        <v>864</v>
      </c>
      <c r="C34" s="12" t="s">
        <v>865</v>
      </c>
      <c r="D34" s="12" t="s">
        <v>866</v>
      </c>
      <c r="E34" s="175">
        <v>42198</v>
      </c>
      <c r="F34" s="12" t="s">
        <v>2688</v>
      </c>
      <c r="G34" s="12" t="s">
        <v>1075</v>
      </c>
      <c r="H34" s="12" t="s">
        <v>2689</v>
      </c>
      <c r="I34" s="12" t="s">
        <v>2690</v>
      </c>
      <c r="J34" s="12" t="s">
        <v>2691</v>
      </c>
      <c r="K34" s="12" t="s">
        <v>1078</v>
      </c>
      <c r="L34" s="12" t="s">
        <v>1079</v>
      </c>
      <c r="M34" s="12" t="s">
        <v>1342</v>
      </c>
      <c r="O34" s="178" t="s">
        <v>2692</v>
      </c>
      <c r="P34" s="178" t="s">
        <v>2693</v>
      </c>
      <c r="Q34" s="12" t="s">
        <v>1342</v>
      </c>
      <c r="R34" s="179">
        <v>31</v>
      </c>
      <c r="S34" s="178"/>
      <c r="U34" s="12" t="s">
        <v>120</v>
      </c>
      <c r="W34" s="12" t="s">
        <v>1083</v>
      </c>
      <c r="X34" s="12" t="s">
        <v>1464</v>
      </c>
      <c r="Y34" s="178" t="s">
        <v>1198</v>
      </c>
      <c r="Z34" s="12" t="s">
        <v>2694</v>
      </c>
      <c r="AA34" s="178" t="s">
        <v>1491</v>
      </c>
      <c r="AB34" s="12" t="s">
        <v>2695</v>
      </c>
      <c r="AC34" s="178" t="s">
        <v>1217</v>
      </c>
      <c r="AD34" s="12" t="s">
        <v>2696</v>
      </c>
      <c r="AE34" s="12" t="s">
        <v>1075</v>
      </c>
      <c r="AF34" s="12" t="s">
        <v>2697</v>
      </c>
      <c r="AG34" s="12" t="s">
        <v>1092</v>
      </c>
      <c r="AH34" s="12" t="s">
        <v>1092</v>
      </c>
      <c r="AI34" s="12" t="s">
        <v>2698</v>
      </c>
      <c r="AJ34" s="12" t="s">
        <v>2699</v>
      </c>
      <c r="AK34" s="12" t="s">
        <v>2700</v>
      </c>
      <c r="AL34" s="12" t="s">
        <v>1092</v>
      </c>
      <c r="AM34" s="12" t="s">
        <v>1092</v>
      </c>
      <c r="AN34" s="12" t="s">
        <v>1092</v>
      </c>
      <c r="AO34" s="178" t="s">
        <v>1093</v>
      </c>
      <c r="AP34" s="178" t="s">
        <v>1093</v>
      </c>
      <c r="AQ34" s="178" t="s">
        <v>1092</v>
      </c>
      <c r="AR34" s="178" t="s">
        <v>1092</v>
      </c>
      <c r="AS34" s="178" t="s">
        <v>1118</v>
      </c>
      <c r="AT34" s="178" t="s">
        <v>1095</v>
      </c>
      <c r="AU34" s="178" t="s">
        <v>1095</v>
      </c>
      <c r="AV34" s="12" t="s">
        <v>1096</v>
      </c>
      <c r="AW34" s="12" t="s">
        <v>1097</v>
      </c>
      <c r="AY34" s="178" t="s">
        <v>1092</v>
      </c>
      <c r="AZ34" s="12" t="s">
        <v>2701</v>
      </c>
      <c r="BA34" s="12" t="s">
        <v>1098</v>
      </c>
      <c r="BB34" s="12" t="s">
        <v>1098</v>
      </c>
      <c r="BD34" s="12" t="s">
        <v>1092</v>
      </c>
      <c r="BE34" s="12" t="s">
        <v>118</v>
      </c>
      <c r="BF34" s="12" t="s">
        <v>121</v>
      </c>
      <c r="BH34" s="12" t="s">
        <v>120</v>
      </c>
      <c r="BI34" s="179">
        <v>31</v>
      </c>
      <c r="BJ34" s="175">
        <v>42208</v>
      </c>
      <c r="BK34" s="176" t="s">
        <v>82</v>
      </c>
      <c r="BL34" s="12"/>
      <c r="BM34" s="12">
        <v>30</v>
      </c>
    </row>
    <row r="35" spans="1:65" x14ac:dyDescent="0.25">
      <c r="A35" s="12" t="s">
        <v>2653</v>
      </c>
      <c r="B35" s="12" t="s">
        <v>867</v>
      </c>
      <c r="C35" s="12" t="s">
        <v>868</v>
      </c>
      <c r="D35" s="12" t="s">
        <v>869</v>
      </c>
      <c r="E35" s="175">
        <v>42198</v>
      </c>
      <c r="F35" s="12" t="s">
        <v>1756</v>
      </c>
      <c r="G35" s="12" t="s">
        <v>1075</v>
      </c>
      <c r="H35" s="12" t="s">
        <v>2702</v>
      </c>
      <c r="I35" s="12" t="s">
        <v>2703</v>
      </c>
      <c r="J35" s="12" t="s">
        <v>1367</v>
      </c>
      <c r="K35" s="12" t="s">
        <v>1078</v>
      </c>
      <c r="L35" s="12" t="s">
        <v>1079</v>
      </c>
      <c r="M35" s="12" t="s">
        <v>1080</v>
      </c>
      <c r="O35" s="178" t="s">
        <v>1451</v>
      </c>
      <c r="P35" s="178" t="s">
        <v>2704</v>
      </c>
      <c r="Q35" s="12" t="s">
        <v>1080</v>
      </c>
      <c r="R35" s="179">
        <v>32</v>
      </c>
      <c r="S35" s="178"/>
      <c r="U35" s="12" t="s">
        <v>120</v>
      </c>
      <c r="W35" s="12" t="s">
        <v>1083</v>
      </c>
      <c r="X35" s="12" t="s">
        <v>1918</v>
      </c>
      <c r="Y35" s="178" t="s">
        <v>2130</v>
      </c>
      <c r="Z35" s="12" t="s">
        <v>2705</v>
      </c>
      <c r="AA35" s="178" t="s">
        <v>1216</v>
      </c>
      <c r="AB35" s="12" t="s">
        <v>2706</v>
      </c>
      <c r="AD35" s="12" t="s">
        <v>1185</v>
      </c>
      <c r="AE35" s="12" t="s">
        <v>1075</v>
      </c>
      <c r="AF35" s="12" t="s">
        <v>2707</v>
      </c>
      <c r="AG35" s="12" t="s">
        <v>2708</v>
      </c>
      <c r="AH35" s="12" t="s">
        <v>1092</v>
      </c>
      <c r="AI35" s="12" t="s">
        <v>2709</v>
      </c>
      <c r="AJ35" s="12" t="s">
        <v>2710</v>
      </c>
      <c r="AK35" s="12" t="s">
        <v>1092</v>
      </c>
      <c r="AL35" s="12" t="s">
        <v>1092</v>
      </c>
      <c r="AM35" s="12" t="s">
        <v>1092</v>
      </c>
      <c r="AN35" s="12" t="s">
        <v>1092</v>
      </c>
      <c r="AO35" s="178" t="s">
        <v>1093</v>
      </c>
      <c r="AP35" s="178" t="s">
        <v>1093</v>
      </c>
      <c r="AQ35" s="178" t="s">
        <v>1092</v>
      </c>
      <c r="AR35" s="178" t="s">
        <v>1092</v>
      </c>
      <c r="AS35" s="178" t="s">
        <v>1118</v>
      </c>
      <c r="AT35" s="178" t="s">
        <v>1095</v>
      </c>
      <c r="AU35" s="178" t="s">
        <v>1095</v>
      </c>
      <c r="AV35" s="12" t="s">
        <v>1096</v>
      </c>
      <c r="AW35" s="12" t="s">
        <v>1097</v>
      </c>
      <c r="AY35" s="178" t="s">
        <v>1092</v>
      </c>
      <c r="AZ35" s="12" t="s">
        <v>2711</v>
      </c>
      <c r="BA35" s="12" t="s">
        <v>1098</v>
      </c>
      <c r="BB35" s="12" t="s">
        <v>1098</v>
      </c>
      <c r="BD35" s="12" t="s">
        <v>1092</v>
      </c>
      <c r="BE35" s="12" t="s">
        <v>118</v>
      </c>
      <c r="BF35" s="12" t="s">
        <v>121</v>
      </c>
      <c r="BH35" s="12" t="s">
        <v>120</v>
      </c>
      <c r="BI35" s="179">
        <v>32</v>
      </c>
      <c r="BJ35" s="175">
        <v>42209</v>
      </c>
      <c r="BK35" s="176" t="s">
        <v>82</v>
      </c>
      <c r="BL35" s="12"/>
      <c r="BM35" s="12">
        <v>30</v>
      </c>
    </row>
    <row r="36" spans="1:65" x14ac:dyDescent="0.25">
      <c r="A36" s="12" t="s">
        <v>2653</v>
      </c>
      <c r="B36" s="12" t="s">
        <v>870</v>
      </c>
      <c r="C36" s="12" t="s">
        <v>871</v>
      </c>
      <c r="D36" s="12" t="s">
        <v>872</v>
      </c>
      <c r="E36" s="175">
        <v>42198</v>
      </c>
      <c r="F36" s="12" t="s">
        <v>2712</v>
      </c>
      <c r="G36" s="12" t="s">
        <v>1075</v>
      </c>
      <c r="H36" s="12" t="s">
        <v>2713</v>
      </c>
      <c r="I36" s="12" t="s">
        <v>2714</v>
      </c>
      <c r="K36" s="12" t="s">
        <v>1103</v>
      </c>
      <c r="L36" s="12" t="s">
        <v>1104</v>
      </c>
      <c r="M36" s="12" t="s">
        <v>1180</v>
      </c>
      <c r="O36" s="178" t="s">
        <v>1142</v>
      </c>
      <c r="P36" s="178" t="s">
        <v>2715</v>
      </c>
      <c r="Q36" s="12" t="s">
        <v>1180</v>
      </c>
      <c r="R36" s="179">
        <v>33</v>
      </c>
      <c r="S36" s="178"/>
      <c r="U36" s="12" t="s">
        <v>120</v>
      </c>
      <c r="W36" s="12" t="s">
        <v>1083</v>
      </c>
      <c r="X36" s="12" t="s">
        <v>2671</v>
      </c>
      <c r="Y36" s="178" t="s">
        <v>1695</v>
      </c>
      <c r="Z36" s="12" t="s">
        <v>2716</v>
      </c>
      <c r="AA36" s="178" t="s">
        <v>1424</v>
      </c>
      <c r="AB36" s="12" t="s">
        <v>2717</v>
      </c>
      <c r="AC36" s="178" t="s">
        <v>1586</v>
      </c>
      <c r="AD36" s="12" t="s">
        <v>2718</v>
      </c>
      <c r="AE36" s="12" t="s">
        <v>1075</v>
      </c>
      <c r="AF36" s="12" t="s">
        <v>2719</v>
      </c>
      <c r="AG36" s="12" t="s">
        <v>1092</v>
      </c>
      <c r="AH36" s="12" t="s">
        <v>1092</v>
      </c>
      <c r="AI36" s="12" t="s">
        <v>2720</v>
      </c>
      <c r="AJ36" s="12" t="s">
        <v>2721</v>
      </c>
      <c r="AK36" s="12" t="s">
        <v>1092</v>
      </c>
      <c r="AL36" s="12" t="s">
        <v>1092</v>
      </c>
      <c r="AM36" s="12" t="s">
        <v>1092</v>
      </c>
      <c r="AN36" s="12" t="s">
        <v>1092</v>
      </c>
      <c r="AO36" s="178" t="s">
        <v>1093</v>
      </c>
      <c r="AP36" s="178" t="s">
        <v>1093</v>
      </c>
      <c r="AQ36" s="178" t="s">
        <v>1093</v>
      </c>
      <c r="AR36" s="178" t="s">
        <v>1093</v>
      </c>
      <c r="AS36" s="178" t="s">
        <v>1118</v>
      </c>
      <c r="AT36" s="178" t="s">
        <v>1118</v>
      </c>
      <c r="AU36" s="178" t="s">
        <v>1094</v>
      </c>
      <c r="AV36" s="12" t="s">
        <v>1096</v>
      </c>
      <c r="AW36" s="12" t="s">
        <v>1097</v>
      </c>
      <c r="AY36" s="178" t="s">
        <v>1092</v>
      </c>
      <c r="AZ36" s="12" t="s">
        <v>2722</v>
      </c>
      <c r="BA36" s="12" t="s">
        <v>1098</v>
      </c>
      <c r="BB36" s="12" t="s">
        <v>2723</v>
      </c>
      <c r="BC36" s="178" t="s">
        <v>1205</v>
      </c>
      <c r="BD36" s="12" t="s">
        <v>1092</v>
      </c>
      <c r="BE36" s="12" t="s">
        <v>118</v>
      </c>
      <c r="BF36" s="12" t="s">
        <v>121</v>
      </c>
      <c r="BH36" s="12" t="s">
        <v>120</v>
      </c>
      <c r="BI36" s="179">
        <v>33</v>
      </c>
      <c r="BJ36" s="175">
        <v>42209</v>
      </c>
      <c r="BK36" s="176" t="s">
        <v>82</v>
      </c>
      <c r="BL36" s="12"/>
      <c r="BM36" s="12">
        <v>30</v>
      </c>
    </row>
    <row r="37" spans="1:65" x14ac:dyDescent="0.25">
      <c r="A37" s="12" t="s">
        <v>2653</v>
      </c>
      <c r="B37" s="12" t="s">
        <v>873</v>
      </c>
      <c r="C37" s="12" t="s">
        <v>874</v>
      </c>
      <c r="D37" s="12" t="s">
        <v>875</v>
      </c>
      <c r="E37" s="175">
        <v>42198</v>
      </c>
      <c r="F37" s="12" t="s">
        <v>1538</v>
      </c>
      <c r="G37" s="12" t="s">
        <v>1075</v>
      </c>
      <c r="H37" s="12" t="s">
        <v>2724</v>
      </c>
      <c r="I37" s="12" t="s">
        <v>2725</v>
      </c>
      <c r="J37" s="12" t="s">
        <v>2283</v>
      </c>
      <c r="K37" s="12" t="s">
        <v>1123</v>
      </c>
      <c r="L37" s="12" t="s">
        <v>1124</v>
      </c>
      <c r="M37" s="12" t="s">
        <v>1105</v>
      </c>
      <c r="O37" s="178" t="s">
        <v>1801</v>
      </c>
      <c r="P37" s="178" t="s">
        <v>2726</v>
      </c>
      <c r="Q37" s="12" t="s">
        <v>1105</v>
      </c>
      <c r="R37" s="179">
        <v>34</v>
      </c>
      <c r="S37" s="178"/>
      <c r="U37" s="12" t="s">
        <v>120</v>
      </c>
      <c r="W37" s="12" t="s">
        <v>1083</v>
      </c>
      <c r="X37" s="12" t="s">
        <v>1962</v>
      </c>
      <c r="Y37" s="178" t="s">
        <v>1247</v>
      </c>
      <c r="Z37" s="12" t="s">
        <v>2727</v>
      </c>
      <c r="AA37" s="178" t="s">
        <v>1466</v>
      </c>
      <c r="AB37" s="12" t="s">
        <v>2728</v>
      </c>
      <c r="AC37" s="178" t="s">
        <v>1292</v>
      </c>
      <c r="AD37" s="12" t="s">
        <v>2728</v>
      </c>
      <c r="AE37" s="12" t="s">
        <v>1075</v>
      </c>
      <c r="AF37" s="12" t="s">
        <v>2729</v>
      </c>
      <c r="AG37" s="12" t="s">
        <v>1092</v>
      </c>
      <c r="AH37" s="12" t="s">
        <v>1092</v>
      </c>
      <c r="AI37" s="12" t="s">
        <v>2730</v>
      </c>
      <c r="AJ37" s="12" t="s">
        <v>2731</v>
      </c>
      <c r="AK37" s="12" t="s">
        <v>2732</v>
      </c>
      <c r="AL37" s="12" t="s">
        <v>2733</v>
      </c>
      <c r="AM37" s="12" t="s">
        <v>1092</v>
      </c>
      <c r="AN37" s="12" t="s">
        <v>1092</v>
      </c>
      <c r="AO37" s="178" t="s">
        <v>1093</v>
      </c>
      <c r="AP37" s="178" t="s">
        <v>1092</v>
      </c>
      <c r="AQ37" s="178" t="s">
        <v>1093</v>
      </c>
      <c r="AR37" s="178" t="s">
        <v>1092</v>
      </c>
      <c r="AS37" s="178" t="s">
        <v>1118</v>
      </c>
      <c r="AT37" s="178" t="s">
        <v>1118</v>
      </c>
      <c r="AU37" s="178" t="s">
        <v>1095</v>
      </c>
      <c r="AV37" s="12" t="s">
        <v>1096</v>
      </c>
      <c r="AW37" s="12" t="s">
        <v>1097</v>
      </c>
      <c r="AY37" s="178" t="s">
        <v>1092</v>
      </c>
      <c r="AZ37" s="12" t="s">
        <v>2734</v>
      </c>
      <c r="BA37" s="12" t="s">
        <v>1098</v>
      </c>
      <c r="BB37" s="12" t="s">
        <v>1098</v>
      </c>
      <c r="BD37" s="12" t="s">
        <v>1092</v>
      </c>
      <c r="BE37" s="12" t="s">
        <v>118</v>
      </c>
      <c r="BF37" s="12" t="s">
        <v>121</v>
      </c>
      <c r="BH37" s="12" t="s">
        <v>120</v>
      </c>
      <c r="BI37" s="179">
        <v>34</v>
      </c>
      <c r="BJ37" s="175">
        <v>42210</v>
      </c>
      <c r="BK37" s="176" t="s">
        <v>82</v>
      </c>
      <c r="BL37" s="12"/>
      <c r="BM37" s="12">
        <v>30</v>
      </c>
    </row>
    <row r="38" spans="1:65" x14ac:dyDescent="0.25">
      <c r="A38" s="12" t="s">
        <v>2653</v>
      </c>
      <c r="B38" s="12" t="s">
        <v>876</v>
      </c>
      <c r="C38" s="12" t="s">
        <v>877</v>
      </c>
      <c r="D38" s="12" t="s">
        <v>878</v>
      </c>
      <c r="E38" s="175">
        <v>42198</v>
      </c>
      <c r="F38" s="12" t="s">
        <v>1883</v>
      </c>
      <c r="G38" s="12" t="s">
        <v>1075</v>
      </c>
      <c r="H38" s="12" t="s">
        <v>1076</v>
      </c>
      <c r="I38" s="12" t="s">
        <v>2735</v>
      </c>
      <c r="J38" s="12" t="s">
        <v>2428</v>
      </c>
      <c r="K38" s="12" t="s">
        <v>1078</v>
      </c>
      <c r="L38" s="12" t="s">
        <v>1079</v>
      </c>
      <c r="M38" s="12" t="s">
        <v>1080</v>
      </c>
      <c r="O38" s="178" t="s">
        <v>1488</v>
      </c>
      <c r="P38" s="178" t="s">
        <v>2736</v>
      </c>
      <c r="Q38" s="12" t="s">
        <v>1080</v>
      </c>
      <c r="R38" s="179">
        <v>35</v>
      </c>
      <c r="S38" s="178"/>
      <c r="U38" s="12" t="s">
        <v>120</v>
      </c>
      <c r="W38" s="12" t="s">
        <v>1083</v>
      </c>
      <c r="X38" s="12" t="s">
        <v>1519</v>
      </c>
      <c r="Y38" s="178" t="s">
        <v>1234</v>
      </c>
      <c r="Z38" s="12" t="s">
        <v>2737</v>
      </c>
      <c r="AB38" s="12" t="s">
        <v>1185</v>
      </c>
      <c r="AD38" s="12" t="s">
        <v>1185</v>
      </c>
      <c r="AE38" s="12" t="s">
        <v>1075</v>
      </c>
      <c r="AF38" s="12" t="s">
        <v>2738</v>
      </c>
      <c r="AG38" s="12" t="s">
        <v>1092</v>
      </c>
      <c r="AH38" s="12" t="s">
        <v>1092</v>
      </c>
      <c r="AI38" s="12" t="s">
        <v>2739</v>
      </c>
      <c r="AJ38" s="12" t="s">
        <v>2740</v>
      </c>
      <c r="AK38" s="12" t="s">
        <v>1092</v>
      </c>
      <c r="AL38" s="12" t="s">
        <v>1092</v>
      </c>
      <c r="AM38" s="12" t="s">
        <v>1092</v>
      </c>
      <c r="AN38" s="12" t="s">
        <v>1092</v>
      </c>
      <c r="AO38" s="178" t="s">
        <v>1093</v>
      </c>
      <c r="AP38" s="178" t="s">
        <v>1093</v>
      </c>
      <c r="AQ38" s="178" t="s">
        <v>1093</v>
      </c>
      <c r="AR38" s="178" t="s">
        <v>1093</v>
      </c>
      <c r="AS38" s="178" t="s">
        <v>1118</v>
      </c>
      <c r="AT38" s="178" t="s">
        <v>1118</v>
      </c>
      <c r="AU38" s="178" t="s">
        <v>1118</v>
      </c>
      <c r="AV38" s="12" t="s">
        <v>1096</v>
      </c>
      <c r="AW38" s="12" t="s">
        <v>1097</v>
      </c>
      <c r="AY38" s="178" t="s">
        <v>1092</v>
      </c>
      <c r="AZ38" s="12" t="s">
        <v>1098</v>
      </c>
      <c r="BA38" s="12" t="s">
        <v>1098</v>
      </c>
      <c r="BB38" s="12" t="s">
        <v>1098</v>
      </c>
      <c r="BC38" s="178" t="s">
        <v>1205</v>
      </c>
      <c r="BD38" s="12" t="s">
        <v>1092</v>
      </c>
      <c r="BE38" s="12" t="s">
        <v>118</v>
      </c>
      <c r="BF38" s="12" t="s">
        <v>121</v>
      </c>
      <c r="BH38" s="12" t="s">
        <v>120</v>
      </c>
      <c r="BI38" s="179">
        <v>35</v>
      </c>
      <c r="BJ38" s="175">
        <v>42208</v>
      </c>
      <c r="BK38" s="176" t="s">
        <v>82</v>
      </c>
      <c r="BL38" s="12"/>
      <c r="BM38" s="12">
        <v>30</v>
      </c>
    </row>
    <row r="39" spans="1:65" x14ac:dyDescent="0.25">
      <c r="A39" s="12" t="s">
        <v>2653</v>
      </c>
      <c r="B39" s="12" t="s">
        <v>879</v>
      </c>
      <c r="C39" s="12" t="s">
        <v>880</v>
      </c>
      <c r="D39" s="12" t="s">
        <v>881</v>
      </c>
      <c r="E39" s="175">
        <v>42198</v>
      </c>
      <c r="F39" s="12" t="s">
        <v>1169</v>
      </c>
      <c r="G39" s="12" t="s">
        <v>1075</v>
      </c>
      <c r="H39" s="12" t="s">
        <v>2741</v>
      </c>
      <c r="I39" s="12" t="s">
        <v>2742</v>
      </c>
      <c r="J39" s="12" t="s">
        <v>2743</v>
      </c>
      <c r="K39" s="12" t="s">
        <v>1123</v>
      </c>
      <c r="L39" s="12" t="s">
        <v>1124</v>
      </c>
      <c r="M39" s="12" t="s">
        <v>1105</v>
      </c>
      <c r="O39" s="178" t="s">
        <v>1181</v>
      </c>
      <c r="P39" s="178" t="s">
        <v>2744</v>
      </c>
      <c r="Q39" s="12" t="s">
        <v>1105</v>
      </c>
      <c r="R39" s="179">
        <v>36</v>
      </c>
      <c r="S39" s="178"/>
      <c r="U39" s="12" t="s">
        <v>120</v>
      </c>
      <c r="W39" s="12" t="s">
        <v>1083</v>
      </c>
      <c r="X39" s="12" t="s">
        <v>1962</v>
      </c>
      <c r="Y39" s="178" t="s">
        <v>1503</v>
      </c>
      <c r="Z39" s="12" t="s">
        <v>2745</v>
      </c>
      <c r="AA39" s="178" t="s">
        <v>1223</v>
      </c>
      <c r="AB39" s="12" t="s">
        <v>2746</v>
      </c>
      <c r="AD39" s="12" t="s">
        <v>1185</v>
      </c>
      <c r="AE39" s="12" t="s">
        <v>1075</v>
      </c>
      <c r="AF39" s="12" t="s">
        <v>2747</v>
      </c>
      <c r="AG39" s="12" t="s">
        <v>2748</v>
      </c>
      <c r="AH39" s="12" t="s">
        <v>1092</v>
      </c>
      <c r="AI39" s="12" t="s">
        <v>2749</v>
      </c>
      <c r="AJ39" s="12" t="s">
        <v>2750</v>
      </c>
      <c r="AK39" s="12" t="s">
        <v>2751</v>
      </c>
      <c r="AL39" s="12" t="s">
        <v>1092</v>
      </c>
      <c r="AM39" s="12" t="s">
        <v>1092</v>
      </c>
      <c r="AN39" s="12" t="s">
        <v>1092</v>
      </c>
      <c r="AO39" s="178" t="s">
        <v>1093</v>
      </c>
      <c r="AP39" s="178" t="s">
        <v>1093</v>
      </c>
      <c r="AQ39" s="178" t="s">
        <v>1093</v>
      </c>
      <c r="AR39" s="178" t="s">
        <v>1093</v>
      </c>
      <c r="AS39" s="178" t="s">
        <v>1118</v>
      </c>
      <c r="AT39" s="178" t="s">
        <v>1118</v>
      </c>
      <c r="AU39" s="178" t="s">
        <v>1094</v>
      </c>
      <c r="AV39" s="12" t="s">
        <v>1096</v>
      </c>
      <c r="AW39" s="12" t="s">
        <v>1097</v>
      </c>
      <c r="AY39" s="178" t="s">
        <v>1092</v>
      </c>
      <c r="AZ39" s="12" t="s">
        <v>2752</v>
      </c>
      <c r="BA39" s="12" t="s">
        <v>1098</v>
      </c>
      <c r="BB39" s="12" t="s">
        <v>1098</v>
      </c>
      <c r="BD39" s="12" t="s">
        <v>1092</v>
      </c>
      <c r="BE39" s="12" t="s">
        <v>118</v>
      </c>
      <c r="BF39" s="12" t="s">
        <v>121</v>
      </c>
      <c r="BH39" s="12" t="s">
        <v>120</v>
      </c>
      <c r="BI39" s="179">
        <v>36</v>
      </c>
      <c r="BJ39" s="175">
        <v>42209</v>
      </c>
      <c r="BK39" s="176" t="s">
        <v>82</v>
      </c>
      <c r="BL39" s="12"/>
      <c r="BM39" s="12">
        <v>30</v>
      </c>
    </row>
    <row r="40" spans="1:65" x14ac:dyDescent="0.25">
      <c r="A40" s="12" t="s">
        <v>2653</v>
      </c>
      <c r="B40" s="12" t="s">
        <v>882</v>
      </c>
      <c r="C40" s="12" t="s">
        <v>883</v>
      </c>
      <c r="D40" s="12" t="s">
        <v>884</v>
      </c>
      <c r="E40" s="175">
        <v>42198</v>
      </c>
      <c r="F40" s="12" t="s">
        <v>2753</v>
      </c>
      <c r="G40" s="12" t="s">
        <v>1075</v>
      </c>
      <c r="H40" s="12" t="s">
        <v>2754</v>
      </c>
      <c r="I40" s="12" t="s">
        <v>1273</v>
      </c>
      <c r="J40" s="12" t="s">
        <v>1561</v>
      </c>
      <c r="K40" s="12" t="s">
        <v>1123</v>
      </c>
      <c r="L40" s="12" t="s">
        <v>1124</v>
      </c>
      <c r="M40" s="12" t="s">
        <v>1125</v>
      </c>
      <c r="O40" s="178" t="s">
        <v>1181</v>
      </c>
      <c r="P40" s="178" t="s">
        <v>2755</v>
      </c>
      <c r="Q40" s="12" t="s">
        <v>1125</v>
      </c>
      <c r="R40" s="179">
        <v>37</v>
      </c>
      <c r="S40" s="178"/>
      <c r="U40" s="12" t="s">
        <v>120</v>
      </c>
      <c r="W40" s="12" t="s">
        <v>1083</v>
      </c>
      <c r="X40" s="12" t="s">
        <v>1464</v>
      </c>
      <c r="Y40" s="178" t="s">
        <v>2371</v>
      </c>
      <c r="Z40" s="12" t="s">
        <v>2756</v>
      </c>
      <c r="AA40" s="178" t="s">
        <v>2182</v>
      </c>
      <c r="AB40" s="12" t="s">
        <v>2757</v>
      </c>
      <c r="AC40" s="178" t="s">
        <v>1586</v>
      </c>
      <c r="AD40" s="12" t="s">
        <v>1112</v>
      </c>
      <c r="AE40" s="12" t="s">
        <v>1075</v>
      </c>
      <c r="AF40" s="12" t="s">
        <v>2758</v>
      </c>
      <c r="AG40" s="12" t="s">
        <v>1092</v>
      </c>
      <c r="AH40" s="12" t="s">
        <v>1092</v>
      </c>
      <c r="AI40" s="12" t="s">
        <v>2759</v>
      </c>
      <c r="AJ40" s="12" t="s">
        <v>2760</v>
      </c>
      <c r="AK40" s="12" t="s">
        <v>2761</v>
      </c>
      <c r="AL40" s="12" t="s">
        <v>1092</v>
      </c>
      <c r="AM40" s="12" t="s">
        <v>1092</v>
      </c>
      <c r="AN40" s="12" t="s">
        <v>1092</v>
      </c>
      <c r="AO40" s="178" t="s">
        <v>1093</v>
      </c>
      <c r="AP40" s="178" t="s">
        <v>1093</v>
      </c>
      <c r="AQ40" s="178" t="s">
        <v>1093</v>
      </c>
      <c r="AR40" s="178" t="s">
        <v>1093</v>
      </c>
      <c r="AS40" s="178" t="s">
        <v>1118</v>
      </c>
      <c r="AT40" s="178" t="s">
        <v>1118</v>
      </c>
      <c r="AU40" s="178" t="s">
        <v>1094</v>
      </c>
      <c r="AV40" s="12" t="s">
        <v>1096</v>
      </c>
      <c r="AW40" s="12" t="s">
        <v>1097</v>
      </c>
      <c r="AY40" s="178" t="s">
        <v>1092</v>
      </c>
      <c r="AZ40" s="12" t="s">
        <v>2762</v>
      </c>
      <c r="BA40" s="12" t="s">
        <v>1098</v>
      </c>
      <c r="BB40" s="12" t="s">
        <v>1098</v>
      </c>
      <c r="BD40" s="12" t="s">
        <v>1092</v>
      </c>
      <c r="BE40" s="12" t="s">
        <v>118</v>
      </c>
      <c r="BF40" s="12" t="s">
        <v>121</v>
      </c>
      <c r="BH40" s="12" t="s">
        <v>120</v>
      </c>
      <c r="BI40" s="179">
        <v>37</v>
      </c>
      <c r="BJ40" s="175">
        <v>42209</v>
      </c>
      <c r="BK40" s="176" t="s">
        <v>82</v>
      </c>
      <c r="BL40" s="12"/>
      <c r="BM40" s="12">
        <v>30</v>
      </c>
    </row>
    <row r="41" spans="1:65" x14ac:dyDescent="0.25">
      <c r="A41" s="12" t="s">
        <v>2343</v>
      </c>
      <c r="B41" s="12" t="s">
        <v>885</v>
      </c>
      <c r="C41" s="12" t="s">
        <v>886</v>
      </c>
      <c r="D41" s="12" t="s">
        <v>887</v>
      </c>
      <c r="E41" s="175">
        <v>42198</v>
      </c>
      <c r="F41" s="12" t="s">
        <v>1590</v>
      </c>
      <c r="G41" s="12" t="s">
        <v>1075</v>
      </c>
      <c r="H41" s="12" t="s">
        <v>2763</v>
      </c>
      <c r="I41" s="12" t="s">
        <v>2764</v>
      </c>
      <c r="K41" s="12" t="s">
        <v>1103</v>
      </c>
      <c r="L41" s="12" t="s">
        <v>1104</v>
      </c>
      <c r="M41" s="12" t="s">
        <v>1180</v>
      </c>
      <c r="O41" s="178" t="s">
        <v>1106</v>
      </c>
      <c r="P41" s="178" t="s">
        <v>2765</v>
      </c>
      <c r="Q41" s="12" t="s">
        <v>1180</v>
      </c>
      <c r="R41" s="179">
        <v>38</v>
      </c>
      <c r="S41" s="178"/>
      <c r="U41" s="12" t="s">
        <v>120</v>
      </c>
      <c r="W41" s="12" t="s">
        <v>1083</v>
      </c>
      <c r="X41" s="12" t="s">
        <v>2335</v>
      </c>
      <c r="Y41" s="178" t="s">
        <v>1590</v>
      </c>
      <c r="Z41" s="12" t="s">
        <v>2440</v>
      </c>
      <c r="AA41" s="178" t="s">
        <v>1698</v>
      </c>
      <c r="AB41" s="12" t="s">
        <v>2766</v>
      </c>
      <c r="AD41" s="12" t="s">
        <v>1185</v>
      </c>
      <c r="AE41" s="12" t="s">
        <v>1075</v>
      </c>
      <c r="AF41" s="12" t="s">
        <v>2767</v>
      </c>
      <c r="AG41" s="12" t="s">
        <v>2339</v>
      </c>
      <c r="AH41" s="12" t="s">
        <v>1092</v>
      </c>
      <c r="AI41" s="12" t="s">
        <v>2628</v>
      </c>
      <c r="AJ41" s="12" t="s">
        <v>2768</v>
      </c>
      <c r="AK41" s="12" t="s">
        <v>1092</v>
      </c>
      <c r="AL41" s="12" t="s">
        <v>1092</v>
      </c>
      <c r="AM41" s="12" t="s">
        <v>1092</v>
      </c>
      <c r="AN41" s="12" t="s">
        <v>1092</v>
      </c>
      <c r="AO41" s="178" t="s">
        <v>1092</v>
      </c>
      <c r="AP41" s="178" t="s">
        <v>1092</v>
      </c>
      <c r="AQ41" s="178" t="s">
        <v>1093</v>
      </c>
      <c r="AR41" s="178" t="s">
        <v>1092</v>
      </c>
      <c r="AS41" s="178" t="s">
        <v>1155</v>
      </c>
      <c r="AT41" s="178" t="s">
        <v>1118</v>
      </c>
      <c r="AU41" s="178" t="s">
        <v>1095</v>
      </c>
      <c r="AV41" s="12" t="s">
        <v>1096</v>
      </c>
      <c r="AW41" s="12" t="s">
        <v>1097</v>
      </c>
      <c r="AY41" s="178" t="s">
        <v>1092</v>
      </c>
      <c r="AZ41" s="12" t="s">
        <v>2769</v>
      </c>
      <c r="BA41" s="12" t="s">
        <v>1098</v>
      </c>
      <c r="BB41" s="12" t="s">
        <v>1098</v>
      </c>
      <c r="BD41" s="12" t="s">
        <v>1092</v>
      </c>
      <c r="BE41" s="12" t="s">
        <v>118</v>
      </c>
      <c r="BF41" s="12" t="s">
        <v>121</v>
      </c>
      <c r="BH41" s="12" t="s">
        <v>120</v>
      </c>
      <c r="BI41" s="179">
        <v>38</v>
      </c>
      <c r="BJ41" s="175">
        <v>42212</v>
      </c>
      <c r="BK41" s="176" t="s">
        <v>82</v>
      </c>
      <c r="BL41" s="12"/>
    </row>
    <row r="42" spans="1:65" x14ac:dyDescent="0.25">
      <c r="A42" s="12" t="s">
        <v>2343</v>
      </c>
      <c r="B42" s="12" t="s">
        <v>888</v>
      </c>
      <c r="C42" s="12" t="s">
        <v>889</v>
      </c>
      <c r="D42" s="12" t="s">
        <v>890</v>
      </c>
      <c r="E42" s="175">
        <v>42198</v>
      </c>
      <c r="F42" s="12" t="s">
        <v>2770</v>
      </c>
      <c r="G42" s="12" t="s">
        <v>1075</v>
      </c>
      <c r="H42" s="12" t="s">
        <v>2771</v>
      </c>
      <c r="I42" s="12" t="s">
        <v>2772</v>
      </c>
      <c r="J42" s="12" t="s">
        <v>1627</v>
      </c>
      <c r="K42" s="12" t="s">
        <v>1078</v>
      </c>
      <c r="L42" s="12" t="s">
        <v>1079</v>
      </c>
      <c r="M42" s="12" t="s">
        <v>1342</v>
      </c>
      <c r="O42" s="178" t="s">
        <v>1126</v>
      </c>
      <c r="P42" s="178" t="s">
        <v>2773</v>
      </c>
      <c r="Q42" s="12" t="s">
        <v>1342</v>
      </c>
      <c r="R42" s="179">
        <v>39</v>
      </c>
      <c r="S42" s="178" t="s">
        <v>2774</v>
      </c>
      <c r="U42" s="12" t="s">
        <v>120</v>
      </c>
      <c r="W42" s="12" t="s">
        <v>1083</v>
      </c>
      <c r="X42" s="12" t="s">
        <v>1144</v>
      </c>
      <c r="Y42" s="178" t="s">
        <v>1147</v>
      </c>
      <c r="Z42" s="12" t="s">
        <v>2775</v>
      </c>
      <c r="AA42" s="178" t="s">
        <v>2264</v>
      </c>
      <c r="AB42" s="12" t="s">
        <v>1133</v>
      </c>
      <c r="AC42" s="178" t="s">
        <v>1661</v>
      </c>
      <c r="AD42" s="12" t="s">
        <v>2776</v>
      </c>
      <c r="AE42" s="12" t="s">
        <v>1075</v>
      </c>
      <c r="AF42" s="12" t="s">
        <v>2777</v>
      </c>
      <c r="AG42" s="12" t="s">
        <v>1092</v>
      </c>
      <c r="AH42" s="12" t="s">
        <v>1092</v>
      </c>
      <c r="AI42" s="12" t="s">
        <v>2778</v>
      </c>
      <c r="AJ42" s="12" t="s">
        <v>2779</v>
      </c>
      <c r="AK42" s="12" t="s">
        <v>2780</v>
      </c>
      <c r="AL42" s="12" t="s">
        <v>1092</v>
      </c>
      <c r="AM42" s="12" t="s">
        <v>1092</v>
      </c>
      <c r="AN42" s="12" t="s">
        <v>1092</v>
      </c>
      <c r="AO42" s="178" t="s">
        <v>1093</v>
      </c>
      <c r="AP42" s="178" t="s">
        <v>1093</v>
      </c>
      <c r="AQ42" s="178" t="s">
        <v>1093</v>
      </c>
      <c r="AR42" s="178" t="s">
        <v>1093</v>
      </c>
      <c r="AS42" s="178" t="s">
        <v>1118</v>
      </c>
      <c r="AT42" s="178" t="s">
        <v>1118</v>
      </c>
      <c r="AU42" s="178" t="s">
        <v>1118</v>
      </c>
      <c r="AV42" s="12" t="s">
        <v>1096</v>
      </c>
      <c r="AW42" s="12" t="s">
        <v>1097</v>
      </c>
      <c r="AY42" s="178" t="s">
        <v>1092</v>
      </c>
      <c r="AZ42" s="12" t="s">
        <v>2781</v>
      </c>
      <c r="BA42" s="12" t="s">
        <v>1098</v>
      </c>
      <c r="BB42" s="12" t="s">
        <v>2782</v>
      </c>
      <c r="BD42" s="12" t="s">
        <v>1092</v>
      </c>
      <c r="BE42" s="12" t="s">
        <v>118</v>
      </c>
      <c r="BF42" s="12" t="s">
        <v>121</v>
      </c>
      <c r="BH42" s="12" t="s">
        <v>120</v>
      </c>
      <c r="BI42" s="179">
        <v>39</v>
      </c>
      <c r="BJ42" s="175">
        <v>42208</v>
      </c>
      <c r="BK42" s="176" t="s">
        <v>82</v>
      </c>
      <c r="BL42" s="12"/>
      <c r="BM42" s="12">
        <v>30</v>
      </c>
    </row>
    <row r="43" spans="1:65" x14ac:dyDescent="0.25">
      <c r="A43" s="12" t="s">
        <v>2343</v>
      </c>
      <c r="B43" s="12" t="s">
        <v>891</v>
      </c>
      <c r="C43" s="12" t="s">
        <v>892</v>
      </c>
      <c r="D43" s="12" t="s">
        <v>893</v>
      </c>
      <c r="E43" s="175">
        <v>42198</v>
      </c>
      <c r="F43" s="12" t="s">
        <v>1883</v>
      </c>
      <c r="G43" s="12" t="s">
        <v>1075</v>
      </c>
      <c r="H43" s="12" t="s">
        <v>2783</v>
      </c>
      <c r="I43" s="12" t="s">
        <v>2784</v>
      </c>
      <c r="J43" s="12" t="s">
        <v>2785</v>
      </c>
      <c r="K43" s="12" t="s">
        <v>1078</v>
      </c>
      <c r="L43" s="12" t="s">
        <v>1079</v>
      </c>
      <c r="M43" s="12" t="s">
        <v>1342</v>
      </c>
      <c r="O43" s="178" t="s">
        <v>1181</v>
      </c>
      <c r="P43" s="178" t="s">
        <v>2786</v>
      </c>
      <c r="Q43" s="12" t="s">
        <v>1342</v>
      </c>
      <c r="R43" s="179">
        <v>40</v>
      </c>
      <c r="S43" s="178"/>
      <c r="U43" s="12" t="s">
        <v>120</v>
      </c>
      <c r="W43" s="12" t="s">
        <v>1083</v>
      </c>
      <c r="X43" s="12" t="s">
        <v>1519</v>
      </c>
      <c r="Y43" s="178" t="s">
        <v>1590</v>
      </c>
      <c r="Z43" s="12" t="s">
        <v>2787</v>
      </c>
      <c r="AB43" s="12" t="s">
        <v>1185</v>
      </c>
      <c r="AD43" s="12" t="s">
        <v>1185</v>
      </c>
      <c r="AE43" s="12" t="s">
        <v>1075</v>
      </c>
      <c r="AF43" s="12" t="s">
        <v>2788</v>
      </c>
      <c r="AG43" s="12" t="s">
        <v>1092</v>
      </c>
      <c r="AH43" s="12" t="s">
        <v>1092</v>
      </c>
      <c r="AI43" s="12" t="s">
        <v>2789</v>
      </c>
      <c r="AJ43" s="12" t="s">
        <v>2790</v>
      </c>
      <c r="AK43" s="12" t="s">
        <v>1092</v>
      </c>
      <c r="AL43" s="12" t="s">
        <v>1092</v>
      </c>
      <c r="AM43" s="12" t="s">
        <v>1092</v>
      </c>
      <c r="AN43" s="12" t="s">
        <v>1092</v>
      </c>
      <c r="AO43" s="178" t="s">
        <v>1093</v>
      </c>
      <c r="AP43" s="178" t="s">
        <v>1093</v>
      </c>
      <c r="AQ43" s="178" t="s">
        <v>1093</v>
      </c>
      <c r="AR43" s="178" t="s">
        <v>1093</v>
      </c>
      <c r="AS43" s="178" t="s">
        <v>1118</v>
      </c>
      <c r="AT43" s="178" t="s">
        <v>1118</v>
      </c>
      <c r="AU43" s="178" t="s">
        <v>1094</v>
      </c>
      <c r="AV43" s="12" t="s">
        <v>1096</v>
      </c>
      <c r="AW43" s="12" t="s">
        <v>1097</v>
      </c>
      <c r="AY43" s="178" t="s">
        <v>1092</v>
      </c>
      <c r="AZ43" s="12" t="s">
        <v>2791</v>
      </c>
      <c r="BA43" s="12" t="s">
        <v>1098</v>
      </c>
      <c r="BB43" s="12" t="s">
        <v>2792</v>
      </c>
      <c r="BD43" s="12" t="s">
        <v>1092</v>
      </c>
      <c r="BE43" s="12" t="s">
        <v>118</v>
      </c>
      <c r="BF43" s="12" t="s">
        <v>121</v>
      </c>
      <c r="BH43" s="12" t="s">
        <v>120</v>
      </c>
      <c r="BI43" s="179">
        <v>40</v>
      </c>
      <c r="BJ43" s="175">
        <v>42208</v>
      </c>
      <c r="BK43" s="176" t="s">
        <v>82</v>
      </c>
      <c r="BL43" s="12"/>
      <c r="BM43" s="12">
        <v>30</v>
      </c>
    </row>
    <row r="44" spans="1:65" x14ac:dyDescent="0.25">
      <c r="A44" s="12" t="s">
        <v>2343</v>
      </c>
      <c r="B44" s="12" t="s">
        <v>894</v>
      </c>
      <c r="C44" s="12" t="s">
        <v>895</v>
      </c>
      <c r="D44" s="12" t="s">
        <v>896</v>
      </c>
      <c r="E44" s="175">
        <v>42198</v>
      </c>
      <c r="F44" s="12" t="s">
        <v>2337</v>
      </c>
      <c r="G44" s="12" t="s">
        <v>1075</v>
      </c>
      <c r="H44" s="12" t="s">
        <v>2793</v>
      </c>
      <c r="I44" s="12" t="s">
        <v>2794</v>
      </c>
      <c r="J44" s="12" t="s">
        <v>2670</v>
      </c>
      <c r="K44" s="12" t="s">
        <v>1078</v>
      </c>
      <c r="L44" s="12" t="s">
        <v>1079</v>
      </c>
      <c r="M44" s="12" t="s">
        <v>1342</v>
      </c>
      <c r="O44" s="178" t="s">
        <v>1081</v>
      </c>
      <c r="P44" s="178" t="s">
        <v>2795</v>
      </c>
      <c r="Q44" s="12" t="s">
        <v>1342</v>
      </c>
      <c r="R44" s="179">
        <v>41</v>
      </c>
      <c r="S44" s="178"/>
      <c r="U44" s="12" t="s">
        <v>120</v>
      </c>
      <c r="W44" s="12" t="s">
        <v>1083</v>
      </c>
      <c r="X44" s="12" t="s">
        <v>1097</v>
      </c>
      <c r="Z44" s="12" t="s">
        <v>1185</v>
      </c>
      <c r="AB44" s="12" t="s">
        <v>1185</v>
      </c>
      <c r="AD44" s="12" t="s">
        <v>1185</v>
      </c>
      <c r="AE44" s="12" t="s">
        <v>1075</v>
      </c>
      <c r="AF44" s="12" t="s">
        <v>2796</v>
      </c>
      <c r="AG44" s="12" t="s">
        <v>1092</v>
      </c>
      <c r="AH44" s="12" t="s">
        <v>1092</v>
      </c>
      <c r="AI44" s="12" t="s">
        <v>2797</v>
      </c>
      <c r="AJ44" s="12" t="s">
        <v>2798</v>
      </c>
      <c r="AK44" s="12" t="s">
        <v>1687</v>
      </c>
      <c r="AL44" s="12" t="s">
        <v>1092</v>
      </c>
      <c r="AM44" s="12" t="s">
        <v>1092</v>
      </c>
      <c r="AN44" s="12" t="s">
        <v>1092</v>
      </c>
      <c r="AO44" s="178" t="s">
        <v>1093</v>
      </c>
      <c r="AP44" s="178" t="s">
        <v>1093</v>
      </c>
      <c r="AQ44" s="178" t="s">
        <v>1092</v>
      </c>
      <c r="AR44" s="178" t="s">
        <v>1092</v>
      </c>
      <c r="AS44" s="178" t="s">
        <v>1118</v>
      </c>
      <c r="AT44" s="178" t="s">
        <v>1095</v>
      </c>
      <c r="AU44" s="178" t="s">
        <v>1095</v>
      </c>
      <c r="AV44" s="12" t="s">
        <v>1096</v>
      </c>
      <c r="AW44" s="12" t="s">
        <v>1097</v>
      </c>
      <c r="AY44" s="178" t="s">
        <v>1092</v>
      </c>
      <c r="AZ44" s="12" t="s">
        <v>2799</v>
      </c>
      <c r="BA44" s="12" t="s">
        <v>1098</v>
      </c>
      <c r="BB44" s="12" t="s">
        <v>2800</v>
      </c>
      <c r="BD44" s="12" t="s">
        <v>1092</v>
      </c>
      <c r="BE44" s="12" t="s">
        <v>118</v>
      </c>
      <c r="BF44" s="12" t="s">
        <v>121</v>
      </c>
      <c r="BH44" s="12" t="s">
        <v>120</v>
      </c>
      <c r="BI44" s="179">
        <v>41</v>
      </c>
      <c r="BJ44" s="175">
        <v>42208</v>
      </c>
      <c r="BK44" s="176" t="s">
        <v>82</v>
      </c>
      <c r="BL44" s="12"/>
      <c r="BM44" s="12">
        <v>30</v>
      </c>
    </row>
    <row r="45" spans="1:65" x14ac:dyDescent="0.25">
      <c r="A45" s="12" t="s">
        <v>2343</v>
      </c>
      <c r="B45" s="12" t="s">
        <v>897</v>
      </c>
      <c r="C45" s="12" t="s">
        <v>898</v>
      </c>
      <c r="D45" s="12" t="s">
        <v>899</v>
      </c>
      <c r="E45" s="175">
        <v>42198</v>
      </c>
      <c r="F45" s="12" t="s">
        <v>2801</v>
      </c>
      <c r="G45" s="12" t="s">
        <v>1075</v>
      </c>
      <c r="H45" s="12" t="s">
        <v>2802</v>
      </c>
      <c r="I45" s="12" t="s">
        <v>2803</v>
      </c>
      <c r="K45" s="12" t="s">
        <v>1242</v>
      </c>
      <c r="L45" s="12" t="s">
        <v>1243</v>
      </c>
      <c r="M45" s="12" t="s">
        <v>1195</v>
      </c>
      <c r="O45" s="178" t="s">
        <v>1451</v>
      </c>
      <c r="P45" s="178" t="s">
        <v>2804</v>
      </c>
      <c r="Q45" s="12" t="s">
        <v>1195</v>
      </c>
      <c r="R45" s="179">
        <v>42</v>
      </c>
      <c r="S45" s="178"/>
      <c r="U45" s="12" t="s">
        <v>120</v>
      </c>
      <c r="W45" s="12" t="s">
        <v>1083</v>
      </c>
      <c r="X45" s="12" t="s">
        <v>1231</v>
      </c>
      <c r="Y45" s="178" t="s">
        <v>2348</v>
      </c>
      <c r="Z45" s="12" t="s">
        <v>2805</v>
      </c>
      <c r="AA45" s="178" t="s">
        <v>2770</v>
      </c>
      <c r="AB45" s="12" t="s">
        <v>2806</v>
      </c>
      <c r="AC45" s="178" t="s">
        <v>1606</v>
      </c>
      <c r="AD45" s="12" t="s">
        <v>2806</v>
      </c>
      <c r="AE45" s="12" t="s">
        <v>1075</v>
      </c>
      <c r="AF45" s="12" t="s">
        <v>2807</v>
      </c>
      <c r="AG45" s="12" t="s">
        <v>1092</v>
      </c>
      <c r="AH45" s="12" t="s">
        <v>1092</v>
      </c>
      <c r="AI45" s="12" t="s">
        <v>2808</v>
      </c>
      <c r="AJ45" s="12" t="s">
        <v>2809</v>
      </c>
      <c r="AK45" s="12" t="s">
        <v>2810</v>
      </c>
      <c r="AL45" s="12" t="s">
        <v>1092</v>
      </c>
      <c r="AM45" s="12" t="s">
        <v>1092</v>
      </c>
      <c r="AN45" s="12" t="s">
        <v>1092</v>
      </c>
      <c r="AO45" s="178" t="s">
        <v>1093</v>
      </c>
      <c r="AP45" s="178" t="s">
        <v>1093</v>
      </c>
      <c r="AQ45" s="178" t="s">
        <v>1093</v>
      </c>
      <c r="AR45" s="178" t="s">
        <v>1093</v>
      </c>
      <c r="AS45" s="178" t="s">
        <v>1118</v>
      </c>
      <c r="AT45" s="178" t="s">
        <v>1118</v>
      </c>
      <c r="AU45" s="178" t="s">
        <v>1118</v>
      </c>
      <c r="AV45" s="12" t="s">
        <v>1096</v>
      </c>
      <c r="AW45" s="12" t="s">
        <v>1097</v>
      </c>
      <c r="AY45" s="178" t="s">
        <v>1092</v>
      </c>
      <c r="AZ45" s="12" t="s">
        <v>2811</v>
      </c>
      <c r="BA45" s="12" t="s">
        <v>2812</v>
      </c>
      <c r="BB45" s="12" t="s">
        <v>1098</v>
      </c>
      <c r="BD45" s="12" t="s">
        <v>1092</v>
      </c>
      <c r="BE45" s="12" t="s">
        <v>118</v>
      </c>
      <c r="BF45" s="12" t="s">
        <v>121</v>
      </c>
      <c r="BH45" s="12" t="s">
        <v>120</v>
      </c>
      <c r="BI45" s="179">
        <v>42</v>
      </c>
      <c r="BJ45" s="175">
        <v>42210</v>
      </c>
      <c r="BK45" s="176" t="s">
        <v>82</v>
      </c>
      <c r="BL45" s="12"/>
      <c r="BM45" s="12">
        <v>30</v>
      </c>
    </row>
    <row r="46" spans="1:65" x14ac:dyDescent="0.25">
      <c r="A46" s="12" t="s">
        <v>2343</v>
      </c>
      <c r="B46" s="12" t="s">
        <v>900</v>
      </c>
      <c r="C46" s="12" t="s">
        <v>901</v>
      </c>
      <c r="D46" s="12" t="s">
        <v>902</v>
      </c>
      <c r="E46" s="175">
        <v>42198</v>
      </c>
      <c r="F46" s="12" t="s">
        <v>2153</v>
      </c>
      <c r="G46" s="12" t="s">
        <v>1075</v>
      </c>
      <c r="H46" s="12" t="s">
        <v>2813</v>
      </c>
      <c r="I46" s="12" t="s">
        <v>2814</v>
      </c>
      <c r="K46" s="12" t="s">
        <v>1209</v>
      </c>
      <c r="L46" s="12" t="s">
        <v>1210</v>
      </c>
      <c r="M46" s="12" t="s">
        <v>1211</v>
      </c>
      <c r="Q46" s="12" t="s">
        <v>1211</v>
      </c>
      <c r="R46" s="179">
        <v>43</v>
      </c>
      <c r="S46" s="178"/>
      <c r="U46" s="12" t="s">
        <v>120</v>
      </c>
      <c r="W46" s="12" t="s">
        <v>1083</v>
      </c>
      <c r="X46" s="12" t="s">
        <v>2671</v>
      </c>
      <c r="Y46" s="178" t="s">
        <v>2815</v>
      </c>
      <c r="Z46" s="12" t="s">
        <v>1525</v>
      </c>
      <c r="AA46" s="178" t="s">
        <v>2012</v>
      </c>
      <c r="AB46" s="12" t="s">
        <v>2816</v>
      </c>
      <c r="AC46" s="178" t="s">
        <v>2084</v>
      </c>
      <c r="AD46" s="12" t="s">
        <v>2817</v>
      </c>
      <c r="AE46" s="12" t="s">
        <v>1075</v>
      </c>
      <c r="AF46" s="12" t="s">
        <v>2818</v>
      </c>
      <c r="AG46" s="12" t="s">
        <v>1092</v>
      </c>
      <c r="AH46" s="12" t="s">
        <v>1092</v>
      </c>
      <c r="AI46" s="12" t="s">
        <v>2819</v>
      </c>
      <c r="AJ46" s="12" t="s">
        <v>2820</v>
      </c>
      <c r="AK46" s="12" t="s">
        <v>1092</v>
      </c>
      <c r="AL46" s="12" t="s">
        <v>1092</v>
      </c>
      <c r="AM46" s="12" t="s">
        <v>1092</v>
      </c>
      <c r="AN46" s="12" t="s">
        <v>1092</v>
      </c>
      <c r="AO46" s="178" t="s">
        <v>1093</v>
      </c>
      <c r="AP46" s="178" t="s">
        <v>1092</v>
      </c>
      <c r="AQ46" s="178" t="s">
        <v>1092</v>
      </c>
      <c r="AR46" s="178" t="s">
        <v>1092</v>
      </c>
      <c r="AS46" s="178" t="s">
        <v>1118</v>
      </c>
      <c r="AT46" s="178" t="s">
        <v>1095</v>
      </c>
      <c r="AU46" s="178" t="s">
        <v>1095</v>
      </c>
      <c r="AV46" s="12" t="s">
        <v>1096</v>
      </c>
      <c r="AW46" s="12" t="s">
        <v>1097</v>
      </c>
      <c r="AY46" s="178" t="s">
        <v>1092</v>
      </c>
      <c r="AZ46" s="12" t="s">
        <v>2821</v>
      </c>
      <c r="BA46" s="12" t="s">
        <v>1098</v>
      </c>
      <c r="BB46" s="12" t="s">
        <v>1098</v>
      </c>
      <c r="BD46" s="12" t="s">
        <v>1092</v>
      </c>
      <c r="BE46" s="12" t="s">
        <v>118</v>
      </c>
      <c r="BF46" s="12" t="s">
        <v>121</v>
      </c>
      <c r="BH46" s="12" t="s">
        <v>120</v>
      </c>
      <c r="BI46" s="179">
        <v>43</v>
      </c>
      <c r="BJ46" s="175">
        <v>42201</v>
      </c>
      <c r="BK46" s="176" t="s">
        <v>119</v>
      </c>
      <c r="BL46" s="177">
        <v>95.96</v>
      </c>
      <c r="BM46" s="12">
        <v>29</v>
      </c>
    </row>
    <row r="47" spans="1:65" x14ac:dyDescent="0.25">
      <c r="A47" s="12" t="s">
        <v>2343</v>
      </c>
      <c r="B47" s="12" t="s">
        <v>903</v>
      </c>
      <c r="C47" s="12" t="s">
        <v>904</v>
      </c>
      <c r="D47" s="12" t="s">
        <v>905</v>
      </c>
      <c r="E47" s="175">
        <v>42198</v>
      </c>
      <c r="F47" s="12" t="s">
        <v>2822</v>
      </c>
      <c r="G47" s="12" t="s">
        <v>1075</v>
      </c>
      <c r="H47" s="12" t="s">
        <v>2823</v>
      </c>
      <c r="I47" s="12" t="s">
        <v>2824</v>
      </c>
      <c r="J47" s="12" t="s">
        <v>2825</v>
      </c>
      <c r="K47" s="12" t="s">
        <v>1078</v>
      </c>
      <c r="L47" s="12" t="s">
        <v>1079</v>
      </c>
      <c r="M47" s="12" t="s">
        <v>1342</v>
      </c>
      <c r="O47" s="178" t="s">
        <v>1126</v>
      </c>
      <c r="P47" s="178" t="s">
        <v>2826</v>
      </c>
      <c r="Q47" s="12" t="s">
        <v>1342</v>
      </c>
      <c r="R47" s="179">
        <v>44</v>
      </c>
      <c r="S47" s="178"/>
      <c r="U47" s="12" t="s">
        <v>120</v>
      </c>
      <c r="W47" s="12" t="s">
        <v>1083</v>
      </c>
      <c r="X47" s="12" t="s">
        <v>2335</v>
      </c>
      <c r="Y47" s="178" t="s">
        <v>1590</v>
      </c>
      <c r="Z47" s="12" t="s">
        <v>2827</v>
      </c>
      <c r="AA47" s="178" t="s">
        <v>1531</v>
      </c>
      <c r="AB47" s="12" t="s">
        <v>2828</v>
      </c>
      <c r="AC47" s="178" t="s">
        <v>1257</v>
      </c>
      <c r="AD47" s="12" t="s">
        <v>2829</v>
      </c>
      <c r="AE47" s="12" t="s">
        <v>1075</v>
      </c>
      <c r="AF47" s="12" t="s">
        <v>2830</v>
      </c>
      <c r="AG47" s="12" t="s">
        <v>1092</v>
      </c>
      <c r="AH47" s="12" t="s">
        <v>1092</v>
      </c>
      <c r="AI47" s="12" t="s">
        <v>2831</v>
      </c>
      <c r="AJ47" s="12" t="s">
        <v>2832</v>
      </c>
      <c r="AK47" s="12" t="s">
        <v>1092</v>
      </c>
      <c r="AL47" s="12" t="s">
        <v>1092</v>
      </c>
      <c r="AM47" s="12" t="s">
        <v>1092</v>
      </c>
      <c r="AN47" s="12" t="s">
        <v>1092</v>
      </c>
      <c r="AO47" s="178" t="s">
        <v>1093</v>
      </c>
      <c r="AP47" s="178" t="s">
        <v>1093</v>
      </c>
      <c r="AQ47" s="178" t="s">
        <v>1093</v>
      </c>
      <c r="AR47" s="178" t="s">
        <v>1093</v>
      </c>
      <c r="AS47" s="178" t="s">
        <v>1118</v>
      </c>
      <c r="AT47" s="178" t="s">
        <v>1118</v>
      </c>
      <c r="AU47" s="178" t="s">
        <v>1118</v>
      </c>
      <c r="AV47" s="12" t="s">
        <v>1096</v>
      </c>
      <c r="AW47" s="12" t="s">
        <v>1097</v>
      </c>
      <c r="AY47" s="178" t="s">
        <v>1092</v>
      </c>
      <c r="AZ47" s="12" t="s">
        <v>2833</v>
      </c>
      <c r="BA47" s="12" t="s">
        <v>1098</v>
      </c>
      <c r="BB47" s="12" t="s">
        <v>2833</v>
      </c>
      <c r="BD47" s="12" t="s">
        <v>1092</v>
      </c>
      <c r="BE47" s="12" t="s">
        <v>118</v>
      </c>
      <c r="BF47" s="12" t="s">
        <v>121</v>
      </c>
      <c r="BH47" s="12" t="s">
        <v>120</v>
      </c>
      <c r="BI47" s="179">
        <v>44</v>
      </c>
      <c r="BJ47" s="175">
        <v>42208</v>
      </c>
      <c r="BK47" s="176" t="s">
        <v>82</v>
      </c>
      <c r="BL47" s="12"/>
      <c r="BM47" s="12">
        <v>30</v>
      </c>
    </row>
    <row r="48" spans="1:65" x14ac:dyDescent="0.25">
      <c r="A48" s="12" t="s">
        <v>2834</v>
      </c>
      <c r="B48" s="12" t="s">
        <v>906</v>
      </c>
      <c r="C48" s="12" t="s">
        <v>907</v>
      </c>
      <c r="D48" s="12" t="s">
        <v>908</v>
      </c>
      <c r="E48" s="175">
        <v>42198</v>
      </c>
      <c r="F48" s="12" t="s">
        <v>2835</v>
      </c>
      <c r="G48" s="12" t="s">
        <v>1075</v>
      </c>
      <c r="H48" s="12" t="s">
        <v>2836</v>
      </c>
      <c r="I48" s="12" t="s">
        <v>2837</v>
      </c>
      <c r="K48" s="12" t="s">
        <v>1103</v>
      </c>
      <c r="L48" s="12" t="s">
        <v>1124</v>
      </c>
      <c r="M48" s="12" t="s">
        <v>1105</v>
      </c>
      <c r="O48" s="178" t="s">
        <v>1142</v>
      </c>
      <c r="P48" s="178" t="s">
        <v>2838</v>
      </c>
      <c r="Q48" s="12" t="s">
        <v>1105</v>
      </c>
      <c r="R48" s="179">
        <v>45</v>
      </c>
      <c r="S48" s="178"/>
      <c r="U48" s="12" t="s">
        <v>120</v>
      </c>
      <c r="W48" s="12" t="s">
        <v>1083</v>
      </c>
      <c r="X48" s="12" t="s">
        <v>2671</v>
      </c>
      <c r="Y48" s="178" t="s">
        <v>1979</v>
      </c>
      <c r="Z48" s="12" t="s">
        <v>2839</v>
      </c>
      <c r="AA48" s="178" t="s">
        <v>2688</v>
      </c>
      <c r="AB48" s="12" t="s">
        <v>2840</v>
      </c>
      <c r="AC48" s="178" t="s">
        <v>2841</v>
      </c>
      <c r="AD48" s="12" t="s">
        <v>2840</v>
      </c>
      <c r="AE48" s="12" t="s">
        <v>1075</v>
      </c>
      <c r="AF48" s="12" t="s">
        <v>2842</v>
      </c>
      <c r="AG48" s="12" t="s">
        <v>1092</v>
      </c>
      <c r="AH48" s="12" t="s">
        <v>1092</v>
      </c>
      <c r="AI48" s="12" t="s">
        <v>2843</v>
      </c>
      <c r="AJ48" s="12" t="s">
        <v>2844</v>
      </c>
      <c r="AK48" s="12" t="s">
        <v>2845</v>
      </c>
      <c r="AL48" s="12" t="s">
        <v>2846</v>
      </c>
      <c r="AM48" s="12" t="s">
        <v>1092</v>
      </c>
      <c r="AN48" s="12" t="s">
        <v>1092</v>
      </c>
      <c r="AO48" s="178" t="s">
        <v>1092</v>
      </c>
      <c r="AP48" s="178" t="s">
        <v>1092</v>
      </c>
      <c r="AQ48" s="178" t="s">
        <v>1093</v>
      </c>
      <c r="AR48" s="178" t="s">
        <v>1092</v>
      </c>
      <c r="AS48" s="178" t="s">
        <v>1155</v>
      </c>
      <c r="AT48" s="178" t="s">
        <v>1118</v>
      </c>
      <c r="AU48" s="178" t="s">
        <v>1095</v>
      </c>
      <c r="AV48" s="12" t="s">
        <v>1096</v>
      </c>
      <c r="AW48" s="12" t="s">
        <v>1097</v>
      </c>
      <c r="AY48" s="178" t="s">
        <v>1092</v>
      </c>
      <c r="AZ48" s="12" t="s">
        <v>2847</v>
      </c>
      <c r="BA48" s="12" t="s">
        <v>2848</v>
      </c>
      <c r="BB48" s="12" t="s">
        <v>2849</v>
      </c>
      <c r="BC48" s="178" t="s">
        <v>1205</v>
      </c>
      <c r="BD48" s="12" t="s">
        <v>1092</v>
      </c>
      <c r="BE48" s="12" t="s">
        <v>118</v>
      </c>
      <c r="BF48" s="12" t="s">
        <v>121</v>
      </c>
      <c r="BH48" s="12" t="s">
        <v>120</v>
      </c>
      <c r="BI48" s="179">
        <v>45</v>
      </c>
      <c r="BJ48" s="175">
        <v>42209</v>
      </c>
      <c r="BK48" s="176" t="s">
        <v>82</v>
      </c>
      <c r="BL48" s="12"/>
      <c r="BM48" s="12">
        <v>30</v>
      </c>
    </row>
    <row r="49" spans="1:65" x14ac:dyDescent="0.25">
      <c r="A49" s="12" t="s">
        <v>2834</v>
      </c>
      <c r="B49" s="12" t="s">
        <v>909</v>
      </c>
      <c r="C49" s="12" t="s">
        <v>910</v>
      </c>
      <c r="D49" s="12" t="s">
        <v>911</v>
      </c>
      <c r="E49" s="175">
        <v>42198</v>
      </c>
      <c r="F49" s="12" t="s">
        <v>2850</v>
      </c>
      <c r="G49" s="12" t="s">
        <v>1075</v>
      </c>
      <c r="H49" s="12" t="s">
        <v>2851</v>
      </c>
      <c r="I49" s="12" t="s">
        <v>2852</v>
      </c>
      <c r="K49" s="12" t="s">
        <v>1448</v>
      </c>
      <c r="L49" s="12" t="s">
        <v>1449</v>
      </c>
      <c r="M49" s="12" t="s">
        <v>1450</v>
      </c>
      <c r="O49" s="178" t="s">
        <v>2144</v>
      </c>
      <c r="P49" s="178" t="s">
        <v>2853</v>
      </c>
      <c r="Q49" s="12" t="s">
        <v>1450</v>
      </c>
      <c r="R49" s="179">
        <v>46</v>
      </c>
      <c r="S49" s="178"/>
      <c r="U49" s="12" t="s">
        <v>120</v>
      </c>
      <c r="W49" s="12" t="s">
        <v>1083</v>
      </c>
      <c r="X49" s="12" t="s">
        <v>1977</v>
      </c>
      <c r="Y49" s="178" t="s">
        <v>2348</v>
      </c>
      <c r="Z49" s="12" t="s">
        <v>2854</v>
      </c>
      <c r="AA49" s="178" t="s">
        <v>1965</v>
      </c>
      <c r="AB49" s="12" t="s">
        <v>2855</v>
      </c>
      <c r="AC49" s="178" t="s">
        <v>1468</v>
      </c>
      <c r="AD49" s="12" t="s">
        <v>2856</v>
      </c>
      <c r="AE49" s="12" t="s">
        <v>1075</v>
      </c>
      <c r="AF49" s="12" t="s">
        <v>2857</v>
      </c>
      <c r="AG49" s="12" t="s">
        <v>1092</v>
      </c>
      <c r="AH49" s="12" t="s">
        <v>1092</v>
      </c>
      <c r="AI49" s="12" t="s">
        <v>2858</v>
      </c>
      <c r="AJ49" s="12" t="s">
        <v>2859</v>
      </c>
      <c r="AK49" s="12" t="s">
        <v>1092</v>
      </c>
      <c r="AL49" s="12" t="s">
        <v>1092</v>
      </c>
      <c r="AM49" s="12" t="s">
        <v>1092</v>
      </c>
      <c r="AN49" s="12" t="s">
        <v>1092</v>
      </c>
      <c r="AO49" s="178" t="s">
        <v>1093</v>
      </c>
      <c r="AP49" s="178" t="s">
        <v>1093</v>
      </c>
      <c r="AQ49" s="178" t="s">
        <v>1093</v>
      </c>
      <c r="AR49" s="178" t="s">
        <v>1093</v>
      </c>
      <c r="AS49" s="178" t="s">
        <v>1118</v>
      </c>
      <c r="AT49" s="178" t="s">
        <v>1118</v>
      </c>
      <c r="AU49" s="178" t="s">
        <v>1118</v>
      </c>
      <c r="AV49" s="12" t="s">
        <v>1096</v>
      </c>
      <c r="AW49" s="12" t="s">
        <v>1097</v>
      </c>
      <c r="AY49" s="178" t="s">
        <v>1092</v>
      </c>
      <c r="AZ49" s="12" t="s">
        <v>2860</v>
      </c>
      <c r="BA49" s="12" t="s">
        <v>1098</v>
      </c>
      <c r="BB49" s="12" t="s">
        <v>1098</v>
      </c>
      <c r="BD49" s="12" t="s">
        <v>1092</v>
      </c>
      <c r="BE49" s="12" t="s">
        <v>118</v>
      </c>
      <c r="BF49" s="12" t="s">
        <v>121</v>
      </c>
      <c r="BH49" s="12" t="s">
        <v>120</v>
      </c>
      <c r="BI49" s="179">
        <v>46</v>
      </c>
      <c r="BJ49" s="175">
        <v>42208</v>
      </c>
      <c r="BK49" s="176" t="s">
        <v>82</v>
      </c>
      <c r="BL49" s="12"/>
      <c r="BM49" s="12">
        <v>30</v>
      </c>
    </row>
    <row r="50" spans="1:65" x14ac:dyDescent="0.25">
      <c r="A50" s="12" t="s">
        <v>2834</v>
      </c>
      <c r="B50" s="12" t="s">
        <v>912</v>
      </c>
      <c r="C50" s="12" t="s">
        <v>913</v>
      </c>
      <c r="D50" s="12" t="s">
        <v>914</v>
      </c>
      <c r="E50" s="175">
        <v>42198</v>
      </c>
      <c r="F50" s="12" t="s">
        <v>2861</v>
      </c>
      <c r="G50" s="12" t="s">
        <v>1075</v>
      </c>
      <c r="H50" s="12" t="s">
        <v>2862</v>
      </c>
      <c r="I50" s="12" t="s">
        <v>2863</v>
      </c>
      <c r="K50" s="12" t="s">
        <v>1078</v>
      </c>
      <c r="L50" s="12" t="s">
        <v>1079</v>
      </c>
      <c r="M50" s="12" t="s">
        <v>1342</v>
      </c>
      <c r="O50" s="178" t="s">
        <v>2864</v>
      </c>
      <c r="P50" s="178" t="s">
        <v>2865</v>
      </c>
      <c r="Q50" s="12" t="s">
        <v>1342</v>
      </c>
      <c r="R50" s="179">
        <v>47</v>
      </c>
      <c r="S50" s="178"/>
      <c r="U50" s="12" t="s">
        <v>120</v>
      </c>
      <c r="W50" s="12" t="s">
        <v>1083</v>
      </c>
      <c r="X50" s="12" t="s">
        <v>2054</v>
      </c>
      <c r="Y50" s="178" t="s">
        <v>1111</v>
      </c>
      <c r="Z50" s="12" t="s">
        <v>2866</v>
      </c>
      <c r="AA50" s="178" t="s">
        <v>2084</v>
      </c>
      <c r="AB50" s="12" t="s">
        <v>2596</v>
      </c>
      <c r="AC50" s="178" t="s">
        <v>2867</v>
      </c>
      <c r="AD50" s="12" t="s">
        <v>1525</v>
      </c>
      <c r="AE50" s="12" t="s">
        <v>1075</v>
      </c>
      <c r="AF50" s="12" t="s">
        <v>2868</v>
      </c>
      <c r="AG50" s="12" t="s">
        <v>1092</v>
      </c>
      <c r="AH50" s="12" t="s">
        <v>1092</v>
      </c>
      <c r="AI50" s="12" t="s">
        <v>1609</v>
      </c>
      <c r="AJ50" s="12" t="s">
        <v>1610</v>
      </c>
      <c r="AK50" s="12" t="s">
        <v>1092</v>
      </c>
      <c r="AL50" s="12" t="s">
        <v>1092</v>
      </c>
      <c r="AM50" s="12" t="s">
        <v>1092</v>
      </c>
      <c r="AN50" s="12" t="s">
        <v>1092</v>
      </c>
      <c r="AO50" s="178" t="s">
        <v>1092</v>
      </c>
      <c r="AP50" s="178" t="s">
        <v>1092</v>
      </c>
      <c r="AQ50" s="178" t="s">
        <v>1093</v>
      </c>
      <c r="AR50" s="178" t="s">
        <v>1092</v>
      </c>
      <c r="AS50" s="178" t="s">
        <v>1155</v>
      </c>
      <c r="AT50" s="178" t="s">
        <v>1118</v>
      </c>
      <c r="AU50" s="178" t="s">
        <v>1095</v>
      </c>
      <c r="AV50" s="12" t="s">
        <v>1096</v>
      </c>
      <c r="AW50" s="12" t="s">
        <v>1097</v>
      </c>
      <c r="AX50" s="178" t="s">
        <v>2869</v>
      </c>
      <c r="AY50" s="178" t="s">
        <v>1093</v>
      </c>
      <c r="AZ50" s="12" t="s">
        <v>2870</v>
      </c>
      <c r="BA50" s="12" t="s">
        <v>1098</v>
      </c>
      <c r="BB50" s="12" t="s">
        <v>1098</v>
      </c>
      <c r="BD50" s="12" t="s">
        <v>1092</v>
      </c>
      <c r="BE50" s="12" t="s">
        <v>118</v>
      </c>
      <c r="BF50" s="12" t="s">
        <v>121</v>
      </c>
      <c r="BH50" s="12" t="s">
        <v>120</v>
      </c>
      <c r="BI50" s="179">
        <v>47</v>
      </c>
      <c r="BJ50" s="175">
        <v>42212</v>
      </c>
      <c r="BK50" s="176" t="s">
        <v>82</v>
      </c>
      <c r="BL50" s="12"/>
    </row>
    <row r="51" spans="1:65" x14ac:dyDescent="0.25">
      <c r="A51" s="12" t="s">
        <v>2834</v>
      </c>
      <c r="B51" s="12" t="s">
        <v>915</v>
      </c>
      <c r="C51" s="12" t="s">
        <v>916</v>
      </c>
      <c r="D51" s="12" t="s">
        <v>917</v>
      </c>
      <c r="E51" s="175">
        <v>42198</v>
      </c>
      <c r="F51" s="12" t="s">
        <v>2871</v>
      </c>
      <c r="G51" s="12" t="s">
        <v>1075</v>
      </c>
      <c r="H51" s="12" t="s">
        <v>2872</v>
      </c>
      <c r="I51" s="12" t="s">
        <v>2873</v>
      </c>
      <c r="K51" s="12" t="s">
        <v>1103</v>
      </c>
      <c r="L51" s="12" t="s">
        <v>1179</v>
      </c>
      <c r="M51" s="12" t="s">
        <v>1180</v>
      </c>
      <c r="O51" s="178" t="s">
        <v>1275</v>
      </c>
      <c r="P51" s="178" t="s">
        <v>2874</v>
      </c>
      <c r="Q51" s="12" t="s">
        <v>1180</v>
      </c>
      <c r="R51" s="179">
        <v>48</v>
      </c>
      <c r="S51" s="178"/>
      <c r="U51" s="12" t="s">
        <v>120</v>
      </c>
      <c r="W51" s="12" t="s">
        <v>1083</v>
      </c>
      <c r="X51" s="12" t="s">
        <v>1231</v>
      </c>
      <c r="Y51" s="178" t="s">
        <v>1313</v>
      </c>
      <c r="Z51" s="12" t="s">
        <v>2875</v>
      </c>
      <c r="AA51" s="178" t="s">
        <v>1313</v>
      </c>
      <c r="AB51" s="12" t="s">
        <v>2876</v>
      </c>
      <c r="AC51" s="178" t="s">
        <v>1183</v>
      </c>
      <c r="AD51" s="12" t="s">
        <v>2877</v>
      </c>
      <c r="AE51" s="12" t="s">
        <v>1075</v>
      </c>
      <c r="AF51" s="12" t="s">
        <v>2878</v>
      </c>
      <c r="AG51" s="12" t="s">
        <v>1092</v>
      </c>
      <c r="AH51" s="12" t="s">
        <v>1092</v>
      </c>
      <c r="AI51" s="12" t="s">
        <v>2879</v>
      </c>
      <c r="AJ51" s="12" t="s">
        <v>2880</v>
      </c>
      <c r="AK51" s="12" t="s">
        <v>2881</v>
      </c>
      <c r="AL51" s="12" t="s">
        <v>1092</v>
      </c>
      <c r="AM51" s="12" t="s">
        <v>1092</v>
      </c>
      <c r="AN51" s="12" t="s">
        <v>1092</v>
      </c>
      <c r="AO51" s="178" t="s">
        <v>1093</v>
      </c>
      <c r="AP51" s="178" t="s">
        <v>1093</v>
      </c>
      <c r="AQ51" s="178" t="s">
        <v>1093</v>
      </c>
      <c r="AR51" s="178" t="s">
        <v>1092</v>
      </c>
      <c r="AS51" s="178" t="s">
        <v>1118</v>
      </c>
      <c r="AT51" s="178" t="s">
        <v>1118</v>
      </c>
      <c r="AU51" s="178" t="s">
        <v>1095</v>
      </c>
      <c r="AV51" s="12" t="s">
        <v>1096</v>
      </c>
      <c r="AW51" s="12" t="s">
        <v>1097</v>
      </c>
      <c r="AX51" s="178" t="s">
        <v>2882</v>
      </c>
      <c r="AY51" s="178" t="s">
        <v>1213</v>
      </c>
      <c r="AZ51" s="12" t="s">
        <v>2883</v>
      </c>
      <c r="BA51" s="12" t="s">
        <v>1098</v>
      </c>
      <c r="BB51" s="12" t="s">
        <v>2884</v>
      </c>
      <c r="BD51" s="12" t="s">
        <v>1092</v>
      </c>
      <c r="BE51" s="12" t="s">
        <v>118</v>
      </c>
      <c r="BF51" s="12" t="s">
        <v>121</v>
      </c>
      <c r="BH51" s="12" t="s">
        <v>120</v>
      </c>
      <c r="BI51" s="179">
        <v>48</v>
      </c>
      <c r="BJ51" s="175">
        <v>42209</v>
      </c>
      <c r="BK51" s="176" t="s">
        <v>82</v>
      </c>
      <c r="BL51" s="12"/>
      <c r="BM51" s="12">
        <v>30</v>
      </c>
    </row>
    <row r="52" spans="1:65" x14ac:dyDescent="0.25">
      <c r="A52" s="12" t="s">
        <v>2834</v>
      </c>
      <c r="B52" s="12" t="s">
        <v>918</v>
      </c>
      <c r="C52" s="12" t="s">
        <v>919</v>
      </c>
      <c r="D52" s="12" t="s">
        <v>920</v>
      </c>
      <c r="E52" s="175">
        <v>42198</v>
      </c>
      <c r="F52" s="12" t="s">
        <v>2885</v>
      </c>
      <c r="G52" s="12" t="s">
        <v>1075</v>
      </c>
      <c r="H52" s="12" t="s">
        <v>2886</v>
      </c>
      <c r="I52" s="12" t="s">
        <v>2887</v>
      </c>
      <c r="K52" s="12" t="s">
        <v>1103</v>
      </c>
      <c r="L52" s="12" t="s">
        <v>1104</v>
      </c>
      <c r="M52" s="12" t="s">
        <v>1180</v>
      </c>
      <c r="O52" s="178" t="s">
        <v>2888</v>
      </c>
      <c r="P52" s="178" t="s">
        <v>2889</v>
      </c>
      <c r="Q52" s="12" t="s">
        <v>1180</v>
      </c>
      <c r="R52" s="179">
        <v>49</v>
      </c>
      <c r="S52" s="178"/>
      <c r="U52" s="12" t="s">
        <v>120</v>
      </c>
      <c r="W52" s="12" t="s">
        <v>1083</v>
      </c>
      <c r="X52" s="12" t="s">
        <v>1084</v>
      </c>
      <c r="Y52" s="178" t="s">
        <v>1087</v>
      </c>
      <c r="Z52" s="12" t="s">
        <v>1112</v>
      </c>
      <c r="AA52" s="178" t="s">
        <v>1815</v>
      </c>
      <c r="AB52" s="12" t="s">
        <v>2596</v>
      </c>
      <c r="AC52" s="178" t="s">
        <v>2867</v>
      </c>
      <c r="AD52" s="12" t="s">
        <v>1684</v>
      </c>
      <c r="AE52" s="12" t="s">
        <v>1075</v>
      </c>
      <c r="AF52" s="12" t="s">
        <v>2890</v>
      </c>
      <c r="AG52" s="12" t="s">
        <v>1092</v>
      </c>
      <c r="AH52" s="12" t="s">
        <v>1092</v>
      </c>
      <c r="AI52" s="12" t="s">
        <v>2891</v>
      </c>
      <c r="AJ52" s="12" t="s">
        <v>2892</v>
      </c>
      <c r="AK52" s="12" t="s">
        <v>2893</v>
      </c>
      <c r="AL52" s="12" t="s">
        <v>1092</v>
      </c>
      <c r="AM52" s="12" t="s">
        <v>1092</v>
      </c>
      <c r="AN52" s="12" t="s">
        <v>1092</v>
      </c>
      <c r="AO52" s="178" t="s">
        <v>1093</v>
      </c>
      <c r="AP52" s="178" t="s">
        <v>1093</v>
      </c>
      <c r="AQ52" s="178" t="s">
        <v>1093</v>
      </c>
      <c r="AR52" s="178" t="s">
        <v>1092</v>
      </c>
      <c r="AS52" s="178" t="s">
        <v>1118</v>
      </c>
      <c r="AT52" s="178" t="s">
        <v>1118</v>
      </c>
      <c r="AU52" s="178" t="s">
        <v>1095</v>
      </c>
      <c r="AV52" s="12" t="s">
        <v>1096</v>
      </c>
      <c r="AW52" s="12" t="s">
        <v>1097</v>
      </c>
      <c r="AY52" s="178" t="s">
        <v>1092</v>
      </c>
      <c r="AZ52" s="12" t="s">
        <v>2894</v>
      </c>
      <c r="BA52" s="12" t="s">
        <v>1098</v>
      </c>
      <c r="BB52" s="12" t="s">
        <v>1098</v>
      </c>
      <c r="BC52" s="178" t="s">
        <v>1205</v>
      </c>
      <c r="BD52" s="12" t="s">
        <v>1092</v>
      </c>
      <c r="BE52" s="12" t="s">
        <v>118</v>
      </c>
      <c r="BF52" s="12" t="s">
        <v>121</v>
      </c>
      <c r="BH52" s="12" t="s">
        <v>120</v>
      </c>
      <c r="BI52" s="179">
        <v>49</v>
      </c>
      <c r="BJ52" s="175">
        <v>42209</v>
      </c>
      <c r="BK52" s="176" t="s">
        <v>82</v>
      </c>
      <c r="BL52" s="12"/>
      <c r="BM52" s="12">
        <v>30</v>
      </c>
    </row>
    <row r="53" spans="1:65" x14ac:dyDescent="0.25">
      <c r="A53" s="12" t="s">
        <v>2834</v>
      </c>
      <c r="B53" s="12" t="s">
        <v>921</v>
      </c>
      <c r="C53" s="12" t="s">
        <v>922</v>
      </c>
      <c r="D53" s="12" t="s">
        <v>923</v>
      </c>
      <c r="E53" s="175">
        <v>42198</v>
      </c>
      <c r="F53" s="12" t="s">
        <v>2214</v>
      </c>
      <c r="G53" s="12" t="s">
        <v>1075</v>
      </c>
      <c r="H53" s="12" t="s">
        <v>2895</v>
      </c>
      <c r="I53" s="12" t="s">
        <v>2896</v>
      </c>
      <c r="J53" s="12" t="s">
        <v>1395</v>
      </c>
      <c r="K53" s="12" t="s">
        <v>1103</v>
      </c>
      <c r="L53" s="12" t="s">
        <v>1179</v>
      </c>
      <c r="M53" s="12" t="s">
        <v>1195</v>
      </c>
      <c r="O53" s="178" t="s">
        <v>1864</v>
      </c>
      <c r="P53" s="178" t="s">
        <v>2897</v>
      </c>
      <c r="Q53" s="12" t="s">
        <v>1195</v>
      </c>
      <c r="R53" s="179">
        <v>50</v>
      </c>
      <c r="S53" s="178"/>
      <c r="U53" s="12" t="s">
        <v>120</v>
      </c>
      <c r="W53" s="12" t="s">
        <v>1083</v>
      </c>
      <c r="X53" s="12" t="s">
        <v>1977</v>
      </c>
      <c r="Y53" s="178" t="s">
        <v>1424</v>
      </c>
      <c r="Z53" s="12" t="s">
        <v>2256</v>
      </c>
      <c r="AB53" s="12" t="s">
        <v>1185</v>
      </c>
      <c r="AD53" s="12" t="s">
        <v>1185</v>
      </c>
      <c r="AE53" s="12" t="s">
        <v>1075</v>
      </c>
      <c r="AF53" s="12" t="s">
        <v>2898</v>
      </c>
      <c r="AG53" s="12" t="s">
        <v>1092</v>
      </c>
      <c r="AH53" s="12" t="s">
        <v>1092</v>
      </c>
      <c r="AI53" s="12" t="s">
        <v>2899</v>
      </c>
      <c r="AJ53" s="12" t="s">
        <v>2900</v>
      </c>
      <c r="AK53" s="12" t="s">
        <v>1092</v>
      </c>
      <c r="AL53" s="12" t="s">
        <v>1092</v>
      </c>
      <c r="AM53" s="12" t="s">
        <v>1092</v>
      </c>
      <c r="AN53" s="12" t="s">
        <v>1092</v>
      </c>
      <c r="AO53" s="178" t="s">
        <v>1092</v>
      </c>
      <c r="AP53" s="178" t="s">
        <v>1092</v>
      </c>
      <c r="AQ53" s="178" t="s">
        <v>1093</v>
      </c>
      <c r="AR53" s="178" t="s">
        <v>1092</v>
      </c>
      <c r="AS53" s="178" t="s">
        <v>1155</v>
      </c>
      <c r="AT53" s="178" t="s">
        <v>1118</v>
      </c>
      <c r="AU53" s="178" t="s">
        <v>1095</v>
      </c>
      <c r="AV53" s="12" t="s">
        <v>1096</v>
      </c>
      <c r="AW53" s="12" t="s">
        <v>1097</v>
      </c>
      <c r="AY53" s="178" t="s">
        <v>1092</v>
      </c>
      <c r="AZ53" s="12" t="s">
        <v>2901</v>
      </c>
      <c r="BA53" s="12" t="s">
        <v>1098</v>
      </c>
      <c r="BB53" s="12" t="s">
        <v>1098</v>
      </c>
      <c r="BD53" s="12" t="s">
        <v>1092</v>
      </c>
      <c r="BE53" s="12" t="s">
        <v>118</v>
      </c>
      <c r="BF53" s="12" t="s">
        <v>121</v>
      </c>
      <c r="BH53" s="12" t="s">
        <v>120</v>
      </c>
      <c r="BI53" s="179">
        <v>50</v>
      </c>
      <c r="BJ53" s="175">
        <v>42210</v>
      </c>
      <c r="BK53" s="176" t="s">
        <v>82</v>
      </c>
      <c r="BL53" s="12"/>
      <c r="BM53" s="12">
        <v>30</v>
      </c>
    </row>
    <row r="54" spans="1:65" x14ac:dyDescent="0.25">
      <c r="A54" s="12" t="s">
        <v>2834</v>
      </c>
      <c r="B54" s="12" t="s">
        <v>924</v>
      </c>
      <c r="C54" s="12" t="s">
        <v>925</v>
      </c>
      <c r="D54" s="12" t="s">
        <v>926</v>
      </c>
      <c r="E54" s="175">
        <v>42198</v>
      </c>
      <c r="F54" s="12" t="s">
        <v>2902</v>
      </c>
      <c r="G54" s="12" t="s">
        <v>1075</v>
      </c>
      <c r="H54" s="12" t="s">
        <v>2903</v>
      </c>
      <c r="I54" s="12" t="s">
        <v>2904</v>
      </c>
      <c r="K54" s="12" t="s">
        <v>1103</v>
      </c>
      <c r="L54" s="12" t="s">
        <v>1179</v>
      </c>
      <c r="M54" s="12" t="s">
        <v>1244</v>
      </c>
      <c r="O54" s="178" t="s">
        <v>1727</v>
      </c>
      <c r="P54" s="178" t="s">
        <v>2905</v>
      </c>
      <c r="Q54" s="12" t="s">
        <v>1244</v>
      </c>
      <c r="R54" s="179">
        <v>51</v>
      </c>
      <c r="S54" s="178"/>
      <c r="U54" s="12" t="s">
        <v>120</v>
      </c>
      <c r="W54" s="12" t="s">
        <v>1083</v>
      </c>
      <c r="X54" s="12" t="s">
        <v>1918</v>
      </c>
      <c r="Y54" s="178" t="s">
        <v>2906</v>
      </c>
      <c r="Z54" s="12" t="s">
        <v>2907</v>
      </c>
      <c r="AA54" s="178" t="s">
        <v>2264</v>
      </c>
      <c r="AB54" s="12" t="s">
        <v>2908</v>
      </c>
      <c r="AC54" s="178" t="s">
        <v>1176</v>
      </c>
      <c r="AD54" s="12" t="s">
        <v>2908</v>
      </c>
      <c r="AE54" s="12" t="s">
        <v>1075</v>
      </c>
      <c r="AF54" s="12" t="s">
        <v>2909</v>
      </c>
      <c r="AG54" s="12" t="s">
        <v>1236</v>
      </c>
      <c r="AH54" s="12" t="s">
        <v>1092</v>
      </c>
      <c r="AI54" s="12" t="s">
        <v>2910</v>
      </c>
      <c r="AJ54" s="12" t="s">
        <v>2911</v>
      </c>
      <c r="AK54" s="12" t="s">
        <v>1092</v>
      </c>
      <c r="AL54" s="12" t="s">
        <v>1092</v>
      </c>
      <c r="AM54" s="12" t="s">
        <v>1092</v>
      </c>
      <c r="AN54" s="12" t="s">
        <v>1092</v>
      </c>
      <c r="AO54" s="178" t="s">
        <v>1093</v>
      </c>
      <c r="AP54" s="178" t="s">
        <v>1093</v>
      </c>
      <c r="AQ54" s="178" t="s">
        <v>1093</v>
      </c>
      <c r="AR54" s="178" t="s">
        <v>1092</v>
      </c>
      <c r="AS54" s="178" t="s">
        <v>1118</v>
      </c>
      <c r="AT54" s="178" t="s">
        <v>1118</v>
      </c>
      <c r="AU54" s="178" t="s">
        <v>1095</v>
      </c>
      <c r="AV54" s="12" t="s">
        <v>1096</v>
      </c>
      <c r="AW54" s="12" t="s">
        <v>1097</v>
      </c>
      <c r="AX54" s="178" t="s">
        <v>2018</v>
      </c>
      <c r="AY54" s="178" t="s">
        <v>1093</v>
      </c>
      <c r="AZ54" s="12" t="s">
        <v>2912</v>
      </c>
      <c r="BA54" s="12" t="s">
        <v>1098</v>
      </c>
      <c r="BB54" s="12" t="s">
        <v>1098</v>
      </c>
      <c r="BD54" s="12" t="s">
        <v>1092</v>
      </c>
      <c r="BE54" s="12" t="s">
        <v>118</v>
      </c>
      <c r="BF54" s="12" t="s">
        <v>121</v>
      </c>
      <c r="BH54" s="12" t="s">
        <v>120</v>
      </c>
      <c r="BI54" s="179">
        <v>51</v>
      </c>
      <c r="BJ54" s="175">
        <v>42209</v>
      </c>
      <c r="BK54" s="176" t="s">
        <v>82</v>
      </c>
      <c r="BL54" s="12"/>
      <c r="BM54" s="12">
        <v>30</v>
      </c>
    </row>
    <row r="55" spans="1:65" x14ac:dyDescent="0.25">
      <c r="A55" s="12" t="s">
        <v>2834</v>
      </c>
      <c r="B55" s="12" t="s">
        <v>927</v>
      </c>
      <c r="C55" s="12" t="s">
        <v>928</v>
      </c>
      <c r="D55" s="12" t="s">
        <v>929</v>
      </c>
      <c r="E55" s="175">
        <v>42198</v>
      </c>
      <c r="F55" s="12" t="s">
        <v>2913</v>
      </c>
      <c r="G55" s="12" t="s">
        <v>1075</v>
      </c>
      <c r="H55" s="12" t="s">
        <v>2914</v>
      </c>
      <c r="I55" s="12" t="s">
        <v>2915</v>
      </c>
      <c r="J55" s="12" t="s">
        <v>2916</v>
      </c>
      <c r="K55" s="12" t="s">
        <v>1103</v>
      </c>
      <c r="L55" s="12" t="s">
        <v>1179</v>
      </c>
      <c r="M55" s="12" t="s">
        <v>1244</v>
      </c>
      <c r="O55" s="178" t="s">
        <v>1275</v>
      </c>
      <c r="P55" s="178" t="s">
        <v>2917</v>
      </c>
      <c r="Q55" s="12" t="s">
        <v>1244</v>
      </c>
      <c r="R55" s="179">
        <v>52</v>
      </c>
      <c r="S55" s="178"/>
      <c r="U55" s="12" t="s">
        <v>120</v>
      </c>
      <c r="W55" s="12" t="s">
        <v>1083</v>
      </c>
      <c r="X55" s="12" t="s">
        <v>1303</v>
      </c>
      <c r="Y55" s="178" t="s">
        <v>1318</v>
      </c>
      <c r="Z55" s="12" t="s">
        <v>2918</v>
      </c>
      <c r="AA55" s="178" t="s">
        <v>1214</v>
      </c>
      <c r="AB55" s="12" t="s">
        <v>2919</v>
      </c>
      <c r="AC55" s="178" t="s">
        <v>1089</v>
      </c>
      <c r="AD55" s="12" t="s">
        <v>2919</v>
      </c>
      <c r="AE55" s="12" t="s">
        <v>1075</v>
      </c>
      <c r="AF55" s="12" t="s">
        <v>2920</v>
      </c>
      <c r="AG55" s="12" t="s">
        <v>1092</v>
      </c>
      <c r="AH55" s="12" t="s">
        <v>1092</v>
      </c>
      <c r="AI55" s="12" t="s">
        <v>2921</v>
      </c>
      <c r="AJ55" s="12" t="s">
        <v>2922</v>
      </c>
      <c r="AK55" s="12" t="s">
        <v>1092</v>
      </c>
      <c r="AL55" s="12" t="s">
        <v>1092</v>
      </c>
      <c r="AM55" s="12" t="s">
        <v>1092</v>
      </c>
      <c r="AN55" s="12" t="s">
        <v>1092</v>
      </c>
      <c r="AO55" s="178" t="s">
        <v>1093</v>
      </c>
      <c r="AP55" s="178" t="s">
        <v>1093</v>
      </c>
      <c r="AQ55" s="178" t="s">
        <v>1093</v>
      </c>
      <c r="AR55" s="178" t="s">
        <v>1093</v>
      </c>
      <c r="AS55" s="178" t="s">
        <v>1118</v>
      </c>
      <c r="AT55" s="178" t="s">
        <v>1118</v>
      </c>
      <c r="AU55" s="178" t="s">
        <v>1118</v>
      </c>
      <c r="AV55" s="12" t="s">
        <v>1096</v>
      </c>
      <c r="AW55" s="12" t="s">
        <v>1097</v>
      </c>
      <c r="AX55" s="178" t="s">
        <v>2923</v>
      </c>
      <c r="AY55" s="178" t="s">
        <v>1213</v>
      </c>
      <c r="AZ55" s="12" t="s">
        <v>2924</v>
      </c>
      <c r="BA55" s="12" t="s">
        <v>1098</v>
      </c>
      <c r="BB55" s="12" t="s">
        <v>1098</v>
      </c>
      <c r="BD55" s="12" t="s">
        <v>1092</v>
      </c>
      <c r="BE55" s="12" t="s">
        <v>118</v>
      </c>
      <c r="BF55" s="12" t="s">
        <v>121</v>
      </c>
      <c r="BH55" s="12" t="s">
        <v>120</v>
      </c>
      <c r="BI55" s="179">
        <v>52</v>
      </c>
      <c r="BJ55" s="175">
        <v>42210</v>
      </c>
      <c r="BK55" s="176" t="s">
        <v>82</v>
      </c>
      <c r="BL55" s="12"/>
      <c r="BM55" s="12">
        <v>30</v>
      </c>
    </row>
    <row r="56" spans="1:65" x14ac:dyDescent="0.25">
      <c r="A56" s="12" t="s">
        <v>2834</v>
      </c>
      <c r="B56" s="12" t="s">
        <v>930</v>
      </c>
      <c r="C56" s="12" t="s">
        <v>931</v>
      </c>
      <c r="D56" s="12" t="s">
        <v>932</v>
      </c>
      <c r="E56" s="175">
        <v>42198</v>
      </c>
      <c r="F56" s="12" t="s">
        <v>1698</v>
      </c>
      <c r="G56" s="12" t="s">
        <v>1075</v>
      </c>
      <c r="H56" s="12" t="s">
        <v>2925</v>
      </c>
      <c r="I56" s="12" t="s">
        <v>2224</v>
      </c>
      <c r="J56" s="12" t="s">
        <v>2212</v>
      </c>
      <c r="K56" s="12" t="s">
        <v>1078</v>
      </c>
      <c r="L56" s="12" t="s">
        <v>1079</v>
      </c>
      <c r="M56" s="12" t="s">
        <v>1080</v>
      </c>
      <c r="O56" s="178" t="s">
        <v>1196</v>
      </c>
      <c r="P56" s="178" t="s">
        <v>2926</v>
      </c>
      <c r="Q56" s="12" t="s">
        <v>1080</v>
      </c>
      <c r="R56" s="179">
        <v>53</v>
      </c>
      <c r="S56" s="178"/>
      <c r="U56" s="12" t="s">
        <v>120</v>
      </c>
      <c r="W56" s="12" t="s">
        <v>1083</v>
      </c>
      <c r="X56" s="12" t="s">
        <v>2335</v>
      </c>
      <c r="Y56" s="178" t="s">
        <v>1232</v>
      </c>
      <c r="Z56" s="12" t="s">
        <v>2927</v>
      </c>
      <c r="AA56" s="178" t="s">
        <v>1111</v>
      </c>
      <c r="AB56" s="12" t="s">
        <v>2928</v>
      </c>
      <c r="AC56" s="178" t="s">
        <v>1468</v>
      </c>
      <c r="AD56" s="12" t="s">
        <v>2929</v>
      </c>
      <c r="AE56" s="12" t="s">
        <v>1075</v>
      </c>
      <c r="AF56" s="12" t="s">
        <v>2930</v>
      </c>
      <c r="AG56" s="12" t="s">
        <v>1092</v>
      </c>
      <c r="AH56" s="12" t="s">
        <v>1092</v>
      </c>
      <c r="AI56" s="12" t="s">
        <v>2931</v>
      </c>
      <c r="AJ56" s="12" t="s">
        <v>2932</v>
      </c>
      <c r="AK56" s="12" t="s">
        <v>1092</v>
      </c>
      <c r="AL56" s="12" t="s">
        <v>1092</v>
      </c>
      <c r="AM56" s="12" t="s">
        <v>1092</v>
      </c>
      <c r="AN56" s="12" t="s">
        <v>1092</v>
      </c>
      <c r="AO56" s="178" t="s">
        <v>1092</v>
      </c>
      <c r="AP56" s="178" t="s">
        <v>1092</v>
      </c>
      <c r="AQ56" s="178" t="s">
        <v>1093</v>
      </c>
      <c r="AR56" s="178" t="s">
        <v>1092</v>
      </c>
      <c r="AS56" s="178" t="s">
        <v>1155</v>
      </c>
      <c r="AT56" s="178" t="s">
        <v>1118</v>
      </c>
      <c r="AU56" s="178" t="s">
        <v>1095</v>
      </c>
      <c r="AV56" s="12" t="s">
        <v>1096</v>
      </c>
      <c r="AW56" s="12" t="s">
        <v>1097</v>
      </c>
      <c r="AY56" s="178" t="s">
        <v>1092</v>
      </c>
      <c r="AZ56" s="12" t="s">
        <v>2933</v>
      </c>
      <c r="BA56" s="12" t="s">
        <v>1098</v>
      </c>
      <c r="BB56" s="12" t="s">
        <v>1098</v>
      </c>
      <c r="BD56" s="12" t="s">
        <v>1092</v>
      </c>
      <c r="BE56" s="12" t="s">
        <v>118</v>
      </c>
      <c r="BF56" s="12" t="s">
        <v>121</v>
      </c>
      <c r="BH56" s="12" t="s">
        <v>120</v>
      </c>
      <c r="BI56" s="179">
        <v>53</v>
      </c>
      <c r="BJ56" s="175">
        <v>42209</v>
      </c>
      <c r="BK56" s="176" t="s">
        <v>82</v>
      </c>
      <c r="BL56" s="12"/>
      <c r="BM56" s="12">
        <v>30</v>
      </c>
    </row>
    <row r="57" spans="1:65" x14ac:dyDescent="0.25">
      <c r="A57" s="12" t="s">
        <v>2834</v>
      </c>
      <c r="B57" s="12" t="s">
        <v>933</v>
      </c>
      <c r="C57" s="12" t="s">
        <v>934</v>
      </c>
      <c r="D57" s="12" t="s">
        <v>935</v>
      </c>
      <c r="E57" s="175">
        <v>42198</v>
      </c>
      <c r="F57" s="12" t="s">
        <v>2934</v>
      </c>
      <c r="G57" s="12" t="s">
        <v>1075</v>
      </c>
      <c r="H57" s="12" t="s">
        <v>2935</v>
      </c>
      <c r="I57" s="12" t="s">
        <v>2936</v>
      </c>
      <c r="K57" s="12" t="s">
        <v>1514</v>
      </c>
      <c r="L57" s="12" t="s">
        <v>1515</v>
      </c>
      <c r="M57" s="12" t="s">
        <v>1516</v>
      </c>
      <c r="Q57" s="12" t="s">
        <v>1516</v>
      </c>
      <c r="R57" s="179">
        <v>54</v>
      </c>
      <c r="S57" s="178"/>
      <c r="U57" s="12" t="s">
        <v>120</v>
      </c>
      <c r="W57" s="12" t="s">
        <v>1083</v>
      </c>
      <c r="X57" s="12" t="s">
        <v>2054</v>
      </c>
      <c r="Y57" s="178" t="s">
        <v>1318</v>
      </c>
      <c r="Z57" s="12" t="s">
        <v>2937</v>
      </c>
      <c r="AA57" s="178" t="s">
        <v>1370</v>
      </c>
      <c r="AB57" s="12" t="s">
        <v>1525</v>
      </c>
      <c r="AC57" s="178" t="s">
        <v>1167</v>
      </c>
      <c r="AD57" s="12" t="s">
        <v>2475</v>
      </c>
      <c r="AE57" s="12" t="s">
        <v>1075</v>
      </c>
      <c r="AF57" s="12" t="s">
        <v>2938</v>
      </c>
      <c r="AG57" s="12" t="s">
        <v>1092</v>
      </c>
      <c r="AH57" s="12" t="s">
        <v>1092</v>
      </c>
      <c r="AI57" s="12" t="s">
        <v>2939</v>
      </c>
      <c r="AJ57" s="12" t="s">
        <v>2940</v>
      </c>
      <c r="AK57" s="12" t="s">
        <v>1092</v>
      </c>
      <c r="AL57" s="12" t="s">
        <v>1092</v>
      </c>
      <c r="AM57" s="12" t="s">
        <v>1092</v>
      </c>
      <c r="AN57" s="12" t="s">
        <v>1092</v>
      </c>
      <c r="AO57" s="178" t="s">
        <v>1093</v>
      </c>
      <c r="AP57" s="178" t="s">
        <v>1092</v>
      </c>
      <c r="AQ57" s="178" t="s">
        <v>1092</v>
      </c>
      <c r="AR57" s="178" t="s">
        <v>1092</v>
      </c>
      <c r="AS57" s="178" t="s">
        <v>1118</v>
      </c>
      <c r="AT57" s="178" t="s">
        <v>1095</v>
      </c>
      <c r="AU57" s="178" t="s">
        <v>1095</v>
      </c>
      <c r="AV57" s="12" t="s">
        <v>1096</v>
      </c>
      <c r="AW57" s="12" t="s">
        <v>1097</v>
      </c>
      <c r="AY57" s="178" t="s">
        <v>1092</v>
      </c>
      <c r="AZ57" s="12" t="s">
        <v>2941</v>
      </c>
      <c r="BA57" s="12" t="s">
        <v>1098</v>
      </c>
      <c r="BB57" s="12" t="s">
        <v>1098</v>
      </c>
      <c r="BD57" s="12" t="s">
        <v>1092</v>
      </c>
      <c r="BE57" s="12" t="s">
        <v>118</v>
      </c>
      <c r="BF57" s="12" t="s">
        <v>121</v>
      </c>
      <c r="BH57" s="12" t="s">
        <v>120</v>
      </c>
      <c r="BI57" s="179">
        <v>54</v>
      </c>
      <c r="BJ57" s="175">
        <v>42203</v>
      </c>
      <c r="BK57" s="176" t="s">
        <v>119</v>
      </c>
      <c r="BL57" s="177">
        <v>60</v>
      </c>
      <c r="BM57" s="12">
        <v>29</v>
      </c>
    </row>
    <row r="58" spans="1:65" x14ac:dyDescent="0.25">
      <c r="A58" s="12" t="s">
        <v>2834</v>
      </c>
      <c r="B58" s="12" t="s">
        <v>936</v>
      </c>
      <c r="C58" s="12" t="s">
        <v>937</v>
      </c>
      <c r="D58" s="12" t="s">
        <v>938</v>
      </c>
      <c r="E58" s="175">
        <v>42198</v>
      </c>
      <c r="F58" s="12" t="s">
        <v>1265</v>
      </c>
      <c r="G58" s="12" t="s">
        <v>1075</v>
      </c>
      <c r="H58" s="12" t="s">
        <v>2942</v>
      </c>
      <c r="I58" s="12" t="s">
        <v>2943</v>
      </c>
      <c r="J58" s="12" t="s">
        <v>2944</v>
      </c>
      <c r="K58" s="12" t="s">
        <v>1123</v>
      </c>
      <c r="L58" s="12" t="s">
        <v>1124</v>
      </c>
      <c r="M58" s="12" t="s">
        <v>1125</v>
      </c>
      <c r="O58" s="178" t="s">
        <v>1368</v>
      </c>
      <c r="P58" s="178" t="s">
        <v>2945</v>
      </c>
      <c r="Q58" s="12" t="s">
        <v>1125</v>
      </c>
      <c r="R58" s="179">
        <v>55</v>
      </c>
      <c r="S58" s="178"/>
      <c r="U58" s="12" t="s">
        <v>120</v>
      </c>
      <c r="W58" s="12" t="s">
        <v>1083</v>
      </c>
      <c r="X58" s="12" t="s">
        <v>2361</v>
      </c>
      <c r="Y58" s="178" t="s">
        <v>2946</v>
      </c>
      <c r="Z58" s="12" t="s">
        <v>2766</v>
      </c>
      <c r="AA58" s="178" t="s">
        <v>2214</v>
      </c>
      <c r="AB58" s="12" t="s">
        <v>2947</v>
      </c>
      <c r="AC58" s="178" t="s">
        <v>1661</v>
      </c>
      <c r="AD58" s="12" t="s">
        <v>2947</v>
      </c>
      <c r="AE58" s="12" t="s">
        <v>1075</v>
      </c>
      <c r="AF58" s="12" t="s">
        <v>2948</v>
      </c>
      <c r="AG58" s="12" t="s">
        <v>1092</v>
      </c>
      <c r="AH58" s="12" t="s">
        <v>1092</v>
      </c>
      <c r="AI58" s="12" t="s">
        <v>2162</v>
      </c>
      <c r="AJ58" s="12" t="s">
        <v>2949</v>
      </c>
      <c r="AK58" s="12" t="s">
        <v>1092</v>
      </c>
      <c r="AL58" s="12" t="s">
        <v>1092</v>
      </c>
      <c r="AM58" s="12" t="s">
        <v>1092</v>
      </c>
      <c r="AN58" s="12" t="s">
        <v>1092</v>
      </c>
      <c r="AO58" s="178" t="s">
        <v>1092</v>
      </c>
      <c r="AP58" s="178" t="s">
        <v>1092</v>
      </c>
      <c r="AQ58" s="178" t="s">
        <v>1093</v>
      </c>
      <c r="AR58" s="178" t="s">
        <v>1092</v>
      </c>
      <c r="AS58" s="178" t="s">
        <v>1155</v>
      </c>
      <c r="AT58" s="178" t="s">
        <v>1118</v>
      </c>
      <c r="AU58" s="178" t="s">
        <v>1095</v>
      </c>
      <c r="AV58" s="12" t="s">
        <v>1096</v>
      </c>
      <c r="AW58" s="12" t="s">
        <v>1097</v>
      </c>
      <c r="AY58" s="178" t="s">
        <v>1092</v>
      </c>
      <c r="AZ58" s="12" t="s">
        <v>2950</v>
      </c>
      <c r="BA58" s="12" t="s">
        <v>1098</v>
      </c>
      <c r="BB58" s="12" t="s">
        <v>1098</v>
      </c>
      <c r="BC58" s="178" t="s">
        <v>1205</v>
      </c>
      <c r="BD58" s="12" t="s">
        <v>1092</v>
      </c>
      <c r="BE58" s="12" t="s">
        <v>118</v>
      </c>
      <c r="BF58" s="12" t="s">
        <v>121</v>
      </c>
      <c r="BH58" s="12" t="s">
        <v>120</v>
      </c>
      <c r="BI58" s="179">
        <v>55</v>
      </c>
      <c r="BJ58" s="175">
        <v>42202</v>
      </c>
      <c r="BK58" s="176" t="s">
        <v>119</v>
      </c>
      <c r="BL58" s="177">
        <v>131</v>
      </c>
      <c r="BM58" s="12">
        <v>29</v>
      </c>
    </row>
    <row r="59" spans="1:65" x14ac:dyDescent="0.25">
      <c r="A59" s="12" t="s">
        <v>2834</v>
      </c>
      <c r="B59" s="12" t="s">
        <v>939</v>
      </c>
      <c r="C59" s="12" t="s">
        <v>940</v>
      </c>
      <c r="D59" s="12" t="s">
        <v>941</v>
      </c>
      <c r="E59" s="175">
        <v>42198</v>
      </c>
      <c r="F59" s="12" t="s">
        <v>2951</v>
      </c>
      <c r="G59" s="12" t="s">
        <v>1075</v>
      </c>
      <c r="H59" s="12" t="s">
        <v>2952</v>
      </c>
      <c r="I59" s="12" t="s">
        <v>2953</v>
      </c>
      <c r="J59" s="12" t="s">
        <v>2954</v>
      </c>
      <c r="K59" s="12" t="s">
        <v>1123</v>
      </c>
      <c r="L59" s="12" t="s">
        <v>1124</v>
      </c>
      <c r="M59" s="12" t="s">
        <v>1105</v>
      </c>
      <c r="O59" s="178" t="s">
        <v>1936</v>
      </c>
      <c r="P59" s="178" t="s">
        <v>2955</v>
      </c>
      <c r="Q59" s="12" t="s">
        <v>1105</v>
      </c>
      <c r="R59" s="179">
        <v>56</v>
      </c>
      <c r="S59" s="178"/>
      <c r="U59" s="12" t="s">
        <v>120</v>
      </c>
      <c r="W59" s="12" t="s">
        <v>1083</v>
      </c>
      <c r="X59" s="12" t="s">
        <v>1962</v>
      </c>
      <c r="Y59" s="178" t="s">
        <v>2956</v>
      </c>
      <c r="Z59" s="12" t="s">
        <v>2957</v>
      </c>
      <c r="AA59" s="178" t="s">
        <v>1232</v>
      </c>
      <c r="AB59" s="12" t="s">
        <v>2958</v>
      </c>
      <c r="AC59" s="178" t="s">
        <v>1938</v>
      </c>
      <c r="AD59" s="12" t="s">
        <v>2959</v>
      </c>
      <c r="AE59" s="12" t="s">
        <v>1075</v>
      </c>
      <c r="AF59" s="12" t="s">
        <v>2960</v>
      </c>
      <c r="AG59" s="12" t="s">
        <v>1092</v>
      </c>
      <c r="AH59" s="12" t="s">
        <v>1092</v>
      </c>
      <c r="AI59" s="12" t="s">
        <v>2961</v>
      </c>
      <c r="AJ59" s="12" t="s">
        <v>2962</v>
      </c>
      <c r="AK59" s="12" t="s">
        <v>2963</v>
      </c>
      <c r="AL59" s="12" t="s">
        <v>1092</v>
      </c>
      <c r="AM59" s="12" t="s">
        <v>1092</v>
      </c>
      <c r="AN59" s="12" t="s">
        <v>1092</v>
      </c>
      <c r="AO59" s="178" t="s">
        <v>1093</v>
      </c>
      <c r="AP59" s="178" t="s">
        <v>1093</v>
      </c>
      <c r="AQ59" s="178" t="s">
        <v>1093</v>
      </c>
      <c r="AR59" s="178" t="s">
        <v>1092</v>
      </c>
      <c r="AS59" s="178" t="s">
        <v>1118</v>
      </c>
      <c r="AT59" s="178" t="s">
        <v>1118</v>
      </c>
      <c r="AU59" s="178" t="s">
        <v>1095</v>
      </c>
      <c r="AV59" s="12" t="s">
        <v>1096</v>
      </c>
      <c r="AW59" s="12" t="s">
        <v>1097</v>
      </c>
      <c r="AX59" s="178" t="s">
        <v>2882</v>
      </c>
      <c r="AY59" s="178" t="s">
        <v>1097</v>
      </c>
      <c r="AZ59" s="12" t="s">
        <v>2964</v>
      </c>
      <c r="BA59" s="12" t="s">
        <v>1098</v>
      </c>
      <c r="BB59" s="12" t="s">
        <v>2965</v>
      </c>
      <c r="BD59" s="12" t="s">
        <v>1092</v>
      </c>
      <c r="BE59" s="12" t="s">
        <v>118</v>
      </c>
      <c r="BF59" s="12" t="s">
        <v>121</v>
      </c>
      <c r="BH59" s="12" t="s">
        <v>120</v>
      </c>
      <c r="BI59" s="179">
        <v>56</v>
      </c>
      <c r="BJ59" s="175">
        <v>42209</v>
      </c>
      <c r="BK59" s="176" t="s">
        <v>82</v>
      </c>
      <c r="BL59" s="12"/>
      <c r="BM59" s="12">
        <v>30</v>
      </c>
    </row>
    <row r="60" spans="1:65" x14ac:dyDescent="0.25">
      <c r="A60" s="12" t="s">
        <v>2834</v>
      </c>
      <c r="B60" s="12" t="s">
        <v>942</v>
      </c>
      <c r="C60" s="12" t="s">
        <v>943</v>
      </c>
      <c r="D60" s="12" t="s">
        <v>944</v>
      </c>
      <c r="E60" s="175">
        <v>42198</v>
      </c>
      <c r="F60" s="12" t="s">
        <v>2624</v>
      </c>
      <c r="G60" s="12" t="s">
        <v>1075</v>
      </c>
      <c r="H60" s="12" t="s">
        <v>2966</v>
      </c>
      <c r="I60" s="12" t="s">
        <v>2967</v>
      </c>
      <c r="K60" s="12" t="s">
        <v>1226</v>
      </c>
      <c r="L60" s="12" t="s">
        <v>1227</v>
      </c>
      <c r="M60" s="12" t="s">
        <v>1244</v>
      </c>
      <c r="O60" s="178" t="s">
        <v>2968</v>
      </c>
      <c r="P60" s="178" t="s">
        <v>2969</v>
      </c>
      <c r="Q60" s="12" t="s">
        <v>1244</v>
      </c>
      <c r="R60" s="179">
        <v>57</v>
      </c>
      <c r="S60" s="178"/>
      <c r="U60" s="12" t="s">
        <v>120</v>
      </c>
      <c r="W60" s="12" t="s">
        <v>1083</v>
      </c>
      <c r="X60" s="12" t="s">
        <v>2054</v>
      </c>
      <c r="Y60" s="178" t="s">
        <v>2970</v>
      </c>
      <c r="Z60" s="12" t="s">
        <v>1803</v>
      </c>
      <c r="AA60" s="178" t="s">
        <v>1540</v>
      </c>
      <c r="AB60" s="12" t="s">
        <v>2971</v>
      </c>
      <c r="AC60" s="178" t="s">
        <v>2308</v>
      </c>
      <c r="AD60" s="12" t="s">
        <v>2972</v>
      </c>
      <c r="AE60" s="12" t="s">
        <v>1075</v>
      </c>
      <c r="AF60" s="12" t="s">
        <v>2973</v>
      </c>
      <c r="AG60" s="12" t="s">
        <v>1092</v>
      </c>
      <c r="AH60" s="12" t="s">
        <v>1092</v>
      </c>
      <c r="AI60" s="12" t="s">
        <v>1528</v>
      </c>
      <c r="AJ60" s="12" t="s">
        <v>1528</v>
      </c>
      <c r="AK60" s="12" t="s">
        <v>1092</v>
      </c>
      <c r="AL60" s="12" t="s">
        <v>1092</v>
      </c>
      <c r="AM60" s="12" t="s">
        <v>1092</v>
      </c>
      <c r="AN60" s="12" t="s">
        <v>1092</v>
      </c>
      <c r="AO60" s="178" t="s">
        <v>1092</v>
      </c>
      <c r="AP60" s="178" t="s">
        <v>1092</v>
      </c>
      <c r="AQ60" s="178" t="s">
        <v>1093</v>
      </c>
      <c r="AR60" s="178" t="s">
        <v>1092</v>
      </c>
      <c r="AS60" s="178" t="s">
        <v>1155</v>
      </c>
      <c r="AT60" s="178" t="s">
        <v>1118</v>
      </c>
      <c r="AU60" s="178" t="s">
        <v>1095</v>
      </c>
      <c r="AV60" s="12" t="s">
        <v>1096</v>
      </c>
      <c r="AW60" s="12" t="s">
        <v>1097</v>
      </c>
      <c r="AY60" s="178" t="s">
        <v>1092</v>
      </c>
      <c r="AZ60" s="12" t="s">
        <v>2974</v>
      </c>
      <c r="BA60" s="12" t="s">
        <v>1098</v>
      </c>
      <c r="BB60" s="12" t="s">
        <v>1098</v>
      </c>
      <c r="BC60" s="178" t="s">
        <v>1205</v>
      </c>
      <c r="BD60" s="12" t="s">
        <v>1092</v>
      </c>
      <c r="BE60" s="12" t="s">
        <v>118</v>
      </c>
      <c r="BF60" s="12" t="s">
        <v>121</v>
      </c>
      <c r="BH60" s="12" t="s">
        <v>120</v>
      </c>
      <c r="BI60" s="179">
        <v>57</v>
      </c>
      <c r="BJ60" s="175">
        <v>42209</v>
      </c>
      <c r="BK60" s="176" t="s">
        <v>82</v>
      </c>
      <c r="BL60" s="12"/>
      <c r="BM60" s="12">
        <v>30</v>
      </c>
    </row>
    <row r="61" spans="1:65" x14ac:dyDescent="0.25">
      <c r="A61" s="12" t="s">
        <v>2834</v>
      </c>
      <c r="B61" s="12" t="s">
        <v>945</v>
      </c>
      <c r="C61" s="12" t="s">
        <v>946</v>
      </c>
      <c r="D61" s="12" t="s">
        <v>947</v>
      </c>
      <c r="E61" s="175">
        <v>42198</v>
      </c>
      <c r="F61" s="12" t="s">
        <v>2975</v>
      </c>
      <c r="G61" s="12" t="s">
        <v>1075</v>
      </c>
      <c r="H61" s="12" t="s">
        <v>1076</v>
      </c>
      <c r="I61" s="12" t="s">
        <v>2976</v>
      </c>
      <c r="J61" s="12" t="s">
        <v>2977</v>
      </c>
      <c r="K61" s="12" t="s">
        <v>1123</v>
      </c>
      <c r="L61" s="12" t="s">
        <v>1124</v>
      </c>
      <c r="M61" s="12" t="s">
        <v>1105</v>
      </c>
      <c r="O61" s="178" t="s">
        <v>1081</v>
      </c>
      <c r="P61" s="178" t="s">
        <v>2978</v>
      </c>
      <c r="Q61" s="12" t="s">
        <v>1105</v>
      </c>
      <c r="R61" s="179">
        <v>58</v>
      </c>
      <c r="S61" s="178"/>
      <c r="U61" s="12" t="s">
        <v>120</v>
      </c>
      <c r="W61" s="12" t="s">
        <v>1083</v>
      </c>
      <c r="X61" s="12" t="s">
        <v>2361</v>
      </c>
      <c r="Y61" s="178" t="s">
        <v>2430</v>
      </c>
      <c r="Z61" s="12" t="s">
        <v>2979</v>
      </c>
      <c r="AA61" s="178" t="s">
        <v>1908</v>
      </c>
      <c r="AB61" s="12" t="s">
        <v>2980</v>
      </c>
      <c r="AC61" s="178" t="s">
        <v>1466</v>
      </c>
      <c r="AD61" s="12" t="s">
        <v>2980</v>
      </c>
      <c r="AE61" s="12" t="s">
        <v>1075</v>
      </c>
      <c r="AF61" s="12" t="s">
        <v>2981</v>
      </c>
      <c r="AG61" s="12" t="s">
        <v>2982</v>
      </c>
      <c r="AH61" s="12" t="s">
        <v>1092</v>
      </c>
      <c r="AI61" s="12" t="s">
        <v>2983</v>
      </c>
      <c r="AJ61" s="12" t="s">
        <v>1092</v>
      </c>
      <c r="AK61" s="12" t="s">
        <v>1092</v>
      </c>
      <c r="AL61" s="12" t="s">
        <v>1092</v>
      </c>
      <c r="AM61" s="12" t="s">
        <v>1092</v>
      </c>
      <c r="AN61" s="12" t="s">
        <v>1092</v>
      </c>
      <c r="AO61" s="178" t="s">
        <v>1093</v>
      </c>
      <c r="AP61" s="178" t="s">
        <v>1093</v>
      </c>
      <c r="AQ61" s="178" t="s">
        <v>1093</v>
      </c>
      <c r="AR61" s="178" t="s">
        <v>1092</v>
      </c>
      <c r="AS61" s="178" t="s">
        <v>1094</v>
      </c>
      <c r="AT61" s="178" t="s">
        <v>1094</v>
      </c>
      <c r="AU61" s="178" t="s">
        <v>1095</v>
      </c>
      <c r="AV61" s="12" t="s">
        <v>1096</v>
      </c>
      <c r="AW61" s="12" t="s">
        <v>1097</v>
      </c>
      <c r="AY61" s="178" t="s">
        <v>1092</v>
      </c>
      <c r="AZ61" s="12" t="s">
        <v>1098</v>
      </c>
      <c r="BA61" s="12" t="s">
        <v>2984</v>
      </c>
      <c r="BB61" s="12" t="s">
        <v>2985</v>
      </c>
      <c r="BD61" s="12" t="s">
        <v>1092</v>
      </c>
      <c r="BE61" s="12" t="s">
        <v>118</v>
      </c>
      <c r="BF61" s="12" t="s">
        <v>121</v>
      </c>
      <c r="BH61" s="12" t="s">
        <v>120</v>
      </c>
      <c r="BI61" s="179">
        <v>58</v>
      </c>
      <c r="BJ61" s="175">
        <v>42199</v>
      </c>
      <c r="BK61" s="176" t="s">
        <v>119</v>
      </c>
      <c r="BL61" s="177">
        <v>253</v>
      </c>
      <c r="BM61" s="12">
        <v>29</v>
      </c>
    </row>
    <row r="62" spans="1:65" x14ac:dyDescent="0.25">
      <c r="A62" s="12" t="s">
        <v>2834</v>
      </c>
      <c r="B62" s="12" t="s">
        <v>948</v>
      </c>
      <c r="C62" s="12" t="s">
        <v>949</v>
      </c>
      <c r="D62" s="12" t="s">
        <v>950</v>
      </c>
      <c r="E62" s="175">
        <v>42198</v>
      </c>
      <c r="F62" s="12" t="s">
        <v>2986</v>
      </c>
      <c r="G62" s="12" t="s">
        <v>1075</v>
      </c>
      <c r="H62" s="12" t="s">
        <v>2987</v>
      </c>
      <c r="I62" s="12" t="s">
        <v>2988</v>
      </c>
      <c r="J62" s="12" t="s">
        <v>1411</v>
      </c>
      <c r="K62" s="12" t="s">
        <v>1078</v>
      </c>
      <c r="L62" s="12" t="s">
        <v>1079</v>
      </c>
      <c r="M62" s="12" t="s">
        <v>1080</v>
      </c>
      <c r="O62" s="178" t="s">
        <v>1936</v>
      </c>
      <c r="P62" s="178" t="s">
        <v>2989</v>
      </c>
      <c r="Q62" s="12" t="s">
        <v>1080</v>
      </c>
      <c r="R62" s="179">
        <v>59</v>
      </c>
      <c r="S62" s="178"/>
      <c r="U62" s="12" t="s">
        <v>120</v>
      </c>
      <c r="W62" s="12" t="s">
        <v>1083</v>
      </c>
      <c r="X62" s="12" t="s">
        <v>2335</v>
      </c>
      <c r="Y62" s="178" t="s">
        <v>2130</v>
      </c>
      <c r="Z62" s="12" t="s">
        <v>2990</v>
      </c>
      <c r="AA62" s="178" t="s">
        <v>1503</v>
      </c>
      <c r="AB62" s="12" t="s">
        <v>2991</v>
      </c>
      <c r="AC62" s="178" t="s">
        <v>1868</v>
      </c>
      <c r="AD62" s="12" t="s">
        <v>2992</v>
      </c>
      <c r="AE62" s="12" t="s">
        <v>1075</v>
      </c>
      <c r="AF62" s="12" t="s">
        <v>2993</v>
      </c>
      <c r="AG62" s="12" t="s">
        <v>2994</v>
      </c>
      <c r="AH62" s="12" t="s">
        <v>1092</v>
      </c>
      <c r="AI62" s="12" t="s">
        <v>2995</v>
      </c>
      <c r="AJ62" s="12" t="s">
        <v>2996</v>
      </c>
      <c r="AK62" s="12" t="s">
        <v>1092</v>
      </c>
      <c r="AL62" s="12" t="s">
        <v>1092</v>
      </c>
      <c r="AM62" s="12" t="s">
        <v>1092</v>
      </c>
      <c r="AN62" s="12" t="s">
        <v>1092</v>
      </c>
      <c r="AO62" s="178" t="s">
        <v>1093</v>
      </c>
      <c r="AP62" s="178" t="s">
        <v>1093</v>
      </c>
      <c r="AQ62" s="178" t="s">
        <v>1093</v>
      </c>
      <c r="AR62" s="178" t="s">
        <v>1092</v>
      </c>
      <c r="AS62" s="178" t="s">
        <v>1094</v>
      </c>
      <c r="AT62" s="178" t="s">
        <v>1094</v>
      </c>
      <c r="AU62" s="178" t="s">
        <v>1095</v>
      </c>
      <c r="AV62" s="12" t="s">
        <v>1096</v>
      </c>
      <c r="AW62" s="12" t="s">
        <v>1097</v>
      </c>
      <c r="AY62" s="178" t="s">
        <v>1092</v>
      </c>
      <c r="AZ62" s="12" t="s">
        <v>2997</v>
      </c>
      <c r="BA62" s="12" t="s">
        <v>1098</v>
      </c>
      <c r="BB62" s="12" t="s">
        <v>1098</v>
      </c>
      <c r="BD62" s="12" t="s">
        <v>1092</v>
      </c>
      <c r="BE62" s="12" t="s">
        <v>118</v>
      </c>
      <c r="BF62" s="12" t="s">
        <v>121</v>
      </c>
      <c r="BH62" s="12" t="s">
        <v>120</v>
      </c>
      <c r="BI62" s="179">
        <v>59</v>
      </c>
      <c r="BJ62" s="175">
        <v>42199</v>
      </c>
      <c r="BK62" s="176" t="s">
        <v>119</v>
      </c>
      <c r="BL62" s="177">
        <v>117.6</v>
      </c>
      <c r="BM62" s="12">
        <v>29</v>
      </c>
    </row>
    <row r="63" spans="1:65" x14ac:dyDescent="0.25">
      <c r="A63" s="12" t="s">
        <v>2834</v>
      </c>
      <c r="B63" s="12" t="s">
        <v>951</v>
      </c>
      <c r="C63" s="12" t="s">
        <v>952</v>
      </c>
      <c r="D63" s="12" t="s">
        <v>953</v>
      </c>
      <c r="E63" s="175">
        <v>42198</v>
      </c>
      <c r="F63" s="12" t="s">
        <v>1938</v>
      </c>
      <c r="G63" s="12" t="s">
        <v>1075</v>
      </c>
      <c r="H63" s="12" t="s">
        <v>2998</v>
      </c>
      <c r="I63" s="12" t="s">
        <v>2999</v>
      </c>
      <c r="K63" s="12" t="s">
        <v>1103</v>
      </c>
      <c r="L63" s="12" t="s">
        <v>1179</v>
      </c>
      <c r="M63" s="12" t="s">
        <v>1180</v>
      </c>
      <c r="O63" s="178" t="s">
        <v>1126</v>
      </c>
      <c r="P63" s="178" t="s">
        <v>3000</v>
      </c>
      <c r="Q63" s="12" t="s">
        <v>1180</v>
      </c>
      <c r="R63" s="179">
        <v>60</v>
      </c>
      <c r="S63" s="178"/>
      <c r="U63" s="12" t="s">
        <v>120</v>
      </c>
      <c r="W63" s="12" t="s">
        <v>1083</v>
      </c>
      <c r="X63" s="12" t="s">
        <v>1962</v>
      </c>
      <c r="Z63" s="12" t="s">
        <v>1185</v>
      </c>
      <c r="AB63" s="12" t="s">
        <v>1185</v>
      </c>
      <c r="AD63" s="12" t="s">
        <v>1185</v>
      </c>
      <c r="AE63" s="12" t="s">
        <v>1075</v>
      </c>
      <c r="AF63" s="12" t="s">
        <v>3001</v>
      </c>
      <c r="AG63" s="12" t="s">
        <v>1092</v>
      </c>
      <c r="AH63" s="12" t="s">
        <v>1092</v>
      </c>
      <c r="AI63" s="12" t="s">
        <v>3002</v>
      </c>
      <c r="AJ63" s="12" t="s">
        <v>3003</v>
      </c>
      <c r="AK63" s="12" t="s">
        <v>3004</v>
      </c>
      <c r="AL63" s="12" t="s">
        <v>1092</v>
      </c>
      <c r="AM63" s="12" t="s">
        <v>1092</v>
      </c>
      <c r="AN63" s="12" t="s">
        <v>1092</v>
      </c>
      <c r="AO63" s="178" t="s">
        <v>1093</v>
      </c>
      <c r="AP63" s="178" t="s">
        <v>1093</v>
      </c>
      <c r="AQ63" s="178" t="s">
        <v>1092</v>
      </c>
      <c r="AR63" s="178" t="s">
        <v>1092</v>
      </c>
      <c r="AS63" s="178" t="s">
        <v>1118</v>
      </c>
      <c r="AT63" s="178" t="s">
        <v>1095</v>
      </c>
      <c r="AU63" s="178" t="s">
        <v>1095</v>
      </c>
      <c r="AV63" s="12" t="s">
        <v>1096</v>
      </c>
      <c r="AW63" s="12" t="s">
        <v>1097</v>
      </c>
      <c r="AY63" s="178" t="s">
        <v>1092</v>
      </c>
      <c r="AZ63" s="12" t="s">
        <v>3005</v>
      </c>
      <c r="BA63" s="12" t="s">
        <v>1098</v>
      </c>
      <c r="BB63" s="12" t="s">
        <v>3006</v>
      </c>
      <c r="BD63" s="12" t="s">
        <v>1092</v>
      </c>
      <c r="BE63" s="12" t="s">
        <v>118</v>
      </c>
      <c r="BF63" s="12" t="s">
        <v>121</v>
      </c>
      <c r="BH63" s="12" t="s">
        <v>120</v>
      </c>
      <c r="BI63" s="179">
        <v>60</v>
      </c>
      <c r="BJ63" s="175">
        <v>42210</v>
      </c>
      <c r="BK63" s="176" t="s">
        <v>119</v>
      </c>
      <c r="BL63" s="177">
        <v>96.3</v>
      </c>
      <c r="BM63" s="12">
        <v>30</v>
      </c>
    </row>
    <row r="64" spans="1:65" x14ac:dyDescent="0.25">
      <c r="A64" s="12" t="s">
        <v>2356</v>
      </c>
      <c r="B64" s="12" t="s">
        <v>954</v>
      </c>
      <c r="C64" s="12" t="s">
        <v>955</v>
      </c>
      <c r="D64" s="12" t="s">
        <v>956</v>
      </c>
      <c r="E64" s="175">
        <v>42198</v>
      </c>
      <c r="F64" s="12" t="s">
        <v>3007</v>
      </c>
      <c r="G64" s="12" t="s">
        <v>1075</v>
      </c>
      <c r="H64" s="12" t="s">
        <v>3008</v>
      </c>
      <c r="I64" s="12" t="s">
        <v>3009</v>
      </c>
      <c r="K64" s="12" t="s">
        <v>1123</v>
      </c>
      <c r="L64" s="12" t="s">
        <v>1124</v>
      </c>
      <c r="M64" s="12" t="s">
        <v>1125</v>
      </c>
      <c r="O64" s="178" t="s">
        <v>1422</v>
      </c>
      <c r="P64" s="178" t="s">
        <v>3010</v>
      </c>
      <c r="Q64" s="12" t="s">
        <v>1125</v>
      </c>
      <c r="R64" s="179">
        <v>61</v>
      </c>
      <c r="S64" s="178"/>
      <c r="U64" s="12" t="s">
        <v>120</v>
      </c>
      <c r="W64" s="12" t="s">
        <v>1083</v>
      </c>
      <c r="X64" s="12" t="s">
        <v>2361</v>
      </c>
      <c r="Y64" s="178" t="s">
        <v>1355</v>
      </c>
      <c r="Z64" s="12" t="s">
        <v>1552</v>
      </c>
      <c r="AA64" s="178" t="s">
        <v>1698</v>
      </c>
      <c r="AB64" s="12" t="s">
        <v>3011</v>
      </c>
      <c r="AC64" s="178" t="s">
        <v>1402</v>
      </c>
      <c r="AD64" s="12" t="s">
        <v>3012</v>
      </c>
      <c r="AE64" s="12" t="s">
        <v>1075</v>
      </c>
      <c r="AF64" s="12" t="s">
        <v>3013</v>
      </c>
      <c r="AG64" s="12" t="s">
        <v>1092</v>
      </c>
      <c r="AH64" s="12" t="s">
        <v>1092</v>
      </c>
      <c r="AI64" s="12" t="s">
        <v>3014</v>
      </c>
      <c r="AJ64" s="12" t="s">
        <v>3015</v>
      </c>
      <c r="AK64" s="12" t="s">
        <v>1092</v>
      </c>
      <c r="AL64" s="12" t="s">
        <v>1092</v>
      </c>
      <c r="AM64" s="12" t="s">
        <v>1092</v>
      </c>
      <c r="AN64" s="12" t="s">
        <v>1092</v>
      </c>
      <c r="AO64" s="178" t="s">
        <v>1092</v>
      </c>
      <c r="AP64" s="178" t="s">
        <v>1092</v>
      </c>
      <c r="AQ64" s="178" t="s">
        <v>1093</v>
      </c>
      <c r="AR64" s="178" t="s">
        <v>1092</v>
      </c>
      <c r="AS64" s="178" t="s">
        <v>1155</v>
      </c>
      <c r="AT64" s="178" t="s">
        <v>1118</v>
      </c>
      <c r="AU64" s="178" t="s">
        <v>1095</v>
      </c>
      <c r="AV64" s="12" t="s">
        <v>1096</v>
      </c>
      <c r="AW64" s="12" t="s">
        <v>1097</v>
      </c>
      <c r="AY64" s="178" t="s">
        <v>1092</v>
      </c>
      <c r="AZ64" s="12" t="s">
        <v>3016</v>
      </c>
      <c r="BA64" s="12" t="s">
        <v>3016</v>
      </c>
      <c r="BB64" s="12" t="s">
        <v>1098</v>
      </c>
      <c r="BC64" s="178" t="s">
        <v>1205</v>
      </c>
      <c r="BD64" s="12" t="s">
        <v>1092</v>
      </c>
      <c r="BE64" s="12" t="s">
        <v>118</v>
      </c>
      <c r="BF64" s="12" t="s">
        <v>121</v>
      </c>
      <c r="BH64" s="12" t="s">
        <v>120</v>
      </c>
      <c r="BI64" s="179">
        <v>61</v>
      </c>
      <c r="BJ64" s="175">
        <v>42210</v>
      </c>
      <c r="BK64" s="176" t="s">
        <v>119</v>
      </c>
      <c r="BL64" s="177">
        <v>130.41</v>
      </c>
      <c r="BM64" s="12">
        <v>30</v>
      </c>
    </row>
    <row r="65" spans="1:65" x14ac:dyDescent="0.25">
      <c r="A65" s="12" t="s">
        <v>2356</v>
      </c>
      <c r="B65" s="12" t="s">
        <v>957</v>
      </c>
      <c r="C65" s="12" t="s">
        <v>958</v>
      </c>
      <c r="D65" s="12" t="s">
        <v>959</v>
      </c>
      <c r="E65" s="175">
        <v>42198</v>
      </c>
      <c r="F65" s="12" t="s">
        <v>3017</v>
      </c>
      <c r="G65" s="12" t="s">
        <v>1075</v>
      </c>
      <c r="H65" s="12" t="s">
        <v>3018</v>
      </c>
      <c r="I65" s="12" t="s">
        <v>3019</v>
      </c>
      <c r="K65" s="12" t="s">
        <v>1123</v>
      </c>
      <c r="L65" s="12" t="s">
        <v>1124</v>
      </c>
      <c r="M65" s="12" t="s">
        <v>1105</v>
      </c>
      <c r="O65" s="178" t="s">
        <v>1163</v>
      </c>
      <c r="P65" s="178" t="s">
        <v>3020</v>
      </c>
      <c r="Q65" s="12" t="s">
        <v>1105</v>
      </c>
      <c r="R65" s="179">
        <v>62</v>
      </c>
      <c r="S65" s="178"/>
      <c r="U65" s="12" t="s">
        <v>120</v>
      </c>
      <c r="W65" s="12" t="s">
        <v>1083</v>
      </c>
      <c r="X65" s="12" t="s">
        <v>1412</v>
      </c>
      <c r="Y65" s="178" t="s">
        <v>1370</v>
      </c>
      <c r="Z65" s="12" t="s">
        <v>3021</v>
      </c>
      <c r="AA65" s="178" t="s">
        <v>1440</v>
      </c>
      <c r="AB65" s="12" t="s">
        <v>3022</v>
      </c>
      <c r="AC65" s="178" t="s">
        <v>1997</v>
      </c>
      <c r="AD65" s="12" t="s">
        <v>3023</v>
      </c>
      <c r="AE65" s="12" t="s">
        <v>1075</v>
      </c>
      <c r="AF65" s="12" t="s">
        <v>3024</v>
      </c>
      <c r="AG65" s="12" t="s">
        <v>1092</v>
      </c>
      <c r="AH65" s="12" t="s">
        <v>1092</v>
      </c>
      <c r="AI65" s="12" t="s">
        <v>3025</v>
      </c>
      <c r="AJ65" s="12" t="s">
        <v>3026</v>
      </c>
      <c r="AK65" s="12" t="s">
        <v>1092</v>
      </c>
      <c r="AL65" s="12" t="s">
        <v>1092</v>
      </c>
      <c r="AM65" s="12" t="s">
        <v>1092</v>
      </c>
      <c r="AN65" s="12" t="s">
        <v>1092</v>
      </c>
      <c r="AO65" s="178" t="s">
        <v>1093</v>
      </c>
      <c r="AP65" s="178" t="s">
        <v>1093</v>
      </c>
      <c r="AQ65" s="178" t="s">
        <v>1093</v>
      </c>
      <c r="AR65" s="178" t="s">
        <v>1092</v>
      </c>
      <c r="AS65" s="178" t="s">
        <v>1118</v>
      </c>
      <c r="AT65" s="178" t="s">
        <v>1118</v>
      </c>
      <c r="AU65" s="178" t="s">
        <v>1095</v>
      </c>
      <c r="AV65" s="12" t="s">
        <v>1096</v>
      </c>
      <c r="AW65" s="12" t="s">
        <v>1097</v>
      </c>
      <c r="AX65" s="178" t="s">
        <v>3027</v>
      </c>
      <c r="AY65" s="178" t="s">
        <v>1093</v>
      </c>
      <c r="AZ65" s="12" t="s">
        <v>3028</v>
      </c>
      <c r="BA65" s="12" t="s">
        <v>1098</v>
      </c>
      <c r="BB65" s="12" t="s">
        <v>3029</v>
      </c>
      <c r="BD65" s="12" t="s">
        <v>1092</v>
      </c>
      <c r="BE65" s="12" t="s">
        <v>118</v>
      </c>
      <c r="BF65" s="12" t="s">
        <v>121</v>
      </c>
      <c r="BH65" s="12" t="s">
        <v>120</v>
      </c>
      <c r="BI65" s="179">
        <v>62</v>
      </c>
      <c r="BJ65" s="175">
        <v>42209</v>
      </c>
      <c r="BK65" s="176" t="s">
        <v>82</v>
      </c>
      <c r="BL65" s="12"/>
      <c r="BM65" s="12">
        <v>30</v>
      </c>
    </row>
    <row r="66" spans="1:65" x14ac:dyDescent="0.25">
      <c r="A66" s="12" t="s">
        <v>2356</v>
      </c>
      <c r="B66" s="12" t="s">
        <v>960</v>
      </c>
      <c r="C66" s="12" t="s">
        <v>961</v>
      </c>
      <c r="D66" s="12" t="s">
        <v>962</v>
      </c>
      <c r="E66" s="175">
        <v>42198</v>
      </c>
      <c r="F66" s="12" t="s">
        <v>1314</v>
      </c>
      <c r="G66" s="12" t="s">
        <v>1075</v>
      </c>
      <c r="H66" s="12" t="s">
        <v>3030</v>
      </c>
      <c r="I66" s="12" t="s">
        <v>3031</v>
      </c>
      <c r="K66" s="12" t="s">
        <v>1103</v>
      </c>
      <c r="L66" s="12" t="s">
        <v>1104</v>
      </c>
      <c r="M66" s="12" t="s">
        <v>1180</v>
      </c>
      <c r="O66" s="178" t="s">
        <v>2968</v>
      </c>
      <c r="P66" s="178" t="s">
        <v>3032</v>
      </c>
      <c r="Q66" s="12" t="s">
        <v>1180</v>
      </c>
      <c r="R66" s="179">
        <v>63</v>
      </c>
      <c r="S66" s="178"/>
      <c r="U66" s="12" t="s">
        <v>120</v>
      </c>
      <c r="W66" s="12" t="s">
        <v>1083</v>
      </c>
      <c r="X66" s="12" t="s">
        <v>1519</v>
      </c>
      <c r="Y66" s="178" t="s">
        <v>1261</v>
      </c>
      <c r="Z66" s="12" t="s">
        <v>3033</v>
      </c>
      <c r="AB66" s="12" t="s">
        <v>1185</v>
      </c>
      <c r="AD66" s="12" t="s">
        <v>1185</v>
      </c>
      <c r="AE66" s="12" t="s">
        <v>1075</v>
      </c>
      <c r="AF66" s="12" t="s">
        <v>3034</v>
      </c>
      <c r="AG66" s="12" t="s">
        <v>1092</v>
      </c>
      <c r="AH66" s="12" t="s">
        <v>1092</v>
      </c>
      <c r="AI66" s="12" t="s">
        <v>3035</v>
      </c>
      <c r="AJ66" s="12" t="s">
        <v>3036</v>
      </c>
      <c r="AK66" s="12" t="s">
        <v>3037</v>
      </c>
      <c r="AL66" s="12" t="s">
        <v>1092</v>
      </c>
      <c r="AM66" s="12" t="s">
        <v>1092</v>
      </c>
      <c r="AN66" s="12" t="s">
        <v>1092</v>
      </c>
      <c r="AO66" s="178" t="s">
        <v>1093</v>
      </c>
      <c r="AP66" s="178" t="s">
        <v>1093</v>
      </c>
      <c r="AQ66" s="178" t="s">
        <v>1093</v>
      </c>
      <c r="AR66" s="178" t="s">
        <v>1093</v>
      </c>
      <c r="AS66" s="178" t="s">
        <v>1118</v>
      </c>
      <c r="AT66" s="178" t="s">
        <v>1118</v>
      </c>
      <c r="AU66" s="178" t="s">
        <v>1118</v>
      </c>
      <c r="AV66" s="12" t="s">
        <v>1096</v>
      </c>
      <c r="AW66" s="12" t="s">
        <v>1097</v>
      </c>
      <c r="AY66" s="178" t="s">
        <v>1092</v>
      </c>
      <c r="AZ66" s="12" t="s">
        <v>3038</v>
      </c>
      <c r="BA66" s="12" t="s">
        <v>1098</v>
      </c>
      <c r="BB66" s="12" t="s">
        <v>1098</v>
      </c>
      <c r="BC66" s="178" t="s">
        <v>1205</v>
      </c>
      <c r="BD66" s="12" t="s">
        <v>1092</v>
      </c>
      <c r="BE66" s="12" t="s">
        <v>118</v>
      </c>
      <c r="BF66" s="12" t="s">
        <v>121</v>
      </c>
      <c r="BH66" s="12" t="s">
        <v>120</v>
      </c>
      <c r="BI66" s="179">
        <v>63</v>
      </c>
      <c r="BJ66" s="175">
        <v>42209</v>
      </c>
      <c r="BK66" s="176" t="s">
        <v>82</v>
      </c>
      <c r="BL66" s="12"/>
      <c r="BM66" s="12">
        <v>30</v>
      </c>
    </row>
    <row r="67" spans="1:65" x14ac:dyDescent="0.25">
      <c r="A67" s="12" t="s">
        <v>2356</v>
      </c>
      <c r="B67" s="12" t="s">
        <v>963</v>
      </c>
      <c r="C67" s="12" t="s">
        <v>964</v>
      </c>
      <c r="D67" s="12" t="s">
        <v>965</v>
      </c>
      <c r="E67" s="175">
        <v>42198</v>
      </c>
      <c r="F67" s="12" t="s">
        <v>3039</v>
      </c>
      <c r="G67" s="12" t="s">
        <v>1075</v>
      </c>
      <c r="H67" s="12" t="s">
        <v>3040</v>
      </c>
      <c r="I67" s="12" t="s">
        <v>3041</v>
      </c>
      <c r="K67" s="12" t="s">
        <v>1103</v>
      </c>
      <c r="L67" s="12" t="s">
        <v>1104</v>
      </c>
      <c r="M67" s="12" t="s">
        <v>1105</v>
      </c>
      <c r="O67" s="178" t="s">
        <v>1936</v>
      </c>
      <c r="P67" s="178" t="s">
        <v>3042</v>
      </c>
      <c r="Q67" s="12" t="s">
        <v>1105</v>
      </c>
      <c r="R67" s="179">
        <v>64</v>
      </c>
      <c r="S67" s="178"/>
      <c r="U67" s="12" t="s">
        <v>120</v>
      </c>
      <c r="W67" s="12" t="s">
        <v>1083</v>
      </c>
      <c r="X67" s="12" t="s">
        <v>1359</v>
      </c>
      <c r="Y67" s="178" t="s">
        <v>3043</v>
      </c>
      <c r="Z67" s="12" t="s">
        <v>3044</v>
      </c>
      <c r="AA67" s="178" t="s">
        <v>1217</v>
      </c>
      <c r="AB67" s="12" t="s">
        <v>3045</v>
      </c>
      <c r="AC67" s="178" t="s">
        <v>1579</v>
      </c>
      <c r="AD67" s="12" t="s">
        <v>3046</v>
      </c>
      <c r="AE67" s="12" t="s">
        <v>1075</v>
      </c>
      <c r="AF67" s="12" t="s">
        <v>3047</v>
      </c>
      <c r="AG67" s="12" t="s">
        <v>1092</v>
      </c>
      <c r="AH67" s="12" t="s">
        <v>1092</v>
      </c>
      <c r="AI67" s="12" t="s">
        <v>3048</v>
      </c>
      <c r="AJ67" s="12" t="s">
        <v>1092</v>
      </c>
      <c r="AK67" s="12" t="s">
        <v>1092</v>
      </c>
      <c r="AL67" s="12" t="s">
        <v>3049</v>
      </c>
      <c r="AM67" s="12" t="s">
        <v>1092</v>
      </c>
      <c r="AN67" s="12" t="s">
        <v>1092</v>
      </c>
      <c r="AO67" s="178" t="s">
        <v>1093</v>
      </c>
      <c r="AP67" s="178" t="s">
        <v>1093</v>
      </c>
      <c r="AQ67" s="178" t="s">
        <v>1093</v>
      </c>
      <c r="AR67" s="178" t="s">
        <v>1092</v>
      </c>
      <c r="AS67" s="178" t="s">
        <v>1118</v>
      </c>
      <c r="AT67" s="178" t="s">
        <v>1118</v>
      </c>
      <c r="AU67" s="178" t="s">
        <v>1095</v>
      </c>
      <c r="AV67" s="12" t="s">
        <v>1096</v>
      </c>
      <c r="AW67" s="12" t="s">
        <v>1097</v>
      </c>
      <c r="AX67" s="178" t="s">
        <v>3050</v>
      </c>
      <c r="AY67" s="178" t="s">
        <v>1093</v>
      </c>
      <c r="AZ67" s="12" t="s">
        <v>3051</v>
      </c>
      <c r="BA67" s="12" t="s">
        <v>1098</v>
      </c>
      <c r="BB67" s="12" t="s">
        <v>1098</v>
      </c>
      <c r="BD67" s="12" t="s">
        <v>1092</v>
      </c>
      <c r="BE67" s="12" t="s">
        <v>118</v>
      </c>
      <c r="BF67" s="12" t="s">
        <v>121</v>
      </c>
      <c r="BH67" s="12" t="s">
        <v>120</v>
      </c>
      <c r="BI67" s="179">
        <v>64</v>
      </c>
      <c r="BJ67" s="175">
        <v>42210</v>
      </c>
      <c r="BK67" s="176" t="s">
        <v>82</v>
      </c>
      <c r="BL67" s="12"/>
      <c r="BM67" s="12">
        <v>30</v>
      </c>
    </row>
    <row r="68" spans="1:65" x14ac:dyDescent="0.25">
      <c r="A68" s="12" t="s">
        <v>2356</v>
      </c>
      <c r="B68" s="12" t="s">
        <v>966</v>
      </c>
      <c r="C68" s="12" t="s">
        <v>967</v>
      </c>
      <c r="D68" s="12" t="s">
        <v>968</v>
      </c>
      <c r="E68" s="175">
        <v>42198</v>
      </c>
      <c r="F68" s="12" t="s">
        <v>1829</v>
      </c>
      <c r="G68" s="12" t="s">
        <v>1075</v>
      </c>
      <c r="H68" s="12" t="s">
        <v>3052</v>
      </c>
      <c r="I68" s="12" t="s">
        <v>3053</v>
      </c>
      <c r="J68" s="12" t="s">
        <v>3054</v>
      </c>
      <c r="K68" s="12" t="s">
        <v>1078</v>
      </c>
      <c r="L68" s="12" t="s">
        <v>1079</v>
      </c>
      <c r="M68" s="12" t="s">
        <v>1342</v>
      </c>
      <c r="O68" s="178" t="s">
        <v>1106</v>
      </c>
      <c r="P68" s="178" t="s">
        <v>3055</v>
      </c>
      <c r="Q68" s="12" t="s">
        <v>1342</v>
      </c>
      <c r="R68" s="179">
        <v>65</v>
      </c>
      <c r="S68" s="178"/>
      <c r="U68" s="12" t="s">
        <v>120</v>
      </c>
      <c r="W68" s="12" t="s">
        <v>1083</v>
      </c>
      <c r="X68" s="12" t="s">
        <v>1918</v>
      </c>
      <c r="Y68" s="178" t="s">
        <v>2573</v>
      </c>
      <c r="Z68" s="12" t="s">
        <v>3056</v>
      </c>
      <c r="AA68" s="178" t="s">
        <v>1563</v>
      </c>
      <c r="AB68" s="12" t="s">
        <v>1088</v>
      </c>
      <c r="AC68" s="178" t="s">
        <v>2264</v>
      </c>
      <c r="AD68" s="12" t="s">
        <v>1262</v>
      </c>
      <c r="AE68" s="12" t="s">
        <v>1075</v>
      </c>
      <c r="AF68" s="12" t="s">
        <v>3057</v>
      </c>
      <c r="AG68" s="12" t="s">
        <v>1092</v>
      </c>
      <c r="AH68" s="12" t="s">
        <v>1092</v>
      </c>
      <c r="AI68" s="12" t="s">
        <v>3058</v>
      </c>
      <c r="AJ68" s="12" t="s">
        <v>3059</v>
      </c>
      <c r="AK68" s="12" t="s">
        <v>1092</v>
      </c>
      <c r="AL68" s="12" t="s">
        <v>1092</v>
      </c>
      <c r="AM68" s="12" t="s">
        <v>1092</v>
      </c>
      <c r="AN68" s="12" t="s">
        <v>1092</v>
      </c>
      <c r="AO68" s="178" t="s">
        <v>1093</v>
      </c>
      <c r="AP68" s="178" t="s">
        <v>1093</v>
      </c>
      <c r="AQ68" s="178" t="s">
        <v>1093</v>
      </c>
      <c r="AR68" s="178" t="s">
        <v>1092</v>
      </c>
      <c r="AS68" s="178" t="s">
        <v>1118</v>
      </c>
      <c r="AT68" s="178" t="s">
        <v>1118</v>
      </c>
      <c r="AU68" s="178" t="s">
        <v>1095</v>
      </c>
      <c r="AV68" s="12" t="s">
        <v>1096</v>
      </c>
      <c r="AW68" s="12" t="s">
        <v>1097</v>
      </c>
      <c r="AY68" s="178" t="s">
        <v>1092</v>
      </c>
      <c r="AZ68" s="12" t="s">
        <v>3060</v>
      </c>
      <c r="BA68" s="12" t="s">
        <v>1098</v>
      </c>
      <c r="BB68" s="12" t="s">
        <v>1098</v>
      </c>
      <c r="BD68" s="12" t="s">
        <v>1092</v>
      </c>
      <c r="BE68" s="12" t="s">
        <v>118</v>
      </c>
      <c r="BF68" s="12" t="s">
        <v>121</v>
      </c>
      <c r="BH68" s="12" t="s">
        <v>120</v>
      </c>
      <c r="BI68" s="179">
        <v>65</v>
      </c>
      <c r="BJ68" s="175">
        <v>42212</v>
      </c>
      <c r="BK68" s="176" t="s">
        <v>82</v>
      </c>
      <c r="BL68" s="12"/>
    </row>
    <row r="69" spans="1:65" x14ac:dyDescent="0.25">
      <c r="A69" s="12" t="s">
        <v>2356</v>
      </c>
      <c r="B69" s="12" t="s">
        <v>969</v>
      </c>
      <c r="C69" s="12" t="s">
        <v>970</v>
      </c>
      <c r="D69" s="12" t="s">
        <v>971</v>
      </c>
      <c r="E69" s="175">
        <v>42198</v>
      </c>
      <c r="F69" s="12" t="s">
        <v>1214</v>
      </c>
      <c r="G69" s="12" t="s">
        <v>1075</v>
      </c>
      <c r="H69" s="12" t="s">
        <v>3061</v>
      </c>
      <c r="I69" s="12" t="s">
        <v>3062</v>
      </c>
      <c r="J69" s="12" t="s">
        <v>3063</v>
      </c>
      <c r="K69" s="12" t="s">
        <v>1078</v>
      </c>
      <c r="L69" s="12" t="s">
        <v>1079</v>
      </c>
      <c r="M69" s="12" t="s">
        <v>1342</v>
      </c>
      <c r="O69" s="178" t="s">
        <v>1289</v>
      </c>
      <c r="P69" s="178" t="s">
        <v>3064</v>
      </c>
      <c r="Q69" s="12" t="s">
        <v>1342</v>
      </c>
      <c r="R69" s="179">
        <v>66</v>
      </c>
      <c r="S69" s="178"/>
      <c r="U69" s="12" t="s">
        <v>120</v>
      </c>
      <c r="W69" s="12" t="s">
        <v>1083</v>
      </c>
      <c r="X69" s="12" t="s">
        <v>1519</v>
      </c>
      <c r="Y69" s="178" t="s">
        <v>2445</v>
      </c>
      <c r="Z69" s="12" t="s">
        <v>2766</v>
      </c>
      <c r="AB69" s="12" t="s">
        <v>1185</v>
      </c>
      <c r="AD69" s="12" t="s">
        <v>1185</v>
      </c>
      <c r="AE69" s="12" t="s">
        <v>1075</v>
      </c>
      <c r="AF69" s="12" t="s">
        <v>3065</v>
      </c>
      <c r="AG69" s="12" t="s">
        <v>1092</v>
      </c>
      <c r="AH69" s="12" t="s">
        <v>1092</v>
      </c>
      <c r="AI69" s="12" t="s">
        <v>3066</v>
      </c>
      <c r="AJ69" s="12" t="s">
        <v>3067</v>
      </c>
      <c r="AK69" s="12" t="s">
        <v>1092</v>
      </c>
      <c r="AL69" s="12" t="s">
        <v>1092</v>
      </c>
      <c r="AM69" s="12" t="s">
        <v>1092</v>
      </c>
      <c r="AN69" s="12" t="s">
        <v>1092</v>
      </c>
      <c r="AO69" s="178" t="s">
        <v>1092</v>
      </c>
      <c r="AP69" s="178" t="s">
        <v>1092</v>
      </c>
      <c r="AQ69" s="178" t="s">
        <v>1093</v>
      </c>
      <c r="AR69" s="178" t="s">
        <v>1092</v>
      </c>
      <c r="AS69" s="178" t="s">
        <v>1155</v>
      </c>
      <c r="AT69" s="178" t="s">
        <v>1118</v>
      </c>
      <c r="AU69" s="178" t="s">
        <v>1095</v>
      </c>
      <c r="AV69" s="12" t="s">
        <v>1096</v>
      </c>
      <c r="AW69" s="12" t="s">
        <v>1097</v>
      </c>
      <c r="AY69" s="178" t="s">
        <v>1092</v>
      </c>
      <c r="AZ69" s="12" t="s">
        <v>3068</v>
      </c>
      <c r="BA69" s="12" t="s">
        <v>1098</v>
      </c>
      <c r="BB69" s="12" t="s">
        <v>1098</v>
      </c>
      <c r="BD69" s="12" t="s">
        <v>1092</v>
      </c>
      <c r="BE69" s="12" t="s">
        <v>118</v>
      </c>
      <c r="BF69" s="12" t="s">
        <v>121</v>
      </c>
      <c r="BH69" s="12" t="s">
        <v>120</v>
      </c>
      <c r="BI69" s="179">
        <v>66</v>
      </c>
      <c r="BJ69" s="175">
        <v>42208</v>
      </c>
      <c r="BK69" s="176" t="s">
        <v>82</v>
      </c>
      <c r="BL69" s="12"/>
      <c r="BM69" s="12">
        <v>30</v>
      </c>
    </row>
    <row r="70" spans="1:65" x14ac:dyDescent="0.25">
      <c r="A70" s="12" t="s">
        <v>2356</v>
      </c>
      <c r="B70" s="12" t="s">
        <v>972</v>
      </c>
      <c r="C70" s="12" t="s">
        <v>973</v>
      </c>
      <c r="D70" s="12" t="s">
        <v>974</v>
      </c>
      <c r="E70" s="175">
        <v>42198</v>
      </c>
      <c r="F70" s="12" t="s">
        <v>3069</v>
      </c>
      <c r="G70" s="12" t="s">
        <v>1075</v>
      </c>
      <c r="H70" s="12" t="s">
        <v>3070</v>
      </c>
      <c r="I70" s="12" t="s">
        <v>3071</v>
      </c>
      <c r="J70" s="12" t="s">
        <v>3072</v>
      </c>
      <c r="K70" s="12" t="s">
        <v>1103</v>
      </c>
      <c r="L70" s="12" t="s">
        <v>1179</v>
      </c>
      <c r="M70" s="12" t="s">
        <v>1180</v>
      </c>
      <c r="O70" s="178" t="s">
        <v>1396</v>
      </c>
      <c r="P70" s="178" t="s">
        <v>3073</v>
      </c>
      <c r="Q70" s="12" t="s">
        <v>1180</v>
      </c>
      <c r="R70" s="179">
        <v>67</v>
      </c>
      <c r="S70" s="178"/>
      <c r="U70" s="12" t="s">
        <v>120</v>
      </c>
      <c r="W70" s="12" t="s">
        <v>1083</v>
      </c>
      <c r="X70" s="12" t="s">
        <v>2361</v>
      </c>
      <c r="Y70" s="178" t="s">
        <v>2348</v>
      </c>
      <c r="Z70" s="12" t="s">
        <v>1605</v>
      </c>
      <c r="AA70" s="178" t="s">
        <v>1314</v>
      </c>
      <c r="AB70" s="12" t="s">
        <v>1605</v>
      </c>
      <c r="AC70" s="178" t="s">
        <v>3074</v>
      </c>
      <c r="AD70" s="12" t="s">
        <v>3075</v>
      </c>
      <c r="AE70" s="12" t="s">
        <v>1075</v>
      </c>
      <c r="AF70" s="12" t="s">
        <v>3076</v>
      </c>
      <c r="AG70" s="12" t="s">
        <v>1092</v>
      </c>
      <c r="AH70" s="12" t="s">
        <v>1092</v>
      </c>
      <c r="AI70" s="12" t="s">
        <v>1610</v>
      </c>
      <c r="AJ70" s="12" t="s">
        <v>1610</v>
      </c>
      <c r="AK70" s="12" t="s">
        <v>1092</v>
      </c>
      <c r="AL70" s="12" t="s">
        <v>1092</v>
      </c>
      <c r="AM70" s="12" t="s">
        <v>1092</v>
      </c>
      <c r="AN70" s="12" t="s">
        <v>1092</v>
      </c>
      <c r="AO70" s="178" t="s">
        <v>1092</v>
      </c>
      <c r="AP70" s="178" t="s">
        <v>1092</v>
      </c>
      <c r="AQ70" s="178" t="s">
        <v>1093</v>
      </c>
      <c r="AR70" s="178" t="s">
        <v>1092</v>
      </c>
      <c r="AS70" s="178" t="s">
        <v>1155</v>
      </c>
      <c r="AT70" s="178" t="s">
        <v>1118</v>
      </c>
      <c r="AU70" s="178" t="s">
        <v>1095</v>
      </c>
      <c r="AV70" s="12" t="s">
        <v>1096</v>
      </c>
      <c r="AW70" s="12" t="s">
        <v>1097</v>
      </c>
      <c r="AY70" s="178" t="s">
        <v>1092</v>
      </c>
      <c r="AZ70" s="12" t="s">
        <v>3077</v>
      </c>
      <c r="BA70" s="12" t="s">
        <v>1098</v>
      </c>
      <c r="BB70" s="12" t="s">
        <v>1098</v>
      </c>
      <c r="BD70" s="12" t="s">
        <v>1092</v>
      </c>
      <c r="BE70" s="12" t="s">
        <v>118</v>
      </c>
      <c r="BF70" s="12" t="s">
        <v>121</v>
      </c>
      <c r="BH70" s="12" t="s">
        <v>120</v>
      </c>
      <c r="BI70" s="179">
        <v>67</v>
      </c>
      <c r="BJ70" s="175">
        <v>42209</v>
      </c>
      <c r="BK70" s="176" t="s">
        <v>82</v>
      </c>
      <c r="BL70" s="12"/>
      <c r="BM70" s="12">
        <v>30</v>
      </c>
    </row>
    <row r="71" spans="1:65" x14ac:dyDescent="0.25">
      <c r="A71" s="12" t="s">
        <v>2356</v>
      </c>
      <c r="B71" s="12" t="s">
        <v>975</v>
      </c>
      <c r="C71" s="12" t="s">
        <v>976</v>
      </c>
      <c r="D71" s="12" t="s">
        <v>977</v>
      </c>
      <c r="E71" s="175">
        <v>42198</v>
      </c>
      <c r="F71" s="12" t="s">
        <v>1111</v>
      </c>
      <c r="G71" s="12" t="s">
        <v>1075</v>
      </c>
      <c r="H71" s="12" t="s">
        <v>1076</v>
      </c>
      <c r="I71" s="12" t="s">
        <v>3078</v>
      </c>
      <c r="K71" s="12" t="s">
        <v>1103</v>
      </c>
      <c r="L71" s="12" t="s">
        <v>1179</v>
      </c>
      <c r="M71" s="12" t="s">
        <v>1195</v>
      </c>
      <c r="Q71" s="12" t="s">
        <v>1195</v>
      </c>
      <c r="R71" s="179">
        <v>68</v>
      </c>
      <c r="S71" s="178"/>
      <c r="U71" s="12" t="s">
        <v>120</v>
      </c>
      <c r="W71" s="12" t="s">
        <v>1083</v>
      </c>
      <c r="X71" s="12" t="s">
        <v>2339</v>
      </c>
      <c r="Y71" s="178" t="s">
        <v>1503</v>
      </c>
      <c r="Z71" s="12" t="s">
        <v>3079</v>
      </c>
      <c r="AA71" s="178" t="s">
        <v>1853</v>
      </c>
      <c r="AB71" s="12" t="s">
        <v>1525</v>
      </c>
      <c r="AC71" s="178" t="s">
        <v>1257</v>
      </c>
      <c r="AD71" s="12" t="s">
        <v>3080</v>
      </c>
      <c r="AE71" s="12" t="s">
        <v>1075</v>
      </c>
      <c r="AF71" s="12" t="s">
        <v>3081</v>
      </c>
      <c r="AG71" s="12" t="s">
        <v>1092</v>
      </c>
      <c r="AH71" s="12" t="s">
        <v>1092</v>
      </c>
      <c r="AI71" s="12" t="s">
        <v>2675</v>
      </c>
      <c r="AJ71" s="12" t="s">
        <v>3082</v>
      </c>
      <c r="AK71" s="12" t="s">
        <v>1092</v>
      </c>
      <c r="AL71" s="12" t="s">
        <v>1092</v>
      </c>
      <c r="AM71" s="12" t="s">
        <v>1092</v>
      </c>
      <c r="AN71" s="12" t="s">
        <v>1092</v>
      </c>
      <c r="AO71" s="178" t="s">
        <v>1093</v>
      </c>
      <c r="AP71" s="178" t="s">
        <v>1092</v>
      </c>
      <c r="AQ71" s="178" t="s">
        <v>1092</v>
      </c>
      <c r="AR71" s="178" t="s">
        <v>1092</v>
      </c>
      <c r="AS71" s="178" t="s">
        <v>1118</v>
      </c>
      <c r="AT71" s="178" t="s">
        <v>1095</v>
      </c>
      <c r="AU71" s="178" t="s">
        <v>1095</v>
      </c>
      <c r="AV71" s="12" t="s">
        <v>1096</v>
      </c>
      <c r="AW71" s="12" t="s">
        <v>1097</v>
      </c>
      <c r="AY71" s="178" t="s">
        <v>1092</v>
      </c>
      <c r="AZ71" s="12" t="s">
        <v>1098</v>
      </c>
      <c r="BA71" s="12" t="s">
        <v>1098</v>
      </c>
      <c r="BB71" s="12" t="s">
        <v>3083</v>
      </c>
      <c r="BD71" s="12" t="s">
        <v>1092</v>
      </c>
      <c r="BE71" s="12" t="s">
        <v>118</v>
      </c>
      <c r="BF71" s="12" t="s">
        <v>121</v>
      </c>
      <c r="BH71" s="12" t="s">
        <v>120</v>
      </c>
      <c r="BI71" s="179">
        <v>68</v>
      </c>
      <c r="BJ71" s="175">
        <v>42210</v>
      </c>
      <c r="BK71" s="176" t="s">
        <v>119</v>
      </c>
      <c r="BL71" s="177">
        <v>170</v>
      </c>
      <c r="BM71" s="12">
        <v>30</v>
      </c>
    </row>
    <row r="72" spans="1:65" x14ac:dyDescent="0.25">
      <c r="A72" s="12" t="s">
        <v>2356</v>
      </c>
      <c r="B72" s="12" t="s">
        <v>978</v>
      </c>
      <c r="C72" s="12" t="s">
        <v>979</v>
      </c>
      <c r="D72" s="12" t="s">
        <v>980</v>
      </c>
      <c r="E72" s="175">
        <v>42198</v>
      </c>
      <c r="F72" s="12" t="s">
        <v>1223</v>
      </c>
      <c r="G72" s="12" t="s">
        <v>1075</v>
      </c>
      <c r="H72" s="12" t="s">
        <v>1076</v>
      </c>
      <c r="I72" s="12" t="s">
        <v>3084</v>
      </c>
      <c r="K72" s="12" t="s">
        <v>1209</v>
      </c>
      <c r="L72" s="12" t="s">
        <v>1210</v>
      </c>
      <c r="M72" s="12" t="s">
        <v>1211</v>
      </c>
      <c r="O72" s="178" t="s">
        <v>1181</v>
      </c>
      <c r="P72" s="178" t="s">
        <v>3085</v>
      </c>
      <c r="Q72" s="12" t="s">
        <v>1211</v>
      </c>
      <c r="R72" s="179">
        <v>69</v>
      </c>
      <c r="S72" s="178"/>
      <c r="U72" s="12" t="s">
        <v>120</v>
      </c>
      <c r="W72" s="12" t="s">
        <v>1083</v>
      </c>
      <c r="X72" s="12" t="s">
        <v>1231</v>
      </c>
      <c r="Y72" s="178" t="s">
        <v>1073</v>
      </c>
      <c r="Z72" s="12" t="s">
        <v>3086</v>
      </c>
      <c r="AA72" s="178" t="s">
        <v>2081</v>
      </c>
      <c r="AB72" s="12" t="s">
        <v>3087</v>
      </c>
      <c r="AD72" s="12" t="s">
        <v>1185</v>
      </c>
      <c r="AE72" s="12" t="s">
        <v>1075</v>
      </c>
      <c r="AF72" s="12" t="s">
        <v>3088</v>
      </c>
      <c r="AG72" s="12" t="s">
        <v>1092</v>
      </c>
      <c r="AH72" s="12" t="s">
        <v>1092</v>
      </c>
      <c r="AI72" s="12" t="s">
        <v>3089</v>
      </c>
      <c r="AJ72" s="12" t="s">
        <v>1092</v>
      </c>
      <c r="AK72" s="12" t="s">
        <v>1092</v>
      </c>
      <c r="AL72" s="12" t="s">
        <v>3090</v>
      </c>
      <c r="AM72" s="12" t="s">
        <v>1092</v>
      </c>
      <c r="AN72" s="12" t="s">
        <v>1092</v>
      </c>
      <c r="AO72" s="178" t="s">
        <v>1093</v>
      </c>
      <c r="AP72" s="178" t="s">
        <v>1093</v>
      </c>
      <c r="AQ72" s="178" t="s">
        <v>1093</v>
      </c>
      <c r="AR72" s="178" t="s">
        <v>1093</v>
      </c>
      <c r="AS72" s="178" t="s">
        <v>1118</v>
      </c>
      <c r="AT72" s="178" t="s">
        <v>1118</v>
      </c>
      <c r="AU72" s="178" t="s">
        <v>1118</v>
      </c>
      <c r="AV72" s="12" t="s">
        <v>1096</v>
      </c>
      <c r="AW72" s="12" t="s">
        <v>1097</v>
      </c>
      <c r="AX72" s="178" t="s">
        <v>3091</v>
      </c>
      <c r="AY72" s="178" t="s">
        <v>1157</v>
      </c>
      <c r="AZ72" s="12" t="s">
        <v>1098</v>
      </c>
      <c r="BA72" s="12" t="s">
        <v>1098</v>
      </c>
      <c r="BB72" s="12" t="s">
        <v>3092</v>
      </c>
      <c r="BD72" s="12" t="s">
        <v>1092</v>
      </c>
      <c r="BE72" s="12" t="s">
        <v>118</v>
      </c>
      <c r="BF72" s="12" t="s">
        <v>121</v>
      </c>
      <c r="BH72" s="12" t="s">
        <v>120</v>
      </c>
      <c r="BI72" s="179">
        <v>69</v>
      </c>
      <c r="BJ72" s="175">
        <v>42208</v>
      </c>
      <c r="BK72" s="176" t="s">
        <v>82</v>
      </c>
      <c r="BL72" s="12"/>
      <c r="BM72" s="12">
        <v>30</v>
      </c>
    </row>
    <row r="73" spans="1:65" x14ac:dyDescent="0.25">
      <c r="A73" s="12" t="s">
        <v>2371</v>
      </c>
      <c r="B73" s="12" t="s">
        <v>981</v>
      </c>
      <c r="C73" s="12" t="s">
        <v>658</v>
      </c>
      <c r="D73" s="12" t="s">
        <v>659</v>
      </c>
      <c r="E73" s="175">
        <v>42198</v>
      </c>
      <c r="F73" s="12" t="s">
        <v>1974</v>
      </c>
      <c r="G73" s="12" t="s">
        <v>1075</v>
      </c>
      <c r="H73" s="12" t="s">
        <v>1076</v>
      </c>
      <c r="I73" s="12" t="s">
        <v>1975</v>
      </c>
      <c r="J73" s="12" t="s">
        <v>1645</v>
      </c>
      <c r="K73" s="12" t="s">
        <v>1103</v>
      </c>
      <c r="L73" s="12" t="s">
        <v>1104</v>
      </c>
      <c r="M73" s="12" t="s">
        <v>1105</v>
      </c>
      <c r="O73" s="178" t="s">
        <v>1451</v>
      </c>
      <c r="P73" s="178" t="s">
        <v>1976</v>
      </c>
      <c r="Q73" s="12" t="s">
        <v>1105</v>
      </c>
      <c r="R73" s="179">
        <v>70</v>
      </c>
      <c r="S73" s="178"/>
      <c r="U73" s="12" t="s">
        <v>120</v>
      </c>
      <c r="W73" s="12" t="s">
        <v>1083</v>
      </c>
      <c r="X73" s="12" t="s">
        <v>1977</v>
      </c>
      <c r="Y73" s="178" t="s">
        <v>1590</v>
      </c>
      <c r="Z73" s="12" t="s">
        <v>1133</v>
      </c>
      <c r="AA73" s="178" t="s">
        <v>1566</v>
      </c>
      <c r="AB73" s="12" t="s">
        <v>1978</v>
      </c>
      <c r="AC73" s="178" t="s">
        <v>1979</v>
      </c>
      <c r="AD73" s="12" t="s">
        <v>1112</v>
      </c>
      <c r="AE73" s="12" t="s">
        <v>1075</v>
      </c>
      <c r="AF73" s="12" t="s">
        <v>1980</v>
      </c>
      <c r="AG73" s="12" t="s">
        <v>1092</v>
      </c>
      <c r="AH73" s="12" t="s">
        <v>1092</v>
      </c>
      <c r="AI73" s="12" t="s">
        <v>1981</v>
      </c>
      <c r="AJ73" s="12" t="s">
        <v>1982</v>
      </c>
      <c r="AK73" s="12" t="s">
        <v>1983</v>
      </c>
      <c r="AL73" s="12" t="s">
        <v>1092</v>
      </c>
      <c r="AM73" s="12" t="s">
        <v>1092</v>
      </c>
      <c r="AN73" s="12" t="s">
        <v>1092</v>
      </c>
      <c r="AO73" s="178" t="s">
        <v>1093</v>
      </c>
      <c r="AP73" s="178" t="s">
        <v>1093</v>
      </c>
      <c r="AQ73" s="178" t="s">
        <v>1093</v>
      </c>
      <c r="AR73" s="178" t="s">
        <v>1093</v>
      </c>
      <c r="AS73" s="178" t="s">
        <v>1118</v>
      </c>
      <c r="AT73" s="178" t="s">
        <v>1118</v>
      </c>
      <c r="AU73" s="178" t="s">
        <v>1118</v>
      </c>
      <c r="AV73" s="12" t="s">
        <v>1096</v>
      </c>
      <c r="AW73" s="12" t="s">
        <v>2270</v>
      </c>
      <c r="AY73" s="178" t="s">
        <v>1092</v>
      </c>
      <c r="AZ73" s="12" t="s">
        <v>1098</v>
      </c>
      <c r="BA73" s="12" t="s">
        <v>1098</v>
      </c>
      <c r="BB73" s="12" t="s">
        <v>1984</v>
      </c>
      <c r="BD73" s="12" t="s">
        <v>1092</v>
      </c>
      <c r="BE73" s="12" t="s">
        <v>118</v>
      </c>
      <c r="BF73" s="12" t="s">
        <v>121</v>
      </c>
      <c r="BH73" s="12" t="s">
        <v>120</v>
      </c>
      <c r="BI73" s="179">
        <v>70</v>
      </c>
      <c r="BJ73" s="12"/>
      <c r="BK73" s="176" t="s">
        <v>83</v>
      </c>
      <c r="BL73" s="12"/>
    </row>
    <row r="74" spans="1:65" x14ac:dyDescent="0.25">
      <c r="A74" s="12" t="s">
        <v>2371</v>
      </c>
      <c r="B74" s="12" t="s">
        <v>982</v>
      </c>
      <c r="C74" s="12" t="s">
        <v>664</v>
      </c>
      <c r="D74" s="12" t="s">
        <v>665</v>
      </c>
      <c r="E74" s="175">
        <v>42198</v>
      </c>
      <c r="F74" s="12" t="s">
        <v>1991</v>
      </c>
      <c r="G74" s="12" t="s">
        <v>1075</v>
      </c>
      <c r="H74" s="12" t="s">
        <v>1992</v>
      </c>
      <c r="I74" s="12" t="s">
        <v>1993</v>
      </c>
      <c r="K74" s="12" t="s">
        <v>1242</v>
      </c>
      <c r="L74" s="12" t="s">
        <v>1243</v>
      </c>
      <c r="M74" s="12" t="s">
        <v>1195</v>
      </c>
      <c r="O74" s="178" t="s">
        <v>1422</v>
      </c>
      <c r="P74" s="178" t="s">
        <v>1994</v>
      </c>
      <c r="Q74" s="12" t="s">
        <v>1195</v>
      </c>
      <c r="R74" s="179">
        <v>71</v>
      </c>
      <c r="S74" s="178"/>
      <c r="U74" s="12" t="s">
        <v>120</v>
      </c>
      <c r="W74" s="12" t="s">
        <v>1083</v>
      </c>
      <c r="X74" s="12" t="s">
        <v>1231</v>
      </c>
      <c r="Y74" s="178" t="s">
        <v>1128</v>
      </c>
      <c r="Z74" s="12" t="s">
        <v>1995</v>
      </c>
      <c r="AA74" s="178" t="s">
        <v>1505</v>
      </c>
      <c r="AB74" s="12" t="s">
        <v>1996</v>
      </c>
      <c r="AC74" s="178" t="s">
        <v>1997</v>
      </c>
      <c r="AD74" s="12" t="s">
        <v>1998</v>
      </c>
      <c r="AE74" s="12" t="s">
        <v>1075</v>
      </c>
      <c r="AF74" s="12" t="s">
        <v>3093</v>
      </c>
      <c r="AG74" s="12" t="s">
        <v>1092</v>
      </c>
      <c r="AH74" s="12" t="s">
        <v>1092</v>
      </c>
      <c r="AI74" s="12" t="s">
        <v>3094</v>
      </c>
      <c r="AJ74" s="12" t="s">
        <v>2000</v>
      </c>
      <c r="AK74" s="12" t="s">
        <v>2001</v>
      </c>
      <c r="AL74" s="12" t="s">
        <v>1092</v>
      </c>
      <c r="AM74" s="12" t="s">
        <v>1092</v>
      </c>
      <c r="AN74" s="12" t="s">
        <v>1092</v>
      </c>
      <c r="AO74" s="178" t="s">
        <v>1093</v>
      </c>
      <c r="AP74" s="178" t="s">
        <v>1093</v>
      </c>
      <c r="AQ74" s="178" t="s">
        <v>1093</v>
      </c>
      <c r="AR74" s="178" t="s">
        <v>1093</v>
      </c>
      <c r="AS74" s="178" t="s">
        <v>1118</v>
      </c>
      <c r="AT74" s="178" t="s">
        <v>1118</v>
      </c>
      <c r="AU74" s="178" t="s">
        <v>1118</v>
      </c>
      <c r="AV74" s="12" t="s">
        <v>1096</v>
      </c>
      <c r="AW74" s="12" t="s">
        <v>2270</v>
      </c>
      <c r="AX74" s="178" t="s">
        <v>2002</v>
      </c>
      <c r="AY74" s="178" t="s">
        <v>1093</v>
      </c>
      <c r="AZ74" s="12" t="s">
        <v>2003</v>
      </c>
      <c r="BA74" s="12" t="s">
        <v>2004</v>
      </c>
      <c r="BB74" s="12" t="s">
        <v>1098</v>
      </c>
      <c r="BC74" s="178" t="s">
        <v>1205</v>
      </c>
      <c r="BD74" s="12" t="s">
        <v>1092</v>
      </c>
      <c r="BE74" s="12" t="s">
        <v>118</v>
      </c>
      <c r="BF74" s="12" t="s">
        <v>121</v>
      </c>
      <c r="BH74" s="12" t="s">
        <v>120</v>
      </c>
      <c r="BI74" s="179">
        <v>71</v>
      </c>
      <c r="BJ74" s="12"/>
      <c r="BK74" s="176" t="s">
        <v>83</v>
      </c>
      <c r="BL74" s="12"/>
    </row>
    <row r="75" spans="1:65" x14ac:dyDescent="0.25">
      <c r="A75" s="12" t="s">
        <v>2371</v>
      </c>
      <c r="B75" s="12" t="s">
        <v>983</v>
      </c>
      <c r="C75" s="12" t="s">
        <v>676</v>
      </c>
      <c r="D75" s="12" t="s">
        <v>677</v>
      </c>
      <c r="E75" s="175">
        <v>42198</v>
      </c>
      <c r="F75" s="12" t="s">
        <v>2039</v>
      </c>
      <c r="G75" s="12" t="s">
        <v>1075</v>
      </c>
      <c r="H75" s="12" t="s">
        <v>2040</v>
      </c>
      <c r="I75" s="12" t="s">
        <v>2041</v>
      </c>
      <c r="J75" s="12" t="s">
        <v>2042</v>
      </c>
      <c r="K75" s="12" t="s">
        <v>1123</v>
      </c>
      <c r="L75" s="12" t="s">
        <v>1124</v>
      </c>
      <c r="M75" s="12" t="s">
        <v>1125</v>
      </c>
      <c r="O75" s="178" t="s">
        <v>1275</v>
      </c>
      <c r="P75" s="178" t="s">
        <v>2043</v>
      </c>
      <c r="Q75" s="12" t="s">
        <v>1125</v>
      </c>
      <c r="R75" s="179">
        <v>72</v>
      </c>
      <c r="S75" s="178"/>
      <c r="U75" s="12" t="s">
        <v>120</v>
      </c>
      <c r="W75" s="12" t="s">
        <v>1083</v>
      </c>
      <c r="X75" s="12" t="s">
        <v>1231</v>
      </c>
      <c r="Y75" s="178" t="s">
        <v>1370</v>
      </c>
      <c r="Z75" s="12" t="s">
        <v>2044</v>
      </c>
      <c r="AA75" s="178" t="s">
        <v>1438</v>
      </c>
      <c r="AB75" s="12" t="s">
        <v>2045</v>
      </c>
      <c r="AC75" s="178" t="s">
        <v>1113</v>
      </c>
      <c r="AD75" s="12" t="s">
        <v>1525</v>
      </c>
      <c r="AE75" s="12" t="s">
        <v>1075</v>
      </c>
      <c r="AF75" s="12" t="s">
        <v>3095</v>
      </c>
      <c r="AG75" s="12" t="s">
        <v>1092</v>
      </c>
      <c r="AH75" s="12" t="s">
        <v>1092</v>
      </c>
      <c r="AI75" s="12" t="s">
        <v>3096</v>
      </c>
      <c r="AJ75" s="12" t="s">
        <v>2047</v>
      </c>
      <c r="AK75" s="12" t="s">
        <v>3097</v>
      </c>
      <c r="AL75" s="12" t="s">
        <v>1092</v>
      </c>
      <c r="AM75" s="12" t="s">
        <v>1092</v>
      </c>
      <c r="AN75" s="12" t="s">
        <v>1092</v>
      </c>
      <c r="AO75" s="178" t="s">
        <v>1093</v>
      </c>
      <c r="AP75" s="178" t="s">
        <v>1093</v>
      </c>
      <c r="AQ75" s="178" t="s">
        <v>1093</v>
      </c>
      <c r="AR75" s="178" t="s">
        <v>1093</v>
      </c>
      <c r="AS75" s="178" t="s">
        <v>1118</v>
      </c>
      <c r="AT75" s="178" t="s">
        <v>1118</v>
      </c>
      <c r="AU75" s="178" t="s">
        <v>1118</v>
      </c>
      <c r="AV75" s="12" t="s">
        <v>1096</v>
      </c>
      <c r="AW75" s="12" t="s">
        <v>2270</v>
      </c>
      <c r="AY75" s="178" t="s">
        <v>1092</v>
      </c>
      <c r="AZ75" s="12" t="s">
        <v>2049</v>
      </c>
      <c r="BA75" s="12" t="s">
        <v>1098</v>
      </c>
      <c r="BB75" s="12" t="s">
        <v>1098</v>
      </c>
      <c r="BD75" s="12" t="s">
        <v>1092</v>
      </c>
      <c r="BE75" s="12" t="s">
        <v>118</v>
      </c>
      <c r="BF75" s="12" t="s">
        <v>121</v>
      </c>
      <c r="BH75" s="12" t="s">
        <v>120</v>
      </c>
      <c r="BI75" s="179">
        <v>72</v>
      </c>
      <c r="BJ75" s="12"/>
      <c r="BK75" s="176" t="s">
        <v>83</v>
      </c>
      <c r="BL75" s="12"/>
    </row>
    <row r="76" spans="1:65" x14ac:dyDescent="0.25">
      <c r="A76" s="12" t="s">
        <v>2445</v>
      </c>
      <c r="B76" s="12" t="s">
        <v>984</v>
      </c>
      <c r="C76" s="12" t="s">
        <v>691</v>
      </c>
      <c r="D76" s="12" t="s">
        <v>692</v>
      </c>
      <c r="E76" s="175">
        <v>42198</v>
      </c>
      <c r="F76" s="12" t="s">
        <v>1438</v>
      </c>
      <c r="G76" s="12" t="s">
        <v>1075</v>
      </c>
      <c r="H76" s="12" t="s">
        <v>2104</v>
      </c>
      <c r="I76" s="12" t="s">
        <v>2105</v>
      </c>
      <c r="K76" s="12" t="s">
        <v>1078</v>
      </c>
      <c r="L76" s="12" t="s">
        <v>1079</v>
      </c>
      <c r="M76" s="12" t="s">
        <v>1342</v>
      </c>
      <c r="O76" s="178" t="s">
        <v>1163</v>
      </c>
      <c r="P76" s="178" t="s">
        <v>2106</v>
      </c>
      <c r="Q76" s="12" t="s">
        <v>1342</v>
      </c>
      <c r="R76" s="179">
        <v>73</v>
      </c>
      <c r="S76" s="178"/>
      <c r="U76" s="12" t="s">
        <v>120</v>
      </c>
      <c r="W76" s="12" t="s">
        <v>1083</v>
      </c>
      <c r="X76" s="12" t="s">
        <v>2107</v>
      </c>
      <c r="Y76" s="178" t="s">
        <v>2108</v>
      </c>
      <c r="Z76" s="12" t="s">
        <v>2109</v>
      </c>
      <c r="AB76" s="12" t="s">
        <v>1185</v>
      </c>
      <c r="AD76" s="12" t="s">
        <v>1185</v>
      </c>
      <c r="AE76" s="12" t="s">
        <v>1075</v>
      </c>
      <c r="AF76" s="12" t="s">
        <v>2110</v>
      </c>
      <c r="AG76" s="12" t="s">
        <v>1092</v>
      </c>
      <c r="AH76" s="12" t="s">
        <v>1092</v>
      </c>
      <c r="AI76" s="12" t="s">
        <v>2111</v>
      </c>
      <c r="AJ76" s="12" t="s">
        <v>2112</v>
      </c>
      <c r="AK76" s="12" t="s">
        <v>2113</v>
      </c>
      <c r="AL76" s="12" t="s">
        <v>1092</v>
      </c>
      <c r="AM76" s="12" t="s">
        <v>1092</v>
      </c>
      <c r="AN76" s="12" t="s">
        <v>1092</v>
      </c>
      <c r="AO76" s="178" t="s">
        <v>1093</v>
      </c>
      <c r="AP76" s="178" t="s">
        <v>1093</v>
      </c>
      <c r="AQ76" s="178" t="s">
        <v>1093</v>
      </c>
      <c r="AR76" s="178" t="s">
        <v>1093</v>
      </c>
      <c r="AS76" s="178" t="s">
        <v>1118</v>
      </c>
      <c r="AT76" s="178" t="s">
        <v>1118</v>
      </c>
      <c r="AU76" s="178" t="s">
        <v>1118</v>
      </c>
      <c r="AV76" s="12" t="s">
        <v>1096</v>
      </c>
      <c r="AW76" s="12" t="s">
        <v>2270</v>
      </c>
      <c r="AX76" s="178" t="s">
        <v>1156</v>
      </c>
      <c r="AY76" s="178" t="s">
        <v>1093</v>
      </c>
      <c r="AZ76" s="12" t="s">
        <v>2114</v>
      </c>
      <c r="BA76" s="12" t="s">
        <v>1098</v>
      </c>
      <c r="BB76" s="12" t="s">
        <v>1098</v>
      </c>
      <c r="BD76" s="12" t="s">
        <v>1092</v>
      </c>
      <c r="BE76" s="12" t="s">
        <v>118</v>
      </c>
      <c r="BF76" s="12" t="s">
        <v>121</v>
      </c>
      <c r="BH76" s="12" t="s">
        <v>120</v>
      </c>
      <c r="BI76" s="179">
        <v>73</v>
      </c>
      <c r="BJ76" s="12"/>
      <c r="BK76" s="176" t="s">
        <v>83</v>
      </c>
      <c r="BL76" s="12"/>
    </row>
    <row r="77" spans="1:65" x14ac:dyDescent="0.25">
      <c r="A77" s="12" t="s">
        <v>2445</v>
      </c>
      <c r="B77" s="12" t="s">
        <v>985</v>
      </c>
      <c r="C77" s="12" t="s">
        <v>709</v>
      </c>
      <c r="D77" s="12" t="s">
        <v>710</v>
      </c>
      <c r="E77" s="175">
        <v>42198</v>
      </c>
      <c r="F77" s="12" t="s">
        <v>1633</v>
      </c>
      <c r="G77" s="12" t="s">
        <v>1075</v>
      </c>
      <c r="H77" s="12" t="s">
        <v>2177</v>
      </c>
      <c r="I77" s="12" t="s">
        <v>2178</v>
      </c>
      <c r="J77" s="12" t="s">
        <v>2179</v>
      </c>
      <c r="K77" s="12" t="s">
        <v>1078</v>
      </c>
      <c r="L77" s="12" t="s">
        <v>1079</v>
      </c>
      <c r="M77" s="12" t="s">
        <v>1342</v>
      </c>
      <c r="O77" s="178" t="s">
        <v>1126</v>
      </c>
      <c r="P77" s="178" t="s">
        <v>2180</v>
      </c>
      <c r="Q77" s="12" t="s">
        <v>1342</v>
      </c>
      <c r="R77" s="179">
        <v>74</v>
      </c>
      <c r="S77" s="178"/>
      <c r="U77" s="12" t="s">
        <v>120</v>
      </c>
      <c r="W77" s="12" t="s">
        <v>1083</v>
      </c>
      <c r="X77" s="12" t="s">
        <v>1519</v>
      </c>
      <c r="Y77" s="178" t="s">
        <v>2081</v>
      </c>
      <c r="Z77" s="12" t="s">
        <v>2181</v>
      </c>
      <c r="AA77" s="178" t="s">
        <v>2182</v>
      </c>
      <c r="AB77" s="12" t="s">
        <v>2183</v>
      </c>
      <c r="AC77" s="178" t="s">
        <v>1192</v>
      </c>
      <c r="AD77" s="12" t="s">
        <v>2184</v>
      </c>
      <c r="AE77" s="12" t="s">
        <v>1075</v>
      </c>
      <c r="AF77" s="12" t="s">
        <v>2185</v>
      </c>
      <c r="AG77" s="12" t="s">
        <v>1092</v>
      </c>
      <c r="AH77" s="12" t="s">
        <v>1092</v>
      </c>
      <c r="AI77" s="12" t="s">
        <v>2186</v>
      </c>
      <c r="AJ77" s="12" t="s">
        <v>2187</v>
      </c>
      <c r="AK77" s="12" t="s">
        <v>1092</v>
      </c>
      <c r="AL77" s="12" t="s">
        <v>1092</v>
      </c>
      <c r="AM77" s="12" t="s">
        <v>1092</v>
      </c>
      <c r="AN77" s="12" t="s">
        <v>1092</v>
      </c>
      <c r="AO77" s="178" t="s">
        <v>1093</v>
      </c>
      <c r="AP77" s="178" t="s">
        <v>1093</v>
      </c>
      <c r="AQ77" s="178" t="s">
        <v>1093</v>
      </c>
      <c r="AR77" s="178" t="s">
        <v>1093</v>
      </c>
      <c r="AS77" s="178" t="s">
        <v>1118</v>
      </c>
      <c r="AT77" s="178" t="s">
        <v>1118</v>
      </c>
      <c r="AU77" s="178" t="s">
        <v>1118</v>
      </c>
      <c r="AV77" s="12" t="s">
        <v>1096</v>
      </c>
      <c r="AW77" s="12" t="s">
        <v>2270</v>
      </c>
      <c r="AY77" s="178" t="s">
        <v>1092</v>
      </c>
      <c r="AZ77" s="12" t="s">
        <v>2188</v>
      </c>
      <c r="BA77" s="12" t="s">
        <v>1098</v>
      </c>
      <c r="BB77" s="12" t="s">
        <v>1098</v>
      </c>
      <c r="BD77" s="12" t="s">
        <v>1092</v>
      </c>
      <c r="BE77" s="12" t="s">
        <v>118</v>
      </c>
      <c r="BF77" s="12" t="s">
        <v>121</v>
      </c>
      <c r="BH77" s="12" t="s">
        <v>120</v>
      </c>
      <c r="BI77" s="179">
        <v>74</v>
      </c>
      <c r="BJ77" s="12"/>
      <c r="BK77" s="176" t="s">
        <v>83</v>
      </c>
      <c r="BL77" s="12"/>
    </row>
    <row r="78" spans="1:65" x14ac:dyDescent="0.25">
      <c r="A78" s="12" t="s">
        <v>2445</v>
      </c>
      <c r="B78" s="12" t="s">
        <v>986</v>
      </c>
      <c r="C78" s="12" t="s">
        <v>715</v>
      </c>
      <c r="D78" s="12" t="s">
        <v>716</v>
      </c>
      <c r="E78" s="175">
        <v>42198</v>
      </c>
      <c r="F78" s="12" t="s">
        <v>2198</v>
      </c>
      <c r="G78" s="12" t="s">
        <v>1075</v>
      </c>
      <c r="H78" s="12" t="s">
        <v>2199</v>
      </c>
      <c r="I78" s="12" t="s">
        <v>2200</v>
      </c>
      <c r="K78" s="12" t="s">
        <v>1209</v>
      </c>
      <c r="L78" s="12" t="s">
        <v>1210</v>
      </c>
      <c r="M78" s="12" t="s">
        <v>1211</v>
      </c>
      <c r="O78" s="178" t="s">
        <v>1163</v>
      </c>
      <c r="P78" s="178" t="s">
        <v>2201</v>
      </c>
      <c r="Q78" s="12" t="s">
        <v>1211</v>
      </c>
      <c r="R78" s="179">
        <v>75</v>
      </c>
      <c r="S78" s="178"/>
      <c r="U78" s="12" t="s">
        <v>120</v>
      </c>
      <c r="V78" s="12" t="s">
        <v>2202</v>
      </c>
      <c r="W78" s="12" t="s">
        <v>1083</v>
      </c>
      <c r="X78" s="12" t="s">
        <v>1084</v>
      </c>
      <c r="Y78" s="178" t="s">
        <v>1938</v>
      </c>
      <c r="Z78" s="12" t="s">
        <v>1525</v>
      </c>
      <c r="AA78" s="178" t="s">
        <v>1249</v>
      </c>
      <c r="AB78" s="12" t="s">
        <v>2203</v>
      </c>
      <c r="AC78" s="178" t="s">
        <v>1757</v>
      </c>
      <c r="AD78" s="12" t="s">
        <v>2203</v>
      </c>
      <c r="AE78" s="12" t="s">
        <v>1075</v>
      </c>
      <c r="AF78" s="12" t="s">
        <v>3098</v>
      </c>
      <c r="AG78" s="12" t="s">
        <v>1092</v>
      </c>
      <c r="AH78" s="12" t="s">
        <v>1092</v>
      </c>
      <c r="AI78" s="12" t="s">
        <v>3099</v>
      </c>
      <c r="AJ78" s="12" t="s">
        <v>2205</v>
      </c>
      <c r="AK78" s="12" t="s">
        <v>2206</v>
      </c>
      <c r="AL78" s="12" t="s">
        <v>1092</v>
      </c>
      <c r="AM78" s="12" t="s">
        <v>1092</v>
      </c>
      <c r="AN78" s="12" t="s">
        <v>1092</v>
      </c>
      <c r="AO78" s="178" t="s">
        <v>1093</v>
      </c>
      <c r="AP78" s="178" t="s">
        <v>1093</v>
      </c>
      <c r="AQ78" s="178" t="s">
        <v>1093</v>
      </c>
      <c r="AR78" s="178" t="s">
        <v>1093</v>
      </c>
      <c r="AS78" s="178" t="s">
        <v>1118</v>
      </c>
      <c r="AT78" s="178" t="s">
        <v>1118</v>
      </c>
      <c r="AU78" s="178" t="s">
        <v>1118</v>
      </c>
      <c r="AV78" s="12" t="s">
        <v>1096</v>
      </c>
      <c r="AW78" s="12" t="s">
        <v>2270</v>
      </c>
      <c r="AY78" s="178" t="s">
        <v>1092</v>
      </c>
      <c r="AZ78" s="12" t="s">
        <v>2207</v>
      </c>
      <c r="BA78" s="12" t="s">
        <v>1098</v>
      </c>
      <c r="BB78" s="12" t="s">
        <v>2208</v>
      </c>
      <c r="BD78" s="12" t="s">
        <v>1092</v>
      </c>
      <c r="BE78" s="12" t="s">
        <v>118</v>
      </c>
      <c r="BF78" s="12" t="s">
        <v>121</v>
      </c>
      <c r="BH78" s="12" t="s">
        <v>120</v>
      </c>
      <c r="BI78" s="179">
        <v>75</v>
      </c>
      <c r="BJ78" s="12"/>
      <c r="BK78" s="176" t="s">
        <v>83</v>
      </c>
      <c r="BL78" s="12"/>
    </row>
    <row r="79" spans="1:65" x14ac:dyDescent="0.25">
      <c r="A79" s="12" t="s">
        <v>2445</v>
      </c>
      <c r="B79" s="12" t="s">
        <v>987</v>
      </c>
      <c r="C79" s="12" t="s">
        <v>718</v>
      </c>
      <c r="D79" s="12" t="s">
        <v>719</v>
      </c>
      <c r="E79" s="175">
        <v>42198</v>
      </c>
      <c r="F79" s="12" t="s">
        <v>2209</v>
      </c>
      <c r="G79" s="12" t="s">
        <v>1075</v>
      </c>
      <c r="H79" s="12" t="s">
        <v>2210</v>
      </c>
      <c r="I79" s="12" t="s">
        <v>2211</v>
      </c>
      <c r="J79" s="12" t="s">
        <v>2212</v>
      </c>
      <c r="K79" s="12" t="s">
        <v>1078</v>
      </c>
      <c r="L79" s="12" t="s">
        <v>1079</v>
      </c>
      <c r="M79" s="12" t="s">
        <v>1080</v>
      </c>
      <c r="O79" s="178" t="s">
        <v>1081</v>
      </c>
      <c r="P79" s="178" t="s">
        <v>2213</v>
      </c>
      <c r="Q79" s="12" t="s">
        <v>1080</v>
      </c>
      <c r="R79" s="179">
        <v>76</v>
      </c>
      <c r="S79" s="178"/>
      <c r="U79" s="12" t="s">
        <v>120</v>
      </c>
      <c r="W79" s="12" t="s">
        <v>1083</v>
      </c>
      <c r="X79" s="12" t="s">
        <v>1519</v>
      </c>
      <c r="Y79" s="178" t="s">
        <v>2214</v>
      </c>
      <c r="Z79" s="12" t="s">
        <v>2215</v>
      </c>
      <c r="AA79" s="178" t="s">
        <v>1169</v>
      </c>
      <c r="AB79" s="12" t="s">
        <v>2216</v>
      </c>
      <c r="AC79" s="178" t="s">
        <v>2217</v>
      </c>
      <c r="AD79" s="12" t="s">
        <v>2218</v>
      </c>
      <c r="AE79" s="12" t="s">
        <v>1075</v>
      </c>
      <c r="AF79" s="12" t="s">
        <v>2219</v>
      </c>
      <c r="AG79" s="12" t="s">
        <v>1092</v>
      </c>
      <c r="AH79" s="12" t="s">
        <v>1092</v>
      </c>
      <c r="AI79" s="12" t="s">
        <v>2220</v>
      </c>
      <c r="AJ79" s="12" t="s">
        <v>2221</v>
      </c>
      <c r="AK79" s="12" t="s">
        <v>1092</v>
      </c>
      <c r="AL79" s="12" t="s">
        <v>1092</v>
      </c>
      <c r="AM79" s="12" t="s">
        <v>1092</v>
      </c>
      <c r="AN79" s="12" t="s">
        <v>1092</v>
      </c>
      <c r="AO79" s="178" t="s">
        <v>1093</v>
      </c>
      <c r="AP79" s="178" t="s">
        <v>1093</v>
      </c>
      <c r="AQ79" s="178" t="s">
        <v>1093</v>
      </c>
      <c r="AR79" s="178" t="s">
        <v>1093</v>
      </c>
      <c r="AS79" s="178" t="s">
        <v>1118</v>
      </c>
      <c r="AT79" s="178" t="s">
        <v>1118</v>
      </c>
      <c r="AU79" s="178" t="s">
        <v>1118</v>
      </c>
      <c r="AV79" s="12" t="s">
        <v>1096</v>
      </c>
      <c r="AW79" s="12" t="s">
        <v>2270</v>
      </c>
      <c r="AY79" s="178" t="s">
        <v>1092</v>
      </c>
      <c r="AZ79" s="12" t="s">
        <v>2222</v>
      </c>
      <c r="BA79" s="12" t="s">
        <v>1098</v>
      </c>
      <c r="BB79" s="12" t="s">
        <v>1098</v>
      </c>
      <c r="BD79" s="12" t="s">
        <v>1092</v>
      </c>
      <c r="BE79" s="12" t="s">
        <v>118</v>
      </c>
      <c r="BF79" s="12" t="s">
        <v>121</v>
      </c>
      <c r="BH79" s="12" t="s">
        <v>120</v>
      </c>
      <c r="BI79" s="179">
        <v>76</v>
      </c>
      <c r="BJ79" s="12"/>
      <c r="BK79" s="176" t="s">
        <v>83</v>
      </c>
      <c r="BL79" s="12"/>
    </row>
    <row r="80" spans="1:65" x14ac:dyDescent="0.25">
      <c r="A80" s="12" t="s">
        <v>2445</v>
      </c>
      <c r="B80" s="12" t="s">
        <v>988</v>
      </c>
      <c r="C80" s="12" t="s">
        <v>724</v>
      </c>
      <c r="D80" s="12" t="s">
        <v>725</v>
      </c>
      <c r="E80" s="175">
        <v>42198</v>
      </c>
      <c r="F80" s="12" t="s">
        <v>2232</v>
      </c>
      <c r="G80" s="12" t="s">
        <v>1075</v>
      </c>
      <c r="H80" s="12" t="s">
        <v>2233</v>
      </c>
      <c r="I80" s="12" t="s">
        <v>2234</v>
      </c>
      <c r="J80" s="12" t="s">
        <v>2235</v>
      </c>
      <c r="K80" s="12" t="s">
        <v>1209</v>
      </c>
      <c r="L80" s="12" t="s">
        <v>1210</v>
      </c>
      <c r="M80" s="12" t="s">
        <v>1211</v>
      </c>
      <c r="O80" s="178" t="s">
        <v>1163</v>
      </c>
      <c r="P80" s="178" t="s">
        <v>2236</v>
      </c>
      <c r="Q80" s="12" t="s">
        <v>1211</v>
      </c>
      <c r="R80" s="179">
        <v>77</v>
      </c>
      <c r="S80" s="178"/>
      <c r="U80" s="12" t="s">
        <v>120</v>
      </c>
      <c r="W80" s="12" t="s">
        <v>1083</v>
      </c>
      <c r="X80" s="12" t="s">
        <v>1108</v>
      </c>
      <c r="Y80" s="178" t="s">
        <v>1313</v>
      </c>
      <c r="Z80" s="12" t="s">
        <v>2237</v>
      </c>
      <c r="AA80" s="178" t="s">
        <v>2010</v>
      </c>
      <c r="AB80" s="12" t="s">
        <v>1348</v>
      </c>
      <c r="AC80" s="178" t="s">
        <v>2010</v>
      </c>
      <c r="AD80" s="12" t="s">
        <v>1150</v>
      </c>
      <c r="AE80" s="12" t="s">
        <v>1075</v>
      </c>
      <c r="AF80" s="12" t="s">
        <v>2238</v>
      </c>
      <c r="AG80" s="12" t="s">
        <v>1092</v>
      </c>
      <c r="AH80" s="12" t="s">
        <v>1092</v>
      </c>
      <c r="AI80" s="12" t="s">
        <v>2239</v>
      </c>
      <c r="AJ80" s="12" t="s">
        <v>1092</v>
      </c>
      <c r="AK80" s="12" t="s">
        <v>1092</v>
      </c>
      <c r="AL80" s="12" t="s">
        <v>2240</v>
      </c>
      <c r="AM80" s="12" t="s">
        <v>1092</v>
      </c>
      <c r="AN80" s="12" t="s">
        <v>1092</v>
      </c>
      <c r="AO80" s="178" t="s">
        <v>1093</v>
      </c>
      <c r="AP80" s="178" t="s">
        <v>1093</v>
      </c>
      <c r="AQ80" s="178" t="s">
        <v>1093</v>
      </c>
      <c r="AR80" s="178" t="s">
        <v>1093</v>
      </c>
      <c r="AS80" s="178" t="s">
        <v>1118</v>
      </c>
      <c r="AT80" s="178" t="s">
        <v>1118</v>
      </c>
      <c r="AU80" s="178" t="s">
        <v>1118</v>
      </c>
      <c r="AV80" s="12" t="s">
        <v>1096</v>
      </c>
      <c r="AW80" s="12" t="s">
        <v>2270</v>
      </c>
      <c r="AX80" s="178" t="s">
        <v>2241</v>
      </c>
      <c r="AY80" s="178" t="s">
        <v>1097</v>
      </c>
      <c r="AZ80" s="12" t="s">
        <v>2242</v>
      </c>
      <c r="BA80" s="12" t="s">
        <v>1098</v>
      </c>
      <c r="BB80" s="12" t="s">
        <v>1098</v>
      </c>
      <c r="BD80" s="12" t="s">
        <v>1092</v>
      </c>
      <c r="BE80" s="12" t="s">
        <v>118</v>
      </c>
      <c r="BF80" s="12" t="s">
        <v>121</v>
      </c>
      <c r="BH80" s="12" t="s">
        <v>120</v>
      </c>
      <c r="BI80" s="179">
        <v>77</v>
      </c>
      <c r="BJ80" s="12"/>
      <c r="BK80" s="176" t="s">
        <v>83</v>
      </c>
      <c r="BL80" s="12"/>
    </row>
    <row r="81" spans="1:65" x14ac:dyDescent="0.25">
      <c r="A81" s="12" t="s">
        <v>2653</v>
      </c>
      <c r="B81" s="12" t="s">
        <v>989</v>
      </c>
      <c r="C81" s="12" t="s">
        <v>802</v>
      </c>
      <c r="D81" s="12" t="s">
        <v>803</v>
      </c>
      <c r="E81" s="175">
        <v>42198</v>
      </c>
      <c r="F81" s="12" t="s">
        <v>2457</v>
      </c>
      <c r="G81" s="12" t="s">
        <v>1075</v>
      </c>
      <c r="H81" s="12" t="s">
        <v>2458</v>
      </c>
      <c r="I81" s="12" t="s">
        <v>2459</v>
      </c>
      <c r="J81" s="12" t="s">
        <v>2460</v>
      </c>
      <c r="K81" s="12" t="s">
        <v>1103</v>
      </c>
      <c r="L81" s="12" t="s">
        <v>1124</v>
      </c>
      <c r="M81" s="12" t="s">
        <v>1105</v>
      </c>
      <c r="O81" s="178" t="s">
        <v>1275</v>
      </c>
      <c r="P81" s="178" t="s">
        <v>2461</v>
      </c>
      <c r="Q81" s="12" t="s">
        <v>1105</v>
      </c>
      <c r="R81" s="179">
        <v>78</v>
      </c>
      <c r="S81" s="178"/>
      <c r="U81" s="12" t="s">
        <v>120</v>
      </c>
      <c r="W81" s="12" t="s">
        <v>1083</v>
      </c>
      <c r="X81" s="12" t="s">
        <v>1084</v>
      </c>
      <c r="Y81" s="178" t="s">
        <v>1629</v>
      </c>
      <c r="Z81" s="12" t="s">
        <v>2462</v>
      </c>
      <c r="AA81" s="178" t="s">
        <v>1730</v>
      </c>
      <c r="AB81" s="12" t="s">
        <v>2463</v>
      </c>
      <c r="AC81" s="178" t="s">
        <v>2464</v>
      </c>
      <c r="AD81" s="12" t="s">
        <v>2465</v>
      </c>
      <c r="AE81" s="12" t="s">
        <v>1075</v>
      </c>
      <c r="AF81" s="12" t="s">
        <v>2466</v>
      </c>
      <c r="AG81" s="12" t="s">
        <v>1092</v>
      </c>
      <c r="AH81" s="12" t="s">
        <v>1092</v>
      </c>
      <c r="AI81" s="12" t="s">
        <v>2467</v>
      </c>
      <c r="AJ81" s="12" t="s">
        <v>2468</v>
      </c>
      <c r="AK81" s="12" t="s">
        <v>2469</v>
      </c>
      <c r="AL81" s="12" t="s">
        <v>1092</v>
      </c>
      <c r="AM81" s="12" t="s">
        <v>1092</v>
      </c>
      <c r="AN81" s="12" t="s">
        <v>1092</v>
      </c>
      <c r="AO81" s="178" t="s">
        <v>1093</v>
      </c>
      <c r="AP81" s="178" t="s">
        <v>1093</v>
      </c>
      <c r="AQ81" s="178" t="s">
        <v>1093</v>
      </c>
      <c r="AR81" s="178" t="s">
        <v>1093</v>
      </c>
      <c r="AS81" s="178" t="s">
        <v>1118</v>
      </c>
      <c r="AT81" s="178" t="s">
        <v>1118</v>
      </c>
      <c r="AU81" s="178" t="s">
        <v>1118</v>
      </c>
      <c r="AV81" s="12" t="s">
        <v>1096</v>
      </c>
      <c r="AW81" s="12" t="s">
        <v>2270</v>
      </c>
      <c r="AY81" s="178" t="s">
        <v>1092</v>
      </c>
      <c r="AZ81" s="12" t="s">
        <v>2470</v>
      </c>
      <c r="BA81" s="12" t="s">
        <v>2471</v>
      </c>
      <c r="BB81" s="12" t="s">
        <v>1098</v>
      </c>
      <c r="BD81" s="12" t="s">
        <v>1092</v>
      </c>
      <c r="BE81" s="12" t="s">
        <v>118</v>
      </c>
      <c r="BF81" s="12" t="s">
        <v>121</v>
      </c>
      <c r="BH81" s="12" t="s">
        <v>120</v>
      </c>
      <c r="BI81" s="179">
        <v>78</v>
      </c>
      <c r="BJ81" s="12"/>
      <c r="BK81" s="176" t="s">
        <v>83</v>
      </c>
      <c r="BL81" s="12"/>
    </row>
    <row r="82" spans="1:65" x14ac:dyDescent="0.25">
      <c r="A82" s="12" t="s">
        <v>2653</v>
      </c>
      <c r="B82" s="12" t="s">
        <v>990</v>
      </c>
      <c r="C82" s="12" t="s">
        <v>991</v>
      </c>
      <c r="D82" s="12" t="s">
        <v>992</v>
      </c>
      <c r="E82" s="175">
        <v>42198</v>
      </c>
      <c r="F82" s="12" t="s">
        <v>3100</v>
      </c>
      <c r="G82" s="12" t="s">
        <v>1075</v>
      </c>
      <c r="H82" s="12" t="s">
        <v>3101</v>
      </c>
      <c r="I82" s="12" t="s">
        <v>2735</v>
      </c>
      <c r="J82" s="12" t="s">
        <v>3102</v>
      </c>
      <c r="K82" s="12" t="s">
        <v>1078</v>
      </c>
      <c r="L82" s="12" t="s">
        <v>1079</v>
      </c>
      <c r="M82" s="12" t="s">
        <v>1080</v>
      </c>
      <c r="O82" s="178" t="s">
        <v>2508</v>
      </c>
      <c r="P82" s="178" t="s">
        <v>3103</v>
      </c>
      <c r="Q82" s="12" t="s">
        <v>1080</v>
      </c>
      <c r="R82" s="179">
        <v>79</v>
      </c>
      <c r="S82" s="178"/>
      <c r="U82" s="12" t="s">
        <v>120</v>
      </c>
      <c r="W82" s="12" t="s">
        <v>1083</v>
      </c>
      <c r="X82" s="12" t="s">
        <v>1464</v>
      </c>
      <c r="Y82" s="178" t="s">
        <v>1113</v>
      </c>
      <c r="Z82" s="12" t="s">
        <v>3104</v>
      </c>
      <c r="AA82" s="178" t="s">
        <v>1217</v>
      </c>
      <c r="AB82" s="12" t="s">
        <v>3105</v>
      </c>
      <c r="AC82" s="178" t="s">
        <v>3106</v>
      </c>
      <c r="AD82" s="12" t="s">
        <v>3107</v>
      </c>
      <c r="AE82" s="12" t="s">
        <v>1075</v>
      </c>
      <c r="AF82" s="12" t="s">
        <v>3108</v>
      </c>
      <c r="AG82" s="12" t="s">
        <v>1092</v>
      </c>
      <c r="AH82" s="12" t="s">
        <v>1092</v>
      </c>
      <c r="AI82" s="12" t="s">
        <v>3109</v>
      </c>
      <c r="AJ82" s="12" t="s">
        <v>3110</v>
      </c>
      <c r="AK82" s="12" t="s">
        <v>3111</v>
      </c>
      <c r="AL82" s="12" t="s">
        <v>1092</v>
      </c>
      <c r="AM82" s="12" t="s">
        <v>1092</v>
      </c>
      <c r="AN82" s="12" t="s">
        <v>1092</v>
      </c>
      <c r="AO82" s="178" t="s">
        <v>1093</v>
      </c>
      <c r="AP82" s="178" t="s">
        <v>1092</v>
      </c>
      <c r="AQ82" s="178" t="s">
        <v>1092</v>
      </c>
      <c r="AR82" s="178" t="s">
        <v>1093</v>
      </c>
      <c r="AS82" s="178" t="s">
        <v>1094</v>
      </c>
      <c r="AT82" s="178" t="s">
        <v>1095</v>
      </c>
      <c r="AU82" s="178" t="s">
        <v>1118</v>
      </c>
      <c r="AV82" s="12" t="s">
        <v>1096</v>
      </c>
      <c r="AW82" s="12" t="s">
        <v>2270</v>
      </c>
      <c r="AY82" s="178" t="s">
        <v>1092</v>
      </c>
      <c r="AZ82" s="12" t="s">
        <v>3112</v>
      </c>
      <c r="BA82" s="12" t="s">
        <v>3113</v>
      </c>
      <c r="BB82" s="12" t="s">
        <v>1098</v>
      </c>
      <c r="BD82" s="12" t="s">
        <v>1092</v>
      </c>
      <c r="BE82" s="12" t="s">
        <v>118</v>
      </c>
      <c r="BF82" s="12" t="s">
        <v>121</v>
      </c>
      <c r="BH82" s="12" t="s">
        <v>120</v>
      </c>
      <c r="BI82" s="179">
        <v>79</v>
      </c>
      <c r="BJ82" s="175">
        <v>42208</v>
      </c>
      <c r="BK82" s="176" t="s">
        <v>307</v>
      </c>
      <c r="BL82" s="12"/>
      <c r="BM82" s="12">
        <v>30</v>
      </c>
    </row>
    <row r="83" spans="1:65" x14ac:dyDescent="0.25">
      <c r="A83" s="12" t="s">
        <v>2653</v>
      </c>
      <c r="B83" s="12" t="s">
        <v>993</v>
      </c>
      <c r="C83" s="12" t="s">
        <v>808</v>
      </c>
      <c r="D83" s="12" t="s">
        <v>809</v>
      </c>
      <c r="E83" s="175">
        <v>42198</v>
      </c>
      <c r="F83" s="12" t="s">
        <v>2012</v>
      </c>
      <c r="G83" s="12" t="s">
        <v>1075</v>
      </c>
      <c r="H83" s="12" t="s">
        <v>2481</v>
      </c>
      <c r="I83" s="12" t="s">
        <v>2482</v>
      </c>
      <c r="K83" s="12" t="s">
        <v>1078</v>
      </c>
      <c r="L83" s="12" t="s">
        <v>1079</v>
      </c>
      <c r="M83" s="12" t="s">
        <v>1342</v>
      </c>
      <c r="O83" s="178" t="s">
        <v>1181</v>
      </c>
      <c r="P83" s="178" t="s">
        <v>2483</v>
      </c>
      <c r="Q83" s="12" t="s">
        <v>1342</v>
      </c>
      <c r="R83" s="179">
        <v>80</v>
      </c>
      <c r="S83" s="178"/>
      <c r="U83" s="12" t="s">
        <v>120</v>
      </c>
      <c r="W83" s="12" t="s">
        <v>1083</v>
      </c>
      <c r="X83" s="12" t="s">
        <v>1144</v>
      </c>
      <c r="Y83" s="178" t="s">
        <v>2328</v>
      </c>
      <c r="Z83" s="12" t="s">
        <v>2484</v>
      </c>
      <c r="AB83" s="12" t="s">
        <v>1185</v>
      </c>
      <c r="AD83" s="12" t="s">
        <v>1185</v>
      </c>
      <c r="AE83" s="12" t="s">
        <v>1075</v>
      </c>
      <c r="AF83" s="12" t="s">
        <v>2485</v>
      </c>
      <c r="AG83" s="12" t="s">
        <v>1092</v>
      </c>
      <c r="AH83" s="12" t="s">
        <v>1092</v>
      </c>
      <c r="AI83" s="12" t="s">
        <v>2486</v>
      </c>
      <c r="AJ83" s="12" t="s">
        <v>2487</v>
      </c>
      <c r="AK83" s="12" t="s">
        <v>2488</v>
      </c>
      <c r="AL83" s="12" t="s">
        <v>1092</v>
      </c>
      <c r="AM83" s="12" t="s">
        <v>1092</v>
      </c>
      <c r="AN83" s="12" t="s">
        <v>1092</v>
      </c>
      <c r="AO83" s="178" t="s">
        <v>1093</v>
      </c>
      <c r="AP83" s="178" t="s">
        <v>1093</v>
      </c>
      <c r="AQ83" s="178" t="s">
        <v>1093</v>
      </c>
      <c r="AR83" s="178" t="s">
        <v>1093</v>
      </c>
      <c r="AS83" s="178" t="s">
        <v>1118</v>
      </c>
      <c r="AT83" s="178" t="s">
        <v>1118</v>
      </c>
      <c r="AU83" s="178" t="s">
        <v>1118</v>
      </c>
      <c r="AV83" s="12" t="s">
        <v>1096</v>
      </c>
      <c r="AW83" s="12" t="s">
        <v>2270</v>
      </c>
      <c r="AY83" s="178" t="s">
        <v>1092</v>
      </c>
      <c r="AZ83" s="12" t="s">
        <v>2489</v>
      </c>
      <c r="BA83" s="12" t="s">
        <v>1098</v>
      </c>
      <c r="BB83" s="12" t="s">
        <v>1098</v>
      </c>
      <c r="BD83" s="12" t="s">
        <v>1092</v>
      </c>
      <c r="BE83" s="12" t="s">
        <v>118</v>
      </c>
      <c r="BF83" s="12" t="s">
        <v>121</v>
      </c>
      <c r="BH83" s="12" t="s">
        <v>120</v>
      </c>
      <c r="BI83" s="179">
        <v>80</v>
      </c>
      <c r="BJ83" s="12"/>
      <c r="BK83" s="176" t="s">
        <v>83</v>
      </c>
      <c r="BL83" s="12"/>
    </row>
    <row r="84" spans="1:65" x14ac:dyDescent="0.25">
      <c r="A84" s="12" t="s">
        <v>2653</v>
      </c>
      <c r="B84" s="12" t="s">
        <v>994</v>
      </c>
      <c r="C84" s="12" t="s">
        <v>811</v>
      </c>
      <c r="D84" s="12" t="s">
        <v>812</v>
      </c>
      <c r="E84" s="175">
        <v>42198</v>
      </c>
      <c r="F84" s="12" t="s">
        <v>2490</v>
      </c>
      <c r="G84" s="12" t="s">
        <v>1075</v>
      </c>
      <c r="H84" s="12" t="s">
        <v>2491</v>
      </c>
      <c r="I84" s="12" t="s">
        <v>2492</v>
      </c>
      <c r="K84" s="12" t="s">
        <v>1123</v>
      </c>
      <c r="L84" s="12" t="s">
        <v>1124</v>
      </c>
      <c r="M84" s="12" t="s">
        <v>1125</v>
      </c>
      <c r="O84" s="178" t="s">
        <v>1245</v>
      </c>
      <c r="P84" s="178" t="s">
        <v>2493</v>
      </c>
      <c r="Q84" s="12" t="s">
        <v>1125</v>
      </c>
      <c r="R84" s="179">
        <v>81</v>
      </c>
      <c r="S84" s="178"/>
      <c r="U84" s="12" t="s">
        <v>120</v>
      </c>
      <c r="W84" s="12" t="s">
        <v>1083</v>
      </c>
      <c r="X84" s="12" t="s">
        <v>1144</v>
      </c>
      <c r="Y84" s="178" t="s">
        <v>1234</v>
      </c>
      <c r="Z84" s="12" t="s">
        <v>2494</v>
      </c>
      <c r="AA84" s="178" t="s">
        <v>1965</v>
      </c>
      <c r="AB84" s="12" t="s">
        <v>2495</v>
      </c>
      <c r="AC84" s="178" t="s">
        <v>1531</v>
      </c>
      <c r="AD84" s="12" t="s">
        <v>2496</v>
      </c>
      <c r="AE84" s="12" t="s">
        <v>1075</v>
      </c>
      <c r="AF84" s="12" t="s">
        <v>2497</v>
      </c>
      <c r="AG84" s="12" t="s">
        <v>1092</v>
      </c>
      <c r="AH84" s="12" t="s">
        <v>1092</v>
      </c>
      <c r="AI84" s="12" t="s">
        <v>2498</v>
      </c>
      <c r="AJ84" s="12" t="s">
        <v>2499</v>
      </c>
      <c r="AK84" s="12" t="s">
        <v>2500</v>
      </c>
      <c r="AL84" s="12" t="s">
        <v>1092</v>
      </c>
      <c r="AM84" s="12" t="s">
        <v>1092</v>
      </c>
      <c r="AN84" s="12" t="s">
        <v>1092</v>
      </c>
      <c r="AO84" s="178" t="s">
        <v>1093</v>
      </c>
      <c r="AP84" s="178" t="s">
        <v>1092</v>
      </c>
      <c r="AQ84" s="178" t="s">
        <v>1093</v>
      </c>
      <c r="AR84" s="178" t="s">
        <v>1093</v>
      </c>
      <c r="AS84" s="178" t="s">
        <v>1118</v>
      </c>
      <c r="AT84" s="178" t="s">
        <v>1118</v>
      </c>
      <c r="AU84" s="178" t="s">
        <v>1118</v>
      </c>
      <c r="AV84" s="12" t="s">
        <v>1096</v>
      </c>
      <c r="AW84" s="12" t="s">
        <v>2270</v>
      </c>
      <c r="AX84" s="178" t="s">
        <v>2501</v>
      </c>
      <c r="AY84" s="178" t="s">
        <v>1093</v>
      </c>
      <c r="AZ84" s="12" t="s">
        <v>2502</v>
      </c>
      <c r="BA84" s="12" t="s">
        <v>1098</v>
      </c>
      <c r="BB84" s="12" t="s">
        <v>2503</v>
      </c>
      <c r="BD84" s="12" t="s">
        <v>1092</v>
      </c>
      <c r="BE84" s="12" t="s">
        <v>118</v>
      </c>
      <c r="BF84" s="12" t="s">
        <v>121</v>
      </c>
      <c r="BH84" s="12" t="s">
        <v>120</v>
      </c>
      <c r="BI84" s="179">
        <v>81</v>
      </c>
      <c r="BJ84" s="12"/>
      <c r="BK84" s="176" t="s">
        <v>83</v>
      </c>
      <c r="BL84" s="12"/>
    </row>
    <row r="85" spans="1:65" x14ac:dyDescent="0.25">
      <c r="A85" s="12" t="s">
        <v>2653</v>
      </c>
      <c r="B85" s="12" t="s">
        <v>995</v>
      </c>
      <c r="C85" s="12" t="s">
        <v>814</v>
      </c>
      <c r="D85" s="12" t="s">
        <v>815</v>
      </c>
      <c r="E85" s="175">
        <v>42198</v>
      </c>
      <c r="F85" s="12" t="s">
        <v>2504</v>
      </c>
      <c r="G85" s="12" t="s">
        <v>1075</v>
      </c>
      <c r="H85" s="12" t="s">
        <v>2505</v>
      </c>
      <c r="I85" s="12" t="s">
        <v>2506</v>
      </c>
      <c r="J85" s="12" t="s">
        <v>2507</v>
      </c>
      <c r="K85" s="12" t="s">
        <v>1103</v>
      </c>
      <c r="L85" s="12" t="s">
        <v>1124</v>
      </c>
      <c r="M85" s="12" t="s">
        <v>1125</v>
      </c>
      <c r="O85" s="178" t="s">
        <v>2508</v>
      </c>
      <c r="P85" s="178" t="s">
        <v>2509</v>
      </c>
      <c r="Q85" s="12" t="s">
        <v>1125</v>
      </c>
      <c r="R85" s="179">
        <v>82</v>
      </c>
      <c r="S85" s="178"/>
      <c r="U85" s="12" t="s">
        <v>120</v>
      </c>
      <c r="W85" s="12" t="s">
        <v>1083</v>
      </c>
      <c r="X85" s="12" t="s">
        <v>1918</v>
      </c>
      <c r="Y85" s="178" t="s">
        <v>1538</v>
      </c>
      <c r="Z85" s="12" t="s">
        <v>2510</v>
      </c>
      <c r="AA85" s="178" t="s">
        <v>1979</v>
      </c>
      <c r="AB85" s="12" t="s">
        <v>2511</v>
      </c>
      <c r="AC85" s="178" t="s">
        <v>1402</v>
      </c>
      <c r="AD85" s="12" t="s">
        <v>2512</v>
      </c>
      <c r="AE85" s="12" t="s">
        <v>1075</v>
      </c>
      <c r="AF85" s="12" t="s">
        <v>2513</v>
      </c>
      <c r="AG85" s="12" t="s">
        <v>1092</v>
      </c>
      <c r="AH85" s="12" t="s">
        <v>1092</v>
      </c>
      <c r="AI85" s="12" t="s">
        <v>2514</v>
      </c>
      <c r="AJ85" s="12" t="s">
        <v>2515</v>
      </c>
      <c r="AK85" s="12" t="s">
        <v>1092</v>
      </c>
      <c r="AL85" s="12" t="s">
        <v>1092</v>
      </c>
      <c r="AM85" s="12" t="s">
        <v>1092</v>
      </c>
      <c r="AN85" s="12" t="s">
        <v>1092</v>
      </c>
      <c r="AO85" s="178" t="s">
        <v>1093</v>
      </c>
      <c r="AP85" s="178" t="s">
        <v>1093</v>
      </c>
      <c r="AQ85" s="178" t="s">
        <v>1093</v>
      </c>
      <c r="AR85" s="178" t="s">
        <v>1093</v>
      </c>
      <c r="AS85" s="178" t="s">
        <v>1118</v>
      </c>
      <c r="AT85" s="178" t="s">
        <v>1118</v>
      </c>
      <c r="AU85" s="178" t="s">
        <v>1118</v>
      </c>
      <c r="AV85" s="12" t="s">
        <v>1096</v>
      </c>
      <c r="AW85" s="12" t="s">
        <v>2270</v>
      </c>
      <c r="AY85" s="178" t="s">
        <v>1092</v>
      </c>
      <c r="AZ85" s="12" t="s">
        <v>2516</v>
      </c>
      <c r="BA85" s="12" t="s">
        <v>1098</v>
      </c>
      <c r="BB85" s="12" t="s">
        <v>1098</v>
      </c>
      <c r="BD85" s="12" t="s">
        <v>1092</v>
      </c>
      <c r="BE85" s="12" t="s">
        <v>118</v>
      </c>
      <c r="BF85" s="12" t="s">
        <v>121</v>
      </c>
      <c r="BH85" s="12" t="s">
        <v>120</v>
      </c>
      <c r="BI85" s="179">
        <v>82</v>
      </c>
      <c r="BJ85" s="12"/>
      <c r="BK85" s="176" t="s">
        <v>83</v>
      </c>
      <c r="BL85" s="12"/>
    </row>
    <row r="86" spans="1:65" x14ac:dyDescent="0.25">
      <c r="A86" s="12" t="s">
        <v>2356</v>
      </c>
      <c r="B86" s="12" t="s">
        <v>996</v>
      </c>
      <c r="C86" s="12" t="s">
        <v>889</v>
      </c>
      <c r="D86" s="12" t="s">
        <v>890</v>
      </c>
      <c r="E86" s="175">
        <v>42198</v>
      </c>
      <c r="F86" s="12" t="s">
        <v>2770</v>
      </c>
      <c r="G86" s="12" t="s">
        <v>1075</v>
      </c>
      <c r="H86" s="12" t="s">
        <v>2771</v>
      </c>
      <c r="I86" s="12" t="s">
        <v>2772</v>
      </c>
      <c r="J86" s="12" t="s">
        <v>1627</v>
      </c>
      <c r="K86" s="12" t="s">
        <v>1078</v>
      </c>
      <c r="L86" s="12" t="s">
        <v>1079</v>
      </c>
      <c r="M86" s="12" t="s">
        <v>1342</v>
      </c>
      <c r="O86" s="178" t="s">
        <v>1126</v>
      </c>
      <c r="P86" s="178" t="s">
        <v>2773</v>
      </c>
      <c r="Q86" s="12" t="s">
        <v>1342</v>
      </c>
      <c r="R86" s="179">
        <v>83</v>
      </c>
      <c r="S86" s="178" t="s">
        <v>2774</v>
      </c>
      <c r="U86" s="12" t="s">
        <v>120</v>
      </c>
      <c r="W86" s="12" t="s">
        <v>1083</v>
      </c>
      <c r="X86" s="12" t="s">
        <v>1144</v>
      </c>
      <c r="Y86" s="178" t="s">
        <v>1147</v>
      </c>
      <c r="Z86" s="12" t="s">
        <v>2775</v>
      </c>
      <c r="AA86" s="178" t="s">
        <v>2264</v>
      </c>
      <c r="AB86" s="12" t="s">
        <v>1133</v>
      </c>
      <c r="AC86" s="178" t="s">
        <v>1661</v>
      </c>
      <c r="AD86" s="12" t="s">
        <v>2776</v>
      </c>
      <c r="AE86" s="12" t="s">
        <v>1075</v>
      </c>
      <c r="AF86" s="12" t="s">
        <v>2777</v>
      </c>
      <c r="AG86" s="12" t="s">
        <v>1092</v>
      </c>
      <c r="AH86" s="12" t="s">
        <v>1092</v>
      </c>
      <c r="AI86" s="12" t="s">
        <v>2778</v>
      </c>
      <c r="AJ86" s="12" t="s">
        <v>2779</v>
      </c>
      <c r="AK86" s="12" t="s">
        <v>2780</v>
      </c>
      <c r="AL86" s="12" t="s">
        <v>1092</v>
      </c>
      <c r="AM86" s="12" t="s">
        <v>1092</v>
      </c>
      <c r="AN86" s="12" t="s">
        <v>1092</v>
      </c>
      <c r="AO86" s="178" t="s">
        <v>1093</v>
      </c>
      <c r="AP86" s="178" t="s">
        <v>1093</v>
      </c>
      <c r="AQ86" s="178" t="s">
        <v>1093</v>
      </c>
      <c r="AR86" s="178" t="s">
        <v>1093</v>
      </c>
      <c r="AS86" s="178" t="s">
        <v>1118</v>
      </c>
      <c r="AT86" s="178" t="s">
        <v>1118</v>
      </c>
      <c r="AU86" s="178" t="s">
        <v>1118</v>
      </c>
      <c r="AV86" s="12" t="s">
        <v>1096</v>
      </c>
      <c r="AW86" s="12" t="s">
        <v>2270</v>
      </c>
      <c r="AY86" s="178" t="s">
        <v>1092</v>
      </c>
      <c r="AZ86" s="12" t="s">
        <v>2781</v>
      </c>
      <c r="BA86" s="12" t="s">
        <v>1098</v>
      </c>
      <c r="BB86" s="12" t="s">
        <v>2782</v>
      </c>
      <c r="BD86" s="12" t="s">
        <v>1092</v>
      </c>
      <c r="BE86" s="12" t="s">
        <v>118</v>
      </c>
      <c r="BF86" s="12" t="s">
        <v>121</v>
      </c>
      <c r="BH86" s="12" t="s">
        <v>120</v>
      </c>
      <c r="BI86" s="179">
        <v>83</v>
      </c>
      <c r="BJ86" s="12"/>
      <c r="BK86" s="176" t="s">
        <v>83</v>
      </c>
      <c r="BL86" s="12"/>
    </row>
    <row r="87" spans="1:65" x14ac:dyDescent="0.25">
      <c r="A87" s="12" t="s">
        <v>2356</v>
      </c>
      <c r="B87" s="12" t="s">
        <v>997</v>
      </c>
      <c r="C87" s="12" t="s">
        <v>898</v>
      </c>
      <c r="D87" s="12" t="s">
        <v>899</v>
      </c>
      <c r="E87" s="175">
        <v>42198</v>
      </c>
      <c r="F87" s="12" t="s">
        <v>2801</v>
      </c>
      <c r="G87" s="12" t="s">
        <v>1075</v>
      </c>
      <c r="H87" s="12" t="s">
        <v>2802</v>
      </c>
      <c r="I87" s="12" t="s">
        <v>2803</v>
      </c>
      <c r="K87" s="12" t="s">
        <v>1242</v>
      </c>
      <c r="L87" s="12" t="s">
        <v>1243</v>
      </c>
      <c r="M87" s="12" t="s">
        <v>1195</v>
      </c>
      <c r="O87" s="178" t="s">
        <v>1451</v>
      </c>
      <c r="P87" s="178" t="s">
        <v>2804</v>
      </c>
      <c r="Q87" s="12" t="s">
        <v>1195</v>
      </c>
      <c r="R87" s="179">
        <v>84</v>
      </c>
      <c r="S87" s="178"/>
      <c r="U87" s="12" t="s">
        <v>120</v>
      </c>
      <c r="W87" s="12" t="s">
        <v>1083</v>
      </c>
      <c r="X87" s="12" t="s">
        <v>1231</v>
      </c>
      <c r="Y87" s="178" t="s">
        <v>2348</v>
      </c>
      <c r="Z87" s="12" t="s">
        <v>2805</v>
      </c>
      <c r="AA87" s="178" t="s">
        <v>2770</v>
      </c>
      <c r="AB87" s="12" t="s">
        <v>2806</v>
      </c>
      <c r="AC87" s="178" t="s">
        <v>1606</v>
      </c>
      <c r="AD87" s="12" t="s">
        <v>2806</v>
      </c>
      <c r="AE87" s="12" t="s">
        <v>1075</v>
      </c>
      <c r="AF87" s="12" t="s">
        <v>2807</v>
      </c>
      <c r="AG87" s="12" t="s">
        <v>1092</v>
      </c>
      <c r="AH87" s="12" t="s">
        <v>1092</v>
      </c>
      <c r="AI87" s="12" t="s">
        <v>2808</v>
      </c>
      <c r="AJ87" s="12" t="s">
        <v>2809</v>
      </c>
      <c r="AK87" s="12" t="s">
        <v>2810</v>
      </c>
      <c r="AL87" s="12" t="s">
        <v>1092</v>
      </c>
      <c r="AM87" s="12" t="s">
        <v>1092</v>
      </c>
      <c r="AN87" s="12" t="s">
        <v>1092</v>
      </c>
      <c r="AO87" s="178" t="s">
        <v>1093</v>
      </c>
      <c r="AP87" s="178" t="s">
        <v>1093</v>
      </c>
      <c r="AQ87" s="178" t="s">
        <v>1093</v>
      </c>
      <c r="AR87" s="178" t="s">
        <v>1093</v>
      </c>
      <c r="AS87" s="178" t="s">
        <v>1118</v>
      </c>
      <c r="AT87" s="178" t="s">
        <v>1118</v>
      </c>
      <c r="AU87" s="178" t="s">
        <v>1118</v>
      </c>
      <c r="AV87" s="12" t="s">
        <v>1096</v>
      </c>
      <c r="AW87" s="12" t="s">
        <v>2270</v>
      </c>
      <c r="AY87" s="178" t="s">
        <v>1092</v>
      </c>
      <c r="AZ87" s="12" t="s">
        <v>2811</v>
      </c>
      <c r="BA87" s="12" t="s">
        <v>2812</v>
      </c>
      <c r="BB87" s="12" t="s">
        <v>1098</v>
      </c>
      <c r="BD87" s="12" t="s">
        <v>1092</v>
      </c>
      <c r="BE87" s="12" t="s">
        <v>118</v>
      </c>
      <c r="BF87" s="12" t="s">
        <v>121</v>
      </c>
      <c r="BH87" s="12" t="s">
        <v>120</v>
      </c>
      <c r="BI87" s="179">
        <v>84</v>
      </c>
      <c r="BJ87" s="12"/>
      <c r="BK87" s="176" t="s">
        <v>83</v>
      </c>
      <c r="BL87" s="12"/>
    </row>
    <row r="88" spans="1:65" x14ac:dyDescent="0.25">
      <c r="A88" s="12" t="s">
        <v>2356</v>
      </c>
      <c r="B88" s="12" t="s">
        <v>998</v>
      </c>
      <c r="C88" s="12" t="s">
        <v>904</v>
      </c>
      <c r="D88" s="12" t="s">
        <v>905</v>
      </c>
      <c r="E88" s="175">
        <v>42198</v>
      </c>
      <c r="F88" s="12" t="s">
        <v>2822</v>
      </c>
      <c r="G88" s="12" t="s">
        <v>1075</v>
      </c>
      <c r="H88" s="12" t="s">
        <v>2823</v>
      </c>
      <c r="I88" s="12" t="s">
        <v>2824</v>
      </c>
      <c r="J88" s="12" t="s">
        <v>2825</v>
      </c>
      <c r="K88" s="12" t="s">
        <v>1078</v>
      </c>
      <c r="L88" s="12" t="s">
        <v>1079</v>
      </c>
      <c r="M88" s="12" t="s">
        <v>1342</v>
      </c>
      <c r="O88" s="178" t="s">
        <v>1126</v>
      </c>
      <c r="P88" s="178" t="s">
        <v>2826</v>
      </c>
      <c r="Q88" s="12" t="s">
        <v>1342</v>
      </c>
      <c r="R88" s="179">
        <v>85</v>
      </c>
      <c r="S88" s="178"/>
      <c r="U88" s="12" t="s">
        <v>120</v>
      </c>
      <c r="W88" s="12" t="s">
        <v>1083</v>
      </c>
      <c r="X88" s="12" t="s">
        <v>2335</v>
      </c>
      <c r="Y88" s="178" t="s">
        <v>1590</v>
      </c>
      <c r="Z88" s="12" t="s">
        <v>2827</v>
      </c>
      <c r="AA88" s="178" t="s">
        <v>1531</v>
      </c>
      <c r="AB88" s="12" t="s">
        <v>2828</v>
      </c>
      <c r="AC88" s="178" t="s">
        <v>1257</v>
      </c>
      <c r="AD88" s="12" t="s">
        <v>2829</v>
      </c>
      <c r="AE88" s="12" t="s">
        <v>1075</v>
      </c>
      <c r="AF88" s="12" t="s">
        <v>2830</v>
      </c>
      <c r="AG88" s="12" t="s">
        <v>1092</v>
      </c>
      <c r="AH88" s="12" t="s">
        <v>1092</v>
      </c>
      <c r="AI88" s="12" t="s">
        <v>2831</v>
      </c>
      <c r="AJ88" s="12" t="s">
        <v>2832</v>
      </c>
      <c r="AK88" s="12" t="s">
        <v>1092</v>
      </c>
      <c r="AL88" s="12" t="s">
        <v>1092</v>
      </c>
      <c r="AM88" s="12" t="s">
        <v>1092</v>
      </c>
      <c r="AN88" s="12" t="s">
        <v>1092</v>
      </c>
      <c r="AO88" s="178" t="s">
        <v>1093</v>
      </c>
      <c r="AP88" s="178" t="s">
        <v>1093</v>
      </c>
      <c r="AQ88" s="178" t="s">
        <v>1093</v>
      </c>
      <c r="AR88" s="178" t="s">
        <v>1093</v>
      </c>
      <c r="AS88" s="178" t="s">
        <v>1118</v>
      </c>
      <c r="AT88" s="178" t="s">
        <v>1118</v>
      </c>
      <c r="AU88" s="178" t="s">
        <v>1118</v>
      </c>
      <c r="AV88" s="12" t="s">
        <v>1096</v>
      </c>
      <c r="AW88" s="12" t="s">
        <v>2270</v>
      </c>
      <c r="AY88" s="178" t="s">
        <v>1092</v>
      </c>
      <c r="AZ88" s="12" t="s">
        <v>2833</v>
      </c>
      <c r="BA88" s="12" t="s">
        <v>1098</v>
      </c>
      <c r="BB88" s="12" t="s">
        <v>2833</v>
      </c>
      <c r="BD88" s="12" t="s">
        <v>1092</v>
      </c>
      <c r="BE88" s="12" t="s">
        <v>118</v>
      </c>
      <c r="BF88" s="12" t="s">
        <v>121</v>
      </c>
      <c r="BH88" s="12" t="s">
        <v>120</v>
      </c>
      <c r="BI88" s="179">
        <v>85</v>
      </c>
      <c r="BJ88" s="12"/>
      <c r="BK88" s="176" t="s">
        <v>83</v>
      </c>
      <c r="BL88" s="12"/>
    </row>
    <row r="89" spans="1:65" x14ac:dyDescent="0.25">
      <c r="A89" s="12" t="s">
        <v>2356</v>
      </c>
      <c r="B89" s="12" t="s">
        <v>999</v>
      </c>
      <c r="C89" s="12" t="s">
        <v>877</v>
      </c>
      <c r="D89" s="12" t="s">
        <v>878</v>
      </c>
      <c r="E89" s="175">
        <v>42198</v>
      </c>
      <c r="F89" s="12" t="s">
        <v>1883</v>
      </c>
      <c r="G89" s="12" t="s">
        <v>1075</v>
      </c>
      <c r="H89" s="12" t="s">
        <v>1076</v>
      </c>
      <c r="I89" s="12" t="s">
        <v>2735</v>
      </c>
      <c r="J89" s="12" t="s">
        <v>2428</v>
      </c>
      <c r="K89" s="12" t="s">
        <v>1078</v>
      </c>
      <c r="L89" s="12" t="s">
        <v>1079</v>
      </c>
      <c r="M89" s="12" t="s">
        <v>1080</v>
      </c>
      <c r="O89" s="178" t="s">
        <v>1488</v>
      </c>
      <c r="P89" s="178" t="s">
        <v>2736</v>
      </c>
      <c r="Q89" s="12" t="s">
        <v>1080</v>
      </c>
      <c r="R89" s="179">
        <v>86</v>
      </c>
      <c r="S89" s="178"/>
      <c r="U89" s="12" t="s">
        <v>120</v>
      </c>
      <c r="W89" s="12" t="s">
        <v>1083</v>
      </c>
      <c r="X89" s="12" t="s">
        <v>1519</v>
      </c>
      <c r="Y89" s="178" t="s">
        <v>1234</v>
      </c>
      <c r="Z89" s="12" t="s">
        <v>2737</v>
      </c>
      <c r="AB89" s="12" t="s">
        <v>1185</v>
      </c>
      <c r="AD89" s="12" t="s">
        <v>1185</v>
      </c>
      <c r="AE89" s="12" t="s">
        <v>1075</v>
      </c>
      <c r="AF89" s="12" t="s">
        <v>2738</v>
      </c>
      <c r="AG89" s="12" t="s">
        <v>1092</v>
      </c>
      <c r="AH89" s="12" t="s">
        <v>1092</v>
      </c>
      <c r="AI89" s="12" t="s">
        <v>2739</v>
      </c>
      <c r="AJ89" s="12" t="s">
        <v>2740</v>
      </c>
      <c r="AK89" s="12" t="s">
        <v>1092</v>
      </c>
      <c r="AL89" s="12" t="s">
        <v>1092</v>
      </c>
      <c r="AM89" s="12" t="s">
        <v>1092</v>
      </c>
      <c r="AN89" s="12" t="s">
        <v>1092</v>
      </c>
      <c r="AO89" s="178" t="s">
        <v>1093</v>
      </c>
      <c r="AP89" s="178" t="s">
        <v>1093</v>
      </c>
      <c r="AQ89" s="178" t="s">
        <v>1093</v>
      </c>
      <c r="AR89" s="178" t="s">
        <v>1093</v>
      </c>
      <c r="AS89" s="178" t="s">
        <v>1118</v>
      </c>
      <c r="AT89" s="178" t="s">
        <v>1118</v>
      </c>
      <c r="AU89" s="178" t="s">
        <v>1118</v>
      </c>
      <c r="AV89" s="12" t="s">
        <v>1096</v>
      </c>
      <c r="AW89" s="12" t="s">
        <v>2270</v>
      </c>
      <c r="AY89" s="178" t="s">
        <v>1092</v>
      </c>
      <c r="AZ89" s="12" t="s">
        <v>1098</v>
      </c>
      <c r="BA89" s="12" t="s">
        <v>1098</v>
      </c>
      <c r="BB89" s="12" t="s">
        <v>1098</v>
      </c>
      <c r="BC89" s="178" t="s">
        <v>1205</v>
      </c>
      <c r="BD89" s="12" t="s">
        <v>1092</v>
      </c>
      <c r="BE89" s="12" t="s">
        <v>118</v>
      </c>
      <c r="BF89" s="12" t="s">
        <v>121</v>
      </c>
      <c r="BH89" s="12" t="s">
        <v>120</v>
      </c>
      <c r="BI89" s="179">
        <v>86</v>
      </c>
      <c r="BJ89" s="12"/>
      <c r="BK89" s="176" t="s">
        <v>83</v>
      </c>
      <c r="BL89" s="12"/>
    </row>
    <row r="90" spans="1:65" x14ac:dyDescent="0.25">
      <c r="A90" s="12" t="s">
        <v>2356</v>
      </c>
      <c r="B90" s="12" t="s">
        <v>963</v>
      </c>
      <c r="C90" s="12" t="s">
        <v>964</v>
      </c>
      <c r="D90" s="12" t="s">
        <v>965</v>
      </c>
      <c r="E90" s="175">
        <v>42198</v>
      </c>
      <c r="F90" s="12" t="s">
        <v>3039</v>
      </c>
      <c r="G90" s="12" t="s">
        <v>1075</v>
      </c>
      <c r="H90" s="12" t="s">
        <v>3040</v>
      </c>
      <c r="I90" s="12" t="s">
        <v>3041</v>
      </c>
      <c r="K90" s="12" t="s">
        <v>1103</v>
      </c>
      <c r="L90" s="12" t="s">
        <v>1104</v>
      </c>
      <c r="M90" s="12" t="s">
        <v>1105</v>
      </c>
      <c r="O90" s="178" t="s">
        <v>1936</v>
      </c>
      <c r="P90" s="178" t="s">
        <v>3042</v>
      </c>
      <c r="Q90" s="12" t="s">
        <v>1105</v>
      </c>
      <c r="R90" s="179">
        <v>64</v>
      </c>
      <c r="S90" s="178"/>
      <c r="U90" s="12">
        <v>11111</v>
      </c>
      <c r="W90" s="12" t="s">
        <v>1083</v>
      </c>
      <c r="X90" s="12" t="s">
        <v>1359</v>
      </c>
      <c r="Y90" s="178" t="s">
        <v>3043</v>
      </c>
      <c r="Z90" s="12" t="s">
        <v>3044</v>
      </c>
      <c r="AA90" s="178" t="s">
        <v>1217</v>
      </c>
      <c r="AB90" s="12" t="s">
        <v>3045</v>
      </c>
      <c r="AC90" s="178" t="s">
        <v>1579</v>
      </c>
      <c r="AD90" s="12" t="s">
        <v>3046</v>
      </c>
      <c r="AE90" s="12" t="s">
        <v>1075</v>
      </c>
      <c r="AF90" s="12" t="s">
        <v>3047</v>
      </c>
      <c r="AG90" s="12" t="s">
        <v>1092</v>
      </c>
      <c r="AH90" s="12" t="s">
        <v>1092</v>
      </c>
      <c r="AI90" s="12" t="s">
        <v>3048</v>
      </c>
      <c r="AJ90" s="12" t="s">
        <v>1092</v>
      </c>
      <c r="AK90" s="12" t="s">
        <v>1092</v>
      </c>
      <c r="AL90" s="12" t="s">
        <v>3049</v>
      </c>
      <c r="AM90" s="12" t="s">
        <v>1092</v>
      </c>
      <c r="AN90" s="12" t="s">
        <v>1092</v>
      </c>
      <c r="AO90" s="178" t="s">
        <v>1093</v>
      </c>
      <c r="AP90" s="178" t="s">
        <v>1093</v>
      </c>
      <c r="AQ90" s="178" t="s">
        <v>1093</v>
      </c>
      <c r="AR90" s="178" t="s">
        <v>1092</v>
      </c>
      <c r="AS90" s="178" t="s">
        <v>1118</v>
      </c>
      <c r="AT90" s="178" t="s">
        <v>1118</v>
      </c>
      <c r="AU90" s="178" t="s">
        <v>1095</v>
      </c>
      <c r="AV90" s="12" t="s">
        <v>1096</v>
      </c>
      <c r="AW90" s="12" t="s">
        <v>1097</v>
      </c>
      <c r="AX90" s="178" t="s">
        <v>3050</v>
      </c>
      <c r="AY90" s="178" t="s">
        <v>1093</v>
      </c>
      <c r="AZ90" s="12" t="s">
        <v>3051</v>
      </c>
      <c r="BA90" s="12" t="s">
        <v>1098</v>
      </c>
      <c r="BB90" s="12" t="s">
        <v>1098</v>
      </c>
      <c r="BD90" s="12" t="s">
        <v>1092</v>
      </c>
      <c r="BE90" s="12" t="s">
        <v>118</v>
      </c>
      <c r="BF90" s="12" t="s">
        <v>4369</v>
      </c>
      <c r="BH90" s="12">
        <v>11111</v>
      </c>
      <c r="BI90" s="179">
        <v>64</v>
      </c>
      <c r="BJ90" s="175">
        <v>42210</v>
      </c>
      <c r="BK90" s="176" t="s">
        <v>82</v>
      </c>
      <c r="BL90" s="12"/>
      <c r="BM90" s="12">
        <v>30</v>
      </c>
    </row>
    <row r="91" spans="1:65" x14ac:dyDescent="0.25">
      <c r="A91" s="12" t="s">
        <v>2356</v>
      </c>
      <c r="B91" s="12" t="s">
        <v>966</v>
      </c>
      <c r="C91" s="12" t="s">
        <v>967</v>
      </c>
      <c r="D91" s="12" t="s">
        <v>968</v>
      </c>
      <c r="E91" s="175">
        <v>42198</v>
      </c>
      <c r="F91" s="12" t="s">
        <v>1829</v>
      </c>
      <c r="G91" s="12" t="s">
        <v>1075</v>
      </c>
      <c r="H91" s="12" t="s">
        <v>3052</v>
      </c>
      <c r="I91" s="12" t="s">
        <v>3053</v>
      </c>
      <c r="J91" s="12" t="s">
        <v>3054</v>
      </c>
      <c r="K91" s="12" t="s">
        <v>1078</v>
      </c>
      <c r="L91" s="12" t="s">
        <v>1079</v>
      </c>
      <c r="M91" s="12" t="s">
        <v>1342</v>
      </c>
      <c r="O91" s="178" t="s">
        <v>1106</v>
      </c>
      <c r="P91" s="178" t="s">
        <v>3055</v>
      </c>
      <c r="Q91" s="12" t="s">
        <v>1342</v>
      </c>
      <c r="R91" s="179">
        <v>65</v>
      </c>
      <c r="S91" s="178"/>
      <c r="U91" s="12">
        <v>11111</v>
      </c>
      <c r="W91" s="12" t="s">
        <v>1083</v>
      </c>
      <c r="X91" s="12" t="s">
        <v>1918</v>
      </c>
      <c r="Y91" s="178" t="s">
        <v>2573</v>
      </c>
      <c r="Z91" s="12" t="s">
        <v>3056</v>
      </c>
      <c r="AA91" s="178" t="s">
        <v>1563</v>
      </c>
      <c r="AB91" s="12" t="s">
        <v>1088</v>
      </c>
      <c r="AC91" s="178" t="s">
        <v>2264</v>
      </c>
      <c r="AD91" s="12" t="s">
        <v>1262</v>
      </c>
      <c r="AE91" s="12" t="s">
        <v>1075</v>
      </c>
      <c r="AF91" s="12" t="s">
        <v>3057</v>
      </c>
      <c r="AG91" s="12" t="s">
        <v>1092</v>
      </c>
      <c r="AH91" s="12" t="s">
        <v>1092</v>
      </c>
      <c r="AI91" s="12" t="s">
        <v>3058</v>
      </c>
      <c r="AJ91" s="12" t="s">
        <v>3059</v>
      </c>
      <c r="AK91" s="12" t="s">
        <v>1092</v>
      </c>
      <c r="AL91" s="12" t="s">
        <v>1092</v>
      </c>
      <c r="AM91" s="12" t="s">
        <v>1092</v>
      </c>
      <c r="AN91" s="12" t="s">
        <v>1092</v>
      </c>
      <c r="AO91" s="178" t="s">
        <v>1093</v>
      </c>
      <c r="AP91" s="178" t="s">
        <v>1093</v>
      </c>
      <c r="AQ91" s="178" t="s">
        <v>1093</v>
      </c>
      <c r="AR91" s="178" t="s">
        <v>1092</v>
      </c>
      <c r="AS91" s="178" t="s">
        <v>1118</v>
      </c>
      <c r="AT91" s="178" t="s">
        <v>1118</v>
      </c>
      <c r="AU91" s="178" t="s">
        <v>1095</v>
      </c>
      <c r="AV91" s="12" t="s">
        <v>1096</v>
      </c>
      <c r="AW91" s="12" t="s">
        <v>1097</v>
      </c>
      <c r="AY91" s="178" t="s">
        <v>1092</v>
      </c>
      <c r="AZ91" s="12" t="s">
        <v>3060</v>
      </c>
      <c r="BA91" s="12" t="s">
        <v>1098</v>
      </c>
      <c r="BB91" s="12" t="s">
        <v>1098</v>
      </c>
      <c r="BD91" s="12" t="s">
        <v>1092</v>
      </c>
      <c r="BE91" s="12" t="s">
        <v>118</v>
      </c>
      <c r="BF91" s="12" t="s">
        <v>4369</v>
      </c>
      <c r="BH91" s="12">
        <v>11111</v>
      </c>
      <c r="BI91" s="179">
        <v>65</v>
      </c>
      <c r="BJ91" s="175">
        <v>42212</v>
      </c>
      <c r="BK91" s="176" t="s">
        <v>82</v>
      </c>
      <c r="BL91" s="12"/>
    </row>
    <row r="92" spans="1:65" x14ac:dyDescent="0.25">
      <c r="A92" s="12" t="s">
        <v>2356</v>
      </c>
      <c r="B92" s="12" t="s">
        <v>969</v>
      </c>
      <c r="C92" s="12" t="s">
        <v>970</v>
      </c>
      <c r="D92" s="12" t="s">
        <v>971</v>
      </c>
      <c r="E92" s="175">
        <v>42198</v>
      </c>
      <c r="F92" s="12" t="s">
        <v>1214</v>
      </c>
      <c r="G92" s="12" t="s">
        <v>1075</v>
      </c>
      <c r="H92" s="12" t="s">
        <v>3061</v>
      </c>
      <c r="I92" s="12" t="s">
        <v>3062</v>
      </c>
      <c r="J92" s="12" t="s">
        <v>3063</v>
      </c>
      <c r="K92" s="12" t="s">
        <v>1078</v>
      </c>
      <c r="L92" s="12" t="s">
        <v>1079</v>
      </c>
      <c r="M92" s="12" t="s">
        <v>1342</v>
      </c>
      <c r="O92" s="178" t="s">
        <v>1289</v>
      </c>
      <c r="P92" s="178" t="s">
        <v>3064</v>
      </c>
      <c r="Q92" s="12" t="s">
        <v>1342</v>
      </c>
      <c r="R92" s="179">
        <v>66</v>
      </c>
      <c r="S92" s="178"/>
      <c r="U92" s="12">
        <v>11111</v>
      </c>
      <c r="W92" s="12" t="s">
        <v>1083</v>
      </c>
      <c r="X92" s="12" t="s">
        <v>1519</v>
      </c>
      <c r="Y92" s="178" t="s">
        <v>2445</v>
      </c>
      <c r="Z92" s="12" t="s">
        <v>2766</v>
      </c>
      <c r="AB92" s="12" t="s">
        <v>1185</v>
      </c>
      <c r="AD92" s="12" t="s">
        <v>1185</v>
      </c>
      <c r="AE92" s="12" t="s">
        <v>1075</v>
      </c>
      <c r="AF92" s="12" t="s">
        <v>3065</v>
      </c>
      <c r="AG92" s="12" t="s">
        <v>1092</v>
      </c>
      <c r="AH92" s="12" t="s">
        <v>1092</v>
      </c>
      <c r="AI92" s="12" t="s">
        <v>3066</v>
      </c>
      <c r="AJ92" s="12" t="s">
        <v>3067</v>
      </c>
      <c r="AK92" s="12" t="s">
        <v>1092</v>
      </c>
      <c r="AL92" s="12" t="s">
        <v>1092</v>
      </c>
      <c r="AM92" s="12" t="s">
        <v>1092</v>
      </c>
      <c r="AN92" s="12" t="s">
        <v>1092</v>
      </c>
      <c r="AO92" s="178" t="s">
        <v>1092</v>
      </c>
      <c r="AP92" s="178" t="s">
        <v>1092</v>
      </c>
      <c r="AQ92" s="178" t="s">
        <v>1093</v>
      </c>
      <c r="AR92" s="178" t="s">
        <v>1092</v>
      </c>
      <c r="AS92" s="178" t="s">
        <v>1155</v>
      </c>
      <c r="AT92" s="178" t="s">
        <v>1118</v>
      </c>
      <c r="AU92" s="178" t="s">
        <v>1095</v>
      </c>
      <c r="AV92" s="12" t="s">
        <v>1096</v>
      </c>
      <c r="AW92" s="12" t="s">
        <v>1097</v>
      </c>
      <c r="AY92" s="178" t="s">
        <v>1092</v>
      </c>
      <c r="AZ92" s="12" t="s">
        <v>3068</v>
      </c>
      <c r="BA92" s="12" t="s">
        <v>1098</v>
      </c>
      <c r="BB92" s="12" t="s">
        <v>1098</v>
      </c>
      <c r="BD92" s="12" t="s">
        <v>1092</v>
      </c>
      <c r="BE92" s="12" t="s">
        <v>118</v>
      </c>
      <c r="BF92" s="12" t="s">
        <v>4369</v>
      </c>
      <c r="BH92" s="12">
        <v>11111</v>
      </c>
      <c r="BI92" s="179">
        <v>66</v>
      </c>
      <c r="BJ92" s="175">
        <v>42208</v>
      </c>
      <c r="BK92" s="176" t="s">
        <v>82</v>
      </c>
      <c r="BL92" s="12"/>
      <c r="BM92" s="12">
        <v>30</v>
      </c>
    </row>
    <row r="93" spans="1:65" x14ac:dyDescent="0.25">
      <c r="A93" s="12" t="s">
        <v>2356</v>
      </c>
      <c r="B93" s="12" t="s">
        <v>972</v>
      </c>
      <c r="C93" s="12" t="s">
        <v>973</v>
      </c>
      <c r="D93" s="12" t="s">
        <v>974</v>
      </c>
      <c r="E93" s="175">
        <v>42198</v>
      </c>
      <c r="F93" s="12" t="s">
        <v>3069</v>
      </c>
      <c r="G93" s="12" t="s">
        <v>1075</v>
      </c>
      <c r="H93" s="12" t="s">
        <v>3070</v>
      </c>
      <c r="I93" s="12" t="s">
        <v>3071</v>
      </c>
      <c r="J93" s="12" t="s">
        <v>3072</v>
      </c>
      <c r="K93" s="12" t="s">
        <v>1103</v>
      </c>
      <c r="L93" s="12" t="s">
        <v>1179</v>
      </c>
      <c r="M93" s="12" t="s">
        <v>1180</v>
      </c>
      <c r="O93" s="178" t="s">
        <v>1396</v>
      </c>
      <c r="P93" s="178" t="s">
        <v>3073</v>
      </c>
      <c r="Q93" s="12" t="s">
        <v>1180</v>
      </c>
      <c r="R93" s="179">
        <v>67</v>
      </c>
      <c r="S93" s="178"/>
      <c r="U93" s="12">
        <v>11111</v>
      </c>
      <c r="W93" s="12" t="s">
        <v>1083</v>
      </c>
      <c r="X93" s="12" t="s">
        <v>2361</v>
      </c>
      <c r="Y93" s="178" t="s">
        <v>2348</v>
      </c>
      <c r="Z93" s="12" t="s">
        <v>1605</v>
      </c>
      <c r="AA93" s="178" t="s">
        <v>1314</v>
      </c>
      <c r="AB93" s="12" t="s">
        <v>1605</v>
      </c>
      <c r="AC93" s="178" t="s">
        <v>3074</v>
      </c>
      <c r="AD93" s="12" t="s">
        <v>3075</v>
      </c>
      <c r="AE93" s="12" t="s">
        <v>1075</v>
      </c>
      <c r="AF93" s="12" t="s">
        <v>3076</v>
      </c>
      <c r="AG93" s="12" t="s">
        <v>1092</v>
      </c>
      <c r="AH93" s="12" t="s">
        <v>1092</v>
      </c>
      <c r="AI93" s="12" t="s">
        <v>1610</v>
      </c>
      <c r="AJ93" s="12" t="s">
        <v>1610</v>
      </c>
      <c r="AK93" s="12" t="s">
        <v>1092</v>
      </c>
      <c r="AL93" s="12" t="s">
        <v>1092</v>
      </c>
      <c r="AM93" s="12" t="s">
        <v>1092</v>
      </c>
      <c r="AN93" s="12" t="s">
        <v>1092</v>
      </c>
      <c r="AO93" s="178" t="s">
        <v>1092</v>
      </c>
      <c r="AP93" s="178" t="s">
        <v>1092</v>
      </c>
      <c r="AQ93" s="178" t="s">
        <v>1093</v>
      </c>
      <c r="AR93" s="178" t="s">
        <v>1092</v>
      </c>
      <c r="AS93" s="178" t="s">
        <v>1155</v>
      </c>
      <c r="AT93" s="178" t="s">
        <v>1118</v>
      </c>
      <c r="AU93" s="178" t="s">
        <v>1095</v>
      </c>
      <c r="AV93" s="12" t="s">
        <v>1096</v>
      </c>
      <c r="AW93" s="12" t="s">
        <v>1097</v>
      </c>
      <c r="AY93" s="178" t="s">
        <v>1092</v>
      </c>
      <c r="AZ93" s="12" t="s">
        <v>3077</v>
      </c>
      <c r="BA93" s="12" t="s">
        <v>1098</v>
      </c>
      <c r="BB93" s="12" t="s">
        <v>1098</v>
      </c>
      <c r="BD93" s="12" t="s">
        <v>1092</v>
      </c>
      <c r="BE93" s="12" t="s">
        <v>118</v>
      </c>
      <c r="BF93" s="12" t="s">
        <v>4369</v>
      </c>
      <c r="BH93" s="12">
        <v>11111</v>
      </c>
      <c r="BI93" s="179">
        <v>67</v>
      </c>
      <c r="BJ93" s="175">
        <v>42209</v>
      </c>
      <c r="BK93" s="176" t="s">
        <v>82</v>
      </c>
      <c r="BL93" s="12"/>
      <c r="BM93" s="12">
        <v>30</v>
      </c>
    </row>
    <row r="94" spans="1:65" x14ac:dyDescent="0.25">
      <c r="A94" s="12" t="s">
        <v>2356</v>
      </c>
      <c r="B94" s="12" t="s">
        <v>975</v>
      </c>
      <c r="C94" s="12" t="s">
        <v>976</v>
      </c>
      <c r="D94" s="12" t="s">
        <v>977</v>
      </c>
      <c r="E94" s="175">
        <v>42198</v>
      </c>
      <c r="F94" s="12" t="s">
        <v>1111</v>
      </c>
      <c r="G94" s="12" t="s">
        <v>1075</v>
      </c>
      <c r="H94" s="12" t="s">
        <v>1076</v>
      </c>
      <c r="I94" s="12" t="s">
        <v>3078</v>
      </c>
      <c r="K94" s="12" t="s">
        <v>1103</v>
      </c>
      <c r="L94" s="12" t="s">
        <v>1179</v>
      </c>
      <c r="M94" s="12" t="s">
        <v>1195</v>
      </c>
      <c r="Q94" s="12" t="s">
        <v>1195</v>
      </c>
      <c r="R94" s="179">
        <v>68</v>
      </c>
      <c r="S94" s="178"/>
      <c r="U94" s="12">
        <v>11111</v>
      </c>
      <c r="W94" s="12" t="s">
        <v>1083</v>
      </c>
      <c r="X94" s="12" t="s">
        <v>2339</v>
      </c>
      <c r="Y94" s="178" t="s">
        <v>1503</v>
      </c>
      <c r="Z94" s="12" t="s">
        <v>3079</v>
      </c>
      <c r="AA94" s="178" t="s">
        <v>1853</v>
      </c>
      <c r="AB94" s="12" t="s">
        <v>1525</v>
      </c>
      <c r="AC94" s="178" t="s">
        <v>1257</v>
      </c>
      <c r="AD94" s="12" t="s">
        <v>3080</v>
      </c>
      <c r="AE94" s="12" t="s">
        <v>1075</v>
      </c>
      <c r="AF94" s="12" t="s">
        <v>3081</v>
      </c>
      <c r="AG94" s="12" t="s">
        <v>1092</v>
      </c>
      <c r="AH94" s="12" t="s">
        <v>1092</v>
      </c>
      <c r="AI94" s="12" t="s">
        <v>2675</v>
      </c>
      <c r="AJ94" s="12" t="s">
        <v>3082</v>
      </c>
      <c r="AK94" s="12" t="s">
        <v>1092</v>
      </c>
      <c r="AL94" s="12" t="s">
        <v>1092</v>
      </c>
      <c r="AM94" s="12" t="s">
        <v>1092</v>
      </c>
      <c r="AN94" s="12" t="s">
        <v>1092</v>
      </c>
      <c r="AO94" s="178" t="s">
        <v>1093</v>
      </c>
      <c r="AP94" s="178" t="s">
        <v>1092</v>
      </c>
      <c r="AQ94" s="178" t="s">
        <v>1092</v>
      </c>
      <c r="AR94" s="178" t="s">
        <v>1092</v>
      </c>
      <c r="AS94" s="178" t="s">
        <v>1118</v>
      </c>
      <c r="AT94" s="178" t="s">
        <v>1095</v>
      </c>
      <c r="AU94" s="178" t="s">
        <v>1095</v>
      </c>
      <c r="AV94" s="12" t="s">
        <v>1096</v>
      </c>
      <c r="AW94" s="12" t="s">
        <v>1097</v>
      </c>
      <c r="AY94" s="178" t="s">
        <v>1092</v>
      </c>
      <c r="AZ94" s="12" t="s">
        <v>1098</v>
      </c>
      <c r="BA94" s="12" t="s">
        <v>1098</v>
      </c>
      <c r="BB94" s="12" t="s">
        <v>3083</v>
      </c>
      <c r="BD94" s="12" t="s">
        <v>1092</v>
      </c>
      <c r="BE94" s="12" t="s">
        <v>118</v>
      </c>
      <c r="BF94" s="12" t="s">
        <v>4369</v>
      </c>
      <c r="BH94" s="12">
        <v>11111</v>
      </c>
      <c r="BI94" s="179">
        <v>68</v>
      </c>
      <c r="BJ94" s="175">
        <v>42210</v>
      </c>
      <c r="BK94" s="176" t="s">
        <v>119</v>
      </c>
      <c r="BL94" s="177">
        <v>170</v>
      </c>
      <c r="BM94" s="12">
        <v>30</v>
      </c>
    </row>
    <row r="95" spans="1:65" x14ac:dyDescent="0.25">
      <c r="A95" s="12" t="s">
        <v>2356</v>
      </c>
      <c r="B95" s="12" t="s">
        <v>978</v>
      </c>
      <c r="C95" s="12" t="s">
        <v>979</v>
      </c>
      <c r="D95" s="12" t="s">
        <v>980</v>
      </c>
      <c r="E95" s="175">
        <v>42198</v>
      </c>
      <c r="F95" s="12" t="s">
        <v>1223</v>
      </c>
      <c r="G95" s="12" t="s">
        <v>1075</v>
      </c>
      <c r="H95" s="12" t="s">
        <v>1076</v>
      </c>
      <c r="I95" s="12" t="s">
        <v>3084</v>
      </c>
      <c r="K95" s="12" t="s">
        <v>1209</v>
      </c>
      <c r="L95" s="12" t="s">
        <v>1210</v>
      </c>
      <c r="M95" s="12" t="s">
        <v>1211</v>
      </c>
      <c r="O95" s="178" t="s">
        <v>1181</v>
      </c>
      <c r="P95" s="178" t="s">
        <v>3085</v>
      </c>
      <c r="Q95" s="12" t="s">
        <v>1211</v>
      </c>
      <c r="R95" s="179">
        <v>69</v>
      </c>
      <c r="S95" s="178"/>
      <c r="U95" s="12">
        <v>11111</v>
      </c>
      <c r="W95" s="12" t="s">
        <v>1083</v>
      </c>
      <c r="X95" s="12" t="s">
        <v>1231</v>
      </c>
      <c r="Y95" s="178" t="s">
        <v>1073</v>
      </c>
      <c r="Z95" s="12" t="s">
        <v>3086</v>
      </c>
      <c r="AA95" s="178" t="s">
        <v>2081</v>
      </c>
      <c r="AB95" s="12" t="s">
        <v>3087</v>
      </c>
      <c r="AD95" s="12" t="s">
        <v>1185</v>
      </c>
      <c r="AE95" s="12" t="s">
        <v>1075</v>
      </c>
      <c r="AF95" s="12" t="s">
        <v>3088</v>
      </c>
      <c r="AG95" s="12" t="s">
        <v>1092</v>
      </c>
      <c r="AH95" s="12" t="s">
        <v>1092</v>
      </c>
      <c r="AI95" s="12" t="s">
        <v>3089</v>
      </c>
      <c r="AJ95" s="12" t="s">
        <v>1092</v>
      </c>
      <c r="AK95" s="12" t="s">
        <v>1092</v>
      </c>
      <c r="AL95" s="12" t="s">
        <v>3090</v>
      </c>
      <c r="AM95" s="12" t="s">
        <v>1092</v>
      </c>
      <c r="AN95" s="12" t="s">
        <v>1092</v>
      </c>
      <c r="AO95" s="178" t="s">
        <v>1093</v>
      </c>
      <c r="AP95" s="178" t="s">
        <v>1093</v>
      </c>
      <c r="AQ95" s="178" t="s">
        <v>1093</v>
      </c>
      <c r="AR95" s="178" t="s">
        <v>1093</v>
      </c>
      <c r="AS95" s="178" t="s">
        <v>1118</v>
      </c>
      <c r="AT95" s="178" t="s">
        <v>1118</v>
      </c>
      <c r="AU95" s="178" t="s">
        <v>1118</v>
      </c>
      <c r="AV95" s="12" t="s">
        <v>1096</v>
      </c>
      <c r="AW95" s="12" t="s">
        <v>1097</v>
      </c>
      <c r="AX95" s="178" t="s">
        <v>3091</v>
      </c>
      <c r="AY95" s="178" t="s">
        <v>1157</v>
      </c>
      <c r="AZ95" s="12" t="s">
        <v>1098</v>
      </c>
      <c r="BA95" s="12" t="s">
        <v>1098</v>
      </c>
      <c r="BB95" s="12" t="s">
        <v>3092</v>
      </c>
      <c r="BD95" s="12" t="s">
        <v>1092</v>
      </c>
      <c r="BE95" s="12" t="s">
        <v>118</v>
      </c>
      <c r="BF95" s="12" t="s">
        <v>4369</v>
      </c>
      <c r="BH95" s="12">
        <v>11111</v>
      </c>
      <c r="BI95" s="179">
        <v>69</v>
      </c>
      <c r="BJ95" s="175">
        <v>42208</v>
      </c>
      <c r="BK95" s="176" t="s">
        <v>82</v>
      </c>
      <c r="BL95" s="12"/>
      <c r="BM95" s="12">
        <v>30</v>
      </c>
    </row>
    <row r="96" spans="1:65" x14ac:dyDescent="0.25">
      <c r="A96" s="12" t="s">
        <v>2371</v>
      </c>
      <c r="B96" s="12" t="s">
        <v>981</v>
      </c>
      <c r="C96" s="12" t="s">
        <v>658</v>
      </c>
      <c r="D96" s="12" t="s">
        <v>659</v>
      </c>
      <c r="E96" s="175">
        <v>42198</v>
      </c>
      <c r="F96" s="12" t="s">
        <v>1974</v>
      </c>
      <c r="G96" s="12" t="s">
        <v>1075</v>
      </c>
      <c r="H96" s="12" t="s">
        <v>1076</v>
      </c>
      <c r="I96" s="12" t="s">
        <v>1975</v>
      </c>
      <c r="J96" s="12" t="s">
        <v>1645</v>
      </c>
      <c r="K96" s="12" t="s">
        <v>1103</v>
      </c>
      <c r="L96" s="12" t="s">
        <v>1104</v>
      </c>
      <c r="M96" s="12" t="s">
        <v>1105</v>
      </c>
      <c r="O96" s="178" t="s">
        <v>1451</v>
      </c>
      <c r="P96" s="178" t="s">
        <v>1976</v>
      </c>
      <c r="Q96" s="12" t="s">
        <v>1105</v>
      </c>
      <c r="R96" s="179">
        <v>70</v>
      </c>
      <c r="S96" s="178"/>
      <c r="U96" s="12">
        <v>11111</v>
      </c>
      <c r="W96" s="12" t="s">
        <v>1083</v>
      </c>
      <c r="X96" s="12" t="s">
        <v>1977</v>
      </c>
      <c r="Y96" s="178" t="s">
        <v>1590</v>
      </c>
      <c r="Z96" s="12" t="s">
        <v>1133</v>
      </c>
      <c r="AA96" s="178" t="s">
        <v>1566</v>
      </c>
      <c r="AB96" s="12" t="s">
        <v>1978</v>
      </c>
      <c r="AC96" s="178" t="s">
        <v>1979</v>
      </c>
      <c r="AD96" s="12" t="s">
        <v>1112</v>
      </c>
      <c r="AE96" s="12" t="s">
        <v>1075</v>
      </c>
      <c r="AF96" s="12" t="s">
        <v>1980</v>
      </c>
      <c r="AG96" s="12" t="s">
        <v>1092</v>
      </c>
      <c r="AH96" s="12" t="s">
        <v>1092</v>
      </c>
      <c r="AI96" s="12" t="s">
        <v>1981</v>
      </c>
      <c r="AJ96" s="12" t="s">
        <v>1982</v>
      </c>
      <c r="AK96" s="12" t="s">
        <v>1983</v>
      </c>
      <c r="AL96" s="12" t="s">
        <v>1092</v>
      </c>
      <c r="AM96" s="12" t="s">
        <v>1092</v>
      </c>
      <c r="AN96" s="12" t="s">
        <v>1092</v>
      </c>
      <c r="AO96" s="178" t="s">
        <v>1093</v>
      </c>
      <c r="AP96" s="178" t="s">
        <v>1093</v>
      </c>
      <c r="AQ96" s="178" t="s">
        <v>1093</v>
      </c>
      <c r="AR96" s="178" t="s">
        <v>1093</v>
      </c>
      <c r="AS96" s="178" t="s">
        <v>1118</v>
      </c>
      <c r="AT96" s="178" t="s">
        <v>1118</v>
      </c>
      <c r="AU96" s="178" t="s">
        <v>1118</v>
      </c>
      <c r="AV96" s="12" t="s">
        <v>1096</v>
      </c>
      <c r="AW96" s="12" t="s">
        <v>2270</v>
      </c>
      <c r="AY96" s="178" t="s">
        <v>1092</v>
      </c>
      <c r="AZ96" s="12" t="s">
        <v>1098</v>
      </c>
      <c r="BA96" s="12" t="s">
        <v>1098</v>
      </c>
      <c r="BB96" s="12" t="s">
        <v>1984</v>
      </c>
      <c r="BD96" s="12" t="s">
        <v>1092</v>
      </c>
      <c r="BE96" s="12" t="s">
        <v>118</v>
      </c>
      <c r="BF96" s="12" t="s">
        <v>4369</v>
      </c>
      <c r="BH96" s="12">
        <v>11111</v>
      </c>
      <c r="BI96" s="179">
        <v>70</v>
      </c>
      <c r="BJ96" s="12"/>
      <c r="BK96" s="176" t="s">
        <v>83</v>
      </c>
      <c r="BL96" s="12"/>
    </row>
    <row r="97" spans="1:65" x14ac:dyDescent="0.25">
      <c r="A97" s="12" t="s">
        <v>2371</v>
      </c>
      <c r="B97" s="12" t="s">
        <v>982</v>
      </c>
      <c r="C97" s="12" t="s">
        <v>664</v>
      </c>
      <c r="D97" s="12" t="s">
        <v>665</v>
      </c>
      <c r="E97" s="175">
        <v>42198</v>
      </c>
      <c r="F97" s="12" t="s">
        <v>1991</v>
      </c>
      <c r="G97" s="12" t="s">
        <v>1075</v>
      </c>
      <c r="H97" s="12" t="s">
        <v>1992</v>
      </c>
      <c r="I97" s="12" t="s">
        <v>1993</v>
      </c>
      <c r="K97" s="12" t="s">
        <v>1242</v>
      </c>
      <c r="L97" s="12" t="s">
        <v>1243</v>
      </c>
      <c r="M97" s="12" t="s">
        <v>1195</v>
      </c>
      <c r="O97" s="178" t="s">
        <v>1422</v>
      </c>
      <c r="P97" s="178" t="s">
        <v>1994</v>
      </c>
      <c r="Q97" s="12" t="s">
        <v>1195</v>
      </c>
      <c r="R97" s="179">
        <v>71</v>
      </c>
      <c r="S97" s="178"/>
      <c r="U97" s="12">
        <v>11111</v>
      </c>
      <c r="W97" s="12" t="s">
        <v>1083</v>
      </c>
      <c r="X97" s="12" t="s">
        <v>1231</v>
      </c>
      <c r="Y97" s="178" t="s">
        <v>1128</v>
      </c>
      <c r="Z97" s="12" t="s">
        <v>1995</v>
      </c>
      <c r="AA97" s="178" t="s">
        <v>1505</v>
      </c>
      <c r="AB97" s="12" t="s">
        <v>1996</v>
      </c>
      <c r="AC97" s="178" t="s">
        <v>1997</v>
      </c>
      <c r="AD97" s="12" t="s">
        <v>1998</v>
      </c>
      <c r="AE97" s="12" t="s">
        <v>1075</v>
      </c>
      <c r="AF97" s="12" t="s">
        <v>3093</v>
      </c>
      <c r="AG97" s="12" t="s">
        <v>1092</v>
      </c>
      <c r="AH97" s="12" t="s">
        <v>1092</v>
      </c>
      <c r="AI97" s="12" t="s">
        <v>3094</v>
      </c>
      <c r="AJ97" s="12" t="s">
        <v>2000</v>
      </c>
      <c r="AK97" s="12" t="s">
        <v>2001</v>
      </c>
      <c r="AL97" s="12" t="s">
        <v>1092</v>
      </c>
      <c r="AM97" s="12" t="s">
        <v>1092</v>
      </c>
      <c r="AN97" s="12" t="s">
        <v>1092</v>
      </c>
      <c r="AO97" s="178" t="s">
        <v>1093</v>
      </c>
      <c r="AP97" s="178" t="s">
        <v>1093</v>
      </c>
      <c r="AQ97" s="178" t="s">
        <v>1093</v>
      </c>
      <c r="AR97" s="178" t="s">
        <v>1093</v>
      </c>
      <c r="AS97" s="178" t="s">
        <v>1118</v>
      </c>
      <c r="AT97" s="178" t="s">
        <v>1118</v>
      </c>
      <c r="AU97" s="178" t="s">
        <v>1118</v>
      </c>
      <c r="AV97" s="12" t="s">
        <v>1096</v>
      </c>
      <c r="AW97" s="12" t="s">
        <v>2270</v>
      </c>
      <c r="AX97" s="178" t="s">
        <v>2002</v>
      </c>
      <c r="AY97" s="178" t="s">
        <v>1093</v>
      </c>
      <c r="AZ97" s="12" t="s">
        <v>2003</v>
      </c>
      <c r="BA97" s="12" t="s">
        <v>2004</v>
      </c>
      <c r="BB97" s="12" t="s">
        <v>1098</v>
      </c>
      <c r="BC97" s="178" t="s">
        <v>1205</v>
      </c>
      <c r="BD97" s="12" t="s">
        <v>1092</v>
      </c>
      <c r="BE97" s="12" t="s">
        <v>118</v>
      </c>
      <c r="BF97" s="12" t="s">
        <v>4369</v>
      </c>
      <c r="BH97" s="12">
        <v>11111</v>
      </c>
      <c r="BI97" s="179">
        <v>71</v>
      </c>
      <c r="BJ97" s="12"/>
      <c r="BK97" s="176" t="s">
        <v>83</v>
      </c>
      <c r="BL97" s="12"/>
    </row>
    <row r="98" spans="1:65" x14ac:dyDescent="0.25">
      <c r="A98" s="12" t="s">
        <v>2371</v>
      </c>
      <c r="B98" s="12" t="s">
        <v>983</v>
      </c>
      <c r="C98" s="12" t="s">
        <v>676</v>
      </c>
      <c r="D98" s="12" t="s">
        <v>677</v>
      </c>
      <c r="E98" s="175">
        <v>42198</v>
      </c>
      <c r="F98" s="12" t="s">
        <v>2039</v>
      </c>
      <c r="G98" s="12" t="s">
        <v>1075</v>
      </c>
      <c r="H98" s="12" t="s">
        <v>2040</v>
      </c>
      <c r="I98" s="12" t="s">
        <v>2041</v>
      </c>
      <c r="J98" s="12" t="s">
        <v>2042</v>
      </c>
      <c r="K98" s="12" t="s">
        <v>1123</v>
      </c>
      <c r="L98" s="12" t="s">
        <v>1124</v>
      </c>
      <c r="M98" s="12" t="s">
        <v>1125</v>
      </c>
      <c r="O98" s="178" t="s">
        <v>1275</v>
      </c>
      <c r="P98" s="178" t="s">
        <v>2043</v>
      </c>
      <c r="Q98" s="12" t="s">
        <v>1125</v>
      </c>
      <c r="R98" s="179">
        <v>72</v>
      </c>
      <c r="S98" s="178"/>
      <c r="U98" s="12">
        <v>11111</v>
      </c>
      <c r="W98" s="12" t="s">
        <v>1083</v>
      </c>
      <c r="X98" s="12" t="s">
        <v>1231</v>
      </c>
      <c r="Y98" s="178" t="s">
        <v>1370</v>
      </c>
      <c r="Z98" s="12" t="s">
        <v>2044</v>
      </c>
      <c r="AA98" s="178" t="s">
        <v>1438</v>
      </c>
      <c r="AB98" s="12" t="s">
        <v>2045</v>
      </c>
      <c r="AC98" s="178" t="s">
        <v>1113</v>
      </c>
      <c r="AD98" s="12" t="s">
        <v>1525</v>
      </c>
      <c r="AE98" s="12" t="s">
        <v>1075</v>
      </c>
      <c r="AF98" s="12" t="s">
        <v>3095</v>
      </c>
      <c r="AG98" s="12" t="s">
        <v>1092</v>
      </c>
      <c r="AH98" s="12" t="s">
        <v>1092</v>
      </c>
      <c r="AI98" s="12" t="s">
        <v>3096</v>
      </c>
      <c r="AJ98" s="12" t="s">
        <v>2047</v>
      </c>
      <c r="AK98" s="12" t="s">
        <v>3097</v>
      </c>
      <c r="AL98" s="12" t="s">
        <v>1092</v>
      </c>
      <c r="AM98" s="12" t="s">
        <v>1092</v>
      </c>
      <c r="AN98" s="12" t="s">
        <v>1092</v>
      </c>
      <c r="AO98" s="178" t="s">
        <v>1093</v>
      </c>
      <c r="AP98" s="178" t="s">
        <v>1093</v>
      </c>
      <c r="AQ98" s="178" t="s">
        <v>1093</v>
      </c>
      <c r="AR98" s="178" t="s">
        <v>1093</v>
      </c>
      <c r="AS98" s="178" t="s">
        <v>1118</v>
      </c>
      <c r="AT98" s="178" t="s">
        <v>1118</v>
      </c>
      <c r="AU98" s="178" t="s">
        <v>1118</v>
      </c>
      <c r="AV98" s="12" t="s">
        <v>1096</v>
      </c>
      <c r="AW98" s="12" t="s">
        <v>2270</v>
      </c>
      <c r="AY98" s="178" t="s">
        <v>1092</v>
      </c>
      <c r="AZ98" s="12" t="s">
        <v>2049</v>
      </c>
      <c r="BA98" s="12" t="s">
        <v>1098</v>
      </c>
      <c r="BB98" s="12" t="s">
        <v>1098</v>
      </c>
      <c r="BD98" s="12" t="s">
        <v>1092</v>
      </c>
      <c r="BE98" s="12" t="s">
        <v>118</v>
      </c>
      <c r="BF98" s="12" t="s">
        <v>4369</v>
      </c>
      <c r="BH98" s="12">
        <v>11111</v>
      </c>
      <c r="BI98" s="179">
        <v>72</v>
      </c>
      <c r="BJ98" s="12"/>
      <c r="BK98" s="176" t="s">
        <v>83</v>
      </c>
      <c r="BL98" s="12"/>
    </row>
    <row r="99" spans="1:65" x14ac:dyDescent="0.25">
      <c r="A99" s="12" t="s">
        <v>2445</v>
      </c>
      <c r="B99" s="12" t="s">
        <v>984</v>
      </c>
      <c r="C99" s="12" t="s">
        <v>691</v>
      </c>
      <c r="D99" s="12" t="s">
        <v>692</v>
      </c>
      <c r="E99" s="175">
        <v>42198</v>
      </c>
      <c r="F99" s="12" t="s">
        <v>1438</v>
      </c>
      <c r="G99" s="12" t="s">
        <v>1075</v>
      </c>
      <c r="H99" s="12" t="s">
        <v>2104</v>
      </c>
      <c r="I99" s="12" t="s">
        <v>2105</v>
      </c>
      <c r="K99" s="12" t="s">
        <v>1078</v>
      </c>
      <c r="L99" s="12" t="s">
        <v>1079</v>
      </c>
      <c r="M99" s="12" t="s">
        <v>1342</v>
      </c>
      <c r="O99" s="178" t="s">
        <v>1163</v>
      </c>
      <c r="P99" s="178" t="s">
        <v>2106</v>
      </c>
      <c r="Q99" s="12" t="s">
        <v>1342</v>
      </c>
      <c r="R99" s="179">
        <v>73</v>
      </c>
      <c r="S99" s="178"/>
      <c r="U99" s="12">
        <v>11111</v>
      </c>
      <c r="W99" s="12" t="s">
        <v>1083</v>
      </c>
      <c r="X99" s="12" t="s">
        <v>2107</v>
      </c>
      <c r="Y99" s="178" t="s">
        <v>2108</v>
      </c>
      <c r="Z99" s="12" t="s">
        <v>2109</v>
      </c>
      <c r="AB99" s="12" t="s">
        <v>1185</v>
      </c>
      <c r="AD99" s="12" t="s">
        <v>1185</v>
      </c>
      <c r="AE99" s="12" t="s">
        <v>1075</v>
      </c>
      <c r="AF99" s="12" t="s">
        <v>2110</v>
      </c>
      <c r="AG99" s="12" t="s">
        <v>1092</v>
      </c>
      <c r="AH99" s="12" t="s">
        <v>1092</v>
      </c>
      <c r="AI99" s="12" t="s">
        <v>2111</v>
      </c>
      <c r="AJ99" s="12" t="s">
        <v>2112</v>
      </c>
      <c r="AK99" s="12" t="s">
        <v>2113</v>
      </c>
      <c r="AL99" s="12" t="s">
        <v>1092</v>
      </c>
      <c r="AM99" s="12" t="s">
        <v>1092</v>
      </c>
      <c r="AN99" s="12" t="s">
        <v>1092</v>
      </c>
      <c r="AO99" s="178" t="s">
        <v>1093</v>
      </c>
      <c r="AP99" s="178" t="s">
        <v>1093</v>
      </c>
      <c r="AQ99" s="178" t="s">
        <v>1093</v>
      </c>
      <c r="AR99" s="178" t="s">
        <v>1093</v>
      </c>
      <c r="AS99" s="178" t="s">
        <v>1118</v>
      </c>
      <c r="AT99" s="178" t="s">
        <v>1118</v>
      </c>
      <c r="AU99" s="178" t="s">
        <v>1118</v>
      </c>
      <c r="AV99" s="12" t="s">
        <v>1096</v>
      </c>
      <c r="AW99" s="12" t="s">
        <v>2270</v>
      </c>
      <c r="AX99" s="178" t="s">
        <v>1156</v>
      </c>
      <c r="AY99" s="178" t="s">
        <v>1093</v>
      </c>
      <c r="AZ99" s="12" t="s">
        <v>2114</v>
      </c>
      <c r="BA99" s="12" t="s">
        <v>1098</v>
      </c>
      <c r="BB99" s="12" t="s">
        <v>1098</v>
      </c>
      <c r="BD99" s="12" t="s">
        <v>1092</v>
      </c>
      <c r="BE99" s="12" t="s">
        <v>118</v>
      </c>
      <c r="BF99" s="12" t="s">
        <v>4369</v>
      </c>
      <c r="BH99" s="12">
        <v>11111</v>
      </c>
      <c r="BI99" s="179">
        <v>73</v>
      </c>
      <c r="BJ99" s="12"/>
      <c r="BK99" s="176" t="s">
        <v>83</v>
      </c>
      <c r="BL99" s="12"/>
    </row>
    <row r="100" spans="1:65" x14ac:dyDescent="0.25">
      <c r="A100" s="12" t="s">
        <v>2445</v>
      </c>
      <c r="B100" s="12" t="s">
        <v>985</v>
      </c>
      <c r="C100" s="12" t="s">
        <v>709</v>
      </c>
      <c r="D100" s="12" t="s">
        <v>710</v>
      </c>
      <c r="E100" s="175">
        <v>42198</v>
      </c>
      <c r="F100" s="12" t="s">
        <v>1633</v>
      </c>
      <c r="G100" s="12" t="s">
        <v>1075</v>
      </c>
      <c r="H100" s="12" t="s">
        <v>2177</v>
      </c>
      <c r="I100" s="12" t="s">
        <v>2178</v>
      </c>
      <c r="J100" s="12" t="s">
        <v>2179</v>
      </c>
      <c r="K100" s="12" t="s">
        <v>1078</v>
      </c>
      <c r="L100" s="12" t="s">
        <v>1079</v>
      </c>
      <c r="M100" s="12" t="s">
        <v>1342</v>
      </c>
      <c r="O100" s="178" t="s">
        <v>1126</v>
      </c>
      <c r="P100" s="178" t="s">
        <v>2180</v>
      </c>
      <c r="Q100" s="12" t="s">
        <v>1342</v>
      </c>
      <c r="R100" s="179">
        <v>74</v>
      </c>
      <c r="S100" s="178"/>
      <c r="U100" s="12">
        <v>11111</v>
      </c>
      <c r="W100" s="12" t="s">
        <v>1083</v>
      </c>
      <c r="X100" s="12" t="s">
        <v>1519</v>
      </c>
      <c r="Y100" s="178" t="s">
        <v>2081</v>
      </c>
      <c r="Z100" s="12" t="s">
        <v>2181</v>
      </c>
      <c r="AA100" s="178" t="s">
        <v>2182</v>
      </c>
      <c r="AB100" s="12" t="s">
        <v>2183</v>
      </c>
      <c r="AC100" s="178" t="s">
        <v>1192</v>
      </c>
      <c r="AD100" s="12" t="s">
        <v>2184</v>
      </c>
      <c r="AE100" s="12" t="s">
        <v>1075</v>
      </c>
      <c r="AF100" s="12" t="s">
        <v>2185</v>
      </c>
      <c r="AG100" s="12" t="s">
        <v>1092</v>
      </c>
      <c r="AH100" s="12" t="s">
        <v>1092</v>
      </c>
      <c r="AI100" s="12" t="s">
        <v>2186</v>
      </c>
      <c r="AJ100" s="12" t="s">
        <v>2187</v>
      </c>
      <c r="AK100" s="12" t="s">
        <v>1092</v>
      </c>
      <c r="AL100" s="12" t="s">
        <v>1092</v>
      </c>
      <c r="AM100" s="12" t="s">
        <v>1092</v>
      </c>
      <c r="AN100" s="12" t="s">
        <v>1092</v>
      </c>
      <c r="AO100" s="178" t="s">
        <v>1093</v>
      </c>
      <c r="AP100" s="178" t="s">
        <v>1093</v>
      </c>
      <c r="AQ100" s="178" t="s">
        <v>1093</v>
      </c>
      <c r="AR100" s="178" t="s">
        <v>1093</v>
      </c>
      <c r="AS100" s="178" t="s">
        <v>1118</v>
      </c>
      <c r="AT100" s="178" t="s">
        <v>1118</v>
      </c>
      <c r="AU100" s="178" t="s">
        <v>1118</v>
      </c>
      <c r="AV100" s="12" t="s">
        <v>1096</v>
      </c>
      <c r="AW100" s="12" t="s">
        <v>2270</v>
      </c>
      <c r="AY100" s="178" t="s">
        <v>1092</v>
      </c>
      <c r="AZ100" s="12" t="s">
        <v>2188</v>
      </c>
      <c r="BA100" s="12" t="s">
        <v>1098</v>
      </c>
      <c r="BB100" s="12" t="s">
        <v>1098</v>
      </c>
      <c r="BD100" s="12" t="s">
        <v>1092</v>
      </c>
      <c r="BE100" s="12" t="s">
        <v>118</v>
      </c>
      <c r="BF100" s="12" t="s">
        <v>4369</v>
      </c>
      <c r="BH100" s="12">
        <v>11111</v>
      </c>
      <c r="BI100" s="179">
        <v>74</v>
      </c>
      <c r="BJ100" s="12"/>
      <c r="BK100" s="176" t="s">
        <v>83</v>
      </c>
      <c r="BL100" s="12"/>
    </row>
    <row r="101" spans="1:65" x14ac:dyDescent="0.25">
      <c r="A101" s="12" t="s">
        <v>2445</v>
      </c>
      <c r="B101" s="12" t="s">
        <v>986</v>
      </c>
      <c r="C101" s="12" t="s">
        <v>715</v>
      </c>
      <c r="D101" s="12" t="s">
        <v>716</v>
      </c>
      <c r="E101" s="175">
        <v>42198</v>
      </c>
      <c r="F101" s="12" t="s">
        <v>2198</v>
      </c>
      <c r="G101" s="12" t="s">
        <v>1075</v>
      </c>
      <c r="H101" s="12" t="s">
        <v>2199</v>
      </c>
      <c r="I101" s="12" t="s">
        <v>2200</v>
      </c>
      <c r="K101" s="12" t="s">
        <v>1209</v>
      </c>
      <c r="L101" s="12" t="s">
        <v>1210</v>
      </c>
      <c r="M101" s="12" t="s">
        <v>1211</v>
      </c>
      <c r="O101" s="178" t="s">
        <v>1163</v>
      </c>
      <c r="P101" s="178" t="s">
        <v>2201</v>
      </c>
      <c r="Q101" s="12" t="s">
        <v>1211</v>
      </c>
      <c r="R101" s="179">
        <v>75</v>
      </c>
      <c r="S101" s="178"/>
      <c r="U101" s="12">
        <v>11111</v>
      </c>
      <c r="V101" s="12" t="s">
        <v>2202</v>
      </c>
      <c r="W101" s="12" t="s">
        <v>1083</v>
      </c>
      <c r="X101" s="12" t="s">
        <v>1084</v>
      </c>
      <c r="Y101" s="178" t="s">
        <v>1938</v>
      </c>
      <c r="Z101" s="12" t="s">
        <v>1525</v>
      </c>
      <c r="AA101" s="178" t="s">
        <v>1249</v>
      </c>
      <c r="AB101" s="12" t="s">
        <v>2203</v>
      </c>
      <c r="AC101" s="178" t="s">
        <v>1757</v>
      </c>
      <c r="AD101" s="12" t="s">
        <v>2203</v>
      </c>
      <c r="AE101" s="12" t="s">
        <v>1075</v>
      </c>
      <c r="AF101" s="12" t="s">
        <v>3098</v>
      </c>
      <c r="AG101" s="12" t="s">
        <v>1092</v>
      </c>
      <c r="AH101" s="12" t="s">
        <v>1092</v>
      </c>
      <c r="AI101" s="12" t="s">
        <v>3099</v>
      </c>
      <c r="AJ101" s="12" t="s">
        <v>2205</v>
      </c>
      <c r="AK101" s="12" t="s">
        <v>2206</v>
      </c>
      <c r="AL101" s="12" t="s">
        <v>1092</v>
      </c>
      <c r="AM101" s="12" t="s">
        <v>1092</v>
      </c>
      <c r="AN101" s="12" t="s">
        <v>1092</v>
      </c>
      <c r="AO101" s="178" t="s">
        <v>1093</v>
      </c>
      <c r="AP101" s="178" t="s">
        <v>1093</v>
      </c>
      <c r="AQ101" s="178" t="s">
        <v>1093</v>
      </c>
      <c r="AR101" s="178" t="s">
        <v>1093</v>
      </c>
      <c r="AS101" s="178" t="s">
        <v>1118</v>
      </c>
      <c r="AT101" s="178" t="s">
        <v>1118</v>
      </c>
      <c r="AU101" s="178" t="s">
        <v>1118</v>
      </c>
      <c r="AV101" s="12" t="s">
        <v>1096</v>
      </c>
      <c r="AW101" s="12" t="s">
        <v>2270</v>
      </c>
      <c r="AY101" s="178" t="s">
        <v>1092</v>
      </c>
      <c r="AZ101" s="12" t="s">
        <v>2207</v>
      </c>
      <c r="BA101" s="12" t="s">
        <v>1098</v>
      </c>
      <c r="BB101" s="12" t="s">
        <v>2208</v>
      </c>
      <c r="BD101" s="12" t="s">
        <v>1092</v>
      </c>
      <c r="BE101" s="12" t="s">
        <v>118</v>
      </c>
      <c r="BF101" s="12" t="s">
        <v>4369</v>
      </c>
      <c r="BH101" s="12">
        <v>11111</v>
      </c>
      <c r="BI101" s="179">
        <v>75</v>
      </c>
      <c r="BJ101" s="12"/>
      <c r="BK101" s="176" t="s">
        <v>83</v>
      </c>
      <c r="BL101" s="12"/>
    </row>
    <row r="102" spans="1:65" x14ac:dyDescent="0.25">
      <c r="A102" s="12" t="s">
        <v>2445</v>
      </c>
      <c r="B102" s="12" t="s">
        <v>987</v>
      </c>
      <c r="C102" s="12" t="s">
        <v>718</v>
      </c>
      <c r="D102" s="12" t="s">
        <v>719</v>
      </c>
      <c r="E102" s="175">
        <v>42198</v>
      </c>
      <c r="F102" s="12" t="s">
        <v>2209</v>
      </c>
      <c r="G102" s="12" t="s">
        <v>1075</v>
      </c>
      <c r="H102" s="12" t="s">
        <v>2210</v>
      </c>
      <c r="I102" s="12" t="s">
        <v>2211</v>
      </c>
      <c r="J102" s="12" t="s">
        <v>2212</v>
      </c>
      <c r="K102" s="12" t="s">
        <v>1078</v>
      </c>
      <c r="L102" s="12" t="s">
        <v>1079</v>
      </c>
      <c r="M102" s="12" t="s">
        <v>1080</v>
      </c>
      <c r="O102" s="178" t="s">
        <v>1081</v>
      </c>
      <c r="P102" s="178" t="s">
        <v>2213</v>
      </c>
      <c r="Q102" s="12" t="s">
        <v>1080</v>
      </c>
      <c r="R102" s="179">
        <v>76</v>
      </c>
      <c r="S102" s="178"/>
      <c r="U102" s="12">
        <v>11111</v>
      </c>
      <c r="W102" s="12" t="s">
        <v>1083</v>
      </c>
      <c r="X102" s="12" t="s">
        <v>1519</v>
      </c>
      <c r="Y102" s="178" t="s">
        <v>2214</v>
      </c>
      <c r="Z102" s="12" t="s">
        <v>2215</v>
      </c>
      <c r="AA102" s="178" t="s">
        <v>1169</v>
      </c>
      <c r="AB102" s="12" t="s">
        <v>2216</v>
      </c>
      <c r="AC102" s="178" t="s">
        <v>2217</v>
      </c>
      <c r="AD102" s="12" t="s">
        <v>2218</v>
      </c>
      <c r="AE102" s="12" t="s">
        <v>1075</v>
      </c>
      <c r="AF102" s="12" t="s">
        <v>2219</v>
      </c>
      <c r="AG102" s="12" t="s">
        <v>1092</v>
      </c>
      <c r="AH102" s="12" t="s">
        <v>1092</v>
      </c>
      <c r="AI102" s="12" t="s">
        <v>2220</v>
      </c>
      <c r="AJ102" s="12" t="s">
        <v>2221</v>
      </c>
      <c r="AK102" s="12" t="s">
        <v>1092</v>
      </c>
      <c r="AL102" s="12" t="s">
        <v>1092</v>
      </c>
      <c r="AM102" s="12" t="s">
        <v>1092</v>
      </c>
      <c r="AN102" s="12" t="s">
        <v>1092</v>
      </c>
      <c r="AO102" s="178" t="s">
        <v>1093</v>
      </c>
      <c r="AP102" s="178" t="s">
        <v>1093</v>
      </c>
      <c r="AQ102" s="178" t="s">
        <v>1093</v>
      </c>
      <c r="AR102" s="178" t="s">
        <v>1093</v>
      </c>
      <c r="AS102" s="178" t="s">
        <v>1118</v>
      </c>
      <c r="AT102" s="178" t="s">
        <v>1118</v>
      </c>
      <c r="AU102" s="178" t="s">
        <v>1118</v>
      </c>
      <c r="AV102" s="12" t="s">
        <v>1096</v>
      </c>
      <c r="AW102" s="12" t="s">
        <v>2270</v>
      </c>
      <c r="AY102" s="178" t="s">
        <v>1092</v>
      </c>
      <c r="AZ102" s="12" t="s">
        <v>2222</v>
      </c>
      <c r="BA102" s="12" t="s">
        <v>1098</v>
      </c>
      <c r="BB102" s="12" t="s">
        <v>1098</v>
      </c>
      <c r="BD102" s="12" t="s">
        <v>1092</v>
      </c>
      <c r="BE102" s="12" t="s">
        <v>118</v>
      </c>
      <c r="BF102" s="12" t="s">
        <v>4369</v>
      </c>
      <c r="BH102" s="12">
        <v>11111</v>
      </c>
      <c r="BI102" s="179">
        <v>76</v>
      </c>
      <c r="BJ102" s="12"/>
      <c r="BK102" s="176" t="s">
        <v>83</v>
      </c>
      <c r="BL102" s="12"/>
    </row>
    <row r="103" spans="1:65" x14ac:dyDescent="0.25">
      <c r="A103" s="12" t="s">
        <v>2445</v>
      </c>
      <c r="B103" s="12" t="s">
        <v>988</v>
      </c>
      <c r="C103" s="12" t="s">
        <v>724</v>
      </c>
      <c r="D103" s="12" t="s">
        <v>725</v>
      </c>
      <c r="E103" s="175">
        <v>42198</v>
      </c>
      <c r="F103" s="12" t="s">
        <v>2232</v>
      </c>
      <c r="G103" s="12" t="s">
        <v>1075</v>
      </c>
      <c r="H103" s="12" t="s">
        <v>2233</v>
      </c>
      <c r="I103" s="12" t="s">
        <v>2234</v>
      </c>
      <c r="J103" s="12" t="s">
        <v>2235</v>
      </c>
      <c r="K103" s="12" t="s">
        <v>1209</v>
      </c>
      <c r="L103" s="12" t="s">
        <v>1210</v>
      </c>
      <c r="M103" s="12" t="s">
        <v>1211</v>
      </c>
      <c r="O103" s="178" t="s">
        <v>1163</v>
      </c>
      <c r="P103" s="178" t="s">
        <v>2236</v>
      </c>
      <c r="Q103" s="12" t="s">
        <v>1211</v>
      </c>
      <c r="R103" s="179">
        <v>77</v>
      </c>
      <c r="S103" s="178"/>
      <c r="U103" s="12">
        <v>11111</v>
      </c>
      <c r="W103" s="12" t="s">
        <v>1083</v>
      </c>
      <c r="X103" s="12" t="s">
        <v>1108</v>
      </c>
      <c r="Y103" s="178" t="s">
        <v>1313</v>
      </c>
      <c r="Z103" s="12" t="s">
        <v>2237</v>
      </c>
      <c r="AA103" s="178" t="s">
        <v>2010</v>
      </c>
      <c r="AB103" s="12" t="s">
        <v>1348</v>
      </c>
      <c r="AC103" s="178" t="s">
        <v>2010</v>
      </c>
      <c r="AD103" s="12" t="s">
        <v>1150</v>
      </c>
      <c r="AE103" s="12" t="s">
        <v>1075</v>
      </c>
      <c r="AF103" s="12" t="s">
        <v>2238</v>
      </c>
      <c r="AG103" s="12" t="s">
        <v>1092</v>
      </c>
      <c r="AH103" s="12" t="s">
        <v>1092</v>
      </c>
      <c r="AI103" s="12" t="s">
        <v>2239</v>
      </c>
      <c r="AJ103" s="12" t="s">
        <v>1092</v>
      </c>
      <c r="AK103" s="12" t="s">
        <v>1092</v>
      </c>
      <c r="AL103" s="12" t="s">
        <v>2240</v>
      </c>
      <c r="AM103" s="12" t="s">
        <v>1092</v>
      </c>
      <c r="AN103" s="12" t="s">
        <v>1092</v>
      </c>
      <c r="AO103" s="178" t="s">
        <v>1093</v>
      </c>
      <c r="AP103" s="178" t="s">
        <v>1093</v>
      </c>
      <c r="AQ103" s="178" t="s">
        <v>1093</v>
      </c>
      <c r="AR103" s="178" t="s">
        <v>1093</v>
      </c>
      <c r="AS103" s="178" t="s">
        <v>1118</v>
      </c>
      <c r="AT103" s="178" t="s">
        <v>1118</v>
      </c>
      <c r="AU103" s="178" t="s">
        <v>1118</v>
      </c>
      <c r="AV103" s="12" t="s">
        <v>1096</v>
      </c>
      <c r="AW103" s="12" t="s">
        <v>2270</v>
      </c>
      <c r="AX103" s="178" t="s">
        <v>2241</v>
      </c>
      <c r="AY103" s="178" t="s">
        <v>1097</v>
      </c>
      <c r="AZ103" s="12" t="s">
        <v>2242</v>
      </c>
      <c r="BA103" s="12" t="s">
        <v>1098</v>
      </c>
      <c r="BB103" s="12" t="s">
        <v>1098</v>
      </c>
      <c r="BD103" s="12" t="s">
        <v>1092</v>
      </c>
      <c r="BE103" s="12" t="s">
        <v>118</v>
      </c>
      <c r="BF103" s="12" t="s">
        <v>4369</v>
      </c>
      <c r="BH103" s="12">
        <v>11111</v>
      </c>
      <c r="BI103" s="179">
        <v>77</v>
      </c>
      <c r="BJ103" s="12"/>
      <c r="BK103" s="176" t="s">
        <v>83</v>
      </c>
      <c r="BL103" s="12"/>
    </row>
    <row r="104" spans="1:65" x14ac:dyDescent="0.25">
      <c r="A104" s="12" t="s">
        <v>2653</v>
      </c>
      <c r="B104" s="12" t="s">
        <v>989</v>
      </c>
      <c r="C104" s="12" t="s">
        <v>802</v>
      </c>
      <c r="D104" s="12" t="s">
        <v>803</v>
      </c>
      <c r="E104" s="175">
        <v>42198</v>
      </c>
      <c r="F104" s="12" t="s">
        <v>2457</v>
      </c>
      <c r="G104" s="12" t="s">
        <v>1075</v>
      </c>
      <c r="H104" s="12" t="s">
        <v>2458</v>
      </c>
      <c r="I104" s="12" t="s">
        <v>2459</v>
      </c>
      <c r="J104" s="12" t="s">
        <v>2460</v>
      </c>
      <c r="K104" s="12" t="s">
        <v>1103</v>
      </c>
      <c r="L104" s="12" t="s">
        <v>1124</v>
      </c>
      <c r="M104" s="12" t="s">
        <v>1105</v>
      </c>
      <c r="O104" s="178" t="s">
        <v>1275</v>
      </c>
      <c r="P104" s="178" t="s">
        <v>2461</v>
      </c>
      <c r="Q104" s="12" t="s">
        <v>1105</v>
      </c>
      <c r="R104" s="179">
        <v>78</v>
      </c>
      <c r="S104" s="178"/>
      <c r="U104" s="12">
        <v>11111</v>
      </c>
      <c r="W104" s="12" t="s">
        <v>1083</v>
      </c>
      <c r="X104" s="12" t="s">
        <v>1084</v>
      </c>
      <c r="Y104" s="178" t="s">
        <v>1629</v>
      </c>
      <c r="Z104" s="12" t="s">
        <v>2462</v>
      </c>
      <c r="AA104" s="178" t="s">
        <v>1730</v>
      </c>
      <c r="AB104" s="12" t="s">
        <v>2463</v>
      </c>
      <c r="AC104" s="178" t="s">
        <v>2464</v>
      </c>
      <c r="AD104" s="12" t="s">
        <v>2465</v>
      </c>
      <c r="AE104" s="12" t="s">
        <v>1075</v>
      </c>
      <c r="AF104" s="12" t="s">
        <v>2466</v>
      </c>
      <c r="AG104" s="12" t="s">
        <v>1092</v>
      </c>
      <c r="AH104" s="12" t="s">
        <v>1092</v>
      </c>
      <c r="AI104" s="12" t="s">
        <v>2467</v>
      </c>
      <c r="AJ104" s="12" t="s">
        <v>2468</v>
      </c>
      <c r="AK104" s="12" t="s">
        <v>2469</v>
      </c>
      <c r="AL104" s="12" t="s">
        <v>1092</v>
      </c>
      <c r="AM104" s="12" t="s">
        <v>1092</v>
      </c>
      <c r="AN104" s="12" t="s">
        <v>1092</v>
      </c>
      <c r="AO104" s="178" t="s">
        <v>1093</v>
      </c>
      <c r="AP104" s="178" t="s">
        <v>1093</v>
      </c>
      <c r="AQ104" s="178" t="s">
        <v>1093</v>
      </c>
      <c r="AR104" s="178" t="s">
        <v>1093</v>
      </c>
      <c r="AS104" s="178" t="s">
        <v>1118</v>
      </c>
      <c r="AT104" s="178" t="s">
        <v>1118</v>
      </c>
      <c r="AU104" s="178" t="s">
        <v>1118</v>
      </c>
      <c r="AV104" s="12" t="s">
        <v>1096</v>
      </c>
      <c r="AW104" s="12" t="s">
        <v>2270</v>
      </c>
      <c r="AY104" s="178" t="s">
        <v>1092</v>
      </c>
      <c r="AZ104" s="12" t="s">
        <v>2470</v>
      </c>
      <c r="BA104" s="12" t="s">
        <v>2471</v>
      </c>
      <c r="BB104" s="12" t="s">
        <v>1098</v>
      </c>
      <c r="BD104" s="12" t="s">
        <v>1092</v>
      </c>
      <c r="BE104" s="12" t="s">
        <v>118</v>
      </c>
      <c r="BF104" s="12" t="s">
        <v>4369</v>
      </c>
      <c r="BH104" s="12">
        <v>11111</v>
      </c>
      <c r="BI104" s="179">
        <v>78</v>
      </c>
      <c r="BJ104" s="12"/>
      <c r="BK104" s="176" t="s">
        <v>83</v>
      </c>
      <c r="BL104" s="12"/>
    </row>
    <row r="105" spans="1:65" x14ac:dyDescent="0.25">
      <c r="A105" s="12" t="s">
        <v>2653</v>
      </c>
      <c r="B105" s="12" t="s">
        <v>990</v>
      </c>
      <c r="C105" s="12" t="s">
        <v>991</v>
      </c>
      <c r="D105" s="12" t="s">
        <v>992</v>
      </c>
      <c r="E105" s="175">
        <v>42198</v>
      </c>
      <c r="F105" s="12" t="s">
        <v>3100</v>
      </c>
      <c r="G105" s="12" t="s">
        <v>1075</v>
      </c>
      <c r="H105" s="12" t="s">
        <v>3101</v>
      </c>
      <c r="I105" s="12" t="s">
        <v>2735</v>
      </c>
      <c r="J105" s="12" t="s">
        <v>3102</v>
      </c>
      <c r="K105" s="12" t="s">
        <v>1078</v>
      </c>
      <c r="L105" s="12" t="s">
        <v>1079</v>
      </c>
      <c r="M105" s="12" t="s">
        <v>1080</v>
      </c>
      <c r="O105" s="178" t="s">
        <v>2508</v>
      </c>
      <c r="P105" s="178" t="s">
        <v>3103</v>
      </c>
      <c r="Q105" s="12" t="s">
        <v>1080</v>
      </c>
      <c r="R105" s="179">
        <v>79</v>
      </c>
      <c r="S105" s="178"/>
      <c r="U105" s="12">
        <v>11111</v>
      </c>
      <c r="W105" s="12" t="s">
        <v>1083</v>
      </c>
      <c r="X105" s="12" t="s">
        <v>1464</v>
      </c>
      <c r="Y105" s="178" t="s">
        <v>1113</v>
      </c>
      <c r="Z105" s="12" t="s">
        <v>3104</v>
      </c>
      <c r="AA105" s="178" t="s">
        <v>1217</v>
      </c>
      <c r="AB105" s="12" t="s">
        <v>3105</v>
      </c>
      <c r="AC105" s="178" t="s">
        <v>3106</v>
      </c>
      <c r="AD105" s="12" t="s">
        <v>3107</v>
      </c>
      <c r="AE105" s="12" t="s">
        <v>1075</v>
      </c>
      <c r="AF105" s="12" t="s">
        <v>3108</v>
      </c>
      <c r="AG105" s="12" t="s">
        <v>1092</v>
      </c>
      <c r="AH105" s="12" t="s">
        <v>1092</v>
      </c>
      <c r="AI105" s="12" t="s">
        <v>3109</v>
      </c>
      <c r="AJ105" s="12" t="s">
        <v>3110</v>
      </c>
      <c r="AK105" s="12" t="s">
        <v>3111</v>
      </c>
      <c r="AL105" s="12" t="s">
        <v>1092</v>
      </c>
      <c r="AM105" s="12" t="s">
        <v>1092</v>
      </c>
      <c r="AN105" s="12" t="s">
        <v>1092</v>
      </c>
      <c r="AO105" s="178" t="s">
        <v>1093</v>
      </c>
      <c r="AP105" s="178" t="s">
        <v>1092</v>
      </c>
      <c r="AQ105" s="178" t="s">
        <v>1092</v>
      </c>
      <c r="AR105" s="178" t="s">
        <v>1093</v>
      </c>
      <c r="AS105" s="178" t="s">
        <v>1094</v>
      </c>
      <c r="AT105" s="178" t="s">
        <v>1095</v>
      </c>
      <c r="AU105" s="178" t="s">
        <v>1118</v>
      </c>
      <c r="AV105" s="12" t="s">
        <v>1096</v>
      </c>
      <c r="AW105" s="12" t="s">
        <v>2270</v>
      </c>
      <c r="AY105" s="178" t="s">
        <v>1092</v>
      </c>
      <c r="AZ105" s="12" t="s">
        <v>3112</v>
      </c>
      <c r="BA105" s="12" t="s">
        <v>3113</v>
      </c>
      <c r="BB105" s="12" t="s">
        <v>1098</v>
      </c>
      <c r="BD105" s="12" t="s">
        <v>1092</v>
      </c>
      <c r="BE105" s="12" t="s">
        <v>118</v>
      </c>
      <c r="BF105" s="12" t="s">
        <v>4369</v>
      </c>
      <c r="BH105" s="12">
        <v>11111</v>
      </c>
      <c r="BI105" s="179">
        <v>79</v>
      </c>
      <c r="BJ105" s="175">
        <v>42208</v>
      </c>
      <c r="BK105" s="176" t="s">
        <v>307</v>
      </c>
      <c r="BL105" s="12"/>
      <c r="BM105" s="12">
        <v>30</v>
      </c>
    </row>
    <row r="106" spans="1:65" x14ac:dyDescent="0.25">
      <c r="A106" s="12" t="s">
        <v>2653</v>
      </c>
      <c r="B106" s="12" t="s">
        <v>993</v>
      </c>
      <c r="C106" s="12" t="s">
        <v>808</v>
      </c>
      <c r="D106" s="12" t="s">
        <v>809</v>
      </c>
      <c r="E106" s="175">
        <v>42198</v>
      </c>
      <c r="F106" s="12" t="s">
        <v>2012</v>
      </c>
      <c r="G106" s="12" t="s">
        <v>1075</v>
      </c>
      <c r="H106" s="12" t="s">
        <v>2481</v>
      </c>
      <c r="I106" s="12" t="s">
        <v>2482</v>
      </c>
      <c r="K106" s="12" t="s">
        <v>1078</v>
      </c>
      <c r="L106" s="12" t="s">
        <v>1079</v>
      </c>
      <c r="M106" s="12" t="s">
        <v>1342</v>
      </c>
      <c r="O106" s="178" t="s">
        <v>1181</v>
      </c>
      <c r="P106" s="178" t="s">
        <v>2483</v>
      </c>
      <c r="Q106" s="12" t="s">
        <v>1342</v>
      </c>
      <c r="R106" s="179">
        <v>80</v>
      </c>
      <c r="S106" s="178"/>
      <c r="U106" s="12">
        <v>11111</v>
      </c>
      <c r="W106" s="12" t="s">
        <v>1083</v>
      </c>
      <c r="X106" s="12" t="s">
        <v>1144</v>
      </c>
      <c r="Y106" s="178" t="s">
        <v>2328</v>
      </c>
      <c r="Z106" s="12" t="s">
        <v>2484</v>
      </c>
      <c r="AB106" s="12" t="s">
        <v>1185</v>
      </c>
      <c r="AD106" s="12" t="s">
        <v>1185</v>
      </c>
      <c r="AE106" s="12" t="s">
        <v>1075</v>
      </c>
      <c r="AF106" s="12" t="s">
        <v>2485</v>
      </c>
      <c r="AG106" s="12" t="s">
        <v>1092</v>
      </c>
      <c r="AH106" s="12" t="s">
        <v>1092</v>
      </c>
      <c r="AI106" s="12" t="s">
        <v>2486</v>
      </c>
      <c r="AJ106" s="12" t="s">
        <v>2487</v>
      </c>
      <c r="AK106" s="12" t="s">
        <v>2488</v>
      </c>
      <c r="AL106" s="12" t="s">
        <v>1092</v>
      </c>
      <c r="AM106" s="12" t="s">
        <v>1092</v>
      </c>
      <c r="AN106" s="12" t="s">
        <v>1092</v>
      </c>
      <c r="AO106" s="178" t="s">
        <v>1093</v>
      </c>
      <c r="AP106" s="178" t="s">
        <v>1093</v>
      </c>
      <c r="AQ106" s="178" t="s">
        <v>1093</v>
      </c>
      <c r="AR106" s="178" t="s">
        <v>1093</v>
      </c>
      <c r="AS106" s="178" t="s">
        <v>1118</v>
      </c>
      <c r="AT106" s="178" t="s">
        <v>1118</v>
      </c>
      <c r="AU106" s="178" t="s">
        <v>1118</v>
      </c>
      <c r="AV106" s="12" t="s">
        <v>1096</v>
      </c>
      <c r="AW106" s="12" t="s">
        <v>2270</v>
      </c>
      <c r="AY106" s="178" t="s">
        <v>1092</v>
      </c>
      <c r="AZ106" s="12" t="s">
        <v>2489</v>
      </c>
      <c r="BA106" s="12" t="s">
        <v>1098</v>
      </c>
      <c r="BB106" s="12" t="s">
        <v>1098</v>
      </c>
      <c r="BD106" s="12" t="s">
        <v>1092</v>
      </c>
      <c r="BE106" s="12" t="s">
        <v>118</v>
      </c>
      <c r="BF106" s="12" t="s">
        <v>4369</v>
      </c>
      <c r="BH106" s="12">
        <v>11111</v>
      </c>
      <c r="BI106" s="179">
        <v>80</v>
      </c>
      <c r="BJ106" s="12"/>
      <c r="BK106" s="176" t="s">
        <v>83</v>
      </c>
      <c r="BL106" s="12"/>
    </row>
    <row r="107" spans="1:65" x14ac:dyDescent="0.25">
      <c r="A107" s="12" t="s">
        <v>2653</v>
      </c>
      <c r="B107" s="12" t="s">
        <v>994</v>
      </c>
      <c r="C107" s="12" t="s">
        <v>811</v>
      </c>
      <c r="D107" s="12" t="s">
        <v>812</v>
      </c>
      <c r="E107" s="175">
        <v>42198</v>
      </c>
      <c r="F107" s="12" t="s">
        <v>2490</v>
      </c>
      <c r="G107" s="12" t="s">
        <v>1075</v>
      </c>
      <c r="H107" s="12" t="s">
        <v>2491</v>
      </c>
      <c r="I107" s="12" t="s">
        <v>2492</v>
      </c>
      <c r="K107" s="12" t="s">
        <v>1123</v>
      </c>
      <c r="L107" s="12" t="s">
        <v>1124</v>
      </c>
      <c r="M107" s="12" t="s">
        <v>1125</v>
      </c>
      <c r="O107" s="178" t="s">
        <v>1245</v>
      </c>
      <c r="P107" s="178" t="s">
        <v>2493</v>
      </c>
      <c r="Q107" s="12" t="s">
        <v>1125</v>
      </c>
      <c r="R107" s="179">
        <v>81</v>
      </c>
      <c r="S107" s="178"/>
      <c r="U107" s="12">
        <v>11111</v>
      </c>
      <c r="W107" s="12" t="s">
        <v>1083</v>
      </c>
      <c r="X107" s="12" t="s">
        <v>1144</v>
      </c>
      <c r="Y107" s="178" t="s">
        <v>1234</v>
      </c>
      <c r="Z107" s="12" t="s">
        <v>2494</v>
      </c>
      <c r="AA107" s="178" t="s">
        <v>1965</v>
      </c>
      <c r="AB107" s="12" t="s">
        <v>2495</v>
      </c>
      <c r="AC107" s="178" t="s">
        <v>1531</v>
      </c>
      <c r="AD107" s="12" t="s">
        <v>2496</v>
      </c>
      <c r="AE107" s="12" t="s">
        <v>1075</v>
      </c>
      <c r="AF107" s="12" t="s">
        <v>2497</v>
      </c>
      <c r="AG107" s="12" t="s">
        <v>1092</v>
      </c>
      <c r="AH107" s="12" t="s">
        <v>1092</v>
      </c>
      <c r="AI107" s="12" t="s">
        <v>2498</v>
      </c>
      <c r="AJ107" s="12" t="s">
        <v>2499</v>
      </c>
      <c r="AK107" s="12" t="s">
        <v>2500</v>
      </c>
      <c r="AL107" s="12" t="s">
        <v>1092</v>
      </c>
      <c r="AM107" s="12" t="s">
        <v>1092</v>
      </c>
      <c r="AN107" s="12" t="s">
        <v>1092</v>
      </c>
      <c r="AO107" s="178" t="s">
        <v>1093</v>
      </c>
      <c r="AP107" s="178" t="s">
        <v>1092</v>
      </c>
      <c r="AQ107" s="178" t="s">
        <v>1093</v>
      </c>
      <c r="AR107" s="178" t="s">
        <v>1093</v>
      </c>
      <c r="AS107" s="178" t="s">
        <v>1118</v>
      </c>
      <c r="AT107" s="178" t="s">
        <v>1118</v>
      </c>
      <c r="AU107" s="178" t="s">
        <v>1118</v>
      </c>
      <c r="AV107" s="12" t="s">
        <v>1096</v>
      </c>
      <c r="AW107" s="12" t="s">
        <v>2270</v>
      </c>
      <c r="AX107" s="178" t="s">
        <v>2501</v>
      </c>
      <c r="AY107" s="178" t="s">
        <v>1093</v>
      </c>
      <c r="AZ107" s="12" t="s">
        <v>2502</v>
      </c>
      <c r="BA107" s="12" t="s">
        <v>1098</v>
      </c>
      <c r="BB107" s="12" t="s">
        <v>2503</v>
      </c>
      <c r="BD107" s="12" t="s">
        <v>1092</v>
      </c>
      <c r="BE107" s="12" t="s">
        <v>118</v>
      </c>
      <c r="BF107" s="12" t="s">
        <v>4369</v>
      </c>
      <c r="BH107" s="12">
        <v>11111</v>
      </c>
      <c r="BI107" s="179">
        <v>81</v>
      </c>
      <c r="BJ107" s="12"/>
      <c r="BK107" s="176" t="s">
        <v>83</v>
      </c>
      <c r="BL107" s="12"/>
    </row>
    <row r="108" spans="1:65" x14ac:dyDescent="0.25">
      <c r="A108" s="12" t="s">
        <v>2653</v>
      </c>
      <c r="B108" s="12" t="s">
        <v>995</v>
      </c>
      <c r="C108" s="12" t="s">
        <v>814</v>
      </c>
      <c r="D108" s="12" t="s">
        <v>815</v>
      </c>
      <c r="E108" s="175">
        <v>42198</v>
      </c>
      <c r="F108" s="12" t="s">
        <v>2504</v>
      </c>
      <c r="G108" s="12" t="s">
        <v>1075</v>
      </c>
      <c r="H108" s="12" t="s">
        <v>2505</v>
      </c>
      <c r="I108" s="12" t="s">
        <v>2506</v>
      </c>
      <c r="J108" s="12" t="s">
        <v>2507</v>
      </c>
      <c r="K108" s="12" t="s">
        <v>1103</v>
      </c>
      <c r="L108" s="12" t="s">
        <v>1124</v>
      </c>
      <c r="M108" s="12" t="s">
        <v>1125</v>
      </c>
      <c r="O108" s="178" t="s">
        <v>2508</v>
      </c>
      <c r="P108" s="178" t="s">
        <v>2509</v>
      </c>
      <c r="Q108" s="12" t="s">
        <v>1125</v>
      </c>
      <c r="R108" s="179">
        <v>82</v>
      </c>
      <c r="S108" s="178"/>
      <c r="U108" s="12">
        <v>11111</v>
      </c>
      <c r="W108" s="12" t="s">
        <v>1083</v>
      </c>
      <c r="X108" s="12" t="s">
        <v>1918</v>
      </c>
      <c r="Y108" s="178" t="s">
        <v>1538</v>
      </c>
      <c r="Z108" s="12" t="s">
        <v>2510</v>
      </c>
      <c r="AA108" s="178" t="s">
        <v>1979</v>
      </c>
      <c r="AB108" s="12" t="s">
        <v>2511</v>
      </c>
      <c r="AC108" s="178" t="s">
        <v>1402</v>
      </c>
      <c r="AD108" s="12" t="s">
        <v>2512</v>
      </c>
      <c r="AE108" s="12" t="s">
        <v>1075</v>
      </c>
      <c r="AF108" s="12" t="s">
        <v>2513</v>
      </c>
      <c r="AG108" s="12" t="s">
        <v>1092</v>
      </c>
      <c r="AH108" s="12" t="s">
        <v>1092</v>
      </c>
      <c r="AI108" s="12" t="s">
        <v>2514</v>
      </c>
      <c r="AJ108" s="12" t="s">
        <v>2515</v>
      </c>
      <c r="AK108" s="12" t="s">
        <v>1092</v>
      </c>
      <c r="AL108" s="12" t="s">
        <v>1092</v>
      </c>
      <c r="AM108" s="12" t="s">
        <v>1092</v>
      </c>
      <c r="AN108" s="12" t="s">
        <v>1092</v>
      </c>
      <c r="AO108" s="178" t="s">
        <v>1093</v>
      </c>
      <c r="AP108" s="178" t="s">
        <v>1093</v>
      </c>
      <c r="AQ108" s="178" t="s">
        <v>1093</v>
      </c>
      <c r="AR108" s="178" t="s">
        <v>1093</v>
      </c>
      <c r="AS108" s="178" t="s">
        <v>1118</v>
      </c>
      <c r="AT108" s="178" t="s">
        <v>1118</v>
      </c>
      <c r="AU108" s="178" t="s">
        <v>1118</v>
      </c>
      <c r="AV108" s="12" t="s">
        <v>1096</v>
      </c>
      <c r="AW108" s="12" t="s">
        <v>2270</v>
      </c>
      <c r="AY108" s="178" t="s">
        <v>1092</v>
      </c>
      <c r="AZ108" s="12" t="s">
        <v>2516</v>
      </c>
      <c r="BA108" s="12" t="s">
        <v>1098</v>
      </c>
      <c r="BB108" s="12" t="s">
        <v>1098</v>
      </c>
      <c r="BD108" s="12" t="s">
        <v>1092</v>
      </c>
      <c r="BE108" s="12" t="s">
        <v>118</v>
      </c>
      <c r="BF108" s="12" t="s">
        <v>4369</v>
      </c>
      <c r="BH108" s="12">
        <v>11111</v>
      </c>
      <c r="BI108" s="179">
        <v>82</v>
      </c>
      <c r="BJ108" s="12"/>
      <c r="BK108" s="176" t="s">
        <v>83</v>
      </c>
      <c r="BL108" s="12"/>
    </row>
    <row r="109" spans="1:65" x14ac:dyDescent="0.25">
      <c r="A109" s="12" t="s">
        <v>2356</v>
      </c>
      <c r="B109" s="12" t="s">
        <v>996</v>
      </c>
      <c r="C109" s="12" t="s">
        <v>889</v>
      </c>
      <c r="D109" s="12" t="s">
        <v>890</v>
      </c>
      <c r="E109" s="175">
        <v>42198</v>
      </c>
      <c r="F109" s="12" t="s">
        <v>2770</v>
      </c>
      <c r="G109" s="12" t="s">
        <v>1075</v>
      </c>
      <c r="H109" s="12" t="s">
        <v>2771</v>
      </c>
      <c r="I109" s="12" t="s">
        <v>2772</v>
      </c>
      <c r="J109" s="12" t="s">
        <v>1627</v>
      </c>
      <c r="K109" s="12" t="s">
        <v>1078</v>
      </c>
      <c r="L109" s="12" t="s">
        <v>1079</v>
      </c>
      <c r="M109" s="12" t="s">
        <v>1342</v>
      </c>
      <c r="O109" s="178" t="s">
        <v>1126</v>
      </c>
      <c r="P109" s="178" t="s">
        <v>2773</v>
      </c>
      <c r="Q109" s="12" t="s">
        <v>1342</v>
      </c>
      <c r="R109" s="179">
        <v>83</v>
      </c>
      <c r="S109" s="178" t="s">
        <v>2774</v>
      </c>
      <c r="U109" s="12">
        <v>11111</v>
      </c>
      <c r="W109" s="12" t="s">
        <v>1083</v>
      </c>
      <c r="X109" s="12" t="s">
        <v>1144</v>
      </c>
      <c r="Y109" s="178" t="s">
        <v>1147</v>
      </c>
      <c r="Z109" s="12" t="s">
        <v>2775</v>
      </c>
      <c r="AA109" s="178" t="s">
        <v>2264</v>
      </c>
      <c r="AB109" s="12" t="s">
        <v>1133</v>
      </c>
      <c r="AC109" s="178" t="s">
        <v>1661</v>
      </c>
      <c r="AD109" s="12" t="s">
        <v>2776</v>
      </c>
      <c r="AE109" s="12" t="s">
        <v>1075</v>
      </c>
      <c r="AF109" s="12" t="s">
        <v>2777</v>
      </c>
      <c r="AG109" s="12" t="s">
        <v>1092</v>
      </c>
      <c r="AH109" s="12" t="s">
        <v>1092</v>
      </c>
      <c r="AI109" s="12" t="s">
        <v>2778</v>
      </c>
      <c r="AJ109" s="12" t="s">
        <v>2779</v>
      </c>
      <c r="AK109" s="12" t="s">
        <v>2780</v>
      </c>
      <c r="AL109" s="12" t="s">
        <v>1092</v>
      </c>
      <c r="AM109" s="12" t="s">
        <v>1092</v>
      </c>
      <c r="AN109" s="12" t="s">
        <v>1092</v>
      </c>
      <c r="AO109" s="178" t="s">
        <v>1093</v>
      </c>
      <c r="AP109" s="178" t="s">
        <v>1093</v>
      </c>
      <c r="AQ109" s="178" t="s">
        <v>1093</v>
      </c>
      <c r="AR109" s="178" t="s">
        <v>1093</v>
      </c>
      <c r="AS109" s="178" t="s">
        <v>1118</v>
      </c>
      <c r="AT109" s="178" t="s">
        <v>1118</v>
      </c>
      <c r="AU109" s="178" t="s">
        <v>1118</v>
      </c>
      <c r="AV109" s="12" t="s">
        <v>1096</v>
      </c>
      <c r="AW109" s="12" t="s">
        <v>2270</v>
      </c>
      <c r="AY109" s="178" t="s">
        <v>1092</v>
      </c>
      <c r="AZ109" s="12" t="s">
        <v>2781</v>
      </c>
      <c r="BA109" s="12" t="s">
        <v>1098</v>
      </c>
      <c r="BB109" s="12" t="s">
        <v>2782</v>
      </c>
      <c r="BD109" s="12" t="s">
        <v>1092</v>
      </c>
      <c r="BE109" s="12" t="s">
        <v>118</v>
      </c>
      <c r="BF109" s="12" t="s">
        <v>4369</v>
      </c>
      <c r="BH109" s="12">
        <v>11111</v>
      </c>
      <c r="BI109" s="179">
        <v>83</v>
      </c>
      <c r="BJ109" s="12"/>
      <c r="BK109" s="176" t="s">
        <v>83</v>
      </c>
      <c r="BL109" s="12"/>
    </row>
    <row r="110" spans="1:65" x14ac:dyDescent="0.25">
      <c r="A110" s="12" t="s">
        <v>2356</v>
      </c>
      <c r="B110" s="12" t="s">
        <v>997</v>
      </c>
      <c r="C110" s="12" t="s">
        <v>898</v>
      </c>
      <c r="D110" s="12" t="s">
        <v>899</v>
      </c>
      <c r="E110" s="175">
        <v>42198</v>
      </c>
      <c r="F110" s="12" t="s">
        <v>2801</v>
      </c>
      <c r="G110" s="12" t="s">
        <v>1075</v>
      </c>
      <c r="H110" s="12" t="s">
        <v>2802</v>
      </c>
      <c r="I110" s="12" t="s">
        <v>2803</v>
      </c>
      <c r="K110" s="12" t="s">
        <v>1242</v>
      </c>
      <c r="L110" s="12" t="s">
        <v>1243</v>
      </c>
      <c r="M110" s="12" t="s">
        <v>1195</v>
      </c>
      <c r="O110" s="178" t="s">
        <v>1451</v>
      </c>
      <c r="P110" s="178" t="s">
        <v>2804</v>
      </c>
      <c r="Q110" s="12" t="s">
        <v>1195</v>
      </c>
      <c r="R110" s="179">
        <v>84</v>
      </c>
      <c r="S110" s="178"/>
      <c r="U110" s="12">
        <v>11111</v>
      </c>
      <c r="W110" s="12" t="s">
        <v>1083</v>
      </c>
      <c r="X110" s="12" t="s">
        <v>1231</v>
      </c>
      <c r="Y110" s="178" t="s">
        <v>2348</v>
      </c>
      <c r="Z110" s="12" t="s">
        <v>2805</v>
      </c>
      <c r="AA110" s="178" t="s">
        <v>2770</v>
      </c>
      <c r="AB110" s="12" t="s">
        <v>2806</v>
      </c>
      <c r="AC110" s="178" t="s">
        <v>1606</v>
      </c>
      <c r="AD110" s="12" t="s">
        <v>2806</v>
      </c>
      <c r="AE110" s="12" t="s">
        <v>1075</v>
      </c>
      <c r="AF110" s="12" t="s">
        <v>2807</v>
      </c>
      <c r="AG110" s="12" t="s">
        <v>1092</v>
      </c>
      <c r="AH110" s="12" t="s">
        <v>1092</v>
      </c>
      <c r="AI110" s="12" t="s">
        <v>2808</v>
      </c>
      <c r="AJ110" s="12" t="s">
        <v>2809</v>
      </c>
      <c r="AK110" s="12" t="s">
        <v>2810</v>
      </c>
      <c r="AL110" s="12" t="s">
        <v>1092</v>
      </c>
      <c r="AM110" s="12" t="s">
        <v>1092</v>
      </c>
      <c r="AN110" s="12" t="s">
        <v>1092</v>
      </c>
      <c r="AO110" s="178" t="s">
        <v>1093</v>
      </c>
      <c r="AP110" s="178" t="s">
        <v>1093</v>
      </c>
      <c r="AQ110" s="178" t="s">
        <v>1093</v>
      </c>
      <c r="AR110" s="178" t="s">
        <v>1093</v>
      </c>
      <c r="AS110" s="178" t="s">
        <v>1118</v>
      </c>
      <c r="AT110" s="178" t="s">
        <v>1118</v>
      </c>
      <c r="AU110" s="178" t="s">
        <v>1118</v>
      </c>
      <c r="AV110" s="12" t="s">
        <v>1096</v>
      </c>
      <c r="AW110" s="12" t="s">
        <v>2270</v>
      </c>
      <c r="AY110" s="178" t="s">
        <v>1092</v>
      </c>
      <c r="AZ110" s="12" t="s">
        <v>2811</v>
      </c>
      <c r="BA110" s="12" t="s">
        <v>2812</v>
      </c>
      <c r="BB110" s="12" t="s">
        <v>1098</v>
      </c>
      <c r="BD110" s="12" t="s">
        <v>1092</v>
      </c>
      <c r="BE110" s="12" t="s">
        <v>118</v>
      </c>
      <c r="BF110" s="12" t="s">
        <v>4369</v>
      </c>
      <c r="BH110" s="12">
        <v>11111</v>
      </c>
      <c r="BI110" s="179">
        <v>84</v>
      </c>
      <c r="BJ110" s="12"/>
      <c r="BK110" s="176" t="s">
        <v>83</v>
      </c>
      <c r="BL110" s="12"/>
    </row>
    <row r="111" spans="1:65" x14ac:dyDescent="0.25">
      <c r="A111" s="12" t="s">
        <v>2356</v>
      </c>
      <c r="B111" s="12" t="s">
        <v>998</v>
      </c>
      <c r="C111" s="12" t="s">
        <v>904</v>
      </c>
      <c r="D111" s="12" t="s">
        <v>905</v>
      </c>
      <c r="E111" s="175">
        <v>42198</v>
      </c>
      <c r="F111" s="12" t="s">
        <v>2822</v>
      </c>
      <c r="G111" s="12" t="s">
        <v>1075</v>
      </c>
      <c r="H111" s="12" t="s">
        <v>2823</v>
      </c>
      <c r="I111" s="12" t="s">
        <v>2824</v>
      </c>
      <c r="J111" s="12" t="s">
        <v>2825</v>
      </c>
      <c r="K111" s="12" t="s">
        <v>1078</v>
      </c>
      <c r="L111" s="12" t="s">
        <v>1079</v>
      </c>
      <c r="M111" s="12" t="s">
        <v>1342</v>
      </c>
      <c r="O111" s="178" t="s">
        <v>1126</v>
      </c>
      <c r="P111" s="178" t="s">
        <v>2826</v>
      </c>
      <c r="Q111" s="12" t="s">
        <v>1342</v>
      </c>
      <c r="R111" s="179">
        <v>85</v>
      </c>
      <c r="S111" s="178"/>
      <c r="U111" s="12">
        <v>11111</v>
      </c>
      <c r="W111" s="12" t="s">
        <v>1083</v>
      </c>
      <c r="X111" s="12" t="s">
        <v>2335</v>
      </c>
      <c r="Y111" s="178" t="s">
        <v>1590</v>
      </c>
      <c r="Z111" s="12" t="s">
        <v>2827</v>
      </c>
      <c r="AA111" s="178" t="s">
        <v>1531</v>
      </c>
      <c r="AB111" s="12" t="s">
        <v>2828</v>
      </c>
      <c r="AC111" s="178" t="s">
        <v>1257</v>
      </c>
      <c r="AD111" s="12" t="s">
        <v>2829</v>
      </c>
      <c r="AE111" s="12" t="s">
        <v>1075</v>
      </c>
      <c r="AF111" s="12" t="s">
        <v>2830</v>
      </c>
      <c r="AG111" s="12" t="s">
        <v>1092</v>
      </c>
      <c r="AH111" s="12" t="s">
        <v>1092</v>
      </c>
      <c r="AI111" s="12" t="s">
        <v>2831</v>
      </c>
      <c r="AJ111" s="12" t="s">
        <v>2832</v>
      </c>
      <c r="AK111" s="12" t="s">
        <v>1092</v>
      </c>
      <c r="AL111" s="12" t="s">
        <v>1092</v>
      </c>
      <c r="AM111" s="12" t="s">
        <v>1092</v>
      </c>
      <c r="AN111" s="12" t="s">
        <v>1092</v>
      </c>
      <c r="AO111" s="178" t="s">
        <v>1093</v>
      </c>
      <c r="AP111" s="178" t="s">
        <v>1093</v>
      </c>
      <c r="AQ111" s="178" t="s">
        <v>1093</v>
      </c>
      <c r="AR111" s="178" t="s">
        <v>1093</v>
      </c>
      <c r="AS111" s="178" t="s">
        <v>1118</v>
      </c>
      <c r="AT111" s="178" t="s">
        <v>1118</v>
      </c>
      <c r="AU111" s="178" t="s">
        <v>1118</v>
      </c>
      <c r="AV111" s="12" t="s">
        <v>1096</v>
      </c>
      <c r="AW111" s="12" t="s">
        <v>2270</v>
      </c>
      <c r="AY111" s="178" t="s">
        <v>1092</v>
      </c>
      <c r="AZ111" s="12" t="s">
        <v>2833</v>
      </c>
      <c r="BA111" s="12" t="s">
        <v>1098</v>
      </c>
      <c r="BB111" s="12" t="s">
        <v>2833</v>
      </c>
      <c r="BD111" s="12" t="s">
        <v>1092</v>
      </c>
      <c r="BE111" s="12" t="s">
        <v>118</v>
      </c>
      <c r="BF111" s="12" t="s">
        <v>4369</v>
      </c>
      <c r="BH111" s="12">
        <v>11111</v>
      </c>
      <c r="BI111" s="179">
        <v>85</v>
      </c>
      <c r="BJ111" s="12"/>
      <c r="BK111" s="176" t="s">
        <v>83</v>
      </c>
      <c r="BL111" s="12"/>
    </row>
    <row r="112" spans="1:65" x14ac:dyDescent="0.25">
      <c r="A112" s="12" t="s">
        <v>2356</v>
      </c>
      <c r="B112" s="12" t="s">
        <v>999</v>
      </c>
      <c r="C112" s="12" t="s">
        <v>877</v>
      </c>
      <c r="D112" s="12" t="s">
        <v>878</v>
      </c>
      <c r="E112" s="175">
        <v>42198</v>
      </c>
      <c r="F112" s="12" t="s">
        <v>1883</v>
      </c>
      <c r="G112" s="12" t="s">
        <v>1075</v>
      </c>
      <c r="H112" s="12" t="s">
        <v>1076</v>
      </c>
      <c r="I112" s="12" t="s">
        <v>2735</v>
      </c>
      <c r="J112" s="12" t="s">
        <v>2428</v>
      </c>
      <c r="K112" s="12" t="s">
        <v>1078</v>
      </c>
      <c r="L112" s="12" t="s">
        <v>1079</v>
      </c>
      <c r="M112" s="12" t="s">
        <v>1080</v>
      </c>
      <c r="O112" s="178" t="s">
        <v>1488</v>
      </c>
      <c r="P112" s="178" t="s">
        <v>2736</v>
      </c>
      <c r="Q112" s="12" t="s">
        <v>1080</v>
      </c>
      <c r="R112" s="179">
        <v>86</v>
      </c>
      <c r="S112" s="178"/>
      <c r="U112" s="12">
        <v>11111</v>
      </c>
      <c r="W112" s="12" t="s">
        <v>1083</v>
      </c>
      <c r="X112" s="12" t="s">
        <v>1519</v>
      </c>
      <c r="Y112" s="178" t="s">
        <v>1234</v>
      </c>
      <c r="Z112" s="12" t="s">
        <v>2737</v>
      </c>
      <c r="AB112" s="12" t="s">
        <v>1185</v>
      </c>
      <c r="AD112" s="12" t="s">
        <v>1185</v>
      </c>
      <c r="AE112" s="12" t="s">
        <v>1075</v>
      </c>
      <c r="AF112" s="12" t="s">
        <v>2738</v>
      </c>
      <c r="AG112" s="12" t="s">
        <v>1092</v>
      </c>
      <c r="AH112" s="12" t="s">
        <v>1092</v>
      </c>
      <c r="AI112" s="12" t="s">
        <v>2739</v>
      </c>
      <c r="AJ112" s="12" t="s">
        <v>2740</v>
      </c>
      <c r="AK112" s="12" t="s">
        <v>1092</v>
      </c>
      <c r="AL112" s="12" t="s">
        <v>1092</v>
      </c>
      <c r="AM112" s="12" t="s">
        <v>1092</v>
      </c>
      <c r="AN112" s="12" t="s">
        <v>1092</v>
      </c>
      <c r="AO112" s="178" t="s">
        <v>1093</v>
      </c>
      <c r="AP112" s="178" t="s">
        <v>1093</v>
      </c>
      <c r="AQ112" s="178" t="s">
        <v>1093</v>
      </c>
      <c r="AR112" s="178" t="s">
        <v>1093</v>
      </c>
      <c r="AS112" s="178" t="s">
        <v>1118</v>
      </c>
      <c r="AT112" s="178" t="s">
        <v>1118</v>
      </c>
      <c r="AU112" s="178" t="s">
        <v>1118</v>
      </c>
      <c r="AV112" s="12" t="s">
        <v>1096</v>
      </c>
      <c r="AW112" s="12" t="s">
        <v>2270</v>
      </c>
      <c r="AY112" s="178" t="s">
        <v>1092</v>
      </c>
      <c r="AZ112" s="12" t="s">
        <v>1098</v>
      </c>
      <c r="BA112" s="12" t="s">
        <v>1098</v>
      </c>
      <c r="BB112" s="12" t="s">
        <v>1098</v>
      </c>
      <c r="BC112" s="178" t="s">
        <v>1205</v>
      </c>
      <c r="BD112" s="12" t="s">
        <v>1092</v>
      </c>
      <c r="BE112" s="12" t="s">
        <v>118</v>
      </c>
      <c r="BF112" s="12" t="s">
        <v>4369</v>
      </c>
      <c r="BH112" s="12">
        <v>11111</v>
      </c>
      <c r="BI112" s="179">
        <v>86</v>
      </c>
      <c r="BJ112" s="12"/>
      <c r="BK112" s="176" t="s">
        <v>83</v>
      </c>
      <c r="BL112" s="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N142"/>
  <sheetViews>
    <sheetView topLeftCell="AP99" workbookViewId="0">
      <selection activeCell="AP116" sqref="A1:BN142"/>
    </sheetView>
  </sheetViews>
  <sheetFormatPr defaultRowHeight="15" x14ac:dyDescent="0.25"/>
  <cols>
    <col min="1" max="61" width="9.140625" style="12"/>
    <col min="62" max="62" width="9.140625" style="175"/>
    <col min="63" max="63" width="9.140625" style="176"/>
    <col min="64" max="64" width="9.140625" style="177"/>
    <col min="65" max="16384" width="9.140625" style="12"/>
  </cols>
  <sheetData>
    <row r="1" spans="1:66" x14ac:dyDescent="0.25">
      <c r="A1" s="12" t="s">
        <v>1023</v>
      </c>
      <c r="B1" s="12" t="s">
        <v>103</v>
      </c>
      <c r="C1" s="12" t="s">
        <v>104</v>
      </c>
      <c r="D1" s="12" t="s">
        <v>105</v>
      </c>
      <c r="E1" s="12" t="s">
        <v>106</v>
      </c>
      <c r="F1" s="12" t="s">
        <v>1024</v>
      </c>
      <c r="G1" s="12" t="s">
        <v>1025</v>
      </c>
      <c r="H1" s="12" t="s">
        <v>1026</v>
      </c>
      <c r="I1" s="12" t="s">
        <v>1027</v>
      </c>
      <c r="J1" s="12" t="s">
        <v>1028</v>
      </c>
      <c r="K1" s="12" t="s">
        <v>1029</v>
      </c>
      <c r="L1" s="12" t="s">
        <v>1030</v>
      </c>
      <c r="M1" s="12" t="s">
        <v>1031</v>
      </c>
      <c r="N1" s="12" t="s">
        <v>1032</v>
      </c>
      <c r="O1" s="12" t="s">
        <v>1033</v>
      </c>
      <c r="P1" s="12" t="s">
        <v>1034</v>
      </c>
      <c r="Q1" s="12" t="s">
        <v>1035</v>
      </c>
      <c r="R1" s="12" t="s">
        <v>107</v>
      </c>
      <c r="S1" s="12" t="s">
        <v>1036</v>
      </c>
      <c r="T1" s="12" t="s">
        <v>1037</v>
      </c>
      <c r="U1" s="12" t="s">
        <v>108</v>
      </c>
      <c r="V1" s="12" t="s">
        <v>1038</v>
      </c>
      <c r="W1" s="12" t="s">
        <v>1039</v>
      </c>
      <c r="X1" s="12" t="s">
        <v>1040</v>
      </c>
      <c r="Y1" s="12" t="s">
        <v>1041</v>
      </c>
      <c r="Z1" s="12" t="s">
        <v>1042</v>
      </c>
      <c r="AA1" s="12" t="s">
        <v>1043</v>
      </c>
      <c r="AB1" s="12" t="s">
        <v>1044</v>
      </c>
      <c r="AC1" s="12" t="s">
        <v>1045</v>
      </c>
      <c r="AD1" s="12" t="s">
        <v>1046</v>
      </c>
      <c r="AE1" s="12" t="s">
        <v>1047</v>
      </c>
      <c r="AF1" s="12" t="s">
        <v>1048</v>
      </c>
      <c r="AG1" s="12" t="s">
        <v>1049</v>
      </c>
      <c r="AH1" s="12" t="s">
        <v>1050</v>
      </c>
      <c r="AI1" s="12" t="s">
        <v>1051</v>
      </c>
      <c r="AJ1" s="12" t="s">
        <v>1052</v>
      </c>
      <c r="AK1" s="12" t="s">
        <v>1053</v>
      </c>
      <c r="AL1" s="12" t="s">
        <v>1054</v>
      </c>
      <c r="AM1" s="12" t="s">
        <v>1055</v>
      </c>
      <c r="AN1" s="12" t="s">
        <v>1056</v>
      </c>
      <c r="AO1" s="12" t="s">
        <v>1057</v>
      </c>
      <c r="AP1" s="12" t="s">
        <v>1058</v>
      </c>
      <c r="AQ1" s="12" t="s">
        <v>1059</v>
      </c>
      <c r="AR1" s="12" t="s">
        <v>1060</v>
      </c>
      <c r="AS1" s="12" t="s">
        <v>1061</v>
      </c>
      <c r="AT1" s="12" t="s">
        <v>1062</v>
      </c>
      <c r="AU1" s="12" t="s">
        <v>1063</v>
      </c>
      <c r="AV1" s="12" t="s">
        <v>1064</v>
      </c>
      <c r="AW1" s="12" t="s">
        <v>1065</v>
      </c>
      <c r="AX1" s="12" t="s">
        <v>1066</v>
      </c>
      <c r="AY1" s="12" t="s">
        <v>1067</v>
      </c>
      <c r="AZ1" s="12" t="s">
        <v>1068</v>
      </c>
      <c r="BA1" s="12" t="s">
        <v>1069</v>
      </c>
      <c r="BB1" s="12" t="s">
        <v>1070</v>
      </c>
      <c r="BC1" s="12" t="s">
        <v>1071</v>
      </c>
      <c r="BD1" s="12" t="s">
        <v>1072</v>
      </c>
      <c r="BE1" s="12" t="s">
        <v>109</v>
      </c>
      <c r="BF1" s="12" t="s">
        <v>110</v>
      </c>
      <c r="BG1" s="12" t="s">
        <v>111</v>
      </c>
      <c r="BH1" s="12" t="s">
        <v>108</v>
      </c>
      <c r="BI1" s="12" t="s">
        <v>107</v>
      </c>
      <c r="BJ1" s="175" t="s">
        <v>112</v>
      </c>
      <c r="BK1" s="176" t="s">
        <v>113</v>
      </c>
      <c r="BL1" s="177" t="s">
        <v>114</v>
      </c>
      <c r="BM1" s="12" t="s">
        <v>115</v>
      </c>
      <c r="BN1" s="12" t="s">
        <v>116</v>
      </c>
    </row>
    <row r="2" spans="1:66" x14ac:dyDescent="0.25">
      <c r="A2" s="12" t="s">
        <v>3114</v>
      </c>
      <c r="B2" s="12" t="s">
        <v>3115</v>
      </c>
      <c r="C2" s="12" t="s">
        <v>3116</v>
      </c>
      <c r="D2" s="12" t="s">
        <v>3117</v>
      </c>
      <c r="E2" s="175">
        <v>42205</v>
      </c>
      <c r="F2" s="12" t="s">
        <v>3118</v>
      </c>
      <c r="G2" s="12" t="s">
        <v>1075</v>
      </c>
      <c r="H2" s="12" t="s">
        <v>3119</v>
      </c>
      <c r="I2" s="12" t="s">
        <v>3120</v>
      </c>
      <c r="J2" s="12" t="s">
        <v>3121</v>
      </c>
      <c r="K2" s="12" t="s">
        <v>1514</v>
      </c>
      <c r="L2" s="12" t="s">
        <v>1515</v>
      </c>
      <c r="M2" s="12" t="s">
        <v>1516</v>
      </c>
      <c r="O2" s="178" t="s">
        <v>1181</v>
      </c>
      <c r="P2" s="178" t="s">
        <v>3122</v>
      </c>
      <c r="Q2" s="12" t="s">
        <v>1516</v>
      </c>
      <c r="R2" s="179">
        <v>27</v>
      </c>
      <c r="U2" s="12" t="s">
        <v>117</v>
      </c>
      <c r="V2" s="12" t="s">
        <v>2333</v>
      </c>
      <c r="W2" s="12" t="s">
        <v>2334</v>
      </c>
      <c r="X2" s="12" t="s">
        <v>3123</v>
      </c>
      <c r="Y2" s="178" t="s">
        <v>1985</v>
      </c>
      <c r="Z2" s="12" t="s">
        <v>3124</v>
      </c>
      <c r="AA2" s="178" t="s">
        <v>1113</v>
      </c>
      <c r="AB2" s="12" t="s">
        <v>3125</v>
      </c>
      <c r="AC2" s="178" t="s">
        <v>1997</v>
      </c>
      <c r="AD2" s="12" t="s">
        <v>3126</v>
      </c>
      <c r="AE2" s="12" t="s">
        <v>1075</v>
      </c>
      <c r="AF2" s="12" t="s">
        <v>3127</v>
      </c>
      <c r="AG2" s="12" t="s">
        <v>3128</v>
      </c>
      <c r="AH2" s="12" t="s">
        <v>1092</v>
      </c>
      <c r="AI2" s="12" t="s">
        <v>3129</v>
      </c>
      <c r="AJ2" s="12" t="s">
        <v>3130</v>
      </c>
      <c r="AK2" s="12" t="s">
        <v>1092</v>
      </c>
      <c r="AL2" s="12" t="s">
        <v>1092</v>
      </c>
      <c r="AM2" s="12" t="s">
        <v>1092</v>
      </c>
      <c r="AN2" s="12" t="s">
        <v>1092</v>
      </c>
      <c r="AO2" s="178" t="s">
        <v>1093</v>
      </c>
      <c r="AP2" s="178" t="s">
        <v>1093</v>
      </c>
      <c r="AQ2" s="178" t="s">
        <v>1093</v>
      </c>
      <c r="AR2" s="178" t="s">
        <v>1093</v>
      </c>
      <c r="AS2" s="178" t="s">
        <v>1094</v>
      </c>
      <c r="AT2" s="178" t="s">
        <v>1094</v>
      </c>
      <c r="AU2" s="178" t="s">
        <v>1094</v>
      </c>
      <c r="AV2" s="12" t="s">
        <v>1096</v>
      </c>
      <c r="AW2" s="12" t="s">
        <v>1097</v>
      </c>
      <c r="AY2" s="178" t="s">
        <v>1092</v>
      </c>
      <c r="AZ2" s="12" t="s">
        <v>3131</v>
      </c>
      <c r="BA2" s="12" t="s">
        <v>1098</v>
      </c>
      <c r="BB2" s="12" t="s">
        <v>1098</v>
      </c>
      <c r="BD2" s="12" t="s">
        <v>1092</v>
      </c>
      <c r="BE2" s="12" t="s">
        <v>118</v>
      </c>
      <c r="BF2" s="12" t="s">
        <v>23</v>
      </c>
      <c r="BH2" s="12" t="s">
        <v>117</v>
      </c>
      <c r="BI2" s="179">
        <v>27</v>
      </c>
      <c r="BJ2" s="175">
        <v>42205</v>
      </c>
      <c r="BK2" s="176" t="s">
        <v>119</v>
      </c>
      <c r="BL2" s="177">
        <v>277.27</v>
      </c>
      <c r="BM2" s="12">
        <v>30</v>
      </c>
    </row>
    <row r="3" spans="1:66" x14ac:dyDescent="0.25">
      <c r="A3" s="12" t="s">
        <v>3132</v>
      </c>
      <c r="B3" s="12" t="s">
        <v>3133</v>
      </c>
      <c r="C3" s="12" t="s">
        <v>3134</v>
      </c>
      <c r="D3" s="12" t="s">
        <v>3135</v>
      </c>
      <c r="E3" s="175">
        <v>42205</v>
      </c>
      <c r="F3" s="12" t="s">
        <v>3136</v>
      </c>
      <c r="G3" s="12" t="s">
        <v>1075</v>
      </c>
      <c r="H3" s="12" t="s">
        <v>3137</v>
      </c>
      <c r="I3" s="12" t="s">
        <v>3138</v>
      </c>
      <c r="K3" s="12" t="s">
        <v>1078</v>
      </c>
      <c r="L3" s="12" t="s">
        <v>1079</v>
      </c>
      <c r="M3" s="12" t="s">
        <v>1342</v>
      </c>
      <c r="O3" s="178" t="s">
        <v>2156</v>
      </c>
      <c r="P3" s="178" t="s">
        <v>3139</v>
      </c>
      <c r="Q3" s="12" t="s">
        <v>1342</v>
      </c>
      <c r="R3" s="179">
        <v>67</v>
      </c>
      <c r="U3" s="12" t="s">
        <v>117</v>
      </c>
      <c r="V3" s="12" t="s">
        <v>2333</v>
      </c>
      <c r="W3" s="12" t="s">
        <v>2334</v>
      </c>
      <c r="X3" s="12" t="s">
        <v>1453</v>
      </c>
      <c r="Y3" s="178" t="s">
        <v>3140</v>
      </c>
      <c r="Z3" s="12" t="s">
        <v>3141</v>
      </c>
      <c r="AA3" s="178" t="s">
        <v>1603</v>
      </c>
      <c r="AB3" s="12" t="s">
        <v>3142</v>
      </c>
      <c r="AC3" s="178" t="s">
        <v>1756</v>
      </c>
      <c r="AD3" s="12" t="s">
        <v>3143</v>
      </c>
      <c r="AE3" s="12" t="s">
        <v>1075</v>
      </c>
      <c r="AF3" s="12" t="s">
        <v>3144</v>
      </c>
      <c r="AG3" s="12" t="s">
        <v>2339</v>
      </c>
      <c r="AH3" s="12" t="s">
        <v>1092</v>
      </c>
      <c r="AI3" s="12" t="s">
        <v>3145</v>
      </c>
      <c r="AJ3" s="12" t="s">
        <v>1092</v>
      </c>
      <c r="AK3" s="12" t="s">
        <v>1092</v>
      </c>
      <c r="AL3" s="12" t="s">
        <v>1092</v>
      </c>
      <c r="AM3" s="12" t="s">
        <v>1092</v>
      </c>
      <c r="AN3" s="12" t="s">
        <v>1092</v>
      </c>
      <c r="AO3" s="178" t="s">
        <v>1092</v>
      </c>
      <c r="AP3" s="178" t="s">
        <v>1092</v>
      </c>
      <c r="AQ3" s="178" t="s">
        <v>1093</v>
      </c>
      <c r="AR3" s="178" t="s">
        <v>1092</v>
      </c>
      <c r="AS3" s="178" t="s">
        <v>1155</v>
      </c>
      <c r="AT3" s="178" t="s">
        <v>1094</v>
      </c>
      <c r="AU3" s="178" t="s">
        <v>1095</v>
      </c>
      <c r="AV3" s="12" t="s">
        <v>1096</v>
      </c>
      <c r="AW3" s="12" t="s">
        <v>1097</v>
      </c>
      <c r="AY3" s="178" t="s">
        <v>1092</v>
      </c>
      <c r="AZ3" s="12" t="s">
        <v>3146</v>
      </c>
      <c r="BA3" s="12" t="s">
        <v>1098</v>
      </c>
      <c r="BB3" s="12" t="s">
        <v>1098</v>
      </c>
      <c r="BD3" s="12" t="s">
        <v>1092</v>
      </c>
      <c r="BE3" s="12" t="s">
        <v>118</v>
      </c>
      <c r="BF3" s="12" t="s">
        <v>23</v>
      </c>
      <c r="BH3" s="12" t="s">
        <v>117</v>
      </c>
      <c r="BI3" s="179">
        <v>67</v>
      </c>
      <c r="BJ3" s="175">
        <v>42205</v>
      </c>
      <c r="BK3" s="176" t="s">
        <v>119</v>
      </c>
      <c r="BL3" s="177">
        <v>32</v>
      </c>
      <c r="BM3" s="12">
        <v>30</v>
      </c>
    </row>
    <row r="4" spans="1:66" x14ac:dyDescent="0.25">
      <c r="A4" s="12" t="s">
        <v>3147</v>
      </c>
      <c r="B4" s="12" t="s">
        <v>3148</v>
      </c>
      <c r="C4" s="12" t="s">
        <v>3116</v>
      </c>
      <c r="D4" s="12" t="s">
        <v>3117</v>
      </c>
      <c r="E4" s="175">
        <v>42205</v>
      </c>
      <c r="F4" s="12" t="s">
        <v>3118</v>
      </c>
      <c r="G4" s="12" t="s">
        <v>1075</v>
      </c>
      <c r="H4" s="12" t="s">
        <v>3119</v>
      </c>
      <c r="I4" s="12" t="s">
        <v>3120</v>
      </c>
      <c r="J4" s="12" t="s">
        <v>3121</v>
      </c>
      <c r="K4" s="12" t="s">
        <v>1514</v>
      </c>
      <c r="L4" s="12" t="s">
        <v>1515</v>
      </c>
      <c r="M4" s="12" t="s">
        <v>1516</v>
      </c>
      <c r="O4" s="178" t="s">
        <v>1181</v>
      </c>
      <c r="P4" s="178" t="s">
        <v>3122</v>
      </c>
      <c r="Q4" s="12" t="s">
        <v>1516</v>
      </c>
      <c r="R4" s="179">
        <v>97</v>
      </c>
      <c r="U4" s="12" t="s">
        <v>117</v>
      </c>
      <c r="V4" s="12" t="s">
        <v>2333</v>
      </c>
      <c r="W4" s="12" t="s">
        <v>2334</v>
      </c>
      <c r="X4" s="12" t="s">
        <v>3123</v>
      </c>
      <c r="Y4" s="178" t="s">
        <v>1985</v>
      </c>
      <c r="Z4" s="12" t="s">
        <v>3124</v>
      </c>
      <c r="AA4" s="178" t="s">
        <v>1113</v>
      </c>
      <c r="AB4" s="12" t="s">
        <v>3125</v>
      </c>
      <c r="AC4" s="178" t="s">
        <v>1997</v>
      </c>
      <c r="AD4" s="12" t="s">
        <v>3126</v>
      </c>
      <c r="AE4" s="12" t="s">
        <v>1075</v>
      </c>
      <c r="AF4" s="12" t="s">
        <v>3127</v>
      </c>
      <c r="AG4" s="12" t="s">
        <v>3128</v>
      </c>
      <c r="AH4" s="12" t="s">
        <v>1092</v>
      </c>
      <c r="AI4" s="12" t="s">
        <v>3129</v>
      </c>
      <c r="AJ4" s="12" t="s">
        <v>3130</v>
      </c>
      <c r="AK4" s="12" t="s">
        <v>1092</v>
      </c>
      <c r="AL4" s="12" t="s">
        <v>1092</v>
      </c>
      <c r="AM4" s="12" t="s">
        <v>1092</v>
      </c>
      <c r="AN4" s="12" t="s">
        <v>1092</v>
      </c>
      <c r="AO4" s="178" t="s">
        <v>1093</v>
      </c>
      <c r="AP4" s="178" t="s">
        <v>1093</v>
      </c>
      <c r="AQ4" s="178" t="s">
        <v>1093</v>
      </c>
      <c r="AR4" s="178" t="s">
        <v>1093</v>
      </c>
      <c r="AS4" s="178" t="s">
        <v>1094</v>
      </c>
      <c r="AT4" s="178" t="s">
        <v>1094</v>
      </c>
      <c r="AU4" s="178" t="s">
        <v>1094</v>
      </c>
      <c r="AV4" s="12" t="s">
        <v>1096</v>
      </c>
      <c r="AW4" s="12" t="s">
        <v>2270</v>
      </c>
      <c r="AY4" s="178" t="s">
        <v>1092</v>
      </c>
      <c r="AZ4" s="12" t="s">
        <v>3131</v>
      </c>
      <c r="BA4" s="12" t="s">
        <v>1098</v>
      </c>
      <c r="BB4" s="12" t="s">
        <v>1098</v>
      </c>
      <c r="BD4" s="12" t="s">
        <v>1092</v>
      </c>
      <c r="BE4" s="12" t="s">
        <v>118</v>
      </c>
      <c r="BF4" s="12" t="s">
        <v>23</v>
      </c>
      <c r="BH4" s="12" t="s">
        <v>117</v>
      </c>
      <c r="BI4" s="179">
        <v>97</v>
      </c>
      <c r="BJ4" s="12"/>
      <c r="BK4" s="176" t="s">
        <v>83</v>
      </c>
      <c r="BL4" s="12"/>
    </row>
    <row r="5" spans="1:66" x14ac:dyDescent="0.25">
      <c r="A5" s="12" t="s">
        <v>1085</v>
      </c>
      <c r="B5" s="12" t="s">
        <v>3149</v>
      </c>
      <c r="C5" s="12" t="s">
        <v>3150</v>
      </c>
      <c r="D5" s="12" t="s">
        <v>3151</v>
      </c>
      <c r="E5" s="175">
        <v>42205</v>
      </c>
      <c r="F5" s="12" t="s">
        <v>2986</v>
      </c>
      <c r="G5" s="12" t="s">
        <v>1075</v>
      </c>
      <c r="H5" s="12" t="s">
        <v>3152</v>
      </c>
      <c r="I5" s="12" t="s">
        <v>3153</v>
      </c>
      <c r="K5" s="12" t="s">
        <v>1103</v>
      </c>
      <c r="L5" s="12" t="s">
        <v>1104</v>
      </c>
      <c r="M5" s="12" t="s">
        <v>1180</v>
      </c>
      <c r="O5" s="178" t="s">
        <v>1488</v>
      </c>
      <c r="P5" s="178" t="s">
        <v>3154</v>
      </c>
      <c r="Q5" s="12" t="s">
        <v>1180</v>
      </c>
      <c r="R5" s="179">
        <v>6</v>
      </c>
      <c r="U5" s="12" t="s">
        <v>120</v>
      </c>
      <c r="W5" s="12" t="s">
        <v>1083</v>
      </c>
      <c r="X5" s="12" t="s">
        <v>2335</v>
      </c>
      <c r="Y5" s="178" t="s">
        <v>3043</v>
      </c>
      <c r="Z5" s="12" t="s">
        <v>3155</v>
      </c>
      <c r="AA5" s="178" t="s">
        <v>2451</v>
      </c>
      <c r="AB5" s="12" t="s">
        <v>1112</v>
      </c>
      <c r="AC5" s="178" t="s">
        <v>1754</v>
      </c>
      <c r="AD5" s="12" t="s">
        <v>3156</v>
      </c>
      <c r="AE5" s="12" t="s">
        <v>1075</v>
      </c>
      <c r="AF5" s="12" t="s">
        <v>3157</v>
      </c>
      <c r="AG5" s="12" t="s">
        <v>1092</v>
      </c>
      <c r="AH5" s="12" t="s">
        <v>1092</v>
      </c>
      <c r="AI5" s="12" t="s">
        <v>3158</v>
      </c>
      <c r="AJ5" s="12" t="s">
        <v>3159</v>
      </c>
      <c r="AK5" s="12" t="s">
        <v>1092</v>
      </c>
      <c r="AL5" s="12" t="s">
        <v>3160</v>
      </c>
      <c r="AM5" s="12" t="s">
        <v>1092</v>
      </c>
      <c r="AN5" s="12" t="s">
        <v>1092</v>
      </c>
      <c r="AO5" s="178" t="s">
        <v>1093</v>
      </c>
      <c r="AP5" s="178" t="s">
        <v>1093</v>
      </c>
      <c r="AQ5" s="178" t="s">
        <v>1093</v>
      </c>
      <c r="AR5" s="178" t="s">
        <v>1093</v>
      </c>
      <c r="AS5" s="178" t="s">
        <v>1118</v>
      </c>
      <c r="AT5" s="178" t="s">
        <v>1118</v>
      </c>
      <c r="AU5" s="178" t="s">
        <v>1118</v>
      </c>
      <c r="AV5" s="12" t="s">
        <v>1096</v>
      </c>
      <c r="AW5" s="12" t="s">
        <v>1097</v>
      </c>
      <c r="AX5" s="178" t="s">
        <v>3161</v>
      </c>
      <c r="AY5" s="178" t="s">
        <v>1157</v>
      </c>
      <c r="AZ5" s="12" t="s">
        <v>3162</v>
      </c>
      <c r="BA5" s="12" t="s">
        <v>1098</v>
      </c>
      <c r="BB5" s="12" t="s">
        <v>1098</v>
      </c>
      <c r="BD5" s="12" t="s">
        <v>1092</v>
      </c>
      <c r="BE5" s="12" t="s">
        <v>118</v>
      </c>
      <c r="BF5" s="12" t="s">
        <v>121</v>
      </c>
      <c r="BH5" s="12" t="s">
        <v>120</v>
      </c>
      <c r="BI5" s="179">
        <v>6</v>
      </c>
      <c r="BJ5" s="12"/>
      <c r="BK5" s="12"/>
      <c r="BL5" s="12"/>
    </row>
    <row r="6" spans="1:66" x14ac:dyDescent="0.25">
      <c r="A6" s="12" t="s">
        <v>1085</v>
      </c>
      <c r="B6" s="12" t="s">
        <v>3163</v>
      </c>
      <c r="C6" s="12" t="s">
        <v>3164</v>
      </c>
      <c r="D6" s="12" t="s">
        <v>3165</v>
      </c>
      <c r="E6" s="175">
        <v>42205</v>
      </c>
      <c r="F6" s="12" t="s">
        <v>3166</v>
      </c>
      <c r="G6" s="12" t="s">
        <v>1075</v>
      </c>
      <c r="H6" s="12" t="s">
        <v>3167</v>
      </c>
      <c r="I6" s="12" t="s">
        <v>3168</v>
      </c>
      <c r="K6" s="12" t="s">
        <v>1103</v>
      </c>
      <c r="L6" s="12" t="s">
        <v>1104</v>
      </c>
      <c r="M6" s="12" t="s">
        <v>1105</v>
      </c>
      <c r="O6" s="178" t="s">
        <v>1488</v>
      </c>
      <c r="P6" s="178" t="s">
        <v>3169</v>
      </c>
      <c r="Q6" s="12" t="s">
        <v>1105</v>
      </c>
      <c r="R6" s="179">
        <v>7</v>
      </c>
      <c r="U6" s="12" t="s">
        <v>120</v>
      </c>
      <c r="W6" s="12" t="s">
        <v>1083</v>
      </c>
      <c r="X6" s="12" t="s">
        <v>1093</v>
      </c>
      <c r="Y6" s="178" t="s">
        <v>1232</v>
      </c>
      <c r="Z6" s="12" t="s">
        <v>3170</v>
      </c>
      <c r="AA6" s="178" t="s">
        <v>2081</v>
      </c>
      <c r="AB6" s="12" t="s">
        <v>1745</v>
      </c>
      <c r="AC6" s="178" t="s">
        <v>1111</v>
      </c>
      <c r="AD6" s="12" t="s">
        <v>3171</v>
      </c>
      <c r="AE6" s="12" t="s">
        <v>1075</v>
      </c>
      <c r="AF6" s="12" t="s">
        <v>3172</v>
      </c>
      <c r="AG6" s="12" t="s">
        <v>3173</v>
      </c>
      <c r="AH6" s="12" t="s">
        <v>1092</v>
      </c>
      <c r="AI6" s="12" t="s">
        <v>3174</v>
      </c>
      <c r="AJ6" s="12" t="s">
        <v>3175</v>
      </c>
      <c r="AK6" s="12" t="s">
        <v>1092</v>
      </c>
      <c r="AL6" s="12" t="s">
        <v>1092</v>
      </c>
      <c r="AM6" s="12" t="s">
        <v>1092</v>
      </c>
      <c r="AN6" s="12" t="s">
        <v>1092</v>
      </c>
      <c r="AO6" s="178" t="s">
        <v>1093</v>
      </c>
      <c r="AP6" s="178" t="s">
        <v>1093</v>
      </c>
      <c r="AQ6" s="178" t="s">
        <v>1093</v>
      </c>
      <c r="AR6" s="178" t="s">
        <v>1093</v>
      </c>
      <c r="AS6" s="178" t="s">
        <v>1118</v>
      </c>
      <c r="AT6" s="178" t="s">
        <v>1118</v>
      </c>
      <c r="AU6" s="178" t="s">
        <v>1094</v>
      </c>
      <c r="AV6" s="12" t="s">
        <v>1096</v>
      </c>
      <c r="AW6" s="12" t="s">
        <v>1097</v>
      </c>
      <c r="AX6" s="178" t="s">
        <v>3176</v>
      </c>
      <c r="AY6" s="178" t="s">
        <v>1157</v>
      </c>
      <c r="AZ6" s="12" t="s">
        <v>3177</v>
      </c>
      <c r="BA6" s="12" t="s">
        <v>1098</v>
      </c>
      <c r="BB6" s="12" t="s">
        <v>1098</v>
      </c>
      <c r="BD6" s="12" t="s">
        <v>1092</v>
      </c>
      <c r="BE6" s="12" t="s">
        <v>118</v>
      </c>
      <c r="BF6" s="12" t="s">
        <v>121</v>
      </c>
      <c r="BH6" s="12" t="s">
        <v>120</v>
      </c>
      <c r="BI6" s="179">
        <v>7</v>
      </c>
      <c r="BJ6" s="12"/>
      <c r="BK6" s="12"/>
      <c r="BL6" s="12"/>
    </row>
    <row r="7" spans="1:66" x14ac:dyDescent="0.25">
      <c r="A7" s="12" t="s">
        <v>1085</v>
      </c>
      <c r="B7" s="12" t="s">
        <v>3178</v>
      </c>
      <c r="C7" s="12" t="s">
        <v>3179</v>
      </c>
      <c r="D7" s="12" t="s">
        <v>3180</v>
      </c>
      <c r="E7" s="175">
        <v>42205</v>
      </c>
      <c r="F7" s="12" t="s">
        <v>3181</v>
      </c>
      <c r="G7" s="12" t="s">
        <v>1075</v>
      </c>
      <c r="H7" s="12" t="s">
        <v>1076</v>
      </c>
      <c r="I7" s="12" t="s">
        <v>3182</v>
      </c>
      <c r="J7" s="12" t="s">
        <v>3183</v>
      </c>
      <c r="K7" s="12" t="s">
        <v>1078</v>
      </c>
      <c r="L7" s="12" t="s">
        <v>1079</v>
      </c>
      <c r="M7" s="12" t="s">
        <v>1080</v>
      </c>
      <c r="O7" s="178" t="s">
        <v>1936</v>
      </c>
      <c r="P7" s="178" t="s">
        <v>3184</v>
      </c>
      <c r="Q7" s="12" t="s">
        <v>1080</v>
      </c>
      <c r="R7" s="179">
        <v>8</v>
      </c>
      <c r="U7" s="12" t="s">
        <v>120</v>
      </c>
      <c r="W7" s="12" t="s">
        <v>1083</v>
      </c>
      <c r="X7" s="12" t="s">
        <v>1949</v>
      </c>
      <c r="Y7" s="178" t="s">
        <v>2906</v>
      </c>
      <c r="Z7" s="12" t="s">
        <v>3185</v>
      </c>
      <c r="AA7" s="178" t="s">
        <v>1424</v>
      </c>
      <c r="AB7" s="12" t="s">
        <v>3186</v>
      </c>
      <c r="AC7" s="178" t="s">
        <v>1586</v>
      </c>
      <c r="AD7" s="12" t="s">
        <v>3187</v>
      </c>
      <c r="AE7" s="12" t="s">
        <v>1075</v>
      </c>
      <c r="AF7" s="12" t="s">
        <v>3188</v>
      </c>
      <c r="AG7" s="12" t="s">
        <v>1092</v>
      </c>
      <c r="AH7" s="12" t="s">
        <v>1092</v>
      </c>
      <c r="AI7" s="12" t="s">
        <v>3189</v>
      </c>
      <c r="AJ7" s="12" t="s">
        <v>3190</v>
      </c>
      <c r="AK7" s="12" t="s">
        <v>3191</v>
      </c>
      <c r="AL7" s="12" t="s">
        <v>1092</v>
      </c>
      <c r="AM7" s="12" t="s">
        <v>1092</v>
      </c>
      <c r="AN7" s="12" t="s">
        <v>1092</v>
      </c>
      <c r="AO7" s="178" t="s">
        <v>1093</v>
      </c>
      <c r="AP7" s="178" t="s">
        <v>1093</v>
      </c>
      <c r="AQ7" s="178" t="s">
        <v>1093</v>
      </c>
      <c r="AR7" s="178" t="s">
        <v>1092</v>
      </c>
      <c r="AS7" s="178" t="s">
        <v>1118</v>
      </c>
      <c r="AT7" s="178" t="s">
        <v>1118</v>
      </c>
      <c r="AU7" s="178" t="s">
        <v>1095</v>
      </c>
      <c r="AV7" s="12" t="s">
        <v>1096</v>
      </c>
      <c r="AW7" s="12" t="s">
        <v>1097</v>
      </c>
      <c r="AY7" s="178" t="s">
        <v>1092</v>
      </c>
      <c r="AZ7" s="12" t="s">
        <v>1098</v>
      </c>
      <c r="BA7" s="12" t="s">
        <v>1098</v>
      </c>
      <c r="BB7" s="12" t="s">
        <v>3192</v>
      </c>
      <c r="BD7" s="12" t="s">
        <v>1092</v>
      </c>
      <c r="BE7" s="12" t="s">
        <v>118</v>
      </c>
      <c r="BF7" s="12" t="s">
        <v>121</v>
      </c>
      <c r="BH7" s="12" t="s">
        <v>120</v>
      </c>
      <c r="BI7" s="179">
        <v>8</v>
      </c>
      <c r="BJ7" s="12"/>
      <c r="BK7" s="12"/>
      <c r="BL7" s="12"/>
    </row>
    <row r="8" spans="1:66" x14ac:dyDescent="0.25">
      <c r="A8" s="12" t="s">
        <v>1085</v>
      </c>
      <c r="B8" s="12" t="s">
        <v>3193</v>
      </c>
      <c r="C8" s="12" t="s">
        <v>3194</v>
      </c>
      <c r="D8" s="12" t="s">
        <v>3195</v>
      </c>
      <c r="E8" s="175">
        <v>42205</v>
      </c>
      <c r="F8" s="12" t="s">
        <v>3196</v>
      </c>
      <c r="G8" s="12" t="s">
        <v>1075</v>
      </c>
      <c r="H8" s="12" t="s">
        <v>3197</v>
      </c>
      <c r="I8" s="12" t="s">
        <v>3198</v>
      </c>
      <c r="J8" s="12" t="s">
        <v>2306</v>
      </c>
      <c r="K8" s="12" t="s">
        <v>1103</v>
      </c>
      <c r="L8" s="12" t="s">
        <v>1104</v>
      </c>
      <c r="M8" s="12" t="s">
        <v>1105</v>
      </c>
      <c r="O8" s="178" t="s">
        <v>1106</v>
      </c>
      <c r="P8" s="178" t="s">
        <v>3199</v>
      </c>
      <c r="Q8" s="12" t="s">
        <v>1105</v>
      </c>
      <c r="R8" s="179">
        <v>9</v>
      </c>
      <c r="U8" s="12" t="s">
        <v>120</v>
      </c>
      <c r="W8" s="12" t="s">
        <v>1083</v>
      </c>
      <c r="X8" s="12" t="s">
        <v>1918</v>
      </c>
      <c r="Y8" s="178" t="s">
        <v>1183</v>
      </c>
      <c r="Z8" s="12" t="s">
        <v>1360</v>
      </c>
      <c r="AA8" s="178" t="s">
        <v>1503</v>
      </c>
      <c r="AB8" s="12" t="s">
        <v>3200</v>
      </c>
      <c r="AC8" s="178" t="s">
        <v>1520</v>
      </c>
      <c r="AD8" s="12" t="s">
        <v>3200</v>
      </c>
      <c r="AE8" s="12" t="s">
        <v>1075</v>
      </c>
      <c r="AF8" s="12" t="s">
        <v>3201</v>
      </c>
      <c r="AG8" s="12" t="s">
        <v>1092</v>
      </c>
      <c r="AH8" s="12" t="s">
        <v>1092</v>
      </c>
      <c r="AI8" s="12" t="s">
        <v>3202</v>
      </c>
      <c r="AJ8" s="12" t="s">
        <v>3203</v>
      </c>
      <c r="AK8" s="12" t="s">
        <v>3204</v>
      </c>
      <c r="AL8" s="12" t="s">
        <v>3205</v>
      </c>
      <c r="AM8" s="12" t="s">
        <v>1092</v>
      </c>
      <c r="AN8" s="12" t="s">
        <v>1092</v>
      </c>
      <c r="AO8" s="178" t="s">
        <v>1093</v>
      </c>
      <c r="AP8" s="178" t="s">
        <v>1093</v>
      </c>
      <c r="AQ8" s="178" t="s">
        <v>1093</v>
      </c>
      <c r="AR8" s="178" t="s">
        <v>1092</v>
      </c>
      <c r="AS8" s="178" t="s">
        <v>1118</v>
      </c>
      <c r="AT8" s="178" t="s">
        <v>1118</v>
      </c>
      <c r="AU8" s="178" t="s">
        <v>1095</v>
      </c>
      <c r="AV8" s="12" t="s">
        <v>1096</v>
      </c>
      <c r="AW8" s="12" t="s">
        <v>1097</v>
      </c>
      <c r="AY8" s="178" t="s">
        <v>1092</v>
      </c>
      <c r="AZ8" s="12" t="s">
        <v>3206</v>
      </c>
      <c r="BA8" s="12" t="s">
        <v>1098</v>
      </c>
      <c r="BB8" s="12" t="s">
        <v>1098</v>
      </c>
      <c r="BD8" s="12" t="s">
        <v>1092</v>
      </c>
      <c r="BE8" s="12" t="s">
        <v>118</v>
      </c>
      <c r="BF8" s="12" t="s">
        <v>121</v>
      </c>
      <c r="BH8" s="12" t="s">
        <v>120</v>
      </c>
      <c r="BI8" s="179">
        <v>9</v>
      </c>
      <c r="BJ8" s="12"/>
      <c r="BK8" s="12"/>
      <c r="BL8" s="12"/>
    </row>
    <row r="9" spans="1:66" x14ac:dyDescent="0.25">
      <c r="A9" s="12" t="s">
        <v>1085</v>
      </c>
      <c r="B9" s="12" t="s">
        <v>3207</v>
      </c>
      <c r="C9" s="12" t="s">
        <v>3208</v>
      </c>
      <c r="D9" s="12" t="s">
        <v>3209</v>
      </c>
      <c r="E9" s="175">
        <v>42205</v>
      </c>
      <c r="F9" s="12" t="s">
        <v>1307</v>
      </c>
      <c r="G9" s="12" t="s">
        <v>1075</v>
      </c>
      <c r="H9" s="12" t="s">
        <v>3210</v>
      </c>
      <c r="I9" s="12" t="s">
        <v>3211</v>
      </c>
      <c r="K9" s="12" t="s">
        <v>1103</v>
      </c>
      <c r="L9" s="12" t="s">
        <v>1179</v>
      </c>
      <c r="M9" s="12" t="s">
        <v>1180</v>
      </c>
      <c r="O9" s="178" t="s">
        <v>1451</v>
      </c>
      <c r="P9" s="178" t="s">
        <v>3212</v>
      </c>
      <c r="Q9" s="12" t="s">
        <v>1180</v>
      </c>
      <c r="R9" s="179">
        <v>10</v>
      </c>
      <c r="U9" s="12" t="s">
        <v>120</v>
      </c>
      <c r="W9" s="12" t="s">
        <v>1083</v>
      </c>
      <c r="X9" s="12" t="s">
        <v>2335</v>
      </c>
      <c r="Y9" s="178" t="s">
        <v>2906</v>
      </c>
      <c r="Z9" s="12" t="s">
        <v>3213</v>
      </c>
      <c r="AA9" s="178" t="s">
        <v>1438</v>
      </c>
      <c r="AB9" s="12" t="s">
        <v>3214</v>
      </c>
      <c r="AC9" s="178" t="s">
        <v>1965</v>
      </c>
      <c r="AD9" s="12" t="s">
        <v>1525</v>
      </c>
      <c r="AE9" s="12" t="s">
        <v>1075</v>
      </c>
      <c r="AF9" s="12" t="s">
        <v>3215</v>
      </c>
      <c r="AG9" s="12" t="s">
        <v>1092</v>
      </c>
      <c r="AH9" s="12" t="s">
        <v>1092</v>
      </c>
      <c r="AI9" s="12" t="s">
        <v>3216</v>
      </c>
      <c r="AJ9" s="12" t="s">
        <v>3217</v>
      </c>
      <c r="AK9" s="12" t="s">
        <v>3218</v>
      </c>
      <c r="AL9" s="12" t="s">
        <v>1092</v>
      </c>
      <c r="AM9" s="12" t="s">
        <v>1092</v>
      </c>
      <c r="AN9" s="12" t="s">
        <v>1092</v>
      </c>
      <c r="AO9" s="178" t="s">
        <v>1093</v>
      </c>
      <c r="AP9" s="178" t="s">
        <v>1093</v>
      </c>
      <c r="AQ9" s="178" t="s">
        <v>1093</v>
      </c>
      <c r="AR9" s="178" t="s">
        <v>1092</v>
      </c>
      <c r="AS9" s="178" t="s">
        <v>1118</v>
      </c>
      <c r="AT9" s="178" t="s">
        <v>1118</v>
      </c>
      <c r="AU9" s="178" t="s">
        <v>1095</v>
      </c>
      <c r="AV9" s="12" t="s">
        <v>1096</v>
      </c>
      <c r="AW9" s="12" t="s">
        <v>1097</v>
      </c>
      <c r="AY9" s="178" t="s">
        <v>1092</v>
      </c>
      <c r="AZ9" s="12" t="s">
        <v>3219</v>
      </c>
      <c r="BA9" s="12" t="s">
        <v>3219</v>
      </c>
      <c r="BB9" s="12" t="s">
        <v>3219</v>
      </c>
      <c r="BD9" s="12" t="s">
        <v>1093</v>
      </c>
      <c r="BE9" s="12" t="s">
        <v>118</v>
      </c>
      <c r="BF9" s="12" t="s">
        <v>121</v>
      </c>
      <c r="BH9" s="12" t="s">
        <v>120</v>
      </c>
      <c r="BI9" s="179">
        <v>10</v>
      </c>
      <c r="BJ9" s="175">
        <v>42207</v>
      </c>
      <c r="BK9" s="176" t="s">
        <v>82</v>
      </c>
      <c r="BL9" s="12"/>
      <c r="BM9" s="12">
        <v>30</v>
      </c>
    </row>
    <row r="10" spans="1:66" x14ac:dyDescent="0.25">
      <c r="A10" s="12" t="s">
        <v>1085</v>
      </c>
      <c r="B10" s="12" t="s">
        <v>3220</v>
      </c>
      <c r="C10" s="12" t="s">
        <v>3221</v>
      </c>
      <c r="D10" s="12" t="s">
        <v>3222</v>
      </c>
      <c r="E10" s="175">
        <v>42205</v>
      </c>
      <c r="F10" s="12" t="s">
        <v>3223</v>
      </c>
      <c r="G10" s="12" t="s">
        <v>1075</v>
      </c>
      <c r="H10" s="12" t="s">
        <v>3224</v>
      </c>
      <c r="I10" s="12" t="s">
        <v>3225</v>
      </c>
      <c r="J10" s="12" t="s">
        <v>2306</v>
      </c>
      <c r="K10" s="12" t="s">
        <v>1209</v>
      </c>
      <c r="L10" s="12" t="s">
        <v>1210</v>
      </c>
      <c r="M10" s="12" t="s">
        <v>1211</v>
      </c>
      <c r="O10" s="178" t="s">
        <v>3226</v>
      </c>
      <c r="P10" s="178" t="s">
        <v>3227</v>
      </c>
      <c r="Q10" s="12" t="s">
        <v>1211</v>
      </c>
      <c r="R10" s="179">
        <v>12</v>
      </c>
      <c r="U10" s="12" t="s">
        <v>120</v>
      </c>
      <c r="W10" s="12" t="s">
        <v>1083</v>
      </c>
      <c r="X10" s="12" t="s">
        <v>1519</v>
      </c>
      <c r="Y10" s="178" t="s">
        <v>1355</v>
      </c>
      <c r="Z10" s="12" t="s">
        <v>3228</v>
      </c>
      <c r="AA10" s="178" t="s">
        <v>1522</v>
      </c>
      <c r="AB10" s="12" t="s">
        <v>1803</v>
      </c>
      <c r="AC10" s="178" t="s">
        <v>1573</v>
      </c>
      <c r="AD10" s="12" t="s">
        <v>1803</v>
      </c>
      <c r="AE10" s="12" t="s">
        <v>1075</v>
      </c>
      <c r="AF10" s="12" t="s">
        <v>3229</v>
      </c>
      <c r="AG10" s="12" t="s">
        <v>1092</v>
      </c>
      <c r="AH10" s="12" t="s">
        <v>1092</v>
      </c>
      <c r="AI10" s="12" t="s">
        <v>1508</v>
      </c>
      <c r="AJ10" s="12" t="s">
        <v>1528</v>
      </c>
      <c r="AK10" s="12" t="s">
        <v>1528</v>
      </c>
      <c r="AL10" s="12" t="s">
        <v>1092</v>
      </c>
      <c r="AM10" s="12" t="s">
        <v>1092</v>
      </c>
      <c r="AN10" s="12" t="s">
        <v>1092</v>
      </c>
      <c r="AO10" s="178" t="s">
        <v>1092</v>
      </c>
      <c r="AP10" s="178" t="s">
        <v>1092</v>
      </c>
      <c r="AQ10" s="178" t="s">
        <v>1093</v>
      </c>
      <c r="AR10" s="178" t="s">
        <v>1092</v>
      </c>
      <c r="AS10" s="178" t="s">
        <v>1155</v>
      </c>
      <c r="AT10" s="178" t="s">
        <v>1118</v>
      </c>
      <c r="AU10" s="178" t="s">
        <v>1095</v>
      </c>
      <c r="AV10" s="12" t="s">
        <v>1096</v>
      </c>
      <c r="AW10" s="12" t="s">
        <v>1097</v>
      </c>
      <c r="AY10" s="178" t="s">
        <v>1092</v>
      </c>
      <c r="AZ10" s="12" t="s">
        <v>3230</v>
      </c>
      <c r="BA10" s="12" t="s">
        <v>1098</v>
      </c>
      <c r="BB10" s="12" t="s">
        <v>1098</v>
      </c>
      <c r="BC10" s="178" t="s">
        <v>1205</v>
      </c>
      <c r="BD10" s="12" t="s">
        <v>1092</v>
      </c>
      <c r="BE10" s="12" t="s">
        <v>118</v>
      </c>
      <c r="BF10" s="12" t="s">
        <v>121</v>
      </c>
      <c r="BH10" s="12" t="s">
        <v>120</v>
      </c>
      <c r="BI10" s="179">
        <v>12</v>
      </c>
      <c r="BJ10" s="175">
        <v>42208</v>
      </c>
      <c r="BK10" s="176" t="s">
        <v>119</v>
      </c>
      <c r="BL10" s="177">
        <v>140.52000000000001</v>
      </c>
      <c r="BM10" s="12">
        <v>30</v>
      </c>
    </row>
    <row r="11" spans="1:66" x14ac:dyDescent="0.25">
      <c r="A11" s="12" t="s">
        <v>1085</v>
      </c>
      <c r="B11" s="12" t="s">
        <v>3231</v>
      </c>
      <c r="C11" s="12" t="s">
        <v>3232</v>
      </c>
      <c r="D11" s="12" t="s">
        <v>3233</v>
      </c>
      <c r="E11" s="175">
        <v>42205</v>
      </c>
      <c r="F11" s="12" t="s">
        <v>3234</v>
      </c>
      <c r="G11" s="12" t="s">
        <v>1075</v>
      </c>
      <c r="H11" s="12" t="s">
        <v>3235</v>
      </c>
      <c r="I11" s="12" t="s">
        <v>2506</v>
      </c>
      <c r="J11" s="12" t="s">
        <v>3236</v>
      </c>
      <c r="K11" s="12" t="s">
        <v>1103</v>
      </c>
      <c r="L11" s="12" t="s">
        <v>1124</v>
      </c>
      <c r="M11" s="12" t="s">
        <v>1125</v>
      </c>
      <c r="O11" s="178" t="s">
        <v>1163</v>
      </c>
      <c r="P11" s="178" t="s">
        <v>3237</v>
      </c>
      <c r="Q11" s="12" t="s">
        <v>1125</v>
      </c>
      <c r="R11" s="179">
        <v>13</v>
      </c>
      <c r="U11" s="12" t="s">
        <v>120</v>
      </c>
      <c r="W11" s="12" t="s">
        <v>1083</v>
      </c>
      <c r="X11" s="12" t="s">
        <v>2335</v>
      </c>
      <c r="Y11" s="178" t="s">
        <v>1183</v>
      </c>
      <c r="Z11" s="12" t="s">
        <v>2475</v>
      </c>
      <c r="AA11" s="178" t="s">
        <v>1147</v>
      </c>
      <c r="AB11" s="12" t="s">
        <v>1525</v>
      </c>
      <c r="AC11" s="178" t="s">
        <v>1128</v>
      </c>
      <c r="AD11" s="12" t="s">
        <v>3238</v>
      </c>
      <c r="AE11" s="12" t="s">
        <v>1075</v>
      </c>
      <c r="AF11" s="12" t="s">
        <v>3239</v>
      </c>
      <c r="AG11" s="12" t="s">
        <v>1092</v>
      </c>
      <c r="AH11" s="12" t="s">
        <v>1092</v>
      </c>
      <c r="AI11" s="12" t="s">
        <v>3240</v>
      </c>
      <c r="AJ11" s="12" t="s">
        <v>3241</v>
      </c>
      <c r="AK11" s="12" t="s">
        <v>3242</v>
      </c>
      <c r="AL11" s="12" t="s">
        <v>1092</v>
      </c>
      <c r="AM11" s="12" t="s">
        <v>1092</v>
      </c>
      <c r="AN11" s="12" t="s">
        <v>1092</v>
      </c>
      <c r="AO11" s="178" t="s">
        <v>1093</v>
      </c>
      <c r="AP11" s="178" t="s">
        <v>1093</v>
      </c>
      <c r="AQ11" s="178" t="s">
        <v>1093</v>
      </c>
      <c r="AR11" s="178" t="s">
        <v>1093</v>
      </c>
      <c r="AS11" s="178" t="s">
        <v>1118</v>
      </c>
      <c r="AT11" s="178" t="s">
        <v>1118</v>
      </c>
      <c r="AU11" s="178" t="s">
        <v>1094</v>
      </c>
      <c r="AV11" s="12" t="s">
        <v>1096</v>
      </c>
      <c r="AW11" s="12" t="s">
        <v>1097</v>
      </c>
      <c r="AY11" s="178" t="s">
        <v>1092</v>
      </c>
      <c r="AZ11" s="12" t="s">
        <v>3243</v>
      </c>
      <c r="BA11" s="12" t="s">
        <v>1098</v>
      </c>
      <c r="BB11" s="12" t="s">
        <v>1098</v>
      </c>
      <c r="BD11" s="12" t="s">
        <v>1092</v>
      </c>
      <c r="BE11" s="12" t="s">
        <v>118</v>
      </c>
      <c r="BF11" s="12" t="s">
        <v>121</v>
      </c>
      <c r="BH11" s="12" t="s">
        <v>120</v>
      </c>
      <c r="BI11" s="179">
        <v>13</v>
      </c>
      <c r="BJ11" s="12"/>
      <c r="BK11" s="12"/>
      <c r="BL11" s="12"/>
    </row>
    <row r="12" spans="1:66" x14ac:dyDescent="0.25">
      <c r="A12" s="12" t="s">
        <v>1085</v>
      </c>
      <c r="B12" s="12" t="s">
        <v>3244</v>
      </c>
      <c r="C12" s="12" t="s">
        <v>3245</v>
      </c>
      <c r="D12" s="12" t="s">
        <v>3246</v>
      </c>
      <c r="E12" s="175">
        <v>42205</v>
      </c>
      <c r="F12" s="12" t="s">
        <v>3247</v>
      </c>
      <c r="G12" s="12" t="s">
        <v>1075</v>
      </c>
      <c r="H12" s="12" t="s">
        <v>3248</v>
      </c>
      <c r="I12" s="12" t="s">
        <v>3249</v>
      </c>
      <c r="J12" s="12" t="s">
        <v>1259</v>
      </c>
      <c r="K12" s="12" t="s">
        <v>1123</v>
      </c>
      <c r="L12" s="12" t="s">
        <v>1124</v>
      </c>
      <c r="M12" s="12" t="s">
        <v>1105</v>
      </c>
      <c r="O12" s="178" t="s">
        <v>1451</v>
      </c>
      <c r="P12" s="178" t="s">
        <v>3250</v>
      </c>
      <c r="Q12" s="12" t="s">
        <v>1105</v>
      </c>
      <c r="R12" s="179">
        <v>14</v>
      </c>
      <c r="S12" s="12" t="s">
        <v>3251</v>
      </c>
      <c r="U12" s="12" t="s">
        <v>120</v>
      </c>
      <c r="W12" s="12" t="s">
        <v>1083</v>
      </c>
      <c r="X12" s="12" t="s">
        <v>1236</v>
      </c>
      <c r="Y12" s="178" t="s">
        <v>2103</v>
      </c>
      <c r="Z12" s="12" t="s">
        <v>3252</v>
      </c>
      <c r="AA12" s="178" t="s">
        <v>1898</v>
      </c>
      <c r="AB12" s="12" t="s">
        <v>3253</v>
      </c>
      <c r="AC12" s="178" t="s">
        <v>1590</v>
      </c>
      <c r="AD12" s="12" t="s">
        <v>3254</v>
      </c>
      <c r="AE12" s="12" t="s">
        <v>1075</v>
      </c>
      <c r="AF12" s="12" t="s">
        <v>3255</v>
      </c>
      <c r="AG12" s="12" t="s">
        <v>3256</v>
      </c>
      <c r="AH12" s="12" t="s">
        <v>1092</v>
      </c>
      <c r="AI12" s="12" t="s">
        <v>3257</v>
      </c>
      <c r="AJ12" s="12" t="s">
        <v>1092</v>
      </c>
      <c r="AK12" s="12" t="s">
        <v>3258</v>
      </c>
      <c r="AL12" s="12" t="s">
        <v>1092</v>
      </c>
      <c r="AM12" s="12" t="s">
        <v>1092</v>
      </c>
      <c r="AN12" s="12" t="s">
        <v>1092</v>
      </c>
      <c r="AO12" s="178" t="s">
        <v>1093</v>
      </c>
      <c r="AP12" s="178" t="s">
        <v>1093</v>
      </c>
      <c r="AQ12" s="178" t="s">
        <v>1093</v>
      </c>
      <c r="AR12" s="178" t="s">
        <v>1092</v>
      </c>
      <c r="AS12" s="178" t="s">
        <v>1118</v>
      </c>
      <c r="AT12" s="178" t="s">
        <v>1118</v>
      </c>
      <c r="AU12" s="178" t="s">
        <v>1095</v>
      </c>
      <c r="AV12" s="12" t="s">
        <v>1096</v>
      </c>
      <c r="AW12" s="12" t="s">
        <v>1097</v>
      </c>
      <c r="AX12" s="178" t="s">
        <v>3259</v>
      </c>
      <c r="AY12" s="178" t="s">
        <v>1157</v>
      </c>
      <c r="AZ12" s="12" t="s">
        <v>3260</v>
      </c>
      <c r="BA12" s="12" t="s">
        <v>1098</v>
      </c>
      <c r="BB12" s="12" t="s">
        <v>1098</v>
      </c>
      <c r="BD12" s="12" t="s">
        <v>1092</v>
      </c>
      <c r="BE12" s="12" t="s">
        <v>118</v>
      </c>
      <c r="BF12" s="12" t="s">
        <v>121</v>
      </c>
      <c r="BH12" s="12" t="s">
        <v>120</v>
      </c>
      <c r="BI12" s="179">
        <v>14</v>
      </c>
      <c r="BJ12" s="12"/>
      <c r="BK12" s="12"/>
      <c r="BL12" s="12"/>
    </row>
    <row r="13" spans="1:66" x14ac:dyDescent="0.25">
      <c r="A13" s="12" t="s">
        <v>1085</v>
      </c>
      <c r="B13" s="12" t="s">
        <v>3261</v>
      </c>
      <c r="C13" s="12" t="s">
        <v>3262</v>
      </c>
      <c r="D13" s="12" t="s">
        <v>3263</v>
      </c>
      <c r="E13" s="175">
        <v>42205</v>
      </c>
      <c r="F13" s="12" t="s">
        <v>1698</v>
      </c>
      <c r="G13" s="12" t="s">
        <v>1075</v>
      </c>
      <c r="H13" s="12" t="s">
        <v>3264</v>
      </c>
      <c r="I13" s="12" t="s">
        <v>3265</v>
      </c>
      <c r="J13" s="12" t="s">
        <v>1395</v>
      </c>
      <c r="K13" s="12" t="s">
        <v>1123</v>
      </c>
      <c r="L13" s="12" t="s">
        <v>1124</v>
      </c>
      <c r="M13" s="12" t="s">
        <v>1105</v>
      </c>
      <c r="O13" s="178" t="s">
        <v>1181</v>
      </c>
      <c r="P13" s="178" t="s">
        <v>3266</v>
      </c>
      <c r="Q13" s="12" t="s">
        <v>1105</v>
      </c>
      <c r="R13" s="179">
        <v>15</v>
      </c>
      <c r="U13" s="12" t="s">
        <v>120</v>
      </c>
      <c r="W13" s="12" t="s">
        <v>1083</v>
      </c>
      <c r="X13" s="12" t="s">
        <v>2335</v>
      </c>
      <c r="Y13" s="178" t="s">
        <v>2264</v>
      </c>
      <c r="Z13" s="12" t="s">
        <v>3267</v>
      </c>
      <c r="AA13" s="178" t="s">
        <v>1176</v>
      </c>
      <c r="AB13" s="12" t="s">
        <v>1348</v>
      </c>
      <c r="AC13" s="178" t="s">
        <v>2867</v>
      </c>
      <c r="AD13" s="12" t="s">
        <v>1525</v>
      </c>
      <c r="AE13" s="12" t="s">
        <v>1075</v>
      </c>
      <c r="AF13" s="12" t="s">
        <v>3268</v>
      </c>
      <c r="AG13" s="12" t="s">
        <v>1092</v>
      </c>
      <c r="AH13" s="12" t="s">
        <v>1092</v>
      </c>
      <c r="AI13" s="12" t="s">
        <v>3269</v>
      </c>
      <c r="AJ13" s="12" t="s">
        <v>3270</v>
      </c>
      <c r="AK13" s="12" t="s">
        <v>3271</v>
      </c>
      <c r="AL13" s="12" t="s">
        <v>1092</v>
      </c>
      <c r="AM13" s="12" t="s">
        <v>1092</v>
      </c>
      <c r="AN13" s="12" t="s">
        <v>1092</v>
      </c>
      <c r="AO13" s="178" t="s">
        <v>1092</v>
      </c>
      <c r="AP13" s="178" t="s">
        <v>1092</v>
      </c>
      <c r="AQ13" s="178" t="s">
        <v>1093</v>
      </c>
      <c r="AR13" s="178" t="s">
        <v>1093</v>
      </c>
      <c r="AS13" s="178" t="s">
        <v>1155</v>
      </c>
      <c r="AT13" s="178" t="s">
        <v>1118</v>
      </c>
      <c r="AU13" s="178" t="s">
        <v>1118</v>
      </c>
      <c r="AV13" s="12" t="s">
        <v>1096</v>
      </c>
      <c r="AW13" s="12" t="s">
        <v>1097</v>
      </c>
      <c r="AY13" s="178" t="s">
        <v>1092</v>
      </c>
      <c r="AZ13" s="12" t="s">
        <v>3272</v>
      </c>
      <c r="BA13" s="12" t="s">
        <v>1098</v>
      </c>
      <c r="BB13" s="12" t="s">
        <v>1098</v>
      </c>
      <c r="BD13" s="12" t="s">
        <v>1092</v>
      </c>
      <c r="BE13" s="12" t="s">
        <v>118</v>
      </c>
      <c r="BF13" s="12" t="s">
        <v>121</v>
      </c>
      <c r="BH13" s="12" t="s">
        <v>120</v>
      </c>
      <c r="BI13" s="179">
        <v>15</v>
      </c>
      <c r="BJ13" s="12"/>
      <c r="BK13" s="12"/>
      <c r="BL13" s="12"/>
    </row>
    <row r="14" spans="1:66" x14ac:dyDescent="0.25">
      <c r="A14" s="12" t="s">
        <v>1085</v>
      </c>
      <c r="B14" s="12" t="s">
        <v>3273</v>
      </c>
      <c r="C14" s="12" t="s">
        <v>3274</v>
      </c>
      <c r="D14" s="12" t="s">
        <v>3275</v>
      </c>
      <c r="E14" s="175">
        <v>42205</v>
      </c>
      <c r="F14" s="12" t="s">
        <v>3276</v>
      </c>
      <c r="G14" s="12" t="s">
        <v>1075</v>
      </c>
      <c r="H14" s="12" t="s">
        <v>3277</v>
      </c>
      <c r="I14" s="12" t="s">
        <v>3278</v>
      </c>
      <c r="J14" s="12" t="s">
        <v>3279</v>
      </c>
      <c r="K14" s="12" t="s">
        <v>1103</v>
      </c>
      <c r="L14" s="12" t="s">
        <v>1104</v>
      </c>
      <c r="M14" s="12" t="s">
        <v>1125</v>
      </c>
      <c r="O14" s="178" t="s">
        <v>2156</v>
      </c>
      <c r="P14" s="178" t="s">
        <v>3280</v>
      </c>
      <c r="Q14" s="12" t="s">
        <v>1125</v>
      </c>
      <c r="R14" s="179">
        <v>16</v>
      </c>
      <c r="U14" s="12" t="s">
        <v>120</v>
      </c>
      <c r="W14" s="12" t="s">
        <v>1083</v>
      </c>
      <c r="X14" s="12" t="s">
        <v>1949</v>
      </c>
      <c r="Y14" s="178" t="s">
        <v>1318</v>
      </c>
      <c r="Z14" s="12" t="s">
        <v>1360</v>
      </c>
      <c r="AA14" s="178" t="s">
        <v>2012</v>
      </c>
      <c r="AB14" s="12" t="s">
        <v>1360</v>
      </c>
      <c r="AC14" s="178" t="s">
        <v>3281</v>
      </c>
      <c r="AD14" s="12" t="s">
        <v>3282</v>
      </c>
      <c r="AE14" s="12" t="s">
        <v>1075</v>
      </c>
      <c r="AF14" s="12" t="s">
        <v>3283</v>
      </c>
      <c r="AG14" s="12" t="s">
        <v>1092</v>
      </c>
      <c r="AH14" s="12" t="s">
        <v>1092</v>
      </c>
      <c r="AI14" s="12" t="s">
        <v>3284</v>
      </c>
      <c r="AJ14" s="12" t="s">
        <v>3285</v>
      </c>
      <c r="AK14" s="12" t="s">
        <v>3286</v>
      </c>
      <c r="AL14" s="12" t="s">
        <v>1092</v>
      </c>
      <c r="AM14" s="12" t="s">
        <v>1092</v>
      </c>
      <c r="AN14" s="12" t="s">
        <v>1092</v>
      </c>
      <c r="AO14" s="178" t="s">
        <v>1092</v>
      </c>
      <c r="AP14" s="178" t="s">
        <v>1092</v>
      </c>
      <c r="AQ14" s="178" t="s">
        <v>1093</v>
      </c>
      <c r="AR14" s="178" t="s">
        <v>1092</v>
      </c>
      <c r="AS14" s="178" t="s">
        <v>1155</v>
      </c>
      <c r="AT14" s="178" t="s">
        <v>1118</v>
      </c>
      <c r="AU14" s="178" t="s">
        <v>1095</v>
      </c>
      <c r="AV14" s="12" t="s">
        <v>1096</v>
      </c>
      <c r="AW14" s="12" t="s">
        <v>1097</v>
      </c>
      <c r="AY14" s="178" t="s">
        <v>1092</v>
      </c>
      <c r="AZ14" s="12" t="s">
        <v>3287</v>
      </c>
      <c r="BA14" s="12" t="s">
        <v>1098</v>
      </c>
      <c r="BB14" s="12" t="s">
        <v>1098</v>
      </c>
      <c r="BD14" s="12" t="s">
        <v>1092</v>
      </c>
      <c r="BE14" s="12" t="s">
        <v>118</v>
      </c>
      <c r="BF14" s="12" t="s">
        <v>121</v>
      </c>
      <c r="BH14" s="12" t="s">
        <v>120</v>
      </c>
      <c r="BI14" s="179">
        <v>16</v>
      </c>
      <c r="BJ14" s="12"/>
      <c r="BK14" s="12"/>
      <c r="BL14" s="12"/>
    </row>
    <row r="15" spans="1:66" x14ac:dyDescent="0.25">
      <c r="A15" s="12" t="s">
        <v>1085</v>
      </c>
      <c r="B15" s="12" t="s">
        <v>3288</v>
      </c>
      <c r="C15" s="12" t="s">
        <v>3289</v>
      </c>
      <c r="D15" s="12" t="s">
        <v>3290</v>
      </c>
      <c r="E15" s="175">
        <v>42205</v>
      </c>
      <c r="F15" s="12" t="s">
        <v>3291</v>
      </c>
      <c r="G15" s="12" t="s">
        <v>1075</v>
      </c>
      <c r="H15" s="12" t="s">
        <v>3292</v>
      </c>
      <c r="I15" s="12" t="s">
        <v>3293</v>
      </c>
      <c r="J15" s="12" t="s">
        <v>3102</v>
      </c>
      <c r="K15" s="12" t="s">
        <v>1123</v>
      </c>
      <c r="L15" s="12" t="s">
        <v>1124</v>
      </c>
      <c r="M15" s="12" t="s">
        <v>1125</v>
      </c>
      <c r="O15" s="178" t="s">
        <v>1451</v>
      </c>
      <c r="P15" s="178" t="s">
        <v>3294</v>
      </c>
      <c r="Q15" s="12" t="s">
        <v>1125</v>
      </c>
      <c r="R15" s="179">
        <v>17</v>
      </c>
      <c r="U15" s="12" t="s">
        <v>120</v>
      </c>
      <c r="W15" s="12" t="s">
        <v>1083</v>
      </c>
      <c r="X15" s="12" t="s">
        <v>1097</v>
      </c>
      <c r="Y15" s="178" t="s">
        <v>3295</v>
      </c>
      <c r="Z15" s="12" t="s">
        <v>3296</v>
      </c>
      <c r="AA15" s="178" t="s">
        <v>1198</v>
      </c>
      <c r="AB15" s="12" t="s">
        <v>1133</v>
      </c>
      <c r="AC15" s="178" t="s">
        <v>2012</v>
      </c>
      <c r="AD15" s="12" t="s">
        <v>3297</v>
      </c>
      <c r="AE15" s="12" t="s">
        <v>1075</v>
      </c>
      <c r="AF15" s="12" t="s">
        <v>3298</v>
      </c>
      <c r="AG15" s="12" t="s">
        <v>1092</v>
      </c>
      <c r="AH15" s="12" t="s">
        <v>1092</v>
      </c>
      <c r="AI15" s="12" t="s">
        <v>3299</v>
      </c>
      <c r="AJ15" s="12" t="s">
        <v>3300</v>
      </c>
      <c r="AK15" s="12" t="s">
        <v>3301</v>
      </c>
      <c r="AL15" s="12" t="s">
        <v>1092</v>
      </c>
      <c r="AM15" s="12" t="s">
        <v>1092</v>
      </c>
      <c r="AN15" s="12" t="s">
        <v>1092</v>
      </c>
      <c r="AO15" s="178" t="s">
        <v>1093</v>
      </c>
      <c r="AP15" s="178" t="s">
        <v>1093</v>
      </c>
      <c r="AQ15" s="178" t="s">
        <v>1093</v>
      </c>
      <c r="AR15" s="178" t="s">
        <v>1092</v>
      </c>
      <c r="AS15" s="178" t="s">
        <v>1118</v>
      </c>
      <c r="AT15" s="178" t="s">
        <v>1118</v>
      </c>
      <c r="AU15" s="178" t="s">
        <v>1095</v>
      </c>
      <c r="AV15" s="12" t="s">
        <v>1096</v>
      </c>
      <c r="AW15" s="12" t="s">
        <v>1097</v>
      </c>
      <c r="AX15" s="178" t="s">
        <v>3259</v>
      </c>
      <c r="AY15" s="178" t="s">
        <v>1157</v>
      </c>
      <c r="AZ15" s="12" t="s">
        <v>3302</v>
      </c>
      <c r="BA15" s="12" t="s">
        <v>1098</v>
      </c>
      <c r="BB15" s="12" t="s">
        <v>1098</v>
      </c>
      <c r="BD15" s="12" t="s">
        <v>1092</v>
      </c>
      <c r="BE15" s="12" t="s">
        <v>118</v>
      </c>
      <c r="BF15" s="12" t="s">
        <v>121</v>
      </c>
      <c r="BH15" s="12" t="s">
        <v>120</v>
      </c>
      <c r="BI15" s="179">
        <v>17</v>
      </c>
      <c r="BJ15" s="175">
        <v>42212</v>
      </c>
      <c r="BK15" s="176" t="s">
        <v>119</v>
      </c>
      <c r="BL15" s="177">
        <v>293.85000000000002</v>
      </c>
    </row>
    <row r="16" spans="1:66" x14ac:dyDescent="0.25">
      <c r="A16" s="12" t="s">
        <v>1085</v>
      </c>
      <c r="B16" s="12" t="s">
        <v>3303</v>
      </c>
      <c r="C16" s="12" t="s">
        <v>3304</v>
      </c>
      <c r="D16" s="12" t="s">
        <v>3305</v>
      </c>
      <c r="E16" s="175">
        <v>42205</v>
      </c>
      <c r="F16" s="12" t="s">
        <v>1249</v>
      </c>
      <c r="G16" s="12" t="s">
        <v>1075</v>
      </c>
      <c r="H16" s="12" t="s">
        <v>3306</v>
      </c>
      <c r="I16" s="12" t="s">
        <v>3307</v>
      </c>
      <c r="J16" s="12" t="s">
        <v>3308</v>
      </c>
      <c r="K16" s="12" t="s">
        <v>1514</v>
      </c>
      <c r="L16" s="12" t="s">
        <v>1515</v>
      </c>
      <c r="M16" s="12" t="s">
        <v>1516</v>
      </c>
      <c r="O16" s="178" t="s">
        <v>1106</v>
      </c>
      <c r="P16" s="178" t="s">
        <v>3309</v>
      </c>
      <c r="Q16" s="12" t="s">
        <v>1516</v>
      </c>
      <c r="R16" s="179">
        <v>18</v>
      </c>
      <c r="U16" s="12" t="s">
        <v>120</v>
      </c>
      <c r="W16" s="12" t="s">
        <v>1083</v>
      </c>
      <c r="X16" s="12" t="s">
        <v>2054</v>
      </c>
      <c r="Y16" s="178" t="s">
        <v>1438</v>
      </c>
      <c r="Z16" s="12" t="s">
        <v>3310</v>
      </c>
      <c r="AA16" s="178" t="s">
        <v>1815</v>
      </c>
      <c r="AB16" s="12" t="s">
        <v>3311</v>
      </c>
      <c r="AC16" s="178" t="s">
        <v>1130</v>
      </c>
      <c r="AD16" s="12" t="s">
        <v>3312</v>
      </c>
      <c r="AE16" s="12" t="s">
        <v>1075</v>
      </c>
      <c r="AF16" s="12" t="s">
        <v>3313</v>
      </c>
      <c r="AG16" s="12" t="s">
        <v>1092</v>
      </c>
      <c r="AH16" s="12" t="s">
        <v>1092</v>
      </c>
      <c r="AI16" s="12" t="s">
        <v>1610</v>
      </c>
      <c r="AJ16" s="12" t="s">
        <v>3314</v>
      </c>
      <c r="AK16" s="12" t="s">
        <v>3314</v>
      </c>
      <c r="AL16" s="12" t="s">
        <v>1092</v>
      </c>
      <c r="AM16" s="12" t="s">
        <v>1092</v>
      </c>
      <c r="AN16" s="12" t="s">
        <v>1092</v>
      </c>
      <c r="AO16" s="178" t="s">
        <v>1092</v>
      </c>
      <c r="AP16" s="178" t="s">
        <v>1092</v>
      </c>
      <c r="AQ16" s="178" t="s">
        <v>1093</v>
      </c>
      <c r="AR16" s="178" t="s">
        <v>1092</v>
      </c>
      <c r="AS16" s="178" t="s">
        <v>1155</v>
      </c>
      <c r="AT16" s="178" t="s">
        <v>1118</v>
      </c>
      <c r="AU16" s="178" t="s">
        <v>1095</v>
      </c>
      <c r="AV16" s="12" t="s">
        <v>1096</v>
      </c>
      <c r="AW16" s="12" t="s">
        <v>1097</v>
      </c>
      <c r="AY16" s="178" t="s">
        <v>1092</v>
      </c>
      <c r="AZ16" s="12" t="s">
        <v>3315</v>
      </c>
      <c r="BA16" s="12" t="s">
        <v>1098</v>
      </c>
      <c r="BB16" s="12" t="s">
        <v>1098</v>
      </c>
      <c r="BD16" s="12" t="s">
        <v>1092</v>
      </c>
      <c r="BE16" s="12" t="s">
        <v>118</v>
      </c>
      <c r="BF16" s="12" t="s">
        <v>121</v>
      </c>
      <c r="BH16" s="12" t="s">
        <v>120</v>
      </c>
      <c r="BI16" s="179">
        <v>18</v>
      </c>
      <c r="BJ16" s="12"/>
      <c r="BK16" s="12"/>
      <c r="BL16" s="12"/>
    </row>
    <row r="17" spans="1:61" s="12" customFormat="1" x14ac:dyDescent="0.25">
      <c r="A17" s="12" t="s">
        <v>3316</v>
      </c>
      <c r="B17" s="12" t="s">
        <v>3317</v>
      </c>
      <c r="C17" s="12" t="s">
        <v>3318</v>
      </c>
      <c r="D17" s="12" t="s">
        <v>3319</v>
      </c>
      <c r="E17" s="175">
        <v>42205</v>
      </c>
      <c r="F17" s="12" t="s">
        <v>1603</v>
      </c>
      <c r="G17" s="12" t="s">
        <v>1075</v>
      </c>
      <c r="H17" s="12" t="s">
        <v>3320</v>
      </c>
      <c r="I17" s="12" t="s">
        <v>3321</v>
      </c>
      <c r="K17" s="12" t="s">
        <v>1078</v>
      </c>
      <c r="L17" s="12" t="s">
        <v>1079</v>
      </c>
      <c r="M17" s="12" t="s">
        <v>1342</v>
      </c>
      <c r="O17" s="178" t="s">
        <v>1864</v>
      </c>
      <c r="P17" s="178" t="s">
        <v>3322</v>
      </c>
      <c r="Q17" s="12" t="s">
        <v>1342</v>
      </c>
      <c r="R17" s="179">
        <v>19</v>
      </c>
      <c r="U17" s="12" t="s">
        <v>120</v>
      </c>
      <c r="W17" s="12" t="s">
        <v>1083</v>
      </c>
      <c r="X17" s="12" t="s">
        <v>2361</v>
      </c>
      <c r="Z17" s="12" t="s">
        <v>1185</v>
      </c>
      <c r="AB17" s="12" t="s">
        <v>1185</v>
      </c>
      <c r="AD17" s="12" t="s">
        <v>1185</v>
      </c>
      <c r="AE17" s="12" t="s">
        <v>1075</v>
      </c>
      <c r="AF17" s="12" t="s">
        <v>3323</v>
      </c>
      <c r="AG17" s="12" t="s">
        <v>1092</v>
      </c>
      <c r="AH17" s="12" t="s">
        <v>1092</v>
      </c>
      <c r="AI17" s="12" t="s">
        <v>3324</v>
      </c>
      <c r="AJ17" s="12" t="s">
        <v>3325</v>
      </c>
      <c r="AK17" s="12" t="s">
        <v>3326</v>
      </c>
      <c r="AL17" s="12" t="s">
        <v>1092</v>
      </c>
      <c r="AM17" s="12" t="s">
        <v>1092</v>
      </c>
      <c r="AN17" s="12" t="s">
        <v>1092</v>
      </c>
      <c r="AO17" s="178" t="s">
        <v>1093</v>
      </c>
      <c r="AP17" s="178" t="s">
        <v>1093</v>
      </c>
      <c r="AQ17" s="178" t="s">
        <v>1093</v>
      </c>
      <c r="AR17" s="178" t="s">
        <v>1092</v>
      </c>
      <c r="AS17" s="178" t="s">
        <v>1118</v>
      </c>
      <c r="AT17" s="178" t="s">
        <v>1118</v>
      </c>
      <c r="AU17" s="178" t="s">
        <v>1095</v>
      </c>
      <c r="AV17" s="12" t="s">
        <v>1096</v>
      </c>
      <c r="AW17" s="12" t="s">
        <v>1097</v>
      </c>
      <c r="AY17" s="178" t="s">
        <v>1092</v>
      </c>
      <c r="AZ17" s="12" t="s">
        <v>3327</v>
      </c>
      <c r="BA17" s="12" t="s">
        <v>1098</v>
      </c>
      <c r="BB17" s="12" t="s">
        <v>1098</v>
      </c>
      <c r="BD17" s="12" t="s">
        <v>1092</v>
      </c>
      <c r="BE17" s="12" t="s">
        <v>118</v>
      </c>
      <c r="BF17" s="12" t="s">
        <v>121</v>
      </c>
      <c r="BH17" s="12" t="s">
        <v>120</v>
      </c>
      <c r="BI17" s="179">
        <v>19</v>
      </c>
    </row>
    <row r="18" spans="1:61" s="12" customFormat="1" x14ac:dyDescent="0.25">
      <c r="A18" s="12" t="s">
        <v>3316</v>
      </c>
      <c r="B18" s="12" t="s">
        <v>3328</v>
      </c>
      <c r="C18" s="12" t="s">
        <v>3329</v>
      </c>
      <c r="D18" s="12" t="s">
        <v>3330</v>
      </c>
      <c r="E18" s="175">
        <v>42205</v>
      </c>
      <c r="F18" s="12" t="s">
        <v>3331</v>
      </c>
      <c r="G18" s="12" t="s">
        <v>1075</v>
      </c>
      <c r="H18" s="12" t="s">
        <v>3332</v>
      </c>
      <c r="I18" s="12" t="s">
        <v>3333</v>
      </c>
      <c r="J18" s="12" t="s">
        <v>3334</v>
      </c>
      <c r="K18" s="12" t="s">
        <v>1448</v>
      </c>
      <c r="L18" s="12" t="s">
        <v>1449</v>
      </c>
      <c r="M18" s="12" t="s">
        <v>1450</v>
      </c>
      <c r="O18" s="178" t="s">
        <v>1434</v>
      </c>
      <c r="P18" s="178" t="s">
        <v>3335</v>
      </c>
      <c r="Q18" s="12" t="s">
        <v>1450</v>
      </c>
      <c r="R18" s="179">
        <v>20</v>
      </c>
      <c r="U18" s="12" t="s">
        <v>120</v>
      </c>
      <c r="W18" s="12" t="s">
        <v>1083</v>
      </c>
      <c r="X18" s="12" t="s">
        <v>2671</v>
      </c>
      <c r="Y18" s="178" t="s">
        <v>1695</v>
      </c>
      <c r="Z18" s="12" t="s">
        <v>3336</v>
      </c>
      <c r="AA18" s="178" t="s">
        <v>1538</v>
      </c>
      <c r="AB18" s="12" t="s">
        <v>3336</v>
      </c>
      <c r="AC18" s="178" t="s">
        <v>1149</v>
      </c>
      <c r="AD18" s="12" t="s">
        <v>3336</v>
      </c>
      <c r="AE18" s="12" t="s">
        <v>1075</v>
      </c>
      <c r="AF18" s="12" t="s">
        <v>3337</v>
      </c>
      <c r="AG18" s="12" t="s">
        <v>1092</v>
      </c>
      <c r="AH18" s="12" t="s">
        <v>1092</v>
      </c>
      <c r="AI18" s="12" t="s">
        <v>1701</v>
      </c>
      <c r="AJ18" s="12" t="s">
        <v>3338</v>
      </c>
      <c r="AK18" s="12" t="s">
        <v>3339</v>
      </c>
      <c r="AL18" s="12" t="s">
        <v>1092</v>
      </c>
      <c r="AM18" s="12" t="s">
        <v>1092</v>
      </c>
      <c r="AN18" s="12" t="s">
        <v>1092</v>
      </c>
      <c r="AO18" s="178" t="s">
        <v>1093</v>
      </c>
      <c r="AP18" s="178" t="s">
        <v>1092</v>
      </c>
      <c r="AQ18" s="178" t="s">
        <v>1093</v>
      </c>
      <c r="AR18" s="178" t="s">
        <v>1092</v>
      </c>
      <c r="AS18" s="178" t="s">
        <v>1118</v>
      </c>
      <c r="AT18" s="178" t="s">
        <v>1118</v>
      </c>
      <c r="AU18" s="178" t="s">
        <v>1095</v>
      </c>
      <c r="AV18" s="12" t="s">
        <v>1096</v>
      </c>
      <c r="AW18" s="12" t="s">
        <v>1097</v>
      </c>
      <c r="AY18" s="178" t="s">
        <v>1092</v>
      </c>
      <c r="AZ18" s="12" t="s">
        <v>3340</v>
      </c>
      <c r="BA18" s="12" t="s">
        <v>3341</v>
      </c>
      <c r="BB18" s="12" t="s">
        <v>1098</v>
      </c>
      <c r="BC18" s="178" t="s">
        <v>1205</v>
      </c>
      <c r="BD18" s="12" t="s">
        <v>1092</v>
      </c>
      <c r="BE18" s="12" t="s">
        <v>118</v>
      </c>
      <c r="BF18" s="12" t="s">
        <v>121</v>
      </c>
      <c r="BH18" s="12" t="s">
        <v>120</v>
      </c>
      <c r="BI18" s="179">
        <v>20</v>
      </c>
    </row>
    <row r="19" spans="1:61" s="12" customFormat="1" x14ac:dyDescent="0.25">
      <c r="A19" s="12" t="s">
        <v>3316</v>
      </c>
      <c r="B19" s="12" t="s">
        <v>3342</v>
      </c>
      <c r="C19" s="12" t="s">
        <v>3343</v>
      </c>
      <c r="D19" s="12" t="s">
        <v>3344</v>
      </c>
      <c r="E19" s="175">
        <v>42205</v>
      </c>
      <c r="F19" s="12" t="s">
        <v>3345</v>
      </c>
      <c r="G19" s="12" t="s">
        <v>1075</v>
      </c>
      <c r="H19" s="12" t="s">
        <v>3346</v>
      </c>
      <c r="I19" s="12" t="s">
        <v>3347</v>
      </c>
      <c r="J19" s="12" t="s">
        <v>1208</v>
      </c>
      <c r="K19" s="12" t="s">
        <v>1209</v>
      </c>
      <c r="L19" s="12" t="s">
        <v>1210</v>
      </c>
      <c r="M19" s="12" t="s">
        <v>1211</v>
      </c>
      <c r="O19" s="178" t="s">
        <v>1343</v>
      </c>
      <c r="P19" s="178" t="s">
        <v>3348</v>
      </c>
      <c r="Q19" s="12" t="s">
        <v>1211</v>
      </c>
      <c r="R19" s="179">
        <v>21</v>
      </c>
      <c r="U19" s="12" t="s">
        <v>120</v>
      </c>
      <c r="W19" s="12" t="s">
        <v>1083</v>
      </c>
      <c r="X19" s="12" t="s">
        <v>2671</v>
      </c>
      <c r="Y19" s="178" t="s">
        <v>2012</v>
      </c>
      <c r="Z19" s="12" t="s">
        <v>3349</v>
      </c>
      <c r="AA19" s="178" t="s">
        <v>1566</v>
      </c>
      <c r="AB19" s="12" t="s">
        <v>3350</v>
      </c>
      <c r="AD19" s="12" t="s">
        <v>1185</v>
      </c>
      <c r="AE19" s="12" t="s">
        <v>1075</v>
      </c>
      <c r="AF19" s="12" t="s">
        <v>3351</v>
      </c>
      <c r="AG19" s="12" t="s">
        <v>1092</v>
      </c>
      <c r="AH19" s="12" t="s">
        <v>1092</v>
      </c>
      <c r="AI19" s="12" t="s">
        <v>2399</v>
      </c>
      <c r="AJ19" s="12" t="s">
        <v>2400</v>
      </c>
      <c r="AK19" s="12" t="s">
        <v>2616</v>
      </c>
      <c r="AL19" s="12" t="s">
        <v>1092</v>
      </c>
      <c r="AM19" s="12" t="s">
        <v>1092</v>
      </c>
      <c r="AN19" s="12" t="s">
        <v>1092</v>
      </c>
      <c r="AO19" s="178" t="s">
        <v>1093</v>
      </c>
      <c r="AP19" s="178" t="s">
        <v>1093</v>
      </c>
      <c r="AQ19" s="178" t="s">
        <v>1092</v>
      </c>
      <c r="AR19" s="178" t="s">
        <v>1092</v>
      </c>
      <c r="AS19" s="178" t="s">
        <v>1118</v>
      </c>
      <c r="AT19" s="178" t="s">
        <v>1095</v>
      </c>
      <c r="AU19" s="178" t="s">
        <v>1095</v>
      </c>
      <c r="AV19" s="12" t="s">
        <v>1096</v>
      </c>
      <c r="AW19" s="12" t="s">
        <v>1097</v>
      </c>
      <c r="AY19" s="178" t="s">
        <v>1092</v>
      </c>
      <c r="AZ19" s="12" t="s">
        <v>3352</v>
      </c>
      <c r="BA19" s="12" t="s">
        <v>1098</v>
      </c>
      <c r="BB19" s="12" t="s">
        <v>1098</v>
      </c>
      <c r="BD19" s="12" t="s">
        <v>1092</v>
      </c>
      <c r="BE19" s="12" t="s">
        <v>118</v>
      </c>
      <c r="BF19" s="12" t="s">
        <v>121</v>
      </c>
      <c r="BH19" s="12" t="s">
        <v>120</v>
      </c>
      <c r="BI19" s="179">
        <v>21</v>
      </c>
    </row>
    <row r="20" spans="1:61" s="12" customFormat="1" x14ac:dyDescent="0.25">
      <c r="A20" s="12" t="s">
        <v>3316</v>
      </c>
      <c r="B20" s="12" t="s">
        <v>3353</v>
      </c>
      <c r="C20" s="12" t="s">
        <v>3354</v>
      </c>
      <c r="D20" s="12" t="s">
        <v>3355</v>
      </c>
      <c r="E20" s="175">
        <v>42205</v>
      </c>
      <c r="F20" s="12" t="s">
        <v>3356</v>
      </c>
      <c r="G20" s="12" t="s">
        <v>1075</v>
      </c>
      <c r="H20" s="12" t="s">
        <v>3357</v>
      </c>
      <c r="I20" s="12" t="s">
        <v>3358</v>
      </c>
      <c r="K20" s="12" t="s">
        <v>1103</v>
      </c>
      <c r="L20" s="12" t="s">
        <v>1179</v>
      </c>
      <c r="M20" s="12" t="s">
        <v>1244</v>
      </c>
      <c r="O20" s="178" t="s">
        <v>1451</v>
      </c>
      <c r="P20" s="178" t="s">
        <v>3359</v>
      </c>
      <c r="Q20" s="12" t="s">
        <v>1244</v>
      </c>
      <c r="R20" s="179">
        <v>22</v>
      </c>
      <c r="U20" s="12" t="s">
        <v>120</v>
      </c>
      <c r="W20" s="12" t="s">
        <v>1083</v>
      </c>
      <c r="X20" s="12" t="s">
        <v>1918</v>
      </c>
      <c r="Y20" s="178" t="s">
        <v>2214</v>
      </c>
      <c r="Z20" s="12" t="s">
        <v>3360</v>
      </c>
      <c r="AA20" s="178" t="s">
        <v>1661</v>
      </c>
      <c r="AB20" s="12" t="s">
        <v>3360</v>
      </c>
      <c r="AC20" s="178" t="s">
        <v>2464</v>
      </c>
      <c r="AD20" s="12" t="s">
        <v>3360</v>
      </c>
      <c r="AE20" s="12" t="s">
        <v>1075</v>
      </c>
      <c r="AF20" s="12" t="s">
        <v>3361</v>
      </c>
      <c r="AG20" s="12" t="s">
        <v>1092</v>
      </c>
      <c r="AH20" s="12" t="s">
        <v>1092</v>
      </c>
      <c r="AI20" s="12" t="s">
        <v>3362</v>
      </c>
      <c r="AJ20" s="12" t="s">
        <v>3363</v>
      </c>
      <c r="AK20" s="12" t="s">
        <v>3364</v>
      </c>
      <c r="AL20" s="12" t="s">
        <v>1092</v>
      </c>
      <c r="AM20" s="12" t="s">
        <v>1092</v>
      </c>
      <c r="AN20" s="12" t="s">
        <v>1092</v>
      </c>
      <c r="AO20" s="178" t="s">
        <v>1093</v>
      </c>
      <c r="AP20" s="178" t="s">
        <v>1092</v>
      </c>
      <c r="AQ20" s="178" t="s">
        <v>1093</v>
      </c>
      <c r="AR20" s="178" t="s">
        <v>1092</v>
      </c>
      <c r="AS20" s="178" t="s">
        <v>1118</v>
      </c>
      <c r="AT20" s="178" t="s">
        <v>1118</v>
      </c>
      <c r="AU20" s="178" t="s">
        <v>1095</v>
      </c>
      <c r="AV20" s="12" t="s">
        <v>1096</v>
      </c>
      <c r="AW20" s="12" t="s">
        <v>1097</v>
      </c>
      <c r="AY20" s="178" t="s">
        <v>1092</v>
      </c>
      <c r="AZ20" s="12" t="s">
        <v>3365</v>
      </c>
      <c r="BA20" s="12" t="s">
        <v>1098</v>
      </c>
      <c r="BB20" s="12" t="s">
        <v>1098</v>
      </c>
      <c r="BD20" s="12" t="s">
        <v>1092</v>
      </c>
      <c r="BE20" s="12" t="s">
        <v>118</v>
      </c>
      <c r="BF20" s="12" t="s">
        <v>121</v>
      </c>
      <c r="BH20" s="12" t="s">
        <v>120</v>
      </c>
      <c r="BI20" s="179">
        <v>22</v>
      </c>
    </row>
    <row r="21" spans="1:61" s="12" customFormat="1" x14ac:dyDescent="0.25">
      <c r="A21" s="12" t="s">
        <v>3316</v>
      </c>
      <c r="B21" s="12" t="s">
        <v>3366</v>
      </c>
      <c r="C21" s="12" t="s">
        <v>3367</v>
      </c>
      <c r="D21" s="12" t="s">
        <v>3368</v>
      </c>
      <c r="E21" s="175">
        <v>42205</v>
      </c>
      <c r="F21" s="12" t="s">
        <v>1384</v>
      </c>
      <c r="G21" s="12" t="s">
        <v>1075</v>
      </c>
      <c r="H21" s="12" t="s">
        <v>3369</v>
      </c>
      <c r="I21" s="12" t="s">
        <v>3370</v>
      </c>
      <c r="J21" s="12" t="s">
        <v>3371</v>
      </c>
      <c r="K21" s="12" t="s">
        <v>1226</v>
      </c>
      <c r="L21" s="12" t="s">
        <v>1227</v>
      </c>
      <c r="M21" s="12" t="s">
        <v>1228</v>
      </c>
      <c r="O21" s="178" t="s">
        <v>1106</v>
      </c>
      <c r="P21" s="178" t="s">
        <v>3372</v>
      </c>
      <c r="Q21" s="12" t="s">
        <v>1228</v>
      </c>
      <c r="R21" s="179">
        <v>23</v>
      </c>
      <c r="U21" s="12" t="s">
        <v>120</v>
      </c>
      <c r="W21" s="12" t="s">
        <v>1083</v>
      </c>
      <c r="X21" s="12" t="s">
        <v>2671</v>
      </c>
      <c r="Y21" s="178" t="s">
        <v>1590</v>
      </c>
      <c r="Z21" s="12" t="s">
        <v>3373</v>
      </c>
      <c r="AB21" s="12" t="s">
        <v>1185</v>
      </c>
      <c r="AD21" s="12" t="s">
        <v>1185</v>
      </c>
      <c r="AE21" s="12" t="s">
        <v>1075</v>
      </c>
      <c r="AF21" s="12" t="s">
        <v>3374</v>
      </c>
      <c r="AG21" s="12" t="s">
        <v>1092</v>
      </c>
      <c r="AH21" s="12" t="s">
        <v>1092</v>
      </c>
      <c r="AI21" s="12" t="s">
        <v>3375</v>
      </c>
      <c r="AJ21" s="12" t="s">
        <v>3376</v>
      </c>
      <c r="AK21" s="12" t="s">
        <v>3376</v>
      </c>
      <c r="AL21" s="12" t="s">
        <v>1092</v>
      </c>
      <c r="AM21" s="12" t="s">
        <v>1092</v>
      </c>
      <c r="AN21" s="12" t="s">
        <v>1092</v>
      </c>
      <c r="AO21" s="178" t="s">
        <v>1092</v>
      </c>
      <c r="AP21" s="178" t="s">
        <v>1092</v>
      </c>
      <c r="AQ21" s="178" t="s">
        <v>1093</v>
      </c>
      <c r="AR21" s="178" t="s">
        <v>1092</v>
      </c>
      <c r="AS21" s="178" t="s">
        <v>1155</v>
      </c>
      <c r="AT21" s="178" t="s">
        <v>1118</v>
      </c>
      <c r="AU21" s="178" t="s">
        <v>1095</v>
      </c>
      <c r="AV21" s="12" t="s">
        <v>1096</v>
      </c>
      <c r="AW21" s="12" t="s">
        <v>1097</v>
      </c>
      <c r="AY21" s="178" t="s">
        <v>1092</v>
      </c>
      <c r="AZ21" s="12" t="s">
        <v>3377</v>
      </c>
      <c r="BA21" s="12" t="s">
        <v>1098</v>
      </c>
      <c r="BB21" s="12" t="s">
        <v>1098</v>
      </c>
      <c r="BD21" s="12" t="s">
        <v>1092</v>
      </c>
      <c r="BE21" s="12" t="s">
        <v>118</v>
      </c>
      <c r="BF21" s="12" t="s">
        <v>121</v>
      </c>
      <c r="BH21" s="12" t="s">
        <v>120</v>
      </c>
      <c r="BI21" s="179">
        <v>23</v>
      </c>
    </row>
    <row r="22" spans="1:61" s="12" customFormat="1" x14ac:dyDescent="0.25">
      <c r="A22" s="12" t="s">
        <v>3316</v>
      </c>
      <c r="B22" s="12" t="s">
        <v>3378</v>
      </c>
      <c r="C22" s="12" t="s">
        <v>3379</v>
      </c>
      <c r="D22" s="12" t="s">
        <v>3380</v>
      </c>
      <c r="E22" s="175">
        <v>42205</v>
      </c>
      <c r="F22" s="12" t="s">
        <v>1398</v>
      </c>
      <c r="G22" s="12" t="s">
        <v>1075</v>
      </c>
      <c r="H22" s="12" t="s">
        <v>3381</v>
      </c>
      <c r="I22" s="12" t="s">
        <v>3382</v>
      </c>
      <c r="K22" s="12" t="s">
        <v>1209</v>
      </c>
      <c r="L22" s="12" t="s">
        <v>1210</v>
      </c>
      <c r="M22" s="12" t="s">
        <v>1211</v>
      </c>
      <c r="O22" s="178" t="s">
        <v>1126</v>
      </c>
      <c r="P22" s="178" t="s">
        <v>3383</v>
      </c>
      <c r="Q22" s="12" t="s">
        <v>1211</v>
      </c>
      <c r="R22" s="179">
        <v>24</v>
      </c>
      <c r="U22" s="12" t="s">
        <v>120</v>
      </c>
      <c r="W22" s="12" t="s">
        <v>1083</v>
      </c>
      <c r="X22" s="12" t="s">
        <v>1918</v>
      </c>
      <c r="Z22" s="12" t="s">
        <v>1185</v>
      </c>
      <c r="AB22" s="12" t="s">
        <v>1185</v>
      </c>
      <c r="AD22" s="12" t="s">
        <v>1185</v>
      </c>
      <c r="AE22" s="12" t="s">
        <v>1075</v>
      </c>
      <c r="AF22" s="12" t="s">
        <v>3384</v>
      </c>
      <c r="AG22" s="12" t="s">
        <v>1092</v>
      </c>
      <c r="AH22" s="12" t="s">
        <v>1092</v>
      </c>
      <c r="AI22" s="12" t="s">
        <v>3385</v>
      </c>
      <c r="AJ22" s="12" t="s">
        <v>3386</v>
      </c>
      <c r="AK22" s="12" t="s">
        <v>3387</v>
      </c>
      <c r="AL22" s="12" t="s">
        <v>1092</v>
      </c>
      <c r="AM22" s="12" t="s">
        <v>1092</v>
      </c>
      <c r="AN22" s="12" t="s">
        <v>1092</v>
      </c>
      <c r="AO22" s="178" t="s">
        <v>1093</v>
      </c>
      <c r="AP22" s="178" t="s">
        <v>1093</v>
      </c>
      <c r="AQ22" s="178" t="s">
        <v>1093</v>
      </c>
      <c r="AR22" s="178" t="s">
        <v>1092</v>
      </c>
      <c r="AS22" s="178" t="s">
        <v>1118</v>
      </c>
      <c r="AT22" s="178" t="s">
        <v>1118</v>
      </c>
      <c r="AU22" s="178" t="s">
        <v>1095</v>
      </c>
      <c r="AV22" s="12" t="s">
        <v>1096</v>
      </c>
      <c r="AW22" s="12" t="s">
        <v>1097</v>
      </c>
      <c r="AY22" s="178" t="s">
        <v>1092</v>
      </c>
      <c r="AZ22" s="12" t="s">
        <v>3388</v>
      </c>
      <c r="BA22" s="12" t="s">
        <v>1098</v>
      </c>
      <c r="BB22" s="12" t="s">
        <v>1098</v>
      </c>
      <c r="BD22" s="12" t="s">
        <v>1092</v>
      </c>
      <c r="BE22" s="12" t="s">
        <v>118</v>
      </c>
      <c r="BF22" s="12" t="s">
        <v>121</v>
      </c>
      <c r="BH22" s="12" t="s">
        <v>120</v>
      </c>
      <c r="BI22" s="179">
        <v>24</v>
      </c>
    </row>
    <row r="23" spans="1:61" s="12" customFormat="1" x14ac:dyDescent="0.25">
      <c r="A23" s="12" t="s">
        <v>3316</v>
      </c>
      <c r="B23" s="12" t="s">
        <v>3389</v>
      </c>
      <c r="C23" s="12" t="s">
        <v>3390</v>
      </c>
      <c r="D23" s="12" t="s">
        <v>3391</v>
      </c>
      <c r="E23" s="175">
        <v>42205</v>
      </c>
      <c r="F23" s="12" t="s">
        <v>1247</v>
      </c>
      <c r="G23" s="12" t="s">
        <v>1075</v>
      </c>
      <c r="H23" s="12" t="s">
        <v>3392</v>
      </c>
      <c r="I23" s="12" t="s">
        <v>1680</v>
      </c>
      <c r="J23" s="12" t="s">
        <v>3393</v>
      </c>
      <c r="K23" s="12" t="s">
        <v>1103</v>
      </c>
      <c r="L23" s="12" t="s">
        <v>1104</v>
      </c>
      <c r="M23" s="12" t="s">
        <v>1180</v>
      </c>
      <c r="O23" s="178" t="s">
        <v>1163</v>
      </c>
      <c r="P23" s="178" t="s">
        <v>3394</v>
      </c>
      <c r="Q23" s="12" t="s">
        <v>1180</v>
      </c>
      <c r="R23" s="179">
        <v>25</v>
      </c>
      <c r="U23" s="12" t="s">
        <v>120</v>
      </c>
      <c r="W23" s="12" t="s">
        <v>1083</v>
      </c>
      <c r="X23" s="12" t="s">
        <v>2054</v>
      </c>
      <c r="Y23" s="178" t="s">
        <v>2264</v>
      </c>
      <c r="Z23" s="12" t="s">
        <v>3395</v>
      </c>
      <c r="AA23" s="178" t="s">
        <v>2624</v>
      </c>
      <c r="AB23" s="12" t="s">
        <v>3396</v>
      </c>
      <c r="AC23" s="178" t="s">
        <v>1847</v>
      </c>
      <c r="AD23" s="12" t="s">
        <v>3397</v>
      </c>
      <c r="AE23" s="12" t="s">
        <v>1075</v>
      </c>
      <c r="AF23" s="12" t="s">
        <v>3398</v>
      </c>
      <c r="AG23" s="12" t="s">
        <v>1092</v>
      </c>
      <c r="AH23" s="12" t="s">
        <v>1092</v>
      </c>
      <c r="AI23" s="12" t="s">
        <v>3399</v>
      </c>
      <c r="AJ23" s="12" t="s">
        <v>3400</v>
      </c>
      <c r="AK23" s="12" t="s">
        <v>3401</v>
      </c>
      <c r="AL23" s="12" t="s">
        <v>1092</v>
      </c>
      <c r="AM23" s="12" t="s">
        <v>1092</v>
      </c>
      <c r="AN23" s="12" t="s">
        <v>1092</v>
      </c>
      <c r="AO23" s="178" t="s">
        <v>1093</v>
      </c>
      <c r="AP23" s="178" t="s">
        <v>1093</v>
      </c>
      <c r="AQ23" s="178" t="s">
        <v>1093</v>
      </c>
      <c r="AR23" s="178" t="s">
        <v>1092</v>
      </c>
      <c r="AS23" s="178" t="s">
        <v>1118</v>
      </c>
      <c r="AT23" s="178" t="s">
        <v>1118</v>
      </c>
      <c r="AU23" s="178" t="s">
        <v>1095</v>
      </c>
      <c r="AV23" s="12" t="s">
        <v>1096</v>
      </c>
      <c r="AW23" s="12" t="s">
        <v>1097</v>
      </c>
      <c r="AY23" s="178" t="s">
        <v>1092</v>
      </c>
      <c r="AZ23" s="12" t="s">
        <v>3402</v>
      </c>
      <c r="BA23" s="12" t="s">
        <v>1098</v>
      </c>
      <c r="BB23" s="12" t="s">
        <v>1098</v>
      </c>
      <c r="BD23" s="12" t="s">
        <v>1092</v>
      </c>
      <c r="BE23" s="12" t="s">
        <v>118</v>
      </c>
      <c r="BF23" s="12" t="s">
        <v>121</v>
      </c>
      <c r="BH23" s="12" t="s">
        <v>120</v>
      </c>
      <c r="BI23" s="179">
        <v>25</v>
      </c>
    </row>
    <row r="24" spans="1:61" s="12" customFormat="1" x14ac:dyDescent="0.25">
      <c r="A24" s="12" t="s">
        <v>3114</v>
      </c>
      <c r="B24" s="12" t="s">
        <v>3403</v>
      </c>
      <c r="C24" s="12" t="s">
        <v>3404</v>
      </c>
      <c r="D24" s="12" t="s">
        <v>3405</v>
      </c>
      <c r="E24" s="175">
        <v>42205</v>
      </c>
      <c r="F24" s="12" t="s">
        <v>1579</v>
      </c>
      <c r="G24" s="12" t="s">
        <v>1075</v>
      </c>
      <c r="H24" s="12" t="s">
        <v>1076</v>
      </c>
      <c r="I24" s="12" t="s">
        <v>3406</v>
      </c>
      <c r="J24" s="12" t="s">
        <v>3183</v>
      </c>
      <c r="K24" s="12" t="s">
        <v>1078</v>
      </c>
      <c r="L24" s="12" t="s">
        <v>1079</v>
      </c>
      <c r="M24" s="12" t="s">
        <v>1342</v>
      </c>
      <c r="O24" s="178" t="s">
        <v>1451</v>
      </c>
      <c r="P24" s="178" t="s">
        <v>3407</v>
      </c>
      <c r="Q24" s="12" t="s">
        <v>1342</v>
      </c>
      <c r="R24" s="179">
        <v>26</v>
      </c>
      <c r="U24" s="12" t="s">
        <v>120</v>
      </c>
      <c r="W24" s="12" t="s">
        <v>1083</v>
      </c>
      <c r="X24" s="12" t="s">
        <v>1949</v>
      </c>
      <c r="Y24" s="178" t="s">
        <v>2108</v>
      </c>
      <c r="Z24" s="12" t="s">
        <v>1348</v>
      </c>
      <c r="AA24" s="178" t="s">
        <v>2906</v>
      </c>
      <c r="AB24" s="12" t="s">
        <v>1348</v>
      </c>
      <c r="AC24" s="178" t="s">
        <v>2264</v>
      </c>
      <c r="AD24" s="12" t="s">
        <v>3408</v>
      </c>
      <c r="AE24" s="12" t="s">
        <v>1075</v>
      </c>
      <c r="AF24" s="12" t="s">
        <v>3409</v>
      </c>
      <c r="AG24" s="12" t="s">
        <v>1092</v>
      </c>
      <c r="AH24" s="12" t="s">
        <v>1092</v>
      </c>
      <c r="AI24" s="12" t="s">
        <v>3410</v>
      </c>
      <c r="AJ24" s="12" t="s">
        <v>3411</v>
      </c>
      <c r="AK24" s="12" t="s">
        <v>3412</v>
      </c>
      <c r="AL24" s="12" t="s">
        <v>1092</v>
      </c>
      <c r="AM24" s="12" t="s">
        <v>1092</v>
      </c>
      <c r="AN24" s="12" t="s">
        <v>1092</v>
      </c>
      <c r="AO24" s="178" t="s">
        <v>1093</v>
      </c>
      <c r="AP24" s="178" t="s">
        <v>1093</v>
      </c>
      <c r="AQ24" s="178" t="s">
        <v>1093</v>
      </c>
      <c r="AR24" s="178" t="s">
        <v>1092</v>
      </c>
      <c r="AS24" s="178" t="s">
        <v>1118</v>
      </c>
      <c r="AT24" s="178" t="s">
        <v>1118</v>
      </c>
      <c r="AU24" s="178" t="s">
        <v>1095</v>
      </c>
      <c r="AV24" s="12" t="s">
        <v>1096</v>
      </c>
      <c r="AW24" s="12" t="s">
        <v>1097</v>
      </c>
      <c r="AY24" s="178" t="s">
        <v>1092</v>
      </c>
      <c r="AZ24" s="12" t="s">
        <v>1098</v>
      </c>
      <c r="BA24" s="12" t="s">
        <v>1098</v>
      </c>
      <c r="BB24" s="12" t="s">
        <v>1098</v>
      </c>
      <c r="BD24" s="12" t="s">
        <v>1092</v>
      </c>
      <c r="BE24" s="12" t="s">
        <v>118</v>
      </c>
      <c r="BF24" s="12" t="s">
        <v>121</v>
      </c>
      <c r="BH24" s="12" t="s">
        <v>120</v>
      </c>
      <c r="BI24" s="179">
        <v>26</v>
      </c>
    </row>
    <row r="25" spans="1:61" s="12" customFormat="1" x14ac:dyDescent="0.25">
      <c r="A25" s="12" t="s">
        <v>3114</v>
      </c>
      <c r="B25" s="12" t="s">
        <v>3413</v>
      </c>
      <c r="C25" s="12" t="s">
        <v>3414</v>
      </c>
      <c r="D25" s="12" t="s">
        <v>3415</v>
      </c>
      <c r="E25" s="175">
        <v>42205</v>
      </c>
      <c r="F25" s="12" t="s">
        <v>3416</v>
      </c>
      <c r="G25" s="12" t="s">
        <v>1075</v>
      </c>
      <c r="H25" s="12" t="s">
        <v>3417</v>
      </c>
      <c r="I25" s="12" t="s">
        <v>3418</v>
      </c>
      <c r="K25" s="12" t="s">
        <v>1078</v>
      </c>
      <c r="L25" s="12" t="s">
        <v>1079</v>
      </c>
      <c r="M25" s="12" t="s">
        <v>1342</v>
      </c>
      <c r="O25" s="178" t="s">
        <v>1396</v>
      </c>
      <c r="P25" s="178" t="s">
        <v>3419</v>
      </c>
      <c r="Q25" s="12" t="s">
        <v>1342</v>
      </c>
      <c r="R25" s="179">
        <v>27</v>
      </c>
      <c r="U25" s="12" t="s">
        <v>120</v>
      </c>
      <c r="W25" s="12" t="s">
        <v>1083</v>
      </c>
      <c r="X25" s="12" t="s">
        <v>1949</v>
      </c>
      <c r="Y25" s="178" t="s">
        <v>1695</v>
      </c>
      <c r="Z25" s="12" t="s">
        <v>3420</v>
      </c>
      <c r="AA25" s="178" t="s">
        <v>1695</v>
      </c>
      <c r="AB25" s="12" t="s">
        <v>2321</v>
      </c>
      <c r="AC25" s="178" t="s">
        <v>1754</v>
      </c>
      <c r="AD25" s="12" t="s">
        <v>3421</v>
      </c>
      <c r="AE25" s="12" t="s">
        <v>1075</v>
      </c>
      <c r="AF25" s="12" t="s">
        <v>3422</v>
      </c>
      <c r="AG25" s="12" t="s">
        <v>1092</v>
      </c>
      <c r="AH25" s="12" t="s">
        <v>1092</v>
      </c>
      <c r="AI25" s="12" t="s">
        <v>3423</v>
      </c>
      <c r="AJ25" s="12" t="s">
        <v>3424</v>
      </c>
      <c r="AK25" s="12" t="s">
        <v>3425</v>
      </c>
      <c r="AL25" s="12" t="s">
        <v>1092</v>
      </c>
      <c r="AM25" s="12" t="s">
        <v>1092</v>
      </c>
      <c r="AN25" s="12" t="s">
        <v>1092</v>
      </c>
      <c r="AO25" s="178" t="s">
        <v>1093</v>
      </c>
      <c r="AP25" s="178" t="s">
        <v>1092</v>
      </c>
      <c r="AQ25" s="178" t="s">
        <v>1093</v>
      </c>
      <c r="AR25" s="178" t="s">
        <v>1092</v>
      </c>
      <c r="AS25" s="178" t="s">
        <v>1118</v>
      </c>
      <c r="AT25" s="178" t="s">
        <v>1118</v>
      </c>
      <c r="AU25" s="178" t="s">
        <v>1095</v>
      </c>
      <c r="AV25" s="12" t="s">
        <v>1096</v>
      </c>
      <c r="AW25" s="12" t="s">
        <v>1097</v>
      </c>
      <c r="AY25" s="178" t="s">
        <v>1092</v>
      </c>
      <c r="AZ25" s="12" t="s">
        <v>3426</v>
      </c>
      <c r="BA25" s="12" t="s">
        <v>1098</v>
      </c>
      <c r="BB25" s="12" t="s">
        <v>1098</v>
      </c>
      <c r="BD25" s="12" t="s">
        <v>1092</v>
      </c>
      <c r="BE25" s="12" t="s">
        <v>118</v>
      </c>
      <c r="BF25" s="12" t="s">
        <v>121</v>
      </c>
      <c r="BH25" s="12" t="s">
        <v>120</v>
      </c>
      <c r="BI25" s="179">
        <v>27</v>
      </c>
    </row>
    <row r="26" spans="1:61" s="12" customFormat="1" x14ac:dyDescent="0.25">
      <c r="A26" s="12" t="s">
        <v>3114</v>
      </c>
      <c r="B26" s="12" t="s">
        <v>3427</v>
      </c>
      <c r="C26" s="12" t="s">
        <v>3428</v>
      </c>
      <c r="D26" s="12" t="s">
        <v>3429</v>
      </c>
      <c r="E26" s="175">
        <v>42205</v>
      </c>
      <c r="F26" s="12" t="s">
        <v>1426</v>
      </c>
      <c r="G26" s="12" t="s">
        <v>1075</v>
      </c>
      <c r="H26" s="12" t="s">
        <v>3430</v>
      </c>
      <c r="I26" s="12" t="s">
        <v>3431</v>
      </c>
      <c r="K26" s="12" t="s">
        <v>1103</v>
      </c>
      <c r="L26" s="12" t="s">
        <v>1179</v>
      </c>
      <c r="M26" s="12" t="s">
        <v>1180</v>
      </c>
      <c r="O26" s="178" t="s">
        <v>1163</v>
      </c>
      <c r="P26" s="178" t="s">
        <v>3432</v>
      </c>
      <c r="Q26" s="12" t="s">
        <v>1180</v>
      </c>
      <c r="R26" s="179">
        <v>28</v>
      </c>
      <c r="U26" s="12" t="s">
        <v>120</v>
      </c>
      <c r="W26" s="12" t="s">
        <v>1083</v>
      </c>
      <c r="X26" s="12" t="s">
        <v>2339</v>
      </c>
      <c r="Y26" s="178" t="s">
        <v>2012</v>
      </c>
      <c r="Z26" s="12" t="s">
        <v>3433</v>
      </c>
      <c r="AA26" s="178" t="s">
        <v>1815</v>
      </c>
      <c r="AB26" s="12" t="s">
        <v>3433</v>
      </c>
      <c r="AC26" s="178" t="s">
        <v>1468</v>
      </c>
      <c r="AD26" s="12" t="s">
        <v>3434</v>
      </c>
      <c r="AE26" s="12" t="s">
        <v>1075</v>
      </c>
      <c r="AF26" s="12" t="s">
        <v>3435</v>
      </c>
      <c r="AG26" s="12" t="s">
        <v>1092</v>
      </c>
      <c r="AH26" s="12" t="s">
        <v>1092</v>
      </c>
      <c r="AI26" s="12" t="s">
        <v>3436</v>
      </c>
      <c r="AJ26" s="12" t="s">
        <v>3437</v>
      </c>
      <c r="AK26" s="12" t="s">
        <v>3438</v>
      </c>
      <c r="AL26" s="12" t="s">
        <v>1092</v>
      </c>
      <c r="AM26" s="12" t="s">
        <v>1092</v>
      </c>
      <c r="AN26" s="12" t="s">
        <v>1092</v>
      </c>
      <c r="AO26" s="178" t="s">
        <v>1093</v>
      </c>
      <c r="AP26" s="178" t="s">
        <v>1093</v>
      </c>
      <c r="AQ26" s="178" t="s">
        <v>1093</v>
      </c>
      <c r="AR26" s="178" t="s">
        <v>1092</v>
      </c>
      <c r="AS26" s="178" t="s">
        <v>1118</v>
      </c>
      <c r="AT26" s="178" t="s">
        <v>1118</v>
      </c>
      <c r="AU26" s="178" t="s">
        <v>1095</v>
      </c>
      <c r="AV26" s="12" t="s">
        <v>1096</v>
      </c>
      <c r="AW26" s="12" t="s">
        <v>1097</v>
      </c>
      <c r="AY26" s="178" t="s">
        <v>1092</v>
      </c>
      <c r="AZ26" s="12" t="s">
        <v>3439</v>
      </c>
      <c r="BA26" s="12" t="s">
        <v>1098</v>
      </c>
      <c r="BB26" s="12" t="s">
        <v>1098</v>
      </c>
      <c r="BD26" s="12" t="s">
        <v>1092</v>
      </c>
      <c r="BE26" s="12" t="s">
        <v>118</v>
      </c>
      <c r="BF26" s="12" t="s">
        <v>121</v>
      </c>
      <c r="BH26" s="12" t="s">
        <v>120</v>
      </c>
      <c r="BI26" s="179">
        <v>28</v>
      </c>
    </row>
    <row r="27" spans="1:61" s="12" customFormat="1" x14ac:dyDescent="0.25">
      <c r="A27" s="12" t="s">
        <v>3114</v>
      </c>
      <c r="B27" s="12" t="s">
        <v>3440</v>
      </c>
      <c r="C27" s="12" t="s">
        <v>3441</v>
      </c>
      <c r="D27" s="12" t="s">
        <v>3442</v>
      </c>
      <c r="E27" s="175">
        <v>42205</v>
      </c>
      <c r="F27" s="12" t="s">
        <v>3443</v>
      </c>
      <c r="G27" s="12" t="s">
        <v>1075</v>
      </c>
      <c r="H27" s="12" t="s">
        <v>3444</v>
      </c>
      <c r="I27" s="12" t="s">
        <v>3445</v>
      </c>
      <c r="K27" s="12" t="s">
        <v>1078</v>
      </c>
      <c r="L27" s="12" t="s">
        <v>1079</v>
      </c>
      <c r="M27" s="12" t="s">
        <v>1080</v>
      </c>
      <c r="O27" s="178" t="s">
        <v>1451</v>
      </c>
      <c r="P27" s="178" t="s">
        <v>3446</v>
      </c>
      <c r="Q27" s="12" t="s">
        <v>1080</v>
      </c>
      <c r="R27" s="179">
        <v>29</v>
      </c>
      <c r="U27" s="12" t="s">
        <v>120</v>
      </c>
      <c r="W27" s="12" t="s">
        <v>1083</v>
      </c>
      <c r="X27" s="12" t="s">
        <v>1962</v>
      </c>
      <c r="Y27" s="178" t="s">
        <v>1345</v>
      </c>
      <c r="Z27" s="12" t="s">
        <v>3447</v>
      </c>
      <c r="AA27" s="178" t="s">
        <v>1249</v>
      </c>
      <c r="AB27" s="12" t="s">
        <v>3448</v>
      </c>
      <c r="AC27" s="178" t="s">
        <v>1979</v>
      </c>
      <c r="AD27" s="12" t="s">
        <v>3448</v>
      </c>
      <c r="AE27" s="12" t="s">
        <v>1075</v>
      </c>
      <c r="AF27" s="12" t="s">
        <v>3449</v>
      </c>
      <c r="AG27" s="12" t="s">
        <v>1092</v>
      </c>
      <c r="AH27" s="12" t="s">
        <v>1092</v>
      </c>
      <c r="AI27" s="12" t="s">
        <v>3450</v>
      </c>
      <c r="AJ27" s="12" t="s">
        <v>3451</v>
      </c>
      <c r="AK27" s="12" t="s">
        <v>3452</v>
      </c>
      <c r="AL27" s="12" t="s">
        <v>1092</v>
      </c>
      <c r="AM27" s="12" t="s">
        <v>1092</v>
      </c>
      <c r="AN27" s="12" t="s">
        <v>1092</v>
      </c>
      <c r="AO27" s="178" t="s">
        <v>1093</v>
      </c>
      <c r="AP27" s="178" t="s">
        <v>1093</v>
      </c>
      <c r="AQ27" s="178" t="s">
        <v>1093</v>
      </c>
      <c r="AR27" s="178" t="s">
        <v>1093</v>
      </c>
      <c r="AS27" s="178" t="s">
        <v>1118</v>
      </c>
      <c r="AT27" s="178" t="s">
        <v>1118</v>
      </c>
      <c r="AU27" s="178" t="s">
        <v>1118</v>
      </c>
      <c r="AV27" s="12" t="s">
        <v>1096</v>
      </c>
      <c r="AW27" s="12" t="s">
        <v>1097</v>
      </c>
      <c r="AY27" s="178" t="s">
        <v>1092</v>
      </c>
      <c r="AZ27" s="12" t="s">
        <v>3453</v>
      </c>
      <c r="BA27" s="12" t="s">
        <v>1098</v>
      </c>
      <c r="BB27" s="12" t="s">
        <v>1098</v>
      </c>
      <c r="BD27" s="12" t="s">
        <v>1092</v>
      </c>
      <c r="BE27" s="12" t="s">
        <v>118</v>
      </c>
      <c r="BF27" s="12" t="s">
        <v>121</v>
      </c>
      <c r="BH27" s="12" t="s">
        <v>120</v>
      </c>
      <c r="BI27" s="179">
        <v>29</v>
      </c>
    </row>
    <row r="28" spans="1:61" s="12" customFormat="1" x14ac:dyDescent="0.25">
      <c r="A28" s="12" t="s">
        <v>3114</v>
      </c>
      <c r="B28" s="12" t="s">
        <v>3454</v>
      </c>
      <c r="C28" s="12" t="s">
        <v>3455</v>
      </c>
      <c r="D28" s="12" t="s">
        <v>3456</v>
      </c>
      <c r="E28" s="175">
        <v>42205</v>
      </c>
      <c r="F28" s="12" t="s">
        <v>1933</v>
      </c>
      <c r="G28" s="12" t="s">
        <v>1075</v>
      </c>
      <c r="H28" s="12" t="s">
        <v>3457</v>
      </c>
      <c r="I28" s="12" t="s">
        <v>3458</v>
      </c>
      <c r="K28" s="12" t="s">
        <v>1209</v>
      </c>
      <c r="L28" s="12" t="s">
        <v>1210</v>
      </c>
      <c r="M28" s="12" t="s">
        <v>1211</v>
      </c>
      <c r="O28" s="178" t="s">
        <v>1181</v>
      </c>
      <c r="P28" s="178" t="s">
        <v>3459</v>
      </c>
      <c r="Q28" s="12" t="s">
        <v>1211</v>
      </c>
      <c r="R28" s="179">
        <v>30</v>
      </c>
      <c r="U28" s="12" t="s">
        <v>120</v>
      </c>
      <c r="W28" s="12" t="s">
        <v>1083</v>
      </c>
      <c r="X28" s="12" t="s">
        <v>1084</v>
      </c>
      <c r="Y28" s="178" t="s">
        <v>2956</v>
      </c>
      <c r="Z28" s="12" t="s">
        <v>3460</v>
      </c>
      <c r="AA28" s="178" t="s">
        <v>1147</v>
      </c>
      <c r="AB28" s="12" t="s">
        <v>3461</v>
      </c>
      <c r="AC28" s="178" t="s">
        <v>1111</v>
      </c>
      <c r="AD28" s="12" t="s">
        <v>3462</v>
      </c>
      <c r="AE28" s="12" t="s">
        <v>1075</v>
      </c>
      <c r="AF28" s="12" t="s">
        <v>3463</v>
      </c>
      <c r="AG28" s="12" t="s">
        <v>1092</v>
      </c>
      <c r="AH28" s="12" t="s">
        <v>1092</v>
      </c>
      <c r="AI28" s="12" t="s">
        <v>3464</v>
      </c>
      <c r="AJ28" s="12" t="s">
        <v>3465</v>
      </c>
      <c r="AK28" s="12" t="s">
        <v>1092</v>
      </c>
      <c r="AL28" s="12" t="s">
        <v>3466</v>
      </c>
      <c r="AM28" s="12" t="s">
        <v>1092</v>
      </c>
      <c r="AN28" s="12" t="s">
        <v>1092</v>
      </c>
      <c r="AO28" s="178" t="s">
        <v>1093</v>
      </c>
      <c r="AP28" s="178" t="s">
        <v>1093</v>
      </c>
      <c r="AQ28" s="178" t="s">
        <v>1093</v>
      </c>
      <c r="AR28" s="178" t="s">
        <v>1093</v>
      </c>
      <c r="AS28" s="178" t="s">
        <v>1118</v>
      </c>
      <c r="AT28" s="178" t="s">
        <v>1118</v>
      </c>
      <c r="AU28" s="178" t="s">
        <v>1118</v>
      </c>
      <c r="AV28" s="12" t="s">
        <v>1096</v>
      </c>
      <c r="AW28" s="12" t="s">
        <v>1097</v>
      </c>
      <c r="AX28" s="178" t="s">
        <v>3467</v>
      </c>
      <c r="AY28" s="178" t="s">
        <v>1157</v>
      </c>
      <c r="AZ28" s="12" t="s">
        <v>3468</v>
      </c>
      <c r="BA28" s="12" t="s">
        <v>1098</v>
      </c>
      <c r="BB28" s="12" t="s">
        <v>1098</v>
      </c>
      <c r="BD28" s="12" t="s">
        <v>1092</v>
      </c>
      <c r="BE28" s="12" t="s">
        <v>118</v>
      </c>
      <c r="BF28" s="12" t="s">
        <v>121</v>
      </c>
      <c r="BH28" s="12" t="s">
        <v>120</v>
      </c>
      <c r="BI28" s="179">
        <v>30</v>
      </c>
    </row>
    <row r="29" spans="1:61" s="12" customFormat="1" x14ac:dyDescent="0.25">
      <c r="A29" s="12" t="s">
        <v>3114</v>
      </c>
      <c r="B29" s="12" t="s">
        <v>3469</v>
      </c>
      <c r="C29" s="12" t="s">
        <v>3470</v>
      </c>
      <c r="D29" s="12" t="s">
        <v>3471</v>
      </c>
      <c r="E29" s="175">
        <v>42205</v>
      </c>
      <c r="F29" s="12" t="s">
        <v>3472</v>
      </c>
      <c r="G29" s="12" t="s">
        <v>1075</v>
      </c>
      <c r="H29" s="12" t="s">
        <v>3473</v>
      </c>
      <c r="I29" s="12" t="s">
        <v>2211</v>
      </c>
      <c r="J29" s="12" t="s">
        <v>2179</v>
      </c>
      <c r="K29" s="12" t="s">
        <v>1078</v>
      </c>
      <c r="L29" s="12" t="s">
        <v>1079</v>
      </c>
      <c r="M29" s="12" t="s">
        <v>1080</v>
      </c>
      <c r="O29" s="178" t="s">
        <v>1451</v>
      </c>
      <c r="P29" s="178" t="s">
        <v>3474</v>
      </c>
      <c r="Q29" s="12" t="s">
        <v>1080</v>
      </c>
      <c r="R29" s="179">
        <v>31</v>
      </c>
      <c r="U29" s="12" t="s">
        <v>120</v>
      </c>
      <c r="W29" s="12" t="s">
        <v>1083</v>
      </c>
      <c r="X29" s="12" t="s">
        <v>1949</v>
      </c>
      <c r="Y29" s="178" t="s">
        <v>2451</v>
      </c>
      <c r="Z29" s="12" t="s">
        <v>3475</v>
      </c>
      <c r="AA29" s="178" t="s">
        <v>2264</v>
      </c>
      <c r="AB29" s="12" t="s">
        <v>3476</v>
      </c>
      <c r="AC29" s="178" t="s">
        <v>1223</v>
      </c>
      <c r="AD29" s="12" t="s">
        <v>3477</v>
      </c>
      <c r="AE29" s="12" t="s">
        <v>1075</v>
      </c>
      <c r="AF29" s="12" t="s">
        <v>3478</v>
      </c>
      <c r="AG29" s="12" t="s">
        <v>1092</v>
      </c>
      <c r="AH29" s="12" t="s">
        <v>1092</v>
      </c>
      <c r="AI29" s="12" t="s">
        <v>3479</v>
      </c>
      <c r="AJ29" s="12" t="s">
        <v>3480</v>
      </c>
      <c r="AK29" s="12" t="s">
        <v>3481</v>
      </c>
      <c r="AL29" s="12" t="s">
        <v>1092</v>
      </c>
      <c r="AM29" s="12" t="s">
        <v>1092</v>
      </c>
      <c r="AN29" s="12" t="s">
        <v>1092</v>
      </c>
      <c r="AO29" s="178" t="s">
        <v>1093</v>
      </c>
      <c r="AP29" s="178" t="s">
        <v>1093</v>
      </c>
      <c r="AQ29" s="178" t="s">
        <v>1093</v>
      </c>
      <c r="AR29" s="178" t="s">
        <v>1093</v>
      </c>
      <c r="AS29" s="178" t="s">
        <v>1118</v>
      </c>
      <c r="AT29" s="178" t="s">
        <v>1118</v>
      </c>
      <c r="AU29" s="178" t="s">
        <v>1118</v>
      </c>
      <c r="AV29" s="12" t="s">
        <v>1096</v>
      </c>
      <c r="AW29" s="12" t="s">
        <v>1097</v>
      </c>
      <c r="AY29" s="178" t="s">
        <v>1092</v>
      </c>
      <c r="AZ29" s="12" t="s">
        <v>3482</v>
      </c>
      <c r="BA29" s="12" t="s">
        <v>1098</v>
      </c>
      <c r="BB29" s="12" t="s">
        <v>1098</v>
      </c>
      <c r="BD29" s="12" t="s">
        <v>1092</v>
      </c>
      <c r="BE29" s="12" t="s">
        <v>118</v>
      </c>
      <c r="BF29" s="12" t="s">
        <v>121</v>
      </c>
      <c r="BH29" s="12" t="s">
        <v>120</v>
      </c>
      <c r="BI29" s="179">
        <v>31</v>
      </c>
    </row>
    <row r="30" spans="1:61" s="12" customFormat="1" x14ac:dyDescent="0.25">
      <c r="A30" s="12" t="s">
        <v>3114</v>
      </c>
      <c r="B30" s="12" t="s">
        <v>3483</v>
      </c>
      <c r="C30" s="12" t="s">
        <v>3484</v>
      </c>
      <c r="D30" s="12" t="s">
        <v>3485</v>
      </c>
      <c r="E30" s="175">
        <v>42205</v>
      </c>
      <c r="F30" s="12" t="s">
        <v>3486</v>
      </c>
      <c r="G30" s="12" t="s">
        <v>1075</v>
      </c>
      <c r="H30" s="12" t="s">
        <v>3487</v>
      </c>
      <c r="I30" s="12" t="s">
        <v>3488</v>
      </c>
      <c r="K30" s="12" t="s">
        <v>1514</v>
      </c>
      <c r="L30" s="12" t="s">
        <v>1515</v>
      </c>
      <c r="M30" s="12" t="s">
        <v>1516</v>
      </c>
      <c r="O30" s="178" t="s">
        <v>1343</v>
      </c>
      <c r="P30" s="178" t="s">
        <v>3489</v>
      </c>
      <c r="Q30" s="12" t="s">
        <v>1516</v>
      </c>
      <c r="R30" s="179">
        <v>32</v>
      </c>
      <c r="U30" s="12" t="s">
        <v>120</v>
      </c>
      <c r="W30" s="12" t="s">
        <v>1083</v>
      </c>
      <c r="X30" s="12" t="s">
        <v>2361</v>
      </c>
      <c r="Y30" s="178" t="s">
        <v>1145</v>
      </c>
      <c r="Z30" s="12" t="s">
        <v>3490</v>
      </c>
      <c r="AA30" s="178" t="s">
        <v>2182</v>
      </c>
      <c r="AB30" s="12" t="s">
        <v>3491</v>
      </c>
      <c r="AC30" s="178" t="s">
        <v>1781</v>
      </c>
      <c r="AD30" s="12" t="s">
        <v>1882</v>
      </c>
      <c r="AE30" s="12" t="s">
        <v>1075</v>
      </c>
      <c r="AF30" s="12" t="s">
        <v>3492</v>
      </c>
      <c r="AG30" s="12" t="s">
        <v>1092</v>
      </c>
      <c r="AH30" s="12" t="s">
        <v>1092</v>
      </c>
      <c r="AI30" s="12" t="s">
        <v>3493</v>
      </c>
      <c r="AJ30" s="12" t="s">
        <v>1456</v>
      </c>
      <c r="AK30" s="12" t="s">
        <v>3494</v>
      </c>
      <c r="AL30" s="12" t="s">
        <v>1092</v>
      </c>
      <c r="AM30" s="12" t="s">
        <v>1092</v>
      </c>
      <c r="AN30" s="12" t="s">
        <v>1092</v>
      </c>
      <c r="AO30" s="178" t="s">
        <v>1093</v>
      </c>
      <c r="AP30" s="178" t="s">
        <v>1092</v>
      </c>
      <c r="AQ30" s="178" t="s">
        <v>1092</v>
      </c>
      <c r="AR30" s="178" t="s">
        <v>1092</v>
      </c>
      <c r="AS30" s="178" t="s">
        <v>1118</v>
      </c>
      <c r="AT30" s="178" t="s">
        <v>1095</v>
      </c>
      <c r="AU30" s="178" t="s">
        <v>1095</v>
      </c>
      <c r="AV30" s="12" t="s">
        <v>1096</v>
      </c>
      <c r="AW30" s="12" t="s">
        <v>1097</v>
      </c>
      <c r="AY30" s="178" t="s">
        <v>1092</v>
      </c>
      <c r="AZ30" s="12" t="s">
        <v>3495</v>
      </c>
      <c r="BA30" s="12" t="s">
        <v>1098</v>
      </c>
      <c r="BB30" s="12" t="s">
        <v>1098</v>
      </c>
      <c r="BD30" s="12" t="s">
        <v>1092</v>
      </c>
      <c r="BE30" s="12" t="s">
        <v>118</v>
      </c>
      <c r="BF30" s="12" t="s">
        <v>121</v>
      </c>
      <c r="BH30" s="12" t="s">
        <v>120</v>
      </c>
      <c r="BI30" s="179">
        <v>32</v>
      </c>
    </row>
    <row r="31" spans="1:61" s="12" customFormat="1" x14ac:dyDescent="0.25">
      <c r="A31" s="12" t="s">
        <v>3114</v>
      </c>
      <c r="B31" s="12" t="s">
        <v>3496</v>
      </c>
      <c r="C31" s="12" t="s">
        <v>3497</v>
      </c>
      <c r="D31" s="12" t="s">
        <v>3498</v>
      </c>
      <c r="E31" s="175">
        <v>42205</v>
      </c>
      <c r="F31" s="12" t="s">
        <v>3499</v>
      </c>
      <c r="G31" s="12" t="s">
        <v>1075</v>
      </c>
      <c r="H31" s="12" t="s">
        <v>3500</v>
      </c>
      <c r="I31" s="12" t="s">
        <v>3501</v>
      </c>
      <c r="J31" s="12" t="s">
        <v>1561</v>
      </c>
      <c r="K31" s="12" t="s">
        <v>1078</v>
      </c>
      <c r="L31" s="12" t="s">
        <v>1079</v>
      </c>
      <c r="M31" s="12" t="s">
        <v>1080</v>
      </c>
      <c r="O31" s="178" t="s">
        <v>1741</v>
      </c>
      <c r="P31" s="178" t="s">
        <v>3502</v>
      </c>
      <c r="Q31" s="12" t="s">
        <v>1080</v>
      </c>
      <c r="R31" s="179">
        <v>33</v>
      </c>
      <c r="U31" s="12" t="s">
        <v>120</v>
      </c>
      <c r="W31" s="12" t="s">
        <v>1083</v>
      </c>
      <c r="X31" s="12" t="s">
        <v>2335</v>
      </c>
      <c r="Y31" s="178" t="s">
        <v>1590</v>
      </c>
      <c r="Z31" s="12" t="s">
        <v>3503</v>
      </c>
      <c r="AA31" s="178" t="s">
        <v>1263</v>
      </c>
      <c r="AB31" s="12" t="s">
        <v>3504</v>
      </c>
      <c r="AC31" s="178" t="s">
        <v>3505</v>
      </c>
      <c r="AD31" s="12" t="s">
        <v>3506</v>
      </c>
      <c r="AE31" s="12" t="s">
        <v>1075</v>
      </c>
      <c r="AF31" s="12" t="s">
        <v>3507</v>
      </c>
      <c r="AG31" s="12" t="s">
        <v>1092</v>
      </c>
      <c r="AH31" s="12" t="s">
        <v>1092</v>
      </c>
      <c r="AI31" s="12" t="s">
        <v>3508</v>
      </c>
      <c r="AJ31" s="12" t="s">
        <v>3509</v>
      </c>
      <c r="AK31" s="12" t="s">
        <v>3510</v>
      </c>
      <c r="AL31" s="12" t="s">
        <v>1092</v>
      </c>
      <c r="AM31" s="12" t="s">
        <v>1092</v>
      </c>
      <c r="AN31" s="12" t="s">
        <v>1092</v>
      </c>
      <c r="AO31" s="178" t="s">
        <v>1093</v>
      </c>
      <c r="AP31" s="178" t="s">
        <v>1092</v>
      </c>
      <c r="AQ31" s="178" t="s">
        <v>1093</v>
      </c>
      <c r="AR31" s="178" t="s">
        <v>1093</v>
      </c>
      <c r="AS31" s="178" t="s">
        <v>1118</v>
      </c>
      <c r="AT31" s="178" t="s">
        <v>1118</v>
      </c>
      <c r="AU31" s="178" t="s">
        <v>1118</v>
      </c>
      <c r="AV31" s="12" t="s">
        <v>1096</v>
      </c>
      <c r="AW31" s="12" t="s">
        <v>1097</v>
      </c>
      <c r="AY31" s="178" t="s">
        <v>1092</v>
      </c>
      <c r="AZ31" s="12" t="s">
        <v>3511</v>
      </c>
      <c r="BA31" s="12" t="s">
        <v>1098</v>
      </c>
      <c r="BB31" s="12" t="s">
        <v>3512</v>
      </c>
      <c r="BD31" s="12" t="s">
        <v>1092</v>
      </c>
      <c r="BE31" s="12" t="s">
        <v>118</v>
      </c>
      <c r="BF31" s="12" t="s">
        <v>121</v>
      </c>
      <c r="BH31" s="12" t="s">
        <v>120</v>
      </c>
      <c r="BI31" s="179">
        <v>33</v>
      </c>
    </row>
    <row r="32" spans="1:61" s="12" customFormat="1" x14ac:dyDescent="0.25">
      <c r="A32" s="12" t="s">
        <v>3114</v>
      </c>
      <c r="B32" s="12" t="s">
        <v>3513</v>
      </c>
      <c r="C32" s="12" t="s">
        <v>3514</v>
      </c>
      <c r="D32" s="12" t="s">
        <v>3515</v>
      </c>
      <c r="E32" s="175">
        <v>42205</v>
      </c>
      <c r="F32" s="12" t="s">
        <v>3516</v>
      </c>
      <c r="G32" s="12" t="s">
        <v>1075</v>
      </c>
      <c r="H32" s="12" t="s">
        <v>3517</v>
      </c>
      <c r="I32" s="12" t="s">
        <v>3518</v>
      </c>
      <c r="J32" s="12" t="s">
        <v>2306</v>
      </c>
      <c r="K32" s="12" t="s">
        <v>1103</v>
      </c>
      <c r="L32" s="12" t="s">
        <v>1124</v>
      </c>
      <c r="M32" s="12" t="s">
        <v>1105</v>
      </c>
      <c r="O32" s="178" t="s">
        <v>2508</v>
      </c>
      <c r="P32" s="178" t="s">
        <v>3519</v>
      </c>
      <c r="Q32" s="12" t="s">
        <v>1105</v>
      </c>
      <c r="R32" s="179">
        <v>34</v>
      </c>
      <c r="U32" s="12" t="s">
        <v>120</v>
      </c>
      <c r="W32" s="12" t="s">
        <v>1083</v>
      </c>
      <c r="X32" s="12" t="s">
        <v>3123</v>
      </c>
      <c r="Y32" s="178" t="s">
        <v>2451</v>
      </c>
      <c r="Z32" s="12" t="s">
        <v>3520</v>
      </c>
      <c r="AA32" s="178" t="s">
        <v>2012</v>
      </c>
      <c r="AB32" s="12" t="s">
        <v>3521</v>
      </c>
      <c r="AC32" s="178" t="s">
        <v>2012</v>
      </c>
      <c r="AD32" s="12" t="s">
        <v>1552</v>
      </c>
      <c r="AE32" s="12" t="s">
        <v>1075</v>
      </c>
      <c r="AF32" s="12" t="s">
        <v>3522</v>
      </c>
      <c r="AG32" s="12" t="s">
        <v>1092</v>
      </c>
      <c r="AH32" s="12" t="s">
        <v>1092</v>
      </c>
      <c r="AI32" s="12" t="s">
        <v>2400</v>
      </c>
      <c r="AJ32" s="12" t="s">
        <v>3523</v>
      </c>
      <c r="AK32" s="12" t="s">
        <v>1092</v>
      </c>
      <c r="AL32" s="12" t="s">
        <v>1092</v>
      </c>
      <c r="AM32" s="12" t="s">
        <v>1092</v>
      </c>
      <c r="AN32" s="12" t="s">
        <v>1092</v>
      </c>
      <c r="AO32" s="178" t="s">
        <v>1093</v>
      </c>
      <c r="AP32" s="178" t="s">
        <v>1093</v>
      </c>
      <c r="AQ32" s="178" t="s">
        <v>1092</v>
      </c>
      <c r="AR32" s="178" t="s">
        <v>1092</v>
      </c>
      <c r="AS32" s="178" t="s">
        <v>1118</v>
      </c>
      <c r="AT32" s="178" t="s">
        <v>1095</v>
      </c>
      <c r="AU32" s="178" t="s">
        <v>1095</v>
      </c>
      <c r="AV32" s="12" t="s">
        <v>1096</v>
      </c>
      <c r="AW32" s="12" t="s">
        <v>1097</v>
      </c>
      <c r="AY32" s="178" t="s">
        <v>1092</v>
      </c>
      <c r="AZ32" s="12" t="s">
        <v>3524</v>
      </c>
      <c r="BA32" s="12" t="s">
        <v>1098</v>
      </c>
      <c r="BB32" s="12" t="s">
        <v>1098</v>
      </c>
      <c r="BD32" s="12" t="s">
        <v>1092</v>
      </c>
      <c r="BE32" s="12" t="s">
        <v>118</v>
      </c>
      <c r="BF32" s="12" t="s">
        <v>121</v>
      </c>
      <c r="BH32" s="12" t="s">
        <v>120</v>
      </c>
      <c r="BI32" s="179">
        <v>34</v>
      </c>
    </row>
    <row r="33" spans="1:65" x14ac:dyDescent="0.25">
      <c r="A33" s="12" t="s">
        <v>3114</v>
      </c>
      <c r="B33" s="12" t="s">
        <v>3525</v>
      </c>
      <c r="C33" s="12" t="s">
        <v>3526</v>
      </c>
      <c r="D33" s="12" t="s">
        <v>3527</v>
      </c>
      <c r="E33" s="175">
        <v>42205</v>
      </c>
      <c r="F33" s="12" t="s">
        <v>3528</v>
      </c>
      <c r="G33" s="12" t="s">
        <v>1075</v>
      </c>
      <c r="H33" s="12" t="s">
        <v>3529</v>
      </c>
      <c r="I33" s="12" t="s">
        <v>3530</v>
      </c>
      <c r="K33" s="12" t="s">
        <v>1226</v>
      </c>
      <c r="L33" s="12" t="s">
        <v>1227</v>
      </c>
      <c r="M33" s="12" t="s">
        <v>1228</v>
      </c>
      <c r="O33" s="178" t="s">
        <v>1812</v>
      </c>
      <c r="P33" s="178" t="s">
        <v>3531</v>
      </c>
      <c r="Q33" s="12" t="s">
        <v>1228</v>
      </c>
      <c r="R33" s="179">
        <v>35</v>
      </c>
      <c r="U33" s="12" t="s">
        <v>120</v>
      </c>
      <c r="W33" s="12" t="s">
        <v>1083</v>
      </c>
      <c r="X33" s="12" t="s">
        <v>2339</v>
      </c>
      <c r="Y33" s="178" t="s">
        <v>1424</v>
      </c>
      <c r="Z33" s="12" t="s">
        <v>3532</v>
      </c>
      <c r="AA33" s="178" t="s">
        <v>1223</v>
      </c>
      <c r="AB33" s="12" t="s">
        <v>3533</v>
      </c>
      <c r="AC33" s="178" t="s">
        <v>1781</v>
      </c>
      <c r="AD33" s="12" t="s">
        <v>1112</v>
      </c>
      <c r="AE33" s="12" t="s">
        <v>1075</v>
      </c>
      <c r="AF33" s="12" t="s">
        <v>3534</v>
      </c>
      <c r="AG33" s="12" t="s">
        <v>1092</v>
      </c>
      <c r="AH33" s="12" t="s">
        <v>1092</v>
      </c>
      <c r="AI33" s="12" t="s">
        <v>3535</v>
      </c>
      <c r="AJ33" s="12" t="s">
        <v>3536</v>
      </c>
      <c r="AK33" s="12" t="s">
        <v>3537</v>
      </c>
      <c r="AL33" s="12" t="s">
        <v>1092</v>
      </c>
      <c r="AM33" s="12" t="s">
        <v>1092</v>
      </c>
      <c r="AN33" s="12" t="s">
        <v>1092</v>
      </c>
      <c r="AO33" s="178" t="s">
        <v>1093</v>
      </c>
      <c r="AP33" s="178" t="s">
        <v>1093</v>
      </c>
      <c r="AQ33" s="178" t="s">
        <v>1093</v>
      </c>
      <c r="AR33" s="178" t="s">
        <v>1092</v>
      </c>
      <c r="AS33" s="178" t="s">
        <v>1118</v>
      </c>
      <c r="AT33" s="178" t="s">
        <v>1118</v>
      </c>
      <c r="AU33" s="178" t="s">
        <v>1095</v>
      </c>
      <c r="AV33" s="12" t="s">
        <v>1096</v>
      </c>
      <c r="AW33" s="12" t="s">
        <v>1097</v>
      </c>
      <c r="AX33" s="178" t="s">
        <v>3538</v>
      </c>
      <c r="AY33" s="178" t="s">
        <v>1093</v>
      </c>
      <c r="AZ33" s="12" t="s">
        <v>3539</v>
      </c>
      <c r="BA33" s="12" t="s">
        <v>1098</v>
      </c>
      <c r="BB33" s="12" t="s">
        <v>1098</v>
      </c>
      <c r="BC33" s="178" t="s">
        <v>1205</v>
      </c>
      <c r="BD33" s="12" t="s">
        <v>1092</v>
      </c>
      <c r="BE33" s="12" t="s">
        <v>118</v>
      </c>
      <c r="BF33" s="12" t="s">
        <v>121</v>
      </c>
      <c r="BH33" s="12" t="s">
        <v>120</v>
      </c>
      <c r="BI33" s="179">
        <v>35</v>
      </c>
      <c r="BJ33" s="175">
        <v>42207</v>
      </c>
      <c r="BK33" s="176" t="s">
        <v>119</v>
      </c>
      <c r="BL33" s="177">
        <v>675.8</v>
      </c>
      <c r="BM33" s="12">
        <v>30</v>
      </c>
    </row>
    <row r="34" spans="1:65" x14ac:dyDescent="0.25">
      <c r="A34" s="12" t="s">
        <v>3114</v>
      </c>
      <c r="B34" s="12" t="s">
        <v>3540</v>
      </c>
      <c r="C34" s="12" t="s">
        <v>3541</v>
      </c>
      <c r="D34" s="12" t="s">
        <v>3542</v>
      </c>
      <c r="E34" s="175">
        <v>42205</v>
      </c>
      <c r="F34" s="12" t="s">
        <v>3543</v>
      </c>
      <c r="G34" s="12" t="s">
        <v>1075</v>
      </c>
      <c r="H34" s="12" t="s">
        <v>3544</v>
      </c>
      <c r="I34" s="12" t="s">
        <v>3545</v>
      </c>
      <c r="K34" s="12" t="s">
        <v>1693</v>
      </c>
      <c r="L34" s="12" t="s">
        <v>1515</v>
      </c>
      <c r="M34" s="12" t="s">
        <v>1516</v>
      </c>
      <c r="Q34" s="12" t="s">
        <v>1516</v>
      </c>
      <c r="R34" s="179">
        <v>36</v>
      </c>
      <c r="U34" s="12" t="s">
        <v>120</v>
      </c>
      <c r="W34" s="12" t="s">
        <v>1083</v>
      </c>
      <c r="X34" s="12" t="s">
        <v>1962</v>
      </c>
      <c r="Y34" s="178" t="s">
        <v>2081</v>
      </c>
      <c r="Z34" s="12" t="s">
        <v>3546</v>
      </c>
      <c r="AA34" s="178" t="s">
        <v>1478</v>
      </c>
      <c r="AB34" s="12" t="s">
        <v>3547</v>
      </c>
      <c r="AC34" s="178" t="s">
        <v>1278</v>
      </c>
      <c r="AD34" s="12" t="s">
        <v>3547</v>
      </c>
      <c r="AE34" s="12" t="s">
        <v>1075</v>
      </c>
      <c r="AF34" s="12" t="s">
        <v>3548</v>
      </c>
      <c r="AG34" s="12" t="s">
        <v>1092</v>
      </c>
      <c r="AH34" s="12" t="s">
        <v>1092</v>
      </c>
      <c r="AI34" s="12" t="s">
        <v>3549</v>
      </c>
      <c r="AJ34" s="12" t="s">
        <v>3550</v>
      </c>
      <c r="AK34" s="12" t="s">
        <v>3551</v>
      </c>
      <c r="AL34" s="12" t="s">
        <v>1092</v>
      </c>
      <c r="AM34" s="12" t="s">
        <v>1092</v>
      </c>
      <c r="AN34" s="12" t="s">
        <v>1092</v>
      </c>
      <c r="AO34" s="178" t="s">
        <v>1093</v>
      </c>
      <c r="AP34" s="178" t="s">
        <v>1092</v>
      </c>
      <c r="AQ34" s="178" t="s">
        <v>1092</v>
      </c>
      <c r="AR34" s="178" t="s">
        <v>1092</v>
      </c>
      <c r="AS34" s="178" t="s">
        <v>1118</v>
      </c>
      <c r="AT34" s="178" t="s">
        <v>1095</v>
      </c>
      <c r="AU34" s="178" t="s">
        <v>1095</v>
      </c>
      <c r="AV34" s="12" t="s">
        <v>1096</v>
      </c>
      <c r="AW34" s="12" t="s">
        <v>1097</v>
      </c>
      <c r="AY34" s="178" t="s">
        <v>1092</v>
      </c>
      <c r="AZ34" s="12" t="s">
        <v>3552</v>
      </c>
      <c r="BA34" s="12" t="s">
        <v>1098</v>
      </c>
      <c r="BB34" s="12" t="s">
        <v>1098</v>
      </c>
      <c r="BD34" s="12" t="s">
        <v>1092</v>
      </c>
      <c r="BE34" s="12" t="s">
        <v>118</v>
      </c>
      <c r="BF34" s="12" t="s">
        <v>121</v>
      </c>
      <c r="BH34" s="12" t="s">
        <v>120</v>
      </c>
      <c r="BI34" s="179">
        <v>36</v>
      </c>
      <c r="BJ34" s="12"/>
      <c r="BK34" s="12"/>
      <c r="BL34" s="12"/>
    </row>
    <row r="35" spans="1:65" x14ac:dyDescent="0.25">
      <c r="A35" s="12" t="s">
        <v>3553</v>
      </c>
      <c r="B35" s="12" t="s">
        <v>3554</v>
      </c>
      <c r="C35" s="12" t="s">
        <v>3555</v>
      </c>
      <c r="D35" s="12" t="s">
        <v>3556</v>
      </c>
      <c r="E35" s="175">
        <v>42205</v>
      </c>
      <c r="F35" s="12" t="s">
        <v>3557</v>
      </c>
      <c r="G35" s="12" t="s">
        <v>1075</v>
      </c>
      <c r="H35" s="12" t="s">
        <v>3558</v>
      </c>
      <c r="I35" s="12" t="s">
        <v>2735</v>
      </c>
      <c r="J35" s="12" t="s">
        <v>3559</v>
      </c>
      <c r="K35" s="12" t="s">
        <v>1078</v>
      </c>
      <c r="L35" s="12" t="s">
        <v>1079</v>
      </c>
      <c r="M35" s="12" t="s">
        <v>1080</v>
      </c>
      <c r="O35" s="178" t="s">
        <v>1422</v>
      </c>
      <c r="P35" s="178" t="s">
        <v>3560</v>
      </c>
      <c r="Q35" s="12" t="s">
        <v>1080</v>
      </c>
      <c r="R35" s="179">
        <v>37</v>
      </c>
      <c r="U35" s="12" t="s">
        <v>120</v>
      </c>
      <c r="W35" s="12" t="s">
        <v>1083</v>
      </c>
      <c r="X35" s="12" t="s">
        <v>1918</v>
      </c>
      <c r="Y35" s="178" t="s">
        <v>1563</v>
      </c>
      <c r="Z35" s="12" t="s">
        <v>3476</v>
      </c>
      <c r="AA35" s="178" t="s">
        <v>1590</v>
      </c>
      <c r="AB35" s="12" t="s">
        <v>3561</v>
      </c>
      <c r="AC35" s="178" t="s">
        <v>1781</v>
      </c>
      <c r="AD35" s="12" t="s">
        <v>1133</v>
      </c>
      <c r="AE35" s="12" t="s">
        <v>1075</v>
      </c>
      <c r="AF35" s="12" t="s">
        <v>3562</v>
      </c>
      <c r="AG35" s="12" t="s">
        <v>1092</v>
      </c>
      <c r="AH35" s="12" t="s">
        <v>1092</v>
      </c>
      <c r="AI35" s="12" t="s">
        <v>3563</v>
      </c>
      <c r="AJ35" s="12" t="s">
        <v>3564</v>
      </c>
      <c r="AK35" s="12" t="s">
        <v>3565</v>
      </c>
      <c r="AL35" s="12" t="s">
        <v>1092</v>
      </c>
      <c r="AM35" s="12" t="s">
        <v>1092</v>
      </c>
      <c r="AN35" s="12" t="s">
        <v>1092</v>
      </c>
      <c r="AO35" s="178" t="s">
        <v>1093</v>
      </c>
      <c r="AP35" s="178" t="s">
        <v>1093</v>
      </c>
      <c r="AQ35" s="178" t="s">
        <v>1092</v>
      </c>
      <c r="AR35" s="178" t="s">
        <v>1093</v>
      </c>
      <c r="AS35" s="178" t="s">
        <v>1118</v>
      </c>
      <c r="AT35" s="178" t="s">
        <v>1095</v>
      </c>
      <c r="AU35" s="178" t="s">
        <v>1094</v>
      </c>
      <c r="AV35" s="12" t="s">
        <v>1096</v>
      </c>
      <c r="AW35" s="12" t="s">
        <v>1097</v>
      </c>
      <c r="AY35" s="178" t="s">
        <v>1092</v>
      </c>
      <c r="AZ35" s="12" t="s">
        <v>3566</v>
      </c>
      <c r="BA35" s="12" t="s">
        <v>1098</v>
      </c>
      <c r="BB35" s="12" t="s">
        <v>1098</v>
      </c>
      <c r="BC35" s="178" t="s">
        <v>1205</v>
      </c>
      <c r="BD35" s="12" t="s">
        <v>1092</v>
      </c>
      <c r="BE35" s="12" t="s">
        <v>118</v>
      </c>
      <c r="BF35" s="12" t="s">
        <v>121</v>
      </c>
      <c r="BH35" s="12" t="s">
        <v>120</v>
      </c>
      <c r="BI35" s="179">
        <v>37</v>
      </c>
      <c r="BJ35" s="12"/>
      <c r="BK35" s="12"/>
      <c r="BL35" s="12"/>
    </row>
    <row r="36" spans="1:65" x14ac:dyDescent="0.25">
      <c r="A36" s="12" t="s">
        <v>3553</v>
      </c>
      <c r="B36" s="12" t="s">
        <v>3567</v>
      </c>
      <c r="C36" s="12" t="s">
        <v>3568</v>
      </c>
      <c r="D36" s="12" t="s">
        <v>3569</v>
      </c>
      <c r="E36" s="175">
        <v>42205</v>
      </c>
      <c r="F36" s="12" t="s">
        <v>3570</v>
      </c>
      <c r="G36" s="12" t="s">
        <v>1075</v>
      </c>
      <c r="H36" s="12" t="s">
        <v>3571</v>
      </c>
      <c r="I36" s="12" t="s">
        <v>3572</v>
      </c>
      <c r="K36" s="12" t="s">
        <v>1078</v>
      </c>
      <c r="L36" s="12" t="s">
        <v>1079</v>
      </c>
      <c r="M36" s="12" t="s">
        <v>1342</v>
      </c>
      <c r="O36" s="178" t="s">
        <v>3573</v>
      </c>
      <c r="P36" s="178" t="s">
        <v>3574</v>
      </c>
      <c r="Q36" s="12" t="s">
        <v>1342</v>
      </c>
      <c r="R36" s="179">
        <v>38</v>
      </c>
      <c r="U36" s="12" t="s">
        <v>120</v>
      </c>
      <c r="W36" s="12" t="s">
        <v>1083</v>
      </c>
      <c r="X36" s="12" t="s">
        <v>1412</v>
      </c>
      <c r="Y36" s="178" t="s">
        <v>2010</v>
      </c>
      <c r="Z36" s="12" t="s">
        <v>1133</v>
      </c>
      <c r="AA36" s="178" t="s">
        <v>2182</v>
      </c>
      <c r="AB36" s="12" t="s">
        <v>3575</v>
      </c>
      <c r="AC36" s="178" t="s">
        <v>1307</v>
      </c>
      <c r="AD36" s="12" t="s">
        <v>3576</v>
      </c>
      <c r="AE36" s="12" t="s">
        <v>1075</v>
      </c>
      <c r="AF36" s="12" t="s">
        <v>3577</v>
      </c>
      <c r="AG36" s="12" t="s">
        <v>1092</v>
      </c>
      <c r="AH36" s="12" t="s">
        <v>1092</v>
      </c>
      <c r="AI36" s="12" t="s">
        <v>3578</v>
      </c>
      <c r="AJ36" s="12" t="s">
        <v>3579</v>
      </c>
      <c r="AK36" s="12" t="s">
        <v>1092</v>
      </c>
      <c r="AL36" s="12" t="s">
        <v>1092</v>
      </c>
      <c r="AM36" s="12" t="s">
        <v>1092</v>
      </c>
      <c r="AN36" s="12" t="s">
        <v>1092</v>
      </c>
      <c r="AO36" s="178" t="s">
        <v>1093</v>
      </c>
      <c r="AP36" s="178" t="s">
        <v>1093</v>
      </c>
      <c r="AQ36" s="178" t="s">
        <v>1093</v>
      </c>
      <c r="AR36" s="178" t="s">
        <v>1093</v>
      </c>
      <c r="AS36" s="178" t="s">
        <v>1118</v>
      </c>
      <c r="AT36" s="178" t="s">
        <v>1118</v>
      </c>
      <c r="AU36" s="178" t="s">
        <v>1118</v>
      </c>
      <c r="AV36" s="12" t="s">
        <v>1096</v>
      </c>
      <c r="AW36" s="12" t="s">
        <v>1097</v>
      </c>
      <c r="AY36" s="178" t="s">
        <v>1092</v>
      </c>
      <c r="AZ36" s="12" t="s">
        <v>3580</v>
      </c>
      <c r="BA36" s="12" t="s">
        <v>1098</v>
      </c>
      <c r="BB36" s="12" t="s">
        <v>1098</v>
      </c>
      <c r="BC36" s="178" t="s">
        <v>1205</v>
      </c>
      <c r="BD36" s="12" t="s">
        <v>1092</v>
      </c>
      <c r="BE36" s="12" t="s">
        <v>118</v>
      </c>
      <c r="BF36" s="12" t="s">
        <v>121</v>
      </c>
      <c r="BH36" s="12" t="s">
        <v>120</v>
      </c>
      <c r="BI36" s="179">
        <v>38</v>
      </c>
      <c r="BJ36" s="12"/>
      <c r="BK36" s="12"/>
      <c r="BL36" s="12"/>
    </row>
    <row r="37" spans="1:65" x14ac:dyDescent="0.25">
      <c r="A37" s="12" t="s">
        <v>3553</v>
      </c>
      <c r="B37" s="12" t="s">
        <v>3581</v>
      </c>
      <c r="C37" s="12" t="s">
        <v>3582</v>
      </c>
      <c r="D37" s="12" t="s">
        <v>3583</v>
      </c>
      <c r="E37" s="175">
        <v>42205</v>
      </c>
      <c r="F37" s="12" t="s">
        <v>3584</v>
      </c>
      <c r="G37" s="12" t="s">
        <v>1075</v>
      </c>
      <c r="H37" s="12" t="s">
        <v>3585</v>
      </c>
      <c r="I37" s="12" t="s">
        <v>2772</v>
      </c>
      <c r="J37" s="12" t="s">
        <v>1208</v>
      </c>
      <c r="K37" s="12" t="s">
        <v>1078</v>
      </c>
      <c r="L37" s="12" t="s">
        <v>1079</v>
      </c>
      <c r="M37" s="12" t="s">
        <v>1342</v>
      </c>
      <c r="O37" s="178" t="s">
        <v>1451</v>
      </c>
      <c r="P37" s="178" t="s">
        <v>3586</v>
      </c>
      <c r="Q37" s="12" t="s">
        <v>1342</v>
      </c>
      <c r="R37" s="179">
        <v>39</v>
      </c>
      <c r="U37" s="12" t="s">
        <v>120</v>
      </c>
      <c r="W37" s="12" t="s">
        <v>1083</v>
      </c>
      <c r="X37" s="12" t="s">
        <v>1412</v>
      </c>
      <c r="Y37" s="178" t="s">
        <v>2012</v>
      </c>
      <c r="Z37" s="12" t="s">
        <v>3587</v>
      </c>
      <c r="AA37" s="178" t="s">
        <v>1223</v>
      </c>
      <c r="AB37" s="12" t="s">
        <v>3588</v>
      </c>
      <c r="AC37" s="178" t="s">
        <v>1169</v>
      </c>
      <c r="AD37" s="12" t="s">
        <v>3589</v>
      </c>
      <c r="AE37" s="12" t="s">
        <v>1075</v>
      </c>
      <c r="AF37" s="12" t="s">
        <v>3590</v>
      </c>
      <c r="AG37" s="12" t="s">
        <v>1092</v>
      </c>
      <c r="AH37" s="12" t="s">
        <v>1092</v>
      </c>
      <c r="AI37" s="12" t="s">
        <v>3591</v>
      </c>
      <c r="AJ37" s="12" t="s">
        <v>3592</v>
      </c>
      <c r="AK37" s="12" t="s">
        <v>1092</v>
      </c>
      <c r="AL37" s="12" t="s">
        <v>1092</v>
      </c>
      <c r="AM37" s="12" t="s">
        <v>1092</v>
      </c>
      <c r="AN37" s="12" t="s">
        <v>1092</v>
      </c>
      <c r="AO37" s="178" t="s">
        <v>1093</v>
      </c>
      <c r="AP37" s="178" t="s">
        <v>1093</v>
      </c>
      <c r="AQ37" s="178" t="s">
        <v>1093</v>
      </c>
      <c r="AR37" s="178" t="s">
        <v>1093</v>
      </c>
      <c r="AS37" s="178" t="s">
        <v>1118</v>
      </c>
      <c r="AT37" s="178" t="s">
        <v>1118</v>
      </c>
      <c r="AU37" s="178" t="s">
        <v>1118</v>
      </c>
      <c r="AV37" s="12" t="s">
        <v>1096</v>
      </c>
      <c r="AW37" s="12" t="s">
        <v>1097</v>
      </c>
      <c r="AY37" s="178" t="s">
        <v>1092</v>
      </c>
      <c r="AZ37" s="12" t="s">
        <v>3593</v>
      </c>
      <c r="BA37" s="12" t="s">
        <v>3594</v>
      </c>
      <c r="BB37" s="12" t="s">
        <v>3595</v>
      </c>
      <c r="BD37" s="12" t="s">
        <v>1092</v>
      </c>
      <c r="BE37" s="12" t="s">
        <v>118</v>
      </c>
      <c r="BF37" s="12" t="s">
        <v>121</v>
      </c>
      <c r="BH37" s="12" t="s">
        <v>120</v>
      </c>
      <c r="BI37" s="179">
        <v>39</v>
      </c>
      <c r="BJ37" s="12"/>
      <c r="BK37" s="12"/>
      <c r="BL37" s="12"/>
    </row>
    <row r="38" spans="1:65" x14ac:dyDescent="0.25">
      <c r="A38" s="12" t="s">
        <v>3553</v>
      </c>
      <c r="B38" s="12" t="s">
        <v>3596</v>
      </c>
      <c r="C38" s="12" t="s">
        <v>3597</v>
      </c>
      <c r="D38" s="12" t="s">
        <v>3598</v>
      </c>
      <c r="E38" s="175">
        <v>42205</v>
      </c>
      <c r="F38" s="12" t="s">
        <v>3599</v>
      </c>
      <c r="G38" s="12" t="s">
        <v>1075</v>
      </c>
      <c r="H38" s="12" t="s">
        <v>3600</v>
      </c>
      <c r="I38" s="12" t="s">
        <v>3601</v>
      </c>
      <c r="K38" s="12" t="s">
        <v>1103</v>
      </c>
      <c r="L38" s="12" t="s">
        <v>1179</v>
      </c>
      <c r="M38" s="12" t="s">
        <v>1244</v>
      </c>
      <c r="Q38" s="12" t="s">
        <v>1244</v>
      </c>
      <c r="R38" s="179">
        <v>40</v>
      </c>
      <c r="U38" s="12" t="s">
        <v>120</v>
      </c>
      <c r="W38" s="12" t="s">
        <v>1083</v>
      </c>
      <c r="X38" s="12" t="s">
        <v>2339</v>
      </c>
      <c r="Y38" s="178" t="s">
        <v>1563</v>
      </c>
      <c r="Z38" s="12" t="s">
        <v>3602</v>
      </c>
      <c r="AA38" s="178" t="s">
        <v>1540</v>
      </c>
      <c r="AB38" s="12" t="s">
        <v>3603</v>
      </c>
      <c r="AC38" s="178" t="s">
        <v>3604</v>
      </c>
      <c r="AD38" s="12" t="s">
        <v>3605</v>
      </c>
      <c r="AE38" s="12" t="s">
        <v>1075</v>
      </c>
      <c r="AF38" s="12" t="s">
        <v>3606</v>
      </c>
      <c r="AG38" s="12" t="s">
        <v>1092</v>
      </c>
      <c r="AH38" s="12" t="s">
        <v>1092</v>
      </c>
      <c r="AI38" s="12" t="s">
        <v>3607</v>
      </c>
      <c r="AJ38" s="12" t="s">
        <v>2819</v>
      </c>
      <c r="AK38" s="12" t="s">
        <v>3608</v>
      </c>
      <c r="AL38" s="12" t="s">
        <v>1092</v>
      </c>
      <c r="AM38" s="12" t="s">
        <v>1092</v>
      </c>
      <c r="AN38" s="12" t="s">
        <v>1092</v>
      </c>
      <c r="AO38" s="178" t="s">
        <v>1093</v>
      </c>
      <c r="AP38" s="178" t="s">
        <v>1092</v>
      </c>
      <c r="AQ38" s="178" t="s">
        <v>1092</v>
      </c>
      <c r="AR38" s="178" t="s">
        <v>1092</v>
      </c>
      <c r="AS38" s="178" t="s">
        <v>1118</v>
      </c>
      <c r="AT38" s="178" t="s">
        <v>1095</v>
      </c>
      <c r="AU38" s="178" t="s">
        <v>1095</v>
      </c>
      <c r="AV38" s="12" t="s">
        <v>1096</v>
      </c>
      <c r="AW38" s="12" t="s">
        <v>1097</v>
      </c>
      <c r="AY38" s="178" t="s">
        <v>1092</v>
      </c>
      <c r="AZ38" s="12" t="s">
        <v>3609</v>
      </c>
      <c r="BA38" s="12" t="s">
        <v>1098</v>
      </c>
      <c r="BB38" s="12" t="s">
        <v>3610</v>
      </c>
      <c r="BD38" s="12" t="s">
        <v>1092</v>
      </c>
      <c r="BE38" s="12" t="s">
        <v>118</v>
      </c>
      <c r="BF38" s="12" t="s">
        <v>121</v>
      </c>
      <c r="BH38" s="12" t="s">
        <v>120</v>
      </c>
      <c r="BI38" s="179">
        <v>40</v>
      </c>
      <c r="BJ38" s="12"/>
      <c r="BK38" s="12"/>
      <c r="BL38" s="12"/>
    </row>
    <row r="39" spans="1:65" x14ac:dyDescent="0.25">
      <c r="A39" s="12" t="s">
        <v>3553</v>
      </c>
      <c r="B39" s="12" t="s">
        <v>3611</v>
      </c>
      <c r="C39" s="12" t="s">
        <v>3612</v>
      </c>
      <c r="D39" s="12" t="s">
        <v>3613</v>
      </c>
      <c r="E39" s="175">
        <v>42205</v>
      </c>
      <c r="F39" s="12" t="s">
        <v>3614</v>
      </c>
      <c r="G39" s="12" t="s">
        <v>1075</v>
      </c>
      <c r="H39" s="12" t="s">
        <v>3615</v>
      </c>
      <c r="I39" s="12" t="s">
        <v>3616</v>
      </c>
      <c r="J39" s="12" t="s">
        <v>1534</v>
      </c>
      <c r="K39" s="12" t="s">
        <v>1123</v>
      </c>
      <c r="L39" s="12" t="s">
        <v>1124</v>
      </c>
      <c r="M39" s="12" t="s">
        <v>1125</v>
      </c>
      <c r="O39" s="178" t="s">
        <v>1812</v>
      </c>
      <c r="P39" s="178" t="s">
        <v>3617</v>
      </c>
      <c r="Q39" s="12" t="s">
        <v>1125</v>
      </c>
      <c r="R39" s="179">
        <v>41</v>
      </c>
      <c r="U39" s="12" t="s">
        <v>120</v>
      </c>
      <c r="W39" s="12" t="s">
        <v>1083</v>
      </c>
      <c r="X39" s="12" t="s">
        <v>2671</v>
      </c>
      <c r="Y39" s="178" t="s">
        <v>1176</v>
      </c>
      <c r="Z39" s="12" t="s">
        <v>3618</v>
      </c>
      <c r="AA39" s="178" t="s">
        <v>3619</v>
      </c>
      <c r="AB39" s="12" t="s">
        <v>3620</v>
      </c>
      <c r="AC39" s="178" t="s">
        <v>3621</v>
      </c>
      <c r="AD39" s="12" t="s">
        <v>3622</v>
      </c>
      <c r="AE39" s="12" t="s">
        <v>1075</v>
      </c>
      <c r="AF39" s="12" t="s">
        <v>3623</v>
      </c>
      <c r="AG39" s="12" t="s">
        <v>1092</v>
      </c>
      <c r="AH39" s="12" t="s">
        <v>1092</v>
      </c>
      <c r="AI39" s="12" t="s">
        <v>3624</v>
      </c>
      <c r="AJ39" s="12" t="s">
        <v>3625</v>
      </c>
      <c r="AK39" s="12" t="s">
        <v>3626</v>
      </c>
      <c r="AL39" s="12" t="s">
        <v>1092</v>
      </c>
      <c r="AM39" s="12" t="s">
        <v>1092</v>
      </c>
      <c r="AN39" s="12" t="s">
        <v>1092</v>
      </c>
      <c r="AO39" s="178" t="s">
        <v>1093</v>
      </c>
      <c r="AP39" s="178" t="s">
        <v>1093</v>
      </c>
      <c r="AQ39" s="178" t="s">
        <v>1093</v>
      </c>
      <c r="AR39" s="178" t="s">
        <v>1093</v>
      </c>
      <c r="AS39" s="178" t="s">
        <v>1118</v>
      </c>
      <c r="AT39" s="178" t="s">
        <v>1118</v>
      </c>
      <c r="AU39" s="178" t="s">
        <v>1094</v>
      </c>
      <c r="AV39" s="12" t="s">
        <v>1096</v>
      </c>
      <c r="AW39" s="12" t="s">
        <v>1097</v>
      </c>
      <c r="AY39" s="178" t="s">
        <v>1092</v>
      </c>
      <c r="AZ39" s="12" t="s">
        <v>3627</v>
      </c>
      <c r="BA39" s="12" t="s">
        <v>1098</v>
      </c>
      <c r="BB39" s="12" t="s">
        <v>3628</v>
      </c>
      <c r="BC39" s="178" t="s">
        <v>1205</v>
      </c>
      <c r="BD39" s="12" t="s">
        <v>1092</v>
      </c>
      <c r="BE39" s="12" t="s">
        <v>118</v>
      </c>
      <c r="BF39" s="12" t="s">
        <v>121</v>
      </c>
      <c r="BH39" s="12" t="s">
        <v>120</v>
      </c>
      <c r="BI39" s="179">
        <v>41</v>
      </c>
      <c r="BJ39" s="12"/>
      <c r="BK39" s="12"/>
      <c r="BL39" s="12"/>
    </row>
    <row r="40" spans="1:65" x14ac:dyDescent="0.25">
      <c r="A40" s="12" t="s">
        <v>3553</v>
      </c>
      <c r="B40" s="12" t="s">
        <v>3629</v>
      </c>
      <c r="C40" s="12" t="s">
        <v>3630</v>
      </c>
      <c r="D40" s="12" t="s">
        <v>3631</v>
      </c>
      <c r="E40" s="175">
        <v>42205</v>
      </c>
      <c r="F40" s="12" t="s">
        <v>2635</v>
      </c>
      <c r="G40" s="12" t="s">
        <v>1075</v>
      </c>
      <c r="H40" s="12" t="s">
        <v>3632</v>
      </c>
      <c r="I40" s="12" t="s">
        <v>3633</v>
      </c>
      <c r="J40" s="12" t="s">
        <v>3634</v>
      </c>
      <c r="K40" s="12" t="s">
        <v>1514</v>
      </c>
      <c r="L40" s="12" t="s">
        <v>1515</v>
      </c>
      <c r="M40" s="12" t="s">
        <v>1516</v>
      </c>
      <c r="O40" s="178" t="s">
        <v>1163</v>
      </c>
      <c r="P40" s="178" t="s">
        <v>3635</v>
      </c>
      <c r="Q40" s="12" t="s">
        <v>1516</v>
      </c>
      <c r="R40" s="179">
        <v>42</v>
      </c>
      <c r="U40" s="12" t="s">
        <v>120</v>
      </c>
      <c r="W40" s="12" t="s">
        <v>1083</v>
      </c>
      <c r="X40" s="12" t="s">
        <v>1412</v>
      </c>
      <c r="Y40" s="178" t="s">
        <v>2010</v>
      </c>
      <c r="Z40" s="12" t="s">
        <v>2321</v>
      </c>
      <c r="AA40" s="178" t="s">
        <v>1278</v>
      </c>
      <c r="AB40" s="12" t="s">
        <v>3636</v>
      </c>
      <c r="AC40" s="178" t="s">
        <v>1307</v>
      </c>
      <c r="AD40" s="12" t="s">
        <v>3637</v>
      </c>
      <c r="AE40" s="12" t="s">
        <v>1075</v>
      </c>
      <c r="AF40" s="12" t="s">
        <v>3638</v>
      </c>
      <c r="AG40" s="12" t="s">
        <v>1092</v>
      </c>
      <c r="AH40" s="12" t="s">
        <v>1092</v>
      </c>
      <c r="AI40" s="12" t="s">
        <v>3639</v>
      </c>
      <c r="AJ40" s="12" t="s">
        <v>3640</v>
      </c>
      <c r="AK40" s="12" t="s">
        <v>1092</v>
      </c>
      <c r="AL40" s="12" t="s">
        <v>1092</v>
      </c>
      <c r="AM40" s="12" t="s">
        <v>1092</v>
      </c>
      <c r="AN40" s="12" t="s">
        <v>1092</v>
      </c>
      <c r="AO40" s="178" t="s">
        <v>1093</v>
      </c>
      <c r="AP40" s="178" t="s">
        <v>1093</v>
      </c>
      <c r="AQ40" s="178" t="s">
        <v>1093</v>
      </c>
      <c r="AR40" s="178" t="s">
        <v>1092</v>
      </c>
      <c r="AS40" s="178" t="s">
        <v>1118</v>
      </c>
      <c r="AT40" s="178" t="s">
        <v>1118</v>
      </c>
      <c r="AU40" s="178" t="s">
        <v>1095</v>
      </c>
      <c r="AV40" s="12" t="s">
        <v>1096</v>
      </c>
      <c r="AW40" s="12" t="s">
        <v>1097</v>
      </c>
      <c r="AY40" s="178" t="s">
        <v>1092</v>
      </c>
      <c r="AZ40" s="12" t="s">
        <v>3641</v>
      </c>
      <c r="BA40" s="12" t="s">
        <v>1098</v>
      </c>
      <c r="BB40" s="12" t="s">
        <v>1098</v>
      </c>
      <c r="BD40" s="12" t="s">
        <v>1092</v>
      </c>
      <c r="BE40" s="12" t="s">
        <v>118</v>
      </c>
      <c r="BF40" s="12" t="s">
        <v>121</v>
      </c>
      <c r="BH40" s="12" t="s">
        <v>120</v>
      </c>
      <c r="BI40" s="179">
        <v>42</v>
      </c>
      <c r="BJ40" s="12"/>
      <c r="BK40" s="12"/>
      <c r="BL40" s="12"/>
    </row>
    <row r="41" spans="1:65" x14ac:dyDescent="0.25">
      <c r="A41" s="12" t="s">
        <v>3553</v>
      </c>
      <c r="B41" s="12" t="s">
        <v>3642</v>
      </c>
      <c r="C41" s="12" t="s">
        <v>3643</v>
      </c>
      <c r="D41" s="12" t="s">
        <v>3644</v>
      </c>
      <c r="E41" s="175">
        <v>42205</v>
      </c>
      <c r="F41" s="12" t="s">
        <v>3645</v>
      </c>
      <c r="G41" s="12" t="s">
        <v>1075</v>
      </c>
      <c r="H41" s="12" t="s">
        <v>3646</v>
      </c>
      <c r="I41" s="12" t="s">
        <v>3647</v>
      </c>
      <c r="J41" s="12" t="s">
        <v>3648</v>
      </c>
      <c r="K41" s="12" t="s">
        <v>1103</v>
      </c>
      <c r="L41" s="12" t="s">
        <v>1104</v>
      </c>
      <c r="M41" s="12" t="s">
        <v>1125</v>
      </c>
      <c r="O41" s="178" t="s">
        <v>1451</v>
      </c>
      <c r="P41" s="178" t="s">
        <v>3649</v>
      </c>
      <c r="Q41" s="12" t="s">
        <v>1125</v>
      </c>
      <c r="R41" s="179">
        <v>43</v>
      </c>
      <c r="U41" s="12" t="s">
        <v>120</v>
      </c>
      <c r="W41" s="12" t="s">
        <v>1083</v>
      </c>
      <c r="X41" s="12" t="s">
        <v>1519</v>
      </c>
      <c r="Y41" s="178" t="s">
        <v>2573</v>
      </c>
      <c r="Z41" s="12" t="s">
        <v>3650</v>
      </c>
      <c r="AA41" s="178" t="s">
        <v>1408</v>
      </c>
      <c r="AB41" s="12" t="s">
        <v>3651</v>
      </c>
      <c r="AC41" s="178" t="s">
        <v>1261</v>
      </c>
      <c r="AD41" s="12" t="s">
        <v>3651</v>
      </c>
      <c r="AE41" s="12" t="s">
        <v>1075</v>
      </c>
      <c r="AF41" s="12" t="s">
        <v>3652</v>
      </c>
      <c r="AG41" s="12" t="s">
        <v>1092</v>
      </c>
      <c r="AH41" s="12" t="s">
        <v>1092</v>
      </c>
      <c r="AI41" s="12" t="s">
        <v>3653</v>
      </c>
      <c r="AJ41" s="12" t="s">
        <v>3654</v>
      </c>
      <c r="AK41" s="12" t="s">
        <v>3655</v>
      </c>
      <c r="AL41" s="12" t="s">
        <v>1092</v>
      </c>
      <c r="AM41" s="12" t="s">
        <v>1092</v>
      </c>
      <c r="AN41" s="12" t="s">
        <v>1092</v>
      </c>
      <c r="AO41" s="178" t="s">
        <v>1093</v>
      </c>
      <c r="AP41" s="178" t="s">
        <v>1093</v>
      </c>
      <c r="AQ41" s="178" t="s">
        <v>1093</v>
      </c>
      <c r="AR41" s="178" t="s">
        <v>1093</v>
      </c>
      <c r="AS41" s="178" t="s">
        <v>1118</v>
      </c>
      <c r="AT41" s="178" t="s">
        <v>1118</v>
      </c>
      <c r="AU41" s="178" t="s">
        <v>1118</v>
      </c>
      <c r="AV41" s="12" t="s">
        <v>1096</v>
      </c>
      <c r="AW41" s="12" t="s">
        <v>1097</v>
      </c>
      <c r="AX41" s="178" t="s">
        <v>2882</v>
      </c>
      <c r="AY41" s="178" t="s">
        <v>1093</v>
      </c>
      <c r="AZ41" s="12" t="s">
        <v>3656</v>
      </c>
      <c r="BA41" s="12" t="s">
        <v>1098</v>
      </c>
      <c r="BB41" s="12" t="s">
        <v>3657</v>
      </c>
      <c r="BD41" s="12" t="s">
        <v>1092</v>
      </c>
      <c r="BE41" s="12" t="s">
        <v>118</v>
      </c>
      <c r="BF41" s="12" t="s">
        <v>121</v>
      </c>
      <c r="BH41" s="12" t="s">
        <v>120</v>
      </c>
      <c r="BI41" s="179">
        <v>43</v>
      </c>
      <c r="BJ41" s="12"/>
      <c r="BK41" s="12"/>
      <c r="BL41" s="12"/>
    </row>
    <row r="42" spans="1:65" x14ac:dyDescent="0.25">
      <c r="A42" s="12" t="s">
        <v>3553</v>
      </c>
      <c r="B42" s="12" t="s">
        <v>3658</v>
      </c>
      <c r="C42" s="12" t="s">
        <v>3659</v>
      </c>
      <c r="D42" s="12" t="s">
        <v>3660</v>
      </c>
      <c r="E42" s="175">
        <v>42205</v>
      </c>
      <c r="F42" s="12" t="s">
        <v>1345</v>
      </c>
      <c r="G42" s="12" t="s">
        <v>1075</v>
      </c>
      <c r="H42" s="12" t="s">
        <v>3661</v>
      </c>
      <c r="I42" s="12" t="s">
        <v>3662</v>
      </c>
      <c r="J42" s="12" t="s">
        <v>2179</v>
      </c>
      <c r="K42" s="12" t="s">
        <v>1514</v>
      </c>
      <c r="L42" s="12" t="s">
        <v>1515</v>
      </c>
      <c r="M42" s="12" t="s">
        <v>1516</v>
      </c>
      <c r="O42" s="178" t="s">
        <v>1181</v>
      </c>
      <c r="P42" s="178" t="s">
        <v>3663</v>
      </c>
      <c r="Q42" s="12" t="s">
        <v>1516</v>
      </c>
      <c r="R42" s="179">
        <v>44</v>
      </c>
      <c r="U42" s="12" t="s">
        <v>120</v>
      </c>
      <c r="W42" s="12" t="s">
        <v>1083</v>
      </c>
      <c r="X42" s="12" t="s">
        <v>1879</v>
      </c>
      <c r="Y42" s="178" t="s">
        <v>1232</v>
      </c>
      <c r="Z42" s="12" t="s">
        <v>3664</v>
      </c>
      <c r="AA42" s="178" t="s">
        <v>1438</v>
      </c>
      <c r="AB42" s="12" t="s">
        <v>1506</v>
      </c>
      <c r="AD42" s="12" t="s">
        <v>1185</v>
      </c>
      <c r="AE42" s="12" t="s">
        <v>1075</v>
      </c>
      <c r="AF42" s="12" t="s">
        <v>3665</v>
      </c>
      <c r="AG42" s="12" t="s">
        <v>1236</v>
      </c>
      <c r="AH42" s="12" t="s">
        <v>3666</v>
      </c>
      <c r="AI42" s="12" t="s">
        <v>3667</v>
      </c>
      <c r="AJ42" s="12" t="s">
        <v>3668</v>
      </c>
      <c r="AK42" s="12" t="s">
        <v>1092</v>
      </c>
      <c r="AL42" s="12" t="s">
        <v>1092</v>
      </c>
      <c r="AM42" s="12" t="s">
        <v>1092</v>
      </c>
      <c r="AN42" s="12" t="s">
        <v>1092</v>
      </c>
      <c r="AO42" s="178" t="s">
        <v>1093</v>
      </c>
      <c r="AP42" s="178" t="s">
        <v>1093</v>
      </c>
      <c r="AQ42" s="178" t="s">
        <v>1093</v>
      </c>
      <c r="AR42" s="178" t="s">
        <v>1093</v>
      </c>
      <c r="AS42" s="178" t="s">
        <v>1118</v>
      </c>
      <c r="AT42" s="178" t="s">
        <v>1118</v>
      </c>
      <c r="AU42" s="178" t="s">
        <v>1118</v>
      </c>
      <c r="AV42" s="12" t="s">
        <v>1096</v>
      </c>
      <c r="AW42" s="12" t="s">
        <v>1097</v>
      </c>
      <c r="AX42" s="178" t="s">
        <v>2882</v>
      </c>
      <c r="AY42" s="178" t="s">
        <v>1157</v>
      </c>
      <c r="AZ42" s="12" t="s">
        <v>3669</v>
      </c>
      <c r="BA42" s="12" t="s">
        <v>1098</v>
      </c>
      <c r="BB42" s="12" t="s">
        <v>1098</v>
      </c>
      <c r="BD42" s="12" t="s">
        <v>1092</v>
      </c>
      <c r="BE42" s="12" t="s">
        <v>118</v>
      </c>
      <c r="BF42" s="12" t="s">
        <v>121</v>
      </c>
      <c r="BH42" s="12" t="s">
        <v>120</v>
      </c>
      <c r="BI42" s="179">
        <v>44</v>
      </c>
      <c r="BJ42" s="12"/>
      <c r="BK42" s="12"/>
      <c r="BL42" s="12"/>
    </row>
    <row r="43" spans="1:65" x14ac:dyDescent="0.25">
      <c r="A43" s="12" t="s">
        <v>3553</v>
      </c>
      <c r="B43" s="12" t="s">
        <v>3670</v>
      </c>
      <c r="C43" s="12" t="s">
        <v>3671</v>
      </c>
      <c r="D43" s="12" t="s">
        <v>3672</v>
      </c>
      <c r="E43" s="175">
        <v>42205</v>
      </c>
      <c r="F43" s="12" t="s">
        <v>3673</v>
      </c>
      <c r="G43" s="12" t="s">
        <v>1075</v>
      </c>
      <c r="H43" s="12" t="s">
        <v>3674</v>
      </c>
      <c r="I43" s="12" t="s">
        <v>3675</v>
      </c>
      <c r="K43" s="12" t="s">
        <v>1693</v>
      </c>
      <c r="L43" s="12" t="s">
        <v>1515</v>
      </c>
      <c r="M43" s="12" t="s">
        <v>1516</v>
      </c>
      <c r="O43" s="178" t="s">
        <v>2144</v>
      </c>
      <c r="P43" s="178" t="s">
        <v>3676</v>
      </c>
      <c r="Q43" s="12" t="s">
        <v>1516</v>
      </c>
      <c r="R43" s="179">
        <v>45</v>
      </c>
      <c r="U43" s="12" t="s">
        <v>120</v>
      </c>
      <c r="W43" s="12" t="s">
        <v>1083</v>
      </c>
      <c r="X43" s="12" t="s">
        <v>2054</v>
      </c>
      <c r="Y43" s="178" t="s">
        <v>1938</v>
      </c>
      <c r="Z43" s="12" t="s">
        <v>3677</v>
      </c>
      <c r="AA43" s="178" t="s">
        <v>1520</v>
      </c>
      <c r="AB43" s="12" t="s">
        <v>3678</v>
      </c>
      <c r="AC43" s="178" t="s">
        <v>2624</v>
      </c>
      <c r="AD43" s="12" t="s">
        <v>3678</v>
      </c>
      <c r="AE43" s="12" t="s">
        <v>1075</v>
      </c>
      <c r="AF43" s="12" t="s">
        <v>3679</v>
      </c>
      <c r="AG43" s="12" t="s">
        <v>1092</v>
      </c>
      <c r="AH43" s="12" t="s">
        <v>1092</v>
      </c>
      <c r="AI43" s="12" t="s">
        <v>3680</v>
      </c>
      <c r="AJ43" s="12" t="s">
        <v>3681</v>
      </c>
      <c r="AK43" s="12" t="s">
        <v>3682</v>
      </c>
      <c r="AL43" s="12" t="s">
        <v>1092</v>
      </c>
      <c r="AM43" s="12" t="s">
        <v>1092</v>
      </c>
      <c r="AN43" s="12" t="s">
        <v>1092</v>
      </c>
      <c r="AO43" s="178" t="s">
        <v>1093</v>
      </c>
      <c r="AP43" s="178" t="s">
        <v>1093</v>
      </c>
      <c r="AQ43" s="178" t="s">
        <v>1093</v>
      </c>
      <c r="AR43" s="178" t="s">
        <v>1093</v>
      </c>
      <c r="AS43" s="178" t="s">
        <v>1118</v>
      </c>
      <c r="AT43" s="178" t="s">
        <v>1118</v>
      </c>
      <c r="AU43" s="178" t="s">
        <v>1118</v>
      </c>
      <c r="AV43" s="12" t="s">
        <v>1096</v>
      </c>
      <c r="AW43" s="12" t="s">
        <v>1097</v>
      </c>
      <c r="AY43" s="178" t="s">
        <v>1092</v>
      </c>
      <c r="AZ43" s="12" t="s">
        <v>3683</v>
      </c>
      <c r="BA43" s="12" t="s">
        <v>1098</v>
      </c>
      <c r="BB43" s="12" t="s">
        <v>1098</v>
      </c>
      <c r="BD43" s="12" t="s">
        <v>1092</v>
      </c>
      <c r="BE43" s="12" t="s">
        <v>118</v>
      </c>
      <c r="BF43" s="12" t="s">
        <v>121</v>
      </c>
      <c r="BH43" s="12" t="s">
        <v>120</v>
      </c>
      <c r="BI43" s="179">
        <v>45</v>
      </c>
      <c r="BJ43" s="12"/>
      <c r="BK43" s="12"/>
      <c r="BL43" s="12"/>
    </row>
    <row r="44" spans="1:65" x14ac:dyDescent="0.25">
      <c r="A44" s="12" t="s">
        <v>3147</v>
      </c>
      <c r="B44" s="12" t="s">
        <v>3684</v>
      </c>
      <c r="C44" s="12" t="s">
        <v>3685</v>
      </c>
      <c r="D44" s="12" t="s">
        <v>3686</v>
      </c>
      <c r="E44" s="175">
        <v>42205</v>
      </c>
      <c r="F44" s="12" t="s">
        <v>1491</v>
      </c>
      <c r="G44" s="12" t="s">
        <v>1075</v>
      </c>
      <c r="H44" s="12" t="s">
        <v>3687</v>
      </c>
      <c r="I44" s="12" t="s">
        <v>3688</v>
      </c>
      <c r="K44" s="12" t="s">
        <v>1078</v>
      </c>
      <c r="L44" s="12" t="s">
        <v>1079</v>
      </c>
      <c r="M44" s="12" t="s">
        <v>1342</v>
      </c>
      <c r="O44" s="178" t="s">
        <v>1181</v>
      </c>
      <c r="P44" s="178" t="s">
        <v>3689</v>
      </c>
      <c r="Q44" s="12" t="s">
        <v>1342</v>
      </c>
      <c r="R44" s="179">
        <v>46</v>
      </c>
      <c r="U44" s="12" t="s">
        <v>120</v>
      </c>
      <c r="W44" s="12" t="s">
        <v>1083</v>
      </c>
      <c r="X44" s="12" t="s">
        <v>3690</v>
      </c>
      <c r="Y44" s="178" t="s">
        <v>1898</v>
      </c>
      <c r="Z44" s="12" t="s">
        <v>3691</v>
      </c>
      <c r="AA44" s="178" t="s">
        <v>1087</v>
      </c>
      <c r="AB44" s="12" t="s">
        <v>3692</v>
      </c>
      <c r="AC44" s="178" t="s">
        <v>1853</v>
      </c>
      <c r="AD44" s="12" t="s">
        <v>1506</v>
      </c>
      <c r="AE44" s="12" t="s">
        <v>1075</v>
      </c>
      <c r="AF44" s="12" t="s">
        <v>3693</v>
      </c>
      <c r="AG44" s="12" t="s">
        <v>1092</v>
      </c>
      <c r="AH44" s="12" t="s">
        <v>1092</v>
      </c>
      <c r="AI44" s="12" t="s">
        <v>3694</v>
      </c>
      <c r="AJ44" s="12" t="s">
        <v>3695</v>
      </c>
      <c r="AK44" s="12" t="s">
        <v>1092</v>
      </c>
      <c r="AL44" s="12" t="s">
        <v>1092</v>
      </c>
      <c r="AM44" s="12" t="s">
        <v>1092</v>
      </c>
      <c r="AN44" s="12" t="s">
        <v>1092</v>
      </c>
      <c r="AO44" s="178" t="s">
        <v>1093</v>
      </c>
      <c r="AP44" s="178" t="s">
        <v>1093</v>
      </c>
      <c r="AQ44" s="178" t="s">
        <v>1093</v>
      </c>
      <c r="AR44" s="178" t="s">
        <v>1093</v>
      </c>
      <c r="AS44" s="178" t="s">
        <v>1118</v>
      </c>
      <c r="AT44" s="178" t="s">
        <v>1118</v>
      </c>
      <c r="AU44" s="178" t="s">
        <v>1118</v>
      </c>
      <c r="AV44" s="12" t="s">
        <v>1096</v>
      </c>
      <c r="AW44" s="12" t="s">
        <v>1097</v>
      </c>
      <c r="AY44" s="178" t="s">
        <v>1092</v>
      </c>
      <c r="AZ44" s="12" t="s">
        <v>3696</v>
      </c>
      <c r="BA44" s="12" t="s">
        <v>1098</v>
      </c>
      <c r="BB44" s="12" t="s">
        <v>1098</v>
      </c>
      <c r="BD44" s="12" t="s">
        <v>1092</v>
      </c>
      <c r="BE44" s="12" t="s">
        <v>118</v>
      </c>
      <c r="BF44" s="12" t="s">
        <v>121</v>
      </c>
      <c r="BH44" s="12" t="s">
        <v>120</v>
      </c>
      <c r="BI44" s="179">
        <v>46</v>
      </c>
      <c r="BJ44" s="12"/>
      <c r="BK44" s="12"/>
      <c r="BL44" s="12"/>
    </row>
    <row r="45" spans="1:65" x14ac:dyDescent="0.25">
      <c r="A45" s="12" t="s">
        <v>3147</v>
      </c>
      <c r="B45" s="12" t="s">
        <v>3697</v>
      </c>
      <c r="C45" s="12" t="s">
        <v>3698</v>
      </c>
      <c r="D45" s="12" t="s">
        <v>3699</v>
      </c>
      <c r="E45" s="175">
        <v>42205</v>
      </c>
      <c r="F45" s="12" t="s">
        <v>3700</v>
      </c>
      <c r="G45" s="12" t="s">
        <v>1075</v>
      </c>
      <c r="H45" s="12" t="s">
        <v>3701</v>
      </c>
      <c r="I45" s="12" t="s">
        <v>3702</v>
      </c>
      <c r="J45" s="12" t="s">
        <v>3703</v>
      </c>
      <c r="K45" s="12" t="s">
        <v>1078</v>
      </c>
      <c r="L45" s="12" t="s">
        <v>1079</v>
      </c>
      <c r="M45" s="12" t="s">
        <v>1080</v>
      </c>
      <c r="O45" s="178" t="s">
        <v>1727</v>
      </c>
      <c r="P45" s="178" t="s">
        <v>3704</v>
      </c>
      <c r="Q45" s="12" t="s">
        <v>1080</v>
      </c>
      <c r="R45" s="179">
        <v>47</v>
      </c>
      <c r="U45" s="12" t="s">
        <v>120</v>
      </c>
      <c r="W45" s="12" t="s">
        <v>1083</v>
      </c>
      <c r="X45" s="12" t="s">
        <v>1412</v>
      </c>
      <c r="Y45" s="178" t="s">
        <v>1629</v>
      </c>
      <c r="Z45" s="12" t="s">
        <v>3705</v>
      </c>
      <c r="AA45" s="178" t="s">
        <v>1326</v>
      </c>
      <c r="AB45" s="12" t="s">
        <v>3706</v>
      </c>
      <c r="AC45" s="178" t="s">
        <v>2624</v>
      </c>
      <c r="AD45" s="12" t="s">
        <v>3707</v>
      </c>
      <c r="AE45" s="12" t="s">
        <v>1075</v>
      </c>
      <c r="AF45" s="12" t="s">
        <v>3708</v>
      </c>
      <c r="AG45" s="12" t="s">
        <v>1092</v>
      </c>
      <c r="AH45" s="12" t="s">
        <v>1092</v>
      </c>
      <c r="AI45" s="12" t="s">
        <v>3709</v>
      </c>
      <c r="AJ45" s="12" t="s">
        <v>3710</v>
      </c>
      <c r="AK45" s="12" t="s">
        <v>1092</v>
      </c>
      <c r="AL45" s="12" t="s">
        <v>1092</v>
      </c>
      <c r="AM45" s="12" t="s">
        <v>1092</v>
      </c>
      <c r="AN45" s="12" t="s">
        <v>1092</v>
      </c>
      <c r="AO45" s="178" t="s">
        <v>1093</v>
      </c>
      <c r="AP45" s="178" t="s">
        <v>1092</v>
      </c>
      <c r="AQ45" s="178" t="s">
        <v>1093</v>
      </c>
      <c r="AR45" s="178" t="s">
        <v>1092</v>
      </c>
      <c r="AS45" s="178" t="s">
        <v>1118</v>
      </c>
      <c r="AT45" s="178" t="s">
        <v>1118</v>
      </c>
      <c r="AU45" s="178" t="s">
        <v>1095</v>
      </c>
      <c r="AV45" s="12" t="s">
        <v>1096</v>
      </c>
      <c r="AW45" s="12" t="s">
        <v>1097</v>
      </c>
      <c r="AY45" s="178" t="s">
        <v>1092</v>
      </c>
      <c r="AZ45" s="12" t="s">
        <v>3711</v>
      </c>
      <c r="BA45" s="12" t="s">
        <v>1098</v>
      </c>
      <c r="BB45" s="12" t="s">
        <v>1098</v>
      </c>
      <c r="BD45" s="12" t="s">
        <v>1092</v>
      </c>
      <c r="BE45" s="12" t="s">
        <v>118</v>
      </c>
      <c r="BF45" s="12" t="s">
        <v>121</v>
      </c>
      <c r="BH45" s="12" t="s">
        <v>120</v>
      </c>
      <c r="BI45" s="179">
        <v>47</v>
      </c>
      <c r="BJ45" s="12"/>
      <c r="BK45" s="12"/>
      <c r="BL45" s="12"/>
    </row>
    <row r="46" spans="1:65" x14ac:dyDescent="0.25">
      <c r="A46" s="12" t="s">
        <v>3147</v>
      </c>
      <c r="B46" s="12" t="s">
        <v>3712</v>
      </c>
      <c r="C46" s="12" t="s">
        <v>3713</v>
      </c>
      <c r="D46" s="12" t="s">
        <v>3714</v>
      </c>
      <c r="E46" s="175">
        <v>42205</v>
      </c>
      <c r="F46" s="12" t="s">
        <v>2395</v>
      </c>
      <c r="G46" s="12" t="s">
        <v>1075</v>
      </c>
      <c r="H46" s="12" t="s">
        <v>3715</v>
      </c>
      <c r="I46" s="12" t="s">
        <v>3716</v>
      </c>
      <c r="K46" s="12" t="s">
        <v>1103</v>
      </c>
      <c r="L46" s="12" t="s">
        <v>1104</v>
      </c>
      <c r="M46" s="12" t="s">
        <v>1105</v>
      </c>
      <c r="O46" s="178" t="s">
        <v>1549</v>
      </c>
      <c r="P46" s="178" t="s">
        <v>3717</v>
      </c>
      <c r="Q46" s="12" t="s">
        <v>1105</v>
      </c>
      <c r="R46" s="179">
        <v>48</v>
      </c>
      <c r="U46" s="12" t="s">
        <v>120</v>
      </c>
      <c r="W46" s="12" t="s">
        <v>1083</v>
      </c>
      <c r="X46" s="12" t="s">
        <v>1412</v>
      </c>
      <c r="Y46" s="178" t="s">
        <v>1087</v>
      </c>
      <c r="Z46" s="12" t="s">
        <v>1401</v>
      </c>
      <c r="AB46" s="12" t="s">
        <v>1185</v>
      </c>
      <c r="AD46" s="12" t="s">
        <v>1185</v>
      </c>
      <c r="AE46" s="12" t="s">
        <v>1075</v>
      </c>
      <c r="AF46" s="12" t="s">
        <v>3718</v>
      </c>
      <c r="AG46" s="12" t="s">
        <v>1092</v>
      </c>
      <c r="AH46" s="12" t="s">
        <v>1092</v>
      </c>
      <c r="AI46" s="12" t="s">
        <v>1296</v>
      </c>
      <c r="AJ46" s="12" t="s">
        <v>2387</v>
      </c>
      <c r="AK46" s="12" t="s">
        <v>1092</v>
      </c>
      <c r="AL46" s="12" t="s">
        <v>1092</v>
      </c>
      <c r="AM46" s="12" t="s">
        <v>1092</v>
      </c>
      <c r="AN46" s="12" t="s">
        <v>1092</v>
      </c>
      <c r="AO46" s="178" t="s">
        <v>1092</v>
      </c>
      <c r="AP46" s="178" t="s">
        <v>1092</v>
      </c>
      <c r="AQ46" s="178" t="s">
        <v>1093</v>
      </c>
      <c r="AR46" s="178" t="s">
        <v>1092</v>
      </c>
      <c r="AS46" s="178" t="s">
        <v>1155</v>
      </c>
      <c r="AT46" s="178" t="s">
        <v>1118</v>
      </c>
      <c r="AU46" s="178" t="s">
        <v>1095</v>
      </c>
      <c r="AV46" s="12" t="s">
        <v>1096</v>
      </c>
      <c r="AW46" s="12" t="s">
        <v>1097</v>
      </c>
      <c r="AY46" s="178" t="s">
        <v>1092</v>
      </c>
      <c r="AZ46" s="12" t="s">
        <v>3719</v>
      </c>
      <c r="BA46" s="12" t="s">
        <v>1098</v>
      </c>
      <c r="BB46" s="12" t="s">
        <v>1098</v>
      </c>
      <c r="BD46" s="12" t="s">
        <v>1092</v>
      </c>
      <c r="BE46" s="12" t="s">
        <v>118</v>
      </c>
      <c r="BF46" s="12" t="s">
        <v>121</v>
      </c>
      <c r="BH46" s="12" t="s">
        <v>120</v>
      </c>
      <c r="BI46" s="179">
        <v>48</v>
      </c>
      <c r="BJ46" s="12"/>
      <c r="BK46" s="12"/>
      <c r="BL46" s="12"/>
    </row>
    <row r="47" spans="1:65" x14ac:dyDescent="0.25">
      <c r="A47" s="12" t="s">
        <v>3147</v>
      </c>
      <c r="B47" s="12" t="s">
        <v>3720</v>
      </c>
      <c r="C47" s="12" t="s">
        <v>3721</v>
      </c>
      <c r="D47" s="12" t="s">
        <v>3722</v>
      </c>
      <c r="E47" s="175">
        <v>42205</v>
      </c>
      <c r="F47" s="12" t="s">
        <v>1400</v>
      </c>
      <c r="G47" s="12" t="s">
        <v>1075</v>
      </c>
      <c r="H47" s="12" t="s">
        <v>3723</v>
      </c>
      <c r="I47" s="12" t="s">
        <v>2178</v>
      </c>
      <c r="J47" s="12" t="s">
        <v>2212</v>
      </c>
      <c r="K47" s="12" t="s">
        <v>1078</v>
      </c>
      <c r="L47" s="12" t="s">
        <v>1079</v>
      </c>
      <c r="M47" s="12" t="s">
        <v>1342</v>
      </c>
      <c r="O47" s="178" t="s">
        <v>1181</v>
      </c>
      <c r="P47" s="178" t="s">
        <v>3724</v>
      </c>
      <c r="Q47" s="12" t="s">
        <v>1342</v>
      </c>
      <c r="R47" s="179">
        <v>49</v>
      </c>
      <c r="U47" s="12" t="s">
        <v>120</v>
      </c>
      <c r="W47" s="12" t="s">
        <v>1083</v>
      </c>
      <c r="X47" s="12" t="s">
        <v>1464</v>
      </c>
      <c r="Y47" s="178" t="s">
        <v>2328</v>
      </c>
      <c r="Z47" s="12" t="s">
        <v>3725</v>
      </c>
      <c r="AA47" s="178" t="s">
        <v>1198</v>
      </c>
      <c r="AB47" s="12" t="s">
        <v>3726</v>
      </c>
      <c r="AC47" s="178" t="s">
        <v>2182</v>
      </c>
      <c r="AD47" s="12" t="s">
        <v>3727</v>
      </c>
      <c r="AE47" s="12" t="s">
        <v>1075</v>
      </c>
      <c r="AF47" s="12" t="s">
        <v>3728</v>
      </c>
      <c r="AG47" s="12" t="s">
        <v>1092</v>
      </c>
      <c r="AH47" s="12" t="s">
        <v>1092</v>
      </c>
      <c r="AI47" s="12" t="s">
        <v>3729</v>
      </c>
      <c r="AJ47" s="12" t="s">
        <v>3730</v>
      </c>
      <c r="AK47" s="12" t="s">
        <v>3731</v>
      </c>
      <c r="AL47" s="12" t="s">
        <v>1092</v>
      </c>
      <c r="AM47" s="12" t="s">
        <v>1092</v>
      </c>
      <c r="AN47" s="12" t="s">
        <v>1092</v>
      </c>
      <c r="AO47" s="178" t="s">
        <v>1093</v>
      </c>
      <c r="AP47" s="178" t="s">
        <v>1093</v>
      </c>
      <c r="AQ47" s="178" t="s">
        <v>1093</v>
      </c>
      <c r="AR47" s="178" t="s">
        <v>1093</v>
      </c>
      <c r="AS47" s="178" t="s">
        <v>1118</v>
      </c>
      <c r="AT47" s="178" t="s">
        <v>1118</v>
      </c>
      <c r="AU47" s="178" t="s">
        <v>1118</v>
      </c>
      <c r="AV47" s="12" t="s">
        <v>1096</v>
      </c>
      <c r="AW47" s="12" t="s">
        <v>1097</v>
      </c>
      <c r="AX47" s="178" t="s">
        <v>3732</v>
      </c>
      <c r="AY47" s="178" t="s">
        <v>1157</v>
      </c>
      <c r="AZ47" s="12" t="s">
        <v>3733</v>
      </c>
      <c r="BA47" s="12" t="s">
        <v>1098</v>
      </c>
      <c r="BB47" s="12" t="s">
        <v>1098</v>
      </c>
      <c r="BD47" s="12" t="s">
        <v>1092</v>
      </c>
      <c r="BE47" s="12" t="s">
        <v>118</v>
      </c>
      <c r="BF47" s="12" t="s">
        <v>121</v>
      </c>
      <c r="BH47" s="12" t="s">
        <v>120</v>
      </c>
      <c r="BI47" s="179">
        <v>49</v>
      </c>
      <c r="BJ47" s="12"/>
      <c r="BK47" s="12"/>
      <c r="BL47" s="12"/>
    </row>
    <row r="48" spans="1:65" x14ac:dyDescent="0.25">
      <c r="A48" s="12" t="s">
        <v>3147</v>
      </c>
      <c r="B48" s="12" t="s">
        <v>3734</v>
      </c>
      <c r="C48" s="12" t="s">
        <v>3735</v>
      </c>
      <c r="D48" s="12" t="s">
        <v>3736</v>
      </c>
      <c r="E48" s="175">
        <v>42205</v>
      </c>
      <c r="F48" s="12" t="s">
        <v>1757</v>
      </c>
      <c r="G48" s="12" t="s">
        <v>1075</v>
      </c>
      <c r="H48" s="12" t="s">
        <v>3737</v>
      </c>
      <c r="I48" s="12" t="s">
        <v>3738</v>
      </c>
      <c r="K48" s="12" t="s">
        <v>1103</v>
      </c>
      <c r="L48" s="12" t="s">
        <v>1179</v>
      </c>
      <c r="M48" s="12" t="s">
        <v>1244</v>
      </c>
      <c r="O48" s="178" t="s">
        <v>1106</v>
      </c>
      <c r="P48" s="178" t="s">
        <v>3739</v>
      </c>
      <c r="Q48" s="12" t="s">
        <v>1244</v>
      </c>
      <c r="R48" s="179">
        <v>50</v>
      </c>
      <c r="U48" s="12" t="s">
        <v>120</v>
      </c>
      <c r="W48" s="12" t="s">
        <v>1083</v>
      </c>
      <c r="X48" s="12" t="s">
        <v>1949</v>
      </c>
      <c r="Y48" s="178" t="s">
        <v>1563</v>
      </c>
      <c r="Z48" s="12" t="s">
        <v>3740</v>
      </c>
      <c r="AA48" s="178" t="s">
        <v>1355</v>
      </c>
      <c r="AB48" s="12" t="s">
        <v>3740</v>
      </c>
      <c r="AC48" s="178" t="s">
        <v>1307</v>
      </c>
      <c r="AD48" s="12" t="s">
        <v>3741</v>
      </c>
      <c r="AE48" s="12" t="s">
        <v>1075</v>
      </c>
      <c r="AF48" s="12" t="s">
        <v>3742</v>
      </c>
      <c r="AG48" s="12" t="s">
        <v>1092</v>
      </c>
      <c r="AH48" s="12" t="s">
        <v>1092</v>
      </c>
      <c r="AI48" s="12" t="s">
        <v>1404</v>
      </c>
      <c r="AJ48" s="12" t="s">
        <v>3743</v>
      </c>
      <c r="AK48" s="12" t="s">
        <v>3743</v>
      </c>
      <c r="AL48" s="12" t="s">
        <v>1092</v>
      </c>
      <c r="AM48" s="12" t="s">
        <v>1092</v>
      </c>
      <c r="AN48" s="12" t="s">
        <v>1092</v>
      </c>
      <c r="AO48" s="178" t="s">
        <v>1092</v>
      </c>
      <c r="AP48" s="178" t="s">
        <v>1092</v>
      </c>
      <c r="AQ48" s="178" t="s">
        <v>1093</v>
      </c>
      <c r="AR48" s="178" t="s">
        <v>1092</v>
      </c>
      <c r="AS48" s="178" t="s">
        <v>1155</v>
      </c>
      <c r="AT48" s="178" t="s">
        <v>1118</v>
      </c>
      <c r="AU48" s="178" t="s">
        <v>1095</v>
      </c>
      <c r="AV48" s="12" t="s">
        <v>1096</v>
      </c>
      <c r="AW48" s="12" t="s">
        <v>1097</v>
      </c>
      <c r="AY48" s="178" t="s">
        <v>1092</v>
      </c>
      <c r="AZ48" s="12" t="s">
        <v>3744</v>
      </c>
      <c r="BA48" s="12" t="s">
        <v>1098</v>
      </c>
      <c r="BB48" s="12" t="s">
        <v>1098</v>
      </c>
      <c r="BD48" s="12" t="s">
        <v>1092</v>
      </c>
      <c r="BE48" s="12" t="s">
        <v>118</v>
      </c>
      <c r="BF48" s="12" t="s">
        <v>121</v>
      </c>
      <c r="BH48" s="12" t="s">
        <v>120</v>
      </c>
      <c r="BI48" s="179">
        <v>50</v>
      </c>
      <c r="BJ48" s="12"/>
      <c r="BK48" s="12"/>
      <c r="BL48" s="12"/>
    </row>
    <row r="49" spans="1:65" x14ac:dyDescent="0.25">
      <c r="A49" s="12" t="s">
        <v>3147</v>
      </c>
      <c r="B49" s="12" t="s">
        <v>3745</v>
      </c>
      <c r="C49" s="12" t="s">
        <v>3746</v>
      </c>
      <c r="D49" s="12" t="s">
        <v>3747</v>
      </c>
      <c r="E49" s="175">
        <v>42205</v>
      </c>
      <c r="F49" s="12" t="s">
        <v>3748</v>
      </c>
      <c r="G49" s="12" t="s">
        <v>1075</v>
      </c>
      <c r="H49" s="12" t="s">
        <v>3749</v>
      </c>
      <c r="I49" s="12" t="s">
        <v>3750</v>
      </c>
      <c r="K49" s="12" t="s">
        <v>1103</v>
      </c>
      <c r="L49" s="12" t="s">
        <v>1179</v>
      </c>
      <c r="M49" s="12" t="s">
        <v>1244</v>
      </c>
      <c r="O49" s="178" t="s">
        <v>1812</v>
      </c>
      <c r="P49" s="178" t="s">
        <v>3751</v>
      </c>
      <c r="Q49" s="12" t="s">
        <v>1244</v>
      </c>
      <c r="R49" s="179">
        <v>51</v>
      </c>
      <c r="U49" s="12" t="s">
        <v>120</v>
      </c>
      <c r="W49" s="12" t="s">
        <v>1083</v>
      </c>
      <c r="X49" s="12" t="s">
        <v>3690</v>
      </c>
      <c r="Y49" s="178" t="s">
        <v>2815</v>
      </c>
      <c r="Z49" s="12" t="s">
        <v>1607</v>
      </c>
      <c r="AA49" s="178" t="s">
        <v>1111</v>
      </c>
      <c r="AB49" s="12" t="s">
        <v>3752</v>
      </c>
      <c r="AC49" s="178" t="s">
        <v>1520</v>
      </c>
      <c r="AD49" s="12" t="s">
        <v>3753</v>
      </c>
      <c r="AE49" s="12" t="s">
        <v>1075</v>
      </c>
      <c r="AF49" s="12" t="s">
        <v>2479</v>
      </c>
      <c r="AG49" s="12" t="s">
        <v>1092</v>
      </c>
      <c r="AH49" s="12" t="s">
        <v>1092</v>
      </c>
      <c r="AI49" s="12" t="s">
        <v>3754</v>
      </c>
      <c r="AJ49" s="12" t="s">
        <v>3755</v>
      </c>
      <c r="AK49" s="12" t="s">
        <v>1092</v>
      </c>
      <c r="AL49" s="12" t="s">
        <v>1092</v>
      </c>
      <c r="AM49" s="12" t="s">
        <v>1092</v>
      </c>
      <c r="AN49" s="12" t="s">
        <v>1092</v>
      </c>
      <c r="AO49" s="178" t="s">
        <v>1092</v>
      </c>
      <c r="AP49" s="178" t="s">
        <v>1092</v>
      </c>
      <c r="AQ49" s="178" t="s">
        <v>1093</v>
      </c>
      <c r="AR49" s="178" t="s">
        <v>1092</v>
      </c>
      <c r="AS49" s="178" t="s">
        <v>1155</v>
      </c>
      <c r="AT49" s="178" t="s">
        <v>1118</v>
      </c>
      <c r="AU49" s="178" t="s">
        <v>1095</v>
      </c>
      <c r="AV49" s="12" t="s">
        <v>1096</v>
      </c>
      <c r="AW49" s="12" t="s">
        <v>1097</v>
      </c>
      <c r="AY49" s="178" t="s">
        <v>1092</v>
      </c>
      <c r="AZ49" s="12" t="s">
        <v>3756</v>
      </c>
      <c r="BA49" s="12" t="s">
        <v>1098</v>
      </c>
      <c r="BB49" s="12" t="s">
        <v>1098</v>
      </c>
      <c r="BC49" s="178" t="s">
        <v>1205</v>
      </c>
      <c r="BD49" s="12" t="s">
        <v>1092</v>
      </c>
      <c r="BE49" s="12" t="s">
        <v>118</v>
      </c>
      <c r="BF49" s="12" t="s">
        <v>121</v>
      </c>
      <c r="BH49" s="12" t="s">
        <v>120</v>
      </c>
      <c r="BI49" s="179">
        <v>51</v>
      </c>
      <c r="BJ49" s="12"/>
      <c r="BK49" s="12"/>
      <c r="BL49" s="12"/>
    </row>
    <row r="50" spans="1:65" x14ac:dyDescent="0.25">
      <c r="A50" s="12" t="s">
        <v>3147</v>
      </c>
      <c r="B50" s="12" t="s">
        <v>3757</v>
      </c>
      <c r="C50" s="12" t="s">
        <v>3758</v>
      </c>
      <c r="D50" s="12" t="s">
        <v>3759</v>
      </c>
      <c r="E50" s="175">
        <v>42205</v>
      </c>
      <c r="F50" s="12" t="s">
        <v>3760</v>
      </c>
      <c r="G50" s="12" t="s">
        <v>1075</v>
      </c>
      <c r="H50" s="12" t="s">
        <v>3761</v>
      </c>
      <c r="I50" s="12" t="s">
        <v>3762</v>
      </c>
      <c r="J50" s="12" t="s">
        <v>3763</v>
      </c>
      <c r="K50" s="12" t="s">
        <v>1103</v>
      </c>
      <c r="L50" s="12" t="s">
        <v>1124</v>
      </c>
      <c r="M50" s="12" t="s">
        <v>1105</v>
      </c>
      <c r="O50" s="178" t="s">
        <v>1163</v>
      </c>
      <c r="P50" s="178" t="s">
        <v>3764</v>
      </c>
      <c r="Q50" s="12" t="s">
        <v>1105</v>
      </c>
      <c r="R50" s="179">
        <v>52</v>
      </c>
      <c r="U50" s="12" t="s">
        <v>120</v>
      </c>
      <c r="W50" s="12" t="s">
        <v>1083</v>
      </c>
      <c r="X50" s="12" t="s">
        <v>1412</v>
      </c>
      <c r="Y50" s="178" t="s">
        <v>2012</v>
      </c>
      <c r="Z50" s="12" t="s">
        <v>3765</v>
      </c>
      <c r="AA50" s="178" t="s">
        <v>1590</v>
      </c>
      <c r="AB50" s="12" t="s">
        <v>1684</v>
      </c>
      <c r="AC50" s="178" t="s">
        <v>1781</v>
      </c>
      <c r="AD50" s="12" t="s">
        <v>3766</v>
      </c>
      <c r="AE50" s="12" t="s">
        <v>1075</v>
      </c>
      <c r="AF50" s="12" t="s">
        <v>3767</v>
      </c>
      <c r="AG50" s="12" t="s">
        <v>1092</v>
      </c>
      <c r="AH50" s="12" t="s">
        <v>1092</v>
      </c>
      <c r="AI50" s="12" t="s">
        <v>3768</v>
      </c>
      <c r="AJ50" s="12" t="s">
        <v>3769</v>
      </c>
      <c r="AK50" s="12" t="s">
        <v>1092</v>
      </c>
      <c r="AL50" s="12" t="s">
        <v>1092</v>
      </c>
      <c r="AM50" s="12" t="s">
        <v>1092</v>
      </c>
      <c r="AN50" s="12" t="s">
        <v>1092</v>
      </c>
      <c r="AO50" s="178" t="s">
        <v>1093</v>
      </c>
      <c r="AP50" s="178" t="s">
        <v>1093</v>
      </c>
      <c r="AQ50" s="178" t="s">
        <v>1093</v>
      </c>
      <c r="AR50" s="178" t="s">
        <v>1093</v>
      </c>
      <c r="AS50" s="178" t="s">
        <v>1118</v>
      </c>
      <c r="AT50" s="178" t="s">
        <v>1118</v>
      </c>
      <c r="AU50" s="178" t="s">
        <v>1118</v>
      </c>
      <c r="AV50" s="12" t="s">
        <v>1096</v>
      </c>
      <c r="AW50" s="12" t="s">
        <v>1097</v>
      </c>
      <c r="AY50" s="178" t="s">
        <v>1092</v>
      </c>
      <c r="AZ50" s="12" t="s">
        <v>3770</v>
      </c>
      <c r="BA50" s="12" t="s">
        <v>1098</v>
      </c>
      <c r="BB50" s="12" t="s">
        <v>3771</v>
      </c>
      <c r="BD50" s="12" t="s">
        <v>1092</v>
      </c>
      <c r="BE50" s="12" t="s">
        <v>118</v>
      </c>
      <c r="BF50" s="12" t="s">
        <v>121</v>
      </c>
      <c r="BH50" s="12" t="s">
        <v>120</v>
      </c>
      <c r="BI50" s="179">
        <v>52</v>
      </c>
      <c r="BJ50" s="12"/>
      <c r="BK50" s="12"/>
      <c r="BL50" s="12"/>
    </row>
    <row r="51" spans="1:65" x14ac:dyDescent="0.25">
      <c r="A51" s="12" t="s">
        <v>3147</v>
      </c>
      <c r="B51" s="12" t="s">
        <v>3772</v>
      </c>
      <c r="C51" s="12" t="s">
        <v>3773</v>
      </c>
      <c r="D51" s="12" t="s">
        <v>3774</v>
      </c>
      <c r="E51" s="175">
        <v>42205</v>
      </c>
      <c r="F51" s="12" t="s">
        <v>3775</v>
      </c>
      <c r="G51" s="12" t="s">
        <v>1075</v>
      </c>
      <c r="H51" s="12" t="s">
        <v>3776</v>
      </c>
      <c r="I51" s="12" t="s">
        <v>3777</v>
      </c>
      <c r="K51" s="12" t="s">
        <v>1103</v>
      </c>
      <c r="L51" s="12" t="s">
        <v>1179</v>
      </c>
      <c r="M51" s="12" t="s">
        <v>1195</v>
      </c>
      <c r="O51" s="178" t="s">
        <v>1368</v>
      </c>
      <c r="P51" s="178" t="s">
        <v>3778</v>
      </c>
      <c r="Q51" s="12" t="s">
        <v>1195</v>
      </c>
      <c r="R51" s="179">
        <v>53</v>
      </c>
      <c r="U51" s="12" t="s">
        <v>120</v>
      </c>
      <c r="W51" s="12" t="s">
        <v>1083</v>
      </c>
      <c r="X51" s="12" t="s">
        <v>3690</v>
      </c>
      <c r="Y51" s="178" t="s">
        <v>1851</v>
      </c>
      <c r="Z51" s="12" t="s">
        <v>3779</v>
      </c>
      <c r="AA51" s="178" t="s">
        <v>1979</v>
      </c>
      <c r="AB51" s="12" t="s">
        <v>3780</v>
      </c>
      <c r="AC51" s="178" t="s">
        <v>2643</v>
      </c>
      <c r="AD51" s="12" t="s">
        <v>3781</v>
      </c>
      <c r="AE51" s="12" t="s">
        <v>1075</v>
      </c>
      <c r="AF51" s="12" t="s">
        <v>3782</v>
      </c>
      <c r="AG51" s="12" t="s">
        <v>1092</v>
      </c>
      <c r="AH51" s="12" t="s">
        <v>1092</v>
      </c>
      <c r="AI51" s="12" t="s">
        <v>2162</v>
      </c>
      <c r="AJ51" s="12" t="s">
        <v>1806</v>
      </c>
      <c r="AK51" s="12" t="s">
        <v>1092</v>
      </c>
      <c r="AL51" s="12" t="s">
        <v>1092</v>
      </c>
      <c r="AM51" s="12" t="s">
        <v>1092</v>
      </c>
      <c r="AN51" s="12" t="s">
        <v>1092</v>
      </c>
      <c r="AO51" s="178" t="s">
        <v>1092</v>
      </c>
      <c r="AP51" s="178" t="s">
        <v>1092</v>
      </c>
      <c r="AQ51" s="178" t="s">
        <v>1093</v>
      </c>
      <c r="AR51" s="178" t="s">
        <v>1092</v>
      </c>
      <c r="AS51" s="178" t="s">
        <v>1155</v>
      </c>
      <c r="AT51" s="178" t="s">
        <v>1118</v>
      </c>
      <c r="AU51" s="178" t="s">
        <v>1095</v>
      </c>
      <c r="AV51" s="12" t="s">
        <v>1096</v>
      </c>
      <c r="AW51" s="12" t="s">
        <v>1097</v>
      </c>
      <c r="AY51" s="178" t="s">
        <v>1092</v>
      </c>
      <c r="AZ51" s="12" t="s">
        <v>3783</v>
      </c>
      <c r="BA51" s="12" t="s">
        <v>1098</v>
      </c>
      <c r="BB51" s="12" t="s">
        <v>1098</v>
      </c>
      <c r="BC51" s="178" t="s">
        <v>1205</v>
      </c>
      <c r="BD51" s="12" t="s">
        <v>1092</v>
      </c>
      <c r="BE51" s="12" t="s">
        <v>118</v>
      </c>
      <c r="BF51" s="12" t="s">
        <v>121</v>
      </c>
      <c r="BH51" s="12" t="s">
        <v>120</v>
      </c>
      <c r="BI51" s="179">
        <v>53</v>
      </c>
      <c r="BJ51" s="12"/>
      <c r="BK51" s="12"/>
      <c r="BL51" s="12"/>
    </row>
    <row r="52" spans="1:65" x14ac:dyDescent="0.25">
      <c r="A52" s="12" t="s">
        <v>3147</v>
      </c>
      <c r="B52" s="12" t="s">
        <v>3784</v>
      </c>
      <c r="C52" s="12" t="s">
        <v>3785</v>
      </c>
      <c r="D52" s="12" t="s">
        <v>3786</v>
      </c>
      <c r="E52" s="175">
        <v>42205</v>
      </c>
      <c r="F52" s="12" t="s">
        <v>3787</v>
      </c>
      <c r="G52" s="12" t="s">
        <v>1075</v>
      </c>
      <c r="H52" s="12" t="s">
        <v>1076</v>
      </c>
      <c r="I52" s="12" t="s">
        <v>3788</v>
      </c>
      <c r="J52" s="12" t="s">
        <v>3789</v>
      </c>
      <c r="K52" s="12" t="s">
        <v>1078</v>
      </c>
      <c r="L52" s="12" t="s">
        <v>1079</v>
      </c>
      <c r="M52" s="12" t="s">
        <v>1080</v>
      </c>
      <c r="O52" s="178" t="s">
        <v>1517</v>
      </c>
      <c r="P52" s="178" t="s">
        <v>3790</v>
      </c>
      <c r="Q52" s="12" t="s">
        <v>1080</v>
      </c>
      <c r="R52" s="179">
        <v>54</v>
      </c>
      <c r="U52" s="12" t="s">
        <v>120</v>
      </c>
      <c r="W52" s="12" t="s">
        <v>1083</v>
      </c>
      <c r="X52" s="12" t="s">
        <v>2339</v>
      </c>
      <c r="Y52" s="178" t="s">
        <v>1370</v>
      </c>
      <c r="Z52" s="12" t="s">
        <v>3791</v>
      </c>
      <c r="AA52" s="178" t="s">
        <v>1113</v>
      </c>
      <c r="AB52" s="12" t="s">
        <v>3791</v>
      </c>
      <c r="AC52" s="178" t="s">
        <v>1566</v>
      </c>
      <c r="AD52" s="12" t="s">
        <v>3791</v>
      </c>
      <c r="AE52" s="12" t="s">
        <v>1075</v>
      </c>
      <c r="AF52" s="12" t="s">
        <v>3792</v>
      </c>
      <c r="AG52" s="12" t="s">
        <v>1092</v>
      </c>
      <c r="AH52" s="12" t="s">
        <v>1092</v>
      </c>
      <c r="AI52" s="12" t="s">
        <v>3793</v>
      </c>
      <c r="AJ52" s="12" t="s">
        <v>3794</v>
      </c>
      <c r="AK52" s="12" t="s">
        <v>3794</v>
      </c>
      <c r="AL52" s="12" t="s">
        <v>1092</v>
      </c>
      <c r="AM52" s="12" t="s">
        <v>1092</v>
      </c>
      <c r="AN52" s="12" t="s">
        <v>1092</v>
      </c>
      <c r="AO52" s="178" t="s">
        <v>1093</v>
      </c>
      <c r="AP52" s="178" t="s">
        <v>1092</v>
      </c>
      <c r="AQ52" s="178" t="s">
        <v>1093</v>
      </c>
      <c r="AR52" s="178" t="s">
        <v>1092</v>
      </c>
      <c r="AS52" s="178" t="s">
        <v>1118</v>
      </c>
      <c r="AT52" s="178" t="s">
        <v>1118</v>
      </c>
      <c r="AU52" s="178" t="s">
        <v>1095</v>
      </c>
      <c r="AV52" s="12" t="s">
        <v>1096</v>
      </c>
      <c r="AW52" s="12" t="s">
        <v>1097</v>
      </c>
      <c r="AY52" s="178" t="s">
        <v>1092</v>
      </c>
      <c r="AZ52" s="12" t="s">
        <v>1098</v>
      </c>
      <c r="BA52" s="12" t="s">
        <v>1098</v>
      </c>
      <c r="BB52" s="12" t="s">
        <v>3795</v>
      </c>
      <c r="BC52" s="178" t="s">
        <v>1205</v>
      </c>
      <c r="BD52" s="12" t="s">
        <v>1092</v>
      </c>
      <c r="BE52" s="12" t="s">
        <v>118</v>
      </c>
      <c r="BF52" s="12" t="s">
        <v>121</v>
      </c>
      <c r="BH52" s="12" t="s">
        <v>120</v>
      </c>
      <c r="BI52" s="179">
        <v>54</v>
      </c>
      <c r="BJ52" s="12"/>
      <c r="BK52" s="12"/>
      <c r="BL52" s="12"/>
    </row>
    <row r="53" spans="1:65" x14ac:dyDescent="0.25">
      <c r="A53" s="12" t="s">
        <v>3147</v>
      </c>
      <c r="B53" s="12" t="s">
        <v>3796</v>
      </c>
      <c r="C53" s="12" t="s">
        <v>3797</v>
      </c>
      <c r="D53" s="12" t="s">
        <v>3798</v>
      </c>
      <c r="E53" s="175">
        <v>42205</v>
      </c>
      <c r="F53" s="12" t="s">
        <v>1757</v>
      </c>
      <c r="G53" s="12" t="s">
        <v>1075</v>
      </c>
      <c r="H53" s="12" t="s">
        <v>3799</v>
      </c>
      <c r="I53" s="12" t="s">
        <v>3800</v>
      </c>
      <c r="J53" s="12" t="s">
        <v>3063</v>
      </c>
      <c r="K53" s="12" t="s">
        <v>1078</v>
      </c>
      <c r="L53" s="12" t="s">
        <v>1079</v>
      </c>
      <c r="M53" s="12" t="s">
        <v>1342</v>
      </c>
      <c r="O53" s="178" t="s">
        <v>1126</v>
      </c>
      <c r="P53" s="178" t="s">
        <v>3801</v>
      </c>
      <c r="Q53" s="12" t="s">
        <v>1342</v>
      </c>
      <c r="R53" s="179">
        <v>55</v>
      </c>
      <c r="U53" s="12" t="s">
        <v>120</v>
      </c>
      <c r="W53" s="12" t="s">
        <v>1083</v>
      </c>
      <c r="X53" s="12" t="s">
        <v>1949</v>
      </c>
      <c r="Y53" s="178" t="s">
        <v>2815</v>
      </c>
      <c r="Z53" s="12" t="s">
        <v>3802</v>
      </c>
      <c r="AA53" s="178" t="s">
        <v>1938</v>
      </c>
      <c r="AB53" s="12" t="s">
        <v>1133</v>
      </c>
      <c r="AC53" s="178" t="s">
        <v>1440</v>
      </c>
      <c r="AD53" s="12" t="s">
        <v>3803</v>
      </c>
      <c r="AE53" s="12" t="s">
        <v>1075</v>
      </c>
      <c r="AF53" s="12" t="s">
        <v>3804</v>
      </c>
      <c r="AG53" s="12" t="s">
        <v>3805</v>
      </c>
      <c r="AH53" s="12" t="s">
        <v>1092</v>
      </c>
      <c r="AI53" s="12" t="s">
        <v>3806</v>
      </c>
      <c r="AJ53" s="12" t="s">
        <v>3807</v>
      </c>
      <c r="AK53" s="12" t="s">
        <v>3808</v>
      </c>
      <c r="AL53" s="12" t="s">
        <v>1092</v>
      </c>
      <c r="AM53" s="12" t="s">
        <v>1092</v>
      </c>
      <c r="AN53" s="12" t="s">
        <v>1092</v>
      </c>
      <c r="AO53" s="178" t="s">
        <v>1093</v>
      </c>
      <c r="AP53" s="178" t="s">
        <v>1093</v>
      </c>
      <c r="AQ53" s="178" t="s">
        <v>1093</v>
      </c>
      <c r="AR53" s="178" t="s">
        <v>1093</v>
      </c>
      <c r="AS53" s="178" t="s">
        <v>1118</v>
      </c>
      <c r="AT53" s="178" t="s">
        <v>1118</v>
      </c>
      <c r="AU53" s="178" t="s">
        <v>1118</v>
      </c>
      <c r="AV53" s="12" t="s">
        <v>1096</v>
      </c>
      <c r="AW53" s="12" t="s">
        <v>1097</v>
      </c>
      <c r="AY53" s="178" t="s">
        <v>1092</v>
      </c>
      <c r="AZ53" s="12" t="s">
        <v>3809</v>
      </c>
      <c r="BA53" s="12" t="s">
        <v>1098</v>
      </c>
      <c r="BB53" s="12" t="s">
        <v>1098</v>
      </c>
      <c r="BD53" s="12" t="s">
        <v>1092</v>
      </c>
      <c r="BE53" s="12" t="s">
        <v>118</v>
      </c>
      <c r="BF53" s="12" t="s">
        <v>121</v>
      </c>
      <c r="BH53" s="12" t="s">
        <v>120</v>
      </c>
      <c r="BI53" s="179">
        <v>55</v>
      </c>
      <c r="BJ53" s="12"/>
      <c r="BK53" s="12"/>
      <c r="BL53" s="12"/>
    </row>
    <row r="54" spans="1:65" x14ac:dyDescent="0.25">
      <c r="A54" s="12" t="s">
        <v>3147</v>
      </c>
      <c r="B54" s="12" t="s">
        <v>3810</v>
      </c>
      <c r="C54" s="12" t="s">
        <v>3811</v>
      </c>
      <c r="D54" s="12" t="s">
        <v>3812</v>
      </c>
      <c r="E54" s="175">
        <v>42205</v>
      </c>
      <c r="F54" s="12" t="s">
        <v>2264</v>
      </c>
      <c r="G54" s="12" t="s">
        <v>1075</v>
      </c>
      <c r="H54" s="12" t="s">
        <v>3813</v>
      </c>
      <c r="I54" s="12" t="s">
        <v>2021</v>
      </c>
      <c r="J54" s="12" t="s">
        <v>3814</v>
      </c>
      <c r="K54" s="12" t="s">
        <v>1103</v>
      </c>
      <c r="L54" s="12" t="s">
        <v>1179</v>
      </c>
      <c r="M54" s="12" t="s">
        <v>1244</v>
      </c>
      <c r="O54" s="178" t="s">
        <v>1181</v>
      </c>
      <c r="P54" s="178" t="s">
        <v>3815</v>
      </c>
      <c r="Q54" s="12" t="s">
        <v>1244</v>
      </c>
      <c r="R54" s="179">
        <v>56</v>
      </c>
      <c r="S54" s="12" t="s">
        <v>3816</v>
      </c>
      <c r="U54" s="12" t="s">
        <v>120</v>
      </c>
      <c r="W54" s="12" t="s">
        <v>1083</v>
      </c>
      <c r="X54" s="12" t="s">
        <v>1359</v>
      </c>
      <c r="Y54" s="178" t="s">
        <v>2445</v>
      </c>
      <c r="Z54" s="12" t="s">
        <v>1348</v>
      </c>
      <c r="AA54" s="178" t="s">
        <v>2445</v>
      </c>
      <c r="AB54" s="12" t="s">
        <v>3817</v>
      </c>
      <c r="AC54" s="178" t="s">
        <v>2264</v>
      </c>
      <c r="AD54" s="12" t="s">
        <v>2475</v>
      </c>
      <c r="AE54" s="12" t="s">
        <v>1075</v>
      </c>
      <c r="AF54" s="12" t="s">
        <v>3818</v>
      </c>
      <c r="AG54" s="12" t="s">
        <v>1236</v>
      </c>
      <c r="AH54" s="12" t="s">
        <v>1092</v>
      </c>
      <c r="AI54" s="12" t="s">
        <v>3819</v>
      </c>
      <c r="AJ54" s="12" t="s">
        <v>3820</v>
      </c>
      <c r="AK54" s="12" t="s">
        <v>1092</v>
      </c>
      <c r="AL54" s="12" t="s">
        <v>1092</v>
      </c>
      <c r="AM54" s="12" t="s">
        <v>1092</v>
      </c>
      <c r="AN54" s="12" t="s">
        <v>1092</v>
      </c>
      <c r="AO54" s="178" t="s">
        <v>1093</v>
      </c>
      <c r="AP54" s="178" t="s">
        <v>1093</v>
      </c>
      <c r="AQ54" s="178" t="s">
        <v>1093</v>
      </c>
      <c r="AR54" s="178" t="s">
        <v>1093</v>
      </c>
      <c r="AS54" s="178" t="s">
        <v>1118</v>
      </c>
      <c r="AT54" s="178" t="s">
        <v>1118</v>
      </c>
      <c r="AU54" s="178" t="s">
        <v>1118</v>
      </c>
      <c r="AV54" s="12" t="s">
        <v>1096</v>
      </c>
      <c r="AW54" s="12" t="s">
        <v>1097</v>
      </c>
      <c r="AX54" s="178" t="s">
        <v>3732</v>
      </c>
      <c r="AY54" s="178" t="s">
        <v>1157</v>
      </c>
      <c r="AZ54" s="12" t="s">
        <v>3821</v>
      </c>
      <c r="BA54" s="12" t="s">
        <v>1098</v>
      </c>
      <c r="BB54" s="12" t="s">
        <v>1098</v>
      </c>
      <c r="BD54" s="12" t="s">
        <v>1092</v>
      </c>
      <c r="BE54" s="12" t="s">
        <v>118</v>
      </c>
      <c r="BF54" s="12" t="s">
        <v>121</v>
      </c>
      <c r="BH54" s="12" t="s">
        <v>120</v>
      </c>
      <c r="BI54" s="179">
        <v>56</v>
      </c>
      <c r="BJ54" s="12"/>
      <c r="BK54" s="12"/>
      <c r="BL54" s="12"/>
    </row>
    <row r="55" spans="1:65" x14ac:dyDescent="0.25">
      <c r="A55" s="12" t="s">
        <v>3147</v>
      </c>
      <c r="B55" s="12" t="s">
        <v>3822</v>
      </c>
      <c r="C55" s="12" t="s">
        <v>3823</v>
      </c>
      <c r="D55" s="12" t="s">
        <v>3824</v>
      </c>
      <c r="E55" s="175">
        <v>42205</v>
      </c>
      <c r="F55" s="12" t="s">
        <v>3825</v>
      </c>
      <c r="G55" s="12" t="s">
        <v>1075</v>
      </c>
      <c r="H55" s="12" t="s">
        <v>3826</v>
      </c>
      <c r="I55" s="12" t="s">
        <v>3827</v>
      </c>
      <c r="J55" s="12" t="s">
        <v>1645</v>
      </c>
      <c r="K55" s="12" t="s">
        <v>1123</v>
      </c>
      <c r="L55" s="12" t="s">
        <v>1124</v>
      </c>
      <c r="M55" s="12" t="s">
        <v>1105</v>
      </c>
      <c r="O55" s="178" t="s">
        <v>1289</v>
      </c>
      <c r="P55" s="178" t="s">
        <v>3828</v>
      </c>
      <c r="Q55" s="12" t="s">
        <v>1105</v>
      </c>
      <c r="R55" s="179">
        <v>57</v>
      </c>
      <c r="U55" s="12" t="s">
        <v>120</v>
      </c>
      <c r="W55" s="12" t="s">
        <v>1083</v>
      </c>
      <c r="X55" s="12" t="s">
        <v>1412</v>
      </c>
      <c r="Y55" s="178" t="s">
        <v>1898</v>
      </c>
      <c r="Z55" s="12" t="s">
        <v>1348</v>
      </c>
      <c r="AA55" s="178" t="s">
        <v>2815</v>
      </c>
      <c r="AB55" s="12" t="s">
        <v>3829</v>
      </c>
      <c r="AC55" s="178" t="s">
        <v>1398</v>
      </c>
      <c r="AD55" s="12" t="s">
        <v>3830</v>
      </c>
      <c r="AE55" s="12" t="s">
        <v>1075</v>
      </c>
      <c r="AF55" s="12" t="s">
        <v>3831</v>
      </c>
      <c r="AG55" s="12" t="s">
        <v>1236</v>
      </c>
      <c r="AH55" s="12" t="s">
        <v>1092</v>
      </c>
      <c r="AI55" s="12" t="s">
        <v>3832</v>
      </c>
      <c r="AJ55" s="12" t="s">
        <v>3833</v>
      </c>
      <c r="AK55" s="12" t="s">
        <v>1092</v>
      </c>
      <c r="AL55" s="12" t="s">
        <v>1092</v>
      </c>
      <c r="AM55" s="12" t="s">
        <v>1092</v>
      </c>
      <c r="AN55" s="12" t="s">
        <v>1092</v>
      </c>
      <c r="AO55" s="178" t="s">
        <v>1093</v>
      </c>
      <c r="AP55" s="178" t="s">
        <v>1093</v>
      </c>
      <c r="AQ55" s="178" t="s">
        <v>1093</v>
      </c>
      <c r="AR55" s="178" t="s">
        <v>1092</v>
      </c>
      <c r="AS55" s="178" t="s">
        <v>1118</v>
      </c>
      <c r="AT55" s="178" t="s">
        <v>1118</v>
      </c>
      <c r="AU55" s="178" t="s">
        <v>1095</v>
      </c>
      <c r="AV55" s="12" t="s">
        <v>1096</v>
      </c>
      <c r="AW55" s="12" t="s">
        <v>1097</v>
      </c>
      <c r="AY55" s="178" t="s">
        <v>1092</v>
      </c>
      <c r="AZ55" s="12" t="s">
        <v>3834</v>
      </c>
      <c r="BA55" s="12" t="s">
        <v>1098</v>
      </c>
      <c r="BB55" s="12" t="s">
        <v>1098</v>
      </c>
      <c r="BD55" s="12" t="s">
        <v>1092</v>
      </c>
      <c r="BE55" s="12" t="s">
        <v>118</v>
      </c>
      <c r="BF55" s="12" t="s">
        <v>121</v>
      </c>
      <c r="BH55" s="12" t="s">
        <v>120</v>
      </c>
      <c r="BI55" s="179">
        <v>57</v>
      </c>
      <c r="BJ55" s="12"/>
      <c r="BK55" s="12"/>
      <c r="BL55" s="12"/>
    </row>
    <row r="56" spans="1:65" x14ac:dyDescent="0.25">
      <c r="A56" s="12" t="s">
        <v>3147</v>
      </c>
      <c r="B56" s="12" t="s">
        <v>3835</v>
      </c>
      <c r="C56" s="12" t="s">
        <v>3836</v>
      </c>
      <c r="D56" s="12" t="s">
        <v>3837</v>
      </c>
      <c r="E56" s="175">
        <v>42205</v>
      </c>
      <c r="F56" s="12" t="s">
        <v>3838</v>
      </c>
      <c r="G56" s="12" t="s">
        <v>1075</v>
      </c>
      <c r="H56" s="12" t="s">
        <v>1076</v>
      </c>
      <c r="I56" s="12" t="s">
        <v>3839</v>
      </c>
      <c r="K56" s="12" t="s">
        <v>1514</v>
      </c>
      <c r="L56" s="12" t="s">
        <v>1515</v>
      </c>
      <c r="M56" s="12" t="s">
        <v>1516</v>
      </c>
      <c r="O56" s="178" t="s">
        <v>1434</v>
      </c>
      <c r="P56" s="178" t="s">
        <v>3840</v>
      </c>
      <c r="Q56" s="12" t="s">
        <v>1516</v>
      </c>
      <c r="R56" s="179">
        <v>58</v>
      </c>
      <c r="U56" s="12" t="s">
        <v>120</v>
      </c>
      <c r="W56" s="12" t="s">
        <v>1083</v>
      </c>
      <c r="X56" s="12" t="s">
        <v>3123</v>
      </c>
      <c r="Y56" s="178" t="s">
        <v>1370</v>
      </c>
      <c r="Z56" s="12" t="s">
        <v>3841</v>
      </c>
      <c r="AA56" s="178" t="s">
        <v>1214</v>
      </c>
      <c r="AB56" s="12" t="s">
        <v>3842</v>
      </c>
      <c r="AC56" s="178" t="s">
        <v>1192</v>
      </c>
      <c r="AD56" s="12" t="s">
        <v>3843</v>
      </c>
      <c r="AE56" s="12" t="s">
        <v>1075</v>
      </c>
      <c r="AF56" s="12" t="s">
        <v>3844</v>
      </c>
      <c r="AG56" s="12" t="s">
        <v>1092</v>
      </c>
      <c r="AH56" s="12" t="s">
        <v>1092</v>
      </c>
      <c r="AI56" s="12" t="s">
        <v>3338</v>
      </c>
      <c r="AJ56" s="12" t="s">
        <v>3845</v>
      </c>
      <c r="AK56" s="12" t="s">
        <v>1092</v>
      </c>
      <c r="AL56" s="12" t="s">
        <v>1092</v>
      </c>
      <c r="AM56" s="12" t="s">
        <v>1092</v>
      </c>
      <c r="AN56" s="12" t="s">
        <v>1092</v>
      </c>
      <c r="AO56" s="178" t="s">
        <v>1093</v>
      </c>
      <c r="AP56" s="178" t="s">
        <v>1092</v>
      </c>
      <c r="AQ56" s="178" t="s">
        <v>1093</v>
      </c>
      <c r="AR56" s="178" t="s">
        <v>1092</v>
      </c>
      <c r="AS56" s="178" t="s">
        <v>1118</v>
      </c>
      <c r="AT56" s="178" t="s">
        <v>1118</v>
      </c>
      <c r="AU56" s="178" t="s">
        <v>1095</v>
      </c>
      <c r="AV56" s="12" t="s">
        <v>1096</v>
      </c>
      <c r="AW56" s="12" t="s">
        <v>1097</v>
      </c>
      <c r="AY56" s="178" t="s">
        <v>1092</v>
      </c>
      <c r="AZ56" s="12" t="s">
        <v>1098</v>
      </c>
      <c r="BA56" s="12" t="s">
        <v>3846</v>
      </c>
      <c r="BB56" s="12" t="s">
        <v>1098</v>
      </c>
      <c r="BC56" s="178" t="s">
        <v>1205</v>
      </c>
      <c r="BD56" s="12" t="s">
        <v>1092</v>
      </c>
      <c r="BE56" s="12" t="s">
        <v>118</v>
      </c>
      <c r="BF56" s="12" t="s">
        <v>121</v>
      </c>
      <c r="BH56" s="12" t="s">
        <v>120</v>
      </c>
      <c r="BI56" s="179">
        <v>58</v>
      </c>
      <c r="BJ56" s="12"/>
      <c r="BK56" s="12"/>
      <c r="BL56" s="12"/>
    </row>
    <row r="57" spans="1:65" x14ac:dyDescent="0.25">
      <c r="A57" s="12" t="s">
        <v>3847</v>
      </c>
      <c r="B57" s="12" t="s">
        <v>3848</v>
      </c>
      <c r="C57" s="12" t="s">
        <v>3849</v>
      </c>
      <c r="D57" s="12" t="s">
        <v>3850</v>
      </c>
      <c r="E57" s="175">
        <v>42205</v>
      </c>
      <c r="F57" s="12" t="s">
        <v>3851</v>
      </c>
      <c r="G57" s="12" t="s">
        <v>1075</v>
      </c>
      <c r="H57" s="12" t="s">
        <v>3852</v>
      </c>
      <c r="I57" s="12" t="s">
        <v>3853</v>
      </c>
      <c r="K57" s="12" t="s">
        <v>1103</v>
      </c>
      <c r="L57" s="12" t="s">
        <v>1124</v>
      </c>
      <c r="M57" s="12" t="s">
        <v>1105</v>
      </c>
      <c r="O57" s="178" t="s">
        <v>1812</v>
      </c>
      <c r="P57" s="178" t="s">
        <v>3854</v>
      </c>
      <c r="Q57" s="12" t="s">
        <v>1105</v>
      </c>
      <c r="R57" s="179">
        <v>59</v>
      </c>
      <c r="U57" s="12" t="s">
        <v>120</v>
      </c>
      <c r="W57" s="12" t="s">
        <v>1083</v>
      </c>
      <c r="X57" s="12" t="s">
        <v>2339</v>
      </c>
      <c r="Y57" s="178" t="s">
        <v>1538</v>
      </c>
      <c r="Z57" s="12" t="s">
        <v>3855</v>
      </c>
      <c r="AA57" s="178" t="s">
        <v>1781</v>
      </c>
      <c r="AB57" s="12" t="s">
        <v>3856</v>
      </c>
      <c r="AC57" s="178" t="s">
        <v>1531</v>
      </c>
      <c r="AD57" s="12" t="s">
        <v>3857</v>
      </c>
      <c r="AE57" s="12" t="s">
        <v>1075</v>
      </c>
      <c r="AF57" s="12" t="s">
        <v>3858</v>
      </c>
      <c r="AG57" s="12" t="s">
        <v>1092</v>
      </c>
      <c r="AH57" s="12" t="s">
        <v>1092</v>
      </c>
      <c r="AI57" s="12" t="s">
        <v>3859</v>
      </c>
      <c r="AJ57" s="12" t="s">
        <v>3860</v>
      </c>
      <c r="AK57" s="12" t="s">
        <v>3861</v>
      </c>
      <c r="AL57" s="12" t="s">
        <v>1092</v>
      </c>
      <c r="AM57" s="12" t="s">
        <v>1092</v>
      </c>
      <c r="AN57" s="12" t="s">
        <v>1092</v>
      </c>
      <c r="AO57" s="178" t="s">
        <v>1093</v>
      </c>
      <c r="AP57" s="178" t="s">
        <v>1093</v>
      </c>
      <c r="AQ57" s="178" t="s">
        <v>1093</v>
      </c>
      <c r="AR57" s="178" t="s">
        <v>1093</v>
      </c>
      <c r="AS57" s="178" t="s">
        <v>1118</v>
      </c>
      <c r="AT57" s="178" t="s">
        <v>1118</v>
      </c>
      <c r="AU57" s="178" t="s">
        <v>1118</v>
      </c>
      <c r="AV57" s="12" t="s">
        <v>1096</v>
      </c>
      <c r="AW57" s="12" t="s">
        <v>1097</v>
      </c>
      <c r="AY57" s="178" t="s">
        <v>1092</v>
      </c>
      <c r="AZ57" s="12" t="s">
        <v>3862</v>
      </c>
      <c r="BA57" s="12" t="s">
        <v>3863</v>
      </c>
      <c r="BB57" s="12" t="s">
        <v>1098</v>
      </c>
      <c r="BC57" s="178" t="s">
        <v>1205</v>
      </c>
      <c r="BD57" s="12" t="s">
        <v>1092</v>
      </c>
      <c r="BE57" s="12" t="s">
        <v>118</v>
      </c>
      <c r="BF57" s="12" t="s">
        <v>121</v>
      </c>
      <c r="BH57" s="12" t="s">
        <v>120</v>
      </c>
      <c r="BI57" s="179">
        <v>59</v>
      </c>
      <c r="BJ57" s="12"/>
      <c r="BK57" s="12"/>
      <c r="BL57" s="12"/>
    </row>
    <row r="58" spans="1:65" x14ac:dyDescent="0.25">
      <c r="A58" s="12" t="s">
        <v>3847</v>
      </c>
      <c r="B58" s="12" t="s">
        <v>3864</v>
      </c>
      <c r="C58" s="12" t="s">
        <v>3865</v>
      </c>
      <c r="D58" s="12" t="s">
        <v>3866</v>
      </c>
      <c r="E58" s="175">
        <v>42205</v>
      </c>
      <c r="F58" s="12" t="s">
        <v>2337</v>
      </c>
      <c r="G58" s="12" t="s">
        <v>1075</v>
      </c>
      <c r="H58" s="12" t="s">
        <v>3867</v>
      </c>
      <c r="I58" s="12" t="s">
        <v>3868</v>
      </c>
      <c r="J58" s="12" t="s">
        <v>3869</v>
      </c>
      <c r="K58" s="12" t="s">
        <v>1103</v>
      </c>
      <c r="L58" s="12" t="s">
        <v>1179</v>
      </c>
      <c r="M58" s="12" t="s">
        <v>1180</v>
      </c>
      <c r="Q58" s="12" t="s">
        <v>1180</v>
      </c>
      <c r="R58" s="179">
        <v>60</v>
      </c>
      <c r="U58" s="12" t="s">
        <v>120</v>
      </c>
      <c r="W58" s="12" t="s">
        <v>1083</v>
      </c>
      <c r="X58" s="12" t="s">
        <v>1949</v>
      </c>
      <c r="Y58" s="178" t="s">
        <v>3870</v>
      </c>
      <c r="Z58" s="12" t="s">
        <v>3871</v>
      </c>
      <c r="AA58" s="178" t="s">
        <v>3872</v>
      </c>
      <c r="AB58" s="12" t="s">
        <v>3873</v>
      </c>
      <c r="AC58" s="178" t="s">
        <v>3874</v>
      </c>
      <c r="AD58" s="12" t="s">
        <v>3875</v>
      </c>
      <c r="AE58" s="12" t="s">
        <v>1075</v>
      </c>
      <c r="AF58" s="12" t="s">
        <v>3876</v>
      </c>
      <c r="AG58" s="12" t="s">
        <v>1092</v>
      </c>
      <c r="AH58" s="12" t="s">
        <v>1092</v>
      </c>
      <c r="AI58" s="12" t="s">
        <v>3877</v>
      </c>
      <c r="AJ58" s="12" t="s">
        <v>2675</v>
      </c>
      <c r="AK58" s="12" t="s">
        <v>3878</v>
      </c>
      <c r="AL58" s="12" t="s">
        <v>1092</v>
      </c>
      <c r="AM58" s="12" t="s">
        <v>1092</v>
      </c>
      <c r="AN58" s="12" t="s">
        <v>1092</v>
      </c>
      <c r="AO58" s="178" t="s">
        <v>1093</v>
      </c>
      <c r="AP58" s="178" t="s">
        <v>1092</v>
      </c>
      <c r="AQ58" s="178" t="s">
        <v>1092</v>
      </c>
      <c r="AR58" s="178" t="s">
        <v>1092</v>
      </c>
      <c r="AS58" s="178" t="s">
        <v>1118</v>
      </c>
      <c r="AT58" s="178" t="s">
        <v>1095</v>
      </c>
      <c r="AU58" s="178" t="s">
        <v>1095</v>
      </c>
      <c r="AV58" s="12" t="s">
        <v>1096</v>
      </c>
      <c r="AW58" s="12" t="s">
        <v>1097</v>
      </c>
      <c r="AY58" s="178" t="s">
        <v>1092</v>
      </c>
      <c r="AZ58" s="12" t="s">
        <v>3879</v>
      </c>
      <c r="BA58" s="12" t="s">
        <v>1098</v>
      </c>
      <c r="BB58" s="12" t="s">
        <v>1098</v>
      </c>
      <c r="BD58" s="12" t="s">
        <v>1092</v>
      </c>
      <c r="BE58" s="12" t="s">
        <v>118</v>
      </c>
      <c r="BF58" s="12" t="s">
        <v>121</v>
      </c>
      <c r="BH58" s="12" t="s">
        <v>120</v>
      </c>
      <c r="BI58" s="179">
        <v>60</v>
      </c>
      <c r="BJ58" s="12"/>
      <c r="BK58" s="12"/>
      <c r="BL58" s="12"/>
    </row>
    <row r="59" spans="1:65" x14ac:dyDescent="0.25">
      <c r="A59" s="12" t="s">
        <v>3847</v>
      </c>
      <c r="B59" s="12" t="s">
        <v>3880</v>
      </c>
      <c r="C59" s="12" t="s">
        <v>3881</v>
      </c>
      <c r="D59" s="12" t="s">
        <v>3882</v>
      </c>
      <c r="E59" s="175">
        <v>42205</v>
      </c>
      <c r="F59" s="12" t="s">
        <v>1883</v>
      </c>
      <c r="G59" s="12" t="s">
        <v>1075</v>
      </c>
      <c r="H59" s="12" t="s">
        <v>1076</v>
      </c>
      <c r="I59" s="12" t="s">
        <v>3883</v>
      </c>
      <c r="J59" s="12" t="s">
        <v>1162</v>
      </c>
      <c r="K59" s="12" t="s">
        <v>1103</v>
      </c>
      <c r="L59" s="12" t="s">
        <v>1104</v>
      </c>
      <c r="M59" s="12" t="s">
        <v>1105</v>
      </c>
      <c r="O59" s="178" t="s">
        <v>1106</v>
      </c>
      <c r="P59" s="178" t="s">
        <v>3884</v>
      </c>
      <c r="Q59" s="12" t="s">
        <v>1105</v>
      </c>
      <c r="R59" s="179">
        <v>61</v>
      </c>
      <c r="U59" s="12" t="s">
        <v>120</v>
      </c>
      <c r="W59" s="12" t="s">
        <v>1083</v>
      </c>
      <c r="X59" s="12" t="s">
        <v>1519</v>
      </c>
      <c r="Y59" s="178" t="s">
        <v>3043</v>
      </c>
      <c r="Z59" s="12" t="s">
        <v>3885</v>
      </c>
      <c r="AA59" s="178" t="s">
        <v>1398</v>
      </c>
      <c r="AB59" s="12" t="s">
        <v>1348</v>
      </c>
      <c r="AD59" s="12" t="s">
        <v>1185</v>
      </c>
      <c r="AE59" s="12" t="s">
        <v>1075</v>
      </c>
      <c r="AF59" s="12" t="s">
        <v>3886</v>
      </c>
      <c r="AG59" s="12" t="s">
        <v>1092</v>
      </c>
      <c r="AH59" s="12" t="s">
        <v>1092</v>
      </c>
      <c r="AI59" s="12" t="s">
        <v>3887</v>
      </c>
      <c r="AJ59" s="12" t="s">
        <v>3888</v>
      </c>
      <c r="AK59" s="12" t="s">
        <v>3889</v>
      </c>
      <c r="AL59" s="12" t="s">
        <v>3890</v>
      </c>
      <c r="AM59" s="12" t="s">
        <v>1092</v>
      </c>
      <c r="AN59" s="12" t="s">
        <v>1092</v>
      </c>
      <c r="AO59" s="178" t="s">
        <v>1093</v>
      </c>
      <c r="AP59" s="178" t="s">
        <v>1093</v>
      </c>
      <c r="AQ59" s="178" t="s">
        <v>1093</v>
      </c>
      <c r="AR59" s="178" t="s">
        <v>1093</v>
      </c>
      <c r="AS59" s="178" t="s">
        <v>1118</v>
      </c>
      <c r="AT59" s="178" t="s">
        <v>1118</v>
      </c>
      <c r="AU59" s="178" t="s">
        <v>1118</v>
      </c>
      <c r="AV59" s="12" t="s">
        <v>1096</v>
      </c>
      <c r="AW59" s="12" t="s">
        <v>1097</v>
      </c>
      <c r="AX59" s="178" t="s">
        <v>3161</v>
      </c>
      <c r="AY59" s="178" t="s">
        <v>1093</v>
      </c>
      <c r="AZ59" s="12" t="s">
        <v>1098</v>
      </c>
      <c r="BA59" s="12" t="s">
        <v>1098</v>
      </c>
      <c r="BB59" s="12" t="s">
        <v>3891</v>
      </c>
      <c r="BD59" s="12" t="s">
        <v>1092</v>
      </c>
      <c r="BE59" s="12" t="s">
        <v>118</v>
      </c>
      <c r="BF59" s="12" t="s">
        <v>121</v>
      </c>
      <c r="BH59" s="12" t="s">
        <v>120</v>
      </c>
      <c r="BI59" s="179">
        <v>61</v>
      </c>
      <c r="BJ59" s="12"/>
      <c r="BK59" s="12"/>
      <c r="BL59" s="12"/>
    </row>
    <row r="60" spans="1:65" x14ac:dyDescent="0.25">
      <c r="A60" s="12" t="s">
        <v>3847</v>
      </c>
      <c r="B60" s="12" t="s">
        <v>3892</v>
      </c>
      <c r="C60" s="12" t="s">
        <v>3893</v>
      </c>
      <c r="D60" s="12" t="s">
        <v>3894</v>
      </c>
      <c r="E60" s="175">
        <v>42205</v>
      </c>
      <c r="F60" s="12" t="s">
        <v>1314</v>
      </c>
      <c r="G60" s="12" t="s">
        <v>1075</v>
      </c>
      <c r="H60" s="12" t="s">
        <v>3895</v>
      </c>
      <c r="I60" s="12" t="s">
        <v>3896</v>
      </c>
      <c r="K60" s="12" t="s">
        <v>1123</v>
      </c>
      <c r="L60" s="12" t="s">
        <v>1124</v>
      </c>
      <c r="M60" s="12" t="s">
        <v>1105</v>
      </c>
      <c r="O60" s="178" t="s">
        <v>1181</v>
      </c>
      <c r="P60" s="178" t="s">
        <v>3897</v>
      </c>
      <c r="Q60" s="12" t="s">
        <v>1105</v>
      </c>
      <c r="R60" s="179">
        <v>62</v>
      </c>
      <c r="U60" s="12" t="s">
        <v>120</v>
      </c>
      <c r="W60" s="12" t="s">
        <v>1083</v>
      </c>
      <c r="X60" s="12" t="s">
        <v>1097</v>
      </c>
      <c r="Y60" s="178" t="s">
        <v>1957</v>
      </c>
      <c r="Z60" s="12" t="s">
        <v>3898</v>
      </c>
      <c r="AA60" s="178" t="s">
        <v>1345</v>
      </c>
      <c r="AB60" s="12" t="s">
        <v>3899</v>
      </c>
      <c r="AC60" s="178" t="s">
        <v>1314</v>
      </c>
      <c r="AD60" s="12" t="s">
        <v>3900</v>
      </c>
      <c r="AE60" s="12" t="s">
        <v>1075</v>
      </c>
      <c r="AF60" s="12" t="s">
        <v>3901</v>
      </c>
      <c r="AG60" s="12" t="s">
        <v>1092</v>
      </c>
      <c r="AH60" s="12" t="s">
        <v>1092</v>
      </c>
      <c r="AI60" s="12" t="s">
        <v>3902</v>
      </c>
      <c r="AJ60" s="12" t="s">
        <v>3903</v>
      </c>
      <c r="AK60" s="12" t="s">
        <v>1092</v>
      </c>
      <c r="AL60" s="12" t="s">
        <v>3904</v>
      </c>
      <c r="AM60" s="12" t="s">
        <v>1092</v>
      </c>
      <c r="AN60" s="12" t="s">
        <v>1092</v>
      </c>
      <c r="AO60" s="178" t="s">
        <v>1093</v>
      </c>
      <c r="AP60" s="178" t="s">
        <v>1093</v>
      </c>
      <c r="AQ60" s="178" t="s">
        <v>1093</v>
      </c>
      <c r="AR60" s="178" t="s">
        <v>1093</v>
      </c>
      <c r="AS60" s="178" t="s">
        <v>1118</v>
      </c>
      <c r="AT60" s="178" t="s">
        <v>1118</v>
      </c>
      <c r="AU60" s="178" t="s">
        <v>1118</v>
      </c>
      <c r="AV60" s="12" t="s">
        <v>1096</v>
      </c>
      <c r="AW60" s="12" t="s">
        <v>1097</v>
      </c>
      <c r="AX60" s="178" t="s">
        <v>3161</v>
      </c>
      <c r="AY60" s="178" t="s">
        <v>1093</v>
      </c>
      <c r="AZ60" s="12" t="s">
        <v>3905</v>
      </c>
      <c r="BA60" s="12" t="s">
        <v>1098</v>
      </c>
      <c r="BB60" s="12" t="s">
        <v>1098</v>
      </c>
      <c r="BD60" s="12" t="s">
        <v>1092</v>
      </c>
      <c r="BE60" s="12" t="s">
        <v>118</v>
      </c>
      <c r="BF60" s="12" t="s">
        <v>121</v>
      </c>
      <c r="BH60" s="12" t="s">
        <v>120</v>
      </c>
      <c r="BI60" s="179">
        <v>62</v>
      </c>
      <c r="BJ60" s="12"/>
      <c r="BK60" s="12"/>
      <c r="BL60" s="12"/>
    </row>
    <row r="61" spans="1:65" x14ac:dyDescent="0.25">
      <c r="A61" s="12" t="s">
        <v>3847</v>
      </c>
      <c r="B61" s="12" t="s">
        <v>3906</v>
      </c>
      <c r="C61" s="12" t="s">
        <v>3907</v>
      </c>
      <c r="D61" s="12" t="s">
        <v>3908</v>
      </c>
      <c r="E61" s="175">
        <v>42205</v>
      </c>
      <c r="F61" s="12" t="s">
        <v>3909</v>
      </c>
      <c r="G61" s="12" t="s">
        <v>1075</v>
      </c>
      <c r="H61" s="12" t="s">
        <v>3910</v>
      </c>
      <c r="I61" s="12" t="s">
        <v>3911</v>
      </c>
      <c r="K61" s="12" t="s">
        <v>1103</v>
      </c>
      <c r="L61" s="12" t="s">
        <v>1179</v>
      </c>
      <c r="M61" s="12" t="s">
        <v>1180</v>
      </c>
      <c r="O61" s="178" t="s">
        <v>1476</v>
      </c>
      <c r="P61" s="178" t="s">
        <v>3912</v>
      </c>
      <c r="Q61" s="12" t="s">
        <v>1180</v>
      </c>
      <c r="R61" s="179">
        <v>63</v>
      </c>
      <c r="U61" s="12" t="s">
        <v>120</v>
      </c>
      <c r="W61" s="12" t="s">
        <v>1083</v>
      </c>
      <c r="X61" s="12" t="s">
        <v>1879</v>
      </c>
      <c r="Y61" s="178" t="s">
        <v>1557</v>
      </c>
      <c r="Z61" s="12" t="s">
        <v>3913</v>
      </c>
      <c r="AA61" s="178" t="s">
        <v>1603</v>
      </c>
      <c r="AB61" s="12" t="s">
        <v>3914</v>
      </c>
      <c r="AC61" s="178" t="s">
        <v>1305</v>
      </c>
      <c r="AD61" s="12" t="s">
        <v>3915</v>
      </c>
      <c r="AE61" s="12" t="s">
        <v>1075</v>
      </c>
      <c r="AF61" s="12" t="s">
        <v>3916</v>
      </c>
      <c r="AG61" s="12" t="s">
        <v>3917</v>
      </c>
      <c r="AH61" s="12" t="s">
        <v>1092</v>
      </c>
      <c r="AI61" s="12" t="s">
        <v>3918</v>
      </c>
      <c r="AJ61" s="12" t="s">
        <v>3919</v>
      </c>
      <c r="AK61" s="12" t="s">
        <v>1092</v>
      </c>
      <c r="AL61" s="12" t="s">
        <v>1092</v>
      </c>
      <c r="AM61" s="12" t="s">
        <v>1092</v>
      </c>
      <c r="AN61" s="12" t="s">
        <v>1092</v>
      </c>
      <c r="AO61" s="178" t="s">
        <v>1093</v>
      </c>
      <c r="AP61" s="178" t="s">
        <v>1093</v>
      </c>
      <c r="AQ61" s="178" t="s">
        <v>1093</v>
      </c>
      <c r="AR61" s="178" t="s">
        <v>1092</v>
      </c>
      <c r="AS61" s="178" t="s">
        <v>1118</v>
      </c>
      <c r="AT61" s="178" t="s">
        <v>1118</v>
      </c>
      <c r="AU61" s="178" t="s">
        <v>1095</v>
      </c>
      <c r="AV61" s="12" t="s">
        <v>1096</v>
      </c>
      <c r="AW61" s="12" t="s">
        <v>1097</v>
      </c>
      <c r="AX61" s="178" t="s">
        <v>3161</v>
      </c>
      <c r="AY61" s="178" t="s">
        <v>1093</v>
      </c>
      <c r="AZ61" s="12" t="s">
        <v>3920</v>
      </c>
      <c r="BA61" s="12" t="s">
        <v>1098</v>
      </c>
      <c r="BB61" s="12" t="s">
        <v>3921</v>
      </c>
      <c r="BC61" s="178" t="s">
        <v>1205</v>
      </c>
      <c r="BD61" s="12" t="s">
        <v>1092</v>
      </c>
      <c r="BE61" s="12" t="s">
        <v>118</v>
      </c>
      <c r="BF61" s="12" t="s">
        <v>121</v>
      </c>
      <c r="BH61" s="12" t="s">
        <v>120</v>
      </c>
      <c r="BI61" s="179">
        <v>63</v>
      </c>
      <c r="BJ61" s="12"/>
      <c r="BK61" s="12"/>
      <c r="BL61" s="12"/>
    </row>
    <row r="62" spans="1:65" x14ac:dyDescent="0.25">
      <c r="A62" s="12" t="s">
        <v>3847</v>
      </c>
      <c r="B62" s="12" t="s">
        <v>3922</v>
      </c>
      <c r="C62" s="12" t="s">
        <v>3923</v>
      </c>
      <c r="D62" s="12" t="s">
        <v>3924</v>
      </c>
      <c r="E62" s="175">
        <v>42205</v>
      </c>
      <c r="F62" s="12" t="s">
        <v>1109</v>
      </c>
      <c r="G62" s="12" t="s">
        <v>1075</v>
      </c>
      <c r="H62" s="12" t="s">
        <v>3925</v>
      </c>
      <c r="I62" s="12" t="s">
        <v>2915</v>
      </c>
      <c r="J62" s="12" t="s">
        <v>1707</v>
      </c>
      <c r="K62" s="12" t="s">
        <v>1103</v>
      </c>
      <c r="L62" s="12" t="s">
        <v>1179</v>
      </c>
      <c r="M62" s="12" t="s">
        <v>1244</v>
      </c>
      <c r="O62" s="178" t="s">
        <v>1936</v>
      </c>
      <c r="P62" s="178" t="s">
        <v>3926</v>
      </c>
      <c r="Q62" s="12" t="s">
        <v>1244</v>
      </c>
      <c r="R62" s="179">
        <v>64</v>
      </c>
      <c r="U62" s="12" t="s">
        <v>120</v>
      </c>
      <c r="W62" s="12" t="s">
        <v>1083</v>
      </c>
      <c r="X62" s="12" t="s">
        <v>1949</v>
      </c>
      <c r="Z62" s="12" t="s">
        <v>1185</v>
      </c>
      <c r="AB62" s="12" t="s">
        <v>1185</v>
      </c>
      <c r="AD62" s="12" t="s">
        <v>1185</v>
      </c>
      <c r="AE62" s="12" t="s">
        <v>1075</v>
      </c>
      <c r="AF62" s="12" t="s">
        <v>3927</v>
      </c>
      <c r="AG62" s="12" t="s">
        <v>3805</v>
      </c>
      <c r="AH62" s="12" t="s">
        <v>1092</v>
      </c>
      <c r="AI62" s="12" t="s">
        <v>3928</v>
      </c>
      <c r="AJ62" s="12" t="s">
        <v>3929</v>
      </c>
      <c r="AK62" s="12" t="s">
        <v>3930</v>
      </c>
      <c r="AL62" s="12" t="s">
        <v>1092</v>
      </c>
      <c r="AM62" s="12" t="s">
        <v>1092</v>
      </c>
      <c r="AN62" s="12" t="s">
        <v>1092</v>
      </c>
      <c r="AO62" s="178" t="s">
        <v>1093</v>
      </c>
      <c r="AP62" s="178" t="s">
        <v>1093</v>
      </c>
      <c r="AQ62" s="178" t="s">
        <v>1093</v>
      </c>
      <c r="AR62" s="178" t="s">
        <v>1093</v>
      </c>
      <c r="AS62" s="178" t="s">
        <v>1118</v>
      </c>
      <c r="AT62" s="178" t="s">
        <v>1118</v>
      </c>
      <c r="AU62" s="178" t="s">
        <v>1094</v>
      </c>
      <c r="AV62" s="12" t="s">
        <v>1096</v>
      </c>
      <c r="AW62" s="12" t="s">
        <v>1097</v>
      </c>
      <c r="AY62" s="178" t="s">
        <v>1092</v>
      </c>
      <c r="AZ62" s="12" t="s">
        <v>3931</v>
      </c>
      <c r="BA62" s="12" t="s">
        <v>1098</v>
      </c>
      <c r="BB62" s="12" t="s">
        <v>3932</v>
      </c>
      <c r="BD62" s="12" t="s">
        <v>1092</v>
      </c>
      <c r="BE62" s="12" t="s">
        <v>118</v>
      </c>
      <c r="BF62" s="12" t="s">
        <v>121</v>
      </c>
      <c r="BH62" s="12" t="s">
        <v>120</v>
      </c>
      <c r="BI62" s="179">
        <v>64</v>
      </c>
      <c r="BJ62" s="12"/>
      <c r="BK62" s="12"/>
      <c r="BL62" s="12"/>
    </row>
    <row r="63" spans="1:65" x14ac:dyDescent="0.25">
      <c r="A63" s="12" t="s">
        <v>3847</v>
      </c>
      <c r="B63" s="12" t="s">
        <v>3933</v>
      </c>
      <c r="C63" s="12" t="s">
        <v>3934</v>
      </c>
      <c r="D63" s="12" t="s">
        <v>3935</v>
      </c>
      <c r="E63" s="175">
        <v>42205</v>
      </c>
      <c r="F63" s="12" t="s">
        <v>1979</v>
      </c>
      <c r="G63" s="12" t="s">
        <v>1075</v>
      </c>
      <c r="H63" s="12" t="s">
        <v>3936</v>
      </c>
      <c r="I63" s="12" t="s">
        <v>3937</v>
      </c>
      <c r="J63" s="12" t="s">
        <v>1259</v>
      </c>
      <c r="K63" s="12" t="s">
        <v>1448</v>
      </c>
      <c r="L63" s="12" t="s">
        <v>1449</v>
      </c>
      <c r="M63" s="12" t="s">
        <v>1450</v>
      </c>
      <c r="O63" s="178" t="s">
        <v>1434</v>
      </c>
      <c r="P63" s="178" t="s">
        <v>3938</v>
      </c>
      <c r="Q63" s="12" t="s">
        <v>1450</v>
      </c>
      <c r="R63" s="179">
        <v>65</v>
      </c>
      <c r="U63" s="12" t="s">
        <v>120</v>
      </c>
      <c r="W63" s="12" t="s">
        <v>1083</v>
      </c>
      <c r="X63" s="12" t="s">
        <v>1236</v>
      </c>
      <c r="Y63" s="178" t="s">
        <v>1232</v>
      </c>
      <c r="Z63" s="12" t="s">
        <v>3939</v>
      </c>
      <c r="AA63" s="178" t="s">
        <v>1214</v>
      </c>
      <c r="AB63" s="12" t="s">
        <v>3940</v>
      </c>
      <c r="AC63" s="178" t="s">
        <v>1169</v>
      </c>
      <c r="AD63" s="12" t="s">
        <v>3941</v>
      </c>
      <c r="AE63" s="12" t="s">
        <v>1075</v>
      </c>
      <c r="AF63" s="12" t="s">
        <v>3942</v>
      </c>
      <c r="AG63" s="12" t="s">
        <v>1092</v>
      </c>
      <c r="AH63" s="12" t="s">
        <v>1092</v>
      </c>
      <c r="AI63" s="12" t="s">
        <v>3943</v>
      </c>
      <c r="AJ63" s="12" t="s">
        <v>3944</v>
      </c>
      <c r="AK63" s="12" t="s">
        <v>1092</v>
      </c>
      <c r="AL63" s="12" t="s">
        <v>1092</v>
      </c>
      <c r="AM63" s="12" t="s">
        <v>1092</v>
      </c>
      <c r="AN63" s="12" t="s">
        <v>1092</v>
      </c>
      <c r="AO63" s="178" t="s">
        <v>1093</v>
      </c>
      <c r="AP63" s="178" t="s">
        <v>1093</v>
      </c>
      <c r="AQ63" s="178" t="s">
        <v>1093</v>
      </c>
      <c r="AR63" s="178" t="s">
        <v>1092</v>
      </c>
      <c r="AS63" s="178" t="s">
        <v>1118</v>
      </c>
      <c r="AT63" s="178" t="s">
        <v>1118</v>
      </c>
      <c r="AU63" s="178" t="s">
        <v>1095</v>
      </c>
      <c r="AV63" s="12" t="s">
        <v>1096</v>
      </c>
      <c r="AW63" s="12" t="s">
        <v>1097</v>
      </c>
      <c r="AY63" s="178" t="s">
        <v>1092</v>
      </c>
      <c r="AZ63" s="12" t="s">
        <v>3945</v>
      </c>
      <c r="BA63" s="12" t="s">
        <v>1098</v>
      </c>
      <c r="BB63" s="12" t="s">
        <v>1098</v>
      </c>
      <c r="BC63" s="178" t="s">
        <v>1205</v>
      </c>
      <c r="BD63" s="12" t="s">
        <v>1092</v>
      </c>
      <c r="BE63" s="12" t="s">
        <v>118</v>
      </c>
      <c r="BF63" s="12" t="s">
        <v>121</v>
      </c>
      <c r="BH63" s="12" t="s">
        <v>120</v>
      </c>
      <c r="BI63" s="179">
        <v>65</v>
      </c>
      <c r="BJ63" s="175">
        <v>42208</v>
      </c>
      <c r="BK63" s="176" t="s">
        <v>119</v>
      </c>
      <c r="BL63" s="177">
        <v>186.97</v>
      </c>
      <c r="BM63" s="12">
        <v>30</v>
      </c>
    </row>
    <row r="64" spans="1:65" x14ac:dyDescent="0.25">
      <c r="A64" s="12" t="s">
        <v>3847</v>
      </c>
      <c r="B64" s="12" t="s">
        <v>3946</v>
      </c>
      <c r="C64" s="12" t="s">
        <v>3947</v>
      </c>
      <c r="D64" s="12" t="s">
        <v>3948</v>
      </c>
      <c r="E64" s="175">
        <v>42205</v>
      </c>
      <c r="F64" s="12" t="s">
        <v>3949</v>
      </c>
      <c r="G64" s="12" t="s">
        <v>1075</v>
      </c>
      <c r="H64" s="12" t="s">
        <v>3950</v>
      </c>
      <c r="I64" s="12" t="s">
        <v>3951</v>
      </c>
      <c r="K64" s="12" t="s">
        <v>1514</v>
      </c>
      <c r="L64" s="12" t="s">
        <v>1515</v>
      </c>
      <c r="M64" s="12" t="s">
        <v>1516</v>
      </c>
      <c r="O64" s="178" t="s">
        <v>1936</v>
      </c>
      <c r="P64" s="178" t="s">
        <v>3952</v>
      </c>
      <c r="Q64" s="12" t="s">
        <v>1516</v>
      </c>
      <c r="R64" s="179">
        <v>66</v>
      </c>
      <c r="U64" s="12" t="s">
        <v>120</v>
      </c>
      <c r="W64" s="12" t="s">
        <v>1083</v>
      </c>
      <c r="X64" s="12" t="s">
        <v>1359</v>
      </c>
      <c r="Y64" s="178" t="s">
        <v>1957</v>
      </c>
      <c r="Z64" s="12" t="s">
        <v>3953</v>
      </c>
      <c r="AA64" s="178" t="s">
        <v>3954</v>
      </c>
      <c r="AB64" s="12" t="s">
        <v>3955</v>
      </c>
      <c r="AC64" s="178" t="s">
        <v>1520</v>
      </c>
      <c r="AD64" s="12" t="s">
        <v>3956</v>
      </c>
      <c r="AE64" s="12" t="s">
        <v>1075</v>
      </c>
      <c r="AF64" s="12" t="s">
        <v>3957</v>
      </c>
      <c r="AG64" s="12" t="s">
        <v>2366</v>
      </c>
      <c r="AH64" s="12" t="s">
        <v>1092</v>
      </c>
      <c r="AI64" s="12" t="s">
        <v>3958</v>
      </c>
      <c r="AJ64" s="12" t="s">
        <v>3959</v>
      </c>
      <c r="AK64" s="12" t="s">
        <v>3960</v>
      </c>
      <c r="AL64" s="12" t="s">
        <v>1092</v>
      </c>
      <c r="AM64" s="12" t="s">
        <v>1092</v>
      </c>
      <c r="AN64" s="12" t="s">
        <v>1092</v>
      </c>
      <c r="AO64" s="178" t="s">
        <v>1093</v>
      </c>
      <c r="AP64" s="178" t="s">
        <v>1093</v>
      </c>
      <c r="AQ64" s="178" t="s">
        <v>1093</v>
      </c>
      <c r="AR64" s="178" t="s">
        <v>1093</v>
      </c>
      <c r="AS64" s="178" t="s">
        <v>1094</v>
      </c>
      <c r="AT64" s="178" t="s">
        <v>1094</v>
      </c>
      <c r="AU64" s="178" t="s">
        <v>1094</v>
      </c>
      <c r="AV64" s="12" t="s">
        <v>1096</v>
      </c>
      <c r="AW64" s="12" t="s">
        <v>1097</v>
      </c>
      <c r="AX64" s="178" t="s">
        <v>3161</v>
      </c>
      <c r="AY64" s="178" t="s">
        <v>1157</v>
      </c>
      <c r="AZ64" s="12" t="s">
        <v>3961</v>
      </c>
      <c r="BA64" s="12" t="s">
        <v>1098</v>
      </c>
      <c r="BB64" s="12" t="s">
        <v>1098</v>
      </c>
      <c r="BD64" s="12" t="s">
        <v>1092</v>
      </c>
      <c r="BE64" s="12" t="s">
        <v>118</v>
      </c>
      <c r="BF64" s="12" t="s">
        <v>121</v>
      </c>
      <c r="BH64" s="12" t="s">
        <v>120</v>
      </c>
      <c r="BI64" s="179">
        <v>66</v>
      </c>
      <c r="BJ64" s="175">
        <v>42206</v>
      </c>
      <c r="BK64" s="176" t="s">
        <v>119</v>
      </c>
      <c r="BL64" s="177">
        <v>1294.04</v>
      </c>
      <c r="BM64" s="12">
        <v>30</v>
      </c>
    </row>
    <row r="65" spans="1:65" x14ac:dyDescent="0.25">
      <c r="A65" s="12" t="s">
        <v>3847</v>
      </c>
      <c r="B65" s="12" t="s">
        <v>3962</v>
      </c>
      <c r="C65" s="12" t="s">
        <v>3963</v>
      </c>
      <c r="D65" s="12" t="s">
        <v>3964</v>
      </c>
      <c r="E65" s="175">
        <v>42205</v>
      </c>
      <c r="F65" s="12" t="s">
        <v>1326</v>
      </c>
      <c r="G65" s="12" t="s">
        <v>1075</v>
      </c>
      <c r="H65" s="12" t="s">
        <v>3965</v>
      </c>
      <c r="I65" s="12" t="s">
        <v>3966</v>
      </c>
      <c r="J65" s="12" t="s">
        <v>3967</v>
      </c>
      <c r="K65" s="12" t="s">
        <v>1103</v>
      </c>
      <c r="L65" s="12" t="s">
        <v>1104</v>
      </c>
      <c r="M65" s="12" t="s">
        <v>1180</v>
      </c>
      <c r="O65" s="178" t="s">
        <v>1126</v>
      </c>
      <c r="P65" s="178" t="s">
        <v>3968</v>
      </c>
      <c r="Q65" s="12" t="s">
        <v>1180</v>
      </c>
      <c r="R65" s="179">
        <v>67</v>
      </c>
      <c r="U65" s="12" t="s">
        <v>120</v>
      </c>
      <c r="W65" s="12" t="s">
        <v>1083</v>
      </c>
      <c r="X65" s="12" t="s">
        <v>1977</v>
      </c>
      <c r="Y65" s="178" t="s">
        <v>2946</v>
      </c>
      <c r="Z65" s="12" t="s">
        <v>3969</v>
      </c>
      <c r="AB65" s="12" t="s">
        <v>1185</v>
      </c>
      <c r="AD65" s="12" t="s">
        <v>1185</v>
      </c>
      <c r="AE65" s="12" t="s">
        <v>1075</v>
      </c>
      <c r="AF65" s="12" t="s">
        <v>3970</v>
      </c>
      <c r="AG65" s="12" t="s">
        <v>1092</v>
      </c>
      <c r="AH65" s="12" t="s">
        <v>1092</v>
      </c>
      <c r="AI65" s="12" t="s">
        <v>3971</v>
      </c>
      <c r="AJ65" s="12" t="s">
        <v>3972</v>
      </c>
      <c r="AK65" s="12" t="s">
        <v>1092</v>
      </c>
      <c r="AL65" s="12" t="s">
        <v>3973</v>
      </c>
      <c r="AM65" s="12" t="s">
        <v>1092</v>
      </c>
      <c r="AN65" s="12" t="s">
        <v>1092</v>
      </c>
      <c r="AO65" s="178" t="s">
        <v>1093</v>
      </c>
      <c r="AP65" s="178" t="s">
        <v>1093</v>
      </c>
      <c r="AQ65" s="178" t="s">
        <v>1092</v>
      </c>
      <c r="AR65" s="178" t="s">
        <v>1092</v>
      </c>
      <c r="AS65" s="178" t="s">
        <v>1118</v>
      </c>
      <c r="AT65" s="178" t="s">
        <v>1095</v>
      </c>
      <c r="AU65" s="178" t="s">
        <v>1095</v>
      </c>
      <c r="AV65" s="12" t="s">
        <v>1096</v>
      </c>
      <c r="AW65" s="12" t="s">
        <v>1097</v>
      </c>
      <c r="AX65" s="178" t="s">
        <v>3161</v>
      </c>
      <c r="AY65" s="178" t="s">
        <v>1093</v>
      </c>
      <c r="AZ65" s="12" t="s">
        <v>3974</v>
      </c>
      <c r="BA65" s="12" t="s">
        <v>1098</v>
      </c>
      <c r="BB65" s="12" t="s">
        <v>1098</v>
      </c>
      <c r="BD65" s="12" t="s">
        <v>1092</v>
      </c>
      <c r="BE65" s="12" t="s">
        <v>118</v>
      </c>
      <c r="BF65" s="12" t="s">
        <v>121</v>
      </c>
      <c r="BH65" s="12" t="s">
        <v>120</v>
      </c>
      <c r="BI65" s="179">
        <v>67</v>
      </c>
      <c r="BJ65" s="12"/>
      <c r="BK65" s="12"/>
      <c r="BL65" s="12"/>
    </row>
    <row r="66" spans="1:65" x14ac:dyDescent="0.25">
      <c r="A66" s="12" t="s">
        <v>3847</v>
      </c>
      <c r="B66" s="12" t="s">
        <v>3975</v>
      </c>
      <c r="C66" s="12" t="s">
        <v>3976</v>
      </c>
      <c r="D66" s="12" t="s">
        <v>3977</v>
      </c>
      <c r="E66" s="175">
        <v>42205</v>
      </c>
      <c r="F66" s="12" t="s">
        <v>1192</v>
      </c>
      <c r="G66" s="12" t="s">
        <v>1075</v>
      </c>
      <c r="H66" s="12" t="s">
        <v>3978</v>
      </c>
      <c r="I66" s="12" t="s">
        <v>3979</v>
      </c>
      <c r="K66" s="12" t="s">
        <v>1226</v>
      </c>
      <c r="L66" s="12" t="s">
        <v>1227</v>
      </c>
      <c r="M66" s="12" t="s">
        <v>1228</v>
      </c>
      <c r="O66" s="178" t="s">
        <v>1163</v>
      </c>
      <c r="P66" s="178" t="s">
        <v>3980</v>
      </c>
      <c r="Q66" s="12" t="s">
        <v>1228</v>
      </c>
      <c r="R66" s="179">
        <v>68</v>
      </c>
      <c r="U66" s="12" t="s">
        <v>120</v>
      </c>
      <c r="W66" s="12" t="s">
        <v>1083</v>
      </c>
      <c r="X66" s="12" t="s">
        <v>1962</v>
      </c>
      <c r="Y66" s="178" t="s">
        <v>1880</v>
      </c>
      <c r="Z66" s="12" t="s">
        <v>3981</v>
      </c>
      <c r="AB66" s="12" t="s">
        <v>1185</v>
      </c>
      <c r="AD66" s="12" t="s">
        <v>1185</v>
      </c>
      <c r="AE66" s="12" t="s">
        <v>1075</v>
      </c>
      <c r="AF66" s="12" t="s">
        <v>3982</v>
      </c>
      <c r="AG66" s="12" t="s">
        <v>1092</v>
      </c>
      <c r="AH66" s="12" t="s">
        <v>1092</v>
      </c>
      <c r="AI66" s="12" t="s">
        <v>3983</v>
      </c>
      <c r="AJ66" s="12" t="s">
        <v>3984</v>
      </c>
      <c r="AK66" s="12" t="s">
        <v>3985</v>
      </c>
      <c r="AL66" s="12" t="s">
        <v>3986</v>
      </c>
      <c r="AM66" s="12" t="s">
        <v>1092</v>
      </c>
      <c r="AN66" s="12" t="s">
        <v>1092</v>
      </c>
      <c r="AO66" s="178" t="s">
        <v>1093</v>
      </c>
      <c r="AP66" s="178" t="s">
        <v>1093</v>
      </c>
      <c r="AQ66" s="178" t="s">
        <v>1093</v>
      </c>
      <c r="AR66" s="178" t="s">
        <v>1093</v>
      </c>
      <c r="AS66" s="178" t="s">
        <v>1118</v>
      </c>
      <c r="AT66" s="178" t="s">
        <v>1118</v>
      </c>
      <c r="AU66" s="178" t="s">
        <v>1118</v>
      </c>
      <c r="AV66" s="12" t="s">
        <v>1096</v>
      </c>
      <c r="AW66" s="12" t="s">
        <v>1097</v>
      </c>
      <c r="AX66" s="178" t="s">
        <v>3091</v>
      </c>
      <c r="AY66" s="178" t="s">
        <v>1093</v>
      </c>
      <c r="AZ66" s="12" t="s">
        <v>3987</v>
      </c>
      <c r="BA66" s="12" t="s">
        <v>1098</v>
      </c>
      <c r="BB66" s="12" t="s">
        <v>1098</v>
      </c>
      <c r="BD66" s="12" t="s">
        <v>1092</v>
      </c>
      <c r="BE66" s="12" t="s">
        <v>118</v>
      </c>
      <c r="BF66" s="12" t="s">
        <v>121</v>
      </c>
      <c r="BH66" s="12" t="s">
        <v>120</v>
      </c>
      <c r="BI66" s="179">
        <v>68</v>
      </c>
      <c r="BJ66" s="12"/>
      <c r="BK66" s="12"/>
      <c r="BL66" s="12"/>
    </row>
    <row r="67" spans="1:65" x14ac:dyDescent="0.25">
      <c r="A67" s="12" t="s">
        <v>3847</v>
      </c>
      <c r="B67" s="12" t="s">
        <v>3988</v>
      </c>
      <c r="C67" s="12" t="s">
        <v>3989</v>
      </c>
      <c r="D67" s="12" t="s">
        <v>3990</v>
      </c>
      <c r="E67" s="175">
        <v>42205</v>
      </c>
      <c r="F67" s="12" t="s">
        <v>3991</v>
      </c>
      <c r="G67" s="12" t="s">
        <v>1075</v>
      </c>
      <c r="H67" s="12" t="s">
        <v>3992</v>
      </c>
      <c r="I67" s="12" t="s">
        <v>3993</v>
      </c>
      <c r="K67" s="12" t="s">
        <v>1103</v>
      </c>
      <c r="L67" s="12" t="s">
        <v>1179</v>
      </c>
      <c r="M67" s="12" t="s">
        <v>1180</v>
      </c>
      <c r="O67" s="178" t="s">
        <v>1081</v>
      </c>
      <c r="P67" s="178" t="s">
        <v>3994</v>
      </c>
      <c r="Q67" s="12" t="s">
        <v>1180</v>
      </c>
      <c r="R67" s="179">
        <v>69</v>
      </c>
      <c r="U67" s="12" t="s">
        <v>120</v>
      </c>
      <c r="W67" s="12" t="s">
        <v>1083</v>
      </c>
      <c r="X67" s="12" t="s">
        <v>2339</v>
      </c>
      <c r="Y67" s="178" t="s">
        <v>1234</v>
      </c>
      <c r="Z67" s="12" t="s">
        <v>3995</v>
      </c>
      <c r="AA67" s="178" t="s">
        <v>2264</v>
      </c>
      <c r="AB67" s="12" t="s">
        <v>3996</v>
      </c>
      <c r="AC67" s="178" t="s">
        <v>2084</v>
      </c>
      <c r="AD67" s="12" t="s">
        <v>3997</v>
      </c>
      <c r="AE67" s="12" t="s">
        <v>1075</v>
      </c>
      <c r="AF67" s="12" t="s">
        <v>3998</v>
      </c>
      <c r="AG67" s="12" t="s">
        <v>1092</v>
      </c>
      <c r="AH67" s="12" t="s">
        <v>1092</v>
      </c>
      <c r="AI67" s="12" t="s">
        <v>3999</v>
      </c>
      <c r="AJ67" s="12" t="s">
        <v>4000</v>
      </c>
      <c r="AK67" s="12" t="s">
        <v>4001</v>
      </c>
      <c r="AL67" s="12" t="s">
        <v>1092</v>
      </c>
      <c r="AM67" s="12" t="s">
        <v>1092</v>
      </c>
      <c r="AN67" s="12" t="s">
        <v>1092</v>
      </c>
      <c r="AO67" s="178" t="s">
        <v>1093</v>
      </c>
      <c r="AP67" s="178" t="s">
        <v>1093</v>
      </c>
      <c r="AQ67" s="178" t="s">
        <v>1093</v>
      </c>
      <c r="AR67" s="178" t="s">
        <v>1092</v>
      </c>
      <c r="AS67" s="178" t="s">
        <v>1118</v>
      </c>
      <c r="AT67" s="178" t="s">
        <v>1118</v>
      </c>
      <c r="AU67" s="178" t="s">
        <v>1095</v>
      </c>
      <c r="AV67" s="12" t="s">
        <v>1096</v>
      </c>
      <c r="AW67" s="12" t="s">
        <v>1097</v>
      </c>
      <c r="AY67" s="178" t="s">
        <v>1092</v>
      </c>
      <c r="AZ67" s="12" t="s">
        <v>4002</v>
      </c>
      <c r="BA67" s="12" t="s">
        <v>1098</v>
      </c>
      <c r="BB67" s="12" t="s">
        <v>1098</v>
      </c>
      <c r="BD67" s="12" t="s">
        <v>1092</v>
      </c>
      <c r="BE67" s="12" t="s">
        <v>118</v>
      </c>
      <c r="BF67" s="12" t="s">
        <v>121</v>
      </c>
      <c r="BH67" s="12" t="s">
        <v>120</v>
      </c>
      <c r="BI67" s="179">
        <v>69</v>
      </c>
      <c r="BJ67" s="12"/>
      <c r="BK67" s="12"/>
      <c r="BL67" s="12"/>
    </row>
    <row r="68" spans="1:65" x14ac:dyDescent="0.25">
      <c r="A68" s="12" t="s">
        <v>3847</v>
      </c>
      <c r="B68" s="12" t="s">
        <v>4003</v>
      </c>
      <c r="C68" s="12" t="s">
        <v>4004</v>
      </c>
      <c r="D68" s="12" t="s">
        <v>4005</v>
      </c>
      <c r="E68" s="175">
        <v>42205</v>
      </c>
      <c r="F68" s="12" t="s">
        <v>3234</v>
      </c>
      <c r="G68" s="12" t="s">
        <v>1075</v>
      </c>
      <c r="H68" s="12" t="s">
        <v>4006</v>
      </c>
      <c r="I68" s="12" t="s">
        <v>4007</v>
      </c>
      <c r="K68" s="12" t="s">
        <v>1078</v>
      </c>
      <c r="L68" s="12" t="s">
        <v>1079</v>
      </c>
      <c r="M68" s="12" t="s">
        <v>1080</v>
      </c>
      <c r="O68" s="178" t="s">
        <v>3573</v>
      </c>
      <c r="P68" s="178" t="s">
        <v>4008</v>
      </c>
      <c r="Q68" s="12" t="s">
        <v>1080</v>
      </c>
      <c r="R68" s="179">
        <v>70</v>
      </c>
      <c r="U68" s="12" t="s">
        <v>120</v>
      </c>
      <c r="W68" s="12" t="s">
        <v>1083</v>
      </c>
      <c r="X68" s="12" t="s">
        <v>2335</v>
      </c>
      <c r="Y68" s="178" t="s">
        <v>2108</v>
      </c>
      <c r="Z68" s="12" t="s">
        <v>1133</v>
      </c>
      <c r="AA68" s="178" t="s">
        <v>2264</v>
      </c>
      <c r="AB68" s="12" t="s">
        <v>4009</v>
      </c>
      <c r="AC68" s="178" t="s">
        <v>1326</v>
      </c>
      <c r="AD68" s="12" t="s">
        <v>2132</v>
      </c>
      <c r="AE68" s="12" t="s">
        <v>1075</v>
      </c>
      <c r="AF68" s="12" t="s">
        <v>4010</v>
      </c>
      <c r="AG68" s="12" t="s">
        <v>1092</v>
      </c>
      <c r="AH68" s="12" t="s">
        <v>1092</v>
      </c>
      <c r="AI68" s="12" t="s">
        <v>4011</v>
      </c>
      <c r="AJ68" s="12" t="s">
        <v>4012</v>
      </c>
      <c r="AK68" s="12" t="s">
        <v>4013</v>
      </c>
      <c r="AL68" s="12" t="s">
        <v>1092</v>
      </c>
      <c r="AM68" s="12" t="s">
        <v>1092</v>
      </c>
      <c r="AN68" s="12" t="s">
        <v>1092</v>
      </c>
      <c r="AO68" s="178" t="s">
        <v>1093</v>
      </c>
      <c r="AP68" s="178" t="s">
        <v>1093</v>
      </c>
      <c r="AQ68" s="178" t="s">
        <v>1093</v>
      </c>
      <c r="AR68" s="178" t="s">
        <v>1093</v>
      </c>
      <c r="AS68" s="178" t="s">
        <v>1118</v>
      </c>
      <c r="AT68" s="178" t="s">
        <v>1118</v>
      </c>
      <c r="AU68" s="178" t="s">
        <v>1118</v>
      </c>
      <c r="AV68" s="12" t="s">
        <v>1096</v>
      </c>
      <c r="AW68" s="12" t="s">
        <v>1097</v>
      </c>
      <c r="AX68" s="178" t="s">
        <v>3161</v>
      </c>
      <c r="AY68" s="178" t="s">
        <v>1093</v>
      </c>
      <c r="AZ68" s="12" t="s">
        <v>4014</v>
      </c>
      <c r="BA68" s="12" t="s">
        <v>1098</v>
      </c>
      <c r="BB68" s="12" t="s">
        <v>1098</v>
      </c>
      <c r="BC68" s="178" t="s">
        <v>1205</v>
      </c>
      <c r="BD68" s="12" t="s">
        <v>1092</v>
      </c>
      <c r="BE68" s="12" t="s">
        <v>118</v>
      </c>
      <c r="BF68" s="12" t="s">
        <v>121</v>
      </c>
      <c r="BH68" s="12" t="s">
        <v>120</v>
      </c>
      <c r="BI68" s="179">
        <v>70</v>
      </c>
      <c r="BJ68" s="12"/>
      <c r="BK68" s="12"/>
      <c r="BL68" s="12"/>
    </row>
    <row r="69" spans="1:65" x14ac:dyDescent="0.25">
      <c r="A69" s="12" t="s">
        <v>3132</v>
      </c>
      <c r="B69" s="12" t="s">
        <v>4015</v>
      </c>
      <c r="C69" s="12" t="s">
        <v>4016</v>
      </c>
      <c r="D69" s="12" t="s">
        <v>4017</v>
      </c>
      <c r="E69" s="175">
        <v>42205</v>
      </c>
      <c r="F69" s="12" t="s">
        <v>3247</v>
      </c>
      <c r="G69" s="12" t="s">
        <v>1075</v>
      </c>
      <c r="H69" s="12" t="s">
        <v>4018</v>
      </c>
      <c r="I69" s="12" t="s">
        <v>4019</v>
      </c>
      <c r="K69" s="12" t="s">
        <v>1103</v>
      </c>
      <c r="L69" s="12" t="s">
        <v>1104</v>
      </c>
      <c r="M69" s="12" t="s">
        <v>1180</v>
      </c>
      <c r="O69" s="178" t="s">
        <v>1196</v>
      </c>
      <c r="P69" s="178" t="s">
        <v>4020</v>
      </c>
      <c r="Q69" s="12" t="s">
        <v>1180</v>
      </c>
      <c r="R69" s="179">
        <v>71</v>
      </c>
      <c r="U69" s="12" t="s">
        <v>120</v>
      </c>
      <c r="W69" s="12" t="s">
        <v>1083</v>
      </c>
      <c r="X69" s="12" t="s">
        <v>1236</v>
      </c>
      <c r="Y69" s="178" t="s">
        <v>2182</v>
      </c>
      <c r="Z69" s="12" t="s">
        <v>4021</v>
      </c>
      <c r="AB69" s="12" t="s">
        <v>1185</v>
      </c>
      <c r="AD69" s="12" t="s">
        <v>1185</v>
      </c>
      <c r="AE69" s="12" t="s">
        <v>1075</v>
      </c>
      <c r="AF69" s="12" t="s">
        <v>4022</v>
      </c>
      <c r="AG69" s="12" t="s">
        <v>1092</v>
      </c>
      <c r="AH69" s="12" t="s">
        <v>1092</v>
      </c>
      <c r="AI69" s="12" t="s">
        <v>4023</v>
      </c>
      <c r="AJ69" s="12" t="s">
        <v>4024</v>
      </c>
      <c r="AK69" s="12" t="s">
        <v>4025</v>
      </c>
      <c r="AL69" s="12" t="s">
        <v>1092</v>
      </c>
      <c r="AM69" s="12" t="s">
        <v>1092</v>
      </c>
      <c r="AN69" s="12" t="s">
        <v>1092</v>
      </c>
      <c r="AO69" s="178" t="s">
        <v>1092</v>
      </c>
      <c r="AP69" s="178" t="s">
        <v>1092</v>
      </c>
      <c r="AQ69" s="178" t="s">
        <v>1093</v>
      </c>
      <c r="AR69" s="178" t="s">
        <v>1092</v>
      </c>
      <c r="AS69" s="178" t="s">
        <v>1155</v>
      </c>
      <c r="AT69" s="178" t="s">
        <v>1118</v>
      </c>
      <c r="AU69" s="178" t="s">
        <v>1095</v>
      </c>
      <c r="AV69" s="12" t="s">
        <v>1096</v>
      </c>
      <c r="AW69" s="12" t="s">
        <v>1097</v>
      </c>
      <c r="AY69" s="178" t="s">
        <v>1092</v>
      </c>
      <c r="AZ69" s="12" t="s">
        <v>4026</v>
      </c>
      <c r="BA69" s="12" t="s">
        <v>1098</v>
      </c>
      <c r="BB69" s="12" t="s">
        <v>1098</v>
      </c>
      <c r="BD69" s="12" t="s">
        <v>1092</v>
      </c>
      <c r="BE69" s="12" t="s">
        <v>118</v>
      </c>
      <c r="BF69" s="12" t="s">
        <v>121</v>
      </c>
      <c r="BH69" s="12" t="s">
        <v>120</v>
      </c>
      <c r="BI69" s="179">
        <v>71</v>
      </c>
      <c r="BJ69" s="12"/>
      <c r="BK69" s="12"/>
      <c r="BL69" s="12"/>
    </row>
    <row r="70" spans="1:65" x14ac:dyDescent="0.25">
      <c r="A70" s="12" t="s">
        <v>3132</v>
      </c>
      <c r="B70" s="12" t="s">
        <v>4027</v>
      </c>
      <c r="C70" s="12" t="s">
        <v>4028</v>
      </c>
      <c r="D70" s="12" t="s">
        <v>4029</v>
      </c>
      <c r="E70" s="175">
        <v>42205</v>
      </c>
      <c r="F70" s="12" t="s">
        <v>1524</v>
      </c>
      <c r="G70" s="12" t="s">
        <v>1075</v>
      </c>
      <c r="H70" s="12" t="s">
        <v>4030</v>
      </c>
      <c r="I70" s="12" t="s">
        <v>4031</v>
      </c>
      <c r="K70" s="12" t="s">
        <v>1078</v>
      </c>
      <c r="L70" s="12" t="s">
        <v>1079</v>
      </c>
      <c r="M70" s="12" t="s">
        <v>1342</v>
      </c>
      <c r="O70" s="178" t="s">
        <v>1163</v>
      </c>
      <c r="P70" s="178" t="s">
        <v>4032</v>
      </c>
      <c r="Q70" s="12" t="s">
        <v>1342</v>
      </c>
      <c r="R70" s="179">
        <v>72</v>
      </c>
      <c r="U70" s="12" t="s">
        <v>120</v>
      </c>
      <c r="W70" s="12" t="s">
        <v>1083</v>
      </c>
      <c r="X70" s="12" t="s">
        <v>4033</v>
      </c>
      <c r="Y70" s="178" t="s">
        <v>2906</v>
      </c>
      <c r="Z70" s="12" t="s">
        <v>4034</v>
      </c>
      <c r="AA70" s="178" t="s">
        <v>1198</v>
      </c>
      <c r="AB70" s="12" t="s">
        <v>4035</v>
      </c>
      <c r="AC70" s="178" t="s">
        <v>1965</v>
      </c>
      <c r="AD70" s="12" t="s">
        <v>4036</v>
      </c>
      <c r="AE70" s="12" t="s">
        <v>1075</v>
      </c>
      <c r="AF70" s="12" t="s">
        <v>4037</v>
      </c>
      <c r="AG70" s="12" t="s">
        <v>1092</v>
      </c>
      <c r="AH70" s="12" t="s">
        <v>1092</v>
      </c>
      <c r="AI70" s="12" t="s">
        <v>4038</v>
      </c>
      <c r="AJ70" s="12" t="s">
        <v>4039</v>
      </c>
      <c r="AK70" s="12" t="s">
        <v>1092</v>
      </c>
      <c r="AL70" s="12" t="s">
        <v>1092</v>
      </c>
      <c r="AM70" s="12" t="s">
        <v>1092</v>
      </c>
      <c r="AN70" s="12" t="s">
        <v>1092</v>
      </c>
      <c r="AO70" s="178" t="s">
        <v>1093</v>
      </c>
      <c r="AP70" s="178" t="s">
        <v>1093</v>
      </c>
      <c r="AQ70" s="178" t="s">
        <v>1092</v>
      </c>
      <c r="AR70" s="178" t="s">
        <v>1092</v>
      </c>
      <c r="AS70" s="178" t="s">
        <v>1118</v>
      </c>
      <c r="AT70" s="178" t="s">
        <v>1095</v>
      </c>
      <c r="AU70" s="178" t="s">
        <v>1095</v>
      </c>
      <c r="AV70" s="12" t="s">
        <v>1096</v>
      </c>
      <c r="AW70" s="12" t="s">
        <v>1097</v>
      </c>
      <c r="AY70" s="178" t="s">
        <v>1092</v>
      </c>
      <c r="AZ70" s="12" t="s">
        <v>4040</v>
      </c>
      <c r="BA70" s="12" t="s">
        <v>1098</v>
      </c>
      <c r="BB70" s="12" t="s">
        <v>1098</v>
      </c>
      <c r="BD70" s="12" t="s">
        <v>1092</v>
      </c>
      <c r="BE70" s="12" t="s">
        <v>118</v>
      </c>
      <c r="BF70" s="12" t="s">
        <v>121</v>
      </c>
      <c r="BH70" s="12" t="s">
        <v>120</v>
      </c>
      <c r="BI70" s="179">
        <v>72</v>
      </c>
      <c r="BJ70" s="12"/>
      <c r="BK70" s="12"/>
      <c r="BL70" s="12"/>
    </row>
    <row r="71" spans="1:65" x14ac:dyDescent="0.25">
      <c r="A71" s="12" t="s">
        <v>3132</v>
      </c>
      <c r="B71" s="12" t="s">
        <v>4041</v>
      </c>
      <c r="C71" s="12" t="s">
        <v>4042</v>
      </c>
      <c r="D71" s="12" t="s">
        <v>4043</v>
      </c>
      <c r="E71" s="175">
        <v>42205</v>
      </c>
      <c r="F71" s="12" t="s">
        <v>4044</v>
      </c>
      <c r="G71" s="12" t="s">
        <v>1075</v>
      </c>
      <c r="H71" s="12" t="s">
        <v>4045</v>
      </c>
      <c r="I71" s="12" t="s">
        <v>4046</v>
      </c>
      <c r="K71" s="12" t="s">
        <v>1078</v>
      </c>
      <c r="L71" s="12" t="s">
        <v>1079</v>
      </c>
      <c r="M71" s="12" t="s">
        <v>1080</v>
      </c>
      <c r="O71" s="178" t="s">
        <v>1488</v>
      </c>
      <c r="P71" s="178" t="s">
        <v>4047</v>
      </c>
      <c r="Q71" s="12" t="s">
        <v>1080</v>
      </c>
      <c r="R71" s="179">
        <v>73</v>
      </c>
      <c r="U71" s="12" t="s">
        <v>120</v>
      </c>
      <c r="W71" s="12" t="s">
        <v>1083</v>
      </c>
      <c r="X71" s="12" t="s">
        <v>3690</v>
      </c>
      <c r="Y71" s="178" t="s">
        <v>4048</v>
      </c>
      <c r="Z71" s="12" t="s">
        <v>4049</v>
      </c>
      <c r="AA71" s="178" t="s">
        <v>1345</v>
      </c>
      <c r="AB71" s="12" t="s">
        <v>4050</v>
      </c>
      <c r="AC71" s="178" t="s">
        <v>2084</v>
      </c>
      <c r="AD71" s="12" t="s">
        <v>4051</v>
      </c>
      <c r="AE71" s="12" t="s">
        <v>1075</v>
      </c>
      <c r="AF71" s="12" t="s">
        <v>4052</v>
      </c>
      <c r="AG71" s="12" t="s">
        <v>1092</v>
      </c>
      <c r="AH71" s="12" t="s">
        <v>1092</v>
      </c>
      <c r="AI71" s="12" t="s">
        <v>4053</v>
      </c>
      <c r="AJ71" s="12" t="s">
        <v>4054</v>
      </c>
      <c r="AK71" s="12" t="s">
        <v>1092</v>
      </c>
      <c r="AL71" s="12" t="s">
        <v>1092</v>
      </c>
      <c r="AM71" s="12" t="s">
        <v>1092</v>
      </c>
      <c r="AN71" s="12" t="s">
        <v>1092</v>
      </c>
      <c r="AO71" s="178" t="s">
        <v>1093</v>
      </c>
      <c r="AP71" s="178" t="s">
        <v>1093</v>
      </c>
      <c r="AQ71" s="178" t="s">
        <v>1093</v>
      </c>
      <c r="AR71" s="178" t="s">
        <v>1093</v>
      </c>
      <c r="AS71" s="178" t="s">
        <v>1118</v>
      </c>
      <c r="AT71" s="178" t="s">
        <v>1118</v>
      </c>
      <c r="AU71" s="178" t="s">
        <v>1094</v>
      </c>
      <c r="AV71" s="12" t="s">
        <v>1096</v>
      </c>
      <c r="AW71" s="12" t="s">
        <v>1097</v>
      </c>
      <c r="AY71" s="178" t="s">
        <v>1092</v>
      </c>
      <c r="AZ71" s="12" t="s">
        <v>4055</v>
      </c>
      <c r="BA71" s="12" t="s">
        <v>1098</v>
      </c>
      <c r="BB71" s="12" t="s">
        <v>1098</v>
      </c>
      <c r="BD71" s="12" t="s">
        <v>1092</v>
      </c>
      <c r="BE71" s="12" t="s">
        <v>118</v>
      </c>
      <c r="BF71" s="12" t="s">
        <v>121</v>
      </c>
      <c r="BH71" s="12" t="s">
        <v>120</v>
      </c>
      <c r="BI71" s="179">
        <v>73</v>
      </c>
      <c r="BJ71" s="175">
        <v>42209</v>
      </c>
      <c r="BK71" s="176" t="s">
        <v>119</v>
      </c>
      <c r="BL71" s="177">
        <v>162.81</v>
      </c>
      <c r="BM71" s="12">
        <v>30</v>
      </c>
    </row>
    <row r="72" spans="1:65" x14ac:dyDescent="0.25">
      <c r="A72" s="12" t="s">
        <v>3132</v>
      </c>
      <c r="B72" s="12" t="s">
        <v>4056</v>
      </c>
      <c r="C72" s="12" t="s">
        <v>4057</v>
      </c>
      <c r="D72" s="12" t="s">
        <v>4058</v>
      </c>
      <c r="E72" s="175">
        <v>42205</v>
      </c>
      <c r="F72" s="12" t="s">
        <v>1271</v>
      </c>
      <c r="G72" s="12" t="s">
        <v>1075</v>
      </c>
      <c r="H72" s="12" t="s">
        <v>4059</v>
      </c>
      <c r="I72" s="12" t="s">
        <v>1905</v>
      </c>
      <c r="J72" s="12" t="s">
        <v>1789</v>
      </c>
      <c r="K72" s="12" t="s">
        <v>1123</v>
      </c>
      <c r="L72" s="12" t="s">
        <v>1124</v>
      </c>
      <c r="M72" s="12" t="s">
        <v>1125</v>
      </c>
      <c r="O72" s="178" t="s">
        <v>1106</v>
      </c>
      <c r="P72" s="178" t="s">
        <v>4060</v>
      </c>
      <c r="Q72" s="12" t="s">
        <v>1125</v>
      </c>
      <c r="R72" s="179">
        <v>74</v>
      </c>
      <c r="U72" s="12" t="s">
        <v>120</v>
      </c>
      <c r="W72" s="12" t="s">
        <v>1083</v>
      </c>
      <c r="X72" s="12" t="s">
        <v>1157</v>
      </c>
      <c r="Y72" s="178" t="s">
        <v>2653</v>
      </c>
      <c r="Z72" s="12" t="s">
        <v>1525</v>
      </c>
      <c r="AA72" s="178" t="s">
        <v>1629</v>
      </c>
      <c r="AB72" s="12" t="s">
        <v>4061</v>
      </c>
      <c r="AC72" s="178" t="s">
        <v>2337</v>
      </c>
      <c r="AD72" s="12" t="s">
        <v>4061</v>
      </c>
      <c r="AE72" s="12" t="s">
        <v>1075</v>
      </c>
      <c r="AF72" s="12" t="s">
        <v>4062</v>
      </c>
      <c r="AG72" s="12" t="s">
        <v>1236</v>
      </c>
      <c r="AH72" s="12" t="s">
        <v>1092</v>
      </c>
      <c r="AI72" s="12" t="s">
        <v>4063</v>
      </c>
      <c r="AJ72" s="12" t="s">
        <v>4064</v>
      </c>
      <c r="AK72" s="12" t="s">
        <v>4065</v>
      </c>
      <c r="AL72" s="12" t="s">
        <v>1092</v>
      </c>
      <c r="AM72" s="12" t="s">
        <v>1092</v>
      </c>
      <c r="AN72" s="12" t="s">
        <v>1092</v>
      </c>
      <c r="AO72" s="178" t="s">
        <v>1093</v>
      </c>
      <c r="AP72" s="178" t="s">
        <v>1093</v>
      </c>
      <c r="AQ72" s="178" t="s">
        <v>1092</v>
      </c>
      <c r="AR72" s="178" t="s">
        <v>1092</v>
      </c>
      <c r="AS72" s="178" t="s">
        <v>1118</v>
      </c>
      <c r="AT72" s="178" t="s">
        <v>1095</v>
      </c>
      <c r="AU72" s="178" t="s">
        <v>1095</v>
      </c>
      <c r="AV72" s="12" t="s">
        <v>1096</v>
      </c>
      <c r="AW72" s="12" t="s">
        <v>1097</v>
      </c>
      <c r="AX72" s="178" t="s">
        <v>4066</v>
      </c>
      <c r="AY72" s="178" t="s">
        <v>1157</v>
      </c>
      <c r="AZ72" s="12" t="s">
        <v>4067</v>
      </c>
      <c r="BA72" s="12" t="s">
        <v>1098</v>
      </c>
      <c r="BB72" s="12" t="s">
        <v>1098</v>
      </c>
      <c r="BD72" s="12" t="s">
        <v>1092</v>
      </c>
      <c r="BE72" s="12" t="s">
        <v>118</v>
      </c>
      <c r="BF72" s="12" t="s">
        <v>121</v>
      </c>
      <c r="BH72" s="12" t="s">
        <v>120</v>
      </c>
      <c r="BI72" s="179">
        <v>74</v>
      </c>
      <c r="BJ72" s="12"/>
      <c r="BK72" s="12"/>
      <c r="BL72" s="12"/>
    </row>
    <row r="73" spans="1:65" x14ac:dyDescent="0.25">
      <c r="A73" s="12" t="s">
        <v>3132</v>
      </c>
      <c r="B73" s="12" t="s">
        <v>4068</v>
      </c>
      <c r="C73" s="12" t="s">
        <v>4069</v>
      </c>
      <c r="D73" s="12" t="s">
        <v>4070</v>
      </c>
      <c r="E73" s="175">
        <v>42205</v>
      </c>
      <c r="F73" s="12" t="s">
        <v>4071</v>
      </c>
      <c r="G73" s="12" t="s">
        <v>1075</v>
      </c>
      <c r="H73" s="12" t="s">
        <v>1076</v>
      </c>
      <c r="I73" s="12" t="s">
        <v>4072</v>
      </c>
      <c r="K73" s="12" t="s">
        <v>1103</v>
      </c>
      <c r="L73" s="12" t="s">
        <v>1104</v>
      </c>
      <c r="M73" s="12" t="s">
        <v>1180</v>
      </c>
      <c r="O73" s="178" t="s">
        <v>1396</v>
      </c>
      <c r="P73" s="178" t="s">
        <v>4073</v>
      </c>
      <c r="Q73" s="12" t="s">
        <v>1180</v>
      </c>
      <c r="R73" s="179">
        <v>75</v>
      </c>
      <c r="U73" s="12" t="s">
        <v>120</v>
      </c>
      <c r="W73" s="12" t="s">
        <v>1083</v>
      </c>
      <c r="X73" s="12" t="s">
        <v>3690</v>
      </c>
      <c r="Y73" s="178" t="s">
        <v>2095</v>
      </c>
      <c r="Z73" s="12" t="s">
        <v>4074</v>
      </c>
      <c r="AA73" s="178" t="s">
        <v>1263</v>
      </c>
      <c r="AB73" s="12" t="s">
        <v>4075</v>
      </c>
      <c r="AD73" s="12" t="s">
        <v>1185</v>
      </c>
      <c r="AE73" s="12" t="s">
        <v>1075</v>
      </c>
      <c r="AF73" s="12" t="s">
        <v>2973</v>
      </c>
      <c r="AG73" s="12" t="s">
        <v>1092</v>
      </c>
      <c r="AH73" s="12" t="s">
        <v>1092</v>
      </c>
      <c r="AI73" s="12" t="s">
        <v>1528</v>
      </c>
      <c r="AJ73" s="12" t="s">
        <v>1528</v>
      </c>
      <c r="AK73" s="12" t="s">
        <v>1092</v>
      </c>
      <c r="AL73" s="12" t="s">
        <v>1092</v>
      </c>
      <c r="AM73" s="12" t="s">
        <v>1092</v>
      </c>
      <c r="AN73" s="12" t="s">
        <v>1092</v>
      </c>
      <c r="AO73" s="178" t="s">
        <v>1092</v>
      </c>
      <c r="AP73" s="178" t="s">
        <v>1092</v>
      </c>
      <c r="AQ73" s="178" t="s">
        <v>1093</v>
      </c>
      <c r="AR73" s="178" t="s">
        <v>1092</v>
      </c>
      <c r="AS73" s="178" t="s">
        <v>1155</v>
      </c>
      <c r="AT73" s="178" t="s">
        <v>1118</v>
      </c>
      <c r="AU73" s="178" t="s">
        <v>1095</v>
      </c>
      <c r="AV73" s="12" t="s">
        <v>1096</v>
      </c>
      <c r="AW73" s="12" t="s">
        <v>1097</v>
      </c>
      <c r="AY73" s="178" t="s">
        <v>1092</v>
      </c>
      <c r="AZ73" s="12" t="s">
        <v>1098</v>
      </c>
      <c r="BA73" s="12" t="s">
        <v>1098</v>
      </c>
      <c r="BB73" s="12" t="s">
        <v>4076</v>
      </c>
      <c r="BD73" s="12" t="s">
        <v>1092</v>
      </c>
      <c r="BE73" s="12" t="s">
        <v>118</v>
      </c>
      <c r="BF73" s="12" t="s">
        <v>121</v>
      </c>
      <c r="BH73" s="12" t="s">
        <v>120</v>
      </c>
      <c r="BI73" s="179">
        <v>75</v>
      </c>
      <c r="BJ73" s="12"/>
      <c r="BK73" s="12"/>
      <c r="BL73" s="12"/>
    </row>
    <row r="74" spans="1:65" x14ac:dyDescent="0.25">
      <c r="A74" s="12" t="s">
        <v>3132</v>
      </c>
      <c r="B74" s="12" t="s">
        <v>4077</v>
      </c>
      <c r="C74" s="12" t="s">
        <v>4078</v>
      </c>
      <c r="D74" s="12" t="s">
        <v>4079</v>
      </c>
      <c r="E74" s="175">
        <v>42205</v>
      </c>
      <c r="F74" s="12" t="s">
        <v>4080</v>
      </c>
      <c r="G74" s="12" t="s">
        <v>1075</v>
      </c>
      <c r="H74" s="12" t="s">
        <v>4081</v>
      </c>
      <c r="I74" s="12" t="s">
        <v>4082</v>
      </c>
      <c r="K74" s="12" t="s">
        <v>1103</v>
      </c>
      <c r="L74" s="12" t="s">
        <v>1104</v>
      </c>
      <c r="M74" s="12" t="s">
        <v>1180</v>
      </c>
      <c r="O74" s="178" t="s">
        <v>1434</v>
      </c>
      <c r="P74" s="178" t="s">
        <v>4083</v>
      </c>
      <c r="Q74" s="12" t="s">
        <v>1180</v>
      </c>
      <c r="R74" s="179">
        <v>76</v>
      </c>
      <c r="U74" s="12" t="s">
        <v>120</v>
      </c>
      <c r="W74" s="12" t="s">
        <v>1083</v>
      </c>
      <c r="X74" s="12" t="s">
        <v>1236</v>
      </c>
      <c r="Y74" s="178" t="s">
        <v>2946</v>
      </c>
      <c r="Z74" s="12" t="s">
        <v>1521</v>
      </c>
      <c r="AA74" s="178" t="s">
        <v>1424</v>
      </c>
      <c r="AB74" s="12" t="s">
        <v>1803</v>
      </c>
      <c r="AC74" s="178" t="s">
        <v>1326</v>
      </c>
      <c r="AD74" s="12" t="s">
        <v>1803</v>
      </c>
      <c r="AE74" s="12" t="s">
        <v>1075</v>
      </c>
      <c r="AF74" s="12" t="s">
        <v>4084</v>
      </c>
      <c r="AG74" s="12" t="s">
        <v>1092</v>
      </c>
      <c r="AH74" s="12" t="s">
        <v>1092</v>
      </c>
      <c r="AI74" s="12" t="s">
        <v>4085</v>
      </c>
      <c r="AJ74" s="12" t="s">
        <v>4086</v>
      </c>
      <c r="AK74" s="12" t="s">
        <v>1092</v>
      </c>
      <c r="AL74" s="12" t="s">
        <v>1092</v>
      </c>
      <c r="AM74" s="12" t="s">
        <v>1092</v>
      </c>
      <c r="AN74" s="12" t="s">
        <v>1092</v>
      </c>
      <c r="AO74" s="178" t="s">
        <v>1092</v>
      </c>
      <c r="AP74" s="178" t="s">
        <v>1092</v>
      </c>
      <c r="AQ74" s="178" t="s">
        <v>1093</v>
      </c>
      <c r="AR74" s="178" t="s">
        <v>1092</v>
      </c>
      <c r="AS74" s="178" t="s">
        <v>1155</v>
      </c>
      <c r="AT74" s="178" t="s">
        <v>1118</v>
      </c>
      <c r="AU74" s="178" t="s">
        <v>1095</v>
      </c>
      <c r="AV74" s="12" t="s">
        <v>1096</v>
      </c>
      <c r="AW74" s="12" t="s">
        <v>1097</v>
      </c>
      <c r="AY74" s="178" t="s">
        <v>1092</v>
      </c>
      <c r="AZ74" s="12" t="s">
        <v>4087</v>
      </c>
      <c r="BA74" s="12" t="s">
        <v>1098</v>
      </c>
      <c r="BB74" s="12" t="s">
        <v>4088</v>
      </c>
      <c r="BD74" s="12" t="s">
        <v>1092</v>
      </c>
      <c r="BE74" s="12" t="s">
        <v>118</v>
      </c>
      <c r="BF74" s="12" t="s">
        <v>121</v>
      </c>
      <c r="BH74" s="12" t="s">
        <v>120</v>
      </c>
      <c r="BI74" s="179">
        <v>76</v>
      </c>
      <c r="BJ74" s="12"/>
      <c r="BK74" s="12"/>
      <c r="BL74" s="12"/>
    </row>
    <row r="75" spans="1:65" x14ac:dyDescent="0.25">
      <c r="A75" s="12" t="s">
        <v>3132</v>
      </c>
      <c r="B75" s="12" t="s">
        <v>4089</v>
      </c>
      <c r="C75" s="12" t="s">
        <v>4090</v>
      </c>
      <c r="D75" s="12" t="s">
        <v>4091</v>
      </c>
      <c r="E75" s="175">
        <v>42205</v>
      </c>
      <c r="F75" s="12" t="s">
        <v>1109</v>
      </c>
      <c r="G75" s="12" t="s">
        <v>1075</v>
      </c>
      <c r="H75" s="12" t="s">
        <v>4092</v>
      </c>
      <c r="I75" s="12" t="s">
        <v>4093</v>
      </c>
      <c r="K75" s="12" t="s">
        <v>1078</v>
      </c>
      <c r="L75" s="12" t="s">
        <v>1079</v>
      </c>
      <c r="M75" s="12" t="s">
        <v>1080</v>
      </c>
      <c r="O75" s="178" t="s">
        <v>1181</v>
      </c>
      <c r="P75" s="178" t="s">
        <v>4094</v>
      </c>
      <c r="Q75" s="12" t="s">
        <v>1080</v>
      </c>
      <c r="R75" s="179">
        <v>77</v>
      </c>
      <c r="U75" s="12" t="s">
        <v>120</v>
      </c>
      <c r="W75" s="12" t="s">
        <v>1083</v>
      </c>
      <c r="X75" s="12" t="s">
        <v>1949</v>
      </c>
      <c r="Z75" s="12" t="s">
        <v>1185</v>
      </c>
      <c r="AB75" s="12" t="s">
        <v>1185</v>
      </c>
      <c r="AD75" s="12" t="s">
        <v>1185</v>
      </c>
      <c r="AE75" s="12" t="s">
        <v>1075</v>
      </c>
      <c r="AF75" s="12" t="s">
        <v>4095</v>
      </c>
      <c r="AG75" s="12" t="s">
        <v>1092</v>
      </c>
      <c r="AH75" s="12" t="s">
        <v>1092</v>
      </c>
      <c r="AI75" s="12" t="s">
        <v>4096</v>
      </c>
      <c r="AJ75" s="12" t="s">
        <v>4097</v>
      </c>
      <c r="AK75" s="12" t="s">
        <v>4098</v>
      </c>
      <c r="AL75" s="12" t="s">
        <v>1092</v>
      </c>
      <c r="AM75" s="12" t="s">
        <v>1092</v>
      </c>
      <c r="AN75" s="12" t="s">
        <v>1092</v>
      </c>
      <c r="AO75" s="178" t="s">
        <v>1093</v>
      </c>
      <c r="AP75" s="178" t="s">
        <v>1093</v>
      </c>
      <c r="AQ75" s="178" t="s">
        <v>1093</v>
      </c>
      <c r="AR75" s="178" t="s">
        <v>1093</v>
      </c>
      <c r="AS75" s="178" t="s">
        <v>1118</v>
      </c>
      <c r="AT75" s="178" t="s">
        <v>1118</v>
      </c>
      <c r="AU75" s="178" t="s">
        <v>1118</v>
      </c>
      <c r="AV75" s="12" t="s">
        <v>1096</v>
      </c>
      <c r="AW75" s="12" t="s">
        <v>1097</v>
      </c>
      <c r="AY75" s="178" t="s">
        <v>1092</v>
      </c>
      <c r="AZ75" s="12" t="s">
        <v>4099</v>
      </c>
      <c r="BA75" s="12" t="s">
        <v>1098</v>
      </c>
      <c r="BB75" s="12" t="s">
        <v>4099</v>
      </c>
      <c r="BD75" s="12" t="s">
        <v>1092</v>
      </c>
      <c r="BE75" s="12" t="s">
        <v>118</v>
      </c>
      <c r="BF75" s="12" t="s">
        <v>121</v>
      </c>
      <c r="BH75" s="12" t="s">
        <v>120</v>
      </c>
      <c r="BI75" s="179">
        <v>77</v>
      </c>
      <c r="BJ75" s="12"/>
      <c r="BK75" s="12"/>
      <c r="BL75" s="12"/>
    </row>
    <row r="76" spans="1:65" x14ac:dyDescent="0.25">
      <c r="A76" s="12" t="s">
        <v>3132</v>
      </c>
      <c r="B76" s="12" t="s">
        <v>4100</v>
      </c>
      <c r="C76" s="12" t="s">
        <v>4101</v>
      </c>
      <c r="D76" s="12" t="s">
        <v>4102</v>
      </c>
      <c r="E76" s="175">
        <v>42205</v>
      </c>
      <c r="F76" s="12" t="s">
        <v>4103</v>
      </c>
      <c r="G76" s="12" t="s">
        <v>1075</v>
      </c>
      <c r="H76" s="12" t="s">
        <v>4104</v>
      </c>
      <c r="I76" s="12" t="s">
        <v>4105</v>
      </c>
      <c r="J76" s="12" t="s">
        <v>2143</v>
      </c>
      <c r="K76" s="12" t="s">
        <v>1078</v>
      </c>
      <c r="L76" s="12" t="s">
        <v>1079</v>
      </c>
      <c r="M76" s="12" t="s">
        <v>1342</v>
      </c>
      <c r="O76" s="178" t="s">
        <v>1163</v>
      </c>
      <c r="P76" s="178" t="s">
        <v>4106</v>
      </c>
      <c r="Q76" s="12" t="s">
        <v>1342</v>
      </c>
      <c r="R76" s="179">
        <v>78</v>
      </c>
      <c r="U76" s="12" t="s">
        <v>120</v>
      </c>
      <c r="W76" s="12" t="s">
        <v>1083</v>
      </c>
      <c r="X76" s="12" t="s">
        <v>3123</v>
      </c>
      <c r="Y76" s="178" t="s">
        <v>1398</v>
      </c>
      <c r="Z76" s="12" t="s">
        <v>4107</v>
      </c>
      <c r="AA76" s="178" t="s">
        <v>2395</v>
      </c>
      <c r="AB76" s="12" t="s">
        <v>4108</v>
      </c>
      <c r="AC76" s="178" t="s">
        <v>4109</v>
      </c>
      <c r="AD76" s="12" t="s">
        <v>4110</v>
      </c>
      <c r="AE76" s="12" t="s">
        <v>1075</v>
      </c>
      <c r="AF76" s="12" t="s">
        <v>4111</v>
      </c>
      <c r="AG76" s="12" t="s">
        <v>1092</v>
      </c>
      <c r="AH76" s="12" t="s">
        <v>1092</v>
      </c>
      <c r="AI76" s="12" t="s">
        <v>4112</v>
      </c>
      <c r="AJ76" s="12" t="s">
        <v>4113</v>
      </c>
      <c r="AK76" s="12" t="s">
        <v>1092</v>
      </c>
      <c r="AL76" s="12" t="s">
        <v>1092</v>
      </c>
      <c r="AM76" s="12" t="s">
        <v>1092</v>
      </c>
      <c r="AN76" s="12" t="s">
        <v>1092</v>
      </c>
      <c r="AO76" s="178" t="s">
        <v>1093</v>
      </c>
      <c r="AP76" s="178" t="s">
        <v>1093</v>
      </c>
      <c r="AQ76" s="178" t="s">
        <v>1093</v>
      </c>
      <c r="AR76" s="178" t="s">
        <v>1093</v>
      </c>
      <c r="AS76" s="178" t="s">
        <v>1118</v>
      </c>
      <c r="AT76" s="178" t="s">
        <v>1118</v>
      </c>
      <c r="AU76" s="178" t="s">
        <v>1118</v>
      </c>
      <c r="AV76" s="12" t="s">
        <v>1096</v>
      </c>
      <c r="AW76" s="12" t="s">
        <v>1097</v>
      </c>
      <c r="AY76" s="178" t="s">
        <v>1092</v>
      </c>
      <c r="AZ76" s="12" t="s">
        <v>4114</v>
      </c>
      <c r="BA76" s="12" t="s">
        <v>1098</v>
      </c>
      <c r="BB76" s="12" t="s">
        <v>1098</v>
      </c>
      <c r="BD76" s="12" t="s">
        <v>1092</v>
      </c>
      <c r="BE76" s="12" t="s">
        <v>118</v>
      </c>
      <c r="BF76" s="12" t="s">
        <v>121</v>
      </c>
      <c r="BH76" s="12" t="s">
        <v>120</v>
      </c>
      <c r="BI76" s="179">
        <v>78</v>
      </c>
      <c r="BJ76" s="12"/>
      <c r="BK76" s="12"/>
      <c r="BL76" s="12"/>
    </row>
    <row r="77" spans="1:65" x14ac:dyDescent="0.25">
      <c r="A77" s="12" t="s">
        <v>3132</v>
      </c>
      <c r="B77" s="12" t="s">
        <v>4115</v>
      </c>
      <c r="C77" s="12" t="s">
        <v>4116</v>
      </c>
      <c r="D77" s="12" t="s">
        <v>4117</v>
      </c>
      <c r="E77" s="175">
        <v>42205</v>
      </c>
      <c r="F77" s="12" t="s">
        <v>1466</v>
      </c>
      <c r="G77" s="12" t="s">
        <v>1075</v>
      </c>
      <c r="H77" s="12" t="s">
        <v>4118</v>
      </c>
      <c r="I77" s="12" t="s">
        <v>4119</v>
      </c>
      <c r="K77" s="12" t="s">
        <v>1103</v>
      </c>
      <c r="L77" s="12" t="s">
        <v>1104</v>
      </c>
      <c r="M77" s="12" t="s">
        <v>1180</v>
      </c>
      <c r="O77" s="178" t="s">
        <v>1126</v>
      </c>
      <c r="P77" s="178" t="s">
        <v>4120</v>
      </c>
      <c r="Q77" s="12" t="s">
        <v>1180</v>
      </c>
      <c r="R77" s="179">
        <v>79</v>
      </c>
      <c r="U77" s="12" t="s">
        <v>120</v>
      </c>
      <c r="W77" s="12" t="s">
        <v>1083</v>
      </c>
      <c r="X77" s="12" t="s">
        <v>1236</v>
      </c>
      <c r="Y77" s="178" t="s">
        <v>1880</v>
      </c>
      <c r="Z77" s="12" t="s">
        <v>4121</v>
      </c>
      <c r="AA77" s="178" t="s">
        <v>2348</v>
      </c>
      <c r="AB77" s="12" t="s">
        <v>4122</v>
      </c>
      <c r="AD77" s="12" t="s">
        <v>1185</v>
      </c>
      <c r="AE77" s="12" t="s">
        <v>1075</v>
      </c>
      <c r="AF77" s="12" t="s">
        <v>4123</v>
      </c>
      <c r="AG77" s="12" t="s">
        <v>1092</v>
      </c>
      <c r="AH77" s="12" t="s">
        <v>1092</v>
      </c>
      <c r="AI77" s="12" t="s">
        <v>4124</v>
      </c>
      <c r="AJ77" s="12" t="s">
        <v>4125</v>
      </c>
      <c r="AK77" s="12" t="s">
        <v>1092</v>
      </c>
      <c r="AL77" s="12" t="s">
        <v>1092</v>
      </c>
      <c r="AM77" s="12" t="s">
        <v>1092</v>
      </c>
      <c r="AN77" s="12" t="s">
        <v>1092</v>
      </c>
      <c r="AO77" s="178" t="s">
        <v>1093</v>
      </c>
      <c r="AP77" s="178" t="s">
        <v>1093</v>
      </c>
      <c r="AQ77" s="178" t="s">
        <v>1093</v>
      </c>
      <c r="AR77" s="178" t="s">
        <v>1093</v>
      </c>
      <c r="AS77" s="178" t="s">
        <v>1118</v>
      </c>
      <c r="AT77" s="178" t="s">
        <v>1118</v>
      </c>
      <c r="AU77" s="178" t="s">
        <v>1118</v>
      </c>
      <c r="AV77" s="12" t="s">
        <v>1096</v>
      </c>
      <c r="AW77" s="12" t="s">
        <v>1097</v>
      </c>
      <c r="AY77" s="178" t="s">
        <v>1092</v>
      </c>
      <c r="AZ77" s="12" t="s">
        <v>4126</v>
      </c>
      <c r="BA77" s="12" t="s">
        <v>1098</v>
      </c>
      <c r="BB77" s="12" t="s">
        <v>1098</v>
      </c>
      <c r="BD77" s="12" t="s">
        <v>1092</v>
      </c>
      <c r="BE77" s="12" t="s">
        <v>118</v>
      </c>
      <c r="BF77" s="12" t="s">
        <v>121</v>
      </c>
      <c r="BH77" s="12" t="s">
        <v>120</v>
      </c>
      <c r="BI77" s="179">
        <v>79</v>
      </c>
      <c r="BJ77" s="12"/>
      <c r="BK77" s="12"/>
      <c r="BL77" s="12"/>
    </row>
    <row r="78" spans="1:65" x14ac:dyDescent="0.25">
      <c r="A78" s="12" t="s">
        <v>3132</v>
      </c>
      <c r="B78" s="12" t="s">
        <v>4127</v>
      </c>
      <c r="C78" s="12" t="s">
        <v>4128</v>
      </c>
      <c r="D78" s="12" t="s">
        <v>4129</v>
      </c>
      <c r="E78" s="175">
        <v>42205</v>
      </c>
      <c r="F78" s="12" t="s">
        <v>2975</v>
      </c>
      <c r="G78" s="12" t="s">
        <v>1075</v>
      </c>
      <c r="H78" s="12" t="s">
        <v>4130</v>
      </c>
      <c r="I78" s="12" t="s">
        <v>4131</v>
      </c>
      <c r="J78" s="12" t="s">
        <v>4132</v>
      </c>
      <c r="K78" s="12" t="s">
        <v>1123</v>
      </c>
      <c r="L78" s="12" t="s">
        <v>1124</v>
      </c>
      <c r="M78" s="12" t="s">
        <v>1105</v>
      </c>
      <c r="O78" s="178" t="s">
        <v>1451</v>
      </c>
      <c r="P78" s="178" t="s">
        <v>4133</v>
      </c>
      <c r="Q78" s="12" t="s">
        <v>1105</v>
      </c>
      <c r="R78" s="179">
        <v>80</v>
      </c>
      <c r="U78" s="12" t="s">
        <v>120</v>
      </c>
      <c r="W78" s="12" t="s">
        <v>1083</v>
      </c>
      <c r="X78" s="12" t="s">
        <v>4033</v>
      </c>
      <c r="Y78" s="178" t="s">
        <v>4048</v>
      </c>
      <c r="Z78" s="12" t="s">
        <v>4134</v>
      </c>
      <c r="AA78" s="178" t="s">
        <v>1603</v>
      </c>
      <c r="AB78" s="12" t="s">
        <v>4135</v>
      </c>
      <c r="AC78" s="178" t="s">
        <v>1247</v>
      </c>
      <c r="AD78" s="12" t="s">
        <v>4136</v>
      </c>
      <c r="AE78" s="12" t="s">
        <v>1075</v>
      </c>
      <c r="AF78" s="12" t="s">
        <v>4137</v>
      </c>
      <c r="AG78" s="12" t="s">
        <v>1092</v>
      </c>
      <c r="AH78" s="12" t="s">
        <v>1092</v>
      </c>
      <c r="AI78" s="12" t="s">
        <v>4138</v>
      </c>
      <c r="AJ78" s="12" t="s">
        <v>4139</v>
      </c>
      <c r="AK78" s="12" t="s">
        <v>1092</v>
      </c>
      <c r="AL78" s="12" t="s">
        <v>1092</v>
      </c>
      <c r="AM78" s="12" t="s">
        <v>1092</v>
      </c>
      <c r="AN78" s="12" t="s">
        <v>1092</v>
      </c>
      <c r="AO78" s="178" t="s">
        <v>1093</v>
      </c>
      <c r="AP78" s="178" t="s">
        <v>1093</v>
      </c>
      <c r="AQ78" s="178" t="s">
        <v>1093</v>
      </c>
      <c r="AR78" s="178" t="s">
        <v>1092</v>
      </c>
      <c r="AS78" s="178" t="s">
        <v>1118</v>
      </c>
      <c r="AT78" s="178" t="s">
        <v>1118</v>
      </c>
      <c r="AU78" s="178" t="s">
        <v>1095</v>
      </c>
      <c r="AV78" s="12" t="s">
        <v>1096</v>
      </c>
      <c r="AW78" s="12" t="s">
        <v>1097</v>
      </c>
      <c r="AY78" s="178" t="s">
        <v>1092</v>
      </c>
      <c r="AZ78" s="12" t="s">
        <v>4140</v>
      </c>
      <c r="BA78" s="12" t="s">
        <v>1098</v>
      </c>
      <c r="BB78" s="12" t="s">
        <v>4140</v>
      </c>
      <c r="BD78" s="12" t="s">
        <v>1092</v>
      </c>
      <c r="BE78" s="12" t="s">
        <v>118</v>
      </c>
      <c r="BF78" s="12" t="s">
        <v>121</v>
      </c>
      <c r="BH78" s="12" t="s">
        <v>120</v>
      </c>
      <c r="BI78" s="179">
        <v>80</v>
      </c>
      <c r="BJ78" s="12"/>
      <c r="BK78" s="12"/>
      <c r="BL78" s="12"/>
    </row>
    <row r="79" spans="1:65" x14ac:dyDescent="0.25">
      <c r="A79" s="12" t="s">
        <v>3132</v>
      </c>
      <c r="B79" s="12" t="s">
        <v>4141</v>
      </c>
      <c r="C79" s="12" t="s">
        <v>4142</v>
      </c>
      <c r="D79" s="12" t="s">
        <v>4143</v>
      </c>
      <c r="E79" s="175">
        <v>42205</v>
      </c>
      <c r="F79" s="12" t="s">
        <v>3247</v>
      </c>
      <c r="G79" s="12" t="s">
        <v>1075</v>
      </c>
      <c r="H79" s="12" t="s">
        <v>4144</v>
      </c>
      <c r="I79" s="12" t="s">
        <v>1656</v>
      </c>
      <c r="J79" s="12" t="s">
        <v>4145</v>
      </c>
      <c r="K79" s="12" t="s">
        <v>1103</v>
      </c>
      <c r="L79" s="12" t="s">
        <v>1179</v>
      </c>
      <c r="M79" s="12" t="s">
        <v>1195</v>
      </c>
      <c r="O79" s="178" t="s">
        <v>1106</v>
      </c>
      <c r="P79" s="178" t="s">
        <v>4146</v>
      </c>
      <c r="Q79" s="12" t="s">
        <v>1195</v>
      </c>
      <c r="R79" s="179">
        <v>81</v>
      </c>
      <c r="U79" s="12" t="s">
        <v>120</v>
      </c>
      <c r="W79" s="12" t="s">
        <v>1083</v>
      </c>
      <c r="X79" s="12" t="s">
        <v>1236</v>
      </c>
      <c r="Y79" s="178" t="s">
        <v>1418</v>
      </c>
      <c r="Z79" s="12" t="s">
        <v>4147</v>
      </c>
      <c r="AA79" s="178" t="s">
        <v>1603</v>
      </c>
      <c r="AB79" s="12" t="s">
        <v>1148</v>
      </c>
      <c r="AC79" s="178" t="s">
        <v>1167</v>
      </c>
      <c r="AD79" s="12" t="s">
        <v>4148</v>
      </c>
      <c r="AE79" s="12" t="s">
        <v>1075</v>
      </c>
      <c r="AF79" s="12" t="s">
        <v>4149</v>
      </c>
      <c r="AG79" s="12" t="s">
        <v>1092</v>
      </c>
      <c r="AH79" s="12" t="s">
        <v>1092</v>
      </c>
      <c r="AI79" s="12" t="s">
        <v>4150</v>
      </c>
      <c r="AJ79" s="12" t="s">
        <v>4151</v>
      </c>
      <c r="AK79" s="12" t="s">
        <v>1092</v>
      </c>
      <c r="AL79" s="12" t="s">
        <v>1092</v>
      </c>
      <c r="AM79" s="12" t="s">
        <v>1092</v>
      </c>
      <c r="AN79" s="12" t="s">
        <v>1092</v>
      </c>
      <c r="AO79" s="178" t="s">
        <v>1093</v>
      </c>
      <c r="AP79" s="178" t="s">
        <v>1093</v>
      </c>
      <c r="AQ79" s="178" t="s">
        <v>1093</v>
      </c>
      <c r="AR79" s="178" t="s">
        <v>1092</v>
      </c>
      <c r="AS79" s="178" t="s">
        <v>1118</v>
      </c>
      <c r="AT79" s="178" t="s">
        <v>1118</v>
      </c>
      <c r="AU79" s="178" t="s">
        <v>1095</v>
      </c>
      <c r="AV79" s="12" t="s">
        <v>1096</v>
      </c>
      <c r="AW79" s="12" t="s">
        <v>1097</v>
      </c>
      <c r="AY79" s="178" t="s">
        <v>1092</v>
      </c>
      <c r="AZ79" s="12" t="s">
        <v>4152</v>
      </c>
      <c r="BA79" s="12" t="s">
        <v>1098</v>
      </c>
      <c r="BB79" s="12" t="s">
        <v>1098</v>
      </c>
      <c r="BD79" s="12" t="s">
        <v>1092</v>
      </c>
      <c r="BE79" s="12" t="s">
        <v>118</v>
      </c>
      <c r="BF79" s="12" t="s">
        <v>121</v>
      </c>
      <c r="BH79" s="12" t="s">
        <v>120</v>
      </c>
      <c r="BI79" s="179">
        <v>81</v>
      </c>
      <c r="BJ79" s="12"/>
      <c r="BK79" s="12"/>
      <c r="BL79" s="12"/>
    </row>
    <row r="80" spans="1:65" x14ac:dyDescent="0.25">
      <c r="A80" s="12" t="s">
        <v>3132</v>
      </c>
      <c r="B80" s="12" t="s">
        <v>4153</v>
      </c>
      <c r="C80" s="12" t="s">
        <v>4154</v>
      </c>
      <c r="D80" s="12" t="s">
        <v>4155</v>
      </c>
      <c r="E80" s="175">
        <v>42205</v>
      </c>
      <c r="F80" s="12" t="s">
        <v>4156</v>
      </c>
      <c r="G80" s="12" t="s">
        <v>1075</v>
      </c>
      <c r="H80" s="12" t="s">
        <v>4157</v>
      </c>
      <c r="I80" s="12" t="s">
        <v>1656</v>
      </c>
      <c r="J80" s="12" t="s">
        <v>4158</v>
      </c>
      <c r="K80" s="12" t="s">
        <v>1103</v>
      </c>
      <c r="L80" s="12" t="s">
        <v>1179</v>
      </c>
      <c r="M80" s="12" t="s">
        <v>1195</v>
      </c>
      <c r="O80" s="178" t="s">
        <v>1275</v>
      </c>
      <c r="P80" s="178" t="s">
        <v>4159</v>
      </c>
      <c r="Q80" s="12" t="s">
        <v>1195</v>
      </c>
      <c r="R80" s="179">
        <v>82</v>
      </c>
      <c r="U80" s="12" t="s">
        <v>120</v>
      </c>
      <c r="W80" s="12" t="s">
        <v>1083</v>
      </c>
      <c r="X80" s="12" t="s">
        <v>1453</v>
      </c>
      <c r="Y80" s="178" t="s">
        <v>3043</v>
      </c>
      <c r="Z80" s="12" t="s">
        <v>4160</v>
      </c>
      <c r="AA80" s="178" t="s">
        <v>1883</v>
      </c>
      <c r="AB80" s="12" t="s">
        <v>4161</v>
      </c>
      <c r="AC80" s="178" t="s">
        <v>1263</v>
      </c>
      <c r="AD80" s="12" t="s">
        <v>4162</v>
      </c>
      <c r="AE80" s="12" t="s">
        <v>1075</v>
      </c>
      <c r="AF80" s="12" t="s">
        <v>4163</v>
      </c>
      <c r="AG80" s="12" t="s">
        <v>1092</v>
      </c>
      <c r="AH80" s="12" t="s">
        <v>1092</v>
      </c>
      <c r="AI80" s="12" t="s">
        <v>4164</v>
      </c>
      <c r="AJ80" s="12" t="s">
        <v>4165</v>
      </c>
      <c r="AK80" s="12" t="s">
        <v>1092</v>
      </c>
      <c r="AL80" s="12" t="s">
        <v>1092</v>
      </c>
      <c r="AM80" s="12" t="s">
        <v>1092</v>
      </c>
      <c r="AN80" s="12" t="s">
        <v>1092</v>
      </c>
      <c r="AO80" s="178" t="s">
        <v>1093</v>
      </c>
      <c r="AP80" s="178" t="s">
        <v>1093</v>
      </c>
      <c r="AQ80" s="178" t="s">
        <v>1093</v>
      </c>
      <c r="AR80" s="178" t="s">
        <v>1093</v>
      </c>
      <c r="AS80" s="178" t="s">
        <v>1118</v>
      </c>
      <c r="AT80" s="178" t="s">
        <v>1118</v>
      </c>
      <c r="AU80" s="178" t="s">
        <v>1118</v>
      </c>
      <c r="AV80" s="12" t="s">
        <v>1096</v>
      </c>
      <c r="AW80" s="12" t="s">
        <v>1097</v>
      </c>
      <c r="AY80" s="178" t="s">
        <v>1092</v>
      </c>
      <c r="AZ80" s="12" t="s">
        <v>4166</v>
      </c>
      <c r="BA80" s="12" t="s">
        <v>1098</v>
      </c>
      <c r="BB80" s="12" t="s">
        <v>1098</v>
      </c>
      <c r="BD80" s="12" t="s">
        <v>1092</v>
      </c>
      <c r="BE80" s="12" t="s">
        <v>118</v>
      </c>
      <c r="BF80" s="12" t="s">
        <v>121</v>
      </c>
      <c r="BH80" s="12" t="s">
        <v>120</v>
      </c>
      <c r="BI80" s="179">
        <v>82</v>
      </c>
      <c r="BJ80" s="12"/>
      <c r="BK80" s="12"/>
      <c r="BL80" s="12"/>
    </row>
    <row r="81" spans="1:63" s="12" customFormat="1" x14ac:dyDescent="0.25">
      <c r="A81" s="12" t="s">
        <v>3132</v>
      </c>
      <c r="B81" s="12" t="s">
        <v>4167</v>
      </c>
      <c r="C81" s="12" t="s">
        <v>4168</v>
      </c>
      <c r="D81" s="12" t="s">
        <v>4169</v>
      </c>
      <c r="E81" s="175">
        <v>42205</v>
      </c>
      <c r="F81" s="12" t="s">
        <v>2140</v>
      </c>
      <c r="G81" s="12" t="s">
        <v>1075</v>
      </c>
      <c r="H81" s="12" t="s">
        <v>4170</v>
      </c>
      <c r="I81" s="12" t="s">
        <v>3278</v>
      </c>
      <c r="J81" s="12" t="s">
        <v>4171</v>
      </c>
      <c r="K81" s="12" t="s">
        <v>1103</v>
      </c>
      <c r="L81" s="12" t="s">
        <v>1104</v>
      </c>
      <c r="M81" s="12" t="s">
        <v>1125</v>
      </c>
      <c r="O81" s="178" t="s">
        <v>1106</v>
      </c>
      <c r="P81" s="178" t="s">
        <v>4172</v>
      </c>
      <c r="Q81" s="12" t="s">
        <v>1125</v>
      </c>
      <c r="R81" s="179">
        <v>83</v>
      </c>
      <c r="S81" s="12" t="s">
        <v>1144</v>
      </c>
      <c r="U81" s="12" t="s">
        <v>120</v>
      </c>
      <c r="W81" s="12" t="s">
        <v>1083</v>
      </c>
      <c r="X81" s="12" t="s">
        <v>1453</v>
      </c>
      <c r="Y81" s="178" t="s">
        <v>2108</v>
      </c>
      <c r="Z81" s="12" t="s">
        <v>4173</v>
      </c>
      <c r="AA81" s="178" t="s">
        <v>3954</v>
      </c>
      <c r="AB81" s="12" t="s">
        <v>4174</v>
      </c>
      <c r="AC81" s="178" t="s">
        <v>1113</v>
      </c>
      <c r="AD81" s="12" t="s">
        <v>1133</v>
      </c>
      <c r="AE81" s="12" t="s">
        <v>1075</v>
      </c>
      <c r="AF81" s="12" t="s">
        <v>4175</v>
      </c>
      <c r="AG81" s="12" t="s">
        <v>1092</v>
      </c>
      <c r="AH81" s="12" t="s">
        <v>1092</v>
      </c>
      <c r="AI81" s="12" t="s">
        <v>4176</v>
      </c>
      <c r="AJ81" s="12" t="s">
        <v>4177</v>
      </c>
      <c r="AK81" s="12" t="s">
        <v>1092</v>
      </c>
      <c r="AL81" s="12" t="s">
        <v>1092</v>
      </c>
      <c r="AM81" s="12" t="s">
        <v>1092</v>
      </c>
      <c r="AN81" s="12" t="s">
        <v>1092</v>
      </c>
      <c r="AO81" s="178" t="s">
        <v>1093</v>
      </c>
      <c r="AP81" s="178" t="s">
        <v>1093</v>
      </c>
      <c r="AQ81" s="178" t="s">
        <v>1093</v>
      </c>
      <c r="AR81" s="178" t="s">
        <v>1093</v>
      </c>
      <c r="AS81" s="178" t="s">
        <v>1118</v>
      </c>
      <c r="AT81" s="178" t="s">
        <v>1118</v>
      </c>
      <c r="AU81" s="178" t="s">
        <v>1118</v>
      </c>
      <c r="AV81" s="12" t="s">
        <v>1096</v>
      </c>
      <c r="AW81" s="12" t="s">
        <v>1097</v>
      </c>
      <c r="AY81" s="178" t="s">
        <v>1092</v>
      </c>
      <c r="AZ81" s="12" t="s">
        <v>4178</v>
      </c>
      <c r="BA81" s="12" t="s">
        <v>1098</v>
      </c>
      <c r="BB81" s="12" t="s">
        <v>1098</v>
      </c>
      <c r="BD81" s="12" t="s">
        <v>1092</v>
      </c>
      <c r="BE81" s="12" t="s">
        <v>118</v>
      </c>
      <c r="BF81" s="12" t="s">
        <v>121</v>
      </c>
      <c r="BH81" s="12" t="s">
        <v>120</v>
      </c>
      <c r="BI81" s="179">
        <v>83</v>
      </c>
    </row>
    <row r="82" spans="1:63" s="12" customFormat="1" x14ac:dyDescent="0.25">
      <c r="A82" s="12" t="s">
        <v>3132</v>
      </c>
      <c r="B82" s="12" t="s">
        <v>4179</v>
      </c>
      <c r="C82" s="12" t="s">
        <v>4180</v>
      </c>
      <c r="D82" s="12" t="s">
        <v>4181</v>
      </c>
      <c r="E82" s="175">
        <v>42205</v>
      </c>
      <c r="F82" s="12" t="s">
        <v>1408</v>
      </c>
      <c r="G82" s="12" t="s">
        <v>1075</v>
      </c>
      <c r="H82" s="12" t="s">
        <v>4182</v>
      </c>
      <c r="I82" s="12" t="s">
        <v>4183</v>
      </c>
      <c r="K82" s="12" t="s">
        <v>1103</v>
      </c>
      <c r="L82" s="12" t="s">
        <v>1124</v>
      </c>
      <c r="M82" s="12" t="s">
        <v>1125</v>
      </c>
      <c r="Q82" s="12" t="s">
        <v>1125</v>
      </c>
      <c r="R82" s="179">
        <v>84</v>
      </c>
      <c r="U82" s="12" t="s">
        <v>120</v>
      </c>
      <c r="W82" s="12" t="s">
        <v>1083</v>
      </c>
      <c r="X82" s="12" t="s">
        <v>1412</v>
      </c>
      <c r="Y82" s="178" t="s">
        <v>3043</v>
      </c>
      <c r="Z82" s="12" t="s">
        <v>1348</v>
      </c>
      <c r="AB82" s="12" t="s">
        <v>1185</v>
      </c>
      <c r="AD82" s="12" t="s">
        <v>1185</v>
      </c>
      <c r="AE82" s="12" t="s">
        <v>1075</v>
      </c>
      <c r="AF82" s="12" t="s">
        <v>4184</v>
      </c>
      <c r="AG82" s="12" t="s">
        <v>1092</v>
      </c>
      <c r="AH82" s="12" t="s">
        <v>1092</v>
      </c>
      <c r="AI82" s="12" t="s">
        <v>2675</v>
      </c>
      <c r="AJ82" s="12" t="s">
        <v>2675</v>
      </c>
      <c r="AK82" s="12" t="s">
        <v>4185</v>
      </c>
      <c r="AL82" s="12" t="s">
        <v>1092</v>
      </c>
      <c r="AM82" s="12" t="s">
        <v>1092</v>
      </c>
      <c r="AN82" s="12" t="s">
        <v>1092</v>
      </c>
      <c r="AO82" s="178" t="s">
        <v>1093</v>
      </c>
      <c r="AP82" s="178" t="s">
        <v>1092</v>
      </c>
      <c r="AQ82" s="178" t="s">
        <v>1092</v>
      </c>
      <c r="AR82" s="178" t="s">
        <v>1092</v>
      </c>
      <c r="AS82" s="178" t="s">
        <v>1118</v>
      </c>
      <c r="AT82" s="178" t="s">
        <v>1095</v>
      </c>
      <c r="AU82" s="178" t="s">
        <v>1095</v>
      </c>
      <c r="AV82" s="12" t="s">
        <v>1096</v>
      </c>
      <c r="AW82" s="12" t="s">
        <v>1097</v>
      </c>
      <c r="AY82" s="178" t="s">
        <v>1092</v>
      </c>
      <c r="AZ82" s="12" t="s">
        <v>4186</v>
      </c>
      <c r="BA82" s="12" t="s">
        <v>1098</v>
      </c>
      <c r="BB82" s="12" t="s">
        <v>1098</v>
      </c>
      <c r="BD82" s="12" t="s">
        <v>1092</v>
      </c>
      <c r="BE82" s="12" t="s">
        <v>118</v>
      </c>
      <c r="BF82" s="12" t="s">
        <v>121</v>
      </c>
      <c r="BH82" s="12" t="s">
        <v>120</v>
      </c>
      <c r="BI82" s="179">
        <v>84</v>
      </c>
    </row>
    <row r="83" spans="1:63" s="12" customFormat="1" x14ac:dyDescent="0.25">
      <c r="A83" s="12" t="s">
        <v>3132</v>
      </c>
      <c r="B83" s="12" t="s">
        <v>4187</v>
      </c>
      <c r="C83" s="12" t="s">
        <v>4188</v>
      </c>
      <c r="D83" s="12" t="s">
        <v>4189</v>
      </c>
      <c r="E83" s="175">
        <v>42205</v>
      </c>
      <c r="F83" s="12" t="s">
        <v>4190</v>
      </c>
      <c r="G83" s="12" t="s">
        <v>1075</v>
      </c>
      <c r="H83" s="12" t="s">
        <v>4191</v>
      </c>
      <c r="I83" s="12" t="s">
        <v>4192</v>
      </c>
      <c r="K83" s="12" t="s">
        <v>1242</v>
      </c>
      <c r="L83" s="12" t="s">
        <v>1243</v>
      </c>
      <c r="M83" s="12" t="s">
        <v>1195</v>
      </c>
      <c r="O83" s="178" t="s">
        <v>1741</v>
      </c>
      <c r="P83" s="178" t="s">
        <v>4193</v>
      </c>
      <c r="Q83" s="12" t="s">
        <v>1195</v>
      </c>
      <c r="R83" s="179">
        <v>85</v>
      </c>
      <c r="U83" s="12" t="s">
        <v>120</v>
      </c>
      <c r="W83" s="12" t="s">
        <v>1083</v>
      </c>
      <c r="X83" s="12" t="s">
        <v>4033</v>
      </c>
      <c r="Y83" s="178" t="s">
        <v>2573</v>
      </c>
      <c r="Z83" s="12" t="s">
        <v>1881</v>
      </c>
      <c r="AA83" s="178" t="s">
        <v>1503</v>
      </c>
      <c r="AB83" s="12" t="s">
        <v>4194</v>
      </c>
      <c r="AC83" s="178" t="s">
        <v>1326</v>
      </c>
      <c r="AD83" s="12" t="s">
        <v>4195</v>
      </c>
      <c r="AE83" s="12" t="s">
        <v>1075</v>
      </c>
      <c r="AF83" s="12" t="s">
        <v>4196</v>
      </c>
      <c r="AG83" s="12" t="s">
        <v>1092</v>
      </c>
      <c r="AH83" s="12" t="s">
        <v>1092</v>
      </c>
      <c r="AI83" s="12" t="s">
        <v>4197</v>
      </c>
      <c r="AJ83" s="12" t="s">
        <v>4198</v>
      </c>
      <c r="AK83" s="12" t="s">
        <v>1092</v>
      </c>
      <c r="AL83" s="12" t="s">
        <v>1092</v>
      </c>
      <c r="AM83" s="12" t="s">
        <v>1092</v>
      </c>
      <c r="AN83" s="12" t="s">
        <v>1092</v>
      </c>
      <c r="AO83" s="178" t="s">
        <v>1093</v>
      </c>
      <c r="AP83" s="178" t="s">
        <v>1093</v>
      </c>
      <c r="AQ83" s="178" t="s">
        <v>1093</v>
      </c>
      <c r="AR83" s="178" t="s">
        <v>1092</v>
      </c>
      <c r="AS83" s="178" t="s">
        <v>1118</v>
      </c>
      <c r="AT83" s="178" t="s">
        <v>1118</v>
      </c>
      <c r="AU83" s="178" t="s">
        <v>1095</v>
      </c>
      <c r="AV83" s="12" t="s">
        <v>1096</v>
      </c>
      <c r="AW83" s="12" t="s">
        <v>1097</v>
      </c>
      <c r="AY83" s="178" t="s">
        <v>1092</v>
      </c>
      <c r="AZ83" s="12" t="s">
        <v>4199</v>
      </c>
      <c r="BA83" s="12" t="s">
        <v>1098</v>
      </c>
      <c r="BB83" s="12" t="s">
        <v>4200</v>
      </c>
      <c r="BD83" s="12" t="s">
        <v>1092</v>
      </c>
      <c r="BE83" s="12" t="s">
        <v>118</v>
      </c>
      <c r="BF83" s="12" t="s">
        <v>121</v>
      </c>
      <c r="BH83" s="12" t="s">
        <v>120</v>
      </c>
      <c r="BI83" s="179">
        <v>85</v>
      </c>
    </row>
    <row r="84" spans="1:63" s="12" customFormat="1" x14ac:dyDescent="0.25">
      <c r="A84" s="12" t="s">
        <v>3132</v>
      </c>
      <c r="B84" s="12" t="s">
        <v>4201</v>
      </c>
      <c r="C84" s="12" t="s">
        <v>4202</v>
      </c>
      <c r="D84" s="12" t="s">
        <v>4203</v>
      </c>
      <c r="E84" s="175">
        <v>42205</v>
      </c>
      <c r="F84" s="12" t="s">
        <v>4204</v>
      </c>
      <c r="G84" s="12" t="s">
        <v>1075</v>
      </c>
      <c r="H84" s="12" t="s">
        <v>4205</v>
      </c>
      <c r="I84" s="12" t="s">
        <v>4206</v>
      </c>
      <c r="J84" s="12" t="s">
        <v>4207</v>
      </c>
      <c r="K84" s="12" t="s">
        <v>1448</v>
      </c>
      <c r="L84" s="12" t="s">
        <v>1449</v>
      </c>
      <c r="M84" s="12" t="s">
        <v>1450</v>
      </c>
      <c r="O84" s="178" t="s">
        <v>1081</v>
      </c>
      <c r="P84" s="178" t="s">
        <v>4208</v>
      </c>
      <c r="Q84" s="12" t="s">
        <v>1450</v>
      </c>
      <c r="R84" s="179">
        <v>86</v>
      </c>
      <c r="U84" s="12" t="s">
        <v>120</v>
      </c>
      <c r="W84" s="12" t="s">
        <v>1083</v>
      </c>
      <c r="X84" s="12" t="s">
        <v>3690</v>
      </c>
      <c r="Y84" s="178" t="s">
        <v>2906</v>
      </c>
      <c r="Z84" s="12" t="s">
        <v>4209</v>
      </c>
      <c r="AA84" s="178" t="s">
        <v>1538</v>
      </c>
      <c r="AB84" s="12" t="s">
        <v>4210</v>
      </c>
      <c r="AC84" s="178" t="s">
        <v>1400</v>
      </c>
      <c r="AD84" s="12" t="s">
        <v>4211</v>
      </c>
      <c r="AE84" s="12" t="s">
        <v>1075</v>
      </c>
      <c r="AF84" s="12" t="s">
        <v>4212</v>
      </c>
      <c r="AG84" s="12" t="s">
        <v>1092</v>
      </c>
      <c r="AH84" s="12" t="s">
        <v>1092</v>
      </c>
      <c r="AI84" s="12" t="s">
        <v>4213</v>
      </c>
      <c r="AJ84" s="12" t="s">
        <v>4214</v>
      </c>
      <c r="AK84" s="12" t="s">
        <v>1092</v>
      </c>
      <c r="AL84" s="12" t="s">
        <v>1092</v>
      </c>
      <c r="AM84" s="12" t="s">
        <v>1092</v>
      </c>
      <c r="AN84" s="12" t="s">
        <v>1092</v>
      </c>
      <c r="AO84" s="178" t="s">
        <v>1093</v>
      </c>
      <c r="AP84" s="178" t="s">
        <v>1092</v>
      </c>
      <c r="AQ84" s="178" t="s">
        <v>1092</v>
      </c>
      <c r="AR84" s="178" t="s">
        <v>1092</v>
      </c>
      <c r="AS84" s="178" t="s">
        <v>1118</v>
      </c>
      <c r="AT84" s="178" t="s">
        <v>1095</v>
      </c>
      <c r="AU84" s="178" t="s">
        <v>1095</v>
      </c>
      <c r="AV84" s="12" t="s">
        <v>1096</v>
      </c>
      <c r="AW84" s="12" t="s">
        <v>1097</v>
      </c>
      <c r="AY84" s="178" t="s">
        <v>1092</v>
      </c>
      <c r="AZ84" s="12" t="s">
        <v>4215</v>
      </c>
      <c r="BA84" s="12" t="s">
        <v>1098</v>
      </c>
      <c r="BB84" s="12" t="s">
        <v>4216</v>
      </c>
      <c r="BD84" s="12" t="s">
        <v>1092</v>
      </c>
      <c r="BE84" s="12" t="s">
        <v>118</v>
      </c>
      <c r="BF84" s="12" t="s">
        <v>121</v>
      </c>
      <c r="BH84" s="12" t="s">
        <v>120</v>
      </c>
      <c r="BI84" s="179">
        <v>86</v>
      </c>
    </row>
    <row r="85" spans="1:63" s="12" customFormat="1" x14ac:dyDescent="0.25">
      <c r="A85" s="12" t="s">
        <v>1085</v>
      </c>
      <c r="B85" s="12" t="s">
        <v>4217</v>
      </c>
      <c r="C85" s="12" t="s">
        <v>910</v>
      </c>
      <c r="D85" s="12" t="s">
        <v>911</v>
      </c>
      <c r="E85" s="175">
        <v>42205</v>
      </c>
      <c r="F85" s="12" t="s">
        <v>2850</v>
      </c>
      <c r="G85" s="12" t="s">
        <v>1075</v>
      </c>
      <c r="H85" s="12" t="s">
        <v>4218</v>
      </c>
      <c r="I85" s="12" t="s">
        <v>2852</v>
      </c>
      <c r="K85" s="12" t="s">
        <v>1448</v>
      </c>
      <c r="L85" s="12" t="s">
        <v>1449</v>
      </c>
      <c r="M85" s="12" t="s">
        <v>1450</v>
      </c>
      <c r="O85" s="178" t="s">
        <v>2144</v>
      </c>
      <c r="P85" s="178" t="s">
        <v>2853</v>
      </c>
      <c r="Q85" s="12" t="s">
        <v>1450</v>
      </c>
      <c r="R85" s="179">
        <v>87</v>
      </c>
      <c r="U85" s="12" t="s">
        <v>120</v>
      </c>
      <c r="W85" s="12" t="s">
        <v>1083</v>
      </c>
      <c r="X85" s="12" t="s">
        <v>1977</v>
      </c>
      <c r="Y85" s="178" t="s">
        <v>2348</v>
      </c>
      <c r="Z85" s="12" t="s">
        <v>2854</v>
      </c>
      <c r="AA85" s="178" t="s">
        <v>1965</v>
      </c>
      <c r="AB85" s="12" t="s">
        <v>2855</v>
      </c>
      <c r="AC85" s="178" t="s">
        <v>1468</v>
      </c>
      <c r="AD85" s="12" t="s">
        <v>2856</v>
      </c>
      <c r="AE85" s="12" t="s">
        <v>1075</v>
      </c>
      <c r="AF85" s="12" t="s">
        <v>4219</v>
      </c>
      <c r="AG85" s="12" t="s">
        <v>1092</v>
      </c>
      <c r="AH85" s="12" t="s">
        <v>1092</v>
      </c>
      <c r="AI85" s="12" t="s">
        <v>4220</v>
      </c>
      <c r="AJ85" s="12" t="s">
        <v>2858</v>
      </c>
      <c r="AK85" s="12" t="s">
        <v>2859</v>
      </c>
      <c r="AL85" s="12" t="s">
        <v>1092</v>
      </c>
      <c r="AM85" s="12" t="s">
        <v>1092</v>
      </c>
      <c r="AN85" s="12" t="s">
        <v>1092</v>
      </c>
      <c r="AO85" s="178" t="s">
        <v>1093</v>
      </c>
      <c r="AP85" s="178" t="s">
        <v>1093</v>
      </c>
      <c r="AQ85" s="178" t="s">
        <v>1093</v>
      </c>
      <c r="AR85" s="178" t="s">
        <v>1093</v>
      </c>
      <c r="AS85" s="178" t="s">
        <v>1118</v>
      </c>
      <c r="AT85" s="178" t="s">
        <v>1118</v>
      </c>
      <c r="AU85" s="178" t="s">
        <v>1118</v>
      </c>
      <c r="AV85" s="12" t="s">
        <v>1096</v>
      </c>
      <c r="AW85" s="12" t="s">
        <v>2270</v>
      </c>
      <c r="AY85" s="178" t="s">
        <v>1092</v>
      </c>
      <c r="AZ85" s="12" t="s">
        <v>4221</v>
      </c>
      <c r="BA85" s="12" t="s">
        <v>1098</v>
      </c>
      <c r="BB85" s="12" t="s">
        <v>1098</v>
      </c>
      <c r="BD85" s="12" t="s">
        <v>1092</v>
      </c>
      <c r="BE85" s="12" t="s">
        <v>118</v>
      </c>
      <c r="BF85" s="12" t="s">
        <v>121</v>
      </c>
      <c r="BH85" s="12" t="s">
        <v>120</v>
      </c>
      <c r="BI85" s="179">
        <v>87</v>
      </c>
      <c r="BK85" s="176" t="s">
        <v>83</v>
      </c>
    </row>
    <row r="86" spans="1:63" s="12" customFormat="1" x14ac:dyDescent="0.25">
      <c r="A86" s="12" t="s">
        <v>1085</v>
      </c>
      <c r="B86" s="12" t="s">
        <v>4222</v>
      </c>
      <c r="C86" s="12" t="s">
        <v>928</v>
      </c>
      <c r="D86" s="12" t="s">
        <v>929</v>
      </c>
      <c r="E86" s="175">
        <v>42205</v>
      </c>
      <c r="F86" s="12" t="s">
        <v>2913</v>
      </c>
      <c r="G86" s="12" t="s">
        <v>1075</v>
      </c>
      <c r="H86" s="12" t="s">
        <v>2914</v>
      </c>
      <c r="I86" s="12" t="s">
        <v>2915</v>
      </c>
      <c r="J86" s="12" t="s">
        <v>2916</v>
      </c>
      <c r="K86" s="12" t="s">
        <v>1103</v>
      </c>
      <c r="L86" s="12" t="s">
        <v>1179</v>
      </c>
      <c r="M86" s="12" t="s">
        <v>1244</v>
      </c>
      <c r="O86" s="178" t="s">
        <v>1275</v>
      </c>
      <c r="P86" s="178" t="s">
        <v>2917</v>
      </c>
      <c r="Q86" s="12" t="s">
        <v>1244</v>
      </c>
      <c r="R86" s="179">
        <v>88</v>
      </c>
      <c r="U86" s="12" t="s">
        <v>120</v>
      </c>
      <c r="W86" s="12" t="s">
        <v>1083</v>
      </c>
      <c r="X86" s="12" t="s">
        <v>1303</v>
      </c>
      <c r="Y86" s="178" t="s">
        <v>1318</v>
      </c>
      <c r="Z86" s="12" t="s">
        <v>2918</v>
      </c>
      <c r="AA86" s="178" t="s">
        <v>1214</v>
      </c>
      <c r="AB86" s="12" t="s">
        <v>2919</v>
      </c>
      <c r="AC86" s="178" t="s">
        <v>1089</v>
      </c>
      <c r="AD86" s="12" t="s">
        <v>2919</v>
      </c>
      <c r="AE86" s="12" t="s">
        <v>1075</v>
      </c>
      <c r="AF86" s="12" t="s">
        <v>2920</v>
      </c>
      <c r="AG86" s="12" t="s">
        <v>1092</v>
      </c>
      <c r="AH86" s="12" t="s">
        <v>1092</v>
      </c>
      <c r="AI86" s="12" t="s">
        <v>2921</v>
      </c>
      <c r="AJ86" s="12" t="s">
        <v>2922</v>
      </c>
      <c r="AK86" s="12" t="s">
        <v>1092</v>
      </c>
      <c r="AL86" s="12" t="s">
        <v>1092</v>
      </c>
      <c r="AM86" s="12" t="s">
        <v>1092</v>
      </c>
      <c r="AN86" s="12" t="s">
        <v>1092</v>
      </c>
      <c r="AO86" s="178" t="s">
        <v>1093</v>
      </c>
      <c r="AP86" s="178" t="s">
        <v>1093</v>
      </c>
      <c r="AQ86" s="178" t="s">
        <v>1093</v>
      </c>
      <c r="AR86" s="178" t="s">
        <v>1093</v>
      </c>
      <c r="AS86" s="178" t="s">
        <v>1118</v>
      </c>
      <c r="AT86" s="178" t="s">
        <v>1118</v>
      </c>
      <c r="AU86" s="178" t="s">
        <v>1118</v>
      </c>
      <c r="AV86" s="12" t="s">
        <v>1096</v>
      </c>
      <c r="AW86" s="12" t="s">
        <v>2270</v>
      </c>
      <c r="AX86" s="178" t="s">
        <v>2923</v>
      </c>
      <c r="AY86" s="178" t="s">
        <v>1213</v>
      </c>
      <c r="AZ86" s="12" t="s">
        <v>2924</v>
      </c>
      <c r="BA86" s="12" t="s">
        <v>1098</v>
      </c>
      <c r="BB86" s="12" t="s">
        <v>1098</v>
      </c>
      <c r="BD86" s="12" t="s">
        <v>1092</v>
      </c>
      <c r="BE86" s="12" t="s">
        <v>118</v>
      </c>
      <c r="BF86" s="12" t="s">
        <v>121</v>
      </c>
      <c r="BH86" s="12" t="s">
        <v>120</v>
      </c>
      <c r="BI86" s="179">
        <v>88</v>
      </c>
      <c r="BK86" s="176" t="s">
        <v>83</v>
      </c>
    </row>
    <row r="87" spans="1:63" s="12" customFormat="1" x14ac:dyDescent="0.25">
      <c r="A87" s="12" t="s">
        <v>1085</v>
      </c>
      <c r="B87" s="12" t="s">
        <v>4223</v>
      </c>
      <c r="C87" s="12" t="s">
        <v>4224</v>
      </c>
      <c r="D87" s="12" t="s">
        <v>4225</v>
      </c>
      <c r="E87" s="175">
        <v>42205</v>
      </c>
      <c r="F87" s="12" t="s">
        <v>1132</v>
      </c>
      <c r="G87" s="12" t="s">
        <v>1075</v>
      </c>
      <c r="H87" s="12" t="s">
        <v>4226</v>
      </c>
      <c r="I87" s="12" t="s">
        <v>4227</v>
      </c>
      <c r="J87" s="12" t="s">
        <v>1395</v>
      </c>
      <c r="K87" s="12" t="s">
        <v>1226</v>
      </c>
      <c r="L87" s="12" t="s">
        <v>1227</v>
      </c>
      <c r="M87" s="12" t="s">
        <v>1228</v>
      </c>
      <c r="O87" s="178" t="s">
        <v>1275</v>
      </c>
      <c r="P87" s="178" t="s">
        <v>4228</v>
      </c>
      <c r="Q87" s="12" t="s">
        <v>1228</v>
      </c>
      <c r="R87" s="179">
        <v>89</v>
      </c>
      <c r="U87" s="12" t="s">
        <v>120</v>
      </c>
      <c r="W87" s="12" t="s">
        <v>1083</v>
      </c>
      <c r="X87" s="12" t="s">
        <v>1519</v>
      </c>
      <c r="Y87" s="178" t="s">
        <v>2012</v>
      </c>
      <c r="Z87" s="12" t="s">
        <v>1150</v>
      </c>
      <c r="AA87" s="178" t="s">
        <v>1868</v>
      </c>
      <c r="AB87" s="12" t="s">
        <v>4229</v>
      </c>
      <c r="AD87" s="12" t="s">
        <v>1185</v>
      </c>
      <c r="AE87" s="12" t="s">
        <v>1075</v>
      </c>
      <c r="AF87" s="12" t="s">
        <v>4230</v>
      </c>
      <c r="AG87" s="12" t="s">
        <v>1092</v>
      </c>
      <c r="AH87" s="12" t="s">
        <v>1092</v>
      </c>
      <c r="AI87" s="12" t="s">
        <v>4231</v>
      </c>
      <c r="AJ87" s="12" t="s">
        <v>4232</v>
      </c>
      <c r="AK87" s="12" t="s">
        <v>4233</v>
      </c>
      <c r="AL87" s="12" t="s">
        <v>4234</v>
      </c>
      <c r="AM87" s="12" t="s">
        <v>1092</v>
      </c>
      <c r="AN87" s="12" t="s">
        <v>1092</v>
      </c>
      <c r="AO87" s="178" t="s">
        <v>1092</v>
      </c>
      <c r="AP87" s="178" t="s">
        <v>1092</v>
      </c>
      <c r="AQ87" s="178" t="s">
        <v>1092</v>
      </c>
      <c r="AR87" s="178" t="s">
        <v>1093</v>
      </c>
      <c r="AS87" s="178" t="s">
        <v>1155</v>
      </c>
      <c r="AT87" s="178" t="s">
        <v>1095</v>
      </c>
      <c r="AU87" s="178" t="s">
        <v>1118</v>
      </c>
      <c r="AV87" s="12" t="s">
        <v>1096</v>
      </c>
      <c r="AW87" s="12" t="s">
        <v>2270</v>
      </c>
      <c r="AY87" s="178" t="s">
        <v>1092</v>
      </c>
      <c r="AZ87" s="12" t="s">
        <v>4235</v>
      </c>
      <c r="BA87" s="12" t="s">
        <v>1098</v>
      </c>
      <c r="BB87" s="12" t="s">
        <v>1098</v>
      </c>
      <c r="BD87" s="12" t="s">
        <v>1092</v>
      </c>
      <c r="BE87" s="12" t="s">
        <v>118</v>
      </c>
      <c r="BF87" s="12" t="s">
        <v>121</v>
      </c>
      <c r="BH87" s="12" t="s">
        <v>120</v>
      </c>
      <c r="BI87" s="179">
        <v>89</v>
      </c>
    </row>
    <row r="88" spans="1:63" s="12" customFormat="1" x14ac:dyDescent="0.25">
      <c r="A88" s="12" t="s">
        <v>3316</v>
      </c>
      <c r="B88" s="12" t="s">
        <v>4236</v>
      </c>
      <c r="C88" s="12" t="s">
        <v>979</v>
      </c>
      <c r="D88" s="12" t="s">
        <v>980</v>
      </c>
      <c r="E88" s="175">
        <v>42205</v>
      </c>
      <c r="F88" s="12" t="s">
        <v>1223</v>
      </c>
      <c r="G88" s="12" t="s">
        <v>1075</v>
      </c>
      <c r="H88" s="12" t="s">
        <v>1076</v>
      </c>
      <c r="I88" s="12" t="s">
        <v>3084</v>
      </c>
      <c r="K88" s="12" t="s">
        <v>1209</v>
      </c>
      <c r="L88" s="12" t="s">
        <v>1210</v>
      </c>
      <c r="M88" s="12" t="s">
        <v>1211</v>
      </c>
      <c r="Q88" s="12" t="s">
        <v>1211</v>
      </c>
      <c r="R88" s="179">
        <v>91</v>
      </c>
      <c r="U88" s="12" t="s">
        <v>120</v>
      </c>
      <c r="W88" s="12" t="s">
        <v>1083</v>
      </c>
      <c r="X88" s="12" t="s">
        <v>1231</v>
      </c>
      <c r="Y88" s="178" t="s">
        <v>1073</v>
      </c>
      <c r="Z88" s="12" t="s">
        <v>3086</v>
      </c>
      <c r="AA88" s="178" t="s">
        <v>2081</v>
      </c>
      <c r="AB88" s="12" t="s">
        <v>3087</v>
      </c>
      <c r="AD88" s="12" t="s">
        <v>1185</v>
      </c>
      <c r="AE88" s="12" t="s">
        <v>1075</v>
      </c>
      <c r="AF88" s="12" t="s">
        <v>3088</v>
      </c>
      <c r="AG88" s="12" t="s">
        <v>1092</v>
      </c>
      <c r="AH88" s="12" t="s">
        <v>1092</v>
      </c>
      <c r="AI88" s="12" t="s">
        <v>3089</v>
      </c>
      <c r="AJ88" s="12" t="s">
        <v>1092</v>
      </c>
      <c r="AK88" s="12" t="s">
        <v>1092</v>
      </c>
      <c r="AL88" s="12" t="s">
        <v>3090</v>
      </c>
      <c r="AM88" s="12" t="s">
        <v>1092</v>
      </c>
      <c r="AN88" s="12" t="s">
        <v>1092</v>
      </c>
      <c r="AO88" s="178" t="s">
        <v>1093</v>
      </c>
      <c r="AP88" s="178" t="s">
        <v>1093</v>
      </c>
      <c r="AQ88" s="178" t="s">
        <v>1093</v>
      </c>
      <c r="AR88" s="178" t="s">
        <v>1093</v>
      </c>
      <c r="AS88" s="178" t="s">
        <v>1118</v>
      </c>
      <c r="AT88" s="178" t="s">
        <v>1118</v>
      </c>
      <c r="AU88" s="178" t="s">
        <v>1118</v>
      </c>
      <c r="AV88" s="12" t="s">
        <v>1096</v>
      </c>
      <c r="AW88" s="12" t="s">
        <v>2270</v>
      </c>
      <c r="AX88" s="178" t="s">
        <v>3091</v>
      </c>
      <c r="AY88" s="178" t="s">
        <v>1157</v>
      </c>
      <c r="AZ88" s="12" t="s">
        <v>1098</v>
      </c>
      <c r="BA88" s="12" t="s">
        <v>1098</v>
      </c>
      <c r="BB88" s="12" t="s">
        <v>3092</v>
      </c>
      <c r="BD88" s="12" t="s">
        <v>1092</v>
      </c>
      <c r="BE88" s="12" t="s">
        <v>118</v>
      </c>
      <c r="BF88" s="12" t="s">
        <v>121</v>
      </c>
      <c r="BH88" s="12" t="s">
        <v>120</v>
      </c>
      <c r="BI88" s="179">
        <v>91</v>
      </c>
      <c r="BK88" s="176" t="s">
        <v>83</v>
      </c>
    </row>
    <row r="89" spans="1:63" s="12" customFormat="1" x14ac:dyDescent="0.25">
      <c r="A89" s="12" t="s">
        <v>3316</v>
      </c>
      <c r="B89" s="12" t="s">
        <v>4237</v>
      </c>
      <c r="C89" s="12" t="s">
        <v>4238</v>
      </c>
      <c r="D89" s="12" t="s">
        <v>4239</v>
      </c>
      <c r="E89" s="175">
        <v>42205</v>
      </c>
      <c r="F89" s="12" t="s">
        <v>1698</v>
      </c>
      <c r="G89" s="12" t="s">
        <v>1075</v>
      </c>
      <c r="H89" s="12" t="s">
        <v>1076</v>
      </c>
      <c r="I89" s="12" t="s">
        <v>2244</v>
      </c>
      <c r="J89" s="12" t="s">
        <v>4240</v>
      </c>
      <c r="K89" s="12" t="s">
        <v>1103</v>
      </c>
      <c r="L89" s="12" t="s">
        <v>1179</v>
      </c>
      <c r="M89" s="12" t="s">
        <v>1195</v>
      </c>
      <c r="O89" s="178" t="s">
        <v>1275</v>
      </c>
      <c r="P89" s="178" t="s">
        <v>4241</v>
      </c>
      <c r="Q89" s="12" t="s">
        <v>1195</v>
      </c>
      <c r="R89" s="179">
        <v>92</v>
      </c>
      <c r="U89" s="12" t="s">
        <v>120</v>
      </c>
      <c r="W89" s="12" t="s">
        <v>1083</v>
      </c>
      <c r="X89" s="12" t="s">
        <v>2335</v>
      </c>
      <c r="Y89" s="178" t="s">
        <v>1326</v>
      </c>
      <c r="Z89" s="12" t="s">
        <v>2756</v>
      </c>
      <c r="AA89" s="178" t="s">
        <v>1466</v>
      </c>
      <c r="AB89" s="12" t="s">
        <v>4242</v>
      </c>
      <c r="AD89" s="12" t="s">
        <v>1185</v>
      </c>
      <c r="AE89" s="12" t="s">
        <v>1075</v>
      </c>
      <c r="AF89" s="12" t="s">
        <v>4243</v>
      </c>
      <c r="AG89" s="12" t="s">
        <v>1092</v>
      </c>
      <c r="AH89" s="12" t="s">
        <v>1092</v>
      </c>
      <c r="AI89" s="12" t="s">
        <v>4244</v>
      </c>
      <c r="AJ89" s="12" t="s">
        <v>4245</v>
      </c>
      <c r="AK89" s="12" t="s">
        <v>4246</v>
      </c>
      <c r="AL89" s="12" t="s">
        <v>4247</v>
      </c>
      <c r="AM89" s="12" t="s">
        <v>1092</v>
      </c>
      <c r="AN89" s="12" t="s">
        <v>1092</v>
      </c>
      <c r="AO89" s="178" t="s">
        <v>1092</v>
      </c>
      <c r="AP89" s="178" t="s">
        <v>1092</v>
      </c>
      <c r="AQ89" s="178" t="s">
        <v>1092</v>
      </c>
      <c r="AR89" s="178" t="s">
        <v>1093</v>
      </c>
      <c r="AS89" s="178" t="s">
        <v>1155</v>
      </c>
      <c r="AT89" s="178" t="s">
        <v>1095</v>
      </c>
      <c r="AU89" s="178" t="s">
        <v>1118</v>
      </c>
      <c r="AV89" s="12" t="s">
        <v>1096</v>
      </c>
      <c r="AW89" s="12" t="s">
        <v>2270</v>
      </c>
      <c r="AY89" s="178" t="s">
        <v>1092</v>
      </c>
      <c r="AZ89" s="12" t="s">
        <v>1098</v>
      </c>
      <c r="BA89" s="12" t="s">
        <v>1098</v>
      </c>
      <c r="BB89" s="12" t="s">
        <v>4248</v>
      </c>
      <c r="BD89" s="12" t="s">
        <v>1092</v>
      </c>
      <c r="BE89" s="12" t="s">
        <v>118</v>
      </c>
      <c r="BF89" s="12" t="s">
        <v>121</v>
      </c>
      <c r="BH89" s="12" t="s">
        <v>120</v>
      </c>
      <c r="BI89" s="179">
        <v>92</v>
      </c>
    </row>
    <row r="90" spans="1:63" s="12" customFormat="1" x14ac:dyDescent="0.25">
      <c r="A90" s="12" t="s">
        <v>3114</v>
      </c>
      <c r="B90" s="12" t="s">
        <v>4249</v>
      </c>
      <c r="C90" s="12" t="s">
        <v>4250</v>
      </c>
      <c r="D90" s="12" t="s">
        <v>4251</v>
      </c>
      <c r="E90" s="175">
        <v>42205</v>
      </c>
      <c r="F90" s="12" t="s">
        <v>4252</v>
      </c>
      <c r="G90" s="12" t="s">
        <v>1075</v>
      </c>
      <c r="H90" s="12" t="s">
        <v>4253</v>
      </c>
      <c r="I90" s="12" t="s">
        <v>4254</v>
      </c>
      <c r="K90" s="12" t="s">
        <v>1103</v>
      </c>
      <c r="L90" s="12" t="s">
        <v>1179</v>
      </c>
      <c r="M90" s="12" t="s">
        <v>1195</v>
      </c>
      <c r="O90" s="178" t="s">
        <v>1275</v>
      </c>
      <c r="P90" s="178" t="s">
        <v>4255</v>
      </c>
      <c r="Q90" s="12" t="s">
        <v>1195</v>
      </c>
      <c r="R90" s="179">
        <v>93</v>
      </c>
      <c r="U90" s="12" t="s">
        <v>120</v>
      </c>
      <c r="W90" s="12" t="s">
        <v>1083</v>
      </c>
      <c r="X90" s="12" t="s">
        <v>2671</v>
      </c>
      <c r="Y90" s="178" t="s">
        <v>1754</v>
      </c>
      <c r="Z90" s="12" t="s">
        <v>4256</v>
      </c>
      <c r="AA90" s="178" t="s">
        <v>1868</v>
      </c>
      <c r="AB90" s="12" t="s">
        <v>4256</v>
      </c>
      <c r="AC90" s="178" t="s">
        <v>2140</v>
      </c>
      <c r="AD90" s="12" t="s">
        <v>4257</v>
      </c>
      <c r="AE90" s="12" t="s">
        <v>1075</v>
      </c>
      <c r="AF90" s="12" t="s">
        <v>4258</v>
      </c>
      <c r="AG90" s="12" t="s">
        <v>1092</v>
      </c>
      <c r="AH90" s="12" t="s">
        <v>1092</v>
      </c>
      <c r="AI90" s="12" t="s">
        <v>4259</v>
      </c>
      <c r="AJ90" s="12" t="s">
        <v>1923</v>
      </c>
      <c r="AK90" s="12" t="s">
        <v>4260</v>
      </c>
      <c r="AL90" s="12" t="s">
        <v>4261</v>
      </c>
      <c r="AM90" s="12" t="s">
        <v>1092</v>
      </c>
      <c r="AN90" s="12" t="s">
        <v>1092</v>
      </c>
      <c r="AO90" s="178" t="s">
        <v>1092</v>
      </c>
      <c r="AP90" s="178" t="s">
        <v>1092</v>
      </c>
      <c r="AQ90" s="178" t="s">
        <v>1092</v>
      </c>
      <c r="AR90" s="178" t="s">
        <v>1093</v>
      </c>
      <c r="AS90" s="178" t="s">
        <v>1155</v>
      </c>
      <c r="AT90" s="178" t="s">
        <v>1095</v>
      </c>
      <c r="AU90" s="178" t="s">
        <v>1118</v>
      </c>
      <c r="AV90" s="12" t="s">
        <v>1096</v>
      </c>
      <c r="AW90" s="12" t="s">
        <v>2270</v>
      </c>
      <c r="AY90" s="178" t="s">
        <v>1092</v>
      </c>
      <c r="AZ90" s="12" t="s">
        <v>4262</v>
      </c>
      <c r="BA90" s="12" t="s">
        <v>1098</v>
      </c>
      <c r="BB90" s="12" t="s">
        <v>4263</v>
      </c>
      <c r="BD90" s="12" t="s">
        <v>1092</v>
      </c>
      <c r="BE90" s="12" t="s">
        <v>118</v>
      </c>
      <c r="BF90" s="12" t="s">
        <v>121</v>
      </c>
      <c r="BH90" s="12" t="s">
        <v>120</v>
      </c>
      <c r="BI90" s="179">
        <v>93</v>
      </c>
    </row>
    <row r="91" spans="1:63" s="12" customFormat="1" x14ac:dyDescent="0.25">
      <c r="A91" s="12" t="s">
        <v>3114</v>
      </c>
      <c r="B91" s="12" t="s">
        <v>4264</v>
      </c>
      <c r="C91" s="12" t="s">
        <v>3150</v>
      </c>
      <c r="D91" s="12" t="s">
        <v>3151</v>
      </c>
      <c r="E91" s="175">
        <v>42205</v>
      </c>
      <c r="F91" s="12" t="s">
        <v>2986</v>
      </c>
      <c r="G91" s="12" t="s">
        <v>1075</v>
      </c>
      <c r="H91" s="12" t="s">
        <v>3152</v>
      </c>
      <c r="I91" s="12" t="s">
        <v>3153</v>
      </c>
      <c r="K91" s="12" t="s">
        <v>1103</v>
      </c>
      <c r="L91" s="12" t="s">
        <v>1104</v>
      </c>
      <c r="M91" s="12" t="s">
        <v>1180</v>
      </c>
      <c r="O91" s="178" t="s">
        <v>1488</v>
      </c>
      <c r="P91" s="178" t="s">
        <v>3154</v>
      </c>
      <c r="Q91" s="12" t="s">
        <v>1180</v>
      </c>
      <c r="R91" s="179">
        <v>94</v>
      </c>
      <c r="U91" s="12" t="s">
        <v>120</v>
      </c>
      <c r="W91" s="12" t="s">
        <v>1083</v>
      </c>
      <c r="X91" s="12" t="s">
        <v>2335</v>
      </c>
      <c r="Y91" s="178" t="s">
        <v>3043</v>
      </c>
      <c r="Z91" s="12" t="s">
        <v>3155</v>
      </c>
      <c r="AA91" s="178" t="s">
        <v>2451</v>
      </c>
      <c r="AB91" s="12" t="s">
        <v>1112</v>
      </c>
      <c r="AC91" s="178" t="s">
        <v>1754</v>
      </c>
      <c r="AD91" s="12" t="s">
        <v>3156</v>
      </c>
      <c r="AE91" s="12" t="s">
        <v>1075</v>
      </c>
      <c r="AF91" s="12" t="s">
        <v>3157</v>
      </c>
      <c r="AG91" s="12" t="s">
        <v>1092</v>
      </c>
      <c r="AH91" s="12" t="s">
        <v>1092</v>
      </c>
      <c r="AI91" s="12" t="s">
        <v>3158</v>
      </c>
      <c r="AJ91" s="12" t="s">
        <v>3159</v>
      </c>
      <c r="AK91" s="12" t="s">
        <v>1092</v>
      </c>
      <c r="AL91" s="12" t="s">
        <v>3160</v>
      </c>
      <c r="AM91" s="12" t="s">
        <v>1092</v>
      </c>
      <c r="AN91" s="12" t="s">
        <v>1092</v>
      </c>
      <c r="AO91" s="178" t="s">
        <v>1093</v>
      </c>
      <c r="AP91" s="178" t="s">
        <v>1093</v>
      </c>
      <c r="AQ91" s="178" t="s">
        <v>1093</v>
      </c>
      <c r="AR91" s="178" t="s">
        <v>1093</v>
      </c>
      <c r="AS91" s="178" t="s">
        <v>1118</v>
      </c>
      <c r="AT91" s="178" t="s">
        <v>1118</v>
      </c>
      <c r="AU91" s="178" t="s">
        <v>1118</v>
      </c>
      <c r="AV91" s="12" t="s">
        <v>1096</v>
      </c>
      <c r="AW91" s="12" t="s">
        <v>2270</v>
      </c>
      <c r="AX91" s="178" t="s">
        <v>3161</v>
      </c>
      <c r="AY91" s="178" t="s">
        <v>1157</v>
      </c>
      <c r="AZ91" s="12" t="s">
        <v>3162</v>
      </c>
      <c r="BA91" s="12" t="s">
        <v>1098</v>
      </c>
      <c r="BB91" s="12" t="s">
        <v>1098</v>
      </c>
      <c r="BD91" s="12" t="s">
        <v>1092</v>
      </c>
      <c r="BE91" s="12" t="s">
        <v>118</v>
      </c>
      <c r="BF91" s="12" t="s">
        <v>121</v>
      </c>
      <c r="BH91" s="12" t="s">
        <v>120</v>
      </c>
      <c r="BI91" s="179">
        <v>94</v>
      </c>
      <c r="BK91" s="176" t="s">
        <v>83</v>
      </c>
    </row>
    <row r="92" spans="1:63" s="12" customFormat="1" x14ac:dyDescent="0.25">
      <c r="A92" s="12" t="s">
        <v>3114</v>
      </c>
      <c r="B92" s="12" t="s">
        <v>4265</v>
      </c>
      <c r="C92" s="12" t="s">
        <v>4266</v>
      </c>
      <c r="D92" s="12" t="s">
        <v>4267</v>
      </c>
      <c r="E92" s="175">
        <v>42205</v>
      </c>
      <c r="F92" s="12" t="s">
        <v>4268</v>
      </c>
      <c r="G92" s="12" t="s">
        <v>1075</v>
      </c>
      <c r="H92" s="12" t="s">
        <v>4269</v>
      </c>
      <c r="I92" s="12" t="s">
        <v>4270</v>
      </c>
      <c r="K92" s="12" t="s">
        <v>1103</v>
      </c>
      <c r="L92" s="12" t="s">
        <v>1104</v>
      </c>
      <c r="M92" s="12" t="s">
        <v>1105</v>
      </c>
      <c r="Q92" s="12" t="s">
        <v>1105</v>
      </c>
      <c r="R92" s="179">
        <v>95</v>
      </c>
      <c r="U92" s="12" t="s">
        <v>120</v>
      </c>
      <c r="W92" s="12" t="s">
        <v>1083</v>
      </c>
      <c r="X92" s="12" t="s">
        <v>2339</v>
      </c>
      <c r="Y92" s="178" t="s">
        <v>1263</v>
      </c>
      <c r="Z92" s="12" t="s">
        <v>4271</v>
      </c>
      <c r="AB92" s="12" t="s">
        <v>1185</v>
      </c>
      <c r="AD92" s="12" t="s">
        <v>1185</v>
      </c>
      <c r="AE92" s="12" t="s">
        <v>1075</v>
      </c>
      <c r="AF92" s="12" t="s">
        <v>4272</v>
      </c>
      <c r="AG92" s="12" t="s">
        <v>1092</v>
      </c>
      <c r="AH92" s="12" t="s">
        <v>1092</v>
      </c>
      <c r="AI92" s="12" t="s">
        <v>4273</v>
      </c>
      <c r="AJ92" s="12" t="s">
        <v>4274</v>
      </c>
      <c r="AK92" s="12" t="s">
        <v>4275</v>
      </c>
      <c r="AL92" s="12" t="s">
        <v>4276</v>
      </c>
      <c r="AM92" s="12" t="s">
        <v>4277</v>
      </c>
      <c r="AN92" s="12" t="s">
        <v>1092</v>
      </c>
      <c r="AO92" s="178" t="s">
        <v>1092</v>
      </c>
      <c r="AP92" s="178" t="s">
        <v>1092</v>
      </c>
      <c r="AQ92" s="178" t="s">
        <v>1092</v>
      </c>
      <c r="AR92" s="178" t="s">
        <v>1093</v>
      </c>
      <c r="AS92" s="178" t="s">
        <v>1155</v>
      </c>
      <c r="AT92" s="178" t="s">
        <v>1095</v>
      </c>
      <c r="AU92" s="178" t="s">
        <v>1118</v>
      </c>
      <c r="AV92" s="12" t="s">
        <v>1096</v>
      </c>
      <c r="AW92" s="12" t="s">
        <v>2270</v>
      </c>
      <c r="AY92" s="178" t="s">
        <v>1092</v>
      </c>
      <c r="AZ92" s="12" t="s">
        <v>4278</v>
      </c>
      <c r="BA92" s="12" t="s">
        <v>1098</v>
      </c>
      <c r="BB92" s="12" t="s">
        <v>1098</v>
      </c>
      <c r="BD92" s="12" t="s">
        <v>1092</v>
      </c>
      <c r="BE92" s="12" t="s">
        <v>118</v>
      </c>
      <c r="BF92" s="12" t="s">
        <v>121</v>
      </c>
      <c r="BH92" s="12" t="s">
        <v>120</v>
      </c>
      <c r="BI92" s="179">
        <v>95</v>
      </c>
    </row>
    <row r="93" spans="1:63" s="12" customFormat="1" x14ac:dyDescent="0.25">
      <c r="A93" s="12" t="s">
        <v>3114</v>
      </c>
      <c r="B93" s="12" t="s">
        <v>4279</v>
      </c>
      <c r="C93" s="12" t="s">
        <v>3262</v>
      </c>
      <c r="D93" s="12" t="s">
        <v>3263</v>
      </c>
      <c r="E93" s="175">
        <v>42205</v>
      </c>
      <c r="F93" s="12" t="s">
        <v>1698</v>
      </c>
      <c r="G93" s="12" t="s">
        <v>1075</v>
      </c>
      <c r="H93" s="12" t="s">
        <v>3264</v>
      </c>
      <c r="I93" s="12" t="s">
        <v>3265</v>
      </c>
      <c r="J93" s="12" t="s">
        <v>1395</v>
      </c>
      <c r="K93" s="12" t="s">
        <v>1123</v>
      </c>
      <c r="L93" s="12" t="s">
        <v>1124</v>
      </c>
      <c r="M93" s="12" t="s">
        <v>1105</v>
      </c>
      <c r="O93" s="178" t="s">
        <v>1181</v>
      </c>
      <c r="P93" s="178" t="s">
        <v>3266</v>
      </c>
      <c r="Q93" s="12" t="s">
        <v>1105</v>
      </c>
      <c r="R93" s="179">
        <v>96</v>
      </c>
      <c r="U93" s="12" t="s">
        <v>120</v>
      </c>
      <c r="W93" s="12" t="s">
        <v>1083</v>
      </c>
      <c r="X93" s="12" t="s">
        <v>2335</v>
      </c>
      <c r="Y93" s="178" t="s">
        <v>2264</v>
      </c>
      <c r="Z93" s="12" t="s">
        <v>3267</v>
      </c>
      <c r="AA93" s="178" t="s">
        <v>1176</v>
      </c>
      <c r="AB93" s="12" t="s">
        <v>1348</v>
      </c>
      <c r="AC93" s="178" t="s">
        <v>2867</v>
      </c>
      <c r="AD93" s="12" t="s">
        <v>1525</v>
      </c>
      <c r="AE93" s="12" t="s">
        <v>1075</v>
      </c>
      <c r="AF93" s="12" t="s">
        <v>3268</v>
      </c>
      <c r="AG93" s="12" t="s">
        <v>1092</v>
      </c>
      <c r="AH93" s="12" t="s">
        <v>1092</v>
      </c>
      <c r="AI93" s="12" t="s">
        <v>3269</v>
      </c>
      <c r="AJ93" s="12" t="s">
        <v>3270</v>
      </c>
      <c r="AK93" s="12" t="s">
        <v>3271</v>
      </c>
      <c r="AL93" s="12" t="s">
        <v>1092</v>
      </c>
      <c r="AM93" s="12" t="s">
        <v>1092</v>
      </c>
      <c r="AN93" s="12" t="s">
        <v>1092</v>
      </c>
      <c r="AO93" s="178" t="s">
        <v>1092</v>
      </c>
      <c r="AP93" s="178" t="s">
        <v>1092</v>
      </c>
      <c r="AQ93" s="178" t="s">
        <v>1093</v>
      </c>
      <c r="AR93" s="178" t="s">
        <v>1093</v>
      </c>
      <c r="AS93" s="178" t="s">
        <v>1155</v>
      </c>
      <c r="AT93" s="178" t="s">
        <v>1118</v>
      </c>
      <c r="AU93" s="178" t="s">
        <v>1118</v>
      </c>
      <c r="AV93" s="12" t="s">
        <v>1096</v>
      </c>
      <c r="AW93" s="12" t="s">
        <v>2270</v>
      </c>
      <c r="AY93" s="178" t="s">
        <v>1092</v>
      </c>
      <c r="AZ93" s="12" t="s">
        <v>3272</v>
      </c>
      <c r="BA93" s="12" t="s">
        <v>1098</v>
      </c>
      <c r="BB93" s="12" t="s">
        <v>1098</v>
      </c>
      <c r="BD93" s="12" t="s">
        <v>1092</v>
      </c>
      <c r="BE93" s="12" t="s">
        <v>118</v>
      </c>
      <c r="BF93" s="12" t="s">
        <v>121</v>
      </c>
      <c r="BH93" s="12" t="s">
        <v>120</v>
      </c>
      <c r="BI93" s="179">
        <v>96</v>
      </c>
      <c r="BK93" s="176" t="s">
        <v>83</v>
      </c>
    </row>
    <row r="94" spans="1:63" s="12" customFormat="1" x14ac:dyDescent="0.25">
      <c r="A94" s="12" t="s">
        <v>3553</v>
      </c>
      <c r="B94" s="12" t="s">
        <v>4280</v>
      </c>
      <c r="C94" s="12" t="s">
        <v>4281</v>
      </c>
      <c r="D94" s="12" t="s">
        <v>4282</v>
      </c>
      <c r="E94" s="175">
        <v>42205</v>
      </c>
      <c r="F94" s="12" t="s">
        <v>1305</v>
      </c>
      <c r="G94" s="12" t="s">
        <v>1075</v>
      </c>
      <c r="H94" s="12" t="s">
        <v>4283</v>
      </c>
      <c r="I94" s="12" t="s">
        <v>4284</v>
      </c>
      <c r="J94" s="12" t="s">
        <v>1367</v>
      </c>
      <c r="K94" s="12" t="s">
        <v>1078</v>
      </c>
      <c r="L94" s="12" t="s">
        <v>1079</v>
      </c>
      <c r="M94" s="12" t="s">
        <v>1342</v>
      </c>
      <c r="Q94" s="12" t="s">
        <v>1342</v>
      </c>
      <c r="R94" s="179">
        <v>97</v>
      </c>
      <c r="U94" s="12" t="s">
        <v>120</v>
      </c>
      <c r="W94" s="12" t="s">
        <v>1083</v>
      </c>
      <c r="X94" s="12" t="s">
        <v>2335</v>
      </c>
      <c r="Z94" s="12" t="s">
        <v>1185</v>
      </c>
      <c r="AB94" s="12" t="s">
        <v>1185</v>
      </c>
      <c r="AD94" s="12" t="s">
        <v>1185</v>
      </c>
      <c r="AE94" s="12" t="s">
        <v>1075</v>
      </c>
      <c r="AF94" s="12" t="s">
        <v>4285</v>
      </c>
      <c r="AG94" s="12" t="s">
        <v>1092</v>
      </c>
      <c r="AH94" s="12" t="s">
        <v>1092</v>
      </c>
      <c r="AI94" s="12" t="s">
        <v>4286</v>
      </c>
      <c r="AJ94" s="12" t="s">
        <v>4287</v>
      </c>
      <c r="AK94" s="12" t="s">
        <v>4288</v>
      </c>
      <c r="AL94" s="12" t="s">
        <v>1092</v>
      </c>
      <c r="AM94" s="12" t="s">
        <v>1092</v>
      </c>
      <c r="AN94" s="12" t="s">
        <v>1092</v>
      </c>
      <c r="AO94" s="178" t="s">
        <v>1092</v>
      </c>
      <c r="AP94" s="178" t="s">
        <v>1092</v>
      </c>
      <c r="AQ94" s="178" t="s">
        <v>1092</v>
      </c>
      <c r="AR94" s="178" t="s">
        <v>1093</v>
      </c>
      <c r="AS94" s="178" t="s">
        <v>1155</v>
      </c>
      <c r="AT94" s="178" t="s">
        <v>1095</v>
      </c>
      <c r="AU94" s="178" t="s">
        <v>1118</v>
      </c>
      <c r="AV94" s="12" t="s">
        <v>1096</v>
      </c>
      <c r="AW94" s="12" t="s">
        <v>2270</v>
      </c>
      <c r="AY94" s="178" t="s">
        <v>1092</v>
      </c>
      <c r="AZ94" s="12" t="s">
        <v>4289</v>
      </c>
      <c r="BA94" s="12" t="s">
        <v>1098</v>
      </c>
      <c r="BB94" s="12" t="s">
        <v>1098</v>
      </c>
      <c r="BD94" s="12" t="s">
        <v>1092</v>
      </c>
      <c r="BE94" s="12" t="s">
        <v>118</v>
      </c>
      <c r="BF94" s="12" t="s">
        <v>121</v>
      </c>
      <c r="BH94" s="12" t="s">
        <v>120</v>
      </c>
      <c r="BI94" s="179">
        <v>97</v>
      </c>
    </row>
    <row r="95" spans="1:63" s="12" customFormat="1" x14ac:dyDescent="0.25">
      <c r="A95" s="12" t="s">
        <v>3147</v>
      </c>
      <c r="B95" s="12" t="s">
        <v>4290</v>
      </c>
      <c r="C95" s="12" t="s">
        <v>3455</v>
      </c>
      <c r="D95" s="12" t="s">
        <v>3456</v>
      </c>
      <c r="E95" s="175">
        <v>42205</v>
      </c>
      <c r="F95" s="12" t="s">
        <v>1933</v>
      </c>
      <c r="G95" s="12" t="s">
        <v>1075</v>
      </c>
      <c r="H95" s="12" t="s">
        <v>3457</v>
      </c>
      <c r="I95" s="12" t="s">
        <v>3458</v>
      </c>
      <c r="K95" s="12" t="s">
        <v>1209</v>
      </c>
      <c r="L95" s="12" t="s">
        <v>1210</v>
      </c>
      <c r="M95" s="12" t="s">
        <v>1211</v>
      </c>
      <c r="O95" s="178" t="s">
        <v>1181</v>
      </c>
      <c r="P95" s="178" t="s">
        <v>3459</v>
      </c>
      <c r="Q95" s="12" t="s">
        <v>1211</v>
      </c>
      <c r="R95" s="179">
        <v>98</v>
      </c>
      <c r="U95" s="12" t="s">
        <v>120</v>
      </c>
      <c r="W95" s="12" t="s">
        <v>1083</v>
      </c>
      <c r="X95" s="12" t="s">
        <v>1084</v>
      </c>
      <c r="Y95" s="178" t="s">
        <v>2956</v>
      </c>
      <c r="Z95" s="12" t="s">
        <v>3460</v>
      </c>
      <c r="AA95" s="178" t="s">
        <v>1147</v>
      </c>
      <c r="AB95" s="12" t="s">
        <v>3461</v>
      </c>
      <c r="AC95" s="178" t="s">
        <v>1111</v>
      </c>
      <c r="AD95" s="12" t="s">
        <v>3462</v>
      </c>
      <c r="AE95" s="12" t="s">
        <v>1075</v>
      </c>
      <c r="AF95" s="12" t="s">
        <v>3463</v>
      </c>
      <c r="AG95" s="12" t="s">
        <v>1092</v>
      </c>
      <c r="AH95" s="12" t="s">
        <v>1092</v>
      </c>
      <c r="AI95" s="12" t="s">
        <v>3464</v>
      </c>
      <c r="AJ95" s="12" t="s">
        <v>3465</v>
      </c>
      <c r="AK95" s="12" t="s">
        <v>1092</v>
      </c>
      <c r="AL95" s="12" t="s">
        <v>3466</v>
      </c>
      <c r="AM95" s="12" t="s">
        <v>1092</v>
      </c>
      <c r="AN95" s="12" t="s">
        <v>1092</v>
      </c>
      <c r="AO95" s="178" t="s">
        <v>1093</v>
      </c>
      <c r="AP95" s="178" t="s">
        <v>1093</v>
      </c>
      <c r="AQ95" s="178" t="s">
        <v>1093</v>
      </c>
      <c r="AR95" s="178" t="s">
        <v>1093</v>
      </c>
      <c r="AS95" s="178" t="s">
        <v>1118</v>
      </c>
      <c r="AT95" s="178" t="s">
        <v>1118</v>
      </c>
      <c r="AU95" s="178" t="s">
        <v>1118</v>
      </c>
      <c r="AV95" s="12" t="s">
        <v>1096</v>
      </c>
      <c r="AW95" s="12" t="s">
        <v>2270</v>
      </c>
      <c r="AX95" s="178" t="s">
        <v>3467</v>
      </c>
      <c r="AY95" s="178" t="s">
        <v>1157</v>
      </c>
      <c r="AZ95" s="12" t="s">
        <v>3468</v>
      </c>
      <c r="BA95" s="12" t="s">
        <v>1098</v>
      </c>
      <c r="BB95" s="12" t="s">
        <v>1098</v>
      </c>
      <c r="BD95" s="12" t="s">
        <v>1092</v>
      </c>
      <c r="BE95" s="12" t="s">
        <v>118</v>
      </c>
      <c r="BF95" s="12" t="s">
        <v>121</v>
      </c>
      <c r="BH95" s="12" t="s">
        <v>120</v>
      </c>
      <c r="BI95" s="179">
        <v>98</v>
      </c>
      <c r="BK95" s="176" t="s">
        <v>83</v>
      </c>
    </row>
    <row r="96" spans="1:63" s="12" customFormat="1" x14ac:dyDescent="0.25">
      <c r="A96" s="12" t="s">
        <v>3147</v>
      </c>
      <c r="B96" s="12" t="s">
        <v>4291</v>
      </c>
      <c r="C96" s="12" t="s">
        <v>3470</v>
      </c>
      <c r="D96" s="12" t="s">
        <v>3471</v>
      </c>
      <c r="E96" s="175">
        <v>42205</v>
      </c>
      <c r="F96" s="12" t="s">
        <v>3472</v>
      </c>
      <c r="G96" s="12" t="s">
        <v>1075</v>
      </c>
      <c r="H96" s="12" t="s">
        <v>3473</v>
      </c>
      <c r="I96" s="12" t="s">
        <v>2211</v>
      </c>
      <c r="J96" s="12" t="s">
        <v>2179</v>
      </c>
      <c r="K96" s="12" t="s">
        <v>1078</v>
      </c>
      <c r="L96" s="12" t="s">
        <v>1079</v>
      </c>
      <c r="M96" s="12" t="s">
        <v>1080</v>
      </c>
      <c r="O96" s="178" t="s">
        <v>1451</v>
      </c>
      <c r="P96" s="178" t="s">
        <v>3474</v>
      </c>
      <c r="Q96" s="12" t="s">
        <v>1080</v>
      </c>
      <c r="R96" s="179">
        <v>99</v>
      </c>
      <c r="U96" s="12" t="s">
        <v>120</v>
      </c>
      <c r="W96" s="12" t="s">
        <v>1083</v>
      </c>
      <c r="X96" s="12" t="s">
        <v>1949</v>
      </c>
      <c r="Y96" s="178" t="s">
        <v>2451</v>
      </c>
      <c r="Z96" s="12" t="s">
        <v>3475</v>
      </c>
      <c r="AA96" s="178" t="s">
        <v>2264</v>
      </c>
      <c r="AB96" s="12" t="s">
        <v>3476</v>
      </c>
      <c r="AC96" s="178" t="s">
        <v>1223</v>
      </c>
      <c r="AD96" s="12" t="s">
        <v>3477</v>
      </c>
      <c r="AE96" s="12" t="s">
        <v>1075</v>
      </c>
      <c r="AF96" s="12" t="s">
        <v>3478</v>
      </c>
      <c r="AG96" s="12" t="s">
        <v>1092</v>
      </c>
      <c r="AH96" s="12" t="s">
        <v>1092</v>
      </c>
      <c r="AI96" s="12" t="s">
        <v>3479</v>
      </c>
      <c r="AJ96" s="12" t="s">
        <v>3480</v>
      </c>
      <c r="AK96" s="12" t="s">
        <v>3481</v>
      </c>
      <c r="AL96" s="12" t="s">
        <v>1092</v>
      </c>
      <c r="AM96" s="12" t="s">
        <v>1092</v>
      </c>
      <c r="AN96" s="12" t="s">
        <v>1092</v>
      </c>
      <c r="AO96" s="178" t="s">
        <v>1093</v>
      </c>
      <c r="AP96" s="178" t="s">
        <v>1093</v>
      </c>
      <c r="AQ96" s="178" t="s">
        <v>1093</v>
      </c>
      <c r="AR96" s="178" t="s">
        <v>1093</v>
      </c>
      <c r="AS96" s="178" t="s">
        <v>1118</v>
      </c>
      <c r="AT96" s="178" t="s">
        <v>1118</v>
      </c>
      <c r="AU96" s="178" t="s">
        <v>1118</v>
      </c>
      <c r="AV96" s="12" t="s">
        <v>1096</v>
      </c>
      <c r="AW96" s="12" t="s">
        <v>2270</v>
      </c>
      <c r="AY96" s="178" t="s">
        <v>1092</v>
      </c>
      <c r="AZ96" s="12" t="s">
        <v>3482</v>
      </c>
      <c r="BA96" s="12" t="s">
        <v>1098</v>
      </c>
      <c r="BB96" s="12" t="s">
        <v>1098</v>
      </c>
      <c r="BD96" s="12" t="s">
        <v>1092</v>
      </c>
      <c r="BE96" s="12" t="s">
        <v>118</v>
      </c>
      <c r="BF96" s="12" t="s">
        <v>121</v>
      </c>
      <c r="BH96" s="12" t="s">
        <v>120</v>
      </c>
      <c r="BI96" s="179">
        <v>99</v>
      </c>
      <c r="BK96" s="176" t="s">
        <v>83</v>
      </c>
    </row>
    <row r="97" spans="1:63" s="12" customFormat="1" x14ac:dyDescent="0.25">
      <c r="A97" s="12" t="s">
        <v>3147</v>
      </c>
      <c r="B97" s="12" t="s">
        <v>4292</v>
      </c>
      <c r="C97" s="12" t="s">
        <v>3497</v>
      </c>
      <c r="D97" s="12" t="s">
        <v>3498</v>
      </c>
      <c r="E97" s="175">
        <v>42205</v>
      </c>
      <c r="F97" s="12" t="s">
        <v>3499</v>
      </c>
      <c r="G97" s="12" t="s">
        <v>1075</v>
      </c>
      <c r="H97" s="12" t="s">
        <v>3500</v>
      </c>
      <c r="I97" s="12" t="s">
        <v>3501</v>
      </c>
      <c r="J97" s="12" t="s">
        <v>1561</v>
      </c>
      <c r="K97" s="12" t="s">
        <v>1078</v>
      </c>
      <c r="L97" s="12" t="s">
        <v>1079</v>
      </c>
      <c r="M97" s="12" t="s">
        <v>1080</v>
      </c>
      <c r="O97" s="178" t="s">
        <v>1741</v>
      </c>
      <c r="P97" s="178" t="s">
        <v>3502</v>
      </c>
      <c r="Q97" s="12" t="s">
        <v>1080</v>
      </c>
      <c r="R97" s="179">
        <v>100</v>
      </c>
      <c r="U97" s="12" t="s">
        <v>120</v>
      </c>
      <c r="W97" s="12" t="s">
        <v>1083</v>
      </c>
      <c r="X97" s="12" t="s">
        <v>2335</v>
      </c>
      <c r="Y97" s="178" t="s">
        <v>1590</v>
      </c>
      <c r="Z97" s="12" t="s">
        <v>3503</v>
      </c>
      <c r="AA97" s="178" t="s">
        <v>1263</v>
      </c>
      <c r="AB97" s="12" t="s">
        <v>3504</v>
      </c>
      <c r="AC97" s="178" t="s">
        <v>3505</v>
      </c>
      <c r="AD97" s="12" t="s">
        <v>3506</v>
      </c>
      <c r="AE97" s="12" t="s">
        <v>1075</v>
      </c>
      <c r="AF97" s="12" t="s">
        <v>3507</v>
      </c>
      <c r="AG97" s="12" t="s">
        <v>1092</v>
      </c>
      <c r="AH97" s="12" t="s">
        <v>1092</v>
      </c>
      <c r="AI97" s="12" t="s">
        <v>3508</v>
      </c>
      <c r="AJ97" s="12" t="s">
        <v>3509</v>
      </c>
      <c r="AK97" s="12" t="s">
        <v>3510</v>
      </c>
      <c r="AL97" s="12" t="s">
        <v>1092</v>
      </c>
      <c r="AM97" s="12" t="s">
        <v>1092</v>
      </c>
      <c r="AN97" s="12" t="s">
        <v>1092</v>
      </c>
      <c r="AO97" s="178" t="s">
        <v>1093</v>
      </c>
      <c r="AP97" s="178" t="s">
        <v>1092</v>
      </c>
      <c r="AQ97" s="178" t="s">
        <v>1093</v>
      </c>
      <c r="AR97" s="178" t="s">
        <v>1093</v>
      </c>
      <c r="AS97" s="178" t="s">
        <v>1118</v>
      </c>
      <c r="AT97" s="178" t="s">
        <v>1118</v>
      </c>
      <c r="AU97" s="178" t="s">
        <v>1118</v>
      </c>
      <c r="AV97" s="12" t="s">
        <v>1096</v>
      </c>
      <c r="AW97" s="12" t="s">
        <v>2270</v>
      </c>
      <c r="AY97" s="178" t="s">
        <v>1092</v>
      </c>
      <c r="AZ97" s="12" t="s">
        <v>3511</v>
      </c>
      <c r="BA97" s="12" t="s">
        <v>1098</v>
      </c>
      <c r="BB97" s="12" t="s">
        <v>3512</v>
      </c>
      <c r="BD97" s="12" t="s">
        <v>1092</v>
      </c>
      <c r="BE97" s="12" t="s">
        <v>118</v>
      </c>
      <c r="BF97" s="12" t="s">
        <v>121</v>
      </c>
      <c r="BH97" s="12" t="s">
        <v>120</v>
      </c>
      <c r="BI97" s="179">
        <v>100</v>
      </c>
      <c r="BK97" s="176" t="s">
        <v>83</v>
      </c>
    </row>
    <row r="98" spans="1:63" s="12" customFormat="1" x14ac:dyDescent="0.25">
      <c r="A98" s="12" t="s">
        <v>3847</v>
      </c>
      <c r="B98" s="12" t="s">
        <v>4293</v>
      </c>
      <c r="C98" s="12" t="s">
        <v>3568</v>
      </c>
      <c r="D98" s="12" t="s">
        <v>3569</v>
      </c>
      <c r="E98" s="175">
        <v>42205</v>
      </c>
      <c r="F98" s="12" t="s">
        <v>3570</v>
      </c>
      <c r="G98" s="12" t="s">
        <v>1075</v>
      </c>
      <c r="H98" s="12" t="s">
        <v>3571</v>
      </c>
      <c r="I98" s="12" t="s">
        <v>3572</v>
      </c>
      <c r="K98" s="12" t="s">
        <v>1078</v>
      </c>
      <c r="L98" s="12" t="s">
        <v>1079</v>
      </c>
      <c r="M98" s="12" t="s">
        <v>1342</v>
      </c>
      <c r="O98" s="178" t="s">
        <v>3573</v>
      </c>
      <c r="P98" s="178" t="s">
        <v>3574</v>
      </c>
      <c r="Q98" s="12" t="s">
        <v>1342</v>
      </c>
      <c r="R98" s="179">
        <v>101</v>
      </c>
      <c r="U98" s="12" t="s">
        <v>120</v>
      </c>
      <c r="W98" s="12" t="s">
        <v>1083</v>
      </c>
      <c r="X98" s="12" t="s">
        <v>1412</v>
      </c>
      <c r="Y98" s="178" t="s">
        <v>2010</v>
      </c>
      <c r="Z98" s="12" t="s">
        <v>1133</v>
      </c>
      <c r="AA98" s="178" t="s">
        <v>2182</v>
      </c>
      <c r="AB98" s="12" t="s">
        <v>3575</v>
      </c>
      <c r="AC98" s="178" t="s">
        <v>1307</v>
      </c>
      <c r="AD98" s="12" t="s">
        <v>3576</v>
      </c>
      <c r="AE98" s="12" t="s">
        <v>1075</v>
      </c>
      <c r="AF98" s="12" t="s">
        <v>3577</v>
      </c>
      <c r="AG98" s="12" t="s">
        <v>1092</v>
      </c>
      <c r="AH98" s="12" t="s">
        <v>1092</v>
      </c>
      <c r="AI98" s="12" t="s">
        <v>3578</v>
      </c>
      <c r="AJ98" s="12" t="s">
        <v>3579</v>
      </c>
      <c r="AK98" s="12" t="s">
        <v>1092</v>
      </c>
      <c r="AL98" s="12" t="s">
        <v>1092</v>
      </c>
      <c r="AM98" s="12" t="s">
        <v>1092</v>
      </c>
      <c r="AN98" s="12" t="s">
        <v>1092</v>
      </c>
      <c r="AO98" s="178" t="s">
        <v>1093</v>
      </c>
      <c r="AP98" s="178" t="s">
        <v>1093</v>
      </c>
      <c r="AQ98" s="178" t="s">
        <v>1093</v>
      </c>
      <c r="AR98" s="178" t="s">
        <v>1093</v>
      </c>
      <c r="AS98" s="178" t="s">
        <v>1118</v>
      </c>
      <c r="AT98" s="178" t="s">
        <v>1118</v>
      </c>
      <c r="AU98" s="178" t="s">
        <v>1118</v>
      </c>
      <c r="AV98" s="12" t="s">
        <v>1096</v>
      </c>
      <c r="AW98" s="12" t="s">
        <v>2270</v>
      </c>
      <c r="AY98" s="178" t="s">
        <v>1092</v>
      </c>
      <c r="AZ98" s="12" t="s">
        <v>3580</v>
      </c>
      <c r="BA98" s="12" t="s">
        <v>1098</v>
      </c>
      <c r="BB98" s="12" t="s">
        <v>1098</v>
      </c>
      <c r="BC98" s="178" t="s">
        <v>1205</v>
      </c>
      <c r="BD98" s="12" t="s">
        <v>1092</v>
      </c>
      <c r="BE98" s="12" t="s">
        <v>118</v>
      </c>
      <c r="BF98" s="12" t="s">
        <v>121</v>
      </c>
      <c r="BH98" s="12" t="s">
        <v>120</v>
      </c>
      <c r="BI98" s="179">
        <v>101</v>
      </c>
      <c r="BK98" s="176" t="s">
        <v>83</v>
      </c>
    </row>
    <row r="99" spans="1:63" s="12" customFormat="1" x14ac:dyDescent="0.25">
      <c r="A99" s="12" t="s">
        <v>3847</v>
      </c>
      <c r="B99" s="12" t="s">
        <v>4294</v>
      </c>
      <c r="C99" s="12" t="s">
        <v>3582</v>
      </c>
      <c r="D99" s="12" t="s">
        <v>3583</v>
      </c>
      <c r="E99" s="175">
        <v>42205</v>
      </c>
      <c r="F99" s="12" t="s">
        <v>3584</v>
      </c>
      <c r="G99" s="12" t="s">
        <v>1075</v>
      </c>
      <c r="H99" s="12" t="s">
        <v>3585</v>
      </c>
      <c r="I99" s="12" t="s">
        <v>2772</v>
      </c>
      <c r="J99" s="12" t="s">
        <v>1208</v>
      </c>
      <c r="K99" s="12" t="s">
        <v>1078</v>
      </c>
      <c r="L99" s="12" t="s">
        <v>1079</v>
      </c>
      <c r="M99" s="12" t="s">
        <v>1342</v>
      </c>
      <c r="O99" s="178" t="s">
        <v>1451</v>
      </c>
      <c r="P99" s="178" t="s">
        <v>3586</v>
      </c>
      <c r="Q99" s="12" t="s">
        <v>1342</v>
      </c>
      <c r="R99" s="179">
        <v>102</v>
      </c>
      <c r="U99" s="12" t="s">
        <v>120</v>
      </c>
      <c r="W99" s="12" t="s">
        <v>1083</v>
      </c>
      <c r="X99" s="12" t="s">
        <v>1412</v>
      </c>
      <c r="Y99" s="178" t="s">
        <v>2012</v>
      </c>
      <c r="Z99" s="12" t="s">
        <v>3587</v>
      </c>
      <c r="AA99" s="178" t="s">
        <v>1223</v>
      </c>
      <c r="AB99" s="12" t="s">
        <v>3588</v>
      </c>
      <c r="AC99" s="178" t="s">
        <v>1169</v>
      </c>
      <c r="AD99" s="12" t="s">
        <v>3589</v>
      </c>
      <c r="AE99" s="12" t="s">
        <v>1075</v>
      </c>
      <c r="AF99" s="12" t="s">
        <v>3590</v>
      </c>
      <c r="AG99" s="12" t="s">
        <v>1092</v>
      </c>
      <c r="AH99" s="12" t="s">
        <v>1092</v>
      </c>
      <c r="AI99" s="12" t="s">
        <v>3591</v>
      </c>
      <c r="AJ99" s="12" t="s">
        <v>3592</v>
      </c>
      <c r="AK99" s="12" t="s">
        <v>1092</v>
      </c>
      <c r="AL99" s="12" t="s">
        <v>1092</v>
      </c>
      <c r="AM99" s="12" t="s">
        <v>1092</v>
      </c>
      <c r="AN99" s="12" t="s">
        <v>1092</v>
      </c>
      <c r="AO99" s="178" t="s">
        <v>1093</v>
      </c>
      <c r="AP99" s="178" t="s">
        <v>1093</v>
      </c>
      <c r="AQ99" s="178" t="s">
        <v>1093</v>
      </c>
      <c r="AR99" s="178" t="s">
        <v>1093</v>
      </c>
      <c r="AS99" s="178" t="s">
        <v>1118</v>
      </c>
      <c r="AT99" s="178" t="s">
        <v>1118</v>
      </c>
      <c r="AU99" s="178" t="s">
        <v>1118</v>
      </c>
      <c r="AV99" s="12" t="s">
        <v>1096</v>
      </c>
      <c r="AW99" s="12" t="s">
        <v>2270</v>
      </c>
      <c r="AY99" s="178" t="s">
        <v>1092</v>
      </c>
      <c r="AZ99" s="12" t="s">
        <v>3593</v>
      </c>
      <c r="BA99" s="12" t="s">
        <v>3594</v>
      </c>
      <c r="BB99" s="12" t="s">
        <v>3595</v>
      </c>
      <c r="BD99" s="12" t="s">
        <v>1092</v>
      </c>
      <c r="BE99" s="12" t="s">
        <v>118</v>
      </c>
      <c r="BF99" s="12" t="s">
        <v>121</v>
      </c>
      <c r="BH99" s="12" t="s">
        <v>120</v>
      </c>
      <c r="BI99" s="179">
        <v>102</v>
      </c>
      <c r="BK99" s="176" t="s">
        <v>83</v>
      </c>
    </row>
    <row r="100" spans="1:63" s="12" customFormat="1" x14ac:dyDescent="0.25">
      <c r="A100" s="12" t="s">
        <v>3847</v>
      </c>
      <c r="B100" s="12" t="s">
        <v>4295</v>
      </c>
      <c r="C100" s="12" t="s">
        <v>3441</v>
      </c>
      <c r="D100" s="12" t="s">
        <v>3442</v>
      </c>
      <c r="E100" s="175">
        <v>42205</v>
      </c>
      <c r="F100" s="12" t="s">
        <v>3443</v>
      </c>
      <c r="G100" s="12" t="s">
        <v>1075</v>
      </c>
      <c r="H100" s="12" t="s">
        <v>3444</v>
      </c>
      <c r="I100" s="12" t="s">
        <v>3445</v>
      </c>
      <c r="K100" s="12" t="s">
        <v>1078</v>
      </c>
      <c r="L100" s="12" t="s">
        <v>1079</v>
      </c>
      <c r="M100" s="12" t="s">
        <v>1080</v>
      </c>
      <c r="O100" s="178" t="s">
        <v>1451</v>
      </c>
      <c r="P100" s="178" t="s">
        <v>3446</v>
      </c>
      <c r="Q100" s="12" t="s">
        <v>1080</v>
      </c>
      <c r="R100" s="179">
        <v>103</v>
      </c>
      <c r="U100" s="12" t="s">
        <v>120</v>
      </c>
      <c r="W100" s="12" t="s">
        <v>1083</v>
      </c>
      <c r="X100" s="12" t="s">
        <v>1962</v>
      </c>
      <c r="Y100" s="178" t="s">
        <v>1345</v>
      </c>
      <c r="Z100" s="12" t="s">
        <v>3447</v>
      </c>
      <c r="AA100" s="178" t="s">
        <v>1249</v>
      </c>
      <c r="AB100" s="12" t="s">
        <v>3448</v>
      </c>
      <c r="AC100" s="178" t="s">
        <v>1979</v>
      </c>
      <c r="AD100" s="12" t="s">
        <v>3448</v>
      </c>
      <c r="AE100" s="12" t="s">
        <v>1075</v>
      </c>
      <c r="AF100" s="12" t="s">
        <v>3449</v>
      </c>
      <c r="AG100" s="12" t="s">
        <v>1092</v>
      </c>
      <c r="AH100" s="12" t="s">
        <v>1092</v>
      </c>
      <c r="AI100" s="12" t="s">
        <v>3450</v>
      </c>
      <c r="AJ100" s="12" t="s">
        <v>3451</v>
      </c>
      <c r="AK100" s="12" t="s">
        <v>3452</v>
      </c>
      <c r="AL100" s="12" t="s">
        <v>1092</v>
      </c>
      <c r="AM100" s="12" t="s">
        <v>1092</v>
      </c>
      <c r="AN100" s="12" t="s">
        <v>1092</v>
      </c>
      <c r="AO100" s="178" t="s">
        <v>1093</v>
      </c>
      <c r="AP100" s="178" t="s">
        <v>1093</v>
      </c>
      <c r="AQ100" s="178" t="s">
        <v>1093</v>
      </c>
      <c r="AR100" s="178" t="s">
        <v>1093</v>
      </c>
      <c r="AS100" s="178" t="s">
        <v>1118</v>
      </c>
      <c r="AT100" s="178" t="s">
        <v>1118</v>
      </c>
      <c r="AU100" s="178" t="s">
        <v>1118</v>
      </c>
      <c r="AV100" s="12" t="s">
        <v>1096</v>
      </c>
      <c r="AW100" s="12" t="s">
        <v>2270</v>
      </c>
      <c r="AY100" s="178" t="s">
        <v>1092</v>
      </c>
      <c r="AZ100" s="12" t="s">
        <v>3453</v>
      </c>
      <c r="BA100" s="12" t="s">
        <v>1098</v>
      </c>
      <c r="BB100" s="12" t="s">
        <v>1098</v>
      </c>
      <c r="BD100" s="12" t="s">
        <v>1092</v>
      </c>
      <c r="BE100" s="12" t="s">
        <v>118</v>
      </c>
      <c r="BF100" s="12" t="s">
        <v>121</v>
      </c>
      <c r="BH100" s="12" t="s">
        <v>120</v>
      </c>
      <c r="BI100" s="179">
        <v>103</v>
      </c>
      <c r="BK100" s="176" t="s">
        <v>83</v>
      </c>
    </row>
    <row r="101" spans="1:63" s="12" customFormat="1" x14ac:dyDescent="0.25">
      <c r="A101" s="12" t="s">
        <v>3847</v>
      </c>
      <c r="B101" s="12" t="s">
        <v>4296</v>
      </c>
      <c r="C101" s="12" t="s">
        <v>3643</v>
      </c>
      <c r="D101" s="12" t="s">
        <v>3644</v>
      </c>
      <c r="E101" s="175">
        <v>42205</v>
      </c>
      <c r="F101" s="12" t="s">
        <v>3645</v>
      </c>
      <c r="G101" s="12" t="s">
        <v>1075</v>
      </c>
      <c r="H101" s="12" t="s">
        <v>3646</v>
      </c>
      <c r="I101" s="12" t="s">
        <v>3647</v>
      </c>
      <c r="J101" s="12" t="s">
        <v>3648</v>
      </c>
      <c r="K101" s="12" t="s">
        <v>1103</v>
      </c>
      <c r="L101" s="12" t="s">
        <v>1104</v>
      </c>
      <c r="M101" s="12" t="s">
        <v>1125</v>
      </c>
      <c r="O101" s="178" t="s">
        <v>1451</v>
      </c>
      <c r="P101" s="178" t="s">
        <v>3649</v>
      </c>
      <c r="Q101" s="12" t="s">
        <v>1125</v>
      </c>
      <c r="R101" s="179">
        <v>104</v>
      </c>
      <c r="U101" s="12" t="s">
        <v>120</v>
      </c>
      <c r="W101" s="12" t="s">
        <v>1083</v>
      </c>
      <c r="X101" s="12" t="s">
        <v>1519</v>
      </c>
      <c r="Y101" s="178" t="s">
        <v>2573</v>
      </c>
      <c r="Z101" s="12" t="s">
        <v>3650</v>
      </c>
      <c r="AA101" s="178" t="s">
        <v>1408</v>
      </c>
      <c r="AB101" s="12" t="s">
        <v>3651</v>
      </c>
      <c r="AC101" s="178" t="s">
        <v>1261</v>
      </c>
      <c r="AD101" s="12" t="s">
        <v>3651</v>
      </c>
      <c r="AE101" s="12" t="s">
        <v>1075</v>
      </c>
      <c r="AF101" s="12" t="s">
        <v>3652</v>
      </c>
      <c r="AG101" s="12" t="s">
        <v>1092</v>
      </c>
      <c r="AH101" s="12" t="s">
        <v>1092</v>
      </c>
      <c r="AI101" s="12" t="s">
        <v>3653</v>
      </c>
      <c r="AJ101" s="12" t="s">
        <v>3654</v>
      </c>
      <c r="AK101" s="12" t="s">
        <v>3655</v>
      </c>
      <c r="AL101" s="12" t="s">
        <v>1092</v>
      </c>
      <c r="AM101" s="12" t="s">
        <v>1092</v>
      </c>
      <c r="AN101" s="12" t="s">
        <v>1092</v>
      </c>
      <c r="AO101" s="178" t="s">
        <v>1093</v>
      </c>
      <c r="AP101" s="178" t="s">
        <v>1093</v>
      </c>
      <c r="AQ101" s="178" t="s">
        <v>1093</v>
      </c>
      <c r="AR101" s="178" t="s">
        <v>1093</v>
      </c>
      <c r="AS101" s="178" t="s">
        <v>1118</v>
      </c>
      <c r="AT101" s="178" t="s">
        <v>1118</v>
      </c>
      <c r="AU101" s="178" t="s">
        <v>1118</v>
      </c>
      <c r="AV101" s="12" t="s">
        <v>1096</v>
      </c>
      <c r="AW101" s="12" t="s">
        <v>2270</v>
      </c>
      <c r="AX101" s="178" t="s">
        <v>2882</v>
      </c>
      <c r="AY101" s="178" t="s">
        <v>1093</v>
      </c>
      <c r="AZ101" s="12" t="s">
        <v>3656</v>
      </c>
      <c r="BA101" s="12" t="s">
        <v>1098</v>
      </c>
      <c r="BB101" s="12" t="s">
        <v>3657</v>
      </c>
      <c r="BD101" s="12" t="s">
        <v>1092</v>
      </c>
      <c r="BE101" s="12" t="s">
        <v>118</v>
      </c>
      <c r="BF101" s="12" t="s">
        <v>121</v>
      </c>
      <c r="BH101" s="12" t="s">
        <v>120</v>
      </c>
      <c r="BI101" s="179">
        <v>104</v>
      </c>
      <c r="BK101" s="176" t="s">
        <v>83</v>
      </c>
    </row>
    <row r="102" spans="1:63" s="12" customFormat="1" x14ac:dyDescent="0.25">
      <c r="A102" s="12" t="s">
        <v>3847</v>
      </c>
      <c r="B102" s="12" t="s">
        <v>4297</v>
      </c>
      <c r="C102" s="12" t="s">
        <v>3659</v>
      </c>
      <c r="D102" s="12" t="s">
        <v>3660</v>
      </c>
      <c r="E102" s="175">
        <v>42205</v>
      </c>
      <c r="F102" s="12" t="s">
        <v>1345</v>
      </c>
      <c r="G102" s="12" t="s">
        <v>1075</v>
      </c>
      <c r="H102" s="12" t="s">
        <v>3661</v>
      </c>
      <c r="I102" s="12" t="s">
        <v>3662</v>
      </c>
      <c r="J102" s="12" t="s">
        <v>2179</v>
      </c>
      <c r="K102" s="12" t="s">
        <v>1514</v>
      </c>
      <c r="L102" s="12" t="s">
        <v>1515</v>
      </c>
      <c r="M102" s="12" t="s">
        <v>1516</v>
      </c>
      <c r="O102" s="178" t="s">
        <v>1181</v>
      </c>
      <c r="P102" s="178" t="s">
        <v>3663</v>
      </c>
      <c r="Q102" s="12" t="s">
        <v>1516</v>
      </c>
      <c r="R102" s="179">
        <v>105</v>
      </c>
      <c r="U102" s="12" t="s">
        <v>120</v>
      </c>
      <c r="W102" s="12" t="s">
        <v>1083</v>
      </c>
      <c r="X102" s="12" t="s">
        <v>1879</v>
      </c>
      <c r="Y102" s="178" t="s">
        <v>1232</v>
      </c>
      <c r="Z102" s="12" t="s">
        <v>3664</v>
      </c>
      <c r="AA102" s="178" t="s">
        <v>1438</v>
      </c>
      <c r="AB102" s="12" t="s">
        <v>1506</v>
      </c>
      <c r="AD102" s="12" t="s">
        <v>1185</v>
      </c>
      <c r="AE102" s="12" t="s">
        <v>1075</v>
      </c>
      <c r="AF102" s="12" t="s">
        <v>3665</v>
      </c>
      <c r="AG102" s="12" t="s">
        <v>1236</v>
      </c>
      <c r="AH102" s="12" t="s">
        <v>3666</v>
      </c>
      <c r="AI102" s="12" t="s">
        <v>3667</v>
      </c>
      <c r="AJ102" s="12" t="s">
        <v>3668</v>
      </c>
      <c r="AK102" s="12" t="s">
        <v>1092</v>
      </c>
      <c r="AL102" s="12" t="s">
        <v>1092</v>
      </c>
      <c r="AM102" s="12" t="s">
        <v>1092</v>
      </c>
      <c r="AN102" s="12" t="s">
        <v>1092</v>
      </c>
      <c r="AO102" s="178" t="s">
        <v>1093</v>
      </c>
      <c r="AP102" s="178" t="s">
        <v>1093</v>
      </c>
      <c r="AQ102" s="178" t="s">
        <v>1093</v>
      </c>
      <c r="AR102" s="178" t="s">
        <v>1093</v>
      </c>
      <c r="AS102" s="178" t="s">
        <v>1118</v>
      </c>
      <c r="AT102" s="178" t="s">
        <v>1118</v>
      </c>
      <c r="AU102" s="178" t="s">
        <v>1118</v>
      </c>
      <c r="AV102" s="12" t="s">
        <v>1096</v>
      </c>
      <c r="AW102" s="12" t="s">
        <v>2270</v>
      </c>
      <c r="AX102" s="178" t="s">
        <v>2882</v>
      </c>
      <c r="AY102" s="178" t="s">
        <v>1157</v>
      </c>
      <c r="AZ102" s="12" t="s">
        <v>3669</v>
      </c>
      <c r="BA102" s="12" t="s">
        <v>1098</v>
      </c>
      <c r="BB102" s="12" t="s">
        <v>1098</v>
      </c>
      <c r="BD102" s="12" t="s">
        <v>1092</v>
      </c>
      <c r="BE102" s="12" t="s">
        <v>118</v>
      </c>
      <c r="BF102" s="12" t="s">
        <v>121</v>
      </c>
      <c r="BH102" s="12" t="s">
        <v>120</v>
      </c>
      <c r="BI102" s="179">
        <v>105</v>
      </c>
      <c r="BK102" s="176" t="s">
        <v>83</v>
      </c>
    </row>
    <row r="103" spans="1:63" s="12" customFormat="1" x14ac:dyDescent="0.25">
      <c r="A103" s="12" t="s">
        <v>3847</v>
      </c>
      <c r="B103" s="12" t="s">
        <v>4298</v>
      </c>
      <c r="C103" s="12" t="s">
        <v>3671</v>
      </c>
      <c r="D103" s="12" t="s">
        <v>3672</v>
      </c>
      <c r="E103" s="175">
        <v>42205</v>
      </c>
      <c r="F103" s="12" t="s">
        <v>3673</v>
      </c>
      <c r="G103" s="12" t="s">
        <v>1075</v>
      </c>
      <c r="H103" s="12" t="s">
        <v>3674</v>
      </c>
      <c r="I103" s="12" t="s">
        <v>3675</v>
      </c>
      <c r="K103" s="12" t="s">
        <v>1693</v>
      </c>
      <c r="L103" s="12" t="s">
        <v>1515</v>
      </c>
      <c r="M103" s="12" t="s">
        <v>1516</v>
      </c>
      <c r="O103" s="178" t="s">
        <v>2144</v>
      </c>
      <c r="P103" s="178" t="s">
        <v>3676</v>
      </c>
      <c r="Q103" s="12" t="s">
        <v>1516</v>
      </c>
      <c r="R103" s="179">
        <v>106</v>
      </c>
      <c r="U103" s="12" t="s">
        <v>120</v>
      </c>
      <c r="W103" s="12" t="s">
        <v>1083</v>
      </c>
      <c r="X103" s="12" t="s">
        <v>2054</v>
      </c>
      <c r="Y103" s="178" t="s">
        <v>1938</v>
      </c>
      <c r="Z103" s="12" t="s">
        <v>3677</v>
      </c>
      <c r="AA103" s="178" t="s">
        <v>1520</v>
      </c>
      <c r="AB103" s="12" t="s">
        <v>3678</v>
      </c>
      <c r="AC103" s="178" t="s">
        <v>2624</v>
      </c>
      <c r="AD103" s="12" t="s">
        <v>3678</v>
      </c>
      <c r="AE103" s="12" t="s">
        <v>1075</v>
      </c>
      <c r="AF103" s="12" t="s">
        <v>3679</v>
      </c>
      <c r="AG103" s="12" t="s">
        <v>1092</v>
      </c>
      <c r="AH103" s="12" t="s">
        <v>1092</v>
      </c>
      <c r="AI103" s="12" t="s">
        <v>3680</v>
      </c>
      <c r="AJ103" s="12" t="s">
        <v>3681</v>
      </c>
      <c r="AK103" s="12" t="s">
        <v>3682</v>
      </c>
      <c r="AL103" s="12" t="s">
        <v>1092</v>
      </c>
      <c r="AM103" s="12" t="s">
        <v>1092</v>
      </c>
      <c r="AN103" s="12" t="s">
        <v>1092</v>
      </c>
      <c r="AO103" s="178" t="s">
        <v>1093</v>
      </c>
      <c r="AP103" s="178" t="s">
        <v>1093</v>
      </c>
      <c r="AQ103" s="178" t="s">
        <v>1093</v>
      </c>
      <c r="AR103" s="178" t="s">
        <v>1093</v>
      </c>
      <c r="AS103" s="178" t="s">
        <v>1118</v>
      </c>
      <c r="AT103" s="178" t="s">
        <v>1118</v>
      </c>
      <c r="AU103" s="178" t="s">
        <v>1118</v>
      </c>
      <c r="AV103" s="12" t="s">
        <v>1096</v>
      </c>
      <c r="AW103" s="12" t="s">
        <v>2270</v>
      </c>
      <c r="AY103" s="178" t="s">
        <v>1092</v>
      </c>
      <c r="AZ103" s="12" t="s">
        <v>3683</v>
      </c>
      <c r="BA103" s="12" t="s">
        <v>1098</v>
      </c>
      <c r="BB103" s="12" t="s">
        <v>1098</v>
      </c>
      <c r="BD103" s="12" t="s">
        <v>1092</v>
      </c>
      <c r="BE103" s="12" t="s">
        <v>118</v>
      </c>
      <c r="BF103" s="12" t="s">
        <v>121</v>
      </c>
      <c r="BH103" s="12" t="s">
        <v>120</v>
      </c>
      <c r="BI103" s="179">
        <v>106</v>
      </c>
      <c r="BK103" s="176" t="s">
        <v>83</v>
      </c>
    </row>
    <row r="104" spans="1:63" s="12" customFormat="1" x14ac:dyDescent="0.25">
      <c r="A104" s="12" t="s">
        <v>3132</v>
      </c>
      <c r="B104" s="12" t="s">
        <v>4299</v>
      </c>
      <c r="C104" s="12" t="s">
        <v>3758</v>
      </c>
      <c r="D104" s="12" t="s">
        <v>3759</v>
      </c>
      <c r="E104" s="175">
        <v>42205</v>
      </c>
      <c r="F104" s="12" t="s">
        <v>3760</v>
      </c>
      <c r="G104" s="12" t="s">
        <v>1075</v>
      </c>
      <c r="H104" s="12" t="s">
        <v>3761</v>
      </c>
      <c r="I104" s="12" t="s">
        <v>3762</v>
      </c>
      <c r="J104" s="12" t="s">
        <v>3763</v>
      </c>
      <c r="K104" s="12" t="s">
        <v>1103</v>
      </c>
      <c r="L104" s="12" t="s">
        <v>1124</v>
      </c>
      <c r="M104" s="12" t="s">
        <v>1105</v>
      </c>
      <c r="O104" s="178" t="s">
        <v>1163</v>
      </c>
      <c r="P104" s="178" t="s">
        <v>3764</v>
      </c>
      <c r="Q104" s="12" t="s">
        <v>1105</v>
      </c>
      <c r="R104" s="179">
        <v>107</v>
      </c>
      <c r="U104" s="12" t="s">
        <v>120</v>
      </c>
      <c r="W104" s="12" t="s">
        <v>1083</v>
      </c>
      <c r="X104" s="12" t="s">
        <v>1412</v>
      </c>
      <c r="Y104" s="178" t="s">
        <v>2012</v>
      </c>
      <c r="Z104" s="12" t="s">
        <v>3765</v>
      </c>
      <c r="AA104" s="178" t="s">
        <v>1590</v>
      </c>
      <c r="AB104" s="12" t="s">
        <v>1684</v>
      </c>
      <c r="AC104" s="178" t="s">
        <v>1781</v>
      </c>
      <c r="AD104" s="12" t="s">
        <v>3766</v>
      </c>
      <c r="AE104" s="12" t="s">
        <v>1075</v>
      </c>
      <c r="AF104" s="12" t="s">
        <v>3767</v>
      </c>
      <c r="AG104" s="12" t="s">
        <v>1092</v>
      </c>
      <c r="AH104" s="12" t="s">
        <v>1092</v>
      </c>
      <c r="AI104" s="12" t="s">
        <v>3768</v>
      </c>
      <c r="AJ104" s="12" t="s">
        <v>3769</v>
      </c>
      <c r="AK104" s="12" t="s">
        <v>1092</v>
      </c>
      <c r="AL104" s="12" t="s">
        <v>1092</v>
      </c>
      <c r="AM104" s="12" t="s">
        <v>1092</v>
      </c>
      <c r="AN104" s="12" t="s">
        <v>1092</v>
      </c>
      <c r="AO104" s="178" t="s">
        <v>1093</v>
      </c>
      <c r="AP104" s="178" t="s">
        <v>1093</v>
      </c>
      <c r="AQ104" s="178" t="s">
        <v>1093</v>
      </c>
      <c r="AR104" s="178" t="s">
        <v>1093</v>
      </c>
      <c r="AS104" s="178" t="s">
        <v>1118</v>
      </c>
      <c r="AT104" s="178" t="s">
        <v>1118</v>
      </c>
      <c r="AU104" s="178" t="s">
        <v>1118</v>
      </c>
      <c r="AV104" s="12" t="s">
        <v>1096</v>
      </c>
      <c r="AW104" s="12" t="s">
        <v>2270</v>
      </c>
      <c r="AY104" s="178" t="s">
        <v>1092</v>
      </c>
      <c r="AZ104" s="12" t="s">
        <v>3770</v>
      </c>
      <c r="BA104" s="12" t="s">
        <v>1098</v>
      </c>
      <c r="BB104" s="12" t="s">
        <v>3771</v>
      </c>
      <c r="BD104" s="12" t="s">
        <v>1092</v>
      </c>
      <c r="BE104" s="12" t="s">
        <v>118</v>
      </c>
      <c r="BF104" s="12" t="s">
        <v>121</v>
      </c>
      <c r="BH104" s="12" t="s">
        <v>120</v>
      </c>
      <c r="BI104" s="179">
        <v>107</v>
      </c>
      <c r="BK104" s="176" t="s">
        <v>83</v>
      </c>
    </row>
    <row r="105" spans="1:63" s="12" customFormat="1" x14ac:dyDescent="0.25">
      <c r="A105" s="12" t="s">
        <v>3132</v>
      </c>
      <c r="B105" s="12" t="s">
        <v>4300</v>
      </c>
      <c r="C105" s="12" t="s">
        <v>3797</v>
      </c>
      <c r="D105" s="12" t="s">
        <v>3798</v>
      </c>
      <c r="E105" s="175">
        <v>42205</v>
      </c>
      <c r="F105" s="12" t="s">
        <v>1757</v>
      </c>
      <c r="G105" s="12" t="s">
        <v>1075</v>
      </c>
      <c r="H105" s="12" t="s">
        <v>3799</v>
      </c>
      <c r="I105" s="12" t="s">
        <v>3800</v>
      </c>
      <c r="J105" s="12" t="s">
        <v>3063</v>
      </c>
      <c r="K105" s="12" t="s">
        <v>1078</v>
      </c>
      <c r="L105" s="12" t="s">
        <v>1079</v>
      </c>
      <c r="M105" s="12" t="s">
        <v>1342</v>
      </c>
      <c r="O105" s="178" t="s">
        <v>1126</v>
      </c>
      <c r="P105" s="178" t="s">
        <v>3801</v>
      </c>
      <c r="Q105" s="12" t="s">
        <v>1342</v>
      </c>
      <c r="R105" s="179">
        <v>108</v>
      </c>
      <c r="U105" s="12" t="s">
        <v>120</v>
      </c>
      <c r="W105" s="12" t="s">
        <v>1083</v>
      </c>
      <c r="X105" s="12" t="s">
        <v>1949</v>
      </c>
      <c r="Y105" s="178" t="s">
        <v>2815</v>
      </c>
      <c r="Z105" s="12" t="s">
        <v>3802</v>
      </c>
      <c r="AA105" s="178" t="s">
        <v>1938</v>
      </c>
      <c r="AB105" s="12" t="s">
        <v>1133</v>
      </c>
      <c r="AC105" s="178" t="s">
        <v>1440</v>
      </c>
      <c r="AD105" s="12" t="s">
        <v>3803</v>
      </c>
      <c r="AE105" s="12" t="s">
        <v>1075</v>
      </c>
      <c r="AF105" s="12" t="s">
        <v>3804</v>
      </c>
      <c r="AG105" s="12" t="s">
        <v>3805</v>
      </c>
      <c r="AH105" s="12" t="s">
        <v>1092</v>
      </c>
      <c r="AI105" s="12" t="s">
        <v>3806</v>
      </c>
      <c r="AJ105" s="12" t="s">
        <v>3807</v>
      </c>
      <c r="AK105" s="12" t="s">
        <v>3808</v>
      </c>
      <c r="AL105" s="12" t="s">
        <v>1092</v>
      </c>
      <c r="AM105" s="12" t="s">
        <v>1092</v>
      </c>
      <c r="AN105" s="12" t="s">
        <v>1092</v>
      </c>
      <c r="AO105" s="178" t="s">
        <v>1093</v>
      </c>
      <c r="AP105" s="178" t="s">
        <v>1093</v>
      </c>
      <c r="AQ105" s="178" t="s">
        <v>1093</v>
      </c>
      <c r="AR105" s="178" t="s">
        <v>1093</v>
      </c>
      <c r="AS105" s="178" t="s">
        <v>1118</v>
      </c>
      <c r="AT105" s="178" t="s">
        <v>1118</v>
      </c>
      <c r="AU105" s="178" t="s">
        <v>1118</v>
      </c>
      <c r="AV105" s="12" t="s">
        <v>1096</v>
      </c>
      <c r="AW105" s="12" t="s">
        <v>2270</v>
      </c>
      <c r="AY105" s="178" t="s">
        <v>1092</v>
      </c>
      <c r="AZ105" s="12" t="s">
        <v>3809</v>
      </c>
      <c r="BA105" s="12" t="s">
        <v>1098</v>
      </c>
      <c r="BB105" s="12" t="s">
        <v>1098</v>
      </c>
      <c r="BD105" s="12" t="s">
        <v>1092</v>
      </c>
      <c r="BE105" s="12" t="s">
        <v>118</v>
      </c>
      <c r="BF105" s="12" t="s">
        <v>121</v>
      </c>
      <c r="BH105" s="12" t="s">
        <v>120</v>
      </c>
      <c r="BI105" s="179">
        <v>108</v>
      </c>
      <c r="BK105" s="176" t="s">
        <v>83</v>
      </c>
    </row>
    <row r="106" spans="1:63" s="12" customFormat="1" x14ac:dyDescent="0.25">
      <c r="A106" s="12" t="s">
        <v>3132</v>
      </c>
      <c r="B106" s="12" t="s">
        <v>4301</v>
      </c>
      <c r="C106" s="12" t="s">
        <v>4302</v>
      </c>
      <c r="D106" s="12" t="s">
        <v>4303</v>
      </c>
      <c r="E106" s="175">
        <v>42205</v>
      </c>
      <c r="F106" s="12" t="s">
        <v>1355</v>
      </c>
      <c r="G106" s="12" t="s">
        <v>1075</v>
      </c>
      <c r="H106" s="12" t="s">
        <v>4304</v>
      </c>
      <c r="I106" s="12" t="s">
        <v>4305</v>
      </c>
      <c r="J106" s="12" t="s">
        <v>4306</v>
      </c>
      <c r="K106" s="12" t="s">
        <v>1226</v>
      </c>
      <c r="L106" s="12" t="s">
        <v>1227</v>
      </c>
      <c r="M106" s="12" t="s">
        <v>1228</v>
      </c>
      <c r="O106" s="178" t="s">
        <v>1163</v>
      </c>
      <c r="P106" s="178" t="s">
        <v>4307</v>
      </c>
      <c r="Q106" s="12" t="s">
        <v>1228</v>
      </c>
      <c r="R106" s="179">
        <v>109</v>
      </c>
      <c r="U106" s="12" t="s">
        <v>120</v>
      </c>
      <c r="W106" s="12" t="s">
        <v>1083</v>
      </c>
      <c r="X106" s="12" t="s">
        <v>1949</v>
      </c>
      <c r="Z106" s="12" t="s">
        <v>1185</v>
      </c>
      <c r="AB106" s="12" t="s">
        <v>1185</v>
      </c>
      <c r="AD106" s="12" t="s">
        <v>1185</v>
      </c>
      <c r="AE106" s="12" t="s">
        <v>1075</v>
      </c>
      <c r="AF106" s="12" t="s">
        <v>4308</v>
      </c>
      <c r="AG106" s="12" t="s">
        <v>1092</v>
      </c>
      <c r="AH106" s="12" t="s">
        <v>1092</v>
      </c>
      <c r="AI106" s="12" t="s">
        <v>4309</v>
      </c>
      <c r="AJ106" s="12" t="s">
        <v>4310</v>
      </c>
      <c r="AK106" s="12" t="s">
        <v>4311</v>
      </c>
      <c r="AL106" s="12" t="s">
        <v>4312</v>
      </c>
      <c r="AM106" s="12" t="s">
        <v>1092</v>
      </c>
      <c r="AN106" s="12" t="s">
        <v>1092</v>
      </c>
      <c r="AO106" s="178" t="s">
        <v>1092</v>
      </c>
      <c r="AP106" s="178" t="s">
        <v>1092</v>
      </c>
      <c r="AQ106" s="178" t="s">
        <v>1092</v>
      </c>
      <c r="AR106" s="178" t="s">
        <v>1093</v>
      </c>
      <c r="AS106" s="178" t="s">
        <v>1155</v>
      </c>
      <c r="AT106" s="178" t="s">
        <v>1095</v>
      </c>
      <c r="AU106" s="178" t="s">
        <v>1118</v>
      </c>
      <c r="AV106" s="12" t="s">
        <v>1096</v>
      </c>
      <c r="AW106" s="12" t="s">
        <v>2270</v>
      </c>
      <c r="AY106" s="178" t="s">
        <v>1092</v>
      </c>
      <c r="AZ106" s="12" t="s">
        <v>4313</v>
      </c>
      <c r="BA106" s="12" t="s">
        <v>1098</v>
      </c>
      <c r="BB106" s="12" t="s">
        <v>1098</v>
      </c>
      <c r="BD106" s="12" t="s">
        <v>1092</v>
      </c>
      <c r="BE106" s="12" t="s">
        <v>118</v>
      </c>
      <c r="BF106" s="12" t="s">
        <v>121</v>
      </c>
      <c r="BH106" s="12" t="s">
        <v>120</v>
      </c>
      <c r="BI106" s="179">
        <v>109</v>
      </c>
    </row>
    <row r="107" spans="1:63" s="12" customFormat="1" x14ac:dyDescent="0.25">
      <c r="A107" s="12" t="s">
        <v>3132</v>
      </c>
      <c r="B107" s="12" t="s">
        <v>4314</v>
      </c>
      <c r="C107" s="12" t="s">
        <v>3811</v>
      </c>
      <c r="D107" s="12" t="s">
        <v>3812</v>
      </c>
      <c r="E107" s="175">
        <v>42205</v>
      </c>
      <c r="F107" s="12" t="s">
        <v>2264</v>
      </c>
      <c r="G107" s="12" t="s">
        <v>1075</v>
      </c>
      <c r="H107" s="12" t="s">
        <v>3813</v>
      </c>
      <c r="I107" s="12" t="s">
        <v>2021</v>
      </c>
      <c r="J107" s="12" t="s">
        <v>3814</v>
      </c>
      <c r="K107" s="12" t="s">
        <v>1103</v>
      </c>
      <c r="L107" s="12" t="s">
        <v>1179</v>
      </c>
      <c r="M107" s="12" t="s">
        <v>1244</v>
      </c>
      <c r="O107" s="178" t="s">
        <v>1181</v>
      </c>
      <c r="P107" s="178" t="s">
        <v>3815</v>
      </c>
      <c r="Q107" s="12" t="s">
        <v>1244</v>
      </c>
      <c r="R107" s="179">
        <v>110</v>
      </c>
      <c r="S107" s="12" t="s">
        <v>3816</v>
      </c>
      <c r="U107" s="12" t="s">
        <v>120</v>
      </c>
      <c r="W107" s="12" t="s">
        <v>1083</v>
      </c>
      <c r="X107" s="12" t="s">
        <v>1359</v>
      </c>
      <c r="Y107" s="178" t="s">
        <v>2445</v>
      </c>
      <c r="Z107" s="12" t="s">
        <v>1348</v>
      </c>
      <c r="AA107" s="178" t="s">
        <v>2445</v>
      </c>
      <c r="AB107" s="12" t="s">
        <v>3817</v>
      </c>
      <c r="AC107" s="178" t="s">
        <v>2264</v>
      </c>
      <c r="AD107" s="12" t="s">
        <v>2475</v>
      </c>
      <c r="AE107" s="12" t="s">
        <v>1075</v>
      </c>
      <c r="AF107" s="12" t="s">
        <v>3818</v>
      </c>
      <c r="AG107" s="12" t="s">
        <v>1236</v>
      </c>
      <c r="AH107" s="12" t="s">
        <v>1092</v>
      </c>
      <c r="AI107" s="12" t="s">
        <v>3819</v>
      </c>
      <c r="AJ107" s="12" t="s">
        <v>3820</v>
      </c>
      <c r="AK107" s="12" t="s">
        <v>1092</v>
      </c>
      <c r="AL107" s="12" t="s">
        <v>1092</v>
      </c>
      <c r="AM107" s="12" t="s">
        <v>1092</v>
      </c>
      <c r="AN107" s="12" t="s">
        <v>1092</v>
      </c>
      <c r="AO107" s="178" t="s">
        <v>1093</v>
      </c>
      <c r="AP107" s="178" t="s">
        <v>1093</v>
      </c>
      <c r="AQ107" s="178" t="s">
        <v>1093</v>
      </c>
      <c r="AR107" s="178" t="s">
        <v>1093</v>
      </c>
      <c r="AS107" s="178" t="s">
        <v>1118</v>
      </c>
      <c r="AT107" s="178" t="s">
        <v>1118</v>
      </c>
      <c r="AU107" s="178" t="s">
        <v>1118</v>
      </c>
      <c r="AV107" s="12" t="s">
        <v>1096</v>
      </c>
      <c r="AW107" s="12" t="s">
        <v>2270</v>
      </c>
      <c r="AX107" s="178" t="s">
        <v>3732</v>
      </c>
      <c r="AY107" s="178" t="s">
        <v>1157</v>
      </c>
      <c r="AZ107" s="12" t="s">
        <v>3821</v>
      </c>
      <c r="BA107" s="12" t="s">
        <v>1098</v>
      </c>
      <c r="BB107" s="12" t="s">
        <v>1098</v>
      </c>
      <c r="BD107" s="12" t="s">
        <v>1092</v>
      </c>
      <c r="BE107" s="12" t="s">
        <v>118</v>
      </c>
      <c r="BF107" s="12" t="s">
        <v>121</v>
      </c>
      <c r="BH107" s="12" t="s">
        <v>120</v>
      </c>
      <c r="BI107" s="179">
        <v>110</v>
      </c>
      <c r="BK107" s="176" t="s">
        <v>83</v>
      </c>
    </row>
    <row r="108" spans="1:63" s="12" customFormat="1" x14ac:dyDescent="0.25">
      <c r="A108" s="12" t="s">
        <v>3132</v>
      </c>
      <c r="B108" s="12" t="s">
        <v>4315</v>
      </c>
      <c r="C108" s="12" t="s">
        <v>3685</v>
      </c>
      <c r="D108" s="12" t="s">
        <v>3686</v>
      </c>
      <c r="E108" s="175">
        <v>42205</v>
      </c>
      <c r="F108" s="12" t="s">
        <v>1491</v>
      </c>
      <c r="G108" s="12" t="s">
        <v>1075</v>
      </c>
      <c r="H108" s="12" t="s">
        <v>3687</v>
      </c>
      <c r="I108" s="12" t="s">
        <v>3688</v>
      </c>
      <c r="K108" s="12" t="s">
        <v>1078</v>
      </c>
      <c r="L108" s="12" t="s">
        <v>1079</v>
      </c>
      <c r="M108" s="12" t="s">
        <v>1342</v>
      </c>
      <c r="O108" s="178" t="s">
        <v>1181</v>
      </c>
      <c r="P108" s="178" t="s">
        <v>3689</v>
      </c>
      <c r="Q108" s="12" t="s">
        <v>1342</v>
      </c>
      <c r="R108" s="179">
        <v>111</v>
      </c>
      <c r="U108" s="12" t="s">
        <v>120</v>
      </c>
      <c r="W108" s="12" t="s">
        <v>1083</v>
      </c>
      <c r="X108" s="12" t="s">
        <v>3690</v>
      </c>
      <c r="Y108" s="178" t="s">
        <v>1898</v>
      </c>
      <c r="Z108" s="12" t="s">
        <v>3691</v>
      </c>
      <c r="AA108" s="178" t="s">
        <v>1087</v>
      </c>
      <c r="AB108" s="12" t="s">
        <v>3692</v>
      </c>
      <c r="AC108" s="178" t="s">
        <v>1853</v>
      </c>
      <c r="AD108" s="12" t="s">
        <v>1506</v>
      </c>
      <c r="AE108" s="12" t="s">
        <v>1075</v>
      </c>
      <c r="AF108" s="12" t="s">
        <v>3693</v>
      </c>
      <c r="AG108" s="12" t="s">
        <v>1092</v>
      </c>
      <c r="AH108" s="12" t="s">
        <v>1092</v>
      </c>
      <c r="AI108" s="12" t="s">
        <v>3694</v>
      </c>
      <c r="AJ108" s="12" t="s">
        <v>3695</v>
      </c>
      <c r="AK108" s="12" t="s">
        <v>1092</v>
      </c>
      <c r="AL108" s="12" t="s">
        <v>1092</v>
      </c>
      <c r="AM108" s="12" t="s">
        <v>1092</v>
      </c>
      <c r="AN108" s="12" t="s">
        <v>1092</v>
      </c>
      <c r="AO108" s="178" t="s">
        <v>1093</v>
      </c>
      <c r="AP108" s="178" t="s">
        <v>1093</v>
      </c>
      <c r="AQ108" s="178" t="s">
        <v>1093</v>
      </c>
      <c r="AR108" s="178" t="s">
        <v>1093</v>
      </c>
      <c r="AS108" s="178" t="s">
        <v>1118</v>
      </c>
      <c r="AT108" s="178" t="s">
        <v>1118</v>
      </c>
      <c r="AU108" s="178" t="s">
        <v>1118</v>
      </c>
      <c r="AV108" s="12" t="s">
        <v>1096</v>
      </c>
      <c r="AW108" s="12" t="s">
        <v>2270</v>
      </c>
      <c r="AY108" s="178" t="s">
        <v>1092</v>
      </c>
      <c r="AZ108" s="12" t="s">
        <v>3696</v>
      </c>
      <c r="BA108" s="12" t="s">
        <v>1098</v>
      </c>
      <c r="BB108" s="12" t="s">
        <v>1098</v>
      </c>
      <c r="BD108" s="12" t="s">
        <v>1092</v>
      </c>
      <c r="BE108" s="12" t="s">
        <v>118</v>
      </c>
      <c r="BF108" s="12" t="s">
        <v>121</v>
      </c>
      <c r="BH108" s="12" t="s">
        <v>120</v>
      </c>
      <c r="BI108" s="179">
        <v>111</v>
      </c>
      <c r="BK108" s="176" t="s">
        <v>83</v>
      </c>
    </row>
    <row r="109" spans="1:63" s="12" customFormat="1" x14ac:dyDescent="0.25">
      <c r="A109" s="12" t="s">
        <v>3132</v>
      </c>
      <c r="B109" s="12" t="s">
        <v>4316</v>
      </c>
      <c r="C109" s="12" t="s">
        <v>3721</v>
      </c>
      <c r="D109" s="12" t="s">
        <v>3722</v>
      </c>
      <c r="E109" s="175">
        <v>42205</v>
      </c>
      <c r="F109" s="12" t="s">
        <v>1400</v>
      </c>
      <c r="G109" s="12" t="s">
        <v>1075</v>
      </c>
      <c r="H109" s="12" t="s">
        <v>3723</v>
      </c>
      <c r="I109" s="12" t="s">
        <v>2178</v>
      </c>
      <c r="J109" s="12" t="s">
        <v>2212</v>
      </c>
      <c r="K109" s="12" t="s">
        <v>1078</v>
      </c>
      <c r="L109" s="12" t="s">
        <v>1079</v>
      </c>
      <c r="M109" s="12" t="s">
        <v>1342</v>
      </c>
      <c r="O109" s="178" t="s">
        <v>1181</v>
      </c>
      <c r="P109" s="178" t="s">
        <v>3724</v>
      </c>
      <c r="Q109" s="12" t="s">
        <v>1342</v>
      </c>
      <c r="R109" s="179">
        <v>112</v>
      </c>
      <c r="U109" s="12" t="s">
        <v>120</v>
      </c>
      <c r="W109" s="12" t="s">
        <v>1083</v>
      </c>
      <c r="X109" s="12" t="s">
        <v>1464</v>
      </c>
      <c r="Y109" s="178" t="s">
        <v>2328</v>
      </c>
      <c r="Z109" s="12" t="s">
        <v>3725</v>
      </c>
      <c r="AA109" s="178" t="s">
        <v>1198</v>
      </c>
      <c r="AB109" s="12" t="s">
        <v>3726</v>
      </c>
      <c r="AC109" s="178" t="s">
        <v>2182</v>
      </c>
      <c r="AD109" s="12" t="s">
        <v>3727</v>
      </c>
      <c r="AE109" s="12" t="s">
        <v>1075</v>
      </c>
      <c r="AF109" s="12" t="s">
        <v>3728</v>
      </c>
      <c r="AG109" s="12" t="s">
        <v>1092</v>
      </c>
      <c r="AH109" s="12" t="s">
        <v>1092</v>
      </c>
      <c r="AI109" s="12" t="s">
        <v>3729</v>
      </c>
      <c r="AJ109" s="12" t="s">
        <v>3730</v>
      </c>
      <c r="AK109" s="12" t="s">
        <v>3731</v>
      </c>
      <c r="AL109" s="12" t="s">
        <v>1092</v>
      </c>
      <c r="AM109" s="12" t="s">
        <v>1092</v>
      </c>
      <c r="AN109" s="12" t="s">
        <v>1092</v>
      </c>
      <c r="AO109" s="178" t="s">
        <v>1093</v>
      </c>
      <c r="AP109" s="178" t="s">
        <v>1093</v>
      </c>
      <c r="AQ109" s="178" t="s">
        <v>1093</v>
      </c>
      <c r="AR109" s="178" t="s">
        <v>1093</v>
      </c>
      <c r="AS109" s="178" t="s">
        <v>1118</v>
      </c>
      <c r="AT109" s="178" t="s">
        <v>1118</v>
      </c>
      <c r="AU109" s="178" t="s">
        <v>1118</v>
      </c>
      <c r="AV109" s="12" t="s">
        <v>1096</v>
      </c>
      <c r="AW109" s="12" t="s">
        <v>2270</v>
      </c>
      <c r="AX109" s="178" t="s">
        <v>3732</v>
      </c>
      <c r="AY109" s="178" t="s">
        <v>1157</v>
      </c>
      <c r="AZ109" s="12" t="s">
        <v>3733</v>
      </c>
      <c r="BA109" s="12" t="s">
        <v>1098</v>
      </c>
      <c r="BB109" s="12" t="s">
        <v>1098</v>
      </c>
      <c r="BD109" s="12" t="s">
        <v>1092</v>
      </c>
      <c r="BE109" s="12" t="s">
        <v>118</v>
      </c>
      <c r="BF109" s="12" t="s">
        <v>121</v>
      </c>
      <c r="BH109" s="12" t="s">
        <v>120</v>
      </c>
      <c r="BI109" s="179">
        <v>112</v>
      </c>
      <c r="BK109" s="176" t="s">
        <v>83</v>
      </c>
    </row>
    <row r="110" spans="1:63" x14ac:dyDescent="0.25">
      <c r="A110" s="12" t="s">
        <v>3132</v>
      </c>
      <c r="B110" s="12" t="s">
        <v>4115</v>
      </c>
      <c r="C110" s="12" t="s">
        <v>4116</v>
      </c>
      <c r="D110" s="12" t="s">
        <v>4117</v>
      </c>
      <c r="E110" s="175">
        <v>42205</v>
      </c>
      <c r="F110" s="12" t="s">
        <v>1466</v>
      </c>
      <c r="G110" s="12" t="s">
        <v>1075</v>
      </c>
      <c r="H110" s="12" t="s">
        <v>4118</v>
      </c>
      <c r="I110" s="12" t="s">
        <v>4119</v>
      </c>
      <c r="K110" s="12" t="s">
        <v>1103</v>
      </c>
      <c r="L110" s="12" t="s">
        <v>1104</v>
      </c>
      <c r="M110" s="12" t="s">
        <v>1180</v>
      </c>
      <c r="O110" s="178" t="s">
        <v>1126</v>
      </c>
      <c r="P110" s="178" t="s">
        <v>4120</v>
      </c>
      <c r="Q110" s="12" t="s">
        <v>1180</v>
      </c>
      <c r="R110" s="179">
        <v>79</v>
      </c>
      <c r="U110" s="12">
        <v>11111</v>
      </c>
      <c r="W110" s="12" t="s">
        <v>1083</v>
      </c>
      <c r="X110" s="12" t="s">
        <v>1236</v>
      </c>
      <c r="Y110" s="178" t="s">
        <v>1880</v>
      </c>
      <c r="Z110" s="12" t="s">
        <v>4121</v>
      </c>
      <c r="AA110" s="178" t="s">
        <v>2348</v>
      </c>
      <c r="AB110" s="12" t="s">
        <v>4122</v>
      </c>
      <c r="AD110" s="12" t="s">
        <v>1185</v>
      </c>
      <c r="AE110" s="12" t="s">
        <v>1075</v>
      </c>
      <c r="AF110" s="12" t="s">
        <v>4123</v>
      </c>
      <c r="AG110" s="12" t="s">
        <v>1092</v>
      </c>
      <c r="AH110" s="12" t="s">
        <v>1092</v>
      </c>
      <c r="AI110" s="12" t="s">
        <v>4124</v>
      </c>
      <c r="AJ110" s="12" t="s">
        <v>4125</v>
      </c>
      <c r="AK110" s="12" t="s">
        <v>1092</v>
      </c>
      <c r="AL110" s="12" t="s">
        <v>1092</v>
      </c>
      <c r="AM110" s="12" t="s">
        <v>1092</v>
      </c>
      <c r="AN110" s="12" t="s">
        <v>1092</v>
      </c>
      <c r="AO110" s="178" t="s">
        <v>1093</v>
      </c>
      <c r="AP110" s="178" t="s">
        <v>1093</v>
      </c>
      <c r="AQ110" s="178" t="s">
        <v>1093</v>
      </c>
      <c r="AR110" s="178" t="s">
        <v>1093</v>
      </c>
      <c r="AS110" s="178" t="s">
        <v>1118</v>
      </c>
      <c r="AT110" s="178" t="s">
        <v>1118</v>
      </c>
      <c r="AU110" s="178" t="s">
        <v>1118</v>
      </c>
      <c r="AV110" s="12" t="s">
        <v>1096</v>
      </c>
      <c r="AW110" s="12" t="s">
        <v>1097</v>
      </c>
      <c r="AY110" s="178" t="s">
        <v>1092</v>
      </c>
      <c r="AZ110" s="12" t="s">
        <v>4126</v>
      </c>
      <c r="BA110" s="12" t="s">
        <v>1098</v>
      </c>
      <c r="BB110" s="12" t="s">
        <v>1098</v>
      </c>
      <c r="BD110" s="12" t="s">
        <v>1092</v>
      </c>
      <c r="BE110" s="12" t="s">
        <v>118</v>
      </c>
      <c r="BF110" s="12" t="s">
        <v>4369</v>
      </c>
      <c r="BH110" s="12">
        <v>11111</v>
      </c>
      <c r="BI110" s="179">
        <v>79</v>
      </c>
      <c r="BJ110" s="12"/>
      <c r="BK110" s="12"/>
    </row>
    <row r="111" spans="1:63" x14ac:dyDescent="0.25">
      <c r="A111" s="12" t="s">
        <v>3132</v>
      </c>
      <c r="B111" s="12" t="s">
        <v>4127</v>
      </c>
      <c r="C111" s="12" t="s">
        <v>4128</v>
      </c>
      <c r="D111" s="12" t="s">
        <v>4129</v>
      </c>
      <c r="E111" s="175">
        <v>42205</v>
      </c>
      <c r="F111" s="12" t="s">
        <v>2975</v>
      </c>
      <c r="G111" s="12" t="s">
        <v>1075</v>
      </c>
      <c r="H111" s="12" t="s">
        <v>4130</v>
      </c>
      <c r="I111" s="12" t="s">
        <v>4131</v>
      </c>
      <c r="J111" s="12" t="s">
        <v>4132</v>
      </c>
      <c r="K111" s="12" t="s">
        <v>1123</v>
      </c>
      <c r="L111" s="12" t="s">
        <v>1124</v>
      </c>
      <c r="M111" s="12" t="s">
        <v>1105</v>
      </c>
      <c r="O111" s="178" t="s">
        <v>1451</v>
      </c>
      <c r="P111" s="178" t="s">
        <v>4133</v>
      </c>
      <c r="Q111" s="12" t="s">
        <v>1105</v>
      </c>
      <c r="R111" s="179">
        <v>80</v>
      </c>
      <c r="U111" s="12">
        <v>11111</v>
      </c>
      <c r="W111" s="12" t="s">
        <v>1083</v>
      </c>
      <c r="X111" s="12" t="s">
        <v>4033</v>
      </c>
      <c r="Y111" s="178" t="s">
        <v>4048</v>
      </c>
      <c r="Z111" s="12" t="s">
        <v>4134</v>
      </c>
      <c r="AA111" s="178" t="s">
        <v>1603</v>
      </c>
      <c r="AB111" s="12" t="s">
        <v>4135</v>
      </c>
      <c r="AC111" s="178" t="s">
        <v>1247</v>
      </c>
      <c r="AD111" s="12" t="s">
        <v>4136</v>
      </c>
      <c r="AE111" s="12" t="s">
        <v>1075</v>
      </c>
      <c r="AF111" s="12" t="s">
        <v>4137</v>
      </c>
      <c r="AG111" s="12" t="s">
        <v>1092</v>
      </c>
      <c r="AH111" s="12" t="s">
        <v>1092</v>
      </c>
      <c r="AI111" s="12" t="s">
        <v>4138</v>
      </c>
      <c r="AJ111" s="12" t="s">
        <v>4139</v>
      </c>
      <c r="AK111" s="12" t="s">
        <v>1092</v>
      </c>
      <c r="AL111" s="12" t="s">
        <v>1092</v>
      </c>
      <c r="AM111" s="12" t="s">
        <v>1092</v>
      </c>
      <c r="AN111" s="12" t="s">
        <v>1092</v>
      </c>
      <c r="AO111" s="178" t="s">
        <v>1093</v>
      </c>
      <c r="AP111" s="178" t="s">
        <v>1093</v>
      </c>
      <c r="AQ111" s="178" t="s">
        <v>1093</v>
      </c>
      <c r="AR111" s="178" t="s">
        <v>1092</v>
      </c>
      <c r="AS111" s="178" t="s">
        <v>1118</v>
      </c>
      <c r="AT111" s="178" t="s">
        <v>1118</v>
      </c>
      <c r="AU111" s="178" t="s">
        <v>1095</v>
      </c>
      <c r="AV111" s="12" t="s">
        <v>1096</v>
      </c>
      <c r="AW111" s="12" t="s">
        <v>1097</v>
      </c>
      <c r="AY111" s="178" t="s">
        <v>1092</v>
      </c>
      <c r="AZ111" s="12" t="s">
        <v>4140</v>
      </c>
      <c r="BA111" s="12" t="s">
        <v>1098</v>
      </c>
      <c r="BB111" s="12" t="s">
        <v>4140</v>
      </c>
      <c r="BD111" s="12" t="s">
        <v>1092</v>
      </c>
      <c r="BE111" s="12" t="s">
        <v>118</v>
      </c>
      <c r="BF111" s="12" t="s">
        <v>4369</v>
      </c>
      <c r="BH111" s="12">
        <v>11111</v>
      </c>
      <c r="BI111" s="179">
        <v>80</v>
      </c>
      <c r="BJ111" s="12"/>
      <c r="BK111" s="12"/>
    </row>
    <row r="112" spans="1:63" x14ac:dyDescent="0.25">
      <c r="A112" s="12" t="s">
        <v>3132</v>
      </c>
      <c r="B112" s="12" t="s">
        <v>4141</v>
      </c>
      <c r="C112" s="12" t="s">
        <v>4142</v>
      </c>
      <c r="D112" s="12" t="s">
        <v>4143</v>
      </c>
      <c r="E112" s="175">
        <v>42205</v>
      </c>
      <c r="F112" s="12" t="s">
        <v>3247</v>
      </c>
      <c r="G112" s="12" t="s">
        <v>1075</v>
      </c>
      <c r="H112" s="12" t="s">
        <v>4144</v>
      </c>
      <c r="I112" s="12" t="s">
        <v>1656</v>
      </c>
      <c r="J112" s="12" t="s">
        <v>4145</v>
      </c>
      <c r="K112" s="12" t="s">
        <v>1103</v>
      </c>
      <c r="L112" s="12" t="s">
        <v>1179</v>
      </c>
      <c r="M112" s="12" t="s">
        <v>1195</v>
      </c>
      <c r="O112" s="178" t="s">
        <v>1106</v>
      </c>
      <c r="P112" s="178" t="s">
        <v>4146</v>
      </c>
      <c r="Q112" s="12" t="s">
        <v>1195</v>
      </c>
      <c r="R112" s="179">
        <v>81</v>
      </c>
      <c r="U112" s="12">
        <v>11111</v>
      </c>
      <c r="W112" s="12" t="s">
        <v>1083</v>
      </c>
      <c r="X112" s="12" t="s">
        <v>1236</v>
      </c>
      <c r="Y112" s="178" t="s">
        <v>1418</v>
      </c>
      <c r="Z112" s="12" t="s">
        <v>4147</v>
      </c>
      <c r="AA112" s="178" t="s">
        <v>1603</v>
      </c>
      <c r="AB112" s="12" t="s">
        <v>1148</v>
      </c>
      <c r="AC112" s="178" t="s">
        <v>1167</v>
      </c>
      <c r="AD112" s="12" t="s">
        <v>4148</v>
      </c>
      <c r="AE112" s="12" t="s">
        <v>1075</v>
      </c>
      <c r="AF112" s="12" t="s">
        <v>4149</v>
      </c>
      <c r="AG112" s="12" t="s">
        <v>1092</v>
      </c>
      <c r="AH112" s="12" t="s">
        <v>1092</v>
      </c>
      <c r="AI112" s="12" t="s">
        <v>4150</v>
      </c>
      <c r="AJ112" s="12" t="s">
        <v>4151</v>
      </c>
      <c r="AK112" s="12" t="s">
        <v>1092</v>
      </c>
      <c r="AL112" s="12" t="s">
        <v>1092</v>
      </c>
      <c r="AM112" s="12" t="s">
        <v>1092</v>
      </c>
      <c r="AN112" s="12" t="s">
        <v>1092</v>
      </c>
      <c r="AO112" s="178" t="s">
        <v>1093</v>
      </c>
      <c r="AP112" s="178" t="s">
        <v>1093</v>
      </c>
      <c r="AQ112" s="178" t="s">
        <v>1093</v>
      </c>
      <c r="AR112" s="178" t="s">
        <v>1092</v>
      </c>
      <c r="AS112" s="178" t="s">
        <v>1118</v>
      </c>
      <c r="AT112" s="178" t="s">
        <v>1118</v>
      </c>
      <c r="AU112" s="178" t="s">
        <v>1095</v>
      </c>
      <c r="AV112" s="12" t="s">
        <v>1096</v>
      </c>
      <c r="AW112" s="12" t="s">
        <v>1097</v>
      </c>
      <c r="AY112" s="178" t="s">
        <v>1092</v>
      </c>
      <c r="AZ112" s="12" t="s">
        <v>4152</v>
      </c>
      <c r="BA112" s="12" t="s">
        <v>1098</v>
      </c>
      <c r="BB112" s="12" t="s">
        <v>1098</v>
      </c>
      <c r="BD112" s="12" t="s">
        <v>1092</v>
      </c>
      <c r="BE112" s="12" t="s">
        <v>118</v>
      </c>
      <c r="BF112" s="12" t="s">
        <v>4369</v>
      </c>
      <c r="BH112" s="12">
        <v>11111</v>
      </c>
      <c r="BI112" s="179">
        <v>81</v>
      </c>
      <c r="BJ112" s="12"/>
      <c r="BK112" s="12"/>
    </row>
    <row r="113" spans="1:63" x14ac:dyDescent="0.25">
      <c r="A113" s="12" t="s">
        <v>3132</v>
      </c>
      <c r="B113" s="12" t="s">
        <v>4153</v>
      </c>
      <c r="C113" s="12" t="s">
        <v>4154</v>
      </c>
      <c r="D113" s="12" t="s">
        <v>4155</v>
      </c>
      <c r="E113" s="175">
        <v>42205</v>
      </c>
      <c r="F113" s="12" t="s">
        <v>4156</v>
      </c>
      <c r="G113" s="12" t="s">
        <v>1075</v>
      </c>
      <c r="H113" s="12" t="s">
        <v>4157</v>
      </c>
      <c r="I113" s="12" t="s">
        <v>1656</v>
      </c>
      <c r="J113" s="12" t="s">
        <v>4158</v>
      </c>
      <c r="K113" s="12" t="s">
        <v>1103</v>
      </c>
      <c r="L113" s="12" t="s">
        <v>1179</v>
      </c>
      <c r="M113" s="12" t="s">
        <v>1195</v>
      </c>
      <c r="O113" s="178" t="s">
        <v>1275</v>
      </c>
      <c r="P113" s="178" t="s">
        <v>4159</v>
      </c>
      <c r="Q113" s="12" t="s">
        <v>1195</v>
      </c>
      <c r="R113" s="179">
        <v>82</v>
      </c>
      <c r="U113" s="12">
        <v>11111</v>
      </c>
      <c r="W113" s="12" t="s">
        <v>1083</v>
      </c>
      <c r="X113" s="12" t="s">
        <v>1453</v>
      </c>
      <c r="Y113" s="178" t="s">
        <v>3043</v>
      </c>
      <c r="Z113" s="12" t="s">
        <v>4160</v>
      </c>
      <c r="AA113" s="178" t="s">
        <v>1883</v>
      </c>
      <c r="AB113" s="12" t="s">
        <v>4161</v>
      </c>
      <c r="AC113" s="178" t="s">
        <v>1263</v>
      </c>
      <c r="AD113" s="12" t="s">
        <v>4162</v>
      </c>
      <c r="AE113" s="12" t="s">
        <v>1075</v>
      </c>
      <c r="AF113" s="12" t="s">
        <v>4163</v>
      </c>
      <c r="AG113" s="12" t="s">
        <v>1092</v>
      </c>
      <c r="AH113" s="12" t="s">
        <v>1092</v>
      </c>
      <c r="AI113" s="12" t="s">
        <v>4164</v>
      </c>
      <c r="AJ113" s="12" t="s">
        <v>4165</v>
      </c>
      <c r="AK113" s="12" t="s">
        <v>1092</v>
      </c>
      <c r="AL113" s="12" t="s">
        <v>1092</v>
      </c>
      <c r="AM113" s="12" t="s">
        <v>1092</v>
      </c>
      <c r="AN113" s="12" t="s">
        <v>1092</v>
      </c>
      <c r="AO113" s="178" t="s">
        <v>1093</v>
      </c>
      <c r="AP113" s="178" t="s">
        <v>1093</v>
      </c>
      <c r="AQ113" s="178" t="s">
        <v>1093</v>
      </c>
      <c r="AR113" s="178" t="s">
        <v>1093</v>
      </c>
      <c r="AS113" s="178" t="s">
        <v>1118</v>
      </c>
      <c r="AT113" s="178" t="s">
        <v>1118</v>
      </c>
      <c r="AU113" s="178" t="s">
        <v>1118</v>
      </c>
      <c r="AV113" s="12" t="s">
        <v>1096</v>
      </c>
      <c r="AW113" s="12" t="s">
        <v>1097</v>
      </c>
      <c r="AY113" s="178" t="s">
        <v>1092</v>
      </c>
      <c r="AZ113" s="12" t="s">
        <v>4166</v>
      </c>
      <c r="BA113" s="12" t="s">
        <v>1098</v>
      </c>
      <c r="BB113" s="12" t="s">
        <v>1098</v>
      </c>
      <c r="BD113" s="12" t="s">
        <v>1092</v>
      </c>
      <c r="BE113" s="12" t="s">
        <v>118</v>
      </c>
      <c r="BF113" s="12" t="s">
        <v>4369</v>
      </c>
      <c r="BH113" s="12">
        <v>11111</v>
      </c>
      <c r="BI113" s="179">
        <v>82</v>
      </c>
      <c r="BJ113" s="12"/>
      <c r="BK113" s="12"/>
    </row>
    <row r="114" spans="1:63" x14ac:dyDescent="0.25">
      <c r="A114" s="12" t="s">
        <v>3132</v>
      </c>
      <c r="B114" s="12" t="s">
        <v>4167</v>
      </c>
      <c r="C114" s="12" t="s">
        <v>4168</v>
      </c>
      <c r="D114" s="12" t="s">
        <v>4169</v>
      </c>
      <c r="E114" s="175">
        <v>42205</v>
      </c>
      <c r="F114" s="12" t="s">
        <v>2140</v>
      </c>
      <c r="G114" s="12" t="s">
        <v>1075</v>
      </c>
      <c r="H114" s="12" t="s">
        <v>4170</v>
      </c>
      <c r="I114" s="12" t="s">
        <v>3278</v>
      </c>
      <c r="J114" s="12" t="s">
        <v>4171</v>
      </c>
      <c r="K114" s="12" t="s">
        <v>1103</v>
      </c>
      <c r="L114" s="12" t="s">
        <v>1104</v>
      </c>
      <c r="M114" s="12" t="s">
        <v>1125</v>
      </c>
      <c r="O114" s="178" t="s">
        <v>1106</v>
      </c>
      <c r="P114" s="178" t="s">
        <v>4172</v>
      </c>
      <c r="Q114" s="12" t="s">
        <v>1125</v>
      </c>
      <c r="R114" s="179">
        <v>83</v>
      </c>
      <c r="S114" s="12" t="s">
        <v>1144</v>
      </c>
      <c r="U114" s="12">
        <v>11111</v>
      </c>
      <c r="W114" s="12" t="s">
        <v>1083</v>
      </c>
      <c r="X114" s="12" t="s">
        <v>1453</v>
      </c>
      <c r="Y114" s="178" t="s">
        <v>2108</v>
      </c>
      <c r="Z114" s="12" t="s">
        <v>4173</v>
      </c>
      <c r="AA114" s="178" t="s">
        <v>3954</v>
      </c>
      <c r="AB114" s="12" t="s">
        <v>4174</v>
      </c>
      <c r="AC114" s="178" t="s">
        <v>1113</v>
      </c>
      <c r="AD114" s="12" t="s">
        <v>1133</v>
      </c>
      <c r="AE114" s="12" t="s">
        <v>1075</v>
      </c>
      <c r="AF114" s="12" t="s">
        <v>4175</v>
      </c>
      <c r="AG114" s="12" t="s">
        <v>1092</v>
      </c>
      <c r="AH114" s="12" t="s">
        <v>1092</v>
      </c>
      <c r="AI114" s="12" t="s">
        <v>4176</v>
      </c>
      <c r="AJ114" s="12" t="s">
        <v>4177</v>
      </c>
      <c r="AK114" s="12" t="s">
        <v>1092</v>
      </c>
      <c r="AL114" s="12" t="s">
        <v>1092</v>
      </c>
      <c r="AM114" s="12" t="s">
        <v>1092</v>
      </c>
      <c r="AN114" s="12" t="s">
        <v>1092</v>
      </c>
      <c r="AO114" s="178" t="s">
        <v>1093</v>
      </c>
      <c r="AP114" s="178" t="s">
        <v>1093</v>
      </c>
      <c r="AQ114" s="178" t="s">
        <v>1093</v>
      </c>
      <c r="AR114" s="178" t="s">
        <v>1093</v>
      </c>
      <c r="AS114" s="178" t="s">
        <v>1118</v>
      </c>
      <c r="AT114" s="178" t="s">
        <v>1118</v>
      </c>
      <c r="AU114" s="178" t="s">
        <v>1118</v>
      </c>
      <c r="AV114" s="12" t="s">
        <v>1096</v>
      </c>
      <c r="AW114" s="12" t="s">
        <v>1097</v>
      </c>
      <c r="AY114" s="178" t="s">
        <v>1092</v>
      </c>
      <c r="AZ114" s="12" t="s">
        <v>4178</v>
      </c>
      <c r="BA114" s="12" t="s">
        <v>1098</v>
      </c>
      <c r="BB114" s="12" t="s">
        <v>1098</v>
      </c>
      <c r="BD114" s="12" t="s">
        <v>1092</v>
      </c>
      <c r="BE114" s="12" t="s">
        <v>118</v>
      </c>
      <c r="BF114" s="12" t="s">
        <v>4369</v>
      </c>
      <c r="BH114" s="12">
        <v>11111</v>
      </c>
      <c r="BI114" s="179">
        <v>83</v>
      </c>
      <c r="BJ114" s="12"/>
      <c r="BK114" s="12"/>
    </row>
    <row r="115" spans="1:63" x14ac:dyDescent="0.25">
      <c r="A115" s="12" t="s">
        <v>3132</v>
      </c>
      <c r="B115" s="12" t="s">
        <v>4179</v>
      </c>
      <c r="C115" s="12" t="s">
        <v>4180</v>
      </c>
      <c r="D115" s="12" t="s">
        <v>4181</v>
      </c>
      <c r="E115" s="175">
        <v>42205</v>
      </c>
      <c r="F115" s="12" t="s">
        <v>1408</v>
      </c>
      <c r="G115" s="12" t="s">
        <v>1075</v>
      </c>
      <c r="H115" s="12" t="s">
        <v>4182</v>
      </c>
      <c r="I115" s="12" t="s">
        <v>4183</v>
      </c>
      <c r="K115" s="12" t="s">
        <v>1103</v>
      </c>
      <c r="L115" s="12" t="s">
        <v>1124</v>
      </c>
      <c r="M115" s="12" t="s">
        <v>1125</v>
      </c>
      <c r="Q115" s="12" t="s">
        <v>1125</v>
      </c>
      <c r="R115" s="179">
        <v>84</v>
      </c>
      <c r="U115" s="12">
        <v>11111</v>
      </c>
      <c r="W115" s="12" t="s">
        <v>1083</v>
      </c>
      <c r="X115" s="12" t="s">
        <v>1412</v>
      </c>
      <c r="Y115" s="178" t="s">
        <v>3043</v>
      </c>
      <c r="Z115" s="12" t="s">
        <v>1348</v>
      </c>
      <c r="AB115" s="12" t="s">
        <v>1185</v>
      </c>
      <c r="AD115" s="12" t="s">
        <v>1185</v>
      </c>
      <c r="AE115" s="12" t="s">
        <v>1075</v>
      </c>
      <c r="AF115" s="12" t="s">
        <v>4184</v>
      </c>
      <c r="AG115" s="12" t="s">
        <v>1092</v>
      </c>
      <c r="AH115" s="12" t="s">
        <v>1092</v>
      </c>
      <c r="AI115" s="12" t="s">
        <v>2675</v>
      </c>
      <c r="AJ115" s="12" t="s">
        <v>2675</v>
      </c>
      <c r="AK115" s="12" t="s">
        <v>4185</v>
      </c>
      <c r="AL115" s="12" t="s">
        <v>1092</v>
      </c>
      <c r="AM115" s="12" t="s">
        <v>1092</v>
      </c>
      <c r="AN115" s="12" t="s">
        <v>1092</v>
      </c>
      <c r="AO115" s="178" t="s">
        <v>1093</v>
      </c>
      <c r="AP115" s="178" t="s">
        <v>1092</v>
      </c>
      <c r="AQ115" s="178" t="s">
        <v>1092</v>
      </c>
      <c r="AR115" s="178" t="s">
        <v>1092</v>
      </c>
      <c r="AS115" s="178" t="s">
        <v>1118</v>
      </c>
      <c r="AT115" s="178" t="s">
        <v>1095</v>
      </c>
      <c r="AU115" s="178" t="s">
        <v>1095</v>
      </c>
      <c r="AV115" s="12" t="s">
        <v>1096</v>
      </c>
      <c r="AW115" s="12" t="s">
        <v>1097</v>
      </c>
      <c r="AY115" s="178" t="s">
        <v>1092</v>
      </c>
      <c r="AZ115" s="12" t="s">
        <v>4186</v>
      </c>
      <c r="BA115" s="12" t="s">
        <v>1098</v>
      </c>
      <c r="BB115" s="12" t="s">
        <v>1098</v>
      </c>
      <c r="BD115" s="12" t="s">
        <v>1092</v>
      </c>
      <c r="BE115" s="12" t="s">
        <v>118</v>
      </c>
      <c r="BF115" s="12" t="s">
        <v>4369</v>
      </c>
      <c r="BH115" s="12">
        <v>11111</v>
      </c>
      <c r="BI115" s="179">
        <v>84</v>
      </c>
      <c r="BJ115" s="12"/>
      <c r="BK115" s="12"/>
    </row>
    <row r="116" spans="1:63" x14ac:dyDescent="0.25">
      <c r="A116" s="12" t="s">
        <v>3132</v>
      </c>
      <c r="B116" s="12" t="s">
        <v>4187</v>
      </c>
      <c r="C116" s="12" t="s">
        <v>4188</v>
      </c>
      <c r="D116" s="12" t="s">
        <v>4189</v>
      </c>
      <c r="E116" s="175">
        <v>42205</v>
      </c>
      <c r="F116" s="12" t="s">
        <v>4190</v>
      </c>
      <c r="G116" s="12" t="s">
        <v>1075</v>
      </c>
      <c r="H116" s="12" t="s">
        <v>4191</v>
      </c>
      <c r="I116" s="12" t="s">
        <v>4192</v>
      </c>
      <c r="K116" s="12" t="s">
        <v>1242</v>
      </c>
      <c r="L116" s="12" t="s">
        <v>1243</v>
      </c>
      <c r="M116" s="12" t="s">
        <v>1195</v>
      </c>
      <c r="O116" s="178" t="s">
        <v>1741</v>
      </c>
      <c r="P116" s="178" t="s">
        <v>4193</v>
      </c>
      <c r="Q116" s="12" t="s">
        <v>1195</v>
      </c>
      <c r="R116" s="179">
        <v>85</v>
      </c>
      <c r="U116" s="12">
        <v>11111</v>
      </c>
      <c r="W116" s="12" t="s">
        <v>1083</v>
      </c>
      <c r="X116" s="12" t="s">
        <v>4033</v>
      </c>
      <c r="Y116" s="178" t="s">
        <v>2573</v>
      </c>
      <c r="Z116" s="12" t="s">
        <v>1881</v>
      </c>
      <c r="AA116" s="178" t="s">
        <v>1503</v>
      </c>
      <c r="AB116" s="12" t="s">
        <v>4194</v>
      </c>
      <c r="AC116" s="178" t="s">
        <v>1326</v>
      </c>
      <c r="AD116" s="12" t="s">
        <v>4195</v>
      </c>
      <c r="AE116" s="12" t="s">
        <v>1075</v>
      </c>
      <c r="AF116" s="12" t="s">
        <v>4196</v>
      </c>
      <c r="AG116" s="12" t="s">
        <v>1092</v>
      </c>
      <c r="AH116" s="12" t="s">
        <v>1092</v>
      </c>
      <c r="AI116" s="12" t="s">
        <v>4197</v>
      </c>
      <c r="AJ116" s="12" t="s">
        <v>4198</v>
      </c>
      <c r="AK116" s="12" t="s">
        <v>1092</v>
      </c>
      <c r="AL116" s="12" t="s">
        <v>1092</v>
      </c>
      <c r="AM116" s="12" t="s">
        <v>1092</v>
      </c>
      <c r="AN116" s="12" t="s">
        <v>1092</v>
      </c>
      <c r="AO116" s="178" t="s">
        <v>1093</v>
      </c>
      <c r="AP116" s="178" t="s">
        <v>1093</v>
      </c>
      <c r="AQ116" s="178" t="s">
        <v>1093</v>
      </c>
      <c r="AR116" s="178" t="s">
        <v>1092</v>
      </c>
      <c r="AS116" s="178" t="s">
        <v>1118</v>
      </c>
      <c r="AT116" s="178" t="s">
        <v>1118</v>
      </c>
      <c r="AU116" s="178" t="s">
        <v>1095</v>
      </c>
      <c r="AV116" s="12" t="s">
        <v>1096</v>
      </c>
      <c r="AW116" s="12" t="s">
        <v>1097</v>
      </c>
      <c r="AY116" s="178" t="s">
        <v>1092</v>
      </c>
      <c r="AZ116" s="12" t="s">
        <v>4199</v>
      </c>
      <c r="BA116" s="12" t="s">
        <v>1098</v>
      </c>
      <c r="BB116" s="12" t="s">
        <v>4200</v>
      </c>
      <c r="BD116" s="12" t="s">
        <v>1092</v>
      </c>
      <c r="BE116" s="12" t="s">
        <v>118</v>
      </c>
      <c r="BF116" s="12" t="s">
        <v>4369</v>
      </c>
      <c r="BH116" s="12">
        <v>11111</v>
      </c>
      <c r="BI116" s="179">
        <v>85</v>
      </c>
      <c r="BJ116" s="12"/>
      <c r="BK116" s="12"/>
    </row>
    <row r="117" spans="1:63" x14ac:dyDescent="0.25">
      <c r="A117" s="12" t="s">
        <v>3132</v>
      </c>
      <c r="B117" s="12" t="s">
        <v>4201</v>
      </c>
      <c r="C117" s="12" t="s">
        <v>4202</v>
      </c>
      <c r="D117" s="12" t="s">
        <v>4203</v>
      </c>
      <c r="E117" s="175">
        <v>42205</v>
      </c>
      <c r="F117" s="12" t="s">
        <v>4204</v>
      </c>
      <c r="G117" s="12" t="s">
        <v>1075</v>
      </c>
      <c r="H117" s="12" t="s">
        <v>4205</v>
      </c>
      <c r="I117" s="12" t="s">
        <v>4206</v>
      </c>
      <c r="J117" s="12" t="s">
        <v>4207</v>
      </c>
      <c r="K117" s="12" t="s">
        <v>1448</v>
      </c>
      <c r="L117" s="12" t="s">
        <v>1449</v>
      </c>
      <c r="M117" s="12" t="s">
        <v>1450</v>
      </c>
      <c r="O117" s="178" t="s">
        <v>1081</v>
      </c>
      <c r="P117" s="178" t="s">
        <v>4208</v>
      </c>
      <c r="Q117" s="12" t="s">
        <v>1450</v>
      </c>
      <c r="R117" s="179">
        <v>86</v>
      </c>
      <c r="U117" s="12">
        <v>11111</v>
      </c>
      <c r="W117" s="12" t="s">
        <v>1083</v>
      </c>
      <c r="X117" s="12" t="s">
        <v>3690</v>
      </c>
      <c r="Y117" s="178" t="s">
        <v>2906</v>
      </c>
      <c r="Z117" s="12" t="s">
        <v>4209</v>
      </c>
      <c r="AA117" s="178" t="s">
        <v>1538</v>
      </c>
      <c r="AB117" s="12" t="s">
        <v>4210</v>
      </c>
      <c r="AC117" s="178" t="s">
        <v>1400</v>
      </c>
      <c r="AD117" s="12" t="s">
        <v>4211</v>
      </c>
      <c r="AE117" s="12" t="s">
        <v>1075</v>
      </c>
      <c r="AF117" s="12" t="s">
        <v>4212</v>
      </c>
      <c r="AG117" s="12" t="s">
        <v>1092</v>
      </c>
      <c r="AH117" s="12" t="s">
        <v>1092</v>
      </c>
      <c r="AI117" s="12" t="s">
        <v>4213</v>
      </c>
      <c r="AJ117" s="12" t="s">
        <v>4214</v>
      </c>
      <c r="AK117" s="12" t="s">
        <v>1092</v>
      </c>
      <c r="AL117" s="12" t="s">
        <v>1092</v>
      </c>
      <c r="AM117" s="12" t="s">
        <v>1092</v>
      </c>
      <c r="AN117" s="12" t="s">
        <v>1092</v>
      </c>
      <c r="AO117" s="178" t="s">
        <v>1093</v>
      </c>
      <c r="AP117" s="178" t="s">
        <v>1092</v>
      </c>
      <c r="AQ117" s="178" t="s">
        <v>1092</v>
      </c>
      <c r="AR117" s="178" t="s">
        <v>1092</v>
      </c>
      <c r="AS117" s="178" t="s">
        <v>1118</v>
      </c>
      <c r="AT117" s="178" t="s">
        <v>1095</v>
      </c>
      <c r="AU117" s="178" t="s">
        <v>1095</v>
      </c>
      <c r="AV117" s="12" t="s">
        <v>1096</v>
      </c>
      <c r="AW117" s="12" t="s">
        <v>1097</v>
      </c>
      <c r="AY117" s="178" t="s">
        <v>1092</v>
      </c>
      <c r="AZ117" s="12" t="s">
        <v>4215</v>
      </c>
      <c r="BA117" s="12" t="s">
        <v>1098</v>
      </c>
      <c r="BB117" s="12" t="s">
        <v>4216</v>
      </c>
      <c r="BD117" s="12" t="s">
        <v>1092</v>
      </c>
      <c r="BE117" s="12" t="s">
        <v>118</v>
      </c>
      <c r="BF117" s="12" t="s">
        <v>4369</v>
      </c>
      <c r="BH117" s="12">
        <v>11111</v>
      </c>
      <c r="BI117" s="179">
        <v>86</v>
      </c>
      <c r="BJ117" s="12"/>
      <c r="BK117" s="12"/>
    </row>
    <row r="118" spans="1:63" x14ac:dyDescent="0.25">
      <c r="A118" s="12" t="s">
        <v>1085</v>
      </c>
      <c r="B118" s="12" t="s">
        <v>4217</v>
      </c>
      <c r="C118" s="12" t="s">
        <v>910</v>
      </c>
      <c r="D118" s="12" t="s">
        <v>911</v>
      </c>
      <c r="E118" s="175">
        <v>42205</v>
      </c>
      <c r="F118" s="12" t="s">
        <v>2850</v>
      </c>
      <c r="G118" s="12" t="s">
        <v>1075</v>
      </c>
      <c r="H118" s="12" t="s">
        <v>4218</v>
      </c>
      <c r="I118" s="12" t="s">
        <v>2852</v>
      </c>
      <c r="K118" s="12" t="s">
        <v>1448</v>
      </c>
      <c r="L118" s="12" t="s">
        <v>1449</v>
      </c>
      <c r="M118" s="12" t="s">
        <v>1450</v>
      </c>
      <c r="O118" s="178" t="s">
        <v>2144</v>
      </c>
      <c r="P118" s="178" t="s">
        <v>2853</v>
      </c>
      <c r="Q118" s="12" t="s">
        <v>1450</v>
      </c>
      <c r="R118" s="179">
        <v>87</v>
      </c>
      <c r="U118" s="12">
        <v>11111</v>
      </c>
      <c r="W118" s="12" t="s">
        <v>1083</v>
      </c>
      <c r="X118" s="12" t="s">
        <v>1977</v>
      </c>
      <c r="Y118" s="178" t="s">
        <v>2348</v>
      </c>
      <c r="Z118" s="12" t="s">
        <v>2854</v>
      </c>
      <c r="AA118" s="178" t="s">
        <v>1965</v>
      </c>
      <c r="AB118" s="12" t="s">
        <v>2855</v>
      </c>
      <c r="AC118" s="178" t="s">
        <v>1468</v>
      </c>
      <c r="AD118" s="12" t="s">
        <v>2856</v>
      </c>
      <c r="AE118" s="12" t="s">
        <v>1075</v>
      </c>
      <c r="AF118" s="12" t="s">
        <v>4219</v>
      </c>
      <c r="AG118" s="12" t="s">
        <v>1092</v>
      </c>
      <c r="AH118" s="12" t="s">
        <v>1092</v>
      </c>
      <c r="AI118" s="12" t="s">
        <v>4220</v>
      </c>
      <c r="AJ118" s="12" t="s">
        <v>2858</v>
      </c>
      <c r="AK118" s="12" t="s">
        <v>2859</v>
      </c>
      <c r="AL118" s="12" t="s">
        <v>1092</v>
      </c>
      <c r="AM118" s="12" t="s">
        <v>1092</v>
      </c>
      <c r="AN118" s="12" t="s">
        <v>1092</v>
      </c>
      <c r="AO118" s="178" t="s">
        <v>1093</v>
      </c>
      <c r="AP118" s="178" t="s">
        <v>1093</v>
      </c>
      <c r="AQ118" s="178" t="s">
        <v>1093</v>
      </c>
      <c r="AR118" s="178" t="s">
        <v>1093</v>
      </c>
      <c r="AS118" s="178" t="s">
        <v>1118</v>
      </c>
      <c r="AT118" s="178" t="s">
        <v>1118</v>
      </c>
      <c r="AU118" s="178" t="s">
        <v>1118</v>
      </c>
      <c r="AV118" s="12" t="s">
        <v>1096</v>
      </c>
      <c r="AW118" s="12" t="s">
        <v>2270</v>
      </c>
      <c r="AY118" s="178" t="s">
        <v>1092</v>
      </c>
      <c r="AZ118" s="12" t="s">
        <v>4221</v>
      </c>
      <c r="BA118" s="12" t="s">
        <v>1098</v>
      </c>
      <c r="BB118" s="12" t="s">
        <v>1098</v>
      </c>
      <c r="BD118" s="12" t="s">
        <v>1092</v>
      </c>
      <c r="BE118" s="12" t="s">
        <v>118</v>
      </c>
      <c r="BF118" s="12" t="s">
        <v>4369</v>
      </c>
      <c r="BH118" s="12">
        <v>11111</v>
      </c>
      <c r="BI118" s="179">
        <v>87</v>
      </c>
      <c r="BJ118" s="12"/>
      <c r="BK118" s="176" t="s">
        <v>83</v>
      </c>
    </row>
    <row r="119" spans="1:63" x14ac:dyDescent="0.25">
      <c r="A119" s="12" t="s">
        <v>1085</v>
      </c>
      <c r="B119" s="12" t="s">
        <v>4222</v>
      </c>
      <c r="C119" s="12" t="s">
        <v>928</v>
      </c>
      <c r="D119" s="12" t="s">
        <v>929</v>
      </c>
      <c r="E119" s="175">
        <v>42205</v>
      </c>
      <c r="F119" s="12" t="s">
        <v>2913</v>
      </c>
      <c r="G119" s="12" t="s">
        <v>1075</v>
      </c>
      <c r="H119" s="12" t="s">
        <v>2914</v>
      </c>
      <c r="I119" s="12" t="s">
        <v>2915</v>
      </c>
      <c r="J119" s="12" t="s">
        <v>2916</v>
      </c>
      <c r="K119" s="12" t="s">
        <v>1103</v>
      </c>
      <c r="L119" s="12" t="s">
        <v>1179</v>
      </c>
      <c r="M119" s="12" t="s">
        <v>1244</v>
      </c>
      <c r="O119" s="178" t="s">
        <v>1275</v>
      </c>
      <c r="P119" s="178" t="s">
        <v>2917</v>
      </c>
      <c r="Q119" s="12" t="s">
        <v>1244</v>
      </c>
      <c r="R119" s="179">
        <v>88</v>
      </c>
      <c r="U119" s="12">
        <v>11111</v>
      </c>
      <c r="W119" s="12" t="s">
        <v>1083</v>
      </c>
      <c r="X119" s="12" t="s">
        <v>1303</v>
      </c>
      <c r="Y119" s="178" t="s">
        <v>1318</v>
      </c>
      <c r="Z119" s="12" t="s">
        <v>2918</v>
      </c>
      <c r="AA119" s="178" t="s">
        <v>1214</v>
      </c>
      <c r="AB119" s="12" t="s">
        <v>2919</v>
      </c>
      <c r="AC119" s="178" t="s">
        <v>1089</v>
      </c>
      <c r="AD119" s="12" t="s">
        <v>2919</v>
      </c>
      <c r="AE119" s="12" t="s">
        <v>1075</v>
      </c>
      <c r="AF119" s="12" t="s">
        <v>2920</v>
      </c>
      <c r="AG119" s="12" t="s">
        <v>1092</v>
      </c>
      <c r="AH119" s="12" t="s">
        <v>1092</v>
      </c>
      <c r="AI119" s="12" t="s">
        <v>2921</v>
      </c>
      <c r="AJ119" s="12" t="s">
        <v>2922</v>
      </c>
      <c r="AK119" s="12" t="s">
        <v>1092</v>
      </c>
      <c r="AL119" s="12" t="s">
        <v>1092</v>
      </c>
      <c r="AM119" s="12" t="s">
        <v>1092</v>
      </c>
      <c r="AN119" s="12" t="s">
        <v>1092</v>
      </c>
      <c r="AO119" s="178" t="s">
        <v>1093</v>
      </c>
      <c r="AP119" s="178" t="s">
        <v>1093</v>
      </c>
      <c r="AQ119" s="178" t="s">
        <v>1093</v>
      </c>
      <c r="AR119" s="178" t="s">
        <v>1093</v>
      </c>
      <c r="AS119" s="178" t="s">
        <v>1118</v>
      </c>
      <c r="AT119" s="178" t="s">
        <v>1118</v>
      </c>
      <c r="AU119" s="178" t="s">
        <v>1118</v>
      </c>
      <c r="AV119" s="12" t="s">
        <v>1096</v>
      </c>
      <c r="AW119" s="12" t="s">
        <v>2270</v>
      </c>
      <c r="AX119" s="178" t="s">
        <v>2923</v>
      </c>
      <c r="AY119" s="178" t="s">
        <v>1213</v>
      </c>
      <c r="AZ119" s="12" t="s">
        <v>2924</v>
      </c>
      <c r="BA119" s="12" t="s">
        <v>1098</v>
      </c>
      <c r="BB119" s="12" t="s">
        <v>1098</v>
      </c>
      <c r="BD119" s="12" t="s">
        <v>1092</v>
      </c>
      <c r="BE119" s="12" t="s">
        <v>118</v>
      </c>
      <c r="BF119" s="12" t="s">
        <v>4369</v>
      </c>
      <c r="BH119" s="12">
        <v>11111</v>
      </c>
      <c r="BI119" s="179">
        <v>88</v>
      </c>
      <c r="BJ119" s="12"/>
      <c r="BK119" s="176" t="s">
        <v>83</v>
      </c>
    </row>
    <row r="120" spans="1:63" x14ac:dyDescent="0.25">
      <c r="A120" s="12" t="s">
        <v>1085</v>
      </c>
      <c r="B120" s="12" t="s">
        <v>4223</v>
      </c>
      <c r="C120" s="12" t="s">
        <v>4224</v>
      </c>
      <c r="D120" s="12" t="s">
        <v>4225</v>
      </c>
      <c r="E120" s="175">
        <v>42205</v>
      </c>
      <c r="F120" s="12" t="s">
        <v>1132</v>
      </c>
      <c r="G120" s="12" t="s">
        <v>1075</v>
      </c>
      <c r="H120" s="12" t="s">
        <v>4226</v>
      </c>
      <c r="I120" s="12" t="s">
        <v>4227</v>
      </c>
      <c r="J120" s="12" t="s">
        <v>1395</v>
      </c>
      <c r="K120" s="12" t="s">
        <v>1226</v>
      </c>
      <c r="L120" s="12" t="s">
        <v>1227</v>
      </c>
      <c r="M120" s="12" t="s">
        <v>1228</v>
      </c>
      <c r="O120" s="178" t="s">
        <v>1275</v>
      </c>
      <c r="P120" s="178" t="s">
        <v>4228</v>
      </c>
      <c r="Q120" s="12" t="s">
        <v>1228</v>
      </c>
      <c r="R120" s="179">
        <v>89</v>
      </c>
      <c r="U120" s="12">
        <v>11111</v>
      </c>
      <c r="W120" s="12" t="s">
        <v>1083</v>
      </c>
      <c r="X120" s="12" t="s">
        <v>1519</v>
      </c>
      <c r="Y120" s="178" t="s">
        <v>2012</v>
      </c>
      <c r="Z120" s="12" t="s">
        <v>1150</v>
      </c>
      <c r="AA120" s="178" t="s">
        <v>1868</v>
      </c>
      <c r="AB120" s="12" t="s">
        <v>4229</v>
      </c>
      <c r="AD120" s="12" t="s">
        <v>1185</v>
      </c>
      <c r="AE120" s="12" t="s">
        <v>1075</v>
      </c>
      <c r="AF120" s="12" t="s">
        <v>4230</v>
      </c>
      <c r="AG120" s="12" t="s">
        <v>1092</v>
      </c>
      <c r="AH120" s="12" t="s">
        <v>1092</v>
      </c>
      <c r="AI120" s="12" t="s">
        <v>4231</v>
      </c>
      <c r="AJ120" s="12" t="s">
        <v>4232</v>
      </c>
      <c r="AK120" s="12" t="s">
        <v>4233</v>
      </c>
      <c r="AL120" s="12" t="s">
        <v>4234</v>
      </c>
      <c r="AM120" s="12" t="s">
        <v>1092</v>
      </c>
      <c r="AN120" s="12" t="s">
        <v>1092</v>
      </c>
      <c r="AO120" s="178" t="s">
        <v>1092</v>
      </c>
      <c r="AP120" s="178" t="s">
        <v>1092</v>
      </c>
      <c r="AQ120" s="178" t="s">
        <v>1092</v>
      </c>
      <c r="AR120" s="178" t="s">
        <v>1093</v>
      </c>
      <c r="AS120" s="178" t="s">
        <v>1155</v>
      </c>
      <c r="AT120" s="178" t="s">
        <v>1095</v>
      </c>
      <c r="AU120" s="178" t="s">
        <v>1118</v>
      </c>
      <c r="AV120" s="12" t="s">
        <v>1096</v>
      </c>
      <c r="AW120" s="12" t="s">
        <v>2270</v>
      </c>
      <c r="AY120" s="178" t="s">
        <v>1092</v>
      </c>
      <c r="AZ120" s="12" t="s">
        <v>4235</v>
      </c>
      <c r="BA120" s="12" t="s">
        <v>1098</v>
      </c>
      <c r="BB120" s="12" t="s">
        <v>1098</v>
      </c>
      <c r="BD120" s="12" t="s">
        <v>1092</v>
      </c>
      <c r="BE120" s="12" t="s">
        <v>118</v>
      </c>
      <c r="BF120" s="12" t="s">
        <v>4369</v>
      </c>
      <c r="BH120" s="12">
        <v>11111</v>
      </c>
      <c r="BI120" s="179">
        <v>89</v>
      </c>
      <c r="BJ120" s="12"/>
      <c r="BK120" s="12"/>
    </row>
    <row r="121" spans="1:63" x14ac:dyDescent="0.25">
      <c r="A121" s="12" t="s">
        <v>3316</v>
      </c>
      <c r="B121" s="12" t="s">
        <v>4236</v>
      </c>
      <c r="C121" s="12" t="s">
        <v>979</v>
      </c>
      <c r="D121" s="12" t="s">
        <v>980</v>
      </c>
      <c r="E121" s="175">
        <v>42205</v>
      </c>
      <c r="F121" s="12" t="s">
        <v>1223</v>
      </c>
      <c r="G121" s="12" t="s">
        <v>1075</v>
      </c>
      <c r="H121" s="12" t="s">
        <v>1076</v>
      </c>
      <c r="I121" s="12" t="s">
        <v>3084</v>
      </c>
      <c r="K121" s="12" t="s">
        <v>1209</v>
      </c>
      <c r="L121" s="12" t="s">
        <v>1210</v>
      </c>
      <c r="M121" s="12" t="s">
        <v>1211</v>
      </c>
      <c r="Q121" s="12" t="s">
        <v>1211</v>
      </c>
      <c r="R121" s="179">
        <v>91</v>
      </c>
      <c r="U121" s="12">
        <v>11111</v>
      </c>
      <c r="W121" s="12" t="s">
        <v>1083</v>
      </c>
      <c r="X121" s="12" t="s">
        <v>1231</v>
      </c>
      <c r="Y121" s="178" t="s">
        <v>1073</v>
      </c>
      <c r="Z121" s="12" t="s">
        <v>3086</v>
      </c>
      <c r="AA121" s="178" t="s">
        <v>2081</v>
      </c>
      <c r="AB121" s="12" t="s">
        <v>3087</v>
      </c>
      <c r="AD121" s="12" t="s">
        <v>1185</v>
      </c>
      <c r="AE121" s="12" t="s">
        <v>1075</v>
      </c>
      <c r="AF121" s="12" t="s">
        <v>3088</v>
      </c>
      <c r="AG121" s="12" t="s">
        <v>1092</v>
      </c>
      <c r="AH121" s="12" t="s">
        <v>1092</v>
      </c>
      <c r="AI121" s="12" t="s">
        <v>3089</v>
      </c>
      <c r="AJ121" s="12" t="s">
        <v>1092</v>
      </c>
      <c r="AK121" s="12" t="s">
        <v>1092</v>
      </c>
      <c r="AL121" s="12" t="s">
        <v>3090</v>
      </c>
      <c r="AM121" s="12" t="s">
        <v>1092</v>
      </c>
      <c r="AN121" s="12" t="s">
        <v>1092</v>
      </c>
      <c r="AO121" s="178" t="s">
        <v>1093</v>
      </c>
      <c r="AP121" s="178" t="s">
        <v>1093</v>
      </c>
      <c r="AQ121" s="178" t="s">
        <v>1093</v>
      </c>
      <c r="AR121" s="178" t="s">
        <v>1093</v>
      </c>
      <c r="AS121" s="178" t="s">
        <v>1118</v>
      </c>
      <c r="AT121" s="178" t="s">
        <v>1118</v>
      </c>
      <c r="AU121" s="178" t="s">
        <v>1118</v>
      </c>
      <c r="AV121" s="12" t="s">
        <v>1096</v>
      </c>
      <c r="AW121" s="12" t="s">
        <v>2270</v>
      </c>
      <c r="AX121" s="178" t="s">
        <v>3091</v>
      </c>
      <c r="AY121" s="178" t="s">
        <v>1157</v>
      </c>
      <c r="AZ121" s="12" t="s">
        <v>1098</v>
      </c>
      <c r="BA121" s="12" t="s">
        <v>1098</v>
      </c>
      <c r="BB121" s="12" t="s">
        <v>3092</v>
      </c>
      <c r="BD121" s="12" t="s">
        <v>1092</v>
      </c>
      <c r="BE121" s="12" t="s">
        <v>118</v>
      </c>
      <c r="BF121" s="12" t="s">
        <v>4369</v>
      </c>
      <c r="BH121" s="12">
        <v>11111</v>
      </c>
      <c r="BI121" s="179">
        <v>91</v>
      </c>
      <c r="BJ121" s="12"/>
      <c r="BK121" s="176" t="s">
        <v>83</v>
      </c>
    </row>
    <row r="122" spans="1:63" x14ac:dyDescent="0.25">
      <c r="A122" s="12" t="s">
        <v>3316</v>
      </c>
      <c r="B122" s="12" t="s">
        <v>4237</v>
      </c>
      <c r="C122" s="12" t="s">
        <v>4238</v>
      </c>
      <c r="D122" s="12" t="s">
        <v>4239</v>
      </c>
      <c r="E122" s="175">
        <v>42205</v>
      </c>
      <c r="F122" s="12" t="s">
        <v>1698</v>
      </c>
      <c r="G122" s="12" t="s">
        <v>1075</v>
      </c>
      <c r="H122" s="12" t="s">
        <v>1076</v>
      </c>
      <c r="I122" s="12" t="s">
        <v>2244</v>
      </c>
      <c r="J122" s="12" t="s">
        <v>4240</v>
      </c>
      <c r="K122" s="12" t="s">
        <v>1103</v>
      </c>
      <c r="L122" s="12" t="s">
        <v>1179</v>
      </c>
      <c r="M122" s="12" t="s">
        <v>1195</v>
      </c>
      <c r="O122" s="178" t="s">
        <v>1275</v>
      </c>
      <c r="P122" s="178" t="s">
        <v>4241</v>
      </c>
      <c r="Q122" s="12" t="s">
        <v>1195</v>
      </c>
      <c r="R122" s="179">
        <v>92</v>
      </c>
      <c r="U122" s="12">
        <v>11111</v>
      </c>
      <c r="W122" s="12" t="s">
        <v>1083</v>
      </c>
      <c r="X122" s="12" t="s">
        <v>2335</v>
      </c>
      <c r="Y122" s="178" t="s">
        <v>1326</v>
      </c>
      <c r="Z122" s="12" t="s">
        <v>2756</v>
      </c>
      <c r="AA122" s="178" t="s">
        <v>1466</v>
      </c>
      <c r="AB122" s="12" t="s">
        <v>4242</v>
      </c>
      <c r="AD122" s="12" t="s">
        <v>1185</v>
      </c>
      <c r="AE122" s="12" t="s">
        <v>1075</v>
      </c>
      <c r="AF122" s="12" t="s">
        <v>4243</v>
      </c>
      <c r="AG122" s="12" t="s">
        <v>1092</v>
      </c>
      <c r="AH122" s="12" t="s">
        <v>1092</v>
      </c>
      <c r="AI122" s="12" t="s">
        <v>4244</v>
      </c>
      <c r="AJ122" s="12" t="s">
        <v>4245</v>
      </c>
      <c r="AK122" s="12" t="s">
        <v>4246</v>
      </c>
      <c r="AL122" s="12" t="s">
        <v>4247</v>
      </c>
      <c r="AM122" s="12" t="s">
        <v>1092</v>
      </c>
      <c r="AN122" s="12" t="s">
        <v>1092</v>
      </c>
      <c r="AO122" s="178" t="s">
        <v>1092</v>
      </c>
      <c r="AP122" s="178" t="s">
        <v>1092</v>
      </c>
      <c r="AQ122" s="178" t="s">
        <v>1092</v>
      </c>
      <c r="AR122" s="178" t="s">
        <v>1093</v>
      </c>
      <c r="AS122" s="178" t="s">
        <v>1155</v>
      </c>
      <c r="AT122" s="178" t="s">
        <v>1095</v>
      </c>
      <c r="AU122" s="178" t="s">
        <v>1118</v>
      </c>
      <c r="AV122" s="12" t="s">
        <v>1096</v>
      </c>
      <c r="AW122" s="12" t="s">
        <v>2270</v>
      </c>
      <c r="AY122" s="178" t="s">
        <v>1092</v>
      </c>
      <c r="AZ122" s="12" t="s">
        <v>1098</v>
      </c>
      <c r="BA122" s="12" t="s">
        <v>1098</v>
      </c>
      <c r="BB122" s="12" t="s">
        <v>4248</v>
      </c>
      <c r="BD122" s="12" t="s">
        <v>1092</v>
      </c>
      <c r="BE122" s="12" t="s">
        <v>118</v>
      </c>
      <c r="BF122" s="12" t="s">
        <v>4369</v>
      </c>
      <c r="BH122" s="12">
        <v>11111</v>
      </c>
      <c r="BI122" s="179">
        <v>92</v>
      </c>
      <c r="BJ122" s="12"/>
      <c r="BK122" s="12"/>
    </row>
    <row r="123" spans="1:63" x14ac:dyDescent="0.25">
      <c r="A123" s="12" t="s">
        <v>3114</v>
      </c>
      <c r="B123" s="12" t="s">
        <v>4249</v>
      </c>
      <c r="C123" s="12" t="s">
        <v>4250</v>
      </c>
      <c r="D123" s="12" t="s">
        <v>4251</v>
      </c>
      <c r="E123" s="175">
        <v>42205</v>
      </c>
      <c r="F123" s="12" t="s">
        <v>4252</v>
      </c>
      <c r="G123" s="12" t="s">
        <v>1075</v>
      </c>
      <c r="H123" s="12" t="s">
        <v>4253</v>
      </c>
      <c r="I123" s="12" t="s">
        <v>4254</v>
      </c>
      <c r="K123" s="12" t="s">
        <v>1103</v>
      </c>
      <c r="L123" s="12" t="s">
        <v>1179</v>
      </c>
      <c r="M123" s="12" t="s">
        <v>1195</v>
      </c>
      <c r="O123" s="178" t="s">
        <v>1275</v>
      </c>
      <c r="P123" s="178" t="s">
        <v>4255</v>
      </c>
      <c r="Q123" s="12" t="s">
        <v>1195</v>
      </c>
      <c r="R123" s="179">
        <v>93</v>
      </c>
      <c r="U123" s="12">
        <v>11111</v>
      </c>
      <c r="W123" s="12" t="s">
        <v>1083</v>
      </c>
      <c r="X123" s="12" t="s">
        <v>2671</v>
      </c>
      <c r="Y123" s="178" t="s">
        <v>1754</v>
      </c>
      <c r="Z123" s="12" t="s">
        <v>4256</v>
      </c>
      <c r="AA123" s="178" t="s">
        <v>1868</v>
      </c>
      <c r="AB123" s="12" t="s">
        <v>4256</v>
      </c>
      <c r="AC123" s="178" t="s">
        <v>2140</v>
      </c>
      <c r="AD123" s="12" t="s">
        <v>4257</v>
      </c>
      <c r="AE123" s="12" t="s">
        <v>1075</v>
      </c>
      <c r="AF123" s="12" t="s">
        <v>4258</v>
      </c>
      <c r="AG123" s="12" t="s">
        <v>1092</v>
      </c>
      <c r="AH123" s="12" t="s">
        <v>1092</v>
      </c>
      <c r="AI123" s="12" t="s">
        <v>4259</v>
      </c>
      <c r="AJ123" s="12" t="s">
        <v>1923</v>
      </c>
      <c r="AK123" s="12" t="s">
        <v>4260</v>
      </c>
      <c r="AL123" s="12" t="s">
        <v>4261</v>
      </c>
      <c r="AM123" s="12" t="s">
        <v>1092</v>
      </c>
      <c r="AN123" s="12" t="s">
        <v>1092</v>
      </c>
      <c r="AO123" s="178" t="s">
        <v>1092</v>
      </c>
      <c r="AP123" s="178" t="s">
        <v>1092</v>
      </c>
      <c r="AQ123" s="178" t="s">
        <v>1092</v>
      </c>
      <c r="AR123" s="178" t="s">
        <v>1093</v>
      </c>
      <c r="AS123" s="178" t="s">
        <v>1155</v>
      </c>
      <c r="AT123" s="178" t="s">
        <v>1095</v>
      </c>
      <c r="AU123" s="178" t="s">
        <v>1118</v>
      </c>
      <c r="AV123" s="12" t="s">
        <v>1096</v>
      </c>
      <c r="AW123" s="12" t="s">
        <v>2270</v>
      </c>
      <c r="AY123" s="178" t="s">
        <v>1092</v>
      </c>
      <c r="AZ123" s="12" t="s">
        <v>4262</v>
      </c>
      <c r="BA123" s="12" t="s">
        <v>1098</v>
      </c>
      <c r="BB123" s="12" t="s">
        <v>4263</v>
      </c>
      <c r="BD123" s="12" t="s">
        <v>1092</v>
      </c>
      <c r="BE123" s="12" t="s">
        <v>118</v>
      </c>
      <c r="BF123" s="12" t="s">
        <v>4369</v>
      </c>
      <c r="BH123" s="12">
        <v>11111</v>
      </c>
      <c r="BI123" s="179">
        <v>93</v>
      </c>
      <c r="BJ123" s="12"/>
      <c r="BK123" s="12"/>
    </row>
    <row r="124" spans="1:63" x14ac:dyDescent="0.25">
      <c r="A124" s="12" t="s">
        <v>3114</v>
      </c>
      <c r="B124" s="12" t="s">
        <v>4264</v>
      </c>
      <c r="C124" s="12" t="s">
        <v>3150</v>
      </c>
      <c r="D124" s="12" t="s">
        <v>3151</v>
      </c>
      <c r="E124" s="175">
        <v>42205</v>
      </c>
      <c r="F124" s="12" t="s">
        <v>2986</v>
      </c>
      <c r="G124" s="12" t="s">
        <v>1075</v>
      </c>
      <c r="H124" s="12" t="s">
        <v>3152</v>
      </c>
      <c r="I124" s="12" t="s">
        <v>3153</v>
      </c>
      <c r="K124" s="12" t="s">
        <v>1103</v>
      </c>
      <c r="L124" s="12" t="s">
        <v>1104</v>
      </c>
      <c r="M124" s="12" t="s">
        <v>1180</v>
      </c>
      <c r="O124" s="178" t="s">
        <v>1488</v>
      </c>
      <c r="P124" s="178" t="s">
        <v>3154</v>
      </c>
      <c r="Q124" s="12" t="s">
        <v>1180</v>
      </c>
      <c r="R124" s="179">
        <v>94</v>
      </c>
      <c r="U124" s="12">
        <v>11111</v>
      </c>
      <c r="W124" s="12" t="s">
        <v>1083</v>
      </c>
      <c r="X124" s="12" t="s">
        <v>2335</v>
      </c>
      <c r="Y124" s="178" t="s">
        <v>3043</v>
      </c>
      <c r="Z124" s="12" t="s">
        <v>3155</v>
      </c>
      <c r="AA124" s="178" t="s">
        <v>2451</v>
      </c>
      <c r="AB124" s="12" t="s">
        <v>1112</v>
      </c>
      <c r="AC124" s="178" t="s">
        <v>1754</v>
      </c>
      <c r="AD124" s="12" t="s">
        <v>3156</v>
      </c>
      <c r="AE124" s="12" t="s">
        <v>1075</v>
      </c>
      <c r="AF124" s="12" t="s">
        <v>3157</v>
      </c>
      <c r="AG124" s="12" t="s">
        <v>1092</v>
      </c>
      <c r="AH124" s="12" t="s">
        <v>1092</v>
      </c>
      <c r="AI124" s="12" t="s">
        <v>3158</v>
      </c>
      <c r="AJ124" s="12" t="s">
        <v>3159</v>
      </c>
      <c r="AK124" s="12" t="s">
        <v>1092</v>
      </c>
      <c r="AL124" s="12" t="s">
        <v>3160</v>
      </c>
      <c r="AM124" s="12" t="s">
        <v>1092</v>
      </c>
      <c r="AN124" s="12" t="s">
        <v>1092</v>
      </c>
      <c r="AO124" s="178" t="s">
        <v>1093</v>
      </c>
      <c r="AP124" s="178" t="s">
        <v>1093</v>
      </c>
      <c r="AQ124" s="178" t="s">
        <v>1093</v>
      </c>
      <c r="AR124" s="178" t="s">
        <v>1093</v>
      </c>
      <c r="AS124" s="178" t="s">
        <v>1118</v>
      </c>
      <c r="AT124" s="178" t="s">
        <v>1118</v>
      </c>
      <c r="AU124" s="178" t="s">
        <v>1118</v>
      </c>
      <c r="AV124" s="12" t="s">
        <v>1096</v>
      </c>
      <c r="AW124" s="12" t="s">
        <v>2270</v>
      </c>
      <c r="AX124" s="178" t="s">
        <v>3161</v>
      </c>
      <c r="AY124" s="178" t="s">
        <v>1157</v>
      </c>
      <c r="AZ124" s="12" t="s">
        <v>3162</v>
      </c>
      <c r="BA124" s="12" t="s">
        <v>1098</v>
      </c>
      <c r="BB124" s="12" t="s">
        <v>1098</v>
      </c>
      <c r="BD124" s="12" t="s">
        <v>1092</v>
      </c>
      <c r="BE124" s="12" t="s">
        <v>118</v>
      </c>
      <c r="BF124" s="12" t="s">
        <v>4369</v>
      </c>
      <c r="BH124" s="12">
        <v>11111</v>
      </c>
      <c r="BI124" s="179">
        <v>94</v>
      </c>
      <c r="BJ124" s="12"/>
      <c r="BK124" s="176" t="s">
        <v>83</v>
      </c>
    </row>
    <row r="125" spans="1:63" x14ac:dyDescent="0.25">
      <c r="A125" s="12" t="s">
        <v>3114</v>
      </c>
      <c r="B125" s="12" t="s">
        <v>4265</v>
      </c>
      <c r="C125" s="12" t="s">
        <v>4266</v>
      </c>
      <c r="D125" s="12" t="s">
        <v>4267</v>
      </c>
      <c r="E125" s="175">
        <v>42205</v>
      </c>
      <c r="F125" s="12" t="s">
        <v>4268</v>
      </c>
      <c r="G125" s="12" t="s">
        <v>1075</v>
      </c>
      <c r="H125" s="12" t="s">
        <v>4269</v>
      </c>
      <c r="I125" s="12" t="s">
        <v>4270</v>
      </c>
      <c r="K125" s="12" t="s">
        <v>1103</v>
      </c>
      <c r="L125" s="12" t="s">
        <v>1104</v>
      </c>
      <c r="M125" s="12" t="s">
        <v>1105</v>
      </c>
      <c r="Q125" s="12" t="s">
        <v>1105</v>
      </c>
      <c r="R125" s="179">
        <v>95</v>
      </c>
      <c r="U125" s="12">
        <v>11111</v>
      </c>
      <c r="W125" s="12" t="s">
        <v>1083</v>
      </c>
      <c r="X125" s="12" t="s">
        <v>2339</v>
      </c>
      <c r="Y125" s="178" t="s">
        <v>1263</v>
      </c>
      <c r="Z125" s="12" t="s">
        <v>4271</v>
      </c>
      <c r="AB125" s="12" t="s">
        <v>1185</v>
      </c>
      <c r="AD125" s="12" t="s">
        <v>1185</v>
      </c>
      <c r="AE125" s="12" t="s">
        <v>1075</v>
      </c>
      <c r="AF125" s="12" t="s">
        <v>4272</v>
      </c>
      <c r="AG125" s="12" t="s">
        <v>1092</v>
      </c>
      <c r="AH125" s="12" t="s">
        <v>1092</v>
      </c>
      <c r="AI125" s="12" t="s">
        <v>4273</v>
      </c>
      <c r="AJ125" s="12" t="s">
        <v>4274</v>
      </c>
      <c r="AK125" s="12" t="s">
        <v>4275</v>
      </c>
      <c r="AL125" s="12" t="s">
        <v>4276</v>
      </c>
      <c r="AM125" s="12" t="s">
        <v>4277</v>
      </c>
      <c r="AN125" s="12" t="s">
        <v>1092</v>
      </c>
      <c r="AO125" s="178" t="s">
        <v>1092</v>
      </c>
      <c r="AP125" s="178" t="s">
        <v>1092</v>
      </c>
      <c r="AQ125" s="178" t="s">
        <v>1092</v>
      </c>
      <c r="AR125" s="178" t="s">
        <v>1093</v>
      </c>
      <c r="AS125" s="178" t="s">
        <v>1155</v>
      </c>
      <c r="AT125" s="178" t="s">
        <v>1095</v>
      </c>
      <c r="AU125" s="178" t="s">
        <v>1118</v>
      </c>
      <c r="AV125" s="12" t="s">
        <v>1096</v>
      </c>
      <c r="AW125" s="12" t="s">
        <v>2270</v>
      </c>
      <c r="AY125" s="178" t="s">
        <v>1092</v>
      </c>
      <c r="AZ125" s="12" t="s">
        <v>4278</v>
      </c>
      <c r="BA125" s="12" t="s">
        <v>1098</v>
      </c>
      <c r="BB125" s="12" t="s">
        <v>1098</v>
      </c>
      <c r="BD125" s="12" t="s">
        <v>1092</v>
      </c>
      <c r="BE125" s="12" t="s">
        <v>118</v>
      </c>
      <c r="BF125" s="12" t="s">
        <v>4369</v>
      </c>
      <c r="BH125" s="12">
        <v>11111</v>
      </c>
      <c r="BI125" s="179">
        <v>95</v>
      </c>
      <c r="BJ125" s="12"/>
      <c r="BK125" s="12"/>
    </row>
    <row r="126" spans="1:63" x14ac:dyDescent="0.25">
      <c r="A126" s="12" t="s">
        <v>3114</v>
      </c>
      <c r="B126" s="12" t="s">
        <v>4279</v>
      </c>
      <c r="C126" s="12" t="s">
        <v>3262</v>
      </c>
      <c r="D126" s="12" t="s">
        <v>3263</v>
      </c>
      <c r="E126" s="175">
        <v>42205</v>
      </c>
      <c r="F126" s="12" t="s">
        <v>1698</v>
      </c>
      <c r="G126" s="12" t="s">
        <v>1075</v>
      </c>
      <c r="H126" s="12" t="s">
        <v>3264</v>
      </c>
      <c r="I126" s="12" t="s">
        <v>3265</v>
      </c>
      <c r="J126" s="12" t="s">
        <v>1395</v>
      </c>
      <c r="K126" s="12" t="s">
        <v>1123</v>
      </c>
      <c r="L126" s="12" t="s">
        <v>1124</v>
      </c>
      <c r="M126" s="12" t="s">
        <v>1105</v>
      </c>
      <c r="O126" s="178" t="s">
        <v>1181</v>
      </c>
      <c r="P126" s="178" t="s">
        <v>3266</v>
      </c>
      <c r="Q126" s="12" t="s">
        <v>1105</v>
      </c>
      <c r="R126" s="179">
        <v>96</v>
      </c>
      <c r="U126" s="12">
        <v>11111</v>
      </c>
      <c r="W126" s="12" t="s">
        <v>1083</v>
      </c>
      <c r="X126" s="12" t="s">
        <v>2335</v>
      </c>
      <c r="Y126" s="178" t="s">
        <v>2264</v>
      </c>
      <c r="Z126" s="12" t="s">
        <v>3267</v>
      </c>
      <c r="AA126" s="178" t="s">
        <v>1176</v>
      </c>
      <c r="AB126" s="12" t="s">
        <v>1348</v>
      </c>
      <c r="AC126" s="178" t="s">
        <v>2867</v>
      </c>
      <c r="AD126" s="12" t="s">
        <v>1525</v>
      </c>
      <c r="AE126" s="12" t="s">
        <v>1075</v>
      </c>
      <c r="AF126" s="12" t="s">
        <v>3268</v>
      </c>
      <c r="AG126" s="12" t="s">
        <v>1092</v>
      </c>
      <c r="AH126" s="12" t="s">
        <v>1092</v>
      </c>
      <c r="AI126" s="12" t="s">
        <v>3269</v>
      </c>
      <c r="AJ126" s="12" t="s">
        <v>3270</v>
      </c>
      <c r="AK126" s="12" t="s">
        <v>3271</v>
      </c>
      <c r="AL126" s="12" t="s">
        <v>1092</v>
      </c>
      <c r="AM126" s="12" t="s">
        <v>1092</v>
      </c>
      <c r="AN126" s="12" t="s">
        <v>1092</v>
      </c>
      <c r="AO126" s="178" t="s">
        <v>1092</v>
      </c>
      <c r="AP126" s="178" t="s">
        <v>1092</v>
      </c>
      <c r="AQ126" s="178" t="s">
        <v>1093</v>
      </c>
      <c r="AR126" s="178" t="s">
        <v>1093</v>
      </c>
      <c r="AS126" s="178" t="s">
        <v>1155</v>
      </c>
      <c r="AT126" s="178" t="s">
        <v>1118</v>
      </c>
      <c r="AU126" s="178" t="s">
        <v>1118</v>
      </c>
      <c r="AV126" s="12" t="s">
        <v>1096</v>
      </c>
      <c r="AW126" s="12" t="s">
        <v>2270</v>
      </c>
      <c r="AY126" s="178" t="s">
        <v>1092</v>
      </c>
      <c r="AZ126" s="12" t="s">
        <v>3272</v>
      </c>
      <c r="BA126" s="12" t="s">
        <v>1098</v>
      </c>
      <c r="BB126" s="12" t="s">
        <v>1098</v>
      </c>
      <c r="BD126" s="12" t="s">
        <v>1092</v>
      </c>
      <c r="BE126" s="12" t="s">
        <v>118</v>
      </c>
      <c r="BF126" s="12" t="s">
        <v>4369</v>
      </c>
      <c r="BH126" s="12">
        <v>11111</v>
      </c>
      <c r="BI126" s="179">
        <v>96</v>
      </c>
      <c r="BJ126" s="12"/>
      <c r="BK126" s="176" t="s">
        <v>83</v>
      </c>
    </row>
    <row r="127" spans="1:63" x14ac:dyDescent="0.25">
      <c r="A127" s="12" t="s">
        <v>3553</v>
      </c>
      <c r="B127" s="12" t="s">
        <v>4280</v>
      </c>
      <c r="C127" s="12" t="s">
        <v>4281</v>
      </c>
      <c r="D127" s="12" t="s">
        <v>4282</v>
      </c>
      <c r="E127" s="175">
        <v>42205</v>
      </c>
      <c r="F127" s="12" t="s">
        <v>1305</v>
      </c>
      <c r="G127" s="12" t="s">
        <v>1075</v>
      </c>
      <c r="H127" s="12" t="s">
        <v>4283</v>
      </c>
      <c r="I127" s="12" t="s">
        <v>4284</v>
      </c>
      <c r="J127" s="12" t="s">
        <v>1367</v>
      </c>
      <c r="K127" s="12" t="s">
        <v>1078</v>
      </c>
      <c r="L127" s="12" t="s">
        <v>1079</v>
      </c>
      <c r="M127" s="12" t="s">
        <v>1342</v>
      </c>
      <c r="Q127" s="12" t="s">
        <v>1342</v>
      </c>
      <c r="R127" s="179">
        <v>97</v>
      </c>
      <c r="U127" s="12">
        <v>11111</v>
      </c>
      <c r="W127" s="12" t="s">
        <v>1083</v>
      </c>
      <c r="X127" s="12" t="s">
        <v>2335</v>
      </c>
      <c r="Z127" s="12" t="s">
        <v>1185</v>
      </c>
      <c r="AB127" s="12" t="s">
        <v>1185</v>
      </c>
      <c r="AD127" s="12" t="s">
        <v>1185</v>
      </c>
      <c r="AE127" s="12" t="s">
        <v>1075</v>
      </c>
      <c r="AF127" s="12" t="s">
        <v>4285</v>
      </c>
      <c r="AG127" s="12" t="s">
        <v>1092</v>
      </c>
      <c r="AH127" s="12" t="s">
        <v>1092</v>
      </c>
      <c r="AI127" s="12" t="s">
        <v>4286</v>
      </c>
      <c r="AJ127" s="12" t="s">
        <v>4287</v>
      </c>
      <c r="AK127" s="12" t="s">
        <v>4288</v>
      </c>
      <c r="AL127" s="12" t="s">
        <v>1092</v>
      </c>
      <c r="AM127" s="12" t="s">
        <v>1092</v>
      </c>
      <c r="AN127" s="12" t="s">
        <v>1092</v>
      </c>
      <c r="AO127" s="178" t="s">
        <v>1092</v>
      </c>
      <c r="AP127" s="178" t="s">
        <v>1092</v>
      </c>
      <c r="AQ127" s="178" t="s">
        <v>1092</v>
      </c>
      <c r="AR127" s="178" t="s">
        <v>1093</v>
      </c>
      <c r="AS127" s="178" t="s">
        <v>1155</v>
      </c>
      <c r="AT127" s="178" t="s">
        <v>1095</v>
      </c>
      <c r="AU127" s="178" t="s">
        <v>1118</v>
      </c>
      <c r="AV127" s="12" t="s">
        <v>1096</v>
      </c>
      <c r="AW127" s="12" t="s">
        <v>2270</v>
      </c>
      <c r="AY127" s="178" t="s">
        <v>1092</v>
      </c>
      <c r="AZ127" s="12" t="s">
        <v>4289</v>
      </c>
      <c r="BA127" s="12" t="s">
        <v>1098</v>
      </c>
      <c r="BB127" s="12" t="s">
        <v>1098</v>
      </c>
      <c r="BD127" s="12" t="s">
        <v>1092</v>
      </c>
      <c r="BE127" s="12" t="s">
        <v>118</v>
      </c>
      <c r="BF127" s="12" t="s">
        <v>4369</v>
      </c>
      <c r="BH127" s="12">
        <v>11111</v>
      </c>
      <c r="BI127" s="179">
        <v>97</v>
      </c>
      <c r="BJ127" s="12"/>
      <c r="BK127" s="12"/>
    </row>
    <row r="128" spans="1:63" x14ac:dyDescent="0.25">
      <c r="A128" s="12" t="s">
        <v>3147</v>
      </c>
      <c r="B128" s="12" t="s">
        <v>4290</v>
      </c>
      <c r="C128" s="12" t="s">
        <v>3455</v>
      </c>
      <c r="D128" s="12" t="s">
        <v>3456</v>
      </c>
      <c r="E128" s="175">
        <v>42205</v>
      </c>
      <c r="F128" s="12" t="s">
        <v>1933</v>
      </c>
      <c r="G128" s="12" t="s">
        <v>1075</v>
      </c>
      <c r="H128" s="12" t="s">
        <v>3457</v>
      </c>
      <c r="I128" s="12" t="s">
        <v>3458</v>
      </c>
      <c r="K128" s="12" t="s">
        <v>1209</v>
      </c>
      <c r="L128" s="12" t="s">
        <v>1210</v>
      </c>
      <c r="M128" s="12" t="s">
        <v>1211</v>
      </c>
      <c r="O128" s="178" t="s">
        <v>1181</v>
      </c>
      <c r="P128" s="178" t="s">
        <v>3459</v>
      </c>
      <c r="Q128" s="12" t="s">
        <v>1211</v>
      </c>
      <c r="R128" s="179">
        <v>98</v>
      </c>
      <c r="U128" s="12">
        <v>11111</v>
      </c>
      <c r="W128" s="12" t="s">
        <v>1083</v>
      </c>
      <c r="X128" s="12" t="s">
        <v>1084</v>
      </c>
      <c r="Y128" s="178" t="s">
        <v>2956</v>
      </c>
      <c r="Z128" s="12" t="s">
        <v>3460</v>
      </c>
      <c r="AA128" s="178" t="s">
        <v>1147</v>
      </c>
      <c r="AB128" s="12" t="s">
        <v>3461</v>
      </c>
      <c r="AC128" s="178" t="s">
        <v>1111</v>
      </c>
      <c r="AD128" s="12" t="s">
        <v>3462</v>
      </c>
      <c r="AE128" s="12" t="s">
        <v>1075</v>
      </c>
      <c r="AF128" s="12" t="s">
        <v>3463</v>
      </c>
      <c r="AG128" s="12" t="s">
        <v>1092</v>
      </c>
      <c r="AH128" s="12" t="s">
        <v>1092</v>
      </c>
      <c r="AI128" s="12" t="s">
        <v>3464</v>
      </c>
      <c r="AJ128" s="12" t="s">
        <v>3465</v>
      </c>
      <c r="AK128" s="12" t="s">
        <v>1092</v>
      </c>
      <c r="AL128" s="12" t="s">
        <v>3466</v>
      </c>
      <c r="AM128" s="12" t="s">
        <v>1092</v>
      </c>
      <c r="AN128" s="12" t="s">
        <v>1092</v>
      </c>
      <c r="AO128" s="178" t="s">
        <v>1093</v>
      </c>
      <c r="AP128" s="178" t="s">
        <v>1093</v>
      </c>
      <c r="AQ128" s="178" t="s">
        <v>1093</v>
      </c>
      <c r="AR128" s="178" t="s">
        <v>1093</v>
      </c>
      <c r="AS128" s="178" t="s">
        <v>1118</v>
      </c>
      <c r="AT128" s="178" t="s">
        <v>1118</v>
      </c>
      <c r="AU128" s="178" t="s">
        <v>1118</v>
      </c>
      <c r="AV128" s="12" t="s">
        <v>1096</v>
      </c>
      <c r="AW128" s="12" t="s">
        <v>2270</v>
      </c>
      <c r="AX128" s="178" t="s">
        <v>3467</v>
      </c>
      <c r="AY128" s="178" t="s">
        <v>1157</v>
      </c>
      <c r="AZ128" s="12" t="s">
        <v>3468</v>
      </c>
      <c r="BA128" s="12" t="s">
        <v>1098</v>
      </c>
      <c r="BB128" s="12" t="s">
        <v>1098</v>
      </c>
      <c r="BD128" s="12" t="s">
        <v>1092</v>
      </c>
      <c r="BE128" s="12" t="s">
        <v>118</v>
      </c>
      <c r="BF128" s="12" t="s">
        <v>4369</v>
      </c>
      <c r="BH128" s="12">
        <v>11111</v>
      </c>
      <c r="BI128" s="179">
        <v>98</v>
      </c>
      <c r="BJ128" s="12"/>
      <c r="BK128" s="176" t="s">
        <v>83</v>
      </c>
    </row>
    <row r="129" spans="1:63" x14ac:dyDescent="0.25">
      <c r="A129" s="12" t="s">
        <v>3147</v>
      </c>
      <c r="B129" s="12" t="s">
        <v>4291</v>
      </c>
      <c r="C129" s="12" t="s">
        <v>3470</v>
      </c>
      <c r="D129" s="12" t="s">
        <v>3471</v>
      </c>
      <c r="E129" s="175">
        <v>42205</v>
      </c>
      <c r="F129" s="12" t="s">
        <v>3472</v>
      </c>
      <c r="G129" s="12" t="s">
        <v>1075</v>
      </c>
      <c r="H129" s="12" t="s">
        <v>3473</v>
      </c>
      <c r="I129" s="12" t="s">
        <v>2211</v>
      </c>
      <c r="J129" s="12" t="s">
        <v>2179</v>
      </c>
      <c r="K129" s="12" t="s">
        <v>1078</v>
      </c>
      <c r="L129" s="12" t="s">
        <v>1079</v>
      </c>
      <c r="M129" s="12" t="s">
        <v>1080</v>
      </c>
      <c r="O129" s="178" t="s">
        <v>1451</v>
      </c>
      <c r="P129" s="178" t="s">
        <v>3474</v>
      </c>
      <c r="Q129" s="12" t="s">
        <v>1080</v>
      </c>
      <c r="R129" s="179">
        <v>99</v>
      </c>
      <c r="U129" s="12">
        <v>11111</v>
      </c>
      <c r="W129" s="12" t="s">
        <v>1083</v>
      </c>
      <c r="X129" s="12" t="s">
        <v>1949</v>
      </c>
      <c r="Y129" s="178" t="s">
        <v>2451</v>
      </c>
      <c r="Z129" s="12" t="s">
        <v>3475</v>
      </c>
      <c r="AA129" s="178" t="s">
        <v>2264</v>
      </c>
      <c r="AB129" s="12" t="s">
        <v>3476</v>
      </c>
      <c r="AC129" s="178" t="s">
        <v>1223</v>
      </c>
      <c r="AD129" s="12" t="s">
        <v>3477</v>
      </c>
      <c r="AE129" s="12" t="s">
        <v>1075</v>
      </c>
      <c r="AF129" s="12" t="s">
        <v>3478</v>
      </c>
      <c r="AG129" s="12" t="s">
        <v>1092</v>
      </c>
      <c r="AH129" s="12" t="s">
        <v>1092</v>
      </c>
      <c r="AI129" s="12" t="s">
        <v>3479</v>
      </c>
      <c r="AJ129" s="12" t="s">
        <v>3480</v>
      </c>
      <c r="AK129" s="12" t="s">
        <v>3481</v>
      </c>
      <c r="AL129" s="12" t="s">
        <v>1092</v>
      </c>
      <c r="AM129" s="12" t="s">
        <v>1092</v>
      </c>
      <c r="AN129" s="12" t="s">
        <v>1092</v>
      </c>
      <c r="AO129" s="178" t="s">
        <v>1093</v>
      </c>
      <c r="AP129" s="178" t="s">
        <v>1093</v>
      </c>
      <c r="AQ129" s="178" t="s">
        <v>1093</v>
      </c>
      <c r="AR129" s="178" t="s">
        <v>1093</v>
      </c>
      <c r="AS129" s="178" t="s">
        <v>1118</v>
      </c>
      <c r="AT129" s="178" t="s">
        <v>1118</v>
      </c>
      <c r="AU129" s="178" t="s">
        <v>1118</v>
      </c>
      <c r="AV129" s="12" t="s">
        <v>1096</v>
      </c>
      <c r="AW129" s="12" t="s">
        <v>2270</v>
      </c>
      <c r="AY129" s="178" t="s">
        <v>1092</v>
      </c>
      <c r="AZ129" s="12" t="s">
        <v>3482</v>
      </c>
      <c r="BA129" s="12" t="s">
        <v>1098</v>
      </c>
      <c r="BB129" s="12" t="s">
        <v>1098</v>
      </c>
      <c r="BD129" s="12" t="s">
        <v>1092</v>
      </c>
      <c r="BE129" s="12" t="s">
        <v>118</v>
      </c>
      <c r="BF129" s="12" t="s">
        <v>4369</v>
      </c>
      <c r="BH129" s="12">
        <v>11111</v>
      </c>
      <c r="BI129" s="179">
        <v>99</v>
      </c>
      <c r="BJ129" s="12"/>
      <c r="BK129" s="176" t="s">
        <v>83</v>
      </c>
    </row>
    <row r="130" spans="1:63" x14ac:dyDescent="0.25">
      <c r="A130" s="12" t="s">
        <v>3147</v>
      </c>
      <c r="B130" s="12" t="s">
        <v>4292</v>
      </c>
      <c r="C130" s="12" t="s">
        <v>3497</v>
      </c>
      <c r="D130" s="12" t="s">
        <v>3498</v>
      </c>
      <c r="E130" s="175">
        <v>42205</v>
      </c>
      <c r="F130" s="12" t="s">
        <v>3499</v>
      </c>
      <c r="G130" s="12" t="s">
        <v>1075</v>
      </c>
      <c r="H130" s="12" t="s">
        <v>3500</v>
      </c>
      <c r="I130" s="12" t="s">
        <v>3501</v>
      </c>
      <c r="J130" s="12" t="s">
        <v>1561</v>
      </c>
      <c r="K130" s="12" t="s">
        <v>1078</v>
      </c>
      <c r="L130" s="12" t="s">
        <v>1079</v>
      </c>
      <c r="M130" s="12" t="s">
        <v>1080</v>
      </c>
      <c r="O130" s="178" t="s">
        <v>1741</v>
      </c>
      <c r="P130" s="178" t="s">
        <v>3502</v>
      </c>
      <c r="Q130" s="12" t="s">
        <v>1080</v>
      </c>
      <c r="R130" s="179">
        <v>100</v>
      </c>
      <c r="U130" s="12">
        <v>11111</v>
      </c>
      <c r="W130" s="12" t="s">
        <v>1083</v>
      </c>
      <c r="X130" s="12" t="s">
        <v>2335</v>
      </c>
      <c r="Y130" s="178" t="s">
        <v>1590</v>
      </c>
      <c r="Z130" s="12" t="s">
        <v>3503</v>
      </c>
      <c r="AA130" s="178" t="s">
        <v>1263</v>
      </c>
      <c r="AB130" s="12" t="s">
        <v>3504</v>
      </c>
      <c r="AC130" s="178" t="s">
        <v>3505</v>
      </c>
      <c r="AD130" s="12" t="s">
        <v>3506</v>
      </c>
      <c r="AE130" s="12" t="s">
        <v>1075</v>
      </c>
      <c r="AF130" s="12" t="s">
        <v>3507</v>
      </c>
      <c r="AG130" s="12" t="s">
        <v>1092</v>
      </c>
      <c r="AH130" s="12" t="s">
        <v>1092</v>
      </c>
      <c r="AI130" s="12" t="s">
        <v>3508</v>
      </c>
      <c r="AJ130" s="12" t="s">
        <v>3509</v>
      </c>
      <c r="AK130" s="12" t="s">
        <v>3510</v>
      </c>
      <c r="AL130" s="12" t="s">
        <v>1092</v>
      </c>
      <c r="AM130" s="12" t="s">
        <v>1092</v>
      </c>
      <c r="AN130" s="12" t="s">
        <v>1092</v>
      </c>
      <c r="AO130" s="178" t="s">
        <v>1093</v>
      </c>
      <c r="AP130" s="178" t="s">
        <v>1092</v>
      </c>
      <c r="AQ130" s="178" t="s">
        <v>1093</v>
      </c>
      <c r="AR130" s="178" t="s">
        <v>1093</v>
      </c>
      <c r="AS130" s="178" t="s">
        <v>1118</v>
      </c>
      <c r="AT130" s="178" t="s">
        <v>1118</v>
      </c>
      <c r="AU130" s="178" t="s">
        <v>1118</v>
      </c>
      <c r="AV130" s="12" t="s">
        <v>1096</v>
      </c>
      <c r="AW130" s="12" t="s">
        <v>2270</v>
      </c>
      <c r="AY130" s="178" t="s">
        <v>1092</v>
      </c>
      <c r="AZ130" s="12" t="s">
        <v>3511</v>
      </c>
      <c r="BA130" s="12" t="s">
        <v>1098</v>
      </c>
      <c r="BB130" s="12" t="s">
        <v>3512</v>
      </c>
      <c r="BD130" s="12" t="s">
        <v>1092</v>
      </c>
      <c r="BE130" s="12" t="s">
        <v>118</v>
      </c>
      <c r="BF130" s="12" t="s">
        <v>4369</v>
      </c>
      <c r="BH130" s="12">
        <v>11111</v>
      </c>
      <c r="BI130" s="179">
        <v>100</v>
      </c>
      <c r="BJ130" s="12"/>
      <c r="BK130" s="176" t="s">
        <v>83</v>
      </c>
    </row>
    <row r="131" spans="1:63" x14ac:dyDescent="0.25">
      <c r="A131" s="12" t="s">
        <v>3847</v>
      </c>
      <c r="B131" s="12" t="s">
        <v>4293</v>
      </c>
      <c r="C131" s="12" t="s">
        <v>3568</v>
      </c>
      <c r="D131" s="12" t="s">
        <v>3569</v>
      </c>
      <c r="E131" s="175">
        <v>42205</v>
      </c>
      <c r="F131" s="12" t="s">
        <v>3570</v>
      </c>
      <c r="G131" s="12" t="s">
        <v>1075</v>
      </c>
      <c r="H131" s="12" t="s">
        <v>3571</v>
      </c>
      <c r="I131" s="12" t="s">
        <v>3572</v>
      </c>
      <c r="K131" s="12" t="s">
        <v>1078</v>
      </c>
      <c r="L131" s="12" t="s">
        <v>1079</v>
      </c>
      <c r="M131" s="12" t="s">
        <v>1342</v>
      </c>
      <c r="O131" s="178" t="s">
        <v>3573</v>
      </c>
      <c r="P131" s="178" t="s">
        <v>3574</v>
      </c>
      <c r="Q131" s="12" t="s">
        <v>1342</v>
      </c>
      <c r="R131" s="179">
        <v>101</v>
      </c>
      <c r="U131" s="12">
        <v>11111</v>
      </c>
      <c r="W131" s="12" t="s">
        <v>1083</v>
      </c>
      <c r="X131" s="12" t="s">
        <v>1412</v>
      </c>
      <c r="Y131" s="178" t="s">
        <v>2010</v>
      </c>
      <c r="Z131" s="12" t="s">
        <v>1133</v>
      </c>
      <c r="AA131" s="178" t="s">
        <v>2182</v>
      </c>
      <c r="AB131" s="12" t="s">
        <v>3575</v>
      </c>
      <c r="AC131" s="178" t="s">
        <v>1307</v>
      </c>
      <c r="AD131" s="12" t="s">
        <v>3576</v>
      </c>
      <c r="AE131" s="12" t="s">
        <v>1075</v>
      </c>
      <c r="AF131" s="12" t="s">
        <v>3577</v>
      </c>
      <c r="AG131" s="12" t="s">
        <v>1092</v>
      </c>
      <c r="AH131" s="12" t="s">
        <v>1092</v>
      </c>
      <c r="AI131" s="12" t="s">
        <v>3578</v>
      </c>
      <c r="AJ131" s="12" t="s">
        <v>3579</v>
      </c>
      <c r="AK131" s="12" t="s">
        <v>1092</v>
      </c>
      <c r="AL131" s="12" t="s">
        <v>1092</v>
      </c>
      <c r="AM131" s="12" t="s">
        <v>1092</v>
      </c>
      <c r="AN131" s="12" t="s">
        <v>1092</v>
      </c>
      <c r="AO131" s="178" t="s">
        <v>1093</v>
      </c>
      <c r="AP131" s="178" t="s">
        <v>1093</v>
      </c>
      <c r="AQ131" s="178" t="s">
        <v>1093</v>
      </c>
      <c r="AR131" s="178" t="s">
        <v>1093</v>
      </c>
      <c r="AS131" s="178" t="s">
        <v>1118</v>
      </c>
      <c r="AT131" s="178" t="s">
        <v>1118</v>
      </c>
      <c r="AU131" s="178" t="s">
        <v>1118</v>
      </c>
      <c r="AV131" s="12" t="s">
        <v>1096</v>
      </c>
      <c r="AW131" s="12" t="s">
        <v>2270</v>
      </c>
      <c r="AY131" s="178" t="s">
        <v>1092</v>
      </c>
      <c r="AZ131" s="12" t="s">
        <v>3580</v>
      </c>
      <c r="BA131" s="12" t="s">
        <v>1098</v>
      </c>
      <c r="BB131" s="12" t="s">
        <v>1098</v>
      </c>
      <c r="BC131" s="178" t="s">
        <v>1205</v>
      </c>
      <c r="BD131" s="12" t="s">
        <v>1092</v>
      </c>
      <c r="BE131" s="12" t="s">
        <v>118</v>
      </c>
      <c r="BF131" s="12" t="s">
        <v>4369</v>
      </c>
      <c r="BH131" s="12">
        <v>11111</v>
      </c>
      <c r="BI131" s="179">
        <v>101</v>
      </c>
      <c r="BJ131" s="12"/>
      <c r="BK131" s="176" t="s">
        <v>83</v>
      </c>
    </row>
    <row r="132" spans="1:63" x14ac:dyDescent="0.25">
      <c r="A132" s="12" t="s">
        <v>3847</v>
      </c>
      <c r="B132" s="12" t="s">
        <v>4294</v>
      </c>
      <c r="C132" s="12" t="s">
        <v>3582</v>
      </c>
      <c r="D132" s="12" t="s">
        <v>3583</v>
      </c>
      <c r="E132" s="175">
        <v>42205</v>
      </c>
      <c r="F132" s="12" t="s">
        <v>3584</v>
      </c>
      <c r="G132" s="12" t="s">
        <v>1075</v>
      </c>
      <c r="H132" s="12" t="s">
        <v>3585</v>
      </c>
      <c r="I132" s="12" t="s">
        <v>2772</v>
      </c>
      <c r="J132" s="12" t="s">
        <v>1208</v>
      </c>
      <c r="K132" s="12" t="s">
        <v>1078</v>
      </c>
      <c r="L132" s="12" t="s">
        <v>1079</v>
      </c>
      <c r="M132" s="12" t="s">
        <v>1342</v>
      </c>
      <c r="O132" s="178" t="s">
        <v>1451</v>
      </c>
      <c r="P132" s="178" t="s">
        <v>3586</v>
      </c>
      <c r="Q132" s="12" t="s">
        <v>1342</v>
      </c>
      <c r="R132" s="179">
        <v>102</v>
      </c>
      <c r="U132" s="12">
        <v>11111</v>
      </c>
      <c r="W132" s="12" t="s">
        <v>1083</v>
      </c>
      <c r="X132" s="12" t="s">
        <v>1412</v>
      </c>
      <c r="Y132" s="178" t="s">
        <v>2012</v>
      </c>
      <c r="Z132" s="12" t="s">
        <v>3587</v>
      </c>
      <c r="AA132" s="178" t="s">
        <v>1223</v>
      </c>
      <c r="AB132" s="12" t="s">
        <v>3588</v>
      </c>
      <c r="AC132" s="178" t="s">
        <v>1169</v>
      </c>
      <c r="AD132" s="12" t="s">
        <v>3589</v>
      </c>
      <c r="AE132" s="12" t="s">
        <v>1075</v>
      </c>
      <c r="AF132" s="12" t="s">
        <v>3590</v>
      </c>
      <c r="AG132" s="12" t="s">
        <v>1092</v>
      </c>
      <c r="AH132" s="12" t="s">
        <v>1092</v>
      </c>
      <c r="AI132" s="12" t="s">
        <v>3591</v>
      </c>
      <c r="AJ132" s="12" t="s">
        <v>3592</v>
      </c>
      <c r="AK132" s="12" t="s">
        <v>1092</v>
      </c>
      <c r="AL132" s="12" t="s">
        <v>1092</v>
      </c>
      <c r="AM132" s="12" t="s">
        <v>1092</v>
      </c>
      <c r="AN132" s="12" t="s">
        <v>1092</v>
      </c>
      <c r="AO132" s="178" t="s">
        <v>1093</v>
      </c>
      <c r="AP132" s="178" t="s">
        <v>1093</v>
      </c>
      <c r="AQ132" s="178" t="s">
        <v>1093</v>
      </c>
      <c r="AR132" s="178" t="s">
        <v>1093</v>
      </c>
      <c r="AS132" s="178" t="s">
        <v>1118</v>
      </c>
      <c r="AT132" s="178" t="s">
        <v>1118</v>
      </c>
      <c r="AU132" s="178" t="s">
        <v>1118</v>
      </c>
      <c r="AV132" s="12" t="s">
        <v>1096</v>
      </c>
      <c r="AW132" s="12" t="s">
        <v>2270</v>
      </c>
      <c r="AY132" s="178" t="s">
        <v>1092</v>
      </c>
      <c r="AZ132" s="12" t="s">
        <v>3593</v>
      </c>
      <c r="BA132" s="12" t="s">
        <v>3594</v>
      </c>
      <c r="BB132" s="12" t="s">
        <v>3595</v>
      </c>
      <c r="BD132" s="12" t="s">
        <v>1092</v>
      </c>
      <c r="BE132" s="12" t="s">
        <v>118</v>
      </c>
      <c r="BF132" s="12" t="s">
        <v>4369</v>
      </c>
      <c r="BH132" s="12">
        <v>11111</v>
      </c>
      <c r="BI132" s="179">
        <v>102</v>
      </c>
      <c r="BJ132" s="12"/>
      <c r="BK132" s="176" t="s">
        <v>83</v>
      </c>
    </row>
    <row r="133" spans="1:63" x14ac:dyDescent="0.25">
      <c r="A133" s="12" t="s">
        <v>3847</v>
      </c>
      <c r="B133" s="12" t="s">
        <v>4295</v>
      </c>
      <c r="C133" s="12" t="s">
        <v>3441</v>
      </c>
      <c r="D133" s="12" t="s">
        <v>3442</v>
      </c>
      <c r="E133" s="175">
        <v>42205</v>
      </c>
      <c r="F133" s="12" t="s">
        <v>3443</v>
      </c>
      <c r="G133" s="12" t="s">
        <v>1075</v>
      </c>
      <c r="H133" s="12" t="s">
        <v>3444</v>
      </c>
      <c r="I133" s="12" t="s">
        <v>3445</v>
      </c>
      <c r="K133" s="12" t="s">
        <v>1078</v>
      </c>
      <c r="L133" s="12" t="s">
        <v>1079</v>
      </c>
      <c r="M133" s="12" t="s">
        <v>1080</v>
      </c>
      <c r="O133" s="178" t="s">
        <v>1451</v>
      </c>
      <c r="P133" s="178" t="s">
        <v>3446</v>
      </c>
      <c r="Q133" s="12" t="s">
        <v>1080</v>
      </c>
      <c r="R133" s="179">
        <v>103</v>
      </c>
      <c r="U133" s="12">
        <v>11111</v>
      </c>
      <c r="W133" s="12" t="s">
        <v>1083</v>
      </c>
      <c r="X133" s="12" t="s">
        <v>1962</v>
      </c>
      <c r="Y133" s="178" t="s">
        <v>1345</v>
      </c>
      <c r="Z133" s="12" t="s">
        <v>3447</v>
      </c>
      <c r="AA133" s="178" t="s">
        <v>1249</v>
      </c>
      <c r="AB133" s="12" t="s">
        <v>3448</v>
      </c>
      <c r="AC133" s="178" t="s">
        <v>1979</v>
      </c>
      <c r="AD133" s="12" t="s">
        <v>3448</v>
      </c>
      <c r="AE133" s="12" t="s">
        <v>1075</v>
      </c>
      <c r="AF133" s="12" t="s">
        <v>3449</v>
      </c>
      <c r="AG133" s="12" t="s">
        <v>1092</v>
      </c>
      <c r="AH133" s="12" t="s">
        <v>1092</v>
      </c>
      <c r="AI133" s="12" t="s">
        <v>3450</v>
      </c>
      <c r="AJ133" s="12" t="s">
        <v>3451</v>
      </c>
      <c r="AK133" s="12" t="s">
        <v>3452</v>
      </c>
      <c r="AL133" s="12" t="s">
        <v>1092</v>
      </c>
      <c r="AM133" s="12" t="s">
        <v>1092</v>
      </c>
      <c r="AN133" s="12" t="s">
        <v>1092</v>
      </c>
      <c r="AO133" s="178" t="s">
        <v>1093</v>
      </c>
      <c r="AP133" s="178" t="s">
        <v>1093</v>
      </c>
      <c r="AQ133" s="178" t="s">
        <v>1093</v>
      </c>
      <c r="AR133" s="178" t="s">
        <v>1093</v>
      </c>
      <c r="AS133" s="178" t="s">
        <v>1118</v>
      </c>
      <c r="AT133" s="178" t="s">
        <v>1118</v>
      </c>
      <c r="AU133" s="178" t="s">
        <v>1118</v>
      </c>
      <c r="AV133" s="12" t="s">
        <v>1096</v>
      </c>
      <c r="AW133" s="12" t="s">
        <v>2270</v>
      </c>
      <c r="AY133" s="178" t="s">
        <v>1092</v>
      </c>
      <c r="AZ133" s="12" t="s">
        <v>3453</v>
      </c>
      <c r="BA133" s="12" t="s">
        <v>1098</v>
      </c>
      <c r="BB133" s="12" t="s">
        <v>1098</v>
      </c>
      <c r="BD133" s="12" t="s">
        <v>1092</v>
      </c>
      <c r="BE133" s="12" t="s">
        <v>118</v>
      </c>
      <c r="BF133" s="12" t="s">
        <v>4369</v>
      </c>
      <c r="BH133" s="12">
        <v>11111</v>
      </c>
      <c r="BI133" s="179">
        <v>103</v>
      </c>
      <c r="BJ133" s="12"/>
      <c r="BK133" s="176" t="s">
        <v>83</v>
      </c>
    </row>
    <row r="134" spans="1:63" x14ac:dyDescent="0.25">
      <c r="A134" s="12" t="s">
        <v>3847</v>
      </c>
      <c r="B134" s="12" t="s">
        <v>4296</v>
      </c>
      <c r="C134" s="12" t="s">
        <v>3643</v>
      </c>
      <c r="D134" s="12" t="s">
        <v>3644</v>
      </c>
      <c r="E134" s="175">
        <v>42205</v>
      </c>
      <c r="F134" s="12" t="s">
        <v>3645</v>
      </c>
      <c r="G134" s="12" t="s">
        <v>1075</v>
      </c>
      <c r="H134" s="12" t="s">
        <v>3646</v>
      </c>
      <c r="I134" s="12" t="s">
        <v>3647</v>
      </c>
      <c r="J134" s="12" t="s">
        <v>3648</v>
      </c>
      <c r="K134" s="12" t="s">
        <v>1103</v>
      </c>
      <c r="L134" s="12" t="s">
        <v>1104</v>
      </c>
      <c r="M134" s="12" t="s">
        <v>1125</v>
      </c>
      <c r="O134" s="178" t="s">
        <v>1451</v>
      </c>
      <c r="P134" s="178" t="s">
        <v>3649</v>
      </c>
      <c r="Q134" s="12" t="s">
        <v>1125</v>
      </c>
      <c r="R134" s="179">
        <v>104</v>
      </c>
      <c r="U134" s="12">
        <v>11111</v>
      </c>
      <c r="W134" s="12" t="s">
        <v>1083</v>
      </c>
      <c r="X134" s="12" t="s">
        <v>1519</v>
      </c>
      <c r="Y134" s="178" t="s">
        <v>2573</v>
      </c>
      <c r="Z134" s="12" t="s">
        <v>3650</v>
      </c>
      <c r="AA134" s="178" t="s">
        <v>1408</v>
      </c>
      <c r="AB134" s="12" t="s">
        <v>3651</v>
      </c>
      <c r="AC134" s="178" t="s">
        <v>1261</v>
      </c>
      <c r="AD134" s="12" t="s">
        <v>3651</v>
      </c>
      <c r="AE134" s="12" t="s">
        <v>1075</v>
      </c>
      <c r="AF134" s="12" t="s">
        <v>3652</v>
      </c>
      <c r="AG134" s="12" t="s">
        <v>1092</v>
      </c>
      <c r="AH134" s="12" t="s">
        <v>1092</v>
      </c>
      <c r="AI134" s="12" t="s">
        <v>3653</v>
      </c>
      <c r="AJ134" s="12" t="s">
        <v>3654</v>
      </c>
      <c r="AK134" s="12" t="s">
        <v>3655</v>
      </c>
      <c r="AL134" s="12" t="s">
        <v>1092</v>
      </c>
      <c r="AM134" s="12" t="s">
        <v>1092</v>
      </c>
      <c r="AN134" s="12" t="s">
        <v>1092</v>
      </c>
      <c r="AO134" s="178" t="s">
        <v>1093</v>
      </c>
      <c r="AP134" s="178" t="s">
        <v>1093</v>
      </c>
      <c r="AQ134" s="178" t="s">
        <v>1093</v>
      </c>
      <c r="AR134" s="178" t="s">
        <v>1093</v>
      </c>
      <c r="AS134" s="178" t="s">
        <v>1118</v>
      </c>
      <c r="AT134" s="178" t="s">
        <v>1118</v>
      </c>
      <c r="AU134" s="178" t="s">
        <v>1118</v>
      </c>
      <c r="AV134" s="12" t="s">
        <v>1096</v>
      </c>
      <c r="AW134" s="12" t="s">
        <v>2270</v>
      </c>
      <c r="AX134" s="178" t="s">
        <v>2882</v>
      </c>
      <c r="AY134" s="178" t="s">
        <v>1093</v>
      </c>
      <c r="AZ134" s="12" t="s">
        <v>3656</v>
      </c>
      <c r="BA134" s="12" t="s">
        <v>1098</v>
      </c>
      <c r="BB134" s="12" t="s">
        <v>3657</v>
      </c>
      <c r="BD134" s="12" t="s">
        <v>1092</v>
      </c>
      <c r="BE134" s="12" t="s">
        <v>118</v>
      </c>
      <c r="BF134" s="12" t="s">
        <v>4369</v>
      </c>
      <c r="BH134" s="12">
        <v>11111</v>
      </c>
      <c r="BI134" s="179">
        <v>104</v>
      </c>
      <c r="BJ134" s="12"/>
      <c r="BK134" s="176" t="s">
        <v>83</v>
      </c>
    </row>
    <row r="135" spans="1:63" x14ac:dyDescent="0.25">
      <c r="A135" s="12" t="s">
        <v>3847</v>
      </c>
      <c r="B135" s="12" t="s">
        <v>4297</v>
      </c>
      <c r="C135" s="12" t="s">
        <v>3659</v>
      </c>
      <c r="D135" s="12" t="s">
        <v>3660</v>
      </c>
      <c r="E135" s="175">
        <v>42205</v>
      </c>
      <c r="F135" s="12" t="s">
        <v>1345</v>
      </c>
      <c r="G135" s="12" t="s">
        <v>1075</v>
      </c>
      <c r="H135" s="12" t="s">
        <v>3661</v>
      </c>
      <c r="I135" s="12" t="s">
        <v>3662</v>
      </c>
      <c r="J135" s="12" t="s">
        <v>2179</v>
      </c>
      <c r="K135" s="12" t="s">
        <v>1514</v>
      </c>
      <c r="L135" s="12" t="s">
        <v>1515</v>
      </c>
      <c r="M135" s="12" t="s">
        <v>1516</v>
      </c>
      <c r="O135" s="178" t="s">
        <v>1181</v>
      </c>
      <c r="P135" s="178" t="s">
        <v>3663</v>
      </c>
      <c r="Q135" s="12" t="s">
        <v>1516</v>
      </c>
      <c r="R135" s="179">
        <v>105</v>
      </c>
      <c r="U135" s="12">
        <v>11111</v>
      </c>
      <c r="W135" s="12" t="s">
        <v>1083</v>
      </c>
      <c r="X135" s="12" t="s">
        <v>1879</v>
      </c>
      <c r="Y135" s="178" t="s">
        <v>1232</v>
      </c>
      <c r="Z135" s="12" t="s">
        <v>3664</v>
      </c>
      <c r="AA135" s="178" t="s">
        <v>1438</v>
      </c>
      <c r="AB135" s="12" t="s">
        <v>1506</v>
      </c>
      <c r="AD135" s="12" t="s">
        <v>1185</v>
      </c>
      <c r="AE135" s="12" t="s">
        <v>1075</v>
      </c>
      <c r="AF135" s="12" t="s">
        <v>3665</v>
      </c>
      <c r="AG135" s="12" t="s">
        <v>1236</v>
      </c>
      <c r="AH135" s="12" t="s">
        <v>3666</v>
      </c>
      <c r="AI135" s="12" t="s">
        <v>3667</v>
      </c>
      <c r="AJ135" s="12" t="s">
        <v>3668</v>
      </c>
      <c r="AK135" s="12" t="s">
        <v>1092</v>
      </c>
      <c r="AL135" s="12" t="s">
        <v>1092</v>
      </c>
      <c r="AM135" s="12" t="s">
        <v>1092</v>
      </c>
      <c r="AN135" s="12" t="s">
        <v>1092</v>
      </c>
      <c r="AO135" s="178" t="s">
        <v>1093</v>
      </c>
      <c r="AP135" s="178" t="s">
        <v>1093</v>
      </c>
      <c r="AQ135" s="178" t="s">
        <v>1093</v>
      </c>
      <c r="AR135" s="178" t="s">
        <v>1093</v>
      </c>
      <c r="AS135" s="178" t="s">
        <v>1118</v>
      </c>
      <c r="AT135" s="178" t="s">
        <v>1118</v>
      </c>
      <c r="AU135" s="178" t="s">
        <v>1118</v>
      </c>
      <c r="AV135" s="12" t="s">
        <v>1096</v>
      </c>
      <c r="AW135" s="12" t="s">
        <v>2270</v>
      </c>
      <c r="AX135" s="178" t="s">
        <v>2882</v>
      </c>
      <c r="AY135" s="178" t="s">
        <v>1157</v>
      </c>
      <c r="AZ135" s="12" t="s">
        <v>3669</v>
      </c>
      <c r="BA135" s="12" t="s">
        <v>1098</v>
      </c>
      <c r="BB135" s="12" t="s">
        <v>1098</v>
      </c>
      <c r="BD135" s="12" t="s">
        <v>1092</v>
      </c>
      <c r="BE135" s="12" t="s">
        <v>118</v>
      </c>
      <c r="BF135" s="12" t="s">
        <v>4369</v>
      </c>
      <c r="BH135" s="12">
        <v>11111</v>
      </c>
      <c r="BI135" s="179">
        <v>105</v>
      </c>
      <c r="BJ135" s="12"/>
      <c r="BK135" s="176" t="s">
        <v>83</v>
      </c>
    </row>
    <row r="136" spans="1:63" x14ac:dyDescent="0.25">
      <c r="A136" s="12" t="s">
        <v>3847</v>
      </c>
      <c r="B136" s="12" t="s">
        <v>4298</v>
      </c>
      <c r="C136" s="12" t="s">
        <v>3671</v>
      </c>
      <c r="D136" s="12" t="s">
        <v>3672</v>
      </c>
      <c r="E136" s="175">
        <v>42205</v>
      </c>
      <c r="F136" s="12" t="s">
        <v>3673</v>
      </c>
      <c r="G136" s="12" t="s">
        <v>1075</v>
      </c>
      <c r="H136" s="12" t="s">
        <v>3674</v>
      </c>
      <c r="I136" s="12" t="s">
        <v>3675</v>
      </c>
      <c r="K136" s="12" t="s">
        <v>1693</v>
      </c>
      <c r="L136" s="12" t="s">
        <v>1515</v>
      </c>
      <c r="M136" s="12" t="s">
        <v>1516</v>
      </c>
      <c r="O136" s="178" t="s">
        <v>2144</v>
      </c>
      <c r="P136" s="178" t="s">
        <v>3676</v>
      </c>
      <c r="Q136" s="12" t="s">
        <v>1516</v>
      </c>
      <c r="R136" s="179">
        <v>106</v>
      </c>
      <c r="U136" s="12">
        <v>11111</v>
      </c>
      <c r="W136" s="12" t="s">
        <v>1083</v>
      </c>
      <c r="X136" s="12" t="s">
        <v>2054</v>
      </c>
      <c r="Y136" s="178" t="s">
        <v>1938</v>
      </c>
      <c r="Z136" s="12" t="s">
        <v>3677</v>
      </c>
      <c r="AA136" s="178" t="s">
        <v>1520</v>
      </c>
      <c r="AB136" s="12" t="s">
        <v>3678</v>
      </c>
      <c r="AC136" s="178" t="s">
        <v>2624</v>
      </c>
      <c r="AD136" s="12" t="s">
        <v>3678</v>
      </c>
      <c r="AE136" s="12" t="s">
        <v>1075</v>
      </c>
      <c r="AF136" s="12" t="s">
        <v>3679</v>
      </c>
      <c r="AG136" s="12" t="s">
        <v>1092</v>
      </c>
      <c r="AH136" s="12" t="s">
        <v>1092</v>
      </c>
      <c r="AI136" s="12" t="s">
        <v>3680</v>
      </c>
      <c r="AJ136" s="12" t="s">
        <v>3681</v>
      </c>
      <c r="AK136" s="12" t="s">
        <v>3682</v>
      </c>
      <c r="AL136" s="12" t="s">
        <v>1092</v>
      </c>
      <c r="AM136" s="12" t="s">
        <v>1092</v>
      </c>
      <c r="AN136" s="12" t="s">
        <v>1092</v>
      </c>
      <c r="AO136" s="178" t="s">
        <v>1093</v>
      </c>
      <c r="AP136" s="178" t="s">
        <v>1093</v>
      </c>
      <c r="AQ136" s="178" t="s">
        <v>1093</v>
      </c>
      <c r="AR136" s="178" t="s">
        <v>1093</v>
      </c>
      <c r="AS136" s="178" t="s">
        <v>1118</v>
      </c>
      <c r="AT136" s="178" t="s">
        <v>1118</v>
      </c>
      <c r="AU136" s="178" t="s">
        <v>1118</v>
      </c>
      <c r="AV136" s="12" t="s">
        <v>1096</v>
      </c>
      <c r="AW136" s="12" t="s">
        <v>2270</v>
      </c>
      <c r="AY136" s="178" t="s">
        <v>1092</v>
      </c>
      <c r="AZ136" s="12" t="s">
        <v>3683</v>
      </c>
      <c r="BA136" s="12" t="s">
        <v>1098</v>
      </c>
      <c r="BB136" s="12" t="s">
        <v>1098</v>
      </c>
      <c r="BD136" s="12" t="s">
        <v>1092</v>
      </c>
      <c r="BE136" s="12" t="s">
        <v>118</v>
      </c>
      <c r="BF136" s="12" t="s">
        <v>4369</v>
      </c>
      <c r="BH136" s="12">
        <v>11111</v>
      </c>
      <c r="BI136" s="179">
        <v>106</v>
      </c>
      <c r="BJ136" s="12"/>
      <c r="BK136" s="176" t="s">
        <v>83</v>
      </c>
    </row>
    <row r="137" spans="1:63" x14ac:dyDescent="0.25">
      <c r="A137" s="12" t="s">
        <v>3132</v>
      </c>
      <c r="B137" s="12" t="s">
        <v>4299</v>
      </c>
      <c r="C137" s="12" t="s">
        <v>3758</v>
      </c>
      <c r="D137" s="12" t="s">
        <v>3759</v>
      </c>
      <c r="E137" s="175">
        <v>42205</v>
      </c>
      <c r="F137" s="12" t="s">
        <v>3760</v>
      </c>
      <c r="G137" s="12" t="s">
        <v>1075</v>
      </c>
      <c r="H137" s="12" t="s">
        <v>3761</v>
      </c>
      <c r="I137" s="12" t="s">
        <v>3762</v>
      </c>
      <c r="J137" s="12" t="s">
        <v>3763</v>
      </c>
      <c r="K137" s="12" t="s">
        <v>1103</v>
      </c>
      <c r="L137" s="12" t="s">
        <v>1124</v>
      </c>
      <c r="M137" s="12" t="s">
        <v>1105</v>
      </c>
      <c r="O137" s="178" t="s">
        <v>1163</v>
      </c>
      <c r="P137" s="178" t="s">
        <v>3764</v>
      </c>
      <c r="Q137" s="12" t="s">
        <v>1105</v>
      </c>
      <c r="R137" s="179">
        <v>107</v>
      </c>
      <c r="U137" s="12">
        <v>11111</v>
      </c>
      <c r="W137" s="12" t="s">
        <v>1083</v>
      </c>
      <c r="X137" s="12" t="s">
        <v>1412</v>
      </c>
      <c r="Y137" s="178" t="s">
        <v>2012</v>
      </c>
      <c r="Z137" s="12" t="s">
        <v>3765</v>
      </c>
      <c r="AA137" s="178" t="s">
        <v>1590</v>
      </c>
      <c r="AB137" s="12" t="s">
        <v>1684</v>
      </c>
      <c r="AC137" s="178" t="s">
        <v>1781</v>
      </c>
      <c r="AD137" s="12" t="s">
        <v>3766</v>
      </c>
      <c r="AE137" s="12" t="s">
        <v>1075</v>
      </c>
      <c r="AF137" s="12" t="s">
        <v>3767</v>
      </c>
      <c r="AG137" s="12" t="s">
        <v>1092</v>
      </c>
      <c r="AH137" s="12" t="s">
        <v>1092</v>
      </c>
      <c r="AI137" s="12" t="s">
        <v>3768</v>
      </c>
      <c r="AJ137" s="12" t="s">
        <v>3769</v>
      </c>
      <c r="AK137" s="12" t="s">
        <v>1092</v>
      </c>
      <c r="AL137" s="12" t="s">
        <v>1092</v>
      </c>
      <c r="AM137" s="12" t="s">
        <v>1092</v>
      </c>
      <c r="AN137" s="12" t="s">
        <v>1092</v>
      </c>
      <c r="AO137" s="178" t="s">
        <v>1093</v>
      </c>
      <c r="AP137" s="178" t="s">
        <v>1093</v>
      </c>
      <c r="AQ137" s="178" t="s">
        <v>1093</v>
      </c>
      <c r="AR137" s="178" t="s">
        <v>1093</v>
      </c>
      <c r="AS137" s="178" t="s">
        <v>1118</v>
      </c>
      <c r="AT137" s="178" t="s">
        <v>1118</v>
      </c>
      <c r="AU137" s="178" t="s">
        <v>1118</v>
      </c>
      <c r="AV137" s="12" t="s">
        <v>1096</v>
      </c>
      <c r="AW137" s="12" t="s">
        <v>2270</v>
      </c>
      <c r="AY137" s="178" t="s">
        <v>1092</v>
      </c>
      <c r="AZ137" s="12" t="s">
        <v>3770</v>
      </c>
      <c r="BA137" s="12" t="s">
        <v>1098</v>
      </c>
      <c r="BB137" s="12" t="s">
        <v>3771</v>
      </c>
      <c r="BD137" s="12" t="s">
        <v>1092</v>
      </c>
      <c r="BE137" s="12" t="s">
        <v>118</v>
      </c>
      <c r="BF137" s="12" t="s">
        <v>4369</v>
      </c>
      <c r="BH137" s="12">
        <v>11111</v>
      </c>
      <c r="BI137" s="179">
        <v>107</v>
      </c>
      <c r="BJ137" s="12"/>
      <c r="BK137" s="176" t="s">
        <v>83</v>
      </c>
    </row>
    <row r="138" spans="1:63" x14ac:dyDescent="0.25">
      <c r="A138" s="12" t="s">
        <v>3132</v>
      </c>
      <c r="B138" s="12" t="s">
        <v>4300</v>
      </c>
      <c r="C138" s="12" t="s">
        <v>3797</v>
      </c>
      <c r="D138" s="12" t="s">
        <v>3798</v>
      </c>
      <c r="E138" s="175">
        <v>42205</v>
      </c>
      <c r="F138" s="12" t="s">
        <v>1757</v>
      </c>
      <c r="G138" s="12" t="s">
        <v>1075</v>
      </c>
      <c r="H138" s="12" t="s">
        <v>3799</v>
      </c>
      <c r="I138" s="12" t="s">
        <v>3800</v>
      </c>
      <c r="J138" s="12" t="s">
        <v>3063</v>
      </c>
      <c r="K138" s="12" t="s">
        <v>1078</v>
      </c>
      <c r="L138" s="12" t="s">
        <v>1079</v>
      </c>
      <c r="M138" s="12" t="s">
        <v>1342</v>
      </c>
      <c r="O138" s="178" t="s">
        <v>1126</v>
      </c>
      <c r="P138" s="178" t="s">
        <v>3801</v>
      </c>
      <c r="Q138" s="12" t="s">
        <v>1342</v>
      </c>
      <c r="R138" s="179">
        <v>108</v>
      </c>
      <c r="U138" s="12">
        <v>11111</v>
      </c>
      <c r="W138" s="12" t="s">
        <v>1083</v>
      </c>
      <c r="X138" s="12" t="s">
        <v>1949</v>
      </c>
      <c r="Y138" s="178" t="s">
        <v>2815</v>
      </c>
      <c r="Z138" s="12" t="s">
        <v>3802</v>
      </c>
      <c r="AA138" s="178" t="s">
        <v>1938</v>
      </c>
      <c r="AB138" s="12" t="s">
        <v>1133</v>
      </c>
      <c r="AC138" s="178" t="s">
        <v>1440</v>
      </c>
      <c r="AD138" s="12" t="s">
        <v>3803</v>
      </c>
      <c r="AE138" s="12" t="s">
        <v>1075</v>
      </c>
      <c r="AF138" s="12" t="s">
        <v>3804</v>
      </c>
      <c r="AG138" s="12" t="s">
        <v>3805</v>
      </c>
      <c r="AH138" s="12" t="s">
        <v>1092</v>
      </c>
      <c r="AI138" s="12" t="s">
        <v>3806</v>
      </c>
      <c r="AJ138" s="12" t="s">
        <v>3807</v>
      </c>
      <c r="AK138" s="12" t="s">
        <v>3808</v>
      </c>
      <c r="AL138" s="12" t="s">
        <v>1092</v>
      </c>
      <c r="AM138" s="12" t="s">
        <v>1092</v>
      </c>
      <c r="AN138" s="12" t="s">
        <v>1092</v>
      </c>
      <c r="AO138" s="178" t="s">
        <v>1093</v>
      </c>
      <c r="AP138" s="178" t="s">
        <v>1093</v>
      </c>
      <c r="AQ138" s="178" t="s">
        <v>1093</v>
      </c>
      <c r="AR138" s="178" t="s">
        <v>1093</v>
      </c>
      <c r="AS138" s="178" t="s">
        <v>1118</v>
      </c>
      <c r="AT138" s="178" t="s">
        <v>1118</v>
      </c>
      <c r="AU138" s="178" t="s">
        <v>1118</v>
      </c>
      <c r="AV138" s="12" t="s">
        <v>1096</v>
      </c>
      <c r="AW138" s="12" t="s">
        <v>2270</v>
      </c>
      <c r="AY138" s="178" t="s">
        <v>1092</v>
      </c>
      <c r="AZ138" s="12" t="s">
        <v>3809</v>
      </c>
      <c r="BA138" s="12" t="s">
        <v>1098</v>
      </c>
      <c r="BB138" s="12" t="s">
        <v>1098</v>
      </c>
      <c r="BD138" s="12" t="s">
        <v>1092</v>
      </c>
      <c r="BE138" s="12" t="s">
        <v>118</v>
      </c>
      <c r="BF138" s="12" t="s">
        <v>4369</v>
      </c>
      <c r="BH138" s="12">
        <v>11111</v>
      </c>
      <c r="BI138" s="179">
        <v>108</v>
      </c>
      <c r="BJ138" s="12"/>
      <c r="BK138" s="176" t="s">
        <v>83</v>
      </c>
    </row>
    <row r="139" spans="1:63" x14ac:dyDescent="0.25">
      <c r="A139" s="12" t="s">
        <v>3132</v>
      </c>
      <c r="B139" s="12" t="s">
        <v>4301</v>
      </c>
      <c r="C139" s="12" t="s">
        <v>4302</v>
      </c>
      <c r="D139" s="12" t="s">
        <v>4303</v>
      </c>
      <c r="E139" s="175">
        <v>42205</v>
      </c>
      <c r="F139" s="12" t="s">
        <v>1355</v>
      </c>
      <c r="G139" s="12" t="s">
        <v>1075</v>
      </c>
      <c r="H139" s="12" t="s">
        <v>4304</v>
      </c>
      <c r="I139" s="12" t="s">
        <v>4305</v>
      </c>
      <c r="J139" s="12" t="s">
        <v>4306</v>
      </c>
      <c r="K139" s="12" t="s">
        <v>1226</v>
      </c>
      <c r="L139" s="12" t="s">
        <v>1227</v>
      </c>
      <c r="M139" s="12" t="s">
        <v>1228</v>
      </c>
      <c r="O139" s="178" t="s">
        <v>1163</v>
      </c>
      <c r="P139" s="178" t="s">
        <v>4307</v>
      </c>
      <c r="Q139" s="12" t="s">
        <v>1228</v>
      </c>
      <c r="R139" s="179">
        <v>109</v>
      </c>
      <c r="U139" s="12">
        <v>11111</v>
      </c>
      <c r="W139" s="12" t="s">
        <v>1083</v>
      </c>
      <c r="X139" s="12" t="s">
        <v>1949</v>
      </c>
      <c r="Z139" s="12" t="s">
        <v>1185</v>
      </c>
      <c r="AB139" s="12" t="s">
        <v>1185</v>
      </c>
      <c r="AD139" s="12" t="s">
        <v>1185</v>
      </c>
      <c r="AE139" s="12" t="s">
        <v>1075</v>
      </c>
      <c r="AF139" s="12" t="s">
        <v>4308</v>
      </c>
      <c r="AG139" s="12" t="s">
        <v>1092</v>
      </c>
      <c r="AH139" s="12" t="s">
        <v>1092</v>
      </c>
      <c r="AI139" s="12" t="s">
        <v>4309</v>
      </c>
      <c r="AJ139" s="12" t="s">
        <v>4310</v>
      </c>
      <c r="AK139" s="12" t="s">
        <v>4311</v>
      </c>
      <c r="AL139" s="12" t="s">
        <v>4312</v>
      </c>
      <c r="AM139" s="12" t="s">
        <v>1092</v>
      </c>
      <c r="AN139" s="12" t="s">
        <v>1092</v>
      </c>
      <c r="AO139" s="178" t="s">
        <v>1092</v>
      </c>
      <c r="AP139" s="178" t="s">
        <v>1092</v>
      </c>
      <c r="AQ139" s="178" t="s">
        <v>1092</v>
      </c>
      <c r="AR139" s="178" t="s">
        <v>1093</v>
      </c>
      <c r="AS139" s="178" t="s">
        <v>1155</v>
      </c>
      <c r="AT139" s="178" t="s">
        <v>1095</v>
      </c>
      <c r="AU139" s="178" t="s">
        <v>1118</v>
      </c>
      <c r="AV139" s="12" t="s">
        <v>1096</v>
      </c>
      <c r="AW139" s="12" t="s">
        <v>2270</v>
      </c>
      <c r="AY139" s="178" t="s">
        <v>1092</v>
      </c>
      <c r="AZ139" s="12" t="s">
        <v>4313</v>
      </c>
      <c r="BA139" s="12" t="s">
        <v>1098</v>
      </c>
      <c r="BB139" s="12" t="s">
        <v>1098</v>
      </c>
      <c r="BD139" s="12" t="s">
        <v>1092</v>
      </c>
      <c r="BE139" s="12" t="s">
        <v>118</v>
      </c>
      <c r="BF139" s="12" t="s">
        <v>4369</v>
      </c>
      <c r="BH139" s="12">
        <v>11111</v>
      </c>
      <c r="BI139" s="179">
        <v>109</v>
      </c>
      <c r="BJ139" s="12"/>
      <c r="BK139" s="12"/>
    </row>
    <row r="140" spans="1:63" x14ac:dyDescent="0.25">
      <c r="A140" s="12" t="s">
        <v>3132</v>
      </c>
      <c r="B140" s="12" t="s">
        <v>4314</v>
      </c>
      <c r="C140" s="12" t="s">
        <v>3811</v>
      </c>
      <c r="D140" s="12" t="s">
        <v>3812</v>
      </c>
      <c r="E140" s="175">
        <v>42205</v>
      </c>
      <c r="F140" s="12" t="s">
        <v>2264</v>
      </c>
      <c r="G140" s="12" t="s">
        <v>1075</v>
      </c>
      <c r="H140" s="12" t="s">
        <v>3813</v>
      </c>
      <c r="I140" s="12" t="s">
        <v>2021</v>
      </c>
      <c r="J140" s="12" t="s">
        <v>3814</v>
      </c>
      <c r="K140" s="12" t="s">
        <v>1103</v>
      </c>
      <c r="L140" s="12" t="s">
        <v>1179</v>
      </c>
      <c r="M140" s="12" t="s">
        <v>1244</v>
      </c>
      <c r="O140" s="178" t="s">
        <v>1181</v>
      </c>
      <c r="P140" s="178" t="s">
        <v>3815</v>
      </c>
      <c r="Q140" s="12" t="s">
        <v>1244</v>
      </c>
      <c r="R140" s="179">
        <v>110</v>
      </c>
      <c r="S140" s="12" t="s">
        <v>3816</v>
      </c>
      <c r="U140" s="12">
        <v>11111</v>
      </c>
      <c r="W140" s="12" t="s">
        <v>1083</v>
      </c>
      <c r="X140" s="12" t="s">
        <v>1359</v>
      </c>
      <c r="Y140" s="178" t="s">
        <v>2445</v>
      </c>
      <c r="Z140" s="12" t="s">
        <v>1348</v>
      </c>
      <c r="AA140" s="178" t="s">
        <v>2445</v>
      </c>
      <c r="AB140" s="12" t="s">
        <v>3817</v>
      </c>
      <c r="AC140" s="178" t="s">
        <v>2264</v>
      </c>
      <c r="AD140" s="12" t="s">
        <v>2475</v>
      </c>
      <c r="AE140" s="12" t="s">
        <v>1075</v>
      </c>
      <c r="AF140" s="12" t="s">
        <v>3818</v>
      </c>
      <c r="AG140" s="12" t="s">
        <v>1236</v>
      </c>
      <c r="AH140" s="12" t="s">
        <v>1092</v>
      </c>
      <c r="AI140" s="12" t="s">
        <v>3819</v>
      </c>
      <c r="AJ140" s="12" t="s">
        <v>3820</v>
      </c>
      <c r="AK140" s="12" t="s">
        <v>1092</v>
      </c>
      <c r="AL140" s="12" t="s">
        <v>1092</v>
      </c>
      <c r="AM140" s="12" t="s">
        <v>1092</v>
      </c>
      <c r="AN140" s="12" t="s">
        <v>1092</v>
      </c>
      <c r="AO140" s="178" t="s">
        <v>1093</v>
      </c>
      <c r="AP140" s="178" t="s">
        <v>1093</v>
      </c>
      <c r="AQ140" s="178" t="s">
        <v>1093</v>
      </c>
      <c r="AR140" s="178" t="s">
        <v>1093</v>
      </c>
      <c r="AS140" s="178" t="s">
        <v>1118</v>
      </c>
      <c r="AT140" s="178" t="s">
        <v>1118</v>
      </c>
      <c r="AU140" s="178" t="s">
        <v>1118</v>
      </c>
      <c r="AV140" s="12" t="s">
        <v>1096</v>
      </c>
      <c r="AW140" s="12" t="s">
        <v>2270</v>
      </c>
      <c r="AX140" s="178" t="s">
        <v>3732</v>
      </c>
      <c r="AY140" s="178" t="s">
        <v>1157</v>
      </c>
      <c r="AZ140" s="12" t="s">
        <v>3821</v>
      </c>
      <c r="BA140" s="12" t="s">
        <v>1098</v>
      </c>
      <c r="BB140" s="12" t="s">
        <v>1098</v>
      </c>
      <c r="BD140" s="12" t="s">
        <v>1092</v>
      </c>
      <c r="BE140" s="12" t="s">
        <v>118</v>
      </c>
      <c r="BF140" s="12" t="s">
        <v>4369</v>
      </c>
      <c r="BH140" s="12">
        <v>11111</v>
      </c>
      <c r="BI140" s="179">
        <v>110</v>
      </c>
      <c r="BJ140" s="12"/>
      <c r="BK140" s="176" t="s">
        <v>83</v>
      </c>
    </row>
    <row r="141" spans="1:63" x14ac:dyDescent="0.25">
      <c r="A141" s="12" t="s">
        <v>3132</v>
      </c>
      <c r="B141" s="12" t="s">
        <v>4315</v>
      </c>
      <c r="C141" s="12" t="s">
        <v>3685</v>
      </c>
      <c r="D141" s="12" t="s">
        <v>3686</v>
      </c>
      <c r="E141" s="175">
        <v>42205</v>
      </c>
      <c r="F141" s="12" t="s">
        <v>1491</v>
      </c>
      <c r="G141" s="12" t="s">
        <v>1075</v>
      </c>
      <c r="H141" s="12" t="s">
        <v>3687</v>
      </c>
      <c r="I141" s="12" t="s">
        <v>3688</v>
      </c>
      <c r="K141" s="12" t="s">
        <v>1078</v>
      </c>
      <c r="L141" s="12" t="s">
        <v>1079</v>
      </c>
      <c r="M141" s="12" t="s">
        <v>1342</v>
      </c>
      <c r="O141" s="178" t="s">
        <v>1181</v>
      </c>
      <c r="P141" s="178" t="s">
        <v>3689</v>
      </c>
      <c r="Q141" s="12" t="s">
        <v>1342</v>
      </c>
      <c r="R141" s="179">
        <v>111</v>
      </c>
      <c r="U141" s="12">
        <v>11111</v>
      </c>
      <c r="W141" s="12" t="s">
        <v>1083</v>
      </c>
      <c r="X141" s="12" t="s">
        <v>3690</v>
      </c>
      <c r="Y141" s="178" t="s">
        <v>1898</v>
      </c>
      <c r="Z141" s="12" t="s">
        <v>3691</v>
      </c>
      <c r="AA141" s="178" t="s">
        <v>1087</v>
      </c>
      <c r="AB141" s="12" t="s">
        <v>3692</v>
      </c>
      <c r="AC141" s="178" t="s">
        <v>1853</v>
      </c>
      <c r="AD141" s="12" t="s">
        <v>1506</v>
      </c>
      <c r="AE141" s="12" t="s">
        <v>1075</v>
      </c>
      <c r="AF141" s="12" t="s">
        <v>3693</v>
      </c>
      <c r="AG141" s="12" t="s">
        <v>1092</v>
      </c>
      <c r="AH141" s="12" t="s">
        <v>1092</v>
      </c>
      <c r="AI141" s="12" t="s">
        <v>3694</v>
      </c>
      <c r="AJ141" s="12" t="s">
        <v>3695</v>
      </c>
      <c r="AK141" s="12" t="s">
        <v>1092</v>
      </c>
      <c r="AL141" s="12" t="s">
        <v>1092</v>
      </c>
      <c r="AM141" s="12" t="s">
        <v>1092</v>
      </c>
      <c r="AN141" s="12" t="s">
        <v>1092</v>
      </c>
      <c r="AO141" s="178" t="s">
        <v>1093</v>
      </c>
      <c r="AP141" s="178" t="s">
        <v>1093</v>
      </c>
      <c r="AQ141" s="178" t="s">
        <v>1093</v>
      </c>
      <c r="AR141" s="178" t="s">
        <v>1093</v>
      </c>
      <c r="AS141" s="178" t="s">
        <v>1118</v>
      </c>
      <c r="AT141" s="178" t="s">
        <v>1118</v>
      </c>
      <c r="AU141" s="178" t="s">
        <v>1118</v>
      </c>
      <c r="AV141" s="12" t="s">
        <v>1096</v>
      </c>
      <c r="AW141" s="12" t="s">
        <v>2270</v>
      </c>
      <c r="AY141" s="178" t="s">
        <v>1092</v>
      </c>
      <c r="AZ141" s="12" t="s">
        <v>3696</v>
      </c>
      <c r="BA141" s="12" t="s">
        <v>1098</v>
      </c>
      <c r="BB141" s="12" t="s">
        <v>1098</v>
      </c>
      <c r="BD141" s="12" t="s">
        <v>1092</v>
      </c>
      <c r="BE141" s="12" t="s">
        <v>118</v>
      </c>
      <c r="BF141" s="12" t="s">
        <v>4369</v>
      </c>
      <c r="BH141" s="12">
        <v>11111</v>
      </c>
      <c r="BI141" s="179">
        <v>111</v>
      </c>
      <c r="BJ141" s="12"/>
      <c r="BK141" s="176" t="s">
        <v>83</v>
      </c>
    </row>
    <row r="142" spans="1:63" x14ac:dyDescent="0.25">
      <c r="A142" s="12" t="s">
        <v>3132</v>
      </c>
      <c r="B142" s="12" t="s">
        <v>4316</v>
      </c>
      <c r="C142" s="12" t="s">
        <v>3721</v>
      </c>
      <c r="D142" s="12" t="s">
        <v>3722</v>
      </c>
      <c r="E142" s="175">
        <v>42205</v>
      </c>
      <c r="F142" s="12" t="s">
        <v>1400</v>
      </c>
      <c r="G142" s="12" t="s">
        <v>1075</v>
      </c>
      <c r="H142" s="12" t="s">
        <v>3723</v>
      </c>
      <c r="I142" s="12" t="s">
        <v>2178</v>
      </c>
      <c r="J142" s="12" t="s">
        <v>2212</v>
      </c>
      <c r="K142" s="12" t="s">
        <v>1078</v>
      </c>
      <c r="L142" s="12" t="s">
        <v>1079</v>
      </c>
      <c r="M142" s="12" t="s">
        <v>1342</v>
      </c>
      <c r="O142" s="178" t="s">
        <v>1181</v>
      </c>
      <c r="P142" s="178" t="s">
        <v>3724</v>
      </c>
      <c r="Q142" s="12" t="s">
        <v>1342</v>
      </c>
      <c r="R142" s="179">
        <v>112</v>
      </c>
      <c r="U142" s="12">
        <v>11111</v>
      </c>
      <c r="W142" s="12" t="s">
        <v>1083</v>
      </c>
      <c r="X142" s="12" t="s">
        <v>1464</v>
      </c>
      <c r="Y142" s="178" t="s">
        <v>2328</v>
      </c>
      <c r="Z142" s="12" t="s">
        <v>3725</v>
      </c>
      <c r="AA142" s="178" t="s">
        <v>1198</v>
      </c>
      <c r="AB142" s="12" t="s">
        <v>3726</v>
      </c>
      <c r="AC142" s="178" t="s">
        <v>2182</v>
      </c>
      <c r="AD142" s="12" t="s">
        <v>3727</v>
      </c>
      <c r="AE142" s="12" t="s">
        <v>1075</v>
      </c>
      <c r="AF142" s="12" t="s">
        <v>3728</v>
      </c>
      <c r="AG142" s="12" t="s">
        <v>1092</v>
      </c>
      <c r="AH142" s="12" t="s">
        <v>1092</v>
      </c>
      <c r="AI142" s="12" t="s">
        <v>3729</v>
      </c>
      <c r="AJ142" s="12" t="s">
        <v>3730</v>
      </c>
      <c r="AK142" s="12" t="s">
        <v>3731</v>
      </c>
      <c r="AL142" s="12" t="s">
        <v>1092</v>
      </c>
      <c r="AM142" s="12" t="s">
        <v>1092</v>
      </c>
      <c r="AN142" s="12" t="s">
        <v>1092</v>
      </c>
      <c r="AO142" s="178" t="s">
        <v>1093</v>
      </c>
      <c r="AP142" s="178" t="s">
        <v>1093</v>
      </c>
      <c r="AQ142" s="178" t="s">
        <v>1093</v>
      </c>
      <c r="AR142" s="178" t="s">
        <v>1093</v>
      </c>
      <c r="AS142" s="178" t="s">
        <v>1118</v>
      </c>
      <c r="AT142" s="178" t="s">
        <v>1118</v>
      </c>
      <c r="AU142" s="178" t="s">
        <v>1118</v>
      </c>
      <c r="AV142" s="12" t="s">
        <v>1096</v>
      </c>
      <c r="AW142" s="12" t="s">
        <v>2270</v>
      </c>
      <c r="AX142" s="178" t="s">
        <v>3732</v>
      </c>
      <c r="AY142" s="178" t="s">
        <v>1157</v>
      </c>
      <c r="AZ142" s="12" t="s">
        <v>3733</v>
      </c>
      <c r="BA142" s="12" t="s">
        <v>1098</v>
      </c>
      <c r="BB142" s="12" t="s">
        <v>1098</v>
      </c>
      <c r="BD142" s="12" t="s">
        <v>1092</v>
      </c>
      <c r="BE142" s="12" t="s">
        <v>118</v>
      </c>
      <c r="BF142" s="12" t="s">
        <v>4369</v>
      </c>
      <c r="BH142" s="12">
        <v>11111</v>
      </c>
      <c r="BI142" s="179">
        <v>112</v>
      </c>
      <c r="BJ142" s="12"/>
      <c r="BK142" s="176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44"/>
  <sheetViews>
    <sheetView tabSelected="1" workbookViewId="0">
      <selection sqref="A1:XFD1048576"/>
    </sheetView>
  </sheetViews>
  <sheetFormatPr defaultRowHeight="15" x14ac:dyDescent="0.25"/>
  <cols>
    <col min="1" max="2" width="9.140625" style="12"/>
    <col min="3" max="3" width="11.42578125" style="12" customWidth="1"/>
    <col min="4" max="16384" width="9.140625" style="12"/>
  </cols>
  <sheetData>
    <row r="1" spans="1:8" x14ac:dyDescent="0.25">
      <c r="A1" s="182" t="s">
        <v>4317</v>
      </c>
      <c r="B1" s="182" t="s">
        <v>4318</v>
      </c>
      <c r="C1" s="182" t="s">
        <v>4319</v>
      </c>
      <c r="D1" s="182" t="s">
        <v>4320</v>
      </c>
      <c r="E1" s="182" t="s">
        <v>4321</v>
      </c>
      <c r="F1" s="182" t="s">
        <v>4322</v>
      </c>
      <c r="G1" s="182" t="s">
        <v>4323</v>
      </c>
      <c r="H1" s="182" t="s">
        <v>4324</v>
      </c>
    </row>
    <row r="2" spans="1:8" x14ac:dyDescent="0.25">
      <c r="A2" s="12">
        <v>53732</v>
      </c>
      <c r="B2" s="12" t="s">
        <v>121</v>
      </c>
      <c r="C2" s="183">
        <v>42210</v>
      </c>
      <c r="D2" s="12">
        <v>2</v>
      </c>
      <c r="E2" s="12" t="s">
        <v>2529</v>
      </c>
      <c r="F2" s="12" t="s">
        <v>1181</v>
      </c>
      <c r="G2" s="12" t="s">
        <v>4325</v>
      </c>
      <c r="H2" s="12" t="s">
        <v>4326</v>
      </c>
    </row>
    <row r="3" spans="1:8" x14ac:dyDescent="0.25">
      <c r="A3" s="12">
        <v>53732</v>
      </c>
      <c r="B3" s="12" t="s">
        <v>121</v>
      </c>
      <c r="C3" s="2"/>
      <c r="E3" s="12" t="s">
        <v>4327</v>
      </c>
      <c r="F3" s="12" t="s">
        <v>1142</v>
      </c>
      <c r="G3" s="12" t="s">
        <v>4328</v>
      </c>
      <c r="H3" s="12" t="s">
        <v>4326</v>
      </c>
    </row>
    <row r="4" spans="1:8" x14ac:dyDescent="0.25">
      <c r="A4" s="12">
        <v>53732</v>
      </c>
      <c r="B4" s="12" t="s">
        <v>121</v>
      </c>
      <c r="C4" s="2"/>
      <c r="E4" s="12" t="s">
        <v>2572</v>
      </c>
      <c r="F4" s="12" t="s">
        <v>1126</v>
      </c>
      <c r="G4" s="12" t="s">
        <v>4329</v>
      </c>
      <c r="H4" s="12" t="s">
        <v>4330</v>
      </c>
    </row>
    <row r="5" spans="1:8" x14ac:dyDescent="0.25">
      <c r="A5" s="12">
        <v>53732</v>
      </c>
      <c r="B5" s="12" t="s">
        <v>121</v>
      </c>
      <c r="C5" s="2"/>
      <c r="E5" s="12" t="s">
        <v>2804</v>
      </c>
      <c r="F5" s="12" t="s">
        <v>1451</v>
      </c>
      <c r="G5" s="12" t="s">
        <v>4331</v>
      </c>
      <c r="H5" s="12" t="s">
        <v>4330</v>
      </c>
    </row>
    <row r="6" spans="1:8" x14ac:dyDescent="0.25">
      <c r="A6" s="12">
        <v>53732</v>
      </c>
      <c r="B6" s="12" t="s">
        <v>121</v>
      </c>
      <c r="C6" s="2"/>
      <c r="E6" s="12" t="s">
        <v>4332</v>
      </c>
      <c r="F6" s="12" t="s">
        <v>1163</v>
      </c>
      <c r="G6" s="12" t="s">
        <v>4333</v>
      </c>
      <c r="H6" s="12" t="s">
        <v>4330</v>
      </c>
    </row>
    <row r="7" spans="1:8" x14ac:dyDescent="0.25">
      <c r="A7" s="12">
        <v>53732</v>
      </c>
      <c r="B7" s="12" t="s">
        <v>121</v>
      </c>
      <c r="C7" s="2"/>
      <c r="E7" s="12" t="s">
        <v>3042</v>
      </c>
      <c r="F7" s="12" t="s">
        <v>1936</v>
      </c>
      <c r="G7" s="12" t="s">
        <v>4334</v>
      </c>
      <c r="H7" s="12" t="s">
        <v>4330</v>
      </c>
    </row>
    <row r="8" spans="1:8" x14ac:dyDescent="0.25">
      <c r="A8" s="12">
        <v>53732</v>
      </c>
      <c r="B8" s="12" t="s">
        <v>121</v>
      </c>
      <c r="C8" s="2"/>
      <c r="E8" s="12" t="s">
        <v>4335</v>
      </c>
      <c r="F8" s="12" t="s">
        <v>4336</v>
      </c>
      <c r="G8" s="12" t="s">
        <v>4337</v>
      </c>
      <c r="H8" s="12" t="s">
        <v>4330</v>
      </c>
    </row>
    <row r="9" spans="1:8" x14ac:dyDescent="0.25">
      <c r="A9" s="12">
        <v>53732</v>
      </c>
      <c r="B9" s="12" t="s">
        <v>121</v>
      </c>
      <c r="C9" s="2"/>
      <c r="E9" s="12" t="s">
        <v>4338</v>
      </c>
      <c r="F9" s="12" t="s">
        <v>4336</v>
      </c>
      <c r="G9" s="12" t="s">
        <v>4337</v>
      </c>
      <c r="H9" s="12" t="s">
        <v>4330</v>
      </c>
    </row>
    <row r="10" spans="1:8" x14ac:dyDescent="0.25">
      <c r="A10" s="12">
        <v>53732</v>
      </c>
      <c r="B10" s="12" t="s">
        <v>121</v>
      </c>
      <c r="C10" s="2"/>
      <c r="E10" s="12" t="s">
        <v>2726</v>
      </c>
      <c r="F10" s="12" t="s">
        <v>1801</v>
      </c>
      <c r="G10" s="12" t="s">
        <v>4339</v>
      </c>
      <c r="H10" s="12" t="s">
        <v>4326</v>
      </c>
    </row>
    <row r="11" spans="1:8" x14ac:dyDescent="0.25">
      <c r="A11" s="12">
        <v>53732</v>
      </c>
      <c r="B11" s="12" t="s">
        <v>121</v>
      </c>
      <c r="C11" s="2"/>
      <c r="E11" s="12">
        <v>233133888</v>
      </c>
      <c r="F11" s="12" t="s">
        <v>1741</v>
      </c>
      <c r="G11" s="12" t="s">
        <v>4340</v>
      </c>
      <c r="H11" s="12" t="s">
        <v>4341</v>
      </c>
    </row>
    <row r="12" spans="1:8" x14ac:dyDescent="0.25">
      <c r="A12" s="12">
        <v>53732</v>
      </c>
      <c r="B12" s="12" t="s">
        <v>121</v>
      </c>
      <c r="C12" s="2"/>
      <c r="E12" s="12">
        <v>260156751</v>
      </c>
      <c r="F12" s="12" t="s">
        <v>1396</v>
      </c>
      <c r="G12" s="12" t="s">
        <v>4342</v>
      </c>
      <c r="H12" s="12" t="s">
        <v>4326</v>
      </c>
    </row>
    <row r="13" spans="1:8" x14ac:dyDescent="0.25">
      <c r="A13" s="12">
        <v>53732</v>
      </c>
      <c r="B13" s="12" t="s">
        <v>121</v>
      </c>
      <c r="C13" s="2"/>
      <c r="E13" s="12">
        <v>260160327</v>
      </c>
      <c r="F13" s="12" t="s">
        <v>1396</v>
      </c>
      <c r="G13" s="12" t="s">
        <v>4342</v>
      </c>
      <c r="H13" s="12" t="s">
        <v>4326</v>
      </c>
    </row>
    <row r="14" spans="1:8" x14ac:dyDescent="0.25">
      <c r="A14" s="12">
        <v>53732</v>
      </c>
      <c r="B14" s="12" t="s">
        <v>121</v>
      </c>
      <c r="C14" s="2"/>
      <c r="E14" s="12" t="s">
        <v>4343</v>
      </c>
      <c r="F14" s="12" t="s">
        <v>1549</v>
      </c>
      <c r="G14" s="12" t="s">
        <v>4344</v>
      </c>
      <c r="H14" s="12" t="s">
        <v>4326</v>
      </c>
    </row>
    <row r="15" spans="1:8" x14ac:dyDescent="0.25">
      <c r="A15" s="12">
        <v>53732</v>
      </c>
      <c r="B15" s="12" t="s">
        <v>121</v>
      </c>
      <c r="C15" s="2"/>
      <c r="E15" s="184" t="s">
        <v>4345</v>
      </c>
      <c r="F15" s="12" t="s">
        <v>3573</v>
      </c>
      <c r="G15" s="12" t="s">
        <v>4346</v>
      </c>
      <c r="H15" s="12" t="s">
        <v>4326</v>
      </c>
    </row>
    <row r="16" spans="1:8" x14ac:dyDescent="0.25">
      <c r="A16" s="12">
        <v>53732</v>
      </c>
      <c r="B16" s="12" t="s">
        <v>121</v>
      </c>
      <c r="C16" s="183">
        <v>42209</v>
      </c>
      <c r="D16" s="12">
        <v>3</v>
      </c>
      <c r="E16" s="12" t="s">
        <v>2755</v>
      </c>
      <c r="F16" s="12" t="s">
        <v>1181</v>
      </c>
      <c r="G16" s="12" t="s">
        <v>4325</v>
      </c>
      <c r="H16" s="12" t="s">
        <v>4326</v>
      </c>
    </row>
    <row r="17" spans="1:8" x14ac:dyDescent="0.25">
      <c r="A17" s="12">
        <v>53732</v>
      </c>
      <c r="B17" s="12" t="s">
        <v>121</v>
      </c>
      <c r="C17" s="2"/>
      <c r="E17" s="12" t="s">
        <v>2613</v>
      </c>
      <c r="F17" s="12" t="s">
        <v>1126</v>
      </c>
      <c r="G17" s="12" t="s">
        <v>4329</v>
      </c>
      <c r="H17" s="12" t="s">
        <v>4330</v>
      </c>
    </row>
    <row r="18" spans="1:8" x14ac:dyDescent="0.25">
      <c r="A18" s="12">
        <v>53732</v>
      </c>
      <c r="B18" s="12" t="s">
        <v>121</v>
      </c>
      <c r="C18" s="2"/>
      <c r="E18" s="12" t="s">
        <v>4347</v>
      </c>
      <c r="F18" s="12" t="s">
        <v>4348</v>
      </c>
      <c r="G18" s="12" t="s">
        <v>4349</v>
      </c>
      <c r="H18" s="12" t="s">
        <v>4330</v>
      </c>
    </row>
    <row r="19" spans="1:8" x14ac:dyDescent="0.25">
      <c r="A19" s="12">
        <v>53732</v>
      </c>
      <c r="B19" s="12" t="s">
        <v>121</v>
      </c>
      <c r="C19" s="2"/>
      <c r="E19" s="12" t="s">
        <v>2542</v>
      </c>
      <c r="F19" s="12" t="s">
        <v>1163</v>
      </c>
      <c r="G19" s="12" t="s">
        <v>4333</v>
      </c>
      <c r="H19" s="12" t="s">
        <v>4330</v>
      </c>
    </row>
    <row r="20" spans="1:8" x14ac:dyDescent="0.25">
      <c r="A20" s="12">
        <v>53732</v>
      </c>
      <c r="B20" s="12" t="s">
        <v>121</v>
      </c>
      <c r="C20" s="2"/>
      <c r="E20" s="12" t="s">
        <v>4350</v>
      </c>
      <c r="F20" s="12" t="s">
        <v>4348</v>
      </c>
      <c r="G20" s="12" t="s">
        <v>4349</v>
      </c>
      <c r="H20" s="12" t="s">
        <v>4330</v>
      </c>
    </row>
    <row r="21" spans="1:8" x14ac:dyDescent="0.25">
      <c r="A21" s="12">
        <v>53732</v>
      </c>
      <c r="B21" s="12" t="s">
        <v>121</v>
      </c>
      <c r="C21" s="2"/>
      <c r="E21" s="12" t="s">
        <v>4351</v>
      </c>
      <c r="F21" s="12" t="s">
        <v>4352</v>
      </c>
      <c r="G21" s="12" t="s">
        <v>4353</v>
      </c>
      <c r="H21" s="12" t="s">
        <v>4330</v>
      </c>
    </row>
    <row r="22" spans="1:8" x14ac:dyDescent="0.25">
      <c r="A22" s="12">
        <v>53732</v>
      </c>
      <c r="B22" s="12" t="s">
        <v>121</v>
      </c>
      <c r="C22" s="2"/>
      <c r="E22" s="12" t="s">
        <v>2955</v>
      </c>
      <c r="F22" s="12" t="s">
        <v>1936</v>
      </c>
      <c r="G22" s="12" t="s">
        <v>4334</v>
      </c>
      <c r="H22" s="12" t="s">
        <v>4330</v>
      </c>
    </row>
    <row r="23" spans="1:8" x14ac:dyDescent="0.25">
      <c r="A23" s="12">
        <v>53732</v>
      </c>
      <c r="B23" s="12" t="s">
        <v>121</v>
      </c>
      <c r="C23" s="2"/>
      <c r="E23" s="12" t="s">
        <v>4354</v>
      </c>
      <c r="F23" s="12" t="s">
        <v>1343</v>
      </c>
      <c r="G23" s="12" t="s">
        <v>4355</v>
      </c>
      <c r="H23" s="12" t="s">
        <v>4330</v>
      </c>
    </row>
    <row r="24" spans="1:8" x14ac:dyDescent="0.25">
      <c r="A24" s="12">
        <v>53732</v>
      </c>
      <c r="B24" s="12" t="s">
        <v>121</v>
      </c>
      <c r="C24" s="2"/>
      <c r="E24" s="12" t="s">
        <v>4356</v>
      </c>
      <c r="F24" s="12" t="s">
        <v>1343</v>
      </c>
      <c r="G24" s="12" t="s">
        <v>4355</v>
      </c>
      <c r="H24" s="12" t="s">
        <v>4330</v>
      </c>
    </row>
    <row r="25" spans="1:8" x14ac:dyDescent="0.25">
      <c r="A25" s="12">
        <v>53732</v>
      </c>
      <c r="B25" s="12" t="s">
        <v>121</v>
      </c>
      <c r="C25" s="2"/>
      <c r="E25" s="12" t="s">
        <v>4357</v>
      </c>
      <c r="F25" s="12" t="s">
        <v>4336</v>
      </c>
      <c r="G25" s="12" t="s">
        <v>4337</v>
      </c>
      <c r="H25" s="12" t="s">
        <v>4330</v>
      </c>
    </row>
    <row r="26" spans="1:8" x14ac:dyDescent="0.25">
      <c r="A26" s="12">
        <v>53732</v>
      </c>
      <c r="B26" s="12" t="s">
        <v>121</v>
      </c>
      <c r="C26" s="2"/>
      <c r="E26" s="12" t="s">
        <v>4358</v>
      </c>
      <c r="F26" s="12" t="s">
        <v>1343</v>
      </c>
      <c r="G26" s="12" t="s">
        <v>4355</v>
      </c>
      <c r="H26" s="12" t="s">
        <v>4330</v>
      </c>
    </row>
    <row r="27" spans="1:8" x14ac:dyDescent="0.25">
      <c r="A27" s="12">
        <v>53732</v>
      </c>
      <c r="B27" s="12" t="s">
        <v>121</v>
      </c>
      <c r="C27" s="2"/>
      <c r="E27" s="12" t="s">
        <v>4359</v>
      </c>
      <c r="F27" s="12" t="s">
        <v>4336</v>
      </c>
      <c r="G27" s="12" t="s">
        <v>4337</v>
      </c>
      <c r="H27" s="12" t="s">
        <v>4330</v>
      </c>
    </row>
    <row r="28" spans="1:8" x14ac:dyDescent="0.25">
      <c r="A28" s="12">
        <v>53732</v>
      </c>
      <c r="B28" s="12" t="s">
        <v>121</v>
      </c>
      <c r="C28" s="2"/>
      <c r="E28" s="12">
        <v>236991819</v>
      </c>
      <c r="F28" s="12" t="s">
        <v>1275</v>
      </c>
      <c r="G28" s="12" t="s">
        <v>4360</v>
      </c>
      <c r="H28" s="12" t="s">
        <v>4341</v>
      </c>
    </row>
    <row r="29" spans="1:8" x14ac:dyDescent="0.25">
      <c r="A29" s="12">
        <v>53732</v>
      </c>
      <c r="B29" s="12" t="s">
        <v>121</v>
      </c>
      <c r="C29" s="2"/>
      <c r="E29" s="12">
        <v>260204172</v>
      </c>
      <c r="F29" s="12" t="s">
        <v>1275</v>
      </c>
      <c r="G29" s="12" t="s">
        <v>4360</v>
      </c>
      <c r="H29" s="12" t="s">
        <v>4341</v>
      </c>
    </row>
    <row r="30" spans="1:8" x14ac:dyDescent="0.25">
      <c r="A30" s="12">
        <v>53732</v>
      </c>
      <c r="B30" s="12" t="s">
        <v>121</v>
      </c>
      <c r="C30" s="2"/>
      <c r="E30" s="12">
        <v>271381731</v>
      </c>
      <c r="F30" s="12" t="s">
        <v>1741</v>
      </c>
      <c r="G30" s="12" t="s">
        <v>4340</v>
      </c>
      <c r="H30" s="12" t="s">
        <v>4341</v>
      </c>
    </row>
    <row r="31" spans="1:8" x14ac:dyDescent="0.25">
      <c r="A31" s="12">
        <v>53732</v>
      </c>
      <c r="B31" s="12" t="s">
        <v>121</v>
      </c>
      <c r="C31" s="2"/>
      <c r="E31" s="12" t="s">
        <v>4361</v>
      </c>
      <c r="F31" s="12" t="s">
        <v>1549</v>
      </c>
      <c r="G31" s="12" t="s">
        <v>4344</v>
      </c>
      <c r="H31" s="12" t="s">
        <v>4326</v>
      </c>
    </row>
    <row r="32" spans="1:8" x14ac:dyDescent="0.25">
      <c r="A32" s="12">
        <v>53732</v>
      </c>
      <c r="B32" s="12" t="s">
        <v>121</v>
      </c>
      <c r="C32" s="183">
        <v>42208</v>
      </c>
      <c r="D32" s="12">
        <v>4</v>
      </c>
      <c r="E32" s="12" t="s">
        <v>4362</v>
      </c>
      <c r="F32" s="12" t="s">
        <v>1181</v>
      </c>
      <c r="G32" s="12" t="s">
        <v>4325</v>
      </c>
      <c r="H32" s="12" t="s">
        <v>4326</v>
      </c>
    </row>
    <row r="33" spans="1:8" x14ac:dyDescent="0.25">
      <c r="A33" s="12">
        <v>53732</v>
      </c>
      <c r="B33" s="12" t="s">
        <v>121</v>
      </c>
      <c r="C33" s="2"/>
      <c r="E33" s="12" t="s">
        <v>2786</v>
      </c>
      <c r="F33" s="12" t="s">
        <v>1181</v>
      </c>
      <c r="G33" s="12" t="s">
        <v>4325</v>
      </c>
      <c r="H33" s="12" t="s">
        <v>4326</v>
      </c>
    </row>
    <row r="34" spans="1:8" x14ac:dyDescent="0.25">
      <c r="A34" s="12">
        <v>53732</v>
      </c>
      <c r="B34" s="12" t="s">
        <v>121</v>
      </c>
      <c r="C34" s="2"/>
      <c r="E34" s="12" t="s">
        <v>2826</v>
      </c>
      <c r="F34" s="12" t="s">
        <v>1126</v>
      </c>
      <c r="G34" s="12" t="s">
        <v>4329</v>
      </c>
      <c r="H34" s="12" t="s">
        <v>4330</v>
      </c>
    </row>
    <row r="35" spans="1:8" x14ac:dyDescent="0.25">
      <c r="A35" s="12">
        <v>53732</v>
      </c>
      <c r="B35" s="12" t="s">
        <v>121</v>
      </c>
      <c r="C35" s="2"/>
      <c r="E35" s="12" t="s">
        <v>2795</v>
      </c>
      <c r="F35" s="12" t="s">
        <v>1081</v>
      </c>
      <c r="G35" s="12" t="s">
        <v>4363</v>
      </c>
      <c r="H35" s="12" t="s">
        <v>4364</v>
      </c>
    </row>
    <row r="36" spans="1:8" x14ac:dyDescent="0.25">
      <c r="A36" s="12">
        <v>53732</v>
      </c>
      <c r="B36" s="12" t="s">
        <v>121</v>
      </c>
      <c r="C36" s="2"/>
      <c r="E36" s="12" t="s">
        <v>2773</v>
      </c>
      <c r="F36" s="12" t="s">
        <v>1126</v>
      </c>
      <c r="G36" s="12" t="s">
        <v>4329</v>
      </c>
      <c r="H36" s="12" t="s">
        <v>4330</v>
      </c>
    </row>
    <row r="37" spans="1:8" x14ac:dyDescent="0.25">
      <c r="A37" s="12">
        <v>53732</v>
      </c>
      <c r="B37" s="12" t="s">
        <v>121</v>
      </c>
      <c r="C37" s="2"/>
      <c r="E37" s="12" t="s">
        <v>4365</v>
      </c>
      <c r="F37" s="12" t="s">
        <v>4336</v>
      </c>
      <c r="G37" s="12" t="s">
        <v>4337</v>
      </c>
      <c r="H37" s="12" t="s">
        <v>4330</v>
      </c>
    </row>
    <row r="38" spans="1:8" x14ac:dyDescent="0.25">
      <c r="A38" s="12">
        <v>53732</v>
      </c>
      <c r="B38" s="12" t="s">
        <v>121</v>
      </c>
      <c r="C38" s="2"/>
      <c r="E38" s="12">
        <v>261916708</v>
      </c>
      <c r="F38" s="12" t="s">
        <v>1275</v>
      </c>
      <c r="G38" s="12" t="s">
        <v>4360</v>
      </c>
      <c r="H38" s="12" t="s">
        <v>4341</v>
      </c>
    </row>
    <row r="39" spans="1:8" x14ac:dyDescent="0.25">
      <c r="A39" s="12">
        <v>53732</v>
      </c>
      <c r="B39" s="12" t="s">
        <v>121</v>
      </c>
      <c r="C39" s="183">
        <v>42205</v>
      </c>
      <c r="D39" s="12">
        <v>7</v>
      </c>
      <c r="E39" s="12" t="s">
        <v>2192</v>
      </c>
      <c r="F39" s="12" t="s">
        <v>1451</v>
      </c>
      <c r="G39" s="12" t="s">
        <v>4331</v>
      </c>
      <c r="H39" s="12" t="s">
        <v>4330</v>
      </c>
    </row>
    <row r="40" spans="1:8" x14ac:dyDescent="0.25">
      <c r="A40" s="12">
        <v>53732</v>
      </c>
      <c r="B40" s="12" t="s">
        <v>121</v>
      </c>
      <c r="C40" s="2"/>
      <c r="E40" s="12" t="s">
        <v>1302</v>
      </c>
      <c r="F40" s="12" t="s">
        <v>1163</v>
      </c>
      <c r="G40" s="12" t="s">
        <v>4333</v>
      </c>
      <c r="H40" s="12" t="s">
        <v>4330</v>
      </c>
    </row>
    <row r="41" spans="1:8" x14ac:dyDescent="0.25">
      <c r="A41" s="12">
        <v>53732</v>
      </c>
      <c r="B41" s="12" t="s">
        <v>121</v>
      </c>
      <c r="C41" s="2"/>
      <c r="E41" s="12" t="s">
        <v>4366</v>
      </c>
      <c r="F41" s="12" t="s">
        <v>2692</v>
      </c>
      <c r="G41" s="12" t="s">
        <v>4367</v>
      </c>
      <c r="H41" s="12" t="s">
        <v>4330</v>
      </c>
    </row>
    <row r="42" spans="1:8" x14ac:dyDescent="0.25">
      <c r="A42" s="12">
        <v>53732</v>
      </c>
      <c r="B42" s="12" t="s">
        <v>121</v>
      </c>
      <c r="C42" s="2"/>
      <c r="E42" s="12">
        <v>272759475</v>
      </c>
      <c r="F42" s="12" t="s">
        <v>1741</v>
      </c>
      <c r="G42" s="12" t="s">
        <v>4340</v>
      </c>
      <c r="H42" s="12" t="s">
        <v>4341</v>
      </c>
    </row>
    <row r="43" spans="1:8" x14ac:dyDescent="0.25">
      <c r="A43" s="12">
        <v>53732</v>
      </c>
      <c r="B43" s="12" t="s">
        <v>121</v>
      </c>
      <c r="C43" s="2"/>
      <c r="E43" s="12" t="s">
        <v>1317</v>
      </c>
      <c r="F43" s="12" t="s">
        <v>1549</v>
      </c>
      <c r="G43" s="12" t="s">
        <v>4344</v>
      </c>
      <c r="H43" s="12" t="s">
        <v>4326</v>
      </c>
    </row>
    <row r="44" spans="1:8" x14ac:dyDescent="0.25">
      <c r="A44" s="12">
        <v>53732</v>
      </c>
      <c r="B44" s="12" t="s">
        <v>121</v>
      </c>
      <c r="E44" s="12" t="s">
        <v>4368</v>
      </c>
      <c r="F44" s="12" t="s">
        <v>1549</v>
      </c>
      <c r="G44" s="12" t="s">
        <v>4344</v>
      </c>
      <c r="H44" s="12" t="s">
        <v>4326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L21" sqref="L21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M39"/>
  <sheetViews>
    <sheetView view="pageLayout" zoomScale="85" zoomScaleNormal="55" zoomScalePageLayoutView="85" workbookViewId="0">
      <selection activeCell="B8" sqref="B8"/>
    </sheetView>
  </sheetViews>
  <sheetFormatPr defaultRowHeight="15.75" x14ac:dyDescent="0.25"/>
  <cols>
    <col min="1" max="1" width="32.42578125" style="52" customWidth="1"/>
    <col min="2" max="8" width="14.7109375" style="52" customWidth="1"/>
    <col min="9" max="9" width="14.7109375" style="52" bestFit="1" customWidth="1"/>
    <col min="10" max="11" width="22.7109375" style="52" customWidth="1"/>
    <col min="12" max="14" width="15" style="52" customWidth="1"/>
    <col min="15" max="254" width="9.140625" style="52"/>
    <col min="255" max="255" width="40.7109375" style="52" customWidth="1"/>
    <col min="256" max="267" width="22.7109375" style="52" customWidth="1"/>
    <col min="268" max="270" width="15" style="52" customWidth="1"/>
    <col min="271" max="510" width="9.140625" style="52"/>
    <col min="511" max="511" width="40.7109375" style="52" customWidth="1"/>
    <col min="512" max="523" width="22.7109375" style="52" customWidth="1"/>
    <col min="524" max="526" width="15" style="52" customWidth="1"/>
    <col min="527" max="766" width="9.140625" style="52"/>
    <col min="767" max="767" width="40.7109375" style="52" customWidth="1"/>
    <col min="768" max="779" width="22.7109375" style="52" customWidth="1"/>
    <col min="780" max="782" width="15" style="52" customWidth="1"/>
    <col min="783" max="1022" width="9.140625" style="52"/>
    <col min="1023" max="1023" width="40.7109375" style="52" customWidth="1"/>
    <col min="1024" max="1035" width="22.7109375" style="52" customWidth="1"/>
    <col min="1036" max="1038" width="15" style="52" customWidth="1"/>
    <col min="1039" max="1278" width="9.140625" style="52"/>
    <col min="1279" max="1279" width="40.7109375" style="52" customWidth="1"/>
    <col min="1280" max="1291" width="22.7109375" style="52" customWidth="1"/>
    <col min="1292" max="1294" width="15" style="52" customWidth="1"/>
    <col min="1295" max="1534" width="9.140625" style="52"/>
    <col min="1535" max="1535" width="40.7109375" style="52" customWidth="1"/>
    <col min="1536" max="1547" width="22.7109375" style="52" customWidth="1"/>
    <col min="1548" max="1550" width="15" style="52" customWidth="1"/>
    <col min="1551" max="1790" width="9.140625" style="52"/>
    <col min="1791" max="1791" width="40.7109375" style="52" customWidth="1"/>
    <col min="1792" max="1803" width="22.7109375" style="52" customWidth="1"/>
    <col min="1804" max="1806" width="15" style="52" customWidth="1"/>
    <col min="1807" max="2046" width="9.140625" style="52"/>
    <col min="2047" max="2047" width="40.7109375" style="52" customWidth="1"/>
    <col min="2048" max="2059" width="22.7109375" style="52" customWidth="1"/>
    <col min="2060" max="2062" width="15" style="52" customWidth="1"/>
    <col min="2063" max="2302" width="9.140625" style="52"/>
    <col min="2303" max="2303" width="40.7109375" style="52" customWidth="1"/>
    <col min="2304" max="2315" width="22.7109375" style="52" customWidth="1"/>
    <col min="2316" max="2318" width="15" style="52" customWidth="1"/>
    <col min="2319" max="2558" width="9.140625" style="52"/>
    <col min="2559" max="2559" width="40.7109375" style="52" customWidth="1"/>
    <col min="2560" max="2571" width="22.7109375" style="52" customWidth="1"/>
    <col min="2572" max="2574" width="15" style="52" customWidth="1"/>
    <col min="2575" max="2814" width="9.140625" style="52"/>
    <col min="2815" max="2815" width="40.7109375" style="52" customWidth="1"/>
    <col min="2816" max="2827" width="22.7109375" style="52" customWidth="1"/>
    <col min="2828" max="2830" width="15" style="52" customWidth="1"/>
    <col min="2831" max="3070" width="9.140625" style="52"/>
    <col min="3071" max="3071" width="40.7109375" style="52" customWidth="1"/>
    <col min="3072" max="3083" width="22.7109375" style="52" customWidth="1"/>
    <col min="3084" max="3086" width="15" style="52" customWidth="1"/>
    <col min="3087" max="3326" width="9.140625" style="52"/>
    <col min="3327" max="3327" width="40.7109375" style="52" customWidth="1"/>
    <col min="3328" max="3339" width="22.7109375" style="52" customWidth="1"/>
    <col min="3340" max="3342" width="15" style="52" customWidth="1"/>
    <col min="3343" max="3582" width="9.140625" style="52"/>
    <col min="3583" max="3583" width="40.7109375" style="52" customWidth="1"/>
    <col min="3584" max="3595" width="22.7109375" style="52" customWidth="1"/>
    <col min="3596" max="3598" width="15" style="52" customWidth="1"/>
    <col min="3599" max="3838" width="9.140625" style="52"/>
    <col min="3839" max="3839" width="40.7109375" style="52" customWidth="1"/>
    <col min="3840" max="3851" width="22.7109375" style="52" customWidth="1"/>
    <col min="3852" max="3854" width="15" style="52" customWidth="1"/>
    <col min="3855" max="4094" width="9.140625" style="52"/>
    <col min="4095" max="4095" width="40.7109375" style="52" customWidth="1"/>
    <col min="4096" max="4107" width="22.7109375" style="52" customWidth="1"/>
    <col min="4108" max="4110" width="15" style="52" customWidth="1"/>
    <col min="4111" max="4350" width="9.140625" style="52"/>
    <col min="4351" max="4351" width="40.7109375" style="52" customWidth="1"/>
    <col min="4352" max="4363" width="22.7109375" style="52" customWidth="1"/>
    <col min="4364" max="4366" width="15" style="52" customWidth="1"/>
    <col min="4367" max="4606" width="9.140625" style="52"/>
    <col min="4607" max="4607" width="40.7109375" style="52" customWidth="1"/>
    <col min="4608" max="4619" width="22.7109375" style="52" customWidth="1"/>
    <col min="4620" max="4622" width="15" style="52" customWidth="1"/>
    <col min="4623" max="4862" width="9.140625" style="52"/>
    <col min="4863" max="4863" width="40.7109375" style="52" customWidth="1"/>
    <col min="4864" max="4875" width="22.7109375" style="52" customWidth="1"/>
    <col min="4876" max="4878" width="15" style="52" customWidth="1"/>
    <col min="4879" max="5118" width="9.140625" style="52"/>
    <col min="5119" max="5119" width="40.7109375" style="52" customWidth="1"/>
    <col min="5120" max="5131" width="22.7109375" style="52" customWidth="1"/>
    <col min="5132" max="5134" width="15" style="52" customWidth="1"/>
    <col min="5135" max="5374" width="9.140625" style="52"/>
    <col min="5375" max="5375" width="40.7109375" style="52" customWidth="1"/>
    <col min="5376" max="5387" width="22.7109375" style="52" customWidth="1"/>
    <col min="5388" max="5390" width="15" style="52" customWidth="1"/>
    <col min="5391" max="5630" width="9.140625" style="52"/>
    <col min="5631" max="5631" width="40.7109375" style="52" customWidth="1"/>
    <col min="5632" max="5643" width="22.7109375" style="52" customWidth="1"/>
    <col min="5644" max="5646" width="15" style="52" customWidth="1"/>
    <col min="5647" max="5886" width="9.140625" style="52"/>
    <col min="5887" max="5887" width="40.7109375" style="52" customWidth="1"/>
    <col min="5888" max="5899" width="22.7109375" style="52" customWidth="1"/>
    <col min="5900" max="5902" width="15" style="52" customWidth="1"/>
    <col min="5903" max="6142" width="9.140625" style="52"/>
    <col min="6143" max="6143" width="40.7109375" style="52" customWidth="1"/>
    <col min="6144" max="6155" width="22.7109375" style="52" customWidth="1"/>
    <col min="6156" max="6158" width="15" style="52" customWidth="1"/>
    <col min="6159" max="6398" width="9.140625" style="52"/>
    <col min="6399" max="6399" width="40.7109375" style="52" customWidth="1"/>
    <col min="6400" max="6411" width="22.7109375" style="52" customWidth="1"/>
    <col min="6412" max="6414" width="15" style="52" customWidth="1"/>
    <col min="6415" max="6654" width="9.140625" style="52"/>
    <col min="6655" max="6655" width="40.7109375" style="52" customWidth="1"/>
    <col min="6656" max="6667" width="22.7109375" style="52" customWidth="1"/>
    <col min="6668" max="6670" width="15" style="52" customWidth="1"/>
    <col min="6671" max="6910" width="9.140625" style="52"/>
    <col min="6911" max="6911" width="40.7109375" style="52" customWidth="1"/>
    <col min="6912" max="6923" width="22.7109375" style="52" customWidth="1"/>
    <col min="6924" max="6926" width="15" style="52" customWidth="1"/>
    <col min="6927" max="7166" width="9.140625" style="52"/>
    <col min="7167" max="7167" width="40.7109375" style="52" customWidth="1"/>
    <col min="7168" max="7179" width="22.7109375" style="52" customWidth="1"/>
    <col min="7180" max="7182" width="15" style="52" customWidth="1"/>
    <col min="7183" max="7422" width="9.140625" style="52"/>
    <col min="7423" max="7423" width="40.7109375" style="52" customWidth="1"/>
    <col min="7424" max="7435" width="22.7109375" style="52" customWidth="1"/>
    <col min="7436" max="7438" width="15" style="52" customWidth="1"/>
    <col min="7439" max="7678" width="9.140625" style="52"/>
    <col min="7679" max="7679" width="40.7109375" style="52" customWidth="1"/>
    <col min="7680" max="7691" width="22.7109375" style="52" customWidth="1"/>
    <col min="7692" max="7694" width="15" style="52" customWidth="1"/>
    <col min="7695" max="7934" width="9.140625" style="52"/>
    <col min="7935" max="7935" width="40.7109375" style="52" customWidth="1"/>
    <col min="7936" max="7947" width="22.7109375" style="52" customWidth="1"/>
    <col min="7948" max="7950" width="15" style="52" customWidth="1"/>
    <col min="7951" max="8190" width="9.140625" style="52"/>
    <col min="8191" max="8191" width="40.7109375" style="52" customWidth="1"/>
    <col min="8192" max="8203" width="22.7109375" style="52" customWidth="1"/>
    <col min="8204" max="8206" width="15" style="52" customWidth="1"/>
    <col min="8207" max="8446" width="9.140625" style="52"/>
    <col min="8447" max="8447" width="40.7109375" style="52" customWidth="1"/>
    <col min="8448" max="8459" width="22.7109375" style="52" customWidth="1"/>
    <col min="8460" max="8462" width="15" style="52" customWidth="1"/>
    <col min="8463" max="8702" width="9.140625" style="52"/>
    <col min="8703" max="8703" width="40.7109375" style="52" customWidth="1"/>
    <col min="8704" max="8715" width="22.7109375" style="52" customWidth="1"/>
    <col min="8716" max="8718" width="15" style="52" customWidth="1"/>
    <col min="8719" max="8958" width="9.140625" style="52"/>
    <col min="8959" max="8959" width="40.7109375" style="52" customWidth="1"/>
    <col min="8960" max="8971" width="22.7109375" style="52" customWidth="1"/>
    <col min="8972" max="8974" width="15" style="52" customWidth="1"/>
    <col min="8975" max="9214" width="9.140625" style="52"/>
    <col min="9215" max="9215" width="40.7109375" style="52" customWidth="1"/>
    <col min="9216" max="9227" width="22.7109375" style="52" customWidth="1"/>
    <col min="9228" max="9230" width="15" style="52" customWidth="1"/>
    <col min="9231" max="9470" width="9.140625" style="52"/>
    <col min="9471" max="9471" width="40.7109375" style="52" customWidth="1"/>
    <col min="9472" max="9483" width="22.7109375" style="52" customWidth="1"/>
    <col min="9484" max="9486" width="15" style="52" customWidth="1"/>
    <col min="9487" max="9726" width="9.140625" style="52"/>
    <col min="9727" max="9727" width="40.7109375" style="52" customWidth="1"/>
    <col min="9728" max="9739" width="22.7109375" style="52" customWidth="1"/>
    <col min="9740" max="9742" width="15" style="52" customWidth="1"/>
    <col min="9743" max="9982" width="9.140625" style="52"/>
    <col min="9983" max="9983" width="40.7109375" style="52" customWidth="1"/>
    <col min="9984" max="9995" width="22.7109375" style="52" customWidth="1"/>
    <col min="9996" max="9998" width="15" style="52" customWidth="1"/>
    <col min="9999" max="10238" width="9.140625" style="52"/>
    <col min="10239" max="10239" width="40.7109375" style="52" customWidth="1"/>
    <col min="10240" max="10251" width="22.7109375" style="52" customWidth="1"/>
    <col min="10252" max="10254" width="15" style="52" customWidth="1"/>
    <col min="10255" max="10494" width="9.140625" style="52"/>
    <col min="10495" max="10495" width="40.7109375" style="52" customWidth="1"/>
    <col min="10496" max="10507" width="22.7109375" style="52" customWidth="1"/>
    <col min="10508" max="10510" width="15" style="52" customWidth="1"/>
    <col min="10511" max="10750" width="9.140625" style="52"/>
    <col min="10751" max="10751" width="40.7109375" style="52" customWidth="1"/>
    <col min="10752" max="10763" width="22.7109375" style="52" customWidth="1"/>
    <col min="10764" max="10766" width="15" style="52" customWidth="1"/>
    <col min="10767" max="11006" width="9.140625" style="52"/>
    <col min="11007" max="11007" width="40.7109375" style="52" customWidth="1"/>
    <col min="11008" max="11019" width="22.7109375" style="52" customWidth="1"/>
    <col min="11020" max="11022" width="15" style="52" customWidth="1"/>
    <col min="11023" max="11262" width="9.140625" style="52"/>
    <col min="11263" max="11263" width="40.7109375" style="52" customWidth="1"/>
    <col min="11264" max="11275" width="22.7109375" style="52" customWidth="1"/>
    <col min="11276" max="11278" width="15" style="52" customWidth="1"/>
    <col min="11279" max="11518" width="9.140625" style="52"/>
    <col min="11519" max="11519" width="40.7109375" style="52" customWidth="1"/>
    <col min="11520" max="11531" width="22.7109375" style="52" customWidth="1"/>
    <col min="11532" max="11534" width="15" style="52" customWidth="1"/>
    <col min="11535" max="11774" width="9.140625" style="52"/>
    <col min="11775" max="11775" width="40.7109375" style="52" customWidth="1"/>
    <col min="11776" max="11787" width="22.7109375" style="52" customWidth="1"/>
    <col min="11788" max="11790" width="15" style="52" customWidth="1"/>
    <col min="11791" max="12030" width="9.140625" style="52"/>
    <col min="12031" max="12031" width="40.7109375" style="52" customWidth="1"/>
    <col min="12032" max="12043" width="22.7109375" style="52" customWidth="1"/>
    <col min="12044" max="12046" width="15" style="52" customWidth="1"/>
    <col min="12047" max="12286" width="9.140625" style="52"/>
    <col min="12287" max="12287" width="40.7109375" style="52" customWidth="1"/>
    <col min="12288" max="12299" width="22.7109375" style="52" customWidth="1"/>
    <col min="12300" max="12302" width="15" style="52" customWidth="1"/>
    <col min="12303" max="12542" width="9.140625" style="52"/>
    <col min="12543" max="12543" width="40.7109375" style="52" customWidth="1"/>
    <col min="12544" max="12555" width="22.7109375" style="52" customWidth="1"/>
    <col min="12556" max="12558" width="15" style="52" customWidth="1"/>
    <col min="12559" max="12798" width="9.140625" style="52"/>
    <col min="12799" max="12799" width="40.7109375" style="52" customWidth="1"/>
    <col min="12800" max="12811" width="22.7109375" style="52" customWidth="1"/>
    <col min="12812" max="12814" width="15" style="52" customWidth="1"/>
    <col min="12815" max="13054" width="9.140625" style="52"/>
    <col min="13055" max="13055" width="40.7109375" style="52" customWidth="1"/>
    <col min="13056" max="13067" width="22.7109375" style="52" customWidth="1"/>
    <col min="13068" max="13070" width="15" style="52" customWidth="1"/>
    <col min="13071" max="13310" width="9.140625" style="52"/>
    <col min="13311" max="13311" width="40.7109375" style="52" customWidth="1"/>
    <col min="13312" max="13323" width="22.7109375" style="52" customWidth="1"/>
    <col min="13324" max="13326" width="15" style="52" customWidth="1"/>
    <col min="13327" max="13566" width="9.140625" style="52"/>
    <col min="13567" max="13567" width="40.7109375" style="52" customWidth="1"/>
    <col min="13568" max="13579" width="22.7109375" style="52" customWidth="1"/>
    <col min="13580" max="13582" width="15" style="52" customWidth="1"/>
    <col min="13583" max="13822" width="9.140625" style="52"/>
    <col min="13823" max="13823" width="40.7109375" style="52" customWidth="1"/>
    <col min="13824" max="13835" width="22.7109375" style="52" customWidth="1"/>
    <col min="13836" max="13838" width="15" style="52" customWidth="1"/>
    <col min="13839" max="14078" width="9.140625" style="52"/>
    <col min="14079" max="14079" width="40.7109375" style="52" customWidth="1"/>
    <col min="14080" max="14091" width="22.7109375" style="52" customWidth="1"/>
    <col min="14092" max="14094" width="15" style="52" customWidth="1"/>
    <col min="14095" max="14334" width="9.140625" style="52"/>
    <col min="14335" max="14335" width="40.7109375" style="52" customWidth="1"/>
    <col min="14336" max="14347" width="22.7109375" style="52" customWidth="1"/>
    <col min="14348" max="14350" width="15" style="52" customWidth="1"/>
    <col min="14351" max="14590" width="9.140625" style="52"/>
    <col min="14591" max="14591" width="40.7109375" style="52" customWidth="1"/>
    <col min="14592" max="14603" width="22.7109375" style="52" customWidth="1"/>
    <col min="14604" max="14606" width="15" style="52" customWidth="1"/>
    <col min="14607" max="14846" width="9.140625" style="52"/>
    <col min="14847" max="14847" width="40.7109375" style="52" customWidth="1"/>
    <col min="14848" max="14859" width="22.7109375" style="52" customWidth="1"/>
    <col min="14860" max="14862" width="15" style="52" customWidth="1"/>
    <col min="14863" max="15102" width="9.140625" style="52"/>
    <col min="15103" max="15103" width="40.7109375" style="52" customWidth="1"/>
    <col min="15104" max="15115" width="22.7109375" style="52" customWidth="1"/>
    <col min="15116" max="15118" width="15" style="52" customWidth="1"/>
    <col min="15119" max="15358" width="9.140625" style="52"/>
    <col min="15359" max="15359" width="40.7109375" style="52" customWidth="1"/>
    <col min="15360" max="15371" width="22.7109375" style="52" customWidth="1"/>
    <col min="15372" max="15374" width="15" style="52" customWidth="1"/>
    <col min="15375" max="15614" width="9.140625" style="52"/>
    <col min="15615" max="15615" width="40.7109375" style="52" customWidth="1"/>
    <col min="15616" max="15627" width="22.7109375" style="52" customWidth="1"/>
    <col min="15628" max="15630" width="15" style="52" customWidth="1"/>
    <col min="15631" max="15870" width="9.140625" style="52"/>
    <col min="15871" max="15871" width="40.7109375" style="52" customWidth="1"/>
    <col min="15872" max="15883" width="22.7109375" style="52" customWidth="1"/>
    <col min="15884" max="15886" width="15" style="52" customWidth="1"/>
    <col min="15887" max="16126" width="9.140625" style="52"/>
    <col min="16127" max="16127" width="40.7109375" style="52" customWidth="1"/>
    <col min="16128" max="16139" width="22.7109375" style="52" customWidth="1"/>
    <col min="16140" max="16142" width="15" style="52" customWidth="1"/>
    <col min="16143" max="16384" width="9.140625" style="52"/>
  </cols>
  <sheetData>
    <row r="1" spans="1:13" ht="18.75" customHeight="1" x14ac:dyDescent="0.25">
      <c r="A1" s="174" t="s">
        <v>1021</v>
      </c>
    </row>
    <row r="2" spans="1:13" ht="20.25" customHeight="1" x14ac:dyDescent="0.25">
      <c r="A2" s="174" t="s">
        <v>1020</v>
      </c>
    </row>
    <row r="3" spans="1:13" ht="8.25" customHeight="1" thickBot="1" x14ac:dyDescent="0.3">
      <c r="A3" s="128"/>
    </row>
    <row r="4" spans="1:13" ht="18.75" customHeight="1" thickBot="1" x14ac:dyDescent="0.3">
      <c r="A4" s="171" t="s">
        <v>223</v>
      </c>
      <c r="B4" s="172"/>
      <c r="C4" s="172"/>
      <c r="D4" s="172"/>
      <c r="E4" s="172"/>
      <c r="F4" s="172"/>
      <c r="G4" s="172"/>
      <c r="H4" s="172"/>
      <c r="I4" s="173"/>
    </row>
    <row r="5" spans="1:13" s="43" customFormat="1" ht="19.5" thickBot="1" x14ac:dyDescent="0.35">
      <c r="A5" s="129"/>
      <c r="B5" s="130" t="s">
        <v>47</v>
      </c>
      <c r="C5" s="131" t="s">
        <v>48</v>
      </c>
      <c r="D5" s="131" t="s">
        <v>49</v>
      </c>
      <c r="E5" s="131" t="s">
        <v>50</v>
      </c>
      <c r="F5" s="131" t="s">
        <v>51</v>
      </c>
      <c r="G5" s="131" t="s">
        <v>52</v>
      </c>
      <c r="H5" s="131" t="s">
        <v>53</v>
      </c>
      <c r="I5" s="132" t="s">
        <v>224</v>
      </c>
    </row>
    <row r="6" spans="1:13" s="46" customFormat="1" ht="18" customHeight="1" x14ac:dyDescent="0.3">
      <c r="A6" s="133" t="str">
        <f>IF('[1]Template Information'!I8="Y",'[1]Template Information'!H8,"")</f>
        <v/>
      </c>
      <c r="B6" s="134"/>
      <c r="C6" s="135"/>
      <c r="D6" s="135"/>
      <c r="E6" s="135"/>
      <c r="F6" s="135"/>
      <c r="G6" s="135"/>
      <c r="H6" s="136"/>
      <c r="I6" s="137">
        <f t="shared" ref="I6:I27" si="0">SUM(B6:H6)</f>
        <v>0</v>
      </c>
      <c r="J6" s="44"/>
      <c r="K6" s="45"/>
      <c r="L6" s="45"/>
      <c r="M6" s="45"/>
    </row>
    <row r="7" spans="1:13" s="46" customFormat="1" ht="18" customHeight="1" x14ac:dyDescent="0.3">
      <c r="A7" s="133" t="s">
        <v>232</v>
      </c>
      <c r="B7" s="138"/>
      <c r="C7" s="139"/>
      <c r="D7" s="139"/>
      <c r="E7" s="139"/>
      <c r="F7" s="139"/>
      <c r="G7" s="139"/>
      <c r="H7" s="140"/>
      <c r="I7" s="141">
        <f t="shared" si="0"/>
        <v>0</v>
      </c>
      <c r="J7" s="47"/>
      <c r="K7" s="45"/>
      <c r="L7" s="45"/>
      <c r="M7" s="48"/>
    </row>
    <row r="8" spans="1:13" s="46" customFormat="1" ht="18" customHeight="1" x14ac:dyDescent="0.3">
      <c r="A8" s="133" t="s">
        <v>233</v>
      </c>
      <c r="B8" s="138"/>
      <c r="C8" s="139"/>
      <c r="D8" s="139"/>
      <c r="E8" s="139"/>
      <c r="F8" s="139"/>
      <c r="G8" s="139"/>
      <c r="H8" s="140"/>
      <c r="I8" s="141">
        <f t="shared" si="0"/>
        <v>0</v>
      </c>
      <c r="J8" s="49"/>
      <c r="K8" s="45"/>
      <c r="L8" s="45"/>
      <c r="M8" s="48"/>
    </row>
    <row r="9" spans="1:13" s="46" customFormat="1" ht="18" customHeight="1" x14ac:dyDescent="0.3">
      <c r="A9" s="133" t="s">
        <v>234</v>
      </c>
      <c r="B9" s="138"/>
      <c r="C9" s="139"/>
      <c r="D9" s="139"/>
      <c r="E9" s="139"/>
      <c r="F9" s="139"/>
      <c r="G9" s="139"/>
      <c r="H9" s="140"/>
      <c r="I9" s="141">
        <f t="shared" si="0"/>
        <v>0</v>
      </c>
      <c r="J9" s="49"/>
      <c r="K9" s="45"/>
      <c r="L9" s="45"/>
      <c r="M9" s="50"/>
    </row>
    <row r="10" spans="1:13" s="46" customFormat="1" ht="18" customHeight="1" x14ac:dyDescent="0.3">
      <c r="A10" s="133" t="s">
        <v>235</v>
      </c>
      <c r="B10" s="142"/>
      <c r="C10" s="143"/>
      <c r="D10" s="143"/>
      <c r="E10" s="143"/>
      <c r="F10" s="143"/>
      <c r="G10" s="143"/>
      <c r="H10" s="144"/>
      <c r="I10" s="145">
        <f t="shared" si="0"/>
        <v>0</v>
      </c>
      <c r="J10" s="49"/>
      <c r="K10" s="45"/>
      <c r="L10" s="45"/>
      <c r="M10" s="50"/>
    </row>
    <row r="11" spans="1:13" s="46" customFormat="1" ht="18" customHeight="1" x14ac:dyDescent="0.3">
      <c r="A11" s="133" t="s">
        <v>236</v>
      </c>
      <c r="B11" s="142"/>
      <c r="C11" s="143"/>
      <c r="D11" s="143"/>
      <c r="E11" s="143"/>
      <c r="F11" s="143"/>
      <c r="G11" s="143"/>
      <c r="H11" s="144"/>
      <c r="I11" s="145">
        <f t="shared" si="0"/>
        <v>0</v>
      </c>
      <c r="J11" s="49"/>
      <c r="K11" s="45"/>
      <c r="L11" s="45"/>
      <c r="M11" s="50"/>
    </row>
    <row r="12" spans="1:13" s="46" customFormat="1" ht="18" customHeight="1" x14ac:dyDescent="0.3">
      <c r="A12" s="133" t="s">
        <v>237</v>
      </c>
      <c r="B12" s="142"/>
      <c r="C12" s="143"/>
      <c r="D12" s="143"/>
      <c r="E12" s="143"/>
      <c r="F12" s="143"/>
      <c r="G12" s="143"/>
      <c r="H12" s="144"/>
      <c r="I12" s="145">
        <f t="shared" si="0"/>
        <v>0</v>
      </c>
      <c r="J12" s="49"/>
      <c r="K12" s="45"/>
      <c r="L12" s="45"/>
      <c r="M12" s="50"/>
    </row>
    <row r="13" spans="1:13" s="46" customFormat="1" ht="18" customHeight="1" x14ac:dyDescent="0.3">
      <c r="A13" s="133" t="s">
        <v>238</v>
      </c>
      <c r="B13" s="142"/>
      <c r="C13" s="143"/>
      <c r="D13" s="143"/>
      <c r="E13" s="143"/>
      <c r="F13" s="143"/>
      <c r="G13" s="143"/>
      <c r="H13" s="144"/>
      <c r="I13" s="145">
        <f t="shared" si="0"/>
        <v>0</v>
      </c>
      <c r="J13" s="49"/>
      <c r="K13" s="45"/>
      <c r="L13" s="45"/>
      <c r="M13" s="50"/>
    </row>
    <row r="14" spans="1:13" s="46" customFormat="1" ht="18" customHeight="1" x14ac:dyDescent="0.3">
      <c r="A14" s="133" t="s">
        <v>239</v>
      </c>
      <c r="B14" s="142"/>
      <c r="C14" s="143"/>
      <c r="D14" s="143"/>
      <c r="E14" s="143"/>
      <c r="F14" s="143"/>
      <c r="G14" s="143"/>
      <c r="H14" s="144"/>
      <c r="I14" s="145">
        <f t="shared" si="0"/>
        <v>0</v>
      </c>
      <c r="J14" s="49"/>
      <c r="K14" s="45"/>
      <c r="L14" s="45"/>
      <c r="M14" s="50"/>
    </row>
    <row r="15" spans="1:13" s="46" customFormat="1" ht="18" customHeight="1" x14ac:dyDescent="0.3">
      <c r="A15" s="133" t="s">
        <v>240</v>
      </c>
      <c r="B15" s="142"/>
      <c r="C15" s="143"/>
      <c r="D15" s="143"/>
      <c r="E15" s="143"/>
      <c r="F15" s="143"/>
      <c r="G15" s="143"/>
      <c r="H15" s="144"/>
      <c r="I15" s="145">
        <f t="shared" si="0"/>
        <v>0</v>
      </c>
      <c r="J15" s="49"/>
      <c r="K15" s="45"/>
      <c r="L15" s="45"/>
      <c r="M15" s="50"/>
    </row>
    <row r="16" spans="1:13" s="46" customFormat="1" ht="18" customHeight="1" x14ac:dyDescent="0.3">
      <c r="A16" s="133" t="s">
        <v>241</v>
      </c>
      <c r="B16" s="142"/>
      <c r="C16" s="143"/>
      <c r="D16" s="143"/>
      <c r="E16" s="143"/>
      <c r="F16" s="143"/>
      <c r="G16" s="143"/>
      <c r="H16" s="144"/>
      <c r="I16" s="145">
        <f t="shared" si="0"/>
        <v>0</v>
      </c>
      <c r="J16" s="49"/>
      <c r="K16" s="45"/>
      <c r="L16" s="45"/>
      <c r="M16" s="50"/>
    </row>
    <row r="17" spans="1:13" s="46" customFormat="1" ht="18" customHeight="1" x14ac:dyDescent="0.3">
      <c r="A17" s="133" t="s">
        <v>242</v>
      </c>
      <c r="B17" s="146"/>
      <c r="C17" s="147"/>
      <c r="D17" s="147"/>
      <c r="E17" s="147"/>
      <c r="F17" s="147"/>
      <c r="G17" s="147"/>
      <c r="H17" s="148"/>
      <c r="I17" s="145">
        <f t="shared" si="0"/>
        <v>0</v>
      </c>
      <c r="J17" s="49"/>
      <c r="K17" s="45"/>
      <c r="L17" s="45"/>
      <c r="M17" s="50"/>
    </row>
    <row r="18" spans="1:13" s="46" customFormat="1" ht="18" customHeight="1" x14ac:dyDescent="0.3">
      <c r="A18" s="133" t="s">
        <v>243</v>
      </c>
      <c r="B18" s="146"/>
      <c r="C18" s="147"/>
      <c r="D18" s="147"/>
      <c r="E18" s="147"/>
      <c r="F18" s="147"/>
      <c r="G18" s="147"/>
      <c r="H18" s="148"/>
      <c r="I18" s="145">
        <f t="shared" si="0"/>
        <v>0</v>
      </c>
      <c r="J18" s="49"/>
    </row>
    <row r="19" spans="1:13" s="46" customFormat="1" ht="18" customHeight="1" x14ac:dyDescent="0.3">
      <c r="A19" s="133" t="s">
        <v>235</v>
      </c>
      <c r="B19" s="146"/>
      <c r="C19" s="147"/>
      <c r="D19" s="147"/>
      <c r="E19" s="147"/>
      <c r="F19" s="147"/>
      <c r="G19" s="147"/>
      <c r="H19" s="148"/>
      <c r="I19" s="145">
        <f t="shared" si="0"/>
        <v>0</v>
      </c>
      <c r="J19" s="49"/>
    </row>
    <row r="20" spans="1:13" s="46" customFormat="1" ht="18" customHeight="1" x14ac:dyDescent="0.3">
      <c r="A20" s="133" t="s">
        <v>244</v>
      </c>
      <c r="B20" s="146"/>
      <c r="C20" s="147"/>
      <c r="D20" s="147"/>
      <c r="E20" s="147"/>
      <c r="F20" s="147"/>
      <c r="G20" s="147"/>
      <c r="H20" s="148"/>
      <c r="I20" s="145">
        <f t="shared" si="0"/>
        <v>0</v>
      </c>
      <c r="J20" s="49"/>
    </row>
    <row r="21" spans="1:13" s="46" customFormat="1" ht="18" customHeight="1" x14ac:dyDescent="0.3">
      <c r="A21" s="133" t="s">
        <v>245</v>
      </c>
      <c r="B21" s="146"/>
      <c r="C21" s="147"/>
      <c r="D21" s="147"/>
      <c r="E21" s="147"/>
      <c r="F21" s="147"/>
      <c r="G21" s="147"/>
      <c r="H21" s="148"/>
      <c r="I21" s="145">
        <f t="shared" si="0"/>
        <v>0</v>
      </c>
      <c r="J21" s="49"/>
    </row>
    <row r="22" spans="1:13" s="46" customFormat="1" ht="18" customHeight="1" x14ac:dyDescent="0.3">
      <c r="A22" s="133" t="s">
        <v>235</v>
      </c>
      <c r="B22" s="149"/>
      <c r="C22" s="150"/>
      <c r="D22" s="150"/>
      <c r="E22" s="150"/>
      <c r="F22" s="150"/>
      <c r="G22" s="150"/>
      <c r="H22" s="148"/>
      <c r="I22" s="145">
        <f t="shared" si="0"/>
        <v>0</v>
      </c>
      <c r="J22" s="49"/>
    </row>
    <row r="23" spans="1:13" s="46" customFormat="1" ht="18" customHeight="1" x14ac:dyDescent="0.3">
      <c r="A23" s="133" t="s">
        <v>246</v>
      </c>
      <c r="B23" s="146"/>
      <c r="C23" s="151"/>
      <c r="D23" s="151"/>
      <c r="E23" s="151"/>
      <c r="F23" s="151"/>
      <c r="G23" s="151"/>
      <c r="H23" s="148"/>
      <c r="I23" s="152">
        <f t="shared" si="0"/>
        <v>0</v>
      </c>
      <c r="J23" s="49"/>
    </row>
    <row r="24" spans="1:13" s="46" customFormat="1" ht="18" customHeight="1" x14ac:dyDescent="0.3">
      <c r="A24" s="133" t="s">
        <v>247</v>
      </c>
      <c r="B24" s="146"/>
      <c r="C24" s="151"/>
      <c r="D24" s="151"/>
      <c r="E24" s="151"/>
      <c r="F24" s="151"/>
      <c r="G24" s="151"/>
      <c r="H24" s="148"/>
      <c r="I24" s="152">
        <f t="shared" si="0"/>
        <v>0</v>
      </c>
      <c r="J24" s="49"/>
    </row>
    <row r="25" spans="1:13" s="46" customFormat="1" ht="18" customHeight="1" x14ac:dyDescent="0.3">
      <c r="A25" s="133" t="s">
        <v>248</v>
      </c>
      <c r="B25" s="146"/>
      <c r="C25" s="151"/>
      <c r="D25" s="151"/>
      <c r="E25" s="151"/>
      <c r="F25" s="151"/>
      <c r="G25" s="151"/>
      <c r="H25" s="148"/>
      <c r="I25" s="152">
        <f t="shared" si="0"/>
        <v>0</v>
      </c>
      <c r="J25" s="49"/>
    </row>
    <row r="26" spans="1:13" s="46" customFormat="1" ht="18" customHeight="1" x14ac:dyDescent="0.3">
      <c r="A26" s="133" t="s">
        <v>249</v>
      </c>
      <c r="B26" s="146"/>
      <c r="C26" s="151"/>
      <c r="D26" s="151"/>
      <c r="E26" s="151"/>
      <c r="F26" s="151"/>
      <c r="G26" s="151"/>
      <c r="H26" s="148"/>
      <c r="I26" s="152">
        <f t="shared" si="0"/>
        <v>0</v>
      </c>
      <c r="J26" s="49"/>
    </row>
    <row r="27" spans="1:13" s="46" customFormat="1" ht="18" customHeight="1" thickBot="1" x14ac:dyDescent="0.35">
      <c r="A27" s="133" t="str">
        <f>IF('[1]Template Information'!I46="Y",'[1]Template Information'!H46,"")</f>
        <v/>
      </c>
      <c r="B27" s="153"/>
      <c r="C27" s="154"/>
      <c r="D27" s="154"/>
      <c r="E27" s="154"/>
      <c r="F27" s="154"/>
      <c r="G27" s="154"/>
      <c r="H27" s="155"/>
      <c r="I27" s="156">
        <f t="shared" si="0"/>
        <v>0</v>
      </c>
      <c r="J27" s="49"/>
    </row>
    <row r="28" spans="1:13" s="46" customFormat="1" ht="19.5" thickBot="1" x14ac:dyDescent="0.35">
      <c r="A28" s="157"/>
      <c r="B28" s="158"/>
      <c r="C28" s="158"/>
      <c r="D28" s="158"/>
      <c r="E28" s="158"/>
      <c r="F28" s="158"/>
      <c r="G28" s="158"/>
      <c r="H28" s="158"/>
      <c r="I28" s="159"/>
      <c r="J28" s="49"/>
    </row>
    <row r="29" spans="1:13" s="46" customFormat="1" ht="19.5" thickBot="1" x14ac:dyDescent="0.35">
      <c r="J29" s="47"/>
    </row>
    <row r="30" spans="1:13" s="46" customFormat="1" ht="18.75" x14ac:dyDescent="0.3">
      <c r="A30" s="162" t="s">
        <v>225</v>
      </c>
      <c r="B30" s="163"/>
      <c r="C30" s="164"/>
      <c r="E30" s="165" t="s">
        <v>226</v>
      </c>
      <c r="F30" s="166">
        <f>IF(B30=0,0,B32/B30)</f>
        <v>0</v>
      </c>
      <c r="G30" s="160"/>
      <c r="H30" s="160"/>
      <c r="I30" s="160"/>
      <c r="J30" s="47"/>
    </row>
    <row r="31" spans="1:13" s="46" customFormat="1" ht="18.75" x14ac:dyDescent="0.3">
      <c r="A31" s="162" t="s">
        <v>227</v>
      </c>
      <c r="B31" s="167"/>
      <c r="C31" s="52"/>
      <c r="E31" s="165" t="s">
        <v>228</v>
      </c>
      <c r="F31" s="168">
        <f>IF(B30=0,0,(B32/(B30-B31-B33)))</f>
        <v>0</v>
      </c>
      <c r="G31" s="160"/>
      <c r="H31" s="160"/>
      <c r="I31" s="160"/>
      <c r="J31" s="47"/>
    </row>
    <row r="32" spans="1:13" s="46" customFormat="1" ht="19.5" thickBot="1" x14ac:dyDescent="0.35">
      <c r="A32" s="162" t="s">
        <v>229</v>
      </c>
      <c r="B32" s="167"/>
      <c r="C32" s="52"/>
      <c r="E32" s="165" t="s">
        <v>230</v>
      </c>
      <c r="F32" s="169">
        <f>IF(B30=0,0,(B32+B31)/(B30-B33))</f>
        <v>0</v>
      </c>
      <c r="G32" s="160"/>
      <c r="H32" s="160"/>
      <c r="I32" s="160"/>
    </row>
    <row r="33" spans="1:9" s="46" customFormat="1" ht="19.5" thickBot="1" x14ac:dyDescent="0.35">
      <c r="A33" s="162" t="s">
        <v>231</v>
      </c>
      <c r="B33" s="170"/>
      <c r="C33" s="52"/>
      <c r="E33" s="52"/>
      <c r="F33" s="52"/>
      <c r="G33" s="161"/>
      <c r="H33" s="161"/>
      <c r="I33" s="160"/>
    </row>
    <row r="34" spans="1:9" s="51" customFormat="1" ht="18.75" x14ac:dyDescent="0.3">
      <c r="G34" s="164"/>
      <c r="H34" s="164"/>
      <c r="I34" s="164"/>
    </row>
    <row r="35" spans="1:9" s="46" customFormat="1" ht="18.75" x14ac:dyDescent="0.3">
      <c r="F35" s="52"/>
      <c r="G35" s="52"/>
      <c r="H35" s="52"/>
      <c r="I35" s="52"/>
    </row>
    <row r="36" spans="1:9" s="46" customFormat="1" ht="18.75" x14ac:dyDescent="0.3">
      <c r="F36" s="52"/>
      <c r="G36" s="52"/>
      <c r="H36" s="52"/>
      <c r="I36" s="52"/>
    </row>
    <row r="37" spans="1:9" s="46" customFormat="1" ht="18.75" x14ac:dyDescent="0.3">
      <c r="F37" s="52"/>
      <c r="G37" s="52"/>
      <c r="H37" s="52"/>
      <c r="I37" s="52"/>
    </row>
    <row r="38" spans="1:9" x14ac:dyDescent="0.25">
      <c r="A38" s="53"/>
      <c r="B38" s="53"/>
      <c r="C38" s="53"/>
      <c r="D38" s="53"/>
    </row>
    <row r="39" spans="1:9" x14ac:dyDescent="0.25">
      <c r="A39" s="53"/>
      <c r="B39" s="53"/>
      <c r="C39" s="54"/>
      <c r="D39" s="53"/>
      <c r="E39" s="53"/>
      <c r="F39" s="53"/>
      <c r="I39" s="55"/>
    </row>
  </sheetData>
  <pageMargins left="0.7" right="0.7" top="0.75" bottom="0.75" header="0.3" footer="0.3"/>
  <pageSetup scale="81" fitToHeight="0" orientation="landscape" horizontalDpi="0" verticalDpi="0" r:id="rId1"/>
  <headerFooter>
    <oddHeader>&amp;L&amp;"-,Bold"&amp;16Payroll - Invoice Week $WeekNumber</oddHeader>
  </headerFooter>
  <rowBreaks count="1" manualBreakCount="1">
    <brk id="33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R11"/>
  <sheetViews>
    <sheetView view="pageLayout" zoomScaleNormal="100" workbookViewId="0">
      <selection activeCell="A14" sqref="A14"/>
    </sheetView>
  </sheetViews>
  <sheetFormatPr defaultRowHeight="15" x14ac:dyDescent="0.25"/>
  <cols>
    <col min="1" max="2" width="7" style="12" customWidth="1"/>
    <col min="3" max="3" width="8.7109375" style="12" customWidth="1"/>
    <col min="4" max="6" width="6.7109375" style="12" customWidth="1"/>
    <col min="7" max="7" width="8.7109375" style="12" customWidth="1"/>
    <col min="8" max="8" width="7.85546875" style="12" customWidth="1"/>
    <col min="9" max="15" width="6.7109375" style="12" customWidth="1"/>
    <col min="16" max="16" width="8.140625" style="12" customWidth="1"/>
    <col min="17" max="17" width="8.28515625" style="12" customWidth="1"/>
    <col min="18" max="18" width="7" style="12" customWidth="1"/>
    <col min="19" max="16384" width="9.140625" style="12"/>
  </cols>
  <sheetData>
    <row r="1" spans="1:18" ht="33.75" customHeight="1" x14ac:dyDescent="0.25"/>
    <row r="2" spans="1:18" x14ac:dyDescent="0.25">
      <c r="A2" s="185" t="s">
        <v>1000</v>
      </c>
      <c r="B2" s="185"/>
    </row>
    <row r="3" spans="1:18" x14ac:dyDescent="0.25">
      <c r="A3" s="185" t="s">
        <v>1001</v>
      </c>
      <c r="B3" s="185"/>
    </row>
    <row r="4" spans="1:18" ht="15.75" thickBot="1" x14ac:dyDescent="0.3"/>
    <row r="5" spans="1:18" ht="32.25" customHeight="1" thickBot="1" x14ac:dyDescent="0.3">
      <c r="A5" s="96" t="s">
        <v>1002</v>
      </c>
      <c r="B5" s="97" t="s">
        <v>1003</v>
      </c>
      <c r="C5" s="98" t="s">
        <v>1004</v>
      </c>
      <c r="D5" s="99" t="s">
        <v>1005</v>
      </c>
      <c r="E5" s="97" t="s">
        <v>1006</v>
      </c>
      <c r="F5" s="99" t="s">
        <v>1007</v>
      </c>
      <c r="G5" s="97" t="s">
        <v>1008</v>
      </c>
      <c r="H5" s="99" t="s">
        <v>1009</v>
      </c>
      <c r="I5" s="97" t="s">
        <v>1010</v>
      </c>
      <c r="J5" s="98" t="s">
        <v>1011</v>
      </c>
      <c r="K5" s="98" t="s">
        <v>1012</v>
      </c>
      <c r="L5" s="98" t="s">
        <v>1013</v>
      </c>
      <c r="M5" s="98" t="s">
        <v>1014</v>
      </c>
      <c r="N5" s="98" t="s">
        <v>1015</v>
      </c>
      <c r="O5" s="99" t="s">
        <v>1016</v>
      </c>
      <c r="P5" s="100" t="s">
        <v>1017</v>
      </c>
      <c r="Q5" s="98" t="s">
        <v>1018</v>
      </c>
      <c r="R5" s="99" t="s">
        <v>1019</v>
      </c>
    </row>
    <row r="6" spans="1:18" x14ac:dyDescent="0.25">
      <c r="A6" s="101">
        <v>41995</v>
      </c>
      <c r="B6" s="102"/>
      <c r="C6" s="103"/>
      <c r="D6" s="104">
        <v>0</v>
      </c>
      <c r="E6" s="102"/>
      <c r="F6" s="105"/>
      <c r="G6" s="106"/>
      <c r="H6" s="107" t="e">
        <v>#DIV/0!</v>
      </c>
      <c r="I6" s="102"/>
      <c r="J6" s="103"/>
      <c r="K6" s="105" t="e">
        <v>#DIV/0!</v>
      </c>
      <c r="L6" s="103"/>
      <c r="M6" s="103"/>
      <c r="N6" s="103"/>
      <c r="O6" s="108"/>
      <c r="P6" s="102"/>
      <c r="Q6" s="103"/>
      <c r="R6" s="109" t="e">
        <v>#DIV/0!</v>
      </c>
    </row>
    <row r="7" spans="1:18" x14ac:dyDescent="0.25">
      <c r="A7" s="101">
        <v>41995</v>
      </c>
      <c r="B7" s="102"/>
      <c r="C7" s="103"/>
      <c r="D7" s="104">
        <v>0</v>
      </c>
      <c r="E7" s="102"/>
      <c r="F7" s="105"/>
      <c r="G7" s="106"/>
      <c r="H7" s="107" t="e">
        <v>#DIV/0!</v>
      </c>
      <c r="I7" s="102"/>
      <c r="J7" s="103"/>
      <c r="K7" s="105" t="e">
        <v>#DIV/0!</v>
      </c>
      <c r="L7" s="103"/>
      <c r="M7" s="103"/>
      <c r="N7" s="103"/>
      <c r="O7" s="108"/>
      <c r="P7" s="102"/>
      <c r="Q7" s="103"/>
      <c r="R7" s="109" t="e">
        <v>#DIV/0!</v>
      </c>
    </row>
    <row r="8" spans="1:18" x14ac:dyDescent="0.25">
      <c r="A8" s="101">
        <v>41995</v>
      </c>
      <c r="B8" s="102"/>
      <c r="C8" s="103"/>
      <c r="D8" s="104">
        <v>0</v>
      </c>
      <c r="E8" s="102"/>
      <c r="F8" s="105"/>
      <c r="G8" s="106"/>
      <c r="H8" s="107" t="e">
        <v>#DIV/0!</v>
      </c>
      <c r="I8" s="102"/>
      <c r="J8" s="103"/>
      <c r="K8" s="105" t="e">
        <v>#DIV/0!</v>
      </c>
      <c r="L8" s="103"/>
      <c r="M8" s="103"/>
      <c r="N8" s="103"/>
      <c r="O8" s="108"/>
      <c r="P8" s="102"/>
      <c r="Q8" s="103"/>
      <c r="R8" s="109" t="e">
        <v>#DIV/0!</v>
      </c>
    </row>
    <row r="9" spans="1:18" x14ac:dyDescent="0.25">
      <c r="A9" s="101">
        <v>41995</v>
      </c>
      <c r="B9" s="102"/>
      <c r="C9" s="103"/>
      <c r="D9" s="104">
        <v>0</v>
      </c>
      <c r="E9" s="102"/>
      <c r="F9" s="105"/>
      <c r="G9" s="106"/>
      <c r="H9" s="107" t="e">
        <v>#DIV/0!</v>
      </c>
      <c r="I9" s="102"/>
      <c r="J9" s="103"/>
      <c r="K9" s="105" t="e">
        <v>#DIV/0!</v>
      </c>
      <c r="L9" s="103"/>
      <c r="M9" s="103"/>
      <c r="N9" s="103"/>
      <c r="O9" s="108"/>
      <c r="P9" s="102"/>
      <c r="Q9" s="103"/>
      <c r="R9" s="109" t="e">
        <v>#DIV/0!</v>
      </c>
    </row>
    <row r="10" spans="1:18" ht="15.75" thickBot="1" x14ac:dyDescent="0.3">
      <c r="A10" s="110">
        <v>41995</v>
      </c>
      <c r="B10" s="111"/>
      <c r="C10" s="112"/>
      <c r="D10" s="113">
        <v>0</v>
      </c>
      <c r="E10" s="111"/>
      <c r="F10" s="114"/>
      <c r="G10" s="115"/>
      <c r="H10" s="116" t="e">
        <v>#DIV/0!</v>
      </c>
      <c r="I10" s="111"/>
      <c r="J10" s="112"/>
      <c r="K10" s="114" t="e">
        <v>#DIV/0!</v>
      </c>
      <c r="L10" s="112"/>
      <c r="M10" s="112"/>
      <c r="N10" s="112"/>
      <c r="O10" s="117"/>
      <c r="P10" s="111"/>
      <c r="Q10" s="112"/>
      <c r="R10" s="118" t="e">
        <v>#DIV/0!</v>
      </c>
    </row>
    <row r="11" spans="1:18" ht="15.75" thickBot="1" x14ac:dyDescent="0.3">
      <c r="A11" s="119" t="s">
        <v>224</v>
      </c>
      <c r="B11" s="120">
        <v>1528</v>
      </c>
      <c r="C11" s="121">
        <v>267</v>
      </c>
      <c r="D11" s="122">
        <v>1261</v>
      </c>
      <c r="E11" s="120">
        <v>300</v>
      </c>
      <c r="F11" s="123">
        <v>0.23790642347343377</v>
      </c>
      <c r="G11" s="124">
        <v>67444.17</v>
      </c>
      <c r="H11" s="125">
        <v>224.81389999999999</v>
      </c>
      <c r="I11" s="120">
        <v>1781</v>
      </c>
      <c r="J11" s="121">
        <v>613</v>
      </c>
      <c r="K11" s="123">
        <v>0.34418865805727117</v>
      </c>
      <c r="L11" s="121">
        <v>352</v>
      </c>
      <c r="M11" s="121">
        <v>10</v>
      </c>
      <c r="N11" s="121">
        <v>248</v>
      </c>
      <c r="O11" s="126">
        <v>0</v>
      </c>
      <c r="P11" s="120">
        <v>961</v>
      </c>
      <c r="Q11" s="121">
        <v>957</v>
      </c>
      <c r="R11" s="127">
        <v>0.99583766909469307</v>
      </c>
    </row>
  </sheetData>
  <mergeCells count="2">
    <mergeCell ref="A2:B2"/>
    <mergeCell ref="A3:B3"/>
  </mergeCells>
  <conditionalFormatting sqref="R11">
    <cfRule type="expression" dxfId="65" priority="1" stopIfTrue="1">
      <formula>ISERROR(R11&gt;0)</formula>
    </cfRule>
  </conditionalFormatting>
  <pageMargins left="0.7" right="0.7" top="0.75" bottom="0.75" header="0.3" footer="0.3"/>
  <pageSetup scale="94" fitToHeight="0" orientation="landscape" horizontalDpi="0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Tracking"/>
  <dimension ref="A1:Q344"/>
  <sheetViews>
    <sheetView workbookViewId="0">
      <selection activeCell="Q7" sqref="Q7"/>
    </sheetView>
  </sheetViews>
  <sheetFormatPr defaultRowHeight="15" x14ac:dyDescent="0.25"/>
  <cols>
    <col min="1" max="2" width="10.7109375" style="37" customWidth="1"/>
    <col min="3" max="3" width="20.7109375" style="37" customWidth="1"/>
    <col min="4" max="4" width="10.7109375" style="37" customWidth="1"/>
    <col min="5" max="5" width="5.7109375" style="37" customWidth="1"/>
    <col min="6" max="6" width="8.7109375" style="37" customWidth="1"/>
    <col min="7" max="7" width="5.7109375" style="37" customWidth="1"/>
    <col min="8" max="8" width="8.7109375" style="37" customWidth="1"/>
    <col min="9" max="9" width="5.7109375" style="37" customWidth="1"/>
    <col min="10" max="12" width="10.7109375" style="37" customWidth="1"/>
    <col min="13" max="14" width="5.7109375" style="37" customWidth="1"/>
    <col min="15" max="16384" width="9.140625" style="37"/>
  </cols>
  <sheetData>
    <row r="1" spans="1:17" x14ac:dyDescent="0.25">
      <c r="A1" s="39" t="s">
        <v>103</v>
      </c>
      <c r="B1" s="39" t="s">
        <v>104</v>
      </c>
      <c r="C1" s="39" t="s">
        <v>105</v>
      </c>
      <c r="D1" s="39" t="s">
        <v>106</v>
      </c>
      <c r="E1" s="39" t="s">
        <v>109</v>
      </c>
      <c r="F1" s="39" t="s">
        <v>110</v>
      </c>
      <c r="G1" s="39" t="s">
        <v>111</v>
      </c>
      <c r="H1" s="39" t="s">
        <v>108</v>
      </c>
      <c r="I1" s="39" t="s">
        <v>107</v>
      </c>
      <c r="J1" s="40" t="s">
        <v>112</v>
      </c>
      <c r="K1" s="39" t="s">
        <v>113</v>
      </c>
      <c r="L1" s="41" t="s">
        <v>114</v>
      </c>
      <c r="M1" s="39" t="s">
        <v>115</v>
      </c>
      <c r="N1" s="39" t="s">
        <v>218</v>
      </c>
      <c r="O1" s="39" t="s">
        <v>116</v>
      </c>
      <c r="P1" s="39"/>
      <c r="Q1" s="39"/>
    </row>
    <row r="2" spans="1:17" x14ac:dyDescent="0.25">
      <c r="A2" s="37" t="s">
        <v>456</v>
      </c>
      <c r="B2" s="37" t="s">
        <v>457</v>
      </c>
      <c r="C2" s="39" t="s">
        <v>458</v>
      </c>
      <c r="D2" s="40">
        <v>42191</v>
      </c>
      <c r="E2" s="37" t="s">
        <v>118</v>
      </c>
      <c r="F2" s="39" t="s">
        <v>23</v>
      </c>
      <c r="G2" s="39"/>
      <c r="H2" s="37" t="s">
        <v>117</v>
      </c>
      <c r="I2" s="39">
        <v>45</v>
      </c>
      <c r="J2" s="40">
        <v>42192</v>
      </c>
      <c r="K2" s="39" t="s">
        <v>119</v>
      </c>
      <c r="L2" s="41">
        <v>127.35</v>
      </c>
      <c r="M2" s="39">
        <v>28</v>
      </c>
      <c r="N2" s="39" t="s">
        <v>219</v>
      </c>
      <c r="O2" s="39"/>
      <c r="P2" s="39"/>
      <c r="Q2" s="39"/>
    </row>
    <row r="3" spans="1:17" x14ac:dyDescent="0.25">
      <c r="A3" s="37" t="s">
        <v>768</v>
      </c>
      <c r="B3" s="37" t="s">
        <v>769</v>
      </c>
      <c r="C3" s="39" t="s">
        <v>770</v>
      </c>
      <c r="D3" s="40">
        <v>42198</v>
      </c>
      <c r="E3" s="37" t="s">
        <v>118</v>
      </c>
      <c r="F3" s="39" t="s">
        <v>23</v>
      </c>
      <c r="G3" s="39"/>
      <c r="H3" s="37" t="s">
        <v>117</v>
      </c>
      <c r="I3" s="39">
        <v>26</v>
      </c>
      <c r="J3" s="40">
        <v>42198</v>
      </c>
      <c r="K3" s="39" t="s">
        <v>119</v>
      </c>
      <c r="L3" s="41">
        <v>82.87</v>
      </c>
      <c r="M3" s="39">
        <v>29</v>
      </c>
      <c r="N3" s="39" t="s">
        <v>220</v>
      </c>
      <c r="O3" s="39"/>
      <c r="P3" s="39"/>
      <c r="Q3" s="39"/>
    </row>
    <row r="4" spans="1:17" x14ac:dyDescent="0.25">
      <c r="A4" s="37" t="s">
        <v>771</v>
      </c>
      <c r="B4" s="37" t="s">
        <v>772</v>
      </c>
      <c r="C4" s="39" t="s">
        <v>773</v>
      </c>
      <c r="D4" s="40">
        <v>42198</v>
      </c>
      <c r="E4" s="37" t="s">
        <v>118</v>
      </c>
      <c r="F4" s="39" t="s">
        <v>23</v>
      </c>
      <c r="G4" s="39"/>
      <c r="H4" s="37" t="s">
        <v>117</v>
      </c>
      <c r="I4" s="39">
        <v>39</v>
      </c>
      <c r="J4" s="40">
        <v>42198</v>
      </c>
      <c r="K4" s="39" t="s">
        <v>119</v>
      </c>
      <c r="L4" s="41">
        <v>27.96</v>
      </c>
      <c r="M4" s="39">
        <v>29</v>
      </c>
      <c r="N4" s="39" t="s">
        <v>220</v>
      </c>
      <c r="O4" s="39"/>
      <c r="P4" s="39"/>
      <c r="Q4" s="39"/>
    </row>
    <row r="5" spans="1:17" x14ac:dyDescent="0.25">
      <c r="A5" s="37" t="s">
        <v>774</v>
      </c>
      <c r="B5" s="37" t="s">
        <v>775</v>
      </c>
      <c r="C5" s="39" t="s">
        <v>776</v>
      </c>
      <c r="D5" s="40">
        <v>42198</v>
      </c>
      <c r="E5" s="37" t="s">
        <v>118</v>
      </c>
      <c r="F5" s="39" t="s">
        <v>23</v>
      </c>
      <c r="G5" s="39"/>
      <c r="H5" s="37" t="s">
        <v>117</v>
      </c>
      <c r="I5" s="39">
        <v>70</v>
      </c>
      <c r="J5" s="40">
        <v>42198</v>
      </c>
      <c r="K5" s="39" t="s">
        <v>119</v>
      </c>
      <c r="L5" s="41">
        <v>159.47</v>
      </c>
      <c r="M5" s="39">
        <v>29</v>
      </c>
      <c r="N5" s="39" t="s">
        <v>220</v>
      </c>
      <c r="O5" s="39"/>
      <c r="P5" s="39"/>
      <c r="Q5" s="39"/>
    </row>
    <row r="6" spans="1:17" x14ac:dyDescent="0.25">
      <c r="A6" s="37" t="s">
        <v>328</v>
      </c>
      <c r="B6" s="37" t="s">
        <v>329</v>
      </c>
      <c r="C6" s="39" t="s">
        <v>162</v>
      </c>
      <c r="D6" s="40">
        <v>42184</v>
      </c>
      <c r="E6" s="37" t="s">
        <v>118</v>
      </c>
      <c r="F6" s="39" t="s">
        <v>121</v>
      </c>
      <c r="G6" s="39"/>
      <c r="H6" s="37" t="s">
        <v>120</v>
      </c>
      <c r="I6" s="39">
        <v>47</v>
      </c>
      <c r="J6" s="40">
        <v>42185</v>
      </c>
      <c r="K6" s="39" t="s">
        <v>119</v>
      </c>
      <c r="L6" s="41">
        <v>450</v>
      </c>
      <c r="M6" s="39">
        <v>27</v>
      </c>
      <c r="N6" s="39" t="s">
        <v>219</v>
      </c>
      <c r="O6" s="39"/>
      <c r="P6" s="39"/>
      <c r="Q6" s="39"/>
    </row>
    <row r="7" spans="1:17" x14ac:dyDescent="0.25">
      <c r="A7" s="37" t="s">
        <v>410</v>
      </c>
      <c r="B7" s="37" t="s">
        <v>411</v>
      </c>
      <c r="C7" s="39" t="s">
        <v>203</v>
      </c>
      <c r="D7" s="40">
        <v>42184</v>
      </c>
      <c r="E7" s="37" t="s">
        <v>118</v>
      </c>
      <c r="F7" s="39" t="s">
        <v>121</v>
      </c>
      <c r="G7" s="39"/>
      <c r="H7" s="37" t="s">
        <v>120</v>
      </c>
      <c r="I7" s="39">
        <v>88</v>
      </c>
      <c r="J7" s="40">
        <v>42185</v>
      </c>
      <c r="K7" s="39" t="s">
        <v>119</v>
      </c>
      <c r="L7" s="41">
        <v>311.95</v>
      </c>
      <c r="M7" s="39">
        <v>27</v>
      </c>
      <c r="N7" s="39" t="s">
        <v>219</v>
      </c>
      <c r="O7" s="39"/>
      <c r="P7" s="39"/>
      <c r="Q7" s="39"/>
    </row>
    <row r="8" spans="1:17" x14ac:dyDescent="0.25">
      <c r="A8" s="37" t="s">
        <v>358</v>
      </c>
      <c r="B8" s="37" t="s">
        <v>359</v>
      </c>
      <c r="C8" s="39" t="s">
        <v>177</v>
      </c>
      <c r="D8" s="40">
        <v>42184</v>
      </c>
      <c r="E8" s="37" t="s">
        <v>118</v>
      </c>
      <c r="F8" s="39" t="s">
        <v>121</v>
      </c>
      <c r="G8" s="39"/>
      <c r="H8" s="37" t="s">
        <v>120</v>
      </c>
      <c r="I8" s="39">
        <v>62</v>
      </c>
      <c r="J8" s="40">
        <v>42186</v>
      </c>
      <c r="K8" s="39" t="s">
        <v>119</v>
      </c>
      <c r="L8" s="41">
        <v>237.86</v>
      </c>
      <c r="M8" s="39">
        <v>27</v>
      </c>
      <c r="N8" s="39" t="s">
        <v>219</v>
      </c>
      <c r="O8" s="39"/>
      <c r="P8" s="39"/>
      <c r="Q8" s="39"/>
    </row>
    <row r="9" spans="1:17" x14ac:dyDescent="0.25">
      <c r="A9" s="37" t="s">
        <v>362</v>
      </c>
      <c r="B9" s="37" t="s">
        <v>363</v>
      </c>
      <c r="C9" s="39" t="s">
        <v>179</v>
      </c>
      <c r="D9" s="40">
        <v>42184</v>
      </c>
      <c r="E9" s="37" t="s">
        <v>118</v>
      </c>
      <c r="F9" s="39" t="s">
        <v>121</v>
      </c>
      <c r="G9" s="39"/>
      <c r="H9" s="37" t="s">
        <v>120</v>
      </c>
      <c r="I9" s="39">
        <v>64</v>
      </c>
      <c r="J9" s="40">
        <v>42186</v>
      </c>
      <c r="K9" s="39" t="s">
        <v>119</v>
      </c>
      <c r="L9" s="41">
        <v>60</v>
      </c>
      <c r="M9" s="39">
        <v>27</v>
      </c>
      <c r="N9" s="39" t="s">
        <v>219</v>
      </c>
      <c r="O9" s="39"/>
      <c r="P9" s="39"/>
      <c r="Q9" s="39"/>
    </row>
    <row r="10" spans="1:17" x14ac:dyDescent="0.25">
      <c r="A10" s="37" t="s">
        <v>404</v>
      </c>
      <c r="B10" s="37" t="s">
        <v>405</v>
      </c>
      <c r="C10" s="39" t="s">
        <v>200</v>
      </c>
      <c r="D10" s="40">
        <v>42184</v>
      </c>
      <c r="E10" s="37" t="s">
        <v>118</v>
      </c>
      <c r="F10" s="39" t="s">
        <v>121</v>
      </c>
      <c r="G10" s="39"/>
      <c r="H10" s="37" t="s">
        <v>120</v>
      </c>
      <c r="I10" s="39">
        <v>85</v>
      </c>
      <c r="J10" s="40">
        <v>42186</v>
      </c>
      <c r="K10" s="39" t="s">
        <v>119</v>
      </c>
      <c r="L10" s="41">
        <v>208.1</v>
      </c>
      <c r="M10" s="39">
        <v>27</v>
      </c>
      <c r="N10" s="39" t="s">
        <v>219</v>
      </c>
      <c r="O10" s="39"/>
      <c r="P10" s="39"/>
      <c r="Q10" s="39"/>
    </row>
    <row r="11" spans="1:17" x14ac:dyDescent="0.25">
      <c r="A11" s="37" t="s">
        <v>350</v>
      </c>
      <c r="B11" s="37" t="s">
        <v>351</v>
      </c>
      <c r="C11" s="39" t="s">
        <v>173</v>
      </c>
      <c r="D11" s="40">
        <v>42184</v>
      </c>
      <c r="E11" s="37" t="s">
        <v>118</v>
      </c>
      <c r="F11" s="39" t="s">
        <v>121</v>
      </c>
      <c r="G11" s="39"/>
      <c r="H11" s="37" t="s">
        <v>120</v>
      </c>
      <c r="I11" s="39">
        <v>58</v>
      </c>
      <c r="J11" s="40">
        <v>42187</v>
      </c>
      <c r="K11" s="39" t="s">
        <v>119</v>
      </c>
      <c r="L11" s="41">
        <v>161.63999999999999</v>
      </c>
      <c r="M11" s="39">
        <v>27</v>
      </c>
      <c r="N11" s="39" t="s">
        <v>219</v>
      </c>
      <c r="O11" s="39"/>
      <c r="P11" s="39"/>
      <c r="Q11" s="39"/>
    </row>
    <row r="12" spans="1:17" x14ac:dyDescent="0.25">
      <c r="A12" s="37" t="s">
        <v>378</v>
      </c>
      <c r="B12" s="37" t="s">
        <v>379</v>
      </c>
      <c r="C12" s="39" t="s">
        <v>187</v>
      </c>
      <c r="D12" s="40">
        <v>42184</v>
      </c>
      <c r="E12" s="37" t="s">
        <v>118</v>
      </c>
      <c r="F12" s="39" t="s">
        <v>121</v>
      </c>
      <c r="G12" s="39"/>
      <c r="H12" s="37" t="s">
        <v>120</v>
      </c>
      <c r="I12" s="39">
        <v>72</v>
      </c>
      <c r="J12" s="40">
        <v>42187</v>
      </c>
      <c r="K12" s="39" t="s">
        <v>119</v>
      </c>
      <c r="L12" s="41">
        <v>281.29000000000002</v>
      </c>
      <c r="M12" s="39">
        <v>27</v>
      </c>
      <c r="N12" s="39" t="s">
        <v>219</v>
      </c>
      <c r="O12" s="39"/>
      <c r="P12" s="39"/>
      <c r="Q12" s="39"/>
    </row>
    <row r="13" spans="1:17" x14ac:dyDescent="0.25">
      <c r="A13" s="37" t="s">
        <v>364</v>
      </c>
      <c r="B13" s="37" t="s">
        <v>365</v>
      </c>
      <c r="C13" s="39" t="s">
        <v>180</v>
      </c>
      <c r="D13" s="40">
        <v>42184</v>
      </c>
      <c r="E13" s="37" t="s">
        <v>118</v>
      </c>
      <c r="F13" s="39" t="s">
        <v>121</v>
      </c>
      <c r="G13" s="39"/>
      <c r="H13" s="37" t="s">
        <v>120</v>
      </c>
      <c r="I13" s="39">
        <v>65</v>
      </c>
      <c r="J13" s="40">
        <v>42188</v>
      </c>
      <c r="K13" s="39" t="s">
        <v>119</v>
      </c>
      <c r="L13" s="41">
        <v>229.49</v>
      </c>
      <c r="M13" s="39">
        <v>27</v>
      </c>
      <c r="N13" s="39" t="s">
        <v>219</v>
      </c>
      <c r="O13" s="39"/>
      <c r="P13" s="39"/>
      <c r="Q13" s="39"/>
    </row>
    <row r="14" spans="1:17" x14ac:dyDescent="0.25">
      <c r="A14" s="37" t="s">
        <v>370</v>
      </c>
      <c r="B14" s="37" t="s">
        <v>371</v>
      </c>
      <c r="C14" s="39" t="s">
        <v>183</v>
      </c>
      <c r="D14" s="40">
        <v>42184</v>
      </c>
      <c r="E14" s="37" t="s">
        <v>118</v>
      </c>
      <c r="F14" s="39" t="s">
        <v>121</v>
      </c>
      <c r="G14" s="39"/>
      <c r="H14" s="37" t="s">
        <v>120</v>
      </c>
      <c r="I14" s="39">
        <v>68</v>
      </c>
      <c r="J14" s="40">
        <v>42188</v>
      </c>
      <c r="K14" s="39" t="s">
        <v>119</v>
      </c>
      <c r="L14" s="41">
        <v>308.39</v>
      </c>
      <c r="M14" s="39">
        <v>27</v>
      </c>
      <c r="N14" s="39" t="s">
        <v>219</v>
      </c>
      <c r="O14" s="39"/>
      <c r="P14" s="39"/>
      <c r="Q14" s="39"/>
    </row>
    <row r="15" spans="1:17" x14ac:dyDescent="0.25">
      <c r="A15" s="37" t="s">
        <v>380</v>
      </c>
      <c r="B15" s="37" t="s">
        <v>381</v>
      </c>
      <c r="C15" s="39" t="s">
        <v>188</v>
      </c>
      <c r="D15" s="40">
        <v>42184</v>
      </c>
      <c r="E15" s="37" t="s">
        <v>118</v>
      </c>
      <c r="F15" s="39" t="s">
        <v>121</v>
      </c>
      <c r="G15" s="39"/>
      <c r="H15" s="37" t="s">
        <v>120</v>
      </c>
      <c r="I15" s="39">
        <v>73</v>
      </c>
      <c r="J15" s="40">
        <v>42188</v>
      </c>
      <c r="K15" s="39" t="s">
        <v>119</v>
      </c>
      <c r="L15" s="41">
        <v>598.09</v>
      </c>
      <c r="M15" s="39">
        <v>27</v>
      </c>
      <c r="N15" s="39" t="s">
        <v>219</v>
      </c>
      <c r="O15" s="39"/>
      <c r="P15" s="39"/>
      <c r="Q15" s="39"/>
    </row>
    <row r="16" spans="1:17" x14ac:dyDescent="0.25">
      <c r="A16" s="37" t="s">
        <v>452</v>
      </c>
      <c r="B16" s="37" t="s">
        <v>453</v>
      </c>
      <c r="C16" s="39" t="s">
        <v>216</v>
      </c>
      <c r="D16" s="40">
        <v>42184</v>
      </c>
      <c r="E16" s="37" t="s">
        <v>118</v>
      </c>
      <c r="F16" s="39" t="s">
        <v>121</v>
      </c>
      <c r="G16" s="39"/>
      <c r="H16" s="37" t="s">
        <v>120</v>
      </c>
      <c r="I16" s="39">
        <v>117</v>
      </c>
      <c r="J16" s="40">
        <v>42188</v>
      </c>
      <c r="K16" s="39" t="s">
        <v>119</v>
      </c>
      <c r="L16" s="41">
        <v>50.01</v>
      </c>
      <c r="M16" s="39">
        <v>27</v>
      </c>
      <c r="N16" s="39" t="s">
        <v>219</v>
      </c>
      <c r="O16" s="39"/>
      <c r="P16" s="39"/>
      <c r="Q16" s="39"/>
    </row>
    <row r="17" spans="1:17" x14ac:dyDescent="0.25">
      <c r="A17" s="37" t="s">
        <v>396</v>
      </c>
      <c r="B17" s="37" t="s">
        <v>397</v>
      </c>
      <c r="C17" s="39" t="s">
        <v>196</v>
      </c>
      <c r="D17" s="40">
        <v>42184</v>
      </c>
      <c r="E17" s="37" t="s">
        <v>118</v>
      </c>
      <c r="F17" s="39" t="s">
        <v>121</v>
      </c>
      <c r="G17" s="39"/>
      <c r="H17" s="37" t="s">
        <v>120</v>
      </c>
      <c r="I17" s="39">
        <v>81</v>
      </c>
      <c r="J17" s="40">
        <v>42189</v>
      </c>
      <c r="K17" s="39" t="s">
        <v>119</v>
      </c>
      <c r="L17" s="41">
        <v>300.25</v>
      </c>
      <c r="M17" s="39">
        <v>27</v>
      </c>
      <c r="N17" s="39" t="s">
        <v>219</v>
      </c>
      <c r="O17" s="39"/>
      <c r="P17" s="39"/>
      <c r="Q17" s="39"/>
    </row>
    <row r="18" spans="1:17" x14ac:dyDescent="0.25">
      <c r="A18" s="37" t="s">
        <v>277</v>
      </c>
      <c r="B18" s="37" t="s">
        <v>278</v>
      </c>
      <c r="C18" s="39" t="s">
        <v>137</v>
      </c>
      <c r="D18" s="40">
        <v>42184</v>
      </c>
      <c r="E18" s="37" t="s">
        <v>118</v>
      </c>
      <c r="F18" s="39" t="s">
        <v>121</v>
      </c>
      <c r="G18" s="39"/>
      <c r="H18" s="37" t="s">
        <v>120</v>
      </c>
      <c r="I18" s="39">
        <v>22</v>
      </c>
      <c r="J18" s="40">
        <v>42193</v>
      </c>
      <c r="K18" s="39" t="s">
        <v>119</v>
      </c>
      <c r="L18" s="41">
        <v>171.44</v>
      </c>
      <c r="M18" s="39">
        <v>28</v>
      </c>
      <c r="N18" s="39" t="s">
        <v>219</v>
      </c>
      <c r="O18" s="39"/>
      <c r="P18" s="39"/>
      <c r="Q18" s="39"/>
    </row>
    <row r="19" spans="1:17" x14ac:dyDescent="0.25">
      <c r="A19" s="37" t="s">
        <v>289</v>
      </c>
      <c r="B19" s="37" t="s">
        <v>290</v>
      </c>
      <c r="C19" s="39" t="s">
        <v>143</v>
      </c>
      <c r="D19" s="40">
        <v>42184</v>
      </c>
      <c r="E19" s="37" t="s">
        <v>118</v>
      </c>
      <c r="F19" s="39" t="s">
        <v>121</v>
      </c>
      <c r="G19" s="39"/>
      <c r="H19" s="37" t="s">
        <v>120</v>
      </c>
      <c r="I19" s="39">
        <v>28</v>
      </c>
      <c r="J19" s="40">
        <v>42193</v>
      </c>
      <c r="K19" s="39" t="s">
        <v>119</v>
      </c>
      <c r="L19" s="41">
        <v>267.69</v>
      </c>
      <c r="M19" s="39">
        <v>28</v>
      </c>
      <c r="N19" s="39" t="s">
        <v>219</v>
      </c>
      <c r="O19" s="39"/>
      <c r="P19" s="39"/>
      <c r="Q19" s="39"/>
    </row>
    <row r="20" spans="1:17" x14ac:dyDescent="0.25">
      <c r="A20" s="37" t="s">
        <v>271</v>
      </c>
      <c r="B20" s="37" t="s">
        <v>272</v>
      </c>
      <c r="C20" s="39" t="s">
        <v>134</v>
      </c>
      <c r="D20" s="40">
        <v>42184</v>
      </c>
      <c r="E20" s="37" t="s">
        <v>118</v>
      </c>
      <c r="F20" s="39" t="s">
        <v>121</v>
      </c>
      <c r="G20" s="39"/>
      <c r="H20" s="37" t="s">
        <v>120</v>
      </c>
      <c r="I20" s="39">
        <v>19</v>
      </c>
      <c r="J20" s="40">
        <v>42194</v>
      </c>
      <c r="K20" s="39" t="s">
        <v>119</v>
      </c>
      <c r="L20" s="41">
        <v>180.68</v>
      </c>
      <c r="M20" s="39">
        <v>28</v>
      </c>
      <c r="N20" s="39" t="s">
        <v>219</v>
      </c>
      <c r="O20" s="39"/>
      <c r="P20" s="39"/>
      <c r="Q20" s="39"/>
    </row>
    <row r="21" spans="1:17" x14ac:dyDescent="0.25">
      <c r="A21" s="37" t="s">
        <v>338</v>
      </c>
      <c r="B21" s="37" t="s">
        <v>339</v>
      </c>
      <c r="C21" s="39" t="s">
        <v>167</v>
      </c>
      <c r="D21" s="40">
        <v>42184</v>
      </c>
      <c r="E21" s="37" t="s">
        <v>118</v>
      </c>
      <c r="F21" s="39" t="s">
        <v>121</v>
      </c>
      <c r="G21" s="39"/>
      <c r="H21" s="37" t="s">
        <v>120</v>
      </c>
      <c r="I21" s="39">
        <v>52</v>
      </c>
      <c r="J21" s="40">
        <v>42194</v>
      </c>
      <c r="K21" s="39" t="s">
        <v>119</v>
      </c>
      <c r="L21" s="41">
        <v>341.92</v>
      </c>
      <c r="M21" s="39">
        <v>28</v>
      </c>
      <c r="N21" s="39" t="s">
        <v>219</v>
      </c>
      <c r="O21" s="39"/>
      <c r="P21" s="39"/>
      <c r="Q21" s="39"/>
    </row>
    <row r="22" spans="1:17" x14ac:dyDescent="0.25">
      <c r="A22" s="37" t="s">
        <v>681</v>
      </c>
      <c r="B22" s="37" t="s">
        <v>682</v>
      </c>
      <c r="C22" s="39" t="s">
        <v>683</v>
      </c>
      <c r="D22" s="40">
        <v>42191</v>
      </c>
      <c r="E22" s="37" t="s">
        <v>118</v>
      </c>
      <c r="F22" s="39" t="s">
        <v>121</v>
      </c>
      <c r="G22" s="39"/>
      <c r="H22" s="37" t="s">
        <v>120</v>
      </c>
      <c r="I22" s="39">
        <v>78</v>
      </c>
      <c r="J22" s="40">
        <v>42194</v>
      </c>
      <c r="K22" s="39" t="s">
        <v>119</v>
      </c>
      <c r="L22" s="41">
        <v>200</v>
      </c>
      <c r="M22" s="39">
        <v>28</v>
      </c>
      <c r="N22" s="39" t="s">
        <v>219</v>
      </c>
      <c r="O22" s="39"/>
      <c r="P22" s="39"/>
      <c r="Q22" s="39"/>
    </row>
    <row r="23" spans="1:17" x14ac:dyDescent="0.25">
      <c r="A23" s="37" t="s">
        <v>283</v>
      </c>
      <c r="B23" s="37" t="s">
        <v>284</v>
      </c>
      <c r="C23" s="39" t="s">
        <v>140</v>
      </c>
      <c r="D23" s="40">
        <v>42184</v>
      </c>
      <c r="E23" s="37" t="s">
        <v>118</v>
      </c>
      <c r="F23" s="39" t="s">
        <v>121</v>
      </c>
      <c r="G23" s="39"/>
      <c r="H23" s="37" t="s">
        <v>120</v>
      </c>
      <c r="I23" s="39">
        <v>25</v>
      </c>
      <c r="J23" s="40">
        <v>42195</v>
      </c>
      <c r="K23" s="39" t="s">
        <v>119</v>
      </c>
      <c r="L23" s="41">
        <v>206.08</v>
      </c>
      <c r="M23" s="39">
        <v>28</v>
      </c>
      <c r="N23" s="39" t="s">
        <v>219</v>
      </c>
      <c r="O23" s="39"/>
      <c r="P23" s="39"/>
      <c r="Q23" s="39"/>
    </row>
    <row r="24" spans="1:17" x14ac:dyDescent="0.25">
      <c r="A24" s="37" t="s">
        <v>561</v>
      </c>
      <c r="B24" s="37" t="s">
        <v>562</v>
      </c>
      <c r="C24" s="39" t="s">
        <v>563</v>
      </c>
      <c r="D24" s="40">
        <v>42191</v>
      </c>
      <c r="E24" s="37" t="s">
        <v>118</v>
      </c>
      <c r="F24" s="39" t="s">
        <v>121</v>
      </c>
      <c r="G24" s="39"/>
      <c r="H24" s="37" t="s">
        <v>120</v>
      </c>
      <c r="I24" s="39">
        <v>38</v>
      </c>
      <c r="J24" s="40">
        <v>42195</v>
      </c>
      <c r="K24" s="39" t="s">
        <v>119</v>
      </c>
      <c r="L24" s="41">
        <v>147.08000000000001</v>
      </c>
      <c r="M24" s="39">
        <v>28</v>
      </c>
      <c r="N24" s="39" t="s">
        <v>219</v>
      </c>
      <c r="O24" s="39"/>
      <c r="P24" s="39"/>
      <c r="Q24" s="39"/>
    </row>
    <row r="25" spans="1:17" x14ac:dyDescent="0.25">
      <c r="A25" s="37" t="s">
        <v>594</v>
      </c>
      <c r="B25" s="37" t="s">
        <v>595</v>
      </c>
      <c r="C25" s="39" t="s">
        <v>596</v>
      </c>
      <c r="D25" s="40">
        <v>42191</v>
      </c>
      <c r="E25" s="37" t="s">
        <v>118</v>
      </c>
      <c r="F25" s="39" t="s">
        <v>121</v>
      </c>
      <c r="G25" s="39"/>
      <c r="H25" s="37" t="s">
        <v>120</v>
      </c>
      <c r="I25" s="39">
        <v>49</v>
      </c>
      <c r="J25" s="40">
        <v>42195</v>
      </c>
      <c r="K25" s="39" t="s">
        <v>119</v>
      </c>
      <c r="L25" s="41">
        <v>376.8</v>
      </c>
      <c r="M25" s="39">
        <v>28</v>
      </c>
      <c r="N25" s="39" t="s">
        <v>219</v>
      </c>
      <c r="O25" s="39"/>
      <c r="P25" s="39"/>
      <c r="Q25" s="39"/>
    </row>
    <row r="26" spans="1:17" x14ac:dyDescent="0.25">
      <c r="A26" s="37" t="s">
        <v>414</v>
      </c>
      <c r="B26" s="37" t="s">
        <v>415</v>
      </c>
      <c r="C26" s="39" t="s">
        <v>205</v>
      </c>
      <c r="D26" s="40">
        <v>42184</v>
      </c>
      <c r="E26" s="37" t="s">
        <v>118</v>
      </c>
      <c r="F26" s="39" t="s">
        <v>121</v>
      </c>
      <c r="G26" s="39"/>
      <c r="H26" s="37" t="s">
        <v>120</v>
      </c>
      <c r="I26" s="39">
        <v>90</v>
      </c>
      <c r="J26" s="40">
        <v>42195</v>
      </c>
      <c r="K26" s="39" t="s">
        <v>119</v>
      </c>
      <c r="L26" s="41">
        <v>61.78</v>
      </c>
      <c r="M26" s="39">
        <v>28</v>
      </c>
      <c r="N26" s="39" t="s">
        <v>219</v>
      </c>
      <c r="O26" s="39"/>
      <c r="P26" s="39"/>
      <c r="Q26" s="39"/>
    </row>
    <row r="27" spans="1:17" x14ac:dyDescent="0.25">
      <c r="A27" s="37" t="s">
        <v>424</v>
      </c>
      <c r="B27" s="37" t="s">
        <v>425</v>
      </c>
      <c r="C27" s="39" t="s">
        <v>209</v>
      </c>
      <c r="D27" s="40">
        <v>42184</v>
      </c>
      <c r="E27" s="37" t="s">
        <v>118</v>
      </c>
      <c r="F27" s="39" t="s">
        <v>121</v>
      </c>
      <c r="G27" s="39"/>
      <c r="H27" s="37" t="s">
        <v>120</v>
      </c>
      <c r="I27" s="39">
        <v>96</v>
      </c>
      <c r="J27" s="40">
        <v>42195</v>
      </c>
      <c r="K27" s="39" t="s">
        <v>119</v>
      </c>
      <c r="L27" s="41">
        <v>275.79000000000002</v>
      </c>
      <c r="M27" s="39">
        <v>28</v>
      </c>
      <c r="N27" s="39" t="s">
        <v>219</v>
      </c>
      <c r="O27" s="39"/>
      <c r="P27" s="39"/>
      <c r="Q27" s="39"/>
    </row>
    <row r="28" spans="1:17" x14ac:dyDescent="0.25">
      <c r="A28" s="37" t="s">
        <v>267</v>
      </c>
      <c r="B28" s="37" t="s">
        <v>268</v>
      </c>
      <c r="C28" s="39" t="s">
        <v>132</v>
      </c>
      <c r="D28" s="40">
        <v>42184</v>
      </c>
      <c r="E28" s="37" t="s">
        <v>118</v>
      </c>
      <c r="F28" s="39" t="s">
        <v>121</v>
      </c>
      <c r="G28" s="39"/>
      <c r="H28" s="37" t="s">
        <v>120</v>
      </c>
      <c r="I28" s="39">
        <v>17</v>
      </c>
      <c r="J28" s="40">
        <v>42196</v>
      </c>
      <c r="K28" s="39" t="s">
        <v>119</v>
      </c>
      <c r="L28" s="41">
        <v>414.8</v>
      </c>
      <c r="M28" s="39">
        <v>28</v>
      </c>
      <c r="N28" s="39" t="s">
        <v>219</v>
      </c>
      <c r="O28" s="39"/>
      <c r="P28" s="39"/>
      <c r="Q28" s="39"/>
    </row>
    <row r="29" spans="1:17" x14ac:dyDescent="0.25">
      <c r="A29" s="37" t="s">
        <v>332</v>
      </c>
      <c r="B29" s="37" t="s">
        <v>333</v>
      </c>
      <c r="C29" s="39" t="s">
        <v>164</v>
      </c>
      <c r="D29" s="40">
        <v>42184</v>
      </c>
      <c r="E29" s="37" t="s">
        <v>118</v>
      </c>
      <c r="F29" s="39" t="s">
        <v>121</v>
      </c>
      <c r="G29" s="39"/>
      <c r="H29" s="37" t="s">
        <v>120</v>
      </c>
      <c r="I29" s="39">
        <v>49</v>
      </c>
      <c r="J29" s="40">
        <v>42196</v>
      </c>
      <c r="K29" s="39" t="s">
        <v>119</v>
      </c>
      <c r="L29" s="41">
        <v>115.17</v>
      </c>
      <c r="M29" s="39">
        <v>28</v>
      </c>
      <c r="N29" s="39" t="s">
        <v>219</v>
      </c>
      <c r="O29" s="39"/>
      <c r="P29" s="39"/>
      <c r="Q29" s="39"/>
    </row>
    <row r="30" spans="1:17" x14ac:dyDescent="0.25">
      <c r="A30" s="37" t="s">
        <v>374</v>
      </c>
      <c r="B30" s="37" t="s">
        <v>375</v>
      </c>
      <c r="C30" s="39" t="s">
        <v>185</v>
      </c>
      <c r="D30" s="40">
        <v>42184</v>
      </c>
      <c r="E30" s="37" t="s">
        <v>118</v>
      </c>
      <c r="F30" s="39" t="s">
        <v>121</v>
      </c>
      <c r="G30" s="39"/>
      <c r="H30" s="37" t="s">
        <v>120</v>
      </c>
      <c r="I30" s="39">
        <v>70</v>
      </c>
      <c r="J30" s="40">
        <v>42196</v>
      </c>
      <c r="K30" s="39" t="s">
        <v>119</v>
      </c>
      <c r="L30" s="41">
        <v>407.33</v>
      </c>
      <c r="M30" s="39">
        <v>28</v>
      </c>
      <c r="N30" s="39" t="s">
        <v>219</v>
      </c>
      <c r="O30" s="39"/>
      <c r="P30" s="39"/>
      <c r="Q30" s="39"/>
    </row>
    <row r="31" spans="1:17" x14ac:dyDescent="0.25">
      <c r="A31" s="37" t="s">
        <v>257</v>
      </c>
      <c r="B31" s="37" t="s">
        <v>258</v>
      </c>
      <c r="C31" s="39" t="s">
        <v>127</v>
      </c>
      <c r="D31" s="40">
        <v>42184</v>
      </c>
      <c r="E31" s="37" t="s">
        <v>118</v>
      </c>
      <c r="F31" s="39" t="s">
        <v>121</v>
      </c>
      <c r="G31" s="39"/>
      <c r="H31" s="37" t="s">
        <v>120</v>
      </c>
      <c r="I31" s="39">
        <v>12</v>
      </c>
      <c r="J31" s="40">
        <v>42198</v>
      </c>
      <c r="K31" s="39" t="s">
        <v>119</v>
      </c>
      <c r="L31" s="41">
        <v>438.01</v>
      </c>
      <c r="M31" s="39">
        <v>29</v>
      </c>
      <c r="N31" s="39" t="s">
        <v>219</v>
      </c>
      <c r="O31" s="39"/>
      <c r="P31" s="39"/>
      <c r="Q31" s="39"/>
    </row>
    <row r="32" spans="1:17" x14ac:dyDescent="0.25">
      <c r="A32" s="37" t="s">
        <v>360</v>
      </c>
      <c r="B32" s="37" t="s">
        <v>361</v>
      </c>
      <c r="C32" s="39" t="s">
        <v>178</v>
      </c>
      <c r="D32" s="40">
        <v>42184</v>
      </c>
      <c r="E32" s="37" t="s">
        <v>118</v>
      </c>
      <c r="F32" s="39" t="s">
        <v>121</v>
      </c>
      <c r="G32" s="39"/>
      <c r="H32" s="37" t="s">
        <v>120</v>
      </c>
      <c r="I32" s="39">
        <v>63</v>
      </c>
      <c r="J32" s="40">
        <v>42198</v>
      </c>
      <c r="K32" s="39" t="s">
        <v>119</v>
      </c>
      <c r="L32" s="41">
        <v>166.11</v>
      </c>
      <c r="M32" s="39">
        <v>29</v>
      </c>
      <c r="N32" s="39" t="s">
        <v>219</v>
      </c>
      <c r="O32" s="39"/>
      <c r="P32" s="39"/>
      <c r="Q32" s="39"/>
    </row>
    <row r="33" spans="1:17" x14ac:dyDescent="0.25">
      <c r="A33" s="37" t="s">
        <v>368</v>
      </c>
      <c r="B33" s="37" t="s">
        <v>369</v>
      </c>
      <c r="C33" s="39" t="s">
        <v>182</v>
      </c>
      <c r="D33" s="40">
        <v>42184</v>
      </c>
      <c r="E33" s="37" t="s">
        <v>118</v>
      </c>
      <c r="F33" s="39" t="s">
        <v>121</v>
      </c>
      <c r="G33" s="39"/>
      <c r="H33" s="37" t="s">
        <v>120</v>
      </c>
      <c r="I33" s="39">
        <v>67</v>
      </c>
      <c r="J33" s="40">
        <v>42198</v>
      </c>
      <c r="K33" s="39" t="s">
        <v>119</v>
      </c>
      <c r="L33" s="41">
        <v>252</v>
      </c>
      <c r="M33" s="39">
        <v>29</v>
      </c>
      <c r="N33" s="39" t="s">
        <v>219</v>
      </c>
      <c r="O33" s="39"/>
      <c r="P33" s="39"/>
      <c r="Q33" s="39"/>
    </row>
    <row r="34" spans="1:17" x14ac:dyDescent="0.25">
      <c r="A34" s="37" t="s">
        <v>408</v>
      </c>
      <c r="B34" s="37" t="s">
        <v>409</v>
      </c>
      <c r="C34" s="39" t="s">
        <v>202</v>
      </c>
      <c r="D34" s="40">
        <v>42184</v>
      </c>
      <c r="E34" s="37" t="s">
        <v>118</v>
      </c>
      <c r="F34" s="39" t="s">
        <v>121</v>
      </c>
      <c r="G34" s="39"/>
      <c r="H34" s="37" t="s">
        <v>120</v>
      </c>
      <c r="I34" s="39">
        <v>87</v>
      </c>
      <c r="J34" s="40">
        <v>42198</v>
      </c>
      <c r="K34" s="39" t="s">
        <v>119</v>
      </c>
      <c r="L34" s="41">
        <v>262.31</v>
      </c>
      <c r="M34" s="39">
        <v>29</v>
      </c>
      <c r="N34" s="39" t="s">
        <v>219</v>
      </c>
      <c r="O34" s="39"/>
      <c r="P34" s="39"/>
      <c r="Q34" s="39"/>
    </row>
    <row r="35" spans="1:17" x14ac:dyDescent="0.25">
      <c r="A35" s="37" t="s">
        <v>792</v>
      </c>
      <c r="B35" s="37" t="s">
        <v>793</v>
      </c>
      <c r="C35" s="39" t="s">
        <v>794</v>
      </c>
      <c r="D35" s="40">
        <v>42198</v>
      </c>
      <c r="E35" s="37" t="s">
        <v>118</v>
      </c>
      <c r="F35" s="39" t="s">
        <v>121</v>
      </c>
      <c r="G35" s="39"/>
      <c r="H35" s="37" t="s">
        <v>120</v>
      </c>
      <c r="I35" s="39">
        <v>7</v>
      </c>
      <c r="J35" s="40">
        <v>42199</v>
      </c>
      <c r="K35" s="39" t="s">
        <v>119</v>
      </c>
      <c r="L35" s="41">
        <v>87.88</v>
      </c>
      <c r="M35" s="39">
        <v>29</v>
      </c>
      <c r="N35" s="39" t="s">
        <v>220</v>
      </c>
      <c r="O35" s="39"/>
      <c r="P35" s="39"/>
      <c r="Q35" s="39"/>
    </row>
    <row r="36" spans="1:17" x14ac:dyDescent="0.25">
      <c r="A36" s="37" t="s">
        <v>795</v>
      </c>
      <c r="B36" s="37" t="s">
        <v>796</v>
      </c>
      <c r="C36" s="39" t="s">
        <v>797</v>
      </c>
      <c r="D36" s="40">
        <v>42198</v>
      </c>
      <c r="E36" s="37" t="s">
        <v>118</v>
      </c>
      <c r="F36" s="39" t="s">
        <v>121</v>
      </c>
      <c r="G36" s="39"/>
      <c r="H36" s="37" t="s">
        <v>120</v>
      </c>
      <c r="I36" s="39">
        <v>8</v>
      </c>
      <c r="J36" s="40">
        <v>42199</v>
      </c>
      <c r="K36" s="39" t="s">
        <v>119</v>
      </c>
      <c r="L36" s="41">
        <v>150.96</v>
      </c>
      <c r="M36" s="39">
        <v>29</v>
      </c>
      <c r="N36" s="39" t="s">
        <v>220</v>
      </c>
      <c r="O36" s="39"/>
      <c r="P36" s="39"/>
      <c r="Q36" s="39"/>
    </row>
    <row r="37" spans="1:17" x14ac:dyDescent="0.25">
      <c r="A37" s="37" t="s">
        <v>945</v>
      </c>
      <c r="B37" s="37" t="s">
        <v>946</v>
      </c>
      <c r="C37" s="39" t="s">
        <v>947</v>
      </c>
      <c r="D37" s="40">
        <v>42198</v>
      </c>
      <c r="E37" s="37" t="s">
        <v>118</v>
      </c>
      <c r="F37" s="39" t="s">
        <v>121</v>
      </c>
      <c r="G37" s="39"/>
      <c r="H37" s="37" t="s">
        <v>120</v>
      </c>
      <c r="I37" s="39">
        <v>58</v>
      </c>
      <c r="J37" s="40">
        <v>42199</v>
      </c>
      <c r="K37" s="39" t="s">
        <v>119</v>
      </c>
      <c r="L37" s="41">
        <v>253</v>
      </c>
      <c r="M37" s="39">
        <v>29</v>
      </c>
      <c r="N37" s="39" t="s">
        <v>220</v>
      </c>
      <c r="O37" s="39"/>
      <c r="P37" s="39"/>
      <c r="Q37" s="39"/>
    </row>
    <row r="38" spans="1:17" x14ac:dyDescent="0.25">
      <c r="A38" s="37" t="s">
        <v>948</v>
      </c>
      <c r="B38" s="37" t="s">
        <v>949</v>
      </c>
      <c r="C38" s="39" t="s">
        <v>950</v>
      </c>
      <c r="D38" s="40">
        <v>42198</v>
      </c>
      <c r="E38" s="37" t="s">
        <v>118</v>
      </c>
      <c r="F38" s="39" t="s">
        <v>121</v>
      </c>
      <c r="G38" s="39"/>
      <c r="H38" s="37" t="s">
        <v>120</v>
      </c>
      <c r="I38" s="39">
        <v>59</v>
      </c>
      <c r="J38" s="40">
        <v>42199</v>
      </c>
      <c r="K38" s="39" t="s">
        <v>119</v>
      </c>
      <c r="L38" s="41">
        <v>117.6</v>
      </c>
      <c r="M38" s="39">
        <v>29</v>
      </c>
      <c r="N38" s="39" t="s">
        <v>220</v>
      </c>
      <c r="O38" s="39"/>
      <c r="P38" s="39"/>
      <c r="Q38" s="39"/>
    </row>
    <row r="39" spans="1:17" x14ac:dyDescent="0.25">
      <c r="A39" s="37" t="s">
        <v>693</v>
      </c>
      <c r="B39" s="37" t="s">
        <v>694</v>
      </c>
      <c r="C39" s="39" t="s">
        <v>695</v>
      </c>
      <c r="D39" s="40">
        <v>42191</v>
      </c>
      <c r="E39" s="37" t="s">
        <v>118</v>
      </c>
      <c r="F39" s="39" t="s">
        <v>121</v>
      </c>
      <c r="G39" s="39"/>
      <c r="H39" s="37" t="s">
        <v>120</v>
      </c>
      <c r="I39" s="39">
        <v>82</v>
      </c>
      <c r="J39" s="40">
        <v>42199</v>
      </c>
      <c r="K39" s="39" t="s">
        <v>119</v>
      </c>
      <c r="L39" s="41">
        <v>400</v>
      </c>
      <c r="M39" s="39">
        <v>29</v>
      </c>
      <c r="N39" s="39" t="s">
        <v>219</v>
      </c>
      <c r="O39" s="39"/>
      <c r="P39" s="39"/>
      <c r="Q39" s="39"/>
    </row>
    <row r="40" spans="1:17" x14ac:dyDescent="0.25">
      <c r="A40" s="37" t="s">
        <v>510</v>
      </c>
      <c r="B40" s="37" t="s">
        <v>511</v>
      </c>
      <c r="C40" s="39" t="s">
        <v>512</v>
      </c>
      <c r="D40" s="40">
        <v>42191</v>
      </c>
      <c r="E40" s="37" t="s">
        <v>118</v>
      </c>
      <c r="F40" s="39" t="s">
        <v>121</v>
      </c>
      <c r="G40" s="39"/>
      <c r="H40" s="37" t="s">
        <v>120</v>
      </c>
      <c r="I40" s="39">
        <v>21</v>
      </c>
      <c r="J40" s="40">
        <v>42200</v>
      </c>
      <c r="K40" s="39" t="s">
        <v>119</v>
      </c>
      <c r="L40" s="41">
        <v>230.52</v>
      </c>
      <c r="M40" s="39">
        <v>29</v>
      </c>
      <c r="N40" s="39" t="s">
        <v>219</v>
      </c>
      <c r="O40" s="39"/>
      <c r="P40" s="39"/>
      <c r="Q40" s="39"/>
    </row>
    <row r="41" spans="1:17" x14ac:dyDescent="0.25">
      <c r="A41" s="37" t="s">
        <v>834</v>
      </c>
      <c r="B41" s="37" t="s">
        <v>835</v>
      </c>
      <c r="C41" s="39" t="s">
        <v>836</v>
      </c>
      <c r="D41" s="40">
        <v>42198</v>
      </c>
      <c r="E41" s="37" t="s">
        <v>118</v>
      </c>
      <c r="F41" s="39" t="s">
        <v>121</v>
      </c>
      <c r="G41" s="39"/>
      <c r="H41" s="37" t="s">
        <v>120</v>
      </c>
      <c r="I41" s="39">
        <v>21</v>
      </c>
      <c r="J41" s="40">
        <v>42200</v>
      </c>
      <c r="K41" s="39" t="s">
        <v>119</v>
      </c>
      <c r="L41" s="41">
        <v>259.64</v>
      </c>
      <c r="M41" s="39">
        <v>29</v>
      </c>
      <c r="N41" s="39" t="s">
        <v>220</v>
      </c>
      <c r="O41" s="39"/>
      <c r="P41" s="39"/>
      <c r="Q41" s="39"/>
    </row>
    <row r="42" spans="1:17" x14ac:dyDescent="0.25">
      <c r="A42" s="37" t="s">
        <v>543</v>
      </c>
      <c r="B42" s="37" t="s">
        <v>544</v>
      </c>
      <c r="C42" s="39" t="s">
        <v>545</v>
      </c>
      <c r="D42" s="40">
        <v>42191</v>
      </c>
      <c r="E42" s="37" t="s">
        <v>118</v>
      </c>
      <c r="F42" s="39" t="s">
        <v>121</v>
      </c>
      <c r="G42" s="39"/>
      <c r="H42" s="37" t="s">
        <v>120</v>
      </c>
      <c r="I42" s="39">
        <v>32</v>
      </c>
      <c r="J42" s="40">
        <v>42200</v>
      </c>
      <c r="K42" s="39" t="s">
        <v>119</v>
      </c>
      <c r="L42" s="41">
        <v>228.97</v>
      </c>
      <c r="M42" s="39">
        <v>29</v>
      </c>
      <c r="N42" s="39" t="s">
        <v>219</v>
      </c>
      <c r="O42" s="39"/>
      <c r="P42" s="39"/>
      <c r="Q42" s="39"/>
    </row>
    <row r="43" spans="1:17" x14ac:dyDescent="0.25">
      <c r="A43" s="37" t="s">
        <v>606</v>
      </c>
      <c r="B43" s="37" t="s">
        <v>607</v>
      </c>
      <c r="C43" s="39" t="s">
        <v>608</v>
      </c>
      <c r="D43" s="40">
        <v>42191</v>
      </c>
      <c r="E43" s="37" t="s">
        <v>118</v>
      </c>
      <c r="F43" s="39" t="s">
        <v>121</v>
      </c>
      <c r="G43" s="39"/>
      <c r="H43" s="37" t="s">
        <v>120</v>
      </c>
      <c r="I43" s="39">
        <v>53</v>
      </c>
      <c r="J43" s="40">
        <v>42200</v>
      </c>
      <c r="K43" s="39" t="s">
        <v>119</v>
      </c>
      <c r="L43" s="41">
        <v>371.77</v>
      </c>
      <c r="M43" s="39">
        <v>29</v>
      </c>
      <c r="N43" s="39" t="s">
        <v>219</v>
      </c>
      <c r="O43" s="39"/>
      <c r="P43" s="39"/>
      <c r="Q43" s="39"/>
    </row>
    <row r="44" spans="1:17" x14ac:dyDescent="0.25">
      <c r="A44" s="37" t="s">
        <v>612</v>
      </c>
      <c r="B44" s="37" t="s">
        <v>613</v>
      </c>
      <c r="C44" s="39" t="s">
        <v>614</v>
      </c>
      <c r="D44" s="40">
        <v>42191</v>
      </c>
      <c r="E44" s="37" t="s">
        <v>118</v>
      </c>
      <c r="F44" s="39" t="s">
        <v>121</v>
      </c>
      <c r="G44" s="39"/>
      <c r="H44" s="37" t="s">
        <v>120</v>
      </c>
      <c r="I44" s="39">
        <v>55</v>
      </c>
      <c r="J44" s="40">
        <v>42200</v>
      </c>
      <c r="K44" s="39" t="s">
        <v>119</v>
      </c>
      <c r="L44" s="41">
        <v>149.18</v>
      </c>
      <c r="M44" s="39">
        <v>29</v>
      </c>
      <c r="N44" s="39" t="s">
        <v>219</v>
      </c>
      <c r="O44" s="39"/>
      <c r="P44" s="39"/>
      <c r="Q44" s="39"/>
    </row>
    <row r="45" spans="1:17" x14ac:dyDescent="0.25">
      <c r="A45" s="37" t="s">
        <v>618</v>
      </c>
      <c r="B45" s="37" t="s">
        <v>619</v>
      </c>
      <c r="C45" s="39" t="s">
        <v>620</v>
      </c>
      <c r="D45" s="40">
        <v>42191</v>
      </c>
      <c r="E45" s="37" t="s">
        <v>118</v>
      </c>
      <c r="F45" s="39" t="s">
        <v>121</v>
      </c>
      <c r="G45" s="39"/>
      <c r="H45" s="37" t="s">
        <v>120</v>
      </c>
      <c r="I45" s="39">
        <v>57</v>
      </c>
      <c r="J45" s="40">
        <v>42200</v>
      </c>
      <c r="K45" s="39" t="s">
        <v>119</v>
      </c>
      <c r="L45" s="41">
        <v>112.68</v>
      </c>
      <c r="M45" s="39">
        <v>29</v>
      </c>
      <c r="N45" s="39" t="s">
        <v>219</v>
      </c>
      <c r="O45" s="39"/>
      <c r="P45" s="39"/>
      <c r="Q45" s="39"/>
    </row>
    <row r="46" spans="1:17" x14ac:dyDescent="0.25">
      <c r="A46" s="37" t="s">
        <v>789</v>
      </c>
      <c r="B46" s="37" t="s">
        <v>790</v>
      </c>
      <c r="C46" s="39" t="s">
        <v>791</v>
      </c>
      <c r="D46" s="40">
        <v>42198</v>
      </c>
      <c r="E46" s="37" t="s">
        <v>118</v>
      </c>
      <c r="F46" s="39" t="s">
        <v>121</v>
      </c>
      <c r="G46" s="39"/>
      <c r="H46" s="37" t="s">
        <v>120</v>
      </c>
      <c r="I46" s="39">
        <v>6</v>
      </c>
      <c r="J46" s="40">
        <v>42201</v>
      </c>
      <c r="K46" s="39" t="s">
        <v>119</v>
      </c>
      <c r="L46" s="41">
        <v>207.04</v>
      </c>
      <c r="M46" s="39">
        <v>29</v>
      </c>
      <c r="N46" s="39" t="s">
        <v>220</v>
      </c>
      <c r="O46" s="39"/>
      <c r="P46" s="39"/>
      <c r="Q46" s="39"/>
    </row>
    <row r="47" spans="1:17" x14ac:dyDescent="0.25">
      <c r="A47" s="37" t="s">
        <v>846</v>
      </c>
      <c r="B47" s="37" t="s">
        <v>847</v>
      </c>
      <c r="C47" s="39" t="s">
        <v>848</v>
      </c>
      <c r="D47" s="40">
        <v>42198</v>
      </c>
      <c r="E47" s="37" t="s">
        <v>118</v>
      </c>
      <c r="F47" s="39" t="s">
        <v>121</v>
      </c>
      <c r="G47" s="39"/>
      <c r="H47" s="37" t="s">
        <v>120</v>
      </c>
      <c r="I47" s="39">
        <v>25</v>
      </c>
      <c r="J47" s="40">
        <v>42201</v>
      </c>
      <c r="K47" s="39" t="s">
        <v>119</v>
      </c>
      <c r="L47" s="41">
        <v>119.08</v>
      </c>
      <c r="M47" s="39">
        <v>29</v>
      </c>
      <c r="N47" s="39" t="s">
        <v>220</v>
      </c>
      <c r="O47" s="39"/>
      <c r="P47" s="39"/>
      <c r="Q47" s="39"/>
    </row>
    <row r="48" spans="1:17" x14ac:dyDescent="0.25">
      <c r="A48" s="37" t="s">
        <v>900</v>
      </c>
      <c r="B48" s="37" t="s">
        <v>901</v>
      </c>
      <c r="C48" s="39" t="s">
        <v>902</v>
      </c>
      <c r="D48" s="40">
        <v>42198</v>
      </c>
      <c r="E48" s="37" t="s">
        <v>118</v>
      </c>
      <c r="F48" s="39" t="s">
        <v>121</v>
      </c>
      <c r="G48" s="39"/>
      <c r="H48" s="37" t="s">
        <v>120</v>
      </c>
      <c r="I48" s="39">
        <v>43</v>
      </c>
      <c r="J48" s="40">
        <v>42201</v>
      </c>
      <c r="K48" s="39" t="s">
        <v>119</v>
      </c>
      <c r="L48" s="41">
        <v>95.96</v>
      </c>
      <c r="M48" s="39">
        <v>29</v>
      </c>
      <c r="N48" s="39" t="s">
        <v>220</v>
      </c>
      <c r="O48" s="39"/>
      <c r="P48" s="39"/>
      <c r="Q48" s="39"/>
    </row>
    <row r="49" spans="1:17" x14ac:dyDescent="0.25">
      <c r="A49" s="37" t="s">
        <v>621</v>
      </c>
      <c r="B49" s="37" t="s">
        <v>622</v>
      </c>
      <c r="C49" s="39" t="s">
        <v>623</v>
      </c>
      <c r="D49" s="40">
        <v>42191</v>
      </c>
      <c r="E49" s="37" t="s">
        <v>118</v>
      </c>
      <c r="F49" s="39" t="s">
        <v>121</v>
      </c>
      <c r="G49" s="39"/>
      <c r="H49" s="37" t="s">
        <v>120</v>
      </c>
      <c r="I49" s="39">
        <v>58</v>
      </c>
      <c r="J49" s="40">
        <v>42201</v>
      </c>
      <c r="K49" s="39" t="s">
        <v>119</v>
      </c>
      <c r="L49" s="41">
        <v>66.400000000000006</v>
      </c>
      <c r="M49" s="39">
        <v>29</v>
      </c>
      <c r="N49" s="39" t="s">
        <v>219</v>
      </c>
      <c r="O49" s="39"/>
      <c r="P49" s="39"/>
      <c r="Q49" s="39"/>
    </row>
    <row r="50" spans="1:17" x14ac:dyDescent="0.25">
      <c r="A50" s="37" t="s">
        <v>624</v>
      </c>
      <c r="B50" s="37" t="s">
        <v>625</v>
      </c>
      <c r="C50" s="39" t="s">
        <v>626</v>
      </c>
      <c r="D50" s="40">
        <v>42191</v>
      </c>
      <c r="E50" s="37" t="s">
        <v>118</v>
      </c>
      <c r="F50" s="39" t="s">
        <v>121</v>
      </c>
      <c r="G50" s="39"/>
      <c r="H50" s="37" t="s">
        <v>120</v>
      </c>
      <c r="I50" s="39">
        <v>59</v>
      </c>
      <c r="J50" s="40">
        <v>42201</v>
      </c>
      <c r="K50" s="39" t="s">
        <v>119</v>
      </c>
      <c r="L50" s="41">
        <v>364.9</v>
      </c>
      <c r="M50" s="39">
        <v>29</v>
      </c>
      <c r="N50" s="39" t="s">
        <v>219</v>
      </c>
      <c r="O50" s="39"/>
      <c r="P50" s="39"/>
      <c r="Q50" s="39"/>
    </row>
    <row r="51" spans="1:17" x14ac:dyDescent="0.25">
      <c r="A51" s="37" t="s">
        <v>687</v>
      </c>
      <c r="B51" s="37" t="s">
        <v>688</v>
      </c>
      <c r="C51" s="39" t="s">
        <v>689</v>
      </c>
      <c r="D51" s="40">
        <v>42191</v>
      </c>
      <c r="E51" s="37" t="s">
        <v>118</v>
      </c>
      <c r="F51" s="39" t="s">
        <v>121</v>
      </c>
      <c r="G51" s="39"/>
      <c r="H51" s="37" t="s">
        <v>120</v>
      </c>
      <c r="I51" s="39">
        <v>80</v>
      </c>
      <c r="J51" s="40">
        <v>42201</v>
      </c>
      <c r="K51" s="39" t="s">
        <v>119</v>
      </c>
      <c r="L51" s="41">
        <v>168.94</v>
      </c>
      <c r="M51" s="39">
        <v>29</v>
      </c>
      <c r="N51" s="39" t="s">
        <v>219</v>
      </c>
      <c r="O51" s="39"/>
      <c r="P51" s="39"/>
      <c r="Q51" s="39"/>
    </row>
    <row r="52" spans="1:17" x14ac:dyDescent="0.25">
      <c r="A52" s="37" t="s">
        <v>552</v>
      </c>
      <c r="B52" s="37" t="s">
        <v>553</v>
      </c>
      <c r="C52" s="39" t="s">
        <v>554</v>
      </c>
      <c r="D52" s="40">
        <v>42191</v>
      </c>
      <c r="E52" s="37" t="s">
        <v>118</v>
      </c>
      <c r="F52" s="39" t="s">
        <v>121</v>
      </c>
      <c r="G52" s="39"/>
      <c r="H52" s="37" t="s">
        <v>120</v>
      </c>
      <c r="I52" s="39">
        <v>35</v>
      </c>
      <c r="J52" s="40">
        <v>42202</v>
      </c>
      <c r="K52" s="39" t="s">
        <v>119</v>
      </c>
      <c r="L52" s="41">
        <v>113.45</v>
      </c>
      <c r="M52" s="39">
        <v>29</v>
      </c>
      <c r="N52" s="39" t="s">
        <v>219</v>
      </c>
      <c r="O52" s="39"/>
      <c r="P52" s="39"/>
      <c r="Q52" s="39"/>
    </row>
    <row r="53" spans="1:17" x14ac:dyDescent="0.25">
      <c r="A53" s="37" t="s">
        <v>585</v>
      </c>
      <c r="B53" s="37" t="s">
        <v>586</v>
      </c>
      <c r="C53" s="39" t="s">
        <v>587</v>
      </c>
      <c r="D53" s="40">
        <v>42191</v>
      </c>
      <c r="E53" s="37" t="s">
        <v>118</v>
      </c>
      <c r="F53" s="39" t="s">
        <v>121</v>
      </c>
      <c r="G53" s="39"/>
      <c r="H53" s="37" t="s">
        <v>120</v>
      </c>
      <c r="I53" s="39">
        <v>46</v>
      </c>
      <c r="J53" s="40">
        <v>42202</v>
      </c>
      <c r="K53" s="39" t="s">
        <v>119</v>
      </c>
      <c r="L53" s="41">
        <v>358.08</v>
      </c>
      <c r="M53" s="39">
        <v>29</v>
      </c>
      <c r="N53" s="39" t="s">
        <v>219</v>
      </c>
      <c r="O53" s="39"/>
      <c r="P53" s="39"/>
      <c r="Q53" s="39"/>
    </row>
    <row r="54" spans="1:17" x14ac:dyDescent="0.25">
      <c r="A54" s="37" t="s">
        <v>936</v>
      </c>
      <c r="B54" s="37" t="s">
        <v>937</v>
      </c>
      <c r="C54" s="39" t="s">
        <v>938</v>
      </c>
      <c r="D54" s="40">
        <v>42198</v>
      </c>
      <c r="E54" s="37" t="s">
        <v>118</v>
      </c>
      <c r="F54" s="39" t="s">
        <v>121</v>
      </c>
      <c r="G54" s="39"/>
      <c r="H54" s="37" t="s">
        <v>120</v>
      </c>
      <c r="I54" s="39">
        <v>55</v>
      </c>
      <c r="J54" s="40">
        <v>42202</v>
      </c>
      <c r="K54" s="39" t="s">
        <v>119</v>
      </c>
      <c r="L54" s="41">
        <v>131</v>
      </c>
      <c r="M54" s="39">
        <v>29</v>
      </c>
      <c r="N54" s="39" t="s">
        <v>220</v>
      </c>
      <c r="O54" s="39"/>
      <c r="P54" s="39"/>
      <c r="Q54" s="39"/>
    </row>
    <row r="55" spans="1:17" x14ac:dyDescent="0.25">
      <c r="A55" s="37" t="s">
        <v>654</v>
      </c>
      <c r="B55" s="37" t="s">
        <v>655</v>
      </c>
      <c r="C55" s="39" t="s">
        <v>656</v>
      </c>
      <c r="D55" s="40">
        <v>42191</v>
      </c>
      <c r="E55" s="37" t="s">
        <v>118</v>
      </c>
      <c r="F55" s="39" t="s">
        <v>121</v>
      </c>
      <c r="G55" s="39"/>
      <c r="H55" s="37" t="s">
        <v>120</v>
      </c>
      <c r="I55" s="39">
        <v>69</v>
      </c>
      <c r="J55" s="40">
        <v>42202</v>
      </c>
      <c r="K55" s="39" t="s">
        <v>119</v>
      </c>
      <c r="L55" s="41">
        <v>383.51</v>
      </c>
      <c r="M55" s="39">
        <v>29</v>
      </c>
      <c r="N55" s="39" t="s">
        <v>219</v>
      </c>
      <c r="O55" s="39"/>
      <c r="P55" s="39"/>
      <c r="Q55" s="39"/>
    </row>
    <row r="56" spans="1:17" x14ac:dyDescent="0.25">
      <c r="A56" s="37" t="s">
        <v>933</v>
      </c>
      <c r="B56" s="37" t="s">
        <v>934</v>
      </c>
      <c r="C56" s="39" t="s">
        <v>935</v>
      </c>
      <c r="D56" s="40">
        <v>42198</v>
      </c>
      <c r="E56" s="37" t="s">
        <v>118</v>
      </c>
      <c r="F56" s="39" t="s">
        <v>121</v>
      </c>
      <c r="G56" s="39"/>
      <c r="H56" s="37" t="s">
        <v>120</v>
      </c>
      <c r="I56" s="39">
        <v>54</v>
      </c>
      <c r="J56" s="40">
        <v>42203</v>
      </c>
      <c r="K56" s="39" t="s">
        <v>119</v>
      </c>
      <c r="L56" s="41">
        <v>60</v>
      </c>
      <c r="M56" s="39">
        <v>29</v>
      </c>
      <c r="N56" s="39" t="s">
        <v>220</v>
      </c>
      <c r="O56" s="39"/>
      <c r="P56" s="39"/>
      <c r="Q56" s="39"/>
    </row>
    <row r="57" spans="1:17" x14ac:dyDescent="0.25">
      <c r="A57" s="37" t="s">
        <v>648</v>
      </c>
      <c r="B57" s="37" t="s">
        <v>649</v>
      </c>
      <c r="C57" s="39" t="s">
        <v>650</v>
      </c>
      <c r="D57" s="40">
        <v>42191</v>
      </c>
      <c r="E57" s="37" t="s">
        <v>118</v>
      </c>
      <c r="F57" s="39" t="s">
        <v>121</v>
      </c>
      <c r="G57" s="39"/>
      <c r="H57" s="37" t="s">
        <v>120</v>
      </c>
      <c r="I57" s="39">
        <v>67</v>
      </c>
      <c r="J57" s="40">
        <v>42203</v>
      </c>
      <c r="K57" s="39" t="s">
        <v>119</v>
      </c>
      <c r="L57" s="41"/>
      <c r="M57" s="39">
        <v>29</v>
      </c>
      <c r="N57" s="39" t="s">
        <v>219</v>
      </c>
      <c r="O57" s="39"/>
      <c r="P57" s="39"/>
      <c r="Q57" s="39"/>
    </row>
    <row r="58" spans="1:17" x14ac:dyDescent="0.25">
      <c r="A58" s="37" t="s">
        <v>696</v>
      </c>
      <c r="B58" s="37" t="s">
        <v>697</v>
      </c>
      <c r="C58" s="39" t="s">
        <v>698</v>
      </c>
      <c r="D58" s="40">
        <v>42191</v>
      </c>
      <c r="E58" s="37" t="s">
        <v>118</v>
      </c>
      <c r="F58" s="39" t="s">
        <v>121</v>
      </c>
      <c r="G58" s="39"/>
      <c r="H58" s="37" t="s">
        <v>120</v>
      </c>
      <c r="I58" s="39">
        <v>83</v>
      </c>
      <c r="J58" s="40">
        <v>42203</v>
      </c>
      <c r="K58" s="39" t="s">
        <v>119</v>
      </c>
      <c r="L58" s="41">
        <v>324</v>
      </c>
      <c r="M58" s="39">
        <v>29</v>
      </c>
      <c r="N58" s="39" t="s">
        <v>219</v>
      </c>
      <c r="O58" s="39"/>
      <c r="P58" s="39"/>
      <c r="Q58" s="39"/>
    </row>
    <row r="59" spans="1:17" x14ac:dyDescent="0.25">
      <c r="A59" s="37" t="s">
        <v>726</v>
      </c>
      <c r="B59" s="37" t="s">
        <v>727</v>
      </c>
      <c r="C59" s="39" t="s">
        <v>728</v>
      </c>
      <c r="D59" s="40">
        <v>42191</v>
      </c>
      <c r="E59" s="37" t="s">
        <v>118</v>
      </c>
      <c r="F59" s="39" t="s">
        <v>121</v>
      </c>
      <c r="G59" s="39"/>
      <c r="H59" s="37" t="s">
        <v>120</v>
      </c>
      <c r="I59" s="39">
        <v>93</v>
      </c>
      <c r="J59" s="40">
        <v>42204</v>
      </c>
      <c r="K59" s="39" t="s">
        <v>119</v>
      </c>
      <c r="L59" s="41">
        <v>339.52</v>
      </c>
      <c r="M59" s="39">
        <v>29</v>
      </c>
      <c r="N59" s="39" t="s">
        <v>219</v>
      </c>
      <c r="O59" s="39"/>
      <c r="P59" s="39"/>
      <c r="Q59" s="39"/>
    </row>
    <row r="60" spans="1:17" x14ac:dyDescent="0.25">
      <c r="A60" s="37" t="s">
        <v>507</v>
      </c>
      <c r="B60" s="37" t="s">
        <v>508</v>
      </c>
      <c r="C60" s="39" t="s">
        <v>509</v>
      </c>
      <c r="D60" s="40">
        <v>42191</v>
      </c>
      <c r="E60" s="37" t="s">
        <v>118</v>
      </c>
      <c r="F60" s="39" t="s">
        <v>121</v>
      </c>
      <c r="G60" s="39"/>
      <c r="H60" s="37" t="s">
        <v>120</v>
      </c>
      <c r="I60" s="39">
        <v>20</v>
      </c>
      <c r="J60" s="40">
        <v>42205</v>
      </c>
      <c r="K60" s="39" t="s">
        <v>119</v>
      </c>
      <c r="L60" s="41">
        <v>203.61</v>
      </c>
      <c r="M60" s="39"/>
      <c r="N60" s="39" t="s">
        <v>219</v>
      </c>
      <c r="O60" s="39"/>
      <c r="P60" s="39"/>
      <c r="Q60" s="39"/>
    </row>
    <row r="61" spans="1:17" x14ac:dyDescent="0.25">
      <c r="A61" s="37" t="s">
        <v>537</v>
      </c>
      <c r="B61" s="37" t="s">
        <v>538</v>
      </c>
      <c r="C61" s="39" t="s">
        <v>539</v>
      </c>
      <c r="D61" s="40">
        <v>42191</v>
      </c>
      <c r="E61" s="37" t="s">
        <v>118</v>
      </c>
      <c r="F61" s="39" t="s">
        <v>121</v>
      </c>
      <c r="G61" s="39"/>
      <c r="H61" s="37" t="s">
        <v>120</v>
      </c>
      <c r="I61" s="39">
        <v>30</v>
      </c>
      <c r="J61" s="40">
        <v>42205</v>
      </c>
      <c r="K61" s="39" t="s">
        <v>119</v>
      </c>
      <c r="L61" s="41">
        <v>407</v>
      </c>
      <c r="M61" s="39"/>
      <c r="N61" s="39" t="s">
        <v>219</v>
      </c>
      <c r="O61" s="39"/>
      <c r="P61" s="39"/>
      <c r="Q61" s="39"/>
    </row>
    <row r="62" spans="1:17" x14ac:dyDescent="0.25">
      <c r="A62" s="37" t="s">
        <v>615</v>
      </c>
      <c r="B62" s="37" t="s">
        <v>616</v>
      </c>
      <c r="C62" s="39" t="s">
        <v>617</v>
      </c>
      <c r="D62" s="40">
        <v>42191</v>
      </c>
      <c r="E62" s="37" t="s">
        <v>118</v>
      </c>
      <c r="F62" s="39" t="s">
        <v>121</v>
      </c>
      <c r="G62" s="39"/>
      <c r="H62" s="37" t="s">
        <v>120</v>
      </c>
      <c r="I62" s="39">
        <v>56</v>
      </c>
      <c r="J62" s="40">
        <v>42205</v>
      </c>
      <c r="K62" s="39" t="s">
        <v>119</v>
      </c>
      <c r="L62" s="41">
        <v>265.47000000000003</v>
      </c>
      <c r="M62" s="39"/>
      <c r="N62" s="39" t="s">
        <v>219</v>
      </c>
      <c r="O62" s="39"/>
      <c r="P62" s="39"/>
      <c r="Q62" s="39"/>
    </row>
    <row r="63" spans="1:17" x14ac:dyDescent="0.25">
      <c r="A63" s="37" t="s">
        <v>281</v>
      </c>
      <c r="B63" s="37" t="s">
        <v>282</v>
      </c>
      <c r="C63" s="39" t="s">
        <v>139</v>
      </c>
      <c r="D63" s="40">
        <v>42184</v>
      </c>
      <c r="E63" s="37" t="s">
        <v>118</v>
      </c>
      <c r="F63" s="39" t="s">
        <v>121</v>
      </c>
      <c r="G63" s="39"/>
      <c r="H63" s="37" t="s">
        <v>120</v>
      </c>
      <c r="I63" s="39">
        <v>24</v>
      </c>
      <c r="J63" s="40">
        <v>42186</v>
      </c>
      <c r="K63" s="39" t="s">
        <v>82</v>
      </c>
      <c r="L63" s="41"/>
      <c r="M63" s="39"/>
      <c r="N63" s="39" t="s">
        <v>219</v>
      </c>
      <c r="O63" s="39"/>
      <c r="P63" s="39"/>
      <c r="Q63" s="39"/>
    </row>
    <row r="64" spans="1:17" x14ac:dyDescent="0.25">
      <c r="A64" s="37" t="s">
        <v>440</v>
      </c>
      <c r="B64" s="37" t="s">
        <v>441</v>
      </c>
      <c r="C64" s="39" t="s">
        <v>213</v>
      </c>
      <c r="D64" s="40">
        <v>42184</v>
      </c>
      <c r="E64" s="37" t="s">
        <v>118</v>
      </c>
      <c r="F64" s="39" t="s">
        <v>121</v>
      </c>
      <c r="G64" s="39"/>
      <c r="H64" s="37" t="s">
        <v>120</v>
      </c>
      <c r="I64" s="39">
        <v>108</v>
      </c>
      <c r="J64" s="40">
        <v>42186</v>
      </c>
      <c r="K64" s="39" t="s">
        <v>82</v>
      </c>
      <c r="L64" s="41"/>
      <c r="M64" s="39"/>
      <c r="N64" s="39" t="s">
        <v>219</v>
      </c>
      <c r="O64" s="39"/>
      <c r="P64" s="39"/>
      <c r="Q64" s="39"/>
    </row>
    <row r="65" spans="1:17" x14ac:dyDescent="0.25">
      <c r="A65" s="37">
        <v>6291090</v>
      </c>
      <c r="B65" s="37">
        <v>10917306</v>
      </c>
      <c r="C65" s="39" t="s">
        <v>760</v>
      </c>
      <c r="D65" s="40">
        <v>42194</v>
      </c>
      <c r="F65" s="39" t="s">
        <v>121</v>
      </c>
      <c r="G65" s="39"/>
      <c r="H65" s="37">
        <v>53732</v>
      </c>
      <c r="I65" s="39">
        <v>1</v>
      </c>
      <c r="J65" s="40">
        <v>42194</v>
      </c>
      <c r="K65" s="39" t="s">
        <v>82</v>
      </c>
      <c r="L65" s="41"/>
      <c r="M65" s="39">
        <v>28</v>
      </c>
      <c r="N65" s="39" t="s">
        <v>761</v>
      </c>
      <c r="O65" s="39"/>
      <c r="P65" s="39"/>
      <c r="Q65" s="39"/>
    </row>
    <row r="66" spans="1:17" x14ac:dyDescent="0.25">
      <c r="A66" s="37" t="s">
        <v>279</v>
      </c>
      <c r="B66" s="37" t="s">
        <v>280</v>
      </c>
      <c r="C66" s="39" t="s">
        <v>138</v>
      </c>
      <c r="D66" s="40">
        <v>42184</v>
      </c>
      <c r="E66" s="37" t="s">
        <v>118</v>
      </c>
      <c r="F66" s="39" t="s">
        <v>121</v>
      </c>
      <c r="G66" s="39"/>
      <c r="H66" s="37" t="s">
        <v>120</v>
      </c>
      <c r="I66" s="39">
        <v>23</v>
      </c>
      <c r="J66" s="40">
        <v>42194</v>
      </c>
      <c r="K66" s="39" t="s">
        <v>82</v>
      </c>
      <c r="L66" s="41"/>
      <c r="M66" s="39">
        <v>28</v>
      </c>
      <c r="N66" s="39" t="s">
        <v>219</v>
      </c>
      <c r="O66" s="39"/>
      <c r="P66" s="39"/>
      <c r="Q66" s="39"/>
    </row>
    <row r="67" spans="1:17" x14ac:dyDescent="0.25">
      <c r="A67" s="37" t="s">
        <v>287</v>
      </c>
      <c r="B67" s="37" t="s">
        <v>288</v>
      </c>
      <c r="C67" s="39" t="s">
        <v>142</v>
      </c>
      <c r="D67" s="40">
        <v>42184</v>
      </c>
      <c r="E67" s="37" t="s">
        <v>118</v>
      </c>
      <c r="F67" s="39" t="s">
        <v>121</v>
      </c>
      <c r="G67" s="39"/>
      <c r="H67" s="37" t="s">
        <v>120</v>
      </c>
      <c r="I67" s="39">
        <v>27</v>
      </c>
      <c r="J67" s="40">
        <v>42194</v>
      </c>
      <c r="K67" s="39" t="s">
        <v>82</v>
      </c>
      <c r="L67" s="41"/>
      <c r="M67" s="39">
        <v>28</v>
      </c>
      <c r="N67" s="39" t="s">
        <v>219</v>
      </c>
      <c r="O67" s="39"/>
      <c r="P67" s="39"/>
      <c r="Q67" s="39"/>
    </row>
    <row r="68" spans="1:17" x14ac:dyDescent="0.25">
      <c r="A68" s="37" t="s">
        <v>303</v>
      </c>
      <c r="B68" s="37" t="s">
        <v>304</v>
      </c>
      <c r="C68" s="39" t="s">
        <v>150</v>
      </c>
      <c r="D68" s="40">
        <v>42184</v>
      </c>
      <c r="E68" s="37" t="s">
        <v>118</v>
      </c>
      <c r="F68" s="39" t="s">
        <v>121</v>
      </c>
      <c r="G68" s="39"/>
      <c r="H68" s="37" t="s">
        <v>120</v>
      </c>
      <c r="I68" s="39">
        <v>35</v>
      </c>
      <c r="J68" s="40">
        <v>42194</v>
      </c>
      <c r="K68" s="39" t="s">
        <v>82</v>
      </c>
      <c r="L68" s="41"/>
      <c r="M68" s="39">
        <v>28</v>
      </c>
      <c r="N68" s="39" t="s">
        <v>219</v>
      </c>
      <c r="O68" s="39"/>
      <c r="P68" s="39"/>
      <c r="Q68" s="39"/>
    </row>
    <row r="69" spans="1:17" x14ac:dyDescent="0.25">
      <c r="A69" s="37" t="s">
        <v>308</v>
      </c>
      <c r="B69" s="37" t="s">
        <v>309</v>
      </c>
      <c r="C69" s="39" t="s">
        <v>152</v>
      </c>
      <c r="D69" s="40">
        <v>42184</v>
      </c>
      <c r="E69" s="37" t="s">
        <v>118</v>
      </c>
      <c r="F69" s="39" t="s">
        <v>121</v>
      </c>
      <c r="G69" s="39"/>
      <c r="H69" s="37" t="s">
        <v>120</v>
      </c>
      <c r="I69" s="39">
        <v>37</v>
      </c>
      <c r="J69" s="40">
        <v>42194</v>
      </c>
      <c r="K69" s="39" t="s">
        <v>82</v>
      </c>
      <c r="L69" s="41"/>
      <c r="M69" s="39">
        <v>28</v>
      </c>
      <c r="N69" s="39" t="s">
        <v>219</v>
      </c>
      <c r="O69" s="39"/>
      <c r="P69" s="39"/>
      <c r="Q69" s="39"/>
    </row>
    <row r="70" spans="1:17" x14ac:dyDescent="0.25">
      <c r="A70" s="37" t="s">
        <v>340</v>
      </c>
      <c r="B70" s="37" t="s">
        <v>341</v>
      </c>
      <c r="C70" s="39" t="s">
        <v>168</v>
      </c>
      <c r="D70" s="40">
        <v>42184</v>
      </c>
      <c r="E70" s="37" t="s">
        <v>118</v>
      </c>
      <c r="F70" s="39" t="s">
        <v>121</v>
      </c>
      <c r="G70" s="39"/>
      <c r="H70" s="37" t="s">
        <v>120</v>
      </c>
      <c r="I70" s="39">
        <v>53</v>
      </c>
      <c r="J70" s="40">
        <v>42194</v>
      </c>
      <c r="K70" s="39" t="s">
        <v>82</v>
      </c>
      <c r="L70" s="41"/>
      <c r="M70" s="39">
        <v>28</v>
      </c>
      <c r="N70" s="39" t="s">
        <v>219</v>
      </c>
      <c r="O70" s="39"/>
      <c r="P70" s="39"/>
      <c r="Q70" s="39"/>
    </row>
    <row r="71" spans="1:17" x14ac:dyDescent="0.25">
      <c r="A71" s="37" t="s">
        <v>346</v>
      </c>
      <c r="B71" s="37" t="s">
        <v>347</v>
      </c>
      <c r="C71" s="39" t="s">
        <v>171</v>
      </c>
      <c r="D71" s="40">
        <v>42184</v>
      </c>
      <c r="E71" s="37" t="s">
        <v>118</v>
      </c>
      <c r="F71" s="39" t="s">
        <v>121</v>
      </c>
      <c r="G71" s="39"/>
      <c r="H71" s="37" t="s">
        <v>120</v>
      </c>
      <c r="I71" s="39">
        <v>56</v>
      </c>
      <c r="J71" s="40">
        <v>42194</v>
      </c>
      <c r="K71" s="39" t="s">
        <v>82</v>
      </c>
      <c r="L71" s="41"/>
      <c r="M71" s="39">
        <v>28</v>
      </c>
      <c r="N71" s="39" t="s">
        <v>219</v>
      </c>
      <c r="O71" s="39"/>
      <c r="P71" s="39"/>
      <c r="Q71" s="39"/>
    </row>
    <row r="72" spans="1:17" x14ac:dyDescent="0.25">
      <c r="A72" s="37" t="s">
        <v>394</v>
      </c>
      <c r="B72" s="37" t="s">
        <v>395</v>
      </c>
      <c r="C72" s="39" t="s">
        <v>195</v>
      </c>
      <c r="D72" s="40">
        <v>42184</v>
      </c>
      <c r="E72" s="37" t="s">
        <v>118</v>
      </c>
      <c r="F72" s="39" t="s">
        <v>121</v>
      </c>
      <c r="G72" s="39"/>
      <c r="H72" s="37" t="s">
        <v>120</v>
      </c>
      <c r="I72" s="39">
        <v>80</v>
      </c>
      <c r="J72" s="40">
        <v>42194</v>
      </c>
      <c r="K72" s="39" t="s">
        <v>82</v>
      </c>
      <c r="L72" s="41"/>
      <c r="M72" s="39">
        <v>28</v>
      </c>
      <c r="N72" s="39" t="s">
        <v>219</v>
      </c>
      <c r="O72" s="39"/>
      <c r="P72" s="39"/>
      <c r="Q72" s="39"/>
    </row>
    <row r="73" spans="1:17" x14ac:dyDescent="0.25">
      <c r="A73" s="37" t="s">
        <v>418</v>
      </c>
      <c r="B73" s="37" t="s">
        <v>419</v>
      </c>
      <c r="C73" s="39" t="s">
        <v>207</v>
      </c>
      <c r="D73" s="40">
        <v>42184</v>
      </c>
      <c r="E73" s="37" t="s">
        <v>118</v>
      </c>
      <c r="F73" s="39" t="s">
        <v>121</v>
      </c>
      <c r="G73" s="39"/>
      <c r="H73" s="37" t="s">
        <v>120</v>
      </c>
      <c r="I73" s="39">
        <v>92</v>
      </c>
      <c r="J73" s="40">
        <v>42194</v>
      </c>
      <c r="K73" s="39" t="s">
        <v>82</v>
      </c>
      <c r="L73" s="41"/>
      <c r="M73" s="39">
        <v>28</v>
      </c>
      <c r="N73" s="39" t="s">
        <v>219</v>
      </c>
      <c r="O73" s="39"/>
      <c r="P73" s="39"/>
      <c r="Q73" s="39"/>
    </row>
    <row r="74" spans="1:17" x14ac:dyDescent="0.25">
      <c r="A74" s="37" t="s">
        <v>427</v>
      </c>
      <c r="B74" s="37" t="s">
        <v>428</v>
      </c>
      <c r="C74" s="39" t="s">
        <v>210</v>
      </c>
      <c r="D74" s="40">
        <v>42184</v>
      </c>
      <c r="E74" s="37" t="s">
        <v>118</v>
      </c>
      <c r="F74" s="39" t="s">
        <v>121</v>
      </c>
      <c r="G74" s="39"/>
      <c r="H74" s="37" t="s">
        <v>120</v>
      </c>
      <c r="I74" s="39">
        <v>98</v>
      </c>
      <c r="J74" s="40">
        <v>42194</v>
      </c>
      <c r="K74" s="39" t="s">
        <v>82</v>
      </c>
      <c r="L74" s="41"/>
      <c r="M74" s="39">
        <v>28</v>
      </c>
      <c r="N74" s="39" t="s">
        <v>219</v>
      </c>
      <c r="O74" s="39"/>
      <c r="P74" s="39"/>
      <c r="Q74" s="39"/>
    </row>
    <row r="75" spans="1:17" x14ac:dyDescent="0.25">
      <c r="A75" s="37" t="s">
        <v>437</v>
      </c>
      <c r="B75" s="37" t="s">
        <v>438</v>
      </c>
      <c r="C75" s="39" t="s">
        <v>212</v>
      </c>
      <c r="D75" s="40">
        <v>42184</v>
      </c>
      <c r="E75" s="37" t="s">
        <v>118</v>
      </c>
      <c r="F75" s="39" t="s">
        <v>121</v>
      </c>
      <c r="G75" s="39"/>
      <c r="H75" s="37" t="s">
        <v>120</v>
      </c>
      <c r="I75" s="39">
        <v>106</v>
      </c>
      <c r="J75" s="40">
        <v>42194</v>
      </c>
      <c r="K75" s="39" t="s">
        <v>82</v>
      </c>
      <c r="L75" s="41"/>
      <c r="M75" s="39">
        <v>28</v>
      </c>
      <c r="N75" s="39" t="s">
        <v>219</v>
      </c>
      <c r="O75" s="39"/>
      <c r="P75" s="39"/>
      <c r="Q75" s="39"/>
    </row>
    <row r="76" spans="1:17" x14ac:dyDescent="0.25">
      <c r="A76" s="37" t="s">
        <v>273</v>
      </c>
      <c r="B76" s="37" t="s">
        <v>274</v>
      </c>
      <c r="C76" s="39" t="s">
        <v>135</v>
      </c>
      <c r="D76" s="40">
        <v>42184</v>
      </c>
      <c r="E76" s="37" t="s">
        <v>118</v>
      </c>
      <c r="F76" s="39" t="s">
        <v>121</v>
      </c>
      <c r="G76" s="39"/>
      <c r="H76" s="37" t="s">
        <v>120</v>
      </c>
      <c r="I76" s="39">
        <v>20</v>
      </c>
      <c r="J76" s="40">
        <v>42195</v>
      </c>
      <c r="K76" s="39" t="s">
        <v>82</v>
      </c>
      <c r="L76" s="41"/>
      <c r="M76" s="39">
        <v>28</v>
      </c>
      <c r="N76" s="39" t="s">
        <v>219</v>
      </c>
      <c r="O76" s="39"/>
      <c r="P76" s="39"/>
      <c r="Q76" s="39"/>
    </row>
    <row r="77" spans="1:17" x14ac:dyDescent="0.25">
      <c r="A77" s="37" t="s">
        <v>293</v>
      </c>
      <c r="B77" s="37" t="s">
        <v>294</v>
      </c>
      <c r="C77" s="39" t="s">
        <v>145</v>
      </c>
      <c r="D77" s="40">
        <v>42184</v>
      </c>
      <c r="E77" s="37" t="s">
        <v>118</v>
      </c>
      <c r="F77" s="39" t="s">
        <v>121</v>
      </c>
      <c r="G77" s="39"/>
      <c r="H77" s="37" t="s">
        <v>120</v>
      </c>
      <c r="I77" s="39">
        <v>30</v>
      </c>
      <c r="J77" s="40">
        <v>42195</v>
      </c>
      <c r="K77" s="39" t="s">
        <v>82</v>
      </c>
      <c r="L77" s="41"/>
      <c r="M77" s="39">
        <v>28</v>
      </c>
      <c r="N77" s="39" t="s">
        <v>219</v>
      </c>
      <c r="O77" s="39"/>
      <c r="P77" s="39"/>
      <c r="Q77" s="39"/>
    </row>
    <row r="78" spans="1:17" x14ac:dyDescent="0.25">
      <c r="A78" s="37" t="s">
        <v>299</v>
      </c>
      <c r="B78" s="37" t="s">
        <v>300</v>
      </c>
      <c r="C78" s="39" t="s">
        <v>148</v>
      </c>
      <c r="D78" s="40">
        <v>42184</v>
      </c>
      <c r="E78" s="37" t="s">
        <v>118</v>
      </c>
      <c r="F78" s="39" t="s">
        <v>121</v>
      </c>
      <c r="G78" s="39"/>
      <c r="H78" s="37" t="s">
        <v>120</v>
      </c>
      <c r="I78" s="39">
        <v>33</v>
      </c>
      <c r="J78" s="40">
        <v>42195</v>
      </c>
      <c r="K78" s="39" t="s">
        <v>82</v>
      </c>
      <c r="L78" s="41"/>
      <c r="M78" s="39">
        <v>28</v>
      </c>
      <c r="N78" s="39" t="s">
        <v>219</v>
      </c>
      <c r="O78" s="39"/>
      <c r="P78" s="39"/>
      <c r="Q78" s="39"/>
    </row>
    <row r="79" spans="1:17" x14ac:dyDescent="0.25">
      <c r="A79" s="37" t="s">
        <v>318</v>
      </c>
      <c r="B79" s="37" t="s">
        <v>319</v>
      </c>
      <c r="C79" s="39" t="s">
        <v>157</v>
      </c>
      <c r="D79" s="40">
        <v>42184</v>
      </c>
      <c r="E79" s="37" t="s">
        <v>118</v>
      </c>
      <c r="F79" s="39" t="s">
        <v>121</v>
      </c>
      <c r="G79" s="39"/>
      <c r="H79" s="37" t="s">
        <v>120</v>
      </c>
      <c r="I79" s="39">
        <v>42</v>
      </c>
      <c r="J79" s="40">
        <v>42195</v>
      </c>
      <c r="K79" s="39" t="s">
        <v>82</v>
      </c>
      <c r="L79" s="41"/>
      <c r="M79" s="39">
        <v>28</v>
      </c>
      <c r="N79" s="39" t="s">
        <v>219</v>
      </c>
      <c r="O79" s="39"/>
      <c r="P79" s="39"/>
      <c r="Q79" s="39"/>
    </row>
    <row r="80" spans="1:17" x14ac:dyDescent="0.25">
      <c r="A80" s="37" t="s">
        <v>342</v>
      </c>
      <c r="B80" s="37" t="s">
        <v>343</v>
      </c>
      <c r="C80" s="39" t="s">
        <v>169</v>
      </c>
      <c r="D80" s="40">
        <v>42184</v>
      </c>
      <c r="E80" s="37" t="s">
        <v>118</v>
      </c>
      <c r="F80" s="39" t="s">
        <v>121</v>
      </c>
      <c r="G80" s="39"/>
      <c r="H80" s="37" t="s">
        <v>120</v>
      </c>
      <c r="I80" s="39">
        <v>54</v>
      </c>
      <c r="J80" s="40">
        <v>42195</v>
      </c>
      <c r="K80" s="39" t="s">
        <v>82</v>
      </c>
      <c r="L80" s="41"/>
      <c r="M80" s="39">
        <v>28</v>
      </c>
      <c r="N80" s="39" t="s">
        <v>219</v>
      </c>
      <c r="O80" s="39"/>
      <c r="P80" s="39"/>
      <c r="Q80" s="39"/>
    </row>
    <row r="81" spans="1:17" x14ac:dyDescent="0.25">
      <c r="A81" s="37" t="s">
        <v>344</v>
      </c>
      <c r="B81" s="37" t="s">
        <v>345</v>
      </c>
      <c r="C81" s="39" t="s">
        <v>170</v>
      </c>
      <c r="D81" s="40">
        <v>42184</v>
      </c>
      <c r="E81" s="37" t="s">
        <v>118</v>
      </c>
      <c r="F81" s="39" t="s">
        <v>121</v>
      </c>
      <c r="G81" s="39"/>
      <c r="H81" s="37" t="s">
        <v>120</v>
      </c>
      <c r="I81" s="39">
        <v>55</v>
      </c>
      <c r="J81" s="40">
        <v>42195</v>
      </c>
      <c r="K81" s="39" t="s">
        <v>82</v>
      </c>
      <c r="L81" s="41"/>
      <c r="M81" s="39">
        <v>28</v>
      </c>
      <c r="N81" s="39" t="s">
        <v>219</v>
      </c>
      <c r="O81" s="39"/>
      <c r="P81" s="39"/>
      <c r="Q81" s="39"/>
    </row>
    <row r="82" spans="1:17" x14ac:dyDescent="0.25">
      <c r="A82" s="37" t="s">
        <v>372</v>
      </c>
      <c r="B82" s="37" t="s">
        <v>373</v>
      </c>
      <c r="C82" s="39" t="s">
        <v>184</v>
      </c>
      <c r="D82" s="40">
        <v>42184</v>
      </c>
      <c r="E82" s="37" t="s">
        <v>118</v>
      </c>
      <c r="F82" s="39" t="s">
        <v>121</v>
      </c>
      <c r="G82" s="39"/>
      <c r="H82" s="37" t="s">
        <v>120</v>
      </c>
      <c r="I82" s="39">
        <v>69</v>
      </c>
      <c r="J82" s="40">
        <v>42195</v>
      </c>
      <c r="K82" s="39" t="s">
        <v>82</v>
      </c>
      <c r="L82" s="41"/>
      <c r="M82" s="39">
        <v>28</v>
      </c>
      <c r="N82" s="39" t="s">
        <v>219</v>
      </c>
      <c r="O82" s="39"/>
      <c r="P82" s="39"/>
      <c r="Q82" s="39"/>
    </row>
    <row r="83" spans="1:17" x14ac:dyDescent="0.25">
      <c r="A83" s="37" t="s">
        <v>412</v>
      </c>
      <c r="B83" s="37" t="s">
        <v>413</v>
      </c>
      <c r="C83" s="39" t="s">
        <v>204</v>
      </c>
      <c r="D83" s="40">
        <v>42184</v>
      </c>
      <c r="E83" s="37" t="s">
        <v>118</v>
      </c>
      <c r="F83" s="39" t="s">
        <v>121</v>
      </c>
      <c r="G83" s="39"/>
      <c r="H83" s="37" t="s">
        <v>120</v>
      </c>
      <c r="I83" s="39">
        <v>89</v>
      </c>
      <c r="J83" s="40">
        <v>42195</v>
      </c>
      <c r="K83" s="39" t="s">
        <v>82</v>
      </c>
      <c r="L83" s="41"/>
      <c r="M83" s="39">
        <v>28</v>
      </c>
      <c r="N83" s="39" t="s">
        <v>219</v>
      </c>
      <c r="O83" s="39"/>
      <c r="P83" s="39"/>
      <c r="Q83" s="39"/>
    </row>
    <row r="84" spans="1:17" x14ac:dyDescent="0.25">
      <c r="A84" s="37" t="s">
        <v>429</v>
      </c>
      <c r="B84" s="37" t="s">
        <v>430</v>
      </c>
      <c r="C84" s="39" t="s">
        <v>211</v>
      </c>
      <c r="D84" s="40">
        <v>42184</v>
      </c>
      <c r="E84" s="37" t="s">
        <v>118</v>
      </c>
      <c r="F84" s="39" t="s">
        <v>121</v>
      </c>
      <c r="G84" s="39"/>
      <c r="H84" s="37" t="s">
        <v>120</v>
      </c>
      <c r="I84" s="39">
        <v>99</v>
      </c>
      <c r="J84" s="40">
        <v>42195</v>
      </c>
      <c r="K84" s="39" t="s">
        <v>82</v>
      </c>
      <c r="L84" s="41"/>
      <c r="M84" s="39">
        <v>28</v>
      </c>
      <c r="N84" s="39" t="s">
        <v>219</v>
      </c>
      <c r="O84" s="39"/>
      <c r="P84" s="39"/>
      <c r="Q84" s="39"/>
    </row>
    <row r="85" spans="1:17" x14ac:dyDescent="0.25">
      <c r="A85" s="37" t="s">
        <v>253</v>
      </c>
      <c r="B85" s="37" t="s">
        <v>254</v>
      </c>
      <c r="C85" s="39" t="s">
        <v>125</v>
      </c>
      <c r="D85" s="40">
        <v>42184</v>
      </c>
      <c r="E85" s="37" t="s">
        <v>118</v>
      </c>
      <c r="F85" s="39" t="s">
        <v>121</v>
      </c>
      <c r="G85" s="39"/>
      <c r="H85" s="37" t="s">
        <v>120</v>
      </c>
      <c r="I85" s="39">
        <v>10</v>
      </c>
      <c r="J85" s="40">
        <v>42196</v>
      </c>
      <c r="K85" s="39" t="s">
        <v>82</v>
      </c>
      <c r="L85" s="41"/>
      <c r="M85" s="39">
        <v>28</v>
      </c>
      <c r="N85" s="39" t="s">
        <v>219</v>
      </c>
      <c r="O85" s="39"/>
      <c r="P85" s="39"/>
      <c r="Q85" s="39"/>
    </row>
    <row r="86" spans="1:17" x14ac:dyDescent="0.25">
      <c r="A86" s="37" t="s">
        <v>265</v>
      </c>
      <c r="B86" s="37" t="s">
        <v>266</v>
      </c>
      <c r="C86" s="39" t="s">
        <v>131</v>
      </c>
      <c r="D86" s="40">
        <v>42184</v>
      </c>
      <c r="E86" s="37" t="s">
        <v>118</v>
      </c>
      <c r="F86" s="39" t="s">
        <v>121</v>
      </c>
      <c r="G86" s="39"/>
      <c r="H86" s="37" t="s">
        <v>120</v>
      </c>
      <c r="I86" s="39">
        <v>16</v>
      </c>
      <c r="J86" s="40">
        <v>42196</v>
      </c>
      <c r="K86" s="39" t="s">
        <v>82</v>
      </c>
      <c r="L86" s="41"/>
      <c r="M86" s="39">
        <v>28</v>
      </c>
      <c r="N86" s="39" t="s">
        <v>219</v>
      </c>
      <c r="O86" s="39"/>
      <c r="P86" s="39"/>
      <c r="Q86" s="39"/>
    </row>
    <row r="87" spans="1:17" x14ac:dyDescent="0.25">
      <c r="A87" s="37" t="s">
        <v>275</v>
      </c>
      <c r="B87" s="37" t="s">
        <v>276</v>
      </c>
      <c r="C87" s="39" t="s">
        <v>136</v>
      </c>
      <c r="D87" s="40">
        <v>42184</v>
      </c>
      <c r="E87" s="37" t="s">
        <v>118</v>
      </c>
      <c r="F87" s="39" t="s">
        <v>121</v>
      </c>
      <c r="G87" s="39"/>
      <c r="H87" s="37" t="s">
        <v>120</v>
      </c>
      <c r="I87" s="39">
        <v>21</v>
      </c>
      <c r="J87" s="40">
        <v>42196</v>
      </c>
      <c r="K87" s="39" t="s">
        <v>82</v>
      </c>
      <c r="L87" s="41"/>
      <c r="M87" s="39">
        <v>28</v>
      </c>
      <c r="N87" s="39" t="s">
        <v>219</v>
      </c>
      <c r="O87" s="39"/>
      <c r="P87" s="39"/>
      <c r="Q87" s="39"/>
    </row>
    <row r="88" spans="1:17" x14ac:dyDescent="0.25">
      <c r="A88" s="37" t="s">
        <v>285</v>
      </c>
      <c r="B88" s="37" t="s">
        <v>286</v>
      </c>
      <c r="C88" s="39" t="s">
        <v>141</v>
      </c>
      <c r="D88" s="40">
        <v>42184</v>
      </c>
      <c r="E88" s="37" t="s">
        <v>118</v>
      </c>
      <c r="F88" s="39" t="s">
        <v>121</v>
      </c>
      <c r="G88" s="39"/>
      <c r="H88" s="37" t="s">
        <v>120</v>
      </c>
      <c r="I88" s="39">
        <v>26</v>
      </c>
      <c r="J88" s="40">
        <v>42196</v>
      </c>
      <c r="K88" s="39" t="s">
        <v>82</v>
      </c>
      <c r="L88" s="41"/>
      <c r="M88" s="39">
        <v>28</v>
      </c>
      <c r="N88" s="39" t="s">
        <v>219</v>
      </c>
      <c r="O88" s="39"/>
      <c r="P88" s="39"/>
      <c r="Q88" s="39"/>
    </row>
    <row r="89" spans="1:17" x14ac:dyDescent="0.25">
      <c r="A89" s="37" t="s">
        <v>297</v>
      </c>
      <c r="B89" s="37" t="s">
        <v>298</v>
      </c>
      <c r="C89" s="39" t="s">
        <v>147</v>
      </c>
      <c r="D89" s="40">
        <v>42184</v>
      </c>
      <c r="E89" s="37" t="s">
        <v>118</v>
      </c>
      <c r="F89" s="39" t="s">
        <v>121</v>
      </c>
      <c r="G89" s="39"/>
      <c r="H89" s="37" t="s">
        <v>120</v>
      </c>
      <c r="I89" s="39">
        <v>32</v>
      </c>
      <c r="J89" s="40">
        <v>42196</v>
      </c>
      <c r="K89" s="39" t="s">
        <v>82</v>
      </c>
      <c r="L89" s="41"/>
      <c r="M89" s="39">
        <v>28</v>
      </c>
      <c r="N89" s="39" t="s">
        <v>219</v>
      </c>
      <c r="O89" s="39"/>
      <c r="P89" s="39"/>
      <c r="Q89" s="39"/>
    </row>
    <row r="90" spans="1:17" x14ac:dyDescent="0.25">
      <c r="A90" s="37" t="s">
        <v>301</v>
      </c>
      <c r="B90" s="37" t="s">
        <v>302</v>
      </c>
      <c r="C90" s="39" t="s">
        <v>149</v>
      </c>
      <c r="D90" s="40">
        <v>42184</v>
      </c>
      <c r="E90" s="37" t="s">
        <v>118</v>
      </c>
      <c r="F90" s="39" t="s">
        <v>121</v>
      </c>
      <c r="G90" s="39"/>
      <c r="H90" s="37" t="s">
        <v>120</v>
      </c>
      <c r="I90" s="39">
        <v>34</v>
      </c>
      <c r="J90" s="40">
        <v>42196</v>
      </c>
      <c r="K90" s="39" t="s">
        <v>82</v>
      </c>
      <c r="L90" s="41"/>
      <c r="M90" s="39">
        <v>28</v>
      </c>
      <c r="N90" s="39" t="s">
        <v>219</v>
      </c>
      <c r="O90" s="39"/>
      <c r="P90" s="39"/>
      <c r="Q90" s="39"/>
    </row>
    <row r="91" spans="1:17" x14ac:dyDescent="0.25">
      <c r="A91" s="37" t="s">
        <v>312</v>
      </c>
      <c r="B91" s="37" t="s">
        <v>313</v>
      </c>
      <c r="C91" s="39" t="s">
        <v>154</v>
      </c>
      <c r="D91" s="40">
        <v>42184</v>
      </c>
      <c r="E91" s="37" t="s">
        <v>118</v>
      </c>
      <c r="F91" s="39" t="s">
        <v>121</v>
      </c>
      <c r="G91" s="39"/>
      <c r="H91" s="37" t="s">
        <v>120</v>
      </c>
      <c r="I91" s="39">
        <v>39</v>
      </c>
      <c r="J91" s="40">
        <v>42196</v>
      </c>
      <c r="K91" s="39" t="s">
        <v>82</v>
      </c>
      <c r="L91" s="41"/>
      <c r="M91" s="39">
        <v>28</v>
      </c>
      <c r="N91" s="39" t="s">
        <v>219</v>
      </c>
      <c r="O91" s="39"/>
      <c r="P91" s="39"/>
      <c r="Q91" s="39"/>
    </row>
    <row r="92" spans="1:17" x14ac:dyDescent="0.25">
      <c r="A92" s="37" t="s">
        <v>314</v>
      </c>
      <c r="B92" s="37" t="s">
        <v>315</v>
      </c>
      <c r="C92" s="39" t="s">
        <v>155</v>
      </c>
      <c r="D92" s="40">
        <v>42184</v>
      </c>
      <c r="E92" s="37" t="s">
        <v>118</v>
      </c>
      <c r="F92" s="39" t="s">
        <v>121</v>
      </c>
      <c r="G92" s="39"/>
      <c r="H92" s="37" t="s">
        <v>120</v>
      </c>
      <c r="I92" s="39">
        <v>40</v>
      </c>
      <c r="J92" s="40">
        <v>42196</v>
      </c>
      <c r="K92" s="39" t="s">
        <v>82</v>
      </c>
      <c r="L92" s="41"/>
      <c r="M92" s="39">
        <v>28</v>
      </c>
      <c r="N92" s="39" t="s">
        <v>219</v>
      </c>
      <c r="O92" s="39"/>
      <c r="P92" s="39"/>
      <c r="Q92" s="39"/>
    </row>
    <row r="93" spans="1:17" x14ac:dyDescent="0.25">
      <c r="A93" s="37" t="s">
        <v>316</v>
      </c>
      <c r="B93" s="37" t="s">
        <v>317</v>
      </c>
      <c r="C93" s="39" t="s">
        <v>156</v>
      </c>
      <c r="D93" s="40">
        <v>42184</v>
      </c>
      <c r="E93" s="37" t="s">
        <v>118</v>
      </c>
      <c r="F93" s="39" t="s">
        <v>121</v>
      </c>
      <c r="G93" s="39"/>
      <c r="H93" s="37" t="s">
        <v>120</v>
      </c>
      <c r="I93" s="39">
        <v>41</v>
      </c>
      <c r="J93" s="40">
        <v>42196</v>
      </c>
      <c r="K93" s="39" t="s">
        <v>82</v>
      </c>
      <c r="L93" s="41"/>
      <c r="M93" s="39">
        <v>28</v>
      </c>
      <c r="N93" s="39" t="s">
        <v>219</v>
      </c>
      <c r="O93" s="39"/>
      <c r="P93" s="39"/>
      <c r="Q93" s="39"/>
    </row>
    <row r="94" spans="1:17" x14ac:dyDescent="0.25">
      <c r="A94" s="37" t="s">
        <v>322</v>
      </c>
      <c r="B94" s="37" t="s">
        <v>323</v>
      </c>
      <c r="C94" s="39" t="s">
        <v>159</v>
      </c>
      <c r="D94" s="40">
        <v>42184</v>
      </c>
      <c r="E94" s="37" t="s">
        <v>118</v>
      </c>
      <c r="F94" s="39" t="s">
        <v>121</v>
      </c>
      <c r="G94" s="39"/>
      <c r="H94" s="37" t="s">
        <v>120</v>
      </c>
      <c r="I94" s="39">
        <v>44</v>
      </c>
      <c r="J94" s="40">
        <v>42196</v>
      </c>
      <c r="K94" s="39" t="s">
        <v>82</v>
      </c>
      <c r="L94" s="41"/>
      <c r="M94" s="39">
        <v>28</v>
      </c>
      <c r="N94" s="39" t="s">
        <v>219</v>
      </c>
      <c r="O94" s="39"/>
      <c r="P94" s="39"/>
      <c r="Q94" s="39"/>
    </row>
    <row r="95" spans="1:17" x14ac:dyDescent="0.25">
      <c r="A95" s="37" t="s">
        <v>324</v>
      </c>
      <c r="B95" s="37" t="s">
        <v>325</v>
      </c>
      <c r="C95" s="39" t="s">
        <v>160</v>
      </c>
      <c r="D95" s="40">
        <v>42184</v>
      </c>
      <c r="E95" s="37" t="s">
        <v>118</v>
      </c>
      <c r="F95" s="39" t="s">
        <v>121</v>
      </c>
      <c r="G95" s="39"/>
      <c r="H95" s="37" t="s">
        <v>120</v>
      </c>
      <c r="I95" s="39">
        <v>45</v>
      </c>
      <c r="J95" s="40">
        <v>42196</v>
      </c>
      <c r="K95" s="39" t="s">
        <v>82</v>
      </c>
      <c r="L95" s="41"/>
      <c r="M95" s="39">
        <v>28</v>
      </c>
      <c r="N95" s="39" t="s">
        <v>219</v>
      </c>
      <c r="O95" s="39"/>
      <c r="P95" s="39"/>
      <c r="Q95" s="39"/>
    </row>
    <row r="96" spans="1:17" x14ac:dyDescent="0.25">
      <c r="A96" s="37" t="s">
        <v>334</v>
      </c>
      <c r="B96" s="37" t="s">
        <v>335</v>
      </c>
      <c r="C96" s="39" t="s">
        <v>165</v>
      </c>
      <c r="D96" s="40">
        <v>42184</v>
      </c>
      <c r="E96" s="37" t="s">
        <v>118</v>
      </c>
      <c r="F96" s="39" t="s">
        <v>121</v>
      </c>
      <c r="G96" s="39"/>
      <c r="H96" s="37" t="s">
        <v>120</v>
      </c>
      <c r="I96" s="39">
        <v>50</v>
      </c>
      <c r="J96" s="40">
        <v>42196</v>
      </c>
      <c r="K96" s="39" t="s">
        <v>82</v>
      </c>
      <c r="L96" s="41"/>
      <c r="M96" s="39">
        <v>28</v>
      </c>
      <c r="N96" s="39" t="s">
        <v>219</v>
      </c>
      <c r="O96" s="39"/>
      <c r="P96" s="39"/>
      <c r="Q96" s="39"/>
    </row>
    <row r="97" spans="1:17" x14ac:dyDescent="0.25">
      <c r="A97" s="37" t="s">
        <v>354</v>
      </c>
      <c r="B97" s="37" t="s">
        <v>355</v>
      </c>
      <c r="C97" s="39" t="s">
        <v>175</v>
      </c>
      <c r="D97" s="40">
        <v>42184</v>
      </c>
      <c r="E97" s="37" t="s">
        <v>118</v>
      </c>
      <c r="F97" s="39" t="s">
        <v>121</v>
      </c>
      <c r="G97" s="39"/>
      <c r="H97" s="37" t="s">
        <v>120</v>
      </c>
      <c r="I97" s="39">
        <v>60</v>
      </c>
      <c r="J97" s="40">
        <v>42196</v>
      </c>
      <c r="K97" s="39" t="s">
        <v>82</v>
      </c>
      <c r="L97" s="41"/>
      <c r="M97" s="39">
        <v>28</v>
      </c>
      <c r="N97" s="39" t="s">
        <v>219</v>
      </c>
      <c r="O97" s="39"/>
      <c r="P97" s="39"/>
      <c r="Q97" s="39"/>
    </row>
    <row r="98" spans="1:17" x14ac:dyDescent="0.25">
      <c r="A98" s="37" t="s">
        <v>366</v>
      </c>
      <c r="B98" s="37" t="s">
        <v>367</v>
      </c>
      <c r="C98" s="39" t="s">
        <v>181</v>
      </c>
      <c r="D98" s="40">
        <v>42184</v>
      </c>
      <c r="E98" s="37" t="s">
        <v>118</v>
      </c>
      <c r="F98" s="39" t="s">
        <v>121</v>
      </c>
      <c r="G98" s="39"/>
      <c r="H98" s="37" t="s">
        <v>120</v>
      </c>
      <c r="I98" s="39">
        <v>66</v>
      </c>
      <c r="J98" s="40">
        <v>42196</v>
      </c>
      <c r="K98" s="39" t="s">
        <v>82</v>
      </c>
      <c r="L98" s="41"/>
      <c r="M98" s="39">
        <v>28</v>
      </c>
      <c r="N98" s="39" t="s">
        <v>219</v>
      </c>
      <c r="O98" s="39"/>
      <c r="P98" s="39"/>
      <c r="Q98" s="39"/>
    </row>
    <row r="99" spans="1:17" x14ac:dyDescent="0.25">
      <c r="A99" s="37" t="s">
        <v>376</v>
      </c>
      <c r="B99" s="37" t="s">
        <v>377</v>
      </c>
      <c r="C99" s="39" t="s">
        <v>186</v>
      </c>
      <c r="D99" s="40">
        <v>42184</v>
      </c>
      <c r="E99" s="37" t="s">
        <v>118</v>
      </c>
      <c r="F99" s="39" t="s">
        <v>121</v>
      </c>
      <c r="G99" s="39"/>
      <c r="H99" s="37" t="s">
        <v>120</v>
      </c>
      <c r="I99" s="39">
        <v>71</v>
      </c>
      <c r="J99" s="40">
        <v>42196</v>
      </c>
      <c r="K99" s="39" t="s">
        <v>82</v>
      </c>
      <c r="L99" s="41"/>
      <c r="M99" s="39">
        <v>28</v>
      </c>
      <c r="N99" s="39" t="s">
        <v>219</v>
      </c>
      <c r="O99" s="39"/>
      <c r="P99" s="39"/>
      <c r="Q99" s="39"/>
    </row>
    <row r="100" spans="1:17" x14ac:dyDescent="0.25">
      <c r="A100" s="37" t="s">
        <v>382</v>
      </c>
      <c r="B100" s="37" t="s">
        <v>383</v>
      </c>
      <c r="C100" s="39" t="s">
        <v>189</v>
      </c>
      <c r="D100" s="40">
        <v>42184</v>
      </c>
      <c r="E100" s="37" t="s">
        <v>118</v>
      </c>
      <c r="F100" s="39" t="s">
        <v>121</v>
      </c>
      <c r="G100" s="39"/>
      <c r="H100" s="37" t="s">
        <v>120</v>
      </c>
      <c r="I100" s="39">
        <v>74</v>
      </c>
      <c r="J100" s="40">
        <v>42196</v>
      </c>
      <c r="K100" s="39" t="s">
        <v>82</v>
      </c>
      <c r="L100" s="41"/>
      <c r="M100" s="39">
        <v>28</v>
      </c>
      <c r="N100" s="39" t="s">
        <v>219</v>
      </c>
      <c r="O100" s="39"/>
      <c r="P100" s="39"/>
      <c r="Q100" s="39"/>
    </row>
    <row r="101" spans="1:17" x14ac:dyDescent="0.25">
      <c r="A101" s="37" t="s">
        <v>384</v>
      </c>
      <c r="B101" s="37" t="s">
        <v>385</v>
      </c>
      <c r="C101" s="39" t="s">
        <v>190</v>
      </c>
      <c r="D101" s="40">
        <v>42184</v>
      </c>
      <c r="E101" s="37" t="s">
        <v>118</v>
      </c>
      <c r="F101" s="39" t="s">
        <v>121</v>
      </c>
      <c r="G101" s="39"/>
      <c r="H101" s="37" t="s">
        <v>120</v>
      </c>
      <c r="I101" s="39">
        <v>75</v>
      </c>
      <c r="J101" s="40">
        <v>42196</v>
      </c>
      <c r="K101" s="39" t="s">
        <v>82</v>
      </c>
      <c r="L101" s="41"/>
      <c r="M101" s="39">
        <v>28</v>
      </c>
      <c r="N101" s="39" t="s">
        <v>219</v>
      </c>
      <c r="O101" s="39"/>
      <c r="P101" s="39"/>
      <c r="Q101" s="39"/>
    </row>
    <row r="102" spans="1:17" x14ac:dyDescent="0.25">
      <c r="A102" s="37" t="s">
        <v>392</v>
      </c>
      <c r="B102" s="37" t="s">
        <v>393</v>
      </c>
      <c r="C102" s="39" t="s">
        <v>194</v>
      </c>
      <c r="D102" s="40">
        <v>42184</v>
      </c>
      <c r="E102" s="37" t="s">
        <v>118</v>
      </c>
      <c r="F102" s="39" t="s">
        <v>121</v>
      </c>
      <c r="G102" s="39"/>
      <c r="H102" s="37" t="s">
        <v>120</v>
      </c>
      <c r="I102" s="39">
        <v>79</v>
      </c>
      <c r="J102" s="40">
        <v>42196</v>
      </c>
      <c r="K102" s="39" t="s">
        <v>82</v>
      </c>
      <c r="L102" s="41"/>
      <c r="M102" s="39">
        <v>28</v>
      </c>
      <c r="N102" s="39" t="s">
        <v>219</v>
      </c>
      <c r="O102" s="39"/>
      <c r="P102" s="39"/>
      <c r="Q102" s="39"/>
    </row>
    <row r="103" spans="1:17" x14ac:dyDescent="0.25">
      <c r="A103" s="37" t="s">
        <v>416</v>
      </c>
      <c r="B103" s="37" t="s">
        <v>417</v>
      </c>
      <c r="C103" s="39" t="s">
        <v>206</v>
      </c>
      <c r="D103" s="40">
        <v>42184</v>
      </c>
      <c r="E103" s="37" t="s">
        <v>118</v>
      </c>
      <c r="F103" s="39" t="s">
        <v>121</v>
      </c>
      <c r="G103" s="39"/>
      <c r="H103" s="37" t="s">
        <v>120</v>
      </c>
      <c r="I103" s="39">
        <v>91</v>
      </c>
      <c r="J103" s="40">
        <v>42196</v>
      </c>
      <c r="K103" s="39" t="s">
        <v>82</v>
      </c>
      <c r="L103" s="41"/>
      <c r="M103" s="39">
        <v>28</v>
      </c>
      <c r="N103" s="39" t="s">
        <v>219</v>
      </c>
      <c r="O103" s="39"/>
      <c r="P103" s="39"/>
      <c r="Q103" s="39"/>
    </row>
    <row r="104" spans="1:17" x14ac:dyDescent="0.25">
      <c r="A104" s="37" t="s">
        <v>420</v>
      </c>
      <c r="B104" s="37" t="s">
        <v>421</v>
      </c>
      <c r="C104" s="39" t="s">
        <v>208</v>
      </c>
      <c r="D104" s="40">
        <v>42184</v>
      </c>
      <c r="E104" s="37" t="s">
        <v>118</v>
      </c>
      <c r="F104" s="39" t="s">
        <v>121</v>
      </c>
      <c r="G104" s="39"/>
      <c r="H104" s="37" t="s">
        <v>120</v>
      </c>
      <c r="I104" s="39">
        <v>93</v>
      </c>
      <c r="J104" s="40">
        <v>42196</v>
      </c>
      <c r="K104" s="39" t="s">
        <v>82</v>
      </c>
      <c r="L104" s="41"/>
      <c r="M104" s="39">
        <v>28</v>
      </c>
      <c r="N104" s="39" t="s">
        <v>219</v>
      </c>
      <c r="O104" s="39"/>
      <c r="P104" s="39"/>
      <c r="Q104" s="39"/>
    </row>
    <row r="105" spans="1:17" x14ac:dyDescent="0.25">
      <c r="A105" s="37" t="s">
        <v>442</v>
      </c>
      <c r="B105" s="37" t="s">
        <v>443</v>
      </c>
      <c r="C105" s="39" t="s">
        <v>214</v>
      </c>
      <c r="D105" s="40">
        <v>42184</v>
      </c>
      <c r="E105" s="37" t="s">
        <v>118</v>
      </c>
      <c r="F105" s="39" t="s">
        <v>121</v>
      </c>
      <c r="G105" s="39"/>
      <c r="H105" s="37" t="s">
        <v>120</v>
      </c>
      <c r="I105" s="39">
        <v>109</v>
      </c>
      <c r="J105" s="40">
        <v>42196</v>
      </c>
      <c r="K105" s="39" t="s">
        <v>82</v>
      </c>
      <c r="L105" s="41"/>
      <c r="M105" s="39">
        <v>28</v>
      </c>
      <c r="N105" s="39" t="s">
        <v>219</v>
      </c>
      <c r="O105" s="39"/>
      <c r="P105" s="39"/>
      <c r="Q105" s="39"/>
    </row>
    <row r="106" spans="1:17" x14ac:dyDescent="0.25">
      <c r="A106" s="37" t="s">
        <v>447</v>
      </c>
      <c r="B106" s="37" t="s">
        <v>448</v>
      </c>
      <c r="C106" s="39" t="s">
        <v>215</v>
      </c>
      <c r="D106" s="40">
        <v>42184</v>
      </c>
      <c r="E106" s="37" t="s">
        <v>118</v>
      </c>
      <c r="F106" s="39" t="s">
        <v>121</v>
      </c>
      <c r="G106" s="39"/>
      <c r="H106" s="37" t="s">
        <v>120</v>
      </c>
      <c r="I106" s="39">
        <v>113</v>
      </c>
      <c r="J106" s="40">
        <v>42196</v>
      </c>
      <c r="K106" s="39" t="s">
        <v>82</v>
      </c>
      <c r="L106" s="41"/>
      <c r="M106" s="39">
        <v>28</v>
      </c>
      <c r="N106" s="39" t="s">
        <v>219</v>
      </c>
      <c r="O106" s="39"/>
      <c r="P106" s="39"/>
      <c r="Q106" s="39"/>
    </row>
    <row r="107" spans="1:17" x14ac:dyDescent="0.25">
      <c r="A107" s="37" t="s">
        <v>255</v>
      </c>
      <c r="B107" s="37" t="s">
        <v>256</v>
      </c>
      <c r="C107" s="39" t="s">
        <v>126</v>
      </c>
      <c r="D107" s="40">
        <v>42184</v>
      </c>
      <c r="E107" s="37" t="s">
        <v>118</v>
      </c>
      <c r="F107" s="39" t="s">
        <v>121</v>
      </c>
      <c r="G107" s="39"/>
      <c r="H107" s="37" t="s">
        <v>120</v>
      </c>
      <c r="I107" s="39">
        <v>11</v>
      </c>
      <c r="J107" s="40">
        <v>42197</v>
      </c>
      <c r="K107" s="39" t="s">
        <v>82</v>
      </c>
      <c r="L107" s="41"/>
      <c r="M107" s="39">
        <v>28</v>
      </c>
      <c r="N107" s="39" t="s">
        <v>219</v>
      </c>
      <c r="O107" s="39"/>
      <c r="P107" s="39"/>
      <c r="Q107" s="39"/>
    </row>
    <row r="108" spans="1:17" x14ac:dyDescent="0.25">
      <c r="A108" s="37" t="s">
        <v>259</v>
      </c>
      <c r="B108" s="37" t="s">
        <v>260</v>
      </c>
      <c r="C108" s="39" t="s">
        <v>128</v>
      </c>
      <c r="D108" s="40">
        <v>42184</v>
      </c>
      <c r="E108" s="37" t="s">
        <v>118</v>
      </c>
      <c r="F108" s="39" t="s">
        <v>121</v>
      </c>
      <c r="G108" s="39"/>
      <c r="H108" s="37" t="s">
        <v>120</v>
      </c>
      <c r="I108" s="39">
        <v>13</v>
      </c>
      <c r="J108" s="40">
        <v>42197</v>
      </c>
      <c r="K108" s="39" t="s">
        <v>82</v>
      </c>
      <c r="L108" s="41"/>
      <c r="M108" s="39">
        <v>28</v>
      </c>
      <c r="N108" s="39" t="s">
        <v>219</v>
      </c>
      <c r="O108" s="39"/>
      <c r="P108" s="39"/>
      <c r="Q108" s="39"/>
    </row>
    <row r="109" spans="1:17" x14ac:dyDescent="0.25">
      <c r="A109" s="37" t="s">
        <v>261</v>
      </c>
      <c r="B109" s="37" t="s">
        <v>262</v>
      </c>
      <c r="C109" s="39" t="s">
        <v>129</v>
      </c>
      <c r="D109" s="40">
        <v>42184</v>
      </c>
      <c r="E109" s="37" t="s">
        <v>118</v>
      </c>
      <c r="F109" s="39" t="s">
        <v>121</v>
      </c>
      <c r="G109" s="39"/>
      <c r="H109" s="37" t="s">
        <v>120</v>
      </c>
      <c r="I109" s="39">
        <v>14</v>
      </c>
      <c r="J109" s="40">
        <v>42197</v>
      </c>
      <c r="K109" s="39" t="s">
        <v>82</v>
      </c>
      <c r="L109" s="41"/>
      <c r="M109" s="39">
        <v>28</v>
      </c>
      <c r="N109" s="39" t="s">
        <v>219</v>
      </c>
      <c r="O109" s="39"/>
      <c r="P109" s="39"/>
      <c r="Q109" s="39"/>
    </row>
    <row r="110" spans="1:17" x14ac:dyDescent="0.25">
      <c r="A110" s="37" t="s">
        <v>263</v>
      </c>
      <c r="B110" s="37" t="s">
        <v>264</v>
      </c>
      <c r="C110" s="39" t="s">
        <v>130</v>
      </c>
      <c r="D110" s="40">
        <v>42184</v>
      </c>
      <c r="E110" s="37" t="s">
        <v>118</v>
      </c>
      <c r="F110" s="39" t="s">
        <v>121</v>
      </c>
      <c r="G110" s="39"/>
      <c r="H110" s="37" t="s">
        <v>120</v>
      </c>
      <c r="I110" s="39">
        <v>15</v>
      </c>
      <c r="J110" s="40">
        <v>42197</v>
      </c>
      <c r="K110" s="39" t="s">
        <v>82</v>
      </c>
      <c r="L110" s="41"/>
      <c r="M110" s="39">
        <v>28</v>
      </c>
      <c r="N110" s="39" t="s">
        <v>219</v>
      </c>
      <c r="O110" s="39"/>
      <c r="P110" s="39"/>
      <c r="Q110" s="39"/>
    </row>
    <row r="111" spans="1:17" x14ac:dyDescent="0.25">
      <c r="A111" s="37" t="s">
        <v>269</v>
      </c>
      <c r="B111" s="37" t="s">
        <v>270</v>
      </c>
      <c r="C111" s="39" t="s">
        <v>133</v>
      </c>
      <c r="D111" s="40">
        <v>42184</v>
      </c>
      <c r="E111" s="37" t="s">
        <v>118</v>
      </c>
      <c r="F111" s="39" t="s">
        <v>121</v>
      </c>
      <c r="G111" s="39"/>
      <c r="H111" s="37" t="s">
        <v>120</v>
      </c>
      <c r="I111" s="39">
        <v>18</v>
      </c>
      <c r="J111" s="40">
        <v>42197</v>
      </c>
      <c r="K111" s="39" t="s">
        <v>82</v>
      </c>
      <c r="L111" s="41"/>
      <c r="M111" s="39">
        <v>28</v>
      </c>
      <c r="N111" s="39" t="s">
        <v>219</v>
      </c>
      <c r="O111" s="39"/>
    </row>
    <row r="112" spans="1:17" x14ac:dyDescent="0.25">
      <c r="A112" s="37" t="s">
        <v>291</v>
      </c>
      <c r="B112" s="37" t="s">
        <v>292</v>
      </c>
      <c r="C112" s="39" t="s">
        <v>144</v>
      </c>
      <c r="D112" s="40">
        <v>42184</v>
      </c>
      <c r="E112" s="37" t="s">
        <v>118</v>
      </c>
      <c r="F112" s="39" t="s">
        <v>121</v>
      </c>
      <c r="G112" s="39"/>
      <c r="H112" s="37" t="s">
        <v>120</v>
      </c>
      <c r="I112" s="39">
        <v>29</v>
      </c>
      <c r="J112" s="40">
        <v>42197</v>
      </c>
      <c r="K112" s="39" t="s">
        <v>82</v>
      </c>
      <c r="L112" s="41"/>
      <c r="M112" s="39">
        <v>28</v>
      </c>
      <c r="N112" s="39" t="s">
        <v>219</v>
      </c>
      <c r="O112" s="39"/>
    </row>
    <row r="113" spans="1:15" x14ac:dyDescent="0.25">
      <c r="A113" s="37" t="s">
        <v>295</v>
      </c>
      <c r="B113" s="37" t="s">
        <v>296</v>
      </c>
      <c r="C113" s="39" t="s">
        <v>146</v>
      </c>
      <c r="D113" s="40">
        <v>42184</v>
      </c>
      <c r="E113" s="37" t="s">
        <v>118</v>
      </c>
      <c r="F113" s="39" t="s">
        <v>121</v>
      </c>
      <c r="G113" s="39"/>
      <c r="H113" s="37" t="s">
        <v>120</v>
      </c>
      <c r="I113" s="39">
        <v>31</v>
      </c>
      <c r="J113" s="40">
        <v>42197</v>
      </c>
      <c r="K113" s="39" t="s">
        <v>82</v>
      </c>
      <c r="L113" s="41"/>
      <c r="M113" s="39">
        <v>28</v>
      </c>
      <c r="N113" s="39" t="s">
        <v>219</v>
      </c>
      <c r="O113" s="39"/>
    </row>
    <row r="114" spans="1:15" x14ac:dyDescent="0.25">
      <c r="A114" s="37" t="s">
        <v>326</v>
      </c>
      <c r="B114" s="37" t="s">
        <v>327</v>
      </c>
      <c r="C114" s="39" t="s">
        <v>161</v>
      </c>
      <c r="D114" s="40">
        <v>42184</v>
      </c>
      <c r="E114" s="37" t="s">
        <v>118</v>
      </c>
      <c r="F114" s="39" t="s">
        <v>121</v>
      </c>
      <c r="G114" s="39"/>
      <c r="H114" s="37" t="s">
        <v>120</v>
      </c>
      <c r="I114" s="39">
        <v>46</v>
      </c>
      <c r="J114" s="40">
        <v>42197</v>
      </c>
      <c r="K114" s="39" t="s">
        <v>82</v>
      </c>
      <c r="L114" s="41"/>
      <c r="M114" s="39">
        <v>28</v>
      </c>
      <c r="N114" s="39" t="s">
        <v>219</v>
      </c>
      <c r="O114" s="39"/>
    </row>
    <row r="115" spans="1:15" x14ac:dyDescent="0.25">
      <c r="A115" s="37" t="s">
        <v>330</v>
      </c>
      <c r="B115" s="37" t="s">
        <v>331</v>
      </c>
      <c r="C115" s="39" t="s">
        <v>163</v>
      </c>
      <c r="D115" s="40">
        <v>42184</v>
      </c>
      <c r="E115" s="37" t="s">
        <v>118</v>
      </c>
      <c r="F115" s="39" t="s">
        <v>121</v>
      </c>
      <c r="G115" s="39"/>
      <c r="H115" s="37" t="s">
        <v>120</v>
      </c>
      <c r="I115" s="39">
        <v>48</v>
      </c>
      <c r="J115" s="40">
        <v>42197</v>
      </c>
      <c r="K115" s="39" t="s">
        <v>82</v>
      </c>
      <c r="L115" s="41"/>
      <c r="M115" s="39">
        <v>28</v>
      </c>
      <c r="N115" s="39" t="s">
        <v>219</v>
      </c>
      <c r="O115" s="39"/>
    </row>
    <row r="116" spans="1:15" x14ac:dyDescent="0.25">
      <c r="A116" s="37" t="s">
        <v>348</v>
      </c>
      <c r="B116" s="37" t="s">
        <v>349</v>
      </c>
      <c r="C116" s="39" t="s">
        <v>172</v>
      </c>
      <c r="D116" s="40">
        <v>42184</v>
      </c>
      <c r="E116" s="37" t="s">
        <v>118</v>
      </c>
      <c r="F116" s="39" t="s">
        <v>121</v>
      </c>
      <c r="G116" s="39"/>
      <c r="H116" s="37" t="s">
        <v>120</v>
      </c>
      <c r="I116" s="39">
        <v>57</v>
      </c>
      <c r="J116" s="40">
        <v>42197</v>
      </c>
      <c r="K116" s="39" t="s">
        <v>82</v>
      </c>
      <c r="L116" s="41"/>
      <c r="M116" s="39">
        <v>28</v>
      </c>
      <c r="N116" s="39" t="s">
        <v>219</v>
      </c>
      <c r="O116" s="39"/>
    </row>
    <row r="117" spans="1:15" x14ac:dyDescent="0.25">
      <c r="A117" s="37" t="s">
        <v>356</v>
      </c>
      <c r="B117" s="37" t="s">
        <v>357</v>
      </c>
      <c r="C117" s="39" t="s">
        <v>176</v>
      </c>
      <c r="D117" s="40">
        <v>42184</v>
      </c>
      <c r="E117" s="37" t="s">
        <v>118</v>
      </c>
      <c r="F117" s="39" t="s">
        <v>121</v>
      </c>
      <c r="G117" s="39"/>
      <c r="H117" s="37" t="s">
        <v>120</v>
      </c>
      <c r="I117" s="39">
        <v>61</v>
      </c>
      <c r="J117" s="40">
        <v>42197</v>
      </c>
      <c r="K117" s="39" t="s">
        <v>82</v>
      </c>
      <c r="L117" s="41"/>
      <c r="M117" s="39">
        <v>28</v>
      </c>
      <c r="N117" s="39" t="s">
        <v>219</v>
      </c>
      <c r="O117" s="39"/>
    </row>
    <row r="118" spans="1:15" x14ac:dyDescent="0.25">
      <c r="A118" s="37" t="s">
        <v>388</v>
      </c>
      <c r="B118" s="37" t="s">
        <v>389</v>
      </c>
      <c r="C118" s="39" t="s">
        <v>192</v>
      </c>
      <c r="D118" s="40">
        <v>42184</v>
      </c>
      <c r="E118" s="37" t="s">
        <v>118</v>
      </c>
      <c r="F118" s="39" t="s">
        <v>121</v>
      </c>
      <c r="G118" s="39"/>
      <c r="H118" s="37" t="s">
        <v>120</v>
      </c>
      <c r="I118" s="39">
        <v>77</v>
      </c>
      <c r="J118" s="40">
        <v>42197</v>
      </c>
      <c r="K118" s="39" t="s">
        <v>82</v>
      </c>
      <c r="L118" s="41"/>
      <c r="M118" s="39">
        <v>28</v>
      </c>
      <c r="N118" s="39" t="s">
        <v>219</v>
      </c>
      <c r="O118" s="39"/>
    </row>
    <row r="119" spans="1:15" x14ac:dyDescent="0.25">
      <c r="A119" s="37" t="s">
        <v>398</v>
      </c>
      <c r="B119" s="37" t="s">
        <v>399</v>
      </c>
      <c r="C119" s="39" t="s">
        <v>197</v>
      </c>
      <c r="D119" s="40">
        <v>42184</v>
      </c>
      <c r="E119" s="37" t="s">
        <v>118</v>
      </c>
      <c r="F119" s="39" t="s">
        <v>121</v>
      </c>
      <c r="G119" s="39"/>
      <c r="H119" s="37" t="s">
        <v>120</v>
      </c>
      <c r="I119" s="39">
        <v>82</v>
      </c>
      <c r="J119" s="40">
        <v>42197</v>
      </c>
      <c r="K119" s="39" t="s">
        <v>82</v>
      </c>
      <c r="L119" s="41"/>
      <c r="M119" s="39">
        <v>28</v>
      </c>
      <c r="N119" s="39" t="s">
        <v>219</v>
      </c>
      <c r="O119" s="39"/>
    </row>
    <row r="120" spans="1:15" x14ac:dyDescent="0.25">
      <c r="A120" s="37" t="s">
        <v>402</v>
      </c>
      <c r="B120" s="37" t="s">
        <v>403</v>
      </c>
      <c r="C120" s="39" t="s">
        <v>199</v>
      </c>
      <c r="D120" s="40">
        <v>42184</v>
      </c>
      <c r="E120" s="37" t="s">
        <v>118</v>
      </c>
      <c r="F120" s="39" t="s">
        <v>121</v>
      </c>
      <c r="G120" s="39"/>
      <c r="H120" s="37" t="s">
        <v>120</v>
      </c>
      <c r="I120" s="39">
        <v>84</v>
      </c>
      <c r="J120" s="40">
        <v>42197</v>
      </c>
      <c r="K120" s="39" t="s">
        <v>82</v>
      </c>
      <c r="L120" s="41"/>
      <c r="M120" s="39">
        <v>28</v>
      </c>
      <c r="N120" s="39" t="s">
        <v>219</v>
      </c>
      <c r="O120" s="39"/>
    </row>
    <row r="121" spans="1:15" x14ac:dyDescent="0.25">
      <c r="A121" s="37" t="s">
        <v>406</v>
      </c>
      <c r="B121" s="37" t="s">
        <v>407</v>
      </c>
      <c r="C121" s="39" t="s">
        <v>201</v>
      </c>
      <c r="D121" s="40">
        <v>42184</v>
      </c>
      <c r="E121" s="37" t="s">
        <v>118</v>
      </c>
      <c r="F121" s="39" t="s">
        <v>121</v>
      </c>
      <c r="G121" s="39"/>
      <c r="H121" s="37" t="s">
        <v>120</v>
      </c>
      <c r="I121" s="39">
        <v>86</v>
      </c>
      <c r="J121" s="40">
        <v>42197</v>
      </c>
      <c r="K121" s="39" t="s">
        <v>82</v>
      </c>
      <c r="L121" s="41"/>
      <c r="M121" s="39">
        <v>28</v>
      </c>
      <c r="N121" s="39" t="s">
        <v>219</v>
      </c>
      <c r="O121" s="39"/>
    </row>
    <row r="122" spans="1:15" x14ac:dyDescent="0.25">
      <c r="A122" s="37" t="s">
        <v>310</v>
      </c>
      <c r="B122" s="37" t="s">
        <v>311</v>
      </c>
      <c r="C122" s="39" t="s">
        <v>153</v>
      </c>
      <c r="D122" s="40">
        <v>42184</v>
      </c>
      <c r="E122" s="37" t="s">
        <v>118</v>
      </c>
      <c r="F122" s="39" t="s">
        <v>121</v>
      </c>
      <c r="G122" s="39"/>
      <c r="H122" s="37" t="s">
        <v>120</v>
      </c>
      <c r="I122" s="39">
        <v>38</v>
      </c>
      <c r="J122" s="40">
        <v>42198</v>
      </c>
      <c r="K122" s="39" t="s">
        <v>82</v>
      </c>
      <c r="L122" s="41"/>
      <c r="M122" s="39">
        <v>29</v>
      </c>
      <c r="N122" s="39" t="s">
        <v>219</v>
      </c>
      <c r="O122" s="39"/>
    </row>
    <row r="123" spans="1:15" x14ac:dyDescent="0.25">
      <c r="A123" s="37" t="s">
        <v>320</v>
      </c>
      <c r="B123" s="37" t="s">
        <v>321</v>
      </c>
      <c r="C123" s="39" t="s">
        <v>158</v>
      </c>
      <c r="D123" s="40">
        <v>42184</v>
      </c>
      <c r="E123" s="37" t="s">
        <v>118</v>
      </c>
      <c r="F123" s="39" t="s">
        <v>121</v>
      </c>
      <c r="G123" s="39"/>
      <c r="H123" s="37" t="s">
        <v>120</v>
      </c>
      <c r="I123" s="39">
        <v>43</v>
      </c>
      <c r="J123" s="40">
        <v>42198</v>
      </c>
      <c r="K123" s="39" t="s">
        <v>82</v>
      </c>
      <c r="L123" s="41"/>
      <c r="M123" s="39">
        <v>29</v>
      </c>
      <c r="N123" s="39" t="s">
        <v>219</v>
      </c>
      <c r="O123" s="39"/>
    </row>
    <row r="124" spans="1:15" x14ac:dyDescent="0.25">
      <c r="A124" s="37" t="s">
        <v>336</v>
      </c>
      <c r="B124" s="37" t="s">
        <v>337</v>
      </c>
      <c r="C124" s="39" t="s">
        <v>166</v>
      </c>
      <c r="D124" s="40">
        <v>42184</v>
      </c>
      <c r="E124" s="37" t="s">
        <v>118</v>
      </c>
      <c r="F124" s="39" t="s">
        <v>121</v>
      </c>
      <c r="G124" s="39"/>
      <c r="H124" s="37" t="s">
        <v>120</v>
      </c>
      <c r="I124" s="39">
        <v>51</v>
      </c>
      <c r="J124" s="40">
        <v>42198</v>
      </c>
      <c r="K124" s="39" t="s">
        <v>82</v>
      </c>
      <c r="L124" s="41"/>
      <c r="M124" s="39">
        <v>29</v>
      </c>
      <c r="N124" s="39" t="s">
        <v>219</v>
      </c>
      <c r="O124" s="39"/>
    </row>
    <row r="125" spans="1:15" x14ac:dyDescent="0.25">
      <c r="A125" s="37" t="s">
        <v>352</v>
      </c>
      <c r="B125" s="37" t="s">
        <v>353</v>
      </c>
      <c r="C125" s="39" t="s">
        <v>174</v>
      </c>
      <c r="D125" s="40">
        <v>42184</v>
      </c>
      <c r="E125" s="37" t="s">
        <v>118</v>
      </c>
      <c r="F125" s="39" t="s">
        <v>121</v>
      </c>
      <c r="G125" s="39"/>
      <c r="H125" s="37" t="s">
        <v>120</v>
      </c>
      <c r="I125" s="39">
        <v>59</v>
      </c>
      <c r="J125" s="40">
        <v>42198</v>
      </c>
      <c r="K125" s="39" t="s">
        <v>82</v>
      </c>
      <c r="L125" s="41"/>
      <c r="M125" s="39">
        <v>29</v>
      </c>
      <c r="N125" s="39" t="s">
        <v>219</v>
      </c>
      <c r="O125" s="39"/>
    </row>
    <row r="126" spans="1:15" x14ac:dyDescent="0.25">
      <c r="A126" s="37" t="s">
        <v>386</v>
      </c>
      <c r="B126" s="37" t="s">
        <v>387</v>
      </c>
      <c r="C126" s="39" t="s">
        <v>191</v>
      </c>
      <c r="D126" s="40">
        <v>42184</v>
      </c>
      <c r="E126" s="37" t="s">
        <v>118</v>
      </c>
      <c r="F126" s="39" t="s">
        <v>121</v>
      </c>
      <c r="G126" s="39"/>
      <c r="H126" s="37" t="s">
        <v>120</v>
      </c>
      <c r="I126" s="39">
        <v>76</v>
      </c>
      <c r="J126" s="40">
        <v>42198</v>
      </c>
      <c r="K126" s="39" t="s">
        <v>82</v>
      </c>
      <c r="L126" s="41"/>
      <c r="M126" s="39">
        <v>29</v>
      </c>
      <c r="N126" s="39" t="s">
        <v>219</v>
      </c>
      <c r="O126" s="39"/>
    </row>
    <row r="127" spans="1:15" x14ac:dyDescent="0.25">
      <c r="A127" s="37" t="s">
        <v>390</v>
      </c>
      <c r="B127" s="37" t="s">
        <v>391</v>
      </c>
      <c r="C127" s="39" t="s">
        <v>193</v>
      </c>
      <c r="D127" s="40">
        <v>42184</v>
      </c>
      <c r="E127" s="37" t="s">
        <v>118</v>
      </c>
      <c r="F127" s="39" t="s">
        <v>121</v>
      </c>
      <c r="G127" s="39"/>
      <c r="H127" s="37" t="s">
        <v>120</v>
      </c>
      <c r="I127" s="39">
        <v>78</v>
      </c>
      <c r="J127" s="40">
        <v>42198</v>
      </c>
      <c r="K127" s="39" t="s">
        <v>82</v>
      </c>
      <c r="L127" s="41"/>
      <c r="M127" s="39">
        <v>29</v>
      </c>
      <c r="N127" s="39" t="s">
        <v>219</v>
      </c>
      <c r="O127" s="39"/>
    </row>
    <row r="128" spans="1:15" x14ac:dyDescent="0.25">
      <c r="A128" s="37" t="s">
        <v>400</v>
      </c>
      <c r="B128" s="37" t="s">
        <v>401</v>
      </c>
      <c r="C128" s="39" t="s">
        <v>198</v>
      </c>
      <c r="D128" s="40">
        <v>42184</v>
      </c>
      <c r="E128" s="37" t="s">
        <v>118</v>
      </c>
      <c r="F128" s="39" t="s">
        <v>121</v>
      </c>
      <c r="G128" s="39"/>
      <c r="H128" s="37" t="s">
        <v>120</v>
      </c>
      <c r="I128" s="39">
        <v>83</v>
      </c>
      <c r="J128" s="40">
        <v>42198</v>
      </c>
      <c r="K128" s="39" t="s">
        <v>82</v>
      </c>
      <c r="L128" s="41"/>
      <c r="M128" s="39">
        <v>29</v>
      </c>
      <c r="N128" s="39" t="s">
        <v>219</v>
      </c>
      <c r="O128" s="39"/>
    </row>
    <row r="129" spans="1:15" x14ac:dyDescent="0.25">
      <c r="A129" s="37" t="s">
        <v>454</v>
      </c>
      <c r="B129" s="37" t="s">
        <v>455</v>
      </c>
      <c r="C129" s="39" t="s">
        <v>217</v>
      </c>
      <c r="D129" s="40">
        <v>42184</v>
      </c>
      <c r="E129" s="37" t="s">
        <v>118</v>
      </c>
      <c r="F129" s="39" t="s">
        <v>121</v>
      </c>
      <c r="G129" s="39"/>
      <c r="H129" s="37" t="s">
        <v>120</v>
      </c>
      <c r="I129" s="39">
        <v>118</v>
      </c>
      <c r="J129" s="40">
        <v>42198</v>
      </c>
      <c r="K129" s="39" t="s">
        <v>82</v>
      </c>
      <c r="L129" s="41"/>
      <c r="M129" s="39">
        <v>29</v>
      </c>
      <c r="N129" s="39" t="s">
        <v>219</v>
      </c>
      <c r="O129" s="39"/>
    </row>
    <row r="130" spans="1:15" x14ac:dyDescent="0.25">
      <c r="A130" s="37" t="s">
        <v>465</v>
      </c>
      <c r="B130" s="37" t="s">
        <v>466</v>
      </c>
      <c r="C130" s="39" t="s">
        <v>467</v>
      </c>
      <c r="D130" s="40">
        <v>42191</v>
      </c>
      <c r="E130" s="37" t="s">
        <v>118</v>
      </c>
      <c r="F130" s="39" t="s">
        <v>121</v>
      </c>
      <c r="G130" s="39"/>
      <c r="H130" s="37" t="s">
        <v>120</v>
      </c>
      <c r="I130" s="39">
        <v>6</v>
      </c>
      <c r="J130" s="40">
        <v>42202</v>
      </c>
      <c r="K130" s="39" t="s">
        <v>82</v>
      </c>
      <c r="L130" s="41"/>
      <c r="M130" s="39">
        <v>29</v>
      </c>
      <c r="N130" s="39" t="s">
        <v>219</v>
      </c>
      <c r="O130" s="39"/>
    </row>
    <row r="131" spans="1:15" x14ac:dyDescent="0.25">
      <c r="A131" s="37" t="s">
        <v>468</v>
      </c>
      <c r="B131" s="37" t="s">
        <v>469</v>
      </c>
      <c r="C131" s="39" t="s">
        <v>470</v>
      </c>
      <c r="D131" s="40">
        <v>42191</v>
      </c>
      <c r="E131" s="37" t="s">
        <v>118</v>
      </c>
      <c r="F131" s="39" t="s">
        <v>121</v>
      </c>
      <c r="G131" s="39"/>
      <c r="H131" s="37" t="s">
        <v>120</v>
      </c>
      <c r="I131" s="39">
        <v>7</v>
      </c>
      <c r="J131" s="40">
        <v>42202</v>
      </c>
      <c r="K131" s="39" t="s">
        <v>82</v>
      </c>
      <c r="L131" s="41"/>
      <c r="M131" s="39">
        <v>29</v>
      </c>
      <c r="N131" s="39" t="s">
        <v>219</v>
      </c>
      <c r="O131" s="39"/>
    </row>
    <row r="132" spans="1:15" x14ac:dyDescent="0.25">
      <c r="A132" s="37" t="s">
        <v>501</v>
      </c>
      <c r="B132" s="37" t="s">
        <v>502</v>
      </c>
      <c r="C132" s="39" t="s">
        <v>503</v>
      </c>
      <c r="D132" s="40">
        <v>42191</v>
      </c>
      <c r="E132" s="37" t="s">
        <v>118</v>
      </c>
      <c r="F132" s="39" t="s">
        <v>121</v>
      </c>
      <c r="G132" s="39"/>
      <c r="H132" s="37" t="s">
        <v>120</v>
      </c>
      <c r="I132" s="39">
        <v>18</v>
      </c>
      <c r="J132" s="40">
        <v>42202</v>
      </c>
      <c r="K132" s="39" t="s">
        <v>82</v>
      </c>
      <c r="L132" s="41"/>
      <c r="M132" s="39">
        <v>29</v>
      </c>
      <c r="N132" s="39" t="s">
        <v>219</v>
      </c>
      <c r="O132" s="39"/>
    </row>
    <row r="133" spans="1:15" x14ac:dyDescent="0.25">
      <c r="A133" s="37" t="s">
        <v>504</v>
      </c>
      <c r="B133" s="37" t="s">
        <v>505</v>
      </c>
      <c r="C133" s="39" t="s">
        <v>506</v>
      </c>
      <c r="D133" s="40">
        <v>42191</v>
      </c>
      <c r="E133" s="37" t="s">
        <v>118</v>
      </c>
      <c r="F133" s="39" t="s">
        <v>121</v>
      </c>
      <c r="G133" s="39"/>
      <c r="H133" s="37" t="s">
        <v>120</v>
      </c>
      <c r="I133" s="39">
        <v>19</v>
      </c>
      <c r="J133" s="40">
        <v>42202</v>
      </c>
      <c r="K133" s="39" t="s">
        <v>82</v>
      </c>
      <c r="L133" s="41"/>
      <c r="M133" s="39">
        <v>29</v>
      </c>
      <c r="N133" s="39" t="s">
        <v>219</v>
      </c>
      <c r="O133" s="39"/>
    </row>
    <row r="134" spans="1:15" x14ac:dyDescent="0.25">
      <c r="A134" s="37" t="s">
        <v>519</v>
      </c>
      <c r="B134" s="37" t="s">
        <v>520</v>
      </c>
      <c r="C134" s="39" t="s">
        <v>521</v>
      </c>
      <c r="D134" s="40">
        <v>42191</v>
      </c>
      <c r="E134" s="37" t="s">
        <v>118</v>
      </c>
      <c r="F134" s="39" t="s">
        <v>121</v>
      </c>
      <c r="G134" s="39"/>
      <c r="H134" s="37" t="s">
        <v>120</v>
      </c>
      <c r="I134" s="39">
        <v>24</v>
      </c>
      <c r="J134" s="40">
        <v>42202</v>
      </c>
      <c r="K134" s="39" t="s">
        <v>82</v>
      </c>
      <c r="L134" s="41"/>
      <c r="M134" s="39">
        <v>29</v>
      </c>
      <c r="N134" s="39" t="s">
        <v>219</v>
      </c>
      <c r="O134" s="39"/>
    </row>
    <row r="135" spans="1:15" x14ac:dyDescent="0.25">
      <c r="A135" s="37" t="s">
        <v>528</v>
      </c>
      <c r="B135" s="37" t="s">
        <v>529</v>
      </c>
      <c r="C135" s="39" t="s">
        <v>530</v>
      </c>
      <c r="D135" s="40">
        <v>42191</v>
      </c>
      <c r="E135" s="37" t="s">
        <v>118</v>
      </c>
      <c r="F135" s="39" t="s">
        <v>121</v>
      </c>
      <c r="G135" s="39"/>
      <c r="H135" s="37" t="s">
        <v>120</v>
      </c>
      <c r="I135" s="39">
        <v>27</v>
      </c>
      <c r="J135" s="40">
        <v>42202</v>
      </c>
      <c r="K135" s="39" t="s">
        <v>82</v>
      </c>
      <c r="L135" s="41"/>
      <c r="M135" s="39">
        <v>29</v>
      </c>
      <c r="N135" s="39" t="s">
        <v>219</v>
      </c>
      <c r="O135" s="39"/>
    </row>
    <row r="136" spans="1:15" x14ac:dyDescent="0.25">
      <c r="A136" s="37" t="s">
        <v>531</v>
      </c>
      <c r="B136" s="37" t="s">
        <v>532</v>
      </c>
      <c r="C136" s="39" t="s">
        <v>533</v>
      </c>
      <c r="D136" s="40">
        <v>42191</v>
      </c>
      <c r="E136" s="37" t="s">
        <v>118</v>
      </c>
      <c r="F136" s="39" t="s">
        <v>121</v>
      </c>
      <c r="G136" s="39"/>
      <c r="H136" s="37" t="s">
        <v>120</v>
      </c>
      <c r="I136" s="39">
        <v>28</v>
      </c>
      <c r="J136" s="40">
        <v>42202</v>
      </c>
      <c r="K136" s="39" t="s">
        <v>82</v>
      </c>
      <c r="L136" s="41"/>
      <c r="M136" s="39">
        <v>29</v>
      </c>
      <c r="N136" s="39" t="s">
        <v>219</v>
      </c>
      <c r="O136" s="39"/>
    </row>
    <row r="137" spans="1:15" x14ac:dyDescent="0.25">
      <c r="A137" s="37" t="s">
        <v>546</v>
      </c>
      <c r="B137" s="37" t="s">
        <v>547</v>
      </c>
      <c r="C137" s="39" t="s">
        <v>548</v>
      </c>
      <c r="D137" s="40">
        <v>42191</v>
      </c>
      <c r="E137" s="37" t="s">
        <v>118</v>
      </c>
      <c r="F137" s="39" t="s">
        <v>121</v>
      </c>
      <c r="G137" s="39"/>
      <c r="H137" s="37" t="s">
        <v>120</v>
      </c>
      <c r="I137" s="39">
        <v>33</v>
      </c>
      <c r="J137" s="40">
        <v>42202</v>
      </c>
      <c r="K137" s="39" t="s">
        <v>82</v>
      </c>
      <c r="L137" s="41"/>
      <c r="M137" s="39">
        <v>29</v>
      </c>
      <c r="N137" s="39" t="s">
        <v>219</v>
      </c>
      <c r="O137" s="39"/>
    </row>
    <row r="138" spans="1:15" x14ac:dyDescent="0.25">
      <c r="A138" s="37" t="s">
        <v>555</v>
      </c>
      <c r="B138" s="37" t="s">
        <v>556</v>
      </c>
      <c r="C138" s="39" t="s">
        <v>557</v>
      </c>
      <c r="D138" s="40">
        <v>42191</v>
      </c>
      <c r="E138" s="37" t="s">
        <v>118</v>
      </c>
      <c r="F138" s="39" t="s">
        <v>121</v>
      </c>
      <c r="G138" s="39"/>
      <c r="H138" s="37" t="s">
        <v>120</v>
      </c>
      <c r="I138" s="39">
        <v>36</v>
      </c>
      <c r="J138" s="40">
        <v>42202</v>
      </c>
      <c r="K138" s="39" t="s">
        <v>82</v>
      </c>
      <c r="L138" s="41"/>
      <c r="M138" s="39">
        <v>29</v>
      </c>
      <c r="N138" s="39" t="s">
        <v>219</v>
      </c>
      <c r="O138" s="39"/>
    </row>
    <row r="139" spans="1:15" x14ac:dyDescent="0.25">
      <c r="A139" s="37" t="s">
        <v>558</v>
      </c>
      <c r="B139" s="37" t="s">
        <v>559</v>
      </c>
      <c r="C139" s="39" t="s">
        <v>560</v>
      </c>
      <c r="D139" s="40">
        <v>42191</v>
      </c>
      <c r="E139" s="37" t="s">
        <v>118</v>
      </c>
      <c r="F139" s="39" t="s">
        <v>121</v>
      </c>
      <c r="G139" s="39"/>
      <c r="H139" s="37" t="s">
        <v>120</v>
      </c>
      <c r="I139" s="39">
        <v>37</v>
      </c>
      <c r="J139" s="40">
        <v>42202</v>
      </c>
      <c r="K139" s="39" t="s">
        <v>82</v>
      </c>
      <c r="L139" s="41"/>
      <c r="M139" s="39">
        <v>29</v>
      </c>
      <c r="N139" s="39" t="s">
        <v>219</v>
      </c>
      <c r="O139" s="39"/>
    </row>
    <row r="140" spans="1:15" x14ac:dyDescent="0.25">
      <c r="A140" s="37" t="s">
        <v>579</v>
      </c>
      <c r="B140" s="37" t="s">
        <v>580</v>
      </c>
      <c r="C140" s="39" t="s">
        <v>581</v>
      </c>
      <c r="D140" s="40">
        <v>42191</v>
      </c>
      <c r="E140" s="37" t="s">
        <v>118</v>
      </c>
      <c r="F140" s="39" t="s">
        <v>121</v>
      </c>
      <c r="G140" s="39"/>
      <c r="H140" s="37" t="s">
        <v>120</v>
      </c>
      <c r="I140" s="39">
        <v>44</v>
      </c>
      <c r="J140" s="40">
        <v>42202</v>
      </c>
      <c r="K140" s="39" t="s">
        <v>82</v>
      </c>
      <c r="L140" s="41"/>
      <c r="M140" s="39">
        <v>29</v>
      </c>
      <c r="N140" s="39" t="s">
        <v>219</v>
      </c>
      <c r="O140" s="39"/>
    </row>
    <row r="141" spans="1:15" x14ac:dyDescent="0.25">
      <c r="A141" s="37" t="s">
        <v>591</v>
      </c>
      <c r="B141" s="37" t="s">
        <v>592</v>
      </c>
      <c r="C141" s="39" t="s">
        <v>593</v>
      </c>
      <c r="D141" s="40">
        <v>42191</v>
      </c>
      <c r="E141" s="37" t="s">
        <v>118</v>
      </c>
      <c r="F141" s="39" t="s">
        <v>121</v>
      </c>
      <c r="G141" s="39"/>
      <c r="H141" s="37" t="s">
        <v>120</v>
      </c>
      <c r="I141" s="39">
        <v>48</v>
      </c>
      <c r="J141" s="40">
        <v>42202</v>
      </c>
      <c r="K141" s="39" t="s">
        <v>82</v>
      </c>
      <c r="L141" s="41"/>
      <c r="M141" s="39">
        <v>29</v>
      </c>
      <c r="N141" s="39" t="s">
        <v>219</v>
      </c>
      <c r="O141" s="39"/>
    </row>
    <row r="142" spans="1:15" x14ac:dyDescent="0.25">
      <c r="A142" s="37" t="s">
        <v>609</v>
      </c>
      <c r="B142" s="37" t="s">
        <v>610</v>
      </c>
      <c r="C142" s="39" t="s">
        <v>611</v>
      </c>
      <c r="D142" s="40">
        <v>42191</v>
      </c>
      <c r="E142" s="37" t="s">
        <v>118</v>
      </c>
      <c r="F142" s="39" t="s">
        <v>121</v>
      </c>
      <c r="G142" s="39"/>
      <c r="H142" s="37" t="s">
        <v>120</v>
      </c>
      <c r="I142" s="39">
        <v>54</v>
      </c>
      <c r="J142" s="40">
        <v>42202</v>
      </c>
      <c r="K142" s="39" t="s">
        <v>82</v>
      </c>
      <c r="L142" s="41"/>
      <c r="M142" s="39">
        <v>29</v>
      </c>
      <c r="N142" s="39" t="s">
        <v>219</v>
      </c>
      <c r="O142" s="39"/>
    </row>
    <row r="143" spans="1:15" x14ac:dyDescent="0.25">
      <c r="A143" s="37" t="s">
        <v>627</v>
      </c>
      <c r="B143" s="37" t="s">
        <v>628</v>
      </c>
      <c r="C143" s="39" t="s">
        <v>629</v>
      </c>
      <c r="D143" s="40">
        <v>42191</v>
      </c>
      <c r="E143" s="37" t="s">
        <v>118</v>
      </c>
      <c r="F143" s="39" t="s">
        <v>121</v>
      </c>
      <c r="G143" s="39"/>
      <c r="H143" s="37" t="s">
        <v>120</v>
      </c>
      <c r="I143" s="39">
        <v>60</v>
      </c>
      <c r="J143" s="40">
        <v>42202</v>
      </c>
      <c r="K143" s="39" t="s">
        <v>82</v>
      </c>
      <c r="L143" s="41"/>
      <c r="M143" s="39">
        <v>29</v>
      </c>
      <c r="N143" s="39" t="s">
        <v>219</v>
      </c>
      <c r="O143" s="39"/>
    </row>
    <row r="144" spans="1:15" x14ac:dyDescent="0.25">
      <c r="A144" s="37" t="s">
        <v>630</v>
      </c>
      <c r="B144" s="37" t="s">
        <v>631</v>
      </c>
      <c r="C144" s="39" t="s">
        <v>632</v>
      </c>
      <c r="D144" s="40">
        <v>42191</v>
      </c>
      <c r="E144" s="37" t="s">
        <v>118</v>
      </c>
      <c r="F144" s="39" t="s">
        <v>121</v>
      </c>
      <c r="G144" s="39"/>
      <c r="H144" s="37" t="s">
        <v>120</v>
      </c>
      <c r="I144" s="39">
        <v>61</v>
      </c>
      <c r="J144" s="40">
        <v>42202</v>
      </c>
      <c r="K144" s="39" t="s">
        <v>82</v>
      </c>
      <c r="L144" s="41"/>
      <c r="M144" s="39">
        <v>29</v>
      </c>
      <c r="N144" s="39" t="s">
        <v>219</v>
      </c>
      <c r="O144" s="39"/>
    </row>
    <row r="145" spans="1:15" x14ac:dyDescent="0.25">
      <c r="A145" s="37" t="s">
        <v>636</v>
      </c>
      <c r="B145" s="37" t="s">
        <v>637</v>
      </c>
      <c r="C145" s="39" t="s">
        <v>638</v>
      </c>
      <c r="D145" s="40">
        <v>42191</v>
      </c>
      <c r="E145" s="37" t="s">
        <v>118</v>
      </c>
      <c r="F145" s="39" t="s">
        <v>121</v>
      </c>
      <c r="G145" s="39"/>
      <c r="H145" s="37" t="s">
        <v>120</v>
      </c>
      <c r="I145" s="39">
        <v>63</v>
      </c>
      <c r="J145" s="40">
        <v>42202</v>
      </c>
      <c r="K145" s="39" t="s">
        <v>82</v>
      </c>
      <c r="L145" s="41"/>
      <c r="M145" s="39">
        <v>29</v>
      </c>
      <c r="N145" s="39" t="s">
        <v>219</v>
      </c>
      <c r="O145" s="39"/>
    </row>
    <row r="146" spans="1:15" x14ac:dyDescent="0.25">
      <c r="A146" s="37" t="s">
        <v>657</v>
      </c>
      <c r="B146" s="37" t="s">
        <v>658</v>
      </c>
      <c r="C146" s="39" t="s">
        <v>659</v>
      </c>
      <c r="D146" s="40">
        <v>42191</v>
      </c>
      <c r="E146" s="37" t="s">
        <v>118</v>
      </c>
      <c r="F146" s="39" t="s">
        <v>121</v>
      </c>
      <c r="G146" s="39"/>
      <c r="H146" s="37" t="s">
        <v>120</v>
      </c>
      <c r="I146" s="39">
        <v>70</v>
      </c>
      <c r="J146" s="40">
        <v>42202</v>
      </c>
      <c r="K146" s="39" t="s">
        <v>82</v>
      </c>
      <c r="L146" s="41"/>
      <c r="M146" s="39">
        <v>29</v>
      </c>
      <c r="N146" s="39" t="s">
        <v>219</v>
      </c>
      <c r="O146" s="39"/>
    </row>
    <row r="147" spans="1:15" x14ac:dyDescent="0.25">
      <c r="A147" s="37" t="s">
        <v>666</v>
      </c>
      <c r="B147" s="37" t="s">
        <v>667</v>
      </c>
      <c r="C147" s="39" t="s">
        <v>668</v>
      </c>
      <c r="D147" s="40">
        <v>42191</v>
      </c>
      <c r="E147" s="37" t="s">
        <v>118</v>
      </c>
      <c r="F147" s="39" t="s">
        <v>121</v>
      </c>
      <c r="G147" s="39"/>
      <c r="H147" s="37" t="s">
        <v>120</v>
      </c>
      <c r="I147" s="39">
        <v>73</v>
      </c>
      <c r="J147" s="40">
        <v>42202</v>
      </c>
      <c r="K147" s="39" t="s">
        <v>82</v>
      </c>
      <c r="L147" s="41"/>
      <c r="M147" s="39">
        <v>29</v>
      </c>
      <c r="N147" s="39" t="s">
        <v>219</v>
      </c>
      <c r="O147" s="39"/>
    </row>
    <row r="148" spans="1:15" x14ac:dyDescent="0.25">
      <c r="A148" s="37" t="s">
        <v>690</v>
      </c>
      <c r="B148" s="37" t="s">
        <v>691</v>
      </c>
      <c r="C148" s="39" t="s">
        <v>692</v>
      </c>
      <c r="D148" s="40">
        <v>42191</v>
      </c>
      <c r="E148" s="37" t="s">
        <v>118</v>
      </c>
      <c r="F148" s="39" t="s">
        <v>121</v>
      </c>
      <c r="G148" s="39"/>
      <c r="H148" s="37" t="s">
        <v>120</v>
      </c>
      <c r="I148" s="39">
        <v>81</v>
      </c>
      <c r="J148" s="40">
        <v>42202</v>
      </c>
      <c r="K148" s="39" t="s">
        <v>82</v>
      </c>
      <c r="L148" s="41"/>
      <c r="M148" s="39">
        <v>29</v>
      </c>
      <c r="N148" s="39" t="s">
        <v>219</v>
      </c>
      <c r="O148" s="39"/>
    </row>
    <row r="149" spans="1:15" x14ac:dyDescent="0.25">
      <c r="A149" s="37" t="s">
        <v>705</v>
      </c>
      <c r="B149" s="37" t="s">
        <v>706</v>
      </c>
      <c r="C149" s="39" t="s">
        <v>707</v>
      </c>
      <c r="D149" s="40">
        <v>42191</v>
      </c>
      <c r="E149" s="37" t="s">
        <v>118</v>
      </c>
      <c r="F149" s="39" t="s">
        <v>121</v>
      </c>
      <c r="G149" s="39"/>
      <c r="H149" s="37" t="s">
        <v>120</v>
      </c>
      <c r="I149" s="39">
        <v>86</v>
      </c>
      <c r="J149" s="40">
        <v>42202</v>
      </c>
      <c r="K149" s="39" t="s">
        <v>82</v>
      </c>
      <c r="L149" s="41"/>
      <c r="M149" s="39">
        <v>29</v>
      </c>
      <c r="N149" s="39" t="s">
        <v>219</v>
      </c>
      <c r="O149" s="39"/>
    </row>
    <row r="150" spans="1:15" x14ac:dyDescent="0.25">
      <c r="A150" s="37" t="s">
        <v>708</v>
      </c>
      <c r="B150" s="37" t="s">
        <v>709</v>
      </c>
      <c r="C150" s="39" t="s">
        <v>710</v>
      </c>
      <c r="D150" s="40">
        <v>42191</v>
      </c>
      <c r="E150" s="37" t="s">
        <v>118</v>
      </c>
      <c r="F150" s="39" t="s">
        <v>121</v>
      </c>
      <c r="G150" s="39"/>
      <c r="H150" s="37" t="s">
        <v>120</v>
      </c>
      <c r="I150" s="39">
        <v>87</v>
      </c>
      <c r="J150" s="40">
        <v>42202</v>
      </c>
      <c r="K150" s="39" t="s">
        <v>82</v>
      </c>
      <c r="L150" s="41"/>
      <c r="M150" s="39">
        <v>29</v>
      </c>
      <c r="N150" s="39" t="s">
        <v>219</v>
      </c>
      <c r="O150" s="39"/>
    </row>
    <row r="151" spans="1:15" x14ac:dyDescent="0.25">
      <c r="A151" s="37" t="s">
        <v>711</v>
      </c>
      <c r="B151" s="37" t="s">
        <v>712</v>
      </c>
      <c r="C151" s="39" t="s">
        <v>713</v>
      </c>
      <c r="D151" s="40">
        <v>42191</v>
      </c>
      <c r="E151" s="37" t="s">
        <v>118</v>
      </c>
      <c r="F151" s="39" t="s">
        <v>121</v>
      </c>
      <c r="G151" s="39"/>
      <c r="H151" s="37" t="s">
        <v>120</v>
      </c>
      <c r="I151" s="39">
        <v>88</v>
      </c>
      <c r="J151" s="40">
        <v>42202</v>
      </c>
      <c r="K151" s="39" t="s">
        <v>82</v>
      </c>
      <c r="L151" s="41"/>
      <c r="M151" s="39">
        <v>29</v>
      </c>
      <c r="N151" s="39" t="s">
        <v>219</v>
      </c>
      <c r="O151" s="39"/>
    </row>
    <row r="152" spans="1:15" x14ac:dyDescent="0.25">
      <c r="A152" s="37" t="s">
        <v>717</v>
      </c>
      <c r="B152" s="37" t="s">
        <v>718</v>
      </c>
      <c r="C152" s="39" t="s">
        <v>719</v>
      </c>
      <c r="D152" s="40">
        <v>42191</v>
      </c>
      <c r="E152" s="37" t="s">
        <v>118</v>
      </c>
      <c r="F152" s="39" t="s">
        <v>121</v>
      </c>
      <c r="G152" s="39"/>
      <c r="H152" s="37" t="s">
        <v>120</v>
      </c>
      <c r="I152" s="39">
        <v>90</v>
      </c>
      <c r="J152" s="40">
        <v>42202</v>
      </c>
      <c r="K152" s="39" t="s">
        <v>82</v>
      </c>
      <c r="L152" s="41"/>
      <c r="M152" s="39">
        <v>29</v>
      </c>
      <c r="N152" s="39" t="s">
        <v>219</v>
      </c>
      <c r="O152" s="39"/>
    </row>
    <row r="153" spans="1:15" x14ac:dyDescent="0.25">
      <c r="A153" s="37" t="s">
        <v>723</v>
      </c>
      <c r="B153" s="37" t="s">
        <v>724</v>
      </c>
      <c r="C153" s="39" t="s">
        <v>725</v>
      </c>
      <c r="D153" s="40">
        <v>42191</v>
      </c>
      <c r="E153" s="37" t="s">
        <v>118</v>
      </c>
      <c r="F153" s="39" t="s">
        <v>121</v>
      </c>
      <c r="G153" s="39"/>
      <c r="H153" s="37" t="s">
        <v>120</v>
      </c>
      <c r="I153" s="39">
        <v>92</v>
      </c>
      <c r="J153" s="40">
        <v>42202</v>
      </c>
      <c r="K153" s="39" t="s">
        <v>82</v>
      </c>
      <c r="L153" s="41"/>
      <c r="M153" s="39">
        <v>29</v>
      </c>
      <c r="N153" s="39" t="s">
        <v>219</v>
      </c>
      <c r="O153" s="39"/>
    </row>
    <row r="154" spans="1:15" x14ac:dyDescent="0.25">
      <c r="A154" s="37" t="s">
        <v>729</v>
      </c>
      <c r="B154" s="37" t="s">
        <v>730</v>
      </c>
      <c r="C154" s="39" t="s">
        <v>731</v>
      </c>
      <c r="D154" s="40">
        <v>42191</v>
      </c>
      <c r="E154" s="37" t="s">
        <v>118</v>
      </c>
      <c r="F154" s="39" t="s">
        <v>121</v>
      </c>
      <c r="G154" s="39"/>
      <c r="H154" s="37" t="s">
        <v>120</v>
      </c>
      <c r="I154" s="39">
        <v>94</v>
      </c>
      <c r="J154" s="40">
        <v>42202</v>
      </c>
      <c r="K154" s="39" t="s">
        <v>82</v>
      </c>
      <c r="L154" s="41"/>
      <c r="M154" s="39">
        <v>29</v>
      </c>
      <c r="N154" s="39" t="s">
        <v>219</v>
      </c>
      <c r="O154" s="39"/>
    </row>
    <row r="155" spans="1:15" x14ac:dyDescent="0.25">
      <c r="A155" s="37" t="s">
        <v>459</v>
      </c>
      <c r="B155" s="37" t="s">
        <v>460</v>
      </c>
      <c r="C155" s="39" t="s">
        <v>461</v>
      </c>
      <c r="D155" s="40">
        <v>42191</v>
      </c>
      <c r="E155" s="37" t="s">
        <v>118</v>
      </c>
      <c r="F155" s="39" t="s">
        <v>121</v>
      </c>
      <c r="G155" s="39"/>
      <c r="H155" s="37" t="s">
        <v>120</v>
      </c>
      <c r="I155" s="39">
        <v>4</v>
      </c>
      <c r="J155" s="40">
        <v>42204</v>
      </c>
      <c r="K155" s="39" t="s">
        <v>82</v>
      </c>
      <c r="L155" s="41"/>
      <c r="M155" s="39">
        <v>29</v>
      </c>
      <c r="N155" s="39" t="s">
        <v>219</v>
      </c>
      <c r="O155" s="39"/>
    </row>
    <row r="156" spans="1:15" x14ac:dyDescent="0.25">
      <c r="A156" s="37" t="s">
        <v>462</v>
      </c>
      <c r="B156" s="37" t="s">
        <v>463</v>
      </c>
      <c r="C156" s="39" t="s">
        <v>464</v>
      </c>
      <c r="D156" s="40">
        <v>42191</v>
      </c>
      <c r="E156" s="37" t="s">
        <v>118</v>
      </c>
      <c r="F156" s="39" t="s">
        <v>121</v>
      </c>
      <c r="G156" s="39"/>
      <c r="H156" s="37" t="s">
        <v>120</v>
      </c>
      <c r="I156" s="39">
        <v>5</v>
      </c>
      <c r="J156" s="40">
        <v>42204</v>
      </c>
      <c r="K156" s="39" t="s">
        <v>82</v>
      </c>
      <c r="L156" s="41"/>
      <c r="M156" s="39">
        <v>29</v>
      </c>
      <c r="N156" s="39" t="s">
        <v>219</v>
      </c>
      <c r="O156" s="39"/>
    </row>
    <row r="157" spans="1:15" x14ac:dyDescent="0.25">
      <c r="A157" s="37" t="s">
        <v>471</v>
      </c>
      <c r="B157" s="37" t="s">
        <v>472</v>
      </c>
      <c r="C157" s="39" t="s">
        <v>473</v>
      </c>
      <c r="D157" s="40">
        <v>42191</v>
      </c>
      <c r="E157" s="37" t="s">
        <v>118</v>
      </c>
      <c r="F157" s="39" t="s">
        <v>121</v>
      </c>
      <c r="G157" s="39"/>
      <c r="H157" s="37" t="s">
        <v>120</v>
      </c>
      <c r="I157" s="39">
        <v>8</v>
      </c>
      <c r="J157" s="40">
        <v>42204</v>
      </c>
      <c r="K157" s="39" t="s">
        <v>82</v>
      </c>
      <c r="L157" s="41"/>
      <c r="M157" s="39">
        <v>29</v>
      </c>
      <c r="N157" s="39" t="s">
        <v>219</v>
      </c>
      <c r="O157" s="39"/>
    </row>
    <row r="158" spans="1:15" x14ac:dyDescent="0.25">
      <c r="A158" s="37" t="s">
        <v>474</v>
      </c>
      <c r="B158" s="37" t="s">
        <v>475</v>
      </c>
      <c r="C158" s="39" t="s">
        <v>476</v>
      </c>
      <c r="D158" s="40">
        <v>42191</v>
      </c>
      <c r="E158" s="37" t="s">
        <v>118</v>
      </c>
      <c r="F158" s="39" t="s">
        <v>121</v>
      </c>
      <c r="G158" s="39"/>
      <c r="H158" s="37" t="s">
        <v>120</v>
      </c>
      <c r="I158" s="39">
        <v>9</v>
      </c>
      <c r="J158" s="40">
        <v>42204</v>
      </c>
      <c r="K158" s="39" t="s">
        <v>82</v>
      </c>
      <c r="L158" s="41"/>
      <c r="M158" s="39">
        <v>29</v>
      </c>
      <c r="N158" s="39" t="s">
        <v>219</v>
      </c>
      <c r="O158" s="39"/>
    </row>
    <row r="159" spans="1:15" x14ac:dyDescent="0.25">
      <c r="A159" s="37" t="s">
        <v>480</v>
      </c>
      <c r="B159" s="37" t="s">
        <v>481</v>
      </c>
      <c r="C159" s="39" t="s">
        <v>482</v>
      </c>
      <c r="D159" s="40">
        <v>42191</v>
      </c>
      <c r="E159" s="37" t="s">
        <v>118</v>
      </c>
      <c r="F159" s="39" t="s">
        <v>121</v>
      </c>
      <c r="G159" s="39"/>
      <c r="H159" s="37" t="s">
        <v>120</v>
      </c>
      <c r="I159" s="39">
        <v>11</v>
      </c>
      <c r="J159" s="40">
        <v>42204</v>
      </c>
      <c r="K159" s="39" t="s">
        <v>82</v>
      </c>
      <c r="L159" s="41"/>
      <c r="M159" s="39">
        <v>29</v>
      </c>
      <c r="N159" s="39" t="s">
        <v>219</v>
      </c>
      <c r="O159" s="39"/>
    </row>
    <row r="160" spans="1:15" x14ac:dyDescent="0.25">
      <c r="A160" s="37" t="s">
        <v>483</v>
      </c>
      <c r="B160" s="37" t="s">
        <v>484</v>
      </c>
      <c r="C160" s="39" t="s">
        <v>485</v>
      </c>
      <c r="D160" s="40">
        <v>42191</v>
      </c>
      <c r="E160" s="37" t="s">
        <v>118</v>
      </c>
      <c r="F160" s="39" t="s">
        <v>121</v>
      </c>
      <c r="G160" s="39"/>
      <c r="H160" s="37" t="s">
        <v>120</v>
      </c>
      <c r="I160" s="39">
        <v>12</v>
      </c>
      <c r="J160" s="40">
        <v>42204</v>
      </c>
      <c r="K160" s="39" t="s">
        <v>82</v>
      </c>
      <c r="L160" s="41"/>
      <c r="M160" s="39">
        <v>29</v>
      </c>
      <c r="N160" s="39" t="s">
        <v>219</v>
      </c>
      <c r="O160" s="39"/>
    </row>
    <row r="161" spans="1:15" x14ac:dyDescent="0.25">
      <c r="A161" s="37" t="s">
        <v>486</v>
      </c>
      <c r="B161" s="37" t="s">
        <v>487</v>
      </c>
      <c r="C161" s="39" t="s">
        <v>488</v>
      </c>
      <c r="D161" s="40">
        <v>42191</v>
      </c>
      <c r="E161" s="37" t="s">
        <v>118</v>
      </c>
      <c r="F161" s="39" t="s">
        <v>121</v>
      </c>
      <c r="G161" s="39"/>
      <c r="H161" s="37" t="s">
        <v>120</v>
      </c>
      <c r="I161" s="39">
        <v>13</v>
      </c>
      <c r="J161" s="40">
        <v>42204</v>
      </c>
      <c r="K161" s="39" t="s">
        <v>82</v>
      </c>
      <c r="L161" s="41"/>
      <c r="M161" s="39">
        <v>29</v>
      </c>
      <c r="N161" s="39" t="s">
        <v>219</v>
      </c>
      <c r="O161" s="39"/>
    </row>
    <row r="162" spans="1:15" x14ac:dyDescent="0.25">
      <c r="A162" s="37" t="s">
        <v>513</v>
      </c>
      <c r="B162" s="37" t="s">
        <v>514</v>
      </c>
      <c r="C162" s="39" t="s">
        <v>515</v>
      </c>
      <c r="D162" s="40">
        <v>42191</v>
      </c>
      <c r="E162" s="37" t="s">
        <v>118</v>
      </c>
      <c r="F162" s="39" t="s">
        <v>121</v>
      </c>
      <c r="G162" s="39"/>
      <c r="H162" s="37" t="s">
        <v>120</v>
      </c>
      <c r="I162" s="39">
        <v>22</v>
      </c>
      <c r="J162" s="40">
        <v>42204</v>
      </c>
      <c r="K162" s="39" t="s">
        <v>82</v>
      </c>
      <c r="L162" s="41"/>
      <c r="M162" s="39">
        <v>29</v>
      </c>
      <c r="N162" s="39" t="s">
        <v>219</v>
      </c>
      <c r="O162" s="39"/>
    </row>
    <row r="163" spans="1:15" x14ac:dyDescent="0.25">
      <c r="A163" s="37" t="s">
        <v>516</v>
      </c>
      <c r="B163" s="37" t="s">
        <v>517</v>
      </c>
      <c r="C163" s="39" t="s">
        <v>518</v>
      </c>
      <c r="D163" s="40">
        <v>42191</v>
      </c>
      <c r="E163" s="37" t="s">
        <v>118</v>
      </c>
      <c r="F163" s="39" t="s">
        <v>121</v>
      </c>
      <c r="G163" s="39"/>
      <c r="H163" s="37" t="s">
        <v>120</v>
      </c>
      <c r="I163" s="39">
        <v>23</v>
      </c>
      <c r="J163" s="40">
        <v>42204</v>
      </c>
      <c r="K163" s="39" t="s">
        <v>82</v>
      </c>
      <c r="L163" s="41"/>
      <c r="M163" s="39">
        <v>29</v>
      </c>
      <c r="N163" s="39" t="s">
        <v>219</v>
      </c>
      <c r="O163" s="39"/>
    </row>
    <row r="164" spans="1:15" x14ac:dyDescent="0.25">
      <c r="A164" s="37" t="s">
        <v>525</v>
      </c>
      <c r="B164" s="37" t="s">
        <v>526</v>
      </c>
      <c r="C164" s="39" t="s">
        <v>527</v>
      </c>
      <c r="D164" s="40">
        <v>42191</v>
      </c>
      <c r="E164" s="37" t="s">
        <v>118</v>
      </c>
      <c r="F164" s="39" t="s">
        <v>121</v>
      </c>
      <c r="G164" s="39"/>
      <c r="H164" s="37" t="s">
        <v>120</v>
      </c>
      <c r="I164" s="39">
        <v>26</v>
      </c>
      <c r="J164" s="40">
        <v>42204</v>
      </c>
      <c r="K164" s="39" t="s">
        <v>82</v>
      </c>
      <c r="L164" s="41"/>
      <c r="M164" s="39">
        <v>29</v>
      </c>
      <c r="N164" s="39" t="s">
        <v>219</v>
      </c>
      <c r="O164" s="39"/>
    </row>
    <row r="165" spans="1:15" x14ac:dyDescent="0.25">
      <c r="A165" s="37" t="s">
        <v>549</v>
      </c>
      <c r="B165" s="37" t="s">
        <v>550</v>
      </c>
      <c r="C165" s="39" t="s">
        <v>551</v>
      </c>
      <c r="D165" s="40">
        <v>42191</v>
      </c>
      <c r="E165" s="37" t="s">
        <v>118</v>
      </c>
      <c r="F165" s="39" t="s">
        <v>121</v>
      </c>
      <c r="G165" s="39"/>
      <c r="H165" s="37" t="s">
        <v>120</v>
      </c>
      <c r="I165" s="39">
        <v>34</v>
      </c>
      <c r="J165" s="40">
        <v>42204</v>
      </c>
      <c r="K165" s="39" t="s">
        <v>82</v>
      </c>
      <c r="L165" s="41"/>
      <c r="M165" s="39">
        <v>29</v>
      </c>
      <c r="N165" s="39" t="s">
        <v>219</v>
      </c>
      <c r="O165" s="39"/>
    </row>
    <row r="166" spans="1:15" x14ac:dyDescent="0.25">
      <c r="A166" s="37" t="s">
        <v>570</v>
      </c>
      <c r="B166" s="37" t="s">
        <v>571</v>
      </c>
      <c r="C166" s="39" t="s">
        <v>572</v>
      </c>
      <c r="D166" s="40">
        <v>42191</v>
      </c>
      <c r="E166" s="37" t="s">
        <v>118</v>
      </c>
      <c r="F166" s="39" t="s">
        <v>121</v>
      </c>
      <c r="G166" s="39"/>
      <c r="H166" s="37" t="s">
        <v>120</v>
      </c>
      <c r="I166" s="39">
        <v>41</v>
      </c>
      <c r="J166" s="40">
        <v>42204</v>
      </c>
      <c r="K166" s="39" t="s">
        <v>82</v>
      </c>
      <c r="L166" s="41"/>
      <c r="M166" s="39">
        <v>29</v>
      </c>
      <c r="N166" s="39" t="s">
        <v>219</v>
      </c>
      <c r="O166" s="39"/>
    </row>
    <row r="167" spans="1:15" x14ac:dyDescent="0.25">
      <c r="A167" s="37" t="s">
        <v>573</v>
      </c>
      <c r="B167" s="37" t="s">
        <v>574</v>
      </c>
      <c r="C167" s="39" t="s">
        <v>575</v>
      </c>
      <c r="D167" s="40">
        <v>42191</v>
      </c>
      <c r="E167" s="37" t="s">
        <v>118</v>
      </c>
      <c r="F167" s="39" t="s">
        <v>121</v>
      </c>
      <c r="G167" s="39"/>
      <c r="H167" s="37" t="s">
        <v>120</v>
      </c>
      <c r="I167" s="39">
        <v>42</v>
      </c>
      <c r="J167" s="40">
        <v>42204</v>
      </c>
      <c r="K167" s="39" t="s">
        <v>82</v>
      </c>
      <c r="L167" s="41"/>
      <c r="M167" s="39">
        <v>29</v>
      </c>
      <c r="N167" s="39" t="s">
        <v>219</v>
      </c>
      <c r="O167" s="39"/>
    </row>
    <row r="168" spans="1:15" x14ac:dyDescent="0.25">
      <c r="A168" s="37" t="s">
        <v>576</v>
      </c>
      <c r="B168" s="37" t="s">
        <v>577</v>
      </c>
      <c r="C168" s="39" t="s">
        <v>578</v>
      </c>
      <c r="D168" s="40">
        <v>42191</v>
      </c>
      <c r="E168" s="37" t="s">
        <v>118</v>
      </c>
      <c r="F168" s="39" t="s">
        <v>121</v>
      </c>
      <c r="G168" s="39"/>
      <c r="H168" s="37" t="s">
        <v>120</v>
      </c>
      <c r="I168" s="39">
        <v>43</v>
      </c>
      <c r="J168" s="40">
        <v>42204</v>
      </c>
      <c r="K168" s="39" t="s">
        <v>82</v>
      </c>
      <c r="L168" s="41"/>
      <c r="M168" s="39">
        <v>29</v>
      </c>
      <c r="N168" s="39" t="s">
        <v>219</v>
      </c>
      <c r="O168" s="39"/>
    </row>
    <row r="169" spans="1:15" x14ac:dyDescent="0.25">
      <c r="A169" s="37" t="s">
        <v>588</v>
      </c>
      <c r="B169" s="37" t="s">
        <v>589</v>
      </c>
      <c r="C169" s="39" t="s">
        <v>590</v>
      </c>
      <c r="D169" s="40">
        <v>42191</v>
      </c>
      <c r="E169" s="37" t="s">
        <v>118</v>
      </c>
      <c r="F169" s="39" t="s">
        <v>121</v>
      </c>
      <c r="G169" s="39"/>
      <c r="H169" s="37" t="s">
        <v>120</v>
      </c>
      <c r="I169" s="39">
        <v>47</v>
      </c>
      <c r="J169" s="40">
        <v>42204</v>
      </c>
      <c r="K169" s="39" t="s">
        <v>82</v>
      </c>
      <c r="L169" s="41"/>
      <c r="M169" s="39">
        <v>29</v>
      </c>
      <c r="N169" s="39" t="s">
        <v>219</v>
      </c>
      <c r="O169" s="39"/>
    </row>
    <row r="170" spans="1:15" x14ac:dyDescent="0.25">
      <c r="A170" s="37" t="s">
        <v>597</v>
      </c>
      <c r="B170" s="37" t="s">
        <v>598</v>
      </c>
      <c r="C170" s="39" t="s">
        <v>599</v>
      </c>
      <c r="D170" s="40">
        <v>42191</v>
      </c>
      <c r="E170" s="37" t="s">
        <v>118</v>
      </c>
      <c r="F170" s="39" t="s">
        <v>121</v>
      </c>
      <c r="G170" s="39"/>
      <c r="H170" s="37" t="s">
        <v>120</v>
      </c>
      <c r="I170" s="39">
        <v>50</v>
      </c>
      <c r="J170" s="40">
        <v>42204</v>
      </c>
      <c r="K170" s="39" t="s">
        <v>82</v>
      </c>
      <c r="L170" s="41"/>
      <c r="M170" s="39">
        <v>29</v>
      </c>
      <c r="N170" s="39" t="s">
        <v>219</v>
      </c>
      <c r="O170" s="39"/>
    </row>
    <row r="171" spans="1:15" x14ac:dyDescent="0.25">
      <c r="A171" s="37" t="s">
        <v>600</v>
      </c>
      <c r="B171" s="37" t="s">
        <v>601</v>
      </c>
      <c r="C171" s="39" t="s">
        <v>602</v>
      </c>
      <c r="D171" s="40">
        <v>42191</v>
      </c>
      <c r="E171" s="37" t="s">
        <v>118</v>
      </c>
      <c r="F171" s="39" t="s">
        <v>121</v>
      </c>
      <c r="G171" s="39"/>
      <c r="H171" s="37" t="s">
        <v>120</v>
      </c>
      <c r="I171" s="39">
        <v>51</v>
      </c>
      <c r="J171" s="40">
        <v>42204</v>
      </c>
      <c r="K171" s="39" t="s">
        <v>82</v>
      </c>
      <c r="L171" s="41"/>
      <c r="M171" s="39">
        <v>29</v>
      </c>
      <c r="N171" s="39" t="s">
        <v>219</v>
      </c>
      <c r="O171" s="39"/>
    </row>
    <row r="172" spans="1:15" x14ac:dyDescent="0.25">
      <c r="A172" s="37" t="s">
        <v>639</v>
      </c>
      <c r="B172" s="37" t="s">
        <v>640</v>
      </c>
      <c r="C172" s="39" t="s">
        <v>641</v>
      </c>
      <c r="D172" s="40">
        <v>42191</v>
      </c>
      <c r="E172" s="37" t="s">
        <v>118</v>
      </c>
      <c r="F172" s="39" t="s">
        <v>121</v>
      </c>
      <c r="G172" s="39"/>
      <c r="H172" s="37" t="s">
        <v>120</v>
      </c>
      <c r="I172" s="39">
        <v>64</v>
      </c>
      <c r="J172" s="40">
        <v>42204</v>
      </c>
      <c r="K172" s="39" t="s">
        <v>82</v>
      </c>
      <c r="L172" s="41"/>
      <c r="M172" s="39">
        <v>29</v>
      </c>
      <c r="N172" s="39" t="s">
        <v>219</v>
      </c>
      <c r="O172" s="39"/>
    </row>
    <row r="173" spans="1:15" x14ac:dyDescent="0.25">
      <c r="A173" s="37" t="s">
        <v>642</v>
      </c>
      <c r="B173" s="37" t="s">
        <v>643</v>
      </c>
      <c r="C173" s="39" t="s">
        <v>644</v>
      </c>
      <c r="D173" s="40">
        <v>42191</v>
      </c>
      <c r="E173" s="37" t="s">
        <v>118</v>
      </c>
      <c r="F173" s="39" t="s">
        <v>121</v>
      </c>
      <c r="G173" s="39"/>
      <c r="H173" s="37" t="s">
        <v>120</v>
      </c>
      <c r="I173" s="39">
        <v>65</v>
      </c>
      <c r="J173" s="40">
        <v>42204</v>
      </c>
      <c r="K173" s="39" t="s">
        <v>82</v>
      </c>
      <c r="L173" s="41"/>
      <c r="M173" s="39">
        <v>29</v>
      </c>
      <c r="N173" s="39" t="s">
        <v>219</v>
      </c>
      <c r="O173" s="39"/>
    </row>
    <row r="174" spans="1:15" x14ac:dyDescent="0.25">
      <c r="A174" s="37" t="s">
        <v>645</v>
      </c>
      <c r="B174" s="37" t="s">
        <v>646</v>
      </c>
      <c r="C174" s="39" t="s">
        <v>647</v>
      </c>
      <c r="D174" s="40">
        <v>42191</v>
      </c>
      <c r="E174" s="37" t="s">
        <v>118</v>
      </c>
      <c r="F174" s="39" t="s">
        <v>121</v>
      </c>
      <c r="G174" s="39"/>
      <c r="H174" s="37" t="s">
        <v>120</v>
      </c>
      <c r="I174" s="39">
        <v>66</v>
      </c>
      <c r="J174" s="40">
        <v>42204</v>
      </c>
      <c r="K174" s="39" t="s">
        <v>82</v>
      </c>
      <c r="L174" s="41"/>
      <c r="M174" s="39">
        <v>29</v>
      </c>
      <c r="N174" s="39" t="s">
        <v>219</v>
      </c>
      <c r="O174" s="39"/>
    </row>
    <row r="175" spans="1:15" x14ac:dyDescent="0.25">
      <c r="A175" s="37" t="s">
        <v>663</v>
      </c>
      <c r="B175" s="37" t="s">
        <v>664</v>
      </c>
      <c r="C175" s="39" t="s">
        <v>665</v>
      </c>
      <c r="D175" s="40">
        <v>42191</v>
      </c>
      <c r="E175" s="37" t="s">
        <v>118</v>
      </c>
      <c r="F175" s="39" t="s">
        <v>121</v>
      </c>
      <c r="G175" s="39"/>
      <c r="H175" s="37" t="s">
        <v>120</v>
      </c>
      <c r="I175" s="39">
        <v>72</v>
      </c>
      <c r="J175" s="40">
        <v>42204</v>
      </c>
      <c r="K175" s="39" t="s">
        <v>82</v>
      </c>
      <c r="L175" s="41"/>
      <c r="M175" s="39">
        <v>29</v>
      </c>
      <c r="N175" s="39" t="s">
        <v>219</v>
      </c>
      <c r="O175" s="39"/>
    </row>
    <row r="176" spans="1:15" x14ac:dyDescent="0.25">
      <c r="A176" s="37" t="s">
        <v>669</v>
      </c>
      <c r="B176" s="37" t="s">
        <v>670</v>
      </c>
      <c r="C176" s="39" t="s">
        <v>671</v>
      </c>
      <c r="D176" s="40">
        <v>42191</v>
      </c>
      <c r="E176" s="37" t="s">
        <v>118</v>
      </c>
      <c r="F176" s="39" t="s">
        <v>121</v>
      </c>
      <c r="G176" s="39"/>
      <c r="H176" s="37" t="s">
        <v>120</v>
      </c>
      <c r="I176" s="39">
        <v>74</v>
      </c>
      <c r="J176" s="40">
        <v>42204</v>
      </c>
      <c r="K176" s="39" t="s">
        <v>82</v>
      </c>
      <c r="L176" s="41"/>
      <c r="M176" s="39">
        <v>29</v>
      </c>
      <c r="N176" s="39" t="s">
        <v>219</v>
      </c>
      <c r="O176" s="39"/>
    </row>
    <row r="177" spans="1:15" x14ac:dyDescent="0.25">
      <c r="A177" s="37" t="s">
        <v>672</v>
      </c>
      <c r="B177" s="37" t="s">
        <v>673</v>
      </c>
      <c r="C177" s="39" t="s">
        <v>674</v>
      </c>
      <c r="D177" s="40">
        <v>42191</v>
      </c>
      <c r="E177" s="37" t="s">
        <v>118</v>
      </c>
      <c r="F177" s="39" t="s">
        <v>121</v>
      </c>
      <c r="G177" s="39"/>
      <c r="H177" s="37" t="s">
        <v>120</v>
      </c>
      <c r="I177" s="39">
        <v>75</v>
      </c>
      <c r="J177" s="40">
        <v>42204</v>
      </c>
      <c r="K177" s="39" t="s">
        <v>82</v>
      </c>
      <c r="L177" s="41"/>
      <c r="M177" s="39">
        <v>29</v>
      </c>
      <c r="N177" s="39" t="s">
        <v>219</v>
      </c>
      <c r="O177" s="39"/>
    </row>
    <row r="178" spans="1:15" x14ac:dyDescent="0.25">
      <c r="A178" s="37" t="s">
        <v>675</v>
      </c>
      <c r="B178" s="37" t="s">
        <v>676</v>
      </c>
      <c r="C178" s="39" t="s">
        <v>677</v>
      </c>
      <c r="D178" s="40">
        <v>42191</v>
      </c>
      <c r="E178" s="37" t="s">
        <v>118</v>
      </c>
      <c r="F178" s="39" t="s">
        <v>121</v>
      </c>
      <c r="G178" s="39"/>
      <c r="H178" s="37" t="s">
        <v>120</v>
      </c>
      <c r="I178" s="39">
        <v>76</v>
      </c>
      <c r="J178" s="40">
        <v>42204</v>
      </c>
      <c r="K178" s="39" t="s">
        <v>82</v>
      </c>
      <c r="L178" s="41"/>
      <c r="M178" s="39">
        <v>29</v>
      </c>
      <c r="N178" s="39" t="s">
        <v>219</v>
      </c>
      <c r="O178" s="39"/>
    </row>
    <row r="179" spans="1:15" x14ac:dyDescent="0.25">
      <c r="A179" s="37" t="s">
        <v>477</v>
      </c>
      <c r="B179" s="37" t="s">
        <v>478</v>
      </c>
      <c r="C179" s="39" t="s">
        <v>479</v>
      </c>
      <c r="D179" s="40">
        <v>42191</v>
      </c>
      <c r="E179" s="37" t="s">
        <v>118</v>
      </c>
      <c r="F179" s="39" t="s">
        <v>121</v>
      </c>
      <c r="G179" s="39"/>
      <c r="H179" s="37" t="s">
        <v>120</v>
      </c>
      <c r="I179" s="39">
        <v>10</v>
      </c>
      <c r="J179" s="40">
        <v>42205</v>
      </c>
      <c r="K179" s="39" t="s">
        <v>82</v>
      </c>
      <c r="L179" s="41"/>
      <c r="M179" s="39"/>
      <c r="N179" s="39" t="s">
        <v>219</v>
      </c>
      <c r="O179" s="39"/>
    </row>
    <row r="180" spans="1:15" x14ac:dyDescent="0.25">
      <c r="A180" s="37" t="s">
        <v>489</v>
      </c>
      <c r="B180" s="37" t="s">
        <v>490</v>
      </c>
      <c r="C180" s="39" t="s">
        <v>491</v>
      </c>
      <c r="D180" s="40">
        <v>42191</v>
      </c>
      <c r="E180" s="37" t="s">
        <v>118</v>
      </c>
      <c r="F180" s="39" t="s">
        <v>121</v>
      </c>
      <c r="G180" s="39"/>
      <c r="H180" s="37" t="s">
        <v>120</v>
      </c>
      <c r="I180" s="39">
        <v>14</v>
      </c>
      <c r="J180" s="40">
        <v>42205</v>
      </c>
      <c r="K180" s="39" t="s">
        <v>82</v>
      </c>
      <c r="L180" s="41"/>
      <c r="M180" s="39"/>
      <c r="N180" s="39" t="s">
        <v>219</v>
      </c>
      <c r="O180" s="39"/>
    </row>
    <row r="181" spans="1:15" x14ac:dyDescent="0.25">
      <c r="A181" s="37" t="s">
        <v>492</v>
      </c>
      <c r="B181" s="37" t="s">
        <v>493</v>
      </c>
      <c r="C181" s="39" t="s">
        <v>494</v>
      </c>
      <c r="D181" s="40">
        <v>42191</v>
      </c>
      <c r="E181" s="37" t="s">
        <v>118</v>
      </c>
      <c r="F181" s="39" t="s">
        <v>121</v>
      </c>
      <c r="G181" s="39"/>
      <c r="H181" s="37" t="s">
        <v>120</v>
      </c>
      <c r="I181" s="39">
        <v>15</v>
      </c>
      <c r="J181" s="40">
        <v>42205</v>
      </c>
      <c r="K181" s="39" t="s">
        <v>82</v>
      </c>
      <c r="L181" s="41"/>
      <c r="M181" s="39"/>
      <c r="N181" s="39" t="s">
        <v>219</v>
      </c>
      <c r="O181" s="39"/>
    </row>
    <row r="182" spans="1:15" x14ac:dyDescent="0.25">
      <c r="A182" s="37" t="s">
        <v>495</v>
      </c>
      <c r="B182" s="37" t="s">
        <v>496</v>
      </c>
      <c r="C182" s="39" t="s">
        <v>497</v>
      </c>
      <c r="D182" s="40">
        <v>42191</v>
      </c>
      <c r="E182" s="37" t="s">
        <v>118</v>
      </c>
      <c r="F182" s="39" t="s">
        <v>121</v>
      </c>
      <c r="G182" s="39"/>
      <c r="H182" s="37" t="s">
        <v>120</v>
      </c>
      <c r="I182" s="39">
        <v>16</v>
      </c>
      <c r="J182" s="40">
        <v>42205</v>
      </c>
      <c r="K182" s="39" t="s">
        <v>82</v>
      </c>
      <c r="L182" s="41"/>
      <c r="M182" s="39"/>
      <c r="N182" s="39" t="s">
        <v>219</v>
      </c>
      <c r="O182" s="39"/>
    </row>
    <row r="183" spans="1:15" x14ac:dyDescent="0.25">
      <c r="A183" s="37" t="s">
        <v>498</v>
      </c>
      <c r="B183" s="37" t="s">
        <v>499</v>
      </c>
      <c r="C183" s="39" t="s">
        <v>500</v>
      </c>
      <c r="D183" s="40">
        <v>42191</v>
      </c>
      <c r="E183" s="37" t="s">
        <v>118</v>
      </c>
      <c r="F183" s="39" t="s">
        <v>121</v>
      </c>
      <c r="G183" s="39"/>
      <c r="H183" s="37" t="s">
        <v>120</v>
      </c>
      <c r="I183" s="39">
        <v>17</v>
      </c>
      <c r="J183" s="40">
        <v>42205</v>
      </c>
      <c r="K183" s="39" t="s">
        <v>82</v>
      </c>
      <c r="L183" s="41"/>
      <c r="M183" s="39"/>
      <c r="N183" s="39" t="s">
        <v>219</v>
      </c>
      <c r="O183" s="39"/>
    </row>
    <row r="184" spans="1:15" x14ac:dyDescent="0.25">
      <c r="A184" s="37" t="s">
        <v>522</v>
      </c>
      <c r="B184" s="37" t="s">
        <v>523</v>
      </c>
      <c r="C184" s="39" t="s">
        <v>524</v>
      </c>
      <c r="D184" s="40">
        <v>42191</v>
      </c>
      <c r="E184" s="37" t="s">
        <v>118</v>
      </c>
      <c r="F184" s="39" t="s">
        <v>121</v>
      </c>
      <c r="G184" s="39"/>
      <c r="H184" s="37" t="s">
        <v>120</v>
      </c>
      <c r="I184" s="39">
        <v>25</v>
      </c>
      <c r="J184" s="40">
        <v>42205</v>
      </c>
      <c r="K184" s="39" t="s">
        <v>82</v>
      </c>
      <c r="L184" s="41"/>
      <c r="M184" s="39"/>
      <c r="N184" s="39" t="s">
        <v>219</v>
      </c>
      <c r="O184" s="39"/>
    </row>
    <row r="185" spans="1:15" x14ac:dyDescent="0.25">
      <c r="A185" s="37" t="s">
        <v>534</v>
      </c>
      <c r="B185" s="37" t="s">
        <v>535</v>
      </c>
      <c r="C185" s="39" t="s">
        <v>536</v>
      </c>
      <c r="D185" s="40">
        <v>42191</v>
      </c>
      <c r="E185" s="37" t="s">
        <v>118</v>
      </c>
      <c r="F185" s="39" t="s">
        <v>121</v>
      </c>
      <c r="G185" s="39"/>
      <c r="H185" s="37" t="s">
        <v>120</v>
      </c>
      <c r="I185" s="39">
        <v>29</v>
      </c>
      <c r="J185" s="40">
        <v>42205</v>
      </c>
      <c r="K185" s="39" t="s">
        <v>82</v>
      </c>
      <c r="L185" s="41"/>
      <c r="M185" s="39"/>
      <c r="N185" s="39" t="s">
        <v>219</v>
      </c>
      <c r="O185" s="39"/>
    </row>
    <row r="186" spans="1:15" x14ac:dyDescent="0.25">
      <c r="A186" s="37" t="s">
        <v>540</v>
      </c>
      <c r="B186" s="37" t="s">
        <v>541</v>
      </c>
      <c r="C186" s="39" t="s">
        <v>542</v>
      </c>
      <c r="D186" s="40">
        <v>42191</v>
      </c>
      <c r="E186" s="37" t="s">
        <v>118</v>
      </c>
      <c r="F186" s="39" t="s">
        <v>121</v>
      </c>
      <c r="G186" s="39"/>
      <c r="H186" s="37" t="s">
        <v>120</v>
      </c>
      <c r="I186" s="39">
        <v>31</v>
      </c>
      <c r="J186" s="40">
        <v>42205</v>
      </c>
      <c r="K186" s="39" t="s">
        <v>82</v>
      </c>
      <c r="L186" s="41"/>
      <c r="M186" s="39"/>
      <c r="N186" s="39" t="s">
        <v>219</v>
      </c>
      <c r="O186" s="39"/>
    </row>
    <row r="187" spans="1:15" x14ac:dyDescent="0.25">
      <c r="A187" s="37" t="s">
        <v>564</v>
      </c>
      <c r="B187" s="37" t="s">
        <v>565</v>
      </c>
      <c r="C187" s="39" t="s">
        <v>566</v>
      </c>
      <c r="D187" s="40">
        <v>42191</v>
      </c>
      <c r="E187" s="37" t="s">
        <v>118</v>
      </c>
      <c r="F187" s="39" t="s">
        <v>121</v>
      </c>
      <c r="G187" s="39"/>
      <c r="H187" s="37" t="s">
        <v>120</v>
      </c>
      <c r="I187" s="39">
        <v>39</v>
      </c>
      <c r="J187" s="40">
        <v>42205</v>
      </c>
      <c r="K187" s="39" t="s">
        <v>82</v>
      </c>
      <c r="L187" s="41"/>
      <c r="M187" s="39"/>
      <c r="N187" s="39" t="s">
        <v>219</v>
      </c>
      <c r="O187" s="39"/>
    </row>
    <row r="188" spans="1:15" x14ac:dyDescent="0.25">
      <c r="A188" s="37" t="s">
        <v>567</v>
      </c>
      <c r="B188" s="37" t="s">
        <v>568</v>
      </c>
      <c r="C188" s="39" t="s">
        <v>569</v>
      </c>
      <c r="D188" s="40">
        <v>42191</v>
      </c>
      <c r="E188" s="37" t="s">
        <v>118</v>
      </c>
      <c r="F188" s="39" t="s">
        <v>121</v>
      </c>
      <c r="G188" s="39"/>
      <c r="H188" s="37" t="s">
        <v>120</v>
      </c>
      <c r="I188" s="39">
        <v>40</v>
      </c>
      <c r="J188" s="40">
        <v>42205</v>
      </c>
      <c r="K188" s="39" t="s">
        <v>82</v>
      </c>
      <c r="L188" s="41"/>
      <c r="M188" s="39"/>
      <c r="N188" s="39" t="s">
        <v>219</v>
      </c>
      <c r="O188" s="39"/>
    </row>
    <row r="189" spans="1:15" x14ac:dyDescent="0.25">
      <c r="A189" s="37" t="s">
        <v>582</v>
      </c>
      <c r="B189" s="37" t="s">
        <v>583</v>
      </c>
      <c r="C189" s="39" t="s">
        <v>584</v>
      </c>
      <c r="D189" s="40">
        <v>42191</v>
      </c>
      <c r="E189" s="37" t="s">
        <v>118</v>
      </c>
      <c r="F189" s="39" t="s">
        <v>121</v>
      </c>
      <c r="G189" s="39"/>
      <c r="H189" s="37" t="s">
        <v>120</v>
      </c>
      <c r="I189" s="39">
        <v>45</v>
      </c>
      <c r="J189" s="40">
        <v>42205</v>
      </c>
      <c r="K189" s="39" t="s">
        <v>82</v>
      </c>
      <c r="L189" s="41"/>
      <c r="M189" s="39"/>
      <c r="N189" s="39" t="s">
        <v>219</v>
      </c>
      <c r="O189" s="39"/>
    </row>
    <row r="190" spans="1:15" x14ac:dyDescent="0.25">
      <c r="A190" s="37" t="s">
        <v>603</v>
      </c>
      <c r="B190" s="37" t="s">
        <v>604</v>
      </c>
      <c r="C190" s="39" t="s">
        <v>605</v>
      </c>
      <c r="D190" s="40">
        <v>42191</v>
      </c>
      <c r="E190" s="37" t="s">
        <v>118</v>
      </c>
      <c r="F190" s="39" t="s">
        <v>121</v>
      </c>
      <c r="G190" s="39"/>
      <c r="H190" s="37" t="s">
        <v>120</v>
      </c>
      <c r="I190" s="39">
        <v>52</v>
      </c>
      <c r="J190" s="40">
        <v>42205</v>
      </c>
      <c r="K190" s="39" t="s">
        <v>82</v>
      </c>
      <c r="L190" s="41"/>
      <c r="M190" s="39"/>
      <c r="N190" s="39" t="s">
        <v>219</v>
      </c>
      <c r="O190" s="39"/>
    </row>
    <row r="191" spans="1:15" x14ac:dyDescent="0.25">
      <c r="A191" s="37" t="s">
        <v>633</v>
      </c>
      <c r="B191" s="37" t="s">
        <v>634</v>
      </c>
      <c r="C191" s="39" t="s">
        <v>635</v>
      </c>
      <c r="D191" s="40">
        <v>42191</v>
      </c>
      <c r="E191" s="37" t="s">
        <v>118</v>
      </c>
      <c r="F191" s="39" t="s">
        <v>121</v>
      </c>
      <c r="G191" s="39"/>
      <c r="H191" s="37" t="s">
        <v>120</v>
      </c>
      <c r="I191" s="39">
        <v>62</v>
      </c>
      <c r="J191" s="40">
        <v>42205</v>
      </c>
      <c r="K191" s="39" t="s">
        <v>82</v>
      </c>
      <c r="L191" s="41"/>
      <c r="M191" s="39"/>
      <c r="N191" s="39" t="s">
        <v>219</v>
      </c>
      <c r="O191" s="39"/>
    </row>
    <row r="192" spans="1:15" x14ac:dyDescent="0.25">
      <c r="A192" s="37" t="s">
        <v>651</v>
      </c>
      <c r="B192" s="37" t="s">
        <v>652</v>
      </c>
      <c r="C192" s="39" t="s">
        <v>653</v>
      </c>
      <c r="D192" s="40">
        <v>42191</v>
      </c>
      <c r="E192" s="37" t="s">
        <v>118</v>
      </c>
      <c r="F192" s="39" t="s">
        <v>121</v>
      </c>
      <c r="G192" s="39"/>
      <c r="H192" s="37" t="s">
        <v>120</v>
      </c>
      <c r="I192" s="39">
        <v>68</v>
      </c>
      <c r="J192" s="40">
        <v>42205</v>
      </c>
      <c r="K192" s="39" t="s">
        <v>82</v>
      </c>
      <c r="L192" s="41"/>
      <c r="M192" s="39"/>
      <c r="N192" s="39" t="s">
        <v>219</v>
      </c>
      <c r="O192" s="39"/>
    </row>
    <row r="193" spans="1:15" x14ac:dyDescent="0.25">
      <c r="A193" s="37" t="s">
        <v>660</v>
      </c>
      <c r="B193" s="37" t="s">
        <v>661</v>
      </c>
      <c r="C193" s="39" t="s">
        <v>662</v>
      </c>
      <c r="D193" s="40">
        <v>42191</v>
      </c>
      <c r="E193" s="37" t="s">
        <v>118</v>
      </c>
      <c r="F193" s="39" t="s">
        <v>121</v>
      </c>
      <c r="G193" s="39"/>
      <c r="H193" s="37" t="s">
        <v>120</v>
      </c>
      <c r="I193" s="39">
        <v>71</v>
      </c>
      <c r="J193" s="40">
        <v>42205</v>
      </c>
      <c r="K193" s="39" t="s">
        <v>82</v>
      </c>
      <c r="L193" s="41"/>
      <c r="M193" s="39"/>
      <c r="N193" s="39" t="s">
        <v>219</v>
      </c>
      <c r="O193" s="39"/>
    </row>
    <row r="194" spans="1:15" x14ac:dyDescent="0.25">
      <c r="A194" s="37" t="s">
        <v>678</v>
      </c>
      <c r="B194" s="37" t="s">
        <v>679</v>
      </c>
      <c r="C194" s="39" t="s">
        <v>680</v>
      </c>
      <c r="D194" s="40">
        <v>42191</v>
      </c>
      <c r="E194" s="37" t="s">
        <v>118</v>
      </c>
      <c r="F194" s="39" t="s">
        <v>121</v>
      </c>
      <c r="G194" s="39"/>
      <c r="H194" s="37" t="s">
        <v>120</v>
      </c>
      <c r="I194" s="39">
        <v>77</v>
      </c>
      <c r="J194" s="40">
        <v>42205</v>
      </c>
      <c r="K194" s="39" t="s">
        <v>82</v>
      </c>
      <c r="L194" s="41"/>
      <c r="M194" s="39"/>
      <c r="N194" s="39" t="s">
        <v>219</v>
      </c>
      <c r="O194" s="39"/>
    </row>
    <row r="195" spans="1:15" x14ac:dyDescent="0.25">
      <c r="A195" s="37" t="s">
        <v>684</v>
      </c>
      <c r="B195" s="37" t="s">
        <v>685</v>
      </c>
      <c r="C195" s="39" t="s">
        <v>686</v>
      </c>
      <c r="D195" s="40">
        <v>42191</v>
      </c>
      <c r="E195" s="37" t="s">
        <v>118</v>
      </c>
      <c r="F195" s="39" t="s">
        <v>121</v>
      </c>
      <c r="G195" s="39"/>
      <c r="H195" s="37" t="s">
        <v>120</v>
      </c>
      <c r="I195" s="39">
        <v>79</v>
      </c>
      <c r="J195" s="40">
        <v>42205</v>
      </c>
      <c r="K195" s="39" t="s">
        <v>82</v>
      </c>
      <c r="L195" s="41"/>
      <c r="M195" s="39"/>
      <c r="N195" s="39" t="s">
        <v>219</v>
      </c>
      <c r="O195" s="39"/>
    </row>
    <row r="196" spans="1:15" x14ac:dyDescent="0.25">
      <c r="A196" s="37" t="s">
        <v>699</v>
      </c>
      <c r="B196" s="37" t="s">
        <v>700</v>
      </c>
      <c r="C196" s="39" t="s">
        <v>701</v>
      </c>
      <c r="D196" s="40">
        <v>42191</v>
      </c>
      <c r="E196" s="37" t="s">
        <v>118</v>
      </c>
      <c r="F196" s="39" t="s">
        <v>121</v>
      </c>
      <c r="G196" s="39"/>
      <c r="H196" s="37" t="s">
        <v>120</v>
      </c>
      <c r="I196" s="39">
        <v>84</v>
      </c>
      <c r="J196" s="40">
        <v>42205</v>
      </c>
      <c r="K196" s="39" t="s">
        <v>82</v>
      </c>
      <c r="L196" s="41"/>
      <c r="M196" s="39"/>
      <c r="N196" s="39" t="s">
        <v>219</v>
      </c>
      <c r="O196" s="39"/>
    </row>
    <row r="197" spans="1:15" x14ac:dyDescent="0.25">
      <c r="A197" s="37" t="s">
        <v>702</v>
      </c>
      <c r="B197" s="37" t="s">
        <v>703</v>
      </c>
      <c r="C197" s="39" t="s">
        <v>704</v>
      </c>
      <c r="D197" s="40">
        <v>42191</v>
      </c>
      <c r="E197" s="37" t="s">
        <v>118</v>
      </c>
      <c r="F197" s="39" t="s">
        <v>121</v>
      </c>
      <c r="G197" s="39"/>
      <c r="H197" s="37" t="s">
        <v>120</v>
      </c>
      <c r="I197" s="39">
        <v>85</v>
      </c>
      <c r="J197" s="40">
        <v>42205</v>
      </c>
      <c r="K197" s="39" t="s">
        <v>82</v>
      </c>
      <c r="L197" s="41"/>
      <c r="M197" s="39"/>
      <c r="N197" s="39" t="s">
        <v>219</v>
      </c>
      <c r="O197" s="39"/>
    </row>
    <row r="198" spans="1:15" x14ac:dyDescent="0.25">
      <c r="A198" s="37" t="s">
        <v>720</v>
      </c>
      <c r="B198" s="37" t="s">
        <v>721</v>
      </c>
      <c r="C198" s="39" t="s">
        <v>722</v>
      </c>
      <c r="D198" s="40">
        <v>42191</v>
      </c>
      <c r="E198" s="37" t="s">
        <v>118</v>
      </c>
      <c r="F198" s="39" t="s">
        <v>121</v>
      </c>
      <c r="G198" s="39"/>
      <c r="H198" s="37" t="s">
        <v>120</v>
      </c>
      <c r="I198" s="39">
        <v>91</v>
      </c>
      <c r="J198" s="40">
        <v>42205</v>
      </c>
      <c r="K198" s="39" t="s">
        <v>82</v>
      </c>
      <c r="L198" s="41"/>
      <c r="M198" s="39"/>
      <c r="N198" s="39" t="s">
        <v>219</v>
      </c>
      <c r="O198" s="39"/>
    </row>
    <row r="199" spans="1:15" x14ac:dyDescent="0.25">
      <c r="A199" s="37" t="s">
        <v>745</v>
      </c>
      <c r="B199" s="37" t="s">
        <v>746</v>
      </c>
      <c r="C199" s="39" t="s">
        <v>747</v>
      </c>
      <c r="D199" s="40">
        <v>42191</v>
      </c>
      <c r="E199" s="37" t="s">
        <v>118</v>
      </c>
      <c r="F199" s="39" t="s">
        <v>121</v>
      </c>
      <c r="G199" s="39"/>
      <c r="H199" s="37" t="s">
        <v>120</v>
      </c>
      <c r="I199" s="39">
        <v>108</v>
      </c>
      <c r="J199" s="40">
        <v>42205</v>
      </c>
      <c r="K199" s="39" t="s">
        <v>82</v>
      </c>
      <c r="L199" s="41"/>
      <c r="M199" s="39"/>
      <c r="N199" s="39" t="s">
        <v>219</v>
      </c>
      <c r="O199" s="39"/>
    </row>
    <row r="200" spans="1:15" x14ac:dyDescent="0.25">
      <c r="A200" s="37" t="s">
        <v>756</v>
      </c>
      <c r="B200" s="37" t="s">
        <v>757</v>
      </c>
      <c r="C200" s="39" t="s">
        <v>758</v>
      </c>
      <c r="D200" s="40">
        <v>42191</v>
      </c>
      <c r="E200" s="37" t="s">
        <v>118</v>
      </c>
      <c r="F200" s="39" t="s">
        <v>121</v>
      </c>
      <c r="G200" s="39"/>
      <c r="H200" s="37" t="s">
        <v>120</v>
      </c>
      <c r="I200" s="39">
        <v>117</v>
      </c>
      <c r="J200" s="40">
        <v>42205</v>
      </c>
      <c r="K200" s="39" t="s">
        <v>82</v>
      </c>
      <c r="L200" s="41"/>
      <c r="M200" s="39"/>
      <c r="N200" s="39" t="s">
        <v>219</v>
      </c>
      <c r="O200" s="39"/>
    </row>
    <row r="201" spans="1:15" x14ac:dyDescent="0.25">
      <c r="A201" s="37" t="s">
        <v>305</v>
      </c>
      <c r="B201" s="37" t="s">
        <v>306</v>
      </c>
      <c r="C201" s="39" t="s">
        <v>151</v>
      </c>
      <c r="D201" s="40">
        <v>42184</v>
      </c>
      <c r="E201" s="37" t="s">
        <v>118</v>
      </c>
      <c r="F201" s="39" t="s">
        <v>121</v>
      </c>
      <c r="G201" s="39"/>
      <c r="H201" s="37" t="s">
        <v>120</v>
      </c>
      <c r="I201" s="39">
        <v>36</v>
      </c>
      <c r="J201" s="40">
        <v>42192</v>
      </c>
      <c r="K201" s="39" t="s">
        <v>307</v>
      </c>
      <c r="L201" s="41"/>
      <c r="M201" s="39">
        <v>28</v>
      </c>
      <c r="N201" s="39" t="s">
        <v>219</v>
      </c>
      <c r="O201" s="39"/>
    </row>
    <row r="202" spans="1:15" x14ac:dyDescent="0.25">
      <c r="A202" s="37" t="s">
        <v>981</v>
      </c>
      <c r="B202" s="37" t="s">
        <v>658</v>
      </c>
      <c r="C202" s="39" t="s">
        <v>659</v>
      </c>
      <c r="D202" s="40">
        <v>42198</v>
      </c>
      <c r="E202" s="37" t="s">
        <v>118</v>
      </c>
      <c r="F202" s="39" t="s">
        <v>121</v>
      </c>
      <c r="G202" s="39"/>
      <c r="H202" s="37" t="s">
        <v>120</v>
      </c>
      <c r="I202" s="39">
        <v>70</v>
      </c>
      <c r="J202" s="40"/>
      <c r="K202" s="39" t="s">
        <v>83</v>
      </c>
      <c r="L202" s="41"/>
      <c r="M202" s="39"/>
      <c r="N202" s="39" t="s">
        <v>220</v>
      </c>
      <c r="O202" s="39"/>
    </row>
    <row r="203" spans="1:15" x14ac:dyDescent="0.25">
      <c r="A203" s="37" t="s">
        <v>982</v>
      </c>
      <c r="B203" s="37" t="s">
        <v>664</v>
      </c>
      <c r="C203" s="39" t="s">
        <v>665</v>
      </c>
      <c r="D203" s="40">
        <v>42198</v>
      </c>
      <c r="E203" s="37" t="s">
        <v>118</v>
      </c>
      <c r="F203" s="39" t="s">
        <v>121</v>
      </c>
      <c r="G203" s="39"/>
      <c r="H203" s="37" t="s">
        <v>120</v>
      </c>
      <c r="I203" s="39">
        <v>71</v>
      </c>
      <c r="J203" s="40"/>
      <c r="K203" s="39" t="s">
        <v>83</v>
      </c>
      <c r="L203" s="41"/>
      <c r="M203" s="39"/>
      <c r="N203" s="39" t="s">
        <v>220</v>
      </c>
      <c r="O203" s="39"/>
    </row>
    <row r="204" spans="1:15" x14ac:dyDescent="0.25">
      <c r="A204" s="37" t="s">
        <v>983</v>
      </c>
      <c r="B204" s="37" t="s">
        <v>676</v>
      </c>
      <c r="C204" s="39" t="s">
        <v>677</v>
      </c>
      <c r="D204" s="40">
        <v>42198</v>
      </c>
      <c r="E204" s="37" t="s">
        <v>118</v>
      </c>
      <c r="F204" s="39" t="s">
        <v>121</v>
      </c>
      <c r="G204" s="39"/>
      <c r="H204" s="37" t="s">
        <v>120</v>
      </c>
      <c r="I204" s="39">
        <v>72</v>
      </c>
      <c r="J204" s="40"/>
      <c r="K204" s="39" t="s">
        <v>83</v>
      </c>
      <c r="L204" s="41"/>
      <c r="M204" s="39"/>
      <c r="N204" s="39" t="s">
        <v>220</v>
      </c>
      <c r="O204" s="39"/>
    </row>
    <row r="205" spans="1:15" x14ac:dyDescent="0.25">
      <c r="A205" s="37" t="s">
        <v>984</v>
      </c>
      <c r="B205" s="37" t="s">
        <v>691</v>
      </c>
      <c r="C205" s="39" t="s">
        <v>692</v>
      </c>
      <c r="D205" s="40">
        <v>42198</v>
      </c>
      <c r="E205" s="37" t="s">
        <v>118</v>
      </c>
      <c r="F205" s="39" t="s">
        <v>121</v>
      </c>
      <c r="G205" s="39"/>
      <c r="H205" s="37" t="s">
        <v>120</v>
      </c>
      <c r="I205" s="39">
        <v>73</v>
      </c>
      <c r="J205" s="40"/>
      <c r="K205" s="39" t="s">
        <v>83</v>
      </c>
      <c r="L205" s="41"/>
      <c r="M205" s="39"/>
      <c r="N205" s="39" t="s">
        <v>220</v>
      </c>
      <c r="O205" s="39"/>
    </row>
    <row r="206" spans="1:15" x14ac:dyDescent="0.25">
      <c r="A206" s="37" t="s">
        <v>985</v>
      </c>
      <c r="B206" s="37" t="s">
        <v>709</v>
      </c>
      <c r="C206" s="39" t="s">
        <v>710</v>
      </c>
      <c r="D206" s="40">
        <v>42198</v>
      </c>
      <c r="E206" s="37" t="s">
        <v>118</v>
      </c>
      <c r="F206" s="39" t="s">
        <v>121</v>
      </c>
      <c r="G206" s="39"/>
      <c r="H206" s="37" t="s">
        <v>120</v>
      </c>
      <c r="I206" s="39">
        <v>74</v>
      </c>
      <c r="J206" s="40"/>
      <c r="K206" s="39" t="s">
        <v>83</v>
      </c>
      <c r="L206" s="41"/>
      <c r="M206" s="39"/>
      <c r="N206" s="39" t="s">
        <v>220</v>
      </c>
      <c r="O206" s="39"/>
    </row>
    <row r="207" spans="1:15" x14ac:dyDescent="0.25">
      <c r="A207" s="37" t="s">
        <v>986</v>
      </c>
      <c r="B207" s="37" t="s">
        <v>715</v>
      </c>
      <c r="C207" s="39" t="s">
        <v>716</v>
      </c>
      <c r="D207" s="40">
        <v>42198</v>
      </c>
      <c r="E207" s="37" t="s">
        <v>118</v>
      </c>
      <c r="F207" s="39" t="s">
        <v>121</v>
      </c>
      <c r="G207" s="39"/>
      <c r="H207" s="37" t="s">
        <v>120</v>
      </c>
      <c r="I207" s="39">
        <v>75</v>
      </c>
      <c r="J207" s="40"/>
      <c r="K207" s="39" t="s">
        <v>83</v>
      </c>
      <c r="L207" s="41"/>
      <c r="M207" s="39"/>
      <c r="N207" s="39" t="s">
        <v>220</v>
      </c>
      <c r="O207" s="39"/>
    </row>
    <row r="208" spans="1:15" x14ac:dyDescent="0.25">
      <c r="A208" s="37" t="s">
        <v>987</v>
      </c>
      <c r="B208" s="37" t="s">
        <v>718</v>
      </c>
      <c r="C208" s="39" t="s">
        <v>719</v>
      </c>
      <c r="D208" s="40">
        <v>42198</v>
      </c>
      <c r="E208" s="37" t="s">
        <v>118</v>
      </c>
      <c r="F208" s="39" t="s">
        <v>121</v>
      </c>
      <c r="G208" s="39"/>
      <c r="H208" s="37" t="s">
        <v>120</v>
      </c>
      <c r="I208" s="39">
        <v>76</v>
      </c>
      <c r="J208" s="40"/>
      <c r="K208" s="39" t="s">
        <v>83</v>
      </c>
      <c r="L208" s="41"/>
      <c r="M208" s="39"/>
      <c r="N208" s="39" t="s">
        <v>220</v>
      </c>
      <c r="O208" s="39"/>
    </row>
    <row r="209" spans="1:15" x14ac:dyDescent="0.25">
      <c r="A209" s="37" t="s">
        <v>988</v>
      </c>
      <c r="B209" s="37" t="s">
        <v>724</v>
      </c>
      <c r="C209" s="39" t="s">
        <v>725</v>
      </c>
      <c r="D209" s="40">
        <v>42198</v>
      </c>
      <c r="E209" s="37" t="s">
        <v>118</v>
      </c>
      <c r="F209" s="39" t="s">
        <v>121</v>
      </c>
      <c r="G209" s="39"/>
      <c r="H209" s="37" t="s">
        <v>120</v>
      </c>
      <c r="I209" s="39">
        <v>77</v>
      </c>
      <c r="J209" s="40"/>
      <c r="K209" s="39" t="s">
        <v>83</v>
      </c>
      <c r="L209" s="41"/>
      <c r="M209" s="39"/>
      <c r="N209" s="39" t="s">
        <v>220</v>
      </c>
      <c r="O209" s="39"/>
    </row>
    <row r="210" spans="1:15" x14ac:dyDescent="0.25">
      <c r="A210" s="37" t="s">
        <v>989</v>
      </c>
      <c r="B210" s="37" t="s">
        <v>802</v>
      </c>
      <c r="C210" s="39" t="s">
        <v>803</v>
      </c>
      <c r="D210" s="40">
        <v>42198</v>
      </c>
      <c r="E210" s="37" t="s">
        <v>118</v>
      </c>
      <c r="F210" s="39" t="s">
        <v>121</v>
      </c>
      <c r="G210" s="39"/>
      <c r="H210" s="37" t="s">
        <v>120</v>
      </c>
      <c r="I210" s="39">
        <v>78</v>
      </c>
      <c r="J210" s="40"/>
      <c r="K210" s="39" t="s">
        <v>83</v>
      </c>
      <c r="L210" s="41"/>
      <c r="M210" s="39"/>
      <c r="N210" s="39" t="s">
        <v>220</v>
      </c>
      <c r="O210" s="39"/>
    </row>
    <row r="211" spans="1:15" x14ac:dyDescent="0.25">
      <c r="A211" s="37" t="s">
        <v>993</v>
      </c>
      <c r="B211" s="37" t="s">
        <v>808</v>
      </c>
      <c r="C211" s="39" t="s">
        <v>809</v>
      </c>
      <c r="D211" s="40">
        <v>42198</v>
      </c>
      <c r="E211" s="37" t="s">
        <v>118</v>
      </c>
      <c r="F211" s="39" t="s">
        <v>121</v>
      </c>
      <c r="G211" s="39"/>
      <c r="H211" s="37" t="s">
        <v>120</v>
      </c>
      <c r="I211" s="39">
        <v>80</v>
      </c>
      <c r="J211" s="40"/>
      <c r="K211" s="39" t="s">
        <v>83</v>
      </c>
      <c r="L211" s="41"/>
      <c r="M211" s="39"/>
      <c r="N211" s="39" t="s">
        <v>220</v>
      </c>
      <c r="O211" s="39"/>
    </row>
    <row r="212" spans="1:15" x14ac:dyDescent="0.25">
      <c r="A212" s="37" t="s">
        <v>994</v>
      </c>
      <c r="B212" s="37" t="s">
        <v>811</v>
      </c>
      <c r="C212" s="39" t="s">
        <v>812</v>
      </c>
      <c r="D212" s="40">
        <v>42198</v>
      </c>
      <c r="E212" s="37" t="s">
        <v>118</v>
      </c>
      <c r="F212" s="39" t="s">
        <v>121</v>
      </c>
      <c r="G212" s="39"/>
      <c r="H212" s="37" t="s">
        <v>120</v>
      </c>
      <c r="I212" s="39">
        <v>81</v>
      </c>
      <c r="J212" s="40"/>
      <c r="K212" s="39" t="s">
        <v>83</v>
      </c>
      <c r="L212" s="41"/>
      <c r="M212" s="39"/>
      <c r="N212" s="39" t="s">
        <v>220</v>
      </c>
      <c r="O212" s="39"/>
    </row>
    <row r="213" spans="1:15" x14ac:dyDescent="0.25">
      <c r="A213" s="37" t="s">
        <v>995</v>
      </c>
      <c r="B213" s="37" t="s">
        <v>814</v>
      </c>
      <c r="C213" s="39" t="s">
        <v>815</v>
      </c>
      <c r="D213" s="40">
        <v>42198</v>
      </c>
      <c r="E213" s="37" t="s">
        <v>118</v>
      </c>
      <c r="F213" s="39" t="s">
        <v>121</v>
      </c>
      <c r="G213" s="39"/>
      <c r="H213" s="37" t="s">
        <v>120</v>
      </c>
      <c r="I213" s="39">
        <v>82</v>
      </c>
      <c r="J213" s="40"/>
      <c r="K213" s="39" t="s">
        <v>83</v>
      </c>
      <c r="L213" s="41"/>
      <c r="M213" s="39"/>
      <c r="N213" s="39" t="s">
        <v>220</v>
      </c>
      <c r="O213" s="39"/>
    </row>
    <row r="214" spans="1:15" x14ac:dyDescent="0.25">
      <c r="A214" s="37" t="s">
        <v>996</v>
      </c>
      <c r="B214" s="37" t="s">
        <v>889</v>
      </c>
      <c r="C214" s="39" t="s">
        <v>890</v>
      </c>
      <c r="D214" s="40">
        <v>42198</v>
      </c>
      <c r="E214" s="37" t="s">
        <v>118</v>
      </c>
      <c r="F214" s="39" t="s">
        <v>121</v>
      </c>
      <c r="G214" s="39"/>
      <c r="H214" s="37" t="s">
        <v>120</v>
      </c>
      <c r="I214" s="39">
        <v>83</v>
      </c>
      <c r="J214" s="40"/>
      <c r="K214" s="39" t="s">
        <v>83</v>
      </c>
      <c r="L214" s="41"/>
      <c r="M214" s="39"/>
      <c r="N214" s="39" t="s">
        <v>220</v>
      </c>
      <c r="O214" s="39"/>
    </row>
    <row r="215" spans="1:15" x14ac:dyDescent="0.25">
      <c r="A215" s="37" t="s">
        <v>997</v>
      </c>
      <c r="B215" s="37" t="s">
        <v>898</v>
      </c>
      <c r="C215" s="39" t="s">
        <v>899</v>
      </c>
      <c r="D215" s="40">
        <v>42198</v>
      </c>
      <c r="E215" s="37" t="s">
        <v>118</v>
      </c>
      <c r="F215" s="39" t="s">
        <v>121</v>
      </c>
      <c r="G215" s="39"/>
      <c r="H215" s="37" t="s">
        <v>120</v>
      </c>
      <c r="I215" s="39">
        <v>84</v>
      </c>
      <c r="J215" s="40"/>
      <c r="K215" s="39" t="s">
        <v>83</v>
      </c>
      <c r="L215" s="41"/>
      <c r="M215" s="39"/>
      <c r="N215" s="39" t="s">
        <v>220</v>
      </c>
      <c r="O215" s="39"/>
    </row>
    <row r="216" spans="1:15" x14ac:dyDescent="0.25">
      <c r="A216" s="37" t="s">
        <v>998</v>
      </c>
      <c r="B216" s="37" t="s">
        <v>904</v>
      </c>
      <c r="C216" s="39" t="s">
        <v>905</v>
      </c>
      <c r="D216" s="40">
        <v>42198</v>
      </c>
      <c r="E216" s="37" t="s">
        <v>118</v>
      </c>
      <c r="F216" s="39" t="s">
        <v>121</v>
      </c>
      <c r="G216" s="39"/>
      <c r="H216" s="37" t="s">
        <v>120</v>
      </c>
      <c r="I216" s="39">
        <v>85</v>
      </c>
      <c r="J216" s="40"/>
      <c r="K216" s="39" t="s">
        <v>83</v>
      </c>
      <c r="L216" s="41"/>
      <c r="M216" s="39"/>
      <c r="N216" s="39" t="s">
        <v>220</v>
      </c>
      <c r="O216" s="39"/>
    </row>
    <row r="217" spans="1:15" x14ac:dyDescent="0.25">
      <c r="A217" s="37" t="s">
        <v>999</v>
      </c>
      <c r="B217" s="37" t="s">
        <v>877</v>
      </c>
      <c r="C217" s="39" t="s">
        <v>878</v>
      </c>
      <c r="D217" s="40">
        <v>42198</v>
      </c>
      <c r="E217" s="37" t="s">
        <v>118</v>
      </c>
      <c r="F217" s="39" t="s">
        <v>121</v>
      </c>
      <c r="G217" s="39"/>
      <c r="H217" s="37" t="s">
        <v>120</v>
      </c>
      <c r="I217" s="39">
        <v>86</v>
      </c>
      <c r="J217" s="40"/>
      <c r="K217" s="39" t="s">
        <v>83</v>
      </c>
      <c r="L217" s="41"/>
      <c r="M217" s="39"/>
      <c r="N217" s="39" t="s">
        <v>220</v>
      </c>
      <c r="O217" s="39"/>
    </row>
    <row r="218" spans="1:15" x14ac:dyDescent="0.25">
      <c r="A218" s="37" t="s">
        <v>422</v>
      </c>
      <c r="B218" s="37" t="s">
        <v>250</v>
      </c>
      <c r="C218" s="39" t="s">
        <v>122</v>
      </c>
      <c r="D218" s="40">
        <v>42184</v>
      </c>
      <c r="E218" s="37" t="s">
        <v>118</v>
      </c>
      <c r="F218" s="39" t="s">
        <v>121</v>
      </c>
      <c r="G218" s="39"/>
      <c r="H218" s="37" t="s">
        <v>120</v>
      </c>
      <c r="I218" s="39">
        <v>94</v>
      </c>
      <c r="J218" s="40"/>
      <c r="K218" s="39" t="s">
        <v>83</v>
      </c>
      <c r="L218" s="41"/>
      <c r="M218" s="39"/>
      <c r="N218" s="39" t="s">
        <v>219</v>
      </c>
      <c r="O218" s="39"/>
    </row>
    <row r="219" spans="1:15" x14ac:dyDescent="0.25">
      <c r="A219" s="37" t="s">
        <v>423</v>
      </c>
      <c r="B219" s="37" t="s">
        <v>251</v>
      </c>
      <c r="C219" s="39" t="s">
        <v>123</v>
      </c>
      <c r="D219" s="40">
        <v>42184</v>
      </c>
      <c r="E219" s="37" t="s">
        <v>118</v>
      </c>
      <c r="F219" s="39" t="s">
        <v>121</v>
      </c>
      <c r="G219" s="39"/>
      <c r="H219" s="37" t="s">
        <v>120</v>
      </c>
      <c r="I219" s="39">
        <v>95</v>
      </c>
      <c r="J219" s="40"/>
      <c r="K219" s="39" t="s">
        <v>83</v>
      </c>
      <c r="L219" s="41"/>
      <c r="M219" s="39"/>
      <c r="N219" s="39" t="s">
        <v>219</v>
      </c>
      <c r="O219" s="39"/>
    </row>
    <row r="220" spans="1:15" x14ac:dyDescent="0.25">
      <c r="A220" s="37" t="s">
        <v>732</v>
      </c>
      <c r="B220" s="37" t="s">
        <v>395</v>
      </c>
      <c r="C220" s="39" t="s">
        <v>195</v>
      </c>
      <c r="D220" s="40">
        <v>42191</v>
      </c>
      <c r="E220" s="37" t="s">
        <v>118</v>
      </c>
      <c r="F220" s="39" t="s">
        <v>121</v>
      </c>
      <c r="G220" s="39"/>
      <c r="H220" s="37" t="s">
        <v>120</v>
      </c>
      <c r="I220" s="39">
        <v>95</v>
      </c>
      <c r="J220" s="40"/>
      <c r="K220" s="39" t="s">
        <v>83</v>
      </c>
      <c r="L220" s="41"/>
      <c r="M220" s="39"/>
      <c r="N220" s="39" t="s">
        <v>219</v>
      </c>
      <c r="O220" s="39"/>
    </row>
    <row r="221" spans="1:15" x14ac:dyDescent="0.25">
      <c r="A221" s="37" t="s">
        <v>733</v>
      </c>
      <c r="B221" s="37" t="s">
        <v>417</v>
      </c>
      <c r="C221" s="39" t="s">
        <v>206</v>
      </c>
      <c r="D221" s="40">
        <v>42191</v>
      </c>
      <c r="E221" s="37" t="s">
        <v>118</v>
      </c>
      <c r="F221" s="39" t="s">
        <v>121</v>
      </c>
      <c r="G221" s="39"/>
      <c r="H221" s="37" t="s">
        <v>120</v>
      </c>
      <c r="I221" s="39">
        <v>96</v>
      </c>
      <c r="J221" s="40"/>
      <c r="K221" s="39" t="s">
        <v>83</v>
      </c>
      <c r="L221" s="41"/>
      <c r="M221" s="39"/>
      <c r="N221" s="39" t="s">
        <v>219</v>
      </c>
      <c r="O221" s="39"/>
    </row>
    <row r="222" spans="1:15" x14ac:dyDescent="0.25">
      <c r="A222" s="37" t="s">
        <v>426</v>
      </c>
      <c r="B222" s="37" t="s">
        <v>252</v>
      </c>
      <c r="C222" s="39" t="s">
        <v>124</v>
      </c>
      <c r="D222" s="40">
        <v>42184</v>
      </c>
      <c r="E222" s="37" t="s">
        <v>118</v>
      </c>
      <c r="F222" s="39" t="s">
        <v>121</v>
      </c>
      <c r="G222" s="39"/>
      <c r="H222" s="37" t="s">
        <v>120</v>
      </c>
      <c r="I222" s="39">
        <v>97</v>
      </c>
      <c r="J222" s="40"/>
      <c r="K222" s="39" t="s">
        <v>83</v>
      </c>
      <c r="L222" s="41"/>
      <c r="M222" s="39"/>
      <c r="N222" s="39" t="s">
        <v>219</v>
      </c>
      <c r="O222" s="39"/>
    </row>
    <row r="223" spans="1:15" x14ac:dyDescent="0.25">
      <c r="A223" s="37" t="s">
        <v>734</v>
      </c>
      <c r="B223" s="37" t="s">
        <v>419</v>
      </c>
      <c r="C223" s="39" t="s">
        <v>207</v>
      </c>
      <c r="D223" s="40">
        <v>42191</v>
      </c>
      <c r="E223" s="37" t="s">
        <v>118</v>
      </c>
      <c r="F223" s="39" t="s">
        <v>121</v>
      </c>
      <c r="G223" s="39"/>
      <c r="H223" s="37" t="s">
        <v>120</v>
      </c>
      <c r="I223" s="39">
        <v>97</v>
      </c>
      <c r="J223" s="40"/>
      <c r="K223" s="39" t="s">
        <v>83</v>
      </c>
      <c r="L223" s="41"/>
      <c r="M223" s="39"/>
      <c r="N223" s="39" t="s">
        <v>219</v>
      </c>
      <c r="O223" s="39"/>
    </row>
    <row r="224" spans="1:15" x14ac:dyDescent="0.25">
      <c r="A224" s="37" t="s">
        <v>735</v>
      </c>
      <c r="B224" s="37" t="s">
        <v>421</v>
      </c>
      <c r="C224" s="39" t="s">
        <v>208</v>
      </c>
      <c r="D224" s="40">
        <v>42191</v>
      </c>
      <c r="E224" s="37" t="s">
        <v>118</v>
      </c>
      <c r="F224" s="39" t="s">
        <v>121</v>
      </c>
      <c r="G224" s="39"/>
      <c r="H224" s="37" t="s">
        <v>120</v>
      </c>
      <c r="I224" s="39">
        <v>98</v>
      </c>
      <c r="J224" s="40"/>
      <c r="K224" s="39" t="s">
        <v>83</v>
      </c>
      <c r="L224" s="41"/>
      <c r="M224" s="39"/>
      <c r="N224" s="39" t="s">
        <v>219</v>
      </c>
      <c r="O224" s="39"/>
    </row>
    <row r="225" spans="1:15" x14ac:dyDescent="0.25">
      <c r="A225" s="37" t="s">
        <v>736</v>
      </c>
      <c r="B225" s="37" t="s">
        <v>460</v>
      </c>
      <c r="C225" s="39" t="s">
        <v>461</v>
      </c>
      <c r="D225" s="40">
        <v>42191</v>
      </c>
      <c r="E225" s="37" t="s">
        <v>118</v>
      </c>
      <c r="F225" s="39" t="s">
        <v>121</v>
      </c>
      <c r="G225" s="39"/>
      <c r="H225" s="37" t="s">
        <v>120</v>
      </c>
      <c r="I225" s="39">
        <v>99</v>
      </c>
      <c r="J225" s="40"/>
      <c r="K225" s="39" t="s">
        <v>83</v>
      </c>
      <c r="L225" s="41"/>
      <c r="M225" s="39"/>
      <c r="N225" s="39" t="s">
        <v>219</v>
      </c>
      <c r="O225" s="39"/>
    </row>
    <row r="226" spans="1:15" x14ac:dyDescent="0.25">
      <c r="A226" s="37" t="s">
        <v>431</v>
      </c>
      <c r="B226" s="37" t="s">
        <v>268</v>
      </c>
      <c r="C226" s="39" t="s">
        <v>132</v>
      </c>
      <c r="D226" s="40">
        <v>42184</v>
      </c>
      <c r="E226" s="37" t="s">
        <v>118</v>
      </c>
      <c r="F226" s="39" t="s">
        <v>121</v>
      </c>
      <c r="G226" s="39"/>
      <c r="H226" s="37" t="s">
        <v>120</v>
      </c>
      <c r="I226" s="39">
        <v>100</v>
      </c>
      <c r="J226" s="40"/>
      <c r="K226" s="39" t="s">
        <v>83</v>
      </c>
      <c r="L226" s="41"/>
      <c r="M226" s="39"/>
      <c r="N226" s="39" t="s">
        <v>219</v>
      </c>
      <c r="O226" s="39"/>
    </row>
    <row r="227" spans="1:15" x14ac:dyDescent="0.25">
      <c r="A227" s="37" t="s">
        <v>737</v>
      </c>
      <c r="B227" s="37" t="s">
        <v>463</v>
      </c>
      <c r="C227" s="39" t="s">
        <v>464</v>
      </c>
      <c r="D227" s="40">
        <v>42191</v>
      </c>
      <c r="E227" s="37" t="s">
        <v>118</v>
      </c>
      <c r="F227" s="39" t="s">
        <v>121</v>
      </c>
      <c r="G227" s="39"/>
      <c r="H227" s="37" t="s">
        <v>120</v>
      </c>
      <c r="I227" s="39">
        <v>100</v>
      </c>
      <c r="J227" s="40"/>
      <c r="K227" s="39" t="s">
        <v>83</v>
      </c>
      <c r="L227" s="41"/>
      <c r="M227" s="39"/>
      <c r="N227" s="39" t="s">
        <v>219</v>
      </c>
      <c r="O227" s="39"/>
    </row>
    <row r="228" spans="1:15" x14ac:dyDescent="0.25">
      <c r="A228" s="37" t="s">
        <v>432</v>
      </c>
      <c r="B228" s="37" t="s">
        <v>274</v>
      </c>
      <c r="C228" s="39" t="s">
        <v>135</v>
      </c>
      <c r="D228" s="40">
        <v>42184</v>
      </c>
      <c r="E228" s="37" t="s">
        <v>118</v>
      </c>
      <c r="F228" s="39" t="s">
        <v>121</v>
      </c>
      <c r="G228" s="39"/>
      <c r="H228" s="37" t="s">
        <v>120</v>
      </c>
      <c r="I228" s="39">
        <v>101</v>
      </c>
      <c r="J228" s="40"/>
      <c r="K228" s="39" t="s">
        <v>83</v>
      </c>
      <c r="L228" s="41"/>
      <c r="M228" s="39"/>
      <c r="N228" s="39" t="s">
        <v>219</v>
      </c>
      <c r="O228" s="39"/>
    </row>
    <row r="229" spans="1:15" x14ac:dyDescent="0.25">
      <c r="A229" s="37" t="s">
        <v>738</v>
      </c>
      <c r="B229" s="37" t="s">
        <v>466</v>
      </c>
      <c r="C229" s="39" t="s">
        <v>467</v>
      </c>
      <c r="D229" s="40">
        <v>42191</v>
      </c>
      <c r="E229" s="37" t="s">
        <v>118</v>
      </c>
      <c r="F229" s="39" t="s">
        <v>121</v>
      </c>
      <c r="G229" s="39"/>
      <c r="H229" s="37" t="s">
        <v>120</v>
      </c>
      <c r="I229" s="39">
        <v>101</v>
      </c>
      <c r="J229" s="40"/>
      <c r="K229" s="39" t="s">
        <v>83</v>
      </c>
      <c r="L229" s="41"/>
      <c r="M229" s="39"/>
      <c r="N229" s="39" t="s">
        <v>219</v>
      </c>
      <c r="O229" s="39"/>
    </row>
    <row r="230" spans="1:15" x14ac:dyDescent="0.25">
      <c r="A230" s="37" t="s">
        <v>433</v>
      </c>
      <c r="B230" s="37" t="s">
        <v>282</v>
      </c>
      <c r="C230" s="39" t="s">
        <v>139</v>
      </c>
      <c r="D230" s="40">
        <v>42184</v>
      </c>
      <c r="E230" s="37" t="s">
        <v>118</v>
      </c>
      <c r="F230" s="39" t="s">
        <v>121</v>
      </c>
      <c r="G230" s="39"/>
      <c r="H230" s="37" t="s">
        <v>120</v>
      </c>
      <c r="I230" s="39">
        <v>102</v>
      </c>
      <c r="J230" s="40"/>
      <c r="K230" s="39" t="s">
        <v>83</v>
      </c>
      <c r="L230" s="41"/>
      <c r="M230" s="39"/>
      <c r="N230" s="39" t="s">
        <v>219</v>
      </c>
      <c r="O230" s="39"/>
    </row>
    <row r="231" spans="1:15" x14ac:dyDescent="0.25">
      <c r="A231" s="37" t="s">
        <v>739</v>
      </c>
      <c r="B231" s="37" t="s">
        <v>472</v>
      </c>
      <c r="C231" s="39" t="s">
        <v>473</v>
      </c>
      <c r="D231" s="40">
        <v>42191</v>
      </c>
      <c r="E231" s="37" t="s">
        <v>118</v>
      </c>
      <c r="F231" s="39" t="s">
        <v>121</v>
      </c>
      <c r="G231" s="39"/>
      <c r="H231" s="37" t="s">
        <v>120</v>
      </c>
      <c r="I231" s="39">
        <v>102</v>
      </c>
      <c r="J231" s="40"/>
      <c r="K231" s="39" t="s">
        <v>83</v>
      </c>
      <c r="L231" s="41"/>
      <c r="M231" s="39"/>
      <c r="N231" s="39" t="s">
        <v>219</v>
      </c>
      <c r="O231" s="39"/>
    </row>
    <row r="232" spans="1:15" x14ac:dyDescent="0.25">
      <c r="A232" s="37" t="s">
        <v>434</v>
      </c>
      <c r="B232" s="37" t="s">
        <v>286</v>
      </c>
      <c r="C232" s="39" t="s">
        <v>141</v>
      </c>
      <c r="D232" s="40">
        <v>42184</v>
      </c>
      <c r="E232" s="37" t="s">
        <v>118</v>
      </c>
      <c r="F232" s="39" t="s">
        <v>121</v>
      </c>
      <c r="G232" s="39"/>
      <c r="H232" s="37" t="s">
        <v>120</v>
      </c>
      <c r="I232" s="39">
        <v>103</v>
      </c>
      <c r="J232" s="40"/>
      <c r="K232" s="39" t="s">
        <v>83</v>
      </c>
      <c r="L232" s="41"/>
      <c r="M232" s="39"/>
      <c r="N232" s="39" t="s">
        <v>219</v>
      </c>
      <c r="O232" s="39"/>
    </row>
    <row r="233" spans="1:15" x14ac:dyDescent="0.25">
      <c r="A233" s="37" t="s">
        <v>740</v>
      </c>
      <c r="B233" s="37" t="s">
        <v>484</v>
      </c>
      <c r="C233" s="39" t="s">
        <v>485</v>
      </c>
      <c r="D233" s="40">
        <v>42191</v>
      </c>
      <c r="E233" s="37" t="s">
        <v>118</v>
      </c>
      <c r="F233" s="39" t="s">
        <v>121</v>
      </c>
      <c r="G233" s="39"/>
      <c r="H233" s="37" t="s">
        <v>120</v>
      </c>
      <c r="I233" s="39">
        <v>103</v>
      </c>
      <c r="J233" s="40"/>
      <c r="K233" s="39" t="s">
        <v>83</v>
      </c>
      <c r="L233" s="41"/>
      <c r="M233" s="39"/>
      <c r="N233" s="39" t="s">
        <v>219</v>
      </c>
      <c r="O233" s="39"/>
    </row>
    <row r="234" spans="1:15" x14ac:dyDescent="0.25">
      <c r="A234" s="37" t="s">
        <v>435</v>
      </c>
      <c r="B234" s="37" t="s">
        <v>290</v>
      </c>
      <c r="C234" s="39" t="s">
        <v>143</v>
      </c>
      <c r="D234" s="40">
        <v>42184</v>
      </c>
      <c r="E234" s="37" t="s">
        <v>118</v>
      </c>
      <c r="F234" s="39" t="s">
        <v>121</v>
      </c>
      <c r="G234" s="39"/>
      <c r="H234" s="37" t="s">
        <v>120</v>
      </c>
      <c r="I234" s="39">
        <v>104</v>
      </c>
      <c r="J234" s="40"/>
      <c r="K234" s="39" t="s">
        <v>83</v>
      </c>
      <c r="L234" s="41"/>
      <c r="M234" s="39"/>
      <c r="N234" s="39" t="s">
        <v>219</v>
      </c>
      <c r="O234" s="39"/>
    </row>
    <row r="235" spans="1:15" x14ac:dyDescent="0.25">
      <c r="A235" s="37" t="s">
        <v>741</v>
      </c>
      <c r="B235" s="37" t="s">
        <v>487</v>
      </c>
      <c r="C235" s="39" t="s">
        <v>488</v>
      </c>
      <c r="D235" s="40">
        <v>42191</v>
      </c>
      <c r="E235" s="37" t="s">
        <v>118</v>
      </c>
      <c r="F235" s="39" t="s">
        <v>121</v>
      </c>
      <c r="G235" s="39"/>
      <c r="H235" s="37" t="s">
        <v>120</v>
      </c>
      <c r="I235" s="39">
        <v>104</v>
      </c>
      <c r="J235" s="40"/>
      <c r="K235" s="39" t="s">
        <v>83</v>
      </c>
      <c r="L235" s="41"/>
      <c r="M235" s="39"/>
      <c r="N235" s="39" t="s">
        <v>219</v>
      </c>
      <c r="O235" s="39"/>
    </row>
    <row r="236" spans="1:15" x14ac:dyDescent="0.25">
      <c r="A236" s="37" t="s">
        <v>436</v>
      </c>
      <c r="B236" s="37" t="s">
        <v>304</v>
      </c>
      <c r="C236" s="39" t="s">
        <v>150</v>
      </c>
      <c r="D236" s="40">
        <v>42184</v>
      </c>
      <c r="E236" s="37" t="s">
        <v>118</v>
      </c>
      <c r="F236" s="39" t="s">
        <v>121</v>
      </c>
      <c r="G236" s="39"/>
      <c r="H236" s="37" t="s">
        <v>120</v>
      </c>
      <c r="I236" s="39">
        <v>105</v>
      </c>
      <c r="J236" s="40"/>
      <c r="K236" s="39" t="s">
        <v>83</v>
      </c>
      <c r="L236" s="41"/>
      <c r="M236" s="39"/>
      <c r="N236" s="39" t="s">
        <v>219</v>
      </c>
      <c r="O236" s="39"/>
    </row>
    <row r="237" spans="1:15" x14ac:dyDescent="0.25">
      <c r="A237" s="37" t="s">
        <v>742</v>
      </c>
      <c r="B237" s="37" t="s">
        <v>490</v>
      </c>
      <c r="C237" s="39" t="s">
        <v>491</v>
      </c>
      <c r="D237" s="40">
        <v>42191</v>
      </c>
      <c r="E237" s="37" t="s">
        <v>118</v>
      </c>
      <c r="F237" s="39" t="s">
        <v>121</v>
      </c>
      <c r="G237" s="39"/>
      <c r="H237" s="37" t="s">
        <v>120</v>
      </c>
      <c r="I237" s="39">
        <v>105</v>
      </c>
      <c r="J237" s="40"/>
      <c r="K237" s="39" t="s">
        <v>83</v>
      </c>
      <c r="L237" s="41"/>
      <c r="M237" s="39"/>
      <c r="N237" s="39" t="s">
        <v>219</v>
      </c>
      <c r="O237" s="39"/>
    </row>
    <row r="238" spans="1:15" x14ac:dyDescent="0.25">
      <c r="A238" s="37" t="s">
        <v>743</v>
      </c>
      <c r="B238" s="37" t="s">
        <v>499</v>
      </c>
      <c r="C238" s="39" t="s">
        <v>500</v>
      </c>
      <c r="D238" s="40">
        <v>42191</v>
      </c>
      <c r="E238" s="37" t="s">
        <v>118</v>
      </c>
      <c r="F238" s="39" t="s">
        <v>121</v>
      </c>
      <c r="G238" s="39"/>
      <c r="H238" s="37" t="s">
        <v>120</v>
      </c>
      <c r="I238" s="39">
        <v>106</v>
      </c>
      <c r="J238" s="40"/>
      <c r="K238" s="39" t="s">
        <v>83</v>
      </c>
      <c r="L238" s="41"/>
      <c r="M238" s="39"/>
      <c r="N238" s="39" t="s">
        <v>219</v>
      </c>
      <c r="O238" s="39"/>
    </row>
    <row r="239" spans="1:15" x14ac:dyDescent="0.25">
      <c r="A239" s="37" t="s">
        <v>439</v>
      </c>
      <c r="B239" s="37" t="s">
        <v>313</v>
      </c>
      <c r="C239" s="39" t="s">
        <v>154</v>
      </c>
      <c r="D239" s="40">
        <v>42184</v>
      </c>
      <c r="E239" s="37" t="s">
        <v>118</v>
      </c>
      <c r="F239" s="39" t="s">
        <v>121</v>
      </c>
      <c r="G239" s="39"/>
      <c r="H239" s="37" t="s">
        <v>120</v>
      </c>
      <c r="I239" s="39">
        <v>107</v>
      </c>
      <c r="J239" s="40"/>
      <c r="K239" s="39" t="s">
        <v>83</v>
      </c>
      <c r="L239" s="41"/>
      <c r="M239" s="39"/>
      <c r="N239" s="39" t="s">
        <v>219</v>
      </c>
      <c r="O239" s="39"/>
    </row>
    <row r="240" spans="1:15" x14ac:dyDescent="0.25">
      <c r="A240" s="37" t="s">
        <v>744</v>
      </c>
      <c r="B240" s="37" t="s">
        <v>514</v>
      </c>
      <c r="C240" s="39" t="s">
        <v>515</v>
      </c>
      <c r="D240" s="40">
        <v>42191</v>
      </c>
      <c r="E240" s="37" t="s">
        <v>118</v>
      </c>
      <c r="F240" s="39" t="s">
        <v>121</v>
      </c>
      <c r="G240" s="39"/>
      <c r="H240" s="37" t="s">
        <v>120</v>
      </c>
      <c r="I240" s="39">
        <v>107</v>
      </c>
      <c r="J240" s="40"/>
      <c r="K240" s="39" t="s">
        <v>83</v>
      </c>
      <c r="L240" s="41"/>
      <c r="M240" s="39"/>
      <c r="N240" s="39" t="s">
        <v>219</v>
      </c>
      <c r="O240" s="39"/>
    </row>
    <row r="241" spans="1:15" x14ac:dyDescent="0.25">
      <c r="A241" s="37" t="s">
        <v>748</v>
      </c>
      <c r="B241" s="37" t="s">
        <v>520</v>
      </c>
      <c r="C241" s="39" t="s">
        <v>521</v>
      </c>
      <c r="D241" s="40">
        <v>42191</v>
      </c>
      <c r="E241" s="37" t="s">
        <v>118</v>
      </c>
      <c r="F241" s="39" t="s">
        <v>121</v>
      </c>
      <c r="G241" s="39"/>
      <c r="H241" s="37" t="s">
        <v>120</v>
      </c>
      <c r="I241" s="39">
        <v>109</v>
      </c>
      <c r="J241" s="40"/>
      <c r="K241" s="39" t="s">
        <v>83</v>
      </c>
      <c r="L241" s="41"/>
      <c r="M241" s="39"/>
      <c r="N241" s="39" t="s">
        <v>219</v>
      </c>
      <c r="O241" s="39"/>
    </row>
    <row r="242" spans="1:15" x14ac:dyDescent="0.25">
      <c r="A242" s="37" t="s">
        <v>444</v>
      </c>
      <c r="B242" s="37" t="s">
        <v>325</v>
      </c>
      <c r="C242" s="39" t="s">
        <v>160</v>
      </c>
      <c r="D242" s="40">
        <v>42184</v>
      </c>
      <c r="E242" s="37" t="s">
        <v>118</v>
      </c>
      <c r="F242" s="39" t="s">
        <v>121</v>
      </c>
      <c r="G242" s="39"/>
      <c r="H242" s="37" t="s">
        <v>120</v>
      </c>
      <c r="I242" s="39">
        <v>110</v>
      </c>
      <c r="J242" s="40"/>
      <c r="K242" s="39" t="s">
        <v>83</v>
      </c>
      <c r="L242" s="41"/>
      <c r="M242" s="39"/>
      <c r="N242" s="39" t="s">
        <v>219</v>
      </c>
      <c r="O242" s="39"/>
    </row>
    <row r="243" spans="1:15" x14ac:dyDescent="0.25">
      <c r="A243" s="37" t="s">
        <v>749</v>
      </c>
      <c r="B243" s="37" t="s">
        <v>526</v>
      </c>
      <c r="C243" s="39" t="s">
        <v>527</v>
      </c>
      <c r="D243" s="40">
        <v>42191</v>
      </c>
      <c r="E243" s="37" t="s">
        <v>118</v>
      </c>
      <c r="F243" s="39" t="s">
        <v>121</v>
      </c>
      <c r="G243" s="39"/>
      <c r="H243" s="37" t="s">
        <v>120</v>
      </c>
      <c r="I243" s="39">
        <v>110</v>
      </c>
      <c r="J243" s="40"/>
      <c r="K243" s="39" t="s">
        <v>83</v>
      </c>
      <c r="L243" s="41"/>
      <c r="M243" s="39"/>
      <c r="N243" s="39" t="s">
        <v>219</v>
      </c>
      <c r="O243" s="39"/>
    </row>
    <row r="244" spans="1:15" x14ac:dyDescent="0.25">
      <c r="A244" s="37" t="s">
        <v>445</v>
      </c>
      <c r="B244" s="37" t="s">
        <v>327</v>
      </c>
      <c r="C244" s="39" t="s">
        <v>161</v>
      </c>
      <c r="D244" s="40">
        <v>42184</v>
      </c>
      <c r="E244" s="37" t="s">
        <v>118</v>
      </c>
      <c r="F244" s="39" t="s">
        <v>121</v>
      </c>
      <c r="G244" s="39"/>
      <c r="H244" s="37" t="s">
        <v>120</v>
      </c>
      <c r="I244" s="39">
        <v>111</v>
      </c>
      <c r="J244" s="40"/>
      <c r="K244" s="39" t="s">
        <v>83</v>
      </c>
      <c r="L244" s="41"/>
      <c r="M244" s="39"/>
      <c r="N244" s="39" t="s">
        <v>219</v>
      </c>
      <c r="O244" s="39"/>
    </row>
    <row r="245" spans="1:15" x14ac:dyDescent="0.25">
      <c r="A245" s="37" t="s">
        <v>750</v>
      </c>
      <c r="B245" s="37" t="s">
        <v>583</v>
      </c>
      <c r="C245" s="39" t="s">
        <v>584</v>
      </c>
      <c r="D245" s="40">
        <v>42191</v>
      </c>
      <c r="E245" s="37" t="s">
        <v>118</v>
      </c>
      <c r="F245" s="39" t="s">
        <v>121</v>
      </c>
      <c r="G245" s="39"/>
      <c r="H245" s="37" t="s">
        <v>120</v>
      </c>
      <c r="I245" s="39">
        <v>111</v>
      </c>
      <c r="J245" s="40"/>
      <c r="K245" s="39" t="s">
        <v>83</v>
      </c>
      <c r="L245" s="41"/>
      <c r="M245" s="39"/>
      <c r="N245" s="39" t="s">
        <v>219</v>
      </c>
      <c r="O245" s="39"/>
    </row>
    <row r="246" spans="1:15" x14ac:dyDescent="0.25">
      <c r="A246" s="37" t="s">
        <v>446</v>
      </c>
      <c r="B246" s="37" t="s">
        <v>329</v>
      </c>
      <c r="C246" s="39" t="s">
        <v>162</v>
      </c>
      <c r="D246" s="40">
        <v>42184</v>
      </c>
      <c r="E246" s="37" t="s">
        <v>118</v>
      </c>
      <c r="F246" s="39" t="s">
        <v>121</v>
      </c>
      <c r="G246" s="39"/>
      <c r="H246" s="37" t="s">
        <v>120</v>
      </c>
      <c r="I246" s="39">
        <v>112</v>
      </c>
      <c r="J246" s="40"/>
      <c r="K246" s="39" t="s">
        <v>83</v>
      </c>
      <c r="L246" s="41"/>
      <c r="M246" s="39"/>
      <c r="N246" s="39" t="s">
        <v>219</v>
      </c>
      <c r="O246" s="39"/>
    </row>
    <row r="247" spans="1:15" x14ac:dyDescent="0.25">
      <c r="A247" s="37" t="s">
        <v>751</v>
      </c>
      <c r="B247" s="37" t="s">
        <v>604</v>
      </c>
      <c r="C247" s="39" t="s">
        <v>605</v>
      </c>
      <c r="D247" s="40">
        <v>42191</v>
      </c>
      <c r="E247" s="37" t="s">
        <v>118</v>
      </c>
      <c r="F247" s="39" t="s">
        <v>121</v>
      </c>
      <c r="G247" s="39"/>
      <c r="H247" s="37" t="s">
        <v>120</v>
      </c>
      <c r="I247" s="39">
        <v>112</v>
      </c>
      <c r="J247" s="40"/>
      <c r="K247" s="39" t="s">
        <v>83</v>
      </c>
      <c r="L247" s="41"/>
      <c r="M247" s="39"/>
      <c r="N247" s="39" t="s">
        <v>219</v>
      </c>
      <c r="O247" s="39"/>
    </row>
    <row r="248" spans="1:15" x14ac:dyDescent="0.25">
      <c r="A248" s="37" t="s">
        <v>752</v>
      </c>
      <c r="B248" s="37" t="s">
        <v>607</v>
      </c>
      <c r="C248" s="39" t="s">
        <v>608</v>
      </c>
      <c r="D248" s="40">
        <v>42191</v>
      </c>
      <c r="E248" s="37" t="s">
        <v>118</v>
      </c>
      <c r="F248" s="39" t="s">
        <v>121</v>
      </c>
      <c r="G248" s="39"/>
      <c r="H248" s="37" t="s">
        <v>120</v>
      </c>
      <c r="I248" s="39">
        <v>113</v>
      </c>
      <c r="J248" s="40"/>
      <c r="K248" s="39" t="s">
        <v>83</v>
      </c>
      <c r="L248" s="41"/>
      <c r="M248" s="39"/>
      <c r="N248" s="39" t="s">
        <v>219</v>
      </c>
      <c r="O248" s="39"/>
    </row>
    <row r="249" spans="1:15" x14ac:dyDescent="0.25">
      <c r="A249" s="37" t="s">
        <v>449</v>
      </c>
      <c r="B249" s="37" t="s">
        <v>347</v>
      </c>
      <c r="C249" s="39" t="s">
        <v>171</v>
      </c>
      <c r="D249" s="40">
        <v>42184</v>
      </c>
      <c r="E249" s="37" t="s">
        <v>118</v>
      </c>
      <c r="F249" s="39" t="s">
        <v>121</v>
      </c>
      <c r="G249" s="39"/>
      <c r="H249" s="37" t="s">
        <v>120</v>
      </c>
      <c r="I249" s="39">
        <v>114</v>
      </c>
      <c r="J249" s="40"/>
      <c r="K249" s="39" t="s">
        <v>83</v>
      </c>
      <c r="L249" s="41"/>
      <c r="M249" s="39"/>
      <c r="N249" s="39" t="s">
        <v>219</v>
      </c>
      <c r="O249" s="39"/>
    </row>
    <row r="250" spans="1:15" x14ac:dyDescent="0.25">
      <c r="A250" s="37" t="s">
        <v>753</v>
      </c>
      <c r="B250" s="37" t="s">
        <v>616</v>
      </c>
      <c r="C250" s="39" t="s">
        <v>617</v>
      </c>
      <c r="D250" s="40">
        <v>42191</v>
      </c>
      <c r="E250" s="37" t="s">
        <v>118</v>
      </c>
      <c r="F250" s="39" t="s">
        <v>121</v>
      </c>
      <c r="G250" s="39"/>
      <c r="H250" s="37" t="s">
        <v>120</v>
      </c>
      <c r="I250" s="39">
        <v>114</v>
      </c>
      <c r="J250" s="40"/>
      <c r="K250" s="39" t="s">
        <v>83</v>
      </c>
      <c r="L250" s="41"/>
      <c r="M250" s="39"/>
      <c r="N250" s="39" t="s">
        <v>219</v>
      </c>
      <c r="O250" s="39"/>
    </row>
    <row r="251" spans="1:15" x14ac:dyDescent="0.25">
      <c r="A251" s="37" t="s">
        <v>450</v>
      </c>
      <c r="B251" s="37" t="s">
        <v>353</v>
      </c>
      <c r="C251" s="39" t="s">
        <v>174</v>
      </c>
      <c r="D251" s="40">
        <v>42184</v>
      </c>
      <c r="E251" s="37" t="s">
        <v>118</v>
      </c>
      <c r="F251" s="39" t="s">
        <v>121</v>
      </c>
      <c r="G251" s="39"/>
      <c r="H251" s="37" t="s">
        <v>120</v>
      </c>
      <c r="I251" s="39">
        <v>115</v>
      </c>
      <c r="J251" s="40"/>
      <c r="K251" s="39" t="s">
        <v>83</v>
      </c>
      <c r="L251" s="41"/>
      <c r="M251" s="39"/>
      <c r="N251" s="39" t="s">
        <v>219</v>
      </c>
      <c r="O251" s="39"/>
    </row>
    <row r="252" spans="1:15" x14ac:dyDescent="0.25">
      <c r="A252" s="37" t="s">
        <v>754</v>
      </c>
      <c r="B252" s="37" t="s">
        <v>628</v>
      </c>
      <c r="C252" s="39" t="s">
        <v>629</v>
      </c>
      <c r="D252" s="40">
        <v>42191</v>
      </c>
      <c r="E252" s="37" t="s">
        <v>118</v>
      </c>
      <c r="F252" s="39" t="s">
        <v>121</v>
      </c>
      <c r="G252" s="39"/>
      <c r="H252" s="37" t="s">
        <v>120</v>
      </c>
      <c r="I252" s="39">
        <v>115</v>
      </c>
      <c r="J252" s="40"/>
      <c r="K252" s="39" t="s">
        <v>83</v>
      </c>
      <c r="L252" s="41"/>
      <c r="M252" s="39"/>
      <c r="N252" s="39" t="s">
        <v>219</v>
      </c>
      <c r="O252" s="39"/>
    </row>
    <row r="253" spans="1:15" x14ac:dyDescent="0.25">
      <c r="A253" s="37" t="s">
        <v>451</v>
      </c>
      <c r="B253" s="37" t="s">
        <v>373</v>
      </c>
      <c r="C253" s="39" t="s">
        <v>184</v>
      </c>
      <c r="D253" s="40">
        <v>42184</v>
      </c>
      <c r="E253" s="37" t="s">
        <v>118</v>
      </c>
      <c r="F253" s="39" t="s">
        <v>121</v>
      </c>
      <c r="G253" s="39"/>
      <c r="H253" s="37" t="s">
        <v>120</v>
      </c>
      <c r="I253" s="39">
        <v>116</v>
      </c>
      <c r="J253" s="40"/>
      <c r="K253" s="39" t="s">
        <v>83</v>
      </c>
      <c r="L253" s="41"/>
      <c r="M253" s="39"/>
      <c r="N253" s="39" t="s">
        <v>219</v>
      </c>
      <c r="O253" s="39"/>
    </row>
    <row r="254" spans="1:15" x14ac:dyDescent="0.25">
      <c r="A254" s="37" t="s">
        <v>755</v>
      </c>
      <c r="B254" s="37" t="s">
        <v>637</v>
      </c>
      <c r="C254" s="39" t="s">
        <v>638</v>
      </c>
      <c r="D254" s="40">
        <v>42191</v>
      </c>
      <c r="E254" s="37" t="s">
        <v>118</v>
      </c>
      <c r="F254" s="39" t="s">
        <v>121</v>
      </c>
      <c r="G254" s="39"/>
      <c r="H254" s="37" t="s">
        <v>120</v>
      </c>
      <c r="I254" s="39">
        <v>116</v>
      </c>
      <c r="J254" s="40"/>
      <c r="K254" s="39" t="s">
        <v>83</v>
      </c>
      <c r="L254" s="41"/>
      <c r="M254" s="39"/>
      <c r="N254" s="39" t="s">
        <v>219</v>
      </c>
      <c r="O254" s="39"/>
    </row>
    <row r="255" spans="1:15" x14ac:dyDescent="0.25">
      <c r="A255" s="37" t="s">
        <v>759</v>
      </c>
      <c r="B255" s="37" t="s">
        <v>652</v>
      </c>
      <c r="C255" s="39" t="s">
        <v>653</v>
      </c>
      <c r="D255" s="40">
        <v>42191</v>
      </c>
      <c r="E255" s="37" t="s">
        <v>118</v>
      </c>
      <c r="F255" s="39" t="s">
        <v>121</v>
      </c>
      <c r="G255" s="39"/>
      <c r="H255" s="37" t="s">
        <v>120</v>
      </c>
      <c r="I255" s="39">
        <v>118</v>
      </c>
      <c r="J255" s="40"/>
      <c r="K255" s="39" t="s">
        <v>83</v>
      </c>
      <c r="L255" s="41"/>
      <c r="M255" s="39"/>
      <c r="N255" s="39" t="s">
        <v>219</v>
      </c>
      <c r="O255" s="39"/>
    </row>
    <row r="256" spans="1:15" x14ac:dyDescent="0.25">
      <c r="A256" s="37" t="s">
        <v>714</v>
      </c>
      <c r="B256" s="37">
        <v>11297703</v>
      </c>
      <c r="C256" s="39" t="s">
        <v>716</v>
      </c>
      <c r="D256" s="40">
        <v>42191</v>
      </c>
      <c r="E256" s="37" t="s">
        <v>118</v>
      </c>
      <c r="F256" s="39" t="s">
        <v>121</v>
      </c>
      <c r="G256" s="39"/>
      <c r="H256" s="37" t="s">
        <v>120</v>
      </c>
      <c r="I256" s="39">
        <v>89</v>
      </c>
      <c r="J256" s="40"/>
      <c r="K256" s="39" t="s">
        <v>766</v>
      </c>
      <c r="L256" s="41"/>
      <c r="M256" s="39"/>
      <c r="N256" s="39" t="s">
        <v>219</v>
      </c>
      <c r="O256" s="39" t="s">
        <v>767</v>
      </c>
    </row>
    <row r="257" spans="1:15" x14ac:dyDescent="0.25">
      <c r="A257" s="37" t="s">
        <v>777</v>
      </c>
      <c r="B257" s="37" t="s">
        <v>778</v>
      </c>
      <c r="C257" s="39" t="s">
        <v>779</v>
      </c>
      <c r="D257" s="40">
        <v>42198</v>
      </c>
      <c r="E257" s="37" t="s">
        <v>118</v>
      </c>
      <c r="F257" s="39" t="s">
        <v>121</v>
      </c>
      <c r="G257" s="39"/>
      <c r="H257" s="37" t="s">
        <v>120</v>
      </c>
      <c r="I257" s="39">
        <v>2</v>
      </c>
      <c r="J257" s="40"/>
      <c r="K257" s="39"/>
      <c r="L257" s="41"/>
      <c r="M257" s="39"/>
      <c r="N257" s="39" t="s">
        <v>220</v>
      </c>
      <c r="O257" s="39"/>
    </row>
    <row r="258" spans="1:15" x14ac:dyDescent="0.25">
      <c r="A258" s="37" t="s">
        <v>780</v>
      </c>
      <c r="B258" s="37" t="s">
        <v>781</v>
      </c>
      <c r="C258" s="39" t="s">
        <v>782</v>
      </c>
      <c r="D258" s="40">
        <v>42198</v>
      </c>
      <c r="E258" s="37" t="s">
        <v>118</v>
      </c>
      <c r="F258" s="39" t="s">
        <v>121</v>
      </c>
      <c r="G258" s="39"/>
      <c r="H258" s="37" t="s">
        <v>120</v>
      </c>
      <c r="I258" s="39">
        <v>3</v>
      </c>
      <c r="J258" s="40"/>
      <c r="K258" s="39"/>
      <c r="L258" s="41"/>
      <c r="M258" s="39"/>
      <c r="N258" s="39" t="s">
        <v>220</v>
      </c>
      <c r="O258" s="39"/>
    </row>
    <row r="259" spans="1:15" x14ac:dyDescent="0.25">
      <c r="A259" s="37" t="s">
        <v>783</v>
      </c>
      <c r="B259" s="37" t="s">
        <v>784</v>
      </c>
      <c r="C259" s="39" t="s">
        <v>785</v>
      </c>
      <c r="D259" s="40">
        <v>42198</v>
      </c>
      <c r="E259" s="37" t="s">
        <v>118</v>
      </c>
      <c r="F259" s="39" t="s">
        <v>121</v>
      </c>
      <c r="G259" s="39"/>
      <c r="H259" s="37" t="s">
        <v>120</v>
      </c>
      <c r="I259" s="39">
        <v>4</v>
      </c>
      <c r="J259" s="40"/>
      <c r="K259" s="39"/>
      <c r="L259" s="41"/>
      <c r="M259" s="39"/>
      <c r="N259" s="39" t="s">
        <v>220</v>
      </c>
      <c r="O259" s="39"/>
    </row>
    <row r="260" spans="1:15" x14ac:dyDescent="0.25">
      <c r="A260" s="37" t="s">
        <v>786</v>
      </c>
      <c r="B260" s="37" t="s">
        <v>787</v>
      </c>
      <c r="C260" s="39" t="s">
        <v>788</v>
      </c>
      <c r="D260" s="40">
        <v>42198</v>
      </c>
      <c r="E260" s="37" t="s">
        <v>118</v>
      </c>
      <c r="F260" s="39" t="s">
        <v>121</v>
      </c>
      <c r="G260" s="39"/>
      <c r="H260" s="37" t="s">
        <v>120</v>
      </c>
      <c r="I260" s="39">
        <v>5</v>
      </c>
      <c r="J260" s="40"/>
      <c r="K260" s="39"/>
      <c r="L260" s="41"/>
      <c r="M260" s="39"/>
      <c r="N260" s="39" t="s">
        <v>220</v>
      </c>
      <c r="O260" s="39"/>
    </row>
    <row r="261" spans="1:15" x14ac:dyDescent="0.25">
      <c r="A261" s="37" t="s">
        <v>798</v>
      </c>
      <c r="B261" s="37" t="s">
        <v>799</v>
      </c>
      <c r="C261" s="39" t="s">
        <v>800</v>
      </c>
      <c r="D261" s="40">
        <v>42198</v>
      </c>
      <c r="E261" s="37" t="s">
        <v>118</v>
      </c>
      <c r="F261" s="39" t="s">
        <v>121</v>
      </c>
      <c r="G261" s="39"/>
      <c r="H261" s="37" t="s">
        <v>120</v>
      </c>
      <c r="I261" s="39">
        <v>9</v>
      </c>
      <c r="J261" s="40"/>
      <c r="K261" s="39"/>
      <c r="L261" s="41"/>
      <c r="M261" s="39"/>
      <c r="N261" s="39" t="s">
        <v>220</v>
      </c>
      <c r="O261" s="39"/>
    </row>
    <row r="262" spans="1:15" x14ac:dyDescent="0.25">
      <c r="A262" s="37" t="s">
        <v>801</v>
      </c>
      <c r="B262" s="37" t="s">
        <v>802</v>
      </c>
      <c r="C262" s="39" t="s">
        <v>803</v>
      </c>
      <c r="D262" s="40">
        <v>42198</v>
      </c>
      <c r="E262" s="37" t="s">
        <v>118</v>
      </c>
      <c r="F262" s="39" t="s">
        <v>121</v>
      </c>
      <c r="G262" s="39"/>
      <c r="H262" s="37" t="s">
        <v>120</v>
      </c>
      <c r="I262" s="39">
        <v>10</v>
      </c>
      <c r="J262" s="40"/>
      <c r="K262" s="39"/>
      <c r="L262" s="41"/>
      <c r="M262" s="39"/>
      <c r="N262" s="39" t="s">
        <v>220</v>
      </c>
      <c r="O262" s="39"/>
    </row>
    <row r="263" spans="1:15" x14ac:dyDescent="0.25">
      <c r="A263" s="37" t="s">
        <v>804</v>
      </c>
      <c r="B263" s="37" t="s">
        <v>805</v>
      </c>
      <c r="C263" s="39" t="s">
        <v>806</v>
      </c>
      <c r="D263" s="40">
        <v>42198</v>
      </c>
      <c r="E263" s="37" t="s">
        <v>118</v>
      </c>
      <c r="F263" s="39" t="s">
        <v>121</v>
      </c>
      <c r="G263" s="39"/>
      <c r="H263" s="37" t="s">
        <v>120</v>
      </c>
      <c r="I263" s="39">
        <v>11</v>
      </c>
      <c r="J263" s="40"/>
      <c r="K263" s="39"/>
      <c r="L263" s="41"/>
      <c r="M263" s="39"/>
      <c r="N263" s="39" t="s">
        <v>220</v>
      </c>
      <c r="O263" s="39"/>
    </row>
    <row r="264" spans="1:15" x14ac:dyDescent="0.25">
      <c r="A264" s="37" t="s">
        <v>807</v>
      </c>
      <c r="B264" s="37" t="s">
        <v>808</v>
      </c>
      <c r="C264" s="39" t="s">
        <v>809</v>
      </c>
      <c r="D264" s="40">
        <v>42198</v>
      </c>
      <c r="E264" s="37" t="s">
        <v>118</v>
      </c>
      <c r="F264" s="39" t="s">
        <v>121</v>
      </c>
      <c r="G264" s="39"/>
      <c r="H264" s="37" t="s">
        <v>120</v>
      </c>
      <c r="I264" s="39">
        <v>12</v>
      </c>
      <c r="J264" s="40"/>
      <c r="K264" s="39"/>
      <c r="L264" s="41"/>
      <c r="M264" s="39"/>
      <c r="N264" s="39" t="s">
        <v>220</v>
      </c>
      <c r="O264" s="39"/>
    </row>
    <row r="265" spans="1:15" x14ac:dyDescent="0.25">
      <c r="A265" s="37" t="s">
        <v>810</v>
      </c>
      <c r="B265" s="37" t="s">
        <v>811</v>
      </c>
      <c r="C265" s="39" t="s">
        <v>812</v>
      </c>
      <c r="D265" s="40">
        <v>42198</v>
      </c>
      <c r="E265" s="37" t="s">
        <v>118</v>
      </c>
      <c r="F265" s="39" t="s">
        <v>121</v>
      </c>
      <c r="G265" s="39"/>
      <c r="H265" s="37" t="s">
        <v>120</v>
      </c>
      <c r="I265" s="39">
        <v>13</v>
      </c>
      <c r="J265" s="40"/>
      <c r="K265" s="39"/>
      <c r="L265" s="41"/>
      <c r="M265" s="39"/>
      <c r="N265" s="39" t="s">
        <v>220</v>
      </c>
      <c r="O265" s="39"/>
    </row>
    <row r="266" spans="1:15" x14ac:dyDescent="0.25">
      <c r="A266" s="37" t="s">
        <v>813</v>
      </c>
      <c r="B266" s="37" t="s">
        <v>814</v>
      </c>
      <c r="C266" s="39" t="s">
        <v>815</v>
      </c>
      <c r="D266" s="40">
        <v>42198</v>
      </c>
      <c r="E266" s="37" t="s">
        <v>118</v>
      </c>
      <c r="F266" s="39" t="s">
        <v>121</v>
      </c>
      <c r="G266" s="39"/>
      <c r="H266" s="37" t="s">
        <v>120</v>
      </c>
      <c r="I266" s="39">
        <v>14</v>
      </c>
      <c r="J266" s="40"/>
      <c r="K266" s="39"/>
      <c r="L266" s="41"/>
      <c r="M266" s="39"/>
      <c r="N266" s="39" t="s">
        <v>220</v>
      </c>
      <c r="O266" s="39"/>
    </row>
    <row r="267" spans="1:15" x14ac:dyDescent="0.25">
      <c r="A267" s="37" t="s">
        <v>816</v>
      </c>
      <c r="B267" s="37" t="s">
        <v>817</v>
      </c>
      <c r="C267" s="39" t="s">
        <v>818</v>
      </c>
      <c r="D267" s="40">
        <v>42198</v>
      </c>
      <c r="E267" s="37" t="s">
        <v>118</v>
      </c>
      <c r="F267" s="39" t="s">
        <v>121</v>
      </c>
      <c r="G267" s="39"/>
      <c r="H267" s="37" t="s">
        <v>120</v>
      </c>
      <c r="I267" s="39">
        <v>15</v>
      </c>
      <c r="J267" s="40"/>
      <c r="K267" s="39"/>
      <c r="L267" s="41"/>
      <c r="M267" s="39"/>
      <c r="N267" s="39" t="s">
        <v>220</v>
      </c>
      <c r="O267" s="39"/>
    </row>
    <row r="268" spans="1:15" x14ac:dyDescent="0.25">
      <c r="A268" s="37" t="s">
        <v>819</v>
      </c>
      <c r="B268" s="37" t="s">
        <v>820</v>
      </c>
      <c r="C268" s="39" t="s">
        <v>821</v>
      </c>
      <c r="D268" s="40">
        <v>42198</v>
      </c>
      <c r="E268" s="37" t="s">
        <v>118</v>
      </c>
      <c r="F268" s="39" t="s">
        <v>121</v>
      </c>
      <c r="G268" s="39"/>
      <c r="H268" s="37" t="s">
        <v>120</v>
      </c>
      <c r="I268" s="39">
        <v>16</v>
      </c>
      <c r="J268" s="40"/>
      <c r="K268" s="39"/>
      <c r="L268" s="41"/>
      <c r="M268" s="39"/>
      <c r="N268" s="39" t="s">
        <v>220</v>
      </c>
      <c r="O268" s="39"/>
    </row>
    <row r="269" spans="1:15" x14ac:dyDescent="0.25">
      <c r="A269" s="37" t="s">
        <v>822</v>
      </c>
      <c r="B269" s="37" t="s">
        <v>823</v>
      </c>
      <c r="C269" s="39" t="s">
        <v>824</v>
      </c>
      <c r="D269" s="40">
        <v>42198</v>
      </c>
      <c r="E269" s="37" t="s">
        <v>118</v>
      </c>
      <c r="F269" s="39" t="s">
        <v>121</v>
      </c>
      <c r="G269" s="39"/>
      <c r="H269" s="37" t="s">
        <v>120</v>
      </c>
      <c r="I269" s="39">
        <v>17</v>
      </c>
      <c r="J269" s="40"/>
      <c r="K269" s="39"/>
      <c r="L269" s="41"/>
      <c r="M269" s="39"/>
      <c r="N269" s="39" t="s">
        <v>220</v>
      </c>
      <c r="O269" s="39"/>
    </row>
    <row r="270" spans="1:15" x14ac:dyDescent="0.25">
      <c r="A270" s="37" t="s">
        <v>825</v>
      </c>
      <c r="B270" s="37" t="s">
        <v>826</v>
      </c>
      <c r="C270" s="39" t="s">
        <v>827</v>
      </c>
      <c r="D270" s="40">
        <v>42198</v>
      </c>
      <c r="E270" s="37" t="s">
        <v>118</v>
      </c>
      <c r="F270" s="39" t="s">
        <v>121</v>
      </c>
      <c r="G270" s="39"/>
      <c r="H270" s="37" t="s">
        <v>120</v>
      </c>
      <c r="I270" s="39">
        <v>18</v>
      </c>
      <c r="J270" s="40"/>
      <c r="K270" s="39"/>
      <c r="L270" s="41"/>
      <c r="M270" s="39"/>
      <c r="N270" s="39" t="s">
        <v>220</v>
      </c>
      <c r="O270" s="39"/>
    </row>
    <row r="271" spans="1:15" x14ac:dyDescent="0.25">
      <c r="A271" s="37" t="s">
        <v>828</v>
      </c>
      <c r="B271" s="37" t="s">
        <v>829</v>
      </c>
      <c r="C271" s="39" t="s">
        <v>830</v>
      </c>
      <c r="D271" s="40">
        <v>42198</v>
      </c>
      <c r="E271" s="37" t="s">
        <v>118</v>
      </c>
      <c r="F271" s="39" t="s">
        <v>121</v>
      </c>
      <c r="G271" s="39"/>
      <c r="H271" s="37" t="s">
        <v>120</v>
      </c>
      <c r="I271" s="39">
        <v>19</v>
      </c>
      <c r="J271" s="40"/>
      <c r="K271" s="39"/>
      <c r="L271" s="41"/>
      <c r="M271" s="39"/>
      <c r="N271" s="39" t="s">
        <v>220</v>
      </c>
      <c r="O271" s="39"/>
    </row>
    <row r="272" spans="1:15" x14ac:dyDescent="0.25">
      <c r="A272" s="37" t="s">
        <v>831</v>
      </c>
      <c r="B272" s="37" t="s">
        <v>832</v>
      </c>
      <c r="C272" s="39" t="s">
        <v>833</v>
      </c>
      <c r="D272" s="40">
        <v>42198</v>
      </c>
      <c r="E272" s="37" t="s">
        <v>118</v>
      </c>
      <c r="F272" s="39" t="s">
        <v>121</v>
      </c>
      <c r="G272" s="39"/>
      <c r="H272" s="37" t="s">
        <v>120</v>
      </c>
      <c r="I272" s="39">
        <v>20</v>
      </c>
      <c r="J272" s="40"/>
      <c r="K272" s="39"/>
      <c r="L272" s="41"/>
      <c r="M272" s="39"/>
      <c r="N272" s="39" t="s">
        <v>220</v>
      </c>
      <c r="O272" s="39"/>
    </row>
    <row r="273" spans="1:15" x14ac:dyDescent="0.25">
      <c r="A273" s="37" t="s">
        <v>837</v>
      </c>
      <c r="B273" s="37" t="s">
        <v>838</v>
      </c>
      <c r="C273" s="39" t="s">
        <v>839</v>
      </c>
      <c r="D273" s="40">
        <v>42198</v>
      </c>
      <c r="E273" s="37" t="s">
        <v>118</v>
      </c>
      <c r="F273" s="39" t="s">
        <v>121</v>
      </c>
      <c r="G273" s="39"/>
      <c r="H273" s="37" t="s">
        <v>120</v>
      </c>
      <c r="I273" s="39">
        <v>22</v>
      </c>
      <c r="J273" s="40"/>
      <c r="K273" s="39"/>
      <c r="L273" s="41"/>
      <c r="M273" s="39"/>
      <c r="N273" s="39" t="s">
        <v>220</v>
      </c>
      <c r="O273" s="39"/>
    </row>
    <row r="274" spans="1:15" x14ac:dyDescent="0.25">
      <c r="A274" s="37" t="s">
        <v>840</v>
      </c>
      <c r="B274" s="37" t="s">
        <v>841</v>
      </c>
      <c r="C274" s="39" t="s">
        <v>842</v>
      </c>
      <c r="D274" s="40">
        <v>42198</v>
      </c>
      <c r="E274" s="37" t="s">
        <v>118</v>
      </c>
      <c r="F274" s="39" t="s">
        <v>121</v>
      </c>
      <c r="G274" s="39"/>
      <c r="H274" s="37" t="s">
        <v>120</v>
      </c>
      <c r="I274" s="39">
        <v>23</v>
      </c>
      <c r="J274" s="40"/>
      <c r="K274" s="39"/>
      <c r="L274" s="41"/>
      <c r="M274" s="39"/>
      <c r="N274" s="39" t="s">
        <v>220</v>
      </c>
      <c r="O274" s="39"/>
    </row>
    <row r="275" spans="1:15" x14ac:dyDescent="0.25">
      <c r="A275" s="37" t="s">
        <v>843</v>
      </c>
      <c r="B275" s="37" t="s">
        <v>844</v>
      </c>
      <c r="C275" s="39" t="s">
        <v>845</v>
      </c>
      <c r="D275" s="40">
        <v>42198</v>
      </c>
      <c r="E275" s="37" t="s">
        <v>118</v>
      </c>
      <c r="F275" s="39" t="s">
        <v>121</v>
      </c>
      <c r="G275" s="39"/>
      <c r="H275" s="37" t="s">
        <v>120</v>
      </c>
      <c r="I275" s="39">
        <v>24</v>
      </c>
      <c r="J275" s="40"/>
      <c r="K275" s="39"/>
      <c r="L275" s="41"/>
      <c r="M275" s="39"/>
      <c r="N275" s="39" t="s">
        <v>220</v>
      </c>
      <c r="O275" s="39"/>
    </row>
    <row r="276" spans="1:15" x14ac:dyDescent="0.25">
      <c r="A276" s="37" t="s">
        <v>849</v>
      </c>
      <c r="B276" s="37" t="s">
        <v>850</v>
      </c>
      <c r="C276" s="39" t="s">
        <v>851</v>
      </c>
      <c r="D276" s="40">
        <v>42198</v>
      </c>
      <c r="E276" s="37" t="s">
        <v>118</v>
      </c>
      <c r="F276" s="39" t="s">
        <v>121</v>
      </c>
      <c r="G276" s="39"/>
      <c r="H276" s="37" t="s">
        <v>120</v>
      </c>
      <c r="I276" s="39">
        <v>26</v>
      </c>
      <c r="J276" s="40"/>
      <c r="K276" s="39"/>
      <c r="L276" s="41"/>
      <c r="M276" s="39"/>
      <c r="N276" s="39" t="s">
        <v>220</v>
      </c>
      <c r="O276" s="39"/>
    </row>
    <row r="277" spans="1:15" x14ac:dyDescent="0.25">
      <c r="A277" s="37" t="s">
        <v>852</v>
      </c>
      <c r="B277" s="37" t="s">
        <v>853</v>
      </c>
      <c r="C277" s="39" t="s">
        <v>854</v>
      </c>
      <c r="D277" s="40">
        <v>42198</v>
      </c>
      <c r="E277" s="37" t="s">
        <v>118</v>
      </c>
      <c r="F277" s="39" t="s">
        <v>121</v>
      </c>
      <c r="G277" s="39"/>
      <c r="H277" s="37" t="s">
        <v>120</v>
      </c>
      <c r="I277" s="39">
        <v>27</v>
      </c>
      <c r="J277" s="40"/>
      <c r="K277" s="39"/>
      <c r="L277" s="41"/>
      <c r="M277" s="39"/>
      <c r="N277" s="39" t="s">
        <v>220</v>
      </c>
      <c r="O277" s="39"/>
    </row>
    <row r="278" spans="1:15" x14ac:dyDescent="0.25">
      <c r="A278" s="37" t="s">
        <v>855</v>
      </c>
      <c r="B278" s="37" t="s">
        <v>856</v>
      </c>
      <c r="C278" s="39" t="s">
        <v>857</v>
      </c>
      <c r="D278" s="40">
        <v>42198</v>
      </c>
      <c r="E278" s="37" t="s">
        <v>118</v>
      </c>
      <c r="F278" s="39" t="s">
        <v>121</v>
      </c>
      <c r="G278" s="39"/>
      <c r="H278" s="37" t="s">
        <v>120</v>
      </c>
      <c r="I278" s="39">
        <v>28</v>
      </c>
      <c r="J278" s="40"/>
      <c r="K278" s="39"/>
      <c r="L278" s="41"/>
      <c r="M278" s="39"/>
      <c r="N278" s="39" t="s">
        <v>220</v>
      </c>
      <c r="O278" s="39"/>
    </row>
    <row r="279" spans="1:15" x14ac:dyDescent="0.25">
      <c r="A279" s="37" t="s">
        <v>858</v>
      </c>
      <c r="B279" s="37" t="s">
        <v>859</v>
      </c>
      <c r="C279" s="39" t="s">
        <v>860</v>
      </c>
      <c r="D279" s="40">
        <v>42198</v>
      </c>
      <c r="E279" s="37" t="s">
        <v>118</v>
      </c>
      <c r="F279" s="39" t="s">
        <v>121</v>
      </c>
      <c r="G279" s="39"/>
      <c r="H279" s="37" t="s">
        <v>120</v>
      </c>
      <c r="I279" s="39">
        <v>29</v>
      </c>
      <c r="J279" s="40"/>
      <c r="K279" s="39"/>
      <c r="L279" s="41"/>
      <c r="M279" s="39"/>
      <c r="N279" s="39" t="s">
        <v>220</v>
      </c>
      <c r="O279" s="39"/>
    </row>
    <row r="280" spans="1:15" x14ac:dyDescent="0.25">
      <c r="A280" s="37" t="s">
        <v>861</v>
      </c>
      <c r="B280" s="37" t="s">
        <v>862</v>
      </c>
      <c r="C280" s="39" t="s">
        <v>863</v>
      </c>
      <c r="D280" s="40">
        <v>42198</v>
      </c>
      <c r="E280" s="37" t="s">
        <v>118</v>
      </c>
      <c r="F280" s="39" t="s">
        <v>121</v>
      </c>
      <c r="G280" s="39"/>
      <c r="H280" s="37" t="s">
        <v>120</v>
      </c>
      <c r="I280" s="39">
        <v>30</v>
      </c>
      <c r="J280" s="40"/>
      <c r="K280" s="39"/>
      <c r="L280" s="41"/>
      <c r="M280" s="39"/>
      <c r="N280" s="39" t="s">
        <v>220</v>
      </c>
      <c r="O280" s="39"/>
    </row>
    <row r="281" spans="1:15" x14ac:dyDescent="0.25">
      <c r="A281" s="37" t="s">
        <v>864</v>
      </c>
      <c r="B281" s="37" t="s">
        <v>865</v>
      </c>
      <c r="C281" s="39" t="s">
        <v>866</v>
      </c>
      <c r="D281" s="40">
        <v>42198</v>
      </c>
      <c r="E281" s="37" t="s">
        <v>118</v>
      </c>
      <c r="F281" s="39" t="s">
        <v>121</v>
      </c>
      <c r="G281" s="39"/>
      <c r="H281" s="37" t="s">
        <v>120</v>
      </c>
      <c r="I281" s="39">
        <v>31</v>
      </c>
      <c r="J281" s="40"/>
      <c r="K281" s="39"/>
      <c r="L281" s="41"/>
      <c r="M281" s="39"/>
      <c r="N281" s="39" t="s">
        <v>220</v>
      </c>
      <c r="O281" s="39"/>
    </row>
    <row r="282" spans="1:15" x14ac:dyDescent="0.25">
      <c r="A282" s="37" t="s">
        <v>867</v>
      </c>
      <c r="B282" s="37" t="s">
        <v>868</v>
      </c>
      <c r="C282" s="39" t="s">
        <v>869</v>
      </c>
      <c r="D282" s="40">
        <v>42198</v>
      </c>
      <c r="E282" s="37" t="s">
        <v>118</v>
      </c>
      <c r="F282" s="39" t="s">
        <v>121</v>
      </c>
      <c r="G282" s="39"/>
      <c r="H282" s="37" t="s">
        <v>120</v>
      </c>
      <c r="I282" s="39">
        <v>32</v>
      </c>
      <c r="J282" s="40"/>
      <c r="K282" s="39"/>
      <c r="L282" s="41"/>
      <c r="M282" s="39"/>
      <c r="N282" s="39" t="s">
        <v>220</v>
      </c>
      <c r="O282" s="39"/>
    </row>
    <row r="283" spans="1:15" x14ac:dyDescent="0.25">
      <c r="A283" s="37" t="s">
        <v>870</v>
      </c>
      <c r="B283" s="37" t="s">
        <v>871</v>
      </c>
      <c r="C283" s="39" t="s">
        <v>872</v>
      </c>
      <c r="D283" s="40">
        <v>42198</v>
      </c>
      <c r="E283" s="37" t="s">
        <v>118</v>
      </c>
      <c r="F283" s="39" t="s">
        <v>121</v>
      </c>
      <c r="G283" s="39"/>
      <c r="H283" s="37" t="s">
        <v>120</v>
      </c>
      <c r="I283" s="39">
        <v>33</v>
      </c>
      <c r="J283" s="40"/>
      <c r="K283" s="39"/>
      <c r="L283" s="41"/>
      <c r="M283" s="39"/>
      <c r="N283" s="39" t="s">
        <v>220</v>
      </c>
      <c r="O283" s="39"/>
    </row>
    <row r="284" spans="1:15" x14ac:dyDescent="0.25">
      <c r="A284" s="37" t="s">
        <v>873</v>
      </c>
      <c r="B284" s="37" t="s">
        <v>874</v>
      </c>
      <c r="C284" s="39" t="s">
        <v>875</v>
      </c>
      <c r="D284" s="40">
        <v>42198</v>
      </c>
      <c r="E284" s="37" t="s">
        <v>118</v>
      </c>
      <c r="F284" s="39" t="s">
        <v>121</v>
      </c>
      <c r="G284" s="39"/>
      <c r="H284" s="37" t="s">
        <v>120</v>
      </c>
      <c r="I284" s="39">
        <v>34</v>
      </c>
      <c r="J284" s="40"/>
      <c r="K284" s="39"/>
      <c r="L284" s="41"/>
      <c r="M284" s="39"/>
      <c r="N284" s="39" t="s">
        <v>220</v>
      </c>
      <c r="O284" s="39"/>
    </row>
    <row r="285" spans="1:15" x14ac:dyDescent="0.25">
      <c r="A285" s="37" t="s">
        <v>876</v>
      </c>
      <c r="B285" s="37" t="s">
        <v>877</v>
      </c>
      <c r="C285" s="39" t="s">
        <v>878</v>
      </c>
      <c r="D285" s="40">
        <v>42198</v>
      </c>
      <c r="E285" s="37" t="s">
        <v>118</v>
      </c>
      <c r="F285" s="39" t="s">
        <v>121</v>
      </c>
      <c r="G285" s="39"/>
      <c r="H285" s="37" t="s">
        <v>120</v>
      </c>
      <c r="I285" s="39">
        <v>35</v>
      </c>
      <c r="J285" s="40"/>
      <c r="K285" s="39"/>
      <c r="L285" s="41"/>
      <c r="M285" s="39"/>
      <c r="N285" s="39" t="s">
        <v>220</v>
      </c>
      <c r="O285" s="39"/>
    </row>
    <row r="286" spans="1:15" x14ac:dyDescent="0.25">
      <c r="A286" s="37" t="s">
        <v>879</v>
      </c>
      <c r="B286" s="37" t="s">
        <v>880</v>
      </c>
      <c r="C286" s="39" t="s">
        <v>881</v>
      </c>
      <c r="D286" s="40">
        <v>42198</v>
      </c>
      <c r="E286" s="37" t="s">
        <v>118</v>
      </c>
      <c r="F286" s="39" t="s">
        <v>121</v>
      </c>
      <c r="G286" s="39"/>
      <c r="H286" s="37" t="s">
        <v>120</v>
      </c>
      <c r="I286" s="39">
        <v>36</v>
      </c>
      <c r="J286" s="40"/>
      <c r="K286" s="39"/>
      <c r="L286" s="41"/>
      <c r="M286" s="39"/>
      <c r="N286" s="39" t="s">
        <v>220</v>
      </c>
      <c r="O286" s="39"/>
    </row>
    <row r="287" spans="1:15" x14ac:dyDescent="0.25">
      <c r="A287" s="37" t="s">
        <v>882</v>
      </c>
      <c r="B287" s="37" t="s">
        <v>883</v>
      </c>
      <c r="C287" s="39" t="s">
        <v>884</v>
      </c>
      <c r="D287" s="40">
        <v>42198</v>
      </c>
      <c r="E287" s="37" t="s">
        <v>118</v>
      </c>
      <c r="F287" s="39" t="s">
        <v>121</v>
      </c>
      <c r="G287" s="39"/>
      <c r="H287" s="37" t="s">
        <v>120</v>
      </c>
      <c r="I287" s="39">
        <v>37</v>
      </c>
      <c r="J287" s="40"/>
      <c r="K287" s="39"/>
      <c r="L287" s="41"/>
      <c r="M287" s="39"/>
      <c r="N287" s="39" t="s">
        <v>220</v>
      </c>
      <c r="O287" s="39"/>
    </row>
    <row r="288" spans="1:15" x14ac:dyDescent="0.25">
      <c r="A288" s="37" t="s">
        <v>885</v>
      </c>
      <c r="B288" s="37" t="s">
        <v>886</v>
      </c>
      <c r="C288" s="39" t="s">
        <v>887</v>
      </c>
      <c r="D288" s="40">
        <v>42198</v>
      </c>
      <c r="E288" s="37" t="s">
        <v>118</v>
      </c>
      <c r="F288" s="39" t="s">
        <v>121</v>
      </c>
      <c r="G288" s="39"/>
      <c r="H288" s="37" t="s">
        <v>120</v>
      </c>
      <c r="I288" s="39">
        <v>38</v>
      </c>
      <c r="J288" s="40"/>
      <c r="K288" s="39"/>
      <c r="L288" s="41"/>
      <c r="M288" s="39"/>
      <c r="N288" s="39" t="s">
        <v>220</v>
      </c>
      <c r="O288" s="39"/>
    </row>
    <row r="289" spans="1:15" x14ac:dyDescent="0.25">
      <c r="A289" s="37" t="s">
        <v>888</v>
      </c>
      <c r="B289" s="37" t="s">
        <v>889</v>
      </c>
      <c r="C289" s="39" t="s">
        <v>890</v>
      </c>
      <c r="D289" s="40">
        <v>42198</v>
      </c>
      <c r="E289" s="37" t="s">
        <v>118</v>
      </c>
      <c r="F289" s="39" t="s">
        <v>121</v>
      </c>
      <c r="G289" s="39"/>
      <c r="H289" s="37" t="s">
        <v>120</v>
      </c>
      <c r="I289" s="39">
        <v>39</v>
      </c>
      <c r="J289" s="40"/>
      <c r="K289" s="39"/>
      <c r="L289" s="41"/>
      <c r="M289" s="39"/>
      <c r="N289" s="39" t="s">
        <v>220</v>
      </c>
      <c r="O289" s="39"/>
    </row>
    <row r="290" spans="1:15" x14ac:dyDescent="0.25">
      <c r="A290" s="37" t="s">
        <v>891</v>
      </c>
      <c r="B290" s="37" t="s">
        <v>892</v>
      </c>
      <c r="C290" s="39" t="s">
        <v>893</v>
      </c>
      <c r="D290" s="40">
        <v>42198</v>
      </c>
      <c r="E290" s="37" t="s">
        <v>118</v>
      </c>
      <c r="F290" s="39" t="s">
        <v>121</v>
      </c>
      <c r="G290" s="39"/>
      <c r="H290" s="37" t="s">
        <v>120</v>
      </c>
      <c r="I290" s="39">
        <v>40</v>
      </c>
      <c r="J290" s="40"/>
      <c r="K290" s="39"/>
      <c r="L290" s="41"/>
      <c r="M290" s="39"/>
      <c r="N290" s="39" t="s">
        <v>220</v>
      </c>
      <c r="O290" s="39"/>
    </row>
    <row r="291" spans="1:15" x14ac:dyDescent="0.25">
      <c r="A291" s="37" t="s">
        <v>894</v>
      </c>
      <c r="B291" s="37" t="s">
        <v>895</v>
      </c>
      <c r="C291" s="39" t="s">
        <v>896</v>
      </c>
      <c r="D291" s="40">
        <v>42198</v>
      </c>
      <c r="E291" s="37" t="s">
        <v>118</v>
      </c>
      <c r="F291" s="39" t="s">
        <v>121</v>
      </c>
      <c r="G291" s="39"/>
      <c r="H291" s="37" t="s">
        <v>120</v>
      </c>
      <c r="I291" s="39">
        <v>41</v>
      </c>
      <c r="J291" s="40"/>
      <c r="K291" s="39"/>
      <c r="L291" s="41"/>
      <c r="M291" s="39"/>
      <c r="N291" s="39" t="s">
        <v>220</v>
      </c>
      <c r="O291" s="39"/>
    </row>
    <row r="292" spans="1:15" x14ac:dyDescent="0.25">
      <c r="A292" s="37" t="s">
        <v>897</v>
      </c>
      <c r="B292" s="37" t="s">
        <v>898</v>
      </c>
      <c r="C292" s="39" t="s">
        <v>899</v>
      </c>
      <c r="D292" s="40">
        <v>42198</v>
      </c>
      <c r="E292" s="37" t="s">
        <v>118</v>
      </c>
      <c r="F292" s="39" t="s">
        <v>121</v>
      </c>
      <c r="G292" s="39"/>
      <c r="H292" s="37" t="s">
        <v>120</v>
      </c>
      <c r="I292" s="39">
        <v>42</v>
      </c>
      <c r="J292" s="40"/>
      <c r="K292" s="39"/>
      <c r="L292" s="41"/>
      <c r="M292" s="39"/>
      <c r="N292" s="39" t="s">
        <v>220</v>
      </c>
      <c r="O292" s="39"/>
    </row>
    <row r="293" spans="1:15" x14ac:dyDescent="0.25">
      <c r="A293" s="37" t="s">
        <v>903</v>
      </c>
      <c r="B293" s="37" t="s">
        <v>904</v>
      </c>
      <c r="C293" s="39" t="s">
        <v>905</v>
      </c>
      <c r="D293" s="40">
        <v>42198</v>
      </c>
      <c r="E293" s="37" t="s">
        <v>118</v>
      </c>
      <c r="F293" s="39" t="s">
        <v>121</v>
      </c>
      <c r="G293" s="39"/>
      <c r="H293" s="37" t="s">
        <v>120</v>
      </c>
      <c r="I293" s="39">
        <v>44</v>
      </c>
      <c r="J293" s="40"/>
      <c r="K293" s="39"/>
      <c r="L293" s="41"/>
      <c r="M293" s="39"/>
      <c r="N293" s="39" t="s">
        <v>220</v>
      </c>
      <c r="O293" s="39"/>
    </row>
    <row r="294" spans="1:15" x14ac:dyDescent="0.25">
      <c r="A294" s="37" t="s">
        <v>906</v>
      </c>
      <c r="B294" s="37" t="s">
        <v>907</v>
      </c>
      <c r="C294" s="39" t="s">
        <v>908</v>
      </c>
      <c r="D294" s="40">
        <v>42198</v>
      </c>
      <c r="E294" s="37" t="s">
        <v>118</v>
      </c>
      <c r="F294" s="39" t="s">
        <v>121</v>
      </c>
      <c r="G294" s="39"/>
      <c r="H294" s="37" t="s">
        <v>120</v>
      </c>
      <c r="I294" s="39">
        <v>45</v>
      </c>
      <c r="J294" s="40"/>
      <c r="K294" s="39"/>
      <c r="L294" s="41"/>
      <c r="M294" s="39"/>
      <c r="N294" s="39" t="s">
        <v>220</v>
      </c>
      <c r="O294" s="39"/>
    </row>
    <row r="295" spans="1:15" x14ac:dyDescent="0.25">
      <c r="A295" s="37" t="s">
        <v>909</v>
      </c>
      <c r="B295" s="37" t="s">
        <v>910</v>
      </c>
      <c r="C295" s="39" t="s">
        <v>911</v>
      </c>
      <c r="D295" s="40">
        <v>42198</v>
      </c>
      <c r="E295" s="37" t="s">
        <v>118</v>
      </c>
      <c r="F295" s="39" t="s">
        <v>121</v>
      </c>
      <c r="G295" s="39"/>
      <c r="H295" s="37" t="s">
        <v>120</v>
      </c>
      <c r="I295" s="39">
        <v>46</v>
      </c>
      <c r="J295" s="40"/>
      <c r="K295" s="39"/>
      <c r="L295" s="41"/>
      <c r="M295" s="39"/>
      <c r="N295" s="39" t="s">
        <v>220</v>
      </c>
      <c r="O295" s="39"/>
    </row>
    <row r="296" spans="1:15" x14ac:dyDescent="0.25">
      <c r="A296" s="37" t="s">
        <v>912</v>
      </c>
      <c r="B296" s="37" t="s">
        <v>913</v>
      </c>
      <c r="C296" s="39" t="s">
        <v>914</v>
      </c>
      <c r="D296" s="40">
        <v>42198</v>
      </c>
      <c r="E296" s="37" t="s">
        <v>118</v>
      </c>
      <c r="F296" s="39" t="s">
        <v>121</v>
      </c>
      <c r="G296" s="39"/>
      <c r="H296" s="37" t="s">
        <v>120</v>
      </c>
      <c r="I296" s="39">
        <v>47</v>
      </c>
      <c r="J296" s="40"/>
      <c r="K296" s="39"/>
      <c r="L296" s="41"/>
      <c r="M296" s="39"/>
      <c r="N296" s="39" t="s">
        <v>220</v>
      </c>
      <c r="O296" s="39"/>
    </row>
    <row r="297" spans="1:15" x14ac:dyDescent="0.25">
      <c r="A297" s="37" t="s">
        <v>915</v>
      </c>
      <c r="B297" s="37" t="s">
        <v>916</v>
      </c>
      <c r="C297" s="39" t="s">
        <v>917</v>
      </c>
      <c r="D297" s="40">
        <v>42198</v>
      </c>
      <c r="E297" s="37" t="s">
        <v>118</v>
      </c>
      <c r="F297" s="39" t="s">
        <v>121</v>
      </c>
      <c r="G297" s="39"/>
      <c r="H297" s="37" t="s">
        <v>120</v>
      </c>
      <c r="I297" s="39">
        <v>48</v>
      </c>
      <c r="J297" s="40"/>
      <c r="K297" s="39"/>
      <c r="L297" s="41"/>
      <c r="M297" s="39"/>
      <c r="N297" s="39" t="s">
        <v>220</v>
      </c>
      <c r="O297" s="39"/>
    </row>
    <row r="298" spans="1:15" x14ac:dyDescent="0.25">
      <c r="A298" s="37" t="s">
        <v>918</v>
      </c>
      <c r="B298" s="37" t="s">
        <v>919</v>
      </c>
      <c r="C298" s="39" t="s">
        <v>920</v>
      </c>
      <c r="D298" s="40">
        <v>42198</v>
      </c>
      <c r="E298" s="37" t="s">
        <v>118</v>
      </c>
      <c r="F298" s="39" t="s">
        <v>121</v>
      </c>
      <c r="G298" s="39"/>
      <c r="H298" s="37" t="s">
        <v>120</v>
      </c>
      <c r="I298" s="39">
        <v>49</v>
      </c>
      <c r="J298" s="40"/>
      <c r="K298" s="39"/>
      <c r="L298" s="41"/>
      <c r="M298" s="39"/>
      <c r="N298" s="39" t="s">
        <v>220</v>
      </c>
      <c r="O298" s="39"/>
    </row>
    <row r="299" spans="1:15" x14ac:dyDescent="0.25">
      <c r="A299" s="37" t="s">
        <v>921</v>
      </c>
      <c r="B299" s="37" t="s">
        <v>922</v>
      </c>
      <c r="C299" s="39" t="s">
        <v>923</v>
      </c>
      <c r="D299" s="40">
        <v>42198</v>
      </c>
      <c r="E299" s="37" t="s">
        <v>118</v>
      </c>
      <c r="F299" s="39" t="s">
        <v>121</v>
      </c>
      <c r="G299" s="39"/>
      <c r="H299" s="37" t="s">
        <v>120</v>
      </c>
      <c r="I299" s="39">
        <v>50</v>
      </c>
      <c r="J299" s="40"/>
      <c r="K299" s="39"/>
      <c r="L299" s="41"/>
      <c r="M299" s="39"/>
      <c r="N299" s="39" t="s">
        <v>220</v>
      </c>
      <c r="O299" s="39"/>
    </row>
    <row r="300" spans="1:15" x14ac:dyDescent="0.25">
      <c r="A300" s="37" t="s">
        <v>924</v>
      </c>
      <c r="B300" s="37" t="s">
        <v>925</v>
      </c>
      <c r="C300" s="39" t="s">
        <v>926</v>
      </c>
      <c r="D300" s="40">
        <v>42198</v>
      </c>
      <c r="E300" s="37" t="s">
        <v>118</v>
      </c>
      <c r="F300" s="39" t="s">
        <v>121</v>
      </c>
      <c r="G300" s="39"/>
      <c r="H300" s="37" t="s">
        <v>120</v>
      </c>
      <c r="I300" s="39">
        <v>51</v>
      </c>
      <c r="J300" s="40"/>
      <c r="K300" s="39"/>
      <c r="L300" s="41"/>
      <c r="M300" s="39"/>
      <c r="N300" s="39" t="s">
        <v>220</v>
      </c>
      <c r="O300" s="39"/>
    </row>
    <row r="301" spans="1:15" x14ac:dyDescent="0.25">
      <c r="A301" s="37" t="s">
        <v>927</v>
      </c>
      <c r="B301" s="37" t="s">
        <v>928</v>
      </c>
      <c r="C301" s="39" t="s">
        <v>929</v>
      </c>
      <c r="D301" s="40">
        <v>42198</v>
      </c>
      <c r="E301" s="37" t="s">
        <v>118</v>
      </c>
      <c r="F301" s="39" t="s">
        <v>121</v>
      </c>
      <c r="G301" s="39"/>
      <c r="H301" s="37" t="s">
        <v>120</v>
      </c>
      <c r="I301" s="39">
        <v>52</v>
      </c>
      <c r="J301" s="40"/>
      <c r="K301" s="39"/>
      <c r="L301" s="41"/>
      <c r="M301" s="39"/>
      <c r="N301" s="39" t="s">
        <v>220</v>
      </c>
      <c r="O301" s="39"/>
    </row>
    <row r="302" spans="1:15" x14ac:dyDescent="0.25">
      <c r="A302" s="37" t="s">
        <v>930</v>
      </c>
      <c r="B302" s="37" t="s">
        <v>931</v>
      </c>
      <c r="C302" s="39" t="s">
        <v>932</v>
      </c>
      <c r="D302" s="40">
        <v>42198</v>
      </c>
      <c r="E302" s="37" t="s">
        <v>118</v>
      </c>
      <c r="F302" s="39" t="s">
        <v>121</v>
      </c>
      <c r="G302" s="39"/>
      <c r="H302" s="37" t="s">
        <v>120</v>
      </c>
      <c r="I302" s="39">
        <v>53</v>
      </c>
      <c r="J302" s="40"/>
      <c r="K302" s="39"/>
      <c r="L302" s="41"/>
      <c r="M302" s="39"/>
      <c r="N302" s="39" t="s">
        <v>220</v>
      </c>
      <c r="O302" s="39"/>
    </row>
    <row r="303" spans="1:15" x14ac:dyDescent="0.25">
      <c r="A303" s="37" t="s">
        <v>939</v>
      </c>
      <c r="B303" s="37" t="s">
        <v>940</v>
      </c>
      <c r="C303" s="39" t="s">
        <v>941</v>
      </c>
      <c r="D303" s="40">
        <v>42198</v>
      </c>
      <c r="E303" s="37" t="s">
        <v>118</v>
      </c>
      <c r="F303" s="39" t="s">
        <v>121</v>
      </c>
      <c r="G303" s="39"/>
      <c r="H303" s="37" t="s">
        <v>120</v>
      </c>
      <c r="I303" s="39">
        <v>56</v>
      </c>
      <c r="J303" s="40"/>
      <c r="K303" s="39"/>
      <c r="L303" s="41"/>
      <c r="M303" s="39"/>
      <c r="N303" s="39" t="s">
        <v>220</v>
      </c>
      <c r="O303" s="39"/>
    </row>
    <row r="304" spans="1:15" x14ac:dyDescent="0.25">
      <c r="A304" s="37" t="s">
        <v>942</v>
      </c>
      <c r="B304" s="37" t="s">
        <v>943</v>
      </c>
      <c r="C304" s="39" t="s">
        <v>944</v>
      </c>
      <c r="D304" s="40">
        <v>42198</v>
      </c>
      <c r="E304" s="37" t="s">
        <v>118</v>
      </c>
      <c r="F304" s="39" t="s">
        <v>121</v>
      </c>
      <c r="G304" s="39"/>
      <c r="H304" s="37" t="s">
        <v>120</v>
      </c>
      <c r="I304" s="39">
        <v>57</v>
      </c>
      <c r="J304" s="40"/>
      <c r="K304" s="39"/>
      <c r="L304" s="41"/>
      <c r="M304" s="39"/>
      <c r="N304" s="39" t="s">
        <v>220</v>
      </c>
      <c r="O304" s="39"/>
    </row>
    <row r="305" spans="1:15" x14ac:dyDescent="0.25">
      <c r="A305" s="37" t="s">
        <v>951</v>
      </c>
      <c r="B305" s="37" t="s">
        <v>952</v>
      </c>
      <c r="C305" s="39" t="s">
        <v>953</v>
      </c>
      <c r="D305" s="40">
        <v>42198</v>
      </c>
      <c r="E305" s="37" t="s">
        <v>118</v>
      </c>
      <c r="F305" s="39" t="s">
        <v>121</v>
      </c>
      <c r="G305" s="39"/>
      <c r="H305" s="37" t="s">
        <v>120</v>
      </c>
      <c r="I305" s="39">
        <v>60</v>
      </c>
      <c r="J305" s="40"/>
      <c r="K305" s="39"/>
      <c r="L305" s="41"/>
      <c r="M305" s="39"/>
      <c r="N305" s="39" t="s">
        <v>220</v>
      </c>
      <c r="O305" s="39"/>
    </row>
    <row r="306" spans="1:15" x14ac:dyDescent="0.25">
      <c r="A306" s="37" t="s">
        <v>954</v>
      </c>
      <c r="B306" s="37" t="s">
        <v>955</v>
      </c>
      <c r="C306" s="39" t="s">
        <v>956</v>
      </c>
      <c r="D306" s="40">
        <v>42198</v>
      </c>
      <c r="E306" s="37" t="s">
        <v>118</v>
      </c>
      <c r="F306" s="39" t="s">
        <v>121</v>
      </c>
      <c r="G306" s="39"/>
      <c r="H306" s="37" t="s">
        <v>120</v>
      </c>
      <c r="I306" s="39">
        <v>61</v>
      </c>
      <c r="J306" s="40"/>
      <c r="K306" s="39"/>
      <c r="L306" s="41"/>
      <c r="M306" s="39"/>
      <c r="N306" s="39" t="s">
        <v>220</v>
      </c>
      <c r="O306" s="39"/>
    </row>
    <row r="307" spans="1:15" x14ac:dyDescent="0.25">
      <c r="A307" s="37" t="s">
        <v>957</v>
      </c>
      <c r="B307" s="37" t="s">
        <v>958</v>
      </c>
      <c r="C307" s="39" t="s">
        <v>959</v>
      </c>
      <c r="D307" s="40">
        <v>42198</v>
      </c>
      <c r="E307" s="37" t="s">
        <v>118</v>
      </c>
      <c r="F307" s="39" t="s">
        <v>121</v>
      </c>
      <c r="G307" s="39"/>
      <c r="H307" s="37" t="s">
        <v>120</v>
      </c>
      <c r="I307" s="39">
        <v>62</v>
      </c>
      <c r="J307" s="40"/>
      <c r="K307" s="39"/>
      <c r="L307" s="41"/>
      <c r="M307" s="39"/>
      <c r="N307" s="39" t="s">
        <v>220</v>
      </c>
      <c r="O307" s="39"/>
    </row>
    <row r="308" spans="1:15" x14ac:dyDescent="0.25">
      <c r="A308" s="37" t="s">
        <v>960</v>
      </c>
      <c r="B308" s="37" t="s">
        <v>961</v>
      </c>
      <c r="C308" s="39" t="s">
        <v>962</v>
      </c>
      <c r="D308" s="40">
        <v>42198</v>
      </c>
      <c r="E308" s="37" t="s">
        <v>118</v>
      </c>
      <c r="F308" s="39" t="s">
        <v>121</v>
      </c>
      <c r="G308" s="39"/>
      <c r="H308" s="37" t="s">
        <v>120</v>
      </c>
      <c r="I308" s="39">
        <v>63</v>
      </c>
      <c r="J308" s="40"/>
      <c r="K308" s="39"/>
      <c r="L308" s="41"/>
      <c r="M308" s="39"/>
      <c r="N308" s="39" t="s">
        <v>220</v>
      </c>
      <c r="O308" s="39"/>
    </row>
    <row r="309" spans="1:15" x14ac:dyDescent="0.25">
      <c r="A309" s="37" t="s">
        <v>963</v>
      </c>
      <c r="B309" s="37" t="s">
        <v>964</v>
      </c>
      <c r="C309" s="39" t="s">
        <v>965</v>
      </c>
      <c r="D309" s="40">
        <v>42198</v>
      </c>
      <c r="E309" s="37" t="s">
        <v>118</v>
      </c>
      <c r="F309" s="39" t="s">
        <v>121</v>
      </c>
      <c r="G309" s="39"/>
      <c r="H309" s="37" t="s">
        <v>120</v>
      </c>
      <c r="I309" s="39">
        <v>64</v>
      </c>
      <c r="J309" s="40"/>
      <c r="K309" s="39"/>
      <c r="L309" s="41"/>
      <c r="M309" s="39"/>
      <c r="N309" s="39" t="s">
        <v>220</v>
      </c>
      <c r="O309" s="39"/>
    </row>
    <row r="310" spans="1:15" x14ac:dyDescent="0.25">
      <c r="A310" s="37" t="s">
        <v>966</v>
      </c>
      <c r="B310" s="37" t="s">
        <v>967</v>
      </c>
      <c r="C310" s="39" t="s">
        <v>968</v>
      </c>
      <c r="D310" s="40">
        <v>42198</v>
      </c>
      <c r="E310" s="37" t="s">
        <v>118</v>
      </c>
      <c r="F310" s="39" t="s">
        <v>121</v>
      </c>
      <c r="G310" s="39"/>
      <c r="H310" s="37" t="s">
        <v>120</v>
      </c>
      <c r="I310" s="39">
        <v>65</v>
      </c>
      <c r="J310" s="40"/>
      <c r="K310" s="39"/>
      <c r="L310" s="41"/>
      <c r="M310" s="39"/>
      <c r="N310" s="39" t="s">
        <v>220</v>
      </c>
      <c r="O310" s="39"/>
    </row>
    <row r="311" spans="1:15" x14ac:dyDescent="0.25">
      <c r="A311" s="37" t="s">
        <v>969</v>
      </c>
      <c r="B311" s="37" t="s">
        <v>970</v>
      </c>
      <c r="C311" s="39" t="s">
        <v>971</v>
      </c>
      <c r="D311" s="40">
        <v>42198</v>
      </c>
      <c r="E311" s="37" t="s">
        <v>118</v>
      </c>
      <c r="F311" s="39" t="s">
        <v>121</v>
      </c>
      <c r="G311" s="39"/>
      <c r="H311" s="37" t="s">
        <v>120</v>
      </c>
      <c r="I311" s="39">
        <v>66</v>
      </c>
      <c r="J311" s="40"/>
      <c r="K311" s="39"/>
      <c r="L311" s="41"/>
      <c r="M311" s="39"/>
      <c r="N311" s="39" t="s">
        <v>220</v>
      </c>
      <c r="O311" s="39"/>
    </row>
    <row r="312" spans="1:15" x14ac:dyDescent="0.25">
      <c r="A312" s="37" t="s">
        <v>972</v>
      </c>
      <c r="B312" s="37" t="s">
        <v>973</v>
      </c>
      <c r="C312" s="39" t="s">
        <v>974</v>
      </c>
      <c r="D312" s="40">
        <v>42198</v>
      </c>
      <c r="E312" s="37" t="s">
        <v>118</v>
      </c>
      <c r="F312" s="39" t="s">
        <v>121</v>
      </c>
      <c r="G312" s="39"/>
      <c r="H312" s="37" t="s">
        <v>120</v>
      </c>
      <c r="I312" s="39">
        <v>67</v>
      </c>
      <c r="J312" s="40"/>
      <c r="K312" s="39"/>
      <c r="L312" s="41"/>
      <c r="M312" s="39"/>
      <c r="N312" s="39" t="s">
        <v>220</v>
      </c>
      <c r="O312" s="39"/>
    </row>
    <row r="313" spans="1:15" x14ac:dyDescent="0.25">
      <c r="A313" s="37" t="s">
        <v>975</v>
      </c>
      <c r="B313" s="37" t="s">
        <v>976</v>
      </c>
      <c r="C313" s="39" t="s">
        <v>977</v>
      </c>
      <c r="D313" s="40">
        <v>42198</v>
      </c>
      <c r="E313" s="37" t="s">
        <v>118</v>
      </c>
      <c r="F313" s="39" t="s">
        <v>121</v>
      </c>
      <c r="G313" s="39"/>
      <c r="H313" s="37" t="s">
        <v>120</v>
      </c>
      <c r="I313" s="39">
        <v>68</v>
      </c>
      <c r="J313" s="40"/>
      <c r="K313" s="39"/>
      <c r="L313" s="41"/>
      <c r="M313" s="39"/>
      <c r="N313" s="39" t="s">
        <v>220</v>
      </c>
      <c r="O313" s="39"/>
    </row>
    <row r="314" spans="1:15" x14ac:dyDescent="0.25">
      <c r="A314" s="37" t="s">
        <v>978</v>
      </c>
      <c r="B314" s="37" t="s">
        <v>979</v>
      </c>
      <c r="C314" s="39" t="s">
        <v>980</v>
      </c>
      <c r="D314" s="40">
        <v>42198</v>
      </c>
      <c r="E314" s="37" t="s">
        <v>118</v>
      </c>
      <c r="F314" s="39" t="s">
        <v>121</v>
      </c>
      <c r="G314" s="39"/>
      <c r="H314" s="37" t="s">
        <v>120</v>
      </c>
      <c r="I314" s="39">
        <v>69</v>
      </c>
      <c r="J314" s="40"/>
      <c r="K314" s="39"/>
      <c r="L314" s="41"/>
      <c r="M314" s="39"/>
      <c r="N314" s="39" t="s">
        <v>220</v>
      </c>
      <c r="O314" s="39"/>
    </row>
    <row r="315" spans="1:15" x14ac:dyDescent="0.25">
      <c r="A315" s="37" t="s">
        <v>990</v>
      </c>
      <c r="B315" s="37" t="s">
        <v>991</v>
      </c>
      <c r="C315" s="39" t="s">
        <v>992</v>
      </c>
      <c r="D315" s="40">
        <v>42198</v>
      </c>
      <c r="E315" s="37" t="s">
        <v>118</v>
      </c>
      <c r="F315" s="39" t="s">
        <v>121</v>
      </c>
      <c r="G315" s="39"/>
      <c r="H315" s="37" t="s">
        <v>120</v>
      </c>
      <c r="I315" s="39">
        <v>79</v>
      </c>
      <c r="J315" s="40"/>
      <c r="K315" s="39"/>
      <c r="L315" s="41"/>
      <c r="M315" s="39"/>
      <c r="N315" s="39" t="s">
        <v>220</v>
      </c>
      <c r="O315" s="39"/>
    </row>
    <row r="316" spans="1:15" x14ac:dyDescent="0.25">
      <c r="A316" s="39"/>
      <c r="B316" s="39"/>
      <c r="C316" s="39"/>
      <c r="D316" s="39"/>
      <c r="E316" s="39"/>
      <c r="F316" s="39"/>
      <c r="G316" s="39"/>
      <c r="H316" s="39"/>
      <c r="I316" s="39"/>
      <c r="J316" s="40"/>
      <c r="K316" s="39"/>
      <c r="L316" s="39"/>
      <c r="M316" s="39"/>
      <c r="N316" s="39"/>
    </row>
    <row r="317" spans="1:15" x14ac:dyDescent="0.25">
      <c r="A317" s="39"/>
      <c r="B317" s="39"/>
      <c r="C317" s="39"/>
      <c r="D317" s="39"/>
      <c r="E317" s="39"/>
      <c r="F317" s="39"/>
      <c r="G317" s="39"/>
      <c r="H317" s="39"/>
      <c r="I317" s="39"/>
      <c r="J317" s="40"/>
      <c r="K317" s="39"/>
      <c r="L317" s="39"/>
      <c r="M317" s="39"/>
      <c r="N317" s="39"/>
    </row>
    <row r="318" spans="1:15" x14ac:dyDescent="0.25">
      <c r="A318" s="39"/>
      <c r="B318" s="39"/>
      <c r="C318" s="39"/>
      <c r="D318" s="39"/>
      <c r="E318" s="39"/>
      <c r="F318" s="39"/>
      <c r="G318" s="39"/>
      <c r="H318" s="39"/>
      <c r="I318" s="39"/>
      <c r="J318" s="40"/>
      <c r="K318" s="39"/>
      <c r="L318" s="39"/>
      <c r="M318" s="39"/>
      <c r="N318" s="39"/>
    </row>
    <row r="319" spans="1:15" x14ac:dyDescent="0.25">
      <c r="A319" s="39"/>
      <c r="B319" s="39"/>
      <c r="C319" s="39"/>
      <c r="D319" s="39"/>
      <c r="E319" s="39"/>
      <c r="F319" s="39"/>
      <c r="G319" s="39"/>
      <c r="H319" s="39"/>
      <c r="I319" s="39"/>
      <c r="J319" s="40"/>
      <c r="K319" s="39"/>
      <c r="L319" s="39"/>
      <c r="M319" s="39"/>
      <c r="N319" s="39"/>
    </row>
    <row r="320" spans="1:15" x14ac:dyDescent="0.25">
      <c r="A320" s="39"/>
      <c r="B320" s="39"/>
      <c r="C320" s="39"/>
      <c r="D320" s="39"/>
      <c r="E320" s="39"/>
      <c r="F320" s="39"/>
      <c r="G320" s="39"/>
      <c r="H320" s="39"/>
      <c r="I320" s="39"/>
      <c r="J320" s="40"/>
      <c r="K320" s="39"/>
      <c r="L320" s="39"/>
      <c r="M320" s="39"/>
      <c r="N320" s="39"/>
    </row>
    <row r="321" spans="1:14" x14ac:dyDescent="0.25">
      <c r="A321" s="39"/>
      <c r="B321" s="39"/>
      <c r="C321" s="39"/>
      <c r="D321" s="39"/>
      <c r="E321" s="39"/>
      <c r="F321" s="39"/>
      <c r="G321" s="39"/>
      <c r="H321" s="39"/>
      <c r="I321" s="39"/>
      <c r="J321" s="40"/>
      <c r="K321" s="39"/>
      <c r="L321" s="39"/>
      <c r="M321" s="39"/>
      <c r="N321" s="39"/>
    </row>
    <row r="322" spans="1:14" x14ac:dyDescent="0.25">
      <c r="A322" s="39"/>
      <c r="B322" s="39"/>
      <c r="C322" s="39"/>
      <c r="D322" s="39"/>
      <c r="E322" s="39"/>
      <c r="F322" s="39"/>
      <c r="G322" s="39"/>
      <c r="H322" s="39"/>
      <c r="I322" s="39"/>
      <c r="J322" s="40"/>
      <c r="K322" s="39"/>
      <c r="L322" s="39"/>
      <c r="M322" s="39"/>
      <c r="N322" s="39"/>
    </row>
    <row r="323" spans="1:14" x14ac:dyDescent="0.2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</row>
    <row r="324" spans="1:14" x14ac:dyDescent="0.2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</row>
    <row r="325" spans="1:14" x14ac:dyDescent="0.2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</row>
    <row r="326" spans="1:14" x14ac:dyDescent="0.2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</row>
    <row r="327" spans="1:14" x14ac:dyDescent="0.2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</row>
    <row r="328" spans="1:14" x14ac:dyDescent="0.2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</row>
    <row r="329" spans="1:14" x14ac:dyDescent="0.2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</row>
    <row r="330" spans="1:14" x14ac:dyDescent="0.2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</row>
    <row r="331" spans="1:14" x14ac:dyDescent="0.2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</row>
    <row r="332" spans="1:14" x14ac:dyDescent="0.2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</row>
    <row r="333" spans="1:14" x14ac:dyDescent="0.2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</row>
    <row r="334" spans="1:14" x14ac:dyDescent="0.2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</row>
    <row r="335" spans="1:14" x14ac:dyDescent="0.25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</row>
    <row r="336" spans="1:14" x14ac:dyDescent="0.25">
      <c r="A336" s="39"/>
      <c r="B336" s="39"/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</row>
    <row r="337" spans="1:14" x14ac:dyDescent="0.25">
      <c r="A337" s="39"/>
      <c r="B337" s="39"/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</row>
    <row r="338" spans="1:14" x14ac:dyDescent="0.25">
      <c r="A338" s="39"/>
      <c r="B338" s="39"/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</row>
    <row r="339" spans="1:14" x14ac:dyDescent="0.25">
      <c r="A339" s="39"/>
      <c r="B339" s="39"/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</row>
    <row r="340" spans="1:14" x14ac:dyDescent="0.25">
      <c r="A340" s="39"/>
      <c r="B340" s="39"/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39"/>
    </row>
    <row r="341" spans="1:14" x14ac:dyDescent="0.25">
      <c r="A341" s="39"/>
      <c r="B341" s="39"/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</row>
    <row r="342" spans="1:14" x14ac:dyDescent="0.25">
      <c r="A342" s="39"/>
      <c r="B342" s="39"/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39"/>
    </row>
    <row r="343" spans="1:14" x14ac:dyDescent="0.25">
      <c r="A343" s="39"/>
      <c r="B343" s="39"/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</row>
    <row r="344" spans="1:14" x14ac:dyDescent="0.25">
      <c r="A344" s="39"/>
      <c r="B344" s="39"/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3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Reference"/>
  <dimension ref="A1:AP139"/>
  <sheetViews>
    <sheetView workbookViewId="0">
      <selection activeCell="E19" sqref="E19"/>
    </sheetView>
  </sheetViews>
  <sheetFormatPr defaultRowHeight="15" x14ac:dyDescent="0.25"/>
  <cols>
    <col min="1" max="1" width="11.42578125" style="7" customWidth="1"/>
    <col min="2" max="2" width="10.7109375" style="7" customWidth="1"/>
    <col min="3" max="3" width="6.42578125" style="7" customWidth="1"/>
    <col min="4" max="5" width="16.7109375" style="7" customWidth="1"/>
    <col min="6" max="6" width="5.5703125" style="7" customWidth="1"/>
    <col min="7" max="8" width="16.7109375" style="7" customWidth="1"/>
    <col min="9" max="9" width="9.140625" style="7" customWidth="1"/>
    <col min="10" max="16" width="11.85546875" style="7" customWidth="1"/>
    <col min="17" max="17" width="1.5703125" style="7" customWidth="1"/>
    <col min="18" max="24" width="11.85546875" style="7" customWidth="1"/>
    <col min="25" max="25" width="1.5703125" style="7" customWidth="1"/>
    <col min="26" max="32" width="11.85546875" style="7" customWidth="1"/>
    <col min="33" max="33" width="1.5703125" style="7" customWidth="1"/>
    <col min="34" max="40" width="11.85546875" style="7" customWidth="1"/>
    <col min="41" max="16384" width="9.140625" style="7"/>
  </cols>
  <sheetData>
    <row r="1" spans="1:42" ht="11.25" customHeight="1" thickBot="1" x14ac:dyDescent="0.3"/>
    <row r="2" spans="1:42" ht="15.75" thickBot="1" x14ac:dyDescent="0.3">
      <c r="A2" s="186" t="s">
        <v>93</v>
      </c>
      <c r="B2" s="187"/>
      <c r="C2" s="15"/>
      <c r="D2" s="186" t="s">
        <v>221</v>
      </c>
      <c r="E2" s="187"/>
      <c r="F2" s="15"/>
      <c r="G2" s="186" t="s">
        <v>91</v>
      </c>
      <c r="H2" s="187"/>
      <c r="J2" s="60" t="s">
        <v>762</v>
      </c>
      <c r="K2" s="61"/>
      <c r="L2" s="61"/>
      <c r="M2" s="61"/>
      <c r="N2" s="61"/>
      <c r="O2" s="61"/>
      <c r="P2" s="62"/>
      <c r="Q2" s="57"/>
      <c r="R2" s="69" t="s">
        <v>763</v>
      </c>
      <c r="S2" s="70"/>
      <c r="T2" s="70"/>
      <c r="U2" s="70"/>
      <c r="V2" s="70"/>
      <c r="W2" s="70"/>
      <c r="X2" s="71"/>
      <c r="Y2" s="56"/>
      <c r="Z2" s="60" t="s">
        <v>764</v>
      </c>
      <c r="AA2" s="61"/>
      <c r="AB2" s="61"/>
      <c r="AC2" s="61"/>
      <c r="AD2" s="61"/>
      <c r="AE2" s="61"/>
      <c r="AF2" s="62"/>
      <c r="AG2" s="56"/>
      <c r="AH2" s="69" t="s">
        <v>765</v>
      </c>
      <c r="AI2" s="70"/>
      <c r="AJ2" s="70"/>
      <c r="AK2" s="70"/>
      <c r="AL2" s="70"/>
      <c r="AM2" s="70"/>
      <c r="AN2" s="71"/>
      <c r="AO2" s="12"/>
      <c r="AP2" s="12"/>
    </row>
    <row r="3" spans="1:42" x14ac:dyDescent="0.25">
      <c r="A3" s="8" t="s">
        <v>89</v>
      </c>
      <c r="B3" s="9">
        <v>28</v>
      </c>
      <c r="C3" s="11"/>
      <c r="D3" s="8" t="s">
        <v>89</v>
      </c>
      <c r="E3" s="36">
        <f>UserInput!F4</f>
        <v>29</v>
      </c>
      <c r="F3" s="11"/>
      <c r="G3" s="8" t="s">
        <v>92</v>
      </c>
      <c r="H3" s="9" t="s">
        <v>92</v>
      </c>
      <c r="J3" s="65" t="s">
        <v>47</v>
      </c>
      <c r="K3" s="67" t="s">
        <v>48</v>
      </c>
      <c r="L3" s="67" t="s">
        <v>49</v>
      </c>
      <c r="M3" s="67" t="s">
        <v>50</v>
      </c>
      <c r="N3" s="67" t="s">
        <v>51</v>
      </c>
      <c r="O3" s="67" t="s">
        <v>52</v>
      </c>
      <c r="P3" s="63" t="s">
        <v>53</v>
      </c>
      <c r="Q3" s="58"/>
      <c r="R3" s="74" t="s">
        <v>47</v>
      </c>
      <c r="S3" s="76" t="s">
        <v>48</v>
      </c>
      <c r="T3" s="76" t="s">
        <v>49</v>
      </c>
      <c r="U3" s="76" t="s">
        <v>50</v>
      </c>
      <c r="V3" s="76" t="s">
        <v>51</v>
      </c>
      <c r="W3" s="76" t="s">
        <v>52</v>
      </c>
      <c r="X3" s="72" t="s">
        <v>53</v>
      </c>
      <c r="Y3" s="57"/>
      <c r="Z3" s="65" t="s">
        <v>47</v>
      </c>
      <c r="AA3" s="67" t="s">
        <v>48</v>
      </c>
      <c r="AB3" s="67" t="s">
        <v>49</v>
      </c>
      <c r="AC3" s="67" t="s">
        <v>50</v>
      </c>
      <c r="AD3" s="67" t="s">
        <v>51</v>
      </c>
      <c r="AE3" s="67" t="s">
        <v>52</v>
      </c>
      <c r="AF3" s="63" t="s">
        <v>53</v>
      </c>
      <c r="AG3" s="57"/>
      <c r="AH3" s="74" t="s">
        <v>47</v>
      </c>
      <c r="AI3" s="76" t="s">
        <v>48</v>
      </c>
      <c r="AJ3" s="76" t="s">
        <v>49</v>
      </c>
      <c r="AK3" s="76" t="s">
        <v>50</v>
      </c>
      <c r="AL3" s="76" t="s">
        <v>51</v>
      </c>
      <c r="AM3" s="76" t="s">
        <v>52</v>
      </c>
      <c r="AN3" s="72" t="s">
        <v>53</v>
      </c>
      <c r="AO3" s="12"/>
      <c r="AP3" s="12"/>
    </row>
    <row r="4" spans="1:42" ht="15.75" thickBot="1" x14ac:dyDescent="0.3">
      <c r="A4" s="8" t="s">
        <v>54</v>
      </c>
      <c r="B4" s="9"/>
      <c r="C4" s="11"/>
      <c r="D4" s="8" t="s">
        <v>85</v>
      </c>
      <c r="E4" s="38">
        <f>VLOOKUP(E3,Table2[],4)</f>
        <v>42184</v>
      </c>
      <c r="F4" s="11"/>
      <c r="G4" s="8" t="s">
        <v>93</v>
      </c>
      <c r="H4" s="9" t="s">
        <v>93</v>
      </c>
      <c r="J4" s="66">
        <f>$E$6</f>
        <v>42198</v>
      </c>
      <c r="K4" s="68">
        <f>$E$6+1</f>
        <v>42199</v>
      </c>
      <c r="L4" s="68">
        <f>$E$6+2</f>
        <v>42200</v>
      </c>
      <c r="M4" s="68">
        <f>$E$6+3</f>
        <v>42201</v>
      </c>
      <c r="N4" s="68">
        <f>$E$6+4</f>
        <v>42202</v>
      </c>
      <c r="O4" s="68">
        <f>$E$6+5</f>
        <v>42203</v>
      </c>
      <c r="P4" s="64">
        <f>$E$6+6</f>
        <v>42204</v>
      </c>
      <c r="Q4" s="59"/>
      <c r="R4" s="75">
        <f>$E$6</f>
        <v>42198</v>
      </c>
      <c r="S4" s="77">
        <f>$E$6+1</f>
        <v>42199</v>
      </c>
      <c r="T4" s="77">
        <f>$E$6+2</f>
        <v>42200</v>
      </c>
      <c r="U4" s="77">
        <f>$E$6+3</f>
        <v>42201</v>
      </c>
      <c r="V4" s="77">
        <f>$E$6+4</f>
        <v>42202</v>
      </c>
      <c r="W4" s="77">
        <f>$E$6+5</f>
        <v>42203</v>
      </c>
      <c r="X4" s="73">
        <f>$E$6+6</f>
        <v>42204</v>
      </c>
      <c r="Y4" s="58"/>
      <c r="Z4" s="66">
        <f>$E$6</f>
        <v>42198</v>
      </c>
      <c r="AA4" s="68">
        <f>$E$6+1</f>
        <v>42199</v>
      </c>
      <c r="AB4" s="68">
        <f>$E$6+2</f>
        <v>42200</v>
      </c>
      <c r="AC4" s="68">
        <f>$E$6+3</f>
        <v>42201</v>
      </c>
      <c r="AD4" s="68">
        <f>$E$6+4</f>
        <v>42202</v>
      </c>
      <c r="AE4" s="68">
        <f>$E$6+5</f>
        <v>42203</v>
      </c>
      <c r="AF4" s="64">
        <f>$E$6+6</f>
        <v>42204</v>
      </c>
      <c r="AG4" s="58"/>
      <c r="AH4" s="75">
        <f>$E$6</f>
        <v>42198</v>
      </c>
      <c r="AI4" s="77">
        <f>$E$6+1</f>
        <v>42199</v>
      </c>
      <c r="AJ4" s="77">
        <f>$E$6+2</f>
        <v>42200</v>
      </c>
      <c r="AK4" s="77">
        <f>$E$6+3</f>
        <v>42201</v>
      </c>
      <c r="AL4" s="77">
        <f>$E$6+4</f>
        <v>42202</v>
      </c>
      <c r="AM4" s="77">
        <f>$E$6+5</f>
        <v>42203</v>
      </c>
      <c r="AN4" s="73">
        <f>$E$6+6</f>
        <v>42204</v>
      </c>
      <c r="AO4" s="12"/>
      <c r="AP4" s="12"/>
    </row>
    <row r="5" spans="1:42" x14ac:dyDescent="0.25">
      <c r="A5" s="8" t="s">
        <v>55</v>
      </c>
      <c r="B5" s="9"/>
      <c r="C5" s="11"/>
      <c r="D5" s="8" t="s">
        <v>86</v>
      </c>
      <c r="E5" s="38">
        <f>VLOOKUP(E3,Table2[],5)</f>
        <v>42191</v>
      </c>
      <c r="F5" s="11"/>
      <c r="G5" s="8" t="s">
        <v>95</v>
      </c>
      <c r="H5" s="9" t="s">
        <v>95</v>
      </c>
      <c r="J5" s="90"/>
      <c r="K5" s="91"/>
      <c r="L5" s="91"/>
      <c r="M5" s="91"/>
      <c r="N5" s="91"/>
      <c r="O5" s="91"/>
      <c r="P5" s="92"/>
      <c r="Q5" s="59"/>
      <c r="R5" s="84"/>
      <c r="S5" s="85"/>
      <c r="T5" s="85"/>
      <c r="U5" s="85"/>
      <c r="V5" s="85"/>
      <c r="W5" s="85"/>
      <c r="X5" s="86"/>
      <c r="Y5" s="59"/>
      <c r="Z5" s="90"/>
      <c r="AA5" s="91"/>
      <c r="AB5" s="91"/>
      <c r="AC5" s="91"/>
      <c r="AD5" s="91"/>
      <c r="AE5" s="91"/>
      <c r="AF5" s="92"/>
      <c r="AG5" s="59"/>
      <c r="AH5" s="78"/>
      <c r="AI5" s="79"/>
      <c r="AJ5" s="79"/>
      <c r="AK5" s="79"/>
      <c r="AL5" s="79"/>
      <c r="AM5" s="79"/>
      <c r="AN5" s="80"/>
      <c r="AO5" s="12"/>
      <c r="AP5" s="12"/>
    </row>
    <row r="6" spans="1:42" x14ac:dyDescent="0.25">
      <c r="A6" s="8" t="s">
        <v>56</v>
      </c>
      <c r="B6" s="9"/>
      <c r="C6" s="11"/>
      <c r="D6" s="8" t="s">
        <v>87</v>
      </c>
      <c r="E6" s="38">
        <f>VLOOKUP(E3,Table2[],6)</f>
        <v>42198</v>
      </c>
      <c r="F6" s="11"/>
      <c r="G6" s="8" t="s">
        <v>94</v>
      </c>
      <c r="H6" s="9" t="s">
        <v>94</v>
      </c>
      <c r="J6" s="90"/>
      <c r="K6" s="91"/>
      <c r="L6" s="91"/>
      <c r="M6" s="91"/>
      <c r="N6" s="91"/>
      <c r="O6" s="91"/>
      <c r="P6" s="92"/>
      <c r="Q6" s="59"/>
      <c r="R6" s="84"/>
      <c r="S6" s="85"/>
      <c r="T6" s="85"/>
      <c r="U6" s="85"/>
      <c r="V6" s="85"/>
      <c r="W6" s="85"/>
      <c r="X6" s="86"/>
      <c r="Y6" s="59"/>
      <c r="Z6" s="90"/>
      <c r="AA6" s="91"/>
      <c r="AB6" s="91"/>
      <c r="AC6" s="91"/>
      <c r="AD6" s="91"/>
      <c r="AE6" s="91"/>
      <c r="AF6" s="92"/>
      <c r="AG6" s="59"/>
      <c r="AH6" s="78"/>
      <c r="AI6" s="79"/>
      <c r="AJ6" s="79"/>
      <c r="AK6" s="79"/>
      <c r="AL6" s="79"/>
      <c r="AM6" s="79"/>
      <c r="AN6" s="80"/>
      <c r="AO6" s="12"/>
      <c r="AP6" s="12"/>
    </row>
    <row r="7" spans="1:42" x14ac:dyDescent="0.25">
      <c r="A7" s="8" t="s">
        <v>57</v>
      </c>
      <c r="B7" s="9"/>
      <c r="C7" s="11"/>
      <c r="D7" s="8" t="s">
        <v>88</v>
      </c>
      <c r="E7" s="38">
        <f>VLOOKUP(E3,Table2[],7)</f>
        <v>42191</v>
      </c>
      <c r="F7" s="25"/>
      <c r="G7" s="8"/>
      <c r="H7" s="9"/>
      <c r="J7" s="90"/>
      <c r="K7" s="91"/>
      <c r="L7" s="91"/>
      <c r="M7" s="91"/>
      <c r="N7" s="91"/>
      <c r="O7" s="91"/>
      <c r="P7" s="92"/>
      <c r="Q7" s="59"/>
      <c r="R7" s="84"/>
      <c r="S7" s="85"/>
      <c r="T7" s="85"/>
      <c r="U7" s="85"/>
      <c r="V7" s="85"/>
      <c r="W7" s="85"/>
      <c r="X7" s="86"/>
      <c r="Y7" s="59"/>
      <c r="Z7" s="90"/>
      <c r="AA7" s="91"/>
      <c r="AB7" s="91"/>
      <c r="AC7" s="91"/>
      <c r="AD7" s="91"/>
      <c r="AE7" s="91"/>
      <c r="AF7" s="92"/>
      <c r="AG7" s="59"/>
      <c r="AH7" s="78"/>
      <c r="AI7" s="79"/>
      <c r="AJ7" s="79"/>
      <c r="AK7" s="79"/>
      <c r="AL7" s="79"/>
      <c r="AM7" s="79"/>
      <c r="AN7" s="80"/>
      <c r="AO7" s="12"/>
      <c r="AP7" s="12"/>
    </row>
    <row r="8" spans="1:42" x14ac:dyDescent="0.25">
      <c r="A8" s="8" t="s">
        <v>58</v>
      </c>
      <c r="B8" s="9"/>
      <c r="C8" s="11"/>
      <c r="D8" s="8" t="s">
        <v>222</v>
      </c>
      <c r="E8" s="26"/>
      <c r="F8" s="11"/>
      <c r="G8" s="8"/>
      <c r="H8" s="9"/>
      <c r="J8" s="90"/>
      <c r="K8" s="91"/>
      <c r="L8" s="91"/>
      <c r="M8" s="91"/>
      <c r="N8" s="91"/>
      <c r="O8" s="91"/>
      <c r="P8" s="92"/>
      <c r="Q8" s="59"/>
      <c r="R8" s="84"/>
      <c r="S8" s="85"/>
      <c r="T8" s="85"/>
      <c r="U8" s="85"/>
      <c r="V8" s="85"/>
      <c r="W8" s="85"/>
      <c r="X8" s="86"/>
      <c r="Y8" s="59"/>
      <c r="Z8" s="90"/>
      <c r="AA8" s="91"/>
      <c r="AB8" s="91"/>
      <c r="AC8" s="91"/>
      <c r="AD8" s="91"/>
      <c r="AE8" s="91"/>
      <c r="AF8" s="92"/>
      <c r="AG8" s="59"/>
      <c r="AH8" s="78"/>
      <c r="AI8" s="79"/>
      <c r="AJ8" s="79"/>
      <c r="AK8" s="79"/>
      <c r="AL8" s="79"/>
      <c r="AM8" s="79"/>
      <c r="AN8" s="80"/>
      <c r="AO8" s="12"/>
      <c r="AP8" s="12"/>
    </row>
    <row r="9" spans="1:42" x14ac:dyDescent="0.25">
      <c r="A9" s="8" t="s">
        <v>59</v>
      </c>
      <c r="B9" s="9"/>
      <c r="C9" s="11"/>
      <c r="D9" s="8"/>
      <c r="E9" s="26"/>
      <c r="F9" s="11"/>
      <c r="G9" s="8"/>
      <c r="H9" s="9"/>
      <c r="J9" s="90"/>
      <c r="K9" s="91"/>
      <c r="L9" s="91"/>
      <c r="M9" s="91"/>
      <c r="N9" s="91"/>
      <c r="O9" s="91"/>
      <c r="P9" s="92"/>
      <c r="Q9" s="59"/>
      <c r="R9" s="84"/>
      <c r="S9" s="85"/>
      <c r="T9" s="85"/>
      <c r="U9" s="85"/>
      <c r="V9" s="85"/>
      <c r="W9" s="85"/>
      <c r="X9" s="86"/>
      <c r="Y9" s="59"/>
      <c r="Z9" s="90"/>
      <c r="AA9" s="91"/>
      <c r="AB9" s="91"/>
      <c r="AC9" s="91"/>
      <c r="AD9" s="91"/>
      <c r="AE9" s="91"/>
      <c r="AF9" s="92"/>
      <c r="AG9" s="59"/>
      <c r="AH9" s="78"/>
      <c r="AI9" s="79"/>
      <c r="AJ9" s="79"/>
      <c r="AK9" s="79"/>
      <c r="AL9" s="79"/>
      <c r="AM9" s="79"/>
      <c r="AN9" s="80"/>
      <c r="AO9" s="12"/>
      <c r="AP9" s="12"/>
    </row>
    <row r="10" spans="1:42" x14ac:dyDescent="0.25">
      <c r="A10" s="8" t="s">
        <v>60</v>
      </c>
      <c r="B10" s="9"/>
      <c r="C10" s="11"/>
      <c r="F10" s="11"/>
      <c r="G10" s="8"/>
      <c r="H10" s="9"/>
      <c r="J10" s="90"/>
      <c r="K10" s="91"/>
      <c r="L10" s="91"/>
      <c r="M10" s="91"/>
      <c r="N10" s="91"/>
      <c r="O10" s="91"/>
      <c r="P10" s="92"/>
      <c r="Q10" s="59"/>
      <c r="R10" s="84"/>
      <c r="S10" s="85"/>
      <c r="T10" s="85"/>
      <c r="U10" s="85"/>
      <c r="V10" s="85"/>
      <c r="W10" s="85"/>
      <c r="X10" s="86"/>
      <c r="Y10" s="59"/>
      <c r="Z10" s="90"/>
      <c r="AA10" s="91"/>
      <c r="AB10" s="91"/>
      <c r="AC10" s="91"/>
      <c r="AD10" s="91"/>
      <c r="AE10" s="91"/>
      <c r="AF10" s="92"/>
      <c r="AG10" s="59"/>
      <c r="AH10" s="78"/>
      <c r="AI10" s="79"/>
      <c r="AJ10" s="79"/>
      <c r="AK10" s="79"/>
      <c r="AL10" s="79"/>
      <c r="AM10" s="79"/>
      <c r="AN10" s="80"/>
      <c r="AO10" s="12"/>
      <c r="AP10" s="12"/>
    </row>
    <row r="11" spans="1:42" x14ac:dyDescent="0.25">
      <c r="A11" s="8" t="s">
        <v>61</v>
      </c>
      <c r="B11" s="9"/>
      <c r="C11" s="11"/>
      <c r="F11" s="11"/>
      <c r="G11" s="8"/>
      <c r="H11" s="9"/>
      <c r="J11" s="90"/>
      <c r="K11" s="91"/>
      <c r="L11" s="91"/>
      <c r="M11" s="91"/>
      <c r="N11" s="91"/>
      <c r="O11" s="91"/>
      <c r="P11" s="92"/>
      <c r="Q11" s="59"/>
      <c r="R11" s="84"/>
      <c r="S11" s="85"/>
      <c r="T11" s="85"/>
      <c r="U11" s="85"/>
      <c r="V11" s="85"/>
      <c r="W11" s="85"/>
      <c r="X11" s="86"/>
      <c r="Y11" s="59"/>
      <c r="Z11" s="90"/>
      <c r="AA11" s="91"/>
      <c r="AB11" s="91"/>
      <c r="AC11" s="91"/>
      <c r="AD11" s="91"/>
      <c r="AE11" s="91"/>
      <c r="AF11" s="92"/>
      <c r="AG11" s="59"/>
      <c r="AH11" s="78"/>
      <c r="AI11" s="79"/>
      <c r="AJ11" s="79"/>
      <c r="AK11" s="79"/>
      <c r="AL11" s="79"/>
      <c r="AM11" s="79"/>
      <c r="AN11" s="80"/>
      <c r="AO11" s="12"/>
      <c r="AP11" s="12"/>
    </row>
    <row r="12" spans="1:42" x14ac:dyDescent="0.25">
      <c r="A12" s="8" t="s">
        <v>62</v>
      </c>
      <c r="B12" s="9"/>
      <c r="C12" s="11"/>
      <c r="F12" s="11"/>
      <c r="G12" s="8"/>
      <c r="H12" s="9"/>
      <c r="J12" s="90"/>
      <c r="K12" s="91"/>
      <c r="L12" s="91"/>
      <c r="M12" s="91"/>
      <c r="N12" s="91"/>
      <c r="O12" s="91"/>
      <c r="P12" s="92"/>
      <c r="Q12" s="59"/>
      <c r="R12" s="84"/>
      <c r="S12" s="85"/>
      <c r="T12" s="85"/>
      <c r="U12" s="85"/>
      <c r="V12" s="85"/>
      <c r="W12" s="85"/>
      <c r="X12" s="86"/>
      <c r="Y12" s="59"/>
      <c r="Z12" s="90"/>
      <c r="AA12" s="91"/>
      <c r="AB12" s="91"/>
      <c r="AC12" s="91"/>
      <c r="AD12" s="91"/>
      <c r="AE12" s="91"/>
      <c r="AF12" s="92"/>
      <c r="AG12" s="59"/>
      <c r="AH12" s="78"/>
      <c r="AI12" s="79"/>
      <c r="AJ12" s="79"/>
      <c r="AK12" s="79"/>
      <c r="AL12" s="79"/>
      <c r="AM12" s="79"/>
      <c r="AN12" s="80"/>
      <c r="AO12" s="12"/>
      <c r="AP12" s="12"/>
    </row>
    <row r="13" spans="1:42" x14ac:dyDescent="0.25">
      <c r="A13" s="8" t="s">
        <v>63</v>
      </c>
      <c r="B13" s="9"/>
      <c r="C13" s="11"/>
      <c r="D13" s="11" t="s">
        <v>1022</v>
      </c>
      <c r="E13" s="11"/>
      <c r="F13" s="11"/>
      <c r="G13" s="8"/>
      <c r="H13" s="9"/>
      <c r="J13" s="90"/>
      <c r="K13" s="91"/>
      <c r="L13" s="91"/>
      <c r="M13" s="91"/>
      <c r="N13" s="91"/>
      <c r="O13" s="91"/>
      <c r="P13" s="92"/>
      <c r="Q13" s="59"/>
      <c r="R13" s="84"/>
      <c r="S13" s="85"/>
      <c r="T13" s="85"/>
      <c r="U13" s="85"/>
      <c r="V13" s="85"/>
      <c r="W13" s="85"/>
      <c r="X13" s="86"/>
      <c r="Y13" s="59"/>
      <c r="Z13" s="90"/>
      <c r="AA13" s="91"/>
      <c r="AB13" s="91"/>
      <c r="AC13" s="91"/>
      <c r="AD13" s="91"/>
      <c r="AE13" s="91"/>
      <c r="AF13" s="92"/>
      <c r="AG13" s="59"/>
      <c r="AH13" s="78"/>
      <c r="AI13" s="79"/>
      <c r="AJ13" s="79"/>
      <c r="AK13" s="79"/>
      <c r="AL13" s="79"/>
      <c r="AM13" s="79"/>
      <c r="AN13" s="80"/>
      <c r="AO13" s="12"/>
      <c r="AP13" s="12"/>
    </row>
    <row r="14" spans="1:42" x14ac:dyDescent="0.25">
      <c r="A14" s="8" t="s">
        <v>64</v>
      </c>
      <c r="B14" s="9"/>
      <c r="C14" s="11"/>
      <c r="D14" s="11"/>
      <c r="E14" s="11"/>
      <c r="F14" s="11"/>
      <c r="G14" s="8"/>
      <c r="H14" s="9"/>
      <c r="J14" s="90"/>
      <c r="K14" s="91"/>
      <c r="L14" s="91"/>
      <c r="M14" s="91"/>
      <c r="N14" s="91"/>
      <c r="O14" s="91"/>
      <c r="P14" s="92"/>
      <c r="Q14" s="59"/>
      <c r="R14" s="84"/>
      <c r="S14" s="85"/>
      <c r="T14" s="85"/>
      <c r="U14" s="85"/>
      <c r="V14" s="85"/>
      <c r="W14" s="85"/>
      <c r="X14" s="86"/>
      <c r="Y14" s="59"/>
      <c r="Z14" s="90"/>
      <c r="AA14" s="91"/>
      <c r="AB14" s="91"/>
      <c r="AC14" s="91"/>
      <c r="AD14" s="91"/>
      <c r="AE14" s="91"/>
      <c r="AF14" s="92"/>
      <c r="AG14" s="59"/>
      <c r="AH14" s="78"/>
      <c r="AI14" s="79"/>
      <c r="AJ14" s="79"/>
      <c r="AK14" s="79"/>
      <c r="AL14" s="79"/>
      <c r="AM14" s="79"/>
      <c r="AN14" s="80"/>
      <c r="AO14" s="12"/>
      <c r="AP14" s="12"/>
    </row>
    <row r="15" spans="1:42" x14ac:dyDescent="0.25">
      <c r="A15" s="8" t="s">
        <v>65</v>
      </c>
      <c r="B15" s="9"/>
      <c r="C15" s="11"/>
      <c r="D15" s="11"/>
      <c r="E15" s="27"/>
      <c r="F15" s="11"/>
      <c r="G15" s="8"/>
      <c r="H15" s="9"/>
      <c r="J15" s="90"/>
      <c r="K15" s="91"/>
      <c r="L15" s="91"/>
      <c r="M15" s="91"/>
      <c r="N15" s="91"/>
      <c r="O15" s="91"/>
      <c r="P15" s="92"/>
      <c r="Q15" s="59"/>
      <c r="R15" s="84"/>
      <c r="S15" s="85"/>
      <c r="T15" s="85"/>
      <c r="U15" s="85"/>
      <c r="V15" s="85"/>
      <c r="W15" s="85"/>
      <c r="X15" s="86"/>
      <c r="Y15" s="59"/>
      <c r="Z15" s="90"/>
      <c r="AA15" s="91"/>
      <c r="AB15" s="91"/>
      <c r="AC15" s="91"/>
      <c r="AD15" s="91"/>
      <c r="AE15" s="91"/>
      <c r="AF15" s="92"/>
      <c r="AG15" s="59"/>
      <c r="AH15" s="78"/>
      <c r="AI15" s="79"/>
      <c r="AJ15" s="79"/>
      <c r="AK15" s="79"/>
      <c r="AL15" s="79"/>
      <c r="AM15" s="79"/>
      <c r="AN15" s="80"/>
      <c r="AO15" s="12"/>
      <c r="AP15" s="12"/>
    </row>
    <row r="16" spans="1:42" x14ac:dyDescent="0.25">
      <c r="A16" s="8" t="s">
        <v>66</v>
      </c>
      <c r="B16" s="9"/>
      <c r="C16" s="11"/>
      <c r="D16" s="11"/>
      <c r="E16" s="11"/>
      <c r="F16" s="11"/>
      <c r="G16" s="8"/>
      <c r="H16" s="9"/>
      <c r="J16" s="90"/>
      <c r="K16" s="91"/>
      <c r="L16" s="91"/>
      <c r="M16" s="91"/>
      <c r="N16" s="91"/>
      <c r="O16" s="91"/>
      <c r="P16" s="92"/>
      <c r="Q16" s="59"/>
      <c r="R16" s="84"/>
      <c r="S16" s="85"/>
      <c r="T16" s="85"/>
      <c r="U16" s="85"/>
      <c r="V16" s="85"/>
      <c r="W16" s="85"/>
      <c r="X16" s="86"/>
      <c r="Y16" s="59"/>
      <c r="Z16" s="90"/>
      <c r="AA16" s="91"/>
      <c r="AB16" s="91"/>
      <c r="AC16" s="91"/>
      <c r="AD16" s="91"/>
      <c r="AE16" s="91"/>
      <c r="AF16" s="92"/>
      <c r="AG16" s="59"/>
      <c r="AH16" s="78"/>
      <c r="AI16" s="79"/>
      <c r="AJ16" s="79"/>
      <c r="AK16" s="79"/>
      <c r="AL16" s="79"/>
      <c r="AM16" s="79"/>
      <c r="AN16" s="80"/>
      <c r="AO16" s="12"/>
      <c r="AP16" s="12"/>
    </row>
    <row r="17" spans="1:42" x14ac:dyDescent="0.25">
      <c r="A17" s="8" t="s">
        <v>67</v>
      </c>
      <c r="B17" s="9"/>
      <c r="C17" s="11"/>
      <c r="D17" s="11"/>
      <c r="E17" s="11"/>
      <c r="F17" s="11"/>
      <c r="G17" s="8"/>
      <c r="H17" s="9"/>
      <c r="J17" s="90"/>
      <c r="K17" s="91"/>
      <c r="L17" s="91"/>
      <c r="M17" s="91"/>
      <c r="N17" s="91"/>
      <c r="O17" s="91"/>
      <c r="P17" s="92"/>
      <c r="Q17" s="59"/>
      <c r="R17" s="84"/>
      <c r="S17" s="85"/>
      <c r="T17" s="85"/>
      <c r="U17" s="85"/>
      <c r="V17" s="85"/>
      <c r="W17" s="85"/>
      <c r="X17" s="86"/>
      <c r="Y17" s="59"/>
      <c r="Z17" s="90"/>
      <c r="AA17" s="91"/>
      <c r="AB17" s="91"/>
      <c r="AC17" s="91"/>
      <c r="AD17" s="91"/>
      <c r="AE17" s="91"/>
      <c r="AF17" s="92"/>
      <c r="AG17" s="59"/>
      <c r="AH17" s="78"/>
      <c r="AI17" s="79"/>
      <c r="AJ17" s="79"/>
      <c r="AK17" s="79"/>
      <c r="AL17" s="79"/>
      <c r="AM17" s="79"/>
      <c r="AN17" s="80"/>
      <c r="AO17" s="12"/>
      <c r="AP17" s="12"/>
    </row>
    <row r="18" spans="1:42" x14ac:dyDescent="0.25">
      <c r="A18" s="8" t="s">
        <v>68</v>
      </c>
      <c r="B18" s="9"/>
      <c r="C18" s="11"/>
      <c r="D18" s="11"/>
      <c r="E18" s="11"/>
      <c r="F18" s="11"/>
      <c r="G18" s="8"/>
      <c r="H18" s="9"/>
      <c r="J18" s="90"/>
      <c r="K18" s="91"/>
      <c r="L18" s="91"/>
      <c r="M18" s="91"/>
      <c r="N18" s="91"/>
      <c r="O18" s="91"/>
      <c r="P18" s="92"/>
      <c r="Q18" s="59"/>
      <c r="R18" s="84"/>
      <c r="S18" s="85"/>
      <c r="T18" s="85"/>
      <c r="U18" s="85"/>
      <c r="V18" s="85"/>
      <c r="W18" s="85"/>
      <c r="X18" s="86"/>
      <c r="Y18" s="59"/>
      <c r="Z18" s="90"/>
      <c r="AA18" s="91"/>
      <c r="AB18" s="91"/>
      <c r="AC18" s="91"/>
      <c r="AD18" s="91"/>
      <c r="AE18" s="91"/>
      <c r="AF18" s="92"/>
      <c r="AG18" s="59"/>
      <c r="AH18" s="78"/>
      <c r="AI18" s="79"/>
      <c r="AJ18" s="79"/>
      <c r="AK18" s="79"/>
      <c r="AL18" s="79"/>
      <c r="AM18" s="79"/>
      <c r="AN18" s="80"/>
      <c r="AO18" s="12"/>
      <c r="AP18" s="12"/>
    </row>
    <row r="19" spans="1:42" x14ac:dyDescent="0.25">
      <c r="A19" s="8" t="s">
        <v>69</v>
      </c>
      <c r="B19" s="9"/>
      <c r="C19" s="11"/>
      <c r="D19" s="11"/>
      <c r="E19" s="11"/>
      <c r="F19" s="11"/>
      <c r="G19" s="8"/>
      <c r="H19" s="9"/>
      <c r="J19" s="90"/>
      <c r="K19" s="91"/>
      <c r="L19" s="91"/>
      <c r="M19" s="91"/>
      <c r="N19" s="91"/>
      <c r="O19" s="91"/>
      <c r="P19" s="92"/>
      <c r="Q19" s="59"/>
      <c r="R19" s="84"/>
      <c r="S19" s="85"/>
      <c r="T19" s="85"/>
      <c r="U19" s="85"/>
      <c r="V19" s="85"/>
      <c r="W19" s="85"/>
      <c r="X19" s="86"/>
      <c r="Y19" s="59"/>
      <c r="Z19" s="90"/>
      <c r="AA19" s="91"/>
      <c r="AB19" s="91"/>
      <c r="AC19" s="91"/>
      <c r="AD19" s="91"/>
      <c r="AE19" s="91"/>
      <c r="AF19" s="92"/>
      <c r="AG19" s="59"/>
      <c r="AH19" s="78"/>
      <c r="AI19" s="79"/>
      <c r="AJ19" s="79"/>
      <c r="AK19" s="79"/>
      <c r="AL19" s="79"/>
      <c r="AM19" s="79"/>
      <c r="AN19" s="80"/>
      <c r="AO19" s="12"/>
      <c r="AP19" s="12"/>
    </row>
    <row r="20" spans="1:42" x14ac:dyDescent="0.25">
      <c r="A20" s="8" t="s">
        <v>70</v>
      </c>
      <c r="B20" s="9"/>
      <c r="C20" s="11"/>
      <c r="D20" s="11"/>
      <c r="E20" s="11"/>
      <c r="F20" s="11"/>
      <c r="G20" s="8"/>
      <c r="H20" s="9"/>
      <c r="J20" s="90"/>
      <c r="K20" s="91"/>
      <c r="L20" s="91"/>
      <c r="M20" s="91"/>
      <c r="N20" s="91"/>
      <c r="O20" s="91"/>
      <c r="P20" s="92"/>
      <c r="Q20" s="59"/>
      <c r="R20" s="84"/>
      <c r="S20" s="85"/>
      <c r="T20" s="85"/>
      <c r="U20" s="85"/>
      <c r="V20" s="85"/>
      <c r="W20" s="85"/>
      <c r="X20" s="86"/>
      <c r="Y20" s="59"/>
      <c r="Z20" s="90"/>
      <c r="AA20" s="91"/>
      <c r="AB20" s="91"/>
      <c r="AC20" s="91"/>
      <c r="AD20" s="91"/>
      <c r="AE20" s="91"/>
      <c r="AF20" s="92"/>
      <c r="AG20" s="59"/>
      <c r="AH20" s="78"/>
      <c r="AI20" s="79"/>
      <c r="AJ20" s="79"/>
      <c r="AK20" s="79"/>
      <c r="AL20" s="79"/>
      <c r="AM20" s="79"/>
      <c r="AN20" s="80"/>
      <c r="AO20" s="12"/>
      <c r="AP20" s="12"/>
    </row>
    <row r="21" spans="1:42" x14ac:dyDescent="0.25">
      <c r="A21" s="8" t="s">
        <v>71</v>
      </c>
      <c r="B21" s="9"/>
      <c r="C21" s="11"/>
      <c r="D21" s="11"/>
      <c r="E21" s="11"/>
      <c r="F21" s="11"/>
      <c r="G21" s="8"/>
      <c r="H21" s="9"/>
      <c r="J21" s="90"/>
      <c r="K21" s="91"/>
      <c r="L21" s="91"/>
      <c r="M21" s="91"/>
      <c r="N21" s="91"/>
      <c r="O21" s="91"/>
      <c r="P21" s="92"/>
      <c r="Q21" s="59"/>
      <c r="R21" s="84"/>
      <c r="S21" s="85"/>
      <c r="T21" s="85"/>
      <c r="U21" s="85"/>
      <c r="V21" s="85"/>
      <c r="W21" s="85"/>
      <c r="X21" s="86"/>
      <c r="Y21" s="59"/>
      <c r="Z21" s="90"/>
      <c r="AA21" s="91"/>
      <c r="AB21" s="91"/>
      <c r="AC21" s="91"/>
      <c r="AD21" s="91"/>
      <c r="AE21" s="91"/>
      <c r="AF21" s="92"/>
      <c r="AG21" s="59"/>
      <c r="AH21" s="78"/>
      <c r="AI21" s="79"/>
      <c r="AJ21" s="79"/>
      <c r="AK21" s="79"/>
      <c r="AL21" s="79"/>
      <c r="AM21" s="79"/>
      <c r="AN21" s="80"/>
    </row>
    <row r="22" spans="1:42" x14ac:dyDescent="0.25">
      <c r="A22" s="8" t="s">
        <v>72</v>
      </c>
      <c r="B22" s="9"/>
      <c r="C22" s="11"/>
      <c r="D22" s="11"/>
      <c r="E22" s="11"/>
      <c r="F22" s="11"/>
      <c r="G22" s="8"/>
      <c r="H22" s="9"/>
      <c r="J22" s="90"/>
      <c r="K22" s="91"/>
      <c r="L22" s="91"/>
      <c r="M22" s="91"/>
      <c r="N22" s="91"/>
      <c r="O22" s="91"/>
      <c r="P22" s="92"/>
      <c r="Q22" s="59"/>
      <c r="R22" s="84"/>
      <c r="S22" s="85"/>
      <c r="T22" s="85"/>
      <c r="U22" s="85"/>
      <c r="V22" s="85"/>
      <c r="W22" s="85"/>
      <c r="X22" s="86"/>
      <c r="Y22" s="59"/>
      <c r="Z22" s="90"/>
      <c r="AA22" s="91"/>
      <c r="AB22" s="91"/>
      <c r="AC22" s="91"/>
      <c r="AD22" s="91"/>
      <c r="AE22" s="91"/>
      <c r="AF22" s="92"/>
      <c r="AG22" s="59"/>
      <c r="AH22" s="78"/>
      <c r="AI22" s="79"/>
      <c r="AJ22" s="79"/>
      <c r="AK22" s="79"/>
      <c r="AL22" s="79"/>
      <c r="AM22" s="79"/>
      <c r="AN22" s="80"/>
    </row>
    <row r="23" spans="1:42" x14ac:dyDescent="0.25">
      <c r="A23" s="8" t="s">
        <v>73</v>
      </c>
      <c r="B23" s="9"/>
      <c r="C23" s="11"/>
      <c r="D23" s="11"/>
      <c r="E23" s="11"/>
      <c r="F23" s="11"/>
      <c r="G23" s="8"/>
      <c r="H23" s="9"/>
      <c r="J23" s="90"/>
      <c r="K23" s="91"/>
      <c r="L23" s="91"/>
      <c r="M23" s="91"/>
      <c r="N23" s="91"/>
      <c r="O23" s="91"/>
      <c r="P23" s="92"/>
      <c r="Q23" s="59"/>
      <c r="R23" s="84"/>
      <c r="S23" s="85"/>
      <c r="T23" s="85"/>
      <c r="U23" s="85"/>
      <c r="V23" s="85"/>
      <c r="W23" s="85"/>
      <c r="X23" s="86"/>
      <c r="Y23" s="59"/>
      <c r="Z23" s="90"/>
      <c r="AA23" s="91"/>
      <c r="AB23" s="91"/>
      <c r="AC23" s="91"/>
      <c r="AD23" s="91"/>
      <c r="AE23" s="91"/>
      <c r="AF23" s="92"/>
      <c r="AG23" s="59"/>
      <c r="AH23" s="78"/>
      <c r="AI23" s="79"/>
      <c r="AJ23" s="79"/>
      <c r="AK23" s="79"/>
      <c r="AL23" s="79"/>
      <c r="AM23" s="79"/>
      <c r="AN23" s="80"/>
    </row>
    <row r="24" spans="1:42" x14ac:dyDescent="0.25">
      <c r="A24" s="8" t="s">
        <v>73</v>
      </c>
      <c r="B24" s="9"/>
      <c r="C24" s="11"/>
      <c r="D24" s="11"/>
      <c r="E24" s="11"/>
      <c r="F24" s="11"/>
      <c r="G24" s="8"/>
      <c r="H24" s="9"/>
      <c r="J24" s="90"/>
      <c r="K24" s="91"/>
      <c r="L24" s="91"/>
      <c r="M24" s="91"/>
      <c r="N24" s="91"/>
      <c r="O24" s="91"/>
      <c r="P24" s="92"/>
      <c r="Q24" s="59"/>
      <c r="R24" s="84"/>
      <c r="S24" s="85"/>
      <c r="T24" s="85"/>
      <c r="U24" s="85"/>
      <c r="V24" s="85"/>
      <c r="W24" s="85"/>
      <c r="X24" s="86"/>
      <c r="Y24" s="59"/>
      <c r="Z24" s="90"/>
      <c r="AA24" s="91"/>
      <c r="AB24" s="91"/>
      <c r="AC24" s="91"/>
      <c r="AD24" s="91"/>
      <c r="AE24" s="91"/>
      <c r="AF24" s="92"/>
      <c r="AG24" s="59"/>
      <c r="AH24" s="78"/>
      <c r="AI24" s="79"/>
      <c r="AJ24" s="79"/>
      <c r="AK24" s="79"/>
      <c r="AL24" s="79"/>
      <c r="AM24" s="79"/>
      <c r="AN24" s="80"/>
    </row>
    <row r="25" spans="1:42" x14ac:dyDescent="0.25">
      <c r="A25" s="8"/>
      <c r="B25" s="9"/>
      <c r="C25" s="11"/>
      <c r="D25" s="11"/>
      <c r="E25" s="11"/>
      <c r="F25" s="11"/>
      <c r="G25" s="8"/>
      <c r="H25" s="9"/>
      <c r="J25" s="90"/>
      <c r="K25" s="91"/>
      <c r="L25" s="91"/>
      <c r="M25" s="91"/>
      <c r="N25" s="91"/>
      <c r="O25" s="91"/>
      <c r="P25" s="92"/>
      <c r="Q25" s="59"/>
      <c r="R25" s="84"/>
      <c r="S25" s="85"/>
      <c r="T25" s="85"/>
      <c r="U25" s="85"/>
      <c r="V25" s="85"/>
      <c r="W25" s="85"/>
      <c r="X25" s="86"/>
      <c r="Y25" s="59"/>
      <c r="Z25" s="90"/>
      <c r="AA25" s="91"/>
      <c r="AB25" s="91"/>
      <c r="AC25" s="91"/>
      <c r="AD25" s="91"/>
      <c r="AE25" s="91"/>
      <c r="AF25" s="92"/>
      <c r="AG25" s="59"/>
      <c r="AH25" s="78"/>
      <c r="AI25" s="79"/>
      <c r="AJ25" s="79"/>
      <c r="AK25" s="79"/>
      <c r="AL25" s="79"/>
      <c r="AM25" s="79"/>
      <c r="AN25" s="80"/>
    </row>
    <row r="26" spans="1:42" x14ac:dyDescent="0.25">
      <c r="A26" s="8"/>
      <c r="B26" s="9"/>
      <c r="C26" s="11"/>
      <c r="D26" s="11"/>
      <c r="E26" s="11"/>
      <c r="F26" s="11"/>
      <c r="G26" s="8"/>
      <c r="H26" s="9"/>
      <c r="J26" s="90"/>
      <c r="K26" s="91"/>
      <c r="L26" s="91"/>
      <c r="M26" s="91"/>
      <c r="N26" s="91"/>
      <c r="O26" s="91"/>
      <c r="P26" s="92"/>
      <c r="Q26" s="59"/>
      <c r="R26" s="84"/>
      <c r="S26" s="85"/>
      <c r="T26" s="85"/>
      <c r="U26" s="85"/>
      <c r="V26" s="85"/>
      <c r="W26" s="85"/>
      <c r="X26" s="86"/>
      <c r="Y26" s="59"/>
      <c r="Z26" s="90"/>
      <c r="AA26" s="91"/>
      <c r="AB26" s="91"/>
      <c r="AC26" s="91"/>
      <c r="AD26" s="91"/>
      <c r="AE26" s="91"/>
      <c r="AF26" s="92"/>
      <c r="AG26" s="59"/>
      <c r="AH26" s="78"/>
      <c r="AI26" s="79"/>
      <c r="AJ26" s="79"/>
      <c r="AK26" s="79"/>
      <c r="AL26" s="79"/>
      <c r="AM26" s="79"/>
      <c r="AN26" s="80"/>
    </row>
    <row r="27" spans="1:42" ht="15.75" thickBot="1" x14ac:dyDescent="0.3">
      <c r="A27" s="8"/>
      <c r="B27" s="9"/>
      <c r="C27" s="11"/>
      <c r="D27" s="11"/>
      <c r="E27" s="11"/>
      <c r="F27" s="11"/>
      <c r="G27" s="8"/>
      <c r="H27" s="9"/>
      <c r="J27" s="93"/>
      <c r="K27" s="94"/>
      <c r="L27" s="94"/>
      <c r="M27" s="94"/>
      <c r="N27" s="94"/>
      <c r="O27" s="94"/>
      <c r="P27" s="95"/>
      <c r="Q27" s="59"/>
      <c r="R27" s="87"/>
      <c r="S27" s="88"/>
      <c r="T27" s="88"/>
      <c r="U27" s="88"/>
      <c r="V27" s="88"/>
      <c r="W27" s="88"/>
      <c r="X27" s="89"/>
      <c r="Y27" s="59"/>
      <c r="Z27" s="93"/>
      <c r="AA27" s="94"/>
      <c r="AB27" s="94"/>
      <c r="AC27" s="94"/>
      <c r="AD27" s="94"/>
      <c r="AE27" s="94"/>
      <c r="AF27" s="95"/>
      <c r="AG27" s="59"/>
      <c r="AH27" s="81"/>
      <c r="AI27" s="82"/>
      <c r="AJ27" s="82"/>
      <c r="AK27" s="82"/>
      <c r="AL27" s="82"/>
      <c r="AM27" s="82"/>
      <c r="AN27" s="83"/>
    </row>
    <row r="28" spans="1:42" x14ac:dyDescent="0.25">
      <c r="A28" s="10"/>
    </row>
    <row r="29" spans="1:42" x14ac:dyDescent="0.25">
      <c r="A29" s="188" t="s">
        <v>74</v>
      </c>
      <c r="B29" s="189"/>
      <c r="C29" s="189"/>
      <c r="D29" s="189"/>
      <c r="E29" s="189"/>
      <c r="F29" s="189"/>
      <c r="G29" s="189"/>
      <c r="H29" s="190"/>
    </row>
    <row r="30" spans="1:42" x14ac:dyDescent="0.25">
      <c r="A30" s="20" t="s">
        <v>45</v>
      </c>
      <c r="B30" s="21" t="s">
        <v>47</v>
      </c>
      <c r="C30" s="21" t="s">
        <v>48</v>
      </c>
      <c r="D30" s="21" t="s">
        <v>49</v>
      </c>
      <c r="E30" s="21" t="s">
        <v>50</v>
      </c>
      <c r="F30" s="21" t="s">
        <v>51</v>
      </c>
      <c r="G30" s="21" t="s">
        <v>52</v>
      </c>
      <c r="H30" s="22" t="s">
        <v>53</v>
      </c>
    </row>
    <row r="31" spans="1:42" x14ac:dyDescent="0.25">
      <c r="A31" s="23">
        <v>1</v>
      </c>
      <c r="B31" s="16">
        <v>42002</v>
      </c>
      <c r="C31" s="16">
        <v>42003</v>
      </c>
      <c r="D31" s="16">
        <v>42004</v>
      </c>
      <c r="E31" s="16">
        <v>42005</v>
      </c>
      <c r="F31" s="16">
        <v>42006</v>
      </c>
      <c r="G31" s="16">
        <v>42007</v>
      </c>
      <c r="H31" s="17">
        <v>42008</v>
      </c>
      <c r="I31" s="7" t="s">
        <v>84</v>
      </c>
    </row>
    <row r="32" spans="1:42" x14ac:dyDescent="0.25">
      <c r="A32" s="23">
        <v>2</v>
      </c>
      <c r="B32" s="16">
        <v>42009</v>
      </c>
      <c r="C32" s="16">
        <v>42010</v>
      </c>
      <c r="D32" s="16">
        <v>42011</v>
      </c>
      <c r="E32" s="16">
        <v>42012</v>
      </c>
      <c r="F32" s="16">
        <v>42013</v>
      </c>
      <c r="G32" s="16">
        <v>42014</v>
      </c>
      <c r="H32" s="17">
        <v>42015</v>
      </c>
    </row>
    <row r="33" spans="1:8" x14ac:dyDescent="0.25">
      <c r="A33" s="23">
        <v>3</v>
      </c>
      <c r="B33" s="16">
        <v>42016</v>
      </c>
      <c r="C33" s="16">
        <v>42017</v>
      </c>
      <c r="D33" s="16">
        <v>42018</v>
      </c>
      <c r="E33" s="16">
        <v>42019</v>
      </c>
      <c r="F33" s="16">
        <v>42020</v>
      </c>
      <c r="G33" s="16">
        <v>42021</v>
      </c>
      <c r="H33" s="17">
        <v>42022</v>
      </c>
    </row>
    <row r="34" spans="1:8" x14ac:dyDescent="0.25">
      <c r="A34" s="23">
        <v>4</v>
      </c>
      <c r="B34" s="16">
        <v>42023</v>
      </c>
      <c r="C34" s="16">
        <v>42024</v>
      </c>
      <c r="D34" s="16">
        <v>42025</v>
      </c>
      <c r="E34" s="16">
        <v>42026</v>
      </c>
      <c r="F34" s="16">
        <v>42027</v>
      </c>
      <c r="G34" s="16">
        <v>42028</v>
      </c>
      <c r="H34" s="17">
        <v>42029</v>
      </c>
    </row>
    <row r="35" spans="1:8" x14ac:dyDescent="0.25">
      <c r="A35" s="23">
        <v>5</v>
      </c>
      <c r="B35" s="16">
        <v>42030</v>
      </c>
      <c r="C35" s="16">
        <v>42031</v>
      </c>
      <c r="D35" s="16">
        <v>42032</v>
      </c>
      <c r="E35" s="16">
        <v>42033</v>
      </c>
      <c r="F35" s="16">
        <v>42034</v>
      </c>
      <c r="G35" s="16">
        <v>42035</v>
      </c>
      <c r="H35" s="17">
        <v>42036</v>
      </c>
    </row>
    <row r="36" spans="1:8" x14ac:dyDescent="0.25">
      <c r="A36" s="23">
        <v>6</v>
      </c>
      <c r="B36" s="16">
        <v>42037</v>
      </c>
      <c r="C36" s="16">
        <v>42038</v>
      </c>
      <c r="D36" s="16">
        <v>42039</v>
      </c>
      <c r="E36" s="16">
        <v>42040</v>
      </c>
      <c r="F36" s="16">
        <v>42041</v>
      </c>
      <c r="G36" s="16">
        <v>42042</v>
      </c>
      <c r="H36" s="17">
        <v>42043</v>
      </c>
    </row>
    <row r="37" spans="1:8" x14ac:dyDescent="0.25">
      <c r="A37" s="23">
        <v>7</v>
      </c>
      <c r="B37" s="16">
        <v>42044</v>
      </c>
      <c r="C37" s="16">
        <v>42045</v>
      </c>
      <c r="D37" s="16">
        <v>42046</v>
      </c>
      <c r="E37" s="16">
        <v>42047</v>
      </c>
      <c r="F37" s="16">
        <v>42048</v>
      </c>
      <c r="G37" s="16">
        <v>42049</v>
      </c>
      <c r="H37" s="17">
        <v>42050</v>
      </c>
    </row>
    <row r="38" spans="1:8" x14ac:dyDescent="0.25">
      <c r="A38" s="23">
        <v>8</v>
      </c>
      <c r="B38" s="16">
        <v>42051</v>
      </c>
      <c r="C38" s="16">
        <v>42052</v>
      </c>
      <c r="D38" s="16">
        <v>42053</v>
      </c>
      <c r="E38" s="16">
        <v>42054</v>
      </c>
      <c r="F38" s="16">
        <v>42055</v>
      </c>
      <c r="G38" s="16">
        <v>42056</v>
      </c>
      <c r="H38" s="17">
        <v>42057</v>
      </c>
    </row>
    <row r="39" spans="1:8" x14ac:dyDescent="0.25">
      <c r="A39" s="23">
        <v>9</v>
      </c>
      <c r="B39" s="16">
        <v>42058</v>
      </c>
      <c r="C39" s="16">
        <v>42059</v>
      </c>
      <c r="D39" s="16">
        <v>42060</v>
      </c>
      <c r="E39" s="16">
        <v>42061</v>
      </c>
      <c r="F39" s="16">
        <v>42062</v>
      </c>
      <c r="G39" s="16">
        <v>42063</v>
      </c>
      <c r="H39" s="17">
        <v>42064</v>
      </c>
    </row>
    <row r="40" spans="1:8" x14ac:dyDescent="0.25">
      <c r="A40" s="23">
        <v>10</v>
      </c>
      <c r="B40" s="16">
        <v>42065</v>
      </c>
      <c r="C40" s="16">
        <v>42066</v>
      </c>
      <c r="D40" s="16">
        <v>42067</v>
      </c>
      <c r="E40" s="16">
        <v>42068</v>
      </c>
      <c r="F40" s="16">
        <v>42069</v>
      </c>
      <c r="G40" s="16">
        <v>42070</v>
      </c>
      <c r="H40" s="17">
        <v>42071</v>
      </c>
    </row>
    <row r="41" spans="1:8" x14ac:dyDescent="0.25">
      <c r="A41" s="23">
        <v>11</v>
      </c>
      <c r="B41" s="16">
        <v>42072</v>
      </c>
      <c r="C41" s="16">
        <v>42073</v>
      </c>
      <c r="D41" s="16">
        <v>42074</v>
      </c>
      <c r="E41" s="16">
        <v>42075</v>
      </c>
      <c r="F41" s="16">
        <v>42076</v>
      </c>
      <c r="G41" s="16">
        <v>42077</v>
      </c>
      <c r="H41" s="17">
        <v>42078</v>
      </c>
    </row>
    <row r="42" spans="1:8" x14ac:dyDescent="0.25">
      <c r="A42" s="23">
        <v>12</v>
      </c>
      <c r="B42" s="16">
        <v>42079</v>
      </c>
      <c r="C42" s="16">
        <v>42080</v>
      </c>
      <c r="D42" s="16">
        <v>42081</v>
      </c>
      <c r="E42" s="16">
        <v>42082</v>
      </c>
      <c r="F42" s="16">
        <v>42083</v>
      </c>
      <c r="G42" s="16">
        <v>42084</v>
      </c>
      <c r="H42" s="17">
        <v>42085</v>
      </c>
    </row>
    <row r="43" spans="1:8" x14ac:dyDescent="0.25">
      <c r="A43" s="23">
        <v>13</v>
      </c>
      <c r="B43" s="16">
        <v>42086</v>
      </c>
      <c r="C43" s="16">
        <v>42087</v>
      </c>
      <c r="D43" s="16">
        <v>42088</v>
      </c>
      <c r="E43" s="16">
        <v>42089</v>
      </c>
      <c r="F43" s="16">
        <v>42090</v>
      </c>
      <c r="G43" s="16">
        <v>42091</v>
      </c>
      <c r="H43" s="17">
        <v>42092</v>
      </c>
    </row>
    <row r="44" spans="1:8" x14ac:dyDescent="0.25">
      <c r="A44" s="23">
        <v>14</v>
      </c>
      <c r="B44" s="16">
        <v>42093</v>
      </c>
      <c r="C44" s="16">
        <v>42094</v>
      </c>
      <c r="D44" s="16">
        <v>42095</v>
      </c>
      <c r="E44" s="16">
        <v>42096</v>
      </c>
      <c r="F44" s="16">
        <v>42097</v>
      </c>
      <c r="G44" s="16">
        <v>42098</v>
      </c>
      <c r="H44" s="17">
        <v>42099</v>
      </c>
    </row>
    <row r="45" spans="1:8" x14ac:dyDescent="0.25">
      <c r="A45" s="23">
        <v>15</v>
      </c>
      <c r="B45" s="16">
        <v>42100</v>
      </c>
      <c r="C45" s="16">
        <v>42101</v>
      </c>
      <c r="D45" s="16">
        <v>42102</v>
      </c>
      <c r="E45" s="16">
        <v>42103</v>
      </c>
      <c r="F45" s="16">
        <v>42104</v>
      </c>
      <c r="G45" s="16">
        <v>42105</v>
      </c>
      <c r="H45" s="17">
        <v>42106</v>
      </c>
    </row>
    <row r="46" spans="1:8" x14ac:dyDescent="0.25">
      <c r="A46" s="23">
        <v>16</v>
      </c>
      <c r="B46" s="16">
        <v>42107</v>
      </c>
      <c r="C46" s="16">
        <v>42108</v>
      </c>
      <c r="D46" s="16">
        <v>42109</v>
      </c>
      <c r="E46" s="16">
        <v>42110</v>
      </c>
      <c r="F46" s="16">
        <v>42111</v>
      </c>
      <c r="G46" s="16">
        <v>42112</v>
      </c>
      <c r="H46" s="17">
        <v>42113</v>
      </c>
    </row>
    <row r="47" spans="1:8" x14ac:dyDescent="0.25">
      <c r="A47" s="23">
        <v>17</v>
      </c>
      <c r="B47" s="16">
        <v>42114</v>
      </c>
      <c r="C47" s="16">
        <v>42115</v>
      </c>
      <c r="D47" s="16">
        <v>42116</v>
      </c>
      <c r="E47" s="16">
        <v>42117</v>
      </c>
      <c r="F47" s="16">
        <v>42118</v>
      </c>
      <c r="G47" s="16">
        <v>42119</v>
      </c>
      <c r="H47" s="17">
        <v>42120</v>
      </c>
    </row>
    <row r="48" spans="1:8" x14ac:dyDescent="0.25">
      <c r="A48" s="23">
        <v>18</v>
      </c>
      <c r="B48" s="16">
        <v>42121</v>
      </c>
      <c r="C48" s="16">
        <v>42122</v>
      </c>
      <c r="D48" s="16">
        <v>42123</v>
      </c>
      <c r="E48" s="16">
        <v>42124</v>
      </c>
      <c r="F48" s="16">
        <v>42125</v>
      </c>
      <c r="G48" s="16">
        <v>42126</v>
      </c>
      <c r="H48" s="17">
        <v>42127</v>
      </c>
    </row>
    <row r="49" spans="1:8" x14ac:dyDescent="0.25">
      <c r="A49" s="23">
        <v>19</v>
      </c>
      <c r="B49" s="16">
        <v>42128</v>
      </c>
      <c r="C49" s="16">
        <v>42129</v>
      </c>
      <c r="D49" s="16">
        <v>42130</v>
      </c>
      <c r="E49" s="16">
        <v>42131</v>
      </c>
      <c r="F49" s="16">
        <v>42132</v>
      </c>
      <c r="G49" s="16">
        <v>42133</v>
      </c>
      <c r="H49" s="17">
        <v>42134</v>
      </c>
    </row>
    <row r="50" spans="1:8" x14ac:dyDescent="0.25">
      <c r="A50" s="23">
        <v>20</v>
      </c>
      <c r="B50" s="16">
        <v>42135</v>
      </c>
      <c r="C50" s="16">
        <v>42136</v>
      </c>
      <c r="D50" s="16">
        <v>42137</v>
      </c>
      <c r="E50" s="16">
        <v>42138</v>
      </c>
      <c r="F50" s="16">
        <v>42139</v>
      </c>
      <c r="G50" s="16">
        <v>42140</v>
      </c>
      <c r="H50" s="17">
        <v>42141</v>
      </c>
    </row>
    <row r="51" spans="1:8" x14ac:dyDescent="0.25">
      <c r="A51" s="23">
        <v>21</v>
      </c>
      <c r="B51" s="16">
        <v>42142</v>
      </c>
      <c r="C51" s="16">
        <v>42143</v>
      </c>
      <c r="D51" s="16">
        <v>42144</v>
      </c>
      <c r="E51" s="16">
        <v>42145</v>
      </c>
      <c r="F51" s="16">
        <v>42146</v>
      </c>
      <c r="G51" s="16">
        <v>42147</v>
      </c>
      <c r="H51" s="17">
        <v>42148</v>
      </c>
    </row>
    <row r="52" spans="1:8" x14ac:dyDescent="0.25">
      <c r="A52" s="23">
        <v>22</v>
      </c>
      <c r="B52" s="16">
        <v>42149</v>
      </c>
      <c r="C52" s="16">
        <v>42150</v>
      </c>
      <c r="D52" s="16">
        <v>42151</v>
      </c>
      <c r="E52" s="16">
        <v>42152</v>
      </c>
      <c r="F52" s="16">
        <v>42153</v>
      </c>
      <c r="G52" s="16">
        <v>42154</v>
      </c>
      <c r="H52" s="17">
        <v>42155</v>
      </c>
    </row>
    <row r="53" spans="1:8" x14ac:dyDescent="0.25">
      <c r="A53" s="23">
        <v>23</v>
      </c>
      <c r="B53" s="16">
        <v>42156</v>
      </c>
      <c r="C53" s="16">
        <v>42157</v>
      </c>
      <c r="D53" s="16">
        <v>42158</v>
      </c>
      <c r="E53" s="16">
        <v>42159</v>
      </c>
      <c r="F53" s="16">
        <v>42160</v>
      </c>
      <c r="G53" s="16">
        <v>42161</v>
      </c>
      <c r="H53" s="17">
        <v>42162</v>
      </c>
    </row>
    <row r="54" spans="1:8" x14ac:dyDescent="0.25">
      <c r="A54" s="23">
        <v>24</v>
      </c>
      <c r="B54" s="16">
        <v>42163</v>
      </c>
      <c r="C54" s="16">
        <v>42164</v>
      </c>
      <c r="D54" s="16">
        <v>42165</v>
      </c>
      <c r="E54" s="16">
        <v>42166</v>
      </c>
      <c r="F54" s="16">
        <v>42167</v>
      </c>
      <c r="G54" s="16">
        <v>42168</v>
      </c>
      <c r="H54" s="17">
        <v>42169</v>
      </c>
    </row>
    <row r="55" spans="1:8" x14ac:dyDescent="0.25">
      <c r="A55" s="23">
        <v>25</v>
      </c>
      <c r="B55" s="16">
        <v>42170</v>
      </c>
      <c r="C55" s="16">
        <v>42171</v>
      </c>
      <c r="D55" s="16">
        <v>42172</v>
      </c>
      <c r="E55" s="16">
        <v>42173</v>
      </c>
      <c r="F55" s="16">
        <v>42174</v>
      </c>
      <c r="G55" s="16">
        <v>42175</v>
      </c>
      <c r="H55" s="17">
        <v>42176</v>
      </c>
    </row>
    <row r="56" spans="1:8" x14ac:dyDescent="0.25">
      <c r="A56" s="23">
        <v>26</v>
      </c>
      <c r="B56" s="16">
        <v>42177</v>
      </c>
      <c r="C56" s="16">
        <v>42178</v>
      </c>
      <c r="D56" s="16">
        <v>42179</v>
      </c>
      <c r="E56" s="16">
        <v>42180</v>
      </c>
      <c r="F56" s="16">
        <v>42181</v>
      </c>
      <c r="G56" s="16">
        <v>42182</v>
      </c>
      <c r="H56" s="17">
        <v>42183</v>
      </c>
    </row>
    <row r="57" spans="1:8" x14ac:dyDescent="0.25">
      <c r="A57" s="23">
        <v>27</v>
      </c>
      <c r="B57" s="16">
        <v>42184</v>
      </c>
      <c r="C57" s="16">
        <v>42185</v>
      </c>
      <c r="D57" s="16">
        <v>42186</v>
      </c>
      <c r="E57" s="16">
        <v>42187</v>
      </c>
      <c r="F57" s="16">
        <v>42188</v>
      </c>
      <c r="G57" s="16">
        <v>42189</v>
      </c>
      <c r="H57" s="17">
        <v>42190</v>
      </c>
    </row>
    <row r="58" spans="1:8" x14ac:dyDescent="0.25">
      <c r="A58" s="23">
        <v>28</v>
      </c>
      <c r="B58" s="16">
        <v>42191</v>
      </c>
      <c r="C58" s="16">
        <v>42192</v>
      </c>
      <c r="D58" s="16">
        <v>42193</v>
      </c>
      <c r="E58" s="16">
        <v>42194</v>
      </c>
      <c r="F58" s="16">
        <v>42195</v>
      </c>
      <c r="G58" s="16">
        <v>42196</v>
      </c>
      <c r="H58" s="17">
        <v>42197</v>
      </c>
    </row>
    <row r="59" spans="1:8" x14ac:dyDescent="0.25">
      <c r="A59" s="23">
        <v>29</v>
      </c>
      <c r="B59" s="16">
        <v>42198</v>
      </c>
      <c r="C59" s="16">
        <v>42199</v>
      </c>
      <c r="D59" s="16">
        <v>42200</v>
      </c>
      <c r="E59" s="16">
        <v>42201</v>
      </c>
      <c r="F59" s="16">
        <v>42202</v>
      </c>
      <c r="G59" s="16">
        <v>42203</v>
      </c>
      <c r="H59" s="17">
        <v>42204</v>
      </c>
    </row>
    <row r="60" spans="1:8" x14ac:dyDescent="0.25">
      <c r="A60" s="23">
        <v>30</v>
      </c>
      <c r="B60" s="16">
        <v>42205</v>
      </c>
      <c r="C60" s="16">
        <v>42206</v>
      </c>
      <c r="D60" s="16">
        <v>42207</v>
      </c>
      <c r="E60" s="16">
        <v>42208</v>
      </c>
      <c r="F60" s="16">
        <v>42209</v>
      </c>
      <c r="G60" s="16">
        <v>42210</v>
      </c>
      <c r="H60" s="17">
        <v>42211</v>
      </c>
    </row>
    <row r="61" spans="1:8" x14ac:dyDescent="0.25">
      <c r="A61" s="23">
        <v>31</v>
      </c>
      <c r="B61" s="16">
        <v>42212</v>
      </c>
      <c r="C61" s="16">
        <v>42213</v>
      </c>
      <c r="D61" s="16">
        <v>42214</v>
      </c>
      <c r="E61" s="16">
        <v>42215</v>
      </c>
      <c r="F61" s="16">
        <v>42216</v>
      </c>
      <c r="G61" s="16">
        <v>42217</v>
      </c>
      <c r="H61" s="17">
        <v>42218</v>
      </c>
    </row>
    <row r="62" spans="1:8" x14ac:dyDescent="0.25">
      <c r="A62" s="23">
        <v>32</v>
      </c>
      <c r="B62" s="16">
        <v>42219</v>
      </c>
      <c r="C62" s="16">
        <v>42220</v>
      </c>
      <c r="D62" s="16">
        <v>42221</v>
      </c>
      <c r="E62" s="16">
        <v>42222</v>
      </c>
      <c r="F62" s="16">
        <v>42223</v>
      </c>
      <c r="G62" s="16">
        <v>42224</v>
      </c>
      <c r="H62" s="17">
        <v>42225</v>
      </c>
    </row>
    <row r="63" spans="1:8" x14ac:dyDescent="0.25">
      <c r="A63" s="23">
        <v>33</v>
      </c>
      <c r="B63" s="16">
        <v>42226</v>
      </c>
      <c r="C63" s="16">
        <v>42227</v>
      </c>
      <c r="D63" s="16">
        <v>42228</v>
      </c>
      <c r="E63" s="16">
        <v>42229</v>
      </c>
      <c r="F63" s="16">
        <v>42230</v>
      </c>
      <c r="G63" s="16">
        <v>42231</v>
      </c>
      <c r="H63" s="17">
        <v>42232</v>
      </c>
    </row>
    <row r="64" spans="1:8" x14ac:dyDescent="0.25">
      <c r="A64" s="23">
        <v>34</v>
      </c>
      <c r="B64" s="16">
        <v>42233</v>
      </c>
      <c r="C64" s="16">
        <v>42234</v>
      </c>
      <c r="D64" s="16">
        <v>42235</v>
      </c>
      <c r="E64" s="16">
        <v>42236</v>
      </c>
      <c r="F64" s="16">
        <v>42237</v>
      </c>
      <c r="G64" s="16">
        <v>42238</v>
      </c>
      <c r="H64" s="17">
        <v>42239</v>
      </c>
    </row>
    <row r="65" spans="1:8" x14ac:dyDescent="0.25">
      <c r="A65" s="23">
        <v>35</v>
      </c>
      <c r="B65" s="16">
        <v>42240</v>
      </c>
      <c r="C65" s="16">
        <v>42241</v>
      </c>
      <c r="D65" s="16">
        <v>42242</v>
      </c>
      <c r="E65" s="16">
        <v>42243</v>
      </c>
      <c r="F65" s="16">
        <v>42244</v>
      </c>
      <c r="G65" s="16">
        <v>42245</v>
      </c>
      <c r="H65" s="17">
        <v>42246</v>
      </c>
    </row>
    <row r="66" spans="1:8" x14ac:dyDescent="0.25">
      <c r="A66" s="23">
        <v>36</v>
      </c>
      <c r="B66" s="16">
        <v>42247</v>
      </c>
      <c r="C66" s="16">
        <v>42248</v>
      </c>
      <c r="D66" s="16">
        <v>42249</v>
      </c>
      <c r="E66" s="16">
        <v>42250</v>
      </c>
      <c r="F66" s="16">
        <v>42251</v>
      </c>
      <c r="G66" s="16">
        <v>42252</v>
      </c>
      <c r="H66" s="17">
        <v>42253</v>
      </c>
    </row>
    <row r="67" spans="1:8" x14ac:dyDescent="0.25">
      <c r="A67" s="23">
        <v>37</v>
      </c>
      <c r="B67" s="16">
        <v>42254</v>
      </c>
      <c r="C67" s="16">
        <v>42255</v>
      </c>
      <c r="D67" s="16">
        <v>42256</v>
      </c>
      <c r="E67" s="16">
        <v>42257</v>
      </c>
      <c r="F67" s="16">
        <v>42258</v>
      </c>
      <c r="G67" s="16">
        <v>42259</v>
      </c>
      <c r="H67" s="17">
        <v>42260</v>
      </c>
    </row>
    <row r="68" spans="1:8" x14ac:dyDescent="0.25">
      <c r="A68" s="23">
        <v>38</v>
      </c>
      <c r="B68" s="16">
        <v>42261</v>
      </c>
      <c r="C68" s="16">
        <v>42262</v>
      </c>
      <c r="D68" s="16">
        <v>42263</v>
      </c>
      <c r="E68" s="16">
        <v>42264</v>
      </c>
      <c r="F68" s="16">
        <v>42265</v>
      </c>
      <c r="G68" s="16">
        <v>42266</v>
      </c>
      <c r="H68" s="17">
        <v>42267</v>
      </c>
    </row>
    <row r="69" spans="1:8" x14ac:dyDescent="0.25">
      <c r="A69" s="23">
        <v>39</v>
      </c>
      <c r="B69" s="16">
        <v>42268</v>
      </c>
      <c r="C69" s="16">
        <v>42269</v>
      </c>
      <c r="D69" s="16">
        <v>42270</v>
      </c>
      <c r="E69" s="16">
        <v>42271</v>
      </c>
      <c r="F69" s="16">
        <v>42272</v>
      </c>
      <c r="G69" s="16">
        <v>42273</v>
      </c>
      <c r="H69" s="17">
        <v>42274</v>
      </c>
    </row>
    <row r="70" spans="1:8" x14ac:dyDescent="0.25">
      <c r="A70" s="23">
        <v>40</v>
      </c>
      <c r="B70" s="16">
        <v>42275</v>
      </c>
      <c r="C70" s="16">
        <v>42276</v>
      </c>
      <c r="D70" s="16">
        <v>42277</v>
      </c>
      <c r="E70" s="16">
        <v>42278</v>
      </c>
      <c r="F70" s="16">
        <v>42279</v>
      </c>
      <c r="G70" s="16">
        <v>42280</v>
      </c>
      <c r="H70" s="17">
        <v>42281</v>
      </c>
    </row>
    <row r="71" spans="1:8" x14ac:dyDescent="0.25">
      <c r="A71" s="23">
        <v>41</v>
      </c>
      <c r="B71" s="16">
        <v>42282</v>
      </c>
      <c r="C71" s="16">
        <v>42283</v>
      </c>
      <c r="D71" s="16">
        <v>42284</v>
      </c>
      <c r="E71" s="16">
        <v>42285</v>
      </c>
      <c r="F71" s="16">
        <v>42286</v>
      </c>
      <c r="G71" s="16">
        <v>42287</v>
      </c>
      <c r="H71" s="17">
        <v>42288</v>
      </c>
    </row>
    <row r="72" spans="1:8" x14ac:dyDescent="0.25">
      <c r="A72" s="23">
        <v>42</v>
      </c>
      <c r="B72" s="16">
        <v>42289</v>
      </c>
      <c r="C72" s="16">
        <v>42290</v>
      </c>
      <c r="D72" s="16">
        <v>42291</v>
      </c>
      <c r="E72" s="16">
        <v>42292</v>
      </c>
      <c r="F72" s="16">
        <v>42293</v>
      </c>
      <c r="G72" s="16">
        <v>42294</v>
      </c>
      <c r="H72" s="17">
        <v>42295</v>
      </c>
    </row>
    <row r="73" spans="1:8" x14ac:dyDescent="0.25">
      <c r="A73" s="23">
        <v>43</v>
      </c>
      <c r="B73" s="16">
        <v>42296</v>
      </c>
      <c r="C73" s="16">
        <v>42297</v>
      </c>
      <c r="D73" s="16">
        <v>42298</v>
      </c>
      <c r="E73" s="16">
        <v>42299</v>
      </c>
      <c r="F73" s="16">
        <v>42300</v>
      </c>
      <c r="G73" s="16">
        <v>42301</v>
      </c>
      <c r="H73" s="17">
        <v>42302</v>
      </c>
    </row>
    <row r="74" spans="1:8" x14ac:dyDescent="0.25">
      <c r="A74" s="23">
        <v>44</v>
      </c>
      <c r="B74" s="16">
        <v>42303</v>
      </c>
      <c r="C74" s="16">
        <v>42304</v>
      </c>
      <c r="D74" s="16">
        <v>42305</v>
      </c>
      <c r="E74" s="16">
        <v>42306</v>
      </c>
      <c r="F74" s="16">
        <v>42307</v>
      </c>
      <c r="G74" s="16">
        <v>42308</v>
      </c>
      <c r="H74" s="17">
        <v>42309</v>
      </c>
    </row>
    <row r="75" spans="1:8" x14ac:dyDescent="0.25">
      <c r="A75" s="23">
        <v>45</v>
      </c>
      <c r="B75" s="16">
        <v>42310</v>
      </c>
      <c r="C75" s="16">
        <v>42311</v>
      </c>
      <c r="D75" s="16">
        <v>42312</v>
      </c>
      <c r="E75" s="16">
        <v>42313</v>
      </c>
      <c r="F75" s="16">
        <v>42314</v>
      </c>
      <c r="G75" s="16">
        <v>42315</v>
      </c>
      <c r="H75" s="17">
        <v>42316</v>
      </c>
    </row>
    <row r="76" spans="1:8" x14ac:dyDescent="0.25">
      <c r="A76" s="23">
        <v>46</v>
      </c>
      <c r="B76" s="16">
        <v>42317</v>
      </c>
      <c r="C76" s="16">
        <v>42318</v>
      </c>
      <c r="D76" s="16">
        <v>42319</v>
      </c>
      <c r="E76" s="16">
        <v>42320</v>
      </c>
      <c r="F76" s="16">
        <v>42321</v>
      </c>
      <c r="G76" s="16">
        <v>42322</v>
      </c>
      <c r="H76" s="17">
        <v>42323</v>
      </c>
    </row>
    <row r="77" spans="1:8" x14ac:dyDescent="0.25">
      <c r="A77" s="23">
        <v>47</v>
      </c>
      <c r="B77" s="16">
        <v>42324</v>
      </c>
      <c r="C77" s="16">
        <v>42325</v>
      </c>
      <c r="D77" s="16">
        <v>42326</v>
      </c>
      <c r="E77" s="16">
        <v>42327</v>
      </c>
      <c r="F77" s="16">
        <v>42328</v>
      </c>
      <c r="G77" s="16">
        <v>42329</v>
      </c>
      <c r="H77" s="17">
        <v>42330</v>
      </c>
    </row>
    <row r="78" spans="1:8" x14ac:dyDescent="0.25">
      <c r="A78" s="23">
        <v>48</v>
      </c>
      <c r="B78" s="16">
        <v>42331</v>
      </c>
      <c r="C78" s="16">
        <v>42332</v>
      </c>
      <c r="D78" s="16">
        <v>42333</v>
      </c>
      <c r="E78" s="16">
        <v>42334</v>
      </c>
      <c r="F78" s="16">
        <v>42335</v>
      </c>
      <c r="G78" s="16">
        <v>42336</v>
      </c>
      <c r="H78" s="17">
        <v>42337</v>
      </c>
    </row>
    <row r="79" spans="1:8" x14ac:dyDescent="0.25">
      <c r="A79" s="23">
        <v>49</v>
      </c>
      <c r="B79" s="16">
        <v>42338</v>
      </c>
      <c r="C79" s="16">
        <v>42339</v>
      </c>
      <c r="D79" s="16">
        <v>42340</v>
      </c>
      <c r="E79" s="16">
        <v>42341</v>
      </c>
      <c r="F79" s="16">
        <v>42342</v>
      </c>
      <c r="G79" s="16">
        <v>42343</v>
      </c>
      <c r="H79" s="17">
        <v>42344</v>
      </c>
    </row>
    <row r="80" spans="1:8" x14ac:dyDescent="0.25">
      <c r="A80" s="23">
        <v>50</v>
      </c>
      <c r="B80" s="16">
        <v>42345</v>
      </c>
      <c r="C80" s="16">
        <v>42346</v>
      </c>
      <c r="D80" s="16">
        <v>42347</v>
      </c>
      <c r="E80" s="16">
        <v>42348</v>
      </c>
      <c r="F80" s="16">
        <v>42349</v>
      </c>
      <c r="G80" s="16">
        <v>42350</v>
      </c>
      <c r="H80" s="17">
        <v>42351</v>
      </c>
    </row>
    <row r="81" spans="1:8" x14ac:dyDescent="0.25">
      <c r="A81" s="23">
        <v>51</v>
      </c>
      <c r="B81" s="16">
        <v>42352</v>
      </c>
      <c r="C81" s="16">
        <v>42353</v>
      </c>
      <c r="D81" s="16">
        <v>42354</v>
      </c>
      <c r="E81" s="16">
        <v>42355</v>
      </c>
      <c r="F81" s="16">
        <v>42356</v>
      </c>
      <c r="G81" s="16">
        <v>42357</v>
      </c>
      <c r="H81" s="17">
        <v>42358</v>
      </c>
    </row>
    <row r="82" spans="1:8" x14ac:dyDescent="0.25">
      <c r="A82" s="23">
        <v>52</v>
      </c>
      <c r="B82" s="16">
        <v>42359</v>
      </c>
      <c r="C82" s="16">
        <v>42360</v>
      </c>
      <c r="D82" s="16">
        <v>42361</v>
      </c>
      <c r="E82" s="16">
        <v>42362</v>
      </c>
      <c r="F82" s="16">
        <v>42363</v>
      </c>
      <c r="G82" s="16">
        <v>42364</v>
      </c>
      <c r="H82" s="17">
        <v>42365</v>
      </c>
    </row>
    <row r="83" spans="1:8" x14ac:dyDescent="0.25">
      <c r="A83" s="24">
        <v>53</v>
      </c>
      <c r="B83" s="18">
        <v>42366</v>
      </c>
      <c r="C83" s="18">
        <v>42367</v>
      </c>
      <c r="D83" s="18">
        <v>42368</v>
      </c>
      <c r="E83" s="18">
        <v>42369</v>
      </c>
      <c r="F83" s="18">
        <v>42370</v>
      </c>
      <c r="G83" s="18">
        <v>42371</v>
      </c>
      <c r="H83" s="19">
        <v>42372</v>
      </c>
    </row>
    <row r="85" spans="1:8" x14ac:dyDescent="0.25">
      <c r="A85" s="188" t="s">
        <v>75</v>
      </c>
      <c r="B85" s="189"/>
      <c r="C85" s="189"/>
      <c r="D85" s="189"/>
      <c r="E85" s="189"/>
      <c r="F85" s="189"/>
      <c r="G85" s="189"/>
      <c r="H85" s="190"/>
    </row>
    <row r="86" spans="1:8" x14ac:dyDescent="0.25">
      <c r="A86" s="20" t="s">
        <v>45</v>
      </c>
      <c r="B86" s="21" t="s">
        <v>76</v>
      </c>
      <c r="C86" s="21" t="s">
        <v>77</v>
      </c>
      <c r="D86" s="21" t="s">
        <v>78</v>
      </c>
      <c r="E86" s="21" t="s">
        <v>79</v>
      </c>
      <c r="F86" s="21" t="s">
        <v>80</v>
      </c>
      <c r="G86" s="21" t="s">
        <v>81</v>
      </c>
      <c r="H86" s="22" t="s">
        <v>90</v>
      </c>
    </row>
    <row r="87" spans="1:8" x14ac:dyDescent="0.25">
      <c r="A87" s="23">
        <v>1</v>
      </c>
      <c r="B87" s="16">
        <v>42002</v>
      </c>
      <c r="C87" s="16">
        <v>42008</v>
      </c>
      <c r="D87" s="16">
        <v>41988</v>
      </c>
      <c r="E87" s="16">
        <v>41995</v>
      </c>
      <c r="F87" s="16">
        <v>42002</v>
      </c>
      <c r="G87" s="16">
        <v>41995</v>
      </c>
      <c r="H87" s="17"/>
    </row>
    <row r="88" spans="1:8" x14ac:dyDescent="0.25">
      <c r="A88" s="23">
        <v>2</v>
      </c>
      <c r="B88" s="16">
        <v>42009</v>
      </c>
      <c r="C88" s="16">
        <v>42015</v>
      </c>
      <c r="D88" s="16">
        <v>41995</v>
      </c>
      <c r="E88" s="16">
        <v>42002</v>
      </c>
      <c r="F88" s="16">
        <v>42009</v>
      </c>
      <c r="G88" s="16">
        <v>42002</v>
      </c>
      <c r="H88" s="17"/>
    </row>
    <row r="89" spans="1:8" x14ac:dyDescent="0.25">
      <c r="A89" s="23">
        <v>3</v>
      </c>
      <c r="B89" s="16">
        <v>42016</v>
      </c>
      <c r="C89" s="16">
        <v>42022</v>
      </c>
      <c r="D89" s="16">
        <v>42002</v>
      </c>
      <c r="E89" s="16">
        <v>42009</v>
      </c>
      <c r="F89" s="16">
        <v>42016</v>
      </c>
      <c r="G89" s="16">
        <v>42009</v>
      </c>
      <c r="H89" s="17"/>
    </row>
    <row r="90" spans="1:8" x14ac:dyDescent="0.25">
      <c r="A90" s="23">
        <v>4</v>
      </c>
      <c r="B90" s="16">
        <v>42023</v>
      </c>
      <c r="C90" s="16">
        <v>42029</v>
      </c>
      <c r="D90" s="16">
        <v>42009</v>
      </c>
      <c r="E90" s="16">
        <v>42016</v>
      </c>
      <c r="F90" s="16">
        <v>42023</v>
      </c>
      <c r="G90" s="16">
        <v>42016</v>
      </c>
      <c r="H90" s="17"/>
    </row>
    <row r="91" spans="1:8" x14ac:dyDescent="0.25">
      <c r="A91" s="23">
        <v>5</v>
      </c>
      <c r="B91" s="16">
        <v>42030</v>
      </c>
      <c r="C91" s="16">
        <v>42036</v>
      </c>
      <c r="D91" s="16">
        <v>42016</v>
      </c>
      <c r="E91" s="16">
        <v>42023</v>
      </c>
      <c r="F91" s="16">
        <v>42030</v>
      </c>
      <c r="G91" s="16">
        <v>42023</v>
      </c>
      <c r="H91" s="17"/>
    </row>
    <row r="92" spans="1:8" x14ac:dyDescent="0.25">
      <c r="A92" s="23">
        <v>6</v>
      </c>
      <c r="B92" s="16">
        <v>42037</v>
      </c>
      <c r="C92" s="16">
        <v>42043</v>
      </c>
      <c r="D92" s="16">
        <v>42023</v>
      </c>
      <c r="E92" s="16">
        <v>42030</v>
      </c>
      <c r="F92" s="16">
        <v>42037</v>
      </c>
      <c r="G92" s="16">
        <v>42030</v>
      </c>
      <c r="H92" s="17"/>
    </row>
    <row r="93" spans="1:8" x14ac:dyDescent="0.25">
      <c r="A93" s="23">
        <v>7</v>
      </c>
      <c r="B93" s="16">
        <v>42044</v>
      </c>
      <c r="C93" s="16">
        <v>42050</v>
      </c>
      <c r="D93" s="16">
        <v>42030</v>
      </c>
      <c r="E93" s="16">
        <v>42037</v>
      </c>
      <c r="F93" s="16">
        <v>42044</v>
      </c>
      <c r="G93" s="16">
        <v>42037</v>
      </c>
      <c r="H93" s="17"/>
    </row>
    <row r="94" spans="1:8" x14ac:dyDescent="0.25">
      <c r="A94" s="23">
        <v>8</v>
      </c>
      <c r="B94" s="16">
        <v>42051</v>
      </c>
      <c r="C94" s="16">
        <v>42057</v>
      </c>
      <c r="D94" s="16">
        <v>42037</v>
      </c>
      <c r="E94" s="16">
        <v>42044</v>
      </c>
      <c r="F94" s="16">
        <v>42051</v>
      </c>
      <c r="G94" s="16">
        <v>42044</v>
      </c>
      <c r="H94" s="17"/>
    </row>
    <row r="95" spans="1:8" x14ac:dyDescent="0.25">
      <c r="A95" s="23">
        <v>9</v>
      </c>
      <c r="B95" s="16">
        <v>42058</v>
      </c>
      <c r="C95" s="16">
        <v>42064</v>
      </c>
      <c r="D95" s="16">
        <v>42044</v>
      </c>
      <c r="E95" s="16">
        <v>42051</v>
      </c>
      <c r="F95" s="16">
        <v>42058</v>
      </c>
      <c r="G95" s="16">
        <v>42051</v>
      </c>
      <c r="H95" s="17"/>
    </row>
    <row r="96" spans="1:8" x14ac:dyDescent="0.25">
      <c r="A96" s="23">
        <v>10</v>
      </c>
      <c r="B96" s="16">
        <v>42065</v>
      </c>
      <c r="C96" s="16">
        <v>42071</v>
      </c>
      <c r="D96" s="16">
        <v>42051</v>
      </c>
      <c r="E96" s="16">
        <v>42058</v>
      </c>
      <c r="F96" s="16">
        <v>42065</v>
      </c>
      <c r="G96" s="16">
        <v>42058</v>
      </c>
      <c r="H96" s="17"/>
    </row>
    <row r="97" spans="1:8" x14ac:dyDescent="0.25">
      <c r="A97" s="23">
        <v>11</v>
      </c>
      <c r="B97" s="16">
        <v>42072</v>
      </c>
      <c r="C97" s="16">
        <v>42078</v>
      </c>
      <c r="D97" s="16">
        <v>42058</v>
      </c>
      <c r="E97" s="16">
        <v>42065</v>
      </c>
      <c r="F97" s="16">
        <v>42072</v>
      </c>
      <c r="G97" s="16">
        <v>42065</v>
      </c>
      <c r="H97" s="17"/>
    </row>
    <row r="98" spans="1:8" x14ac:dyDescent="0.25">
      <c r="A98" s="23">
        <v>12</v>
      </c>
      <c r="B98" s="16">
        <v>42079</v>
      </c>
      <c r="C98" s="16">
        <v>42085</v>
      </c>
      <c r="D98" s="16">
        <v>42065</v>
      </c>
      <c r="E98" s="16">
        <v>42072</v>
      </c>
      <c r="F98" s="16">
        <v>42079</v>
      </c>
      <c r="G98" s="16">
        <v>42072</v>
      </c>
      <c r="H98" s="17"/>
    </row>
    <row r="99" spans="1:8" x14ac:dyDescent="0.25">
      <c r="A99" s="23">
        <v>13</v>
      </c>
      <c r="B99" s="16">
        <v>42086</v>
      </c>
      <c r="C99" s="16">
        <v>42092</v>
      </c>
      <c r="D99" s="16">
        <v>42072</v>
      </c>
      <c r="E99" s="16">
        <v>42079</v>
      </c>
      <c r="F99" s="16">
        <v>42086</v>
      </c>
      <c r="G99" s="16">
        <v>42079</v>
      </c>
      <c r="H99" s="17"/>
    </row>
    <row r="100" spans="1:8" x14ac:dyDescent="0.25">
      <c r="A100" s="23">
        <v>14</v>
      </c>
      <c r="B100" s="16">
        <v>42093</v>
      </c>
      <c r="C100" s="16">
        <v>42099</v>
      </c>
      <c r="D100" s="16">
        <v>42079</v>
      </c>
      <c r="E100" s="16">
        <v>42086</v>
      </c>
      <c r="F100" s="16">
        <v>42093</v>
      </c>
      <c r="G100" s="16">
        <v>42086</v>
      </c>
      <c r="H100" s="17"/>
    </row>
    <row r="101" spans="1:8" x14ac:dyDescent="0.25">
      <c r="A101" s="23">
        <v>15</v>
      </c>
      <c r="B101" s="16">
        <v>42100</v>
      </c>
      <c r="C101" s="16">
        <v>42106</v>
      </c>
      <c r="D101" s="16">
        <v>42086</v>
      </c>
      <c r="E101" s="16">
        <v>42093</v>
      </c>
      <c r="F101" s="16">
        <v>42100</v>
      </c>
      <c r="G101" s="16">
        <v>42093</v>
      </c>
      <c r="H101" s="17"/>
    </row>
    <row r="102" spans="1:8" x14ac:dyDescent="0.25">
      <c r="A102" s="23">
        <v>16</v>
      </c>
      <c r="B102" s="16">
        <v>42107</v>
      </c>
      <c r="C102" s="16">
        <v>42113</v>
      </c>
      <c r="D102" s="16">
        <v>42093</v>
      </c>
      <c r="E102" s="16">
        <v>42100</v>
      </c>
      <c r="F102" s="16">
        <v>42107</v>
      </c>
      <c r="G102" s="16">
        <v>42100</v>
      </c>
      <c r="H102" s="17"/>
    </row>
    <row r="103" spans="1:8" x14ac:dyDescent="0.25">
      <c r="A103" s="23">
        <v>17</v>
      </c>
      <c r="B103" s="16">
        <v>42114</v>
      </c>
      <c r="C103" s="16">
        <v>42120</v>
      </c>
      <c r="D103" s="16">
        <v>42100</v>
      </c>
      <c r="E103" s="16">
        <v>42107</v>
      </c>
      <c r="F103" s="16">
        <v>42114</v>
      </c>
      <c r="G103" s="16">
        <v>42107</v>
      </c>
      <c r="H103" s="17"/>
    </row>
    <row r="104" spans="1:8" x14ac:dyDescent="0.25">
      <c r="A104" s="23">
        <v>18</v>
      </c>
      <c r="B104" s="16">
        <v>42121</v>
      </c>
      <c r="C104" s="16">
        <v>42127</v>
      </c>
      <c r="D104" s="16">
        <v>42107</v>
      </c>
      <c r="E104" s="16">
        <v>42114</v>
      </c>
      <c r="F104" s="16">
        <v>42121</v>
      </c>
      <c r="G104" s="16">
        <v>42114</v>
      </c>
      <c r="H104" s="17"/>
    </row>
    <row r="105" spans="1:8" x14ac:dyDescent="0.25">
      <c r="A105" s="23">
        <v>19</v>
      </c>
      <c r="B105" s="16">
        <v>42128</v>
      </c>
      <c r="C105" s="16">
        <v>42134</v>
      </c>
      <c r="D105" s="16">
        <v>42114</v>
      </c>
      <c r="E105" s="16">
        <v>42121</v>
      </c>
      <c r="F105" s="16">
        <v>42128</v>
      </c>
      <c r="G105" s="16">
        <v>42121</v>
      </c>
      <c r="H105" s="17"/>
    </row>
    <row r="106" spans="1:8" x14ac:dyDescent="0.25">
      <c r="A106" s="23">
        <v>20</v>
      </c>
      <c r="B106" s="16">
        <v>42135</v>
      </c>
      <c r="C106" s="16">
        <v>42141</v>
      </c>
      <c r="D106" s="16">
        <v>42121</v>
      </c>
      <c r="E106" s="16">
        <v>42128</v>
      </c>
      <c r="F106" s="16">
        <v>42135</v>
      </c>
      <c r="G106" s="16">
        <v>42128</v>
      </c>
      <c r="H106" s="17"/>
    </row>
    <row r="107" spans="1:8" x14ac:dyDescent="0.25">
      <c r="A107" s="23">
        <v>21</v>
      </c>
      <c r="B107" s="16">
        <v>42142</v>
      </c>
      <c r="C107" s="16">
        <v>42148</v>
      </c>
      <c r="D107" s="16">
        <v>42128</v>
      </c>
      <c r="E107" s="16">
        <v>42135</v>
      </c>
      <c r="F107" s="16">
        <v>42142</v>
      </c>
      <c r="G107" s="16">
        <v>42135</v>
      </c>
      <c r="H107" s="17"/>
    </row>
    <row r="108" spans="1:8" x14ac:dyDescent="0.25">
      <c r="A108" s="23">
        <v>22</v>
      </c>
      <c r="B108" s="16">
        <v>42149</v>
      </c>
      <c r="C108" s="16">
        <v>42155</v>
      </c>
      <c r="D108" s="16">
        <v>42135</v>
      </c>
      <c r="E108" s="16">
        <v>42142</v>
      </c>
      <c r="F108" s="16">
        <v>42149</v>
      </c>
      <c r="G108" s="16">
        <v>42142</v>
      </c>
      <c r="H108" s="17"/>
    </row>
    <row r="109" spans="1:8" x14ac:dyDescent="0.25">
      <c r="A109" s="23">
        <v>23</v>
      </c>
      <c r="B109" s="16">
        <v>42156</v>
      </c>
      <c r="C109" s="16">
        <v>42162</v>
      </c>
      <c r="D109" s="16">
        <v>42142</v>
      </c>
      <c r="E109" s="16">
        <v>42149</v>
      </c>
      <c r="F109" s="16">
        <v>42156</v>
      </c>
      <c r="G109" s="16">
        <v>42149</v>
      </c>
      <c r="H109" s="17"/>
    </row>
    <row r="110" spans="1:8" x14ac:dyDescent="0.25">
      <c r="A110" s="23">
        <v>24</v>
      </c>
      <c r="B110" s="16">
        <v>42163</v>
      </c>
      <c r="C110" s="16">
        <v>42169</v>
      </c>
      <c r="D110" s="16">
        <v>42149</v>
      </c>
      <c r="E110" s="16">
        <v>42156</v>
      </c>
      <c r="F110" s="16">
        <v>42163</v>
      </c>
      <c r="G110" s="16">
        <v>42156</v>
      </c>
      <c r="H110" s="17"/>
    </row>
    <row r="111" spans="1:8" x14ac:dyDescent="0.25">
      <c r="A111" s="23">
        <v>25</v>
      </c>
      <c r="B111" s="16">
        <v>42170</v>
      </c>
      <c r="C111" s="16">
        <v>42176</v>
      </c>
      <c r="D111" s="16">
        <v>42156</v>
      </c>
      <c r="E111" s="16">
        <v>42163</v>
      </c>
      <c r="F111" s="16">
        <v>42170</v>
      </c>
      <c r="G111" s="16">
        <v>42163</v>
      </c>
      <c r="H111" s="17"/>
    </row>
    <row r="112" spans="1:8" x14ac:dyDescent="0.25">
      <c r="A112" s="23">
        <v>26</v>
      </c>
      <c r="B112" s="16">
        <v>42177</v>
      </c>
      <c r="C112" s="16">
        <v>42183</v>
      </c>
      <c r="D112" s="16">
        <v>42163</v>
      </c>
      <c r="E112" s="16">
        <v>42170</v>
      </c>
      <c r="F112" s="16">
        <v>42177</v>
      </c>
      <c r="G112" s="16">
        <v>42170</v>
      </c>
      <c r="H112" s="17"/>
    </row>
    <row r="113" spans="1:8" x14ac:dyDescent="0.25">
      <c r="A113" s="23">
        <v>27</v>
      </c>
      <c r="B113" s="16">
        <v>42184</v>
      </c>
      <c r="C113" s="16">
        <v>42190</v>
      </c>
      <c r="D113" s="16">
        <v>42170</v>
      </c>
      <c r="E113" s="16">
        <v>42177</v>
      </c>
      <c r="F113" s="16">
        <v>42184</v>
      </c>
      <c r="G113" s="16">
        <v>42177</v>
      </c>
      <c r="H113" s="17"/>
    </row>
    <row r="114" spans="1:8" x14ac:dyDescent="0.25">
      <c r="A114" s="23">
        <v>28</v>
      </c>
      <c r="B114" s="16">
        <v>42191</v>
      </c>
      <c r="C114" s="16">
        <v>42197</v>
      </c>
      <c r="D114" s="16">
        <v>42177</v>
      </c>
      <c r="E114" s="16">
        <v>42184</v>
      </c>
      <c r="F114" s="16">
        <v>42191</v>
      </c>
      <c r="G114" s="16">
        <v>42184</v>
      </c>
      <c r="H114" s="17"/>
    </row>
    <row r="115" spans="1:8" x14ac:dyDescent="0.25">
      <c r="A115" s="23">
        <v>29</v>
      </c>
      <c r="B115" s="16">
        <v>42198</v>
      </c>
      <c r="C115" s="16">
        <v>42204</v>
      </c>
      <c r="D115" s="16">
        <v>42184</v>
      </c>
      <c r="E115" s="16">
        <v>42191</v>
      </c>
      <c r="F115" s="16">
        <v>42198</v>
      </c>
      <c r="G115" s="16">
        <v>42191</v>
      </c>
      <c r="H115" s="17"/>
    </row>
    <row r="116" spans="1:8" x14ac:dyDescent="0.25">
      <c r="A116" s="23">
        <v>30</v>
      </c>
      <c r="B116" s="16">
        <v>42205</v>
      </c>
      <c r="C116" s="16">
        <v>42211</v>
      </c>
      <c r="D116" s="16">
        <v>42191</v>
      </c>
      <c r="E116" s="16">
        <v>42198</v>
      </c>
      <c r="F116" s="16">
        <v>42205</v>
      </c>
      <c r="G116" s="16">
        <v>42198</v>
      </c>
      <c r="H116" s="17"/>
    </row>
    <row r="117" spans="1:8" x14ac:dyDescent="0.25">
      <c r="A117" s="23">
        <v>31</v>
      </c>
      <c r="B117" s="16">
        <v>42212</v>
      </c>
      <c r="C117" s="16">
        <v>42218</v>
      </c>
      <c r="D117" s="16">
        <v>42198</v>
      </c>
      <c r="E117" s="16">
        <v>42205</v>
      </c>
      <c r="F117" s="16">
        <v>42212</v>
      </c>
      <c r="G117" s="16">
        <v>42205</v>
      </c>
      <c r="H117" s="17"/>
    </row>
    <row r="118" spans="1:8" x14ac:dyDescent="0.25">
      <c r="A118" s="23">
        <v>32</v>
      </c>
      <c r="B118" s="16">
        <v>42219</v>
      </c>
      <c r="C118" s="16">
        <v>42225</v>
      </c>
      <c r="D118" s="16">
        <v>42205</v>
      </c>
      <c r="E118" s="16">
        <v>42212</v>
      </c>
      <c r="F118" s="16">
        <v>42219</v>
      </c>
      <c r="G118" s="16">
        <v>42212</v>
      </c>
      <c r="H118" s="17"/>
    </row>
    <row r="119" spans="1:8" x14ac:dyDescent="0.25">
      <c r="A119" s="23">
        <v>33</v>
      </c>
      <c r="B119" s="16">
        <v>42226</v>
      </c>
      <c r="C119" s="16">
        <v>42232</v>
      </c>
      <c r="D119" s="16">
        <v>42212</v>
      </c>
      <c r="E119" s="16">
        <v>42219</v>
      </c>
      <c r="F119" s="16">
        <v>42226</v>
      </c>
      <c r="G119" s="16">
        <v>42219</v>
      </c>
      <c r="H119" s="17"/>
    </row>
    <row r="120" spans="1:8" x14ac:dyDescent="0.25">
      <c r="A120" s="23">
        <v>34</v>
      </c>
      <c r="B120" s="16">
        <v>42233</v>
      </c>
      <c r="C120" s="16">
        <v>42239</v>
      </c>
      <c r="D120" s="16">
        <v>42219</v>
      </c>
      <c r="E120" s="16">
        <v>42226</v>
      </c>
      <c r="F120" s="16">
        <v>42233</v>
      </c>
      <c r="G120" s="16">
        <v>42226</v>
      </c>
      <c r="H120" s="17"/>
    </row>
    <row r="121" spans="1:8" x14ac:dyDescent="0.25">
      <c r="A121" s="23">
        <v>35</v>
      </c>
      <c r="B121" s="16">
        <v>42240</v>
      </c>
      <c r="C121" s="16">
        <v>42246</v>
      </c>
      <c r="D121" s="16">
        <v>42226</v>
      </c>
      <c r="E121" s="16">
        <v>42233</v>
      </c>
      <c r="F121" s="16">
        <v>42240</v>
      </c>
      <c r="G121" s="16">
        <v>42233</v>
      </c>
      <c r="H121" s="17"/>
    </row>
    <row r="122" spans="1:8" x14ac:dyDescent="0.25">
      <c r="A122" s="23">
        <v>36</v>
      </c>
      <c r="B122" s="16">
        <v>42247</v>
      </c>
      <c r="C122" s="16">
        <v>42253</v>
      </c>
      <c r="D122" s="16">
        <v>42233</v>
      </c>
      <c r="E122" s="16">
        <v>42240</v>
      </c>
      <c r="F122" s="16">
        <v>42247</v>
      </c>
      <c r="G122" s="16">
        <v>42240</v>
      </c>
      <c r="H122" s="17"/>
    </row>
    <row r="123" spans="1:8" x14ac:dyDescent="0.25">
      <c r="A123" s="23">
        <v>37</v>
      </c>
      <c r="B123" s="16">
        <v>42254</v>
      </c>
      <c r="C123" s="16">
        <v>42260</v>
      </c>
      <c r="D123" s="16">
        <v>42240</v>
      </c>
      <c r="E123" s="16">
        <v>42247</v>
      </c>
      <c r="F123" s="16">
        <v>42254</v>
      </c>
      <c r="G123" s="16">
        <v>42247</v>
      </c>
      <c r="H123" s="17"/>
    </row>
    <row r="124" spans="1:8" x14ac:dyDescent="0.25">
      <c r="A124" s="23">
        <v>38</v>
      </c>
      <c r="B124" s="16">
        <v>42261</v>
      </c>
      <c r="C124" s="16">
        <v>42267</v>
      </c>
      <c r="D124" s="16">
        <v>42247</v>
      </c>
      <c r="E124" s="16">
        <v>42254</v>
      </c>
      <c r="F124" s="16">
        <v>42261</v>
      </c>
      <c r="G124" s="16">
        <v>42254</v>
      </c>
      <c r="H124" s="17"/>
    </row>
    <row r="125" spans="1:8" x14ac:dyDescent="0.25">
      <c r="A125" s="23">
        <v>39</v>
      </c>
      <c r="B125" s="16">
        <v>42268</v>
      </c>
      <c r="C125" s="16">
        <v>42274</v>
      </c>
      <c r="D125" s="16">
        <v>42254</v>
      </c>
      <c r="E125" s="16">
        <v>42261</v>
      </c>
      <c r="F125" s="16">
        <v>42268</v>
      </c>
      <c r="G125" s="16">
        <v>42261</v>
      </c>
      <c r="H125" s="17"/>
    </row>
    <row r="126" spans="1:8" x14ac:dyDescent="0.25">
      <c r="A126" s="23">
        <v>40</v>
      </c>
      <c r="B126" s="16">
        <v>42275</v>
      </c>
      <c r="C126" s="16">
        <v>42281</v>
      </c>
      <c r="D126" s="16">
        <v>42261</v>
      </c>
      <c r="E126" s="16">
        <v>42268</v>
      </c>
      <c r="F126" s="16">
        <v>42275</v>
      </c>
      <c r="G126" s="16">
        <v>42268</v>
      </c>
      <c r="H126" s="17"/>
    </row>
    <row r="127" spans="1:8" x14ac:dyDescent="0.25">
      <c r="A127" s="23">
        <v>41</v>
      </c>
      <c r="B127" s="16">
        <v>42282</v>
      </c>
      <c r="C127" s="16">
        <v>42288</v>
      </c>
      <c r="D127" s="16">
        <v>42268</v>
      </c>
      <c r="E127" s="16">
        <v>42275</v>
      </c>
      <c r="F127" s="16">
        <v>42282</v>
      </c>
      <c r="G127" s="16">
        <v>42275</v>
      </c>
      <c r="H127" s="17"/>
    </row>
    <row r="128" spans="1:8" x14ac:dyDescent="0.25">
      <c r="A128" s="23">
        <v>42</v>
      </c>
      <c r="B128" s="16">
        <v>42289</v>
      </c>
      <c r="C128" s="16">
        <v>42295</v>
      </c>
      <c r="D128" s="16">
        <v>42275</v>
      </c>
      <c r="E128" s="16">
        <v>42282</v>
      </c>
      <c r="F128" s="16">
        <v>42289</v>
      </c>
      <c r="G128" s="16">
        <v>42282</v>
      </c>
      <c r="H128" s="17"/>
    </row>
    <row r="129" spans="1:8" x14ac:dyDescent="0.25">
      <c r="A129" s="23">
        <v>43</v>
      </c>
      <c r="B129" s="16">
        <v>42296</v>
      </c>
      <c r="C129" s="16">
        <v>42302</v>
      </c>
      <c r="D129" s="16">
        <v>42282</v>
      </c>
      <c r="E129" s="16">
        <v>42289</v>
      </c>
      <c r="F129" s="16">
        <v>42296</v>
      </c>
      <c r="G129" s="16">
        <v>42289</v>
      </c>
      <c r="H129" s="17"/>
    </row>
    <row r="130" spans="1:8" x14ac:dyDescent="0.25">
      <c r="A130" s="23">
        <v>44</v>
      </c>
      <c r="B130" s="16">
        <v>42303</v>
      </c>
      <c r="C130" s="16">
        <v>42309</v>
      </c>
      <c r="D130" s="16">
        <v>42289</v>
      </c>
      <c r="E130" s="16">
        <v>42296</v>
      </c>
      <c r="F130" s="16">
        <v>42303</v>
      </c>
      <c r="G130" s="16">
        <v>42296</v>
      </c>
      <c r="H130" s="17"/>
    </row>
    <row r="131" spans="1:8" x14ac:dyDescent="0.25">
      <c r="A131" s="23">
        <v>45</v>
      </c>
      <c r="B131" s="16">
        <v>42310</v>
      </c>
      <c r="C131" s="16">
        <v>42316</v>
      </c>
      <c r="D131" s="16">
        <v>42296</v>
      </c>
      <c r="E131" s="16">
        <v>42303</v>
      </c>
      <c r="F131" s="16">
        <v>42310</v>
      </c>
      <c r="G131" s="16">
        <v>42303</v>
      </c>
      <c r="H131" s="17"/>
    </row>
    <row r="132" spans="1:8" x14ac:dyDescent="0.25">
      <c r="A132" s="23">
        <v>46</v>
      </c>
      <c r="B132" s="16">
        <v>42317</v>
      </c>
      <c r="C132" s="16">
        <v>42323</v>
      </c>
      <c r="D132" s="16">
        <v>42303</v>
      </c>
      <c r="E132" s="16">
        <v>42310</v>
      </c>
      <c r="F132" s="16">
        <v>42317</v>
      </c>
      <c r="G132" s="16">
        <v>42310</v>
      </c>
      <c r="H132" s="17"/>
    </row>
    <row r="133" spans="1:8" x14ac:dyDescent="0.25">
      <c r="A133" s="23">
        <v>47</v>
      </c>
      <c r="B133" s="16">
        <v>42324</v>
      </c>
      <c r="C133" s="16">
        <v>42330</v>
      </c>
      <c r="D133" s="16">
        <v>42310</v>
      </c>
      <c r="E133" s="16">
        <v>42317</v>
      </c>
      <c r="F133" s="16">
        <v>42324</v>
      </c>
      <c r="G133" s="16">
        <v>42317</v>
      </c>
      <c r="H133" s="17"/>
    </row>
    <row r="134" spans="1:8" x14ac:dyDescent="0.25">
      <c r="A134" s="23">
        <v>48</v>
      </c>
      <c r="B134" s="16">
        <v>42331</v>
      </c>
      <c r="C134" s="16">
        <v>42337</v>
      </c>
      <c r="D134" s="16">
        <v>42317</v>
      </c>
      <c r="E134" s="16">
        <v>42324</v>
      </c>
      <c r="F134" s="16">
        <v>42331</v>
      </c>
      <c r="G134" s="16">
        <v>42324</v>
      </c>
      <c r="H134" s="17"/>
    </row>
    <row r="135" spans="1:8" x14ac:dyDescent="0.25">
      <c r="A135" s="23">
        <v>49</v>
      </c>
      <c r="B135" s="16">
        <v>42338</v>
      </c>
      <c r="C135" s="16">
        <v>42344</v>
      </c>
      <c r="D135" s="16">
        <v>42324</v>
      </c>
      <c r="E135" s="16">
        <v>42331</v>
      </c>
      <c r="F135" s="16">
        <v>42338</v>
      </c>
      <c r="G135" s="16">
        <v>42331</v>
      </c>
      <c r="H135" s="17"/>
    </row>
    <row r="136" spans="1:8" x14ac:dyDescent="0.25">
      <c r="A136" s="23">
        <v>50</v>
      </c>
      <c r="B136" s="16">
        <v>42345</v>
      </c>
      <c r="C136" s="16">
        <v>42351</v>
      </c>
      <c r="D136" s="16">
        <v>42331</v>
      </c>
      <c r="E136" s="16">
        <v>42338</v>
      </c>
      <c r="F136" s="16">
        <v>42345</v>
      </c>
      <c r="G136" s="16">
        <v>42338</v>
      </c>
      <c r="H136" s="17"/>
    </row>
    <row r="137" spans="1:8" x14ac:dyDescent="0.25">
      <c r="A137" s="23">
        <v>51</v>
      </c>
      <c r="B137" s="16">
        <v>42352</v>
      </c>
      <c r="C137" s="16">
        <v>42358</v>
      </c>
      <c r="D137" s="16">
        <v>42338</v>
      </c>
      <c r="E137" s="16">
        <v>42345</v>
      </c>
      <c r="F137" s="16">
        <v>42352</v>
      </c>
      <c r="G137" s="16">
        <v>42345</v>
      </c>
      <c r="H137" s="17"/>
    </row>
    <row r="138" spans="1:8" x14ac:dyDescent="0.25">
      <c r="A138" s="23">
        <v>52</v>
      </c>
      <c r="B138" s="16">
        <v>42359</v>
      </c>
      <c r="C138" s="16">
        <v>42365</v>
      </c>
      <c r="D138" s="16">
        <v>42345</v>
      </c>
      <c r="E138" s="16">
        <v>42352</v>
      </c>
      <c r="F138" s="16">
        <v>42359</v>
      </c>
      <c r="G138" s="16">
        <v>42352</v>
      </c>
      <c r="H138" s="17"/>
    </row>
    <row r="139" spans="1:8" x14ac:dyDescent="0.25">
      <c r="A139" s="24">
        <v>53</v>
      </c>
      <c r="B139" s="18">
        <v>42366</v>
      </c>
      <c r="C139" s="18">
        <v>42372</v>
      </c>
      <c r="D139" s="18">
        <v>42352</v>
      </c>
      <c r="E139" s="18">
        <v>42359</v>
      </c>
      <c r="F139" s="18">
        <v>42366</v>
      </c>
      <c r="G139" s="18">
        <v>42359</v>
      </c>
      <c r="H139" s="19"/>
    </row>
  </sheetData>
  <mergeCells count="5">
    <mergeCell ref="A2:B2"/>
    <mergeCell ref="A29:H29"/>
    <mergeCell ref="A85:H85"/>
    <mergeCell ref="D2:E2"/>
    <mergeCell ref="G2:H2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UserInput</vt:lpstr>
      <vt:lpstr>Tracking1</vt:lpstr>
      <vt:lpstr>Tracking2</vt:lpstr>
      <vt:lpstr>Tracking3</vt:lpstr>
      <vt:lpstr>EQLogs</vt:lpstr>
      <vt:lpstr>National_File</vt:lpstr>
      <vt:lpstr>PAYROLL</vt:lpstr>
      <vt:lpstr>REPORTS</vt:lpstr>
      <vt:lpstr>Tracking</vt:lpstr>
      <vt:lpstr>Reference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Danielle Cuilli</dc:creator>
  <cp:lastModifiedBy>Danielle Cuilli</cp:lastModifiedBy>
  <dcterms:created xsi:type="dcterms:W3CDTF">2015-06-14T20:34:55Z</dcterms:created>
  <dcterms:modified xsi:type="dcterms:W3CDTF">2015-08-03T18:26:18Z</dcterms:modified>
</cp:coreProperties>
</file>