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hidePivotFieldList="1" defaultThemeVersion="124226"/>
  <bookViews>
    <workbookView xWindow="30" yWindow="0" windowWidth="20085" windowHeight="5280"/>
  </bookViews>
  <sheets>
    <sheet name="UserInput" sheetId="2" r:id="rId1"/>
    <sheet name="PAYROLL" sheetId="39" state="hidden" r:id="rId2"/>
    <sheet name="REPORTS" sheetId="95" state="hidden" r:id="rId3"/>
    <sheet name="Tracking" sheetId="32" state="hidden" r:id="rId4"/>
    <sheet name="Tracking1" sheetId="92" r:id="rId5"/>
    <sheet name="Tracking2" sheetId="93" r:id="rId6"/>
    <sheet name="Tracking3" sheetId="94" r:id="rId7"/>
    <sheet name="EQLogs" sheetId="70" r:id="rId8"/>
    <sheet name="Reference" sheetId="28" state="veryHidden" r:id="rId9"/>
  </sheets>
  <functionGroups builtInGroupCount="17"/>
  <definedNames>
    <definedName name="_xlnm._FilterDatabase" localSheetId="3" hidden="1">Tracking!#REF!</definedName>
    <definedName name="tblPayroll">PAYROLL!$A$1:$I$29</definedName>
  </definedNames>
  <calcPr calcId="145621"/>
</workbook>
</file>

<file path=xl/calcChain.xml><?xml version="1.0" encoding="utf-8"?>
<calcChain xmlns="http://schemas.openxmlformats.org/spreadsheetml/2006/main">
  <c r="D6" i="95" l="1"/>
  <c r="F6" i="95" s="1"/>
  <c r="H6" i="95"/>
  <c r="Z7" i="95" l="1"/>
  <c r="X7" i="95"/>
  <c r="U7" i="95"/>
  <c r="T7" i="95"/>
  <c r="AA6" i="95"/>
  <c r="V7" i="95" l="1"/>
  <c r="AA7" i="95"/>
  <c r="Y7" i="95"/>
  <c r="W7" i="95"/>
  <c r="G7" i="95" l="1"/>
  <c r="P6" i="95" l="1"/>
  <c r="R6" i="95" s="1"/>
  <c r="Q7" i="95"/>
  <c r="O7" i="95"/>
  <c r="N7" i="95"/>
  <c r="M7" i="95"/>
  <c r="L7" i="95"/>
  <c r="J7" i="95"/>
  <c r="I7" i="95"/>
  <c r="E7" i="95"/>
  <c r="H7" i="95" s="1"/>
  <c r="C7" i="95"/>
  <c r="B7" i="95"/>
  <c r="D7" i="95" l="1"/>
  <c r="F7" i="95" s="1"/>
  <c r="P7" i="95"/>
  <c r="R7" i="95" s="1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9" i="28"/>
  <c r="B8" i="28"/>
  <c r="B7" i="28"/>
  <c r="B6" i="28"/>
  <c r="B4" i="28"/>
  <c r="B5" i="28"/>
  <c r="B3" i="28"/>
  <c r="AP4" i="28" l="1"/>
  <c r="AS4" i="28"/>
  <c r="AR4" i="28"/>
  <c r="AQ4" i="28"/>
  <c r="AN4" i="28" l="1"/>
  <c r="AM4" i="28"/>
  <c r="AL4" i="28"/>
  <c r="AK4" i="28"/>
  <c r="AJ4" i="28"/>
  <c r="AI4" i="28"/>
  <c r="AH4" i="28"/>
  <c r="X4" i="28"/>
  <c r="W4" i="28"/>
  <c r="V4" i="28"/>
  <c r="U4" i="28"/>
  <c r="T4" i="28"/>
  <c r="S4" i="28"/>
  <c r="R4" i="28"/>
  <c r="P4" i="28"/>
  <c r="O4" i="28"/>
  <c r="N4" i="28"/>
  <c r="M4" i="28"/>
  <c r="L4" i="28"/>
  <c r="K4" i="28"/>
  <c r="J4" i="28"/>
  <c r="AF4" i="28"/>
  <c r="AE4" i="28"/>
  <c r="AD4" i="28"/>
  <c r="AC4" i="28"/>
  <c r="AB4" i="28"/>
  <c r="AA4" i="28"/>
  <c r="Z4" i="28"/>
  <c r="F25" i="39" l="1"/>
  <c r="F27" i="39" l="1"/>
  <c r="F26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I8" i="39"/>
  <c r="I7" i="39"/>
  <c r="I6" i="39"/>
  <c r="E3" i="28" l="1"/>
  <c r="E5" i="28" l="1"/>
  <c r="E4" i="28"/>
  <c r="E7" i="28"/>
  <c r="E6" i="28"/>
  <c r="E8" i="28" s="1"/>
  <c r="E9" i="28" s="1"/>
  <c r="E10" i="28" s="1"/>
  <c r="E11" i="28" s="1"/>
  <c r="E12" i="28" s="1"/>
  <c r="E13" i="28" s="1"/>
  <c r="E14" i="28" s="1"/>
  <c r="AN3" i="28" l="1"/>
  <c r="AJ3" i="28"/>
  <c r="AE3" i="28"/>
  <c r="AA3" i="28"/>
  <c r="V3" i="28"/>
  <c r="R3" i="28"/>
  <c r="M3" i="28"/>
  <c r="L3" i="28"/>
  <c r="AM3" i="28"/>
  <c r="AI3" i="28"/>
  <c r="AD3" i="28"/>
  <c r="Z3" i="28"/>
  <c r="U3" i="28"/>
  <c r="P3" i="28"/>
  <c r="AL3" i="28"/>
  <c r="AH3" i="28"/>
  <c r="AC3" i="28"/>
  <c r="X3" i="28"/>
  <c r="T3" i="28"/>
  <c r="O3" i="28"/>
  <c r="K3" i="28"/>
  <c r="AK3" i="28"/>
  <c r="AF3" i="28"/>
  <c r="AB3" i="28"/>
  <c r="W3" i="28"/>
  <c r="S3" i="28"/>
  <c r="N3" i="28"/>
  <c r="J3" i="28"/>
</calcChain>
</file>

<file path=xl/sharedStrings.xml><?xml version="1.0" encoding="utf-8"?>
<sst xmlns="http://schemas.openxmlformats.org/spreadsheetml/2006/main" count="69507" uniqueCount="16055">
  <si>
    <t>INVOICE WEEK NUMBER:</t>
  </si>
  <si>
    <t>EMPLOYEE 1 TECH NUMBER:</t>
  </si>
  <si>
    <t>EMPLOYEE 2 TECH NUMBER:</t>
  </si>
  <si>
    <t>EMPLOYEE 3 TECH NUMBER:</t>
  </si>
  <si>
    <t>EMPLOYEE 4 TECH NUMBER:</t>
  </si>
  <si>
    <t>EMPLOYEE 5 TECH NUMBER:</t>
  </si>
  <si>
    <t>EMPLOYEE 6 TECH NUMBER:</t>
  </si>
  <si>
    <t>EMPLOYEE 7 TECH NUMBER:</t>
  </si>
  <si>
    <t>EMPLOYEE 8 TECH NUMBER:</t>
  </si>
  <si>
    <t>EMPLOYEE 9 TECH NUMBER:</t>
  </si>
  <si>
    <t>EMPLOYEE 10 TECH NUMBER:</t>
  </si>
  <si>
    <t>Pool</t>
  </si>
  <si>
    <t>EMPLOYEE 11 TECH NUMBER:</t>
  </si>
  <si>
    <t>EMPLOYEE 12 TECH NUMBER:</t>
  </si>
  <si>
    <t>EMPLOYEE 13 TECH NUMBER:</t>
  </si>
  <si>
    <t>Number</t>
  </si>
  <si>
    <t>Monday</t>
  </si>
  <si>
    <t>Tuesday</t>
  </si>
  <si>
    <t>Wednesday</t>
  </si>
  <si>
    <t>Thursday</t>
  </si>
  <si>
    <t>Friday</t>
  </si>
  <si>
    <t>Saturday</t>
  </si>
  <si>
    <t>Sunday</t>
  </si>
  <si>
    <t>TechNbr1</t>
  </si>
  <si>
    <t>TechNbr2</t>
  </si>
  <si>
    <t>TechNbr3</t>
  </si>
  <si>
    <t>TechNbr4</t>
  </si>
  <si>
    <t>TechNbr5</t>
  </si>
  <si>
    <t>TechNbr6</t>
  </si>
  <si>
    <t>TechNbr7</t>
  </si>
  <si>
    <t>TechNbr8</t>
  </si>
  <si>
    <t>TechNbr9</t>
  </si>
  <si>
    <t>TechNbr10</t>
  </si>
  <si>
    <t>TechNbr11</t>
  </si>
  <si>
    <t>TechNbr12</t>
  </si>
  <si>
    <t>TechNbr13</t>
  </si>
  <si>
    <t>TechNbr14</t>
  </si>
  <si>
    <t>TechNbr15</t>
  </si>
  <si>
    <t>TechNbr16</t>
  </si>
  <si>
    <t>TechNbr17</t>
  </si>
  <si>
    <t>TechNbr18</t>
  </si>
  <si>
    <t>TechNbr19</t>
  </si>
  <si>
    <t>TechNbr20</t>
  </si>
  <si>
    <t>Dates by Week Number</t>
  </si>
  <si>
    <t>Included Work Issue by Week Number</t>
  </si>
  <si>
    <t>Starting Date</t>
  </si>
  <si>
    <t>Ending Date</t>
  </si>
  <si>
    <t>Issue1 (Old)</t>
  </si>
  <si>
    <t>Issue2 (Old)</t>
  </si>
  <si>
    <t>Issue3 (New)</t>
  </si>
  <si>
    <t>LastClosed</t>
  </si>
  <si>
    <t>**DateValue stored as text.  Convert cell format to "Date" to see normal date format</t>
  </si>
  <si>
    <t>Issue1</t>
  </si>
  <si>
    <t>Issue2</t>
  </si>
  <si>
    <t>Issue3</t>
  </si>
  <si>
    <t>LastClosedIssue</t>
  </si>
  <si>
    <t>invoiceWeek</t>
  </si>
  <si>
    <t>Column1</t>
  </si>
  <si>
    <t>EmployeeCount</t>
  </si>
  <si>
    <t>Production Recap</t>
  </si>
  <si>
    <t>TOTAL</t>
  </si>
  <si>
    <t>Number of Jobs Issued:</t>
  </si>
  <si>
    <t>Save Rate: (Saves/Issued)</t>
  </si>
  <si>
    <t>Number of Cancels:</t>
  </si>
  <si>
    <t>Field Save Rate: (Net Cancels)</t>
  </si>
  <si>
    <t>Number of Saves:</t>
  </si>
  <si>
    <t>All-In Save Rate:</t>
  </si>
  <si>
    <t>Number of UTC:</t>
  </si>
  <si>
    <t>Bad Debt Old Issue</t>
  </si>
  <si>
    <t>Bad Debt New Issue</t>
  </si>
  <si>
    <t>Bad Debt Cancel</t>
  </si>
  <si>
    <t/>
  </si>
  <si>
    <t>HD - HD/DVR</t>
  </si>
  <si>
    <t>Standard Digital</t>
  </si>
  <si>
    <t>EMTA/MTA</t>
  </si>
  <si>
    <t>Router, Modem</t>
  </si>
  <si>
    <t>Home Security TS</t>
  </si>
  <si>
    <t>Cable Card</t>
  </si>
  <si>
    <t>Analog</t>
  </si>
  <si>
    <t>All Others</t>
  </si>
  <si>
    <t>NP Disco (Old)</t>
  </si>
  <si>
    <t>NP Disco (New)</t>
  </si>
  <si>
    <t>OLD ISSUE: Saves</t>
  </si>
  <si>
    <t>OLD ISSUE: Discos</t>
  </si>
  <si>
    <t>NEW ISSUE: Saves</t>
  </si>
  <si>
    <t>NEW ISSUE: Discos</t>
  </si>
  <si>
    <t>Orders Issued</t>
  </si>
  <si>
    <t>RS/Dups Other</t>
  </si>
  <si>
    <t>Net Issued</t>
  </si>
  <si>
    <t>Saves (Ct)</t>
  </si>
  <si>
    <t>Tech ID:</t>
  </si>
  <si>
    <t>Tech Name:</t>
  </si>
  <si>
    <t>ROUTER</t>
  </si>
  <si>
    <t>HD</t>
  </si>
  <si>
    <t>EMTA</t>
  </si>
  <si>
    <t>STAND</t>
  </si>
  <si>
    <t>EQUIPMENT RETRIEVED</t>
  </si>
  <si>
    <t>(Includes Everything on Equipment Log!)</t>
  </si>
  <si>
    <t>EMPLOYEE 14 TECH NUMBER:</t>
  </si>
  <si>
    <t>EMPLOYEE 15 TECH NUMBER:</t>
  </si>
  <si>
    <t>EMPLOYEE 16 TECH NUMBER:</t>
  </si>
  <si>
    <t>EMPLOYEE 17 TECH NUMBER:</t>
  </si>
  <si>
    <t>EMPLOYEE 18 TECH NUMBER:</t>
  </si>
  <si>
    <t>EMPLOYEE 19 TECH NUMBER:</t>
  </si>
  <si>
    <t>EMPLOYEE 20 TECH NUMBER:</t>
  </si>
  <si>
    <t>Tech Info</t>
  </si>
  <si>
    <t>dateMon</t>
  </si>
  <si>
    <t>dateTues</t>
  </si>
  <si>
    <t>dateWeds</t>
  </si>
  <si>
    <t>dateThurs</t>
  </si>
  <si>
    <t>dateFri</t>
  </si>
  <si>
    <t>dateSat</t>
  </si>
  <si>
    <t>dateSun</t>
  </si>
  <si>
    <t>Dates</t>
  </si>
  <si>
    <t>1.</t>
  </si>
  <si>
    <t>2.</t>
  </si>
  <si>
    <t>3.</t>
  </si>
  <si>
    <t>a)</t>
  </si>
  <si>
    <t>Issue Date</t>
  </si>
  <si>
    <t>Turn-In Date</t>
  </si>
  <si>
    <t>Tech ID</t>
  </si>
  <si>
    <t>Saves (%)</t>
  </si>
  <si>
    <t>Avg per Save</t>
  </si>
  <si>
    <t>EQ Assn'd</t>
  </si>
  <si>
    <t>CPE Ret'd</t>
  </si>
  <si>
    <t>CPE           %</t>
  </si>
  <si>
    <t>Prem Dig</t>
  </si>
  <si>
    <t>Std Dig</t>
  </si>
  <si>
    <t>eMTA   MTA</t>
  </si>
  <si>
    <t>Home Sec</t>
  </si>
  <si>
    <t>To Be Disco'd</t>
  </si>
  <si>
    <t>Discos Done</t>
  </si>
  <si>
    <t>b)</t>
  </si>
  <si>
    <t>c)</t>
  </si>
  <si>
    <t>Paste the contents into this workbook into the sheet labeled "Tracking1"</t>
  </si>
  <si>
    <r>
      <t xml:space="preserve">(This can be done by selecting cell "A1" and pressing </t>
    </r>
    <r>
      <rPr>
        <b/>
        <sz val="16"/>
        <color theme="1"/>
        <rFont val="Calibri"/>
        <family val="2"/>
        <scheme val="minor"/>
      </rPr>
      <t>ctrl-v</t>
    </r>
    <r>
      <rPr>
        <sz val="16"/>
        <color theme="1"/>
        <rFont val="Calibri"/>
        <family val="2"/>
        <scheme val="minor"/>
      </rPr>
      <t>)</t>
    </r>
  </si>
  <si>
    <t>d)</t>
  </si>
  <si>
    <t>Repeat for the other two tracking files.  Paste them into the sheets "Tracking2" and "Tracking3"</t>
  </si>
  <si>
    <t>**DO NOT CHANGE ANYTHING ABOUT HER SPREADSHEETS BEFORE DOING THIS**</t>
  </si>
  <si>
    <t>Copy &amp; Paste Equipment Logs Into This Workbook</t>
  </si>
  <si>
    <t>Follow the same instructions for copying/pasting tracking, but paste the contents into sheet "EQLogs"</t>
  </si>
  <si>
    <t>Fill In The Yellow Boxes In The Table On The Right</t>
  </si>
  <si>
    <t>Enter the week number and tech numbers you want included in this report</t>
  </si>
  <si>
    <t>**THE MACRO STOPS WHEN IT GETS TO A BLANK CELL IN THIS LIST.  DON'T LEAVE BLANKS BETWEEN TECHS**</t>
  </si>
  <si>
    <t>Press the Button!</t>
  </si>
  <si>
    <t>4.</t>
  </si>
  <si>
    <t>Copy the contents of the entire "Tech Tracker" worksheet</t>
  </si>
  <si>
    <t>INSTRUCTIONS FOR RUNNING THIS MACRO</t>
  </si>
  <si>
    <t>Open one of the three tracking spreadsheets Bernice sent you for this payroll</t>
  </si>
  <si>
    <t>Copy &amp; Paste Tracking Data Into This Workbook</t>
  </si>
  <si>
    <r>
      <t xml:space="preserve">(This can be done by selecting a cell in the spreadsheet, pressing </t>
    </r>
    <r>
      <rPr>
        <b/>
        <sz val="16"/>
        <color theme="1"/>
        <rFont val="Calibri"/>
        <family val="2"/>
        <scheme val="minor"/>
      </rPr>
      <t>ctrl-a</t>
    </r>
    <r>
      <rPr>
        <sz val="16"/>
        <color theme="1"/>
        <rFont val="Calibri"/>
        <family val="2"/>
        <scheme val="minor"/>
      </rPr>
      <t xml:space="preserve"> and then </t>
    </r>
    <r>
      <rPr>
        <b/>
        <sz val="16"/>
        <color theme="1"/>
        <rFont val="Calibri"/>
        <family val="2"/>
        <scheme val="minor"/>
      </rPr>
      <t>ctrl-c</t>
    </r>
    <r>
      <rPr>
        <sz val="16"/>
        <color theme="1"/>
        <rFont val="Calibri"/>
        <family val="2"/>
        <scheme val="minor"/>
      </rPr>
      <t>)</t>
    </r>
  </si>
  <si>
    <t>Saves ($)</t>
  </si>
  <si>
    <t>Post-Disco Collection Report</t>
  </si>
  <si>
    <t>Production Summary Report</t>
  </si>
  <si>
    <t>Issue        Date</t>
  </si>
  <si>
    <t>Turn In       Date</t>
  </si>
  <si>
    <t>Premium Digital</t>
  </si>
  <si>
    <t>Standard  Digital</t>
  </si>
  <si>
    <t>eMTA      MTA</t>
  </si>
  <si>
    <t>Modem/ Router</t>
  </si>
  <si>
    <t>Home Security</t>
  </si>
  <si>
    <t>Total</t>
  </si>
  <si>
    <t>TechID</t>
  </si>
  <si>
    <t>Invoice Week</t>
  </si>
  <si>
    <t>****These data cannot yet be determined****</t>
  </si>
  <si>
    <t>You do not need to include a bulk tech ID.  This will automatically be included in the report</t>
  </si>
  <si>
    <t>Date_Ent</t>
  </si>
  <si>
    <t>work_order_number</t>
  </si>
  <si>
    <t>account_number</t>
  </si>
  <si>
    <t>customer_name</t>
  </si>
  <si>
    <t>schedule_date</t>
  </si>
  <si>
    <t>Install_Date</t>
  </si>
  <si>
    <t>Cust_Type</t>
  </si>
  <si>
    <t>Home_Phone_Nbr</t>
  </si>
  <si>
    <t>Customer_Address</t>
  </si>
  <si>
    <t>Customer_Apartment</t>
  </si>
  <si>
    <t>City</t>
  </si>
  <si>
    <t>Zip</t>
  </si>
  <si>
    <t>Slice</t>
  </si>
  <si>
    <t>grid_id</t>
  </si>
  <si>
    <t>item_number</t>
  </si>
  <si>
    <t>serial_number</t>
  </si>
  <si>
    <t>GEO</t>
  </si>
  <si>
    <t>JobNbr</t>
  </si>
  <si>
    <t>tag_number</t>
  </si>
  <si>
    <t>second_tag_number</t>
  </si>
  <si>
    <t>TechNbr</t>
  </si>
  <si>
    <t>BulkCustomer</t>
  </si>
  <si>
    <t>Roommate</t>
  </si>
  <si>
    <t>billing_day</t>
  </si>
  <si>
    <t>Payment_Date_1</t>
  </si>
  <si>
    <t>last_payment_amount_1</t>
  </si>
  <si>
    <t>Payment_Date_2</t>
  </si>
  <si>
    <t>last_payment_amount_2</t>
  </si>
  <si>
    <t>Payment_Date_3</t>
  </si>
  <si>
    <t>last_payment_amount_3</t>
  </si>
  <si>
    <t>Service_Class</t>
  </si>
  <si>
    <t>Ar_Balance</t>
  </si>
  <si>
    <t>Current_Balance</t>
  </si>
  <si>
    <t>deposit_due</t>
  </si>
  <si>
    <t>AR_1_to_30</t>
  </si>
  <si>
    <t>AR_31_to_60</t>
  </si>
  <si>
    <t>AR_61_to_90</t>
  </si>
  <si>
    <t>AR_91_to_120</t>
  </si>
  <si>
    <t>AR_121_to_150</t>
  </si>
  <si>
    <t>AR_Over_150</t>
  </si>
  <si>
    <t>RGU_BASIC_FLAG</t>
  </si>
  <si>
    <t>RGU_DIGITAL_FLAG</t>
  </si>
  <si>
    <t>RGU_DATA_FLAG</t>
  </si>
  <si>
    <t>RGU_PHONE_FLAG</t>
  </si>
  <si>
    <t>Video</t>
  </si>
  <si>
    <t>Data</t>
  </si>
  <si>
    <t>phone</t>
  </si>
  <si>
    <t>WO_TYPE</t>
  </si>
  <si>
    <t>Q_CODES</t>
  </si>
  <si>
    <t>LAST_NSF_DATE</t>
  </si>
  <si>
    <t>NUMBER_OF_NSF_CHECKS</t>
  </si>
  <si>
    <t>HOME_PHONE</t>
  </si>
  <si>
    <t>BUSINESS_PHONE</t>
  </si>
  <si>
    <t>OTHER_PHONE</t>
  </si>
  <si>
    <t>PURCHASE_CODE</t>
  </si>
  <si>
    <t>SUB_NUMBER_INCREMENTED</t>
  </si>
  <si>
    <t>SITE_ID</t>
  </si>
  <si>
    <t>NAME</t>
  </si>
  <si>
    <t>RA NAME</t>
  </si>
  <si>
    <t>DATE</t>
  </si>
  <si>
    <t>STATUS</t>
  </si>
  <si>
    <t>AMOUNT</t>
  </si>
  <si>
    <t>INVOICE</t>
  </si>
  <si>
    <t>COMMENTS</t>
  </si>
  <si>
    <t>07/23/2015</t>
  </si>
  <si>
    <t>25662657</t>
  </si>
  <si>
    <t>3007106</t>
  </si>
  <si>
    <t>Christine Gentry</t>
  </si>
  <si>
    <t>05/01/2015</t>
  </si>
  <si>
    <t>Residential</t>
  </si>
  <si>
    <t>850 393 7406</t>
  </si>
  <si>
    <t>2015   TONI ST</t>
  </si>
  <si>
    <t>PENSACOLA</t>
  </si>
  <si>
    <t>32504</t>
  </si>
  <si>
    <t>0018</t>
  </si>
  <si>
    <t>DSA301U</t>
  </si>
  <si>
    <t>248480342</t>
  </si>
  <si>
    <t>HUBP</t>
  </si>
  <si>
    <t>1066275</t>
  </si>
  <si>
    <t>31697</t>
  </si>
  <si>
    <t>Non</t>
  </si>
  <si>
    <t>1</t>
  </si>
  <si>
    <t>06/15/2015</t>
  </si>
  <si>
    <t>-200.00</t>
  </si>
  <si>
    <t>.00</t>
  </si>
  <si>
    <t>498.16</t>
  </si>
  <si>
    <t>21.5</t>
  </si>
  <si>
    <t>0</t>
  </si>
  <si>
    <t>198.4</t>
  </si>
  <si>
    <t>163.43</t>
  </si>
  <si>
    <t>114.83</t>
  </si>
  <si>
    <t>A</t>
  </si>
  <si>
    <t>NoService</t>
  </si>
  <si>
    <t>NP</t>
  </si>
  <si>
    <t>4</t>
  </si>
  <si>
    <t>850 393-7406</t>
  </si>
  <si>
    <t>000 000-0000</t>
  </si>
  <si>
    <t>135</t>
  </si>
  <si>
    <t>SAVE</t>
  </si>
  <si>
    <t>25662727</t>
  </si>
  <si>
    <t>13770803</t>
  </si>
  <si>
    <t>Meredith Duncan</t>
  </si>
  <si>
    <t>01/23/2015</t>
  </si>
  <si>
    <t>850 305 4012</t>
  </si>
  <si>
    <t>700   MEADOWVIEW LN</t>
  </si>
  <si>
    <t>32514</t>
  </si>
  <si>
    <t>0100</t>
  </si>
  <si>
    <t>CSH424H</t>
  </si>
  <si>
    <t>SABSGCWNW</t>
  </si>
  <si>
    <t>1068586</t>
  </si>
  <si>
    <t>NonBulk</t>
  </si>
  <si>
    <t>NonRoommate</t>
  </si>
  <si>
    <t>23</t>
  </si>
  <si>
    <t>08/04/2015</t>
  </si>
  <si>
    <t>-475.24</t>
  </si>
  <si>
    <t>05/09/2015</t>
  </si>
  <si>
    <t>-167.05</t>
  </si>
  <si>
    <t>04/10/2015</t>
  </si>
  <si>
    <t>-140.56</t>
  </si>
  <si>
    <t>549.77</t>
  </si>
  <si>
    <t>85.68</t>
  </si>
  <si>
    <t>121.52</t>
  </si>
  <si>
    <t>183.08</t>
  </si>
  <si>
    <t>137.99</t>
  </si>
  <si>
    <t>850 305-4012</t>
  </si>
  <si>
    <t>25662791</t>
  </si>
  <si>
    <t>66443514</t>
  </si>
  <si>
    <t>WANDA PARKS</t>
  </si>
  <si>
    <t>09/09/2010</t>
  </si>
  <si>
    <t>850 912 6285</t>
  </si>
  <si>
    <t>7110   MOORE AVE</t>
  </si>
  <si>
    <t>32526</t>
  </si>
  <si>
    <t>0059</t>
  </si>
  <si>
    <t>DGI510U</t>
  </si>
  <si>
    <t>[0HYTV13BT215]</t>
  </si>
  <si>
    <t>R445312</t>
  </si>
  <si>
    <t>9</t>
  </si>
  <si>
    <t>-163.00</t>
  </si>
  <si>
    <t>06/08/2015</t>
  </si>
  <si>
    <t>-140.00</t>
  </si>
  <si>
    <t>05/26/2015</t>
  </si>
  <si>
    <t>-25.00</t>
  </si>
  <si>
    <t>106.82</t>
  </si>
  <si>
    <t>85.32</t>
  </si>
  <si>
    <t>850 912-6285</t>
  </si>
  <si>
    <t>850 458-5542</t>
  </si>
  <si>
    <t>PUR</t>
  </si>
  <si>
    <t>25662793</t>
  </si>
  <si>
    <t>66537620</t>
  </si>
  <si>
    <t>JOYCELYN FLUELLEN</t>
  </si>
  <si>
    <t>11/11/2011</t>
  </si>
  <si>
    <t>850 243 2957</t>
  </si>
  <si>
    <t>804   ROYCE ST</t>
  </si>
  <si>
    <t xml:space="preserve">   100</t>
  </si>
  <si>
    <t>32503</t>
  </si>
  <si>
    <t>0021</t>
  </si>
  <si>
    <t>CSA830P</t>
  </si>
  <si>
    <t>SABNDPXRX</t>
  </si>
  <si>
    <t>0003551</t>
  </si>
  <si>
    <t>11</t>
  </si>
  <si>
    <t>08/05/2015</t>
  </si>
  <si>
    <t>-268.35</t>
  </si>
  <si>
    <t>05/28/2015</t>
  </si>
  <si>
    <t>-141.00</t>
  </si>
  <si>
    <t>04/27/2015</t>
  </si>
  <si>
    <t>-136.60</t>
  </si>
  <si>
    <t>402</t>
  </si>
  <si>
    <t>174.78</t>
  </si>
  <si>
    <t>142.28</t>
  </si>
  <si>
    <t>63.44</t>
  </si>
  <si>
    <t>2012-01-31 00:00:00</t>
  </si>
  <si>
    <t>850 243-2957</t>
  </si>
  <si>
    <t>850 305-5574</t>
  </si>
  <si>
    <t>25662828</t>
  </si>
  <si>
    <t>71789015</t>
  </si>
  <si>
    <t>DEREK DISMUKES</t>
  </si>
  <si>
    <t>08/11/2012</t>
  </si>
  <si>
    <t>850 466 2221</t>
  </si>
  <si>
    <t>901   MASSACHUSETTS AVE</t>
  </si>
  <si>
    <t xml:space="preserve">   208</t>
  </si>
  <si>
    <t>32505</t>
  </si>
  <si>
    <t>0039</t>
  </si>
  <si>
    <t>DAR602G</t>
  </si>
  <si>
    <t>831BNE886453003</t>
  </si>
  <si>
    <t>537037</t>
  </si>
  <si>
    <t>Bulk</t>
  </si>
  <si>
    <t>08/03/2015</t>
  </si>
  <si>
    <t>-135.00</t>
  </si>
  <si>
    <t>06/22/2015</t>
  </si>
  <si>
    <t>-100.00</t>
  </si>
  <si>
    <t>05/29/2015</t>
  </si>
  <si>
    <t>-108.60</t>
  </si>
  <si>
    <t>107.45</t>
  </si>
  <si>
    <t>42.52</t>
  </si>
  <si>
    <t>64.93</t>
  </si>
  <si>
    <t>Noservice</t>
  </si>
  <si>
    <t>2015-01-31 00:00:00</t>
  </si>
  <si>
    <t>850 466-2221</t>
  </si>
  <si>
    <t>25662841</t>
  </si>
  <si>
    <t>72283516</t>
  </si>
  <si>
    <t>Darieen White</t>
  </si>
  <si>
    <t>05/05/2015</t>
  </si>
  <si>
    <t>850 361 6921</t>
  </si>
  <si>
    <t>2005   BLAKELY AVE</t>
  </si>
  <si>
    <t xml:space="preserve">     B</t>
  </si>
  <si>
    <t>32507</t>
  </si>
  <si>
    <t>0126</t>
  </si>
  <si>
    <t>DCI3825</t>
  </si>
  <si>
    <t>262741368</t>
  </si>
  <si>
    <t>585350</t>
  </si>
  <si>
    <t>5</t>
  </si>
  <si>
    <t>-129.95</t>
  </si>
  <si>
    <t>07/02/2015</t>
  </si>
  <si>
    <t>-97.99</t>
  </si>
  <si>
    <t>40.6</t>
  </si>
  <si>
    <t>850 361-6921</t>
  </si>
  <si>
    <t>25662843</t>
  </si>
  <si>
    <t>72504812</t>
  </si>
  <si>
    <t>JUSTIN JONES</t>
  </si>
  <si>
    <t>03/11/2010</t>
  </si>
  <si>
    <t>850 332 5299</t>
  </si>
  <si>
    <t>161  E STRONG ST</t>
  </si>
  <si>
    <t>32501</t>
  </si>
  <si>
    <t>0043</t>
  </si>
  <si>
    <t>DSA321N</t>
  </si>
  <si>
    <t>267239786</t>
  </si>
  <si>
    <t>837747</t>
  </si>
  <si>
    <t>07/11/2011</t>
  </si>
  <si>
    <t>05/18/2011</t>
  </si>
  <si>
    <t>-60.00</t>
  </si>
  <si>
    <t>05/06/2011</t>
  </si>
  <si>
    <t>-59.36</t>
  </si>
  <si>
    <t>309.32</t>
  </si>
  <si>
    <t>181.81</t>
  </si>
  <si>
    <t>106.01</t>
  </si>
  <si>
    <t>850 332-5299</t>
  </si>
  <si>
    <t>850 356-8046</t>
  </si>
  <si>
    <t>850 466-5246</t>
  </si>
  <si>
    <t>07/25/2015</t>
  </si>
  <si>
    <t>25667764</t>
  </si>
  <si>
    <t>67403903</t>
  </si>
  <si>
    <t>GLEFORD GRAY</t>
  </si>
  <si>
    <t>11/09/2001</t>
  </si>
  <si>
    <t>850 433 3281</t>
  </si>
  <si>
    <t>3012   BERWICK ST</t>
  </si>
  <si>
    <t>0033</t>
  </si>
  <si>
    <t>CSA2200</t>
  </si>
  <si>
    <t>SABFRVBPX</t>
  </si>
  <si>
    <t>696425</t>
  </si>
  <si>
    <t>-166.00</t>
  </si>
  <si>
    <t>-151.35</t>
  </si>
  <si>
    <t>05/22/2015</t>
  </si>
  <si>
    <t>-127.48</t>
  </si>
  <si>
    <t>122.44</t>
  </si>
  <si>
    <t>100.94</t>
  </si>
  <si>
    <t>850 433-3281</t>
  </si>
  <si>
    <t>07/26/2015</t>
  </si>
  <si>
    <t>25668728</t>
  </si>
  <si>
    <t>32269304</t>
  </si>
  <si>
    <t>CASSANDRA FREEMAN</t>
  </si>
  <si>
    <t>10/13/2009</t>
  </si>
  <si>
    <t>850 969 1229</t>
  </si>
  <si>
    <t>7801   FIESTA DR</t>
  </si>
  <si>
    <t>32534</t>
  </si>
  <si>
    <t>0087</t>
  </si>
  <si>
    <t>0HYTSS8X1VW8</t>
  </si>
  <si>
    <t>492911</t>
  </si>
  <si>
    <t>13</t>
  </si>
  <si>
    <t>-139.00</t>
  </si>
  <si>
    <t>-124.00</t>
  </si>
  <si>
    <t>-50.14</t>
  </si>
  <si>
    <t>229.04</t>
  </si>
  <si>
    <t>26.49</t>
  </si>
  <si>
    <t>101.62</t>
  </si>
  <si>
    <t>100.93</t>
  </si>
  <si>
    <t>2015-03-18 00:00:00</t>
  </si>
  <si>
    <t>3</t>
  </si>
  <si>
    <t>850 969-1229</t>
  </si>
  <si>
    <t>25668760</t>
  </si>
  <si>
    <t>66410301</t>
  </si>
  <si>
    <t>RHONDA STOKES</t>
  </si>
  <si>
    <t>03/12/2015</t>
  </si>
  <si>
    <t>000 000 0000</t>
  </si>
  <si>
    <t>118   MASSACHUSETTS AVE</t>
  </si>
  <si>
    <t>0107</t>
  </si>
  <si>
    <t>DUBW32N</t>
  </si>
  <si>
    <t>DCS4M13003658</t>
  </si>
  <si>
    <t>854090</t>
  </si>
  <si>
    <t>12</t>
  </si>
  <si>
    <t>07/04/2015</t>
  </si>
  <si>
    <t>-149.39</t>
  </si>
  <si>
    <t>06/04/2015</t>
  </si>
  <si>
    <t>-204.42</t>
  </si>
  <si>
    <t>04/07/2015</t>
  </si>
  <si>
    <t>-144.08</t>
  </si>
  <si>
    <t>347.01</t>
  </si>
  <si>
    <t>24.03</t>
  </si>
  <si>
    <t>199.08</t>
  </si>
  <si>
    <t>123.9</t>
  </si>
  <si>
    <t>850 760-8483</t>
  </si>
  <si>
    <t>25668796</t>
  </si>
  <si>
    <t>71434202</t>
  </si>
  <si>
    <t>TED L MOFFETT</t>
  </si>
  <si>
    <t>09/04/2002</t>
  </si>
  <si>
    <t>850 968 6656</t>
  </si>
  <si>
    <t>3034   WOODBURY CIR</t>
  </si>
  <si>
    <t>CANTONMENT</t>
  </si>
  <si>
    <t>32533</t>
  </si>
  <si>
    <t>0075</t>
  </si>
  <si>
    <t>266713593</t>
  </si>
  <si>
    <t>R014984</t>
  </si>
  <si>
    <t>-305.38</t>
  </si>
  <si>
    <t>06/14/2015</t>
  </si>
  <si>
    <t>-334.62</t>
  </si>
  <si>
    <t>03/18/2015</t>
  </si>
  <si>
    <t>-282.74</t>
  </si>
  <si>
    <t>-17.18</t>
  </si>
  <si>
    <t>2014-08-22 00:00:00</t>
  </si>
  <si>
    <t>850 968-6656</t>
  </si>
  <si>
    <t>07/27/2015</t>
  </si>
  <si>
    <t>25672264</t>
  </si>
  <si>
    <t>2625803</t>
  </si>
  <si>
    <t>MARION J ARNOLD</t>
  </si>
  <si>
    <t>05/14/2013</t>
  </si>
  <si>
    <t>850 968 1072</t>
  </si>
  <si>
    <t>1041   SUMMER SHADE LN</t>
  </si>
  <si>
    <t>0074</t>
  </si>
  <si>
    <t>2543</t>
  </si>
  <si>
    <t>DSA3212</t>
  </si>
  <si>
    <t>248395475</t>
  </si>
  <si>
    <t>412662</t>
  </si>
  <si>
    <t>14</t>
  </si>
  <si>
    <t>06/29/2015</t>
  </si>
  <si>
    <t>-101.00</t>
  </si>
  <si>
    <t>05/30/2015</t>
  </si>
  <si>
    <t>-88.23</t>
  </si>
  <si>
    <t>03/24/2015</t>
  </si>
  <si>
    <t>-184.66</t>
  </si>
  <si>
    <t>294.37</t>
  </si>
  <si>
    <t>141.97</t>
  </si>
  <si>
    <t>109.88</t>
  </si>
  <si>
    <t>850 968-1072</t>
  </si>
  <si>
    <t>25672442</t>
  </si>
  <si>
    <t>62367804</t>
  </si>
  <si>
    <t>Micheal Gey</t>
  </si>
  <si>
    <t>06/05/2015</t>
  </si>
  <si>
    <t>850 889 2112</t>
  </si>
  <si>
    <t>108   ALICE ST</t>
  </si>
  <si>
    <t>0115</t>
  </si>
  <si>
    <t>5348</t>
  </si>
  <si>
    <t>260872862</t>
  </si>
  <si>
    <t>810596</t>
  </si>
  <si>
    <t>-50.00</t>
  </si>
  <si>
    <t>237.31</t>
  </si>
  <si>
    <t>125.64</t>
  </si>
  <si>
    <t>90.17</t>
  </si>
  <si>
    <t>850 889-2112</t>
  </si>
  <si>
    <t>25672505</t>
  </si>
  <si>
    <t>71971210</t>
  </si>
  <si>
    <t>BRENDA SCOTT</t>
  </si>
  <si>
    <t>02/14/2014</t>
  </si>
  <si>
    <t>850 346 2778</t>
  </si>
  <si>
    <t>9742   HARBOUR PL</t>
  </si>
  <si>
    <t xml:space="preserve">   504</t>
  </si>
  <si>
    <t>32506</t>
  </si>
  <si>
    <t>0127</t>
  </si>
  <si>
    <t>535512</t>
  </si>
  <si>
    <t>-80.00</t>
  </si>
  <si>
    <t>07/06/2015</t>
  </si>
  <si>
    <t>06/19/2015</t>
  </si>
  <si>
    <t>142.41</t>
  </si>
  <si>
    <t>4.99</t>
  </si>
  <si>
    <t>119.11</t>
  </si>
  <si>
    <t>18.31</t>
  </si>
  <si>
    <t>850 346-2778</t>
  </si>
  <si>
    <t>07/22/2015</t>
  </si>
  <si>
    <t>25659646</t>
  </si>
  <si>
    <t>21238102</t>
  </si>
  <si>
    <t>christophe sjodin</t>
  </si>
  <si>
    <t>850 376 6202</t>
  </si>
  <si>
    <t>5700   HOMEWOOD RD</t>
  </si>
  <si>
    <t>0017</t>
  </si>
  <si>
    <t>CSH824H</t>
  </si>
  <si>
    <t>SABPVWFTZ</t>
  </si>
  <si>
    <t>1060484</t>
  </si>
  <si>
    <t>26</t>
  </si>
  <si>
    <t>-292.98</t>
  </si>
  <si>
    <t>147.29</t>
  </si>
  <si>
    <t>47.41</t>
  </si>
  <si>
    <t>99.88</t>
  </si>
  <si>
    <t>S</t>
  </si>
  <si>
    <t>850 376-6202</t>
  </si>
  <si>
    <t>DUP</t>
  </si>
  <si>
    <t>25659697</t>
  </si>
  <si>
    <t>70852416</t>
  </si>
  <si>
    <t>MARY YATES</t>
  </si>
  <si>
    <t>850 602 7440</t>
  </si>
  <si>
    <t>10901   CHEMSTRAND RD</t>
  </si>
  <si>
    <t xml:space="preserve">    10</t>
  </si>
  <si>
    <t>0102</t>
  </si>
  <si>
    <t>CSA830H</t>
  </si>
  <si>
    <t>SABNNZGMT</t>
  </si>
  <si>
    <t>2121942</t>
  </si>
  <si>
    <t>28</t>
  </si>
  <si>
    <t>06/06/2015</t>
  </si>
  <si>
    <t>-125.00</t>
  </si>
  <si>
    <t>379.99</t>
  </si>
  <si>
    <t>139.49</t>
  </si>
  <si>
    <t>134.52</t>
  </si>
  <si>
    <t>63.46</t>
  </si>
  <si>
    <t>850 602-7440</t>
  </si>
  <si>
    <t>25667787</t>
  </si>
  <si>
    <t>07/21/2015</t>
  </si>
  <si>
    <t>25656513</t>
  </si>
  <si>
    <t>28724304</t>
  </si>
  <si>
    <t>PATRIC HAMANN</t>
  </si>
  <si>
    <t>09/15/2014</t>
  </si>
  <si>
    <t>850 291 0419</t>
  </si>
  <si>
    <t>5866   SAINT ADELA AVE</t>
  </si>
  <si>
    <t>0082</t>
  </si>
  <si>
    <t>4250</t>
  </si>
  <si>
    <t>SABKBXVRV</t>
  </si>
  <si>
    <t>692324</t>
  </si>
  <si>
    <t>31701</t>
  </si>
  <si>
    <t>15</t>
  </si>
  <si>
    <t>07/07/2015</t>
  </si>
  <si>
    <t>-134.16</t>
  </si>
  <si>
    <t>07/03/2015</t>
  </si>
  <si>
    <t>-187.00</t>
  </si>
  <si>
    <t>06/03/2015</t>
  </si>
  <si>
    <t>-92.93</t>
  </si>
  <si>
    <t>288.42</t>
  </si>
  <si>
    <t>117.93</t>
  </si>
  <si>
    <t>112.66</t>
  </si>
  <si>
    <t>52.84</t>
  </si>
  <si>
    <t>PD</t>
  </si>
  <si>
    <t>2015-07-07 00:00:00</t>
  </si>
  <si>
    <t>2</t>
  </si>
  <si>
    <t>850 291-0419</t>
  </si>
  <si>
    <t>Mark</t>
  </si>
  <si>
    <t>DISCO</t>
  </si>
  <si>
    <t>25656526</t>
  </si>
  <si>
    <t>46394303</t>
  </si>
  <si>
    <t>MICHAEL DAVIS</t>
  </si>
  <si>
    <t>12/22/2012</t>
  </si>
  <si>
    <t>815   BARCIA DR</t>
  </si>
  <si>
    <t>0026</t>
  </si>
  <si>
    <t>DSAC210</t>
  </si>
  <si>
    <t>[209746801]</t>
  </si>
  <si>
    <t>601843</t>
  </si>
  <si>
    <t>-91.68</t>
  </si>
  <si>
    <t>-96.07</t>
  </si>
  <si>
    <t>181.04</t>
  </si>
  <si>
    <t>91.69</t>
  </si>
  <si>
    <t>84.36</t>
  </si>
  <si>
    <t>25656527</t>
  </si>
  <si>
    <t>46581525</t>
  </si>
  <si>
    <t>KHADIJI CHEATHAM</t>
  </si>
  <si>
    <t>02/07/2015</t>
  </si>
  <si>
    <t>6115  N DAVIS HWY</t>
  </si>
  <si>
    <t xml:space="preserve">   98A</t>
  </si>
  <si>
    <t>0020</t>
  </si>
  <si>
    <t>270915147</t>
  </si>
  <si>
    <t>633798</t>
  </si>
  <si>
    <t>634713</t>
  </si>
  <si>
    <t>7</t>
  </si>
  <si>
    <t>-143.85</t>
  </si>
  <si>
    <t>05/25/2015</t>
  </si>
  <si>
    <t>-154.61</t>
  </si>
  <si>
    <t>04/24/2015</t>
  </si>
  <si>
    <t>-117.36</t>
  </si>
  <si>
    <t>257.29</t>
  </si>
  <si>
    <t>29.99</t>
  </si>
  <si>
    <t>138.86</t>
  </si>
  <si>
    <t>88.44</t>
  </si>
  <si>
    <t>850 637-9529</t>
  </si>
  <si>
    <t>25656560</t>
  </si>
  <si>
    <t>68526008</t>
  </si>
  <si>
    <t>kristy K upmanis</t>
  </si>
  <si>
    <t>06/07/2013</t>
  </si>
  <si>
    <t>850 292 0235</t>
  </si>
  <si>
    <t>1540  E LEONARD ST</t>
  </si>
  <si>
    <t>0027</t>
  </si>
  <si>
    <t>DN3000D</t>
  </si>
  <si>
    <t>[2DV325UN012D3]</t>
  </si>
  <si>
    <t>1060596</t>
  </si>
  <si>
    <t>-156.67</t>
  </si>
  <si>
    <t>-174.78</t>
  </si>
  <si>
    <t>240.84</t>
  </si>
  <si>
    <t>156.68</t>
  </si>
  <si>
    <t>79.17</t>
  </si>
  <si>
    <t>850 292-0235</t>
  </si>
  <si>
    <t>25656562</t>
  </si>
  <si>
    <t>68612013</t>
  </si>
  <si>
    <t>SHIRLEY CARTER</t>
  </si>
  <si>
    <t>09/19/2014</t>
  </si>
  <si>
    <t>850 207 5771</t>
  </si>
  <si>
    <t>5820   SANDERS ST</t>
  </si>
  <si>
    <t xml:space="preserve">     G</t>
  </si>
  <si>
    <t>CSH8642</t>
  </si>
  <si>
    <t>SACBMBZVJ</t>
  </si>
  <si>
    <t>544950</t>
  </si>
  <si>
    <t>06/23/2015</t>
  </si>
  <si>
    <t>-160.00</t>
  </si>
  <si>
    <t>05/23/2015</t>
  </si>
  <si>
    <t>-126.66</t>
  </si>
  <si>
    <t>04/23/2015</t>
  </si>
  <si>
    <t>-122.00</t>
  </si>
  <si>
    <t>281.32</t>
  </si>
  <si>
    <t>148.17</t>
  </si>
  <si>
    <t>128.16</t>
  </si>
  <si>
    <t>850 207-5771</t>
  </si>
  <si>
    <t>25659538</t>
  </si>
  <si>
    <t>1396102</t>
  </si>
  <si>
    <t>SHANNON WILSON</t>
  </si>
  <si>
    <t>850 225 8217</t>
  </si>
  <si>
    <t>623   LINDEN RD</t>
  </si>
  <si>
    <t>236772242</t>
  </si>
  <si>
    <t>836372</t>
  </si>
  <si>
    <t>06/09/2015</t>
  </si>
  <si>
    <t>-62.00</t>
  </si>
  <si>
    <t>02/10/2015</t>
  </si>
  <si>
    <t>-145.03</t>
  </si>
  <si>
    <t>01/26/2015</t>
  </si>
  <si>
    <t>571.38</t>
  </si>
  <si>
    <t>71.48</t>
  </si>
  <si>
    <t>236.83</t>
  </si>
  <si>
    <t>84.19</t>
  </si>
  <si>
    <t>102.41</t>
  </si>
  <si>
    <t>850 225-8217</t>
  </si>
  <si>
    <t>25659598</t>
  </si>
  <si>
    <t>11719204</t>
  </si>
  <si>
    <t>RICKY NOONAN</t>
  </si>
  <si>
    <t>02/11/2011</t>
  </si>
  <si>
    <t>425 443 9864</t>
  </si>
  <si>
    <t>2906  E GADSDEN ST</t>
  </si>
  <si>
    <t>0037</t>
  </si>
  <si>
    <t>[0HYTSSZ43YG5]</t>
  </si>
  <si>
    <t>2249501</t>
  </si>
  <si>
    <t>07/01/2015</t>
  </si>
  <si>
    <t>-52.99</t>
  </si>
  <si>
    <t>05/31/2015</t>
  </si>
  <si>
    <t>144.96</t>
  </si>
  <si>
    <t>86.98</t>
  </si>
  <si>
    <t>52.99</t>
  </si>
  <si>
    <t>2015-07-06 00:00:00</t>
  </si>
  <si>
    <t>425 443-9864</t>
  </si>
  <si>
    <t>25659650</t>
  </si>
  <si>
    <t>27015702</t>
  </si>
  <si>
    <t>Bonnie Henke</t>
  </si>
  <si>
    <t>01/06/2015</t>
  </si>
  <si>
    <t>850 476 4473</t>
  </si>
  <si>
    <t>4702   CHRISTY DR</t>
  </si>
  <si>
    <t>0007</t>
  </si>
  <si>
    <t>GM81067</t>
  </si>
  <si>
    <t>6</t>
  </si>
  <si>
    <t>05/15/2015</t>
  </si>
  <si>
    <t>-87.69</t>
  </si>
  <si>
    <t>04/02/2015</t>
  </si>
  <si>
    <t>-83.19</t>
  </si>
  <si>
    <t>218.35</t>
  </si>
  <si>
    <t>121.68</t>
  </si>
  <si>
    <t>91.68</t>
  </si>
  <si>
    <t>850 476-4473</t>
  </si>
  <si>
    <t>25659703</t>
  </si>
  <si>
    <t>71411312</t>
  </si>
  <si>
    <t>REBECCA JOHNSON</t>
  </si>
  <si>
    <t>09/10/2013</t>
  </si>
  <si>
    <t>850 477 2294</t>
  </si>
  <si>
    <t>6215   LUTHER ST</t>
  </si>
  <si>
    <t>CSA824S</t>
  </si>
  <si>
    <t>SABNSGCVK</t>
  </si>
  <si>
    <t>R111891</t>
  </si>
  <si>
    <t>10</t>
  </si>
  <si>
    <t>07/08/2015</t>
  </si>
  <si>
    <t>-300.00</t>
  </si>
  <si>
    <t>05/21/2015</t>
  </si>
  <si>
    <t>-227.52</t>
  </si>
  <si>
    <t>05/12/2015</t>
  </si>
  <si>
    <t>-49.10</t>
  </si>
  <si>
    <t>712.15</t>
  </si>
  <si>
    <t>34.99</t>
  </si>
  <si>
    <t>238.95</t>
  </si>
  <si>
    <t>438.21</t>
  </si>
  <si>
    <t>2015-07-23 00:00:00</t>
  </si>
  <si>
    <t>850 477-2294</t>
  </si>
  <si>
    <t>25659709</t>
  </si>
  <si>
    <t>72487728</t>
  </si>
  <si>
    <t>LORNA BIONDI</t>
  </si>
  <si>
    <t>04/04/2014</t>
  </si>
  <si>
    <t>850 982 8271</t>
  </si>
  <si>
    <t>700   COLLEGE BLVD</t>
  </si>
  <si>
    <t xml:space="preserve">  A111</t>
  </si>
  <si>
    <t>0019</t>
  </si>
  <si>
    <t>SABMVZNLG</t>
  </si>
  <si>
    <t>0003422</t>
  </si>
  <si>
    <t>-268.61</t>
  </si>
  <si>
    <t>04/17/2015</t>
  </si>
  <si>
    <t>-78.84</t>
  </si>
  <si>
    <t>03/14/2015</t>
  </si>
  <si>
    <t>-170.00</t>
  </si>
  <si>
    <t>635.12</t>
  </si>
  <si>
    <t>116.83</t>
  </si>
  <si>
    <t>141.84</t>
  </si>
  <si>
    <t>376.45</t>
  </si>
  <si>
    <t>2015-06-09 00:00:00</t>
  </si>
  <si>
    <t>850 982-8271</t>
  </si>
  <si>
    <t>25662751</t>
  </si>
  <si>
    <t>29948706</t>
  </si>
  <si>
    <t>QUANIQUA NEWBERRY</t>
  </si>
  <si>
    <t>01/04/2015</t>
  </si>
  <si>
    <t>850 390 5057</t>
  </si>
  <si>
    <t>107   MYRTLEWOOD DR</t>
  </si>
  <si>
    <t>0090</t>
  </si>
  <si>
    <t>DN30002</t>
  </si>
  <si>
    <t>3HW147W807754</t>
  </si>
  <si>
    <t>371416</t>
  </si>
  <si>
    <t>-380.97</t>
  </si>
  <si>
    <t>06/12/2015</t>
  </si>
  <si>
    <t>-109.00</t>
  </si>
  <si>
    <t>1068.39</t>
  </si>
  <si>
    <t>189.41</t>
  </si>
  <si>
    <t>296.44</t>
  </si>
  <si>
    <t>582.54</t>
  </si>
  <si>
    <t>2015-07-08 00:00:00</t>
  </si>
  <si>
    <t>850 390-5057</t>
  </si>
  <si>
    <t>25662757</t>
  </si>
  <si>
    <t>33139710</t>
  </si>
  <si>
    <t>TOCCARRA BALL</t>
  </si>
  <si>
    <t>02/09/2015</t>
  </si>
  <si>
    <t>7450  N PALAFOX ST</t>
  </si>
  <si>
    <t>265904205</t>
  </si>
  <si>
    <t>1049481</t>
  </si>
  <si>
    <t>-275.00</t>
  </si>
  <si>
    <t>-120.00</t>
  </si>
  <si>
    <t>03/25/2015</t>
  </si>
  <si>
    <t>-23.43</t>
  </si>
  <si>
    <t>303.06</t>
  </si>
  <si>
    <t>106.93</t>
  </si>
  <si>
    <t>191.14</t>
  </si>
  <si>
    <t>850 490-4355</t>
  </si>
  <si>
    <t>25662763</t>
  </si>
  <si>
    <t>37943809</t>
  </si>
  <si>
    <t>NANCY SIMMONS</t>
  </si>
  <si>
    <t>05/11/2014</t>
  </si>
  <si>
    <t>850 497 5199</t>
  </si>
  <si>
    <t>7155  N 9TH AVE</t>
  </si>
  <si>
    <t xml:space="preserve">  116D</t>
  </si>
  <si>
    <t>0015</t>
  </si>
  <si>
    <t>SABXRNLJD</t>
  </si>
  <si>
    <t>402952</t>
  </si>
  <si>
    <t>-248.43</t>
  </si>
  <si>
    <t>-40.00</t>
  </si>
  <si>
    <t>05/07/2015</t>
  </si>
  <si>
    <t>327.57</t>
  </si>
  <si>
    <t>178.35</t>
  </si>
  <si>
    <t>144.23</t>
  </si>
  <si>
    <t>850 497-5199</t>
  </si>
  <si>
    <t>25662778</t>
  </si>
  <si>
    <t>56374202</t>
  </si>
  <si>
    <t>SYLVIA GULLEY</t>
  </si>
  <si>
    <t>01/18/2013</t>
  </si>
  <si>
    <t>850 485 0495</t>
  </si>
  <si>
    <t>561   SPRINGDALE CIR</t>
  </si>
  <si>
    <t>[206418268]</t>
  </si>
  <si>
    <t>389269</t>
  </si>
  <si>
    <t>-20.00</t>
  </si>
  <si>
    <t>06/17/2015</t>
  </si>
  <si>
    <t>05/20/2015</t>
  </si>
  <si>
    <t>-225.00</t>
  </si>
  <si>
    <t>391.93</t>
  </si>
  <si>
    <t>134.18</t>
  </si>
  <si>
    <t>129.2</t>
  </si>
  <si>
    <t>128.55</t>
  </si>
  <si>
    <t>2015-01-29 00:00:00</t>
  </si>
  <si>
    <t>850 485-0495</t>
  </si>
  <si>
    <t>25662836</t>
  </si>
  <si>
    <t>72065709</t>
  </si>
  <si>
    <t>LATORRIS NEWBERRY</t>
  </si>
  <si>
    <t>02/18/2014</t>
  </si>
  <si>
    <t>850 855 5441</t>
  </si>
  <si>
    <t>813   BLOODWORTH LN</t>
  </si>
  <si>
    <t xml:space="preserve">   802</t>
  </si>
  <si>
    <t>0012</t>
  </si>
  <si>
    <t>DCI382P</t>
  </si>
  <si>
    <t>236731301</t>
  </si>
  <si>
    <t>619873</t>
  </si>
  <si>
    <t>18</t>
  </si>
  <si>
    <t>-107.00</t>
  </si>
  <si>
    <t>03/17/2015</t>
  </si>
  <si>
    <t>-87.00</t>
  </si>
  <si>
    <t>03/16/2015</t>
  </si>
  <si>
    <t>779.83</t>
  </si>
  <si>
    <t>147.77</t>
  </si>
  <si>
    <t>197</t>
  </si>
  <si>
    <t>223.01</t>
  </si>
  <si>
    <t>207.06</t>
  </si>
  <si>
    <t>2015-03-31 00:00:00</t>
  </si>
  <si>
    <t>850 855-5441</t>
  </si>
  <si>
    <t>25662846</t>
  </si>
  <si>
    <t>72540725</t>
  </si>
  <si>
    <t>CHRISTOPHE THOMAS</t>
  </si>
  <si>
    <t>07/03/2014</t>
  </si>
  <si>
    <t>304 380 6255</t>
  </si>
  <si>
    <t>2101   SCENIC HWY</t>
  </si>
  <si>
    <t xml:space="preserve">  H103</t>
  </si>
  <si>
    <t>0038</t>
  </si>
  <si>
    <t>CSA824H</t>
  </si>
  <si>
    <t>SABNQNSZH</t>
  </si>
  <si>
    <t>495197</t>
  </si>
  <si>
    <t>BD98995</t>
  </si>
  <si>
    <t>04/15/2015</t>
  </si>
  <si>
    <t>-111.82</t>
  </si>
  <si>
    <t>03/27/2015</t>
  </si>
  <si>
    <t>03/03/2015</t>
  </si>
  <si>
    <t>-142.20</t>
  </si>
  <si>
    <t>694.05</t>
  </si>
  <si>
    <t>152.32</t>
  </si>
  <si>
    <t>314.1</t>
  </si>
  <si>
    <t>115.81</t>
  </si>
  <si>
    <t>111.82</t>
  </si>
  <si>
    <t>304 380-6255</t>
  </si>
  <si>
    <t>07/24/2015</t>
  </si>
  <si>
    <t>25665739</t>
  </si>
  <si>
    <t>1807916</t>
  </si>
  <si>
    <t>David Stallworth</t>
  </si>
  <si>
    <t>03/10/2015</t>
  </si>
  <si>
    <t>850 586 9741</t>
  </si>
  <si>
    <t>417  E BOBE ST</t>
  </si>
  <si>
    <t>0029</t>
  </si>
  <si>
    <t>SABPWCPFC</t>
  </si>
  <si>
    <t>1003141</t>
  </si>
  <si>
    <t>-75.84</t>
  </si>
  <si>
    <t>04/21/2015</t>
  </si>
  <si>
    <t>-83.49</t>
  </si>
  <si>
    <t>04/16/2015</t>
  </si>
  <si>
    <t>-42.86</t>
  </si>
  <si>
    <t>200.4</t>
  </si>
  <si>
    <t>15.35</t>
  </si>
  <si>
    <t>105.21</t>
  </si>
  <si>
    <t>79.84</t>
  </si>
  <si>
    <t>850 586-9741</t>
  </si>
  <si>
    <t>25665754</t>
  </si>
  <si>
    <t>4074510</t>
  </si>
  <si>
    <t>ANGELA DAVIS</t>
  </si>
  <si>
    <t>12/31/2014</t>
  </si>
  <si>
    <t>850 512 4809</t>
  </si>
  <si>
    <t>500  E FAIRFIELD DR</t>
  </si>
  <si>
    <t xml:space="preserve">    K3</t>
  </si>
  <si>
    <t>0023</t>
  </si>
  <si>
    <t>CSH4642</t>
  </si>
  <si>
    <t>SACBLXGTJ</t>
  </si>
  <si>
    <t>853779</t>
  </si>
  <si>
    <t>-400.00</t>
  </si>
  <si>
    <t>04/22/2015</t>
  </si>
  <si>
    <t>02/26/2015</t>
  </si>
  <si>
    <t>-778.04</t>
  </si>
  <si>
    <t>548.85</t>
  </si>
  <si>
    <t>81.11</t>
  </si>
  <si>
    <t>257.71</t>
  </si>
  <si>
    <t>206.72</t>
  </si>
  <si>
    <t>3.31</t>
  </si>
  <si>
    <t>850 512-4809</t>
  </si>
  <si>
    <t>25665874</t>
  </si>
  <si>
    <t>63977306</t>
  </si>
  <si>
    <t>JESSE TRIPP</t>
  </si>
  <si>
    <t>07/18/2013</t>
  </si>
  <si>
    <t>850 572 8168</t>
  </si>
  <si>
    <t>7110   CALUMET CT</t>
  </si>
  <si>
    <t>0013</t>
  </si>
  <si>
    <t>3853</t>
  </si>
  <si>
    <t>602766</t>
  </si>
  <si>
    <t>-34.27</t>
  </si>
  <si>
    <t>-34.00</t>
  </si>
  <si>
    <t>-34.08</t>
  </si>
  <si>
    <t>83.79</t>
  </si>
  <si>
    <t>39.27</t>
  </si>
  <si>
    <t>39.26</t>
  </si>
  <si>
    <t>.27</t>
  </si>
  <si>
    <t>850 572-8168</t>
  </si>
  <si>
    <t>850 390-5739</t>
  </si>
  <si>
    <t>25665877</t>
  </si>
  <si>
    <t>65924603</t>
  </si>
  <si>
    <t>DEQUILLA DEES</t>
  </si>
  <si>
    <t>10/12/2012</t>
  </si>
  <si>
    <t>850 432 0167</t>
  </si>
  <si>
    <t>1711   ANDERSON ST</t>
  </si>
  <si>
    <t>CSA325H</t>
  </si>
  <si>
    <t>SABNTCKGS</t>
  </si>
  <si>
    <t>9622</t>
  </si>
  <si>
    <t>06/27/2015</t>
  </si>
  <si>
    <t>-22.00</t>
  </si>
  <si>
    <t>06/24/2015</t>
  </si>
  <si>
    <t>-220.00</t>
  </si>
  <si>
    <t>410.22</t>
  </si>
  <si>
    <t>215.37</t>
  </si>
  <si>
    <t>189.86</t>
  </si>
  <si>
    <t>2012-10-22 00:00:00</t>
  </si>
  <si>
    <t>850 432-0167</t>
  </si>
  <si>
    <t>25667749</t>
  </si>
  <si>
    <t>54995608</t>
  </si>
  <si>
    <t>LARRY STALLWORTH</t>
  </si>
  <si>
    <t>01/30/2015</t>
  </si>
  <si>
    <t>4019  N 8TH AVE</t>
  </si>
  <si>
    <t>SACBDBXGM</t>
  </si>
  <si>
    <t>585477</t>
  </si>
  <si>
    <t>30</t>
  </si>
  <si>
    <t>07/10/2015</t>
  </si>
  <si>
    <t>-346.54</t>
  </si>
  <si>
    <t>-145.00</t>
  </si>
  <si>
    <t>751.34</t>
  </si>
  <si>
    <t>215.68</t>
  </si>
  <si>
    <t>189.12</t>
  </si>
  <si>
    <t>346.54</t>
  </si>
  <si>
    <t>2015-07-14 00:00:00</t>
  </si>
  <si>
    <t>850 572-1727</t>
  </si>
  <si>
    <t>25667753</t>
  </si>
  <si>
    <t>66012619</t>
  </si>
  <si>
    <t>ERIN TROTTER</t>
  </si>
  <si>
    <t>04/09/2015</t>
  </si>
  <si>
    <t>850 276 0968</t>
  </si>
  <si>
    <t>321  E BRAINERD ST</t>
  </si>
  <si>
    <t>0031</t>
  </si>
  <si>
    <t>DCS4M13003715</t>
  </si>
  <si>
    <t>601790</t>
  </si>
  <si>
    <t>-213.88</t>
  </si>
  <si>
    <t>-60.46</t>
  </si>
  <si>
    <t>426.56</t>
  </si>
  <si>
    <t>16.05</t>
  </si>
  <si>
    <t>209.49</t>
  </si>
  <si>
    <t>201.02</t>
  </si>
  <si>
    <t>850 276-0968</t>
  </si>
  <si>
    <t>25667775</t>
  </si>
  <si>
    <t>69296605</t>
  </si>
  <si>
    <t>TASHA GREEN</t>
  </si>
  <si>
    <t>850 525 9199</t>
  </si>
  <si>
    <t>27   ARTHUR LN</t>
  </si>
  <si>
    <t>0083</t>
  </si>
  <si>
    <t>3HW145W3029F7</t>
  </si>
  <si>
    <t>9412</t>
  </si>
  <si>
    <t>70</t>
  </si>
  <si>
    <t>592.37</t>
  </si>
  <si>
    <t>136.96</t>
  </si>
  <si>
    <t>442.08</t>
  </si>
  <si>
    <t>8.34</t>
  </si>
  <si>
    <t>850 525-9199</t>
  </si>
  <si>
    <t>25667782</t>
  </si>
  <si>
    <t>71083507</t>
  </si>
  <si>
    <t>EMILY THOMAS</t>
  </si>
  <si>
    <t>04/11/2015</t>
  </si>
  <si>
    <t>850 760 8665</t>
  </si>
  <si>
    <t>3140   BELLE MEADE DR</t>
  </si>
  <si>
    <t xml:space="preserve">     D</t>
  </si>
  <si>
    <t>0025</t>
  </si>
  <si>
    <t>SABLTKFFM</t>
  </si>
  <si>
    <t>1793477</t>
  </si>
  <si>
    <t>-22.37</t>
  </si>
  <si>
    <t>05/02/2015</t>
  </si>
  <si>
    <t>-84.10</t>
  </si>
  <si>
    <t>237.19</t>
  </si>
  <si>
    <t>88.1</t>
  </si>
  <si>
    <t>144.1</t>
  </si>
  <si>
    <t>850 760-8665</t>
  </si>
  <si>
    <t>UTC</t>
  </si>
  <si>
    <t>NO ACCESS; FENCE</t>
  </si>
  <si>
    <t>25668644</t>
  </si>
  <si>
    <t>4072105</t>
  </si>
  <si>
    <t>FRANKLIN ROBERTS JR</t>
  </si>
  <si>
    <t>08/29/2014</t>
  </si>
  <si>
    <t>850 912 8101</t>
  </si>
  <si>
    <t xml:space="preserve">    H5</t>
  </si>
  <si>
    <t>266029784</t>
  </si>
  <si>
    <t>493307</t>
  </si>
  <si>
    <t>07/09/2015</t>
  </si>
  <si>
    <t>-96.64</t>
  </si>
  <si>
    <t>-188.44</t>
  </si>
  <si>
    <t>432.3</t>
  </si>
  <si>
    <t>281.12</t>
  </si>
  <si>
    <t>54.54</t>
  </si>
  <si>
    <t>96.64</t>
  </si>
  <si>
    <t>2015-07-15 00:00:00</t>
  </si>
  <si>
    <t>850 912-8101</t>
  </si>
  <si>
    <t>850 417-4035</t>
  </si>
  <si>
    <t>25668686</t>
  </si>
  <si>
    <t>12265104</t>
  </si>
  <si>
    <t>Heather Hall</t>
  </si>
  <si>
    <t>4902   CHANEY ST</t>
  </si>
  <si>
    <t xml:space="preserve">     A</t>
  </si>
  <si>
    <t>0081</t>
  </si>
  <si>
    <t>DUBW65P</t>
  </si>
  <si>
    <t>D6A3R44001166</t>
  </si>
  <si>
    <t>16</t>
  </si>
  <si>
    <t>47.76</t>
  </si>
  <si>
    <t>16.49</t>
  </si>
  <si>
    <t>11.5</t>
  </si>
  <si>
    <t>7.51</t>
  </si>
  <si>
    <t>7.27</t>
  </si>
  <si>
    <t>850 293-2921</t>
  </si>
  <si>
    <t>25668753</t>
  </si>
  <si>
    <t>66003003</t>
  </si>
  <si>
    <t>DEBRA CARROLL</t>
  </si>
  <si>
    <t>09/27/2003</t>
  </si>
  <si>
    <t>850 432 3207</t>
  </si>
  <si>
    <t>1404  E BOBE ST</t>
  </si>
  <si>
    <t>[214439474]</t>
  </si>
  <si>
    <t>X592373</t>
  </si>
  <si>
    <t>27</t>
  </si>
  <si>
    <t>-70.86</t>
  </si>
  <si>
    <t>-65.38</t>
  </si>
  <si>
    <t>03/11/2015</t>
  </si>
  <si>
    <t>-77.17</t>
  </si>
  <si>
    <t>225.56</t>
  </si>
  <si>
    <t>79.85</t>
  </si>
  <si>
    <t>74.85</t>
  </si>
  <si>
    <t>70.86</t>
  </si>
  <si>
    <t>850 432-3207</t>
  </si>
  <si>
    <t>25668777</t>
  </si>
  <si>
    <t>68359004</t>
  </si>
  <si>
    <t>JOSEPH CRENSHAW</t>
  </si>
  <si>
    <t>11/12/2014</t>
  </si>
  <si>
    <t>850 497 5033</t>
  </si>
  <si>
    <t>504  E LLOYD ST</t>
  </si>
  <si>
    <t>SACBJRDCV</t>
  </si>
  <si>
    <t>629406</t>
  </si>
  <si>
    <t>05/06/2015</t>
  </si>
  <si>
    <t>-70.00</t>
  </si>
  <si>
    <t>107.52</t>
  </si>
  <si>
    <t>75.26</t>
  </si>
  <si>
    <t>27.27</t>
  </si>
  <si>
    <t>850 497-5033</t>
  </si>
  <si>
    <t>25668794</t>
  </si>
  <si>
    <t>71086518</t>
  </si>
  <si>
    <t>ASHLEY COOK</t>
  </si>
  <si>
    <t>11/13/2010</t>
  </si>
  <si>
    <t>850 637 1875</t>
  </si>
  <si>
    <t xml:space="preserve">  201A</t>
  </si>
  <si>
    <t>DAR40P2</t>
  </si>
  <si>
    <t>56SBMK36K009318</t>
  </si>
  <si>
    <t>1084459</t>
  </si>
  <si>
    <t>R445437</t>
  </si>
  <si>
    <t>-151.33</t>
  </si>
  <si>
    <t>-137.88</t>
  </si>
  <si>
    <t>242.71</t>
  </si>
  <si>
    <t>149.39</t>
  </si>
  <si>
    <t>88.33</t>
  </si>
  <si>
    <t>850 637-1875</t>
  </si>
  <si>
    <t>850 982-4394</t>
  </si>
  <si>
    <t>25672273</t>
  </si>
  <si>
    <t>4081111</t>
  </si>
  <si>
    <t>SHARETA BOATMAN</t>
  </si>
  <si>
    <t>03/19/2015</t>
  </si>
  <si>
    <t>850 542 6138</t>
  </si>
  <si>
    <t xml:space="preserve">    R4</t>
  </si>
  <si>
    <t>SABKFJCJQ</t>
  </si>
  <si>
    <t>1035993</t>
  </si>
  <si>
    <t>19</t>
  </si>
  <si>
    <t>07/20/2015</t>
  </si>
  <si>
    <t>-355.54</t>
  </si>
  <si>
    <t>-170.47</t>
  </si>
  <si>
    <t>06/25/2015</t>
  </si>
  <si>
    <t>653.75</t>
  </si>
  <si>
    <t>56.49</t>
  </si>
  <si>
    <t>241.72</t>
  </si>
  <si>
    <t>355.54</t>
  </si>
  <si>
    <t>2015-07-22 00:00:00</t>
  </si>
  <si>
    <t>850 542-6138</t>
  </si>
  <si>
    <t>25672375</t>
  </si>
  <si>
    <t>15279502</t>
  </si>
  <si>
    <t>HEATHER DUFFY</t>
  </si>
  <si>
    <t>05/10/2014</t>
  </si>
  <si>
    <t>850 501 9829</t>
  </si>
  <si>
    <t>7220  N PALAFOX ST</t>
  </si>
  <si>
    <t xml:space="preserve">  5004</t>
  </si>
  <si>
    <t>SACBMFJMR</t>
  </si>
  <si>
    <t>387922</t>
  </si>
  <si>
    <t>07/13/2015</t>
  </si>
  <si>
    <t>-190.44</t>
  </si>
  <si>
    <t>04/13/2015</t>
  </si>
  <si>
    <t>-85.00</t>
  </si>
  <si>
    <t>463.37</t>
  </si>
  <si>
    <t>227.61</t>
  </si>
  <si>
    <t>45.32</t>
  </si>
  <si>
    <t>190.44</t>
  </si>
  <si>
    <t>2015-07-16 00:00:00</t>
  </si>
  <si>
    <t>850 501-9829</t>
  </si>
  <si>
    <t>25672411</t>
  </si>
  <si>
    <t>21726503</t>
  </si>
  <si>
    <t>TERRI LESLEY</t>
  </si>
  <si>
    <t>10/11/2013</t>
  </si>
  <si>
    <t>850 456 2061</t>
  </si>
  <si>
    <t>6141   LEESWAY BLVD</t>
  </si>
  <si>
    <t>0011</t>
  </si>
  <si>
    <t>DSA3925</t>
  </si>
  <si>
    <t>262586840</t>
  </si>
  <si>
    <t>X574856</t>
  </si>
  <si>
    <t>07/29/2015</t>
  </si>
  <si>
    <t>07/18/2015</t>
  </si>
  <si>
    <t>-185.83</t>
  </si>
  <si>
    <t>209.89</t>
  </si>
  <si>
    <t>165.91</t>
  </si>
  <si>
    <t>38.99</t>
  </si>
  <si>
    <t>850 456-2061</t>
  </si>
  <si>
    <t>25672421</t>
  </si>
  <si>
    <t>41150409</t>
  </si>
  <si>
    <t>TRUONG TRAN</t>
  </si>
  <si>
    <t>10/17/2014</t>
  </si>
  <si>
    <t>619 214 7884</t>
  </si>
  <si>
    <t>751   BOXWOOD DR</t>
  </si>
  <si>
    <t>RGI6141</t>
  </si>
  <si>
    <t>[374781416904138610020022]</t>
  </si>
  <si>
    <t>853674</t>
  </si>
  <si>
    <t>-106.66</t>
  </si>
  <si>
    <t>-59.99</t>
  </si>
  <si>
    <t>03/31/2015</t>
  </si>
  <si>
    <t>208.96</t>
  </si>
  <si>
    <t>103.98</t>
  </si>
  <si>
    <t>99.99</t>
  </si>
  <si>
    <t>619 214-7884</t>
  </si>
  <si>
    <t>25672436</t>
  </si>
  <si>
    <t>55591213</t>
  </si>
  <si>
    <t>ESTHER GONZALEZ</t>
  </si>
  <si>
    <t>10/11/2014</t>
  </si>
  <si>
    <t>600   SCENIC HWY</t>
  </si>
  <si>
    <t xml:space="preserve">   216</t>
  </si>
  <si>
    <t>493108</t>
  </si>
  <si>
    <t>-55.61</t>
  </si>
  <si>
    <t>03/28/2015</t>
  </si>
  <si>
    <t>-63.15</t>
  </si>
  <si>
    <t>180.21</t>
  </si>
  <si>
    <t>119.61</t>
  </si>
  <si>
    <t>55.61</t>
  </si>
  <si>
    <t>850 291-0969</t>
  </si>
  <si>
    <t>25672455</t>
  </si>
  <si>
    <t>66680125</t>
  </si>
  <si>
    <t>JOVAUGHN ROMERO</t>
  </si>
  <si>
    <t>12/10/2014</t>
  </si>
  <si>
    <t>850 723 6003</t>
  </si>
  <si>
    <t>711   UNDERWOOD AVE</t>
  </si>
  <si>
    <t xml:space="preserve">  403B</t>
  </si>
  <si>
    <t>RGI6580</t>
  </si>
  <si>
    <t>[395879501037367901013006]</t>
  </si>
  <si>
    <t>692655</t>
  </si>
  <si>
    <t>692659</t>
  </si>
  <si>
    <t>06/28/2015</t>
  </si>
  <si>
    <t>-66.10</t>
  </si>
  <si>
    <t>-96.00</t>
  </si>
  <si>
    <t>-204.48</t>
  </si>
  <si>
    <t>200</t>
  </si>
  <si>
    <t>100</t>
  </si>
  <si>
    <t>95.01</t>
  </si>
  <si>
    <t>850 723-6003</t>
  </si>
  <si>
    <t>25672460</t>
  </si>
  <si>
    <t>67133412</t>
  </si>
  <si>
    <t>MORGAN MARSHALL</t>
  </si>
  <si>
    <t>01/25/2015</t>
  </si>
  <si>
    <t>850 417 5643</t>
  </si>
  <si>
    <t>7100   CALUMET CT</t>
  </si>
  <si>
    <t>SABWNRFKD</t>
  </si>
  <si>
    <t>492656</t>
  </si>
  <si>
    <t>25</t>
  </si>
  <si>
    <t>-100.36</t>
  </si>
  <si>
    <t>-311.12</t>
  </si>
  <si>
    <t>777.86</t>
  </si>
  <si>
    <t>275.16</t>
  </si>
  <si>
    <t>191.58</t>
  </si>
  <si>
    <t>100.36</t>
  </si>
  <si>
    <t>210.76</t>
  </si>
  <si>
    <t>850 417-5643</t>
  </si>
  <si>
    <t>25672462</t>
  </si>
  <si>
    <t>67235013</t>
  </si>
  <si>
    <t>James C Owens</t>
  </si>
  <si>
    <t>850 530 0953</t>
  </si>
  <si>
    <t>1926   CREIGHTON RD</t>
  </si>
  <si>
    <t xml:space="preserve">     C</t>
  </si>
  <si>
    <t>DSA392N</t>
  </si>
  <si>
    <t>237015912</t>
  </si>
  <si>
    <t>866105</t>
  </si>
  <si>
    <t>330.24</t>
  </si>
  <si>
    <t>180.26</t>
  </si>
  <si>
    <t>144.99</t>
  </si>
  <si>
    <t>850 530-0953</t>
  </si>
  <si>
    <t>25672497</t>
  </si>
  <si>
    <t>71067309</t>
  </si>
  <si>
    <t>KRISCHANDA BARRON</t>
  </si>
  <si>
    <t>08/22/2013</t>
  </si>
  <si>
    <t>850 316 1850</t>
  </si>
  <si>
    <t>3155   BELLE MEADE DR</t>
  </si>
  <si>
    <t>DDL0615</t>
  </si>
  <si>
    <t>[QBAJ1D4007000]</t>
  </si>
  <si>
    <t>405576</t>
  </si>
  <si>
    <t>07/11/2015</t>
  </si>
  <si>
    <t>-247.52</t>
  </si>
  <si>
    <t>06/02/2015</t>
  </si>
  <si>
    <t>-159.29</t>
  </si>
  <si>
    <t>04/29/2015</t>
  </si>
  <si>
    <t>-159.23</t>
  </si>
  <si>
    <t>321.08</t>
  </si>
  <si>
    <t>159.25</t>
  </si>
  <si>
    <t>156.84</t>
  </si>
  <si>
    <t>850 316-1850</t>
  </si>
  <si>
    <t>25656392</t>
  </si>
  <si>
    <t>1143605</t>
  </si>
  <si>
    <t>SHAMARIA WILLIAMS</t>
  </si>
  <si>
    <t>03/07/2015</t>
  </si>
  <si>
    <t>850 346 3893</t>
  </si>
  <si>
    <t>202  E LAKEVIEW AVE</t>
  </si>
  <si>
    <t>D9N4M13004087</t>
  </si>
  <si>
    <t>2046601</t>
  </si>
  <si>
    <t>-231.01</t>
  </si>
  <si>
    <t>-207.49</t>
  </si>
  <si>
    <t>-53.84</t>
  </si>
  <si>
    <t>428.14</t>
  </si>
  <si>
    <t>207.15</t>
  </si>
  <si>
    <t>216</t>
  </si>
  <si>
    <t>850 346-3893</t>
  </si>
  <si>
    <t>25659693</t>
  </si>
  <si>
    <t>69070309</t>
  </si>
  <si>
    <t>JAMES A BATES</t>
  </si>
  <si>
    <t>11/02/2011</t>
  </si>
  <si>
    <t>631 456 0953</t>
  </si>
  <si>
    <t>1705  N 8TH AVE</t>
  </si>
  <si>
    <t>DCS4M13003609</t>
  </si>
  <si>
    <t>337941</t>
  </si>
  <si>
    <t>05/11/2015</t>
  </si>
  <si>
    <t>-280.04</t>
  </si>
  <si>
    <t>04/25/2015</t>
  </si>
  <si>
    <t>-160.85</t>
  </si>
  <si>
    <t>-184.97</t>
  </si>
  <si>
    <t>821.25</t>
  </si>
  <si>
    <t>225.8</t>
  </si>
  <si>
    <t>317.57</t>
  </si>
  <si>
    <t>277.88</t>
  </si>
  <si>
    <t>2013-01-22 00:00:00</t>
  </si>
  <si>
    <t>631 456-0953</t>
  </si>
  <si>
    <t>25659705</t>
  </si>
  <si>
    <t>71605811</t>
  </si>
  <si>
    <t>ABIGAIL EAVES</t>
  </si>
  <si>
    <t>850 483 9578</t>
  </si>
  <si>
    <t>6122   THE OAKS LN</t>
  </si>
  <si>
    <t>SABNXHGZK</t>
  </si>
  <si>
    <t>917715</t>
  </si>
  <si>
    <t>587.56</t>
  </si>
  <si>
    <t>125</t>
  </si>
  <si>
    <t>185.93</t>
  </si>
  <si>
    <t>225.82</t>
  </si>
  <si>
    <t>175.81</t>
  </si>
  <si>
    <t>850 483-9578</t>
  </si>
  <si>
    <t>25667731</t>
  </si>
  <si>
    <t>25667734</t>
  </si>
  <si>
    <t>25667745</t>
  </si>
  <si>
    <t>50875412</t>
  </si>
  <si>
    <t>tiffany mason</t>
  </si>
  <si>
    <t>08/21/2014</t>
  </si>
  <si>
    <t>850 208 1219</t>
  </si>
  <si>
    <t>2275   SCENIC HWY</t>
  </si>
  <si>
    <t xml:space="preserve">   212</t>
  </si>
  <si>
    <t>262237330</t>
  </si>
  <si>
    <t>576839</t>
  </si>
  <si>
    <t>21</t>
  </si>
  <si>
    <t>05/16/2015</t>
  </si>
  <si>
    <t>-75.00</t>
  </si>
  <si>
    <t>04/06/2015</t>
  </si>
  <si>
    <t>1244.22</t>
  </si>
  <si>
    <t>859.9</t>
  </si>
  <si>
    <t>174.49</t>
  </si>
  <si>
    <t>198.56</t>
  </si>
  <si>
    <t>11.27</t>
  </si>
  <si>
    <t>850 208-1219</t>
  </si>
  <si>
    <t>25667767</t>
  </si>
  <si>
    <t>67533315</t>
  </si>
  <si>
    <t>ADRIAN HARDAWAY</t>
  </si>
  <si>
    <t>10/19/2014</t>
  </si>
  <si>
    <t>850 293 7697</t>
  </si>
  <si>
    <t>3921   ELMCREST DR</t>
  </si>
  <si>
    <t>DAH4M13001153</t>
  </si>
  <si>
    <t>1056182</t>
  </si>
  <si>
    <t>-235.58</t>
  </si>
  <si>
    <t>-237.00</t>
  </si>
  <si>
    <t>02/22/2015</t>
  </si>
  <si>
    <t>-389.34</t>
  </si>
  <si>
    <t>1938.6</t>
  </si>
  <si>
    <t>1274.6</t>
  </si>
  <si>
    <t>232.45</t>
  </si>
  <si>
    <t>258.35</t>
  </si>
  <si>
    <t>168.21</t>
  </si>
  <si>
    <t>2015-05-04 00:00:00</t>
  </si>
  <si>
    <t>850 293-7697</t>
  </si>
  <si>
    <t>25667789</t>
  </si>
  <si>
    <t>72094614</t>
  </si>
  <si>
    <t>MARIAH DURANT</t>
  </si>
  <si>
    <t>850 450 6138</t>
  </si>
  <si>
    <t>6818   TIKI LN</t>
  </si>
  <si>
    <t xml:space="preserve">     1</t>
  </si>
  <si>
    <t>1060942</t>
  </si>
  <si>
    <t>-204.53</t>
  </si>
  <si>
    <t>02/28/2015</t>
  </si>
  <si>
    <t>496.44</t>
  </si>
  <si>
    <t>48.73</t>
  </si>
  <si>
    <t>329.63</t>
  </si>
  <si>
    <t>39.78</t>
  </si>
  <si>
    <t>78.3</t>
  </si>
  <si>
    <t>850 450-6138</t>
  </si>
  <si>
    <t>25668645</t>
  </si>
  <si>
    <t>25672417</t>
  </si>
  <si>
    <t>34756715</t>
  </si>
  <si>
    <t>Christina Steele</t>
  </si>
  <si>
    <t>11/24/2014</t>
  </si>
  <si>
    <t>850 261 6492</t>
  </si>
  <si>
    <t>103   PACIFIC ST</t>
  </si>
  <si>
    <t>D6C4M13002632</t>
  </si>
  <si>
    <t>852195</t>
  </si>
  <si>
    <t>24</t>
  </si>
  <si>
    <t>-202.58</t>
  </si>
  <si>
    <t>03/01/2015</t>
  </si>
  <si>
    <t>01/31/2015</t>
  </si>
  <si>
    <t>-208.75</t>
  </si>
  <si>
    <t>1169.69</t>
  </si>
  <si>
    <t>54.74</t>
  </si>
  <si>
    <t>756.83</t>
  </si>
  <si>
    <t>235.1</t>
  </si>
  <si>
    <t>123.02</t>
  </si>
  <si>
    <t>850 261-6492</t>
  </si>
  <si>
    <t>25672435</t>
  </si>
  <si>
    <t>25672448</t>
  </si>
  <si>
    <t>25672470</t>
  </si>
  <si>
    <t>67806303</t>
  </si>
  <si>
    <t>VALERIE KENDRICK</t>
  </si>
  <si>
    <t>06/23/2014</t>
  </si>
  <si>
    <t>850 602 3314</t>
  </si>
  <si>
    <t>2504  N DAVIS HWY</t>
  </si>
  <si>
    <t>[236733206]</t>
  </si>
  <si>
    <t>879751</t>
  </si>
  <si>
    <t>04/08/2015</t>
  </si>
  <si>
    <t>-117.17</t>
  </si>
  <si>
    <t>03/02/2015</t>
  </si>
  <si>
    <t>-56.98</t>
  </si>
  <si>
    <t>02/06/2015</t>
  </si>
  <si>
    <t>-48.98</t>
  </si>
  <si>
    <t>709.7</t>
  </si>
  <si>
    <t>26.05</t>
  </si>
  <si>
    <t>515.13</t>
  </si>
  <si>
    <t>90.12</t>
  </si>
  <si>
    <t>59.99</t>
  </si>
  <si>
    <t>18.41</t>
  </si>
  <si>
    <t>850 602-3314</t>
  </si>
  <si>
    <t>25656389</t>
  </si>
  <si>
    <t>860305</t>
  </si>
  <si>
    <t>RANDY GARCIA</t>
  </si>
  <si>
    <t>12/05/2014</t>
  </si>
  <si>
    <t>803 627 4649</t>
  </si>
  <si>
    <t>2024  N ROBERTS CIR</t>
  </si>
  <si>
    <t>0098</t>
  </si>
  <si>
    <t>SABQWWSRK</t>
  </si>
  <si>
    <t>743761</t>
  </si>
  <si>
    <t>31702</t>
  </si>
  <si>
    <t>06/11/2015</t>
  </si>
  <si>
    <t>-141.63</t>
  </si>
  <si>
    <t>05/08/2015</t>
  </si>
  <si>
    <t>-153.22</t>
  </si>
  <si>
    <t>-137.58</t>
  </si>
  <si>
    <t>304.64</t>
  </si>
  <si>
    <t>152.55</t>
  </si>
  <si>
    <t>147.1</t>
  </si>
  <si>
    <t>803 627-4649</t>
  </si>
  <si>
    <t>Cecil</t>
  </si>
  <si>
    <t>25656397</t>
  </si>
  <si>
    <t>1803310</t>
  </si>
  <si>
    <t>MATTHEW COLEMAN</t>
  </si>
  <si>
    <t>251 424 0596</t>
  </si>
  <si>
    <t>3308   PINE FOREST RD</t>
  </si>
  <si>
    <t>0073</t>
  </si>
  <si>
    <t>DCS4M13004139</t>
  </si>
  <si>
    <t>2046294</t>
  </si>
  <si>
    <t>-205.99</t>
  </si>
  <si>
    <t>06/26/2015</t>
  </si>
  <si>
    <t>-206.00</t>
  </si>
  <si>
    <t>1191.9</t>
  </si>
  <si>
    <t>299.64</t>
  </si>
  <si>
    <t>256.14</t>
  </si>
  <si>
    <t>250.6</t>
  </si>
  <si>
    <t>385.52</t>
  </si>
  <si>
    <t>2015-07-24 00:00:00</t>
  </si>
  <si>
    <t>251 424-0596</t>
  </si>
  <si>
    <t>25656403</t>
  </si>
  <si>
    <t>2917306</t>
  </si>
  <si>
    <t>Damon Beatty</t>
  </si>
  <si>
    <t>850 490 1500</t>
  </si>
  <si>
    <t>1516   MUIRFIELD RD</t>
  </si>
  <si>
    <t>DC54M13007737</t>
  </si>
  <si>
    <t>543565</t>
  </si>
  <si>
    <t>-174.87</t>
  </si>
  <si>
    <t>421.54</t>
  </si>
  <si>
    <t>220.85</t>
  </si>
  <si>
    <t>195.7</t>
  </si>
  <si>
    <t>850 490-1500</t>
  </si>
  <si>
    <t>25656469</t>
  </si>
  <si>
    <t>12415202</t>
  </si>
  <si>
    <t>SHAMIR POSEY</t>
  </si>
  <si>
    <t>850 712 3224</t>
  </si>
  <si>
    <t>211   COHASSET CT</t>
  </si>
  <si>
    <t>0150</t>
  </si>
  <si>
    <t>GSH8642</t>
  </si>
  <si>
    <t>SACBXBTGJ</t>
  </si>
  <si>
    <t>791892</t>
  </si>
  <si>
    <t>447.04</t>
  </si>
  <si>
    <t>115.03</t>
  </si>
  <si>
    <t>327.02</t>
  </si>
  <si>
    <t>850 712-3224</t>
  </si>
  <si>
    <t>25656525</t>
  </si>
  <si>
    <t>45369614</t>
  </si>
  <si>
    <t>ROY WHITE</t>
  </si>
  <si>
    <t>850 516 2722</t>
  </si>
  <si>
    <t>4664   GENEVA DR</t>
  </si>
  <si>
    <t>0061</t>
  </si>
  <si>
    <t>260107639</t>
  </si>
  <si>
    <t>2037506</t>
  </si>
  <si>
    <t>-115.14</t>
  </si>
  <si>
    <t>-83.71</t>
  </si>
  <si>
    <t>01/09/2015</t>
  </si>
  <si>
    <t>-46.49</t>
  </si>
  <si>
    <t>150.38</t>
  </si>
  <si>
    <t>86</t>
  </si>
  <si>
    <t>59.39</t>
  </si>
  <si>
    <t>850 516-2722</t>
  </si>
  <si>
    <t>25656546</t>
  </si>
  <si>
    <t>66823723</t>
  </si>
  <si>
    <t>AKINO JACKSON</t>
  </si>
  <si>
    <t>850 450 3820</t>
  </si>
  <si>
    <t>7138   PEARSON RD</t>
  </si>
  <si>
    <t>SABTPMGVX</t>
  </si>
  <si>
    <t>834902</t>
  </si>
  <si>
    <t>-114.13</t>
  </si>
  <si>
    <t>05/04/2015</t>
  </si>
  <si>
    <t>-136.04</t>
  </si>
  <si>
    <t>241.54</t>
  </si>
  <si>
    <t>120.27</t>
  </si>
  <si>
    <t>116.28</t>
  </si>
  <si>
    <t>850 450-3820</t>
  </si>
  <si>
    <t>25656559</t>
  </si>
  <si>
    <t>68381816</t>
  </si>
  <si>
    <t>TIRRELL WILSON</t>
  </si>
  <si>
    <t>850 390 3442</t>
  </si>
  <si>
    <t>8631   MATCH ST</t>
  </si>
  <si>
    <t>0103</t>
  </si>
  <si>
    <t>RGI0901</t>
  </si>
  <si>
    <t>[301369100300722305020001]</t>
  </si>
  <si>
    <t>720818</t>
  </si>
  <si>
    <t>-25.35</t>
  </si>
  <si>
    <t>120.9</t>
  </si>
  <si>
    <t>45.03</t>
  </si>
  <si>
    <t>70.88</t>
  </si>
  <si>
    <t>850 390-3442</t>
  </si>
  <si>
    <t>850 375-9299</t>
  </si>
  <si>
    <t>25656563</t>
  </si>
  <si>
    <t>68641606</t>
  </si>
  <si>
    <t>VERNADINE NEWSON-GORDON</t>
  </si>
  <si>
    <t>08/09/2011</t>
  </si>
  <si>
    <t>850 910 0017</t>
  </si>
  <si>
    <t>1204   RULE ST</t>
  </si>
  <si>
    <t>0097</t>
  </si>
  <si>
    <t>[0HYTSX1PZ666]</t>
  </si>
  <si>
    <t>R027773</t>
  </si>
  <si>
    <t>07/05/2015</t>
  </si>
  <si>
    <t>-122.44</t>
  </si>
  <si>
    <t>-206.36</t>
  </si>
  <si>
    <t>334.53</t>
  </si>
  <si>
    <t>201.2</t>
  </si>
  <si>
    <t>128.34</t>
  </si>
  <si>
    <t>2014-12-10 00:00:00</t>
  </si>
  <si>
    <t>850 910-0017</t>
  </si>
  <si>
    <t>25656572</t>
  </si>
  <si>
    <t>69703509</t>
  </si>
  <si>
    <t>CANDICE LEWIS</t>
  </si>
  <si>
    <t>09/06/2013</t>
  </si>
  <si>
    <t>850 324 5392</t>
  </si>
  <si>
    <t>2871   GODWIN LN</t>
  </si>
  <si>
    <t>0067</t>
  </si>
  <si>
    <t>[235581600]</t>
  </si>
  <si>
    <t>529710</t>
  </si>
  <si>
    <t>-175.00</t>
  </si>
  <si>
    <t>-170.11</t>
  </si>
  <si>
    <t>04/03/2015</t>
  </si>
  <si>
    <t>-353.19</t>
  </si>
  <si>
    <t>352.3</t>
  </si>
  <si>
    <t>174.11</t>
  </si>
  <si>
    <t>173.2</t>
  </si>
  <si>
    <t>2014-12-17 00:00:00</t>
  </si>
  <si>
    <t>850 324-5392</t>
  </si>
  <si>
    <t>25656577</t>
  </si>
  <si>
    <t>70873423</t>
  </si>
  <si>
    <t>JAMES SOUTHWORTH</t>
  </si>
  <si>
    <t>08/11/2014</t>
  </si>
  <si>
    <t>850 776 3785</t>
  </si>
  <si>
    <t>9975   UNIVERSITY PKWY</t>
  </si>
  <si>
    <t xml:space="preserve">    11</t>
  </si>
  <si>
    <t>0093</t>
  </si>
  <si>
    <t>RGI5101</t>
  </si>
  <si>
    <t>[OHYTSS65CDT5]</t>
  </si>
  <si>
    <t>813367</t>
  </si>
  <si>
    <t>-159.97</t>
  </si>
  <si>
    <t>-189.97</t>
  </si>
  <si>
    <t>03/04/2015</t>
  </si>
  <si>
    <t>-77.99</t>
  </si>
  <si>
    <t>186.46</t>
  </si>
  <si>
    <t>81.98</t>
  </si>
  <si>
    <t>99.49</t>
  </si>
  <si>
    <t>2015-03-09 00:00:00</t>
  </si>
  <si>
    <t>850 776-3785</t>
  </si>
  <si>
    <t>25656578</t>
  </si>
  <si>
    <t>70978508</t>
  </si>
  <si>
    <t>OLEG MIROSHNICHENKO</t>
  </si>
  <si>
    <t>850 217 8718</t>
  </si>
  <si>
    <t>3105   FAYAL DR</t>
  </si>
  <si>
    <t>0062</t>
  </si>
  <si>
    <t>4942</t>
  </si>
  <si>
    <t>249593479</t>
  </si>
  <si>
    <t>946463</t>
  </si>
  <si>
    <t>704893</t>
  </si>
  <si>
    <t>105.72</t>
  </si>
  <si>
    <t>46.49</t>
  </si>
  <si>
    <t>54.24</t>
  </si>
  <si>
    <t>850 217-8718</t>
  </si>
  <si>
    <t>25656588</t>
  </si>
  <si>
    <t>71853422</t>
  </si>
  <si>
    <t>JAVANTE SAPP</t>
  </si>
  <si>
    <t>850 607 3726</t>
  </si>
  <si>
    <t>7806   OAK FOREST DR</t>
  </si>
  <si>
    <t>0091</t>
  </si>
  <si>
    <t>SABKBZFNV</t>
  </si>
  <si>
    <t>407649</t>
  </si>
  <si>
    <t>06/18/2015</t>
  </si>
  <si>
    <t>-6.99</t>
  </si>
  <si>
    <t>-151.07</t>
  </si>
  <si>
    <t>871.94</t>
  </si>
  <si>
    <t>269.36</t>
  </si>
  <si>
    <t>597.59</t>
  </si>
  <si>
    <t>850 607-3726</t>
  </si>
  <si>
    <t>25656593</t>
  </si>
  <si>
    <t>72738924</t>
  </si>
  <si>
    <t>SHERRI TALBERT</t>
  </si>
  <si>
    <t>414 306 2252</t>
  </si>
  <si>
    <t>1878  E NINE MILE RD</t>
  </si>
  <si>
    <t xml:space="preserve">  1406</t>
  </si>
  <si>
    <t>D7U4D31006463</t>
  </si>
  <si>
    <t>963416</t>
  </si>
  <si>
    <t>-143.17</t>
  </si>
  <si>
    <t>05/24/2015</t>
  </si>
  <si>
    <t>-116.68</t>
  </si>
  <si>
    <t>273.85</t>
  </si>
  <si>
    <t>138.17</t>
  </si>
  <si>
    <t>130.69</t>
  </si>
  <si>
    <t>414 306-2252</t>
  </si>
  <si>
    <t>25659530</t>
  </si>
  <si>
    <t>476815</t>
  </si>
  <si>
    <t>DERRICK CARTER</t>
  </si>
  <si>
    <t>06/06/2014</t>
  </si>
  <si>
    <t>850 454 4469</t>
  </si>
  <si>
    <t>1110  W BELMONT ST</t>
  </si>
  <si>
    <t>0114</t>
  </si>
  <si>
    <t>5354</t>
  </si>
  <si>
    <t>SABMJRWCH</t>
  </si>
  <si>
    <t>477647</t>
  </si>
  <si>
    <t>-88.77</t>
  </si>
  <si>
    <t>04/04/2015</t>
  </si>
  <si>
    <t>194.59</t>
  </si>
  <si>
    <t>13.05</t>
  </si>
  <si>
    <t>92.77</t>
  </si>
  <si>
    <t>88.77</t>
  </si>
  <si>
    <t>850 454-4469</t>
  </si>
  <si>
    <t>25659548</t>
  </si>
  <si>
    <t>2563407</t>
  </si>
  <si>
    <t>Kenny Hart</t>
  </si>
  <si>
    <t>12/08/2014</t>
  </si>
  <si>
    <t>1001   GONZALEZ PARK DR</t>
  </si>
  <si>
    <t>0076</t>
  </si>
  <si>
    <t>[379781426002040707020006]</t>
  </si>
  <si>
    <t>856691</t>
  </si>
  <si>
    <t>8</t>
  </si>
  <si>
    <t>-144.19</t>
  </si>
  <si>
    <t>-152.49</t>
  </si>
  <si>
    <t>-269.69</t>
  </si>
  <si>
    <t>489.75</t>
  </si>
  <si>
    <t>23.99</t>
  </si>
  <si>
    <t>206.37</t>
  </si>
  <si>
    <t>259.39</t>
  </si>
  <si>
    <t>850 529-3402</t>
  </si>
  <si>
    <t>25659582</t>
  </si>
  <si>
    <t>9502904</t>
  </si>
  <si>
    <t>KRISTY POGUE-MIDDLETON</t>
  </si>
  <si>
    <t>10/08/2013</t>
  </si>
  <si>
    <t>850 261 7759</t>
  </si>
  <si>
    <t>7111  N BLUE ANGEL PKWY</t>
  </si>
  <si>
    <t xml:space="preserve">  6306</t>
  </si>
  <si>
    <t>0068</t>
  </si>
  <si>
    <t>385130</t>
  </si>
  <si>
    <t>-219.76</t>
  </si>
  <si>
    <t>-215.77</t>
  </si>
  <si>
    <t>-233.64</t>
  </si>
  <si>
    <t>395.53</t>
  </si>
  <si>
    <t>188.98</t>
  </si>
  <si>
    <t>201.56</t>
  </si>
  <si>
    <t>850 261-7759</t>
  </si>
  <si>
    <t>WRONG TAG LISTED; UNABLE TO TONE</t>
  </si>
  <si>
    <t>25659613</t>
  </si>
  <si>
    <t>14242503</t>
  </si>
  <si>
    <t>RON CHAPMAN</t>
  </si>
  <si>
    <t>05/03/2010</t>
  </si>
  <si>
    <t>1810  W CERVANTES ST</t>
  </si>
  <si>
    <t xml:space="preserve">   106</t>
  </si>
  <si>
    <t>[0HYTV15YBBN8]</t>
  </si>
  <si>
    <t>K190413</t>
  </si>
  <si>
    <t>-139.87</t>
  </si>
  <si>
    <t>-250.00</t>
  </si>
  <si>
    <t>03/29/2015</t>
  </si>
  <si>
    <t>-192.94</t>
  </si>
  <si>
    <t>615.13</t>
  </si>
  <si>
    <t>201.93</t>
  </si>
  <si>
    <t>218.41</t>
  </si>
  <si>
    <t>194.79</t>
  </si>
  <si>
    <t>2013-10-25 00:00:00</t>
  </si>
  <si>
    <t>863 608-1569</t>
  </si>
  <si>
    <t>25659682</t>
  </si>
  <si>
    <t>67013610</t>
  </si>
  <si>
    <t>DAVID PARENTE</t>
  </si>
  <si>
    <t>07/08/2014</t>
  </si>
  <si>
    <t>850 324 3863</t>
  </si>
  <si>
    <t>3321   KINGSWOOD CT</t>
  </si>
  <si>
    <t>0008</t>
  </si>
  <si>
    <t>[2DV213UY01BFC]</t>
  </si>
  <si>
    <t>813762</t>
  </si>
  <si>
    <t>-158.08</t>
  </si>
  <si>
    <t>-162.58</t>
  </si>
  <si>
    <t>04/18/2015</t>
  </si>
  <si>
    <t>-202.65</t>
  </si>
  <si>
    <t>341.62</t>
  </si>
  <si>
    <t>156.1</t>
  </si>
  <si>
    <t>180.53</t>
  </si>
  <si>
    <t>850 324-3863</t>
  </si>
  <si>
    <t>25659687</t>
  </si>
  <si>
    <t>67436606</t>
  </si>
  <si>
    <t>NATHAN PERRY</t>
  </si>
  <si>
    <t>09/03/2013</t>
  </si>
  <si>
    <t>850 791 5619</t>
  </si>
  <si>
    <t>8640   JERNIGAN RD</t>
  </si>
  <si>
    <t xml:space="preserve">     3</t>
  </si>
  <si>
    <t>0101</t>
  </si>
  <si>
    <t>604874</t>
  </si>
  <si>
    <t>271.26</t>
  </si>
  <si>
    <t>94.11</t>
  </si>
  <si>
    <t>89.12</t>
  </si>
  <si>
    <t>88.03</t>
  </si>
  <si>
    <t>850 791-5619</t>
  </si>
  <si>
    <t>25659701</t>
  </si>
  <si>
    <t>71118714</t>
  </si>
  <si>
    <t>JAMES PEAK</t>
  </si>
  <si>
    <t>01/07/2015</t>
  </si>
  <si>
    <t>850 449 2908</t>
  </si>
  <si>
    <t>4744   BELLVIEW AVE</t>
  </si>
  <si>
    <t>0066</t>
  </si>
  <si>
    <t>249525579</t>
  </si>
  <si>
    <t>389559</t>
  </si>
  <si>
    <t>-188.10</t>
  </si>
  <si>
    <t>-1.00</t>
  </si>
  <si>
    <t>714.29</t>
  </si>
  <si>
    <t>219.53</t>
  </si>
  <si>
    <t>245.36</t>
  </si>
  <si>
    <t>195.02</t>
  </si>
  <si>
    <t>54.38</t>
  </si>
  <si>
    <t>850 449-2908</t>
  </si>
  <si>
    <t>25662754</t>
  </si>
  <si>
    <t>31865905</t>
  </si>
  <si>
    <t>ALONZO PENDERGRASS</t>
  </si>
  <si>
    <t>02/11/2015</t>
  </si>
  <si>
    <t>443 902 0046</t>
  </si>
  <si>
    <t>7761   CASTLEGATE DR</t>
  </si>
  <si>
    <t>3646</t>
  </si>
  <si>
    <t>267155775</t>
  </si>
  <si>
    <t>864019</t>
  </si>
  <si>
    <t>-97.30</t>
  </si>
  <si>
    <t>-119.85</t>
  </si>
  <si>
    <t>-90.00</t>
  </si>
  <si>
    <t>241.01</t>
  </si>
  <si>
    <t>115.69</t>
  </si>
  <si>
    <t>120.33</t>
  </si>
  <si>
    <t>443 902-0046</t>
  </si>
  <si>
    <t>25662800</t>
  </si>
  <si>
    <t>67654905</t>
  </si>
  <si>
    <t>Betty J Brown</t>
  </si>
  <si>
    <t>01/09/2013</t>
  </si>
  <si>
    <t>850 438 5135</t>
  </si>
  <si>
    <t>801  W DE SOTO ST</t>
  </si>
  <si>
    <t>5253</t>
  </si>
  <si>
    <t>236347068</t>
  </si>
  <si>
    <t>404172</t>
  </si>
  <si>
    <t>-90.98</t>
  </si>
  <si>
    <t>-64.49</t>
  </si>
  <si>
    <t>04/28/2015</t>
  </si>
  <si>
    <t>-60.50</t>
  </si>
  <si>
    <t>178.88</t>
  </si>
  <si>
    <t>85.99</t>
  </si>
  <si>
    <t>87.9</t>
  </si>
  <si>
    <t>2014-01-10 00:00:00</t>
  </si>
  <si>
    <t>850 438-5135</t>
  </si>
  <si>
    <t>25662817</t>
  </si>
  <si>
    <t>69490416</t>
  </si>
  <si>
    <t>Caitlin Marlow</t>
  </si>
  <si>
    <t>501 350 8950</t>
  </si>
  <si>
    <t>1625   REBECCA ST</t>
  </si>
  <si>
    <t>0105</t>
  </si>
  <si>
    <t>236031708</t>
  </si>
  <si>
    <t>751370</t>
  </si>
  <si>
    <t>-61.49</t>
  </si>
  <si>
    <t>05/10/2015</t>
  </si>
  <si>
    <t>-57.50</t>
  </si>
  <si>
    <t>-183.49</t>
  </si>
  <si>
    <t>127.97</t>
  </si>
  <si>
    <t>61.49</t>
  </si>
  <si>
    <t>501 350-8950</t>
  </si>
  <si>
    <t>25662820</t>
  </si>
  <si>
    <t>70886714</t>
  </si>
  <si>
    <t>PAMELA RAVENCROFT</t>
  </si>
  <si>
    <t>04/11/2014</t>
  </si>
  <si>
    <t>850 221 7814</t>
  </si>
  <si>
    <t>224   JEFFERY LN</t>
  </si>
  <si>
    <t>260921734</t>
  </si>
  <si>
    <t>781266</t>
  </si>
  <si>
    <t>-150.00</t>
  </si>
  <si>
    <t>-37.50</t>
  </si>
  <si>
    <t>107.77</t>
  </si>
  <si>
    <t>64.49</t>
  </si>
  <si>
    <t>38.29</t>
  </si>
  <si>
    <t>850 221-7814</t>
  </si>
  <si>
    <t>25662821</t>
  </si>
  <si>
    <t>70888411</t>
  </si>
  <si>
    <t>KANDICE ELLSBERRY</t>
  </si>
  <si>
    <t>03/11/2014</t>
  </si>
  <si>
    <t>7704   KIPLING ST</t>
  </si>
  <si>
    <t>0010</t>
  </si>
  <si>
    <t>261250995</t>
  </si>
  <si>
    <t>810001</t>
  </si>
  <si>
    <t>-195.17</t>
  </si>
  <si>
    <t>-200.10</t>
  </si>
  <si>
    <t>251.19</t>
  </si>
  <si>
    <t>146.2</t>
  </si>
  <si>
    <t>2014-09-15 00:00:00</t>
  </si>
  <si>
    <t>25662844</t>
  </si>
  <si>
    <t>72519513</t>
  </si>
  <si>
    <t>Bryan Wyscaver</t>
  </si>
  <si>
    <t>850 341 3832</t>
  </si>
  <si>
    <t>7333   PINE FOREST RD</t>
  </si>
  <si>
    <t xml:space="preserve">    18</t>
  </si>
  <si>
    <t>3844</t>
  </si>
  <si>
    <t>494629</t>
  </si>
  <si>
    <t>-104.75</t>
  </si>
  <si>
    <t>12/12/2014</t>
  </si>
  <si>
    <t>-53.21</t>
  </si>
  <si>
    <t>-327.50</t>
  </si>
  <si>
    <t>312.39</t>
  </si>
  <si>
    <t>218.28</t>
  </si>
  <si>
    <t>850 341-3832</t>
  </si>
  <si>
    <t>25662845</t>
  </si>
  <si>
    <t>72523810</t>
  </si>
  <si>
    <t>SHERNARD JOHNSON</t>
  </si>
  <si>
    <t>850 356 8247</t>
  </si>
  <si>
    <t xml:space="preserve">    63</t>
  </si>
  <si>
    <t>SABXRPHQS</t>
  </si>
  <si>
    <t>1005065</t>
  </si>
  <si>
    <t>-119.96</t>
  </si>
  <si>
    <t>-100.97</t>
  </si>
  <si>
    <t>274.92</t>
  </si>
  <si>
    <t>129.97</t>
  </si>
  <si>
    <t>139.96</t>
  </si>
  <si>
    <t>850 356-8247</t>
  </si>
  <si>
    <t>25662849</t>
  </si>
  <si>
    <t>72763411</t>
  </si>
  <si>
    <t>RANIA IBRAHIM</t>
  </si>
  <si>
    <t>09/11/2013</t>
  </si>
  <si>
    <t>850 780 6385</t>
  </si>
  <si>
    <t>2981   JUNCTION DR</t>
  </si>
  <si>
    <t xml:space="preserve">    4B</t>
  </si>
  <si>
    <t>0079</t>
  </si>
  <si>
    <t>SACBMFHRQ</t>
  </si>
  <si>
    <t>586210</t>
  </si>
  <si>
    <t>-129.58</t>
  </si>
  <si>
    <t>269.15</t>
  </si>
  <si>
    <t>129.59</t>
  </si>
  <si>
    <t>134.57</t>
  </si>
  <si>
    <t>850 780-6385</t>
  </si>
  <si>
    <t>850 346-3468</t>
  </si>
  <si>
    <t>25662850</t>
  </si>
  <si>
    <t>72770617</t>
  </si>
  <si>
    <t>RAYETTE BEDGOOD</t>
  </si>
  <si>
    <t>3451  N BLUE ANGEL PKWY</t>
  </si>
  <si>
    <t>236688445</t>
  </si>
  <si>
    <t>2017635</t>
  </si>
  <si>
    <t>331.29</t>
  </si>
  <si>
    <t>178.31</t>
  </si>
  <si>
    <t>146.16</t>
  </si>
  <si>
    <t>1.83</t>
  </si>
  <si>
    <t>850 777-4587</t>
  </si>
  <si>
    <t>25665795</t>
  </si>
  <si>
    <t>12580006</t>
  </si>
  <si>
    <t>ANGI WOODARD</t>
  </si>
  <si>
    <t>03/10/2014</t>
  </si>
  <si>
    <t>850 281 1567</t>
  </si>
  <si>
    <t>134   CEVALLOS ST</t>
  </si>
  <si>
    <t>32502</t>
  </si>
  <si>
    <t>0032</t>
  </si>
  <si>
    <t>SABPTBKSK</t>
  </si>
  <si>
    <t>767418</t>
  </si>
  <si>
    <t>06/13/2015</t>
  </si>
  <si>
    <t>-179.32</t>
  </si>
  <si>
    <t>-182.77</t>
  </si>
  <si>
    <t>-207.16</t>
  </si>
  <si>
    <t>377.38</t>
  </si>
  <si>
    <t>10.75</t>
  </si>
  <si>
    <t>179.87</t>
  </si>
  <si>
    <t>186.76</t>
  </si>
  <si>
    <t>850 281-1567</t>
  </si>
  <si>
    <t>25665815</t>
  </si>
  <si>
    <t>14590201</t>
  </si>
  <si>
    <t>CYNTORA ETHERIDGE</t>
  </si>
  <si>
    <t>11/05/2014</t>
  </si>
  <si>
    <t>850 607 8008</t>
  </si>
  <si>
    <t>767   ROSA PARKS CIR</t>
  </si>
  <si>
    <t>0109</t>
  </si>
  <si>
    <t>236351550</t>
  </si>
  <si>
    <t>513052</t>
  </si>
  <si>
    <t>-161.61</t>
  </si>
  <si>
    <t>-57.62</t>
  </si>
  <si>
    <t>05/19/2015</t>
  </si>
  <si>
    <t>349.29</t>
  </si>
  <si>
    <t>183.13</t>
  </si>
  <si>
    <t>161.17</t>
  </si>
  <si>
    <t>2014-11-07 00:00:00</t>
  </si>
  <si>
    <t>850 607-8008</t>
  </si>
  <si>
    <t>850 478-4130</t>
  </si>
  <si>
    <t>25665856</t>
  </si>
  <si>
    <t>49068013</t>
  </si>
  <si>
    <t>EDWARD SULLIVAN</t>
  </si>
  <si>
    <t>8451   OLD SPANISH TRAIL RD</t>
  </si>
  <si>
    <t>0002</t>
  </si>
  <si>
    <t>SABQKKQZX</t>
  </si>
  <si>
    <t>768612</t>
  </si>
  <si>
    <t>559.06</t>
  </si>
  <si>
    <t>83.97</t>
  </si>
  <si>
    <t>470.1</t>
  </si>
  <si>
    <t>25665860</t>
  </si>
  <si>
    <t>50554517</t>
  </si>
  <si>
    <t>ANTOINETTE COTTON</t>
  </si>
  <si>
    <t>01/24/2015</t>
  </si>
  <si>
    <t>850 375 0527</t>
  </si>
  <si>
    <t>2355  W MICHIGAN AVE</t>
  </si>
  <si>
    <t xml:space="preserve">   F16</t>
  </si>
  <si>
    <t>0041</t>
  </si>
  <si>
    <t>DTER715</t>
  </si>
  <si>
    <t>[502510500319]</t>
  </si>
  <si>
    <t>513932</t>
  </si>
  <si>
    <t>535039</t>
  </si>
  <si>
    <t>-161.29</t>
  </si>
  <si>
    <t>05/27/2015</t>
  </si>
  <si>
    <t>04/12/2015</t>
  </si>
  <si>
    <t>-153.61</t>
  </si>
  <si>
    <t>400.57</t>
  </si>
  <si>
    <t>182.8</t>
  </si>
  <si>
    <t>212.78</t>
  </si>
  <si>
    <t>850 375-0527</t>
  </si>
  <si>
    <t>850 485-0458</t>
  </si>
  <si>
    <t>25665863</t>
  </si>
  <si>
    <t>53569021</t>
  </si>
  <si>
    <t>HAELY MOORE</t>
  </si>
  <si>
    <t>501 655 0472</t>
  </si>
  <si>
    <t>7722  N PALAFOX ST</t>
  </si>
  <si>
    <t xml:space="preserve">    B6</t>
  </si>
  <si>
    <t>SABWGGFVZ</t>
  </si>
  <si>
    <t>562656</t>
  </si>
  <si>
    <t>401.3</t>
  </si>
  <si>
    <t>138.42</t>
  </si>
  <si>
    <t>133.43</t>
  </si>
  <si>
    <t>129.45</t>
  </si>
  <si>
    <t>501 655-0472</t>
  </si>
  <si>
    <t>25665891</t>
  </si>
  <si>
    <t>68007612</t>
  </si>
  <si>
    <t>JEWEL AVERY</t>
  </si>
  <si>
    <t>850 760 3956</t>
  </si>
  <si>
    <t>1009  W JACKSON ST</t>
  </si>
  <si>
    <t>5350,5254</t>
  </si>
  <si>
    <t>SABSBMSDB</t>
  </si>
  <si>
    <t>633768</t>
  </si>
  <si>
    <t>706.05</t>
  </si>
  <si>
    <t>198.17</t>
  </si>
  <si>
    <t>322.22</t>
  </si>
  <si>
    <t>185.66</t>
  </si>
  <si>
    <t>850 760-3956</t>
  </si>
  <si>
    <t>25665893</t>
  </si>
  <si>
    <t>68054705</t>
  </si>
  <si>
    <t>BESSI PENA</t>
  </si>
  <si>
    <t>03/05/2014</t>
  </si>
  <si>
    <t>7747   GRAVES RD</t>
  </si>
  <si>
    <t>0009</t>
  </si>
  <si>
    <t>[0HYTSWYS12W2]</t>
  </si>
  <si>
    <t>378031</t>
  </si>
  <si>
    <t>-34.99</t>
  </si>
  <si>
    <t>04/30/2015</t>
  </si>
  <si>
    <t>82.95</t>
  </si>
  <si>
    <t>38.98</t>
  </si>
  <si>
    <t>850 497-4931</t>
  </si>
  <si>
    <t>25665894</t>
  </si>
  <si>
    <t>68175502</t>
  </si>
  <si>
    <t>PRESTON MOBLEY</t>
  </si>
  <si>
    <t>06/02/1997</t>
  </si>
  <si>
    <t>850 429 0183</t>
  </si>
  <si>
    <t>2081  W INTENDENCIA ST</t>
  </si>
  <si>
    <t>0036</t>
  </si>
  <si>
    <t>HS76482</t>
  </si>
  <si>
    <t>03/23/2015</t>
  </si>
  <si>
    <t>276.06</t>
  </si>
  <si>
    <t>96.68</t>
  </si>
  <si>
    <t>87.69</t>
  </si>
  <si>
    <t>850 429-0183</t>
  </si>
  <si>
    <t>25665903</t>
  </si>
  <si>
    <t>71017911</t>
  </si>
  <si>
    <t>BRODERICK HUDSON</t>
  </si>
  <si>
    <t>02/12/2014</t>
  </si>
  <si>
    <t>850 361 5797</t>
  </si>
  <si>
    <t>DN3000P</t>
  </si>
  <si>
    <t>[2DV335U90968C]</t>
  </si>
  <si>
    <t>749417</t>
  </si>
  <si>
    <t>-55.00</t>
  </si>
  <si>
    <t>217.44</t>
  </si>
  <si>
    <t>121.56</t>
  </si>
  <si>
    <t>90.89</t>
  </si>
  <si>
    <t>850 361-5797</t>
  </si>
  <si>
    <t>850 455-3318</t>
  </si>
  <si>
    <t>25665916</t>
  </si>
  <si>
    <t>72717534</t>
  </si>
  <si>
    <t>JERRY PHILLIPS JR.</t>
  </si>
  <si>
    <t>850 346 5292</t>
  </si>
  <si>
    <t>5301  N BLUE ANGEL PKWY</t>
  </si>
  <si>
    <t xml:space="preserve">     7</t>
  </si>
  <si>
    <t>0063</t>
  </si>
  <si>
    <t>E2B4M13003756</t>
  </si>
  <si>
    <t>762873</t>
  </si>
  <si>
    <t>-504.02</t>
  </si>
  <si>
    <t>06/07/2015</t>
  </si>
  <si>
    <t>-110.10</t>
  </si>
  <si>
    <t>762.58</t>
  </si>
  <si>
    <t>236.45</t>
  </si>
  <si>
    <t>499.64</t>
  </si>
  <si>
    <t>850 346-5292</t>
  </si>
  <si>
    <t>25667668</t>
  </si>
  <si>
    <t>138311</t>
  </si>
  <si>
    <t>NATASHA TRAVIS</t>
  </si>
  <si>
    <t>850 542 0235</t>
  </si>
  <si>
    <t>6585   MEMPHIS AVE</t>
  </si>
  <si>
    <t>0065</t>
  </si>
  <si>
    <t>[236010130]</t>
  </si>
  <si>
    <t>406705</t>
  </si>
  <si>
    <t>-313.45</t>
  </si>
  <si>
    <t>-17.46</t>
  </si>
  <si>
    <t>776.79</t>
  </si>
  <si>
    <t>225.28</t>
  </si>
  <si>
    <t>516.52</t>
  </si>
  <si>
    <t>2015-07-20 00:00:00</t>
  </si>
  <si>
    <t>850 542-0235</t>
  </si>
  <si>
    <t>25667680</t>
  </si>
  <si>
    <t>4164101</t>
  </si>
  <si>
    <t>DEBRA M BARKER</t>
  </si>
  <si>
    <t>01/07/1999</t>
  </si>
  <si>
    <t>850 457 7651</t>
  </si>
  <si>
    <t>5680  N BLUE ANGEL PKWY</t>
  </si>
  <si>
    <t>4542</t>
  </si>
  <si>
    <t>CSA325S</t>
  </si>
  <si>
    <t>SABNPBGLG</t>
  </si>
  <si>
    <t>446601</t>
  </si>
  <si>
    <t>-133.86</t>
  </si>
  <si>
    <t>-167.97</t>
  </si>
  <si>
    <t>347.33</t>
  </si>
  <si>
    <t>173.66</t>
  </si>
  <si>
    <t>168.68</t>
  </si>
  <si>
    <t>850 457-7651</t>
  </si>
  <si>
    <t>850 469-5590</t>
  </si>
  <si>
    <t>25667685</t>
  </si>
  <si>
    <t>5175913</t>
  </si>
  <si>
    <t>Doris R Smith</t>
  </si>
  <si>
    <t>04/01/2015</t>
  </si>
  <si>
    <t>662 347 4814</t>
  </si>
  <si>
    <t>8917  N DAVIS HWY</t>
  </si>
  <si>
    <t xml:space="preserve">   145</t>
  </si>
  <si>
    <t>CSA3250</t>
  </si>
  <si>
    <t>SABHGGJLC</t>
  </si>
  <si>
    <t>720897</t>
  </si>
  <si>
    <t>-79.78</t>
  </si>
  <si>
    <t>-175.97</t>
  </si>
  <si>
    <t>-69.88</t>
  </si>
  <si>
    <t>247.53</t>
  </si>
  <si>
    <t>121.07</t>
  </si>
  <si>
    <t>121.47</t>
  </si>
  <si>
    <t>662 347-4814</t>
  </si>
  <si>
    <t>25667703</t>
  </si>
  <si>
    <t>8244910</t>
  </si>
  <si>
    <t>Robert Bradly</t>
  </si>
  <si>
    <t>1916   CREEKSIDE CT</t>
  </si>
  <si>
    <t>0003</t>
  </si>
  <si>
    <t>SABVKVXQN</t>
  </si>
  <si>
    <t>546482</t>
  </si>
  <si>
    <t>06/10/2015</t>
  </si>
  <si>
    <t>184.55</t>
  </si>
  <si>
    <t>83.72</t>
  </si>
  <si>
    <t>95.84</t>
  </si>
  <si>
    <t>813 531-1201</t>
  </si>
  <si>
    <t>25667715</t>
  </si>
  <si>
    <t>13144305</t>
  </si>
  <si>
    <t>JESSICA HWANG</t>
  </si>
  <si>
    <t>11/25/2014</t>
  </si>
  <si>
    <t>850 607 2735</t>
  </si>
  <si>
    <t>8800   PINE FOREST RD</t>
  </si>
  <si>
    <t xml:space="preserve">  2208</t>
  </si>
  <si>
    <t>0092</t>
  </si>
  <si>
    <t>3444</t>
  </si>
  <si>
    <t>SABNXGSWN</t>
  </si>
  <si>
    <t>543554</t>
  </si>
  <si>
    <t>-150.76</t>
  </si>
  <si>
    <t>291.75</t>
  </si>
  <si>
    <t>181.25</t>
  </si>
  <si>
    <t>105.51</t>
  </si>
  <si>
    <t>850 607-2735</t>
  </si>
  <si>
    <t>503 756-2139</t>
  </si>
  <si>
    <t>850 305-3142</t>
  </si>
  <si>
    <t>25667725</t>
  </si>
  <si>
    <t>16320205</t>
  </si>
  <si>
    <t>LONDRIEKA ANDREWS</t>
  </si>
  <si>
    <t>02/14/2015</t>
  </si>
  <si>
    <t>850 898 7217</t>
  </si>
  <si>
    <t>8662   FIGLAND AVE</t>
  </si>
  <si>
    <t>DCP4M13003276</t>
  </si>
  <si>
    <t>379222</t>
  </si>
  <si>
    <t>-372.19</t>
  </si>
  <si>
    <t>-234.10</t>
  </si>
  <si>
    <t>05/13/2015</t>
  </si>
  <si>
    <t>-241.00</t>
  </si>
  <si>
    <t>904.59</t>
  </si>
  <si>
    <t>251.76</t>
  </si>
  <si>
    <t>617.84</t>
  </si>
  <si>
    <t>850 898-7217</t>
  </si>
  <si>
    <t>25667755</t>
  </si>
  <si>
    <t>66475817</t>
  </si>
  <si>
    <t>EVARISTO AGUIAR</t>
  </si>
  <si>
    <t>999 261 4973</t>
  </si>
  <si>
    <t>3751  E OLIVE RD</t>
  </si>
  <si>
    <t xml:space="preserve">     2</t>
  </si>
  <si>
    <t>236721884</t>
  </si>
  <si>
    <t>204815</t>
  </si>
  <si>
    <t>234.66</t>
  </si>
  <si>
    <t>75.6</t>
  </si>
  <si>
    <t>59.56</t>
  </si>
  <si>
    <t>99.5</t>
  </si>
  <si>
    <t>2015-06-01 00:00:00</t>
  </si>
  <si>
    <t>999 261-4973</t>
  </si>
  <si>
    <t>25667771</t>
  </si>
  <si>
    <t>68426619</t>
  </si>
  <si>
    <t>JESSICA GOODWIN</t>
  </si>
  <si>
    <t>850 319 7235</t>
  </si>
  <si>
    <t>271  S N ST</t>
  </si>
  <si>
    <t>QBAJ1D4004624</t>
  </si>
  <si>
    <t>R636969</t>
  </si>
  <si>
    <t>-394.42</t>
  </si>
  <si>
    <t>06/01/2015</t>
  </si>
  <si>
    <t>-170.83</t>
  </si>
  <si>
    <t>-66.66</t>
  </si>
  <si>
    <t>515.28</t>
  </si>
  <si>
    <t>189.85</t>
  </si>
  <si>
    <t>320.44</t>
  </si>
  <si>
    <t>850 319-7235</t>
  </si>
  <si>
    <t>25667790</t>
  </si>
  <si>
    <t>72535108</t>
  </si>
  <si>
    <t>JOSHUA RICHARDSON</t>
  </si>
  <si>
    <t>850 450 1796</t>
  </si>
  <si>
    <t xml:space="preserve">   176</t>
  </si>
  <si>
    <t>261794167</t>
  </si>
  <si>
    <t>963775</t>
  </si>
  <si>
    <t>-70.05</t>
  </si>
  <si>
    <t>642.82</t>
  </si>
  <si>
    <t>317.62</t>
  </si>
  <si>
    <t>229.98</t>
  </si>
  <si>
    <t>95.22</t>
  </si>
  <si>
    <t>850 450-1796</t>
  </si>
  <si>
    <t>25668611</t>
  </si>
  <si>
    <t>284614</t>
  </si>
  <si>
    <t>DEANNA SHIRE</t>
  </si>
  <si>
    <t>434 960 5293</t>
  </si>
  <si>
    <t>1348   TATE SCHOOL RD</t>
  </si>
  <si>
    <t xml:space="preserve">     4</t>
  </si>
  <si>
    <t>0078</t>
  </si>
  <si>
    <t>273460277</t>
  </si>
  <si>
    <t>862481</t>
  </si>
  <si>
    <t>719.25</t>
  </si>
  <si>
    <t>-8.47</t>
  </si>
  <si>
    <t>193.26</t>
  </si>
  <si>
    <t>477.09</t>
  </si>
  <si>
    <t>57.37</t>
  </si>
  <si>
    <t>434 960-5293</t>
  </si>
  <si>
    <t>25668615</t>
  </si>
  <si>
    <t>598218</t>
  </si>
  <si>
    <t>SHAWN DEAN</t>
  </si>
  <si>
    <t>06/25/2014</t>
  </si>
  <si>
    <t>850 382 8397</t>
  </si>
  <si>
    <t>2205   DORA DR</t>
  </si>
  <si>
    <t>3753</t>
  </si>
  <si>
    <t>DN4500P</t>
  </si>
  <si>
    <t>3H2143WY01383</t>
  </si>
  <si>
    <t>548895</t>
  </si>
  <si>
    <t>-77.73</t>
  </si>
  <si>
    <t>162.17</t>
  </si>
  <si>
    <t>81.72</t>
  </si>
  <si>
    <t>75.46</t>
  </si>
  <si>
    <t>850 382-8397</t>
  </si>
  <si>
    <t>25668631</t>
  </si>
  <si>
    <t>2351003</t>
  </si>
  <si>
    <t>BOBBIE ROBERTS</t>
  </si>
  <si>
    <t>08/08/2008</t>
  </si>
  <si>
    <t>850 332 7955</t>
  </si>
  <si>
    <t>3221   DESERT ST</t>
  </si>
  <si>
    <t>3754</t>
  </si>
  <si>
    <t>SABQWJCHB</t>
  </si>
  <si>
    <t>2299854</t>
  </si>
  <si>
    <t>-260.87</t>
  </si>
  <si>
    <t>-266.00</t>
  </si>
  <si>
    <t>527.16</t>
  </si>
  <si>
    <t>260.86</t>
  </si>
  <si>
    <t>261.31</t>
  </si>
  <si>
    <t>850 332-7955</t>
  </si>
  <si>
    <t>850 525-1976</t>
  </si>
  <si>
    <t>25668636</t>
  </si>
  <si>
    <t>3350207</t>
  </si>
  <si>
    <t>NATHAN BALL</t>
  </si>
  <si>
    <t>02/19/2014</t>
  </si>
  <si>
    <t>850 512 5622</t>
  </si>
  <si>
    <t>7937   EIGHT MILE CREEK RD</t>
  </si>
  <si>
    <t>0069</t>
  </si>
  <si>
    <t>3743</t>
  </si>
  <si>
    <t>[0HYTSSPW3J01]</t>
  </si>
  <si>
    <t>544534</t>
  </si>
  <si>
    <t>-229.29</t>
  </si>
  <si>
    <t>-316.63</t>
  </si>
  <si>
    <t>589.87</t>
  </si>
  <si>
    <t>177.8</t>
  </si>
  <si>
    <t>377.08</t>
  </si>
  <si>
    <t>850 512-5622</t>
  </si>
  <si>
    <t>25668640</t>
  </si>
  <si>
    <t>3871410</t>
  </si>
  <si>
    <t>JAMES STEPHENS</t>
  </si>
  <si>
    <t>850 390 5376</t>
  </si>
  <si>
    <t>558  E NINE MILE RD</t>
  </si>
  <si>
    <t xml:space="preserve">    46</t>
  </si>
  <si>
    <t>0095</t>
  </si>
  <si>
    <t>[212887524]</t>
  </si>
  <si>
    <t>602699</t>
  </si>
  <si>
    <t>-229.81</t>
  </si>
  <si>
    <t>03/21/2015</t>
  </si>
  <si>
    <t>-69.00</t>
  </si>
  <si>
    <t>501.82</t>
  </si>
  <si>
    <t>150.51</t>
  </si>
  <si>
    <t>346.32</t>
  </si>
  <si>
    <t>2015-06-29 00:00:00</t>
  </si>
  <si>
    <t>850 390-5376</t>
  </si>
  <si>
    <t>25668656</t>
  </si>
  <si>
    <t>5941206</t>
  </si>
  <si>
    <t>Gloria Debose</t>
  </si>
  <si>
    <t>02/13/2015</t>
  </si>
  <si>
    <t>1940  W GODFREY ST</t>
  </si>
  <si>
    <t>0111</t>
  </si>
  <si>
    <t>5151</t>
  </si>
  <si>
    <t>264297707</t>
  </si>
  <si>
    <t>865597</t>
  </si>
  <si>
    <t>-262.56</t>
  </si>
  <si>
    <t>-155.73</t>
  </si>
  <si>
    <t>-87.89</t>
  </si>
  <si>
    <t>266.83</t>
  </si>
  <si>
    <t>114.55</t>
  </si>
  <si>
    <t>850 393-9345</t>
  </si>
  <si>
    <t>25668657</t>
  </si>
  <si>
    <t>6072204</t>
  </si>
  <si>
    <t>Aimee Gorelikow</t>
  </si>
  <si>
    <t>03/13/2015</t>
  </si>
  <si>
    <t>850 293 9756</t>
  </si>
  <si>
    <t>5168   ZACHARY BLVD</t>
  </si>
  <si>
    <t>4442</t>
  </si>
  <si>
    <t>RNC3000</t>
  </si>
  <si>
    <t>[3KW24C7C04352]</t>
  </si>
  <si>
    <t>442648</t>
  </si>
  <si>
    <t>07/12/2015</t>
  </si>
  <si>
    <t>-66.11</t>
  </si>
  <si>
    <t>05/03/2015</t>
  </si>
  <si>
    <t>-114.49</t>
  </si>
  <si>
    <t>160.95</t>
  </si>
  <si>
    <t>100.48</t>
  </si>
  <si>
    <t>55.48</t>
  </si>
  <si>
    <t>850 293-9756</t>
  </si>
  <si>
    <t>25668667</t>
  </si>
  <si>
    <t>8416102</t>
  </si>
  <si>
    <t>ROBIN NOELLE</t>
  </si>
  <si>
    <t>02/13/2012</t>
  </si>
  <si>
    <t>850 341 7373</t>
  </si>
  <si>
    <t>2225   OLD CHEMSTRAND RD</t>
  </si>
  <si>
    <t xml:space="preserve">     9</t>
  </si>
  <si>
    <t>0077</t>
  </si>
  <si>
    <t>SABRPBJWD</t>
  </si>
  <si>
    <t>853975</t>
  </si>
  <si>
    <t>-166.59</t>
  </si>
  <si>
    <t>-193.08</t>
  </si>
  <si>
    <t>-188.09</t>
  </si>
  <si>
    <t>375.2</t>
  </si>
  <si>
    <t>188.09</t>
  </si>
  <si>
    <t>182.12</t>
  </si>
  <si>
    <t>850 341-7373</t>
  </si>
  <si>
    <t>25668693</t>
  </si>
  <si>
    <t>14107606</t>
  </si>
  <si>
    <t>MARCINE JACKSON</t>
  </si>
  <si>
    <t>850 292 4891</t>
  </si>
  <si>
    <t>2701   TUPELO AVE</t>
  </si>
  <si>
    <t>SABNHBZMM</t>
  </si>
  <si>
    <t>1062506</t>
  </si>
  <si>
    <t>-190.31</t>
  </si>
  <si>
    <t>-163.82</t>
  </si>
  <si>
    <t>-159.83</t>
  </si>
  <si>
    <t>590.29</t>
  </si>
  <si>
    <t>185.3</t>
  </si>
  <si>
    <t>370</t>
  </si>
  <si>
    <t>850 292-4891</t>
  </si>
  <si>
    <t>25668705</t>
  </si>
  <si>
    <t>15848303</t>
  </si>
  <si>
    <t>KATHRYN WALSH</t>
  </si>
  <si>
    <t>05/13/2013</t>
  </si>
  <si>
    <t>850 776 8099</t>
  </si>
  <si>
    <t>1889   INTERSTATE CIR</t>
  </si>
  <si>
    <t>244165619</t>
  </si>
  <si>
    <t>412873</t>
  </si>
  <si>
    <t>-63.62</t>
  </si>
  <si>
    <t>-99.99</t>
  </si>
  <si>
    <t>04/19/2015</t>
  </si>
  <si>
    <t>-78.49</t>
  </si>
  <si>
    <t>183.48</t>
  </si>
  <si>
    <t>78.49</t>
  </si>
  <si>
    <t>850 776-8099</t>
  </si>
  <si>
    <t>25668745</t>
  </si>
  <si>
    <t>55045909</t>
  </si>
  <si>
    <t>Belinda M Davis</t>
  </si>
  <si>
    <t>850 316 1242</t>
  </si>
  <si>
    <t>2535  N L ST</t>
  </si>
  <si>
    <t>248474314</t>
  </si>
  <si>
    <t>1066953</t>
  </si>
  <si>
    <t>-30.28</t>
  </si>
  <si>
    <t>387.6</t>
  </si>
  <si>
    <t>115.06</t>
  </si>
  <si>
    <t>115.45</t>
  </si>
  <si>
    <t>157.09</t>
  </si>
  <si>
    <t>850 316-1242</t>
  </si>
  <si>
    <t>25668751</t>
  </si>
  <si>
    <t>64200905</t>
  </si>
  <si>
    <t>ZELDA MICHELINI</t>
  </si>
  <si>
    <t>410 474 2219</t>
  </si>
  <si>
    <t>1910  E CERVANTES ST</t>
  </si>
  <si>
    <t>0030</t>
  </si>
  <si>
    <t>DAH4M13004974</t>
  </si>
  <si>
    <t>2248348</t>
  </si>
  <si>
    <t>255.55</t>
  </si>
  <si>
    <t>89.83</t>
  </si>
  <si>
    <t>84.84</t>
  </si>
  <si>
    <t>80.88</t>
  </si>
  <si>
    <t>410 474-2219</t>
  </si>
  <si>
    <t>25668755</t>
  </si>
  <si>
    <t>66126402</t>
  </si>
  <si>
    <t>JOE MADDEN</t>
  </si>
  <si>
    <t>01/22/1998</t>
  </si>
  <si>
    <t>850 572 1747</t>
  </si>
  <si>
    <t>6210   DENVER AVE</t>
  </si>
  <si>
    <t>4445</t>
  </si>
  <si>
    <t>[205242980]</t>
  </si>
  <si>
    <t>P695396</t>
  </si>
  <si>
    <t>-153.10</t>
  </si>
  <si>
    <t>-102.32</t>
  </si>
  <si>
    <t>258.22</t>
  </si>
  <si>
    <t>126.62</t>
  </si>
  <si>
    <t>126.61</t>
  </si>
  <si>
    <t>850 572-1747</t>
  </si>
  <si>
    <t>25668774</t>
  </si>
  <si>
    <t>68048610</t>
  </si>
  <si>
    <t>CHARIS TOMBLIN</t>
  </si>
  <si>
    <t>08/13/2014</t>
  </si>
  <si>
    <t>850 313 1168</t>
  </si>
  <si>
    <t>813  N B ST</t>
  </si>
  <si>
    <t>5350</t>
  </si>
  <si>
    <t>D5N4D31006958</t>
  </si>
  <si>
    <t>389583</t>
  </si>
  <si>
    <t>638475</t>
  </si>
  <si>
    <t>-88.99</t>
  </si>
  <si>
    <t>03/20/2015</t>
  </si>
  <si>
    <t>-64.00</t>
  </si>
  <si>
    <t>02/21/2015</t>
  </si>
  <si>
    <t>-195.95</t>
  </si>
  <si>
    <t>93.98</t>
  </si>
  <si>
    <t>42.5</t>
  </si>
  <si>
    <t>850 313-1168</t>
  </si>
  <si>
    <t>25668789</t>
  </si>
  <si>
    <t>70795514</t>
  </si>
  <si>
    <t>SHUNDRID MOORER</t>
  </si>
  <si>
    <t>02/10/2014</t>
  </si>
  <si>
    <t>850 293 2084</t>
  </si>
  <si>
    <t>220  W CHASE ST</t>
  </si>
  <si>
    <t xml:space="preserve">  105A</t>
  </si>
  <si>
    <t>0035</t>
  </si>
  <si>
    <t>DN6300P</t>
  </si>
  <si>
    <t>[45U14AWX00CDE]</t>
  </si>
  <si>
    <t>712276</t>
  </si>
  <si>
    <t>-107.68</t>
  </si>
  <si>
    <t>-108.26</t>
  </si>
  <si>
    <t>-129.00</t>
  </si>
  <si>
    <t>224.35</t>
  </si>
  <si>
    <t>111.68</t>
  </si>
  <si>
    <t>107.68</t>
  </si>
  <si>
    <t>850 293-2084</t>
  </si>
  <si>
    <t>25668808</t>
  </si>
  <si>
    <t>72475620</t>
  </si>
  <si>
    <t>CHANTEL HILL</t>
  </si>
  <si>
    <t>10/05/2012</t>
  </si>
  <si>
    <t>850 264 6856</t>
  </si>
  <si>
    <t xml:space="preserve">     5</t>
  </si>
  <si>
    <t>P683834</t>
  </si>
  <si>
    <t>05/25/2013</t>
  </si>
  <si>
    <t>-64.50</t>
  </si>
  <si>
    <t>05/01/2013</t>
  </si>
  <si>
    <t>03/26/2013</t>
  </si>
  <si>
    <t>179.22</t>
  </si>
  <si>
    <t>85.11</t>
  </si>
  <si>
    <t>850 264-6856</t>
  </si>
  <si>
    <t>25672255</t>
  </si>
  <si>
    <t>156909</t>
  </si>
  <si>
    <t>LASANDA HALL</t>
  </si>
  <si>
    <t>09/04/2013</t>
  </si>
  <si>
    <t>850 376 8254</t>
  </si>
  <si>
    <t>8491   OLD SPANISH TRAIL RD</t>
  </si>
  <si>
    <t xml:space="preserve">  185W</t>
  </si>
  <si>
    <t>[219285729]</t>
  </si>
  <si>
    <t>604600</t>
  </si>
  <si>
    <t>-155.00</t>
  </si>
  <si>
    <t>392.8</t>
  </si>
  <si>
    <t>203.5</t>
  </si>
  <si>
    <t>184.31</t>
  </si>
  <si>
    <t>2012-07-13 00:00:00</t>
  </si>
  <si>
    <t>850 376-8254</t>
  </si>
  <si>
    <t>850 221-6315</t>
  </si>
  <si>
    <t>25672301</t>
  </si>
  <si>
    <t>8549701</t>
  </si>
  <si>
    <t>ALICE MCLEMORE</t>
  </si>
  <si>
    <t>06/12/2013</t>
  </si>
  <si>
    <t>850 572 5274</t>
  </si>
  <si>
    <t>1553   PELICAN POINT DR</t>
  </si>
  <si>
    <t>2447</t>
  </si>
  <si>
    <t>[202870614]</t>
  </si>
  <si>
    <t>542049</t>
  </si>
  <si>
    <t>-64.87</t>
  </si>
  <si>
    <t>-66.65</t>
  </si>
  <si>
    <t>03/06/2015</t>
  </si>
  <si>
    <t>-69.50</t>
  </si>
  <si>
    <t>211.57</t>
  </si>
  <si>
    <t>73.85</t>
  </si>
  <si>
    <t>68.86</t>
  </si>
  <si>
    <t>850 572-5274</t>
  </si>
  <si>
    <t>25672320</t>
  </si>
  <si>
    <t>10416005</t>
  </si>
  <si>
    <t>ANGELA PEOPLES</t>
  </si>
  <si>
    <t>11/04/2014</t>
  </si>
  <si>
    <t>850 461 8036</t>
  </si>
  <si>
    <t>8521   NANTUCKET PL</t>
  </si>
  <si>
    <t>0004</t>
  </si>
  <si>
    <t>DCI382R</t>
  </si>
  <si>
    <t>[261083888]</t>
  </si>
  <si>
    <t>630945</t>
  </si>
  <si>
    <t>-134.74</t>
  </si>
  <si>
    <t>-229.08</t>
  </si>
  <si>
    <t>379.57</t>
  </si>
  <si>
    <t>224.13</t>
  </si>
  <si>
    <t>150.45</t>
  </si>
  <si>
    <t>850 461-8036</t>
  </si>
  <si>
    <t>25672363</t>
  </si>
  <si>
    <t>13839405</t>
  </si>
  <si>
    <t>CHERYL D BACO</t>
  </si>
  <si>
    <t>09/11/2012</t>
  </si>
  <si>
    <t>850 898 4777</t>
  </si>
  <si>
    <t>1030   CYNTHIA LN</t>
  </si>
  <si>
    <t>[0HYTV0Z0ZD75]</t>
  </si>
  <si>
    <t>J603935</t>
  </si>
  <si>
    <t>-224.03</t>
  </si>
  <si>
    <t>706.25</t>
  </si>
  <si>
    <t>222.2</t>
  </si>
  <si>
    <t>449.06</t>
  </si>
  <si>
    <t>850 898-4777</t>
  </si>
  <si>
    <t>850 934-7762</t>
  </si>
  <si>
    <t>850 698-2346</t>
  </si>
  <si>
    <t>25672378</t>
  </si>
  <si>
    <t>15747602</t>
  </si>
  <si>
    <t>Jonathon Querisma</t>
  </si>
  <si>
    <t>10665   SHEAR ST</t>
  </si>
  <si>
    <t>DCF4D31004490</t>
  </si>
  <si>
    <t>1217742</t>
  </si>
  <si>
    <t>146.98</t>
  </si>
  <si>
    <t>51.49</t>
  </si>
  <si>
    <t>90.5</t>
  </si>
  <si>
    <t>850 333-4252</t>
  </si>
  <si>
    <t>25672419</t>
  </si>
  <si>
    <t>37135104</t>
  </si>
  <si>
    <t>ELVIE DAWSON</t>
  </si>
  <si>
    <t>321 877 6544</t>
  </si>
  <si>
    <t>5414   CHARBAR DR</t>
  </si>
  <si>
    <t>0042</t>
  </si>
  <si>
    <t>SABQPMWGG</t>
  </si>
  <si>
    <t>601666</t>
  </si>
  <si>
    <t>-194.61</t>
  </si>
  <si>
    <t>-171.00</t>
  </si>
  <si>
    <t>359.79</t>
  </si>
  <si>
    <t>211.18</t>
  </si>
  <si>
    <t>143.62</t>
  </si>
  <si>
    <t>321 877-6544</t>
  </si>
  <si>
    <t>25672420</t>
  </si>
  <si>
    <t>39883407</t>
  </si>
  <si>
    <t>JAMES HARRINGTON</t>
  </si>
  <si>
    <t>05/14/2014</t>
  </si>
  <si>
    <t>850 529 9296</t>
  </si>
  <si>
    <t>3050   LENORA PL</t>
  </si>
  <si>
    <t>0060</t>
  </si>
  <si>
    <t>4943</t>
  </si>
  <si>
    <t>[221507089]</t>
  </si>
  <si>
    <t>791470</t>
  </si>
  <si>
    <t>-72.63</t>
  </si>
  <si>
    <t>-68.64</t>
  </si>
  <si>
    <t>-117.90</t>
  </si>
  <si>
    <t>150.26</t>
  </si>
  <si>
    <t>72.64</t>
  </si>
  <si>
    <t>72.63</t>
  </si>
  <si>
    <t>850 529-9296</t>
  </si>
  <si>
    <t>25672422</t>
  </si>
  <si>
    <t>41285805</t>
  </si>
  <si>
    <t>JONATHON JETT</t>
  </si>
  <si>
    <t>850 607 0096</t>
  </si>
  <si>
    <t>5614   TURKEY RD</t>
  </si>
  <si>
    <t>SACBCTGCG</t>
  </si>
  <si>
    <t>1066255</t>
  </si>
  <si>
    <t>-310.22</t>
  </si>
  <si>
    <t>-180.19</t>
  </si>
  <si>
    <t>332.72</t>
  </si>
  <si>
    <t>217.64</t>
  </si>
  <si>
    <t>110.09</t>
  </si>
  <si>
    <t>850 607-0096</t>
  </si>
  <si>
    <t>25672427</t>
  </si>
  <si>
    <t>48428702</t>
  </si>
  <si>
    <t>STEPHEN HICKS</t>
  </si>
  <si>
    <t>850 485 1643</t>
  </si>
  <si>
    <t>1904  W LLOYD ST</t>
  </si>
  <si>
    <t>5155</t>
  </si>
  <si>
    <t>GSH4742</t>
  </si>
  <si>
    <t>SACFBXFHX</t>
  </si>
  <si>
    <t>854085</t>
  </si>
  <si>
    <t>-322.50</t>
  </si>
  <si>
    <t>-188.79</t>
  </si>
  <si>
    <t>750.41</t>
  </si>
  <si>
    <t>217.71</t>
  </si>
  <si>
    <t>527.71</t>
  </si>
  <si>
    <t>2015-06-12 00:00:00</t>
  </si>
  <si>
    <t>850 485-1643</t>
  </si>
  <si>
    <t>25672437</t>
  </si>
  <si>
    <t>57239614</t>
  </si>
  <si>
    <t>John Webb</t>
  </si>
  <si>
    <t>10/06/2014</t>
  </si>
  <si>
    <t>850 791 8343</t>
  </si>
  <si>
    <t>954  E JOHNSON AVE</t>
  </si>
  <si>
    <t>RGI5120</t>
  </si>
  <si>
    <t>[155003610004747507070000]</t>
  </si>
  <si>
    <t>602753</t>
  </si>
  <si>
    <t>-242.36</t>
  </si>
  <si>
    <t>-121.18</t>
  </si>
  <si>
    <t>-99.68</t>
  </si>
  <si>
    <t>445.05</t>
  </si>
  <si>
    <t>51.5</t>
  </si>
  <si>
    <t>151.19</t>
  </si>
  <si>
    <t>242.36</t>
  </si>
  <si>
    <t>850 791-8343</t>
  </si>
  <si>
    <t>25672459</t>
  </si>
  <si>
    <t>66928616</t>
  </si>
  <si>
    <t>KEVIN WILLIAMS</t>
  </si>
  <si>
    <t>03/18/2014</t>
  </si>
  <si>
    <t>850 554 3017</t>
  </si>
  <si>
    <t>8206   KIPLING ST</t>
  </si>
  <si>
    <t>DN3002P</t>
  </si>
  <si>
    <t>3HW145WP02EEE</t>
  </si>
  <si>
    <t>402951</t>
  </si>
  <si>
    <t>-295.73</t>
  </si>
  <si>
    <t>-253.82</t>
  </si>
  <si>
    <t>199.67</t>
  </si>
  <si>
    <t>148.1</t>
  </si>
  <si>
    <t>46.58</t>
  </si>
  <si>
    <t>850 554-3017</t>
  </si>
  <si>
    <t>850 549-6150</t>
  </si>
  <si>
    <t>25672465</t>
  </si>
  <si>
    <t>67506311</t>
  </si>
  <si>
    <t>DANICA DVORAK</t>
  </si>
  <si>
    <t>850 512 6581</t>
  </si>
  <si>
    <t>707  W CHASE ST</t>
  </si>
  <si>
    <t>[213845230]</t>
  </si>
  <si>
    <t>1085269</t>
  </si>
  <si>
    <t>0000981</t>
  </si>
  <si>
    <t>-81.12</t>
  </si>
  <si>
    <t>138.96</t>
  </si>
  <si>
    <t>68.98</t>
  </si>
  <si>
    <t>64.99</t>
  </si>
  <si>
    <t>850 512-6581</t>
  </si>
  <si>
    <t>25672507</t>
  </si>
  <si>
    <t>72074823</t>
  </si>
  <si>
    <t>FRANCISCO ANAYA</t>
  </si>
  <si>
    <t>11/14/2014</t>
  </si>
  <si>
    <t>850 529 7799</t>
  </si>
  <si>
    <t>1401  E OLIVE RD</t>
  </si>
  <si>
    <t xml:space="preserve">    7H</t>
  </si>
  <si>
    <t>0106</t>
  </si>
  <si>
    <t>[379781329922480006020006]</t>
  </si>
  <si>
    <t>779352</t>
  </si>
  <si>
    <t>-80.21</t>
  </si>
  <si>
    <t>-254.36</t>
  </si>
  <si>
    <t>-282.38</t>
  </si>
  <si>
    <t>383.44</t>
  </si>
  <si>
    <t>141.92</t>
  </si>
  <si>
    <t>221.77</t>
  </si>
  <si>
    <t>14.76</t>
  </si>
  <si>
    <t>2015-02-24 00:00:00</t>
  </si>
  <si>
    <t>850 529-7799</t>
  </si>
  <si>
    <t>25672512</t>
  </si>
  <si>
    <t>72534909</t>
  </si>
  <si>
    <t>KRISSEY HILLARD</t>
  </si>
  <si>
    <t>12/14/2014</t>
  </si>
  <si>
    <t>850 449 3528</t>
  </si>
  <si>
    <t xml:space="preserve">   174</t>
  </si>
  <si>
    <t>SABLWWDMV</t>
  </si>
  <si>
    <t>917521</t>
  </si>
  <si>
    <t>-155.45</t>
  </si>
  <si>
    <t>-173.58</t>
  </si>
  <si>
    <t>-254.54</t>
  </si>
  <si>
    <t>351.04</t>
  </si>
  <si>
    <t>209.76</t>
  </si>
  <si>
    <t>136.29</t>
  </si>
  <si>
    <t>850 449-3528</t>
  </si>
  <si>
    <t>25656555</t>
  </si>
  <si>
    <t>68072915</t>
  </si>
  <si>
    <t>SHAINDEL MASON</t>
  </si>
  <si>
    <t>850 417 0105</t>
  </si>
  <si>
    <t>812  W GOVERNMENT ST</t>
  </si>
  <si>
    <t>236421492</t>
  </si>
  <si>
    <t>696041</t>
  </si>
  <si>
    <t>725781</t>
  </si>
  <si>
    <t>17</t>
  </si>
  <si>
    <t>-460.34</t>
  </si>
  <si>
    <t>842.57</t>
  </si>
  <si>
    <t>287.3</t>
  </si>
  <si>
    <t>91.92</t>
  </si>
  <si>
    <t>458.36</t>
  </si>
  <si>
    <t>850 417-0105</t>
  </si>
  <si>
    <t>25659574</t>
  </si>
  <si>
    <t>7485006</t>
  </si>
  <si>
    <t>FARRAH HALE</t>
  </si>
  <si>
    <t>08/15/2014</t>
  </si>
  <si>
    <t>850 221 2288</t>
  </si>
  <si>
    <t>2120   BARRANCAS AVE</t>
  </si>
  <si>
    <t>RGI6180</t>
  </si>
  <si>
    <t>[0X27KJF0H5]</t>
  </si>
  <si>
    <t>382001</t>
  </si>
  <si>
    <t>-207.87</t>
  </si>
  <si>
    <t>-183.13</t>
  </si>
  <si>
    <t>-156.81</t>
  </si>
  <si>
    <t>375.76</t>
  </si>
  <si>
    <t>156.36</t>
  </si>
  <si>
    <t>214.41</t>
  </si>
  <si>
    <t>2015-05-06 00:00:00</t>
  </si>
  <si>
    <t>850 221-2288</t>
  </si>
  <si>
    <t>25659667</t>
  </si>
  <si>
    <t>57215604</t>
  </si>
  <si>
    <t>CHRISTIAN CARTER</t>
  </si>
  <si>
    <t>850 281 6311</t>
  </si>
  <si>
    <t>661   SPENCER AVE</t>
  </si>
  <si>
    <t xml:space="preserve">   HSE</t>
  </si>
  <si>
    <t>SABJWJFRT</t>
  </si>
  <si>
    <t>2036681</t>
  </si>
  <si>
    <t>R146855</t>
  </si>
  <si>
    <t>29</t>
  </si>
  <si>
    <t>682.12</t>
  </si>
  <si>
    <t>247.17</t>
  </si>
  <si>
    <t>264.16</t>
  </si>
  <si>
    <t>170.79</t>
  </si>
  <si>
    <t>850 281-6311</t>
  </si>
  <si>
    <t>25659708</t>
  </si>
  <si>
    <t>72207315</t>
  </si>
  <si>
    <t>LESLIE ARD</t>
  </si>
  <si>
    <t>2300  W MICHIGAN AVE</t>
  </si>
  <si>
    <t xml:space="preserve">    27</t>
  </si>
  <si>
    <t>SABRSXZTW</t>
  </si>
  <si>
    <t>862299</t>
  </si>
  <si>
    <t>957.97</t>
  </si>
  <si>
    <t>771.21</t>
  </si>
  <si>
    <t>149.67</t>
  </si>
  <si>
    <t>37.09</t>
  </si>
  <si>
    <t>850 418-3115</t>
  </si>
  <si>
    <t>25662650</t>
  </si>
  <si>
    <t>25662652</t>
  </si>
  <si>
    <t>25662656</t>
  </si>
  <si>
    <t>25662796</t>
  </si>
  <si>
    <t>25662831</t>
  </si>
  <si>
    <t>25665741</t>
  </si>
  <si>
    <t>1937207</t>
  </si>
  <si>
    <t>Selena Melendez</t>
  </si>
  <si>
    <t>8600   CHISHOLM RD</t>
  </si>
  <si>
    <t>407966</t>
  </si>
  <si>
    <t>533888</t>
  </si>
  <si>
    <t>772.83</t>
  </si>
  <si>
    <t>75.02</t>
  </si>
  <si>
    <t>186.93</t>
  </si>
  <si>
    <t>227.42</t>
  </si>
  <si>
    <t>278.47</t>
  </si>
  <si>
    <t>25665745</t>
  </si>
  <si>
    <t>25665858</t>
  </si>
  <si>
    <t>50285615</t>
  </si>
  <si>
    <t>CHRISTOPHE HARRIS</t>
  </si>
  <si>
    <t>06/09/2012</t>
  </si>
  <si>
    <t>850 450 3351</t>
  </si>
  <si>
    <t xml:space="preserve">   H11</t>
  </si>
  <si>
    <t>1217753</t>
  </si>
  <si>
    <t>R101200</t>
  </si>
  <si>
    <t>05/18/2015</t>
  </si>
  <si>
    <t>04/20/2015</t>
  </si>
  <si>
    <t>-210.75</t>
  </si>
  <si>
    <t>416.94</t>
  </si>
  <si>
    <t>59.47</t>
  </si>
  <si>
    <t>272.09</t>
  </si>
  <si>
    <t>80.39</t>
  </si>
  <si>
    <t>850 450-3351</t>
  </si>
  <si>
    <t>25667691</t>
  </si>
  <si>
    <t>6472402</t>
  </si>
  <si>
    <t>JOAN MCGOVERN</t>
  </si>
  <si>
    <t>09/02/2011</t>
  </si>
  <si>
    <t>850 478 8885</t>
  </si>
  <si>
    <t>10100   HILLVIEW DR</t>
  </si>
  <si>
    <t xml:space="preserve">  2103</t>
  </si>
  <si>
    <t>0001</t>
  </si>
  <si>
    <t>SABNTBDLQ</t>
  </si>
  <si>
    <t>06/16/2015</t>
  </si>
  <si>
    <t>-46.31</t>
  </si>
  <si>
    <t>-42.32</t>
  </si>
  <si>
    <t>03/26/2015</t>
  </si>
  <si>
    <t>-30.48</t>
  </si>
  <si>
    <t>143.86</t>
  </si>
  <si>
    <t>51.27</t>
  </si>
  <si>
    <t>46.28</t>
  </si>
  <si>
    <t>46.31</t>
  </si>
  <si>
    <t>850 478-8885</t>
  </si>
  <si>
    <t>25667724</t>
  </si>
  <si>
    <t>16081301</t>
  </si>
  <si>
    <t>LISA GRAY</t>
  </si>
  <si>
    <t>08/23/2014</t>
  </si>
  <si>
    <t>850 968 6982</t>
  </si>
  <si>
    <t>1041   LAKE DR</t>
  </si>
  <si>
    <t>928491</t>
  </si>
  <si>
    <t>2433</t>
  </si>
  <si>
    <t>02/27/2015</t>
  </si>
  <si>
    <t>410.91</t>
  </si>
  <si>
    <t>46.05</t>
  </si>
  <si>
    <t>46.07</t>
  </si>
  <si>
    <t>254.16</t>
  </si>
  <si>
    <t>64.63</t>
  </si>
  <si>
    <t>850 968-6982</t>
  </si>
  <si>
    <t>850 426-5906</t>
  </si>
  <si>
    <t>25667733</t>
  </si>
  <si>
    <t>25667737</t>
  </si>
  <si>
    <t>38011305</t>
  </si>
  <si>
    <t>RACHEL FREEMAN</t>
  </si>
  <si>
    <t>850 208 1572</t>
  </si>
  <si>
    <t>1211  W MAXWELL ST</t>
  </si>
  <si>
    <t>0110</t>
  </si>
  <si>
    <t>5053</t>
  </si>
  <si>
    <t>404780</t>
  </si>
  <si>
    <t>412.7</t>
  </si>
  <si>
    <t>76.99</t>
  </si>
  <si>
    <t>181</t>
  </si>
  <si>
    <t>105.97</t>
  </si>
  <si>
    <t>2.69</t>
  </si>
  <si>
    <t>850 208-1572</t>
  </si>
  <si>
    <t>25667792</t>
  </si>
  <si>
    <t>72716925</t>
  </si>
  <si>
    <t>christina ray</t>
  </si>
  <si>
    <t>04/17/2014</t>
  </si>
  <si>
    <t>850 696 2337</t>
  </si>
  <si>
    <t>399055</t>
  </si>
  <si>
    <t>-110.65</t>
  </si>
  <si>
    <t>-137.44</t>
  </si>
  <si>
    <t>02/18/2015</t>
  </si>
  <si>
    <t>-159.90</t>
  </si>
  <si>
    <t>573.47</t>
  </si>
  <si>
    <t>127.92</t>
  </si>
  <si>
    <t>208.31</t>
  </si>
  <si>
    <t>219.78</t>
  </si>
  <si>
    <t>12.47</t>
  </si>
  <si>
    <t>850 696-2337</t>
  </si>
  <si>
    <t>25667793</t>
  </si>
  <si>
    <t>25668744</t>
  </si>
  <si>
    <t>25668772</t>
  </si>
  <si>
    <t>25672274</t>
  </si>
  <si>
    <t>25672386</t>
  </si>
  <si>
    <t>25672433</t>
  </si>
  <si>
    <t>53480024</t>
  </si>
  <si>
    <t>NICKOLAS PANARITES</t>
  </si>
  <si>
    <t>850 696 5186</t>
  </si>
  <si>
    <t>5472   REGENTS AVE</t>
  </si>
  <si>
    <t>SABNRBMHC</t>
  </si>
  <si>
    <t>619321</t>
  </si>
  <si>
    <t>613231</t>
  </si>
  <si>
    <t>-225.60</t>
  </si>
  <si>
    <t>742.44</t>
  </si>
  <si>
    <t>501.43</t>
  </si>
  <si>
    <t>177.95</t>
  </si>
  <si>
    <t>63.06</t>
  </si>
  <si>
    <t>850 696-5186</t>
  </si>
  <si>
    <t>25672477</t>
  </si>
  <si>
    <t>25656473</t>
  </si>
  <si>
    <t>12816201</t>
  </si>
  <si>
    <t>MICHELLE RHODEN</t>
  </si>
  <si>
    <t>850 637 2098</t>
  </si>
  <si>
    <t>1716  N S ST</t>
  </si>
  <si>
    <t>DCI120N</t>
  </si>
  <si>
    <t>[JUT00JBE7216]</t>
  </si>
  <si>
    <t>529704</t>
  </si>
  <si>
    <t>31705</t>
  </si>
  <si>
    <t>-206.86</t>
  </si>
  <si>
    <t>06/20/2015</t>
  </si>
  <si>
    <t>-77.60</t>
  </si>
  <si>
    <t>466.29</t>
  </si>
  <si>
    <t>161.59</t>
  </si>
  <si>
    <t>97.84</t>
  </si>
  <si>
    <t>206.86</t>
  </si>
  <si>
    <t>850 637-2098</t>
  </si>
  <si>
    <t>Floyd</t>
  </si>
  <si>
    <t>25656511</t>
  </si>
  <si>
    <t>26400227</t>
  </si>
  <si>
    <t>Carolyn Stevenson</t>
  </si>
  <si>
    <t>850 432 6460</t>
  </si>
  <si>
    <t>707   LA SALLE WAY</t>
  </si>
  <si>
    <t>241571662</t>
  </si>
  <si>
    <t>770622</t>
  </si>
  <si>
    <t>-45.50</t>
  </si>
  <si>
    <t>-149.49</t>
  </si>
  <si>
    <t>327.49</t>
  </si>
  <si>
    <t>176.36</t>
  </si>
  <si>
    <t>146.14</t>
  </si>
  <si>
    <t>850 432-6460</t>
  </si>
  <si>
    <t>25656519</t>
  </si>
  <si>
    <t>38969206</t>
  </si>
  <si>
    <t>IDA PALMER</t>
  </si>
  <si>
    <t>10/04/2011</t>
  </si>
  <si>
    <t>502   NEW YORK DR</t>
  </si>
  <si>
    <t>0046</t>
  </si>
  <si>
    <t>DGI510N</t>
  </si>
  <si>
    <t>[0HZR6V90PDR5]</t>
  </si>
  <si>
    <t>864381</t>
  </si>
  <si>
    <t>-370.52</t>
  </si>
  <si>
    <t>-120.99</t>
  </si>
  <si>
    <t>749.61</t>
  </si>
  <si>
    <t>207.31</t>
  </si>
  <si>
    <t>214.01</t>
  </si>
  <si>
    <t>328.29</t>
  </si>
  <si>
    <t>2010-08-18 00:00:00</t>
  </si>
  <si>
    <t>850 485-3293</t>
  </si>
  <si>
    <t>25656558</t>
  </si>
  <si>
    <t>68234604</t>
  </si>
  <si>
    <t>E. Valaria FREEMAN</t>
  </si>
  <si>
    <t>850 207 6965</t>
  </si>
  <si>
    <t>805   MONTCLAIR RD</t>
  </si>
  <si>
    <t>0040</t>
  </si>
  <si>
    <t>SABTTQQNV</t>
  </si>
  <si>
    <t>574942</t>
  </si>
  <si>
    <t>-165.45</t>
  </si>
  <si>
    <t>-77.00</t>
  </si>
  <si>
    <t>-137.67</t>
  </si>
  <si>
    <t>255.32</t>
  </si>
  <si>
    <t>129.11</t>
  </si>
  <si>
    <t>121.22</t>
  </si>
  <si>
    <t>850 207-6965</t>
  </si>
  <si>
    <t>25656574</t>
  </si>
  <si>
    <t>69923127</t>
  </si>
  <si>
    <t>ANTHONY HUGHES</t>
  </si>
  <si>
    <t>850 356 1433</t>
  </si>
  <si>
    <t>3216  W CERVANTES ST</t>
  </si>
  <si>
    <t>0112</t>
  </si>
  <si>
    <t>E1C4M13000759</t>
  </si>
  <si>
    <t>493969</t>
  </si>
  <si>
    <t>920.28</t>
  </si>
  <si>
    <t>360.71</t>
  </si>
  <si>
    <t>533.03</t>
  </si>
  <si>
    <t>26.54</t>
  </si>
  <si>
    <t>850 356-1433</t>
  </si>
  <si>
    <t>25656575</t>
  </si>
  <si>
    <t>70714913</t>
  </si>
  <si>
    <t>ROBERT PERRY</t>
  </si>
  <si>
    <t>850 530 2980</t>
  </si>
  <si>
    <t>4167   ERRESS BLVD</t>
  </si>
  <si>
    <t>SABLZHZWW</t>
  </si>
  <si>
    <t>812224</t>
  </si>
  <si>
    <t>837.24</t>
  </si>
  <si>
    <t>246.99</t>
  </si>
  <si>
    <t>585.26</t>
  </si>
  <si>
    <t>850 530-2980</t>
  </si>
  <si>
    <t>25659631</t>
  </si>
  <si>
    <t>16475801</t>
  </si>
  <si>
    <t>Mash Inc</t>
  </si>
  <si>
    <t>01/29/2013</t>
  </si>
  <si>
    <t>Commercial</t>
  </si>
  <si>
    <t>5800  N W ST</t>
  </si>
  <si>
    <t>4449</t>
  </si>
  <si>
    <t>215876696</t>
  </si>
  <si>
    <t>S252554</t>
  </si>
  <si>
    <t>850 929-0220</t>
  </si>
  <si>
    <t>R/S</t>
  </si>
  <si>
    <t>25659653</t>
  </si>
  <si>
    <t>30657107</t>
  </si>
  <si>
    <t>JENNY MILLS</t>
  </si>
  <si>
    <t>850 288 0571</t>
  </si>
  <si>
    <t>6791   VIVIAN DR</t>
  </si>
  <si>
    <t>SABTSDQCF</t>
  </si>
  <si>
    <t>514512</t>
  </si>
  <si>
    <t>07/14/2015</t>
  </si>
  <si>
    <t>-170.07</t>
  </si>
  <si>
    <t>682.45</t>
  </si>
  <si>
    <t>183.65</t>
  </si>
  <si>
    <t>141.73</t>
  </si>
  <si>
    <t>357.07</t>
  </si>
  <si>
    <t>2015-07-17 00:00:00</t>
  </si>
  <si>
    <t>850 288-0571</t>
  </si>
  <si>
    <t>25662681</t>
  </si>
  <si>
    <t>7272518</t>
  </si>
  <si>
    <t>NANCY ZERVOS</t>
  </si>
  <si>
    <t>850 466 2089</t>
  </si>
  <si>
    <t>2702   MASSACHUSETTS AVE</t>
  </si>
  <si>
    <t xml:space="preserve">   177</t>
  </si>
  <si>
    <t>0047</t>
  </si>
  <si>
    <t>RSA3010</t>
  </si>
  <si>
    <t>[2654977488]</t>
  </si>
  <si>
    <t>386153</t>
  </si>
  <si>
    <t>486.2</t>
  </si>
  <si>
    <t>165.95</t>
  </si>
  <si>
    <t>315.26</t>
  </si>
  <si>
    <t>850 466-2089</t>
  </si>
  <si>
    <t>850 586-4749</t>
  </si>
  <si>
    <t>25662798</t>
  </si>
  <si>
    <t>67209002</t>
  </si>
  <si>
    <t>BETTY RUNYON</t>
  </si>
  <si>
    <t>02/04/2008</t>
  </si>
  <si>
    <t>850 944 3362</t>
  </si>
  <si>
    <t>5207   CLIFTON AVE</t>
  </si>
  <si>
    <t>602926</t>
  </si>
  <si>
    <t>-85.12</t>
  </si>
  <si>
    <t>268.35</t>
  </si>
  <si>
    <t>85.12</t>
  </si>
  <si>
    <t>850 944-3362</t>
  </si>
  <si>
    <t>25662799</t>
  </si>
  <si>
    <t>67258111</t>
  </si>
  <si>
    <t>AMY L HERNANDEZ</t>
  </si>
  <si>
    <t>850 287 3817</t>
  </si>
  <si>
    <t>15   CAMELIA DR</t>
  </si>
  <si>
    <t>260924384</t>
  </si>
  <si>
    <t>440762</t>
  </si>
  <si>
    <t>-24.67</t>
  </si>
  <si>
    <t>-38.42</t>
  </si>
  <si>
    <t>61.59</t>
  </si>
  <si>
    <t>9.98</t>
  </si>
  <si>
    <t>46.62</t>
  </si>
  <si>
    <t>850 287-3817</t>
  </si>
  <si>
    <t>25665732</t>
  </si>
  <si>
    <t>559318</t>
  </si>
  <si>
    <t>TIA PORTIS</t>
  </si>
  <si>
    <t>850 760 3883</t>
  </si>
  <si>
    <t>4350  W FAIRFIELD DR</t>
  </si>
  <si>
    <t xml:space="preserve">    15</t>
  </si>
  <si>
    <t>SACHCGKZS</t>
  </si>
  <si>
    <t>2012711</t>
  </si>
  <si>
    <t>-122.72</t>
  </si>
  <si>
    <t>168.43</t>
  </si>
  <si>
    <t>79.72</t>
  </si>
  <si>
    <t>850 760-3883</t>
  </si>
  <si>
    <t>25665829</t>
  </si>
  <si>
    <t>17578001</t>
  </si>
  <si>
    <t>QUANDRISCE LEWIS</t>
  </si>
  <si>
    <t>850 716 6262</t>
  </si>
  <si>
    <t>1976   NORTH R ST</t>
  </si>
  <si>
    <t>0108</t>
  </si>
  <si>
    <t>SABMRZLTF</t>
  </si>
  <si>
    <t>1049519</t>
  </si>
  <si>
    <t>-30.85</t>
  </si>
  <si>
    <t>-115.00</t>
  </si>
  <si>
    <t>247.88</t>
  </si>
  <si>
    <t>123.2</t>
  </si>
  <si>
    <t>119.69</t>
  </si>
  <si>
    <t>850 716-6262</t>
  </si>
  <si>
    <t>850 478-7557</t>
  </si>
  <si>
    <t>25665884</t>
  </si>
  <si>
    <t>66917310</t>
  </si>
  <si>
    <t>TAMEIKA CRAYTON</t>
  </si>
  <si>
    <t>218   MCKINLEY DR</t>
  </si>
  <si>
    <t>273458948</t>
  </si>
  <si>
    <t>937937</t>
  </si>
  <si>
    <t>07/17/2015</t>
  </si>
  <si>
    <t>-137.53</t>
  </si>
  <si>
    <t>843.91</t>
  </si>
  <si>
    <t>-33.98</t>
  </si>
  <si>
    <t>302.98</t>
  </si>
  <si>
    <t>266.19</t>
  </si>
  <si>
    <t>308.72</t>
  </si>
  <si>
    <t>2015-08-03 00:00:00</t>
  </si>
  <si>
    <t>850 454-5917</t>
  </si>
  <si>
    <t>25667695</t>
  </si>
  <si>
    <t>6614817</t>
  </si>
  <si>
    <t>SHANTA HOUSTON</t>
  </si>
  <si>
    <t>12/27/2014</t>
  </si>
  <si>
    <t>850 375 6103</t>
  </si>
  <si>
    <t xml:space="preserve">   185</t>
  </si>
  <si>
    <t>494444</t>
  </si>
  <si>
    <t>-182.78</t>
  </si>
  <si>
    <t>-199.29</t>
  </si>
  <si>
    <t>-173.80</t>
  </si>
  <si>
    <t>564.87</t>
  </si>
  <si>
    <t>182.79</t>
  </si>
  <si>
    <t>204.28</t>
  </si>
  <si>
    <t>850 375-6103</t>
  </si>
  <si>
    <t>25667728</t>
  </si>
  <si>
    <t>17740208</t>
  </si>
  <si>
    <t>JULIA HULL</t>
  </si>
  <si>
    <t>850 525 8582</t>
  </si>
  <si>
    <t>204   SAINT REGIS DR</t>
  </si>
  <si>
    <t>SABSZXHXB</t>
  </si>
  <si>
    <t>511349</t>
  </si>
  <si>
    <t>446.02</t>
  </si>
  <si>
    <t>150.99</t>
  </si>
  <si>
    <t>290.04</t>
  </si>
  <si>
    <t>850 525-8582</t>
  </si>
  <si>
    <t>25667732</t>
  </si>
  <si>
    <t>30817109</t>
  </si>
  <si>
    <t>MARK TYSON</t>
  </si>
  <si>
    <t>850 525 4565</t>
  </si>
  <si>
    <t>1520   KYLE DR</t>
  </si>
  <si>
    <t>0086</t>
  </si>
  <si>
    <t>3HW148WW02FA4</t>
  </si>
  <si>
    <t>2017841</t>
  </si>
  <si>
    <t>-172.73</t>
  </si>
  <si>
    <t>-171.47</t>
  </si>
  <si>
    <t>-130.00</t>
  </si>
  <si>
    <t>561.8</t>
  </si>
  <si>
    <t>194.23</t>
  </si>
  <si>
    <t>307.58</t>
  </si>
  <si>
    <t>2015-07-27 00:00:00</t>
  </si>
  <si>
    <t>850 525-4565</t>
  </si>
  <si>
    <t>25667750</t>
  </si>
  <si>
    <t>59088503</t>
  </si>
  <si>
    <t>GLORIA BALDWIN</t>
  </si>
  <si>
    <t>03/22/2000</t>
  </si>
  <si>
    <t>850 478 4816</t>
  </si>
  <si>
    <t>6623   HAMPTON RD</t>
  </si>
  <si>
    <t>3947</t>
  </si>
  <si>
    <t>R113768</t>
  </si>
  <si>
    <t>07/28/2015</t>
  </si>
  <si>
    <t>-89.00</t>
  </si>
  <si>
    <t>06/30/2015</t>
  </si>
  <si>
    <t>-214.83</t>
  </si>
  <si>
    <t>142.86</t>
  </si>
  <si>
    <t>36.25</t>
  </si>
  <si>
    <t>850 478-4816</t>
  </si>
  <si>
    <t>850 469-5493</t>
  </si>
  <si>
    <t>25667769</t>
  </si>
  <si>
    <t>67689106</t>
  </si>
  <si>
    <t>SKYLER JONES</t>
  </si>
  <si>
    <t>850 696 2908</t>
  </si>
  <si>
    <t>5531   EMPIRE DR</t>
  </si>
  <si>
    <t>0084</t>
  </si>
  <si>
    <t>244455649</t>
  </si>
  <si>
    <t>541542</t>
  </si>
  <si>
    <t>-200.25</t>
  </si>
  <si>
    <t>-198.50</t>
  </si>
  <si>
    <t>-172.00</t>
  </si>
  <si>
    <t>412.29</t>
  </si>
  <si>
    <t>209.54</t>
  </si>
  <si>
    <t>197.76</t>
  </si>
  <si>
    <t>850 696-2908</t>
  </si>
  <si>
    <t>25668625</t>
  </si>
  <si>
    <t>1728415</t>
  </si>
  <si>
    <t>SANTERRI ABRAMS</t>
  </si>
  <si>
    <t>850 470 7505</t>
  </si>
  <si>
    <t>201   BOONE ST</t>
  </si>
  <si>
    <t xml:space="preserve">  104E</t>
  </si>
  <si>
    <t>SABRHFSGH</t>
  </si>
  <si>
    <t>619910</t>
  </si>
  <si>
    <t>-172.50</t>
  </si>
  <si>
    <t>-177.54</t>
  </si>
  <si>
    <t>-154.00</t>
  </si>
  <si>
    <t>499.82</t>
  </si>
  <si>
    <t>189.09</t>
  </si>
  <si>
    <t>133.24</t>
  </si>
  <si>
    <t>172.5</t>
  </si>
  <si>
    <t>850 470-7505</t>
  </si>
  <si>
    <t>25668630</t>
  </si>
  <si>
    <t>2235714</t>
  </si>
  <si>
    <t>DIONNE BLACKMON</t>
  </si>
  <si>
    <t>01/12/2015</t>
  </si>
  <si>
    <t>850 760 8992</t>
  </si>
  <si>
    <t>700   TRUMAN AVE</t>
  </si>
  <si>
    <t>SABRTBJWF</t>
  </si>
  <si>
    <t>510173</t>
  </si>
  <si>
    <t>-151.00</t>
  </si>
  <si>
    <t>-169.67</t>
  </si>
  <si>
    <t>-134.00</t>
  </si>
  <si>
    <t>286.25</t>
  </si>
  <si>
    <t>133.6</t>
  </si>
  <si>
    <t>147.66</t>
  </si>
  <si>
    <t>850 760-8992</t>
  </si>
  <si>
    <t>25668653</t>
  </si>
  <si>
    <t>5303016</t>
  </si>
  <si>
    <t>JAMES COX</t>
  </si>
  <si>
    <t>850 602 5810</t>
  </si>
  <si>
    <t>2407  N T ST</t>
  </si>
  <si>
    <t>SABQSRLLZ</t>
  </si>
  <si>
    <t>389290</t>
  </si>
  <si>
    <t>437.86</t>
  </si>
  <si>
    <t>190.85</t>
  </si>
  <si>
    <t>182.04</t>
  </si>
  <si>
    <t>64.97</t>
  </si>
  <si>
    <t>850 602-5810</t>
  </si>
  <si>
    <t>25668704</t>
  </si>
  <si>
    <t>68858214</t>
  </si>
  <si>
    <t>Johnlicia Blunt</t>
  </si>
  <si>
    <t>850 485 9297</t>
  </si>
  <si>
    <t>211   TENNESSEE DR</t>
  </si>
  <si>
    <t>SABQSVJDQ</t>
  </si>
  <si>
    <t>897929</t>
  </si>
  <si>
    <t>0005824</t>
  </si>
  <si>
    <t>8.07</t>
  </si>
  <si>
    <t>850 485-9297</t>
  </si>
  <si>
    <t>25668739</t>
  </si>
  <si>
    <t>45965115</t>
  </si>
  <si>
    <t>Edna Fox</t>
  </si>
  <si>
    <t>12/19/2014</t>
  </si>
  <si>
    <t>850 292 6536</t>
  </si>
  <si>
    <t>3   BENSON PL</t>
  </si>
  <si>
    <t>SABWDPKPN</t>
  </si>
  <si>
    <t>879204</t>
  </si>
  <si>
    <t>-172.16</t>
  </si>
  <si>
    <t>-74.40</t>
  </si>
  <si>
    <t>438.01</t>
  </si>
  <si>
    <t>172.15</t>
  </si>
  <si>
    <t>260.87</t>
  </si>
  <si>
    <t>850 292-6536</t>
  </si>
  <si>
    <t>25668757</t>
  </si>
  <si>
    <t>66181606</t>
  </si>
  <si>
    <t>JOYCE PRESSLEY</t>
  </si>
  <si>
    <t>6405   FAIRVIEW DR</t>
  </si>
  <si>
    <t>DCS4M13003430</t>
  </si>
  <si>
    <t>442946</t>
  </si>
  <si>
    <t>793.42</t>
  </si>
  <si>
    <t>28.24</t>
  </si>
  <si>
    <t>284.27</t>
  </si>
  <si>
    <t>303.88</t>
  </si>
  <si>
    <t>177.03</t>
  </si>
  <si>
    <t>850 994-9309</t>
  </si>
  <si>
    <t>25668766</t>
  </si>
  <si>
    <t>67040216</t>
  </si>
  <si>
    <t>TRINIA GAINER</t>
  </si>
  <si>
    <t>404 955 2313</t>
  </si>
  <si>
    <t>171   BOONE ST</t>
  </si>
  <si>
    <t xml:space="preserve">  207B</t>
  </si>
  <si>
    <t>SABLQSRFX</t>
  </si>
  <si>
    <t>770635</t>
  </si>
  <si>
    <t>20</t>
  </si>
  <si>
    <t>-205.84</t>
  </si>
  <si>
    <t>-144.80</t>
  </si>
  <si>
    <t>577.1</t>
  </si>
  <si>
    <t>274.32</t>
  </si>
  <si>
    <t>99.86</t>
  </si>
  <si>
    <t>197.93</t>
  </si>
  <si>
    <t>404 955-2313</t>
  </si>
  <si>
    <t>25668795</t>
  </si>
  <si>
    <t>71165322</t>
  </si>
  <si>
    <t>ANTAWN LEWIS</t>
  </si>
  <si>
    <t>02/01/2015</t>
  </si>
  <si>
    <t>850 791 0871</t>
  </si>
  <si>
    <t>164   DIEGO CIR</t>
  </si>
  <si>
    <t>SABMZDVWH</t>
  </si>
  <si>
    <t>530230</t>
  </si>
  <si>
    <t>-124.73</t>
  </si>
  <si>
    <t>620.29</t>
  </si>
  <si>
    <t>200.62</t>
  </si>
  <si>
    <t>156.97</t>
  </si>
  <si>
    <t>122.7</t>
  </si>
  <si>
    <t>140</t>
  </si>
  <si>
    <t>2015-07-28 00:00:00</t>
  </si>
  <si>
    <t>850 791-0871</t>
  </si>
  <si>
    <t>25672332</t>
  </si>
  <si>
    <t>11347202</t>
  </si>
  <si>
    <t>IZEAL RICH</t>
  </si>
  <si>
    <t>850 453 0025</t>
  </si>
  <si>
    <t>1129   WEBSTER DR</t>
  </si>
  <si>
    <t>0045</t>
  </si>
  <si>
    <t>641BMK4AR029720</t>
  </si>
  <si>
    <t>2305820</t>
  </si>
  <si>
    <t>-119.49</t>
  </si>
  <si>
    <t>-115.50</t>
  </si>
  <si>
    <t>-234.91</t>
  </si>
  <si>
    <t>239.98</t>
  </si>
  <si>
    <t>119.49</t>
  </si>
  <si>
    <t>115.5</t>
  </si>
  <si>
    <t>2011-03-07 00:00:00</t>
  </si>
  <si>
    <t>850 453-0025</t>
  </si>
  <si>
    <t>25672361</t>
  </si>
  <si>
    <t>13668514</t>
  </si>
  <si>
    <t>BEVERLY A WILLIAMS</t>
  </si>
  <si>
    <t>850 542 5767</t>
  </si>
  <si>
    <t>5406   GLASS DR</t>
  </si>
  <si>
    <t>267895</t>
  </si>
  <si>
    <t>222.23</t>
  </si>
  <si>
    <t>128.12</t>
  </si>
  <si>
    <t>850 542-5767</t>
  </si>
  <si>
    <t>25672449</t>
  </si>
  <si>
    <t>66045109</t>
  </si>
  <si>
    <t>RANDALL DAVIS</t>
  </si>
  <si>
    <t>04/14/2008</t>
  </si>
  <si>
    <t>850 485 5400</t>
  </si>
  <si>
    <t>519   CARY MEMORIAL DR</t>
  </si>
  <si>
    <t>[0HYTV080SN61]</t>
  </si>
  <si>
    <t>R145332</t>
  </si>
  <si>
    <t>-70.98</t>
  </si>
  <si>
    <t>-66.99</t>
  </si>
  <si>
    <t>159.52</t>
  </si>
  <si>
    <t>92.48</t>
  </si>
  <si>
    <t>62.05</t>
  </si>
  <si>
    <t>2014-07-28 00:00:00</t>
  </si>
  <si>
    <t>850 485-5400</t>
  </si>
  <si>
    <t>25672452</t>
  </si>
  <si>
    <t>66397508</t>
  </si>
  <si>
    <t>FELISHA PERRY</t>
  </si>
  <si>
    <t>89  S MADISON DR</t>
  </si>
  <si>
    <t>SABWGHVVZ</t>
  </si>
  <si>
    <t>2028948</t>
  </si>
  <si>
    <t>479.28</t>
  </si>
  <si>
    <t>135.7</t>
  </si>
  <si>
    <t>225.34</t>
  </si>
  <si>
    <t>118.24</t>
  </si>
  <si>
    <t>850 288-8958</t>
  </si>
  <si>
    <t>25672456</t>
  </si>
  <si>
    <t>66878919</t>
  </si>
  <si>
    <t>Dikeya Williams</t>
  </si>
  <si>
    <t>205 543 5366</t>
  </si>
  <si>
    <t>3811  N S ST</t>
  </si>
  <si>
    <t>4649</t>
  </si>
  <si>
    <t>2DV324UK03386</t>
  </si>
  <si>
    <t>919101</t>
  </si>
  <si>
    <t>07/19/2015</t>
  </si>
  <si>
    <t>-103.99</t>
  </si>
  <si>
    <t>273.97</t>
  </si>
  <si>
    <t>102.99</t>
  </si>
  <si>
    <t>66.99</t>
  </si>
  <si>
    <t>103.99</t>
  </si>
  <si>
    <t>205 543-5366</t>
  </si>
  <si>
    <t>25672473</t>
  </si>
  <si>
    <t>68268106</t>
  </si>
  <si>
    <t>ANGELA KELLY</t>
  </si>
  <si>
    <t>850 346 9935</t>
  </si>
  <si>
    <t>3700  W LLOYD ST</t>
  </si>
  <si>
    <t>0113</t>
  </si>
  <si>
    <t>D5Y3R44002601</t>
  </si>
  <si>
    <t>2017798</t>
  </si>
  <si>
    <t>-218.70</t>
  </si>
  <si>
    <t>-202.53</t>
  </si>
  <si>
    <t>02/12/2015</t>
  </si>
  <si>
    <t>-174.27</t>
  </si>
  <si>
    <t>466.14</t>
  </si>
  <si>
    <t>133.27</t>
  </si>
  <si>
    <t>114.17</t>
  </si>
  <si>
    <t>218.7</t>
  </si>
  <si>
    <t>850 346-9935</t>
  </si>
  <si>
    <t>25672474</t>
  </si>
  <si>
    <t>68309508</t>
  </si>
  <si>
    <t>VICKY COOK</t>
  </si>
  <si>
    <t>01/14/2015</t>
  </si>
  <si>
    <t>850 291 8112</t>
  </si>
  <si>
    <t>39   MURPHY LN</t>
  </si>
  <si>
    <t>4450</t>
  </si>
  <si>
    <t>Z453298</t>
  </si>
  <si>
    <t>-35.27</t>
  </si>
  <si>
    <t>-64.55</t>
  </si>
  <si>
    <t>78.53</t>
  </si>
  <si>
    <t>49.27</t>
  </si>
  <si>
    <t>24.27</t>
  </si>
  <si>
    <t>850 291-8112</t>
  </si>
  <si>
    <t>25672491</t>
  </si>
  <si>
    <t>70060316</t>
  </si>
  <si>
    <t>LATOYA JOHNSON</t>
  </si>
  <si>
    <t>11/16/2014</t>
  </si>
  <si>
    <t>850 287 0325</t>
  </si>
  <si>
    <t>1205   RIO GRANDE CIR</t>
  </si>
  <si>
    <t>243587607</t>
  </si>
  <si>
    <t>746053</t>
  </si>
  <si>
    <t>-316.20</t>
  </si>
  <si>
    <t>631.89</t>
  </si>
  <si>
    <t>85</t>
  </si>
  <si>
    <t>69.08</t>
  </si>
  <si>
    <t>477.81</t>
  </si>
  <si>
    <t>850 287-0325</t>
  </si>
  <si>
    <t>25656461</t>
  </si>
  <si>
    <t>11115303</t>
  </si>
  <si>
    <t>TREVINO SNOWDEN</t>
  </si>
  <si>
    <t>10/04/2014</t>
  </si>
  <si>
    <t>850 221 7161</t>
  </si>
  <si>
    <t>3304  W MALLORY ST</t>
  </si>
  <si>
    <t>5056</t>
  </si>
  <si>
    <t>SABPWCRGC</t>
  </si>
  <si>
    <t>901941</t>
  </si>
  <si>
    <t>-163.39</t>
  </si>
  <si>
    <t>-67.11</t>
  </si>
  <si>
    <t>460</t>
  </si>
  <si>
    <t>-12.98</t>
  </si>
  <si>
    <t>159.72</t>
  </si>
  <si>
    <t>149.87</t>
  </si>
  <si>
    <t>163.39</t>
  </si>
  <si>
    <t>850 221-7161</t>
  </si>
  <si>
    <t>25659531</t>
  </si>
  <si>
    <t>562420</t>
  </si>
  <si>
    <t>Jaquita Gandy</t>
  </si>
  <si>
    <t>850 356 4766</t>
  </si>
  <si>
    <t>SABNKRGTZ</t>
  </si>
  <si>
    <t>864231</t>
  </si>
  <si>
    <t>450.54</t>
  </si>
  <si>
    <t>172.77</t>
  </si>
  <si>
    <t>177.1</t>
  </si>
  <si>
    <t>90.67</t>
  </si>
  <si>
    <t>850 356-4766</t>
  </si>
  <si>
    <t>25659655</t>
  </si>
  <si>
    <t>31617416</t>
  </si>
  <si>
    <t>HAROLD SYKES</t>
  </si>
  <si>
    <t>850 512 5203</t>
  </si>
  <si>
    <t>1001  N U ST</t>
  </si>
  <si>
    <t>SABNBRHJB</t>
  </si>
  <si>
    <t>854362</t>
  </si>
  <si>
    <t>983.52</t>
  </si>
  <si>
    <t>186.06</t>
  </si>
  <si>
    <t>167.97</t>
  </si>
  <si>
    <t>629.49</t>
  </si>
  <si>
    <t>850 512-5203</t>
  </si>
  <si>
    <t>25659663</t>
  </si>
  <si>
    <t>51444815</t>
  </si>
  <si>
    <t>YOLANDA CHAMPION</t>
  </si>
  <si>
    <t>05/06/2014</t>
  </si>
  <si>
    <t>850 494 1157</t>
  </si>
  <si>
    <t>1161   CAPITOL BLVD</t>
  </si>
  <si>
    <t>SABRNJNSQ</t>
  </si>
  <si>
    <t>006601</t>
  </si>
  <si>
    <t>-585.70</t>
  </si>
  <si>
    <t>-181.14</t>
  </si>
  <si>
    <t>1128.34</t>
  </si>
  <si>
    <t>39.46</t>
  </si>
  <si>
    <t>263.88</t>
  </si>
  <si>
    <t>239.3</t>
  </si>
  <si>
    <t>585.7</t>
  </si>
  <si>
    <t>850 494-1157</t>
  </si>
  <si>
    <t>25662746</t>
  </si>
  <si>
    <t>25665838</t>
  </si>
  <si>
    <t>25667699</t>
  </si>
  <si>
    <t>25667738</t>
  </si>
  <si>
    <t>39146606</t>
  </si>
  <si>
    <t>Marquese Banks</t>
  </si>
  <si>
    <t>02/03/2015</t>
  </si>
  <si>
    <t>850 293 8031</t>
  </si>
  <si>
    <t>6412   WAGNER RD</t>
  </si>
  <si>
    <t>SABWQBMDG</t>
  </si>
  <si>
    <t>442994</t>
  </si>
  <si>
    <t>R113407</t>
  </si>
  <si>
    <t>-260.00</t>
  </si>
  <si>
    <t>-270.00</t>
  </si>
  <si>
    <t>1209.59</t>
  </si>
  <si>
    <t>825.52</t>
  </si>
  <si>
    <t>236.63</t>
  </si>
  <si>
    <t>101.39</t>
  </si>
  <si>
    <t>850 293-8031</t>
  </si>
  <si>
    <t>25672467</t>
  </si>
  <si>
    <t>25656498</t>
  </si>
  <si>
    <t>17021801</t>
  </si>
  <si>
    <t>EMERALD COAST</t>
  </si>
  <si>
    <t>850 460 2846</t>
  </si>
  <si>
    <t>4211   COMMONS DR</t>
  </si>
  <si>
    <t xml:space="preserve">  1109</t>
  </si>
  <si>
    <t>DESTIN</t>
  </si>
  <si>
    <t>32541</t>
  </si>
  <si>
    <t xml:space="preserve"> 420</t>
  </si>
  <si>
    <t>DAR62GN</t>
  </si>
  <si>
    <t>887BNE8AC437861</t>
  </si>
  <si>
    <t>HUBD</t>
  </si>
  <si>
    <t>637252</t>
  </si>
  <si>
    <t>31711</t>
  </si>
  <si>
    <t>-112.41</t>
  </si>
  <si>
    <t>-112.37</t>
  </si>
  <si>
    <t>377.5</t>
  </si>
  <si>
    <t>159.53</t>
  </si>
  <si>
    <t>116.4</t>
  </si>
  <si>
    <t>101.57</t>
  </si>
  <si>
    <t>850 460-2846</t>
  </si>
  <si>
    <t>25659726</t>
  </si>
  <si>
    <t>74609102</t>
  </si>
  <si>
    <t>CHRISTI WALDHEIM</t>
  </si>
  <si>
    <t>10/03/2011</t>
  </si>
  <si>
    <t>850 259 7630</t>
  </si>
  <si>
    <t>63   LINWOOD RD</t>
  </si>
  <si>
    <t>FORT WALTON BEACH</t>
  </si>
  <si>
    <t>32547</t>
  </si>
  <si>
    <t xml:space="preserve"> 433</t>
  </si>
  <si>
    <t>[0HZR6V90PH91]</t>
  </si>
  <si>
    <t>HUBF</t>
  </si>
  <si>
    <t>429843</t>
  </si>
  <si>
    <t>-177.65</t>
  </si>
  <si>
    <t>-181.97</t>
  </si>
  <si>
    <t>-178.70</t>
  </si>
  <si>
    <t>337.42</t>
  </si>
  <si>
    <t>21.2</t>
  </si>
  <si>
    <t>188.56</t>
  </si>
  <si>
    <t>87.66</t>
  </si>
  <si>
    <t>40</t>
  </si>
  <si>
    <t>850 259-7630</t>
  </si>
  <si>
    <t>25659600</t>
  </si>
  <si>
    <t>12059705</t>
  </si>
  <si>
    <t>Raine King</t>
  </si>
  <si>
    <t>850 218 7137</t>
  </si>
  <si>
    <t>936   BARROW ST</t>
  </si>
  <si>
    <t xml:space="preserve"> 432</t>
  </si>
  <si>
    <t>X280182</t>
  </si>
  <si>
    <t>685186</t>
  </si>
  <si>
    <t>-61.19</t>
  </si>
  <si>
    <t>287.1</t>
  </si>
  <si>
    <t>113.78</t>
  </si>
  <si>
    <t>168.33</t>
  </si>
  <si>
    <t>850 218-7137</t>
  </si>
  <si>
    <t>25662732</t>
  </si>
  <si>
    <t>14980304</t>
  </si>
  <si>
    <t>Lisa Frederick</t>
  </si>
  <si>
    <t>850 533 9336</t>
  </si>
  <si>
    <t>5874   WILLOW LN</t>
  </si>
  <si>
    <t xml:space="preserve">  BACK</t>
  </si>
  <si>
    <t>CRESTVIEW</t>
  </si>
  <si>
    <t>32539</t>
  </si>
  <si>
    <t xml:space="preserve"> 411</t>
  </si>
  <si>
    <t>X346190</t>
  </si>
  <si>
    <t>264328231</t>
  </si>
  <si>
    <t>HUBC</t>
  </si>
  <si>
    <t>819994</t>
  </si>
  <si>
    <t>-194.45</t>
  </si>
  <si>
    <t>-168.26</t>
  </si>
  <si>
    <t>-149.82</t>
  </si>
  <si>
    <t>502.3</t>
  </si>
  <si>
    <t>150.93</t>
  </si>
  <si>
    <t>215.16</t>
  </si>
  <si>
    <t>136.21</t>
  </si>
  <si>
    <t>850 533-9336</t>
  </si>
  <si>
    <t>25665805</t>
  </si>
  <si>
    <t>13862902</t>
  </si>
  <si>
    <t>STEVEN CRAFT</t>
  </si>
  <si>
    <t>601 427 9004</t>
  </si>
  <si>
    <t>4141   INDIAN BYU</t>
  </si>
  <si>
    <t>45U14BW20324F</t>
  </si>
  <si>
    <t>-294.61</t>
  </si>
  <si>
    <t>280.37</t>
  </si>
  <si>
    <t>97.56</t>
  </si>
  <si>
    <t>92.57</t>
  </si>
  <si>
    <t>69.04</t>
  </si>
  <si>
    <t>601 427-9004</t>
  </si>
  <si>
    <t>25665959</t>
  </si>
  <si>
    <t>77066703</t>
  </si>
  <si>
    <t>MR DEAN A GORDON</t>
  </si>
  <si>
    <t>01/13/1998</t>
  </si>
  <si>
    <t>850 581 3330</t>
  </si>
  <si>
    <t>604   LAKEVIEW ST</t>
  </si>
  <si>
    <t>MARY ESTHER</t>
  </si>
  <si>
    <t>32569</t>
  </si>
  <si>
    <t xml:space="preserve"> 426</t>
  </si>
  <si>
    <t>DTS2600</t>
  </si>
  <si>
    <t>[3412969610]</t>
  </si>
  <si>
    <t>2300790</t>
  </si>
  <si>
    <t>-150.87</t>
  </si>
  <si>
    <t>-210.00</t>
  </si>
  <si>
    <t>-208.84</t>
  </si>
  <si>
    <t>360.54</t>
  </si>
  <si>
    <t>250.98</t>
  </si>
  <si>
    <t>88.36</t>
  </si>
  <si>
    <t>850 581-3330</t>
  </si>
  <si>
    <t>25665960</t>
  </si>
  <si>
    <t>77071020</t>
  </si>
  <si>
    <t>KIM KOMULA</t>
  </si>
  <si>
    <t>08/30/2014</t>
  </si>
  <si>
    <t>850 226 6509</t>
  </si>
  <si>
    <t>5   MOONEY RD</t>
  </si>
  <si>
    <t xml:space="preserve">    H6</t>
  </si>
  <si>
    <t>266714497</t>
  </si>
  <si>
    <t>373885</t>
  </si>
  <si>
    <t>-50.01</t>
  </si>
  <si>
    <t>158.74</t>
  </si>
  <si>
    <t>80.18</t>
  </si>
  <si>
    <t>57.36</t>
  </si>
  <si>
    <t>2013-10-08 00:00:00</t>
  </si>
  <si>
    <t>850 226-6509</t>
  </si>
  <si>
    <t>25672278</t>
  </si>
  <si>
    <t>4937510</t>
  </si>
  <si>
    <t>SAMANTHA CHAPPELL</t>
  </si>
  <si>
    <t>07/09/2014</t>
  </si>
  <si>
    <t>850 226 4508</t>
  </si>
  <si>
    <t>2414   WINTER PARK CT</t>
  </si>
  <si>
    <t xml:space="preserve"> 425</t>
  </si>
  <si>
    <t>236522375</t>
  </si>
  <si>
    <t>390945</t>
  </si>
  <si>
    <t>-180.00</t>
  </si>
  <si>
    <t>-209.89</t>
  </si>
  <si>
    <t>-218.85</t>
  </si>
  <si>
    <t>388.04</t>
  </si>
  <si>
    <t>42.13</t>
  </si>
  <si>
    <t>230.57</t>
  </si>
  <si>
    <t>115.34</t>
  </si>
  <si>
    <t>850 226-4508</t>
  </si>
  <si>
    <t>850 797-7782</t>
  </si>
  <si>
    <t>25672335</t>
  </si>
  <si>
    <t>11573104</t>
  </si>
  <si>
    <t>TRACY HEFFERNAN</t>
  </si>
  <si>
    <t>901 493 0464</t>
  </si>
  <si>
    <t>765   MAJESTIC DR</t>
  </si>
  <si>
    <t>32536</t>
  </si>
  <si>
    <t xml:space="preserve"> 410</t>
  </si>
  <si>
    <t>SABTVZFFV</t>
  </si>
  <si>
    <t>583368</t>
  </si>
  <si>
    <t>-393.72</t>
  </si>
  <si>
    <t>-195.75</t>
  </si>
  <si>
    <t>259.18</t>
  </si>
  <si>
    <t>206.59</t>
  </si>
  <si>
    <t>31.39</t>
  </si>
  <si>
    <t>901 493-0464</t>
  </si>
  <si>
    <t>25672552</t>
  </si>
  <si>
    <t>77196515</t>
  </si>
  <si>
    <t>NATHANIEL HAWTHORNE</t>
  </si>
  <si>
    <t>110   DAVID ST</t>
  </si>
  <si>
    <t xml:space="preserve">    6C</t>
  </si>
  <si>
    <t>638472</t>
  </si>
  <si>
    <t>-81.00</t>
  </si>
  <si>
    <t>06/21/2015</t>
  </si>
  <si>
    <t>-143.00</t>
  </si>
  <si>
    <t>93.49</t>
  </si>
  <si>
    <t>88.5</t>
  </si>
  <si>
    <t>999 999-0999</t>
  </si>
  <si>
    <t>25662740</t>
  </si>
  <si>
    <t>25656462</t>
  </si>
  <si>
    <t>11234902</t>
  </si>
  <si>
    <t>JAROD TINDAL</t>
  </si>
  <si>
    <t>12/07/2014</t>
  </si>
  <si>
    <t>850 217 0919</t>
  </si>
  <si>
    <t>112   SEASCAPE DR</t>
  </si>
  <si>
    <t xml:space="preserve">  2107</t>
  </si>
  <si>
    <t>MIRAMAR BEACH</t>
  </si>
  <si>
    <t>32550</t>
  </si>
  <si>
    <t>428</t>
  </si>
  <si>
    <t>D7K4D31000822</t>
  </si>
  <si>
    <t>0007394</t>
  </si>
  <si>
    <t>31713</t>
  </si>
  <si>
    <t>-418.89</t>
  </si>
  <si>
    <t>-263.26</t>
  </si>
  <si>
    <t>12/26/2014</t>
  </si>
  <si>
    <t>-230.95</t>
  </si>
  <si>
    <t>311.76</t>
  </si>
  <si>
    <t>132.13</t>
  </si>
  <si>
    <t>174.64</t>
  </si>
  <si>
    <t>850 217-0919</t>
  </si>
  <si>
    <t>Alex</t>
  </si>
  <si>
    <t>25656478</t>
  </si>
  <si>
    <t>13769405</t>
  </si>
  <si>
    <t>SHERRY ROEDEL</t>
  </si>
  <si>
    <t>12/17/2012</t>
  </si>
  <si>
    <t>850 240 2665</t>
  </si>
  <si>
    <t>216B   1ST ST</t>
  </si>
  <si>
    <t>32548</t>
  </si>
  <si>
    <t xml:space="preserve"> 430</t>
  </si>
  <si>
    <t>260107784</t>
  </si>
  <si>
    <t>2298945</t>
  </si>
  <si>
    <t>-73.89</t>
  </si>
  <si>
    <t>-52.74</t>
  </si>
  <si>
    <t>236.65</t>
  </si>
  <si>
    <t>139.91</t>
  </si>
  <si>
    <t>91.75</t>
  </si>
  <si>
    <t>850 240-2665</t>
  </si>
  <si>
    <t>25656604</t>
  </si>
  <si>
    <t>74691013</t>
  </si>
  <si>
    <t>KRISTINA SCHOOLCRAFT</t>
  </si>
  <si>
    <t>06/11/2013</t>
  </si>
  <si>
    <t>850 226 8522</t>
  </si>
  <si>
    <t>410   SHERRY CIR</t>
  </si>
  <si>
    <t xml:space="preserve"> 421</t>
  </si>
  <si>
    <t>244022747</t>
  </si>
  <si>
    <t>2306550</t>
  </si>
  <si>
    <t>-225.98</t>
  </si>
  <si>
    <t>05/14/2015</t>
  </si>
  <si>
    <t>-370.75</t>
  </si>
  <si>
    <t>-195.97</t>
  </si>
  <si>
    <t>407.86</t>
  </si>
  <si>
    <t>205.96</t>
  </si>
  <si>
    <t>196.91</t>
  </si>
  <si>
    <t>2015-04-27 00:00:00</t>
  </si>
  <si>
    <t>850 226-8522</t>
  </si>
  <si>
    <t>25656606</t>
  </si>
  <si>
    <t>74865525</t>
  </si>
  <si>
    <t>LAWRENCE POSEY</t>
  </si>
  <si>
    <t xml:space="preserve">    D5</t>
  </si>
  <si>
    <t>SABWDHXVV</t>
  </si>
  <si>
    <t>423366</t>
  </si>
  <si>
    <t>620996</t>
  </si>
  <si>
    <t>-149.53</t>
  </si>
  <si>
    <t>03/09/2015</t>
  </si>
  <si>
    <t>380.67</t>
  </si>
  <si>
    <t>198.64</t>
  </si>
  <si>
    <t>177.04</t>
  </si>
  <si>
    <t>850 543-7494</t>
  </si>
  <si>
    <t>25656611</t>
  </si>
  <si>
    <t>75608628</t>
  </si>
  <si>
    <t>Ana Tabres</t>
  </si>
  <si>
    <t>09/09/2014</t>
  </si>
  <si>
    <t>850 313 8093</t>
  </si>
  <si>
    <t>645   JAMES LEE RD</t>
  </si>
  <si>
    <t xml:space="preserve">   253</t>
  </si>
  <si>
    <t>SABMQBFFG</t>
  </si>
  <si>
    <t>427516</t>
  </si>
  <si>
    <t>-122.16</t>
  </si>
  <si>
    <t>250.65</t>
  </si>
  <si>
    <t>126.22</t>
  </si>
  <si>
    <t>119.44</t>
  </si>
  <si>
    <t>850 313-8093</t>
  </si>
  <si>
    <t>25656617</t>
  </si>
  <si>
    <t>75859536</t>
  </si>
  <si>
    <t>Donald BUCK</t>
  </si>
  <si>
    <t>850 586 2192</t>
  </si>
  <si>
    <t>1013   HOLTON AVE</t>
  </si>
  <si>
    <t>DCD4D31003950</t>
  </si>
  <si>
    <t>385401</t>
  </si>
  <si>
    <t>152.97</t>
  </si>
  <si>
    <t>66.26</t>
  </si>
  <si>
    <t>50.41</t>
  </si>
  <si>
    <t>36.3</t>
  </si>
  <si>
    <t>850 586-2192</t>
  </si>
  <si>
    <t>25656620</t>
  </si>
  <si>
    <t>75977330</t>
  </si>
  <si>
    <t>MELISSA JORDAN</t>
  </si>
  <si>
    <t>08/09/2013</t>
  </si>
  <si>
    <t>850 226 1573</t>
  </si>
  <si>
    <t>609   COLONIAL DR</t>
  </si>
  <si>
    <t>SABPDDPSB</t>
  </si>
  <si>
    <t>421211</t>
  </si>
  <si>
    <t>-95.33</t>
  </si>
  <si>
    <t>-156.78</t>
  </si>
  <si>
    <t>-78.39</t>
  </si>
  <si>
    <t>364.54</t>
  </si>
  <si>
    <t>8.32</t>
  </si>
  <si>
    <t>111.12</t>
  </si>
  <si>
    <t>245.1</t>
  </si>
  <si>
    <t>850 226-1573</t>
  </si>
  <si>
    <t>25656625</t>
  </si>
  <si>
    <t>76487002</t>
  </si>
  <si>
    <t>RICHARD FAULK</t>
  </si>
  <si>
    <t>01/04/2011</t>
  </si>
  <si>
    <t>850 581 2957</t>
  </si>
  <si>
    <t>471   LAKEVIEW ST</t>
  </si>
  <si>
    <t>[0HYTSSTK6DG4]</t>
  </si>
  <si>
    <t>2336263</t>
  </si>
  <si>
    <t>-390.98</t>
  </si>
  <si>
    <t>-394.77</t>
  </si>
  <si>
    <t>01/21/2015</t>
  </si>
  <si>
    <t>-385.25</t>
  </si>
  <si>
    <t>592.01</t>
  </si>
  <si>
    <t>206.88</t>
  </si>
  <si>
    <t>346.23</t>
  </si>
  <si>
    <t>38.9</t>
  </si>
  <si>
    <t>850 581-2957</t>
  </si>
  <si>
    <t>25656634</t>
  </si>
  <si>
    <t>77478502</t>
  </si>
  <si>
    <t>JERRY FINLEY</t>
  </si>
  <si>
    <t>05/31/2002</t>
  </si>
  <si>
    <t>850 314 0870</t>
  </si>
  <si>
    <t>766   OVERBROOK DR</t>
  </si>
  <si>
    <t>[502490439823]</t>
  </si>
  <si>
    <t>2111636</t>
  </si>
  <si>
    <t>-87.26</t>
  </si>
  <si>
    <t>-209.05</t>
  </si>
  <si>
    <t>03/22/2015</t>
  </si>
  <si>
    <t>-213.04</t>
  </si>
  <si>
    <t>103.45</t>
  </si>
  <si>
    <t>38.97</t>
  </si>
  <si>
    <t>33.98</t>
  </si>
  <si>
    <t>30.5</t>
  </si>
  <si>
    <t>850 314-0870</t>
  </si>
  <si>
    <t>850 302-6557</t>
  </si>
  <si>
    <t>25656657</t>
  </si>
  <si>
    <t>80625727</t>
  </si>
  <si>
    <t>JEAN VELEZ</t>
  </si>
  <si>
    <t>921   DENTON BLVD</t>
  </si>
  <si>
    <t xml:space="preserve">   404</t>
  </si>
  <si>
    <t>D6F4D31006104</t>
  </si>
  <si>
    <t>441538</t>
  </si>
  <si>
    <t>-169.66</t>
  </si>
  <si>
    <t>-241.63</t>
  </si>
  <si>
    <t>360.06</t>
  </si>
  <si>
    <t>84.56</t>
  </si>
  <si>
    <t>92.98</t>
  </si>
  <si>
    <t>182.52</t>
  </si>
  <si>
    <t>929 225-7044</t>
  </si>
  <si>
    <t>25656658</t>
  </si>
  <si>
    <t>80649512</t>
  </si>
  <si>
    <t>TASHA WINDOW</t>
  </si>
  <si>
    <t>03/05/2015</t>
  </si>
  <si>
    <t>000000   BLD 90368</t>
  </si>
  <si>
    <t xml:space="preserve"> 205B</t>
  </si>
  <si>
    <t>HURLBURT FIELD</t>
  </si>
  <si>
    <t>32544</t>
  </si>
  <si>
    <t xml:space="preserve"> 429</t>
  </si>
  <si>
    <t>D7U4D31005161</t>
  </si>
  <si>
    <t>716239</t>
  </si>
  <si>
    <t>-57.40</t>
  </si>
  <si>
    <t>-121.00</t>
  </si>
  <si>
    <t>127.77</t>
  </si>
  <si>
    <t>61.39</t>
  </si>
  <si>
    <t>210 243-0132</t>
  </si>
  <si>
    <t>25656663</t>
  </si>
  <si>
    <t>81185712</t>
  </si>
  <si>
    <t>William Ramey</t>
  </si>
  <si>
    <t>10/27/2014</t>
  </si>
  <si>
    <t>701 500 9955</t>
  </si>
  <si>
    <t>204   DAVENPORT RD</t>
  </si>
  <si>
    <t>D554M13002231</t>
  </si>
  <si>
    <t>869332</t>
  </si>
  <si>
    <t>-75.85</t>
  </si>
  <si>
    <t>-75.27</t>
  </si>
  <si>
    <t>585.64</t>
  </si>
  <si>
    <t>207.12</t>
  </si>
  <si>
    <t>213.82</t>
  </si>
  <si>
    <t>164.7</t>
  </si>
  <si>
    <t>701 500-9955</t>
  </si>
  <si>
    <t>25659715</t>
  </si>
  <si>
    <t>73250905</t>
  </si>
  <si>
    <t>Maranda Lambert</t>
  </si>
  <si>
    <t>09/10/2014</t>
  </si>
  <si>
    <t>801   LARK ST</t>
  </si>
  <si>
    <t>[374781413406037410020022]</t>
  </si>
  <si>
    <t>900236</t>
  </si>
  <si>
    <t>-53.22</t>
  </si>
  <si>
    <t>-90.97</t>
  </si>
  <si>
    <t>-169.72</t>
  </si>
  <si>
    <t>195.61</t>
  </si>
  <si>
    <t>104.96</t>
  </si>
  <si>
    <t>85.66</t>
  </si>
  <si>
    <t>850 543-9925</t>
  </si>
  <si>
    <t>25659717</t>
  </si>
  <si>
    <t>73602012</t>
  </si>
  <si>
    <t>MICHAEL GARDNER</t>
  </si>
  <si>
    <t>850 974 1152</t>
  </si>
  <si>
    <t>730   SAILFISH DR</t>
  </si>
  <si>
    <t xml:space="preserve"> 427</t>
  </si>
  <si>
    <t>236766382</t>
  </si>
  <si>
    <t>647845</t>
  </si>
  <si>
    <t>-90.33</t>
  </si>
  <si>
    <t>-128.00</t>
  </si>
  <si>
    <t>11/21/2014</t>
  </si>
  <si>
    <t>-122.78</t>
  </si>
  <si>
    <t>148.37</t>
  </si>
  <si>
    <t>71.69</t>
  </si>
  <si>
    <t>850 974-1152</t>
  </si>
  <si>
    <t>25659719</t>
  </si>
  <si>
    <t>73901103</t>
  </si>
  <si>
    <t>LINDA QUALLS</t>
  </si>
  <si>
    <t>850 376 2495</t>
  </si>
  <si>
    <t>41   WOODHAM AVE</t>
  </si>
  <si>
    <t>[0HYVRW4BH3J6]</t>
  </si>
  <si>
    <t>696526</t>
  </si>
  <si>
    <t>-60.15</t>
  </si>
  <si>
    <t>133.28</t>
  </si>
  <si>
    <t>64.15</t>
  </si>
  <si>
    <t>64.14</t>
  </si>
  <si>
    <t>850 376-2495</t>
  </si>
  <si>
    <t>25659731</t>
  </si>
  <si>
    <t>74860717</t>
  </si>
  <si>
    <t>NELL J CAMPBELL</t>
  </si>
  <si>
    <t>08/03/2012</t>
  </si>
  <si>
    <t>850 863 0880</t>
  </si>
  <si>
    <t>411   WESTMINSTER RD</t>
  </si>
  <si>
    <t>264286001</t>
  </si>
  <si>
    <t>432123</t>
  </si>
  <si>
    <t>270.51</t>
  </si>
  <si>
    <t>127.1</t>
  </si>
  <si>
    <t>117.36</t>
  </si>
  <si>
    <t>850 863-0880</t>
  </si>
  <si>
    <t>25659735</t>
  </si>
  <si>
    <t>75554218</t>
  </si>
  <si>
    <t>JEFF SULLIVAN</t>
  </si>
  <si>
    <t>04/10/2013</t>
  </si>
  <si>
    <t>850 461 4442</t>
  </si>
  <si>
    <t>705   MARCIA CIR</t>
  </si>
  <si>
    <t xml:space="preserve"> 424</t>
  </si>
  <si>
    <t>RGI6121</t>
  </si>
  <si>
    <t>[359079232823096001012019]</t>
  </si>
  <si>
    <t>397910</t>
  </si>
  <si>
    <t>-123.42</t>
  </si>
  <si>
    <t>-119.43</t>
  </si>
  <si>
    <t>217.53</t>
  </si>
  <si>
    <t>97.77</t>
  </si>
  <si>
    <t>114.77</t>
  </si>
  <si>
    <t>850 461-4442</t>
  </si>
  <si>
    <t>25659738</t>
  </si>
  <si>
    <t>75731408</t>
  </si>
  <si>
    <t>DERRICK DOVER</t>
  </si>
  <si>
    <t>850 362 8009</t>
  </si>
  <si>
    <t>660   BRYN MAWR BLVD</t>
  </si>
  <si>
    <t>[0HYTV15Y8349]</t>
  </si>
  <si>
    <t>0006521</t>
  </si>
  <si>
    <t>-30.00</t>
  </si>
  <si>
    <t>209.09</t>
  </si>
  <si>
    <t>75.97</t>
  </si>
  <si>
    <t>70.98</t>
  </si>
  <si>
    <t>62.14</t>
  </si>
  <si>
    <t>850 362-8009</t>
  </si>
  <si>
    <t>25659744</t>
  </si>
  <si>
    <t>76537902</t>
  </si>
  <si>
    <t>Bill HUNNICUTT</t>
  </si>
  <si>
    <t>01/22/2013</t>
  </si>
  <si>
    <t>850 621 3133</t>
  </si>
  <si>
    <t>11  W CASA LOMA DR</t>
  </si>
  <si>
    <t>235664257</t>
  </si>
  <si>
    <t>386176</t>
  </si>
  <si>
    <t>01/11/2015</t>
  </si>
  <si>
    <t>12/09/2014</t>
  </si>
  <si>
    <t>-70.19</t>
  </si>
  <si>
    <t>143.85</t>
  </si>
  <si>
    <t>61.97</t>
  </si>
  <si>
    <t>56.98</t>
  </si>
  <si>
    <t>24.9</t>
  </si>
  <si>
    <t>850 621-3133</t>
  </si>
  <si>
    <t>850 243-3515</t>
  </si>
  <si>
    <t>25659750</t>
  </si>
  <si>
    <t>77211719</t>
  </si>
  <si>
    <t>KIM WALLACE</t>
  </si>
  <si>
    <t>02/08/2015</t>
  </si>
  <si>
    <t>98   JOSIE RD</t>
  </si>
  <si>
    <t>[374781331220436410020022]</t>
  </si>
  <si>
    <t>775236</t>
  </si>
  <si>
    <t>-61.39</t>
  </si>
  <si>
    <t>-55.11</t>
  </si>
  <si>
    <t>-180.69</t>
  </si>
  <si>
    <t>153.96</t>
  </si>
  <si>
    <t>87.58</t>
  </si>
  <si>
    <t>850 382-8100</t>
  </si>
  <si>
    <t>25659774</t>
  </si>
  <si>
    <t>79009715</t>
  </si>
  <si>
    <t>TIFFANY C SWEENEY</t>
  </si>
  <si>
    <t>850 830 9018</t>
  </si>
  <si>
    <t>1509   KRUSE DR</t>
  </si>
  <si>
    <t>[3HW145WA02EC5]</t>
  </si>
  <si>
    <t>541949</t>
  </si>
  <si>
    <t>590.97</t>
  </si>
  <si>
    <t>417.09</t>
  </si>
  <si>
    <t>168.89</t>
  </si>
  <si>
    <t>850 830-9018</t>
  </si>
  <si>
    <t>25659560</t>
  </si>
  <si>
    <t>4873114</t>
  </si>
  <si>
    <t>KATAMARA MAXWELL</t>
  </si>
  <si>
    <t>228 641 7233</t>
  </si>
  <si>
    <t>1851   STELLA LN</t>
  </si>
  <si>
    <t xml:space="preserve">   536</t>
  </si>
  <si>
    <t xml:space="preserve"> 434</t>
  </si>
  <si>
    <t>2DV335UE068EB</t>
  </si>
  <si>
    <t>619967</t>
  </si>
  <si>
    <t>358.98</t>
  </si>
  <si>
    <t>195.2</t>
  </si>
  <si>
    <t>158.79</t>
  </si>
  <si>
    <t>228 641-7233</t>
  </si>
  <si>
    <t>25659629</t>
  </si>
  <si>
    <t>16389001</t>
  </si>
  <si>
    <t>RONALD BELL</t>
  </si>
  <si>
    <t>02/24/2015</t>
  </si>
  <si>
    <t>850 568 1968</t>
  </si>
  <si>
    <t>104  NW WAYNE AVE</t>
  </si>
  <si>
    <t>236370182</t>
  </si>
  <si>
    <t>377552</t>
  </si>
  <si>
    <t>-131.17</t>
  </si>
  <si>
    <t>-369.03</t>
  </si>
  <si>
    <t>02/25/2015</t>
  </si>
  <si>
    <t>-86.18</t>
  </si>
  <si>
    <t>147.38</t>
  </si>
  <si>
    <t>113.82</t>
  </si>
  <si>
    <t>850 568-1968</t>
  </si>
  <si>
    <t>850 240-0771</t>
  </si>
  <si>
    <t>850 368-5231</t>
  </si>
  <si>
    <t>25662676</t>
  </si>
  <si>
    <t>5529614</t>
  </si>
  <si>
    <t>ASHLEY JACKSON</t>
  </si>
  <si>
    <t>09/11/2014</t>
  </si>
  <si>
    <t>850 368 7290</t>
  </si>
  <si>
    <t>320   VININGS WAY BLVD</t>
  </si>
  <si>
    <t xml:space="preserve"> 10107</t>
  </si>
  <si>
    <t>SACCRMMXB</t>
  </si>
  <si>
    <t>463584</t>
  </si>
  <si>
    <t>-98.14</t>
  </si>
  <si>
    <t>-76.94</t>
  </si>
  <si>
    <t>04/26/2015</t>
  </si>
  <si>
    <t>-72.95</t>
  </si>
  <si>
    <t>196.42</t>
  </si>
  <si>
    <t>98.13</t>
  </si>
  <si>
    <t>93.3</t>
  </si>
  <si>
    <t>850 368-7290</t>
  </si>
  <si>
    <t>25662684</t>
  </si>
  <si>
    <t>7547101</t>
  </si>
  <si>
    <t>MS TANYA RAVAN</t>
  </si>
  <si>
    <t>05/11/2002</t>
  </si>
  <si>
    <t>850 315 5056</t>
  </si>
  <si>
    <t>917   LAUDERHILL LN</t>
  </si>
  <si>
    <t>[214426989]</t>
  </si>
  <si>
    <t>2111713</t>
  </si>
  <si>
    <t>-114.97</t>
  </si>
  <si>
    <t>259.94</t>
  </si>
  <si>
    <t>114.98</t>
  </si>
  <si>
    <t>139.97</t>
  </si>
  <si>
    <t>850 315-5056</t>
  </si>
  <si>
    <t>850 664-0118</t>
  </si>
  <si>
    <t>25662883</t>
  </si>
  <si>
    <t>76097609</t>
  </si>
  <si>
    <t>Christcha Mack</t>
  </si>
  <si>
    <t>850 543 9969</t>
  </si>
  <si>
    <t>11   MIRACLE DR</t>
  </si>
  <si>
    <t>3HW145WF02DBF</t>
  </si>
  <si>
    <t>788945</t>
  </si>
  <si>
    <t>-131.09</t>
  </si>
  <si>
    <t>-91.22</t>
  </si>
  <si>
    <t>01/17/2015</t>
  </si>
  <si>
    <t>-51.39</t>
  </si>
  <si>
    <t>166.4</t>
  </si>
  <si>
    <t>78.39</t>
  </si>
  <si>
    <t>83.02</t>
  </si>
  <si>
    <t>850 543-9969</t>
  </si>
  <si>
    <t>25662885</t>
  </si>
  <si>
    <t>76330901</t>
  </si>
  <si>
    <t>DOROTHY F HIMES</t>
  </si>
  <si>
    <t>12/06/1977</t>
  </si>
  <si>
    <t>850 837 6759</t>
  </si>
  <si>
    <t>119   CALHOUN AVE</t>
  </si>
  <si>
    <t>445478</t>
  </si>
  <si>
    <t>-35.94</t>
  </si>
  <si>
    <t>02/15/2015</t>
  </si>
  <si>
    <t>-30.95</t>
  </si>
  <si>
    <t>109.83</t>
  </si>
  <si>
    <t>39.94</t>
  </si>
  <si>
    <t>34.95</t>
  </si>
  <si>
    <t>34.94</t>
  </si>
  <si>
    <t>850 837-6759</t>
  </si>
  <si>
    <t>25662888</t>
  </si>
  <si>
    <t>76481403</t>
  </si>
  <si>
    <t>DR JOHN GREEN</t>
  </si>
  <si>
    <t>850 837 5352</t>
  </si>
  <si>
    <t>133   CALHOUN AVE</t>
  </si>
  <si>
    <t>RN3000D</t>
  </si>
  <si>
    <t>[SEQ#00001374950]</t>
  </si>
  <si>
    <t>439580</t>
  </si>
  <si>
    <t>439570</t>
  </si>
  <si>
    <t>-150.82</t>
  </si>
  <si>
    <t>09/23/2014</t>
  </si>
  <si>
    <t>-30.96</t>
  </si>
  <si>
    <t>-74.89</t>
  </si>
  <si>
    <t>125.73</t>
  </si>
  <si>
    <t>85.79</t>
  </si>
  <si>
    <t>850 837-5352</t>
  </si>
  <si>
    <t>225 765-8987</t>
  </si>
  <si>
    <t>25662898</t>
  </si>
  <si>
    <t>77246202</t>
  </si>
  <si>
    <t>BULK RESIDENT</t>
  </si>
  <si>
    <t>222   AUDUBON DR</t>
  </si>
  <si>
    <t>GX21514</t>
  </si>
  <si>
    <t>202.84</t>
  </si>
  <si>
    <t>88.26</t>
  </si>
  <si>
    <t>109.59</t>
  </si>
  <si>
    <t>999 999-0000</t>
  </si>
  <si>
    <t>25662900</t>
  </si>
  <si>
    <t>77264319</t>
  </si>
  <si>
    <t>RACHEL HAWKINS</t>
  </si>
  <si>
    <t>02/17/2015</t>
  </si>
  <si>
    <t>850 226 8521</t>
  </si>
  <si>
    <t>401   LOWERY DR</t>
  </si>
  <si>
    <t>D9N4M13002991</t>
  </si>
  <si>
    <t>424378</t>
  </si>
  <si>
    <t>-124.28</t>
  </si>
  <si>
    <t>-105.00</t>
  </si>
  <si>
    <t>337.86</t>
  </si>
  <si>
    <t>186.1</t>
  </si>
  <si>
    <t>146.77</t>
  </si>
  <si>
    <t>850 226-8521</t>
  </si>
  <si>
    <t>25662901</t>
  </si>
  <si>
    <t>77267012</t>
  </si>
  <si>
    <t>SCOTT DAVIS</t>
  </si>
  <si>
    <t>05/07/2009</t>
  </si>
  <si>
    <t>931 209 0594</t>
  </si>
  <si>
    <t>37  E BRADLEY ST</t>
  </si>
  <si>
    <t>DLI54GC</t>
  </si>
  <si>
    <t>CSV01J255605</t>
  </si>
  <si>
    <t>836995</t>
  </si>
  <si>
    <t>-172.64</t>
  </si>
  <si>
    <t>-220.54</t>
  </si>
  <si>
    <t>-146.14</t>
  </si>
  <si>
    <t>328.78</t>
  </si>
  <si>
    <t>151.15</t>
  </si>
  <si>
    <t>172.64</t>
  </si>
  <si>
    <t>931 209-0594</t>
  </si>
  <si>
    <t>931 209-8376</t>
  </si>
  <si>
    <t>25662904</t>
  </si>
  <si>
    <t>77372611</t>
  </si>
  <si>
    <t>JUANITA GAMBLE</t>
  </si>
  <si>
    <t>334 221 9400</t>
  </si>
  <si>
    <t>31   PARK CIR</t>
  </si>
  <si>
    <t>236704761</t>
  </si>
  <si>
    <t>430734</t>
  </si>
  <si>
    <t>-133.73</t>
  </si>
  <si>
    <t>-221.62</t>
  </si>
  <si>
    <t>326.82</t>
  </si>
  <si>
    <t>85.46</t>
  </si>
  <si>
    <t>111.65</t>
  </si>
  <si>
    <t>129.71</t>
  </si>
  <si>
    <t>334 221-9400</t>
  </si>
  <si>
    <t>25665774</t>
  </si>
  <si>
    <t>8885406</t>
  </si>
  <si>
    <t>MICHAEL SIMON</t>
  </si>
  <si>
    <t>850 586 2135</t>
  </si>
  <si>
    <t>319   RACETRACK RD</t>
  </si>
  <si>
    <t xml:space="preserve">  1105</t>
  </si>
  <si>
    <t>SABNZWQWW</t>
  </si>
  <si>
    <t>818341</t>
  </si>
  <si>
    <t>-350.70</t>
  </si>
  <si>
    <t>632.98</t>
  </si>
  <si>
    <t>211.41</t>
  </si>
  <si>
    <t>65.88</t>
  </si>
  <si>
    <t>350.7</t>
  </si>
  <si>
    <t>2015-07-13 00:00:00</t>
  </si>
  <si>
    <t>850 586-2135</t>
  </si>
  <si>
    <t>25665776</t>
  </si>
  <si>
    <t>9006508</t>
  </si>
  <si>
    <t>Deanna Pritchard</t>
  </si>
  <si>
    <t>850 362 9664</t>
  </si>
  <si>
    <t>1750   HUNT CLUB ST</t>
  </si>
  <si>
    <t>3HW147WU008B4</t>
  </si>
  <si>
    <t>736801</t>
  </si>
  <si>
    <t>-173.30</t>
  </si>
  <si>
    <t>-169.31</t>
  </si>
  <si>
    <t>-147.03</t>
  </si>
  <si>
    <t>351.6</t>
  </si>
  <si>
    <t>173.31</t>
  </si>
  <si>
    <t>173.3</t>
  </si>
  <si>
    <t>850 362-9664</t>
  </si>
  <si>
    <t>25665777</t>
  </si>
  <si>
    <t>9026101</t>
  </si>
  <si>
    <t>PAUL SHOREY</t>
  </si>
  <si>
    <t>06/08/2004</t>
  </si>
  <si>
    <t>850 699 2797</t>
  </si>
  <si>
    <t>9600   GRAND SANDESTIN BLVD</t>
  </si>
  <si>
    <t xml:space="preserve">  3006</t>
  </si>
  <si>
    <t>[374781423400187110020022]</t>
  </si>
  <si>
    <t>2253566</t>
  </si>
  <si>
    <t>-31.50</t>
  </si>
  <si>
    <t>-93.48</t>
  </si>
  <si>
    <t>71.98</t>
  </si>
  <si>
    <t>35.49</t>
  </si>
  <si>
    <t>31.5</t>
  </si>
  <si>
    <t>850 699-2797</t>
  </si>
  <si>
    <t>25665784</t>
  </si>
  <si>
    <t>10493903</t>
  </si>
  <si>
    <t>ROLAND SIMS</t>
  </si>
  <si>
    <t>12/19/2013</t>
  </si>
  <si>
    <t>850 461 0510</t>
  </si>
  <si>
    <t>323   RACETRACK RD</t>
  </si>
  <si>
    <t xml:space="preserve">  3313</t>
  </si>
  <si>
    <t>[231696215]</t>
  </si>
  <si>
    <t>696442</t>
  </si>
  <si>
    <t>-3.14</t>
  </si>
  <si>
    <t>-66.00</t>
  </si>
  <si>
    <t>-65.15</t>
  </si>
  <si>
    <t>178.48</t>
  </si>
  <si>
    <t>104.35</t>
  </si>
  <si>
    <t>69.14</t>
  </si>
  <si>
    <t>2011-12-29 00:00:00</t>
  </si>
  <si>
    <t>850 461-0510</t>
  </si>
  <si>
    <t>25665923</t>
  </si>
  <si>
    <t>73410613</t>
  </si>
  <si>
    <t>SHIRLEY JONES</t>
  </si>
  <si>
    <t>850 226 6740</t>
  </si>
  <si>
    <t>400   OAKLAND CIR</t>
  </si>
  <si>
    <t>[215848018]</t>
  </si>
  <si>
    <t>421387</t>
  </si>
  <si>
    <t>-168.93</t>
  </si>
  <si>
    <t>-126.00</t>
  </si>
  <si>
    <t>577.46</t>
  </si>
  <si>
    <t>140.51</t>
  </si>
  <si>
    <t>150.76</t>
  </si>
  <si>
    <t>286.19</t>
  </si>
  <si>
    <t>2015-06-11 00:00:00</t>
  </si>
  <si>
    <t>850 226-6740</t>
  </si>
  <si>
    <t>850 376-0290</t>
  </si>
  <si>
    <t>25665925</t>
  </si>
  <si>
    <t>73662629</t>
  </si>
  <si>
    <t>FIDENCIO U QUINTANAR</t>
  </si>
  <si>
    <t>02/23/2015</t>
  </si>
  <si>
    <t>850 305 2128</t>
  </si>
  <si>
    <t>535   ARGYLE CT</t>
  </si>
  <si>
    <t>[0HYTV0X4VW82]</t>
  </si>
  <si>
    <t>2306383</t>
  </si>
  <si>
    <t>-114.96</t>
  </si>
  <si>
    <t>-106.99</t>
  </si>
  <si>
    <t>136.16</t>
  </si>
  <si>
    <t>74.19</t>
  </si>
  <si>
    <t>850 305-2128</t>
  </si>
  <si>
    <t>25665929</t>
  </si>
  <si>
    <t>74170701</t>
  </si>
  <si>
    <t>B STONE</t>
  </si>
  <si>
    <t>850 862 4863</t>
  </si>
  <si>
    <t>410   ED ST</t>
  </si>
  <si>
    <t>SABKPCXMK</t>
  </si>
  <si>
    <t>S788625</t>
  </si>
  <si>
    <t>-186.45</t>
  </si>
  <si>
    <t>-183.24</t>
  </si>
  <si>
    <t>-238.45</t>
  </si>
  <si>
    <t>676.8</t>
  </si>
  <si>
    <t>249.91</t>
  </si>
  <si>
    <t>236</t>
  </si>
  <si>
    <t>190.89</t>
  </si>
  <si>
    <t>850 862-4863</t>
  </si>
  <si>
    <t>25665932</t>
  </si>
  <si>
    <t>74609714</t>
  </si>
  <si>
    <t>RAYGINOL WASHINGTON</t>
  </si>
  <si>
    <t>03/12/2014</t>
  </si>
  <si>
    <t>850 797 6666</t>
  </si>
  <si>
    <t>660   CORNWALL TER</t>
  </si>
  <si>
    <t>SACBMBDXX</t>
  </si>
  <si>
    <t>635382</t>
  </si>
  <si>
    <t>-168.75</t>
  </si>
  <si>
    <t>-163.76</t>
  </si>
  <si>
    <t>328.13</t>
  </si>
  <si>
    <t>163.74</t>
  </si>
  <si>
    <t>159.4</t>
  </si>
  <si>
    <t>2015-02-04 00:00:00</t>
  </si>
  <si>
    <t>850 797-6666</t>
  </si>
  <si>
    <t>850 598-3560</t>
  </si>
  <si>
    <t>25665936</t>
  </si>
  <si>
    <t>74687133</t>
  </si>
  <si>
    <t>NATHANIEL BROWN</t>
  </si>
  <si>
    <t>03/30/2013</t>
  </si>
  <si>
    <t>850 217 3691</t>
  </si>
  <si>
    <t>936   TANAGER RD</t>
  </si>
  <si>
    <t>SABLZCQRS</t>
  </si>
  <si>
    <t>425339</t>
  </si>
  <si>
    <t>-137.06</t>
  </si>
  <si>
    <t>-147.90</t>
  </si>
  <si>
    <t>292.06</t>
  </si>
  <si>
    <t>138.54</t>
  </si>
  <si>
    <t>148.53</t>
  </si>
  <si>
    <t>850 217-3691</t>
  </si>
  <si>
    <t>25665942</t>
  </si>
  <si>
    <t>75354709</t>
  </si>
  <si>
    <t>TIM ZEIGLER</t>
  </si>
  <si>
    <t>03/21/2014</t>
  </si>
  <si>
    <t>850 225 6889</t>
  </si>
  <si>
    <t>1814   HURLBURT RD</t>
  </si>
  <si>
    <t>[0HYTSRV1X979]</t>
  </si>
  <si>
    <t>736704</t>
  </si>
  <si>
    <t>-306.19</t>
  </si>
  <si>
    <t>601.75</t>
  </si>
  <si>
    <t>231.9</t>
  </si>
  <si>
    <t>58.67</t>
  </si>
  <si>
    <t>306.19</t>
  </si>
  <si>
    <t>850 225-6889</t>
  </si>
  <si>
    <t>850 368-9698</t>
  </si>
  <si>
    <t>25665947</t>
  </si>
  <si>
    <t>76286234</t>
  </si>
  <si>
    <t>ROBERT BLANCK</t>
  </si>
  <si>
    <t>352 484 4783</t>
  </si>
  <si>
    <t>1650  W HIGHWAY 98</t>
  </si>
  <si>
    <t xml:space="preserve">   112</t>
  </si>
  <si>
    <t>3HW147WM05177</t>
  </si>
  <si>
    <t>635961</t>
  </si>
  <si>
    <t>-252.42</t>
  </si>
  <si>
    <t>-126.21</t>
  </si>
  <si>
    <t>263.16</t>
  </si>
  <si>
    <t>131.95</t>
  </si>
  <si>
    <t>352 484-4783</t>
  </si>
  <si>
    <t>25665954</t>
  </si>
  <si>
    <t>76841301</t>
  </si>
  <si>
    <t>KENNETH ALBRIGHT</t>
  </si>
  <si>
    <t>05/10/1997</t>
  </si>
  <si>
    <t>850 837 6552</t>
  </si>
  <si>
    <t>96   DRIFTWOOD RD</t>
  </si>
  <si>
    <t>[409470317677]</t>
  </si>
  <si>
    <t>00</t>
  </si>
  <si>
    <t>-255.39</t>
  </si>
  <si>
    <t>-261.78</t>
  </si>
  <si>
    <t>-259.21</t>
  </si>
  <si>
    <t>292.17</t>
  </si>
  <si>
    <t>68.21</t>
  </si>
  <si>
    <t>72.2</t>
  </si>
  <si>
    <t>151.76</t>
  </si>
  <si>
    <t>850 837-6552</t>
  </si>
  <si>
    <t>850 837-1041</t>
  </si>
  <si>
    <t>25665966</t>
  </si>
  <si>
    <t>77402410</t>
  </si>
  <si>
    <t>SOPHIA MCGEE</t>
  </si>
  <si>
    <t>09/08/2014</t>
  </si>
  <si>
    <t>850 533 5660</t>
  </si>
  <si>
    <t>288   ELLIS RD</t>
  </si>
  <si>
    <t xml:space="preserve">   111</t>
  </si>
  <si>
    <t>D5N4D31000756</t>
  </si>
  <si>
    <t>819059</t>
  </si>
  <si>
    <t>-47.50</t>
  </si>
  <si>
    <t>-98.99</t>
  </si>
  <si>
    <t>47.5</t>
  </si>
  <si>
    <t>850 533-5660</t>
  </si>
  <si>
    <t>25665968</t>
  </si>
  <si>
    <t>77469826</t>
  </si>
  <si>
    <t>BENJAMIN COBB JR</t>
  </si>
  <si>
    <t>850 716 0797</t>
  </si>
  <si>
    <t>513   CIRCLE DR</t>
  </si>
  <si>
    <t xml:space="preserve">    E4</t>
  </si>
  <si>
    <t>D5W3R44007143</t>
  </si>
  <si>
    <t>457306</t>
  </si>
  <si>
    <t>-219.92</t>
  </si>
  <si>
    <t>300.87</t>
  </si>
  <si>
    <t>18.34</t>
  </si>
  <si>
    <t>170.47</t>
  </si>
  <si>
    <t>112.06</t>
  </si>
  <si>
    <t>850 716-0797</t>
  </si>
  <si>
    <t>25665970</t>
  </si>
  <si>
    <t>77654807</t>
  </si>
  <si>
    <t>MR PAUL G BENJAMIN</t>
  </si>
  <si>
    <t>850 225 1804</t>
  </si>
  <si>
    <t>204   LAKESIDE LN</t>
  </si>
  <si>
    <t>[261085955]</t>
  </si>
  <si>
    <t>2532128</t>
  </si>
  <si>
    <t>-182.38</t>
  </si>
  <si>
    <t>309.61</t>
  </si>
  <si>
    <t>182.38</t>
  </si>
  <si>
    <t>97.24</t>
  </si>
  <si>
    <t>850 225-1804</t>
  </si>
  <si>
    <t>850 217-1872</t>
  </si>
  <si>
    <t>25667686</t>
  </si>
  <si>
    <t>5313705</t>
  </si>
  <si>
    <t>TRACY FOREMAN</t>
  </si>
  <si>
    <t>850 461 8930</t>
  </si>
  <si>
    <t>102   KING ST</t>
  </si>
  <si>
    <t>DAH4M13005119</t>
  </si>
  <si>
    <t>816742</t>
  </si>
  <si>
    <t>07/15/2015</t>
  </si>
  <si>
    <t>-466.11</t>
  </si>
  <si>
    <t>492.04</t>
  </si>
  <si>
    <t>.93</t>
  </si>
  <si>
    <t>466.11</t>
  </si>
  <si>
    <t>850 461-8930</t>
  </si>
  <si>
    <t>25667801</t>
  </si>
  <si>
    <t>74671908</t>
  </si>
  <si>
    <t>JOEL LATRAVERSE</t>
  </si>
  <si>
    <t>04/21/2014</t>
  </si>
  <si>
    <t>850 368 5463</t>
  </si>
  <si>
    <t>35   RANGER ST</t>
  </si>
  <si>
    <t>236002125</t>
  </si>
  <si>
    <t>639222</t>
  </si>
  <si>
    <t>-157.58</t>
  </si>
  <si>
    <t>-131.39</t>
  </si>
  <si>
    <t>467.92</t>
  </si>
  <si>
    <t>183.92</t>
  </si>
  <si>
    <t>124</t>
  </si>
  <si>
    <t>160</t>
  </si>
  <si>
    <t>850 368-5463</t>
  </si>
  <si>
    <t>25667807</t>
  </si>
  <si>
    <t>75738017</t>
  </si>
  <si>
    <t>ROY SIMS III</t>
  </si>
  <si>
    <t>251 591 7154</t>
  </si>
  <si>
    <t>113   ALABAMA AVE</t>
  </si>
  <si>
    <t>236025995</t>
  </si>
  <si>
    <t>425013</t>
  </si>
  <si>
    <t>-47.85</t>
  </si>
  <si>
    <t>316.36</t>
  </si>
  <si>
    <t>171.38</t>
  </si>
  <si>
    <t>139.98</t>
  </si>
  <si>
    <t>.01</t>
  </si>
  <si>
    <t>251 591-7154</t>
  </si>
  <si>
    <t>25667815</t>
  </si>
  <si>
    <t>77077517</t>
  </si>
  <si>
    <t>ESTHER TERNS</t>
  </si>
  <si>
    <t>03/03/2011</t>
  </si>
  <si>
    <t>850 226 7669</t>
  </si>
  <si>
    <t>248   OXFORD CT</t>
  </si>
  <si>
    <t>DGI6180</t>
  </si>
  <si>
    <t>[0KKM1GFGGW98]</t>
  </si>
  <si>
    <t>0000012</t>
  </si>
  <si>
    <t>-82.88</t>
  </si>
  <si>
    <t>-88.94</t>
  </si>
  <si>
    <t>-155.62</t>
  </si>
  <si>
    <t>261.63</t>
  </si>
  <si>
    <t>91.87</t>
  </si>
  <si>
    <t>86.88</t>
  </si>
  <si>
    <t>82.88</t>
  </si>
  <si>
    <t>850 226-7669</t>
  </si>
  <si>
    <t>850 797-4217</t>
  </si>
  <si>
    <t>25667816</t>
  </si>
  <si>
    <t>77332511</t>
  </si>
  <si>
    <t>JEANETTE BROWN</t>
  </si>
  <si>
    <t>850 428 3926</t>
  </si>
  <si>
    <t>940   CENTRAL AVE</t>
  </si>
  <si>
    <t>1019166</t>
  </si>
  <si>
    <t>263.07</t>
  </si>
  <si>
    <t>88.79</t>
  </si>
  <si>
    <t>169.29</t>
  </si>
  <si>
    <t>850 428-3926</t>
  </si>
  <si>
    <t>25668696</t>
  </si>
  <si>
    <t>14236202</t>
  </si>
  <si>
    <t>EDWIN THOMAS</t>
  </si>
  <si>
    <t>09/21/2010</t>
  </si>
  <si>
    <t>850 225 0688</t>
  </si>
  <si>
    <t>2194   TOPAZ CT</t>
  </si>
  <si>
    <t>[0HYTSSGK54M0]</t>
  </si>
  <si>
    <t>H593354</t>
  </si>
  <si>
    <t>-186.85</t>
  </si>
  <si>
    <t>-165.00</t>
  </si>
  <si>
    <t>-457.49</t>
  </si>
  <si>
    <t>649.58</t>
  </si>
  <si>
    <t>255.28</t>
  </si>
  <si>
    <t>207.45</t>
  </si>
  <si>
    <t>186.85</t>
  </si>
  <si>
    <t>850 225-0688</t>
  </si>
  <si>
    <t>25668834</t>
  </si>
  <si>
    <t>74896942</t>
  </si>
  <si>
    <t>SHICARA MONIGAN</t>
  </si>
  <si>
    <t>850 533 3555</t>
  </si>
  <si>
    <t>19   CHESTNUT AVE</t>
  </si>
  <si>
    <t xml:space="preserve">    47</t>
  </si>
  <si>
    <t>SABGVBBDR</t>
  </si>
  <si>
    <t>1017172</t>
  </si>
  <si>
    <t>-122.69</t>
  </si>
  <si>
    <t>-97.78</t>
  </si>
  <si>
    <t>02/07/2012</t>
  </si>
  <si>
    <t>-58.00</t>
  </si>
  <si>
    <t>363.02</t>
  </si>
  <si>
    <t>236.03</t>
  </si>
  <si>
    <t>108.36</t>
  </si>
  <si>
    <t>13.64</t>
  </si>
  <si>
    <t>850 533-3555</t>
  </si>
  <si>
    <t>25668838</t>
  </si>
  <si>
    <t>75202010</t>
  </si>
  <si>
    <t>TONYA GUNN</t>
  </si>
  <si>
    <t>12/17/2013</t>
  </si>
  <si>
    <t>850 586 5519</t>
  </si>
  <si>
    <t>502   NEWCASTLE DR</t>
  </si>
  <si>
    <t>[0HYTST1GLG92]</t>
  </si>
  <si>
    <t>397121</t>
  </si>
  <si>
    <t>-325.15</t>
  </si>
  <si>
    <t>-203.00</t>
  </si>
  <si>
    <t>596.7</t>
  </si>
  <si>
    <t>228.04</t>
  </si>
  <si>
    <t>43.51</t>
  </si>
  <si>
    <t>325.15</t>
  </si>
  <si>
    <t>850 586-5519</t>
  </si>
  <si>
    <t>25668850</t>
  </si>
  <si>
    <t>75943620</t>
  </si>
  <si>
    <t>TRACY MULKEY</t>
  </si>
  <si>
    <t>1325   GREENDALE AVE</t>
  </si>
  <si>
    <t xml:space="preserve">    14</t>
  </si>
  <si>
    <t>E124M13003618</t>
  </si>
  <si>
    <t>425239</t>
  </si>
  <si>
    <t>169</t>
  </si>
  <si>
    <t>41.71</t>
  </si>
  <si>
    <t>37.21</t>
  </si>
  <si>
    <t>90.08</t>
  </si>
  <si>
    <t>850 585-5517</t>
  </si>
  <si>
    <t>25668863</t>
  </si>
  <si>
    <t>76999302</t>
  </si>
  <si>
    <t>CHRIS CAMERON</t>
  </si>
  <si>
    <t>05/03/2012</t>
  </si>
  <si>
    <t>850 654 9979</t>
  </si>
  <si>
    <t>1100   HIGHWAY 98</t>
  </si>
  <si>
    <t xml:space="preserve">  A304</t>
  </si>
  <si>
    <t>[2DV323UY02FED]</t>
  </si>
  <si>
    <t>0526919</t>
  </si>
  <si>
    <t>-86.36</t>
  </si>
  <si>
    <t>431.31</t>
  </si>
  <si>
    <t>95.43</t>
  </si>
  <si>
    <t>90.44</t>
  </si>
  <si>
    <t>245.44</t>
  </si>
  <si>
    <t>850 654-9979</t>
  </si>
  <si>
    <t>25668864</t>
  </si>
  <si>
    <t>77019418</t>
  </si>
  <si>
    <t>SHANNON FITZGERALD</t>
  </si>
  <si>
    <t>06/12/2012</t>
  </si>
  <si>
    <t>850 685 6816</t>
  </si>
  <si>
    <t>150   ALABAMA AVE</t>
  </si>
  <si>
    <t>235583127</t>
  </si>
  <si>
    <t>446787</t>
  </si>
  <si>
    <t>125.96</t>
  </si>
  <si>
    <t>49.99</t>
  </si>
  <si>
    <t>850 685-6816</t>
  </si>
  <si>
    <t>25668865</t>
  </si>
  <si>
    <t>77046811</t>
  </si>
  <si>
    <t>JACQUELINE BRUSH</t>
  </si>
  <si>
    <t>775   GULF SHORE DR</t>
  </si>
  <si>
    <t xml:space="preserve">  8125</t>
  </si>
  <si>
    <t>SACCVSWGQ</t>
  </si>
  <si>
    <t>SX60337</t>
  </si>
  <si>
    <t>-43.43</t>
  </si>
  <si>
    <t>70.91</t>
  </si>
  <si>
    <t>23.85</t>
  </si>
  <si>
    <t>42.07</t>
  </si>
  <si>
    <t>850 420-5090</t>
  </si>
  <si>
    <t>25668868</t>
  </si>
  <si>
    <t>77265611</t>
  </si>
  <si>
    <t>STEPHANIE WINGER</t>
  </si>
  <si>
    <t>01/04/2013</t>
  </si>
  <si>
    <t>828 226 7143</t>
  </si>
  <si>
    <t>236345762</t>
  </si>
  <si>
    <t>S398874</t>
  </si>
  <si>
    <t>-74.50</t>
  </si>
  <si>
    <t>236.47</t>
  </si>
  <si>
    <t>83.48</t>
  </si>
  <si>
    <t>74.5</t>
  </si>
  <si>
    <t>828 226-7143</t>
  </si>
  <si>
    <t>25668872</t>
  </si>
  <si>
    <t>77659111</t>
  </si>
  <si>
    <t>CATHERINE STABLER</t>
  </si>
  <si>
    <t>850 461 8887</t>
  </si>
  <si>
    <t>137  N AUDREY CIR</t>
  </si>
  <si>
    <t>D554M13005050</t>
  </si>
  <si>
    <t>415612</t>
  </si>
  <si>
    <t>415611</t>
  </si>
  <si>
    <t>22</t>
  </si>
  <si>
    <t>-867.90</t>
  </si>
  <si>
    <t>1153.91</t>
  </si>
  <si>
    <t>233.44</t>
  </si>
  <si>
    <t>55.28</t>
  </si>
  <si>
    <t>865.19</t>
  </si>
  <si>
    <t>850 461-8887</t>
  </si>
  <si>
    <t>850 855-7972</t>
  </si>
  <si>
    <t>25672309</t>
  </si>
  <si>
    <t>9323803</t>
  </si>
  <si>
    <t>Kenneth Hunley</t>
  </si>
  <si>
    <t>850 428 4743</t>
  </si>
  <si>
    <t>5   CALHOUN AVE</t>
  </si>
  <si>
    <t xml:space="preserve">   608</t>
  </si>
  <si>
    <t>236731870</t>
  </si>
  <si>
    <t>X591556</t>
  </si>
  <si>
    <t>197.57</t>
  </si>
  <si>
    <t>56.38</t>
  </si>
  <si>
    <t>51.39</t>
  </si>
  <si>
    <t>89.8</t>
  </si>
  <si>
    <t>850 428-4743</t>
  </si>
  <si>
    <t>25672328</t>
  </si>
  <si>
    <t>10852008</t>
  </si>
  <si>
    <t>JENNIFER E GALLI</t>
  </si>
  <si>
    <t>850 225 2827</t>
  </si>
  <si>
    <t>4020   DANCING CLOUD CT</t>
  </si>
  <si>
    <t xml:space="preserve">   384</t>
  </si>
  <si>
    <t>[236066139]</t>
  </si>
  <si>
    <t>0009260</t>
  </si>
  <si>
    <t>190.09</t>
  </si>
  <si>
    <t>116.12</t>
  </si>
  <si>
    <t>850 225-2827</t>
  </si>
  <si>
    <t>25672362</t>
  </si>
  <si>
    <t>13810705</t>
  </si>
  <si>
    <t>LAFAYETTE THOMAS</t>
  </si>
  <si>
    <t>01/26/2013</t>
  </si>
  <si>
    <t>119   MONAHAN DR</t>
  </si>
  <si>
    <t xml:space="preserve">   308</t>
  </si>
  <si>
    <t>SABXRKFVS</t>
  </si>
  <si>
    <t>398779</t>
  </si>
  <si>
    <t>-359.84</t>
  </si>
  <si>
    <t>-199.21</t>
  </si>
  <si>
    <t>-146.43</t>
  </si>
  <si>
    <t>744.57</t>
  </si>
  <si>
    <t>222.08</t>
  </si>
  <si>
    <t>162.65</t>
  </si>
  <si>
    <t>359.84</t>
  </si>
  <si>
    <t>404 932-1393</t>
  </si>
  <si>
    <t>25672514</t>
  </si>
  <si>
    <t>73087422</t>
  </si>
  <si>
    <t>SHAWNNA HARDIE</t>
  </si>
  <si>
    <t>850 543 3896</t>
  </si>
  <si>
    <t>149   VALENCIA DR</t>
  </si>
  <si>
    <t>SABWQJZXL</t>
  </si>
  <si>
    <t>869264</t>
  </si>
  <si>
    <t>110309</t>
  </si>
  <si>
    <t>-86.95</t>
  </si>
  <si>
    <t>-91.00</t>
  </si>
  <si>
    <t>205.13</t>
  </si>
  <si>
    <t>112.19</t>
  </si>
  <si>
    <t>87.95</t>
  </si>
  <si>
    <t>850 543-3896</t>
  </si>
  <si>
    <t>25672517</t>
  </si>
  <si>
    <t>73562717</t>
  </si>
  <si>
    <t>KIANA WASHINGTON</t>
  </si>
  <si>
    <t>06/05/2014</t>
  </si>
  <si>
    <t>850 259 9674</t>
  </si>
  <si>
    <t>116   CARSON DR</t>
  </si>
  <si>
    <t>[222949360]</t>
  </si>
  <si>
    <t>789681</t>
  </si>
  <si>
    <t>-65.17</t>
  </si>
  <si>
    <t>-70.18</t>
  </si>
  <si>
    <t>-50.18</t>
  </si>
  <si>
    <t>100.65</t>
  </si>
  <si>
    <t>60.18</t>
  </si>
  <si>
    <t>35.48</t>
  </si>
  <si>
    <t>850 259-9674</t>
  </si>
  <si>
    <t>25672528</t>
  </si>
  <si>
    <t>74742610</t>
  </si>
  <si>
    <t>KYLE COXWELL</t>
  </si>
  <si>
    <t>12/10/2013</t>
  </si>
  <si>
    <t>850 499 2914</t>
  </si>
  <si>
    <t>10   KOHLER DR</t>
  </si>
  <si>
    <t>[0HYTSSTB6VB0]</t>
  </si>
  <si>
    <t>430731</t>
  </si>
  <si>
    <t>118.95</t>
  </si>
  <si>
    <t>850 499-2914</t>
  </si>
  <si>
    <t>25672549</t>
  </si>
  <si>
    <t>76938524</t>
  </si>
  <si>
    <t>DUSTIN COOPER</t>
  </si>
  <si>
    <t>850 420 1354</t>
  </si>
  <si>
    <t>362   BLUEFISH DR</t>
  </si>
  <si>
    <t>45U14AWV01BCD</t>
  </si>
  <si>
    <t>W261344</t>
  </si>
  <si>
    <t>146.18</t>
  </si>
  <si>
    <t>850 420-1354</t>
  </si>
  <si>
    <t>25672553</t>
  </si>
  <si>
    <t>77280315</t>
  </si>
  <si>
    <t>NEIKEL FULLER</t>
  </si>
  <si>
    <t>10/14/2014</t>
  </si>
  <si>
    <t>850 428 5832</t>
  </si>
  <si>
    <t>618   CARNATHAN CT</t>
  </si>
  <si>
    <t>SABNNGVLD</t>
  </si>
  <si>
    <t>816137</t>
  </si>
  <si>
    <t>-91.10</t>
  </si>
  <si>
    <t>-116.87</t>
  </si>
  <si>
    <t>217.18</t>
  </si>
  <si>
    <t>112.31</t>
  </si>
  <si>
    <t>850 428-5832</t>
  </si>
  <si>
    <t>25672554</t>
  </si>
  <si>
    <t>77493603</t>
  </si>
  <si>
    <t>MR EDWARD J CARNEY</t>
  </si>
  <si>
    <t>11/15/1999</t>
  </si>
  <si>
    <t>850 226 8058</t>
  </si>
  <si>
    <t>6   VIKING DR</t>
  </si>
  <si>
    <t>241406666</t>
  </si>
  <si>
    <t>T203388</t>
  </si>
  <si>
    <t>-61.41</t>
  </si>
  <si>
    <t>161.78</t>
  </si>
  <si>
    <t>95.38</t>
  </si>
  <si>
    <t>61.41</t>
  </si>
  <si>
    <t>850 226-8058</t>
  </si>
  <si>
    <t>25672557</t>
  </si>
  <si>
    <t>77785715</t>
  </si>
  <si>
    <t>Randi Reynolds</t>
  </si>
  <si>
    <t>07/22/2014</t>
  </si>
  <si>
    <t>850 543 4191</t>
  </si>
  <si>
    <t>146   ALDER AVE</t>
  </si>
  <si>
    <t>SABWPHRPM</t>
  </si>
  <si>
    <t>921237</t>
  </si>
  <si>
    <t>-393.00</t>
  </si>
  <si>
    <t>-110.02</t>
  </si>
  <si>
    <t>-110.00</t>
  </si>
  <si>
    <t>653.02</t>
  </si>
  <si>
    <t>191.41</t>
  </si>
  <si>
    <t>68.61</t>
  </si>
  <si>
    <t>393</t>
  </si>
  <si>
    <t>850 543-4191</t>
  </si>
  <si>
    <t>25672580</t>
  </si>
  <si>
    <t>80741305</t>
  </si>
  <si>
    <t>CASEY MCCORMICK</t>
  </si>
  <si>
    <t>629   GAP CREEK DR</t>
  </si>
  <si>
    <t>DCS4M13003764</t>
  </si>
  <si>
    <t>887690</t>
  </si>
  <si>
    <t>-237.15</t>
  </si>
  <si>
    <t>-201.51</t>
  </si>
  <si>
    <t>670.09</t>
  </si>
  <si>
    <t>207.1</t>
  </si>
  <si>
    <t>237.15</t>
  </si>
  <si>
    <t>850 368-6858</t>
  </si>
  <si>
    <t>25656428</t>
  </si>
  <si>
    <t>5532405</t>
  </si>
  <si>
    <t>Steven Patterson</t>
  </si>
  <si>
    <t>404 623 9372</t>
  </si>
  <si>
    <t>330   VININGS WAY BLVD</t>
  </si>
  <si>
    <t xml:space="preserve"> 11111</t>
  </si>
  <si>
    <t>SABSPBVPK</t>
  </si>
  <si>
    <t>2172191</t>
  </si>
  <si>
    <t>-134.80</t>
  </si>
  <si>
    <t>512.02</t>
  </si>
  <si>
    <t>216.3</t>
  </si>
  <si>
    <t>155.93</t>
  </si>
  <si>
    <t>134.8</t>
  </si>
  <si>
    <t>404 623-9372</t>
  </si>
  <si>
    <t>25656626</t>
  </si>
  <si>
    <t>76494824</t>
  </si>
  <si>
    <t>AMANDA BOATNER</t>
  </si>
  <si>
    <t>850 226 4509</t>
  </si>
  <si>
    <t>710   CREEKWOOD RD</t>
  </si>
  <si>
    <t>260436806</t>
  </si>
  <si>
    <t>457915</t>
  </si>
  <si>
    <t>-78.21</t>
  </si>
  <si>
    <t>-177.38</t>
  </si>
  <si>
    <t>773.81</t>
  </si>
  <si>
    <t>653.81</t>
  </si>
  <si>
    <t>91.59</t>
  </si>
  <si>
    <t>28.41</t>
  </si>
  <si>
    <t>850 226-4509</t>
  </si>
  <si>
    <t>25656633</t>
  </si>
  <si>
    <t>77370414</t>
  </si>
  <si>
    <t>Katherine Covert</t>
  </si>
  <si>
    <t>850 543 1719</t>
  </si>
  <si>
    <t>411   NORDIC LN</t>
  </si>
  <si>
    <t>DNG3700</t>
  </si>
  <si>
    <t>[3113485P00FBA]</t>
  </si>
  <si>
    <t>647580</t>
  </si>
  <si>
    <t>-789.64</t>
  </si>
  <si>
    <t>-283.44</t>
  </si>
  <si>
    <t>-67.00</t>
  </si>
  <si>
    <t>986.16</t>
  </si>
  <si>
    <t>196.52</t>
  </si>
  <si>
    <t>789.64</t>
  </si>
  <si>
    <t>850 543-1719</t>
  </si>
  <si>
    <t>25659754</t>
  </si>
  <si>
    <t>77730113</t>
  </si>
  <si>
    <t>Doris Arnold</t>
  </si>
  <si>
    <t>11/03/2014</t>
  </si>
  <si>
    <t>850 368 7659</t>
  </si>
  <si>
    <t>2703   WILLOW GROVE LN</t>
  </si>
  <si>
    <t>D554M13002272</t>
  </si>
  <si>
    <t>868197</t>
  </si>
  <si>
    <t>-215.45</t>
  </si>
  <si>
    <t>695.34</t>
  </si>
  <si>
    <t>227.2</t>
  </si>
  <si>
    <t>243.37</t>
  </si>
  <si>
    <t>224.77</t>
  </si>
  <si>
    <t>850 368-7659</t>
  </si>
  <si>
    <t>25662870</t>
  </si>
  <si>
    <t>25662936</t>
  </si>
  <si>
    <t>25665773</t>
  </si>
  <si>
    <t>8769704</t>
  </si>
  <si>
    <t>Klarissa Strickengloss</t>
  </si>
  <si>
    <t>850 461 4865</t>
  </si>
  <si>
    <t>415   TWIN LAKES LN</t>
  </si>
  <si>
    <t>D7F4M13000018</t>
  </si>
  <si>
    <t>401702</t>
  </si>
  <si>
    <t>-123.92</t>
  </si>
  <si>
    <t>-91.66</t>
  </si>
  <si>
    <t>402.28</t>
  </si>
  <si>
    <t>33.34</t>
  </si>
  <si>
    <t>253.03</t>
  </si>
  <si>
    <t>121.75</t>
  </si>
  <si>
    <t>11.24</t>
  </si>
  <si>
    <t>850 461-4865</t>
  </si>
  <si>
    <t>25667808</t>
  </si>
  <si>
    <t>75901622</t>
  </si>
  <si>
    <t>SCOTT TATE</t>
  </si>
  <si>
    <t>308   MIRACLE STRIP PKWY</t>
  </si>
  <si>
    <t xml:space="preserve">   29B</t>
  </si>
  <si>
    <t>459267</t>
  </si>
  <si>
    <t>-73.78</t>
  </si>
  <si>
    <t>360.11</t>
  </si>
  <si>
    <t>56.35</t>
  </si>
  <si>
    <t>65.74</t>
  </si>
  <si>
    <t>131.6</t>
  </si>
  <si>
    <t>106.42</t>
  </si>
  <si>
    <t>850 420-7481</t>
  </si>
  <si>
    <t>25668819</t>
  </si>
  <si>
    <t>25668826</t>
  </si>
  <si>
    <t>25668841</t>
  </si>
  <si>
    <t>75571202</t>
  </si>
  <si>
    <t>MR J CHALFANT</t>
  </si>
  <si>
    <t>06/13/1996</t>
  </si>
  <si>
    <t>850 244 0483</t>
  </si>
  <si>
    <t>721   CRESTWOOD ST</t>
  </si>
  <si>
    <t>[500510311423]</t>
  </si>
  <si>
    <t>447240</t>
  </si>
  <si>
    <t>-47.88</t>
  </si>
  <si>
    <t>-48.88</t>
  </si>
  <si>
    <t>-92.08</t>
  </si>
  <si>
    <t>148.61</t>
  </si>
  <si>
    <t>52.86</t>
  </si>
  <si>
    <t>47.87</t>
  </si>
  <si>
    <t>47.88</t>
  </si>
  <si>
    <t>850 244-0483</t>
  </si>
  <si>
    <t>25668860</t>
  </si>
  <si>
    <t>25672282</t>
  </si>
  <si>
    <t>25672312</t>
  </si>
  <si>
    <t>16542401</t>
  </si>
  <si>
    <t>VNS Kendrick David Dowling</t>
  </si>
  <si>
    <t>03/27/2013</t>
  </si>
  <si>
    <t>320   RACETRACK RD</t>
  </si>
  <si>
    <t>850 243-9158</t>
  </si>
  <si>
    <t>25656426</t>
  </si>
  <si>
    <t>5269806</t>
  </si>
  <si>
    <t>BRANDI GARCIE</t>
  </si>
  <si>
    <t>850 255 2585</t>
  </si>
  <si>
    <t>523   BATTEN BLVD</t>
  </si>
  <si>
    <t>0132</t>
  </si>
  <si>
    <t>6741</t>
  </si>
  <si>
    <t>SABQFNXQB</t>
  </si>
  <si>
    <t>881043</t>
  </si>
  <si>
    <t>31717</t>
  </si>
  <si>
    <t>-89.16</t>
  </si>
  <si>
    <t>-107.92</t>
  </si>
  <si>
    <t>-178.62</t>
  </si>
  <si>
    <t>842.66</t>
  </si>
  <si>
    <t>586.48</t>
  </si>
  <si>
    <t>850 255-2585</t>
  </si>
  <si>
    <t>Keon</t>
  </si>
  <si>
    <t>25656505</t>
  </si>
  <si>
    <t>17526003</t>
  </si>
  <si>
    <t>WILLIAM LANGHAM</t>
  </si>
  <si>
    <t>850 889 5707</t>
  </si>
  <si>
    <t>1507  S FAIRFIELD DR</t>
  </si>
  <si>
    <t>5844</t>
  </si>
  <si>
    <t>SABSQLQCZ</t>
  </si>
  <si>
    <t>NA</t>
  </si>
  <si>
    <t>427.34</t>
  </si>
  <si>
    <t>127.4</t>
  </si>
  <si>
    <t>149.28</t>
  </si>
  <si>
    <t>150.66</t>
  </si>
  <si>
    <t>850 889-5707</t>
  </si>
  <si>
    <t>25656530</t>
  </si>
  <si>
    <t>49611711</t>
  </si>
  <si>
    <t>TINA BETHEA</t>
  </si>
  <si>
    <t>01/03/2015</t>
  </si>
  <si>
    <t>601 918 2420</t>
  </si>
  <si>
    <t>620  N 62ND AVE</t>
  </si>
  <si>
    <t>0053</t>
  </si>
  <si>
    <t>RZM5341</t>
  </si>
  <si>
    <t>[258153410003J4228]</t>
  </si>
  <si>
    <t>554733</t>
  </si>
  <si>
    <t>-107.85</t>
  </si>
  <si>
    <t>336.53</t>
  </si>
  <si>
    <t>116.84</t>
  </si>
  <si>
    <t>111.84</t>
  </si>
  <si>
    <t>107.85</t>
  </si>
  <si>
    <t>601 918-2420</t>
  </si>
  <si>
    <t>25656537</t>
  </si>
  <si>
    <t>60273011</t>
  </si>
  <si>
    <t>DARRELL SMITH</t>
  </si>
  <si>
    <t>19   HALSEY DR</t>
  </si>
  <si>
    <t>0119</t>
  </si>
  <si>
    <t>3HW13AW300A0F</t>
  </si>
  <si>
    <t>R394435</t>
  </si>
  <si>
    <t>-144.00</t>
  </si>
  <si>
    <t>-177.25</t>
  </si>
  <si>
    <t>409.04</t>
  </si>
  <si>
    <t>180.4</t>
  </si>
  <si>
    <t>223.65</t>
  </si>
  <si>
    <t>850 346-0325</t>
  </si>
  <si>
    <t>25656589</t>
  </si>
  <si>
    <t>72219002</t>
  </si>
  <si>
    <t>BRENDA PRIDE</t>
  </si>
  <si>
    <t>01/10/2011</t>
  </si>
  <si>
    <t>850 377 2233</t>
  </si>
  <si>
    <t>4400   WESTOVER AVE</t>
  </si>
  <si>
    <t>[235581609]</t>
  </si>
  <si>
    <t>866642</t>
  </si>
  <si>
    <t>-82.73</t>
  </si>
  <si>
    <t>204.44</t>
  </si>
  <si>
    <t>116.72</t>
  </si>
  <si>
    <t>82.73</t>
  </si>
  <si>
    <t>850 377-2233</t>
  </si>
  <si>
    <t>25659681</t>
  </si>
  <si>
    <t>66979610</t>
  </si>
  <si>
    <t>Charles White</t>
  </si>
  <si>
    <t>8   SULLIVAN RD</t>
  </si>
  <si>
    <t>5849</t>
  </si>
  <si>
    <t>SACCRPQWQ</t>
  </si>
  <si>
    <t>2773</t>
  </si>
  <si>
    <t>-123.06</t>
  </si>
  <si>
    <t>-162.59</t>
  </si>
  <si>
    <t>-159.45</t>
  </si>
  <si>
    <t>322.62</t>
  </si>
  <si>
    <t>157.17</t>
  </si>
  <si>
    <t>160.46</t>
  </si>
  <si>
    <t>25659691</t>
  </si>
  <si>
    <t>68338807</t>
  </si>
  <si>
    <t>ANGELA M MCLEOD</t>
  </si>
  <si>
    <t>03/02/2013</t>
  </si>
  <si>
    <t>850 457 3066</t>
  </si>
  <si>
    <t>13   LIEUTENANT ST</t>
  </si>
  <si>
    <t>0120</t>
  </si>
  <si>
    <t>DNG2000</t>
  </si>
  <si>
    <t>[2SG2265L10365]</t>
  </si>
  <si>
    <t>810050</t>
  </si>
  <si>
    <t>-175.02</t>
  </si>
  <si>
    <t>05/17/2015</t>
  </si>
  <si>
    <t>-157.77</t>
  </si>
  <si>
    <t>271.86</t>
  </si>
  <si>
    <t>55.3</t>
  </si>
  <si>
    <t>850 457-3066</t>
  </si>
  <si>
    <t>25659704</t>
  </si>
  <si>
    <t>71558218</t>
  </si>
  <si>
    <t>REGINALD DAVIDSON</t>
  </si>
  <si>
    <t>01/29/2015</t>
  </si>
  <si>
    <t>850 602 0849</t>
  </si>
  <si>
    <t>490  S FAIRFIELD DR</t>
  </si>
  <si>
    <t xml:space="preserve">     H</t>
  </si>
  <si>
    <t>0050</t>
  </si>
  <si>
    <t>SABHMBXCT</t>
  </si>
  <si>
    <t>753363</t>
  </si>
  <si>
    <t>-393.28</t>
  </si>
  <si>
    <t>-175.38</t>
  </si>
  <si>
    <t>-371.00</t>
  </si>
  <si>
    <t>607.42</t>
  </si>
  <si>
    <t>214.14</t>
  </si>
  <si>
    <t>393.28</t>
  </si>
  <si>
    <t>850 602-0849</t>
  </si>
  <si>
    <t>25662646</t>
  </si>
  <si>
    <t>452513</t>
  </si>
  <si>
    <t>DAVID HARDENBURG</t>
  </si>
  <si>
    <t>850 912 4210</t>
  </si>
  <si>
    <t>8406   MIER HENRY RD</t>
  </si>
  <si>
    <t>0051</t>
  </si>
  <si>
    <t>5542</t>
  </si>
  <si>
    <t>SABNRBHGQ</t>
  </si>
  <si>
    <t>543159</t>
  </si>
  <si>
    <t>-144.28</t>
  </si>
  <si>
    <t>-120.45</t>
  </si>
  <si>
    <t>-128.24</t>
  </si>
  <si>
    <t>409.98</t>
  </si>
  <si>
    <t>141.31</t>
  </si>
  <si>
    <t>136.32</t>
  </si>
  <si>
    <t>132.35</t>
  </si>
  <si>
    <t>850 912-4210</t>
  </si>
  <si>
    <t>25662707</t>
  </si>
  <si>
    <t>10726801</t>
  </si>
  <si>
    <t>F J KELLEY</t>
  </si>
  <si>
    <t>04/20/1994</t>
  </si>
  <si>
    <t>850 455 3320</t>
  </si>
  <si>
    <t>6510   FABIANO ST</t>
  </si>
  <si>
    <t>2340928</t>
  </si>
  <si>
    <t>850 455-3320</t>
  </si>
  <si>
    <t>25662761</t>
  </si>
  <si>
    <t>37276313</t>
  </si>
  <si>
    <t>JOSHUA COBURGER</t>
  </si>
  <si>
    <t>850 619 6961</t>
  </si>
  <si>
    <t>31   SRANT DR</t>
  </si>
  <si>
    <t>0056</t>
  </si>
  <si>
    <t>3HW145W302D89</t>
  </si>
  <si>
    <t>Z007483</t>
  </si>
  <si>
    <t>-42.98</t>
  </si>
  <si>
    <t>-35.00</t>
  </si>
  <si>
    <t>137.97</t>
  </si>
  <si>
    <t>71.49</t>
  </si>
  <si>
    <t>850 619-6961</t>
  </si>
  <si>
    <t>25662768</t>
  </si>
  <si>
    <t>42029913</t>
  </si>
  <si>
    <t>Diane L Hilburn</t>
  </si>
  <si>
    <t>850 898 3644</t>
  </si>
  <si>
    <t>330   FRISCO RD</t>
  </si>
  <si>
    <t>0117</t>
  </si>
  <si>
    <t>D554M13002798</t>
  </si>
  <si>
    <t>385890</t>
  </si>
  <si>
    <t>-55.65</t>
  </si>
  <si>
    <t>622.85</t>
  </si>
  <si>
    <t>28.34</t>
  </si>
  <si>
    <t>324.34</t>
  </si>
  <si>
    <t>270.17</t>
  </si>
  <si>
    <t>850 898-3644</t>
  </si>
  <si>
    <t>850 281-6330</t>
  </si>
  <si>
    <t>25662775</t>
  </si>
  <si>
    <t>51368912</t>
  </si>
  <si>
    <t>STARLI WILSON</t>
  </si>
  <si>
    <t>7722   WALKER ST</t>
  </si>
  <si>
    <t>0052</t>
  </si>
  <si>
    <t>RGI510U</t>
  </si>
  <si>
    <t>[OHYTSWYOVTSO]</t>
  </si>
  <si>
    <t>836765</t>
  </si>
  <si>
    <t>-98.45</t>
  </si>
  <si>
    <t>-200.84</t>
  </si>
  <si>
    <t>-154.90</t>
  </si>
  <si>
    <t>209.86</t>
  </si>
  <si>
    <t>102.43</t>
  </si>
  <si>
    <t>102.44</t>
  </si>
  <si>
    <t>850 418-1038</t>
  </si>
  <si>
    <t>25662781</t>
  </si>
  <si>
    <t>60221909</t>
  </si>
  <si>
    <t>JOHNNIE CUNNINGHAM</t>
  </si>
  <si>
    <t>07/18/1996</t>
  </si>
  <si>
    <t>850 457 3673</t>
  </si>
  <si>
    <t>742  N FAIRFIELD DR</t>
  </si>
  <si>
    <t>[202820615]</t>
  </si>
  <si>
    <t>R105537</t>
  </si>
  <si>
    <t>-481.36</t>
  </si>
  <si>
    <t>-258.12</t>
  </si>
  <si>
    <t>-253.13</t>
  </si>
  <si>
    <t>464.02</t>
  </si>
  <si>
    <t>220.76</t>
  </si>
  <si>
    <t>238.27</t>
  </si>
  <si>
    <t>2014-01-02 00:00:00</t>
  </si>
  <si>
    <t>850 457-3673</t>
  </si>
  <si>
    <t>850 474-7380</t>
  </si>
  <si>
    <t>25662783</t>
  </si>
  <si>
    <t>62681218</t>
  </si>
  <si>
    <t>KRISTY RODGERS</t>
  </si>
  <si>
    <t>850 292 3740</t>
  </si>
  <si>
    <t>216   BROADMOOR LN</t>
  </si>
  <si>
    <t>0118</t>
  </si>
  <si>
    <t>QBAJ1D5004540</t>
  </si>
  <si>
    <t>412310</t>
  </si>
  <si>
    <t>501.45</t>
  </si>
  <si>
    <t>209.81</t>
  </si>
  <si>
    <t>69.48</t>
  </si>
  <si>
    <t>195.76</t>
  </si>
  <si>
    <t>21.41</t>
  </si>
  <si>
    <t>850 292-3740</t>
  </si>
  <si>
    <t>25662795</t>
  </si>
  <si>
    <t>66663419</t>
  </si>
  <si>
    <t>ROSALIND WILLIAMS</t>
  </si>
  <si>
    <t>03/16/2011</t>
  </si>
  <si>
    <t>850 607 8011</t>
  </si>
  <si>
    <t>4600   TWIN OAKS DR</t>
  </si>
  <si>
    <t xml:space="preserve">   201</t>
  </si>
  <si>
    <t>242275936</t>
  </si>
  <si>
    <t>812697</t>
  </si>
  <si>
    <t>-56.23</t>
  </si>
  <si>
    <t>-52.14</t>
  </si>
  <si>
    <t>188.54</t>
  </si>
  <si>
    <t>61.43</t>
  </si>
  <si>
    <t>103.74</t>
  </si>
  <si>
    <t>18.38</t>
  </si>
  <si>
    <t>850 607-8011</t>
  </si>
  <si>
    <t>850 207-9545</t>
  </si>
  <si>
    <t>25662827</t>
  </si>
  <si>
    <t>71699126</t>
  </si>
  <si>
    <t>MARQUIS BERBERT</t>
  </si>
  <si>
    <t>850 341 8736</t>
  </si>
  <si>
    <t>4710   PRIETO DR</t>
  </si>
  <si>
    <t xml:space="preserve">   701</t>
  </si>
  <si>
    <t>5546</t>
  </si>
  <si>
    <t>SACBXHZXD</t>
  </si>
  <si>
    <t>692823</t>
  </si>
  <si>
    <t>-195.61</t>
  </si>
  <si>
    <t>-94.22</t>
  </si>
  <si>
    <t>274.58</t>
  </si>
  <si>
    <t>159.39</t>
  </si>
  <si>
    <t>110.2</t>
  </si>
  <si>
    <t>850 341-8736</t>
  </si>
  <si>
    <t>25665731</t>
  </si>
  <si>
    <t>374323</t>
  </si>
  <si>
    <t>Charlie McCastler</t>
  </si>
  <si>
    <t>08/10/2012</t>
  </si>
  <si>
    <t>850 466 5174</t>
  </si>
  <si>
    <t>7591  W HIGHWAY 98</t>
  </si>
  <si>
    <t xml:space="preserve">   113</t>
  </si>
  <si>
    <t>0049</t>
  </si>
  <si>
    <t>SACCVTVVN</t>
  </si>
  <si>
    <t>541179</t>
  </si>
  <si>
    <t>-310.98</t>
  </si>
  <si>
    <t>-105.32</t>
  </si>
  <si>
    <t>402.63</t>
  </si>
  <si>
    <t>204.11</t>
  </si>
  <si>
    <t>193.53</t>
  </si>
  <si>
    <t>850 466-5174</t>
  </si>
  <si>
    <t>25665734</t>
  </si>
  <si>
    <t>963907</t>
  </si>
  <si>
    <t>CHASE TURNQUEST</t>
  </si>
  <si>
    <t>850 483 7306</t>
  </si>
  <si>
    <t>12540   LILLIAN HWY</t>
  </si>
  <si>
    <t>0134</t>
  </si>
  <si>
    <t>3HW147WJ05AA3</t>
  </si>
  <si>
    <t>404550</t>
  </si>
  <si>
    <t>267.71</t>
  </si>
  <si>
    <t>97.99</t>
  </si>
  <si>
    <t>76.49</t>
  </si>
  <si>
    <t>88.24</t>
  </si>
  <si>
    <t>850 483-7306</t>
  </si>
  <si>
    <t>OVERGROWN TREES</t>
  </si>
  <si>
    <t>25665740</t>
  </si>
  <si>
    <t>1811720</t>
  </si>
  <si>
    <t>BROWNIE TAFOYA</t>
  </si>
  <si>
    <t>585 765 5381</t>
  </si>
  <si>
    <t>1507  N 50TH AVE</t>
  </si>
  <si>
    <t>0057</t>
  </si>
  <si>
    <t>E124M13002932</t>
  </si>
  <si>
    <t>697057</t>
  </si>
  <si>
    <t>613.37</t>
  </si>
  <si>
    <t>230.83</t>
  </si>
  <si>
    <t>218.95</t>
  </si>
  <si>
    <t>163.59</t>
  </si>
  <si>
    <t>585 765-5381</t>
  </si>
  <si>
    <t>25665746</t>
  </si>
  <si>
    <t>2762710</t>
  </si>
  <si>
    <t>STEFAN VILLAFANA</t>
  </si>
  <si>
    <t>757 329 2496</t>
  </si>
  <si>
    <t>68   BELLEAU WOOD CT</t>
  </si>
  <si>
    <t>0129</t>
  </si>
  <si>
    <t>45U14AWC016F6</t>
  </si>
  <si>
    <t>2080005</t>
  </si>
  <si>
    <t>-90.73</t>
  </si>
  <si>
    <t>-155.23</t>
  </si>
  <si>
    <t>94.72</t>
  </si>
  <si>
    <t>90.73</t>
  </si>
  <si>
    <t>757 329-2496</t>
  </si>
  <si>
    <t>25665749</t>
  </si>
  <si>
    <t>3216907</t>
  </si>
  <si>
    <t>Daron Dale</t>
  </si>
  <si>
    <t>4395  W JACKSON ST</t>
  </si>
  <si>
    <t xml:space="preserve">    24</t>
  </si>
  <si>
    <t>SABNHDWPP</t>
  </si>
  <si>
    <t>1010859</t>
  </si>
  <si>
    <t>R150905</t>
  </si>
  <si>
    <t>182.7</t>
  </si>
  <si>
    <t>17.57</t>
  </si>
  <si>
    <t>81.41</t>
  </si>
  <si>
    <t>850 776-8949</t>
  </si>
  <si>
    <t>25665756</t>
  </si>
  <si>
    <t>4502107</t>
  </si>
  <si>
    <t>SHINEKA BRADFORD</t>
  </si>
  <si>
    <t>850 453 6477</t>
  </si>
  <si>
    <t>607   EDGECLIFF DR</t>
  </si>
  <si>
    <t>0054</t>
  </si>
  <si>
    <t>SABPTGWWP</t>
  </si>
  <si>
    <t>407767</t>
  </si>
  <si>
    <t>638492</t>
  </si>
  <si>
    <t>-133.57</t>
  </si>
  <si>
    <t>433.47</t>
  </si>
  <si>
    <t>16.17</t>
  </si>
  <si>
    <t>195.91</t>
  </si>
  <si>
    <t>221.39</t>
  </si>
  <si>
    <t>2015-05-29 00:00:00</t>
  </si>
  <si>
    <t>850 453-6477</t>
  </si>
  <si>
    <t>25665763</t>
  </si>
  <si>
    <t>6108108</t>
  </si>
  <si>
    <t>Kionta Hawkins</t>
  </si>
  <si>
    <t>26   TEAKWOOD CIR</t>
  </si>
  <si>
    <t>0055</t>
  </si>
  <si>
    <t>SABKBGTPN</t>
  </si>
  <si>
    <t>1049495</t>
  </si>
  <si>
    <t>-192.89</t>
  </si>
  <si>
    <t>-194.00</t>
  </si>
  <si>
    <t>-139.26</t>
  </si>
  <si>
    <t>552.45</t>
  </si>
  <si>
    <t>204.23</t>
  </si>
  <si>
    <t>343.23</t>
  </si>
  <si>
    <t>2015-06-24 00:00:00</t>
  </si>
  <si>
    <t>850 292-6133</t>
  </si>
  <si>
    <t>25665783</t>
  </si>
  <si>
    <t>10413503</t>
  </si>
  <si>
    <t>PAMELA CASON</t>
  </si>
  <si>
    <t>850 696 2431</t>
  </si>
  <si>
    <t>681   BUOY DR</t>
  </si>
  <si>
    <t>DNG6300</t>
  </si>
  <si>
    <t>[3CD1397UA06D9]</t>
  </si>
  <si>
    <t>759910</t>
  </si>
  <si>
    <t>-376.09</t>
  </si>
  <si>
    <t>-151.16</t>
  </si>
  <si>
    <t>-161.00</t>
  </si>
  <si>
    <t>243.9</t>
  </si>
  <si>
    <t>137.16</t>
  </si>
  <si>
    <t>101.75</t>
  </si>
  <si>
    <t>850 696-2431</t>
  </si>
  <si>
    <t>850 384-6062</t>
  </si>
  <si>
    <t>25665855</t>
  </si>
  <si>
    <t>48899916</t>
  </si>
  <si>
    <t>KANOCIA HERBERT</t>
  </si>
  <si>
    <t>850 485 6702</t>
  </si>
  <si>
    <t>109   CAVALIER DR</t>
  </si>
  <si>
    <t>0121</t>
  </si>
  <si>
    <t>5847</t>
  </si>
  <si>
    <t>267481119</t>
  </si>
  <si>
    <t>385841</t>
  </si>
  <si>
    <t>-15.54</t>
  </si>
  <si>
    <t>353.56</t>
  </si>
  <si>
    <t>182.29</t>
  </si>
  <si>
    <t>166.28</t>
  </si>
  <si>
    <t>850 485-6702</t>
  </si>
  <si>
    <t>25665861</t>
  </si>
  <si>
    <t>51913204</t>
  </si>
  <si>
    <t>Ralph Mckee</t>
  </si>
  <si>
    <t>10/02/2013</t>
  </si>
  <si>
    <t>850 791 8384</t>
  </si>
  <si>
    <t>1005   BARTOW AVE</t>
  </si>
  <si>
    <t>0125</t>
  </si>
  <si>
    <t>236728485</t>
  </si>
  <si>
    <t>R141177</t>
  </si>
  <si>
    <t>171.94</t>
  </si>
  <si>
    <t>850 791-8384</t>
  </si>
  <si>
    <t>NO ACCESS; TREES</t>
  </si>
  <si>
    <t>25665866</t>
  </si>
  <si>
    <t>56927722</t>
  </si>
  <si>
    <t>JEFFREY GRAHAM</t>
  </si>
  <si>
    <t>850 454 8073</t>
  </si>
  <si>
    <t>1108  N 50TH AVE</t>
  </si>
  <si>
    <t>SABSRNQBR</t>
  </si>
  <si>
    <t>879933</t>
  </si>
  <si>
    <t>-147.72</t>
  </si>
  <si>
    <t>-200.48</t>
  </si>
  <si>
    <t>376.64</t>
  </si>
  <si>
    <t>231.35</t>
  </si>
  <si>
    <t>140.3</t>
  </si>
  <si>
    <t>2015-06-02 00:00:00</t>
  </si>
  <si>
    <t>850 454-8073</t>
  </si>
  <si>
    <t>850 512-9182</t>
  </si>
  <si>
    <t>25665873</t>
  </si>
  <si>
    <t>63722310</t>
  </si>
  <si>
    <t>STEVEN MUSCATELLO</t>
  </si>
  <si>
    <t>850 466 3482</t>
  </si>
  <si>
    <t>191   TALLADEGA TRL</t>
  </si>
  <si>
    <t>SABWMVFBR</t>
  </si>
  <si>
    <t>770497</t>
  </si>
  <si>
    <t>-158.56</t>
  </si>
  <si>
    <t>-94.41</t>
  </si>
  <si>
    <t>579.87</t>
  </si>
  <si>
    <t>185.07</t>
  </si>
  <si>
    <t>359.81</t>
  </si>
  <si>
    <t>850 466-3482</t>
  </si>
  <si>
    <t>850 696-9066</t>
  </si>
  <si>
    <t>25665888</t>
  </si>
  <si>
    <t>67299104</t>
  </si>
  <si>
    <t>CYNTHIA PORTER</t>
  </si>
  <si>
    <t>850 723 1910</t>
  </si>
  <si>
    <t>6450   BIRKHEAD DR</t>
  </si>
  <si>
    <t>236775264</t>
  </si>
  <si>
    <t>767500</t>
  </si>
  <si>
    <t>-99.49</t>
  </si>
  <si>
    <t>189.35</t>
  </si>
  <si>
    <t>89.49</t>
  </si>
  <si>
    <t>94.87</t>
  </si>
  <si>
    <t>850 723-1910</t>
  </si>
  <si>
    <t>850 533-3553</t>
  </si>
  <si>
    <t>25665912</t>
  </si>
  <si>
    <t>72017816</t>
  </si>
  <si>
    <t>JAMES POWELL</t>
  </si>
  <si>
    <t>850 341 7013</t>
  </si>
  <si>
    <t>34   PATTON DR</t>
  </si>
  <si>
    <t>SABKJGQHD</t>
  </si>
  <si>
    <t>837522</t>
  </si>
  <si>
    <t>-51.90</t>
  </si>
  <si>
    <t>602.47</t>
  </si>
  <si>
    <t>174.05</t>
  </si>
  <si>
    <t>192</t>
  </si>
  <si>
    <t>236.42</t>
  </si>
  <si>
    <t>850 341-7013</t>
  </si>
  <si>
    <t>25665914</t>
  </si>
  <si>
    <t>72131021</t>
  </si>
  <si>
    <t>denise knight</t>
  </si>
  <si>
    <t>488  S FAIRFIELD DR</t>
  </si>
  <si>
    <t xml:space="preserve">     N</t>
  </si>
  <si>
    <t>SABKGCGNG</t>
  </si>
  <si>
    <t>407706</t>
  </si>
  <si>
    <t>-131.54</t>
  </si>
  <si>
    <t>286.07</t>
  </si>
  <si>
    <t>153.04</t>
  </si>
  <si>
    <t>128.04</t>
  </si>
  <si>
    <t>850 426-5770</t>
  </si>
  <si>
    <t>25667671</t>
  </si>
  <si>
    <t>1549603</t>
  </si>
  <si>
    <t>MICHAEL T BOYINGTON</t>
  </si>
  <si>
    <t>08/10/2013</t>
  </si>
  <si>
    <t>850 341 4730</t>
  </si>
  <si>
    <t>9120   GULF BEACH HWY</t>
  </si>
  <si>
    <t>0130</t>
  </si>
  <si>
    <t>SABMFFHKF</t>
  </si>
  <si>
    <t>494469</t>
  </si>
  <si>
    <t>-103.20</t>
  </si>
  <si>
    <t>-214.38</t>
  </si>
  <si>
    <t>-107.19</t>
  </si>
  <si>
    <t>224.37</t>
  </si>
  <si>
    <t>107.19</t>
  </si>
  <si>
    <t>850 341-4730</t>
  </si>
  <si>
    <t>25667692</t>
  </si>
  <si>
    <t>6536901</t>
  </si>
  <si>
    <t>04/09/2007</t>
  </si>
  <si>
    <t>13555   PERDIDO KEY DR</t>
  </si>
  <si>
    <t xml:space="preserve">   C35</t>
  </si>
  <si>
    <t>0139</t>
  </si>
  <si>
    <t>[0HYTV0Z0P897]</t>
  </si>
  <si>
    <t>1066688</t>
  </si>
  <si>
    <t>30.48</t>
  </si>
  <si>
    <t>3.99</t>
  </si>
  <si>
    <t>CANCEL</t>
  </si>
  <si>
    <t>25667741</t>
  </si>
  <si>
    <t>42319408</t>
  </si>
  <si>
    <t>MICHAEL ROBINSON</t>
  </si>
  <si>
    <t>850 760 7834</t>
  </si>
  <si>
    <t>224   ALTON RD</t>
  </si>
  <si>
    <t>0116</t>
  </si>
  <si>
    <t>SABSZVVKJ</t>
  </si>
  <si>
    <t>854332</t>
  </si>
  <si>
    <t>-290.47</t>
  </si>
  <si>
    <t>-209.08</t>
  </si>
  <si>
    <t>509.01</t>
  </si>
  <si>
    <t>170.99</t>
  </si>
  <si>
    <t>47.55</t>
  </si>
  <si>
    <t>290.47</t>
  </si>
  <si>
    <t>850 760-7834</t>
  </si>
  <si>
    <t>25667754</t>
  </si>
  <si>
    <t>66179307</t>
  </si>
  <si>
    <t>THEODORE WILLIAMS</t>
  </si>
  <si>
    <t>6880  W FAIRFIELD DR</t>
  </si>
  <si>
    <t xml:space="preserve">    36</t>
  </si>
  <si>
    <t>0058</t>
  </si>
  <si>
    <t>5143</t>
  </si>
  <si>
    <t>236420351</t>
  </si>
  <si>
    <t>543376</t>
  </si>
  <si>
    <t>-170.21</t>
  </si>
  <si>
    <t>420.28</t>
  </si>
  <si>
    <t>16.68</t>
  </si>
  <si>
    <t>179.2</t>
  </si>
  <si>
    <t>174.21</t>
  </si>
  <si>
    <t>66.87</t>
  </si>
  <si>
    <t>773 459-0656</t>
  </si>
  <si>
    <t>25667766</t>
  </si>
  <si>
    <t>67458609</t>
  </si>
  <si>
    <t>JOSEPH BURNS</t>
  </si>
  <si>
    <t>10/19/2013</t>
  </si>
  <si>
    <t>850 313 0347</t>
  </si>
  <si>
    <t>1111   BARTOW AVE</t>
  </si>
  <si>
    <t>236705209</t>
  </si>
  <si>
    <t>436386</t>
  </si>
  <si>
    <t>-126.24</t>
  </si>
  <si>
    <t>327.82</t>
  </si>
  <si>
    <t>191.81</t>
  </si>
  <si>
    <t>131.02</t>
  </si>
  <si>
    <t>850 313-0347</t>
  </si>
  <si>
    <t>25667785</t>
  </si>
  <si>
    <t>71369718</t>
  </si>
  <si>
    <t>LARAE DANT</t>
  </si>
  <si>
    <t>850 760 8486</t>
  </si>
  <si>
    <t>8121   LILLIAN HWY</t>
  </si>
  <si>
    <t xml:space="preserve">    49</t>
  </si>
  <si>
    <t>SABKPSCPL</t>
  </si>
  <si>
    <t>861200</t>
  </si>
  <si>
    <t>638577</t>
  </si>
  <si>
    <t>200.79</t>
  </si>
  <si>
    <t>94.9</t>
  </si>
  <si>
    <t>100.9</t>
  </si>
  <si>
    <t>850 760-8486</t>
  </si>
  <si>
    <t>25667788</t>
  </si>
  <si>
    <t>72023618</t>
  </si>
  <si>
    <t>DANEISHA A MORRELL</t>
  </si>
  <si>
    <t>850 356 5540</t>
  </si>
  <si>
    <t xml:space="preserve">   102</t>
  </si>
  <si>
    <t>SABWQDPGD</t>
  </si>
  <si>
    <t>1197446</t>
  </si>
  <si>
    <t>BC66093</t>
  </si>
  <si>
    <t>-190.25</t>
  </si>
  <si>
    <t>-150.66</t>
  </si>
  <si>
    <t>294.9</t>
  </si>
  <si>
    <t>143.91</t>
  </si>
  <si>
    <t>146</t>
  </si>
  <si>
    <t>850 356-5540</t>
  </si>
  <si>
    <t>25668643</t>
  </si>
  <si>
    <t>4016410</t>
  </si>
  <si>
    <t>MARKAS WASHINGTON</t>
  </si>
  <si>
    <t>496  S FAIRFIELD DR</t>
  </si>
  <si>
    <t>D5Y3R44004178</t>
  </si>
  <si>
    <t>2028863</t>
  </si>
  <si>
    <t>-365.76</t>
  </si>
  <si>
    <t>-192.64</t>
  </si>
  <si>
    <t>-169.56</t>
  </si>
  <si>
    <t>609.11</t>
  </si>
  <si>
    <t>64.31</t>
  </si>
  <si>
    <t>179.04</t>
  </si>
  <si>
    <t>365.76</t>
  </si>
  <si>
    <t>2015-07-21 00:00:00</t>
  </si>
  <si>
    <t>850 723-8032</t>
  </si>
  <si>
    <t>25668688</t>
  </si>
  <si>
    <t>12585704</t>
  </si>
  <si>
    <t>rhonda blum</t>
  </si>
  <si>
    <t>850 760 4643</t>
  </si>
  <si>
    <t>855   CALHOUN AVE</t>
  </si>
  <si>
    <t>6044</t>
  </si>
  <si>
    <t>SABKNVQCJ</t>
  </si>
  <si>
    <t>1060912</t>
  </si>
  <si>
    <t>-79.33</t>
  </si>
  <si>
    <t>-22.47</t>
  </si>
  <si>
    <t>282.92</t>
  </si>
  <si>
    <t>123.16</t>
  </si>
  <si>
    <t>154.77</t>
  </si>
  <si>
    <t>850 760-4643</t>
  </si>
  <si>
    <t>25668712</t>
  </si>
  <si>
    <t>17642701</t>
  </si>
  <si>
    <t>DENNIS RUSHING</t>
  </si>
  <si>
    <t>850 607 6676</t>
  </si>
  <si>
    <t>5223   STATLER AVE</t>
  </si>
  <si>
    <t>0138</t>
  </si>
  <si>
    <t>[249561508]</t>
  </si>
  <si>
    <t>2027964</t>
  </si>
  <si>
    <t>-436.77</t>
  </si>
  <si>
    <t>-202.19</t>
  </si>
  <si>
    <t>797.82</t>
  </si>
  <si>
    <t>71.01</t>
  </si>
  <si>
    <t>436.77</t>
  </si>
  <si>
    <t>850 607-6676</t>
  </si>
  <si>
    <t>850 516-1120</t>
  </si>
  <si>
    <t>25668746</t>
  </si>
  <si>
    <t>55895712</t>
  </si>
  <si>
    <t>JASON HANSON</t>
  </si>
  <si>
    <t>05/13/2014</t>
  </si>
  <si>
    <t>850 288 2802</t>
  </si>
  <si>
    <t>221   BRYANT RD</t>
  </si>
  <si>
    <t>0124</t>
  </si>
  <si>
    <t>6046</t>
  </si>
  <si>
    <t>249462149</t>
  </si>
  <si>
    <t>D780220</t>
  </si>
  <si>
    <t>-200.88</t>
  </si>
  <si>
    <t>-184.68</t>
  </si>
  <si>
    <t>-179.69</t>
  </si>
  <si>
    <t>374.18</t>
  </si>
  <si>
    <t>200.88</t>
  </si>
  <si>
    <t>168.31</t>
  </si>
  <si>
    <t>2014-12-22 00:00:00</t>
  </si>
  <si>
    <t>850 288-2802</t>
  </si>
  <si>
    <t>25668799</t>
  </si>
  <si>
    <t>71904416</t>
  </si>
  <si>
    <t>Jairius Jarvis</t>
  </si>
  <si>
    <t>09/13/2014</t>
  </si>
  <si>
    <t>417 766 3393</t>
  </si>
  <si>
    <t>9725  W HIGHWAY 98</t>
  </si>
  <si>
    <t>235977656</t>
  </si>
  <si>
    <t>861084</t>
  </si>
  <si>
    <t>-66.49</t>
  </si>
  <si>
    <t>-87.98</t>
  </si>
  <si>
    <t>182.94</t>
  </si>
  <si>
    <t>107.99</t>
  </si>
  <si>
    <t>69.96</t>
  </si>
  <si>
    <t>417 766-3393</t>
  </si>
  <si>
    <t>25672445</t>
  </si>
  <si>
    <t>65458214</t>
  </si>
  <si>
    <t>Jonathan White</t>
  </si>
  <si>
    <t>850 619 3884</t>
  </si>
  <si>
    <t>511   PELHAM RD</t>
  </si>
  <si>
    <t>D6C4M13003288</t>
  </si>
  <si>
    <t>2046182</t>
  </si>
  <si>
    <t>445.34</t>
  </si>
  <si>
    <t>161.57</t>
  </si>
  <si>
    <t>156.58</t>
  </si>
  <si>
    <t>135.66</t>
  </si>
  <si>
    <t>850 619-3884</t>
  </si>
  <si>
    <t>25672453</t>
  </si>
  <si>
    <t>66454510</t>
  </si>
  <si>
    <t>ALAN MAGERKO</t>
  </si>
  <si>
    <t>10/11/2011</t>
  </si>
  <si>
    <t>850 686 1330</t>
  </si>
  <si>
    <t>428  S NAVY BLVD</t>
  </si>
  <si>
    <t>0122</t>
  </si>
  <si>
    <t>6047</t>
  </si>
  <si>
    <t>[359079332634263101012019]</t>
  </si>
  <si>
    <t>629416</t>
  </si>
  <si>
    <t>-5.00</t>
  </si>
  <si>
    <t>-23.00</t>
  </si>
  <si>
    <t>114.96</t>
  </si>
  <si>
    <t>2013-05-23 00:00:00</t>
  </si>
  <si>
    <t>850 686-1330</t>
  </si>
  <si>
    <t>25672471</t>
  </si>
  <si>
    <t>67833402</t>
  </si>
  <si>
    <t>VIRGINIA MULVEY</t>
  </si>
  <si>
    <t>10   EATON RD</t>
  </si>
  <si>
    <t>SABQWPMVK</t>
  </si>
  <si>
    <t>345392</t>
  </si>
  <si>
    <t>196.09</t>
  </si>
  <si>
    <t>55.69</t>
  </si>
  <si>
    <t>50.7</t>
  </si>
  <si>
    <t>89.7</t>
  </si>
  <si>
    <t>25672492</t>
  </si>
  <si>
    <t>70179018</t>
  </si>
  <si>
    <t>TINA SCRUGGS</t>
  </si>
  <si>
    <t>470 388 7479</t>
  </si>
  <si>
    <t>5919   FLAXMAN ST</t>
  </si>
  <si>
    <t>SABNKQLMB</t>
  </si>
  <si>
    <t>379255</t>
  </si>
  <si>
    <t>536.36</t>
  </si>
  <si>
    <t>183.44</t>
  </si>
  <si>
    <t>178.45</t>
  </si>
  <si>
    <t>174.47</t>
  </si>
  <si>
    <t>470 388-7479</t>
  </si>
  <si>
    <t>25672503</t>
  </si>
  <si>
    <t>71565211</t>
  </si>
  <si>
    <t>GERRELL HUNTER</t>
  </si>
  <si>
    <t>850 449 8870</t>
  </si>
  <si>
    <t xml:space="preserve">     J</t>
  </si>
  <si>
    <t>540930</t>
  </si>
  <si>
    <t>-81.25</t>
  </si>
  <si>
    <t>114.11</t>
  </si>
  <si>
    <t>850 449-8870</t>
  </si>
  <si>
    <t>25672509</t>
  </si>
  <si>
    <t>72100809</t>
  </si>
  <si>
    <t>BENJIE SPERLING</t>
  </si>
  <si>
    <t>954 772 4409</t>
  </si>
  <si>
    <t>7227   SHARP REEF RD</t>
  </si>
  <si>
    <t>0143</t>
  </si>
  <si>
    <t>DN4500B</t>
  </si>
  <si>
    <t>3H2145WT00320</t>
  </si>
  <si>
    <t>2079957</t>
  </si>
  <si>
    <t>311.83</t>
  </si>
  <si>
    <t>222.61</t>
  </si>
  <si>
    <t>84.23</t>
  </si>
  <si>
    <t>954 772-4409</t>
  </si>
  <si>
    <t>954 614-9756</t>
  </si>
  <si>
    <t>25656518</t>
  </si>
  <si>
    <t>33846719</t>
  </si>
  <si>
    <t>EARNESTINE GLADDEN</t>
  </si>
  <si>
    <t>01/18/2015</t>
  </si>
  <si>
    <t>850 483 7902</t>
  </si>
  <si>
    <t>100   REDWOOD CIR</t>
  </si>
  <si>
    <t xml:space="preserve">   312</t>
  </si>
  <si>
    <t>DAH4M13005354</t>
  </si>
  <si>
    <t>371736</t>
  </si>
  <si>
    <t>-553.49</t>
  </si>
  <si>
    <t>774.52</t>
  </si>
  <si>
    <t>223.95</t>
  </si>
  <si>
    <t>545.58</t>
  </si>
  <si>
    <t>850 483-7902</t>
  </si>
  <si>
    <t>25656523</t>
  </si>
  <si>
    <t>42062002</t>
  </si>
  <si>
    <t>MIKE NEWHARO</t>
  </si>
  <si>
    <t>850 612 0322</t>
  </si>
  <si>
    <t>401   CHASEVILLE ST</t>
  </si>
  <si>
    <t>SABKPSLJN</t>
  </si>
  <si>
    <t>503024</t>
  </si>
  <si>
    <t>788.49</t>
  </si>
  <si>
    <t>211.17</t>
  </si>
  <si>
    <t>572.33</t>
  </si>
  <si>
    <t>850 612-0322</t>
  </si>
  <si>
    <t>25656536</t>
  </si>
  <si>
    <t>58648706</t>
  </si>
  <si>
    <t>RAMONA akogwu</t>
  </si>
  <si>
    <t>07/07/2014</t>
  </si>
  <si>
    <t>850 791 8009</t>
  </si>
  <si>
    <t>8233   IMPALA CT</t>
  </si>
  <si>
    <t>D3G4M12001423</t>
  </si>
  <si>
    <t>767787</t>
  </si>
  <si>
    <t>-170.77</t>
  </si>
  <si>
    <t>-120.78</t>
  </si>
  <si>
    <t>-160.38</t>
  </si>
  <si>
    <t>405.53</t>
  </si>
  <si>
    <t>232.1</t>
  </si>
  <si>
    <t>168.44</t>
  </si>
  <si>
    <t>850 791-8009</t>
  </si>
  <si>
    <t>25659547</t>
  </si>
  <si>
    <t>2418312</t>
  </si>
  <si>
    <t>AARON STRAUSS</t>
  </si>
  <si>
    <t>10/08/2008</t>
  </si>
  <si>
    <t>850 497 6103</t>
  </si>
  <si>
    <t>690   DECATUR AVE</t>
  </si>
  <si>
    <t>APP7HD2</t>
  </si>
  <si>
    <t>H000000008259</t>
  </si>
  <si>
    <t>406658</t>
  </si>
  <si>
    <t>-339.01</t>
  </si>
  <si>
    <t>-629.95</t>
  </si>
  <si>
    <t>-312.44</t>
  </si>
  <si>
    <t>1101.21</t>
  </si>
  <si>
    <t>394.52</t>
  </si>
  <si>
    <t>332.69</t>
  </si>
  <si>
    <t>339.01</t>
  </si>
  <si>
    <t>850 497-6103</t>
  </si>
  <si>
    <t>850 455-4696</t>
  </si>
  <si>
    <t>25659561</t>
  </si>
  <si>
    <t>5225609</t>
  </si>
  <si>
    <t>MARTHA RAYE</t>
  </si>
  <si>
    <t>11/01/2014</t>
  </si>
  <si>
    <t>850 607 7137</t>
  </si>
  <si>
    <t>3947   BAUER RD</t>
  </si>
  <si>
    <t xml:space="preserve">    YD</t>
  </si>
  <si>
    <t>0135</t>
  </si>
  <si>
    <t>SABMNCWQK</t>
  </si>
  <si>
    <t>937909</t>
  </si>
  <si>
    <t>A740179</t>
  </si>
  <si>
    <t>-145.34</t>
  </si>
  <si>
    <t>-18.82</t>
  </si>
  <si>
    <t>-86.65</t>
  </si>
  <si>
    <t>363.46</t>
  </si>
  <si>
    <t>146.91</t>
  </si>
  <si>
    <t>120.38</t>
  </si>
  <si>
    <t>96.17</t>
  </si>
  <si>
    <t>2015-04-30 00:00:00</t>
  </si>
  <si>
    <t>850 607-7137</t>
  </si>
  <si>
    <t>850 356-7988</t>
  </si>
  <si>
    <t>25662675</t>
  </si>
  <si>
    <t>25662771</t>
  </si>
  <si>
    <t>47662207</t>
  </si>
  <si>
    <t>MARCUS HIRES</t>
  </si>
  <si>
    <t>217   PAYNE RD</t>
  </si>
  <si>
    <t>853201</t>
  </si>
  <si>
    <t>-125.64</t>
  </si>
  <si>
    <t>526.64</t>
  </si>
  <si>
    <t>399.2</t>
  </si>
  <si>
    <t>58.85</t>
  </si>
  <si>
    <t>58.87</t>
  </si>
  <si>
    <t>9.72</t>
  </si>
  <si>
    <t>25662782</t>
  </si>
  <si>
    <t>25667669</t>
  </si>
  <si>
    <t>25667740</t>
  </si>
  <si>
    <t>25667747</t>
  </si>
  <si>
    <t>25667757</t>
  </si>
  <si>
    <t>25667773</t>
  </si>
  <si>
    <t>69070008</t>
  </si>
  <si>
    <t>FLOYD WILSON</t>
  </si>
  <si>
    <t>01/20/2014</t>
  </si>
  <si>
    <t>850 542 4903</t>
  </si>
  <si>
    <t>1503  N 72ND AVE</t>
  </si>
  <si>
    <t>5244</t>
  </si>
  <si>
    <t>[2DV31CU801311]</t>
  </si>
  <si>
    <t>488548</t>
  </si>
  <si>
    <t>-164.15</t>
  </si>
  <si>
    <t>-376.17</t>
  </si>
  <si>
    <t>1303.01</t>
  </si>
  <si>
    <t>868.18</t>
  </si>
  <si>
    <t>216.58</t>
  </si>
  <si>
    <t>163.51</t>
  </si>
  <si>
    <t>850 542-4903</t>
  </si>
  <si>
    <t>850 381-7352</t>
  </si>
  <si>
    <t>25667779</t>
  </si>
  <si>
    <t>69726820</t>
  </si>
  <si>
    <t>Ronald McFarland</t>
  </si>
  <si>
    <t>850 483 2367</t>
  </si>
  <si>
    <t>4985   CATALINA CIR</t>
  </si>
  <si>
    <t>DC54M13007515</t>
  </si>
  <si>
    <t>836136</t>
  </si>
  <si>
    <t>-163.79</t>
  </si>
  <si>
    <t>-413.79</t>
  </si>
  <si>
    <t>2452.09</t>
  </si>
  <si>
    <t>1528.54</t>
  </si>
  <si>
    <t>292.36</t>
  </si>
  <si>
    <t>360.37</t>
  </si>
  <si>
    <t>250</t>
  </si>
  <si>
    <t>15.83</t>
  </si>
  <si>
    <t>850 483-2367</t>
  </si>
  <si>
    <t>25667786</t>
  </si>
  <si>
    <t>71419129</t>
  </si>
  <si>
    <t>KELLEY NICHOLS</t>
  </si>
  <si>
    <t>08/04/2014</t>
  </si>
  <si>
    <t>251 233 5843</t>
  </si>
  <si>
    <t>3386   BARRANCAS AVE</t>
  </si>
  <si>
    <t>[260977059]</t>
  </si>
  <si>
    <t>752004</t>
  </si>
  <si>
    <t>09/05/2014</t>
  </si>
  <si>
    <t>-600.00</t>
  </si>
  <si>
    <t>323.6</t>
  </si>
  <si>
    <t>160.99</t>
  </si>
  <si>
    <t>53.13</t>
  </si>
  <si>
    <t>251 233-5843</t>
  </si>
  <si>
    <t>25668612</t>
  </si>
  <si>
    <t>25668626</t>
  </si>
  <si>
    <t>25668743</t>
  </si>
  <si>
    <t>25656411</t>
  </si>
  <si>
    <t>3417610</t>
  </si>
  <si>
    <t>ZAKARI COVIN</t>
  </si>
  <si>
    <t>02/20/2015</t>
  </si>
  <si>
    <t>850 463 5728</t>
  </si>
  <si>
    <t>406   COOPER ST</t>
  </si>
  <si>
    <t>SABNXZCQH</t>
  </si>
  <si>
    <t>830722</t>
  </si>
  <si>
    <t>-517.00</t>
  </si>
  <si>
    <t>-179.72</t>
  </si>
  <si>
    <t>-159.36</t>
  </si>
  <si>
    <t>690.21</t>
  </si>
  <si>
    <t>193.34</t>
  </si>
  <si>
    <t>491.88</t>
  </si>
  <si>
    <t>2015-07-10 00:00:00</t>
  </si>
  <si>
    <t>850 463-5728</t>
  </si>
  <si>
    <t>25656424</t>
  </si>
  <si>
    <t>5009106</t>
  </si>
  <si>
    <t>ALISA O'CONNOR</t>
  </si>
  <si>
    <t>10/01/2013</t>
  </si>
  <si>
    <t>601 818 5705</t>
  </si>
  <si>
    <t>1001  N PEARL ST</t>
  </si>
  <si>
    <t>[236342095]</t>
  </si>
  <si>
    <t>427993</t>
  </si>
  <si>
    <t>-178.76</t>
  </si>
  <si>
    <t>237.76</t>
  </si>
  <si>
    <t>116.39</t>
  </si>
  <si>
    <t>116.38</t>
  </si>
  <si>
    <t>601 818-5705</t>
  </si>
  <si>
    <t>25656446</t>
  </si>
  <si>
    <t>8535904</t>
  </si>
  <si>
    <t>ALEXANDRA LUKE</t>
  </si>
  <si>
    <t>850 714 7298</t>
  </si>
  <si>
    <t>492   JILLIAN DR</t>
  </si>
  <si>
    <t>E184M13001443</t>
  </si>
  <si>
    <t>422268</t>
  </si>
  <si>
    <t>611.89</t>
  </si>
  <si>
    <t>238.39</t>
  </si>
  <si>
    <t>240.23</t>
  </si>
  <si>
    <t>850 714-7298</t>
  </si>
  <si>
    <t>25656609</t>
  </si>
  <si>
    <t>75168438</t>
  </si>
  <si>
    <t>JONATHAN NAIMI</t>
  </si>
  <si>
    <t>850 418 1632</t>
  </si>
  <si>
    <t>145   4TH AVE</t>
  </si>
  <si>
    <t>SHALIMAR</t>
  </si>
  <si>
    <t>32579</t>
  </si>
  <si>
    <t xml:space="preserve"> 423</t>
  </si>
  <si>
    <t>[3CD13A7C00897]</t>
  </si>
  <si>
    <t>696861</t>
  </si>
  <si>
    <t>-143.36</t>
  </si>
  <si>
    <t>-147.36</t>
  </si>
  <si>
    <t>-32.31</t>
  </si>
  <si>
    <t>330.52</t>
  </si>
  <si>
    <t>201.27</t>
  </si>
  <si>
    <t>5.31</t>
  </si>
  <si>
    <t>850 418-1632</t>
  </si>
  <si>
    <t>25656645</t>
  </si>
  <si>
    <t>78826719</t>
  </si>
  <si>
    <t>DANIELLE SIMAHA</t>
  </si>
  <si>
    <t>850 428 0305</t>
  </si>
  <si>
    <t>201   SCHOOL AVE</t>
  </si>
  <si>
    <t>SABNVXKBQ</t>
  </si>
  <si>
    <t>640843</t>
  </si>
  <si>
    <t>-499.17</t>
  </si>
  <si>
    <t>-206.92</t>
  </si>
  <si>
    <t>871.3</t>
  </si>
  <si>
    <t>38.41</t>
  </si>
  <si>
    <t>333.72</t>
  </si>
  <si>
    <t>499.17</t>
  </si>
  <si>
    <t>850 428-0305</t>
  </si>
  <si>
    <t>850 306-3353</t>
  </si>
  <si>
    <t>25659732</t>
  </si>
  <si>
    <t>75135302</t>
  </si>
  <si>
    <t>JACKQULINE A MORRIS</t>
  </si>
  <si>
    <t>08/10/2011</t>
  </si>
  <si>
    <t>850 398 8454</t>
  </si>
  <si>
    <t>2876   APLIN RD</t>
  </si>
  <si>
    <t>DAR502G</t>
  </si>
  <si>
    <t>67MBMU45H232559</t>
  </si>
  <si>
    <t>GH60620</t>
  </si>
  <si>
    <t>-181.58</t>
  </si>
  <si>
    <t>-188.58</t>
  </si>
  <si>
    <t>-169.00</t>
  </si>
  <si>
    <t>407.1</t>
  </si>
  <si>
    <t>221.52</t>
  </si>
  <si>
    <t>180.59</t>
  </si>
  <si>
    <t>850 398-8454</t>
  </si>
  <si>
    <t>25659752</t>
  </si>
  <si>
    <t>77590805</t>
  </si>
  <si>
    <t>MS SANDRA L DOVE-MCLAIN</t>
  </si>
  <si>
    <t>06/24/2014</t>
  </si>
  <si>
    <t>850 651 4157</t>
  </si>
  <si>
    <t>6   GARDNER DR</t>
  </si>
  <si>
    <t xml:space="preserve"> 431</t>
  </si>
  <si>
    <t>374783</t>
  </si>
  <si>
    <t>-95.82</t>
  </si>
  <si>
    <t>221.64</t>
  </si>
  <si>
    <t>95.83</t>
  </si>
  <si>
    <t>120.82</t>
  </si>
  <si>
    <t>850 651-4157</t>
  </si>
  <si>
    <t>850 882-8937</t>
  </si>
  <si>
    <t>25659768</t>
  </si>
  <si>
    <t>78783116</t>
  </si>
  <si>
    <t>DOROTHY MCTEAR</t>
  </si>
  <si>
    <t>850 612 0474</t>
  </si>
  <si>
    <t>104   BRENTWOOD LN</t>
  </si>
  <si>
    <t xml:space="preserve">     F</t>
  </si>
  <si>
    <t>[220346071]</t>
  </si>
  <si>
    <t>1197218</t>
  </si>
  <si>
    <t>-79.65</t>
  </si>
  <si>
    <t>-76.56</t>
  </si>
  <si>
    <t>-142.68</t>
  </si>
  <si>
    <t>392.01</t>
  </si>
  <si>
    <t>135.83</t>
  </si>
  <si>
    <t>152.75</t>
  </si>
  <si>
    <t>103.43</t>
  </si>
  <si>
    <t>850 612-0474</t>
  </si>
  <si>
    <t>25659773</t>
  </si>
  <si>
    <t>78946102</t>
  </si>
  <si>
    <t>JAMES MCCLAIN</t>
  </si>
  <si>
    <t>02/03/2011</t>
  </si>
  <si>
    <t>850 398 8265</t>
  </si>
  <si>
    <t>1117   FARMER ST</t>
  </si>
  <si>
    <t>CSA830S</t>
  </si>
  <si>
    <t>SABLJHXPZ</t>
  </si>
  <si>
    <t>449825</t>
  </si>
  <si>
    <t>-121.28</t>
  </si>
  <si>
    <t>-131.24</t>
  </si>
  <si>
    <t>394.7</t>
  </si>
  <si>
    <t>129.09</t>
  </si>
  <si>
    <t>124.1</t>
  </si>
  <si>
    <t>141.51</t>
  </si>
  <si>
    <t>850 398-8265</t>
  </si>
  <si>
    <t>850 777-0350</t>
  </si>
  <si>
    <t>25659784</t>
  </si>
  <si>
    <t>80822912</t>
  </si>
  <si>
    <t>Emily Knoblauch</t>
  </si>
  <si>
    <t>10/23/2014</t>
  </si>
  <si>
    <t>850 586 1825</t>
  </si>
  <si>
    <t>3121   EARL KENNEDY RD</t>
  </si>
  <si>
    <t>401119</t>
  </si>
  <si>
    <t>388787</t>
  </si>
  <si>
    <t>-30.16</t>
  </si>
  <si>
    <t>78.29</t>
  </si>
  <si>
    <t>39.15</t>
  </si>
  <si>
    <t>34.15</t>
  </si>
  <si>
    <t>850 586-1825</t>
  </si>
  <si>
    <t>25659553</t>
  </si>
  <si>
    <t>4211511</t>
  </si>
  <si>
    <t>TRACI KLOSIEWSKI</t>
  </si>
  <si>
    <t>850 880 6494</t>
  </si>
  <si>
    <t>161   SHORT AVE</t>
  </si>
  <si>
    <t>FREEPORT</t>
  </si>
  <si>
    <t>32439</t>
  </si>
  <si>
    <t>461</t>
  </si>
  <si>
    <t>SABQPVSDT</t>
  </si>
  <si>
    <t>HUBR</t>
  </si>
  <si>
    <t>5544189</t>
  </si>
  <si>
    <t>-280.01</t>
  </si>
  <si>
    <t>-191.99</t>
  </si>
  <si>
    <t>411.5</t>
  </si>
  <si>
    <t>192.01</t>
  </si>
  <si>
    <t>214.5</t>
  </si>
  <si>
    <t>2011-12-20 00:00:00</t>
  </si>
  <si>
    <t>850 880-6494</t>
  </si>
  <si>
    <t>850 865-1333</t>
  </si>
  <si>
    <t>25659601</t>
  </si>
  <si>
    <t>12189801</t>
  </si>
  <si>
    <t>MICHAEL STANN</t>
  </si>
  <si>
    <t>07/12/2014</t>
  </si>
  <si>
    <t>850 797 7855</t>
  </si>
  <si>
    <t>7588   STATE HIGHWAY 20</t>
  </si>
  <si>
    <t>[3HW13AWK00708]</t>
  </si>
  <si>
    <t>940 513</t>
  </si>
  <si>
    <t>77.91</t>
  </si>
  <si>
    <t>33.94</t>
  </si>
  <si>
    <t>850 797-7855</t>
  </si>
  <si>
    <t>25659635</t>
  </si>
  <si>
    <t>17213601</t>
  </si>
  <si>
    <t>STEVIE CRANFORD</t>
  </si>
  <si>
    <t>04/10/2014</t>
  </si>
  <si>
    <t>850 880 6502</t>
  </si>
  <si>
    <t>724   HIGHWAY 20</t>
  </si>
  <si>
    <t>X29</t>
  </si>
  <si>
    <t>SABVGJRPF</t>
  </si>
  <si>
    <t>647573</t>
  </si>
  <si>
    <t>-187.33</t>
  </si>
  <si>
    <t>-187.52</t>
  </si>
  <si>
    <t>-252.36</t>
  </si>
  <si>
    <t>407.53</t>
  </si>
  <si>
    <t>210.25</t>
  </si>
  <si>
    <t>192.29</t>
  </si>
  <si>
    <t>850 880-6502</t>
  </si>
  <si>
    <t>25662669</t>
  </si>
  <si>
    <t>4612202</t>
  </si>
  <si>
    <t>TERRY S CUTCHINS</t>
  </si>
  <si>
    <t>08/04/2011</t>
  </si>
  <si>
    <t>850 305 2676</t>
  </si>
  <si>
    <t>5148   CAVALIER DR</t>
  </si>
  <si>
    <t>[0HYTSX7HYNX0]</t>
  </si>
  <si>
    <t>0009847</t>
  </si>
  <si>
    <t>235.7</t>
  </si>
  <si>
    <t>83.38</t>
  </si>
  <si>
    <t>73.93</t>
  </si>
  <si>
    <t>850 305-2676</t>
  </si>
  <si>
    <t>25662699</t>
  </si>
  <si>
    <t>9347105</t>
  </si>
  <si>
    <t>Jessica Stokes</t>
  </si>
  <si>
    <t>850 603 1516</t>
  </si>
  <si>
    <t>3120   BORDER CREEK RD</t>
  </si>
  <si>
    <t>638994</t>
  </si>
  <si>
    <t>-178.00</t>
  </si>
  <si>
    <t>384.47</t>
  </si>
  <si>
    <t>189.9</t>
  </si>
  <si>
    <t>189.58</t>
  </si>
  <si>
    <t>850 603-1516</t>
  </si>
  <si>
    <t>25662706</t>
  </si>
  <si>
    <t>10435703</t>
  </si>
  <si>
    <t>Gary Turner</t>
  </si>
  <si>
    <t>850 603 2316</t>
  </si>
  <si>
    <t>307   SECLUSION BLVD</t>
  </si>
  <si>
    <t>[202712351]</t>
  </si>
  <si>
    <t>647813</t>
  </si>
  <si>
    <t>512323</t>
  </si>
  <si>
    <t>-275.99</t>
  </si>
  <si>
    <t>-136.00</t>
  </si>
  <si>
    <t>-263.13</t>
  </si>
  <si>
    <t>233.55</t>
  </si>
  <si>
    <t>186.19</t>
  </si>
  <si>
    <t>42.37</t>
  </si>
  <si>
    <t>850 603-2316</t>
  </si>
  <si>
    <t>25662861</t>
  </si>
  <si>
    <t>74043507</t>
  </si>
  <si>
    <t>KEITH RANDALL</t>
  </si>
  <si>
    <t>850 225 3669</t>
  </si>
  <si>
    <t>59   BUSTER MARSE RD</t>
  </si>
  <si>
    <t xml:space="preserve"> 460</t>
  </si>
  <si>
    <t>SABLZJBBB</t>
  </si>
  <si>
    <t>638995</t>
  </si>
  <si>
    <t>-161.69</t>
  </si>
  <si>
    <t>-206.27</t>
  </si>
  <si>
    <t>04/03/2014</t>
  </si>
  <si>
    <t>225.89</t>
  </si>
  <si>
    <t>55.51</t>
  </si>
  <si>
    <t>38.03</t>
  </si>
  <si>
    <t>850 225-3669</t>
  </si>
  <si>
    <t>25662876</t>
  </si>
  <si>
    <t>75122329</t>
  </si>
  <si>
    <t>Judy D Catalogo</t>
  </si>
  <si>
    <t>850 613 6933</t>
  </si>
  <si>
    <t>100   8TH AVE</t>
  </si>
  <si>
    <t xml:space="preserve">   110</t>
  </si>
  <si>
    <t>SABQKQTBT</t>
  </si>
  <si>
    <t>460950</t>
  </si>
  <si>
    <t>-89.93</t>
  </si>
  <si>
    <t>-111.14</t>
  </si>
  <si>
    <t>313.12</t>
  </si>
  <si>
    <t>187.31</t>
  </si>
  <si>
    <t>850 613-6933</t>
  </si>
  <si>
    <t>25662884</t>
  </si>
  <si>
    <t>76261811</t>
  </si>
  <si>
    <t>MARY THOMPSON</t>
  </si>
  <si>
    <t>08/06/2014</t>
  </si>
  <si>
    <t>850 225 9902</t>
  </si>
  <si>
    <t>135   5TH AVE</t>
  </si>
  <si>
    <t>[218339275]</t>
  </si>
  <si>
    <t>377432</t>
  </si>
  <si>
    <t>-184.00</t>
  </si>
  <si>
    <t>-302.88</t>
  </si>
  <si>
    <t>332.58</t>
  </si>
  <si>
    <t>166.13</t>
  </si>
  <si>
    <t>161.46</t>
  </si>
  <si>
    <t>850 225-9902</t>
  </si>
  <si>
    <t>25662909</t>
  </si>
  <si>
    <t>77841702</t>
  </si>
  <si>
    <t>DENNIS TEAGUE</t>
  </si>
  <si>
    <t>12/18/1997</t>
  </si>
  <si>
    <t>850 729 7343</t>
  </si>
  <si>
    <t>106   REYNOLDS AVE</t>
  </si>
  <si>
    <t>NICEVILLE</t>
  </si>
  <si>
    <t>32578</t>
  </si>
  <si>
    <t xml:space="preserve"> 440</t>
  </si>
  <si>
    <t>FWB3100</t>
  </si>
  <si>
    <t>[01XS1MXSB313]</t>
  </si>
  <si>
    <t>HUBN</t>
  </si>
  <si>
    <t>CS85148</t>
  </si>
  <si>
    <t>-159.62</t>
  </si>
  <si>
    <t>358.23</t>
  </si>
  <si>
    <t>193.62</t>
  </si>
  <si>
    <t>159.62</t>
  </si>
  <si>
    <t>850 729-7343</t>
  </si>
  <si>
    <t>850 882-4164</t>
  </si>
  <si>
    <t>25662911</t>
  </si>
  <si>
    <t>77932911</t>
  </si>
  <si>
    <t>RITCHIE JORDAN</t>
  </si>
  <si>
    <t>850 270 3012</t>
  </si>
  <si>
    <t>408   CRYSTAL LN</t>
  </si>
  <si>
    <t>241623374</t>
  </si>
  <si>
    <t>818760</t>
  </si>
  <si>
    <t>-222.12</t>
  </si>
  <si>
    <t>-536.80</t>
  </si>
  <si>
    <t>447.49</t>
  </si>
  <si>
    <t>306.97</t>
  </si>
  <si>
    <t>135.53</t>
  </si>
  <si>
    <t>850 270-3012</t>
  </si>
  <si>
    <t>25662915</t>
  </si>
  <si>
    <t>78296811</t>
  </si>
  <si>
    <t>BIRD J CHAMBLIN</t>
  </si>
  <si>
    <t>703 655 7738</t>
  </si>
  <si>
    <t>412   LARKSPUR CT</t>
  </si>
  <si>
    <t>SABNVQDSM</t>
  </si>
  <si>
    <t>420381</t>
  </si>
  <si>
    <t>-77.84</t>
  </si>
  <si>
    <t>-364.39</t>
  </si>
  <si>
    <t>147.64</t>
  </si>
  <si>
    <t>46.5</t>
  </si>
  <si>
    <t>96.15</t>
  </si>
  <si>
    <t>703 655-7738</t>
  </si>
  <si>
    <t>25662917</t>
  </si>
  <si>
    <t>78620220</t>
  </si>
  <si>
    <t>DONALD YORK</t>
  </si>
  <si>
    <t>850 525 5766</t>
  </si>
  <si>
    <t>157  W CYPRESS AVE</t>
  </si>
  <si>
    <t>SABSCRRQR</t>
  </si>
  <si>
    <t>819221</t>
  </si>
  <si>
    <t>211.09</t>
  </si>
  <si>
    <t>19.85</t>
  </si>
  <si>
    <t>156.03</t>
  </si>
  <si>
    <t>35.21</t>
  </si>
  <si>
    <t>850 525-5766</t>
  </si>
  <si>
    <t>25662921</t>
  </si>
  <si>
    <t>78725706</t>
  </si>
  <si>
    <t>HANNA DEGRAAF</t>
  </si>
  <si>
    <t>850 603 5024</t>
  </si>
  <si>
    <t>5341   SHOFFNER BLVD</t>
  </si>
  <si>
    <t>249561379</t>
  </si>
  <si>
    <t>637167</t>
  </si>
  <si>
    <t>-115.43</t>
  </si>
  <si>
    <t>-197.36</t>
  </si>
  <si>
    <t>291.58</t>
  </si>
  <si>
    <t>129.03</t>
  </si>
  <si>
    <t>157.56</t>
  </si>
  <si>
    <t>850 603-5024</t>
  </si>
  <si>
    <t>25662922</t>
  </si>
  <si>
    <t>78751840</t>
  </si>
  <si>
    <t>Brandy Arndt</t>
  </si>
  <si>
    <t>125  W 1ST AVE</t>
  </si>
  <si>
    <t xml:space="preserve">    28</t>
  </si>
  <si>
    <t>421918</t>
  </si>
  <si>
    <t>-194.39</t>
  </si>
  <si>
    <t>-218.87</t>
  </si>
  <si>
    <t>488.89</t>
  </si>
  <si>
    <t>233.9</t>
  </si>
  <si>
    <t>25662929</t>
  </si>
  <si>
    <t>79673017</t>
  </si>
  <si>
    <t>ANDREW ALBERTSON</t>
  </si>
  <si>
    <t>239 257 4960</t>
  </si>
  <si>
    <t>604   TOLUKA DR</t>
  </si>
  <si>
    <t>EGLIN AFB</t>
  </si>
  <si>
    <t>32542</t>
  </si>
  <si>
    <t>450</t>
  </si>
  <si>
    <t>SACBSPJNQ</t>
  </si>
  <si>
    <t>HUBE</t>
  </si>
  <si>
    <t>960669</t>
  </si>
  <si>
    <t>-105.18</t>
  </si>
  <si>
    <t>226.48</t>
  </si>
  <si>
    <t>108.2</t>
  </si>
  <si>
    <t>113.29</t>
  </si>
  <si>
    <t>239 257-4960</t>
  </si>
  <si>
    <t>850 305-4690</t>
  </si>
  <si>
    <t>NO ACCESS; AFB</t>
  </si>
  <si>
    <t>25665759</t>
  </si>
  <si>
    <t>4974505</t>
  </si>
  <si>
    <t>DANA CARROLL</t>
  </si>
  <si>
    <t>850 306 2137</t>
  </si>
  <si>
    <t>814  E WILLIAMS AVE</t>
  </si>
  <si>
    <t>SABSSHTSX</t>
  </si>
  <si>
    <t>940649</t>
  </si>
  <si>
    <t>662</t>
  </si>
  <si>
    <t>208.83</t>
  </si>
  <si>
    <t>328.59</t>
  </si>
  <si>
    <t>124.58</t>
  </si>
  <si>
    <t>850 306-2137</t>
  </si>
  <si>
    <t>850 461-1895</t>
  </si>
  <si>
    <t>25665802</t>
  </si>
  <si>
    <t>13433308</t>
  </si>
  <si>
    <t>ALYSA HICKEY</t>
  </si>
  <si>
    <t>850 419 7185</t>
  </si>
  <si>
    <t>113   ADDISON PL</t>
  </si>
  <si>
    <t>SABMCHFGD</t>
  </si>
  <si>
    <t>821830</t>
  </si>
  <si>
    <t>228.5</t>
  </si>
  <si>
    <t>50</t>
  </si>
  <si>
    <t>82.9</t>
  </si>
  <si>
    <t>84.21</t>
  </si>
  <si>
    <t>850 419-7185</t>
  </si>
  <si>
    <t>25665818</t>
  </si>
  <si>
    <t>15350702</t>
  </si>
  <si>
    <t>GERALD BLARK</t>
  </si>
  <si>
    <t>251 752 8187</t>
  </si>
  <si>
    <t>800   SPRING CREEK BLVD</t>
  </si>
  <si>
    <t xml:space="preserve">  4207</t>
  </si>
  <si>
    <t>[0HYTSX1C3BY4]</t>
  </si>
  <si>
    <t>186.12</t>
  </si>
  <si>
    <t>21.43</t>
  </si>
  <si>
    <t>130.81</t>
  </si>
  <si>
    <t>12.45</t>
  </si>
  <si>
    <t>251 752-8187</t>
  </si>
  <si>
    <t>25665822</t>
  </si>
  <si>
    <t>15603601</t>
  </si>
  <si>
    <t>Jose Araujo</t>
  </si>
  <si>
    <t>850 758 6155</t>
  </si>
  <si>
    <t>000000   BLD 4595</t>
  </si>
  <si>
    <t xml:space="preserve"> 226B</t>
  </si>
  <si>
    <t xml:space="preserve"> 452</t>
  </si>
  <si>
    <t>236350535</t>
  </si>
  <si>
    <t>444008</t>
  </si>
  <si>
    <t>-189.61</t>
  </si>
  <si>
    <t>-114.01</t>
  </si>
  <si>
    <t>194.6</t>
  </si>
  <si>
    <t>96.8</t>
  </si>
  <si>
    <t>92.81</t>
  </si>
  <si>
    <t>850 758-6155</t>
  </si>
  <si>
    <t>850 398-2015</t>
  </si>
  <si>
    <t>25665979</t>
  </si>
  <si>
    <t>78238611</t>
  </si>
  <si>
    <t>MR MATTHEW THOMPSON</t>
  </si>
  <si>
    <t>05/12/2012</t>
  </si>
  <si>
    <t>850 279 4811</t>
  </si>
  <si>
    <t>707   KUMQUAT AVE</t>
  </si>
  <si>
    <t>236359304</t>
  </si>
  <si>
    <t>736531</t>
  </si>
  <si>
    <t>-99.59</t>
  </si>
  <si>
    <t>204.19</t>
  </si>
  <si>
    <t>99.59</t>
  </si>
  <si>
    <t>99.61</t>
  </si>
  <si>
    <t>850 279-4811</t>
  </si>
  <si>
    <t>850 517-7455</t>
  </si>
  <si>
    <t>25665982</t>
  </si>
  <si>
    <t>78635228</t>
  </si>
  <si>
    <t>JARROD BEAN</t>
  </si>
  <si>
    <t>850 902 3316</t>
  </si>
  <si>
    <t>652   BROCK AVE</t>
  </si>
  <si>
    <t>[3HW147WB00CE2]</t>
  </si>
  <si>
    <t>2021255</t>
  </si>
  <si>
    <t>106921</t>
  </si>
  <si>
    <t>-147.51</t>
  </si>
  <si>
    <t>202.72</t>
  </si>
  <si>
    <t>138.74</t>
  </si>
  <si>
    <t>58.99</t>
  </si>
  <si>
    <t>850 902-3316</t>
  </si>
  <si>
    <t>25665992</t>
  </si>
  <si>
    <t>80034408</t>
  </si>
  <si>
    <t>COLT HARRELL</t>
  </si>
  <si>
    <t>850 826 0770</t>
  </si>
  <si>
    <t>109   STEPHENS LN</t>
  </si>
  <si>
    <t>260494429</t>
  </si>
  <si>
    <t>GF19771</t>
  </si>
  <si>
    <t>-457.70</t>
  </si>
  <si>
    <t>-182.00</t>
  </si>
  <si>
    <t>04/14/2015</t>
  </si>
  <si>
    <t>-172.40</t>
  </si>
  <si>
    <t>778.62</t>
  </si>
  <si>
    <t>259.35</t>
  </si>
  <si>
    <t>62.46</t>
  </si>
  <si>
    <t>456.81</t>
  </si>
  <si>
    <t>850 826-0770</t>
  </si>
  <si>
    <t>25666000</t>
  </si>
  <si>
    <t>80735405</t>
  </si>
  <si>
    <t>RUSSELL BRADLEY</t>
  </si>
  <si>
    <t>03/08/2015</t>
  </si>
  <si>
    <t>850 603 1689</t>
  </si>
  <si>
    <t>698   MCCLELLAND ST</t>
  </si>
  <si>
    <t>SABKWXRXG</t>
  </si>
  <si>
    <t>2027407</t>
  </si>
  <si>
    <t>-161.78</t>
  </si>
  <si>
    <t>-47.40</t>
  </si>
  <si>
    <t>150.18</t>
  </si>
  <si>
    <t>93.8</t>
  </si>
  <si>
    <t>850 603-1689</t>
  </si>
  <si>
    <t>25667710</t>
  </si>
  <si>
    <t>10825108</t>
  </si>
  <si>
    <t>SHERI DAVIS</t>
  </si>
  <si>
    <t>08/09/2012</t>
  </si>
  <si>
    <t>850 279 4079</t>
  </si>
  <si>
    <t>217   EVANS ST</t>
  </si>
  <si>
    <t>887BNE8AC440754</t>
  </si>
  <si>
    <t>619533</t>
  </si>
  <si>
    <t>-148.61</t>
  </si>
  <si>
    <t>-291.23</t>
  </si>
  <si>
    <t>-143.62</t>
  </si>
  <si>
    <t>267.66</t>
  </si>
  <si>
    <t>149.8</t>
  </si>
  <si>
    <t>112.87</t>
  </si>
  <si>
    <t>850 279-4079</t>
  </si>
  <si>
    <t>850 897-0075</t>
  </si>
  <si>
    <t>25667717</t>
  </si>
  <si>
    <t>13441511</t>
  </si>
  <si>
    <t>JOY HUDSON</t>
  </si>
  <si>
    <t>512   ADDISON PL</t>
  </si>
  <si>
    <t>0003356</t>
  </si>
  <si>
    <t>-144.32</t>
  </si>
  <si>
    <t>-73.16</t>
  </si>
  <si>
    <t>-167.21</t>
  </si>
  <si>
    <t>171.51</t>
  </si>
  <si>
    <t>72.16</t>
  </si>
  <si>
    <t>94.36</t>
  </si>
  <si>
    <t>850 586-9270</t>
  </si>
  <si>
    <t>25667799</t>
  </si>
  <si>
    <t>74231305</t>
  </si>
  <si>
    <t>KEA BESS</t>
  </si>
  <si>
    <t>850 612 1528</t>
  </si>
  <si>
    <t>5413   MALCOLM TUCKER AVE</t>
  </si>
  <si>
    <t>SABMLDJJB</t>
  </si>
  <si>
    <t>1016473</t>
  </si>
  <si>
    <t>-67.85</t>
  </si>
  <si>
    <t>180.76</t>
  </si>
  <si>
    <t>70.58</t>
  </si>
  <si>
    <t>105.19</t>
  </si>
  <si>
    <t>850 612-1528</t>
  </si>
  <si>
    <t>25667820</t>
  </si>
  <si>
    <t>78661126</t>
  </si>
  <si>
    <t>CHRISTIE WOODS</t>
  </si>
  <si>
    <t>850 398 0769</t>
  </si>
  <si>
    <t>228   BARR PL</t>
  </si>
  <si>
    <t>236032117</t>
  </si>
  <si>
    <t>940943</t>
  </si>
  <si>
    <t>-88.79</t>
  </si>
  <si>
    <t>93.78</t>
  </si>
  <si>
    <t>46.39</t>
  </si>
  <si>
    <t>42.4</t>
  </si>
  <si>
    <t>850 398-0769</t>
  </si>
  <si>
    <t>25667821</t>
  </si>
  <si>
    <t>78781403</t>
  </si>
  <si>
    <t>850 305 4608</t>
  </si>
  <si>
    <t>211   OGLESBY AVE</t>
  </si>
  <si>
    <t>[45U14BWG02992]</t>
  </si>
  <si>
    <t>1019292</t>
  </si>
  <si>
    <t>07/30/2015</t>
  </si>
  <si>
    <t>-83.80</t>
  </si>
  <si>
    <t>218.63</t>
  </si>
  <si>
    <t>113.03</t>
  </si>
  <si>
    <t>100.61</t>
  </si>
  <si>
    <t>850 305-4608</t>
  </si>
  <si>
    <t>25668641</t>
  </si>
  <si>
    <t>3888206</t>
  </si>
  <si>
    <t>CHRISTOPHE PERRY</t>
  </si>
  <si>
    <t>01/02/2014</t>
  </si>
  <si>
    <t>850 613 2032</t>
  </si>
  <si>
    <t>67   6TH ST</t>
  </si>
  <si>
    <t xml:space="preserve">    70</t>
  </si>
  <si>
    <t>262965871</t>
  </si>
  <si>
    <t>571084</t>
  </si>
  <si>
    <t>-524.35</t>
  </si>
  <si>
    <t>-208.00</t>
  </si>
  <si>
    <t>-240.00</t>
  </si>
  <si>
    <t>879.05</t>
  </si>
  <si>
    <t>241.09</t>
  </si>
  <si>
    <t>113.61</t>
  </si>
  <si>
    <t>524.35</t>
  </si>
  <si>
    <t>850 613-2032</t>
  </si>
  <si>
    <t>25668642</t>
  </si>
  <si>
    <t>3997709</t>
  </si>
  <si>
    <t>ANNIE COLLINS</t>
  </si>
  <si>
    <t>850 598 3713</t>
  </si>
  <si>
    <t>180   KIT DR</t>
  </si>
  <si>
    <t>SABSSKWCN</t>
  </si>
  <si>
    <t>877788</t>
  </si>
  <si>
    <t>-358.12</t>
  </si>
  <si>
    <t>-225.37</t>
  </si>
  <si>
    <t>-121.38</t>
  </si>
  <si>
    <t>833.42</t>
  </si>
  <si>
    <t>154.84</t>
  </si>
  <si>
    <t>678.58</t>
  </si>
  <si>
    <t>2015-06-26 00:00:00</t>
  </si>
  <si>
    <t>850 598-3713</t>
  </si>
  <si>
    <t>850 612-9763</t>
  </si>
  <si>
    <t>25668660</t>
  </si>
  <si>
    <t>6914411</t>
  </si>
  <si>
    <t>CLARENCE ROBBINS</t>
  </si>
  <si>
    <t>08/28/2014</t>
  </si>
  <si>
    <t>850 398 6833</t>
  </si>
  <si>
    <t>795   BARROW ST</t>
  </si>
  <si>
    <t>SABJXQWHH</t>
  </si>
  <si>
    <t>448251</t>
  </si>
  <si>
    <t>-475.34</t>
  </si>
  <si>
    <t>-113.27</t>
  </si>
  <si>
    <t>808.92</t>
  </si>
  <si>
    <t>265.33</t>
  </si>
  <si>
    <t>68.25</t>
  </si>
  <si>
    <t>475.34</t>
  </si>
  <si>
    <t>850 398-6833</t>
  </si>
  <si>
    <t>850 307-8887</t>
  </si>
  <si>
    <t>850 758-0584</t>
  </si>
  <si>
    <t>25668669</t>
  </si>
  <si>
    <t>8605402</t>
  </si>
  <si>
    <t>CANDY WESSON</t>
  </si>
  <si>
    <t>850 398 5428</t>
  </si>
  <si>
    <t>4482   ANTIOCH RD</t>
  </si>
  <si>
    <t>267503758</t>
  </si>
  <si>
    <t>2027548</t>
  </si>
  <si>
    <t>-821.08</t>
  </si>
  <si>
    <t>1104.01</t>
  </si>
  <si>
    <t>225.5</t>
  </si>
  <si>
    <t>57.43</t>
  </si>
  <si>
    <t>821.08</t>
  </si>
  <si>
    <t>850 398-5428</t>
  </si>
  <si>
    <t>850 305-2838</t>
  </si>
  <si>
    <t>25668833</t>
  </si>
  <si>
    <t>74864836</t>
  </si>
  <si>
    <t>ETHELEENE GORDON</t>
  </si>
  <si>
    <t>407 970 3379</t>
  </si>
  <si>
    <t xml:space="preserve">   116</t>
  </si>
  <si>
    <t>SABWDPKRW</t>
  </si>
  <si>
    <t>789770</t>
  </si>
  <si>
    <t>-112.62</t>
  </si>
  <si>
    <t>188.05</t>
  </si>
  <si>
    <t>128.98</t>
  </si>
  <si>
    <t>54.08</t>
  </si>
  <si>
    <t>407 970-3379</t>
  </si>
  <si>
    <t>25668882</t>
  </si>
  <si>
    <t>78429611</t>
  </si>
  <si>
    <t>BRIAN HOLMES</t>
  </si>
  <si>
    <t>04/18/2014</t>
  </si>
  <si>
    <t>1904   QUINCE AVE</t>
  </si>
  <si>
    <t xml:space="preserve"> 441</t>
  </si>
  <si>
    <t>502030500986</t>
  </si>
  <si>
    <t>432996</t>
  </si>
  <si>
    <t>-133.59</t>
  </si>
  <si>
    <t>-265.18</t>
  </si>
  <si>
    <t>-132.59</t>
  </si>
  <si>
    <t>252.77</t>
  </si>
  <si>
    <t>111.39</t>
  </si>
  <si>
    <t>136.39</t>
  </si>
  <si>
    <t>563 508-9772</t>
  </si>
  <si>
    <t>25668886</t>
  </si>
  <si>
    <t>78712907</t>
  </si>
  <si>
    <t>MORGAN HUGGINS</t>
  </si>
  <si>
    <t>850 585 4160</t>
  </si>
  <si>
    <t>966   B ST</t>
  </si>
  <si>
    <t>SABLNVPMB</t>
  </si>
  <si>
    <t>430571</t>
  </si>
  <si>
    <t>-102.00</t>
  </si>
  <si>
    <t>-98.02</t>
  </si>
  <si>
    <t>-183.07</t>
  </si>
  <si>
    <t>218.98</t>
  </si>
  <si>
    <t>107</t>
  </si>
  <si>
    <t>106.99</t>
  </si>
  <si>
    <t>850 585-4160</t>
  </si>
  <si>
    <t>25668888</t>
  </si>
  <si>
    <t>78777104</t>
  </si>
  <si>
    <t>Ms Kiara Bryant</t>
  </si>
  <si>
    <t>07/06/2014</t>
  </si>
  <si>
    <t>850 612 3797</t>
  </si>
  <si>
    <t>1071   MARTIN LUTHER KING JR AVE</t>
  </si>
  <si>
    <t>273458851</t>
  </si>
  <si>
    <t>769714</t>
  </si>
  <si>
    <t>-262.17</t>
  </si>
  <si>
    <t>-29.79</t>
  </si>
  <si>
    <t>561.13</t>
  </si>
  <si>
    <t>115.67</t>
  </si>
  <si>
    <t>149.77</t>
  </si>
  <si>
    <t>295.69</t>
  </si>
  <si>
    <t>850 612-3797</t>
  </si>
  <si>
    <t>25668889</t>
  </si>
  <si>
    <t>78783531</t>
  </si>
  <si>
    <t>KAYLIE JUDY</t>
  </si>
  <si>
    <t>850 716 8203</t>
  </si>
  <si>
    <t>103   BRENTWOOD LN</t>
  </si>
  <si>
    <t>249464202</t>
  </si>
  <si>
    <t>W728350</t>
  </si>
  <si>
    <t>103.78</t>
  </si>
  <si>
    <t>47.4</t>
  </si>
  <si>
    <t>850 716-8203</t>
  </si>
  <si>
    <t>25668890</t>
  </si>
  <si>
    <t>78814802</t>
  </si>
  <si>
    <t>STACY CEESAY</t>
  </si>
  <si>
    <t>11/30/2013</t>
  </si>
  <si>
    <t>850 218 3590</t>
  </si>
  <si>
    <t>128  S BRETT ST</t>
  </si>
  <si>
    <t>SABGWQDRH</t>
  </si>
  <si>
    <t>445269</t>
  </si>
  <si>
    <t>-124.55</t>
  </si>
  <si>
    <t>-240.87</t>
  </si>
  <si>
    <t>-113.28</t>
  </si>
  <si>
    <t>258.85</t>
  </si>
  <si>
    <t>128.52</t>
  </si>
  <si>
    <t>125.34</t>
  </si>
  <si>
    <t>850 218-3590</t>
  </si>
  <si>
    <t>25668896</t>
  </si>
  <si>
    <t>79411103</t>
  </si>
  <si>
    <t>JAMES A FEAGIN</t>
  </si>
  <si>
    <t>04/02/2014</t>
  </si>
  <si>
    <t>2945   APLIN RD</t>
  </si>
  <si>
    <t>SABQWRJTF</t>
  </si>
  <si>
    <t>736390</t>
  </si>
  <si>
    <t>-230.59</t>
  </si>
  <si>
    <t>-98.21</t>
  </si>
  <si>
    <t>312.61</t>
  </si>
  <si>
    <t>107.2</t>
  </si>
  <si>
    <t>102.21</t>
  </si>
  <si>
    <t>103.2</t>
  </si>
  <si>
    <t>25668909</t>
  </si>
  <si>
    <t>81209706</t>
  </si>
  <si>
    <t>DAMIEN MILLER</t>
  </si>
  <si>
    <t>02/13/2014</t>
  </si>
  <si>
    <t>850 398 7405</t>
  </si>
  <si>
    <t>108   WILD HORSE DR</t>
  </si>
  <si>
    <t>DGI6182</t>
  </si>
  <si>
    <t>[0N5Z6DX6N979]</t>
  </si>
  <si>
    <t>818335</t>
  </si>
  <si>
    <t>-94.18</t>
  </si>
  <si>
    <t>-72.98</t>
  </si>
  <si>
    <t>-43.99</t>
  </si>
  <si>
    <t>181.95</t>
  </si>
  <si>
    <t>94.18</t>
  </si>
  <si>
    <t>57.78</t>
  </si>
  <si>
    <t>2014-05-29 00:00:00</t>
  </si>
  <si>
    <t>850 398-7405</t>
  </si>
  <si>
    <t>25672268</t>
  </si>
  <si>
    <t>3574909</t>
  </si>
  <si>
    <t>Betty Martinez</t>
  </si>
  <si>
    <t>850 902 7936</t>
  </si>
  <si>
    <t>5973   COBBLER LN</t>
  </si>
  <si>
    <t>SABQNPCXK</t>
  </si>
  <si>
    <t>2028709</t>
  </si>
  <si>
    <t>269.26</t>
  </si>
  <si>
    <t>93.94</t>
  </si>
  <si>
    <t>81.71</t>
  </si>
  <si>
    <t>93.61</t>
  </si>
  <si>
    <t>850 902-7936</t>
  </si>
  <si>
    <t>25672298</t>
  </si>
  <si>
    <t>8286306</t>
  </si>
  <si>
    <t>Michael Norwood</t>
  </si>
  <si>
    <t>773 947 4257</t>
  </si>
  <si>
    <t>317   APPLE DR</t>
  </si>
  <si>
    <t>3HW146W704B5A</t>
  </si>
  <si>
    <t>1043532</t>
  </si>
  <si>
    <t>-77.58</t>
  </si>
  <si>
    <t>-88.21</t>
  </si>
  <si>
    <t>145.66</t>
  </si>
  <si>
    <t>72.59</t>
  </si>
  <si>
    <t>68.08</t>
  </si>
  <si>
    <t>773 947-4257</t>
  </si>
  <si>
    <t>25672339</t>
  </si>
  <si>
    <t>11776102</t>
  </si>
  <si>
    <t>LISA WATERS</t>
  </si>
  <si>
    <t>03/10/2011</t>
  </si>
  <si>
    <t>110   MOONWALK AVE</t>
  </si>
  <si>
    <t>[260037061]</t>
  </si>
  <si>
    <t>1753854</t>
  </si>
  <si>
    <t>-135.46</t>
  </si>
  <si>
    <t>-74.49</t>
  </si>
  <si>
    <t>136.46</t>
  </si>
  <si>
    <t>74.49</t>
  </si>
  <si>
    <t>2010-03-26 00:00:00</t>
  </si>
  <si>
    <t>850 460-6910</t>
  </si>
  <si>
    <t>25672354</t>
  </si>
  <si>
    <t>13442007</t>
  </si>
  <si>
    <t>LAJUANA MCBRIDE</t>
  </si>
  <si>
    <t>850 612 0824</t>
  </si>
  <si>
    <t>517   ADDISON PL</t>
  </si>
  <si>
    <t>236727509</t>
  </si>
  <si>
    <t>2121563</t>
  </si>
  <si>
    <t>-43.30</t>
  </si>
  <si>
    <t>-45.00</t>
  </si>
  <si>
    <t>159.16</t>
  </si>
  <si>
    <t>850 612-0824</t>
  </si>
  <si>
    <t>25672527</t>
  </si>
  <si>
    <t>74710828</t>
  </si>
  <si>
    <t>CARRY S MARGESON</t>
  </si>
  <si>
    <t>386 867 5428</t>
  </si>
  <si>
    <t xml:space="preserve">    76</t>
  </si>
  <si>
    <t>SABWCJXDX</t>
  </si>
  <si>
    <t>877856</t>
  </si>
  <si>
    <t>320.35</t>
  </si>
  <si>
    <t>117.28</t>
  </si>
  <si>
    <t>198.08</t>
  </si>
  <si>
    <t>386 867-5428</t>
  </si>
  <si>
    <t>25672560</t>
  </si>
  <si>
    <t>77967720</t>
  </si>
  <si>
    <t>SHERRY L RICKMAN</t>
  </si>
  <si>
    <t>850 585 0000</t>
  </si>
  <si>
    <t>400   KELLY RD</t>
  </si>
  <si>
    <t>244396334</t>
  </si>
  <si>
    <t>390611</t>
  </si>
  <si>
    <t>399.9</t>
  </si>
  <si>
    <t>135.52</t>
  </si>
  <si>
    <t>117.53</t>
  </si>
  <si>
    <t>11.33</t>
  </si>
  <si>
    <t>850 585-0000</t>
  </si>
  <si>
    <t>25672572</t>
  </si>
  <si>
    <t>79509616</t>
  </si>
  <si>
    <t>Carol Nemeth</t>
  </si>
  <si>
    <t>850 240 9624</t>
  </si>
  <si>
    <t>436   MAYHAW CT</t>
  </si>
  <si>
    <t xml:space="preserve"> 451</t>
  </si>
  <si>
    <t>249464288</t>
  </si>
  <si>
    <t>422843</t>
  </si>
  <si>
    <t>-322.99</t>
  </si>
  <si>
    <t>-325.00</t>
  </si>
  <si>
    <t>1205.52</t>
  </si>
  <si>
    <t>352.58</t>
  </si>
  <si>
    <t>277.57</t>
  </si>
  <si>
    <t>540.38</t>
  </si>
  <si>
    <t>850 240-9624</t>
  </si>
  <si>
    <t>25672578</t>
  </si>
  <si>
    <t>80397609</t>
  </si>
  <si>
    <t>DILLON THRASHER</t>
  </si>
  <si>
    <t>07/21/2014</t>
  </si>
  <si>
    <t>850 420 3622</t>
  </si>
  <si>
    <t>2553   SUNSET DR</t>
  </si>
  <si>
    <t>SABRSRPDJ</t>
  </si>
  <si>
    <t>799085</t>
  </si>
  <si>
    <t>-125.84</t>
  </si>
  <si>
    <t>-116.86</t>
  </si>
  <si>
    <t>-152.03</t>
  </si>
  <si>
    <t>155.85</t>
  </si>
  <si>
    <t>125.84</t>
  </si>
  <si>
    <t>850 420-3622</t>
  </si>
  <si>
    <t>25656431</t>
  </si>
  <si>
    <t>6055804</t>
  </si>
  <si>
    <t>SHARON ANDERSON</t>
  </si>
  <si>
    <t>11/11/2009</t>
  </si>
  <si>
    <t>850 306 3219</t>
  </si>
  <si>
    <t>2603   PINTO LN</t>
  </si>
  <si>
    <t>CSV01HB84127</t>
  </si>
  <si>
    <t>798370</t>
  </si>
  <si>
    <t>-577.65</t>
  </si>
  <si>
    <t>-522.25</t>
  </si>
  <si>
    <t>-768.84</t>
  </si>
  <si>
    <t>883</t>
  </si>
  <si>
    <t>300.36</t>
  </si>
  <si>
    <t>577.65</t>
  </si>
  <si>
    <t>850 306-3219</t>
  </si>
  <si>
    <t>850 398-2353</t>
  </si>
  <si>
    <t>25656639</t>
  </si>
  <si>
    <t>77965102</t>
  </si>
  <si>
    <t>CLARENCE PRESTWOOD</t>
  </si>
  <si>
    <t>850 445 9306</t>
  </si>
  <si>
    <t>210   DEER AVE</t>
  </si>
  <si>
    <t>725378</t>
  </si>
  <si>
    <t>-84.03</t>
  </si>
  <si>
    <t>-69.19</t>
  </si>
  <si>
    <t>190.39</t>
  </si>
  <si>
    <t>79.59</t>
  </si>
  <si>
    <t>105.81</t>
  </si>
  <si>
    <t>850 445-9306</t>
  </si>
  <si>
    <t>25659769</t>
  </si>
  <si>
    <t>78790930</t>
  </si>
  <si>
    <t>Brandy Long</t>
  </si>
  <si>
    <t xml:space="preserve">     E</t>
  </si>
  <si>
    <t>SABNZDNNL</t>
  </si>
  <si>
    <t>877300</t>
  </si>
  <si>
    <t>582.86</t>
  </si>
  <si>
    <t>185.99</t>
  </si>
  <si>
    <t>217.66</t>
  </si>
  <si>
    <t>179.21</t>
  </si>
  <si>
    <t>25662661</t>
  </si>
  <si>
    <t>25662673</t>
  </si>
  <si>
    <t>4883008</t>
  </si>
  <si>
    <t>TRACY KING</t>
  </si>
  <si>
    <t>850 398 2173</t>
  </si>
  <si>
    <t>5088   ANTIOCH RD</t>
  </si>
  <si>
    <t>SABGNWRNP</t>
  </si>
  <si>
    <t>2292168</t>
  </si>
  <si>
    <t>-218.08</t>
  </si>
  <si>
    <t>512.2</t>
  </si>
  <si>
    <t>21.35</t>
  </si>
  <si>
    <t>299.7</t>
  </si>
  <si>
    <t>191.15</t>
  </si>
  <si>
    <t>850 398-2173</t>
  </si>
  <si>
    <t>25662923</t>
  </si>
  <si>
    <t>25665752</t>
  </si>
  <si>
    <t>3613303</t>
  </si>
  <si>
    <t>ALICIA SULLIVAN</t>
  </si>
  <si>
    <t>09/18/2014</t>
  </si>
  <si>
    <t>678 895 5973</t>
  </si>
  <si>
    <t>6005   OAK HILL RD</t>
  </si>
  <si>
    <t>SABPSXCKD</t>
  </si>
  <si>
    <t>456972</t>
  </si>
  <si>
    <t>-280.84</t>
  </si>
  <si>
    <t>1316.93</t>
  </si>
  <si>
    <t>54.73</t>
  </si>
  <si>
    <t>793.51</t>
  </si>
  <si>
    <t>359.97</t>
  </si>
  <si>
    <t>103.73</t>
  </si>
  <si>
    <t>2015-04-08 00:00:00</t>
  </si>
  <si>
    <t>678 895-5973</t>
  </si>
  <si>
    <t>25665792</t>
  </si>
  <si>
    <t>12048007</t>
  </si>
  <si>
    <t>TOM KUBISAK</t>
  </si>
  <si>
    <t>10/30/2014</t>
  </si>
  <si>
    <t>630 450 2616</t>
  </si>
  <si>
    <t>130   BIG OAKS LN</t>
  </si>
  <si>
    <t>X296193</t>
  </si>
  <si>
    <t>[0M16SFP3CDZ2]</t>
  </si>
  <si>
    <t>373876</t>
  </si>
  <si>
    <t>-204.59</t>
  </si>
  <si>
    <t>-465.61</t>
  </si>
  <si>
    <t>-208.24</t>
  </si>
  <si>
    <t>1139.89</t>
  </si>
  <si>
    <t>751.43</t>
  </si>
  <si>
    <t>239.54</t>
  </si>
  <si>
    <t>148.92</t>
  </si>
  <si>
    <t>630 450-2616</t>
  </si>
  <si>
    <t>25667721</t>
  </si>
  <si>
    <t>15369402</t>
  </si>
  <si>
    <t>SHEREIA REED</t>
  </si>
  <si>
    <t>05/31/2014</t>
  </si>
  <si>
    <t>850 398 8224</t>
  </si>
  <si>
    <t xml:space="preserve">  4309</t>
  </si>
  <si>
    <t>SABTBXCVH</t>
  </si>
  <si>
    <t>324957</t>
  </si>
  <si>
    <t>-11.00</t>
  </si>
  <si>
    <t>-49.01</t>
  </si>
  <si>
    <t>-40.57</t>
  </si>
  <si>
    <t>91.99</t>
  </si>
  <si>
    <t>49.19</t>
  </si>
  <si>
    <t>37.81</t>
  </si>
  <si>
    <t>850 398-8224</t>
  </si>
  <si>
    <t>25668650</t>
  </si>
  <si>
    <t>25668901</t>
  </si>
  <si>
    <t>25679128</t>
  </si>
  <si>
    <t>44841517</t>
  </si>
  <si>
    <t>Ben Curry</t>
  </si>
  <si>
    <t>10/10/2014</t>
  </si>
  <si>
    <t>850 549 8765</t>
  </si>
  <si>
    <t>6030   HILBURN RD</t>
  </si>
  <si>
    <t>0088</t>
  </si>
  <si>
    <t>SABTBHGMW</t>
  </si>
  <si>
    <t>639002</t>
  </si>
  <si>
    <t>-102.29</t>
  </si>
  <si>
    <t>251.85</t>
  </si>
  <si>
    <t>119.84</t>
  </si>
  <si>
    <t>110.51</t>
  </si>
  <si>
    <t>850 549-8765</t>
  </si>
  <si>
    <t>25682657</t>
  </si>
  <si>
    <t>68870606</t>
  </si>
  <si>
    <t>JODY BALKUM</t>
  </si>
  <si>
    <t>02/14/2013</t>
  </si>
  <si>
    <t>850 453 5200</t>
  </si>
  <si>
    <t>5705   PERKINS ST</t>
  </si>
  <si>
    <t>SABLNLHMS</t>
  </si>
  <si>
    <t>900568</t>
  </si>
  <si>
    <t>08/10/2015</t>
  </si>
  <si>
    <t>-150.07</t>
  </si>
  <si>
    <t>-186.98</t>
  </si>
  <si>
    <t>-181.99</t>
  </si>
  <si>
    <t>150.92</t>
  </si>
  <si>
    <t>129.42</t>
  </si>
  <si>
    <t>850 453-5200</t>
  </si>
  <si>
    <t>25682665</t>
  </si>
  <si>
    <t>69914704</t>
  </si>
  <si>
    <t>MARY J WISE</t>
  </si>
  <si>
    <t>09/17/2013</t>
  </si>
  <si>
    <t>850 497 8224</t>
  </si>
  <si>
    <t>5184   CHOCTAW AVE</t>
  </si>
  <si>
    <t>0137</t>
  </si>
  <si>
    <t>261794691</t>
  </si>
  <si>
    <t>529728</t>
  </si>
  <si>
    <t>-280.68</t>
  </si>
  <si>
    <t>-273.30</t>
  </si>
  <si>
    <t>271.8</t>
  </si>
  <si>
    <t>145.6</t>
  </si>
  <si>
    <t>83.68</t>
  </si>
  <si>
    <t>850 497-8224</t>
  </si>
  <si>
    <t>850 982-6884</t>
  </si>
  <si>
    <t>08/01/2015</t>
  </si>
  <si>
    <t>25687890</t>
  </si>
  <si>
    <t>2458109</t>
  </si>
  <si>
    <t>TIFFANIE BABCOCK</t>
  </si>
  <si>
    <t>6138   BRADSHAW ST</t>
  </si>
  <si>
    <t>SACBJJBRT</t>
  </si>
  <si>
    <t>443557</t>
  </si>
  <si>
    <t>-317.12</t>
  </si>
  <si>
    <t>-185.00</t>
  </si>
  <si>
    <t>492.64</t>
  </si>
  <si>
    <t>211.83</t>
  </si>
  <si>
    <t>280.81</t>
  </si>
  <si>
    <t>25688018</t>
  </si>
  <si>
    <t>50300318</t>
  </si>
  <si>
    <t>JYOWANNA MALONE-BELL</t>
  </si>
  <si>
    <t>850 288 5015</t>
  </si>
  <si>
    <t xml:space="preserve">    G9</t>
  </si>
  <si>
    <t>249526797</t>
  </si>
  <si>
    <t>381227</t>
  </si>
  <si>
    <t>263.63</t>
  </si>
  <si>
    <t>47.51</t>
  </si>
  <si>
    <t>141.03</t>
  </si>
  <si>
    <t>75.09</t>
  </si>
  <si>
    <t>850 288-5015</t>
  </si>
  <si>
    <t>08/02/2015</t>
  </si>
  <si>
    <t>25688993</t>
  </si>
  <si>
    <t>2203904</t>
  </si>
  <si>
    <t>ROBERT ROBINSON</t>
  </si>
  <si>
    <t>850 619 0481</t>
  </si>
  <si>
    <t>111   ROSALYN WAY</t>
  </si>
  <si>
    <t>SABXXNFVF</t>
  </si>
  <si>
    <t>403191</t>
  </si>
  <si>
    <t>870101</t>
  </si>
  <si>
    <t>-136.98</t>
  </si>
  <si>
    <t>-106.77</t>
  </si>
  <si>
    <t>127</t>
  </si>
  <si>
    <t>67.6</t>
  </si>
  <si>
    <t>37.9</t>
  </si>
  <si>
    <t>850 619-0481</t>
  </si>
  <si>
    <t>25689076</t>
  </si>
  <si>
    <t>13215205</t>
  </si>
  <si>
    <t>WANDA ANDERSON</t>
  </si>
  <si>
    <t>850 417 0093</t>
  </si>
  <si>
    <t>1400  E JOHNSON AVE</t>
  </si>
  <si>
    <t xml:space="preserve">   318</t>
  </si>
  <si>
    <t>E244M13000675</t>
  </si>
  <si>
    <t>620018</t>
  </si>
  <si>
    <t>08/12/2015</t>
  </si>
  <si>
    <t>328.73</t>
  </si>
  <si>
    <t>45.35</t>
  </si>
  <si>
    <t>8.19</t>
  </si>
  <si>
    <t>170</t>
  </si>
  <si>
    <t>113.38</t>
  </si>
  <si>
    <t>850 417-0093</t>
  </si>
  <si>
    <t>25689085</t>
  </si>
  <si>
    <t>14391708</t>
  </si>
  <si>
    <t>ANNIE POWELL</t>
  </si>
  <si>
    <t>07/21/2011</t>
  </si>
  <si>
    <t>850 696 2884</t>
  </si>
  <si>
    <t>309   FREEDOM LN</t>
  </si>
  <si>
    <t>64MBMU45A215059</t>
  </si>
  <si>
    <t>P697952</t>
  </si>
  <si>
    <t>07/16/2015</t>
  </si>
  <si>
    <t>339.43</t>
  </si>
  <si>
    <t>21.76</t>
  </si>
  <si>
    <t>134.3</t>
  </si>
  <si>
    <t>183.37</t>
  </si>
  <si>
    <t>850 696-2884</t>
  </si>
  <si>
    <t>850 512-6913</t>
  </si>
  <si>
    <t>25689155</t>
  </si>
  <si>
    <t>54781018</t>
  </si>
  <si>
    <t>MELISSA JUAREZ</t>
  </si>
  <si>
    <t>850 525 0996</t>
  </si>
  <si>
    <t>1857   ATWOOD DR</t>
  </si>
  <si>
    <t xml:space="preserve">  107K</t>
  </si>
  <si>
    <t>2DV31BU7032F6</t>
  </si>
  <si>
    <t>917779</t>
  </si>
  <si>
    <t>-49.72</t>
  </si>
  <si>
    <t>-110.23</t>
  </si>
  <si>
    <t>151.45</t>
  </si>
  <si>
    <t>71.22</t>
  </si>
  <si>
    <t>58.73</t>
  </si>
  <si>
    <t>850 525-0996</t>
  </si>
  <si>
    <t>25688077</t>
  </si>
  <si>
    <t>25693365</t>
  </si>
  <si>
    <t>25675808</t>
  </si>
  <si>
    <t>45967722</t>
  </si>
  <si>
    <t>TANIA PALMER</t>
  </si>
  <si>
    <t>12/04/2014</t>
  </si>
  <si>
    <t>850 760 3502</t>
  </si>
  <si>
    <t xml:space="preserve">     T</t>
  </si>
  <si>
    <t>SACCVWVTM</t>
  </si>
  <si>
    <t>836980</t>
  </si>
  <si>
    <t>-186.69</t>
  </si>
  <si>
    <t>-12.60</t>
  </si>
  <si>
    <t>729.55</t>
  </si>
  <si>
    <t>198.34</t>
  </si>
  <si>
    <t>173.93</t>
  </si>
  <si>
    <t>357.28</t>
  </si>
  <si>
    <t>850 760-3502</t>
  </si>
  <si>
    <t>25675830</t>
  </si>
  <si>
    <t>66389711</t>
  </si>
  <si>
    <t>LUCY DICKSON</t>
  </si>
  <si>
    <t>6110   LUTHER ST</t>
  </si>
  <si>
    <t>4151</t>
  </si>
  <si>
    <t>SABLBMDHG</t>
  </si>
  <si>
    <t>853790</t>
  </si>
  <si>
    <t>-59.83</t>
  </si>
  <si>
    <t>-55.84</t>
  </si>
  <si>
    <t>285.35</t>
  </si>
  <si>
    <t>176.16</t>
  </si>
  <si>
    <t>44.37</t>
  </si>
  <si>
    <t>59.83</t>
  </si>
  <si>
    <t>850 281-0757</t>
  </si>
  <si>
    <t>25675833</t>
  </si>
  <si>
    <t>66532402</t>
  </si>
  <si>
    <t>ERIS BAINES</t>
  </si>
  <si>
    <t>850 261 5586</t>
  </si>
  <si>
    <t>3118  N ROOSEVELT ST</t>
  </si>
  <si>
    <t>[234928091]</t>
  </si>
  <si>
    <t>492284</t>
  </si>
  <si>
    <t>-94.10</t>
  </si>
  <si>
    <t>-284.96</t>
  </si>
  <si>
    <t>-164.04</t>
  </si>
  <si>
    <t>374.59</t>
  </si>
  <si>
    <t>119.12</t>
  </si>
  <si>
    <t>59.62</t>
  </si>
  <si>
    <t>190.86</t>
  </si>
  <si>
    <t>850 261-5586</t>
  </si>
  <si>
    <t>25675839</t>
  </si>
  <si>
    <t>66878502</t>
  </si>
  <si>
    <t>SHELIA R DENNIS</t>
  </si>
  <si>
    <t>02/21/2014</t>
  </si>
  <si>
    <t>850 476 0393</t>
  </si>
  <si>
    <t>4001   BAYWOODS DR</t>
  </si>
  <si>
    <t>384772</t>
  </si>
  <si>
    <t>-255.54</t>
  </si>
  <si>
    <t>-340.09</t>
  </si>
  <si>
    <t>-333.97</t>
  </si>
  <si>
    <t>581.63</t>
  </si>
  <si>
    <t>290.82</t>
  </si>
  <si>
    <t>285.82</t>
  </si>
  <si>
    <t>850 476-0393</t>
  </si>
  <si>
    <t>25675845</t>
  </si>
  <si>
    <t>67596607</t>
  </si>
  <si>
    <t>MELISSA MATTHEWS</t>
  </si>
  <si>
    <t>850 698 2989</t>
  </si>
  <si>
    <t>3631   FOREST GLEN DR</t>
  </si>
  <si>
    <t>0016</t>
  </si>
  <si>
    <t>CSA2100</t>
  </si>
  <si>
    <t>SABDZFPKH</t>
  </si>
  <si>
    <t>634848</t>
  </si>
  <si>
    <t>-169.42</t>
  </si>
  <si>
    <t>-144.86</t>
  </si>
  <si>
    <t>131.15</t>
  </si>
  <si>
    <t>60.97</t>
  </si>
  <si>
    <t>65.19</t>
  </si>
  <si>
    <t>850 698-2989</t>
  </si>
  <si>
    <t>25675871</t>
  </si>
  <si>
    <t>72270717</t>
  </si>
  <si>
    <t>WILLIE STALLWORTH</t>
  </si>
  <si>
    <t>06/15/2014</t>
  </si>
  <si>
    <t>850 346 2892</t>
  </si>
  <si>
    <t>81   ATTUCKS CT</t>
  </si>
  <si>
    <t>SABQRDMWL</t>
  </si>
  <si>
    <t>768478</t>
  </si>
  <si>
    <t>-14.00</t>
  </si>
  <si>
    <t>222.73</t>
  </si>
  <si>
    <t>171.78</t>
  </si>
  <si>
    <t>45.96</t>
  </si>
  <si>
    <t>850 346-2892</t>
  </si>
  <si>
    <t>25679113</t>
  </si>
  <si>
    <t>22231520</t>
  </si>
  <si>
    <t>JAMARQUCIS HAYNIE</t>
  </si>
  <si>
    <t xml:space="preserve">    1B</t>
  </si>
  <si>
    <t>DCS4M13003621</t>
  </si>
  <si>
    <t>1025135</t>
  </si>
  <si>
    <t>-160.06</t>
  </si>
  <si>
    <t>493.13</t>
  </si>
  <si>
    <t>177.5</t>
  </si>
  <si>
    <t>172.51</t>
  </si>
  <si>
    <t>143.12</t>
  </si>
  <si>
    <t>850 449-3042</t>
  </si>
  <si>
    <t>25682654</t>
  </si>
  <si>
    <t>68612513</t>
  </si>
  <si>
    <t>DAVID GIBBS</t>
  </si>
  <si>
    <t>06/02/2007</t>
  </si>
  <si>
    <t>5590   SAN GABRIEL DR</t>
  </si>
  <si>
    <t>H000000003125</t>
  </si>
  <si>
    <t>633560</t>
  </si>
  <si>
    <t>-241.39</t>
  </si>
  <si>
    <t>-307.46</t>
  </si>
  <si>
    <t>-237.17</t>
  </si>
  <si>
    <t>546.29</t>
  </si>
  <si>
    <t>184.26</t>
  </si>
  <si>
    <t>179.26</t>
  </si>
  <si>
    <t>182.77</t>
  </si>
  <si>
    <t>2010-11-29 00:00:00</t>
  </si>
  <si>
    <t>850 529-5502</t>
  </si>
  <si>
    <t>25682687</t>
  </si>
  <si>
    <t>72268415</t>
  </si>
  <si>
    <t>TORANIKIA HARRIS</t>
  </si>
  <si>
    <t>03/15/2015</t>
  </si>
  <si>
    <t>58   ATTUCKS CT</t>
  </si>
  <si>
    <t>DAH4M13005631</t>
  </si>
  <si>
    <t>533482</t>
  </si>
  <si>
    <t>-360.10</t>
  </si>
  <si>
    <t>-178.51</t>
  </si>
  <si>
    <t>365</t>
  </si>
  <si>
    <t>257.33</t>
  </si>
  <si>
    <t>102.68</t>
  </si>
  <si>
    <t>850 346-5875</t>
  </si>
  <si>
    <t>25680813</t>
  </si>
  <si>
    <t>26065320</t>
  </si>
  <si>
    <t>ALEXIS BROWN</t>
  </si>
  <si>
    <t>850 530 8652</t>
  </si>
  <si>
    <t>1205   PINNACLE CIR</t>
  </si>
  <si>
    <t>SABLGWXGZ</t>
  </si>
  <si>
    <t>866627</t>
  </si>
  <si>
    <t>-137.05</t>
  </si>
  <si>
    <t>-74.27</t>
  </si>
  <si>
    <t>-169.73</t>
  </si>
  <si>
    <t>766.47</t>
  </si>
  <si>
    <t>71.86</t>
  </si>
  <si>
    <t>134.63</t>
  </si>
  <si>
    <t>134.62</t>
  </si>
  <si>
    <t>156.12</t>
  </si>
  <si>
    <t>850 530-8652</t>
  </si>
  <si>
    <t>25682596</t>
  </si>
  <si>
    <t>21613502</t>
  </si>
  <si>
    <t>JUSTO T RUIZ</t>
  </si>
  <si>
    <t>11/18/2014</t>
  </si>
  <si>
    <t>850 332 5935</t>
  </si>
  <si>
    <t>6510   ANTIETAM DR</t>
  </si>
  <si>
    <t>4150</t>
  </si>
  <si>
    <t>265904207</t>
  </si>
  <si>
    <t>629893</t>
  </si>
  <si>
    <t>-56.49</t>
  </si>
  <si>
    <t>-125.46</t>
  </si>
  <si>
    <t>-77.96</t>
  </si>
  <si>
    <t>121.61</t>
  </si>
  <si>
    <t>85.48</t>
  </si>
  <si>
    <t>31.14</t>
  </si>
  <si>
    <t>2007-10-30 00:00:00</t>
  </si>
  <si>
    <t>850 332-5935</t>
  </si>
  <si>
    <t>850 444-6122</t>
  </si>
  <si>
    <t>07/31/2015</t>
  </si>
  <si>
    <t>25685795</t>
  </si>
  <si>
    <t>13453701</t>
  </si>
  <si>
    <t>MICHELLE HYDE</t>
  </si>
  <si>
    <t>01/16/2013</t>
  </si>
  <si>
    <t>850 484 0741</t>
  </si>
  <si>
    <t>3835   CREIGHTON RD</t>
  </si>
  <si>
    <t xml:space="preserve">   214</t>
  </si>
  <si>
    <t>SABWMZLSW</t>
  </si>
  <si>
    <t>386192</t>
  </si>
  <si>
    <t>-201.00</t>
  </si>
  <si>
    <t>-257.92</t>
  </si>
  <si>
    <t>349.85</t>
  </si>
  <si>
    <t>172.91</t>
  </si>
  <si>
    <t>171.95</t>
  </si>
  <si>
    <t>2015-05-27 00:00:00</t>
  </si>
  <si>
    <t>850 484-0741</t>
  </si>
  <si>
    <t>25685813</t>
  </si>
  <si>
    <t>24265113</t>
  </si>
  <si>
    <t>ALICIA M PICKETT</t>
  </si>
  <si>
    <t>10/15/2014</t>
  </si>
  <si>
    <t>850 466 2067</t>
  </si>
  <si>
    <t xml:space="preserve">  204E</t>
  </si>
  <si>
    <t>H000000008169</t>
  </si>
  <si>
    <t>1010906</t>
  </si>
  <si>
    <t>12/01/2014</t>
  </si>
  <si>
    <t>-241.68</t>
  </si>
  <si>
    <t>385.91</t>
  </si>
  <si>
    <t>204.02</t>
  </si>
  <si>
    <t>165.76</t>
  </si>
  <si>
    <t>16.13</t>
  </si>
  <si>
    <t>2014-09-18 00:00:00</t>
  </si>
  <si>
    <t>850 466-2067</t>
  </si>
  <si>
    <t>850 777-1270</t>
  </si>
  <si>
    <t>25685838</t>
  </si>
  <si>
    <t>49835211</t>
  </si>
  <si>
    <t>ANSLIN MENDOZA</t>
  </si>
  <si>
    <t>02/19/2015</t>
  </si>
  <si>
    <t>850 748 3913</t>
  </si>
  <si>
    <t>6728   FLAGLER DR</t>
  </si>
  <si>
    <t>2DV31CUR01367</t>
  </si>
  <si>
    <t>385406</t>
  </si>
  <si>
    <t>-63.00</t>
  </si>
  <si>
    <t>-65.00</t>
  </si>
  <si>
    <t>143.35</t>
  </si>
  <si>
    <t>82.99</t>
  </si>
  <si>
    <t>55.37</t>
  </si>
  <si>
    <t>850 748-3913</t>
  </si>
  <si>
    <t>25685889</t>
  </si>
  <si>
    <t>70949111</t>
  </si>
  <si>
    <t>Ms. Ariel Lopez</t>
  </si>
  <si>
    <t>850 748 3242</t>
  </si>
  <si>
    <t>200  E BURGESS RD</t>
  </si>
  <si>
    <t xml:space="preserve">    7B</t>
  </si>
  <si>
    <t>0089</t>
  </si>
  <si>
    <t>DCS4M13000065</t>
  </si>
  <si>
    <t>865579</t>
  </si>
  <si>
    <t>-89.97</t>
  </si>
  <si>
    <t>188.89</t>
  </si>
  <si>
    <t>93.93</t>
  </si>
  <si>
    <t>89.97</t>
  </si>
  <si>
    <t>850 748-3242</t>
  </si>
  <si>
    <t>25687880</t>
  </si>
  <si>
    <t>1049417</t>
  </si>
  <si>
    <t>DEMARQUETT THOMAS</t>
  </si>
  <si>
    <t>850 221 9423</t>
  </si>
  <si>
    <t>2103  W CHASE ST</t>
  </si>
  <si>
    <t>SABNQRNXR</t>
  </si>
  <si>
    <t>2012745</t>
  </si>
  <si>
    <t>-47.83</t>
  </si>
  <si>
    <t>255.35</t>
  </si>
  <si>
    <t>124.46</t>
  </si>
  <si>
    <t>125.9</t>
  </si>
  <si>
    <t>850 221-9423</t>
  </si>
  <si>
    <t>25687889</t>
  </si>
  <si>
    <t>2435004</t>
  </si>
  <si>
    <t>CYNTHIA M SULLIVAN</t>
  </si>
  <si>
    <t>07/15/2009</t>
  </si>
  <si>
    <t>850 438 3390</t>
  </si>
  <si>
    <t>1620  W HERNANDEZ ST</t>
  </si>
  <si>
    <t>5054</t>
  </si>
  <si>
    <t>h338023</t>
  </si>
  <si>
    <t>-38.89</t>
  </si>
  <si>
    <t>-25.66</t>
  </si>
  <si>
    <t>34.27</t>
  </si>
  <si>
    <t>850 438-3390</t>
  </si>
  <si>
    <t>25687902</t>
  </si>
  <si>
    <t>4067309</t>
  </si>
  <si>
    <t>LAKETIA WILKERSON</t>
  </si>
  <si>
    <t>09/17/2014</t>
  </si>
  <si>
    <t>850 760 6965</t>
  </si>
  <si>
    <t xml:space="preserve">    B2</t>
  </si>
  <si>
    <t>SABRJMVKK</t>
  </si>
  <si>
    <t>745868</t>
  </si>
  <si>
    <t>184.06</t>
  </si>
  <si>
    <t>36.77</t>
  </si>
  <si>
    <t>850 760-6965</t>
  </si>
  <si>
    <t>25688002</t>
  </si>
  <si>
    <t>32199211</t>
  </si>
  <si>
    <t>GARRETT CONGER</t>
  </si>
  <si>
    <t>850 361 7345</t>
  </si>
  <si>
    <t>6722   FLAGLER DR</t>
  </si>
  <si>
    <t>[3H213BWK02AF0]</t>
  </si>
  <si>
    <t>494253</t>
  </si>
  <si>
    <t>-12.94</t>
  </si>
  <si>
    <t>351.26</t>
  </si>
  <si>
    <t>198.91</t>
  </si>
  <si>
    <t>147.36</t>
  </si>
  <si>
    <t>850 361-7345</t>
  </si>
  <si>
    <t>25688019</t>
  </si>
  <si>
    <t>51551017</t>
  </si>
  <si>
    <t>JACQUELINE E JONES</t>
  </si>
  <si>
    <t>850 293 6319</t>
  </si>
  <si>
    <t>960  W ZARRAGOSSA ST</t>
  </si>
  <si>
    <t>262586547</t>
  </si>
  <si>
    <t>887140</t>
  </si>
  <si>
    <t>-181.60</t>
  </si>
  <si>
    <t>-86.04</t>
  </si>
  <si>
    <t>-231.70</t>
  </si>
  <si>
    <t>212.4</t>
  </si>
  <si>
    <t>90.06</t>
  </si>
  <si>
    <t>117.35</t>
  </si>
  <si>
    <t>850 293-6319</t>
  </si>
  <si>
    <t>25688034</t>
  </si>
  <si>
    <t>64315508</t>
  </si>
  <si>
    <t>LEON HESTER</t>
  </si>
  <si>
    <t>11/20/2013</t>
  </si>
  <si>
    <t>850 529 9684</t>
  </si>
  <si>
    <t>1202  E GADSDEN ST</t>
  </si>
  <si>
    <t>SABNCHWZG</t>
  </si>
  <si>
    <t>633393</t>
  </si>
  <si>
    <t>-235.51</t>
  </si>
  <si>
    <t>-64.62</t>
  </si>
  <si>
    <t>291.53</t>
  </si>
  <si>
    <t>103.02</t>
  </si>
  <si>
    <t>144.53</t>
  </si>
  <si>
    <t>850 529-9684</t>
  </si>
  <si>
    <t>25688036</t>
  </si>
  <si>
    <t>65448309</t>
  </si>
  <si>
    <t>Hope Benfield</t>
  </si>
  <si>
    <t>850 512 7366</t>
  </si>
  <si>
    <t>814 1/2 E STRONG ST</t>
  </si>
  <si>
    <t>SACBXGXBB</t>
  </si>
  <si>
    <t>2012492</t>
  </si>
  <si>
    <t>-690.30</t>
  </si>
  <si>
    <t>-322.00</t>
  </si>
  <si>
    <t>835.65</t>
  </si>
  <si>
    <t>182.51</t>
  </si>
  <si>
    <t>653.14</t>
  </si>
  <si>
    <t>850 512-7366</t>
  </si>
  <si>
    <t>25688065</t>
  </si>
  <si>
    <t>68448003</t>
  </si>
  <si>
    <t>CECILIA PRESSLEY</t>
  </si>
  <si>
    <t>712  W LLOYD ST</t>
  </si>
  <si>
    <t>265466925</t>
  </si>
  <si>
    <t>834189</t>
  </si>
  <si>
    <t>638476</t>
  </si>
  <si>
    <t>202.54</t>
  </si>
  <si>
    <t>68.57</t>
  </si>
  <si>
    <t>850 292-6316</t>
  </si>
  <si>
    <t>25688066</t>
  </si>
  <si>
    <t>68653312</t>
  </si>
  <si>
    <t>CHARLES VERAS</t>
  </si>
  <si>
    <t>850 418 9561</t>
  </si>
  <si>
    <t>5595   SAN GABRIEL DR</t>
  </si>
  <si>
    <t>SACBCTWFT</t>
  </si>
  <si>
    <t>388653</t>
  </si>
  <si>
    <t>-566.09</t>
  </si>
  <si>
    <t>-257.32</t>
  </si>
  <si>
    <t>567.26</t>
  </si>
  <si>
    <t>8.43</t>
  </si>
  <si>
    <t>310.67</t>
  </si>
  <si>
    <t>248.16</t>
  </si>
  <si>
    <t>2015-06-19 00:00:00</t>
  </si>
  <si>
    <t>850 418-9561</t>
  </si>
  <si>
    <t>25688983</t>
  </si>
  <si>
    <t>222322</t>
  </si>
  <si>
    <t>WILLIAM STONE</t>
  </si>
  <si>
    <t>850 390 1826</t>
  </si>
  <si>
    <t>4470   SPANISH TRL</t>
  </si>
  <si>
    <t>0014</t>
  </si>
  <si>
    <t>[45U14BWC01887]</t>
  </si>
  <si>
    <t>866144</t>
  </si>
  <si>
    <t>-336.61</t>
  </si>
  <si>
    <t>-82.74</t>
  </si>
  <si>
    <t>603.66</t>
  </si>
  <si>
    <t>83.22</t>
  </si>
  <si>
    <t>485.45</t>
  </si>
  <si>
    <t>850 390-1826</t>
  </si>
  <si>
    <t>25689123</t>
  </si>
  <si>
    <t>19674107</t>
  </si>
  <si>
    <t>Peggy Ribolla</t>
  </si>
  <si>
    <t>504 417 5115</t>
  </si>
  <si>
    <t>6620   TIPPIN AVE</t>
  </si>
  <si>
    <t>236772681</t>
  </si>
  <si>
    <t>585387</t>
  </si>
  <si>
    <t>-28.49</t>
  </si>
  <si>
    <t>161.97</t>
  </si>
  <si>
    <t>504 417-5115</t>
  </si>
  <si>
    <t>850 313-3220</t>
  </si>
  <si>
    <t>25689152</t>
  </si>
  <si>
    <t>53990810</t>
  </si>
  <si>
    <t>Laura Tatum</t>
  </si>
  <si>
    <t>08/14/2014</t>
  </si>
  <si>
    <t>850 418 2020</t>
  </si>
  <si>
    <t>32  N DONELSON ST</t>
  </si>
  <si>
    <t>DUBW656</t>
  </si>
  <si>
    <t>D5Y3R44003069</t>
  </si>
  <si>
    <t>771897</t>
  </si>
  <si>
    <t>-208.53</t>
  </si>
  <si>
    <t>-189.72</t>
  </si>
  <si>
    <t>-233.09</t>
  </si>
  <si>
    <t>435.04</t>
  </si>
  <si>
    <t>199.87</t>
  </si>
  <si>
    <t>230.18</t>
  </si>
  <si>
    <t>850 418-2020</t>
  </si>
  <si>
    <t>25689166</t>
  </si>
  <si>
    <t>65059803</t>
  </si>
  <si>
    <t>GERALDINE PARKER</t>
  </si>
  <si>
    <t>12/23/2006</t>
  </si>
  <si>
    <t>850 471 9718</t>
  </si>
  <si>
    <t>396   HANCOCK LN</t>
  </si>
  <si>
    <t>[221973838]</t>
  </si>
  <si>
    <t>7987</t>
  </si>
  <si>
    <t>-317.46</t>
  </si>
  <si>
    <t>-138.88</t>
  </si>
  <si>
    <t>592.12</t>
  </si>
  <si>
    <t>214.35</t>
  </si>
  <si>
    <t>55.32</t>
  </si>
  <si>
    <t>317.46</t>
  </si>
  <si>
    <t>850 471-9718</t>
  </si>
  <si>
    <t>25689167</t>
  </si>
  <si>
    <t>65608221</t>
  </si>
  <si>
    <t>EVA JOHNSON</t>
  </si>
  <si>
    <t>10/16/2014</t>
  </si>
  <si>
    <t>850 292 6549</t>
  </si>
  <si>
    <t>19  N G ST</t>
  </si>
  <si>
    <t>SABRPVNWJ</t>
  </si>
  <si>
    <t>633087</t>
  </si>
  <si>
    <t>12/11/2014</t>
  </si>
  <si>
    <t>128.74</t>
  </si>
  <si>
    <t>75.14</t>
  </si>
  <si>
    <t>48.61</t>
  </si>
  <si>
    <t>850 292-6549</t>
  </si>
  <si>
    <t>25689196</t>
  </si>
  <si>
    <t>68164903</t>
  </si>
  <si>
    <t>MINERVA WARREN</t>
  </si>
  <si>
    <t>09/19/2009</t>
  </si>
  <si>
    <t>850 453 4904</t>
  </si>
  <si>
    <t>1006  W JORDAN ST</t>
  </si>
  <si>
    <t>5053,5054</t>
  </si>
  <si>
    <t>SABFCRFRQ</t>
  </si>
  <si>
    <t>R140509</t>
  </si>
  <si>
    <t>-112.80</t>
  </si>
  <si>
    <t>-170.95</t>
  </si>
  <si>
    <t>-156.41</t>
  </si>
  <si>
    <t>507.88</t>
  </si>
  <si>
    <t>34.07</t>
  </si>
  <si>
    <t>273.79</t>
  </si>
  <si>
    <t>200.02</t>
  </si>
  <si>
    <t>850 453-4904</t>
  </si>
  <si>
    <t>25689203</t>
  </si>
  <si>
    <t>68865604</t>
  </si>
  <si>
    <t>JESSICA SALTER</t>
  </si>
  <si>
    <t>850 206 1461</t>
  </si>
  <si>
    <t>7160  N PALAFOX ST</t>
  </si>
  <si>
    <t>SABQSCWWN</t>
  </si>
  <si>
    <t>745636</t>
  </si>
  <si>
    <t>287.87</t>
  </si>
  <si>
    <t>143.43</t>
  </si>
  <si>
    <t>139.45</t>
  </si>
  <si>
    <t>850 206-1461</t>
  </si>
  <si>
    <t>25689225</t>
  </si>
  <si>
    <t>71782519</t>
  </si>
  <si>
    <t>Kiera Adams</t>
  </si>
  <si>
    <t>12/24/2014</t>
  </si>
  <si>
    <t>850 382 7541</t>
  </si>
  <si>
    <t>601  E BURGESS RD</t>
  </si>
  <si>
    <t xml:space="preserve">    A2</t>
  </si>
  <si>
    <t>SACBDFTKH</t>
  </si>
  <si>
    <t>413167</t>
  </si>
  <si>
    <t>-207.83</t>
  </si>
  <si>
    <t>-191.03</t>
  </si>
  <si>
    <t>-184.79</t>
  </si>
  <si>
    <t>604.31</t>
  </si>
  <si>
    <t>210.74</t>
  </si>
  <si>
    <t>180.75</t>
  </si>
  <si>
    <t>207.83</t>
  </si>
  <si>
    <t>850 382-7541</t>
  </si>
  <si>
    <t>25689233</t>
  </si>
  <si>
    <t>72189508</t>
  </si>
  <si>
    <t>IRESHA COLEMAN</t>
  </si>
  <si>
    <t>850 288 7411</t>
  </si>
  <si>
    <t>2800  N 9TH AVE</t>
  </si>
  <si>
    <t xml:space="preserve">    4A</t>
  </si>
  <si>
    <t>didn't</t>
  </si>
  <si>
    <t>227.37</t>
  </si>
  <si>
    <t>850 288-7411</t>
  </si>
  <si>
    <t>25693407</t>
  </si>
  <si>
    <t>67778814</t>
  </si>
  <si>
    <t>TANYA SMILEY</t>
  </si>
  <si>
    <t>01/08/2015</t>
  </si>
  <si>
    <t>850 696 8289</t>
  </si>
  <si>
    <t>1802  W GADSDEN ST</t>
  </si>
  <si>
    <t>5253,5254,5351</t>
  </si>
  <si>
    <t>SABRXKBRF</t>
  </si>
  <si>
    <t>1197504</t>
  </si>
  <si>
    <t>-85.32</t>
  </si>
  <si>
    <t>-87.13</t>
  </si>
  <si>
    <t>213.15</t>
  </si>
  <si>
    <t>108.83</t>
  </si>
  <si>
    <t>93.57</t>
  </si>
  <si>
    <t>850 696-8289</t>
  </si>
  <si>
    <t>25693415</t>
  </si>
  <si>
    <t>68539215</t>
  </si>
  <si>
    <t>LUKE AHEARN</t>
  </si>
  <si>
    <t>822  E LA RUA ST</t>
  </si>
  <si>
    <t>2DV31CU202E6C</t>
  </si>
  <si>
    <t>917544</t>
  </si>
  <si>
    <t>-153.91</t>
  </si>
  <si>
    <t>-273.80</t>
  </si>
  <si>
    <t>-354.43</t>
  </si>
  <si>
    <t>273.81</t>
  </si>
  <si>
    <t>136.41</t>
  </si>
  <si>
    <t>132.41</t>
  </si>
  <si>
    <t>504 481-8593</t>
  </si>
  <si>
    <t>25693419</t>
  </si>
  <si>
    <t>69021906</t>
  </si>
  <si>
    <t>NATRELLE FEAGIN</t>
  </si>
  <si>
    <t>07/04/2013</t>
  </si>
  <si>
    <t>850 490 5607</t>
  </si>
  <si>
    <t>3494   WELLINGTON RD</t>
  </si>
  <si>
    <t>SABFRVMDH</t>
  </si>
  <si>
    <t>384713</t>
  </si>
  <si>
    <t>-169.30</t>
  </si>
  <si>
    <t>368.83</t>
  </si>
  <si>
    <t>228.1</t>
  </si>
  <si>
    <t>135.74</t>
  </si>
  <si>
    <t>2013-05-21 00:00:00</t>
  </si>
  <si>
    <t>850 490-5607</t>
  </si>
  <si>
    <t>25693420</t>
  </si>
  <si>
    <t>69066211</t>
  </si>
  <si>
    <t>Samuel Johnson</t>
  </si>
  <si>
    <t>850 292 9668</t>
  </si>
  <si>
    <t>1609  W YONGE ST</t>
  </si>
  <si>
    <t>4954</t>
  </si>
  <si>
    <t>1217936</t>
  </si>
  <si>
    <t>0001701</t>
  </si>
  <si>
    <t>-103.00</t>
  </si>
  <si>
    <t>-77.09</t>
  </si>
  <si>
    <t>149.15</t>
  </si>
  <si>
    <t>52.97</t>
  </si>
  <si>
    <t>91.19</t>
  </si>
  <si>
    <t>850 292-9668</t>
  </si>
  <si>
    <t>25693183</t>
  </si>
  <si>
    <t>434104</t>
  </si>
  <si>
    <t>CYNATHIA WIGGINS</t>
  </si>
  <si>
    <t>850 512 4846</t>
  </si>
  <si>
    <t>1001  N G ST</t>
  </si>
  <si>
    <t>SABKWBWTS</t>
  </si>
  <si>
    <t>771098</t>
  </si>
  <si>
    <t>-87.58</t>
  </si>
  <si>
    <t>-189.02</t>
  </si>
  <si>
    <t>321.79</t>
  </si>
  <si>
    <t>167.55</t>
  </si>
  <si>
    <t>149.25</t>
  </si>
  <si>
    <t>850 512-4846</t>
  </si>
  <si>
    <t>25693184</t>
  </si>
  <si>
    <t>471916</t>
  </si>
  <si>
    <t>KENNETH GREENE</t>
  </si>
  <si>
    <t>318 625 8096</t>
  </si>
  <si>
    <t>6530  N PALAFOX ST</t>
  </si>
  <si>
    <t xml:space="preserve">    39</t>
  </si>
  <si>
    <t>4149</t>
  </si>
  <si>
    <t>SABMHDGTL</t>
  </si>
  <si>
    <t>384515</t>
  </si>
  <si>
    <t>-103.42</t>
  </si>
  <si>
    <t>-113.53</t>
  </si>
  <si>
    <t>-92.32</t>
  </si>
  <si>
    <t>214.83</t>
  </si>
  <si>
    <t>107.42</t>
  </si>
  <si>
    <t>102.42</t>
  </si>
  <si>
    <t>318 625-8096</t>
  </si>
  <si>
    <t>25693186</t>
  </si>
  <si>
    <t>516311</t>
  </si>
  <si>
    <t>ROSANNE BLANKENSHIP</t>
  </si>
  <si>
    <t>850 417 2364</t>
  </si>
  <si>
    <t>2404  N BAYLEN ST</t>
  </si>
  <si>
    <t>SABRGQFRV</t>
  </si>
  <si>
    <t>1049516</t>
  </si>
  <si>
    <t>104471</t>
  </si>
  <si>
    <t>-252.05</t>
  </si>
  <si>
    <t>470.14</t>
  </si>
  <si>
    <t>27.34</t>
  </si>
  <si>
    <t>244.62</t>
  </si>
  <si>
    <t>198.18</t>
  </si>
  <si>
    <t>850 417-2364</t>
  </si>
  <si>
    <t>25693204</t>
  </si>
  <si>
    <t>2569706</t>
  </si>
  <si>
    <t>HANNAH KELLY</t>
  </si>
  <si>
    <t>850 712 8815</t>
  </si>
  <si>
    <t>6100   CHABLIS LN</t>
  </si>
  <si>
    <t>[0L78T6J6G7X1]</t>
  </si>
  <si>
    <t>655941</t>
  </si>
  <si>
    <t>-113.37</t>
  </si>
  <si>
    <t>-143.15</t>
  </si>
  <si>
    <t>-110.90</t>
  </si>
  <si>
    <t>239.72</t>
  </si>
  <si>
    <t>117.37</t>
  </si>
  <si>
    <t>850 712-8815</t>
  </si>
  <si>
    <t>25693215</t>
  </si>
  <si>
    <t>4071802</t>
  </si>
  <si>
    <t>DEAN ENGLISH</t>
  </si>
  <si>
    <t>07/20/2012</t>
  </si>
  <si>
    <t xml:space="preserve">    H2</t>
  </si>
  <si>
    <t>2342536</t>
  </si>
  <si>
    <t>-114.18</t>
  </si>
  <si>
    <t>-117.58</t>
  </si>
  <si>
    <t>-139.09</t>
  </si>
  <si>
    <t>85.44</t>
  </si>
  <si>
    <t>850 590-6895</t>
  </si>
  <si>
    <t>25693222</t>
  </si>
  <si>
    <t>4569612</t>
  </si>
  <si>
    <t>12/22/2014</t>
  </si>
  <si>
    <t>850 361 6208</t>
  </si>
  <si>
    <t>419  N DE VILLIERS ST</t>
  </si>
  <si>
    <t>0034</t>
  </si>
  <si>
    <t>249590002</t>
  </si>
  <si>
    <t>933790</t>
  </si>
  <si>
    <t>-46.21</t>
  </si>
  <si>
    <t>-90.92</t>
  </si>
  <si>
    <t>134.43</t>
  </si>
  <si>
    <t>64.72</t>
  </si>
  <si>
    <t>850 361-6208</t>
  </si>
  <si>
    <t>25693395</t>
  </si>
  <si>
    <t>66883204</t>
  </si>
  <si>
    <t>Lisa Morgan</t>
  </si>
  <si>
    <t>404 547 2689</t>
  </si>
  <si>
    <t>1007  N 6TH AVE</t>
  </si>
  <si>
    <t xml:space="preserve">  A1/2</t>
  </si>
  <si>
    <t>236028279</t>
  </si>
  <si>
    <t>336280</t>
  </si>
  <si>
    <t>-66.68</t>
  </si>
  <si>
    <t>-188.78</t>
  </si>
  <si>
    <t>137.49</t>
  </si>
  <si>
    <t>88.19</t>
  </si>
  <si>
    <t>27.8</t>
  </si>
  <si>
    <t>404 547-2689</t>
  </si>
  <si>
    <t>25693380</t>
  </si>
  <si>
    <t>63485701</t>
  </si>
  <si>
    <t>CHRISTINE GOODING</t>
  </si>
  <si>
    <t>01/02/2015</t>
  </si>
  <si>
    <t>850 434 6129</t>
  </si>
  <si>
    <t>1218  E SCOTT ST</t>
  </si>
  <si>
    <t>[209692763]</t>
  </si>
  <si>
    <t>603426</t>
  </si>
  <si>
    <t>-183.36</t>
  </si>
  <si>
    <t>184.37</t>
  </si>
  <si>
    <t>2008-07-22 00:00:00</t>
  </si>
  <si>
    <t>850 434-6129</t>
  </si>
  <si>
    <t>25675816</t>
  </si>
  <si>
    <t>25675873</t>
  </si>
  <si>
    <t>72379317</t>
  </si>
  <si>
    <t>COURTNEY ANDERSON</t>
  </si>
  <si>
    <t>424  E BURGESS RD</t>
  </si>
  <si>
    <t>SABMFFDMV</t>
  </si>
  <si>
    <t>582340</t>
  </si>
  <si>
    <t>1156.24</t>
  </si>
  <si>
    <t>824.24</t>
  </si>
  <si>
    <t>215.03</t>
  </si>
  <si>
    <t>116.97</t>
  </si>
  <si>
    <t>850 382-1822</t>
  </si>
  <si>
    <t>25679021</t>
  </si>
  <si>
    <t>25679129</t>
  </si>
  <si>
    <t>44909019</t>
  </si>
  <si>
    <t>Cj umland</t>
  </si>
  <si>
    <t>2300   JOHN CARROLL DR</t>
  </si>
  <si>
    <t>SABRJMZHV</t>
  </si>
  <si>
    <t>2062370</t>
  </si>
  <si>
    <t>1020.08</t>
  </si>
  <si>
    <t>786.37</t>
  </si>
  <si>
    <t>165.97</t>
  </si>
  <si>
    <t>67.74</t>
  </si>
  <si>
    <t>850 776-1652</t>
  </si>
  <si>
    <t>25679148</t>
  </si>
  <si>
    <t>913.21</t>
  </si>
  <si>
    <t>311.12</t>
  </si>
  <si>
    <t>2015-08-05 00:00:00</t>
  </si>
  <si>
    <t>25679151</t>
  </si>
  <si>
    <t>495.28</t>
  </si>
  <si>
    <t>170.03</t>
  </si>
  <si>
    <t>25679171</t>
  </si>
  <si>
    <t>25682638</t>
  </si>
  <si>
    <t>25682608</t>
  </si>
  <si>
    <t>25685878</t>
  </si>
  <si>
    <t>68366710</t>
  </si>
  <si>
    <t>BESSIE DIXON</t>
  </si>
  <si>
    <t>2525  N L ST</t>
  </si>
  <si>
    <t>SABMCHDSD</t>
  </si>
  <si>
    <t>586972</t>
  </si>
  <si>
    <t>-125.99</t>
  </si>
  <si>
    <t>1049.89</t>
  </si>
  <si>
    <t>778.65</t>
  </si>
  <si>
    <t>135.03</t>
  </si>
  <si>
    <t>109.91</t>
  </si>
  <si>
    <t>21.31</t>
  </si>
  <si>
    <t>25685811</t>
  </si>
  <si>
    <t>25688021</t>
  </si>
  <si>
    <t>53316603</t>
  </si>
  <si>
    <t>DORIS DAVIS</t>
  </si>
  <si>
    <t>07/06/2010</t>
  </si>
  <si>
    <t>850 438 9079</t>
  </si>
  <si>
    <t>3010   TORRES AVE</t>
  </si>
  <si>
    <t>[JUT00JAB3192]</t>
  </si>
  <si>
    <t>920067</t>
  </si>
  <si>
    <t>-177.94</t>
  </si>
  <si>
    <t>-54.38</t>
  </si>
  <si>
    <t>-21.68</t>
  </si>
  <si>
    <t>113.89</t>
  </si>
  <si>
    <t>49.76</t>
  </si>
  <si>
    <t>59.14</t>
  </si>
  <si>
    <t>850 438-9079</t>
  </si>
  <si>
    <t>25689126</t>
  </si>
  <si>
    <t>25689216</t>
  </si>
  <si>
    <t>25689218</t>
  </si>
  <si>
    <t>71095315</t>
  </si>
  <si>
    <t>CHARLES EDWARDS</t>
  </si>
  <si>
    <t>12/17/2014</t>
  </si>
  <si>
    <t>205 601 9701</t>
  </si>
  <si>
    <t>6441   CONCORD WAY</t>
  </si>
  <si>
    <t>D8D4M13003239</t>
  </si>
  <si>
    <t>350895</t>
  </si>
  <si>
    <t>-173.92</t>
  </si>
  <si>
    <t>02/02/2015</t>
  </si>
  <si>
    <t>-162.06</t>
  </si>
  <si>
    <t>931.93</t>
  </si>
  <si>
    <t>635.44</t>
  </si>
  <si>
    <t>192.91</t>
  </si>
  <si>
    <t>97.91</t>
  </si>
  <si>
    <t>.68</t>
  </si>
  <si>
    <t>205 601-9701</t>
  </si>
  <si>
    <t>25689856</t>
  </si>
  <si>
    <t>69731323</t>
  </si>
  <si>
    <t>TERESSA PARKER</t>
  </si>
  <si>
    <t>850 483 9305</t>
  </si>
  <si>
    <t>3500   CREIGHTON RD</t>
  </si>
  <si>
    <t xml:space="preserve">    K7</t>
  </si>
  <si>
    <t>D814M13001137</t>
  </si>
  <si>
    <t>589306</t>
  </si>
  <si>
    <t>-391.28</t>
  </si>
  <si>
    <t>-169.40</t>
  </si>
  <si>
    <t>799.17</t>
  </si>
  <si>
    <t>40.75</t>
  </si>
  <si>
    <t>262.81</t>
  </si>
  <si>
    <t>495.61</t>
  </si>
  <si>
    <t>850 483-9305</t>
  </si>
  <si>
    <t>25693367</t>
  </si>
  <si>
    <t>25693384</t>
  </si>
  <si>
    <t>25675800</t>
  </si>
  <si>
    <t>36087503</t>
  </si>
  <si>
    <t>STEVEN SCHERLING</t>
  </si>
  <si>
    <t>210   TOPEKA RD</t>
  </si>
  <si>
    <t>236001645</t>
  </si>
  <si>
    <t>514046</t>
  </si>
  <si>
    <t>353.58</t>
  </si>
  <si>
    <t>98.51</t>
  </si>
  <si>
    <t>250.08</t>
  </si>
  <si>
    <t>850 449-4561</t>
  </si>
  <si>
    <t>25675817</t>
  </si>
  <si>
    <t>55305718</t>
  </si>
  <si>
    <t>AMANDA ALLEN</t>
  </si>
  <si>
    <t>662 487 7277</t>
  </si>
  <si>
    <t>9925   HILLVIEW DR</t>
  </si>
  <si>
    <t>SABLBNNCR</t>
  </si>
  <si>
    <t>412069</t>
  </si>
  <si>
    <t>-100.57</t>
  </si>
  <si>
    <t>412.47</t>
  </si>
  <si>
    <t>140.82</t>
  </si>
  <si>
    <t>135.82</t>
  </si>
  <si>
    <t>662 487-7277</t>
  </si>
  <si>
    <t>25675820</t>
  </si>
  <si>
    <t>58581006</t>
  </si>
  <si>
    <t>CHAKA JOHNSON</t>
  </si>
  <si>
    <t>02/17/2014</t>
  </si>
  <si>
    <t>850 855 1206</t>
  </si>
  <si>
    <t>229   SPRAGUE DR</t>
  </si>
  <si>
    <t>249561425</t>
  </si>
  <si>
    <t>388095</t>
  </si>
  <si>
    <t>-104.98</t>
  </si>
  <si>
    <t>178.5</t>
  </si>
  <si>
    <t>73.51</t>
  </si>
  <si>
    <t>850 855-1206</t>
  </si>
  <si>
    <t>25675836</t>
  </si>
  <si>
    <t>66705504</t>
  </si>
  <si>
    <t>Lael Wright</t>
  </si>
  <si>
    <t>850 292 3875</t>
  </si>
  <si>
    <t>7580   WEAVER DR</t>
  </si>
  <si>
    <t>2DV335U30966A</t>
  </si>
  <si>
    <t>494201</t>
  </si>
  <si>
    <t>-46.50</t>
  </si>
  <si>
    <t>-45.66</t>
  </si>
  <si>
    <t>97.96</t>
  </si>
  <si>
    <t>46.48</t>
  </si>
  <si>
    <t>850 292-3875</t>
  </si>
  <si>
    <t>25675837</t>
  </si>
  <si>
    <t>66798127</t>
  </si>
  <si>
    <t>JAMES A MCDONALD</t>
  </si>
  <si>
    <t>850 316 5265</t>
  </si>
  <si>
    <t>7601  N 9TH AVE</t>
  </si>
  <si>
    <t xml:space="preserve">   206</t>
  </si>
  <si>
    <t>0006</t>
  </si>
  <si>
    <t>DCD4D31001777</t>
  </si>
  <si>
    <t>Z007016</t>
  </si>
  <si>
    <t>420.83</t>
  </si>
  <si>
    <t>116.27</t>
  </si>
  <si>
    <t>111.28</t>
  </si>
  <si>
    <t>193.28</t>
  </si>
  <si>
    <t>850 316-5265</t>
  </si>
  <si>
    <t>25675850</t>
  </si>
  <si>
    <t>68922403</t>
  </si>
  <si>
    <t>JOSIAH WOOD</t>
  </si>
  <si>
    <t>04/15/2013</t>
  </si>
  <si>
    <t>850 501 9383</t>
  </si>
  <si>
    <t>10020   WANDA DR</t>
  </si>
  <si>
    <t>3249</t>
  </si>
  <si>
    <t>236370317</t>
  </si>
  <si>
    <t>386663</t>
  </si>
  <si>
    <t>-89.49</t>
  </si>
  <si>
    <t>183.97</t>
  </si>
  <si>
    <t>850 501-9383</t>
  </si>
  <si>
    <t>25675861</t>
  </si>
  <si>
    <t>71526907</t>
  </si>
  <si>
    <t>MARY LANDROME</t>
  </si>
  <si>
    <t>850 530 7492</t>
  </si>
  <si>
    <t>1953  W TEN MILE RD</t>
  </si>
  <si>
    <t>SABSBWZMQ</t>
  </si>
  <si>
    <t>R639483</t>
  </si>
  <si>
    <t>-149.73</t>
  </si>
  <si>
    <t>436.75</t>
  </si>
  <si>
    <t>169.35</t>
  </si>
  <si>
    <t>262.41</t>
  </si>
  <si>
    <t>2015-06-15 00:00:00</t>
  </si>
  <si>
    <t>850 530-7492</t>
  </si>
  <si>
    <t>25675864</t>
  </si>
  <si>
    <t>71753008</t>
  </si>
  <si>
    <t>KERRY DICKERSON</t>
  </si>
  <si>
    <t>2600  W MICHIGAN AVE</t>
  </si>
  <si>
    <t xml:space="preserve">  460C</t>
  </si>
  <si>
    <t>106059</t>
  </si>
  <si>
    <t>252.94</t>
  </si>
  <si>
    <t>78.98</t>
  </si>
  <si>
    <t>89.99</t>
  </si>
  <si>
    <t>225 407-3925</t>
  </si>
  <si>
    <t>25675718</t>
  </si>
  <si>
    <t>5758509</t>
  </si>
  <si>
    <t>JIM DOMINGUES</t>
  </si>
  <si>
    <t>850 375 6033</t>
  </si>
  <si>
    <t>8521   FOWLER AVE</t>
  </si>
  <si>
    <t xml:space="preserve">    44</t>
  </si>
  <si>
    <t>3H2143WW01373</t>
  </si>
  <si>
    <t>633660</t>
  </si>
  <si>
    <t>241.28</t>
  </si>
  <si>
    <t>84.71</t>
  </si>
  <si>
    <t>76.85</t>
  </si>
  <si>
    <t>850 375-6033</t>
  </si>
  <si>
    <t>25675785</t>
  </si>
  <si>
    <t>17358801</t>
  </si>
  <si>
    <t>08/12/2014</t>
  </si>
  <si>
    <t>9823   UTOPIA DR</t>
  </si>
  <si>
    <t xml:space="preserve"> 1102B</t>
  </si>
  <si>
    <t>RNN450</t>
  </si>
  <si>
    <t>[3HW45W802DE2]</t>
  </si>
  <si>
    <t>54.96</t>
  </si>
  <si>
    <t>23.98</t>
  </si>
  <si>
    <t>25.99</t>
  </si>
  <si>
    <t>25675787</t>
  </si>
  <si>
    <t>17639701</t>
  </si>
  <si>
    <t>PEARL NALL</t>
  </si>
  <si>
    <t>1759   MCGHEE DR</t>
  </si>
  <si>
    <t>0096</t>
  </si>
  <si>
    <t>261801361</t>
  </si>
  <si>
    <t>2027869</t>
  </si>
  <si>
    <t>-190.85</t>
  </si>
  <si>
    <t>-338.99</t>
  </si>
  <si>
    <t>323.87</t>
  </si>
  <si>
    <t>176.8</t>
  </si>
  <si>
    <t>142.08</t>
  </si>
  <si>
    <t>25679003</t>
  </si>
  <si>
    <t>1101607</t>
  </si>
  <si>
    <t>VIORICA GRIGORITA</t>
  </si>
  <si>
    <t>850 346 6062</t>
  </si>
  <si>
    <t>7737   BEECHWOOD DR</t>
  </si>
  <si>
    <t>[215852500]</t>
  </si>
  <si>
    <t>1217797</t>
  </si>
  <si>
    <t>2299800</t>
  </si>
  <si>
    <t>-130.50</t>
  </si>
  <si>
    <t>-164.20</t>
  </si>
  <si>
    <t>162.27</t>
  </si>
  <si>
    <t>64.8</t>
  </si>
  <si>
    <t>850 346-6062</t>
  </si>
  <si>
    <t>25679051</t>
  </si>
  <si>
    <t>8931311</t>
  </si>
  <si>
    <t>JOYCED RIVERA</t>
  </si>
  <si>
    <t>407 844 3487</t>
  </si>
  <si>
    <t>SABLSGKMB</t>
  </si>
  <si>
    <t>2121560</t>
  </si>
  <si>
    <t>-113.00</t>
  </si>
  <si>
    <t>-103.07</t>
  </si>
  <si>
    <t>464.4</t>
  </si>
  <si>
    <t>161.84</t>
  </si>
  <si>
    <t>267.57</t>
  </si>
  <si>
    <t>2015-07-30 00:00:00</t>
  </si>
  <si>
    <t>407 844-3487</t>
  </si>
  <si>
    <t>25679131</t>
  </si>
  <si>
    <t>47596213</t>
  </si>
  <si>
    <t>KENYA KNIGHT</t>
  </si>
  <si>
    <t>4501  E JOHNSON AVE</t>
  </si>
  <si>
    <t xml:space="preserve">   104</t>
  </si>
  <si>
    <t>SABSZMQVT</t>
  </si>
  <si>
    <t>1794532</t>
  </si>
  <si>
    <t>-37.84</t>
  </si>
  <si>
    <t>261.73</t>
  </si>
  <si>
    <t>98.83</t>
  </si>
  <si>
    <t>157.91</t>
  </si>
  <si>
    <t>850 417-4069</t>
  </si>
  <si>
    <t>25679135</t>
  </si>
  <si>
    <t>53869414</t>
  </si>
  <si>
    <t>SEAN HARTMAN</t>
  </si>
  <si>
    <t>7201   BRUNER ST</t>
  </si>
  <si>
    <t xml:space="preserve">    1D</t>
  </si>
  <si>
    <t>SABQPCDTW</t>
  </si>
  <si>
    <t>X562366</t>
  </si>
  <si>
    <t>-233.40</t>
  </si>
  <si>
    <t>-21.00</t>
  </si>
  <si>
    <t>905.13</t>
  </si>
  <si>
    <t>108.49</t>
  </si>
  <si>
    <t>791.65</t>
  </si>
  <si>
    <t>2015-06-16 00:00:00</t>
  </si>
  <si>
    <t>502 931-1871</t>
  </si>
  <si>
    <t>25682637</t>
  </si>
  <si>
    <t>66833824</t>
  </si>
  <si>
    <t>marion cureton</t>
  </si>
  <si>
    <t>313 702 4636</t>
  </si>
  <si>
    <t>4051  E OLIVE RD</t>
  </si>
  <si>
    <t xml:space="preserve">   276</t>
  </si>
  <si>
    <t>SABQFPSKZ</t>
  </si>
  <si>
    <t>386060</t>
  </si>
  <si>
    <t>-148.53</t>
  </si>
  <si>
    <t>03/30/2015</t>
  </si>
  <si>
    <t>-148.48</t>
  </si>
  <si>
    <t>310.02</t>
  </si>
  <si>
    <t>160.98</t>
  </si>
  <si>
    <t>144.05</t>
  </si>
  <si>
    <t>313 702-4636</t>
  </si>
  <si>
    <t>25682650</t>
  </si>
  <si>
    <t>68069019</t>
  </si>
  <si>
    <t>JAMIE RHODES</t>
  </si>
  <si>
    <t>10/18/2014</t>
  </si>
  <si>
    <t>601 596 4381</t>
  </si>
  <si>
    <t>7816   HERRINGTON DR</t>
  </si>
  <si>
    <t>SACCWHSSP</t>
  </si>
  <si>
    <t>879749</t>
  </si>
  <si>
    <t>-182.10</t>
  </si>
  <si>
    <t>-15.00</t>
  </si>
  <si>
    <t>-285.00</t>
  </si>
  <si>
    <t>335.37</t>
  </si>
  <si>
    <t>205.35</t>
  </si>
  <si>
    <t>100.03</t>
  </si>
  <si>
    <t>601 596-4381</t>
  </si>
  <si>
    <t>25682672</t>
  </si>
  <si>
    <t>71063008</t>
  </si>
  <si>
    <t>STEVEN RAMIREZ</t>
  </si>
  <si>
    <t>08/01/2014</t>
  </si>
  <si>
    <t>850 390 0161</t>
  </si>
  <si>
    <t>3072   RAINES ST</t>
  </si>
  <si>
    <t>[0HYTSSTNSG17]</t>
  </si>
  <si>
    <t>917133</t>
  </si>
  <si>
    <t>-172.09</t>
  </si>
  <si>
    <t>-150.59</t>
  </si>
  <si>
    <t>339.15</t>
  </si>
  <si>
    <t>172.09</t>
  </si>
  <si>
    <t>162.07</t>
  </si>
  <si>
    <t>850 390-0161</t>
  </si>
  <si>
    <t>25682678</t>
  </si>
  <si>
    <t>71806621</t>
  </si>
  <si>
    <t>VINCENT IMPERIAL</t>
  </si>
  <si>
    <t>850 530 3950</t>
  </si>
  <si>
    <t>10025   HILLVIEW DR</t>
  </si>
  <si>
    <t>SABTQVBXD</t>
  </si>
  <si>
    <t>420548</t>
  </si>
  <si>
    <t>-79.72</t>
  </si>
  <si>
    <t>850 530-3950</t>
  </si>
  <si>
    <t>25682454</t>
  </si>
  <si>
    <t>553007</t>
  </si>
  <si>
    <t>DANIEL CALL</t>
  </si>
  <si>
    <t>850 479 4198</t>
  </si>
  <si>
    <t>3282   EAGLE ST</t>
  </si>
  <si>
    <t>SABLGNSKC</t>
  </si>
  <si>
    <t>1066795</t>
  </si>
  <si>
    <t>-107.69</t>
  </si>
  <si>
    <t>-103.70</t>
  </si>
  <si>
    <t>-103.63</t>
  </si>
  <si>
    <t>225.35</t>
  </si>
  <si>
    <t>112.68</t>
  </si>
  <si>
    <t>850 479-4198</t>
  </si>
  <si>
    <t>25682459</t>
  </si>
  <si>
    <t>992905</t>
  </si>
  <si>
    <t>MICHAEL WILLS</t>
  </si>
  <si>
    <t>850 501 3611</t>
  </si>
  <si>
    <t>3620   WIGGINS LN</t>
  </si>
  <si>
    <t>RRC0315</t>
  </si>
  <si>
    <t>[13AKD5012180]</t>
  </si>
  <si>
    <t>647655</t>
  </si>
  <si>
    <t>-23.18</t>
  </si>
  <si>
    <t>-30.87</t>
  </si>
  <si>
    <t>266.94</t>
  </si>
  <si>
    <t>128.19</t>
  </si>
  <si>
    <t>133.76</t>
  </si>
  <si>
    <t>850 501-3611</t>
  </si>
  <si>
    <t>25682505</t>
  </si>
  <si>
    <t>6273210</t>
  </si>
  <si>
    <t>Kittrell Rudolph</t>
  </si>
  <si>
    <t>02/05/2015</t>
  </si>
  <si>
    <t>850 281 0919</t>
  </si>
  <si>
    <t>9016   BOWMAN AVE</t>
  </si>
  <si>
    <t>SACBZBJZS</t>
  </si>
  <si>
    <t>603841</t>
  </si>
  <si>
    <t>-85.35</t>
  </si>
  <si>
    <t>-82.00</t>
  </si>
  <si>
    <t>359.67</t>
  </si>
  <si>
    <t>104.7</t>
  </si>
  <si>
    <t>121.21</t>
  </si>
  <si>
    <t>850 281-0919</t>
  </si>
  <si>
    <t>25682564</t>
  </si>
  <si>
    <t>14608104</t>
  </si>
  <si>
    <t>JAMES GATLIN</t>
  </si>
  <si>
    <t>850 341 1247</t>
  </si>
  <si>
    <t>7770   LILAH LN</t>
  </si>
  <si>
    <t>4744</t>
  </si>
  <si>
    <t>[359079226030164301012019]</t>
  </si>
  <si>
    <t>714142</t>
  </si>
  <si>
    <t>-117.93</t>
  </si>
  <si>
    <t>470.72</t>
  </si>
  <si>
    <t>.67</t>
  </si>
  <si>
    <t>256.34</t>
  </si>
  <si>
    <t>209.39</t>
  </si>
  <si>
    <t>850 341-1247</t>
  </si>
  <si>
    <t>25682566</t>
  </si>
  <si>
    <t>14830802</t>
  </si>
  <si>
    <t>China Morgan</t>
  </si>
  <si>
    <t>11/28/2014</t>
  </si>
  <si>
    <t>832 745 1668</t>
  </si>
  <si>
    <t>2260   HENCYE DR</t>
  </si>
  <si>
    <t>3252</t>
  </si>
  <si>
    <t>SABKJGCTB</t>
  </si>
  <si>
    <t>779429</t>
  </si>
  <si>
    <t>-166.16</t>
  </si>
  <si>
    <t>-167.00</t>
  </si>
  <si>
    <t>-202.07</t>
  </si>
  <si>
    <t>727.31</t>
  </si>
  <si>
    <t>205.57</t>
  </si>
  <si>
    <t>192.08</t>
  </si>
  <si>
    <t>329.66</t>
  </si>
  <si>
    <t>832 745-1668</t>
  </si>
  <si>
    <t>25682577</t>
  </si>
  <si>
    <t>15786704</t>
  </si>
  <si>
    <t>CARCAMO GALLO</t>
  </si>
  <si>
    <t>850 288 9946</t>
  </si>
  <si>
    <t>7853   KIPLING ST</t>
  </si>
  <si>
    <t>D5W3R44009192</t>
  </si>
  <si>
    <t>496325</t>
  </si>
  <si>
    <t>-61.47</t>
  </si>
  <si>
    <t>-61.00</t>
  </si>
  <si>
    <t>850 288-9946</t>
  </si>
  <si>
    <t>25682603</t>
  </si>
  <si>
    <t>38127702</t>
  </si>
  <si>
    <t>EDMOND D LUSTER</t>
  </si>
  <si>
    <t>850 474 3795</t>
  </si>
  <si>
    <t>8229   CHIQUITA DR</t>
  </si>
  <si>
    <t>0104</t>
  </si>
  <si>
    <t>[212799306]</t>
  </si>
  <si>
    <t>853242</t>
  </si>
  <si>
    <t>P678797</t>
  </si>
  <si>
    <t>-220.49</t>
  </si>
  <si>
    <t>-216.50</t>
  </si>
  <si>
    <t>-215.56</t>
  </si>
  <si>
    <t>450.97</t>
  </si>
  <si>
    <t>225.49</t>
  </si>
  <si>
    <t>220.49</t>
  </si>
  <si>
    <t>850 474-3795</t>
  </si>
  <si>
    <t>850 452-1966</t>
  </si>
  <si>
    <t>25682626</t>
  </si>
  <si>
    <t>60378701</t>
  </si>
  <si>
    <t>MARGARET A GUNTER</t>
  </si>
  <si>
    <t>04/05/1996</t>
  </si>
  <si>
    <t>850 944 1439</t>
  </si>
  <si>
    <t>2045   CEYLON RD</t>
  </si>
  <si>
    <t>260494264</t>
  </si>
  <si>
    <t>405429</t>
  </si>
  <si>
    <t>-270.24</t>
  </si>
  <si>
    <t>-216.49</t>
  </si>
  <si>
    <t>-216.41</t>
  </si>
  <si>
    <t>664.91</t>
  </si>
  <si>
    <t>227.99</t>
  </si>
  <si>
    <t>220.43</t>
  </si>
  <si>
    <t>216.49</t>
  </si>
  <si>
    <t>850 944-1439</t>
  </si>
  <si>
    <t>25685761</t>
  </si>
  <si>
    <t>6139102</t>
  </si>
  <si>
    <t>AARON K PALMER</t>
  </si>
  <si>
    <t>06/22/2014</t>
  </si>
  <si>
    <t>2052   WINNERS CIR</t>
  </si>
  <si>
    <t>2444</t>
  </si>
  <si>
    <t>[3413113482]</t>
  </si>
  <si>
    <t>901280</t>
  </si>
  <si>
    <t>-118.99</t>
  </si>
  <si>
    <t>167.56</t>
  </si>
  <si>
    <t>84.08</t>
  </si>
  <si>
    <t>2012-06-01 00:00:00</t>
  </si>
  <si>
    <t>850 384-2890</t>
  </si>
  <si>
    <t>850 384-1984</t>
  </si>
  <si>
    <t>25685822</t>
  </si>
  <si>
    <t>31860007</t>
  </si>
  <si>
    <t>DORIS HILL</t>
  </si>
  <si>
    <t>850 619 8694</t>
  </si>
  <si>
    <t>1480   CHANNING PL</t>
  </si>
  <si>
    <t>SABLDLQRS</t>
  </si>
  <si>
    <t>2027879</t>
  </si>
  <si>
    <t>-223.08</t>
  </si>
  <si>
    <t>-342.29</t>
  </si>
  <si>
    <t>694.22</t>
  </si>
  <si>
    <t>207.24</t>
  </si>
  <si>
    <t>451.99</t>
  </si>
  <si>
    <t>850 619-8694</t>
  </si>
  <si>
    <t>25685826</t>
  </si>
  <si>
    <t>32926801</t>
  </si>
  <si>
    <t>JIM L WILLIAMS</t>
  </si>
  <si>
    <t>06/24/1998</t>
  </si>
  <si>
    <t>720  W DEVANE ST</t>
  </si>
  <si>
    <t>[401060308700]</t>
  </si>
  <si>
    <t>619329</t>
  </si>
  <si>
    <t>-234.21</t>
  </si>
  <si>
    <t>-115.11</t>
  </si>
  <si>
    <t>-111.71</t>
  </si>
  <si>
    <t>498.87</t>
  </si>
  <si>
    <t>64.06</t>
  </si>
  <si>
    <t>234.21</t>
  </si>
  <si>
    <t>850 281-3925</t>
  </si>
  <si>
    <t>25685828</t>
  </si>
  <si>
    <t>35166804</t>
  </si>
  <si>
    <t>CATHY BYRD</t>
  </si>
  <si>
    <t>07/19/2004</t>
  </si>
  <si>
    <t>850 293 6309</t>
  </si>
  <si>
    <t>321   CLARK AVE</t>
  </si>
  <si>
    <t>[0HYTSX1L8VD5]</t>
  </si>
  <si>
    <t>0006345</t>
  </si>
  <si>
    <t>-234.35</t>
  </si>
  <si>
    <t>-207.22</t>
  </si>
  <si>
    <t>-230.00</t>
  </si>
  <si>
    <t>428.47</t>
  </si>
  <si>
    <t>229.34</t>
  </si>
  <si>
    <t>194.14</t>
  </si>
  <si>
    <t>850 293-6309</t>
  </si>
  <si>
    <t>25685829</t>
  </si>
  <si>
    <t>39516008</t>
  </si>
  <si>
    <t>NATHAN HARDEE</t>
  </si>
  <si>
    <t>03/06/2014</t>
  </si>
  <si>
    <t>850 332 6605</t>
  </si>
  <si>
    <t>7155   PENNINGTON DR</t>
  </si>
  <si>
    <t>262529999</t>
  </si>
  <si>
    <t>750382</t>
  </si>
  <si>
    <t>-293.90</t>
  </si>
  <si>
    <t>-131.20</t>
  </si>
  <si>
    <t>-127.21</t>
  </si>
  <si>
    <t>595.77</t>
  </si>
  <si>
    <t>198.5</t>
  </si>
  <si>
    <t>362.28</t>
  </si>
  <si>
    <t>850 332-6605</t>
  </si>
  <si>
    <t>25685846</t>
  </si>
  <si>
    <t>56366810</t>
  </si>
  <si>
    <t>DAMASCUS WOODS</t>
  </si>
  <si>
    <t xml:space="preserve">   200</t>
  </si>
  <si>
    <t>SABNXMSLZ</t>
  </si>
  <si>
    <t>350006</t>
  </si>
  <si>
    <t>-98.65</t>
  </si>
  <si>
    <t>215.61</t>
  </si>
  <si>
    <t>111.97</t>
  </si>
  <si>
    <t>98.65</t>
  </si>
  <si>
    <t>850 607-0952</t>
  </si>
  <si>
    <t>25685856</t>
  </si>
  <si>
    <t>65119011</t>
  </si>
  <si>
    <t>Deandrea Travis</t>
  </si>
  <si>
    <t>850 261 6044</t>
  </si>
  <si>
    <t>8246   EMPEROR RD</t>
  </si>
  <si>
    <t>3HW146WA04F19</t>
  </si>
  <si>
    <t>840525</t>
  </si>
  <si>
    <t>394.94</t>
  </si>
  <si>
    <t>107.64</t>
  </si>
  <si>
    <t>102.65</t>
  </si>
  <si>
    <t>184.65</t>
  </si>
  <si>
    <t>850 261-6044</t>
  </si>
  <si>
    <t>25685885</t>
  </si>
  <si>
    <t>69551504</t>
  </si>
  <si>
    <t>AMANDA KLAMPFER</t>
  </si>
  <si>
    <t>09/16/2011</t>
  </si>
  <si>
    <t>850 529 4727</t>
  </si>
  <si>
    <t>1230  W TEN MILE RD</t>
  </si>
  <si>
    <t>270917106</t>
  </si>
  <si>
    <t>R010640</t>
  </si>
  <si>
    <t>-63.29</t>
  </si>
  <si>
    <t>142.26</t>
  </si>
  <si>
    <t>84.8</t>
  </si>
  <si>
    <t>52.47</t>
  </si>
  <si>
    <t>850 529-4727</t>
  </si>
  <si>
    <t>25685887</t>
  </si>
  <si>
    <t>69923714</t>
  </si>
  <si>
    <t>KENTRELL MCMILLIAN</t>
  </si>
  <si>
    <t xml:space="preserve">    37</t>
  </si>
  <si>
    <t>ES97366</t>
  </si>
  <si>
    <t>213.34</t>
  </si>
  <si>
    <t>119.23</t>
  </si>
  <si>
    <t>25685895</t>
  </si>
  <si>
    <t>71356417</t>
  </si>
  <si>
    <t>MEAGAN AYALA</t>
  </si>
  <si>
    <t>08/16/2012</t>
  </si>
  <si>
    <t>850 341 5803</t>
  </si>
  <si>
    <t xml:space="preserve">   40E</t>
  </si>
  <si>
    <t>RGI4200</t>
  </si>
  <si>
    <t>[05Y9ZH8YPN]</t>
  </si>
  <si>
    <t>1004844</t>
  </si>
  <si>
    <t>-57.18</t>
  </si>
  <si>
    <t>-95.59</t>
  </si>
  <si>
    <t>202.02</t>
  </si>
  <si>
    <t>110.08</t>
  </si>
  <si>
    <t>86.95</t>
  </si>
  <si>
    <t>850 341-5803</t>
  </si>
  <si>
    <t>25685896</t>
  </si>
  <si>
    <t>71376417</t>
  </si>
  <si>
    <t>JESSIE JEFFERS</t>
  </si>
  <si>
    <t>06/18/2013</t>
  </si>
  <si>
    <t>850 341 6336</t>
  </si>
  <si>
    <t xml:space="preserve">  230C</t>
  </si>
  <si>
    <t>SABKRTNRR</t>
  </si>
  <si>
    <t>SS86498</t>
  </si>
  <si>
    <t>-112.40</t>
  </si>
  <si>
    <t>-122.40</t>
  </si>
  <si>
    <t>377.78</t>
  </si>
  <si>
    <t>40.58</t>
  </si>
  <si>
    <t>112.4</t>
  </si>
  <si>
    <t>224.8</t>
  </si>
  <si>
    <t>850 341-6336</t>
  </si>
  <si>
    <t>850 501-7136</t>
  </si>
  <si>
    <t>25685898</t>
  </si>
  <si>
    <t>71680210</t>
  </si>
  <si>
    <t>Justyn Dulac</t>
  </si>
  <si>
    <t>850 776 8162</t>
  </si>
  <si>
    <t>288  E OLIVE RD</t>
  </si>
  <si>
    <t xml:space="preserve">   13A</t>
  </si>
  <si>
    <t>DCJ4M13005361</t>
  </si>
  <si>
    <t>780366</t>
  </si>
  <si>
    <t>-351.22</t>
  </si>
  <si>
    <t>674.27</t>
  </si>
  <si>
    <t>263.43</t>
  </si>
  <si>
    <t>375.85</t>
  </si>
  <si>
    <t>850 776-8162</t>
  </si>
  <si>
    <t>25685904</t>
  </si>
  <si>
    <t>72201115</t>
  </si>
  <si>
    <t>ANTONIO BROOKS</t>
  </si>
  <si>
    <t>850 332 7967</t>
  </si>
  <si>
    <t>9450   BOWMAN AVE</t>
  </si>
  <si>
    <t>266455668</t>
  </si>
  <si>
    <t>604383</t>
  </si>
  <si>
    <t>-128.26</t>
  </si>
  <si>
    <t>205.71</t>
  </si>
  <si>
    <t>133.35</t>
  </si>
  <si>
    <t>67.37</t>
  </si>
  <si>
    <t>2014-07-07 00:00:00</t>
  </si>
  <si>
    <t>850 332-7967</t>
  </si>
  <si>
    <t>25685905</t>
  </si>
  <si>
    <t>72464215</t>
  </si>
  <si>
    <t>ANGELA WATTS</t>
  </si>
  <si>
    <t>850 380 6328</t>
  </si>
  <si>
    <t>45U14AW801430</t>
  </si>
  <si>
    <t>864119</t>
  </si>
  <si>
    <t>-124.20</t>
  </si>
  <si>
    <t>-38.00</t>
  </si>
  <si>
    <t>124.82</t>
  </si>
  <si>
    <t>850 380-6328</t>
  </si>
  <si>
    <t>25687878</t>
  </si>
  <si>
    <t>845505</t>
  </si>
  <si>
    <t>ROMAINE KEITH</t>
  </si>
  <si>
    <t>850 624 1805</t>
  </si>
  <si>
    <t>7345   GLIDDEN LN</t>
  </si>
  <si>
    <t>E184M13001648</t>
  </si>
  <si>
    <t>104233</t>
  </si>
  <si>
    <t>208.71</t>
  </si>
  <si>
    <t>53.62</t>
  </si>
  <si>
    <t>135.63</t>
  </si>
  <si>
    <t>14.47</t>
  </si>
  <si>
    <t>850 624-1805</t>
  </si>
  <si>
    <t>25687894</t>
  </si>
  <si>
    <t>2907312</t>
  </si>
  <si>
    <t>SHAWN STEUDLEIN</t>
  </si>
  <si>
    <t>850 449 7469</t>
  </si>
  <si>
    <t>7165   EIGHT MILE CREEK RD</t>
  </si>
  <si>
    <t>3842</t>
  </si>
  <si>
    <t>SABNTHNHW</t>
  </si>
  <si>
    <t>571086</t>
  </si>
  <si>
    <t>-74.06</t>
  </si>
  <si>
    <t>-72.32</t>
  </si>
  <si>
    <t>153.12</t>
  </si>
  <si>
    <t>74.07</t>
  </si>
  <si>
    <t>74.06</t>
  </si>
  <si>
    <t>850 449-7469</t>
  </si>
  <si>
    <t>25687913</t>
  </si>
  <si>
    <t>5787809</t>
  </si>
  <si>
    <t>MARY P TIGNER</t>
  </si>
  <si>
    <t>08/20/2014</t>
  </si>
  <si>
    <t>236123241</t>
  </si>
  <si>
    <t>631082</t>
  </si>
  <si>
    <t>-163.46</t>
  </si>
  <si>
    <t>-92.48</t>
  </si>
  <si>
    <t>159.99</t>
  </si>
  <si>
    <t>84.02</t>
  </si>
  <si>
    <t>850 529-2950</t>
  </si>
  <si>
    <t>25687927</t>
  </si>
  <si>
    <t>8101509</t>
  </si>
  <si>
    <t>TORRANCE REASE</t>
  </si>
  <si>
    <t>10/21/2014</t>
  </si>
  <si>
    <t>850 287 1746</t>
  </si>
  <si>
    <t>1112   CREEKSIDE CT</t>
  </si>
  <si>
    <t>3452</t>
  </si>
  <si>
    <t>D484M13003020</t>
  </si>
  <si>
    <t>684373</t>
  </si>
  <si>
    <t>-180.67</t>
  </si>
  <si>
    <t>-180.52</t>
  </si>
  <si>
    <t>619.6</t>
  </si>
  <si>
    <t>180.5</t>
  </si>
  <si>
    <t>374.11</t>
  </si>
  <si>
    <t>850 287-1746</t>
  </si>
  <si>
    <t>850 346-2286</t>
  </si>
  <si>
    <t>25687928</t>
  </si>
  <si>
    <t>8245007</t>
  </si>
  <si>
    <t>KYLA LYNN</t>
  </si>
  <si>
    <t>727 667 3295</t>
  </si>
  <si>
    <t>1917   CREEKSIDE CT</t>
  </si>
  <si>
    <t>SABNVQGJG</t>
  </si>
  <si>
    <t>1025145</t>
  </si>
  <si>
    <t>-78.32</t>
  </si>
  <si>
    <t>165.63</t>
  </si>
  <si>
    <t>82.32</t>
  </si>
  <si>
    <t>78.32</t>
  </si>
  <si>
    <t>727 667-3295</t>
  </si>
  <si>
    <t>25687929</t>
  </si>
  <si>
    <t>8484005</t>
  </si>
  <si>
    <t>RICHARD COLLINS</t>
  </si>
  <si>
    <t>850 851 5464</t>
  </si>
  <si>
    <t>6302   MONTGOMERY AVE</t>
  </si>
  <si>
    <t>SABLTGNJH</t>
  </si>
  <si>
    <t>2021095</t>
  </si>
  <si>
    <t>7622945</t>
  </si>
  <si>
    <t>284.65</t>
  </si>
  <si>
    <t>162.05</t>
  </si>
  <si>
    <t>117.61</t>
  </si>
  <si>
    <t>850 851-5464</t>
  </si>
  <si>
    <t>25687939</t>
  </si>
  <si>
    <t>9299101</t>
  </si>
  <si>
    <t>HOWELL L DAVIS JR</t>
  </si>
  <si>
    <t>10/20/2004</t>
  </si>
  <si>
    <t>850 484 0757</t>
  </si>
  <si>
    <t>7942   IRA DR</t>
  </si>
  <si>
    <t xml:space="preserve">   1/2</t>
  </si>
  <si>
    <t>788BMV4E7257824</t>
  </si>
  <si>
    <t>X255421</t>
  </si>
  <si>
    <t>-103.11</t>
  </si>
  <si>
    <t>-99.28</t>
  </si>
  <si>
    <t>-99.23</t>
  </si>
  <si>
    <t>236.16</t>
  </si>
  <si>
    <t>116.22</t>
  </si>
  <si>
    <t>114.95</t>
  </si>
  <si>
    <t>2014-12-18 00:00:00</t>
  </si>
  <si>
    <t>850 484-0757</t>
  </si>
  <si>
    <t>850 438-5403</t>
  </si>
  <si>
    <t>25687951</t>
  </si>
  <si>
    <t>11643701</t>
  </si>
  <si>
    <t>HAROLD WEATHERSPOON</t>
  </si>
  <si>
    <t>10/20/2014</t>
  </si>
  <si>
    <t>850 712 0034</t>
  </si>
  <si>
    <t>1020   TORTUGA DR</t>
  </si>
  <si>
    <t>D7E4M13002737</t>
  </si>
  <si>
    <t>854581</t>
  </si>
  <si>
    <t>-73.00</t>
  </si>
  <si>
    <t>156.75</t>
  </si>
  <si>
    <t>68.92</t>
  </si>
  <si>
    <t>82.84</t>
  </si>
  <si>
    <t>850 712-0034</t>
  </si>
  <si>
    <t>25687965</t>
  </si>
  <si>
    <t>14390802</t>
  </si>
  <si>
    <t>KAREN D ARNOLD</t>
  </si>
  <si>
    <t>850 346 2057</t>
  </si>
  <si>
    <t>10621   SHEAR ST</t>
  </si>
  <si>
    <t>SABPKWLGW</t>
  </si>
  <si>
    <t>494632</t>
  </si>
  <si>
    <t>-220.34</t>
  </si>
  <si>
    <t>-230.44</t>
  </si>
  <si>
    <t>519.67</t>
  </si>
  <si>
    <t>16.29</t>
  </si>
  <si>
    <t>336.38</t>
  </si>
  <si>
    <t>167</t>
  </si>
  <si>
    <t>850 346-2057</t>
  </si>
  <si>
    <t>25687978</t>
  </si>
  <si>
    <t>16910702</t>
  </si>
  <si>
    <t>Diamond M Reed</t>
  </si>
  <si>
    <t>850 512 9875</t>
  </si>
  <si>
    <t>5815   TRYTON CIR</t>
  </si>
  <si>
    <t>4647</t>
  </si>
  <si>
    <t>260873210</t>
  </si>
  <si>
    <t>709825</t>
  </si>
  <si>
    <t>-73.37</t>
  </si>
  <si>
    <t>166.96</t>
  </si>
  <si>
    <t>850 512-9875</t>
  </si>
  <si>
    <t>25687983</t>
  </si>
  <si>
    <t>17590601</t>
  </si>
  <si>
    <t>Heather Hutchens</t>
  </si>
  <si>
    <t>12/20/2014</t>
  </si>
  <si>
    <t>850 944 8811</t>
  </si>
  <si>
    <t>7105   MOBILE HWY</t>
  </si>
  <si>
    <t>2DV215UA004BA</t>
  </si>
  <si>
    <t>104775</t>
  </si>
  <si>
    <t>108.57</t>
  </si>
  <si>
    <t>43.3</t>
  </si>
  <si>
    <t>44.45</t>
  </si>
  <si>
    <t>850 944-8811</t>
  </si>
  <si>
    <t>25687990</t>
  </si>
  <si>
    <t>23591111</t>
  </si>
  <si>
    <t>TAMMY NORED</t>
  </si>
  <si>
    <t>850 332 6407</t>
  </si>
  <si>
    <t>8562   WYCKHAM PL</t>
  </si>
  <si>
    <t>[214439201]</t>
  </si>
  <si>
    <t>529280</t>
  </si>
  <si>
    <t>-275.20</t>
  </si>
  <si>
    <t>-257.64</t>
  </si>
  <si>
    <t>621.99</t>
  </si>
  <si>
    <t>164.79</t>
  </si>
  <si>
    <t>186.29</t>
  </si>
  <si>
    <t>270.91</t>
  </si>
  <si>
    <t>850 332-6407</t>
  </si>
  <si>
    <t>25687994</t>
  </si>
  <si>
    <t>26113115</t>
  </si>
  <si>
    <t>DEMARIO GALLOWAY</t>
  </si>
  <si>
    <t>850 525 4160</t>
  </si>
  <si>
    <t>4818   TRADEWINDS DR</t>
  </si>
  <si>
    <t>D7K4D31006086</t>
  </si>
  <si>
    <t>746809</t>
  </si>
  <si>
    <t>-93.98</t>
  </si>
  <si>
    <t>-74.75</t>
  </si>
  <si>
    <t>239.46</t>
  </si>
  <si>
    <t>157.98</t>
  </si>
  <si>
    <t>850 525-4160</t>
  </si>
  <si>
    <t>25688084</t>
  </si>
  <si>
    <t>71181420</t>
  </si>
  <si>
    <t>CHARLES WILLIAMS</t>
  </si>
  <si>
    <t>850 483 2614</t>
  </si>
  <si>
    <t>8370   CARL DEAN ST</t>
  </si>
  <si>
    <t>3553</t>
  </si>
  <si>
    <t>SABWGLCLB</t>
  </si>
  <si>
    <t>602009</t>
  </si>
  <si>
    <t>-114.59</t>
  </si>
  <si>
    <t>-119.58</t>
  </si>
  <si>
    <t>-117.66</t>
  </si>
  <si>
    <t>191.18</t>
  </si>
  <si>
    <t>93.1</t>
  </si>
  <si>
    <t>93.09</t>
  </si>
  <si>
    <t>850 483-2614</t>
  </si>
  <si>
    <t>25688096</t>
  </si>
  <si>
    <t>72297410</t>
  </si>
  <si>
    <t>LATASHA JAMES</t>
  </si>
  <si>
    <t>850 393 0115</t>
  </si>
  <si>
    <t>10155   GUIDY LN</t>
  </si>
  <si>
    <t>SABPSXDQL</t>
  </si>
  <si>
    <t>386364</t>
  </si>
  <si>
    <t>-133.36</t>
  </si>
  <si>
    <t>-100.19</t>
  </si>
  <si>
    <t>293.26</t>
  </si>
  <si>
    <t>164.76</t>
  </si>
  <si>
    <t>850 393-0115</t>
  </si>
  <si>
    <t>25689009</t>
  </si>
  <si>
    <t>3911216</t>
  </si>
  <si>
    <t>CRYSTAL EVANS</t>
  </si>
  <si>
    <t>07/25/2011</t>
  </si>
  <si>
    <t>850 476 4926</t>
  </si>
  <si>
    <t>8990  N DAVIS HWY</t>
  </si>
  <si>
    <t xml:space="preserve">   135</t>
  </si>
  <si>
    <t>S252472</t>
  </si>
  <si>
    <t>-90.11</t>
  </si>
  <si>
    <t>-174.23</t>
  </si>
  <si>
    <t>850 476-4926</t>
  </si>
  <si>
    <t>25689017</t>
  </si>
  <si>
    <t>4847209</t>
  </si>
  <si>
    <t>GREG PERKINS</t>
  </si>
  <si>
    <t>02/22/2014</t>
  </si>
  <si>
    <t>850 494 2202</t>
  </si>
  <si>
    <t>8700   UNIVERSITY PKWY</t>
  </si>
  <si>
    <t xml:space="preserve">   143</t>
  </si>
  <si>
    <t>512359</t>
  </si>
  <si>
    <t>-108.21</t>
  </si>
  <si>
    <t>212.3</t>
  </si>
  <si>
    <t>88.2</t>
  </si>
  <si>
    <t>850 494-2202</t>
  </si>
  <si>
    <t>25689136</t>
  </si>
  <si>
    <t>34813604</t>
  </si>
  <si>
    <t>SANDRA V DAVIS</t>
  </si>
  <si>
    <t>11/25/1996</t>
  </si>
  <si>
    <t>850 477 1578</t>
  </si>
  <si>
    <t>7721   AMBERIDGE RD</t>
  </si>
  <si>
    <t>R102109</t>
  </si>
  <si>
    <t>-119.10</t>
  </si>
  <si>
    <t>193.2</t>
  </si>
  <si>
    <t>94.1</t>
  </si>
  <si>
    <t>850 477-1578</t>
  </si>
  <si>
    <t>850 479-2293</t>
  </si>
  <si>
    <t>25689138</t>
  </si>
  <si>
    <t>39045002</t>
  </si>
  <si>
    <t>HOWARD LEWIS</t>
  </si>
  <si>
    <t>02/14/2009</t>
  </si>
  <si>
    <t>850 549 3349</t>
  </si>
  <si>
    <t>3017   KING ST</t>
  </si>
  <si>
    <t>[05Y9VH8BC7B8]</t>
  </si>
  <si>
    <t>854845</t>
  </si>
  <si>
    <t>-262.93</t>
  </si>
  <si>
    <t>-280.00</t>
  </si>
  <si>
    <t>-290.00</t>
  </si>
  <si>
    <t>544.39</t>
  </si>
  <si>
    <t>266.9</t>
  </si>
  <si>
    <t>272.5</t>
  </si>
  <si>
    <t>850 549-3349</t>
  </si>
  <si>
    <t>850 887-2848</t>
  </si>
  <si>
    <t>25689149</t>
  </si>
  <si>
    <t>50735019</t>
  </si>
  <si>
    <t>ROBERT WYER</t>
  </si>
  <si>
    <t>850 512 5194</t>
  </si>
  <si>
    <t>4646</t>
  </si>
  <si>
    <t>SABLSBJGJ</t>
  </si>
  <si>
    <t>496249</t>
  </si>
  <si>
    <t>396.07</t>
  </si>
  <si>
    <t>124.43</t>
  </si>
  <si>
    <t>141.74</t>
  </si>
  <si>
    <t>129.9</t>
  </si>
  <si>
    <t>850 512-5194</t>
  </si>
  <si>
    <t>25689164</t>
  </si>
  <si>
    <t>62894128</t>
  </si>
  <si>
    <t>CHARLES MOREHEAD</t>
  </si>
  <si>
    <t>850 687 9819</t>
  </si>
  <si>
    <t xml:space="preserve">   107</t>
  </si>
  <si>
    <t>261793942</t>
  </si>
  <si>
    <t>494098</t>
  </si>
  <si>
    <t>-453.09</t>
  </si>
  <si>
    <t>597.79</t>
  </si>
  <si>
    <t>239.82</t>
  </si>
  <si>
    <t>210.29</t>
  </si>
  <si>
    <t>142.69</t>
  </si>
  <si>
    <t>850 687-9819</t>
  </si>
  <si>
    <t>25689179</t>
  </si>
  <si>
    <t>67174413</t>
  </si>
  <si>
    <t>jason fitzgerald</t>
  </si>
  <si>
    <t>11/20/2014</t>
  </si>
  <si>
    <t>850 485 8712</t>
  </si>
  <si>
    <t>7637   DARTMOOR DR</t>
  </si>
  <si>
    <t>3H213AWR00EEA</t>
  </si>
  <si>
    <t>1067697</t>
  </si>
  <si>
    <t>-119.00</t>
  </si>
  <si>
    <t>-188.06</t>
  </si>
  <si>
    <t>-148.16</t>
  </si>
  <si>
    <t>195.73</t>
  </si>
  <si>
    <t>161.58</t>
  </si>
  <si>
    <t>29.16</t>
  </si>
  <si>
    <t>850 485-8712</t>
  </si>
  <si>
    <t>850 980-1942</t>
  </si>
  <si>
    <t>25689185</t>
  </si>
  <si>
    <t>67751509</t>
  </si>
  <si>
    <t>TIMOTHY DAVIDSON</t>
  </si>
  <si>
    <t>850 898 6251</t>
  </si>
  <si>
    <t>810  W DETROIT BLVD</t>
  </si>
  <si>
    <t>SABNXHHCW</t>
  </si>
  <si>
    <t>533252</t>
  </si>
  <si>
    <t>345133</t>
  </si>
  <si>
    <t>283.59</t>
  </si>
  <si>
    <t>18.39</t>
  </si>
  <si>
    <t>128.45</t>
  </si>
  <si>
    <t>136.75</t>
  </si>
  <si>
    <t>850 898-6251</t>
  </si>
  <si>
    <t>25689217</t>
  </si>
  <si>
    <t>71036516</t>
  </si>
  <si>
    <t>HELEN GROSS</t>
  </si>
  <si>
    <t>850 375 4306</t>
  </si>
  <si>
    <t>406   DEBORAH LN</t>
  </si>
  <si>
    <t>SABQKJXVQ</t>
  </si>
  <si>
    <t>724518</t>
  </si>
  <si>
    <t>-44.13</t>
  </si>
  <si>
    <t>248.48</t>
  </si>
  <si>
    <t>81.4</t>
  </si>
  <si>
    <t>162.09</t>
  </si>
  <si>
    <t>850 375-4306</t>
  </si>
  <si>
    <t>25693424</t>
  </si>
  <si>
    <t>69552813</t>
  </si>
  <si>
    <t>Sarah Binegar</t>
  </si>
  <si>
    <t>970 518 0104</t>
  </si>
  <si>
    <t xml:space="preserve">   79B</t>
  </si>
  <si>
    <t>D7U4D31006430</t>
  </si>
  <si>
    <t>0005797</t>
  </si>
  <si>
    <t>72.98</t>
  </si>
  <si>
    <t>970 518-0104</t>
  </si>
  <si>
    <t>25693425</t>
  </si>
  <si>
    <t>69759420</t>
  </si>
  <si>
    <t>NICOLAS BALDWIN</t>
  </si>
  <si>
    <t>850 225 0293</t>
  </si>
  <si>
    <t>3783  E OLIVE RD</t>
  </si>
  <si>
    <t>D554M13002297</t>
  </si>
  <si>
    <t>743972</t>
  </si>
  <si>
    <t>-428.41</t>
  </si>
  <si>
    <t>-182.57</t>
  </si>
  <si>
    <t>798.77</t>
  </si>
  <si>
    <t>86.49</t>
  </si>
  <si>
    <t>283.87</t>
  </si>
  <si>
    <t>428.41</t>
  </si>
  <si>
    <t>2015-07-29 00:00:00</t>
  </si>
  <si>
    <t>850 225-0293</t>
  </si>
  <si>
    <t>25693432</t>
  </si>
  <si>
    <t>71206107</t>
  </si>
  <si>
    <t>JOSE RAMOS</t>
  </si>
  <si>
    <t>7745   DEBORAH CT</t>
  </si>
  <si>
    <t>[0HYTSSGNX8L0]</t>
  </si>
  <si>
    <t>839722</t>
  </si>
  <si>
    <t>-111.77</t>
  </si>
  <si>
    <t>-123.18</t>
  </si>
  <si>
    <t>170.44</t>
  </si>
  <si>
    <t>103.48</t>
  </si>
  <si>
    <t>850 281-1375</t>
  </si>
  <si>
    <t>25693437</t>
  </si>
  <si>
    <t>71758110</t>
  </si>
  <si>
    <t>RICHARD ELWOOD</t>
  </si>
  <si>
    <t>850 503 1949</t>
  </si>
  <si>
    <t>2710   MIDLAND PARK DR</t>
  </si>
  <si>
    <t>4145</t>
  </si>
  <si>
    <t>SABNVQFXN</t>
  </si>
  <si>
    <t>1025305</t>
  </si>
  <si>
    <t>-97.21</t>
  </si>
  <si>
    <t>238.28</t>
  </si>
  <si>
    <t>125.3</t>
  </si>
  <si>
    <t>850 503-1949</t>
  </si>
  <si>
    <t>25693195</t>
  </si>
  <si>
    <t>1205507</t>
  </si>
  <si>
    <t>DYLAN RILEY</t>
  </si>
  <si>
    <t>09/22/2014</t>
  </si>
  <si>
    <t>1510   RIVERS ST</t>
  </si>
  <si>
    <t>3HW146WN02B35</t>
  </si>
  <si>
    <t>839338</t>
  </si>
  <si>
    <t>-129.10</t>
  </si>
  <si>
    <t>-163.96</t>
  </si>
  <si>
    <t>-112.47</t>
  </si>
  <si>
    <t>251.43</t>
  </si>
  <si>
    <t>112.48</t>
  </si>
  <si>
    <t>133.96</t>
  </si>
  <si>
    <t>239 210-8036</t>
  </si>
  <si>
    <t>25693198</t>
  </si>
  <si>
    <t>1434405</t>
  </si>
  <si>
    <t>JORGE RODRIGUEZ</t>
  </si>
  <si>
    <t>850 602 5854</t>
  </si>
  <si>
    <t>9503   HUMMINGBIRD BLVD</t>
  </si>
  <si>
    <t>3H213BWF01D93</t>
  </si>
  <si>
    <t>406773</t>
  </si>
  <si>
    <t>-60.73</t>
  </si>
  <si>
    <t>130.44</t>
  </si>
  <si>
    <t>60.73</t>
  </si>
  <si>
    <t>850 602-5854</t>
  </si>
  <si>
    <t>25693200</t>
  </si>
  <si>
    <t>1864602</t>
  </si>
  <si>
    <t>EDDIE BOGGAN</t>
  </si>
  <si>
    <t>08/22/2008</t>
  </si>
  <si>
    <t>850 450 0347</t>
  </si>
  <si>
    <t>7583   KERSHAW ST</t>
  </si>
  <si>
    <t>R586543</t>
  </si>
  <si>
    <t>-104.10</t>
  </si>
  <si>
    <t>-109.10</t>
  </si>
  <si>
    <t>-89.11</t>
  </si>
  <si>
    <t>188.21</t>
  </si>
  <si>
    <t>850 450-0347</t>
  </si>
  <si>
    <t>25693221</t>
  </si>
  <si>
    <t>4328813</t>
  </si>
  <si>
    <t>SANDY DUMAS</t>
  </si>
  <si>
    <t>850 572 7918</t>
  </si>
  <si>
    <t>1140   LAKE DR</t>
  </si>
  <si>
    <t>SABGNXQWT</t>
  </si>
  <si>
    <t>781281</t>
  </si>
  <si>
    <t>-3.23</t>
  </si>
  <si>
    <t>397.24</t>
  </si>
  <si>
    <t>186.61</t>
  </si>
  <si>
    <t>204.95</t>
  </si>
  <si>
    <t>.69</t>
  </si>
  <si>
    <t>850 572-7918</t>
  </si>
  <si>
    <t>25693227</t>
  </si>
  <si>
    <t>4757801</t>
  </si>
  <si>
    <t>CHERYL NELSON</t>
  </si>
  <si>
    <t>02/17/2004</t>
  </si>
  <si>
    <t>850 477 2242</t>
  </si>
  <si>
    <t>2707  W ROBERTS RD</t>
  </si>
  <si>
    <t>2745</t>
  </si>
  <si>
    <t>[0HYTSS65CZ31]</t>
  </si>
  <si>
    <t>R111019</t>
  </si>
  <si>
    <t>-93.65</t>
  </si>
  <si>
    <t>-102.78</t>
  </si>
  <si>
    <t>217.12</t>
  </si>
  <si>
    <t>128.27</t>
  </si>
  <si>
    <t>83.86</t>
  </si>
  <si>
    <t>850 477-2242</t>
  </si>
  <si>
    <t>850 458-7520</t>
  </si>
  <si>
    <t>850 393-9318</t>
  </si>
  <si>
    <t>25693305</t>
  </si>
  <si>
    <t>13236005</t>
  </si>
  <si>
    <t>CHRISTY FLEMING</t>
  </si>
  <si>
    <t>02/09/2013</t>
  </si>
  <si>
    <t>850 332 6592</t>
  </si>
  <si>
    <t>10569   WILDERNESS LN</t>
  </si>
  <si>
    <t>0099</t>
  </si>
  <si>
    <t>SABJNZNSZ</t>
  </si>
  <si>
    <t>405114</t>
  </si>
  <si>
    <t>-206.11</t>
  </si>
  <si>
    <t>-202.08</t>
  </si>
  <si>
    <t>427.17</t>
  </si>
  <si>
    <t>206.11</t>
  </si>
  <si>
    <t>178.54</t>
  </si>
  <si>
    <t>850 332-6592</t>
  </si>
  <si>
    <t>25693343</t>
  </si>
  <si>
    <t>23089611</t>
  </si>
  <si>
    <t>Sheneka Robinson</t>
  </si>
  <si>
    <t>850 356 8237</t>
  </si>
  <si>
    <t>6201   CHICAGO AVE</t>
  </si>
  <si>
    <t>267295393</t>
  </si>
  <si>
    <t>1066251</t>
  </si>
  <si>
    <t>251.08</t>
  </si>
  <si>
    <t>15.01</t>
  </si>
  <si>
    <t>165.73</t>
  </si>
  <si>
    <t>70.34</t>
  </si>
  <si>
    <t>850 356-8237</t>
  </si>
  <si>
    <t>25693345</t>
  </si>
  <si>
    <t>24663702</t>
  </si>
  <si>
    <t>MATHEW MARCHLEWSKI</t>
  </si>
  <si>
    <t>05/15/2008</t>
  </si>
  <si>
    <t>850 382 3232</t>
  </si>
  <si>
    <t>7839   WHITMIRE DR</t>
  </si>
  <si>
    <t>[213845263]</t>
  </si>
  <si>
    <t>R142171</t>
  </si>
  <si>
    <t>-77.98</t>
  </si>
  <si>
    <t>-17.00</t>
  </si>
  <si>
    <t>209</t>
  </si>
  <si>
    <t>104.47</t>
  </si>
  <si>
    <t>99.54</t>
  </si>
  <si>
    <t>850 382-3232</t>
  </si>
  <si>
    <t>25693374</t>
  </si>
  <si>
    <t>58398909</t>
  </si>
  <si>
    <t>TAMMY ALFORD</t>
  </si>
  <si>
    <t>850 525 0040</t>
  </si>
  <si>
    <t>410  W HOPE DR</t>
  </si>
  <si>
    <t>260162189</t>
  </si>
  <si>
    <t>1061013</t>
  </si>
  <si>
    <t>-149.51</t>
  </si>
  <si>
    <t>-117.00</t>
  </si>
  <si>
    <t>299.11</t>
  </si>
  <si>
    <t>175.64</t>
  </si>
  <si>
    <t>118.48</t>
  </si>
  <si>
    <t>850 525-0040</t>
  </si>
  <si>
    <t>25693378</t>
  </si>
  <si>
    <t>59972020</t>
  </si>
  <si>
    <t>JOHN FORTULIEN</t>
  </si>
  <si>
    <t>407 690 7169</t>
  </si>
  <si>
    <t xml:space="preserve">   155</t>
  </si>
  <si>
    <t>3755</t>
  </si>
  <si>
    <t>GSH8742</t>
  </si>
  <si>
    <t>SACDQPPNQ</t>
  </si>
  <si>
    <t>1049117</t>
  </si>
  <si>
    <t>245.16</t>
  </si>
  <si>
    <t>99.67</t>
  </si>
  <si>
    <t>140.5</t>
  </si>
  <si>
    <t>407 690-7169</t>
  </si>
  <si>
    <t>25693394</t>
  </si>
  <si>
    <t>66603419</t>
  </si>
  <si>
    <t>JAMES CALLAHAN</t>
  </si>
  <si>
    <t>850 266 8796</t>
  </si>
  <si>
    <t>4925   SIERRA DR</t>
  </si>
  <si>
    <t>4543</t>
  </si>
  <si>
    <t>SABRFQRHC</t>
  </si>
  <si>
    <t>917305</t>
  </si>
  <si>
    <t>533335</t>
  </si>
  <si>
    <t>-227.61</t>
  </si>
  <si>
    <t>-223.31</t>
  </si>
  <si>
    <t>562.37</t>
  </si>
  <si>
    <t>230.82</t>
  </si>
  <si>
    <t>132.87</t>
  </si>
  <si>
    <t>850 266-8796</t>
  </si>
  <si>
    <t>850 450-3787</t>
  </si>
  <si>
    <t>25675695</t>
  </si>
  <si>
    <t>788.02</t>
  </si>
  <si>
    <t>265.85</t>
  </si>
  <si>
    <t>25679124</t>
  </si>
  <si>
    <t>514.12</t>
  </si>
  <si>
    <t>167.79</t>
  </si>
  <si>
    <t>135.15</t>
  </si>
  <si>
    <t>25679178</t>
  </si>
  <si>
    <t>25682457</t>
  </si>
  <si>
    <t>660605</t>
  </si>
  <si>
    <t>SYLVIA GATES</t>
  </si>
  <si>
    <t>08/03/2010</t>
  </si>
  <si>
    <t>850 607 7058</t>
  </si>
  <si>
    <t>2165   CLIFFBROOK AVE</t>
  </si>
  <si>
    <t>[0HYTSRWSY6X4]</t>
  </si>
  <si>
    <t>P679263</t>
  </si>
  <si>
    <t>-164.21</t>
  </si>
  <si>
    <t>-79.55</t>
  </si>
  <si>
    <t>-101.05</t>
  </si>
  <si>
    <t>427.51</t>
  </si>
  <si>
    <t>109.57</t>
  </si>
  <si>
    <t>233.38</t>
  </si>
  <si>
    <t>850 607-7058</t>
  </si>
  <si>
    <t>850 941-8506</t>
  </si>
  <si>
    <t>25682594</t>
  </si>
  <si>
    <t>25687876</t>
  </si>
  <si>
    <t>25687931</t>
  </si>
  <si>
    <t>8663806</t>
  </si>
  <si>
    <t>TABITHA STONE</t>
  </si>
  <si>
    <t>08/18/2014</t>
  </si>
  <si>
    <t>9703   CHANDLER ST</t>
  </si>
  <si>
    <t>267593291</t>
  </si>
  <si>
    <t>864038</t>
  </si>
  <si>
    <t>-124.05</t>
  </si>
  <si>
    <t>-92.57</t>
  </si>
  <si>
    <t>-91.63</t>
  </si>
  <si>
    <t>319.54</t>
  </si>
  <si>
    <t>153.21</t>
  </si>
  <si>
    <t>68.77</t>
  </si>
  <si>
    <t>661 333-3225</t>
  </si>
  <si>
    <t>25687967</t>
  </si>
  <si>
    <t>25688007</t>
  </si>
  <si>
    <t>40667805</t>
  </si>
  <si>
    <t>EVELYN MEADOR</t>
  </si>
  <si>
    <t>01/19/1999</t>
  </si>
  <si>
    <t>850 456 4329</t>
  </si>
  <si>
    <t>4695   POINCIANA DR</t>
  </si>
  <si>
    <t>4644</t>
  </si>
  <si>
    <t>[212800682]</t>
  </si>
  <si>
    <t>743864</t>
  </si>
  <si>
    <t>-78.77</t>
  </si>
  <si>
    <t>-37.74</t>
  </si>
  <si>
    <t>70.48</t>
  </si>
  <si>
    <t>32.74</t>
  </si>
  <si>
    <t>32.75</t>
  </si>
  <si>
    <t>850 456-4329</t>
  </si>
  <si>
    <t>25688031</t>
  </si>
  <si>
    <t>25688048</t>
  </si>
  <si>
    <t>25689132</t>
  </si>
  <si>
    <t>25689139</t>
  </si>
  <si>
    <t>25689173</t>
  </si>
  <si>
    <t>66477002</t>
  </si>
  <si>
    <t>JOE RUSSO</t>
  </si>
  <si>
    <t>08/25/2014</t>
  </si>
  <si>
    <t>850 478 0910</t>
  </si>
  <si>
    <t>2890  E OLIVE RD</t>
  </si>
  <si>
    <t>[408170325295]</t>
  </si>
  <si>
    <t>386363</t>
  </si>
  <si>
    <t>-102.72</t>
  </si>
  <si>
    <t>-46.79</t>
  </si>
  <si>
    <t>102.67</t>
  </si>
  <si>
    <t>50.81</t>
  </si>
  <si>
    <t>46.87</t>
  </si>
  <si>
    <t>850 478-0910</t>
  </si>
  <si>
    <t>25689223</t>
  </si>
  <si>
    <t>25693435</t>
  </si>
  <si>
    <t>71456719</t>
  </si>
  <si>
    <t>LAKESHIA ALLEN</t>
  </si>
  <si>
    <t>05/19/2014</t>
  </si>
  <si>
    <t>850 780 6057</t>
  </si>
  <si>
    <t>1780   BATSON LN</t>
  </si>
  <si>
    <t xml:space="preserve">    33</t>
  </si>
  <si>
    <t>542064</t>
  </si>
  <si>
    <t>-150.42</t>
  </si>
  <si>
    <t>-150.37</t>
  </si>
  <si>
    <t>538.06</t>
  </si>
  <si>
    <t>214.39</t>
  </si>
  <si>
    <t>195.77</t>
  </si>
  <si>
    <t>14.87</t>
  </si>
  <si>
    <t>850 780-6057</t>
  </si>
  <si>
    <t>25693192</t>
  </si>
  <si>
    <t>25693264</t>
  </si>
  <si>
    <t>25693265</t>
  </si>
  <si>
    <t>25693275</t>
  </si>
  <si>
    <t>25693296</t>
  </si>
  <si>
    <t>25693317</t>
  </si>
  <si>
    <t>25693344</t>
  </si>
  <si>
    <t>25675796</t>
  </si>
  <si>
    <t>27351611</t>
  </si>
  <si>
    <t>Tacia Gibbs</t>
  </si>
  <si>
    <t>850 221 8898</t>
  </si>
  <si>
    <t>217   LENOX PKWY</t>
  </si>
  <si>
    <t>SABKJFZWK</t>
  </si>
  <si>
    <t>1081762</t>
  </si>
  <si>
    <t>635773</t>
  </si>
  <si>
    <t>385.63</t>
  </si>
  <si>
    <t>179.19</t>
  </si>
  <si>
    <t>122.72</t>
  </si>
  <si>
    <t>850 221-8898</t>
  </si>
  <si>
    <t>25675797</t>
  </si>
  <si>
    <t>29270607</t>
  </si>
  <si>
    <t>JAVARU HARRISON</t>
  </si>
  <si>
    <t>850 692 4046</t>
  </si>
  <si>
    <t>2205  W YONGE ST</t>
  </si>
  <si>
    <t>E244M13000635</t>
  </si>
  <si>
    <t>2060320</t>
  </si>
  <si>
    <t>-111.96</t>
  </si>
  <si>
    <t>475.95</t>
  </si>
  <si>
    <t>52.63</t>
  </si>
  <si>
    <t>251.65</t>
  </si>
  <si>
    <t>11.68</t>
  </si>
  <si>
    <t>850 692-4046</t>
  </si>
  <si>
    <t>25675799</t>
  </si>
  <si>
    <t>35156911</t>
  </si>
  <si>
    <t>Ronica Butler</t>
  </si>
  <si>
    <t>850 483 7601</t>
  </si>
  <si>
    <t>1401   BELAIR RD</t>
  </si>
  <si>
    <t>SABNQQTJT</t>
  </si>
  <si>
    <t>X402914</t>
  </si>
  <si>
    <t>-181.91</t>
  </si>
  <si>
    <t>555.66</t>
  </si>
  <si>
    <t>174.57</t>
  </si>
  <si>
    <t>191.06</t>
  </si>
  <si>
    <t>190.03</t>
  </si>
  <si>
    <t>850 483-7601</t>
  </si>
  <si>
    <t>25675832</t>
  </si>
  <si>
    <t>66440805</t>
  </si>
  <si>
    <t>RICHARD RAMIREZ</t>
  </si>
  <si>
    <t>850 380 8510</t>
  </si>
  <si>
    <t>716   MONTCLAIR RD</t>
  </si>
  <si>
    <t>SABWNRQMW</t>
  </si>
  <si>
    <t>602949</t>
  </si>
  <si>
    <t>-127.22</t>
  </si>
  <si>
    <t>-109.50</t>
  </si>
  <si>
    <t>136.1</t>
  </si>
  <si>
    <t>58.63</t>
  </si>
  <si>
    <t>72.48</t>
  </si>
  <si>
    <t>850 380-8510</t>
  </si>
  <si>
    <t>25675835</t>
  </si>
  <si>
    <t>66625818</t>
  </si>
  <si>
    <t>SHAUN WATSON</t>
  </si>
  <si>
    <t>850 748 4038</t>
  </si>
  <si>
    <t>2512  W STRONG ST</t>
  </si>
  <si>
    <t>SACBJNMKC</t>
  </si>
  <si>
    <t>712417</t>
  </si>
  <si>
    <t>-335.19</t>
  </si>
  <si>
    <t>-237.07</t>
  </si>
  <si>
    <t>885.15</t>
  </si>
  <si>
    <t>258.52</t>
  </si>
  <si>
    <t>561.64</t>
  </si>
  <si>
    <t>850 748-4038</t>
  </si>
  <si>
    <t>25675681</t>
  </si>
  <si>
    <t>563322</t>
  </si>
  <si>
    <t>qwineriaes finklea</t>
  </si>
  <si>
    <t>850 760 8731</t>
  </si>
  <si>
    <t xml:space="preserve">    55</t>
  </si>
  <si>
    <t>SABNXHFTF</t>
  </si>
  <si>
    <t>389624</t>
  </si>
  <si>
    <t>-68.52</t>
  </si>
  <si>
    <t>-90.89</t>
  </si>
  <si>
    <t>299.73</t>
  </si>
  <si>
    <t>170.94</t>
  </si>
  <si>
    <t>123.8</t>
  </si>
  <si>
    <t>850 760-8731</t>
  </si>
  <si>
    <t>25675693</t>
  </si>
  <si>
    <t>2323114</t>
  </si>
  <si>
    <t>Joesph Kimbrough</t>
  </si>
  <si>
    <t>850 287 2213</t>
  </si>
  <si>
    <t xml:space="preserve">   244</t>
  </si>
  <si>
    <t>SABPBSZLC</t>
  </si>
  <si>
    <t>1060934</t>
  </si>
  <si>
    <t>-165.63</t>
  </si>
  <si>
    <t>-206.25</t>
  </si>
  <si>
    <t>297.23</t>
  </si>
  <si>
    <t>850 287-2213</t>
  </si>
  <si>
    <t>25675694</t>
  </si>
  <si>
    <t>2341105</t>
  </si>
  <si>
    <t>SAMUEL EDWARDS</t>
  </si>
  <si>
    <t>850 469 0714</t>
  </si>
  <si>
    <t>1905  N W ST</t>
  </si>
  <si>
    <t>SABWPKNDL</t>
  </si>
  <si>
    <t>841502</t>
  </si>
  <si>
    <t>-62.22</t>
  </si>
  <si>
    <t>244.23</t>
  </si>
  <si>
    <t>106.6</t>
  </si>
  <si>
    <t>101.61</t>
  </si>
  <si>
    <t>36.02</t>
  </si>
  <si>
    <t>850 469-0714</t>
  </si>
  <si>
    <t>25675749</t>
  </si>
  <si>
    <t>11312605</t>
  </si>
  <si>
    <t>LADELL LEWIS</t>
  </si>
  <si>
    <t>850 450 1948</t>
  </si>
  <si>
    <t>212   ALGIERS ST</t>
  </si>
  <si>
    <t>272210504</t>
  </si>
  <si>
    <t>1061018</t>
  </si>
  <si>
    <t>-106.85</t>
  </si>
  <si>
    <t>-175.33</t>
  </si>
  <si>
    <t>-438.44</t>
  </si>
  <si>
    <t>714.09</t>
  </si>
  <si>
    <t>132.33</t>
  </si>
  <si>
    <t>503.33</t>
  </si>
  <si>
    <t>73.44</t>
  </si>
  <si>
    <t>850 450-1948</t>
  </si>
  <si>
    <t>25675773</t>
  </si>
  <si>
    <t>14672803</t>
  </si>
  <si>
    <t>Davisha Haynes</t>
  </si>
  <si>
    <t>850 586 3498</t>
  </si>
  <si>
    <t>800   FLETCHER DR</t>
  </si>
  <si>
    <t xml:space="preserve">  5207</t>
  </si>
  <si>
    <t>[0HYTSS986LN4]</t>
  </si>
  <si>
    <t>629823</t>
  </si>
  <si>
    <t>-123.99</t>
  </si>
  <si>
    <t>-131.04</t>
  </si>
  <si>
    <t>262.48</t>
  </si>
  <si>
    <t>145.49</t>
  </si>
  <si>
    <t>112</t>
  </si>
  <si>
    <t>850 586-3498</t>
  </si>
  <si>
    <t>25679013</t>
  </si>
  <si>
    <t>2319614</t>
  </si>
  <si>
    <t>TINELE NARCISSE</t>
  </si>
  <si>
    <t>850 341 2379</t>
  </si>
  <si>
    <t xml:space="preserve">   210</t>
  </si>
  <si>
    <t>SABKZCDKH</t>
  </si>
  <si>
    <t>492750</t>
  </si>
  <si>
    <t>495.87</t>
  </si>
  <si>
    <t>74.59</t>
  </si>
  <si>
    <t>169.08</t>
  </si>
  <si>
    <t>166.68</t>
  </si>
  <si>
    <t>160.11</t>
  </si>
  <si>
    <t>850 341-2379</t>
  </si>
  <si>
    <t>25679091</t>
  </si>
  <si>
    <t>14284409</t>
  </si>
  <si>
    <t>ANDREW DAVIS</t>
  </si>
  <si>
    <t>850 208 5713</t>
  </si>
  <si>
    <t>253   AQUAMARINE AVE</t>
  </si>
  <si>
    <t>3HW14BW302C66</t>
  </si>
  <si>
    <t>762969</t>
  </si>
  <si>
    <t>725488</t>
  </si>
  <si>
    <t>185.47</t>
  </si>
  <si>
    <t>66.48</t>
  </si>
  <si>
    <t>57.5</t>
  </si>
  <si>
    <t>850 208-5713</t>
  </si>
  <si>
    <t>25679145</t>
  </si>
  <si>
    <t>66312912</t>
  </si>
  <si>
    <t>ROSANN ROGERS</t>
  </si>
  <si>
    <t>850 516 9501</t>
  </si>
  <si>
    <t>5   KEYS CT</t>
  </si>
  <si>
    <t>[0HYTV0X5GPL9]</t>
  </si>
  <si>
    <t>753366</t>
  </si>
  <si>
    <t>-152.00</t>
  </si>
  <si>
    <t>-79.52</t>
  </si>
  <si>
    <t>-84.00</t>
  </si>
  <si>
    <t>312.83</t>
  </si>
  <si>
    <t>173.29</t>
  </si>
  <si>
    <t>134.55</t>
  </si>
  <si>
    <t>2015-01-23 00:00:00</t>
  </si>
  <si>
    <t>850 516-9501</t>
  </si>
  <si>
    <t>25682677</t>
  </si>
  <si>
    <t>71762704</t>
  </si>
  <si>
    <t>RICHARD SPARROW</t>
  </si>
  <si>
    <t>05/12/2004</t>
  </si>
  <si>
    <t>850 221 5435</t>
  </si>
  <si>
    <t>4529   ELLYSEE WAY</t>
  </si>
  <si>
    <t>PTS1100</t>
  </si>
  <si>
    <t>[9004006490]</t>
  </si>
  <si>
    <t>P798814</t>
  </si>
  <si>
    <t>-306.93</t>
  </si>
  <si>
    <t>-10.43</t>
  </si>
  <si>
    <t>-189.57</t>
  </si>
  <si>
    <t>402.1</t>
  </si>
  <si>
    <t>184.59</t>
  </si>
  <si>
    <t>201.34</t>
  </si>
  <si>
    <t>850 221-5435</t>
  </si>
  <si>
    <t>25682455</t>
  </si>
  <si>
    <t>570013</t>
  </si>
  <si>
    <t>TERRANCE KELLY</t>
  </si>
  <si>
    <t>850 384 8335</t>
  </si>
  <si>
    <t xml:space="preserve">   120</t>
  </si>
  <si>
    <t>SABKMRWNG</t>
  </si>
  <si>
    <t>R016290</t>
  </si>
  <si>
    <t>495.68</t>
  </si>
  <si>
    <t>141.22</t>
  </si>
  <si>
    <t>153.39</t>
  </si>
  <si>
    <t>201.07</t>
  </si>
  <si>
    <t>850 384-8335</t>
  </si>
  <si>
    <t>25682460</t>
  </si>
  <si>
    <t>1185804</t>
  </si>
  <si>
    <t>CARIN SMITH</t>
  </si>
  <si>
    <t>06/11/2012</t>
  </si>
  <si>
    <t>850 316 1058</t>
  </si>
  <si>
    <t>4518   LE MANS WAY</t>
  </si>
  <si>
    <t>SABFRVFBH</t>
  </si>
  <si>
    <t>6247534</t>
  </si>
  <si>
    <t>-262.41</t>
  </si>
  <si>
    <t>-134.62</t>
  </si>
  <si>
    <t>-162.81</t>
  </si>
  <si>
    <t>322.82</t>
  </si>
  <si>
    <t>161.71</t>
  </si>
  <si>
    <t>850 316-1058</t>
  </si>
  <si>
    <t>25682497</t>
  </si>
  <si>
    <t>5934804</t>
  </si>
  <si>
    <t>MAKAYLA WILSON</t>
  </si>
  <si>
    <t>6911   CORNELIUS LN</t>
  </si>
  <si>
    <t>SACFCBHXP</t>
  </si>
  <si>
    <t>R147948</t>
  </si>
  <si>
    <t>-115.51</t>
  </si>
  <si>
    <t>-97.24</t>
  </si>
  <si>
    <t>-184.94</t>
  </si>
  <si>
    <t>244</t>
  </si>
  <si>
    <t>129.51</t>
  </si>
  <si>
    <t>109.5</t>
  </si>
  <si>
    <t>850 419-9795</t>
  </si>
  <si>
    <t>25682506</t>
  </si>
  <si>
    <t>6281006</t>
  </si>
  <si>
    <t>Jose Ortega</t>
  </si>
  <si>
    <t>857 312 9371</t>
  </si>
  <si>
    <t>6844   FIELDS LN</t>
  </si>
  <si>
    <t>4047</t>
  </si>
  <si>
    <t>SABPWRLHP</t>
  </si>
  <si>
    <t>2164345</t>
  </si>
  <si>
    <t>223.51</t>
  </si>
  <si>
    <t>64.83</t>
  </si>
  <si>
    <t>59.84</t>
  </si>
  <si>
    <t>98.84</t>
  </si>
  <si>
    <t>857 312-9371</t>
  </si>
  <si>
    <t>25682507</t>
  </si>
  <si>
    <t>6456507</t>
  </si>
  <si>
    <t>AARRY RUSSELL</t>
  </si>
  <si>
    <t>850 405 5675</t>
  </si>
  <si>
    <t>5524   GLASS DR</t>
  </si>
  <si>
    <t>262300096</t>
  </si>
  <si>
    <t>2069093</t>
  </si>
  <si>
    <t>99.81</t>
  </si>
  <si>
    <t>43.33</t>
  </si>
  <si>
    <t>850 405-5675</t>
  </si>
  <si>
    <t>25682548</t>
  </si>
  <si>
    <t>12504702</t>
  </si>
  <si>
    <t>PATRICIA ALFRED</t>
  </si>
  <si>
    <t>850 607 1310</t>
  </si>
  <si>
    <t>1  S DAKOTA ST</t>
  </si>
  <si>
    <t>629486</t>
  </si>
  <si>
    <t>182.33</t>
  </si>
  <si>
    <t>88.22</t>
  </si>
  <si>
    <t>2015-02-09 00:00:00</t>
  </si>
  <si>
    <t>850 607-1310</t>
  </si>
  <si>
    <t>850 549-3405</t>
  </si>
  <si>
    <t>25682627</t>
  </si>
  <si>
    <t>60954529</t>
  </si>
  <si>
    <t>Kevin L Brown</t>
  </si>
  <si>
    <t>850 382 3133</t>
  </si>
  <si>
    <t xml:space="preserve">  203E</t>
  </si>
  <si>
    <t>SABRNSHKW</t>
  </si>
  <si>
    <t>496730</t>
  </si>
  <si>
    <t>267.37</t>
  </si>
  <si>
    <t>117.07</t>
  </si>
  <si>
    <t>145.31</t>
  </si>
  <si>
    <t>850 382-3133</t>
  </si>
  <si>
    <t>25685735</t>
  </si>
  <si>
    <t>562311</t>
  </si>
  <si>
    <t>MELISSA GRIFFIN</t>
  </si>
  <si>
    <t>850 291 4758</t>
  </si>
  <si>
    <t xml:space="preserve">    45</t>
  </si>
  <si>
    <t>SABNPVXMQ</t>
  </si>
  <si>
    <t>963559</t>
  </si>
  <si>
    <t>R016298</t>
  </si>
  <si>
    <t>-141.01</t>
  </si>
  <si>
    <t>-95.40</t>
  </si>
  <si>
    <t>310.49</t>
  </si>
  <si>
    <t>89.86</t>
  </si>
  <si>
    <t>215.64</t>
  </si>
  <si>
    <t>850 291-4758</t>
  </si>
  <si>
    <t>25685738</t>
  </si>
  <si>
    <t>2192320</t>
  </si>
  <si>
    <t>TYRRANIESH DAVIS</t>
  </si>
  <si>
    <t>313 346 2623</t>
  </si>
  <si>
    <t xml:space="preserve">    80</t>
  </si>
  <si>
    <t>DC54M13007797</t>
  </si>
  <si>
    <t>604926</t>
  </si>
  <si>
    <t>-183.00</t>
  </si>
  <si>
    <t>-179.00</t>
  </si>
  <si>
    <t>435.67</t>
  </si>
  <si>
    <t>214.54</t>
  </si>
  <si>
    <t>216.14</t>
  </si>
  <si>
    <t>313 346-2623</t>
  </si>
  <si>
    <t>25685740</t>
  </si>
  <si>
    <t>2322915</t>
  </si>
  <si>
    <t>Shienha Knight</t>
  </si>
  <si>
    <t xml:space="preserve">   242</t>
  </si>
  <si>
    <t>236562879</t>
  </si>
  <si>
    <t>413819</t>
  </si>
  <si>
    <t>435.99</t>
  </si>
  <si>
    <t>149.24</t>
  </si>
  <si>
    <t>281.76</t>
  </si>
  <si>
    <t>25685807</t>
  </si>
  <si>
    <t>17519501</t>
  </si>
  <si>
    <t>CREOLA HUDGINS</t>
  </si>
  <si>
    <t>850 266 3797</t>
  </si>
  <si>
    <t>3390  W PARK PL</t>
  </si>
  <si>
    <t xml:space="preserve">   422</t>
  </si>
  <si>
    <t>4751</t>
  </si>
  <si>
    <t>249593645</t>
  </si>
  <si>
    <t>841583</t>
  </si>
  <si>
    <t>-256.67</t>
  </si>
  <si>
    <t>810.72</t>
  </si>
  <si>
    <t>192.19</t>
  </si>
  <si>
    <t>188.77</t>
  </si>
  <si>
    <t>394.77</t>
  </si>
  <si>
    <t>850 266-3797</t>
  </si>
  <si>
    <t>25685809</t>
  </si>
  <si>
    <t>18527210</t>
  </si>
  <si>
    <t>EARL SCOTT</t>
  </si>
  <si>
    <t>850 382 8067</t>
  </si>
  <si>
    <t>2415  W AVERY ST</t>
  </si>
  <si>
    <t>736903</t>
  </si>
  <si>
    <t>-74.08</t>
  </si>
  <si>
    <t>172.24</t>
  </si>
  <si>
    <t>83.53</t>
  </si>
  <si>
    <t>850 382-8067</t>
  </si>
  <si>
    <t>25685814</t>
  </si>
  <si>
    <t>25502604</t>
  </si>
  <si>
    <t>WANDA VOYLES</t>
  </si>
  <si>
    <t>850 760 3919</t>
  </si>
  <si>
    <t>904   ONTARIO LN</t>
  </si>
  <si>
    <t>1049538</t>
  </si>
  <si>
    <t>-126.13</t>
  </si>
  <si>
    <t>-101.60</t>
  </si>
  <si>
    <t>292.63</t>
  </si>
  <si>
    <t>143.31</t>
  </si>
  <si>
    <t>144.33</t>
  </si>
  <si>
    <t>2015-06-18 00:00:00</t>
  </si>
  <si>
    <t>850 760-3919</t>
  </si>
  <si>
    <t>25685819</t>
  </si>
  <si>
    <t>29849723</t>
  </si>
  <si>
    <t>HENRY SANDERS</t>
  </si>
  <si>
    <t>850 382 9470</t>
  </si>
  <si>
    <t>928   FREMONT AVE</t>
  </si>
  <si>
    <t>SABWQFSKM</t>
  </si>
  <si>
    <t>413727</t>
  </si>
  <si>
    <t>870106</t>
  </si>
  <si>
    <t>238.96</t>
  </si>
  <si>
    <t>45.81</t>
  </si>
  <si>
    <t>167.37</t>
  </si>
  <si>
    <t>25.78</t>
  </si>
  <si>
    <t>850 382-9470</t>
  </si>
  <si>
    <t>25685855</t>
  </si>
  <si>
    <t>62053410</t>
  </si>
  <si>
    <t>NATHAN BRIDGES</t>
  </si>
  <si>
    <t>850 602 1657</t>
  </si>
  <si>
    <t>6428   WAGNER RD</t>
  </si>
  <si>
    <t>SABRNDVWK</t>
  </si>
  <si>
    <t>2026965</t>
  </si>
  <si>
    <t>-279.41</t>
  </si>
  <si>
    <t>268.41</t>
  </si>
  <si>
    <t>119.51</t>
  </si>
  <si>
    <t>850 602-1657</t>
  </si>
  <si>
    <t>25685879</t>
  </si>
  <si>
    <t>68449603</t>
  </si>
  <si>
    <t>Ebony sMITH</t>
  </si>
  <si>
    <t>02/16/2015</t>
  </si>
  <si>
    <t>3801  W MORENO ST</t>
  </si>
  <si>
    <t>266030692</t>
  </si>
  <si>
    <t>183227</t>
  </si>
  <si>
    <t>-187.61</t>
  </si>
  <si>
    <t>-164.73</t>
  </si>
  <si>
    <t>-168.35</t>
  </si>
  <si>
    <t>576.29</t>
  </si>
  <si>
    <t>179.47</t>
  </si>
  <si>
    <t>366.83</t>
  </si>
  <si>
    <t>850 485-0327</t>
  </si>
  <si>
    <t>25685886</t>
  </si>
  <si>
    <t>69752002</t>
  </si>
  <si>
    <t>OLA M HELTON</t>
  </si>
  <si>
    <t>12/08/2007</t>
  </si>
  <si>
    <t>850 433 7973</t>
  </si>
  <si>
    <t>1260   ALBUQUERQUE CIR</t>
  </si>
  <si>
    <t>[235403655]</t>
  </si>
  <si>
    <t>R005379</t>
  </si>
  <si>
    <t>-106.59</t>
  </si>
  <si>
    <t>-106.64</t>
  </si>
  <si>
    <t>273.41</t>
  </si>
  <si>
    <t>126.8</t>
  </si>
  <si>
    <t>106.61</t>
  </si>
  <si>
    <t>850 433-7973</t>
  </si>
  <si>
    <t>850 549-3449</t>
  </si>
  <si>
    <t>25685900</t>
  </si>
  <si>
    <t>71792715</t>
  </si>
  <si>
    <t>keith E brooks jr</t>
  </si>
  <si>
    <t>850 619 5371</t>
  </si>
  <si>
    <t>1801   BORDER ST</t>
  </si>
  <si>
    <t>0044</t>
  </si>
  <si>
    <t>SABQDGKVR</t>
  </si>
  <si>
    <t>919163</t>
  </si>
  <si>
    <t>210.62</t>
  </si>
  <si>
    <t>65.23</t>
  </si>
  <si>
    <t>850 619-5371</t>
  </si>
  <si>
    <t>25687882</t>
  </si>
  <si>
    <t>1189922</t>
  </si>
  <si>
    <t>lashae lewis</t>
  </si>
  <si>
    <t>745   CITRUS ST</t>
  </si>
  <si>
    <t>SABLXXXWT</t>
  </si>
  <si>
    <t>402315</t>
  </si>
  <si>
    <t>247.21</t>
  </si>
  <si>
    <t>140.61</t>
  </si>
  <si>
    <t>337 419-7559</t>
  </si>
  <si>
    <t>25687964</t>
  </si>
  <si>
    <t>14192306</t>
  </si>
  <si>
    <t>NANATTE DAWSON</t>
  </si>
  <si>
    <t>850 497 3004</t>
  </si>
  <si>
    <t xml:space="preserve">  2101</t>
  </si>
  <si>
    <t>SABWQCGJN</t>
  </si>
  <si>
    <t>2017806</t>
  </si>
  <si>
    <t>-201.58</t>
  </si>
  <si>
    <t>-37.00</t>
  </si>
  <si>
    <t>301.7</t>
  </si>
  <si>
    <t>119.91</t>
  </si>
  <si>
    <t>2014-12-09 00:00:00</t>
  </si>
  <si>
    <t>850 497-3004</t>
  </si>
  <si>
    <t>25687982</t>
  </si>
  <si>
    <t>17516101</t>
  </si>
  <si>
    <t>JOHN L JONES</t>
  </si>
  <si>
    <t>850 696 2478</t>
  </si>
  <si>
    <t xml:space="preserve">   215</t>
  </si>
  <si>
    <t>1068259</t>
  </si>
  <si>
    <t>-138.59</t>
  </si>
  <si>
    <t>323.78</t>
  </si>
  <si>
    <t>179.79</t>
  </si>
  <si>
    <t>139</t>
  </si>
  <si>
    <t>850 696-2478</t>
  </si>
  <si>
    <t>850 288-8213</t>
  </si>
  <si>
    <t>25688016</t>
  </si>
  <si>
    <t>49417908</t>
  </si>
  <si>
    <t>Canitha Floyd</t>
  </si>
  <si>
    <t>833  W MICHIGAN AVE</t>
  </si>
  <si>
    <t>SABTBTBMM</t>
  </si>
  <si>
    <t>709351</t>
  </si>
  <si>
    <t>334.88</t>
  </si>
  <si>
    <t>10.58</t>
  </si>
  <si>
    <t>178.07</t>
  </si>
  <si>
    <t>146.23</t>
  </si>
  <si>
    <t>25688028</t>
  </si>
  <si>
    <t>59156012</t>
  </si>
  <si>
    <t>MICHAEL HARRELSON</t>
  </si>
  <si>
    <t>850 791 1304</t>
  </si>
  <si>
    <t>5601  N W ST</t>
  </si>
  <si>
    <t>262238265</t>
  </si>
  <si>
    <t>900897</t>
  </si>
  <si>
    <t>-95.00</t>
  </si>
  <si>
    <t>-62.63</t>
  </si>
  <si>
    <t>280.72</t>
  </si>
  <si>
    <t>168.12</t>
  </si>
  <si>
    <t>107.61</t>
  </si>
  <si>
    <t>850 791-1304</t>
  </si>
  <si>
    <t>25688043</t>
  </si>
  <si>
    <t>66356809</t>
  </si>
  <si>
    <t>ROSIE LOVELESS</t>
  </si>
  <si>
    <t>12/12/1996</t>
  </si>
  <si>
    <t>850 469 9528</t>
  </si>
  <si>
    <t>4520   LE MANS WAY</t>
  </si>
  <si>
    <t>[235580438]</t>
  </si>
  <si>
    <t>443825</t>
  </si>
  <si>
    <t>-94.00</t>
  </si>
  <si>
    <t>272.25</t>
  </si>
  <si>
    <t>148.09</t>
  </si>
  <si>
    <t>64.17</t>
  </si>
  <si>
    <t>850 469-9528</t>
  </si>
  <si>
    <t>25688057</t>
  </si>
  <si>
    <t>68103215</t>
  </si>
  <si>
    <t>Marcus Prather</t>
  </si>
  <si>
    <t>850 602 8793</t>
  </si>
  <si>
    <t>3920   KELLY AVE</t>
  </si>
  <si>
    <t>SABNBXRDL</t>
  </si>
  <si>
    <t>416496</t>
  </si>
  <si>
    <t>-145.02</t>
  </si>
  <si>
    <t>-16.49</t>
  </si>
  <si>
    <t>347.53</t>
  </si>
  <si>
    <t>153.09</t>
  </si>
  <si>
    <t>49.42</t>
  </si>
  <si>
    <t>145.02</t>
  </si>
  <si>
    <t>850 602-8793</t>
  </si>
  <si>
    <t>757 819-6724</t>
  </si>
  <si>
    <t>25688083</t>
  </si>
  <si>
    <t>71040407</t>
  </si>
  <si>
    <t>bryan burdick</t>
  </si>
  <si>
    <t>850 686 9483</t>
  </si>
  <si>
    <t>226   QUINA WAY</t>
  </si>
  <si>
    <t>DCJ4M13005151</t>
  </si>
  <si>
    <t>771554</t>
  </si>
  <si>
    <t>-162.63</t>
  </si>
  <si>
    <t>-162.62</t>
  </si>
  <si>
    <t>771.04</t>
  </si>
  <si>
    <t>59.03</t>
  </si>
  <si>
    <t>279.66</t>
  </si>
  <si>
    <t>432.35</t>
  </si>
  <si>
    <t>850 686-9483</t>
  </si>
  <si>
    <t>25688984</t>
  </si>
  <si>
    <t>339815</t>
  </si>
  <si>
    <t>Monica Billock</t>
  </si>
  <si>
    <t>09/07/2014</t>
  </si>
  <si>
    <t>850 382 3123</t>
  </si>
  <si>
    <t>47   SANDALWOOD ST</t>
  </si>
  <si>
    <t>SABLVBXHV</t>
  </si>
  <si>
    <t>543603</t>
  </si>
  <si>
    <t>-186.00</t>
  </si>
  <si>
    <t>-146.78</t>
  </si>
  <si>
    <t>-299.49</t>
  </si>
  <si>
    <t>473.89</t>
  </si>
  <si>
    <t>161.21</t>
  </si>
  <si>
    <t>161.61</t>
  </si>
  <si>
    <t>151.07</t>
  </si>
  <si>
    <t>850 382-3123</t>
  </si>
  <si>
    <t>25688994</t>
  </si>
  <si>
    <t>2231406</t>
  </si>
  <si>
    <t>EBONY RUFFIN</t>
  </si>
  <si>
    <t>08/16/2014</t>
  </si>
  <si>
    <t>313 739 5699</t>
  </si>
  <si>
    <t xml:space="preserve">   131</t>
  </si>
  <si>
    <t>SABNXHGWT</t>
  </si>
  <si>
    <t>893348</t>
  </si>
  <si>
    <t>-97.83</t>
  </si>
  <si>
    <t>-101.83</t>
  </si>
  <si>
    <t>95.97</t>
  </si>
  <si>
    <t>45.65</t>
  </si>
  <si>
    <t>45.33</t>
  </si>
  <si>
    <t>313 739-5699</t>
  </si>
  <si>
    <t>25689159</t>
  </si>
  <si>
    <t>58814510</t>
  </si>
  <si>
    <t>MYCHELA ALBRITTON</t>
  </si>
  <si>
    <t>01/28/2014</t>
  </si>
  <si>
    <t>850 433 4803</t>
  </si>
  <si>
    <t>3504  W SCOTT ST</t>
  </si>
  <si>
    <t>260507064</t>
  </si>
  <si>
    <t>444021</t>
  </si>
  <si>
    <t>-248.00</t>
  </si>
  <si>
    <t>-216.00</t>
  </si>
  <si>
    <t>-213.48</t>
  </si>
  <si>
    <t>797.38</t>
  </si>
  <si>
    <t>246.58</t>
  </si>
  <si>
    <t>515.81</t>
  </si>
  <si>
    <t>850 433-4803</t>
  </si>
  <si>
    <t>25689210</t>
  </si>
  <si>
    <t>69263505</t>
  </si>
  <si>
    <t>STARKESHA CARTER</t>
  </si>
  <si>
    <t>850 716 5113</t>
  </si>
  <si>
    <t>211   AQUAMARINE AVE</t>
  </si>
  <si>
    <t>D5W3R44009202</t>
  </si>
  <si>
    <t>2012750</t>
  </si>
  <si>
    <t>-247.97</t>
  </si>
  <si>
    <t>326.2</t>
  </si>
  <si>
    <t>187.44</t>
  </si>
  <si>
    <t>133.77</t>
  </si>
  <si>
    <t>850 716-5113</t>
  </si>
  <si>
    <t>25693409</t>
  </si>
  <si>
    <t>67873410</t>
  </si>
  <si>
    <t>WILLIAM SINKFIELD</t>
  </si>
  <si>
    <t>850 898 4490</t>
  </si>
  <si>
    <t>1600   HOLLYWOOD AVE</t>
  </si>
  <si>
    <t>4948</t>
  </si>
  <si>
    <t>SABSMGPKQ</t>
  </si>
  <si>
    <t>963791</t>
  </si>
  <si>
    <t>-174.00</t>
  </si>
  <si>
    <t>-161.97</t>
  </si>
  <si>
    <t>431.94</t>
  </si>
  <si>
    <t>215.81</t>
  </si>
  <si>
    <t>204.42</t>
  </si>
  <si>
    <t>6.72</t>
  </si>
  <si>
    <t>850 898-4490</t>
  </si>
  <si>
    <t>25693417</t>
  </si>
  <si>
    <t>68811916</t>
  </si>
  <si>
    <t>ANDREW HURD</t>
  </si>
  <si>
    <t>02/11/2014</t>
  </si>
  <si>
    <t>117   PAUL ST</t>
  </si>
  <si>
    <t>SABQKRKLH</t>
  </si>
  <si>
    <t>543636</t>
  </si>
  <si>
    <t>-464.56</t>
  </si>
  <si>
    <t>-275.14</t>
  </si>
  <si>
    <t>604.17</t>
  </si>
  <si>
    <t>83.12</t>
  </si>
  <si>
    <t>464.56</t>
  </si>
  <si>
    <t>850 221-3467</t>
  </si>
  <si>
    <t>25693431</t>
  </si>
  <si>
    <t>71194414</t>
  </si>
  <si>
    <t>DAWN KENNEY</t>
  </si>
  <si>
    <t>850 281 0922</t>
  </si>
  <si>
    <t>2045   HOLLYWOOD AVE</t>
  </si>
  <si>
    <t>SACBSPBBS</t>
  </si>
  <si>
    <t>746062</t>
  </si>
  <si>
    <t>08/07/2015</t>
  </si>
  <si>
    <t>-131.18</t>
  </si>
  <si>
    <t>-125.38</t>
  </si>
  <si>
    <t>241.84</t>
  </si>
  <si>
    <t>158.62</t>
  </si>
  <si>
    <t>78.23</t>
  </si>
  <si>
    <t>850 281-0922</t>
  </si>
  <si>
    <t>850 426-0706</t>
  </si>
  <si>
    <t>25693189</t>
  </si>
  <si>
    <t>670527</t>
  </si>
  <si>
    <t>TAMMY SCHULTHEIS</t>
  </si>
  <si>
    <t>24 1/2  SANDALWOOD ST</t>
  </si>
  <si>
    <t>SABMTRXDJ</t>
  </si>
  <si>
    <t>1067876</t>
  </si>
  <si>
    <t>694.96</t>
  </si>
  <si>
    <t>549.43</t>
  </si>
  <si>
    <t>140.54</t>
  </si>
  <si>
    <t>850 417-6524</t>
  </si>
  <si>
    <t>25693445</t>
  </si>
  <si>
    <t>72695922</t>
  </si>
  <si>
    <t>Nianna Winn</t>
  </si>
  <si>
    <t>3741   FRONTERA CIR</t>
  </si>
  <si>
    <t>970075</t>
  </si>
  <si>
    <t>-154.11</t>
  </si>
  <si>
    <t>149.33</t>
  </si>
  <si>
    <t>55.22</t>
  </si>
  <si>
    <t>850 261-8704</t>
  </si>
  <si>
    <t>25693226</t>
  </si>
  <si>
    <t>4651512</t>
  </si>
  <si>
    <t>SHAYLA JENKINS</t>
  </si>
  <si>
    <t>850 206 7516</t>
  </si>
  <si>
    <t>2535   MASSACHUSETTS AVE</t>
  </si>
  <si>
    <t xml:space="preserve">    B4</t>
  </si>
  <si>
    <t>45U14AW0014F0</t>
  </si>
  <si>
    <t>619580</t>
  </si>
  <si>
    <t>-214.30</t>
  </si>
  <si>
    <t>-112.00</t>
  </si>
  <si>
    <t>375.97</t>
  </si>
  <si>
    <t>162.15</t>
  </si>
  <si>
    <t>850 206-7516</t>
  </si>
  <si>
    <t>25693289</t>
  </si>
  <si>
    <t>10439803</t>
  </si>
  <si>
    <t>MS HAZEL C SEAMANS</t>
  </si>
  <si>
    <t>08/30/2013</t>
  </si>
  <si>
    <t>850 453 5581</t>
  </si>
  <si>
    <t>10   HARMONY AVE</t>
  </si>
  <si>
    <t>[0HYTSSTFRDV7]</t>
  </si>
  <si>
    <t>R141911</t>
  </si>
  <si>
    <t>-24.69</t>
  </si>
  <si>
    <t>58.37</t>
  </si>
  <si>
    <t>28.69</t>
  </si>
  <si>
    <t>24.69</t>
  </si>
  <si>
    <t>850 453-5581</t>
  </si>
  <si>
    <t>850 501-6129</t>
  </si>
  <si>
    <t>25693349</t>
  </si>
  <si>
    <t>29399313</t>
  </si>
  <si>
    <t>TIFFANY CASTLEBERRY</t>
  </si>
  <si>
    <t>4424   ELLYSEE WAY</t>
  </si>
  <si>
    <t>SABPLMNTQ</t>
  </si>
  <si>
    <t>438437</t>
  </si>
  <si>
    <t>229.23</t>
  </si>
  <si>
    <t>123.11</t>
  </si>
  <si>
    <t>76.13</t>
  </si>
  <si>
    <t>885 507-6606</t>
  </si>
  <si>
    <t>25675807</t>
  </si>
  <si>
    <t>25679071</t>
  </si>
  <si>
    <t>-239.98</t>
  </si>
  <si>
    <t>269.59</t>
  </si>
  <si>
    <t>102.59</t>
  </si>
  <si>
    <t>25679143</t>
  </si>
  <si>
    <t>1064.85</t>
  </si>
  <si>
    <t>324.38</t>
  </si>
  <si>
    <t>25682635</t>
  </si>
  <si>
    <t>25682469</t>
  </si>
  <si>
    <t>25682598</t>
  </si>
  <si>
    <t>25685739</t>
  </si>
  <si>
    <t>25688992</t>
  </si>
  <si>
    <t>25689115</t>
  </si>
  <si>
    <t>25689198</t>
  </si>
  <si>
    <t>25693429</t>
  </si>
  <si>
    <t>25693336</t>
  </si>
  <si>
    <t>25693363</t>
  </si>
  <si>
    <t>25682749</t>
  </si>
  <si>
    <t>77323416</t>
  </si>
  <si>
    <t>TIFFANY WILLIAMS</t>
  </si>
  <si>
    <t>12/09/2013</t>
  </si>
  <si>
    <t>850 687 2294</t>
  </si>
  <si>
    <t>152   BAYOU DR</t>
  </si>
  <si>
    <t>SABRNTLBK</t>
  </si>
  <si>
    <t>W263165</t>
  </si>
  <si>
    <t>506.86</t>
  </si>
  <si>
    <t>210.49</t>
  </si>
  <si>
    <t>189.31</t>
  </si>
  <si>
    <t>107.06</t>
  </si>
  <si>
    <t>850 687-2294</t>
  </si>
  <si>
    <t>25685911</t>
  </si>
  <si>
    <t>73308309</t>
  </si>
  <si>
    <t>JOSEPH BRAXTON</t>
  </si>
  <si>
    <t>317 956 6653</t>
  </si>
  <si>
    <t>000000   BLD 90323</t>
  </si>
  <si>
    <t xml:space="preserve">  127</t>
  </si>
  <si>
    <t>45U14BW8038EF</t>
  </si>
  <si>
    <t>400354</t>
  </si>
  <si>
    <t>333.12</t>
  </si>
  <si>
    <t>98.78</t>
  </si>
  <si>
    <t>81.57</t>
  </si>
  <si>
    <t>152.77</t>
  </si>
  <si>
    <t>317 956-6653</t>
  </si>
  <si>
    <t>25685932</t>
  </si>
  <si>
    <t>75151223</t>
  </si>
  <si>
    <t>HALLEE CORBETT</t>
  </si>
  <si>
    <t>850 586 7486</t>
  </si>
  <si>
    <t>399   MARSHALL CT</t>
  </si>
  <si>
    <t>SABQDKXCM</t>
  </si>
  <si>
    <t>S407621</t>
  </si>
  <si>
    <t>-192.47</t>
  </si>
  <si>
    <t>-147.00</t>
  </si>
  <si>
    <t>263.96</t>
  </si>
  <si>
    <t>227.53</t>
  </si>
  <si>
    <t>15.23</t>
  </si>
  <si>
    <t>850 586-7486</t>
  </si>
  <si>
    <t>210 831-0829</t>
  </si>
  <si>
    <t>25689256</t>
  </si>
  <si>
    <t>74778005</t>
  </si>
  <si>
    <t>Mr Lee Summerlin</t>
  </si>
  <si>
    <t>10/21/2013</t>
  </si>
  <si>
    <t>850 797 8283</t>
  </si>
  <si>
    <t>204   CORAL DR</t>
  </si>
  <si>
    <t>236713547</t>
  </si>
  <si>
    <t>670504</t>
  </si>
  <si>
    <t>251.39</t>
  </si>
  <si>
    <t>138.63</t>
  </si>
  <si>
    <t>91.56</t>
  </si>
  <si>
    <t>850 797-8283</t>
  </si>
  <si>
    <t>25693484</t>
  </si>
  <si>
    <t>75256204</t>
  </si>
  <si>
    <t>C EVANS</t>
  </si>
  <si>
    <t>04/12/2008</t>
  </si>
  <si>
    <t>850 862 1747</t>
  </si>
  <si>
    <t>402   APACHE ST</t>
  </si>
  <si>
    <t>[408310314713]</t>
  </si>
  <si>
    <t>456095</t>
  </si>
  <si>
    <t>08/11/2015</t>
  </si>
  <si>
    <t>-171.69</t>
  </si>
  <si>
    <t>-170.76</t>
  </si>
  <si>
    <t>11.36</t>
  </si>
  <si>
    <t>850 862-1747</t>
  </si>
  <si>
    <t>25693539</t>
  </si>
  <si>
    <t>79485129</t>
  </si>
  <si>
    <t>GASTON GEORGE</t>
  </si>
  <si>
    <t>850 760 4197</t>
  </si>
  <si>
    <t>714   NAVY ST</t>
  </si>
  <si>
    <t xml:space="preserve">    30</t>
  </si>
  <si>
    <t>SABSNVMKS</t>
  </si>
  <si>
    <t>447404</t>
  </si>
  <si>
    <t>-38.19</t>
  </si>
  <si>
    <t>79.19</t>
  </si>
  <si>
    <t>57.99</t>
  </si>
  <si>
    <t>850 760-4197</t>
  </si>
  <si>
    <t>25693276</t>
  </si>
  <si>
    <t>9303606</t>
  </si>
  <si>
    <t>LEVON PAGE</t>
  </si>
  <si>
    <t>11/22/2014</t>
  </si>
  <si>
    <t>850 200 7098</t>
  </si>
  <si>
    <t>3   MAGNOLIA AVE</t>
  </si>
  <si>
    <t>SABQBQHNM</t>
  </si>
  <si>
    <t>647824</t>
  </si>
  <si>
    <t>-79.00</t>
  </si>
  <si>
    <t>-149.86</t>
  </si>
  <si>
    <t>231.15</t>
  </si>
  <si>
    <t>209.95</t>
  </si>
  <si>
    <t>850 200-7098</t>
  </si>
  <si>
    <t>25675908</t>
  </si>
  <si>
    <t>75713913</t>
  </si>
  <si>
    <t>CHIUNTIA HENRY</t>
  </si>
  <si>
    <t>850 374 1101</t>
  </si>
  <si>
    <t>210   PELHAM RD</t>
  </si>
  <si>
    <t xml:space="preserve">  206B</t>
  </si>
  <si>
    <t>SABJVXSSN</t>
  </si>
  <si>
    <t>877081</t>
  </si>
  <si>
    <t>-68.25</t>
  </si>
  <si>
    <t>-68.16</t>
  </si>
  <si>
    <t>-131.76</t>
  </si>
  <si>
    <t>203.18</t>
  </si>
  <si>
    <t>101.14</t>
  </si>
  <si>
    <t>97.05</t>
  </si>
  <si>
    <t>850 374-1101</t>
  </si>
  <si>
    <t>25675909</t>
  </si>
  <si>
    <t>75837423</t>
  </si>
  <si>
    <t>Manuel Rodriguez</t>
  </si>
  <si>
    <t>850 797 1935</t>
  </si>
  <si>
    <t>103   JACKSON ST</t>
  </si>
  <si>
    <t>244154515</t>
  </si>
  <si>
    <t>2120491</t>
  </si>
  <si>
    <t>140.42</t>
  </si>
  <si>
    <t>89.04</t>
  </si>
  <si>
    <t>850 797-1935</t>
  </si>
  <si>
    <t>25675914</t>
  </si>
  <si>
    <t>76088514</t>
  </si>
  <si>
    <t>DENNIS PIERSON</t>
  </si>
  <si>
    <t>114   BOB SIKES BLVD</t>
  </si>
  <si>
    <t>SABSCRKMK</t>
  </si>
  <si>
    <t>2164955</t>
  </si>
  <si>
    <t>232.29</t>
  </si>
  <si>
    <t>94.45</t>
  </si>
  <si>
    <t>132.85</t>
  </si>
  <si>
    <t>850 716-6067</t>
  </si>
  <si>
    <t>25675919</t>
  </si>
  <si>
    <t>76588238</t>
  </si>
  <si>
    <t>BRANDON BROOKSHAW</t>
  </si>
  <si>
    <t>117   BEACH DR</t>
  </si>
  <si>
    <t>[SHYTSRX4Y7B0]</t>
  </si>
  <si>
    <t>835352</t>
  </si>
  <si>
    <t>1085372</t>
  </si>
  <si>
    <t>102.93</t>
  </si>
  <si>
    <t>43.97</t>
  </si>
  <si>
    <t>14.99</t>
  </si>
  <si>
    <t>850 419-7888</t>
  </si>
  <si>
    <t>25675755</t>
  </si>
  <si>
    <t>11783103</t>
  </si>
  <si>
    <t>RONALD SASSANO</t>
  </si>
  <si>
    <t>10/30/2009</t>
  </si>
  <si>
    <t>850 424 5618</t>
  </si>
  <si>
    <t>1161   TROON DR</t>
  </si>
  <si>
    <t>[249592282]</t>
  </si>
  <si>
    <t>640263</t>
  </si>
  <si>
    <t>-405.86</t>
  </si>
  <si>
    <t>-220.07</t>
  </si>
  <si>
    <t>1057.91</t>
  </si>
  <si>
    <t>326.04</t>
  </si>
  <si>
    <t>326.01</t>
  </si>
  <si>
    <t>405.86</t>
  </si>
  <si>
    <t>850 424-5618</t>
  </si>
  <si>
    <t>850 259-9313</t>
  </si>
  <si>
    <t>25675766</t>
  </si>
  <si>
    <t>13250507</t>
  </si>
  <si>
    <t>ANA DE LA CRUZ</t>
  </si>
  <si>
    <t>850 428 9544</t>
  </si>
  <si>
    <t>100   CALHOUN AVE</t>
  </si>
  <si>
    <t>DCF4D31003627</t>
  </si>
  <si>
    <t>439138</t>
  </si>
  <si>
    <t>111.18</t>
  </si>
  <si>
    <t>54.8</t>
  </si>
  <si>
    <t>850 428-9544</t>
  </si>
  <si>
    <t>25679188</t>
  </si>
  <si>
    <t>74329914</t>
  </si>
  <si>
    <t>GRACE J MAYO</t>
  </si>
  <si>
    <t>850 368 2418</t>
  </si>
  <si>
    <t>321   LINDA LN</t>
  </si>
  <si>
    <t>249590320</t>
  </si>
  <si>
    <t>2143093</t>
  </si>
  <si>
    <t>71.96</t>
  </si>
  <si>
    <t>27.99</t>
  </si>
  <si>
    <t>850 368-2418</t>
  </si>
  <si>
    <t>25679191</t>
  </si>
  <si>
    <t>74574522</t>
  </si>
  <si>
    <t>JESSICA MEDLEY</t>
  </si>
  <si>
    <t>850 368 6687</t>
  </si>
  <si>
    <t>820   TANAGER RD</t>
  </si>
  <si>
    <t>SABPSWTLM</t>
  </si>
  <si>
    <t>424326</t>
  </si>
  <si>
    <t>197.03</t>
  </si>
  <si>
    <t>75</t>
  </si>
  <si>
    <t>82.12</t>
  </si>
  <si>
    <t>109.92</t>
  </si>
  <si>
    <t>850 368-6687</t>
  </si>
  <si>
    <t>25679192</t>
  </si>
  <si>
    <t>74719830</t>
  </si>
  <si>
    <t>JOSEPH SPEAR</t>
  </si>
  <si>
    <t>850 226 4835</t>
  </si>
  <si>
    <t>785   NAVY ST</t>
  </si>
  <si>
    <t>SABNWXDGZ</t>
  </si>
  <si>
    <t>FG57016</t>
  </si>
  <si>
    <t>-190.15</t>
  </si>
  <si>
    <t>390.52</t>
  </si>
  <si>
    <t>221.33</t>
  </si>
  <si>
    <t>164.2</t>
  </si>
  <si>
    <t>2015-03-11 00:00:00</t>
  </si>
  <si>
    <t>850 226-4835</t>
  </si>
  <si>
    <t>850 461-1770</t>
  </si>
  <si>
    <t>25679201</t>
  </si>
  <si>
    <t>75877930</t>
  </si>
  <si>
    <t>JAMES MCGILL</t>
  </si>
  <si>
    <t>850 225 7025</t>
  </si>
  <si>
    <t>18   WRIGHT PKWY</t>
  </si>
  <si>
    <t>DCD4D31003407</t>
  </si>
  <si>
    <t>785394</t>
  </si>
  <si>
    <t>183.95</t>
  </si>
  <si>
    <t>51.38</t>
  </si>
  <si>
    <t>72.89</t>
  </si>
  <si>
    <t>59.68</t>
  </si>
  <si>
    <t>850 225-7025</t>
  </si>
  <si>
    <t>25679208</t>
  </si>
  <si>
    <t>76938205</t>
  </si>
  <si>
    <t>JAMES KENNEDY</t>
  </si>
  <si>
    <t>850 460 0309</t>
  </si>
  <si>
    <t>414   FLESHMAN DR</t>
  </si>
  <si>
    <t>[244395104]</t>
  </si>
  <si>
    <t>P623697</t>
  </si>
  <si>
    <t>-87.01</t>
  </si>
  <si>
    <t>187.01</t>
  </si>
  <si>
    <t>91.01</t>
  </si>
  <si>
    <t>91</t>
  </si>
  <si>
    <t>850 460-0309</t>
  </si>
  <si>
    <t>25679209</t>
  </si>
  <si>
    <t>77029517</t>
  </si>
  <si>
    <t>gabrielle bieler</t>
  </si>
  <si>
    <t>506   LANDVIEW ST</t>
  </si>
  <si>
    <t>DC54M13005994</t>
  </si>
  <si>
    <t>1020690</t>
  </si>
  <si>
    <t>-116.27</t>
  </si>
  <si>
    <t>-191.76</t>
  </si>
  <si>
    <t>431.55</t>
  </si>
  <si>
    <t>11.67</t>
  </si>
  <si>
    <t>224.07</t>
  </si>
  <si>
    <t>195.81</t>
  </si>
  <si>
    <t>850 855-9246</t>
  </si>
  <si>
    <t>25679212</t>
  </si>
  <si>
    <t>77309118</t>
  </si>
  <si>
    <t>JUSTIN MCLENDON</t>
  </si>
  <si>
    <t>07/11/2014</t>
  </si>
  <si>
    <t>850 865 2191</t>
  </si>
  <si>
    <t>204   4TH ST</t>
  </si>
  <si>
    <t xml:space="preserve">    B3</t>
  </si>
  <si>
    <t>SABSLZJSQ</t>
  </si>
  <si>
    <t>737040</t>
  </si>
  <si>
    <t>-164.00</t>
  </si>
  <si>
    <t>353.13</t>
  </si>
  <si>
    <t>185.17</t>
  </si>
  <si>
    <t>162.97</t>
  </si>
  <si>
    <t>850 865-2191</t>
  </si>
  <si>
    <t>25679036</t>
  </si>
  <si>
    <t>7271609</t>
  </si>
  <si>
    <t>LEILA BROWN</t>
  </si>
  <si>
    <t>850 419 0768</t>
  </si>
  <si>
    <t>219   CYPRESS ST</t>
  </si>
  <si>
    <t>SABNTDSXG</t>
  </si>
  <si>
    <t>502485</t>
  </si>
  <si>
    <t>330.57</t>
  </si>
  <si>
    <t>49.17</t>
  </si>
  <si>
    <t>243.22</t>
  </si>
  <si>
    <t>38.18</t>
  </si>
  <si>
    <t>850 419-0768</t>
  </si>
  <si>
    <t>25682703</t>
  </si>
  <si>
    <t>74207808</t>
  </si>
  <si>
    <t>MARCIE K WILSON</t>
  </si>
  <si>
    <t>850 621 4801</t>
  </si>
  <si>
    <t>710   DOYCE DR</t>
  </si>
  <si>
    <t>[205447027]</t>
  </si>
  <si>
    <t>2067277</t>
  </si>
  <si>
    <t>901076</t>
  </si>
  <si>
    <t>-76.29</t>
  </si>
  <si>
    <t>-174.63</t>
  </si>
  <si>
    <t>-200.82</t>
  </si>
  <si>
    <t>521.58</t>
  </si>
  <si>
    <t>179.63</t>
  </si>
  <si>
    <t>157.34</t>
  </si>
  <si>
    <t>179.62</t>
  </si>
  <si>
    <t>850 621-4801</t>
  </si>
  <si>
    <t>850 936-0800</t>
  </si>
  <si>
    <t>850 830-1817</t>
  </si>
  <si>
    <t>25682704</t>
  </si>
  <si>
    <t>74308717</t>
  </si>
  <si>
    <t>JAMESON LOWE</t>
  </si>
  <si>
    <t>850 855 5070</t>
  </si>
  <si>
    <t>303   HOLLYWOOD BLVD</t>
  </si>
  <si>
    <t>261537177</t>
  </si>
  <si>
    <t>1082712</t>
  </si>
  <si>
    <t>-93.76</t>
  </si>
  <si>
    <t>-67.57</t>
  </si>
  <si>
    <t>180.47</t>
  </si>
  <si>
    <t>94.32</t>
  </si>
  <si>
    <t>81.16</t>
  </si>
  <si>
    <t>850 855-5070</t>
  </si>
  <si>
    <t>25682724</t>
  </si>
  <si>
    <t>75660328</t>
  </si>
  <si>
    <t>ARSENIO LOVELACE</t>
  </si>
  <si>
    <t>850 631 7195</t>
  </si>
  <si>
    <t>24   CAPE DR</t>
  </si>
  <si>
    <t>E244M13000645</t>
  </si>
  <si>
    <t>638220</t>
  </si>
  <si>
    <t>462.6</t>
  </si>
  <si>
    <t>239.75</t>
  </si>
  <si>
    <t>172.37</t>
  </si>
  <si>
    <t>45.49</t>
  </si>
  <si>
    <t>850 631-7195</t>
  </si>
  <si>
    <t>850 376-9254</t>
  </si>
  <si>
    <t>25682733</t>
  </si>
  <si>
    <t>76192928</t>
  </si>
  <si>
    <t>KATHERINE BURKE</t>
  </si>
  <si>
    <t>07/30/2013</t>
  </si>
  <si>
    <t>850 218 6282</t>
  </si>
  <si>
    <t>712   CREEKWOOD RD</t>
  </si>
  <si>
    <t>SABVZJKTN</t>
  </si>
  <si>
    <t>460325</t>
  </si>
  <si>
    <t>-189.25</t>
  </si>
  <si>
    <t>-163.06</t>
  </si>
  <si>
    <t>-159.07</t>
  </si>
  <si>
    <t>398.52</t>
  </si>
  <si>
    <t>184.27</t>
  </si>
  <si>
    <t>209.26</t>
  </si>
  <si>
    <t>850 218-6282</t>
  </si>
  <si>
    <t>25682742</t>
  </si>
  <si>
    <t>76740816</t>
  </si>
  <si>
    <t>KARLA RIVAS</t>
  </si>
  <si>
    <t>850 760 4530</t>
  </si>
  <si>
    <t>709   LLOYD ST</t>
  </si>
  <si>
    <t>SABWQCRJG</t>
  </si>
  <si>
    <t>1020539</t>
  </si>
  <si>
    <t>-94.50</t>
  </si>
  <si>
    <t>-94.49</t>
  </si>
  <si>
    <t>221.84</t>
  </si>
  <si>
    <t>122.08</t>
  </si>
  <si>
    <t>94.77</t>
  </si>
  <si>
    <t>850 760-4530</t>
  </si>
  <si>
    <t>25682747</t>
  </si>
  <si>
    <t>77097519</t>
  </si>
  <si>
    <t>NATHAN HAYES</t>
  </si>
  <si>
    <t>850 543 6976</t>
  </si>
  <si>
    <t>932   MCFARLAN AVE</t>
  </si>
  <si>
    <t>RNC3700</t>
  </si>
  <si>
    <t>[3KX1487301F06]</t>
  </si>
  <si>
    <t>742881</t>
  </si>
  <si>
    <t>-80.22</t>
  </si>
  <si>
    <t>318.27</t>
  </si>
  <si>
    <t>154.44</t>
  </si>
  <si>
    <t>138.84</t>
  </si>
  <si>
    <t>850 543-6976</t>
  </si>
  <si>
    <t>25682748</t>
  </si>
  <si>
    <t>77282907</t>
  </si>
  <si>
    <t>KAREN WILLIS</t>
  </si>
  <si>
    <t>08/12/2013</t>
  </si>
  <si>
    <t>478 442 5953</t>
  </si>
  <si>
    <t>939   TANAGER RD</t>
  </si>
  <si>
    <t>[3H2143WJ01217]</t>
  </si>
  <si>
    <t>416544</t>
  </si>
  <si>
    <t>-134.29</t>
  </si>
  <si>
    <t>-125.79</t>
  </si>
  <si>
    <t>272.22</t>
  </si>
  <si>
    <t>133.62</t>
  </si>
  <si>
    <t>133.61</t>
  </si>
  <si>
    <t>478 442-5953</t>
  </si>
  <si>
    <t>25682779</t>
  </si>
  <si>
    <t>80239908</t>
  </si>
  <si>
    <t>RICHARD HAYES</t>
  </si>
  <si>
    <t>850 499 7909</t>
  </si>
  <si>
    <t>411   WATERWAY LN</t>
  </si>
  <si>
    <t>261266014</t>
  </si>
  <si>
    <t>1019108</t>
  </si>
  <si>
    <t>-220.27</t>
  </si>
  <si>
    <t>-253.26</t>
  </si>
  <si>
    <t>03/03/2014</t>
  </si>
  <si>
    <t>-124.09</t>
  </si>
  <si>
    <t>246.09</t>
  </si>
  <si>
    <t>122.55</t>
  </si>
  <si>
    <t>118.55</t>
  </si>
  <si>
    <t>850 499-7909</t>
  </si>
  <si>
    <t>25682484</t>
  </si>
  <si>
    <t>4179913</t>
  </si>
  <si>
    <t>steffie Gray</t>
  </si>
  <si>
    <t>850 420 8172</t>
  </si>
  <si>
    <t>1855   NORWOOD CT</t>
  </si>
  <si>
    <t>SABMMLCPK</t>
  </si>
  <si>
    <t>440876</t>
  </si>
  <si>
    <t>-296.08</t>
  </si>
  <si>
    <t>-119.91</t>
  </si>
  <si>
    <t>197.82</t>
  </si>
  <si>
    <t>168.04</t>
  </si>
  <si>
    <t>24.79</t>
  </si>
  <si>
    <t>850 420-8172</t>
  </si>
  <si>
    <t>25682485</t>
  </si>
  <si>
    <t>4180215</t>
  </si>
  <si>
    <t>TAWNY ALMORE</t>
  </si>
  <si>
    <t>832 941 8131</t>
  </si>
  <si>
    <t>E124M13003433</t>
  </si>
  <si>
    <t>751757</t>
  </si>
  <si>
    <t>-67.54</t>
  </si>
  <si>
    <t>-546.36</t>
  </si>
  <si>
    <t>329.89</t>
  </si>
  <si>
    <t>272.94</t>
  </si>
  <si>
    <t>51.96</t>
  </si>
  <si>
    <t>832 941-8131</t>
  </si>
  <si>
    <t>25682499</t>
  </si>
  <si>
    <t>6026202</t>
  </si>
  <si>
    <t>George Johnson</t>
  </si>
  <si>
    <t>850 301 0861</t>
  </si>
  <si>
    <t>520   SANTA ROSA BLVD</t>
  </si>
  <si>
    <t xml:space="preserve">   202</t>
  </si>
  <si>
    <t>[3KX1487J02DB1]</t>
  </si>
  <si>
    <t>430627</t>
  </si>
  <si>
    <t>-54.90</t>
  </si>
  <si>
    <t>04/05/2015</t>
  </si>
  <si>
    <t>-113.20</t>
  </si>
  <si>
    <t>76.7</t>
  </si>
  <si>
    <t>21.34</t>
  </si>
  <si>
    <t>16.35</t>
  </si>
  <si>
    <t>39.01</t>
  </si>
  <si>
    <t>850 301-0861</t>
  </si>
  <si>
    <t>25685767</t>
  </si>
  <si>
    <t>8568201</t>
  </si>
  <si>
    <t>MR MARCUS JANDRAN</t>
  </si>
  <si>
    <t>09/19/2003</t>
  </si>
  <si>
    <t>850 259 3750</t>
  </si>
  <si>
    <t>212   CASPER DR</t>
  </si>
  <si>
    <t>[244296598]</t>
  </si>
  <si>
    <t>637066</t>
  </si>
  <si>
    <t>-133.17</t>
  </si>
  <si>
    <t>-81.98</t>
  </si>
  <si>
    <t>-104.18</t>
  </si>
  <si>
    <t>230.35</t>
  </si>
  <si>
    <t>143.38</t>
  </si>
  <si>
    <t>2010-12-15 00:00:00</t>
  </si>
  <si>
    <t>850 259-3750</t>
  </si>
  <si>
    <t>850 621-7362</t>
  </si>
  <si>
    <t>25685778</t>
  </si>
  <si>
    <t>10850109</t>
  </si>
  <si>
    <t>REBECCA MIRANDA</t>
  </si>
  <si>
    <t>12/16/2014</t>
  </si>
  <si>
    <t>561 506 1244</t>
  </si>
  <si>
    <t xml:space="preserve">   365</t>
  </si>
  <si>
    <t>D7U4D31005271</t>
  </si>
  <si>
    <t>637897</t>
  </si>
  <si>
    <t>-177.04</t>
  </si>
  <si>
    <t>260.17</t>
  </si>
  <si>
    <t>76.39</t>
  </si>
  <si>
    <t>148.79</t>
  </si>
  <si>
    <t>561 506-1244</t>
  </si>
  <si>
    <t>25685929</t>
  </si>
  <si>
    <t>74852609</t>
  </si>
  <si>
    <t>ROBERT WEBB</t>
  </si>
  <si>
    <t>09/19/2011</t>
  </si>
  <si>
    <t>850 517 6388</t>
  </si>
  <si>
    <t>3808   MISTY WAY</t>
  </si>
  <si>
    <t>[08GG4FFP4JH8]</t>
  </si>
  <si>
    <t>892100</t>
  </si>
  <si>
    <t>-90.75</t>
  </si>
  <si>
    <t>-259.49</t>
  </si>
  <si>
    <t>421.1</t>
  </si>
  <si>
    <t>327.25</t>
  </si>
  <si>
    <t>88.86</t>
  </si>
  <si>
    <t>2013-05-10 00:00:00</t>
  </si>
  <si>
    <t>850 517-6388</t>
  </si>
  <si>
    <t>25685942</t>
  </si>
  <si>
    <t>76866106</t>
  </si>
  <si>
    <t>ALAN GIBSON</t>
  </si>
  <si>
    <t>850 803 5501</t>
  </si>
  <si>
    <t>2829   SCENIC GULF DR</t>
  </si>
  <si>
    <t>3HW147WT076CB</t>
  </si>
  <si>
    <t>T696624</t>
  </si>
  <si>
    <t>88.46</t>
  </si>
  <si>
    <t>53.58</t>
  </si>
  <si>
    <t>29.89</t>
  </si>
  <si>
    <t>850 803-5501</t>
  </si>
  <si>
    <t>25685948</t>
  </si>
  <si>
    <t>77319313</t>
  </si>
  <si>
    <t>RICARDO DREUMONT JR</t>
  </si>
  <si>
    <t>850 974 0769</t>
  </si>
  <si>
    <t>804   DEE ST</t>
  </si>
  <si>
    <t>SABQFMMVZ</t>
  </si>
  <si>
    <t>863163</t>
  </si>
  <si>
    <t>-121.85</t>
  </si>
  <si>
    <t>-117.86</t>
  </si>
  <si>
    <t>266.11</t>
  </si>
  <si>
    <t>143.04</t>
  </si>
  <si>
    <t>93.08</t>
  </si>
  <si>
    <t>850 974-0769</t>
  </si>
  <si>
    <t>25685966</t>
  </si>
  <si>
    <t>80082018</t>
  </si>
  <si>
    <t>Kyndric Wilson</t>
  </si>
  <si>
    <t>850 530 6465</t>
  </si>
  <si>
    <t>949   CENTRAL AVE</t>
  </si>
  <si>
    <t xml:space="preserve">     6</t>
  </si>
  <si>
    <t>SABKWBXBN</t>
  </si>
  <si>
    <t>458721</t>
  </si>
  <si>
    <t>-51.00</t>
  </si>
  <si>
    <t>252.55</t>
  </si>
  <si>
    <t>199.95</t>
  </si>
  <si>
    <t>47.61</t>
  </si>
  <si>
    <t>850 530-6465</t>
  </si>
  <si>
    <t>25687937</t>
  </si>
  <si>
    <t>9007606</t>
  </si>
  <si>
    <t>KEVIN ANDERSON</t>
  </si>
  <si>
    <t>04/01/2014</t>
  </si>
  <si>
    <t>850 863 9123</t>
  </si>
  <si>
    <t>1853   HUNT CLUB ST</t>
  </si>
  <si>
    <t>265905099</t>
  </si>
  <si>
    <t>445525</t>
  </si>
  <si>
    <t>-152.93</t>
  </si>
  <si>
    <t>-175.67</t>
  </si>
  <si>
    <t>-212.35</t>
  </si>
  <si>
    <t>355.81</t>
  </si>
  <si>
    <t>176.72</t>
  </si>
  <si>
    <t>174.1</t>
  </si>
  <si>
    <t>850 863-9123</t>
  </si>
  <si>
    <t>850 217-2960</t>
  </si>
  <si>
    <t>25687968</t>
  </si>
  <si>
    <t>14844106</t>
  </si>
  <si>
    <t>CHRIS FLOWERS</t>
  </si>
  <si>
    <t>07/20/2013</t>
  </si>
  <si>
    <t>334 447 8801</t>
  </si>
  <si>
    <t>4141   COMMONS DR</t>
  </si>
  <si>
    <t xml:space="preserve">  4401</t>
  </si>
  <si>
    <t>[0HYTSXG27HS2]</t>
  </si>
  <si>
    <t>428156</t>
  </si>
  <si>
    <t>-182.46</t>
  </si>
  <si>
    <t>-177.31</t>
  </si>
  <si>
    <t>334.74</t>
  </si>
  <si>
    <t>172.32</t>
  </si>
  <si>
    <t>157.43</t>
  </si>
  <si>
    <t>334 447-8801</t>
  </si>
  <si>
    <t>25688107</t>
  </si>
  <si>
    <t>74435915</t>
  </si>
  <si>
    <t>CHRISTINE BEDELL</t>
  </si>
  <si>
    <t>850 420 3341</t>
  </si>
  <si>
    <t>955   AIRPORT RD</t>
  </si>
  <si>
    <t xml:space="preserve">   613</t>
  </si>
  <si>
    <t>CSA908</t>
  </si>
  <si>
    <t>PKCRHJKBJ</t>
  </si>
  <si>
    <t>686021</t>
  </si>
  <si>
    <t>252.22</t>
  </si>
  <si>
    <t>127.94</t>
  </si>
  <si>
    <t>119.29</t>
  </si>
  <si>
    <t>850 420-3341</t>
  </si>
  <si>
    <t>25688123</t>
  </si>
  <si>
    <t>75565536</t>
  </si>
  <si>
    <t>HECTOR BARRIENTOS</t>
  </si>
  <si>
    <t>06/18/2014</t>
  </si>
  <si>
    <t>850 226 4482</t>
  </si>
  <si>
    <t>312   MONAHAN DR</t>
  </si>
  <si>
    <t>[QBAJ1D5000261]</t>
  </si>
  <si>
    <t>771532</t>
  </si>
  <si>
    <t>-179.22</t>
  </si>
  <si>
    <t>447.8</t>
  </si>
  <si>
    <t>209.21</t>
  </si>
  <si>
    <t>208.6</t>
  </si>
  <si>
    <t>850 226-4482</t>
  </si>
  <si>
    <t>850 217-5848</t>
  </si>
  <si>
    <t>25688130</t>
  </si>
  <si>
    <t>75854413</t>
  </si>
  <si>
    <t>ELIZABETH ZBIKOWSKI</t>
  </si>
  <si>
    <t>850 362 7515</t>
  </si>
  <si>
    <t>112   MAGNOLIA AVE</t>
  </si>
  <si>
    <t>[QBAJ1B3001683]</t>
  </si>
  <si>
    <t>466866</t>
  </si>
  <si>
    <t>-70.62</t>
  </si>
  <si>
    <t>-87.68</t>
  </si>
  <si>
    <t>-64.60</t>
  </si>
  <si>
    <t>598.05</t>
  </si>
  <si>
    <t>427.78</t>
  </si>
  <si>
    <t>165.28</t>
  </si>
  <si>
    <t>850 362-7515</t>
  </si>
  <si>
    <t>850 217-1679</t>
  </si>
  <si>
    <t>25688138</t>
  </si>
  <si>
    <t>76299020</t>
  </si>
  <si>
    <t>Bobby Beatty</t>
  </si>
  <si>
    <t>850 686 5492</t>
  </si>
  <si>
    <t>1001   BLVD DE LA PARISIENNE</t>
  </si>
  <si>
    <t>D6R3R44003221</t>
  </si>
  <si>
    <t>420340</t>
  </si>
  <si>
    <t>-67.40</t>
  </si>
  <si>
    <t>-131.00</t>
  </si>
  <si>
    <t>173.96</t>
  </si>
  <si>
    <t>97.58</t>
  </si>
  <si>
    <t>71.39</t>
  </si>
  <si>
    <t>850 686-5492</t>
  </si>
  <si>
    <t>25688140</t>
  </si>
  <si>
    <t>76364926</t>
  </si>
  <si>
    <t>EDWARD ROMERO</t>
  </si>
  <si>
    <t>803 347 1593</t>
  </si>
  <si>
    <t xml:space="preserve">   257</t>
  </si>
  <si>
    <t>SACBDJKWH</t>
  </si>
  <si>
    <t>411444</t>
  </si>
  <si>
    <t>-71.39</t>
  </si>
  <si>
    <t>329.34</t>
  </si>
  <si>
    <t>151.25</t>
  </si>
  <si>
    <t>173.1</t>
  </si>
  <si>
    <t>803 347-1593</t>
  </si>
  <si>
    <t>25688142</t>
  </si>
  <si>
    <t>76510821</t>
  </si>
  <si>
    <t>BEVERLY FORRESTER</t>
  </si>
  <si>
    <t>850 612 1482</t>
  </si>
  <si>
    <t>108   MONAHAN DR</t>
  </si>
  <si>
    <t>531090</t>
  </si>
  <si>
    <t>167.61</t>
  </si>
  <si>
    <t>83.31</t>
  </si>
  <si>
    <t>79.31</t>
  </si>
  <si>
    <t>850 612-1482</t>
  </si>
  <si>
    <t>25688147</t>
  </si>
  <si>
    <t>76741207</t>
  </si>
  <si>
    <t>KERMIT HALL</t>
  </si>
  <si>
    <t>01/18/2011</t>
  </si>
  <si>
    <t>850 226 7994</t>
  </si>
  <si>
    <t>244   LAKESIDE LN</t>
  </si>
  <si>
    <t>241438626</t>
  </si>
  <si>
    <t>821569</t>
  </si>
  <si>
    <t>-126.38</t>
  </si>
  <si>
    <t>168.15</t>
  </si>
  <si>
    <t>132.51</t>
  </si>
  <si>
    <t>30.65</t>
  </si>
  <si>
    <t>850 226-7994</t>
  </si>
  <si>
    <t>850 218-6854</t>
  </si>
  <si>
    <t>850 218-5661</t>
  </si>
  <si>
    <t>25688151</t>
  </si>
  <si>
    <t>76979607</t>
  </si>
  <si>
    <t>JESSICA KLEINE</t>
  </si>
  <si>
    <t>614 313 3174</t>
  </si>
  <si>
    <t>315   WOODLAND AVE</t>
  </si>
  <si>
    <t>3HW138UL021FF</t>
  </si>
  <si>
    <t>2307856</t>
  </si>
  <si>
    <t>150.13</t>
  </si>
  <si>
    <t>83.75</t>
  </si>
  <si>
    <t>614 313-3174</t>
  </si>
  <si>
    <t>25688154</t>
  </si>
  <si>
    <t>77225218</t>
  </si>
  <si>
    <t>JOSE VALVERDE</t>
  </si>
  <si>
    <t>850 341 2209</t>
  </si>
  <si>
    <t>318   NEWCASTLE DR</t>
  </si>
  <si>
    <t>SABPNDKWC</t>
  </si>
  <si>
    <t>869349</t>
  </si>
  <si>
    <t>487853</t>
  </si>
  <si>
    <t>-478.42</t>
  </si>
  <si>
    <t>-169.24</t>
  </si>
  <si>
    <t>-160.35</t>
  </si>
  <si>
    <t>689.45</t>
  </si>
  <si>
    <t>211.03</t>
  </si>
  <si>
    <t>478.42</t>
  </si>
  <si>
    <t>850 341-2209</t>
  </si>
  <si>
    <t>25688174</t>
  </si>
  <si>
    <t>78980811</t>
  </si>
  <si>
    <t>MARY V ETHERIDGE</t>
  </si>
  <si>
    <t>850 585 1380</t>
  </si>
  <si>
    <t>97   CROSS CREEK RD</t>
  </si>
  <si>
    <t xml:space="preserve">   C28</t>
  </si>
  <si>
    <t>SABNSXSKG</t>
  </si>
  <si>
    <t>416331</t>
  </si>
  <si>
    <t>-130.67</t>
  </si>
  <si>
    <t>253.07</t>
  </si>
  <si>
    <t>137.87</t>
  </si>
  <si>
    <t>110.21</t>
  </si>
  <si>
    <t>850 585-1380</t>
  </si>
  <si>
    <t>25688177</t>
  </si>
  <si>
    <t>79832208</t>
  </si>
  <si>
    <t>CHRISTINA DUS</t>
  </si>
  <si>
    <t>05/20/2014</t>
  </si>
  <si>
    <t>850 899 0661</t>
  </si>
  <si>
    <t>3022   YORKTOWN CIR</t>
  </si>
  <si>
    <t>261084377</t>
  </si>
  <si>
    <t>426629</t>
  </si>
  <si>
    <t>-66.51</t>
  </si>
  <si>
    <t>183.17</t>
  </si>
  <si>
    <t>92.18</t>
  </si>
  <si>
    <t>850 899-0661</t>
  </si>
  <si>
    <t>25689011</t>
  </si>
  <si>
    <t>4054511</t>
  </si>
  <si>
    <t>CHRISTINA MAZZONE</t>
  </si>
  <si>
    <t>850 496 5114</t>
  </si>
  <si>
    <t>352   BILLFISH AVE</t>
  </si>
  <si>
    <t>SACBMDHCL</t>
  </si>
  <si>
    <t>424178</t>
  </si>
  <si>
    <t>525702</t>
  </si>
  <si>
    <t>-203.34</t>
  </si>
  <si>
    <t>-235.55</t>
  </si>
  <si>
    <t>-69.35</t>
  </si>
  <si>
    <t>393.87</t>
  </si>
  <si>
    <t>152.34</t>
  </si>
  <si>
    <t>38.19</t>
  </si>
  <si>
    <t>203.34</t>
  </si>
  <si>
    <t>850 496-5114</t>
  </si>
  <si>
    <t>25689050</t>
  </si>
  <si>
    <t>10101804</t>
  </si>
  <si>
    <t>CHRISTOPHE LOMAX</t>
  </si>
  <si>
    <t>03/22/2014</t>
  </si>
  <si>
    <t>410 980 8877</t>
  </si>
  <si>
    <t>000000   BLD 91053</t>
  </si>
  <si>
    <t xml:space="preserve"> 301B</t>
  </si>
  <si>
    <t>SABRXBMMM</t>
  </si>
  <si>
    <t>805400</t>
  </si>
  <si>
    <t>-120.26</t>
  </si>
  <si>
    <t>-222.18</t>
  </si>
  <si>
    <t>-92.94</t>
  </si>
  <si>
    <t>407.75</t>
  </si>
  <si>
    <t>154.26</t>
  </si>
  <si>
    <t>124.25</t>
  </si>
  <si>
    <t>2015-07-12 00:00:00</t>
  </si>
  <si>
    <t>410 980-8877</t>
  </si>
  <si>
    <t>25689065</t>
  </si>
  <si>
    <t>12578806</t>
  </si>
  <si>
    <t>RICHARD J ANDERSON</t>
  </si>
  <si>
    <t>1576   VENICE AVE</t>
  </si>
  <si>
    <t>[262023642]</t>
  </si>
  <si>
    <t>426568</t>
  </si>
  <si>
    <t>308.31</t>
  </si>
  <si>
    <t>35</t>
  </si>
  <si>
    <t>249.8</t>
  </si>
  <si>
    <t>41.83</t>
  </si>
  <si>
    <t>850 218-7031</t>
  </si>
  <si>
    <t>25689258</t>
  </si>
  <si>
    <t>74966604</t>
  </si>
  <si>
    <t>DOUGLAS FILIPOV</t>
  </si>
  <si>
    <t>05/21/2009</t>
  </si>
  <si>
    <t>850 460 2775</t>
  </si>
  <si>
    <t>265   OPEN GULF ST</t>
  </si>
  <si>
    <t>[220694274]</t>
  </si>
  <si>
    <t>2336265</t>
  </si>
  <si>
    <t>-401.64</t>
  </si>
  <si>
    <t>-376.56</t>
  </si>
  <si>
    <t>-383.98</t>
  </si>
  <si>
    <t>246.71</t>
  </si>
  <si>
    <t>206.95</t>
  </si>
  <si>
    <t>34.77</t>
  </si>
  <si>
    <t>850 460-2775</t>
  </si>
  <si>
    <t>217 480-6670</t>
  </si>
  <si>
    <t>25689259</t>
  </si>
  <si>
    <t>74979332</t>
  </si>
  <si>
    <t>JASMINE GONZALEZ</t>
  </si>
  <si>
    <t>850 543 6511</t>
  </si>
  <si>
    <t>441   RACETRACK RD</t>
  </si>
  <si>
    <t>[206453410003J0041]</t>
  </si>
  <si>
    <t>647856</t>
  </si>
  <si>
    <t>-41.00</t>
  </si>
  <si>
    <t>-9.81</t>
  </si>
  <si>
    <t>151.37</t>
  </si>
  <si>
    <t>75.18</t>
  </si>
  <si>
    <t>71.2</t>
  </si>
  <si>
    <t>850 543-6511</t>
  </si>
  <si>
    <t>CASH PYMT</t>
  </si>
  <si>
    <t>25689261</t>
  </si>
  <si>
    <t>75255326</t>
  </si>
  <si>
    <t>MARTY C HURST</t>
  </si>
  <si>
    <t>850 691 9233</t>
  </si>
  <si>
    <t>832   OAKRIDGE RD</t>
  </si>
  <si>
    <t>CAN4A21000842</t>
  </si>
  <si>
    <t>877142</t>
  </si>
  <si>
    <t>136.18</t>
  </si>
  <si>
    <t>66.39</t>
  </si>
  <si>
    <t>850 691-9233</t>
  </si>
  <si>
    <t>25689265</t>
  </si>
  <si>
    <t>75616709</t>
  </si>
  <si>
    <t>HARRY H STECK</t>
  </si>
  <si>
    <t>10/21/2010</t>
  </si>
  <si>
    <t>817 715 3597</t>
  </si>
  <si>
    <t>304   SIKES CIR</t>
  </si>
  <si>
    <t>[0HYTSSGK2475]</t>
  </si>
  <si>
    <t>447163</t>
  </si>
  <si>
    <t>-92.18</t>
  </si>
  <si>
    <t>-68.98</t>
  </si>
  <si>
    <t>184.88</t>
  </si>
  <si>
    <t>87.71</t>
  </si>
  <si>
    <t>817 715-3597</t>
  </si>
  <si>
    <t>850 862-2003</t>
  </si>
  <si>
    <t>25689269</t>
  </si>
  <si>
    <t>75898102</t>
  </si>
  <si>
    <t>SAM TUCKER</t>
  </si>
  <si>
    <t>850 586 7847</t>
  </si>
  <si>
    <t>920   CENTRAL AVE</t>
  </si>
  <si>
    <t>[0HYTSSVNCY47]</t>
  </si>
  <si>
    <t>1217871</t>
  </si>
  <si>
    <t>7D02204</t>
  </si>
  <si>
    <t>-136.68</t>
  </si>
  <si>
    <t>-46.00</t>
  </si>
  <si>
    <t>-367.92</t>
  </si>
  <si>
    <t>188.57</t>
  </si>
  <si>
    <t>94.79</t>
  </si>
  <si>
    <t>850 586-7847</t>
  </si>
  <si>
    <t>850 685-2696</t>
  </si>
  <si>
    <t>25689272</t>
  </si>
  <si>
    <t>76413009</t>
  </si>
  <si>
    <t>BRIAN A SERVEN</t>
  </si>
  <si>
    <t>02/27/2013</t>
  </si>
  <si>
    <t>850 974 4034</t>
  </si>
  <si>
    <t>317   WOODLAND AVE</t>
  </si>
  <si>
    <t>SABHXRLFH</t>
  </si>
  <si>
    <t>2307857</t>
  </si>
  <si>
    <t>08/09/2015</t>
  </si>
  <si>
    <t>-362.45</t>
  </si>
  <si>
    <t>-217.53</t>
  </si>
  <si>
    <t>421.98</t>
  </si>
  <si>
    <t>233.73</t>
  </si>
  <si>
    <t>20.81</t>
  </si>
  <si>
    <t>162.45</t>
  </si>
  <si>
    <t>850 974-4034</t>
  </si>
  <si>
    <t>25689277</t>
  </si>
  <si>
    <t>77219003</t>
  </si>
  <si>
    <t>THOMAS POWELL</t>
  </si>
  <si>
    <t>07/11/2007</t>
  </si>
  <si>
    <t>337 984 7964</t>
  </si>
  <si>
    <t>1008   HIGHWAY 98</t>
  </si>
  <si>
    <t xml:space="preserve">   122</t>
  </si>
  <si>
    <t>[220345371]</t>
  </si>
  <si>
    <t>S538877</t>
  </si>
  <si>
    <t>-48.99</t>
  </si>
  <si>
    <t>106.96</t>
  </si>
  <si>
    <t>52.98</t>
  </si>
  <si>
    <t>48.99</t>
  </si>
  <si>
    <t>337 984-7964</t>
  </si>
  <si>
    <t>25689282</t>
  </si>
  <si>
    <t>77683614</t>
  </si>
  <si>
    <t>ALEJANDRA LOZANO</t>
  </si>
  <si>
    <t>850 376 9307</t>
  </si>
  <si>
    <t>413   ODIN LN</t>
  </si>
  <si>
    <t>260924637</t>
  </si>
  <si>
    <t>640523</t>
  </si>
  <si>
    <t>-56.56</t>
  </si>
  <si>
    <t>-95.11</t>
  </si>
  <si>
    <t>157.93</t>
  </si>
  <si>
    <t>82.59</t>
  </si>
  <si>
    <t>70.35</t>
  </si>
  <si>
    <t>850 376-9307</t>
  </si>
  <si>
    <t>25689330</t>
  </si>
  <si>
    <t>80983616</t>
  </si>
  <si>
    <t>Alex Shuster</t>
  </si>
  <si>
    <t>228 369 6242</t>
  </si>
  <si>
    <t xml:space="preserve">  1306</t>
  </si>
  <si>
    <t>260873462</t>
  </si>
  <si>
    <t>400376</t>
  </si>
  <si>
    <t>-123.70</t>
  </si>
  <si>
    <t>-92.38</t>
  </si>
  <si>
    <t>133.16</t>
  </si>
  <si>
    <t>64.57</t>
  </si>
  <si>
    <t>63.6</t>
  </si>
  <si>
    <t>228 369-6242</t>
  </si>
  <si>
    <t>25693463</t>
  </si>
  <si>
    <t>74235011</t>
  </si>
  <si>
    <t>CHANDRA J DEROUEN</t>
  </si>
  <si>
    <t>11/18/2013</t>
  </si>
  <si>
    <t>850 226 6201</t>
  </si>
  <si>
    <t>1508   PONDEROSA RD</t>
  </si>
  <si>
    <t>241565030</t>
  </si>
  <si>
    <t>427827</t>
  </si>
  <si>
    <t>-388.14</t>
  </si>
  <si>
    <t>-173.14</t>
  </si>
  <si>
    <t>-146.91</t>
  </si>
  <si>
    <t>682.32</t>
  </si>
  <si>
    <t>253.79</t>
  </si>
  <si>
    <t>40.39</t>
  </si>
  <si>
    <t>388.14</t>
  </si>
  <si>
    <t>850 226-6201</t>
  </si>
  <si>
    <t>25693466</t>
  </si>
  <si>
    <t>74436117</t>
  </si>
  <si>
    <t>VANESSA PONTON</t>
  </si>
  <si>
    <t>757 268 8091</t>
  </si>
  <si>
    <t xml:space="preserve">   621</t>
  </si>
  <si>
    <t>SABMRHNTQ</t>
  </si>
  <si>
    <t>639699</t>
  </si>
  <si>
    <t>-162.18</t>
  </si>
  <si>
    <t>337.33</t>
  </si>
  <si>
    <t>166.17</t>
  </si>
  <si>
    <t>757 268-8091</t>
  </si>
  <si>
    <t>25693488</t>
  </si>
  <si>
    <t>75666823</t>
  </si>
  <si>
    <t>TYLER HARRIS</t>
  </si>
  <si>
    <t>850 339 1139</t>
  </si>
  <si>
    <t>703   DALE PL</t>
  </si>
  <si>
    <t>3HW148WR022C2</t>
  </si>
  <si>
    <t>389709</t>
  </si>
  <si>
    <t>-64.93</t>
  </si>
  <si>
    <t>-82.57</t>
  </si>
  <si>
    <t>146.99</t>
  </si>
  <si>
    <t>64.39</t>
  </si>
  <si>
    <t>77.61</t>
  </si>
  <si>
    <t>850 339-1139</t>
  </si>
  <si>
    <t>25693501</t>
  </si>
  <si>
    <t>76237214</t>
  </si>
  <si>
    <t>SANDRA L HOFFMAN</t>
  </si>
  <si>
    <t>10/23/2013</t>
  </si>
  <si>
    <t>850 200 4977</t>
  </si>
  <si>
    <t>224   SQUIRREL HAVEN RD</t>
  </si>
  <si>
    <t>261727711</t>
  </si>
  <si>
    <t>686057</t>
  </si>
  <si>
    <t>535.65</t>
  </si>
  <si>
    <t>205</t>
  </si>
  <si>
    <t>155.66</t>
  </si>
  <si>
    <t>850 200-4977</t>
  </si>
  <si>
    <t>850 598-5597</t>
  </si>
  <si>
    <t>25693506</t>
  </si>
  <si>
    <t>76670104</t>
  </si>
  <si>
    <t>Richard Keller</t>
  </si>
  <si>
    <t>1001   MAR WALT DR</t>
  </si>
  <si>
    <t>D6A3R44001758</t>
  </si>
  <si>
    <t>0036428</t>
  </si>
  <si>
    <t>286.44</t>
  </si>
  <si>
    <t>100.32</t>
  </si>
  <si>
    <t>181.13</t>
  </si>
  <si>
    <t>25693508</t>
  </si>
  <si>
    <t>76776418</t>
  </si>
  <si>
    <t>GINO ACCETTULLO</t>
  </si>
  <si>
    <t>251 222 9254</t>
  </si>
  <si>
    <t>788   NAVY ST</t>
  </si>
  <si>
    <t>SABVDTRNT</t>
  </si>
  <si>
    <t>2143249</t>
  </si>
  <si>
    <t>385.47</t>
  </si>
  <si>
    <t>234.53</t>
  </si>
  <si>
    <t>145.95</t>
  </si>
  <si>
    <t>251 222-9254</t>
  </si>
  <si>
    <t>25693510</t>
  </si>
  <si>
    <t>76858914</t>
  </si>
  <si>
    <t>GREG CLARK</t>
  </si>
  <si>
    <t>850 368 6805</t>
  </si>
  <si>
    <t>110   DOODLE AVE</t>
  </si>
  <si>
    <t>696429</t>
  </si>
  <si>
    <t>-12.06</t>
  </si>
  <si>
    <t>-70.03</t>
  </si>
  <si>
    <t>119.85</t>
  </si>
  <si>
    <t>59.43</t>
  </si>
  <si>
    <t>55.43</t>
  </si>
  <si>
    <t>850 368-6805</t>
  </si>
  <si>
    <t>25693513</t>
  </si>
  <si>
    <t>77012020</t>
  </si>
  <si>
    <t>JOHN L BLACKMON, JR</t>
  </si>
  <si>
    <t>02/22/2010</t>
  </si>
  <si>
    <t>334 596 4797</t>
  </si>
  <si>
    <t>SABRGPXZB</t>
  </si>
  <si>
    <t>0526241</t>
  </si>
  <si>
    <t>-181.43</t>
  </si>
  <si>
    <t>-188.22</t>
  </si>
  <si>
    <t>616.35</t>
  </si>
  <si>
    <t>218.23</t>
  </si>
  <si>
    <t>393.13</t>
  </si>
  <si>
    <t>334 596-4797</t>
  </si>
  <si>
    <t>850 699-7114</t>
  </si>
  <si>
    <t>25693514</t>
  </si>
  <si>
    <t>77051016</t>
  </si>
  <si>
    <t>MRS CAROLYN Q LEE</t>
  </si>
  <si>
    <t>11/21/2013</t>
  </si>
  <si>
    <t>850 543 6786</t>
  </si>
  <si>
    <t>317A   BREAM AVE</t>
  </si>
  <si>
    <t>236011562</t>
  </si>
  <si>
    <t>W263087</t>
  </si>
  <si>
    <t>-67.58</t>
  </si>
  <si>
    <t>-41.39</t>
  </si>
  <si>
    <t>114.14</t>
  </si>
  <si>
    <t>67.59</t>
  </si>
  <si>
    <t>41.56</t>
  </si>
  <si>
    <t>850 543-6786</t>
  </si>
  <si>
    <t>25693516</t>
  </si>
  <si>
    <t>77101618</t>
  </si>
  <si>
    <t>Candi Whitman</t>
  </si>
  <si>
    <t>01/22/2015</t>
  </si>
  <si>
    <t>850 687 0894</t>
  </si>
  <si>
    <t>312   MAIN ST</t>
  </si>
  <si>
    <t>SABLVBXNP</t>
  </si>
  <si>
    <t>790425</t>
  </si>
  <si>
    <t>-158.73</t>
  </si>
  <si>
    <t>-162.38</t>
  </si>
  <si>
    <t>291.24</t>
  </si>
  <si>
    <t>132.55</t>
  </si>
  <si>
    <t>153.7</t>
  </si>
  <si>
    <t>850 687-0894</t>
  </si>
  <si>
    <t>25693540</t>
  </si>
  <si>
    <t>79486320</t>
  </si>
  <si>
    <t>BRAYAN GUTIERREZ</t>
  </si>
  <si>
    <t>850 855 6882</t>
  </si>
  <si>
    <t>249558158</t>
  </si>
  <si>
    <t>937993</t>
  </si>
  <si>
    <t>-78.00</t>
  </si>
  <si>
    <t>-15.10</t>
  </si>
  <si>
    <t>100.4</t>
  </si>
  <si>
    <t>44.02</t>
  </si>
  <si>
    <t>850 855-6882</t>
  </si>
  <si>
    <t>25675932</t>
  </si>
  <si>
    <t>1158.9</t>
  </si>
  <si>
    <t>25679198</t>
  </si>
  <si>
    <t>75445428</t>
  </si>
  <si>
    <t>ASHLEY KNOX</t>
  </si>
  <si>
    <t>850 598 5221</t>
  </si>
  <si>
    <t xml:space="preserve">  210A</t>
  </si>
  <si>
    <t>E124M13000004</t>
  </si>
  <si>
    <t>427782</t>
  </si>
  <si>
    <t>498836</t>
  </si>
  <si>
    <t>1418.72</t>
  </si>
  <si>
    <t>710.96</t>
  </si>
  <si>
    <t>404.66</t>
  </si>
  <si>
    <t>280.56</t>
  </si>
  <si>
    <t>22.54</t>
  </si>
  <si>
    <t>850 598-5221</t>
  </si>
  <si>
    <t>25679205</t>
  </si>
  <si>
    <t>76428631</t>
  </si>
  <si>
    <t>Horace Stacks</t>
  </si>
  <si>
    <t>850 716 6667</t>
  </si>
  <si>
    <t>SABLNVXQJ</t>
  </si>
  <si>
    <t>635975</t>
  </si>
  <si>
    <t>2588.88</t>
  </si>
  <si>
    <t>2100.02</t>
  </si>
  <si>
    <t>245.74</t>
  </si>
  <si>
    <t>233.14</t>
  </si>
  <si>
    <t>850 716-6667</t>
  </si>
  <si>
    <t>25679213</t>
  </si>
  <si>
    <t>25679233</t>
  </si>
  <si>
    <t>25679088</t>
  </si>
  <si>
    <t>749.56</t>
  </si>
  <si>
    <t>25685925</t>
  </si>
  <si>
    <t>25675900</t>
  </si>
  <si>
    <t>601.69</t>
  </si>
  <si>
    <t>25685945</t>
  </si>
  <si>
    <t>25687903</t>
  </si>
  <si>
    <t>25688126</t>
  </si>
  <si>
    <t>25693491</t>
  </si>
  <si>
    <t>25693269</t>
  </si>
  <si>
    <t>25675801</t>
  </si>
  <si>
    <t>41361711</t>
  </si>
  <si>
    <t>RAMONA WILLIAMS</t>
  </si>
  <si>
    <t>08/06/2013</t>
  </si>
  <si>
    <t>757 709 5807</t>
  </si>
  <si>
    <t>4815  W JACKSON ST</t>
  </si>
  <si>
    <t>SABVKVVJV</t>
  </si>
  <si>
    <t>385905</t>
  </si>
  <si>
    <t>-480.27</t>
  </si>
  <si>
    <t>-211.95</t>
  </si>
  <si>
    <t>-469.00</t>
  </si>
  <si>
    <t>523.86</t>
  </si>
  <si>
    <t>211.25</t>
  </si>
  <si>
    <t>248.76</t>
  </si>
  <si>
    <t>63.85</t>
  </si>
  <si>
    <t>757 709-5807</t>
  </si>
  <si>
    <t>25675813</t>
  </si>
  <si>
    <t>53272106</t>
  </si>
  <si>
    <t>JASMINE N COTTLE</t>
  </si>
  <si>
    <t>850 898 5295</t>
  </si>
  <si>
    <t>2462   GRANADA CAMINO</t>
  </si>
  <si>
    <t>6242</t>
  </si>
  <si>
    <t>CSA800</t>
  </si>
  <si>
    <t>PKKWDJNML</t>
  </si>
  <si>
    <t>438983</t>
  </si>
  <si>
    <t>357.16</t>
  </si>
  <si>
    <t>251.68</t>
  </si>
  <si>
    <t>100.49</t>
  </si>
  <si>
    <t>850 898-5295</t>
  </si>
  <si>
    <t>25675829</t>
  </si>
  <si>
    <t>66369224</t>
  </si>
  <si>
    <t>BRITNEY WILLIAMS</t>
  </si>
  <si>
    <t>05/12/2014</t>
  </si>
  <si>
    <t>850 346 8100</t>
  </si>
  <si>
    <t>7200   LILLIAN HWY</t>
  </si>
  <si>
    <t xml:space="preserve">  1006</t>
  </si>
  <si>
    <t>SABQFJBXR</t>
  </si>
  <si>
    <t>753249</t>
  </si>
  <si>
    <t>-105.61</t>
  </si>
  <si>
    <t>-107.10</t>
  </si>
  <si>
    <t>-165.21</t>
  </si>
  <si>
    <t>120.21</t>
  </si>
  <si>
    <t>84.61</t>
  </si>
  <si>
    <t>30.61</t>
  </si>
  <si>
    <t>850 346-8100</t>
  </si>
  <si>
    <t>25675731</t>
  </si>
  <si>
    <t>8209907</t>
  </si>
  <si>
    <t>Daniel Rapenchuk</t>
  </si>
  <si>
    <t>850 356 7677</t>
  </si>
  <si>
    <t>901  N NAVY BLVD</t>
  </si>
  <si>
    <t>SABQFSHQP</t>
  </si>
  <si>
    <t>492762</t>
  </si>
  <si>
    <t>145.39</t>
  </si>
  <si>
    <t>850 356-7677</t>
  </si>
  <si>
    <t>25675732</t>
  </si>
  <si>
    <t>8284303</t>
  </si>
  <si>
    <t>RACHEL L GIBBS</t>
  </si>
  <si>
    <t>850 980 6598</t>
  </si>
  <si>
    <t>16253  N SHORE DR</t>
  </si>
  <si>
    <t>0141</t>
  </si>
  <si>
    <t>7127</t>
  </si>
  <si>
    <t>DAH4M13005306</t>
  </si>
  <si>
    <t>385728</t>
  </si>
  <si>
    <t>-148.37</t>
  </si>
  <si>
    <t>-157.18</t>
  </si>
  <si>
    <t>-153.79</t>
  </si>
  <si>
    <t>326.11</t>
  </si>
  <si>
    <t>163.29</t>
  </si>
  <si>
    <t>157.83</t>
  </si>
  <si>
    <t>850 980-6598</t>
  </si>
  <si>
    <t>25675758</t>
  </si>
  <si>
    <t>12394905</t>
  </si>
  <si>
    <t>TITUS GANDY</t>
  </si>
  <si>
    <t>850 549 7058</t>
  </si>
  <si>
    <t>4101  W NAVY BLVD</t>
  </si>
  <si>
    <t>SABQLKCCC</t>
  </si>
  <si>
    <t>384629</t>
  </si>
  <si>
    <t>-116.65</t>
  </si>
  <si>
    <t>-120.64</t>
  </si>
  <si>
    <t>254.49</t>
  </si>
  <si>
    <t>120.66</t>
  </si>
  <si>
    <t>128.84</t>
  </si>
  <si>
    <t>850 549-7058</t>
  </si>
  <si>
    <t>25675782</t>
  </si>
  <si>
    <t>16873201</t>
  </si>
  <si>
    <t>JEWEL M HARVEY</t>
  </si>
  <si>
    <t>10/30/1992</t>
  </si>
  <si>
    <t>850 332 5397</t>
  </si>
  <si>
    <t>6121   TONAWANDA DR</t>
  </si>
  <si>
    <t>[F3BK6A6000567]</t>
  </si>
  <si>
    <t>841110</t>
  </si>
  <si>
    <t>-147.44</t>
  </si>
  <si>
    <t>-168.94</t>
  </si>
  <si>
    <t>-146.25</t>
  </si>
  <si>
    <t>333.75</t>
  </si>
  <si>
    <t>169.52</t>
  </si>
  <si>
    <t>159.24</t>
  </si>
  <si>
    <t>850 332-5397</t>
  </si>
  <si>
    <t>25679026</t>
  </si>
  <si>
    <t>5050003</t>
  </si>
  <si>
    <t>KEITH ULLRICH</t>
  </si>
  <si>
    <t>850 696 8087</t>
  </si>
  <si>
    <t>418  N 57TH AVE</t>
  </si>
  <si>
    <t>1011079</t>
  </si>
  <si>
    <t>T745715</t>
  </si>
  <si>
    <t>-133.99</t>
  </si>
  <si>
    <t>173.33</t>
  </si>
  <si>
    <t>74.23</t>
  </si>
  <si>
    <t>850 696-8087</t>
  </si>
  <si>
    <t>25679043</t>
  </si>
  <si>
    <t>7905809</t>
  </si>
  <si>
    <t>Betsy Mann</t>
  </si>
  <si>
    <t>08/22/2014</t>
  </si>
  <si>
    <t>850 375 0735</t>
  </si>
  <si>
    <t>8100  W HIGHWAY 98</t>
  </si>
  <si>
    <t xml:space="preserve">  1213</t>
  </si>
  <si>
    <t>0144</t>
  </si>
  <si>
    <t>[0HYTSX1PZ628]</t>
  </si>
  <si>
    <t>751745</t>
  </si>
  <si>
    <t>-132.91</t>
  </si>
  <si>
    <t>386.05</t>
  </si>
  <si>
    <t>132.92</t>
  </si>
  <si>
    <t>248.14</t>
  </si>
  <si>
    <t>850 375-0735</t>
  </si>
  <si>
    <t>25679127</t>
  </si>
  <si>
    <t>42683303</t>
  </si>
  <si>
    <t>VALERIE GIBBS</t>
  </si>
  <si>
    <t>12/18/2014</t>
  </si>
  <si>
    <t>850 341 5095</t>
  </si>
  <si>
    <t>508   EDGEWATER DR</t>
  </si>
  <si>
    <t>SABXRKWRH</t>
  </si>
  <si>
    <t>854396</t>
  </si>
  <si>
    <t>-214.41</t>
  </si>
  <si>
    <t>541.68</t>
  </si>
  <si>
    <t>35.4</t>
  </si>
  <si>
    <t>36.47</t>
  </si>
  <si>
    <t>209.38</t>
  </si>
  <si>
    <t>195.43</t>
  </si>
  <si>
    <t>60.01</t>
  </si>
  <si>
    <t>850 341-5095</t>
  </si>
  <si>
    <t>850 760-7103</t>
  </si>
  <si>
    <t>25679132</t>
  </si>
  <si>
    <t>49159704</t>
  </si>
  <si>
    <t>AUTUMN HEIL</t>
  </si>
  <si>
    <t>815 295 6331</t>
  </si>
  <si>
    <t>1260   PATTON DR</t>
  </si>
  <si>
    <t>0123</t>
  </si>
  <si>
    <t>D664M13000224</t>
  </si>
  <si>
    <t>841549</t>
  </si>
  <si>
    <t>-138.44</t>
  </si>
  <si>
    <t>-153.96</t>
  </si>
  <si>
    <t>447.23</t>
  </si>
  <si>
    <t>187.68</t>
  </si>
  <si>
    <t>157.05</t>
  </si>
  <si>
    <t>102.5</t>
  </si>
  <si>
    <t>815 295-6331</t>
  </si>
  <si>
    <t>25679174</t>
  </si>
  <si>
    <t>71733932</t>
  </si>
  <si>
    <t>LACY LAMPKIN</t>
  </si>
  <si>
    <t xml:space="preserve">   606</t>
  </si>
  <si>
    <t>SABWGQMJW</t>
  </si>
  <si>
    <t>663355</t>
  </si>
  <si>
    <t>-199.22</t>
  </si>
  <si>
    <t>-288.89</t>
  </si>
  <si>
    <t>354.15</t>
  </si>
  <si>
    <t>176.57</t>
  </si>
  <si>
    <t>172.59</t>
  </si>
  <si>
    <t>850 226-2956</t>
  </si>
  <si>
    <t>25682632</t>
  </si>
  <si>
    <t>65362602</t>
  </si>
  <si>
    <t>SHANNON CASSIDY</t>
  </si>
  <si>
    <t>07/15/2014</t>
  </si>
  <si>
    <t>850 206 0306</t>
  </si>
  <si>
    <t>12   SEMINOLE TRL</t>
  </si>
  <si>
    <t>[3KW1447Y018C5]</t>
  </si>
  <si>
    <t>843065</t>
  </si>
  <si>
    <t>-44.76</t>
  </si>
  <si>
    <t>-142.96</t>
  </si>
  <si>
    <t>850 206-0306</t>
  </si>
  <si>
    <t>25682644</t>
  </si>
  <si>
    <t>67557201</t>
  </si>
  <si>
    <t>H R CONKLIN</t>
  </si>
  <si>
    <t>02/10/1997</t>
  </si>
  <si>
    <t>850 455 2470</t>
  </si>
  <si>
    <t>5   FLYNN DR</t>
  </si>
  <si>
    <t>5647</t>
  </si>
  <si>
    <t>SABDZZNCV</t>
  </si>
  <si>
    <t>544073</t>
  </si>
  <si>
    <t>-225.89</t>
  </si>
  <si>
    <t>-171.33</t>
  </si>
  <si>
    <t>636.1</t>
  </si>
  <si>
    <t>180.32</t>
  </si>
  <si>
    <t>229.89</t>
  </si>
  <si>
    <t>850 455-2470</t>
  </si>
  <si>
    <t>25682676</t>
  </si>
  <si>
    <t>71719027</t>
  </si>
  <si>
    <t>Ruben Martinez</t>
  </si>
  <si>
    <t>850 768 3268</t>
  </si>
  <si>
    <t>273460350</t>
  </si>
  <si>
    <t>762425</t>
  </si>
  <si>
    <t>-187.26</t>
  </si>
  <si>
    <t>-195.80</t>
  </si>
  <si>
    <t>-340.43</t>
  </si>
  <si>
    <t>315.51</t>
  </si>
  <si>
    <t>165.72</t>
  </si>
  <si>
    <t>144.8</t>
  </si>
  <si>
    <t>2015-05-07 00:00:00</t>
  </si>
  <si>
    <t>850 768-3268</t>
  </si>
  <si>
    <t>25682684</t>
  </si>
  <si>
    <t>72167715</t>
  </si>
  <si>
    <t>HANNAH WHITE</t>
  </si>
  <si>
    <t>850 292 0014</t>
  </si>
  <si>
    <t>34   MORENO CT</t>
  </si>
  <si>
    <t>[249461153]</t>
  </si>
  <si>
    <t>691748</t>
  </si>
  <si>
    <t>-67.95</t>
  </si>
  <si>
    <t>-296.70</t>
  </si>
  <si>
    <t>398.57</t>
  </si>
  <si>
    <t>225.09</t>
  </si>
  <si>
    <t>168.49</t>
  </si>
  <si>
    <t>850 292-0014</t>
  </si>
  <si>
    <t>850 292-4065</t>
  </si>
  <si>
    <t>25682580</t>
  </si>
  <si>
    <t>16387604</t>
  </si>
  <si>
    <t>SHELBI HELTON</t>
  </si>
  <si>
    <t>850 382 7421</t>
  </si>
  <si>
    <t>12311   AILANTHUS CIR</t>
  </si>
  <si>
    <t>751485</t>
  </si>
  <si>
    <t>229.48</t>
  </si>
  <si>
    <t>33.36</t>
  </si>
  <si>
    <t>18.63</t>
  </si>
  <si>
    <t>850 382-7421</t>
  </si>
  <si>
    <t>25685786</t>
  </si>
  <si>
    <t>12057803</t>
  </si>
  <si>
    <t>CLEOLA STANBERRY</t>
  </si>
  <si>
    <t>850 483 9113</t>
  </si>
  <si>
    <t>906   BREMEN AVE</t>
  </si>
  <si>
    <t>SABRDLDLN</t>
  </si>
  <si>
    <t>798999</t>
  </si>
  <si>
    <t>-72.00</t>
  </si>
  <si>
    <t>433.81</t>
  </si>
  <si>
    <t>115.75</t>
  </si>
  <si>
    <t>165.69</t>
  </si>
  <si>
    <t>152.37</t>
  </si>
  <si>
    <t>2015-06-03 00:00:00</t>
  </si>
  <si>
    <t>850 483-9113</t>
  </si>
  <si>
    <t>25685825</t>
  </si>
  <si>
    <t>32519109</t>
  </si>
  <si>
    <t>LATIFFANY COLLINS</t>
  </si>
  <si>
    <t>11/19/2012</t>
  </si>
  <si>
    <t>850 497 6588</t>
  </si>
  <si>
    <t xml:space="preserve">   612</t>
  </si>
  <si>
    <t>SABNQFLHL</t>
  </si>
  <si>
    <t>513913</t>
  </si>
  <si>
    <t>-173.25</t>
  </si>
  <si>
    <t>-162.43</t>
  </si>
  <si>
    <t>-171.77</t>
  </si>
  <si>
    <t>393.43</t>
  </si>
  <si>
    <t>198.59</t>
  </si>
  <si>
    <t>2013-01-17 00:00:00</t>
  </si>
  <si>
    <t>850 497-6588</t>
  </si>
  <si>
    <t>334 874-6353</t>
  </si>
  <si>
    <t>25685859</t>
  </si>
  <si>
    <t>66161812</t>
  </si>
  <si>
    <t>MATTHEW SMITH</t>
  </si>
  <si>
    <t>05/19/2004</t>
  </si>
  <si>
    <t>850 454 0192</t>
  </si>
  <si>
    <t>1239   ELITE RD</t>
  </si>
  <si>
    <t>[3412844682]</t>
  </si>
  <si>
    <t>R390079</t>
  </si>
  <si>
    <t>-171.61</t>
  </si>
  <si>
    <t>-330.70</t>
  </si>
  <si>
    <t>324.55</t>
  </si>
  <si>
    <t>175.58</t>
  </si>
  <si>
    <t>143.98</t>
  </si>
  <si>
    <t>2004-08-17 00:00:00</t>
  </si>
  <si>
    <t>850 454-0192</t>
  </si>
  <si>
    <t>25685865</t>
  </si>
  <si>
    <t>66665821</t>
  </si>
  <si>
    <t>THANG NGUYEN</t>
  </si>
  <si>
    <t>850 483 7378</t>
  </si>
  <si>
    <t xml:space="preserve">   115</t>
  </si>
  <si>
    <t>5447</t>
  </si>
  <si>
    <t>894190</t>
  </si>
  <si>
    <t>149.07</t>
  </si>
  <si>
    <t>48.97</t>
  </si>
  <si>
    <t>43.98</t>
  </si>
  <si>
    <t>56.12</t>
  </si>
  <si>
    <t>850 483-7378</t>
  </si>
  <si>
    <t>25685902</t>
  </si>
  <si>
    <t>72013407</t>
  </si>
  <si>
    <t>BARBARA BROOKS</t>
  </si>
  <si>
    <t>06/16/2014</t>
  </si>
  <si>
    <t>850 287 2220</t>
  </si>
  <si>
    <t>831425</t>
  </si>
  <si>
    <t>-46.70</t>
  </si>
  <si>
    <t>-50.69</t>
  </si>
  <si>
    <t>122.39</t>
  </si>
  <si>
    <t>24.99</t>
  </si>
  <si>
    <t>46.7</t>
  </si>
  <si>
    <t>2014-04-18 00:00:00</t>
  </si>
  <si>
    <t>850 287-2220</t>
  </si>
  <si>
    <t>25687877</t>
  </si>
  <si>
    <t>671519</t>
  </si>
  <si>
    <t>STEVEN McSWAIN</t>
  </si>
  <si>
    <t>321 262 9358</t>
  </si>
  <si>
    <t>10401   TANTON RD</t>
  </si>
  <si>
    <t>0128</t>
  </si>
  <si>
    <t>SACBXGXDN</t>
  </si>
  <si>
    <t>899209</t>
  </si>
  <si>
    <t>-83.06</t>
  </si>
  <si>
    <t>-63.06</t>
  </si>
  <si>
    <t>-93.19</t>
  </si>
  <si>
    <t>156.11</t>
  </si>
  <si>
    <t>78.06</t>
  </si>
  <si>
    <t>73.06</t>
  </si>
  <si>
    <t>321 262-9358</t>
  </si>
  <si>
    <t>25687926</t>
  </si>
  <si>
    <t>7898708</t>
  </si>
  <si>
    <t>TANIS LILY</t>
  </si>
  <si>
    <t>850 529 0694</t>
  </si>
  <si>
    <t xml:space="preserve">   812</t>
  </si>
  <si>
    <t>236010351</t>
  </si>
  <si>
    <t>767749</t>
  </si>
  <si>
    <t>318.82</t>
  </si>
  <si>
    <t>151.61</t>
  </si>
  <si>
    <t>116.62</t>
  </si>
  <si>
    <t>50.59</t>
  </si>
  <si>
    <t>850 529-0694</t>
  </si>
  <si>
    <t>850 529-4481</t>
  </si>
  <si>
    <t>25687973</t>
  </si>
  <si>
    <t>15933201</t>
  </si>
  <si>
    <t>DEEANDRA WATSON</t>
  </si>
  <si>
    <t>09/20/2014</t>
  </si>
  <si>
    <t>850 533 5333</t>
  </si>
  <si>
    <t>2140   LEDBETTER LN</t>
  </si>
  <si>
    <t>SABHXRTVR</t>
  </si>
  <si>
    <t>876148</t>
  </si>
  <si>
    <t>-105.74</t>
  </si>
  <si>
    <t>-383.68</t>
  </si>
  <si>
    <t>288.38</t>
  </si>
  <si>
    <t>187.94</t>
  </si>
  <si>
    <t>95.45</t>
  </si>
  <si>
    <t>850 533-5333</t>
  </si>
  <si>
    <t>25688008</t>
  </si>
  <si>
    <t>41175106</t>
  </si>
  <si>
    <t>Brittney Nobles</t>
  </si>
  <si>
    <t>02/20/2014</t>
  </si>
  <si>
    <t>850 466 2731</t>
  </si>
  <si>
    <t>11   HUNTINGTON DR</t>
  </si>
  <si>
    <t>265921369</t>
  </si>
  <si>
    <t>562592</t>
  </si>
  <si>
    <t>-182.59</t>
  </si>
  <si>
    <t>-216.94</t>
  </si>
  <si>
    <t>-189.86</t>
  </si>
  <si>
    <t>375.28</t>
  </si>
  <si>
    <t>174.4</t>
  </si>
  <si>
    <t>195.89</t>
  </si>
  <si>
    <t>2015-01-16 00:00:00</t>
  </si>
  <si>
    <t>850 466-2731</t>
  </si>
  <si>
    <t>25688014</t>
  </si>
  <si>
    <t>47147404</t>
  </si>
  <si>
    <t>CRAIG HILL</t>
  </si>
  <si>
    <t>524  S 1ST ST</t>
  </si>
  <si>
    <t>DUBW66P</t>
  </si>
  <si>
    <t>D8P4F23000425</t>
  </si>
  <si>
    <t>533406</t>
  </si>
  <si>
    <t>-131.23</t>
  </si>
  <si>
    <t>133.85</t>
  </si>
  <si>
    <t>69.72</t>
  </si>
  <si>
    <t>25688023</t>
  </si>
  <si>
    <t>53433911</t>
  </si>
  <si>
    <t>GRAHAM MARCUM</t>
  </si>
  <si>
    <t>850 760 4354</t>
  </si>
  <si>
    <t>111   WAYCROSS AVE</t>
  </si>
  <si>
    <t>DCD4D31006075</t>
  </si>
  <si>
    <t>842576</t>
  </si>
  <si>
    <t>850 760-4354</t>
  </si>
  <si>
    <t>25688053</t>
  </si>
  <si>
    <t>67198007</t>
  </si>
  <si>
    <t>APRIL TOLBERT</t>
  </si>
  <si>
    <t>03/20/2013</t>
  </si>
  <si>
    <t>850 405 4527</t>
  </si>
  <si>
    <t>210   BILL PL</t>
  </si>
  <si>
    <t>SABLBNJGL</t>
  </si>
  <si>
    <t>248283</t>
  </si>
  <si>
    <t>-144.70</t>
  </si>
  <si>
    <t>-171.85</t>
  </si>
  <si>
    <t>-137.77</t>
  </si>
  <si>
    <t>353.75</t>
  </si>
  <si>
    <t>163.13</t>
  </si>
  <si>
    <t>850 405-4527</t>
  </si>
  <si>
    <t>805 405-4527</t>
  </si>
  <si>
    <t>25688072</t>
  </si>
  <si>
    <t>69364007</t>
  </si>
  <si>
    <t>TENIKA JOHNSON</t>
  </si>
  <si>
    <t>08/18/2010</t>
  </si>
  <si>
    <t>850 602 1499</t>
  </si>
  <si>
    <t>190  N OLD CORRY FIELD RD</t>
  </si>
  <si>
    <t xml:space="preserve">   108</t>
  </si>
  <si>
    <t>[308453410003J0371]</t>
  </si>
  <si>
    <t>842391</t>
  </si>
  <si>
    <t>-153.78</t>
  </si>
  <si>
    <t>-174.36</t>
  </si>
  <si>
    <t>-176.16</t>
  </si>
  <si>
    <t>396.13</t>
  </si>
  <si>
    <t>183.99</t>
  </si>
  <si>
    <t>850 602-1499</t>
  </si>
  <si>
    <t>25688989</t>
  </si>
  <si>
    <t>1635501</t>
  </si>
  <si>
    <t>DOMINICK VENDETTI</t>
  </si>
  <si>
    <t>10/21/2004</t>
  </si>
  <si>
    <t>850 455 6829</t>
  </si>
  <si>
    <t>10215   LILLIAN HWY</t>
  </si>
  <si>
    <t>0048</t>
  </si>
  <si>
    <t>[502330405308]</t>
  </si>
  <si>
    <t>X403774</t>
  </si>
  <si>
    <t>-308.20</t>
  </si>
  <si>
    <t>-150.11</t>
  </si>
  <si>
    <t>-176.60</t>
  </si>
  <si>
    <t>295.16</t>
  </si>
  <si>
    <t>154.11</t>
  </si>
  <si>
    <t>136.06</t>
  </si>
  <si>
    <t>850 455-6829</t>
  </si>
  <si>
    <t>850 452-2428</t>
  </si>
  <si>
    <t>25688998</t>
  </si>
  <si>
    <t>2792104</t>
  </si>
  <si>
    <t>Sara S Wallace</t>
  </si>
  <si>
    <t>205 201 1080</t>
  </si>
  <si>
    <t>1036   HAWTHORN DR</t>
  </si>
  <si>
    <t>SABRNDSWH</t>
  </si>
  <si>
    <t>2012934</t>
  </si>
  <si>
    <t>-139.65</t>
  </si>
  <si>
    <t>-144.13</t>
  </si>
  <si>
    <t>328.11</t>
  </si>
  <si>
    <t>180</t>
  </si>
  <si>
    <t>148.11</t>
  </si>
  <si>
    <t>205 201-1080</t>
  </si>
  <si>
    <t>205 203-3324</t>
  </si>
  <si>
    <t>25689071</t>
  </si>
  <si>
    <t>13005410</t>
  </si>
  <si>
    <t>BRYAN JOHNSON</t>
  </si>
  <si>
    <t>07/16/2012</t>
  </si>
  <si>
    <t>850 791 6510</t>
  </si>
  <si>
    <t>412  N 57TH AVE</t>
  </si>
  <si>
    <t>5443</t>
  </si>
  <si>
    <t>SACBDFBLJ</t>
  </si>
  <si>
    <t>2366830</t>
  </si>
  <si>
    <t>-530.57</t>
  </si>
  <si>
    <t>-263.29</t>
  </si>
  <si>
    <t>521.85</t>
  </si>
  <si>
    <t>288.75</t>
  </si>
  <si>
    <t>228.11</t>
  </si>
  <si>
    <t>850 791-6510</t>
  </si>
  <si>
    <t>25689140</t>
  </si>
  <si>
    <t>39517809</t>
  </si>
  <si>
    <t>WILLIAM WEED</t>
  </si>
  <si>
    <t>850 760 4555</t>
  </si>
  <si>
    <t>403   FRISCO RD</t>
  </si>
  <si>
    <t>SABNPVRJW</t>
  </si>
  <si>
    <t>541454</t>
  </si>
  <si>
    <t>-180.84</t>
  </si>
  <si>
    <t>294.92</t>
  </si>
  <si>
    <t>148.04</t>
  </si>
  <si>
    <t>141.89</t>
  </si>
  <si>
    <t>850 760-4555</t>
  </si>
  <si>
    <t>850 766-4554</t>
  </si>
  <si>
    <t>25689176</t>
  </si>
  <si>
    <t>66836111</t>
  </si>
  <si>
    <t>KATHY GENSON</t>
  </si>
  <si>
    <t>850 497 3413</t>
  </si>
  <si>
    <t>311   CAMBORNE PL</t>
  </si>
  <si>
    <t>[502150412788]</t>
  </si>
  <si>
    <t>705566</t>
  </si>
  <si>
    <t>-263.79</t>
  </si>
  <si>
    <t>-268.47</t>
  </si>
  <si>
    <t>833.8</t>
  </si>
  <si>
    <t>293.78</t>
  </si>
  <si>
    <t>260.02</t>
  </si>
  <si>
    <t>280</t>
  </si>
  <si>
    <t>850 497-3413</t>
  </si>
  <si>
    <t>25689239</t>
  </si>
  <si>
    <t>72699332</t>
  </si>
  <si>
    <t>DEBORAH STRONG</t>
  </si>
  <si>
    <t>850 346 8839</t>
  </si>
  <si>
    <t>1440  N 61ST AVE</t>
  </si>
  <si>
    <t xml:space="preserve">    7C</t>
  </si>
  <si>
    <t>SABVKTQTP</t>
  </si>
  <si>
    <t>384523</t>
  </si>
  <si>
    <t>-113.24</t>
  </si>
  <si>
    <t>208.93</t>
  </si>
  <si>
    <t>130.46</t>
  </si>
  <si>
    <t>73.48</t>
  </si>
  <si>
    <t>850 346-8839</t>
  </si>
  <si>
    <t>25693180</t>
  </si>
  <si>
    <t>172722</t>
  </si>
  <si>
    <t>MELISSA QUAILES</t>
  </si>
  <si>
    <t>850 912 6190</t>
  </si>
  <si>
    <t>501  S EDGEWOOD CIR</t>
  </si>
  <si>
    <t>GSH4642</t>
  </si>
  <si>
    <t>SACBGBNDF</t>
  </si>
  <si>
    <t>881526</t>
  </si>
  <si>
    <t>366.99</t>
  </si>
  <si>
    <t>226.42</t>
  </si>
  <si>
    <t>135.58</t>
  </si>
  <si>
    <t>850 912-6190</t>
  </si>
  <si>
    <t>25693441</t>
  </si>
  <si>
    <t>72089918</t>
  </si>
  <si>
    <t>ANTHONY ALFORD</t>
  </si>
  <si>
    <t>02/20/2013</t>
  </si>
  <si>
    <t>10075  W HIGHWAY 98</t>
  </si>
  <si>
    <t xml:space="preserve">   132</t>
  </si>
  <si>
    <t>[236758593]</t>
  </si>
  <si>
    <t>388991</t>
  </si>
  <si>
    <t>-199.73</t>
  </si>
  <si>
    <t>-116.75</t>
  </si>
  <si>
    <t>-272.61</t>
  </si>
  <si>
    <t>129.82</t>
  </si>
  <si>
    <t>25693442</t>
  </si>
  <si>
    <t>72181513</t>
  </si>
  <si>
    <t>RHODERICK JONES</t>
  </si>
  <si>
    <t>05/22/2014</t>
  </si>
  <si>
    <t>850 466 3808</t>
  </si>
  <si>
    <t>173   MORENO CT</t>
  </si>
  <si>
    <t>244451594</t>
  </si>
  <si>
    <t>495854</t>
  </si>
  <si>
    <t>-107.37</t>
  </si>
  <si>
    <t>-109.45</t>
  </si>
  <si>
    <t>287.69</t>
  </si>
  <si>
    <t>111.34</t>
  </si>
  <si>
    <t>171.36</t>
  </si>
  <si>
    <t>850 466-3808</t>
  </si>
  <si>
    <t>25693225</t>
  </si>
  <si>
    <t>4607309</t>
  </si>
  <si>
    <t>WINSLOW RILEY</t>
  </si>
  <si>
    <t>850 530 0316</t>
  </si>
  <si>
    <t>429   PINE CRESCENT WAY</t>
  </si>
  <si>
    <t>5641</t>
  </si>
  <si>
    <t>249560305</t>
  </si>
  <si>
    <t>779369</t>
  </si>
  <si>
    <t>-100.12</t>
  </si>
  <si>
    <t>414.79</t>
  </si>
  <si>
    <t>188.61</t>
  </si>
  <si>
    <t>221.19</t>
  </si>
  <si>
    <t>850 530-0316</t>
  </si>
  <si>
    <t>25693229</t>
  </si>
  <si>
    <t>4938403</t>
  </si>
  <si>
    <t>ROBBY BODREE</t>
  </si>
  <si>
    <t>12/23/2013</t>
  </si>
  <si>
    <t>1014   GLADES LN</t>
  </si>
  <si>
    <t>0136</t>
  </si>
  <si>
    <t>[0HYTV0Y52B83]</t>
  </si>
  <si>
    <t>630251</t>
  </si>
  <si>
    <t>208.2</t>
  </si>
  <si>
    <t>101.6</t>
  </si>
  <si>
    <t>2014-07-08 00:00:00</t>
  </si>
  <si>
    <t>850 572-6792</t>
  </si>
  <si>
    <t>25693247</t>
  </si>
  <si>
    <t>6282407</t>
  </si>
  <si>
    <t>WILLIAM BLOCKER</t>
  </si>
  <si>
    <t>220  E WINTHROP AVE</t>
  </si>
  <si>
    <t>2DV336U500CE7</t>
  </si>
  <si>
    <t>1068252</t>
  </si>
  <si>
    <t>97.97</t>
  </si>
  <si>
    <t>850 287-3855</t>
  </si>
  <si>
    <t>25693256</t>
  </si>
  <si>
    <t>6954002</t>
  </si>
  <si>
    <t>DAPO AKINTONDE</t>
  </si>
  <si>
    <t>12/18/2006</t>
  </si>
  <si>
    <t>850 457 0668</t>
  </si>
  <si>
    <t>9147   DAYTONA DR</t>
  </si>
  <si>
    <t>[500030405368]</t>
  </si>
  <si>
    <t>1388636</t>
  </si>
  <si>
    <t>-308.09</t>
  </si>
  <si>
    <t>-265.21</t>
  </si>
  <si>
    <t>536.59</t>
  </si>
  <si>
    <t>298.61</t>
  </si>
  <si>
    <t>232.99</t>
  </si>
  <si>
    <t>850 457-0668</t>
  </si>
  <si>
    <t>25693358</t>
  </si>
  <si>
    <t>42692402</t>
  </si>
  <si>
    <t>JENNIFER SOLCHENBERGER</t>
  </si>
  <si>
    <t>01/25/2014</t>
  </si>
  <si>
    <t>318   EDGEWATER DR</t>
  </si>
  <si>
    <t>494037</t>
  </si>
  <si>
    <t>213.21</t>
  </si>
  <si>
    <t>114.12</t>
  </si>
  <si>
    <t>850 207-8515</t>
  </si>
  <si>
    <t>25693360</t>
  </si>
  <si>
    <t>45884410</t>
  </si>
  <si>
    <t>MATTHEW SHIPLEY</t>
  </si>
  <si>
    <t>423 202 4019</t>
  </si>
  <si>
    <t>833   BAYSHORE DR</t>
  </si>
  <si>
    <t>261084091</t>
  </si>
  <si>
    <t>J603402</t>
  </si>
  <si>
    <t>-70.73</t>
  </si>
  <si>
    <t>-135.23</t>
  </si>
  <si>
    <t>150.44</t>
  </si>
  <si>
    <t>74.72</t>
  </si>
  <si>
    <t>70.73</t>
  </si>
  <si>
    <t>423 202-4019</t>
  </si>
  <si>
    <t>25675860</t>
  </si>
  <si>
    <t>71512722</t>
  </si>
  <si>
    <t>MAURICE GULLEY</t>
  </si>
  <si>
    <t>850 696 8710</t>
  </si>
  <si>
    <t>6314  W JACKSON ST</t>
  </si>
  <si>
    <t>SABVCFNQF</t>
  </si>
  <si>
    <t>1010855</t>
  </si>
  <si>
    <t>1197502</t>
  </si>
  <si>
    <t>-197.93</t>
  </si>
  <si>
    <t>860.2</t>
  </si>
  <si>
    <t>556.19</t>
  </si>
  <si>
    <t>3.44</t>
  </si>
  <si>
    <t>850 696-8710</t>
  </si>
  <si>
    <t>25675788</t>
  </si>
  <si>
    <t>802.81</t>
  </si>
  <si>
    <t>25679141</t>
  </si>
  <si>
    <t>127.19</t>
  </si>
  <si>
    <t>25679170</t>
  </si>
  <si>
    <t>25682520</t>
  </si>
  <si>
    <t>25682583</t>
  </si>
  <si>
    <t>25682622</t>
  </si>
  <si>
    <t>58474810</t>
  </si>
  <si>
    <t>WILLIE SMITH</t>
  </si>
  <si>
    <t>12/15/2011</t>
  </si>
  <si>
    <t>850 466 5512</t>
  </si>
  <si>
    <t>8139   IMPERIAL DR</t>
  </si>
  <si>
    <t>DGI5222</t>
  </si>
  <si>
    <t>08RD2ZY8KT64</t>
  </si>
  <si>
    <t>R092205</t>
  </si>
  <si>
    <t>-123.59</t>
  </si>
  <si>
    <t>-162.60</t>
  </si>
  <si>
    <t>-153.58</t>
  </si>
  <si>
    <t>283.09</t>
  </si>
  <si>
    <t>140.58</t>
  </si>
  <si>
    <t>137.52</t>
  </si>
  <si>
    <t>850 466-5512</t>
  </si>
  <si>
    <t>25685833</t>
  </si>
  <si>
    <t>25685899</t>
  </si>
  <si>
    <t>25687976</t>
  </si>
  <si>
    <t>25688089</t>
  </si>
  <si>
    <t>25689133</t>
  </si>
  <si>
    <t>25693356</t>
  </si>
  <si>
    <t>25675885</t>
  </si>
  <si>
    <t>73416714</t>
  </si>
  <si>
    <t>BOB FUEHRER</t>
  </si>
  <si>
    <t>12/15/2012</t>
  </si>
  <si>
    <t>850 613 6235</t>
  </si>
  <si>
    <t>62   MEIGS DR</t>
  </si>
  <si>
    <t>SABQPDVFD</t>
  </si>
  <si>
    <t>0018941</t>
  </si>
  <si>
    <t>-83.75</t>
  </si>
  <si>
    <t>-26.34</t>
  </si>
  <si>
    <t>-25.88</t>
  </si>
  <si>
    <t>200.64</t>
  </si>
  <si>
    <t>111.47</t>
  </si>
  <si>
    <t>84.18</t>
  </si>
  <si>
    <t>850 613-6235</t>
  </si>
  <si>
    <t>25675924</t>
  </si>
  <si>
    <t>77239920</t>
  </si>
  <si>
    <t>RONALD SPERZEL III</t>
  </si>
  <si>
    <t>731 727 7969</t>
  </si>
  <si>
    <t>32   7TH AVE</t>
  </si>
  <si>
    <t xml:space="preserve">   125</t>
  </si>
  <si>
    <t>SABSGCZFF</t>
  </si>
  <si>
    <t>2027607</t>
  </si>
  <si>
    <t>-89.54</t>
  </si>
  <si>
    <t>-158.75</t>
  </si>
  <si>
    <t>137.17</t>
  </si>
  <si>
    <t>731 727-7969</t>
  </si>
  <si>
    <t>25675938</t>
  </si>
  <si>
    <t>78507605</t>
  </si>
  <si>
    <t>JAMES SLATER</t>
  </si>
  <si>
    <t>12/15/2014</t>
  </si>
  <si>
    <t>601 701 1377</t>
  </si>
  <si>
    <t>112   SUMMIT CT</t>
  </si>
  <si>
    <t>3HW145WK02B2B</t>
  </si>
  <si>
    <t>940164</t>
  </si>
  <si>
    <t>-122.58</t>
  </si>
  <si>
    <t>-47.58</t>
  </si>
  <si>
    <t>168.97</t>
  </si>
  <si>
    <t>92.59</t>
  </si>
  <si>
    <t>601 701-1377</t>
  </si>
  <si>
    <t>601 604-8848</t>
  </si>
  <si>
    <t>25675946</t>
  </si>
  <si>
    <t>78779120</t>
  </si>
  <si>
    <t>Elizabeth Badger</t>
  </si>
  <si>
    <t>112   EDGEWATER DR</t>
  </si>
  <si>
    <t>SABKGCJSC</t>
  </si>
  <si>
    <t>397638</t>
  </si>
  <si>
    <t>167.58</t>
  </si>
  <si>
    <t>48.35</t>
  </si>
  <si>
    <t>60.42</t>
  </si>
  <si>
    <t>58.81</t>
  </si>
  <si>
    <t>25675961</t>
  </si>
  <si>
    <t>81021608</t>
  </si>
  <si>
    <t>HOLLEY TODD</t>
  </si>
  <si>
    <t>04/15/2014</t>
  </si>
  <si>
    <t>850 826 4089</t>
  </si>
  <si>
    <t>302  N BOOKER ST</t>
  </si>
  <si>
    <t>[262814204]</t>
  </si>
  <si>
    <t>639121</t>
  </si>
  <si>
    <t>-107.82</t>
  </si>
  <si>
    <t>-125.03</t>
  </si>
  <si>
    <t>-237.84</t>
  </si>
  <si>
    <t>248.82</t>
  </si>
  <si>
    <t>145.38</t>
  </si>
  <si>
    <t>98.45</t>
  </si>
  <si>
    <t>850 826-4089</t>
  </si>
  <si>
    <t>25675724</t>
  </si>
  <si>
    <t>7023401</t>
  </si>
  <si>
    <t>MR D CROSBY</t>
  </si>
  <si>
    <t>10/13/2001</t>
  </si>
  <si>
    <t>850 835 2474</t>
  </si>
  <si>
    <t>895   MALLET BAYOU RD</t>
  </si>
  <si>
    <t>[502470403766]</t>
  </si>
  <si>
    <t>635107</t>
  </si>
  <si>
    <t>-129.79</t>
  </si>
  <si>
    <t>-320.79</t>
  </si>
  <si>
    <t>-248.10</t>
  </si>
  <si>
    <t>260.56</t>
  </si>
  <si>
    <t>141.98</t>
  </si>
  <si>
    <t>113.59</t>
  </si>
  <si>
    <t>850 835-2474</t>
  </si>
  <si>
    <t>25675725</t>
  </si>
  <si>
    <t>7166402</t>
  </si>
  <si>
    <t>Ian Ellsworth</t>
  </si>
  <si>
    <t>719 447 5986</t>
  </si>
  <si>
    <t>5801   HILARY ST</t>
  </si>
  <si>
    <t>262921038</t>
  </si>
  <si>
    <t>420535</t>
  </si>
  <si>
    <t>-70.59</t>
  </si>
  <si>
    <t>-94.97</t>
  </si>
  <si>
    <t>151.31</t>
  </si>
  <si>
    <t>89.39</t>
  </si>
  <si>
    <t>56.93</t>
  </si>
  <si>
    <t>719 447-5986</t>
  </si>
  <si>
    <t>25675751</t>
  </si>
  <si>
    <t>11570403</t>
  </si>
  <si>
    <t>ERNEST SORDELET</t>
  </si>
  <si>
    <t>11/15/2012</t>
  </si>
  <si>
    <t>850 517 7399</t>
  </si>
  <si>
    <t>735   MAJESTIC DR</t>
  </si>
  <si>
    <t>236007604</t>
  </si>
  <si>
    <t>J544755</t>
  </si>
  <si>
    <t>-168.09</t>
  </si>
  <si>
    <t>-189.59</t>
  </si>
  <si>
    <t>-184.60</t>
  </si>
  <si>
    <t>352.28</t>
  </si>
  <si>
    <t>162.7</t>
  </si>
  <si>
    <t>850 517-7399</t>
  </si>
  <si>
    <t>25675767</t>
  </si>
  <si>
    <t>13439710</t>
  </si>
  <si>
    <t>JAMES A MARTIN</t>
  </si>
  <si>
    <t>850 612 0865</t>
  </si>
  <si>
    <t>415   ADDISON PL</t>
  </si>
  <si>
    <t>SABSSJLMN</t>
  </si>
  <si>
    <t>3693472</t>
  </si>
  <si>
    <t>322.26</t>
  </si>
  <si>
    <t>48.47</t>
  </si>
  <si>
    <t>87.15</t>
  </si>
  <si>
    <t>82.34</t>
  </si>
  <si>
    <t>850 612-0865</t>
  </si>
  <si>
    <t>25679194</t>
  </si>
  <si>
    <t>74935806</t>
  </si>
  <si>
    <t>WILLIAM MANNING</t>
  </si>
  <si>
    <t>11/16/2013</t>
  </si>
  <si>
    <t>850 398 7103</t>
  </si>
  <si>
    <t>3001   COSSON CIR</t>
  </si>
  <si>
    <t>686182</t>
  </si>
  <si>
    <t>-178.56</t>
  </si>
  <si>
    <t>-84.79</t>
  </si>
  <si>
    <t>178.57</t>
  </si>
  <si>
    <t>84.79</t>
  </si>
  <si>
    <t>850 398-7103</t>
  </si>
  <si>
    <t>25679195</t>
  </si>
  <si>
    <t>75025703</t>
  </si>
  <si>
    <t>DERRON DEBIZAN</t>
  </si>
  <si>
    <t>12/29/2012</t>
  </si>
  <si>
    <t>850 398 5284</t>
  </si>
  <si>
    <t>4683   PALMETTO CT</t>
  </si>
  <si>
    <t>H000000010398</t>
  </si>
  <si>
    <t>1976383</t>
  </si>
  <si>
    <t>-329.39</t>
  </si>
  <si>
    <t>-332.19</t>
  </si>
  <si>
    <t>-338.81</t>
  </si>
  <si>
    <t>780.55</t>
  </si>
  <si>
    <t>366.14</t>
  </si>
  <si>
    <t>374.95</t>
  </si>
  <si>
    <t>34.47</t>
  </si>
  <si>
    <t>850 398-5284</t>
  </si>
  <si>
    <t>910 494-3886</t>
  </si>
  <si>
    <t>25679234</t>
  </si>
  <si>
    <t>80952215</t>
  </si>
  <si>
    <t>MICHAELA THOMASSON</t>
  </si>
  <si>
    <t>850 398 0649</t>
  </si>
  <si>
    <t>2210  W JAMES LEE BLVD</t>
  </si>
  <si>
    <t>0N5Z6DM55S75</t>
  </si>
  <si>
    <t>768723</t>
  </si>
  <si>
    <t>-130.13</t>
  </si>
  <si>
    <t>115.15</t>
  </si>
  <si>
    <t>66.18</t>
  </si>
  <si>
    <t>850 398-0649</t>
  </si>
  <si>
    <t>25679018</t>
  </si>
  <si>
    <t>3835804</t>
  </si>
  <si>
    <t>CONNIE PHILLPIS</t>
  </si>
  <si>
    <t>850 830 3029</t>
  </si>
  <si>
    <t>4552   BARRINGTON LN</t>
  </si>
  <si>
    <t>SABQNWJHG</t>
  </si>
  <si>
    <t>788137</t>
  </si>
  <si>
    <t>-69.77</t>
  </si>
  <si>
    <t>178.53</t>
  </si>
  <si>
    <t>103.77</t>
  </si>
  <si>
    <t>69.77</t>
  </si>
  <si>
    <t>850 830-3029</t>
  </si>
  <si>
    <t>25679019</t>
  </si>
  <si>
    <t>3863104</t>
  </si>
  <si>
    <t>BILLY POSEY</t>
  </si>
  <si>
    <t>06/07/2012</t>
  </si>
  <si>
    <t>850 835 3530</t>
  </si>
  <si>
    <t xml:space="preserve">    6B</t>
  </si>
  <si>
    <t>6214119</t>
  </si>
  <si>
    <t>-72.51</t>
  </si>
  <si>
    <t>154.01</t>
  </si>
  <si>
    <t>76.51</t>
  </si>
  <si>
    <t>72.51</t>
  </si>
  <si>
    <t>2015-02-10 00:00:00</t>
  </si>
  <si>
    <t>850 835-3530</t>
  </si>
  <si>
    <t>25679037</t>
  </si>
  <si>
    <t>7312108</t>
  </si>
  <si>
    <t>ELGIN BREWSTER</t>
  </si>
  <si>
    <t>000000   BLD 00854</t>
  </si>
  <si>
    <t xml:space="preserve">  221</t>
  </si>
  <si>
    <t>3HW143WV00055</t>
  </si>
  <si>
    <t>145080</t>
  </si>
  <si>
    <t>-69.40</t>
  </si>
  <si>
    <t>177.78</t>
  </si>
  <si>
    <t>103.39</t>
  </si>
  <si>
    <t>69.4</t>
  </si>
  <si>
    <t>215 789-1012</t>
  </si>
  <si>
    <t>NO ACCESS TO COMM ROOM</t>
  </si>
  <si>
    <t>25679060</t>
  </si>
  <si>
    <t>10049801</t>
  </si>
  <si>
    <t>ROBERT WELSH</t>
  </si>
  <si>
    <t>01/16/2012</t>
  </si>
  <si>
    <t>850 880 6573</t>
  </si>
  <si>
    <t>164   RED BARN RD</t>
  </si>
  <si>
    <t>[502030500627]</t>
  </si>
  <si>
    <t>2323348</t>
  </si>
  <si>
    <t>-265.81</t>
  </si>
  <si>
    <t>-254.27</t>
  </si>
  <si>
    <t>508.62</t>
  </si>
  <si>
    <t>265.79</t>
  </si>
  <si>
    <t>237.84</t>
  </si>
  <si>
    <t>850 880-6573</t>
  </si>
  <si>
    <t>25679084</t>
  </si>
  <si>
    <t>13437406</t>
  </si>
  <si>
    <t>Benjamin Biagiotti</t>
  </si>
  <si>
    <t>850 758 1726</t>
  </si>
  <si>
    <t>312   ADDISON PL</t>
  </si>
  <si>
    <t>D2S4F23001411</t>
  </si>
  <si>
    <t>BULK AC</t>
  </si>
  <si>
    <t>251.96</t>
  </si>
  <si>
    <t>81.77</t>
  </si>
  <si>
    <t>76.78</t>
  </si>
  <si>
    <t>93.41</t>
  </si>
  <si>
    <t>850 758-1726</t>
  </si>
  <si>
    <t>25679093</t>
  </si>
  <si>
    <t>14677606</t>
  </si>
  <si>
    <t>JERRY SAXTON SR</t>
  </si>
  <si>
    <t>09/14/2013</t>
  </si>
  <si>
    <t>850 306 3338</t>
  </si>
  <si>
    <t>5359   OPPORTUNITY DR</t>
  </si>
  <si>
    <t>SABRTCBHB</t>
  </si>
  <si>
    <t>421943</t>
  </si>
  <si>
    <t>-144.61</t>
  </si>
  <si>
    <t>-144.53</t>
  </si>
  <si>
    <t>266.93</t>
  </si>
  <si>
    <t>148.69</t>
  </si>
  <si>
    <t>113.25</t>
  </si>
  <si>
    <t>850 306-3338</t>
  </si>
  <si>
    <t>25679184</t>
  </si>
  <si>
    <t>73826112</t>
  </si>
  <si>
    <t>KENNETH GRANT</t>
  </si>
  <si>
    <t>449  E RAILROAD AVE</t>
  </si>
  <si>
    <t>D6A3R44005437</t>
  </si>
  <si>
    <t>449896</t>
  </si>
  <si>
    <t>155.17</t>
  </si>
  <si>
    <t>602 312-9635</t>
  </si>
  <si>
    <t>25682714</t>
  </si>
  <si>
    <t>74961613</t>
  </si>
  <si>
    <t>James Graves</t>
  </si>
  <si>
    <t>850 797 3651</t>
  </si>
  <si>
    <t>22   COUNTRY CLUB RD</t>
  </si>
  <si>
    <t>SABSPNMVT</t>
  </si>
  <si>
    <t>737051</t>
  </si>
  <si>
    <t>-127.18</t>
  </si>
  <si>
    <t>-132.75</t>
  </si>
  <si>
    <t>280.7</t>
  </si>
  <si>
    <t>144.54</t>
  </si>
  <si>
    <t>131.17</t>
  </si>
  <si>
    <t>850 797-3651</t>
  </si>
  <si>
    <t>25682715</t>
  </si>
  <si>
    <t>75104306</t>
  </si>
  <si>
    <t>Samuel S Glover</t>
  </si>
  <si>
    <t>12/13/2006</t>
  </si>
  <si>
    <t>850 279 6776</t>
  </si>
  <si>
    <t>374   JUNIPER DR</t>
  </si>
  <si>
    <t>442</t>
  </si>
  <si>
    <t>SACBJJCKD</t>
  </si>
  <si>
    <t>FP09688</t>
  </si>
  <si>
    <t>-166.96</t>
  </si>
  <si>
    <t>-190.00</t>
  </si>
  <si>
    <t>-182.92</t>
  </si>
  <si>
    <t>421.81</t>
  </si>
  <si>
    <t>187.6</t>
  </si>
  <si>
    <t>229.22</t>
  </si>
  <si>
    <t>850 279-6776</t>
  </si>
  <si>
    <t>850 897-6047</t>
  </si>
  <si>
    <t>25682758</t>
  </si>
  <si>
    <t>77946507</t>
  </si>
  <si>
    <t>Nathaniel Darling</t>
  </si>
  <si>
    <t>210 557 5457</t>
  </si>
  <si>
    <t>202   22ND ST</t>
  </si>
  <si>
    <t>429514</t>
  </si>
  <si>
    <t>255.61</t>
  </si>
  <si>
    <t>79.57</t>
  </si>
  <si>
    <t>91.48</t>
  </si>
  <si>
    <t>210 557-5457</t>
  </si>
  <si>
    <t>25682771</t>
  </si>
  <si>
    <t>78862208</t>
  </si>
  <si>
    <t>PETER REILING</t>
  </si>
  <si>
    <t>11/13/2014</t>
  </si>
  <si>
    <t>850 225 2585</t>
  </si>
  <si>
    <t>1487  S RAYBURN ST</t>
  </si>
  <si>
    <t>SABPDRHRZ</t>
  </si>
  <si>
    <t>429631</t>
  </si>
  <si>
    <t>143.01</t>
  </si>
  <si>
    <t>12.98</t>
  </si>
  <si>
    <t>90.04</t>
  </si>
  <si>
    <t>39.99</t>
  </si>
  <si>
    <t>850 225-2585</t>
  </si>
  <si>
    <t>25682778</t>
  </si>
  <si>
    <t>80169818</t>
  </si>
  <si>
    <t>BRITTANY CULBRETH</t>
  </si>
  <si>
    <t>08/17/2013</t>
  </si>
  <si>
    <t>229 886 3840</t>
  </si>
  <si>
    <t>700   HOWELL RD</t>
  </si>
  <si>
    <t>SABNTGJPR</t>
  </si>
  <si>
    <t>CS88886</t>
  </si>
  <si>
    <t>-145.50</t>
  </si>
  <si>
    <t>-132.43</t>
  </si>
  <si>
    <t>239.56</t>
  </si>
  <si>
    <t>10.71</t>
  </si>
  <si>
    <t>132.44</t>
  </si>
  <si>
    <t>96.41</t>
  </si>
  <si>
    <t>229 886-3840</t>
  </si>
  <si>
    <t>25682784</t>
  </si>
  <si>
    <t>80804518</t>
  </si>
  <si>
    <t>LORETTA C TALLEY</t>
  </si>
  <si>
    <t>850 603 3768</t>
  </si>
  <si>
    <t>398  W OAKDALE AVE</t>
  </si>
  <si>
    <t>249590033</t>
  </si>
  <si>
    <t>698061</t>
  </si>
  <si>
    <t>-138.82</t>
  </si>
  <si>
    <t>292.95</t>
  </si>
  <si>
    <t>142.15</t>
  </si>
  <si>
    <t>145.81</t>
  </si>
  <si>
    <t>850 603-3768</t>
  </si>
  <si>
    <t>25682514</t>
  </si>
  <si>
    <t>7305707</t>
  </si>
  <si>
    <t>CEDAR SUBERT</t>
  </si>
  <si>
    <t xml:space="preserve">  124</t>
  </si>
  <si>
    <t>SABNHBZKR</t>
  </si>
  <si>
    <t>835907</t>
  </si>
  <si>
    <t>-110.50</t>
  </si>
  <si>
    <t>-189.26</t>
  </si>
  <si>
    <t>-153.53</t>
  </si>
  <si>
    <t>140.69</t>
  </si>
  <si>
    <t>114.49</t>
  </si>
  <si>
    <t>509 295-1696</t>
  </si>
  <si>
    <t>MILITARY BASE</t>
  </si>
  <si>
    <t>25682539</t>
  </si>
  <si>
    <t>10672403</t>
  </si>
  <si>
    <t>STEVEN BARROW</t>
  </si>
  <si>
    <t>05/17/2013</t>
  </si>
  <si>
    <t>850 257 6312</t>
  </si>
  <si>
    <t>408   TRITON ST</t>
  </si>
  <si>
    <t>SACBXSSLG</t>
  </si>
  <si>
    <t>554878</t>
  </si>
  <si>
    <t>-177.69</t>
  </si>
  <si>
    <t>-184.20</t>
  </si>
  <si>
    <t>-165.19</t>
  </si>
  <si>
    <t>352.66</t>
  </si>
  <si>
    <t>177.65</t>
  </si>
  <si>
    <t>170.02</t>
  </si>
  <si>
    <t>850 257-6312</t>
  </si>
  <si>
    <t>850 305-7234</t>
  </si>
  <si>
    <t>25682575</t>
  </si>
  <si>
    <t>15748501</t>
  </si>
  <si>
    <t>BARBARA WEBB</t>
  </si>
  <si>
    <t>03/15/2012</t>
  </si>
  <si>
    <t>6602   BILL LUNDY RD</t>
  </si>
  <si>
    <t>LAUREL HILL</t>
  </si>
  <si>
    <t>32567</t>
  </si>
  <si>
    <t>X353186</t>
  </si>
  <si>
    <t>235321850</t>
  </si>
  <si>
    <t>0022367</t>
  </si>
  <si>
    <t>-53.50</t>
  </si>
  <si>
    <t>-171.90</t>
  </si>
  <si>
    <t>116.34</t>
  </si>
  <si>
    <t>56.17</t>
  </si>
  <si>
    <t>55.18</t>
  </si>
  <si>
    <t>2013-05-09 00:00:00</t>
  </si>
  <si>
    <t>850 758-7720</t>
  </si>
  <si>
    <t>25685753</t>
  </si>
  <si>
    <t>4372106</t>
  </si>
  <si>
    <t>chancey crowdey</t>
  </si>
  <si>
    <t>850 419 0475</t>
  </si>
  <si>
    <t>451   PERSIMMON ST</t>
  </si>
  <si>
    <t>D6R3R44001354</t>
  </si>
  <si>
    <t>1018621</t>
  </si>
  <si>
    <t>-123.98</t>
  </si>
  <si>
    <t>50.25</t>
  </si>
  <si>
    <t>850 419-0475</t>
  </si>
  <si>
    <t>25685770</t>
  </si>
  <si>
    <t>10023804</t>
  </si>
  <si>
    <t>BRAD BISHOP</t>
  </si>
  <si>
    <t>850 849 0529</t>
  </si>
  <si>
    <t>96   CYPRESS LN</t>
  </si>
  <si>
    <t>768722</t>
  </si>
  <si>
    <t>-93.69</t>
  </si>
  <si>
    <t>-93.24</t>
  </si>
  <si>
    <t>-88.25</t>
  </si>
  <si>
    <t>331.09</t>
  </si>
  <si>
    <t>123.7</t>
  </si>
  <si>
    <t>113.7</t>
  </si>
  <si>
    <t>93.69</t>
  </si>
  <si>
    <t>850 849-0529</t>
  </si>
  <si>
    <t>25685771</t>
  </si>
  <si>
    <t>10026502</t>
  </si>
  <si>
    <t>CHRISTINE HARMON</t>
  </si>
  <si>
    <t>280   EARL GODWIN RD</t>
  </si>
  <si>
    <t>SABWNLMNZ</t>
  </si>
  <si>
    <t>965210</t>
  </si>
  <si>
    <t>-121.56</t>
  </si>
  <si>
    <t>-113.59</t>
  </si>
  <si>
    <t>-272.41</t>
  </si>
  <si>
    <t>259.93</t>
  </si>
  <si>
    <t>125.38</t>
  </si>
  <si>
    <t>129.56</t>
  </si>
  <si>
    <t>850 835-1994</t>
  </si>
  <si>
    <t>25685788</t>
  </si>
  <si>
    <t>12235304</t>
  </si>
  <si>
    <t>STEPHANIE SAUDER</t>
  </si>
  <si>
    <t>850 902 6256</t>
  </si>
  <si>
    <t>3180   LAKEVIEW ST</t>
  </si>
  <si>
    <t>SABPBRDWP</t>
  </si>
  <si>
    <t>2012868</t>
  </si>
  <si>
    <t>132.12</t>
  </si>
  <si>
    <t>75.96</t>
  </si>
  <si>
    <t>51.17</t>
  </si>
  <si>
    <t>850 902-6256</t>
  </si>
  <si>
    <t>25685918</t>
  </si>
  <si>
    <t>73756203</t>
  </si>
  <si>
    <t>TONJA WILLIAMS</t>
  </si>
  <si>
    <t>850 306 3377</t>
  </si>
  <si>
    <t>3015   WINDSOR CIR</t>
  </si>
  <si>
    <t>E1C4M13000211</t>
  </si>
  <si>
    <t>428049</t>
  </si>
  <si>
    <t>-318.29</t>
  </si>
  <si>
    <t>-323.09</t>
  </si>
  <si>
    <t>458.44</t>
  </si>
  <si>
    <t>199.85</t>
  </si>
  <si>
    <t>253.6</t>
  </si>
  <si>
    <t>2015-02-13 00:00:00</t>
  </si>
  <si>
    <t>850 306-3377</t>
  </si>
  <si>
    <t>25685956</t>
  </si>
  <si>
    <t>77990703</t>
  </si>
  <si>
    <t>BRANIMIR KNEZIC</t>
  </si>
  <si>
    <t>08/26/2002</t>
  </si>
  <si>
    <t>850 897 2430</t>
  </si>
  <si>
    <t>1508   HICKORY ST</t>
  </si>
  <si>
    <t>DTS2200</t>
  </si>
  <si>
    <t>[6208487767]</t>
  </si>
  <si>
    <t>639515</t>
  </si>
  <si>
    <t>-438.86</t>
  </si>
  <si>
    <t>923.95</t>
  </si>
  <si>
    <t>280.57</t>
  </si>
  <si>
    <t>199.53</t>
  </si>
  <si>
    <t>438.86</t>
  </si>
  <si>
    <t>850 897-2430</t>
  </si>
  <si>
    <t>850 585-7713</t>
  </si>
  <si>
    <t>25685957</t>
  </si>
  <si>
    <t>78176912</t>
  </si>
  <si>
    <t>Micah Bolen</t>
  </si>
  <si>
    <t>850 218 2368</t>
  </si>
  <si>
    <t>424   MORNINGBIRD CT</t>
  </si>
  <si>
    <t>262237205</t>
  </si>
  <si>
    <t>2121626</t>
  </si>
  <si>
    <t>-285.29</t>
  </si>
  <si>
    <t>289.14</t>
  </si>
  <si>
    <t>153.95</t>
  </si>
  <si>
    <t>130.2</t>
  </si>
  <si>
    <t>850 218-2368</t>
  </si>
  <si>
    <t>25685967</t>
  </si>
  <si>
    <t>80089009</t>
  </si>
  <si>
    <t>Joel McLeod</t>
  </si>
  <si>
    <t>850 980 7166</t>
  </si>
  <si>
    <t>132   DREWSON DR</t>
  </si>
  <si>
    <t>704667</t>
  </si>
  <si>
    <t>154.86</t>
  </si>
  <si>
    <t>80.89</t>
  </si>
  <si>
    <t>850 980-7166</t>
  </si>
  <si>
    <t>25685970</t>
  </si>
  <si>
    <t>80443912</t>
  </si>
  <si>
    <t>Jeffery M Smith</t>
  </si>
  <si>
    <t>850 624 8187</t>
  </si>
  <si>
    <t>603   32ND ST</t>
  </si>
  <si>
    <t>E244M13000656</t>
  </si>
  <si>
    <t>2069497</t>
  </si>
  <si>
    <t>332.8</t>
  </si>
  <si>
    <t>194.41</t>
  </si>
  <si>
    <t>127.68</t>
  </si>
  <si>
    <t>850 624-8187</t>
  </si>
  <si>
    <t>25685973</t>
  </si>
  <si>
    <t>80708807</t>
  </si>
  <si>
    <t>angela johnson</t>
  </si>
  <si>
    <t>843 602 5754</t>
  </si>
  <si>
    <t>327   BRACKIN ST</t>
  </si>
  <si>
    <t>260925555</t>
  </si>
  <si>
    <t>1033202</t>
  </si>
  <si>
    <t>2476625</t>
  </si>
  <si>
    <t>-86.00</t>
  </si>
  <si>
    <t>220.17</t>
  </si>
  <si>
    <t>57.4</t>
  </si>
  <si>
    <t>137.77</t>
  </si>
  <si>
    <t>843 602-5754</t>
  </si>
  <si>
    <t>25687908</t>
  </si>
  <si>
    <t>4605616</t>
  </si>
  <si>
    <t>HAILEY ROBINSON</t>
  </si>
  <si>
    <t>850 612 1519</t>
  </si>
  <si>
    <t>912   VALLEY RD</t>
  </si>
  <si>
    <t>SABNWVSSZ</t>
  </si>
  <si>
    <t>554280</t>
  </si>
  <si>
    <t>296.65</t>
  </si>
  <si>
    <t>16.41</t>
  </si>
  <si>
    <t>150.68</t>
  </si>
  <si>
    <t>850 612-1519</t>
  </si>
  <si>
    <t>25687920</t>
  </si>
  <si>
    <t>7289007</t>
  </si>
  <si>
    <t>Vadim Milligan</t>
  </si>
  <si>
    <t>239 398 6962</t>
  </si>
  <si>
    <t>000000   BLD 00855</t>
  </si>
  <si>
    <t xml:space="preserve">  216</t>
  </si>
  <si>
    <t>45U14AWU01C01</t>
  </si>
  <si>
    <t>817690</t>
  </si>
  <si>
    <t>118.96</t>
  </si>
  <si>
    <t>58.98</t>
  </si>
  <si>
    <t>54.99</t>
  </si>
  <si>
    <t>239 398-6962</t>
  </si>
  <si>
    <t>25687948</t>
  </si>
  <si>
    <t>10629603</t>
  </si>
  <si>
    <t>RYAN MURPHY</t>
  </si>
  <si>
    <t>850 357 6601</t>
  </si>
  <si>
    <t>165   SWAYING PINE CT</t>
  </si>
  <si>
    <t>[0HYTSX1C27D8]</t>
  </si>
  <si>
    <t>446519</t>
  </si>
  <si>
    <t>161.09</t>
  </si>
  <si>
    <t>850 357-6601</t>
  </si>
  <si>
    <t>25687956</t>
  </si>
  <si>
    <t>12266003</t>
  </si>
  <si>
    <t>VICKY DANTZLER</t>
  </si>
  <si>
    <t>08/20/2012</t>
  </si>
  <si>
    <t>850 533 6018</t>
  </si>
  <si>
    <t>1025   47TH ST</t>
  </si>
  <si>
    <t>236008024</t>
  </si>
  <si>
    <t>639324</t>
  </si>
  <si>
    <t>-63.97</t>
  </si>
  <si>
    <t>-58.60</t>
  </si>
  <si>
    <t>127.67</t>
  </si>
  <si>
    <t>62.59</t>
  </si>
  <si>
    <t>60.09</t>
  </si>
  <si>
    <t>850 533-6018</t>
  </si>
  <si>
    <t>25687957</t>
  </si>
  <si>
    <t>12309703</t>
  </si>
  <si>
    <t>JASON BAKER</t>
  </si>
  <si>
    <t>850 758 8636</t>
  </si>
  <si>
    <t>2397   LAKE SILVER RD</t>
  </si>
  <si>
    <t>235977311</t>
  </si>
  <si>
    <t>0016854</t>
  </si>
  <si>
    <t>-95.15</t>
  </si>
  <si>
    <t>-109.18</t>
  </si>
  <si>
    <t>123.29</t>
  </si>
  <si>
    <t>49.57</t>
  </si>
  <si>
    <t>68.73</t>
  </si>
  <si>
    <t>850 758-8636</t>
  </si>
  <si>
    <t>25687984</t>
  </si>
  <si>
    <t>17651301</t>
  </si>
  <si>
    <t>NOLEYSK VASQUEZ</t>
  </si>
  <si>
    <t>850 225 0081</t>
  </si>
  <si>
    <t xml:space="preserve">   BLDG 855</t>
  </si>
  <si>
    <t xml:space="preserve">   315</t>
  </si>
  <si>
    <t>236769053</t>
  </si>
  <si>
    <t>820587</t>
  </si>
  <si>
    <t>-73.59</t>
  </si>
  <si>
    <t>-98.79</t>
  </si>
  <si>
    <t>850 225-0081</t>
  </si>
  <si>
    <t>25688144</t>
  </si>
  <si>
    <t>76618413</t>
  </si>
  <si>
    <t>ALONZO WHITAKER</t>
  </si>
  <si>
    <t>07/17/2014</t>
  </si>
  <si>
    <t>78   8TH ST</t>
  </si>
  <si>
    <t>[236006665]</t>
  </si>
  <si>
    <t>833529</t>
  </si>
  <si>
    <t>-169.05</t>
  </si>
  <si>
    <t>-159.49</t>
  </si>
  <si>
    <t>-163.48</t>
  </si>
  <si>
    <t>331.96</t>
  </si>
  <si>
    <t>163.49</t>
  </si>
  <si>
    <t>163.48</t>
  </si>
  <si>
    <t>661 794-8825</t>
  </si>
  <si>
    <t>25688173</t>
  </si>
  <si>
    <t>78898507</t>
  </si>
  <si>
    <t>PAM WHITAKER</t>
  </si>
  <si>
    <t>850 612 6792</t>
  </si>
  <si>
    <t>1443   COREMO DR</t>
  </si>
  <si>
    <t>810332</t>
  </si>
  <si>
    <t>130.89</t>
  </si>
  <si>
    <t>94.95</t>
  </si>
  <si>
    <t>30.95</t>
  </si>
  <si>
    <t>850 612-6792</t>
  </si>
  <si>
    <t>25689016</t>
  </si>
  <si>
    <t>4824105</t>
  </si>
  <si>
    <t>DAMIAN SEALS</t>
  </si>
  <si>
    <t>850 603 4163</t>
  </si>
  <si>
    <t>224  N LLOYD ST</t>
  </si>
  <si>
    <t>414606</t>
  </si>
  <si>
    <t>-185.29</t>
  </si>
  <si>
    <t>-138.05</t>
  </si>
  <si>
    <t>424.16</t>
  </si>
  <si>
    <t>163.41</t>
  </si>
  <si>
    <t>255.76</t>
  </si>
  <si>
    <t>850 603-4163</t>
  </si>
  <si>
    <t>850 826-4425</t>
  </si>
  <si>
    <t>25689046</t>
  </si>
  <si>
    <t>9619605</t>
  </si>
  <si>
    <t>THOMAS WILKERSON</t>
  </si>
  <si>
    <t>04/14/2014</t>
  </si>
  <si>
    <t>850 217 3116</t>
  </si>
  <si>
    <t>438   JILLIAN DR</t>
  </si>
  <si>
    <t>265891654</t>
  </si>
  <si>
    <t>638844</t>
  </si>
  <si>
    <t>-115.58</t>
  </si>
  <si>
    <t>-89.39</t>
  </si>
  <si>
    <t>184.15</t>
  </si>
  <si>
    <t>94.38</t>
  </si>
  <si>
    <t>84.78</t>
  </si>
  <si>
    <t>850 217-3116</t>
  </si>
  <si>
    <t>25689104</t>
  </si>
  <si>
    <t>16323101</t>
  </si>
  <si>
    <t>THOMAS DOBBS</t>
  </si>
  <si>
    <t>12/31/2013</t>
  </si>
  <si>
    <t>1686   SYCAMORE AVE</t>
  </si>
  <si>
    <t>[234713982]</t>
  </si>
  <si>
    <t>429359</t>
  </si>
  <si>
    <t>194.96</t>
  </si>
  <si>
    <t>111.98</t>
  </si>
  <si>
    <t>77.99</t>
  </si>
  <si>
    <t>25689247</t>
  </si>
  <si>
    <t>74047409</t>
  </si>
  <si>
    <t>THOMAS KENNEDY</t>
  </si>
  <si>
    <t>318 306 9529</t>
  </si>
  <si>
    <t>117   OAK TERRACE DR</t>
  </si>
  <si>
    <t>3HW13AW0006B2</t>
  </si>
  <si>
    <t>637914</t>
  </si>
  <si>
    <t>167.5</t>
  </si>
  <si>
    <t>79.92</t>
  </si>
  <si>
    <t>318 306-9529</t>
  </si>
  <si>
    <t>25689251</t>
  </si>
  <si>
    <t>74232903</t>
  </si>
  <si>
    <t>DAMON CLARK</t>
  </si>
  <si>
    <t>08/21/2013</t>
  </si>
  <si>
    <t>850 716 0845</t>
  </si>
  <si>
    <t>2807   DUNLOP LN</t>
  </si>
  <si>
    <t>[0L78T6M59P36]</t>
  </si>
  <si>
    <t>456577</t>
  </si>
  <si>
    <t>-317.30</t>
  </si>
  <si>
    <t>-351.29</t>
  </si>
  <si>
    <t>-480.02</t>
  </si>
  <si>
    <t>296.11</t>
  </si>
  <si>
    <t>147.56</t>
  </si>
  <si>
    <t>143.56</t>
  </si>
  <si>
    <t>850 716-0845</t>
  </si>
  <si>
    <t>850 333-8475</t>
  </si>
  <si>
    <t>25689285</t>
  </si>
  <si>
    <t>77942011</t>
  </si>
  <si>
    <t>RAUL SILVAS</t>
  </si>
  <si>
    <t>1111   27TH ST</t>
  </si>
  <si>
    <t>D7E4M13002769</t>
  </si>
  <si>
    <t>429868</t>
  </si>
  <si>
    <t>-846.17</t>
  </si>
  <si>
    <t>-503.39</t>
  </si>
  <si>
    <t>-156.00</t>
  </si>
  <si>
    <t>1004.73</t>
  </si>
  <si>
    <t>194.77</t>
  </si>
  <si>
    <t>809.96</t>
  </si>
  <si>
    <t>850 716-4351</t>
  </si>
  <si>
    <t>25689294</t>
  </si>
  <si>
    <t>78634612</t>
  </si>
  <si>
    <t>DESIREE EMERSON</t>
  </si>
  <si>
    <t>850 758 2293</t>
  </si>
  <si>
    <t>442  W 1ST AVE</t>
  </si>
  <si>
    <t>267297508</t>
  </si>
  <si>
    <t>0009778</t>
  </si>
  <si>
    <t>-631.02</t>
  </si>
  <si>
    <t>-182.65</t>
  </si>
  <si>
    <t>944.25</t>
  </si>
  <si>
    <t>248.43</t>
  </si>
  <si>
    <t>66.96</t>
  </si>
  <si>
    <t>628.86</t>
  </si>
  <si>
    <t>850 758-2293</t>
  </si>
  <si>
    <t>25689295</t>
  </si>
  <si>
    <t>78643118</t>
  </si>
  <si>
    <t>AMBER JACOBS</t>
  </si>
  <si>
    <t>850 603 5137</t>
  </si>
  <si>
    <t>211   LAKEVIEW DR</t>
  </si>
  <si>
    <t>SABMWWQRN</t>
  </si>
  <si>
    <t>426364</t>
  </si>
  <si>
    <t>275.01</t>
  </si>
  <si>
    <t>8.41</t>
  </si>
  <si>
    <t>173.01</t>
  </si>
  <si>
    <t>93.59</t>
  </si>
  <si>
    <t>850 603-5137</t>
  </si>
  <si>
    <t>25689302</t>
  </si>
  <si>
    <t>78843415</t>
  </si>
  <si>
    <t>CALLIE BRECKLER</t>
  </si>
  <si>
    <t>850 612 6952</t>
  </si>
  <si>
    <t>378  W WOODRUFF AVE</t>
  </si>
  <si>
    <t>3H2139W000AC9</t>
  </si>
  <si>
    <t>421938</t>
  </si>
  <si>
    <t>-12.43</t>
  </si>
  <si>
    <t>-86.97</t>
  </si>
  <si>
    <t>167.34</t>
  </si>
  <si>
    <t>80.78</t>
  </si>
  <si>
    <t>850 612-6952</t>
  </si>
  <si>
    <t>25689304</t>
  </si>
  <si>
    <t>79059802</t>
  </si>
  <si>
    <t>LYN LAND-ROGERS</t>
  </si>
  <si>
    <t>06/11/1998</t>
  </si>
  <si>
    <t>850 682 1328</t>
  </si>
  <si>
    <t>117   SPRINGWOOD CIR</t>
  </si>
  <si>
    <t>236716523</t>
  </si>
  <si>
    <t>J574633</t>
  </si>
  <si>
    <t>342.87</t>
  </si>
  <si>
    <t>194.61</t>
  </si>
  <si>
    <t>143.27</t>
  </si>
  <si>
    <t>2002-09-27 00:00:00</t>
  </si>
  <si>
    <t>850 682-1328</t>
  </si>
  <si>
    <t>25689312</t>
  </si>
  <si>
    <t>79966225</t>
  </si>
  <si>
    <t>WILLIE CRAWFORD</t>
  </si>
  <si>
    <t>12/02/2014</t>
  </si>
  <si>
    <t>850 279 4463</t>
  </si>
  <si>
    <t>211   EVANS ST</t>
  </si>
  <si>
    <t>236344613</t>
  </si>
  <si>
    <t>704733</t>
  </si>
  <si>
    <t>-175.95</t>
  </si>
  <si>
    <t>-348.61</t>
  </si>
  <si>
    <t>-147.20</t>
  </si>
  <si>
    <t>322.43</t>
  </si>
  <si>
    <t>158.7</t>
  </si>
  <si>
    <t>850 279-4463</t>
  </si>
  <si>
    <t>25689314</t>
  </si>
  <si>
    <t>80056203</t>
  </si>
  <si>
    <t>CHRISTOPHE WHITFIELD</t>
  </si>
  <si>
    <t>850 826 1221</t>
  </si>
  <si>
    <t>3114   AUBURN RD</t>
  </si>
  <si>
    <t>371985</t>
  </si>
  <si>
    <t>-93.77</t>
  </si>
  <si>
    <t>-84.98</t>
  </si>
  <si>
    <t>217.54</t>
  </si>
  <si>
    <t>118.78</t>
  </si>
  <si>
    <t>93.77</t>
  </si>
  <si>
    <t>850 826-1221</t>
  </si>
  <si>
    <t>25689328</t>
  </si>
  <si>
    <t>80880817</t>
  </si>
  <si>
    <t>CHERYL NEWMAN</t>
  </si>
  <si>
    <t>06/21/2013</t>
  </si>
  <si>
    <t>850 714 3965</t>
  </si>
  <si>
    <t>1506   27TH ST</t>
  </si>
  <si>
    <t>SACBJMTGX</t>
  </si>
  <si>
    <t>965126</t>
  </si>
  <si>
    <t>-121.92</t>
  </si>
  <si>
    <t>-112.87</t>
  </si>
  <si>
    <t>-107.88</t>
  </si>
  <si>
    <t>110.65</t>
  </si>
  <si>
    <t>72.69</t>
  </si>
  <si>
    <t>32.97</t>
  </si>
  <si>
    <t>850 714-3965</t>
  </si>
  <si>
    <t>573 789-6961</t>
  </si>
  <si>
    <t>25693231</t>
  </si>
  <si>
    <t>5023103</t>
  </si>
  <si>
    <t>HALEY MILLER</t>
  </si>
  <si>
    <t>850 902 5212</t>
  </si>
  <si>
    <t>4382   ANTIOCH RD</t>
  </si>
  <si>
    <t>SABQPHQBN</t>
  </si>
  <si>
    <t>448046</t>
  </si>
  <si>
    <t>295.71</t>
  </si>
  <si>
    <t>155.92</t>
  </si>
  <si>
    <t>850 902-5212</t>
  </si>
  <si>
    <t>25693236</t>
  </si>
  <si>
    <t>5670906</t>
  </si>
  <si>
    <t>anthony lash</t>
  </si>
  <si>
    <t>5239   NEWMAN AVE</t>
  </si>
  <si>
    <t>SABHHDQNK</t>
  </si>
  <si>
    <t>1003125</t>
  </si>
  <si>
    <t>-166.70</t>
  </si>
  <si>
    <t>-219.00</t>
  </si>
  <si>
    <t>-303.00</t>
  </si>
  <si>
    <t>357.25</t>
  </si>
  <si>
    <t>144.48</t>
  </si>
  <si>
    <t>207.78</t>
  </si>
  <si>
    <t>850 333-9655</t>
  </si>
  <si>
    <t>25693237</t>
  </si>
  <si>
    <t>5800401</t>
  </si>
  <si>
    <t>MR G A LINDSEY</t>
  </si>
  <si>
    <t>850 678 6074</t>
  </si>
  <si>
    <t>327   GRAND OAKS DR</t>
  </si>
  <si>
    <t>[01XS1N4271S7]</t>
  </si>
  <si>
    <t>834141</t>
  </si>
  <si>
    <t>GX22974</t>
  </si>
  <si>
    <t>-192.00</t>
  </si>
  <si>
    <t>-387.99</t>
  </si>
  <si>
    <t>392.99</t>
  </si>
  <si>
    <t>196</t>
  </si>
  <si>
    <t>850 678-6074</t>
  </si>
  <si>
    <t>334 897-6129</t>
  </si>
  <si>
    <t>25693262</t>
  </si>
  <si>
    <t>7716602</t>
  </si>
  <si>
    <t>JAMES GREEN</t>
  </si>
  <si>
    <t>5354   HABURN ST</t>
  </si>
  <si>
    <t>[D5W3R44007512]</t>
  </si>
  <si>
    <t>1018266</t>
  </si>
  <si>
    <t>-180.61</t>
  </si>
  <si>
    <t>356.87</t>
  </si>
  <si>
    <t>147.18</t>
  </si>
  <si>
    <t>29.08</t>
  </si>
  <si>
    <t>180.61</t>
  </si>
  <si>
    <t>850 826-1507</t>
  </si>
  <si>
    <t>25693523</t>
  </si>
  <si>
    <t>77822815</t>
  </si>
  <si>
    <t>RAYMOND SITTERLY</t>
  </si>
  <si>
    <t>710   27TH ST</t>
  </si>
  <si>
    <t>E1C4M13002736</t>
  </si>
  <si>
    <t>2164962</t>
  </si>
  <si>
    <t>612.4</t>
  </si>
  <si>
    <t>301.6</t>
  </si>
  <si>
    <t>283.46</t>
  </si>
  <si>
    <t>607 337-8293</t>
  </si>
  <si>
    <t>25693525</t>
  </si>
  <si>
    <t>78279319</t>
  </si>
  <si>
    <t>JAMES JENKINS</t>
  </si>
  <si>
    <t>10/01/2014</t>
  </si>
  <si>
    <t>850 687 0687</t>
  </si>
  <si>
    <t>200   BARTONWOOD CT</t>
  </si>
  <si>
    <t>236032059</t>
  </si>
  <si>
    <t>655667</t>
  </si>
  <si>
    <t>-36.89</t>
  </si>
  <si>
    <t>-70.90</t>
  </si>
  <si>
    <t>94.59</t>
  </si>
  <si>
    <t>90.32</t>
  </si>
  <si>
    <t>850 687-0687</t>
  </si>
  <si>
    <t>25693529</t>
  </si>
  <si>
    <t>78582312</t>
  </si>
  <si>
    <t>Tammy Eastlick</t>
  </si>
  <si>
    <t>850 758 9951</t>
  </si>
  <si>
    <t>1150  S WILSON ST</t>
  </si>
  <si>
    <t>SABQPJZXJ</t>
  </si>
  <si>
    <t>2141226</t>
  </si>
  <si>
    <t>443.93</t>
  </si>
  <si>
    <t>392.73</t>
  </si>
  <si>
    <t>46.21</t>
  </si>
  <si>
    <t>850 758-9951</t>
  </si>
  <si>
    <t>25693531</t>
  </si>
  <si>
    <t>78630420</t>
  </si>
  <si>
    <t>JAMEL COLEMAN</t>
  </si>
  <si>
    <t>850 902 9414</t>
  </si>
  <si>
    <t>124   EDGEWATER DR</t>
  </si>
  <si>
    <t>261727660</t>
  </si>
  <si>
    <t>722054</t>
  </si>
  <si>
    <t>-128.95</t>
  </si>
  <si>
    <t>-32.00</t>
  </si>
  <si>
    <t>-31.98</t>
  </si>
  <si>
    <t>356.7</t>
  </si>
  <si>
    <t>174.42</t>
  </si>
  <si>
    <t>177.29</t>
  </si>
  <si>
    <t>850 902-9414</t>
  </si>
  <si>
    <t>25693532</t>
  </si>
  <si>
    <t>78642823</t>
  </si>
  <si>
    <t>JESSICA FELTROP</t>
  </si>
  <si>
    <t>850 612 9706</t>
  </si>
  <si>
    <t>114   EDGEWATER DR</t>
  </si>
  <si>
    <t>3H213BWK02B6F</t>
  </si>
  <si>
    <t>444067</t>
  </si>
  <si>
    <t>-54.45</t>
  </si>
  <si>
    <t>-210.95</t>
  </si>
  <si>
    <t>-103.49</t>
  </si>
  <si>
    <t>136.14</t>
  </si>
  <si>
    <t>67.57</t>
  </si>
  <si>
    <t>63.58</t>
  </si>
  <si>
    <t>850 612-9706</t>
  </si>
  <si>
    <t>25693537</t>
  </si>
  <si>
    <t>78912320</t>
  </si>
  <si>
    <t>JENNIFER THOMAS</t>
  </si>
  <si>
    <t>850 758 5888</t>
  </si>
  <si>
    <t>394   HOSPITAL DR</t>
  </si>
  <si>
    <t>[H000000005598]</t>
  </si>
  <si>
    <t>424037</t>
  </si>
  <si>
    <t>-97.13</t>
  </si>
  <si>
    <t>-92.14</t>
  </si>
  <si>
    <t>-92.07</t>
  </si>
  <si>
    <t>189.23</t>
  </si>
  <si>
    <t>92.1</t>
  </si>
  <si>
    <t>92.14</t>
  </si>
  <si>
    <t>850 758-5888</t>
  </si>
  <si>
    <t>25693541</t>
  </si>
  <si>
    <t>79657712</t>
  </si>
  <si>
    <t>JO BETH GRACZYK</t>
  </si>
  <si>
    <t>01/20/2013</t>
  </si>
  <si>
    <t>850 461 4711</t>
  </si>
  <si>
    <t>506   CHEROKEE RD</t>
  </si>
  <si>
    <t>244218936</t>
  </si>
  <si>
    <t>422803</t>
  </si>
  <si>
    <t>-85.40</t>
  </si>
  <si>
    <t>209.96</t>
  </si>
  <si>
    <t>115.58</t>
  </si>
  <si>
    <t>850 461-4711</t>
  </si>
  <si>
    <t>25693546</t>
  </si>
  <si>
    <t>79989803</t>
  </si>
  <si>
    <t>JAMES R SHAFFER</t>
  </si>
  <si>
    <t>07/22/2004</t>
  </si>
  <si>
    <t>6187   BETHANY DR</t>
  </si>
  <si>
    <t>[500500311817]</t>
  </si>
  <si>
    <t>T699215</t>
  </si>
  <si>
    <t>-365.15</t>
  </si>
  <si>
    <t>-182.55</t>
  </si>
  <si>
    <t>416.26</t>
  </si>
  <si>
    <t>207.75</t>
  </si>
  <si>
    <t>203.52</t>
  </si>
  <si>
    <t>25693549</t>
  </si>
  <si>
    <t>80252021</t>
  </si>
  <si>
    <t>Calvin Walker</t>
  </si>
  <si>
    <t>850 313 3326</t>
  </si>
  <si>
    <t>425   BROOKMEADE DR</t>
  </si>
  <si>
    <t>[264982778]</t>
  </si>
  <si>
    <t>863648</t>
  </si>
  <si>
    <t>381.98</t>
  </si>
  <si>
    <t>10.7</t>
  </si>
  <si>
    <t>135.27</t>
  </si>
  <si>
    <t>220.78</t>
  </si>
  <si>
    <t>850 313-3326</t>
  </si>
  <si>
    <t>25693550</t>
  </si>
  <si>
    <t>80312904</t>
  </si>
  <si>
    <t>VIRGINIA D ROGERS</t>
  </si>
  <si>
    <t>12/10/1993</t>
  </si>
  <si>
    <t>850 306 1018</t>
  </si>
  <si>
    <t>1423  S RAYBURN ST</t>
  </si>
  <si>
    <t>08RD335NKMH2</t>
  </si>
  <si>
    <t>397675</t>
  </si>
  <si>
    <t>-119.36</t>
  </si>
  <si>
    <t>473.83</t>
  </si>
  <si>
    <t>164.31</t>
  </si>
  <si>
    <t>192.06</t>
  </si>
  <si>
    <t>117.46</t>
  </si>
  <si>
    <t>850 306-1018</t>
  </si>
  <si>
    <t>25693557</t>
  </si>
  <si>
    <t>81040405</t>
  </si>
  <si>
    <t>KENNETH BUTTERWORTH</t>
  </si>
  <si>
    <t>850 398 6040</t>
  </si>
  <si>
    <t>305   ISLAND DR</t>
  </si>
  <si>
    <t>231696156</t>
  </si>
  <si>
    <t>917912</t>
  </si>
  <si>
    <t>-78.50</t>
  </si>
  <si>
    <t>-68.07</t>
  </si>
  <si>
    <t>181.69</t>
  </si>
  <si>
    <t>116.88</t>
  </si>
  <si>
    <t>59.82</t>
  </si>
  <si>
    <t>850 398-6040</t>
  </si>
  <si>
    <t>25693287</t>
  </si>
  <si>
    <t>10011805</t>
  </si>
  <si>
    <t>JENNIFER COOKE</t>
  </si>
  <si>
    <t>01/22/2011</t>
  </si>
  <si>
    <t>850 399 1147</t>
  </si>
  <si>
    <t>1700   COUNTY HIGHWAY 83A</t>
  </si>
  <si>
    <t>[0HYTSSVNFMG0]</t>
  </si>
  <si>
    <t>2323323</t>
  </si>
  <si>
    <t>-246.00</t>
  </si>
  <si>
    <t>-259.23</t>
  </si>
  <si>
    <t>-240.43</t>
  </si>
  <si>
    <t>579.34</t>
  </si>
  <si>
    <t>40.38</t>
  </si>
  <si>
    <t>228.29</t>
  </si>
  <si>
    <t>302.59</t>
  </si>
  <si>
    <t>8.08</t>
  </si>
  <si>
    <t>850 399-1147</t>
  </si>
  <si>
    <t>850 399-1918</t>
  </si>
  <si>
    <t>25693298</t>
  </si>
  <si>
    <t>11745901</t>
  </si>
  <si>
    <t>CHRISTINE L SWABB</t>
  </si>
  <si>
    <t>01/20/2007</t>
  </si>
  <si>
    <t>4239   COUNTRY BREEZE LN</t>
  </si>
  <si>
    <t>X349196</t>
  </si>
  <si>
    <t>[0HYTSX1C25H1]</t>
  </si>
  <si>
    <t>0018382</t>
  </si>
  <si>
    <t>-209.75</t>
  </si>
  <si>
    <t>-287.93</t>
  </si>
  <si>
    <t>-197.53</t>
  </si>
  <si>
    <t>390.08</t>
  </si>
  <si>
    <t>192.55</t>
  </si>
  <si>
    <t>192.54</t>
  </si>
  <si>
    <t>2012-12-17 00:00:00</t>
  </si>
  <si>
    <t>843 307-9877</t>
  </si>
  <si>
    <t>25675934</t>
  </si>
  <si>
    <t>77916230</t>
  </si>
  <si>
    <t>MARK MILLER</t>
  </si>
  <si>
    <t>850 865 1489</t>
  </si>
  <si>
    <t>711   CYPRESS DR</t>
  </si>
  <si>
    <t>[222943368]</t>
  </si>
  <si>
    <t>751415</t>
  </si>
  <si>
    <t>912.35</t>
  </si>
  <si>
    <t>41.92</t>
  </si>
  <si>
    <t>570.6</t>
  </si>
  <si>
    <t>172.12</t>
  </si>
  <si>
    <t>127.71</t>
  </si>
  <si>
    <t>850 865-1489</t>
  </si>
  <si>
    <t>25675703</t>
  </si>
  <si>
    <t>25675723</t>
  </si>
  <si>
    <t>25675735</t>
  </si>
  <si>
    <t>1109</t>
  </si>
  <si>
    <t>25682512</t>
  </si>
  <si>
    <t>25682555</t>
  </si>
  <si>
    <t>25685930</t>
  </si>
  <si>
    <t>25687930</t>
  </si>
  <si>
    <t>8624407</t>
  </si>
  <si>
    <t>ALLEN FLANAGAN</t>
  </si>
  <si>
    <t>850 225 2405</t>
  </si>
  <si>
    <t>1243   NORTHVIEW DR</t>
  </si>
  <si>
    <t>236522803</t>
  </si>
  <si>
    <t>437107</t>
  </si>
  <si>
    <t>437.88</t>
  </si>
  <si>
    <t>207.98</t>
  </si>
  <si>
    <t>208.15</t>
  </si>
  <si>
    <t>21.75</t>
  </si>
  <si>
    <t>850 225-2405</t>
  </si>
  <si>
    <t>25687950</t>
  </si>
  <si>
    <t>25688120</t>
  </si>
  <si>
    <t>25689048</t>
  </si>
  <si>
    <t>25689246</t>
  </si>
  <si>
    <t>25689286</t>
  </si>
  <si>
    <t>25689287</t>
  </si>
  <si>
    <t>25689317</t>
  </si>
  <si>
    <t>80188608</t>
  </si>
  <si>
    <t>JOSEPH MOTLEY</t>
  </si>
  <si>
    <t>06/21/2014</t>
  </si>
  <si>
    <t>850 398 8714</t>
  </si>
  <si>
    <t>1086   TALLOKAS RD</t>
  </si>
  <si>
    <t>[502330406236]</t>
  </si>
  <si>
    <t>838286</t>
  </si>
  <si>
    <t>-7.71</t>
  </si>
  <si>
    <t>-107.71</t>
  </si>
  <si>
    <t>325.24</t>
  </si>
  <si>
    <t>207.68</t>
  </si>
  <si>
    <t>112.57</t>
  </si>
  <si>
    <t>850 398-8714</t>
  </si>
  <si>
    <t>25689320</t>
  </si>
  <si>
    <t>25693224</t>
  </si>
  <si>
    <t>25696833</t>
  </si>
  <si>
    <t>4512111</t>
  </si>
  <si>
    <t>Blaine Lawlor</t>
  </si>
  <si>
    <t>850 384 6564</t>
  </si>
  <si>
    <t>1435   GREYSTONE DR</t>
  </si>
  <si>
    <t>0094</t>
  </si>
  <si>
    <t>[0N6R29RHL2H3]</t>
  </si>
  <si>
    <t>412082</t>
  </si>
  <si>
    <t>850 384-6564</t>
  </si>
  <si>
    <t>25696983</t>
  </si>
  <si>
    <t>71208311</t>
  </si>
  <si>
    <t>CALVIN GRIFFIN</t>
  </si>
  <si>
    <t>334 268 8266</t>
  </si>
  <si>
    <t>5207   CHARBAR DR</t>
  </si>
  <si>
    <t>DCJ4M13000540</t>
  </si>
  <si>
    <t>1049549</t>
  </si>
  <si>
    <t>08/17/2015</t>
  </si>
  <si>
    <t>-67.28</t>
  </si>
  <si>
    <t>69.58</t>
  </si>
  <si>
    <t>46.47</t>
  </si>
  <si>
    <t>23.11</t>
  </si>
  <si>
    <t>334 268-8266</t>
  </si>
  <si>
    <t>10596504</t>
  </si>
  <si>
    <t>Tim Borce</t>
  </si>
  <si>
    <t>10/24/2014</t>
  </si>
  <si>
    <t>3130A   BARRANCAS AVE</t>
  </si>
  <si>
    <t>SACBDFRSG</t>
  </si>
  <si>
    <t>1004085</t>
  </si>
  <si>
    <t>-159.08</t>
  </si>
  <si>
    <t>-181.25</t>
  </si>
  <si>
    <t>-168.27</t>
  </si>
  <si>
    <t>159.14</t>
  </si>
  <si>
    <t>27.13</t>
  </si>
  <si>
    <t>132.01</t>
  </si>
  <si>
    <t>999 999-9999</t>
  </si>
  <si>
    <t>08/06/2015</t>
  </si>
  <si>
    <t>25703582</t>
  </si>
  <si>
    <t>4468016</t>
  </si>
  <si>
    <t>JOYCE WIGGINS</t>
  </si>
  <si>
    <t>12/25/2014</t>
  </si>
  <si>
    <t>850 377 0743</t>
  </si>
  <si>
    <t>1445   GREYSTONE DR</t>
  </si>
  <si>
    <t>246182539</t>
  </si>
  <si>
    <t>771601</t>
  </si>
  <si>
    <t>725555</t>
  </si>
  <si>
    <t>08/18/2015</t>
  </si>
  <si>
    <t>-39.00</t>
  </si>
  <si>
    <t>-38.98</t>
  </si>
  <si>
    <t>90.45</t>
  </si>
  <si>
    <t>29.97</t>
  </si>
  <si>
    <t>850 377-0743</t>
  </si>
  <si>
    <t>25706742</t>
  </si>
  <si>
    <t>71432202</t>
  </si>
  <si>
    <t>ERVIN KENNEDY</t>
  </si>
  <si>
    <t>05/26/2012</t>
  </si>
  <si>
    <t>850 968 6206</t>
  </si>
  <si>
    <t>3054   WOODBURY CIR</t>
  </si>
  <si>
    <t>[216382025]</t>
  </si>
  <si>
    <t>R014371</t>
  </si>
  <si>
    <t>08/19/2015</t>
  </si>
  <si>
    <t>-95.32</t>
  </si>
  <si>
    <t>99.1</t>
  </si>
  <si>
    <t>850 968-6206</t>
  </si>
  <si>
    <t>25706569</t>
  </si>
  <si>
    <t>780709</t>
  </si>
  <si>
    <t>JUDY L IVES</t>
  </si>
  <si>
    <t>06/02/2012</t>
  </si>
  <si>
    <t>850 586 8616</t>
  </si>
  <si>
    <t>8133   CRYSTAL WELLS PL</t>
  </si>
  <si>
    <t>247864126</t>
  </si>
  <si>
    <t>813428</t>
  </si>
  <si>
    <t>163.57</t>
  </si>
  <si>
    <t>121.05</t>
  </si>
  <si>
    <t>850 586-8616</t>
  </si>
  <si>
    <t>08/08/2015</t>
  </si>
  <si>
    <t>25708229</t>
  </si>
  <si>
    <t>66797918</t>
  </si>
  <si>
    <t>KERI ohara</t>
  </si>
  <si>
    <t>352 585 5327</t>
  </si>
  <si>
    <t xml:space="preserve">   184</t>
  </si>
  <si>
    <t>E124M13000915</t>
  </si>
  <si>
    <t>585669</t>
  </si>
  <si>
    <t>330</t>
  </si>
  <si>
    <t>46.02</t>
  </si>
  <si>
    <t>177.2</t>
  </si>
  <si>
    <t>106.78</t>
  </si>
  <si>
    <t>352 585-5327</t>
  </si>
  <si>
    <t>25709176</t>
  </si>
  <si>
    <t>2392110</t>
  </si>
  <si>
    <t>ANGELA HILL</t>
  </si>
  <si>
    <t>850 293 1250</t>
  </si>
  <si>
    <t>405  N F ST</t>
  </si>
  <si>
    <t>5551,5651</t>
  </si>
  <si>
    <t>SABNRBNJS</t>
  </si>
  <si>
    <t>1060258</t>
  </si>
  <si>
    <t>185.49</t>
  </si>
  <si>
    <t>120.97</t>
  </si>
  <si>
    <t>43.02</t>
  </si>
  <si>
    <t>850 293-1250</t>
  </si>
  <si>
    <t>25709393</t>
  </si>
  <si>
    <t>68974811</t>
  </si>
  <si>
    <t>viola wiggins</t>
  </si>
  <si>
    <t>850 384 8074</t>
  </si>
  <si>
    <t>1307  N Y ST</t>
  </si>
  <si>
    <t>SACDMPBWH</t>
  </si>
  <si>
    <t>495078</t>
  </si>
  <si>
    <t>488657</t>
  </si>
  <si>
    <t>145.56</t>
  </si>
  <si>
    <t>83.73</t>
  </si>
  <si>
    <t>40.33</t>
  </si>
  <si>
    <t>850 384-8074</t>
  </si>
  <si>
    <t>850 435-3167</t>
  </si>
  <si>
    <t>25712699</t>
  </si>
  <si>
    <t>69094804</t>
  </si>
  <si>
    <t>Rebecca Wright</t>
  </si>
  <si>
    <t>850 281 3975</t>
  </si>
  <si>
    <t>4217   WYCLIFF DR</t>
  </si>
  <si>
    <t>SABWQBKXR</t>
  </si>
  <si>
    <t>586470</t>
  </si>
  <si>
    <t>2341084</t>
  </si>
  <si>
    <t>-146.00</t>
  </si>
  <si>
    <t>264.61</t>
  </si>
  <si>
    <t>149.52</t>
  </si>
  <si>
    <t>850 281-3975</t>
  </si>
  <si>
    <t>25712745</t>
  </si>
  <si>
    <t>72276705</t>
  </si>
  <si>
    <t>DARRYL KYLES</t>
  </si>
  <si>
    <t>850 221 0395</t>
  </si>
  <si>
    <t>141   ATTUCKS CT</t>
  </si>
  <si>
    <t>SABQBRFQK</t>
  </si>
  <si>
    <t>771994</t>
  </si>
  <si>
    <t>638474</t>
  </si>
  <si>
    <t>240.25</t>
  </si>
  <si>
    <t>218.75</t>
  </si>
  <si>
    <t>850 221-0395</t>
  </si>
  <si>
    <t>25712752</t>
  </si>
  <si>
    <t>16180214</t>
  </si>
  <si>
    <t>MEGHAN CONKLIN</t>
  </si>
  <si>
    <t>850 516 2119</t>
  </si>
  <si>
    <t>1400  E DE SOTO ST</t>
  </si>
  <si>
    <t>236359573</t>
  </si>
  <si>
    <t>889792</t>
  </si>
  <si>
    <t>-143.46</t>
  </si>
  <si>
    <t>91.13</t>
  </si>
  <si>
    <t>850 516-2119</t>
  </si>
  <si>
    <t>25712753</t>
  </si>
  <si>
    <t>16286709</t>
  </si>
  <si>
    <t>Mary Shirkey</t>
  </si>
  <si>
    <t>850 497 6677</t>
  </si>
  <si>
    <t>1519  N 69TH AVE</t>
  </si>
  <si>
    <t>262527477</t>
  </si>
  <si>
    <t>771622</t>
  </si>
  <si>
    <t>-208.54</t>
  </si>
  <si>
    <t>-279.29</t>
  </si>
  <si>
    <t>262.42</t>
  </si>
  <si>
    <t>240.92</t>
  </si>
  <si>
    <t>850 497-6677</t>
  </si>
  <si>
    <t>25712756</t>
  </si>
  <si>
    <t>16448202</t>
  </si>
  <si>
    <t>gloria gordon</t>
  </si>
  <si>
    <t>850 725 0880</t>
  </si>
  <si>
    <t>4870   PEACOCK DR</t>
  </si>
  <si>
    <t>4058</t>
  </si>
  <si>
    <t>260924827</t>
  </si>
  <si>
    <t>403728</t>
  </si>
  <si>
    <t>-49.00</t>
  </si>
  <si>
    <t>70.3</t>
  </si>
  <si>
    <t>48.8</t>
  </si>
  <si>
    <t>850 725-0880</t>
  </si>
  <si>
    <t>25712839</t>
  </si>
  <si>
    <t>60159105</t>
  </si>
  <si>
    <t>HELEN MADISON</t>
  </si>
  <si>
    <t>06/23/1999</t>
  </si>
  <si>
    <t>850 478 3157</t>
  </si>
  <si>
    <t>1158   CAPITOL BLVD</t>
  </si>
  <si>
    <t>3847</t>
  </si>
  <si>
    <t>743BMU5CX282139</t>
  </si>
  <si>
    <t>379240</t>
  </si>
  <si>
    <t>-95.81</t>
  </si>
  <si>
    <t>67.1</t>
  </si>
  <si>
    <t>40.61</t>
  </si>
  <si>
    <t>2013-12-16 00:00:00</t>
  </si>
  <si>
    <t>850 478-3157</t>
  </si>
  <si>
    <t>25703715</t>
  </si>
  <si>
    <t>25709153</t>
  </si>
  <si>
    <t>25712881</t>
  </si>
  <si>
    <t>25696948</t>
  </si>
  <si>
    <t>65962017</t>
  </si>
  <si>
    <t>Logan Ellis</t>
  </si>
  <si>
    <t>05/21/2014</t>
  </si>
  <si>
    <t>251 463 3975</t>
  </si>
  <si>
    <t>300   BAYOU BLVD</t>
  </si>
  <si>
    <t xml:space="preserve">   303</t>
  </si>
  <si>
    <t>SABRJMZLT</t>
  </si>
  <si>
    <t>812346</t>
  </si>
  <si>
    <t>-164.13</t>
  </si>
  <si>
    <t>-50.21</t>
  </si>
  <si>
    <t>371.89</t>
  </si>
  <si>
    <t>175.21</t>
  </si>
  <si>
    <t>191.69</t>
  </si>
  <si>
    <t>251 463-3975</t>
  </si>
  <si>
    <t>25696970</t>
  </si>
  <si>
    <t>68627002</t>
  </si>
  <si>
    <t>Paul McNiel</t>
  </si>
  <si>
    <t>1919  N TARRAGONA ST</t>
  </si>
  <si>
    <t>SABSPJZHT</t>
  </si>
  <si>
    <t>881968</t>
  </si>
  <si>
    <t>104.65</t>
  </si>
  <si>
    <t>51.83</t>
  </si>
  <si>
    <t>47.83</t>
  </si>
  <si>
    <t>25696977</t>
  </si>
  <si>
    <t>69281107</t>
  </si>
  <si>
    <t>KEITH HUNTER</t>
  </si>
  <si>
    <t>11/11/2014</t>
  </si>
  <si>
    <t>607   BARCIA DR</t>
  </si>
  <si>
    <t>PEN8600</t>
  </si>
  <si>
    <t>HH696CMDP</t>
  </si>
  <si>
    <t>853232</t>
  </si>
  <si>
    <t>W774803</t>
  </si>
  <si>
    <t>142.23</t>
  </si>
  <si>
    <t>45.55</t>
  </si>
  <si>
    <t>25700228</t>
  </si>
  <si>
    <t>1391710</t>
  </si>
  <si>
    <t>CIARA MITCHELL</t>
  </si>
  <si>
    <t>11/07/2014</t>
  </si>
  <si>
    <t>850 291 2373</t>
  </si>
  <si>
    <t>1405   BAKALANE CT</t>
  </si>
  <si>
    <t xml:space="preserve">   24A</t>
  </si>
  <si>
    <t>SACBMCBQB</t>
  </si>
  <si>
    <t>2069434</t>
  </si>
  <si>
    <t>709435</t>
  </si>
  <si>
    <t>-287.00</t>
  </si>
  <si>
    <t>380.49</t>
  </si>
  <si>
    <t>94.98</t>
  </si>
  <si>
    <t>280.52</t>
  </si>
  <si>
    <t>850 291-2373</t>
  </si>
  <si>
    <t>318 789-3808</t>
  </si>
  <si>
    <t>850 418-6443</t>
  </si>
  <si>
    <t>25700378</t>
  </si>
  <si>
    <t>66259104</t>
  </si>
  <si>
    <t>GWENOLYN GOODLOW</t>
  </si>
  <si>
    <t>850 433 9545</t>
  </si>
  <si>
    <t>107  W HIGHLAND DR</t>
  </si>
  <si>
    <t>1217653</t>
  </si>
  <si>
    <t>2309241</t>
  </si>
  <si>
    <t>-262.63</t>
  </si>
  <si>
    <t>191.7</t>
  </si>
  <si>
    <t>95.02</t>
  </si>
  <si>
    <t>850 433-9545</t>
  </si>
  <si>
    <t>850 453-1321</t>
  </si>
  <si>
    <t>25700389</t>
  </si>
  <si>
    <t>67693103</t>
  </si>
  <si>
    <t>VONCHEA EDWARDS</t>
  </si>
  <si>
    <t>850 292 2561</t>
  </si>
  <si>
    <t>1402  E FISHER ST</t>
  </si>
  <si>
    <t>248472034</t>
  </si>
  <si>
    <t>1004901</t>
  </si>
  <si>
    <t>-244.45</t>
  </si>
  <si>
    <t>-160.80</t>
  </si>
  <si>
    <t>314.58</t>
  </si>
  <si>
    <t>196.32</t>
  </si>
  <si>
    <t>113.27</t>
  </si>
  <si>
    <t>850 292-2561</t>
  </si>
  <si>
    <t>25700426</t>
  </si>
  <si>
    <t>72359307</t>
  </si>
  <si>
    <t>JEREMY BREWER</t>
  </si>
  <si>
    <t>2910   PICKFORD PL</t>
  </si>
  <si>
    <t>236340014</t>
  </si>
  <si>
    <t>514887</t>
  </si>
  <si>
    <t>191.82</t>
  </si>
  <si>
    <t>70.15</t>
  </si>
  <si>
    <t>116.68</t>
  </si>
  <si>
    <t>850 760-7933</t>
  </si>
  <si>
    <t>25703556</t>
  </si>
  <si>
    <t>491621</t>
  </si>
  <si>
    <t>NIEA LEWIS</t>
  </si>
  <si>
    <t>678 308 4732</t>
  </si>
  <si>
    <t>1285   PINNACLE CIR</t>
  </si>
  <si>
    <t>262966393</t>
  </si>
  <si>
    <t>835469</t>
  </si>
  <si>
    <t>-326.99</t>
  </si>
  <si>
    <t>440.68</t>
  </si>
  <si>
    <t>11.9</t>
  </si>
  <si>
    <t>232.16</t>
  </si>
  <si>
    <t>196.62</t>
  </si>
  <si>
    <t>678 308-4732</t>
  </si>
  <si>
    <t>25703590</t>
  </si>
  <si>
    <t>5683801</t>
  </si>
  <si>
    <t>IDA SIEGEL</t>
  </si>
  <si>
    <t>11/27/2001</t>
  </si>
  <si>
    <t>850 433 2957</t>
  </si>
  <si>
    <t>234   SEVERIN DR</t>
  </si>
  <si>
    <t>4653</t>
  </si>
  <si>
    <t>SABVDXXWG</t>
  </si>
  <si>
    <t>P698256</t>
  </si>
  <si>
    <t>-147.77</t>
  </si>
  <si>
    <t>181.77</t>
  </si>
  <si>
    <t>850 433-2957</t>
  </si>
  <si>
    <t>25703644</t>
  </si>
  <si>
    <t>17732501</t>
  </si>
  <si>
    <t>JASMINE ABNER</t>
  </si>
  <si>
    <t>850 549 7608</t>
  </si>
  <si>
    <t>5910  N PALAFOX ST</t>
  </si>
  <si>
    <t xml:space="preserve">    A5</t>
  </si>
  <si>
    <t>708819</t>
  </si>
  <si>
    <t>635737</t>
  </si>
  <si>
    <t>-76.82</t>
  </si>
  <si>
    <t>299.44</t>
  </si>
  <si>
    <t>51.01</t>
  </si>
  <si>
    <t>183.42</t>
  </si>
  <si>
    <t>65.01</t>
  </si>
  <si>
    <t>850 549-7608</t>
  </si>
  <si>
    <t>25703713</t>
  </si>
  <si>
    <t>71068917</t>
  </si>
  <si>
    <t>JON BONNER</t>
  </si>
  <si>
    <t>10/07/2014</t>
  </si>
  <si>
    <t>850 483 9565</t>
  </si>
  <si>
    <t>3170   BELLE MEADE DR</t>
  </si>
  <si>
    <t>[C9D3X13000440]</t>
  </si>
  <si>
    <t>435339</t>
  </si>
  <si>
    <t>-283.54</t>
  </si>
  <si>
    <t>-84.17</t>
  </si>
  <si>
    <t>-101.68</t>
  </si>
  <si>
    <t>447.43</t>
  </si>
  <si>
    <t>166.26</t>
  </si>
  <si>
    <t>138.85</t>
  </si>
  <si>
    <t>142.32</t>
  </si>
  <si>
    <t>850 483-9565</t>
  </si>
  <si>
    <t>25703714</t>
  </si>
  <si>
    <t>71101306</t>
  </si>
  <si>
    <t>MARY PARSONS</t>
  </si>
  <si>
    <t>01/25/2006</t>
  </si>
  <si>
    <t>850 477 7545</t>
  </si>
  <si>
    <t>2811   LANGLEY AVE</t>
  </si>
  <si>
    <t xml:space="preserve">   218</t>
  </si>
  <si>
    <t>[210321459]</t>
  </si>
  <si>
    <t>496269</t>
  </si>
  <si>
    <t>-123.63</t>
  </si>
  <si>
    <t>437.06</t>
  </si>
  <si>
    <t>190.33</t>
  </si>
  <si>
    <t>216.74</t>
  </si>
  <si>
    <t>850 477-7545</t>
  </si>
  <si>
    <t>850 698-1925</t>
  </si>
  <si>
    <t>25703716</t>
  </si>
  <si>
    <t>71319717</t>
  </si>
  <si>
    <t>Frantaveya Kelley</t>
  </si>
  <si>
    <t>850 760 4110</t>
  </si>
  <si>
    <t>1310   PINNACLE DR</t>
  </si>
  <si>
    <t>45U14BWF04CAE</t>
  </si>
  <si>
    <t>838877</t>
  </si>
  <si>
    <t>-93.73</t>
  </si>
  <si>
    <t>158.61</t>
  </si>
  <si>
    <t>54.72</t>
  </si>
  <si>
    <t>98.9</t>
  </si>
  <si>
    <t>850 760-4110</t>
  </si>
  <si>
    <t>25706634</t>
  </si>
  <si>
    <t>11869516</t>
  </si>
  <si>
    <t>DAVID WOOD</t>
  </si>
  <si>
    <t>602 369 0411</t>
  </si>
  <si>
    <t>590   TANGLEWOOD DR</t>
  </si>
  <si>
    <t>0022</t>
  </si>
  <si>
    <t>SABLBFZCC</t>
  </si>
  <si>
    <t>1217663</t>
  </si>
  <si>
    <t>P387613</t>
  </si>
  <si>
    <t>-117.22</t>
  </si>
  <si>
    <t>11/26/2014</t>
  </si>
  <si>
    <t>10/09/2014</t>
  </si>
  <si>
    <t>-172.24</t>
  </si>
  <si>
    <t>264.71</t>
  </si>
  <si>
    <t>85.59</t>
  </si>
  <si>
    <t>174.13</t>
  </si>
  <si>
    <t>602 369-0411</t>
  </si>
  <si>
    <t>25708204</t>
  </si>
  <si>
    <t>23884002</t>
  </si>
  <si>
    <t>MRS JUDITH N WHITE</t>
  </si>
  <si>
    <t>01/15/1998</t>
  </si>
  <si>
    <t>850 478 6356</t>
  </si>
  <si>
    <t>2223   LINDMONT AVE</t>
  </si>
  <si>
    <t>SABDHLXKW</t>
  </si>
  <si>
    <t>837793</t>
  </si>
  <si>
    <t>-161.05</t>
  </si>
  <si>
    <t>-188.11</t>
  </si>
  <si>
    <t>539.88</t>
  </si>
  <si>
    <t>181.58</t>
  </si>
  <si>
    <t>176.59</t>
  </si>
  <si>
    <t>9.12</t>
  </si>
  <si>
    <t>850 478-6356</t>
  </si>
  <si>
    <t>850 438-2000</t>
  </si>
  <si>
    <t>25708237</t>
  </si>
  <si>
    <t>67297402</t>
  </si>
  <si>
    <t>ANTHONY BOUCHER</t>
  </si>
  <si>
    <t>06/16/2012</t>
  </si>
  <si>
    <t>850 476 4103</t>
  </si>
  <si>
    <t>4610   CHRISTY DR</t>
  </si>
  <si>
    <t>F3BK6B7003056</t>
  </si>
  <si>
    <t>562014</t>
  </si>
  <si>
    <t>-188.12</t>
  </si>
  <si>
    <t>-178.87</t>
  </si>
  <si>
    <t>616.68</t>
  </si>
  <si>
    <t>210.9</t>
  </si>
  <si>
    <t>213.67</t>
  </si>
  <si>
    <t>192.11</t>
  </si>
  <si>
    <t>850 476-4103</t>
  </si>
  <si>
    <t>850 485-5298</t>
  </si>
  <si>
    <t>25708244</t>
  </si>
  <si>
    <t>69891030</t>
  </si>
  <si>
    <t>Nikiah Nettles</t>
  </si>
  <si>
    <t>850 572 3073</t>
  </si>
  <si>
    <t>1201   SCENIC HWY</t>
  </si>
  <si>
    <t>3HW147WC00746</t>
  </si>
  <si>
    <t>545812</t>
  </si>
  <si>
    <t>-83.00</t>
  </si>
  <si>
    <t>336.6</t>
  </si>
  <si>
    <t>64.61</t>
  </si>
  <si>
    <t>134</t>
  </si>
  <si>
    <t>850 572-3073</t>
  </si>
  <si>
    <t>25709151</t>
  </si>
  <si>
    <t>71102415</t>
  </si>
  <si>
    <t>Mr. Michael Pate</t>
  </si>
  <si>
    <t>09/27/2014</t>
  </si>
  <si>
    <t>850 208 4844</t>
  </si>
  <si>
    <t>6817   TIKI LN</t>
  </si>
  <si>
    <t>SABTTJCVH</t>
  </si>
  <si>
    <t>634555</t>
  </si>
  <si>
    <t>-91.46</t>
  </si>
  <si>
    <t>-204.38</t>
  </si>
  <si>
    <t>139.79</t>
  </si>
  <si>
    <t>39.35</t>
  </si>
  <si>
    <t>850 208-4844</t>
  </si>
  <si>
    <t>25709200</t>
  </si>
  <si>
    <t>3389207</t>
  </si>
  <si>
    <t>Brianna Madden</t>
  </si>
  <si>
    <t>11/27/2013</t>
  </si>
  <si>
    <t>850 454 7027</t>
  </si>
  <si>
    <t>1012  E GONZALEZ ST</t>
  </si>
  <si>
    <t>SABJVXCVM</t>
  </si>
  <si>
    <t>712386</t>
  </si>
  <si>
    <t>-132.48</t>
  </si>
  <si>
    <t>-149.99</t>
  </si>
  <si>
    <t>-158.97</t>
  </si>
  <si>
    <t>269.96</t>
  </si>
  <si>
    <t>132.49</t>
  </si>
  <si>
    <t>132.48</t>
  </si>
  <si>
    <t>850 454-7027</t>
  </si>
  <si>
    <t>25709236</t>
  </si>
  <si>
    <t>39408017</t>
  </si>
  <si>
    <t>DEENA PATTY</t>
  </si>
  <si>
    <t>850 525 2740</t>
  </si>
  <si>
    <t>1641   FAIRCHILD ST</t>
  </si>
  <si>
    <t>45U14AW90268D</t>
  </si>
  <si>
    <t>866626</t>
  </si>
  <si>
    <t>-201.42</t>
  </si>
  <si>
    <t>-203.84</t>
  </si>
  <si>
    <t>443.66</t>
  </si>
  <si>
    <t>208.32</t>
  </si>
  <si>
    <t>850 525-2740</t>
  </si>
  <si>
    <t>25709260</t>
  </si>
  <si>
    <t>6642307</t>
  </si>
  <si>
    <t>XEUNTRICE DAVIS</t>
  </si>
  <si>
    <t>1420   BAKALANE CT</t>
  </si>
  <si>
    <t xml:space="preserve">   14A</t>
  </si>
  <si>
    <t>833035</t>
  </si>
  <si>
    <t>196.06</t>
  </si>
  <si>
    <t>7.69</t>
  </si>
  <si>
    <t>850 696-5348</t>
  </si>
  <si>
    <t>25709337</t>
  </si>
  <si>
    <t>66776019</t>
  </si>
  <si>
    <t>BRANDON SIMS</t>
  </si>
  <si>
    <t>850 332 6926</t>
  </si>
  <si>
    <t>4805  N 9TH AVE</t>
  </si>
  <si>
    <t xml:space="preserve">    12</t>
  </si>
  <si>
    <t>SABLDBGXN</t>
  </si>
  <si>
    <t>634317</t>
  </si>
  <si>
    <t>402.92</t>
  </si>
  <si>
    <t>183.54</t>
  </si>
  <si>
    <t>178.55</t>
  </si>
  <si>
    <t>40.83</t>
  </si>
  <si>
    <t>850 332-6926</t>
  </si>
  <si>
    <t>850 202-0387</t>
  </si>
  <si>
    <t>25709377</t>
  </si>
  <si>
    <t>68404602</t>
  </si>
  <si>
    <t>BAKARI TAYLOR</t>
  </si>
  <si>
    <t>850 332 5829</t>
  </si>
  <si>
    <t>6961   OTTO AVE</t>
  </si>
  <si>
    <t>3949</t>
  </si>
  <si>
    <t>45U14AWH01C5D</t>
  </si>
  <si>
    <t>2011495</t>
  </si>
  <si>
    <t>781123</t>
  </si>
  <si>
    <t>-227.00</t>
  </si>
  <si>
    <t>-214.94</t>
  </si>
  <si>
    <t>745.49</t>
  </si>
  <si>
    <t>209.37</t>
  </si>
  <si>
    <t>531.13</t>
  </si>
  <si>
    <t>850 332-5829</t>
  </si>
  <si>
    <t>850 276-5299</t>
  </si>
  <si>
    <t>25709386</t>
  </si>
  <si>
    <t>68607613</t>
  </si>
  <si>
    <t>Gwendolyn Frazier</t>
  </si>
  <si>
    <t>850 712 0959</t>
  </si>
  <si>
    <t>3815   POTOSI RD</t>
  </si>
  <si>
    <t>260977561</t>
  </si>
  <si>
    <t>512822</t>
  </si>
  <si>
    <t>-216.01</t>
  </si>
  <si>
    <t>450.6</t>
  </si>
  <si>
    <t>64.94</t>
  </si>
  <si>
    <t>350.67</t>
  </si>
  <si>
    <t>850 712-0959</t>
  </si>
  <si>
    <t>25712743</t>
  </si>
  <si>
    <t>72144919</t>
  </si>
  <si>
    <t>FREDRICK THOMAS</t>
  </si>
  <si>
    <t>1913   LANSING DR</t>
  </si>
  <si>
    <t>260922997</t>
  </si>
  <si>
    <t>864301</t>
  </si>
  <si>
    <t>638425</t>
  </si>
  <si>
    <t>387.21</t>
  </si>
  <si>
    <t>138.87</t>
  </si>
  <si>
    <t>243.35</t>
  </si>
  <si>
    <t>850 760-8242</t>
  </si>
  <si>
    <t>25712774</t>
  </si>
  <si>
    <t>19569312</t>
  </si>
  <si>
    <t>ABDULLAH TUKAEMAH</t>
  </si>
  <si>
    <t>850 512 4355</t>
  </si>
  <si>
    <t>6437   TIPPIN AVE</t>
  </si>
  <si>
    <t>45U14BWS015FF</t>
  </si>
  <si>
    <t>388606</t>
  </si>
  <si>
    <t>1066995</t>
  </si>
  <si>
    <t>-164.41</t>
  </si>
  <si>
    <t>143.72</t>
  </si>
  <si>
    <t>57.01</t>
  </si>
  <si>
    <t>850 512-4355</t>
  </si>
  <si>
    <t>25712775</t>
  </si>
  <si>
    <t>20770411</t>
  </si>
  <si>
    <t>TYRIELLE BARNETT</t>
  </si>
  <si>
    <t>10/28/2014</t>
  </si>
  <si>
    <t>850 512 6687</t>
  </si>
  <si>
    <t>3027   CREIGHTON RD</t>
  </si>
  <si>
    <t>D6A3R44002268</t>
  </si>
  <si>
    <t>876954</t>
  </si>
  <si>
    <t>-121.36</t>
  </si>
  <si>
    <t>-169.48</t>
  </si>
  <si>
    <t>-166.98</t>
  </si>
  <si>
    <t>199.97</t>
  </si>
  <si>
    <t>121.49</t>
  </si>
  <si>
    <t>73.49</t>
  </si>
  <si>
    <t>850 512-6687</t>
  </si>
  <si>
    <t>850 261-6872</t>
  </si>
  <si>
    <t>25712827</t>
  </si>
  <si>
    <t>4073817</t>
  </si>
  <si>
    <t>CEDRICK EDWARDS</t>
  </si>
  <si>
    <t>850 288 5724</t>
  </si>
  <si>
    <t xml:space="preserve">    J3</t>
  </si>
  <si>
    <t>SABMJSBHG</t>
  </si>
  <si>
    <t>2011444</t>
  </si>
  <si>
    <t>544110</t>
  </si>
  <si>
    <t>279.65</t>
  </si>
  <si>
    <t>136.44</t>
  </si>
  <si>
    <t>132.46</t>
  </si>
  <si>
    <t>850 288-5724</t>
  </si>
  <si>
    <t>25696973</t>
  </si>
  <si>
    <t>431.3</t>
  </si>
  <si>
    <t>148.42</t>
  </si>
  <si>
    <t>25696989</t>
  </si>
  <si>
    <t>25708138</t>
  </si>
  <si>
    <t>25708248</t>
  </si>
  <si>
    <t>25712789</t>
  </si>
  <si>
    <t>1950508</t>
  </si>
  <si>
    <t>BRIAN G JOHNSON</t>
  </si>
  <si>
    <t>12/26/2008</t>
  </si>
  <si>
    <t>850 332 6852</t>
  </si>
  <si>
    <t>4344   LANGLEY AVE</t>
  </si>
  <si>
    <t xml:space="preserve">  H143</t>
  </si>
  <si>
    <t>601518</t>
  </si>
  <si>
    <t>-25.64</t>
  </si>
  <si>
    <t>-117.15</t>
  </si>
  <si>
    <t>355.92</t>
  </si>
  <si>
    <t>185.01</t>
  </si>
  <si>
    <t>47.86</t>
  </si>
  <si>
    <t>97.34</t>
  </si>
  <si>
    <t>25.71</t>
  </si>
  <si>
    <t>2015-05-16 00:00:00</t>
  </si>
  <si>
    <t>850 332-6852</t>
  </si>
  <si>
    <t>850 433-4121</t>
  </si>
  <si>
    <t>850 473-0594</t>
  </si>
  <si>
    <t>25712894</t>
  </si>
  <si>
    <t>25696813</t>
  </si>
  <si>
    <t>642915</t>
  </si>
  <si>
    <t>MS DOROTHY MCWILLIAM</t>
  </si>
  <si>
    <t>850 332 6308</t>
  </si>
  <si>
    <t>130  E NINE MILE RD</t>
  </si>
  <si>
    <t>SABSQGHQG</t>
  </si>
  <si>
    <t>2017804</t>
  </si>
  <si>
    <t>-24.95</t>
  </si>
  <si>
    <t>559.38</t>
  </si>
  <si>
    <t>197.62</t>
  </si>
  <si>
    <t>210.65</t>
  </si>
  <si>
    <t>151.11</t>
  </si>
  <si>
    <t>850 332-6308</t>
  </si>
  <si>
    <t>25696821</t>
  </si>
  <si>
    <t>1600902</t>
  </si>
  <si>
    <t>WAYNE L LANE</t>
  </si>
  <si>
    <t>724 681 9774</t>
  </si>
  <si>
    <t>5762   SCOTLAND RD</t>
  </si>
  <si>
    <t>4742</t>
  </si>
  <si>
    <t>243588720</t>
  </si>
  <si>
    <t>894102</t>
  </si>
  <si>
    <t>-72.50</t>
  </si>
  <si>
    <t>-109.86</t>
  </si>
  <si>
    <t>2015-04-12 00:00:00</t>
  </si>
  <si>
    <t>724 681-9774</t>
  </si>
  <si>
    <t>25696854</t>
  </si>
  <si>
    <t>9296114</t>
  </si>
  <si>
    <t>Joshua Kennedy</t>
  </si>
  <si>
    <t>904 495 3813</t>
  </si>
  <si>
    <t>2220   GLORIA CIR</t>
  </si>
  <si>
    <t xml:space="preserve">   181</t>
  </si>
  <si>
    <t>3H2145WU00216</t>
  </si>
  <si>
    <t>120877</t>
  </si>
  <si>
    <t>-68.00</t>
  </si>
  <si>
    <t>-71.72</t>
  </si>
  <si>
    <t>-67.73</t>
  </si>
  <si>
    <t>237.88</t>
  </si>
  <si>
    <t>94.71</t>
  </si>
  <si>
    <t>71.72</t>
  </si>
  <si>
    <t>71.45</t>
  </si>
  <si>
    <t>904 495-3813</t>
  </si>
  <si>
    <t>25696857</t>
  </si>
  <si>
    <t>9481505</t>
  </si>
  <si>
    <t>SARAH HINES</t>
  </si>
  <si>
    <t>10/16/2012</t>
  </si>
  <si>
    <t>850 637 3738</t>
  </si>
  <si>
    <t>5101   NORTHPOINTE PKWY</t>
  </si>
  <si>
    <t xml:space="preserve">   127</t>
  </si>
  <si>
    <t>0005</t>
  </si>
  <si>
    <t>3657</t>
  </si>
  <si>
    <t>768851</t>
  </si>
  <si>
    <t>103.83</t>
  </si>
  <si>
    <t>34.28</t>
  </si>
  <si>
    <t>30.28</t>
  </si>
  <si>
    <t>850 637-3738</t>
  </si>
  <si>
    <t>25696890</t>
  </si>
  <si>
    <t>13214306</t>
  </si>
  <si>
    <t>LAQUISHA LEONARD</t>
  </si>
  <si>
    <t>251 455 7273</t>
  </si>
  <si>
    <t>SABNVPWLS</t>
  </si>
  <si>
    <t>0010539</t>
  </si>
  <si>
    <t>402.84</t>
  </si>
  <si>
    <t>197.83</t>
  </si>
  <si>
    <t>251 455-7273</t>
  </si>
  <si>
    <t>25696936</t>
  </si>
  <si>
    <t>51480219</t>
  </si>
  <si>
    <t>LAWRENCE MAYBLOOM</t>
  </si>
  <si>
    <t>850 572 2722</t>
  </si>
  <si>
    <t>7005   OAKCLIFF RD</t>
  </si>
  <si>
    <t>D6A3R44001147</t>
  </si>
  <si>
    <t>2062354</t>
  </si>
  <si>
    <t>-42.50</t>
  </si>
  <si>
    <t>850 572-2722</t>
  </si>
  <si>
    <t>25696943</t>
  </si>
  <si>
    <t>61168103</t>
  </si>
  <si>
    <t>WILLIS WILLIAMS</t>
  </si>
  <si>
    <t>11/23/2013</t>
  </si>
  <si>
    <t>850 232 6108</t>
  </si>
  <si>
    <t>3108  N G ST</t>
  </si>
  <si>
    <t>SABMTRZVW</t>
  </si>
  <si>
    <t>635075</t>
  </si>
  <si>
    <t>252.67</t>
  </si>
  <si>
    <t>143.95</t>
  </si>
  <si>
    <t>103.3</t>
  </si>
  <si>
    <t>.43</t>
  </si>
  <si>
    <t>850 232-6108</t>
  </si>
  <si>
    <t>850 341-0429</t>
  </si>
  <si>
    <t>25700227</t>
  </si>
  <si>
    <t>1310904</t>
  </si>
  <si>
    <t>CHEYENNE NELSON</t>
  </si>
  <si>
    <t>850 393 4761</t>
  </si>
  <si>
    <t>2601   PATRICIA DR</t>
  </si>
  <si>
    <t xml:space="preserve">    74</t>
  </si>
  <si>
    <t>919221</t>
  </si>
  <si>
    <t>240.78</t>
  </si>
  <si>
    <t>146.67</t>
  </si>
  <si>
    <t>850 393-4761</t>
  </si>
  <si>
    <t>25700342</t>
  </si>
  <si>
    <t>24763512</t>
  </si>
  <si>
    <t>MARY BURCH</t>
  </si>
  <si>
    <t>06/13/2009</t>
  </si>
  <si>
    <t>850 361 4285</t>
  </si>
  <si>
    <t>7774   MARLOW ST</t>
  </si>
  <si>
    <t>[06634JCLFS95]</t>
  </si>
  <si>
    <t>632576</t>
  </si>
  <si>
    <t>BD52340</t>
  </si>
  <si>
    <t>-141.32</t>
  </si>
  <si>
    <t>-141.26</t>
  </si>
  <si>
    <t>436.87</t>
  </si>
  <si>
    <t>150.27</t>
  </si>
  <si>
    <t>145.28</t>
  </si>
  <si>
    <t>141.32</t>
  </si>
  <si>
    <t>2013-03-14 00:00:00</t>
  </si>
  <si>
    <t>850 361-4285</t>
  </si>
  <si>
    <t>850 454-4414</t>
  </si>
  <si>
    <t>25700373</t>
  </si>
  <si>
    <t>62353815</t>
  </si>
  <si>
    <t>SHATANDRA MORRIS</t>
  </si>
  <si>
    <t>2991   ENGLISH OAK CIR</t>
  </si>
  <si>
    <t>262237609</t>
  </si>
  <si>
    <t>544331</t>
  </si>
  <si>
    <t>-100.94</t>
  </si>
  <si>
    <t>-91.64</t>
  </si>
  <si>
    <t>275.08</t>
  </si>
  <si>
    <t>113.12</t>
  </si>
  <si>
    <t>25700383</t>
  </si>
  <si>
    <t>67220609</t>
  </si>
  <si>
    <t>SALINA THOMAS</t>
  </si>
  <si>
    <t>850 483 4635</t>
  </si>
  <si>
    <t>805  W BELMONT ST</t>
  </si>
  <si>
    <t>5353</t>
  </si>
  <si>
    <t>SABMNCWPH</t>
  </si>
  <si>
    <t>2164178</t>
  </si>
  <si>
    <t>A755882</t>
  </si>
  <si>
    <t>-213.00</t>
  </si>
  <si>
    <t>292.53</t>
  </si>
  <si>
    <t>143.39</t>
  </si>
  <si>
    <t>.77</t>
  </si>
  <si>
    <t>850 483-4635</t>
  </si>
  <si>
    <t>25700384</t>
  </si>
  <si>
    <t>67275516</t>
  </si>
  <si>
    <t>KRISTINA SIZEMORE</t>
  </si>
  <si>
    <t>850 602 4959</t>
  </si>
  <si>
    <t>8302   BINKLEY ST</t>
  </si>
  <si>
    <t>SABTNLRPC</t>
  </si>
  <si>
    <t>691365</t>
  </si>
  <si>
    <t>-239.90</t>
  </si>
  <si>
    <t>-213.65</t>
  </si>
  <si>
    <t>-213.62</t>
  </si>
  <si>
    <t>483.39</t>
  </si>
  <si>
    <t>240.64</t>
  </si>
  <si>
    <t>850 602-4959</t>
  </si>
  <si>
    <t>25700394</t>
  </si>
  <si>
    <t>68225416</t>
  </si>
  <si>
    <t>SHEILA BONNER</t>
  </si>
  <si>
    <t>850 898 6562</t>
  </si>
  <si>
    <t>2506  N BAYLEN ST</t>
  </si>
  <si>
    <t>SABTWKPWP</t>
  </si>
  <si>
    <t>2039312</t>
  </si>
  <si>
    <t>440.8</t>
  </si>
  <si>
    <t>124.2</t>
  </si>
  <si>
    <t>188.48</t>
  </si>
  <si>
    <t>850 898-6562</t>
  </si>
  <si>
    <t>25700405</t>
  </si>
  <si>
    <t>69916811</t>
  </si>
  <si>
    <t>JANICE WILSON</t>
  </si>
  <si>
    <t>11/22/2010</t>
  </si>
  <si>
    <t>850 968 5572</t>
  </si>
  <si>
    <t>8131   ERNESTINE RD</t>
  </si>
  <si>
    <t>SABPTHMDX</t>
  </si>
  <si>
    <t>746819</t>
  </si>
  <si>
    <t>-199.18</t>
  </si>
  <si>
    <t>-101.71</t>
  </si>
  <si>
    <t>492.71</t>
  </si>
  <si>
    <t>157.39</t>
  </si>
  <si>
    <t>199.18</t>
  </si>
  <si>
    <t>850 968-5572</t>
  </si>
  <si>
    <t>850 501-9834</t>
  </si>
  <si>
    <t>25703560</t>
  </si>
  <si>
    <t>910207</t>
  </si>
  <si>
    <t>TIARA BLOCKER</t>
  </si>
  <si>
    <t>850 716 3377</t>
  </si>
  <si>
    <t>8474   OLD SPANISH TRAIL RD</t>
  </si>
  <si>
    <t>SACFBZDBS</t>
  </si>
  <si>
    <t>514820</t>
  </si>
  <si>
    <t>331.27</t>
  </si>
  <si>
    <t>167.35</t>
  </si>
  <si>
    <t>143.71</t>
  </si>
  <si>
    <t>15.22</t>
  </si>
  <si>
    <t>850 716-3377</t>
  </si>
  <si>
    <t>25703564</t>
  </si>
  <si>
    <t>1622305</t>
  </si>
  <si>
    <t>JESSICA LAWS</t>
  </si>
  <si>
    <t>12/21/2014</t>
  </si>
  <si>
    <t>724 562 7204</t>
  </si>
  <si>
    <t>1016  N A ST</t>
  </si>
  <si>
    <t>244148441</t>
  </si>
  <si>
    <t>919495</t>
  </si>
  <si>
    <t>724 562-7204</t>
  </si>
  <si>
    <t>25703587</t>
  </si>
  <si>
    <t>5302703</t>
  </si>
  <si>
    <t>LISA WILLIAMS</t>
  </si>
  <si>
    <t>850 501 9758</t>
  </si>
  <si>
    <t>[0HYTV15T3ZZ7]</t>
  </si>
  <si>
    <t>488970</t>
  </si>
  <si>
    <t>-230.93</t>
  </si>
  <si>
    <t>-172.10</t>
  </si>
  <si>
    <t>-279.64</t>
  </si>
  <si>
    <t>711.42</t>
  </si>
  <si>
    <t>193.94</t>
  </si>
  <si>
    <t>222.94</t>
  </si>
  <si>
    <t>294.54</t>
  </si>
  <si>
    <t>850 501-9758</t>
  </si>
  <si>
    <t>25703604</t>
  </si>
  <si>
    <t>8944205</t>
  </si>
  <si>
    <t>RANDALL KING</t>
  </si>
  <si>
    <t>07/25/2014</t>
  </si>
  <si>
    <t>14  E HOOD DR</t>
  </si>
  <si>
    <t>D6C4M13003283</t>
  </si>
  <si>
    <t>892028</t>
  </si>
  <si>
    <t>-57.46</t>
  </si>
  <si>
    <t>-128.97</t>
  </si>
  <si>
    <t>-127.91</t>
  </si>
  <si>
    <t>167.89</t>
  </si>
  <si>
    <t>81.44</t>
  </si>
  <si>
    <t>81.46</t>
  </si>
  <si>
    <t>850 291-2179</t>
  </si>
  <si>
    <t>25703648</t>
  </si>
  <si>
    <t>23067209</t>
  </si>
  <si>
    <t>CHRIS SHELTON</t>
  </si>
  <si>
    <t>203 565 4294</t>
  </si>
  <si>
    <t>SABVKQSTZ</t>
  </si>
  <si>
    <t>2017624</t>
  </si>
  <si>
    <t>222.09</t>
  </si>
  <si>
    <t>110.55</t>
  </si>
  <si>
    <t>106.55</t>
  </si>
  <si>
    <t>203 565-4294</t>
  </si>
  <si>
    <t>25703659</t>
  </si>
  <si>
    <t>36861302</t>
  </si>
  <si>
    <t>BROADUS ABNEY</t>
  </si>
  <si>
    <t>11/25/1992</t>
  </si>
  <si>
    <t>850 434 2039</t>
  </si>
  <si>
    <t>1215  W HATTON ST</t>
  </si>
  <si>
    <t>R119388</t>
  </si>
  <si>
    <t>-114.74</t>
  </si>
  <si>
    <t>-96.62</t>
  </si>
  <si>
    <t>-79.50</t>
  </si>
  <si>
    <t>295.87</t>
  </si>
  <si>
    <t>96.63</t>
  </si>
  <si>
    <t>97.62</t>
  </si>
  <si>
    <t>850 434-2039</t>
  </si>
  <si>
    <t>25703662</t>
  </si>
  <si>
    <t>38846226</t>
  </si>
  <si>
    <t>MARQUIS HICKS</t>
  </si>
  <si>
    <t>850 290 7097</t>
  </si>
  <si>
    <t>6214   DENVER AVE</t>
  </si>
  <si>
    <t>SABPKZDKT</t>
  </si>
  <si>
    <t>1049548</t>
  </si>
  <si>
    <t>-38.75</t>
  </si>
  <si>
    <t>294.35</t>
  </si>
  <si>
    <t>126.94</t>
  </si>
  <si>
    <t>143.42</t>
  </si>
  <si>
    <t>850 290-7097</t>
  </si>
  <si>
    <t>25703673</t>
  </si>
  <si>
    <t>56266010</t>
  </si>
  <si>
    <t>WILLIAM MORALES</t>
  </si>
  <si>
    <t>08/14/1997</t>
  </si>
  <si>
    <t>850 292 0248</t>
  </si>
  <si>
    <t>8650   JERNIGAN RD</t>
  </si>
  <si>
    <t>3451</t>
  </si>
  <si>
    <t>[6208061097]</t>
  </si>
  <si>
    <t>X569478</t>
  </si>
  <si>
    <t>11/03/2003</t>
  </si>
  <si>
    <t>-39.95</t>
  </si>
  <si>
    <t>09/03/2003</t>
  </si>
  <si>
    <t>08/29/2003</t>
  </si>
  <si>
    <t>293.14</t>
  </si>
  <si>
    <t>850 292-0248</t>
  </si>
  <si>
    <t>25703691</t>
  </si>
  <si>
    <t>67123405</t>
  </si>
  <si>
    <t>JEFFERY ROBERTS</t>
  </si>
  <si>
    <t>09/25/2013</t>
  </si>
  <si>
    <t>850 542 4716</t>
  </si>
  <si>
    <t>2500   BROOKLYN ST</t>
  </si>
  <si>
    <t>2WR2287DA0307</t>
  </si>
  <si>
    <t>2298674</t>
  </si>
  <si>
    <t>-138.66</t>
  </si>
  <si>
    <t>-153.25</t>
  </si>
  <si>
    <t>277.89</t>
  </si>
  <si>
    <t>11.69</t>
  </si>
  <si>
    <t>162.57</t>
  </si>
  <si>
    <t>103.63</t>
  </si>
  <si>
    <t>850 542-4716</t>
  </si>
  <si>
    <t>25703727</t>
  </si>
  <si>
    <t>72158721</t>
  </si>
  <si>
    <t>WESLEY SCHROEDER</t>
  </si>
  <si>
    <t>612   CREEKSIDE CT</t>
  </si>
  <si>
    <t>45U14BWY02D95</t>
  </si>
  <si>
    <t>514015</t>
  </si>
  <si>
    <t>-81.85</t>
  </si>
  <si>
    <t>144.43</t>
  </si>
  <si>
    <t>25706626</t>
  </si>
  <si>
    <t>10574203</t>
  </si>
  <si>
    <t>RICHARD BLACK</t>
  </si>
  <si>
    <t>850 501 4307</t>
  </si>
  <si>
    <t>5121   COCOA DR</t>
  </si>
  <si>
    <t>0064</t>
  </si>
  <si>
    <t>5441</t>
  </si>
  <si>
    <t>SABQKKPLX</t>
  </si>
  <si>
    <t>841246</t>
  </si>
  <si>
    <t>595.67</t>
  </si>
  <si>
    <t>216.77</t>
  </si>
  <si>
    <t>208.61</t>
  </si>
  <si>
    <t>170.29</t>
  </si>
  <si>
    <t>850 501-4307</t>
  </si>
  <si>
    <t>25706656</t>
  </si>
  <si>
    <t>17757901</t>
  </si>
  <si>
    <t>RAY FOSTER</t>
  </si>
  <si>
    <t>608  N D ST</t>
  </si>
  <si>
    <t>5551</t>
  </si>
  <si>
    <t>-222.37</t>
  </si>
  <si>
    <t>460.74</t>
  </si>
  <si>
    <t>141.69</t>
  </si>
  <si>
    <t>222.37</t>
  </si>
  <si>
    <t>850 497-5166</t>
  </si>
  <si>
    <t>25706678</t>
  </si>
  <si>
    <t>45116103</t>
  </si>
  <si>
    <t>Brandon Watson</t>
  </si>
  <si>
    <t>06/26/2014</t>
  </si>
  <si>
    <t>850 202 7680</t>
  </si>
  <si>
    <t>1638  E GADSDEN ST</t>
  </si>
  <si>
    <t>[0M16SB1H70T2]</t>
  </si>
  <si>
    <t>493921</t>
  </si>
  <si>
    <t>-99.95</t>
  </si>
  <si>
    <t>221.75</t>
  </si>
  <si>
    <t>125.48</t>
  </si>
  <si>
    <t>91.28</t>
  </si>
  <si>
    <t>850 202-7680</t>
  </si>
  <si>
    <t>25706686</t>
  </si>
  <si>
    <t>51318418</t>
  </si>
  <si>
    <t>DIANA MCCRAY</t>
  </si>
  <si>
    <t>10/02/2014</t>
  </si>
  <si>
    <t>850 417 4267</t>
  </si>
  <si>
    <t>1101  W LA RUA ST</t>
  </si>
  <si>
    <t>5353,5354</t>
  </si>
  <si>
    <t>236758217</t>
  </si>
  <si>
    <t>744676</t>
  </si>
  <si>
    <t>-607.81</t>
  </si>
  <si>
    <t>-.48</t>
  </si>
  <si>
    <t>-181.52</t>
  </si>
  <si>
    <t>724.71</t>
  </si>
  <si>
    <t>225.95</t>
  </si>
  <si>
    <t>493.77</t>
  </si>
  <si>
    <t>850 417-4267</t>
  </si>
  <si>
    <t>25706689</t>
  </si>
  <si>
    <t>53378602</t>
  </si>
  <si>
    <t>Gabriel Brown</t>
  </si>
  <si>
    <t>07/18/2014</t>
  </si>
  <si>
    <t>850 221 2260</t>
  </si>
  <si>
    <t>1001  N I ST</t>
  </si>
  <si>
    <t>264286493</t>
  </si>
  <si>
    <t>493938</t>
  </si>
  <si>
    <t>-130.21</t>
  </si>
  <si>
    <t>-60.52</t>
  </si>
  <si>
    <t>422.72</t>
  </si>
  <si>
    <t>139.01</t>
  </si>
  <si>
    <t>155.52</t>
  </si>
  <si>
    <t>2015-01-06 00:00:00</t>
  </si>
  <si>
    <t>850 221-2260</t>
  </si>
  <si>
    <t>25706709</t>
  </si>
  <si>
    <t>66541008</t>
  </si>
  <si>
    <t>CARL COVINGTON</t>
  </si>
  <si>
    <t>02/24/2014</t>
  </si>
  <si>
    <t xml:space="preserve">    2F</t>
  </si>
  <si>
    <t>549657</t>
  </si>
  <si>
    <t>-156.92</t>
  </si>
  <si>
    <t>-149.69</t>
  </si>
  <si>
    <t>371.05</t>
  </si>
  <si>
    <t>168.59</t>
  </si>
  <si>
    <t>197.47</t>
  </si>
  <si>
    <t>25706715</t>
  </si>
  <si>
    <t>67307304</t>
  </si>
  <si>
    <t>BRITTANY CHEVILLET</t>
  </si>
  <si>
    <t>12/14/2013</t>
  </si>
  <si>
    <t>850 380 4229</t>
  </si>
  <si>
    <t>1700  W CHASE ST</t>
  </si>
  <si>
    <t>236007477</t>
  </si>
  <si>
    <t>CT53125</t>
  </si>
  <si>
    <t>-122.42</t>
  </si>
  <si>
    <t>-126.86</t>
  </si>
  <si>
    <t>-152.35</t>
  </si>
  <si>
    <t>288.95</t>
  </si>
  <si>
    <t>152.35</t>
  </si>
  <si>
    <t>850 380-4229</t>
  </si>
  <si>
    <t>25706718</t>
  </si>
  <si>
    <t>67377314</t>
  </si>
  <si>
    <t>JAMIA HARRIS</t>
  </si>
  <si>
    <t>850 316 5471</t>
  </si>
  <si>
    <t>5575   CHARBAR DR</t>
  </si>
  <si>
    <t>SABMVZMXZ</t>
  </si>
  <si>
    <t>R101727</t>
  </si>
  <si>
    <t>239.87</t>
  </si>
  <si>
    <t>115.44</t>
  </si>
  <si>
    <t>850 316-5471</t>
  </si>
  <si>
    <t>25706754</t>
  </si>
  <si>
    <t>72279514</t>
  </si>
  <si>
    <t>MARQUITA PURIFOY</t>
  </si>
  <si>
    <t>850 529 8763</t>
  </si>
  <si>
    <t>169   ATTUCKS CT</t>
  </si>
  <si>
    <t>5251</t>
  </si>
  <si>
    <t>SABQNZHKV</t>
  </si>
  <si>
    <t>541598</t>
  </si>
  <si>
    <t>-104.23</t>
  </si>
  <si>
    <t>508.74</t>
  </si>
  <si>
    <t>201.45</t>
  </si>
  <si>
    <t>7.29</t>
  </si>
  <si>
    <t>300</t>
  </si>
  <si>
    <t>850 529-8763</t>
  </si>
  <si>
    <t>25706570</t>
  </si>
  <si>
    <t>896320</t>
  </si>
  <si>
    <t>MEGAN STEARNS</t>
  </si>
  <si>
    <t>03/02/2012</t>
  </si>
  <si>
    <t>850 356 8863</t>
  </si>
  <si>
    <t>1040  E OLIVE RD</t>
  </si>
  <si>
    <t xml:space="preserve">   509</t>
  </si>
  <si>
    <t>[214662324]</t>
  </si>
  <si>
    <t>1062395</t>
  </si>
  <si>
    <t>-238.00</t>
  </si>
  <si>
    <t>268.19</t>
  </si>
  <si>
    <t>134.44</t>
  </si>
  <si>
    <t>128.76</t>
  </si>
  <si>
    <t>2015-07-01 00:00:00</t>
  </si>
  <si>
    <t>850 356-8863</t>
  </si>
  <si>
    <t>25706572</t>
  </si>
  <si>
    <t>1330617</t>
  </si>
  <si>
    <t>mark mccarthy</t>
  </si>
  <si>
    <t>850 361 5870</t>
  </si>
  <si>
    <t>2063   BUSH ST</t>
  </si>
  <si>
    <t>[379781330322581606020006]</t>
  </si>
  <si>
    <t>416987</t>
  </si>
  <si>
    <t>533577</t>
  </si>
  <si>
    <t>-168.45</t>
  </si>
  <si>
    <t>-66.90</t>
  </si>
  <si>
    <t>157.76</t>
  </si>
  <si>
    <t>81.79</t>
  </si>
  <si>
    <t>850 361-5870</t>
  </si>
  <si>
    <t>25706611</t>
  </si>
  <si>
    <t>8645411</t>
  </si>
  <si>
    <t>GORDAN CARTER</t>
  </si>
  <si>
    <t>621  W JORDAN ST</t>
  </si>
  <si>
    <t>262741294</t>
  </si>
  <si>
    <t>712221</t>
  </si>
  <si>
    <t>-68.73</t>
  </si>
  <si>
    <t>-71.49</t>
  </si>
  <si>
    <t>-68.99</t>
  </si>
  <si>
    <t>119.47</t>
  </si>
  <si>
    <t>67.99</t>
  </si>
  <si>
    <t>850 484-1754</t>
  </si>
  <si>
    <t>25708178</t>
  </si>
  <si>
    <t>9192801</t>
  </si>
  <si>
    <t>MARGAREE FITCHETT</t>
  </si>
  <si>
    <t>05/05/2011</t>
  </si>
  <si>
    <t>850 941 2151</t>
  </si>
  <si>
    <t>2047   JUNO CIR</t>
  </si>
  <si>
    <t>0070</t>
  </si>
  <si>
    <t>SABLWHKMR</t>
  </si>
  <si>
    <t>709857</t>
  </si>
  <si>
    <t>-199.25</t>
  </si>
  <si>
    <t>590.63</t>
  </si>
  <si>
    <t>208.19</t>
  </si>
  <si>
    <t>183.19</t>
  </si>
  <si>
    <t>199.25</t>
  </si>
  <si>
    <t>850 941-2151</t>
  </si>
  <si>
    <t>25708208</t>
  </si>
  <si>
    <t>32036615</t>
  </si>
  <si>
    <t>LEON BONNER</t>
  </si>
  <si>
    <t>850 542 4683</t>
  </si>
  <si>
    <t>1629   LEPLEY RD</t>
  </si>
  <si>
    <t>261251579</t>
  </si>
  <si>
    <t>604430</t>
  </si>
  <si>
    <t>-76.81</t>
  </si>
  <si>
    <t>490.69</t>
  </si>
  <si>
    <t>245.63</t>
  </si>
  <si>
    <t>240.07</t>
  </si>
  <si>
    <t>850 542-4683</t>
  </si>
  <si>
    <t>25708212</t>
  </si>
  <si>
    <t>43890311</t>
  </si>
  <si>
    <t>CHARLES TOLER</t>
  </si>
  <si>
    <t>850 382 8072</t>
  </si>
  <si>
    <t>328   VERA LN</t>
  </si>
  <si>
    <t>D6C3R44006704</t>
  </si>
  <si>
    <t>R147151</t>
  </si>
  <si>
    <t>217.46</t>
  </si>
  <si>
    <t>108.23</t>
  </si>
  <si>
    <t>850 382-8072</t>
  </si>
  <si>
    <t>25708239</t>
  </si>
  <si>
    <t>68043604</t>
  </si>
  <si>
    <t>NIKKI BROWN</t>
  </si>
  <si>
    <t>1000  W HAYES ST</t>
  </si>
  <si>
    <t>744691</t>
  </si>
  <si>
    <t>-209.00</t>
  </si>
  <si>
    <t>-208.29</t>
  </si>
  <si>
    <t>-120.01</t>
  </si>
  <si>
    <t>212.44</t>
  </si>
  <si>
    <t>85.13</t>
  </si>
  <si>
    <t>127.31</t>
  </si>
  <si>
    <t>850 483-7388</t>
  </si>
  <si>
    <t>25708251</t>
  </si>
  <si>
    <t>71468809</t>
  </si>
  <si>
    <t>Michael Perry</t>
  </si>
  <si>
    <t>855   GONZALEZ PARK DR</t>
  </si>
  <si>
    <t>2145</t>
  </si>
  <si>
    <t>D9R4M13000774</t>
  </si>
  <si>
    <t>866382</t>
  </si>
  <si>
    <t>-148.29</t>
  </si>
  <si>
    <t>-62.50</t>
  </si>
  <si>
    <t>315.75</t>
  </si>
  <si>
    <t>161</t>
  </si>
  <si>
    <t>149.76</t>
  </si>
  <si>
    <t>850 686-9250</t>
  </si>
  <si>
    <t>25708257</t>
  </si>
  <si>
    <t>72449727</t>
  </si>
  <si>
    <t>BARBARA WILLIAMS</t>
  </si>
  <si>
    <t>850 454 6297</t>
  </si>
  <si>
    <t>651   CHILDERS ST</t>
  </si>
  <si>
    <t xml:space="preserve">    16</t>
  </si>
  <si>
    <t>[0HYTV159K716]</t>
  </si>
  <si>
    <t>589175</t>
  </si>
  <si>
    <t>-99.61</t>
  </si>
  <si>
    <t>388.13</t>
  </si>
  <si>
    <t>131.61</t>
  </si>
  <si>
    <t>136.62</t>
  </si>
  <si>
    <t>119.9</t>
  </si>
  <si>
    <t>850 454-6297</t>
  </si>
  <si>
    <t>25709166</t>
  </si>
  <si>
    <t>15917602</t>
  </si>
  <si>
    <t>WILLIAM THOMAS</t>
  </si>
  <si>
    <t>10/26/2014</t>
  </si>
  <si>
    <t>850 426 5733</t>
  </si>
  <si>
    <t>8702   FIGLAND AVE</t>
  </si>
  <si>
    <t>602018</t>
  </si>
  <si>
    <t>-102.63</t>
  </si>
  <si>
    <t>-127.19</t>
  </si>
  <si>
    <t>-110.63</t>
  </si>
  <si>
    <t>153.35</t>
  </si>
  <si>
    <t>121.92</t>
  </si>
  <si>
    <t>26.44</t>
  </si>
  <si>
    <t>850 426-5733</t>
  </si>
  <si>
    <t>850 466-2084</t>
  </si>
  <si>
    <t>25709170</t>
  </si>
  <si>
    <t>1558713</t>
  </si>
  <si>
    <t>DIANA J PUTKOVICH</t>
  </si>
  <si>
    <t>06/26/2004</t>
  </si>
  <si>
    <t>850 748 8742</t>
  </si>
  <si>
    <t>4739   NORTHPOINTE CT</t>
  </si>
  <si>
    <t>[0HZR6V4TTZB6]</t>
  </si>
  <si>
    <t>510377</t>
  </si>
  <si>
    <t>-360.00</t>
  </si>
  <si>
    <t>-360.74</t>
  </si>
  <si>
    <t>-345.76</t>
  </si>
  <si>
    <t>107.23</t>
  </si>
  <si>
    <t>23.75</t>
  </si>
  <si>
    <t>850 748-8742</t>
  </si>
  <si>
    <t>850 377-4619</t>
  </si>
  <si>
    <t>25709171</t>
  </si>
  <si>
    <t>71686514</t>
  </si>
  <si>
    <t>JEREMY PITTMAN</t>
  </si>
  <si>
    <t>8561   SHARON LN</t>
  </si>
  <si>
    <t>[248488976]</t>
  </si>
  <si>
    <t>604634</t>
  </si>
  <si>
    <t>-104.37</t>
  </si>
  <si>
    <t>547.67</t>
  </si>
  <si>
    <t>214.23</t>
  </si>
  <si>
    <t>48.45</t>
  </si>
  <si>
    <t>25709178</t>
  </si>
  <si>
    <t>16879905</t>
  </si>
  <si>
    <t>Emma Harris</t>
  </si>
  <si>
    <t>1004  W CROSS ST</t>
  </si>
  <si>
    <t>SABMNCXLV</t>
  </si>
  <si>
    <t>R025363</t>
  </si>
  <si>
    <t>-525.80</t>
  </si>
  <si>
    <t>662.5</t>
  </si>
  <si>
    <t>135.64</t>
  </si>
  <si>
    <t>521.87</t>
  </si>
  <si>
    <t>850 293-5839</t>
  </si>
  <si>
    <t>25709224</t>
  </si>
  <si>
    <t>32122408</t>
  </si>
  <si>
    <t>JACQUELINE JONES</t>
  </si>
  <si>
    <t>850 390 4459</t>
  </si>
  <si>
    <t>1321   GERMAIN ST</t>
  </si>
  <si>
    <t>3546</t>
  </si>
  <si>
    <t>SABSQRWZF</t>
  </si>
  <si>
    <t>754142</t>
  </si>
  <si>
    <t>96.57</t>
  </si>
  <si>
    <t>40.88</t>
  </si>
  <si>
    <t>850 390-4459</t>
  </si>
  <si>
    <t>25709290</t>
  </si>
  <si>
    <t>56813909</t>
  </si>
  <si>
    <t>KYETHEA JONES</t>
  </si>
  <si>
    <t>404 903 0302</t>
  </si>
  <si>
    <t>5685   VESTAVIA LN</t>
  </si>
  <si>
    <t>4743</t>
  </si>
  <si>
    <t>SABKSPLFN</t>
  </si>
  <si>
    <t>2028975</t>
  </si>
  <si>
    <t>-112.60</t>
  </si>
  <si>
    <t>-147.91</t>
  </si>
  <si>
    <t>327.35</t>
  </si>
  <si>
    <t>26.01</t>
  </si>
  <si>
    <t>206.78</t>
  </si>
  <si>
    <t>94.56</t>
  </si>
  <si>
    <t>404 903-0302</t>
  </si>
  <si>
    <t>25709315</t>
  </si>
  <si>
    <t>10205101</t>
  </si>
  <si>
    <t>LINDA TOLBERT</t>
  </si>
  <si>
    <t>01/27/2012</t>
  </si>
  <si>
    <t>850 473 5554</t>
  </si>
  <si>
    <t>876   MAPLE WOODS CIR</t>
  </si>
  <si>
    <t>632768</t>
  </si>
  <si>
    <t>850 473-5554</t>
  </si>
  <si>
    <t>25709321</t>
  </si>
  <si>
    <t>10336705</t>
  </si>
  <si>
    <t>BRAINA LARKINS</t>
  </si>
  <si>
    <t>06/27/2013</t>
  </si>
  <si>
    <t>850 483 7062</t>
  </si>
  <si>
    <t>8555   STOCKDALE AVE</t>
  </si>
  <si>
    <t>xxxx</t>
  </si>
  <si>
    <t>89.11</t>
  </si>
  <si>
    <t>850 483-7062</t>
  </si>
  <si>
    <t>25709372</t>
  </si>
  <si>
    <t>12485010</t>
  </si>
  <si>
    <t>JASHAWN WILLIAMS</t>
  </si>
  <si>
    <t>850 292 2603</t>
  </si>
  <si>
    <t>1007  W ANDERSON ST</t>
  </si>
  <si>
    <t>4853</t>
  </si>
  <si>
    <t>SABHHDPVL</t>
  </si>
  <si>
    <t>389302</t>
  </si>
  <si>
    <t>-312.17</t>
  </si>
  <si>
    <t>-271.86</t>
  </si>
  <si>
    <t>-115.37</t>
  </si>
  <si>
    <t>170.68</t>
  </si>
  <si>
    <t>31.21</t>
  </si>
  <si>
    <t>850 292-2603</t>
  </si>
  <si>
    <t>25709411</t>
  </si>
  <si>
    <t>70939315</t>
  </si>
  <si>
    <t>KAYALA FARROW</t>
  </si>
  <si>
    <t>334 498 6287</t>
  </si>
  <si>
    <t xml:space="preserve">    D1</t>
  </si>
  <si>
    <t>SABWGBRVN</t>
  </si>
  <si>
    <t>389034</t>
  </si>
  <si>
    <t>270.02</t>
  </si>
  <si>
    <t>134.5</t>
  </si>
  <si>
    <t>130.53</t>
  </si>
  <si>
    <t>334 498-6287</t>
  </si>
  <si>
    <t>25712697</t>
  </si>
  <si>
    <t>68839716</t>
  </si>
  <si>
    <t>KELSEY GRIFFEN</t>
  </si>
  <si>
    <t>01/28/2015</t>
  </si>
  <si>
    <t>850 221 4629</t>
  </si>
  <si>
    <t>8007   SABRA DR</t>
  </si>
  <si>
    <t>3651</t>
  </si>
  <si>
    <t>236729645</t>
  </si>
  <si>
    <t>837209</t>
  </si>
  <si>
    <t>-123.11</t>
  </si>
  <si>
    <t>171.14</t>
  </si>
  <si>
    <t>90.98</t>
  </si>
  <si>
    <t>75.17</t>
  </si>
  <si>
    <t>850 221-4629</t>
  </si>
  <si>
    <t>25712725</t>
  </si>
  <si>
    <t>71457016</t>
  </si>
  <si>
    <t>TASHA GULLEY</t>
  </si>
  <si>
    <t>850 619 0475</t>
  </si>
  <si>
    <t>SABQPDTZW</t>
  </si>
  <si>
    <t>Tag 201</t>
  </si>
  <si>
    <t>370.57</t>
  </si>
  <si>
    <t>229.92</t>
  </si>
  <si>
    <t>850 619-0475</t>
  </si>
  <si>
    <t>25712766</t>
  </si>
  <si>
    <t>810904</t>
  </si>
  <si>
    <t>DOROTHY BIVENS</t>
  </si>
  <si>
    <t>850 944 0229</t>
  </si>
  <si>
    <t>4780   HELTON LN</t>
  </si>
  <si>
    <t>445862</t>
  </si>
  <si>
    <t>-33.88</t>
  </si>
  <si>
    <t>33.62</t>
  </si>
  <si>
    <t>850 944-0229</t>
  </si>
  <si>
    <t>850 944-8148</t>
  </si>
  <si>
    <t>25712782</t>
  </si>
  <si>
    <t>1622110</t>
  </si>
  <si>
    <t>CHARLES CLARK</t>
  </si>
  <si>
    <t>7814   CALAHAN PL</t>
  </si>
  <si>
    <t>E124M13000102</t>
  </si>
  <si>
    <t>2121056</t>
  </si>
  <si>
    <t>-413.17</t>
  </si>
  <si>
    <t>-190.60</t>
  </si>
  <si>
    <t>984.21</t>
  </si>
  <si>
    <t>283.26</t>
  </si>
  <si>
    <t>665.96</t>
  </si>
  <si>
    <t>25712799</t>
  </si>
  <si>
    <t>34425902</t>
  </si>
  <si>
    <t>JANIE BLANKENSHIP</t>
  </si>
  <si>
    <t>06/20/2009</t>
  </si>
  <si>
    <t>850 477 9861</t>
  </si>
  <si>
    <t>1825   LEPLEY RD</t>
  </si>
  <si>
    <t>[0HYTV0Y4MT65]</t>
  </si>
  <si>
    <t>R102652</t>
  </si>
  <si>
    <t>179.23</t>
  </si>
  <si>
    <t>850 477-9861</t>
  </si>
  <si>
    <t>25712802</t>
  </si>
  <si>
    <t>37176505</t>
  </si>
  <si>
    <t>GERALD WADE SR</t>
  </si>
  <si>
    <t>850 232 3331</t>
  </si>
  <si>
    <t>5311   CHARBAR DR</t>
  </si>
  <si>
    <t>236023040</t>
  </si>
  <si>
    <t>513382</t>
  </si>
  <si>
    <t>168.29</t>
  </si>
  <si>
    <t>98.81</t>
  </si>
  <si>
    <t>850 232-3331</t>
  </si>
  <si>
    <t>25712808</t>
  </si>
  <si>
    <t>2935906</t>
  </si>
  <si>
    <t>LATARUS HICKS</t>
  </si>
  <si>
    <t>05/28/2014</t>
  </si>
  <si>
    <t>850 501 5924</t>
  </si>
  <si>
    <t>420  N A ST</t>
  </si>
  <si>
    <t>[31458101404848801011033]</t>
  </si>
  <si>
    <t>841401</t>
  </si>
  <si>
    <t>-34.89</t>
  </si>
  <si>
    <t>850 501-5924</t>
  </si>
  <si>
    <t>25712864</t>
  </si>
  <si>
    <t>66299924</t>
  </si>
  <si>
    <t>CHELSEA BARNES</t>
  </si>
  <si>
    <t>09/29/2014</t>
  </si>
  <si>
    <t>850 512 5025</t>
  </si>
  <si>
    <t xml:space="preserve">   806</t>
  </si>
  <si>
    <t>[0HYTV15NLMZ6]</t>
  </si>
  <si>
    <t>772773</t>
  </si>
  <si>
    <t>-173.55</t>
  </si>
  <si>
    <t>-167.94</t>
  </si>
  <si>
    <t>-133.50</t>
  </si>
  <si>
    <t>293.16</t>
  </si>
  <si>
    <t>152.08</t>
  </si>
  <si>
    <t>136.09</t>
  </si>
  <si>
    <t>850 512-5025</t>
  </si>
  <si>
    <t>25712907</t>
  </si>
  <si>
    <t>67740720</t>
  </si>
  <si>
    <t>ARNITA MARKS</t>
  </si>
  <si>
    <t>2000  W DE SOTO ST</t>
  </si>
  <si>
    <t>SACBDBMJF</t>
  </si>
  <si>
    <t>404386</t>
  </si>
  <si>
    <t>-142.91</t>
  </si>
  <si>
    <t>-107.27</t>
  </si>
  <si>
    <t>-46.09</t>
  </si>
  <si>
    <t>298.73</t>
  </si>
  <si>
    <t>145.53</t>
  </si>
  <si>
    <t>148.21</t>
  </si>
  <si>
    <t>850 382-8395</t>
  </si>
  <si>
    <t>25712928</t>
  </si>
  <si>
    <t>8424203</t>
  </si>
  <si>
    <t>EDWARD GROOMS</t>
  </si>
  <si>
    <t>02/28/2014</t>
  </si>
  <si>
    <t>850 304 1632</t>
  </si>
  <si>
    <t>6130   DENVER AVE</t>
  </si>
  <si>
    <t>RNCM31T</t>
  </si>
  <si>
    <t>[239436UR00D4E]</t>
  </si>
  <si>
    <t>629700</t>
  </si>
  <si>
    <t>-62.95</t>
  </si>
  <si>
    <t>-62.98</t>
  </si>
  <si>
    <t>138.93</t>
  </si>
  <si>
    <t>66.97</t>
  </si>
  <si>
    <t>850 304-1632</t>
  </si>
  <si>
    <t>25696925</t>
  </si>
  <si>
    <t>811.29</t>
  </si>
  <si>
    <t>271.89</t>
  </si>
  <si>
    <t>25700218</t>
  </si>
  <si>
    <t>674.5</t>
  </si>
  <si>
    <t>231.7</t>
  </si>
  <si>
    <t>25700268</t>
  </si>
  <si>
    <t>7039401</t>
  </si>
  <si>
    <t>VANESSA L WILLIAMS</t>
  </si>
  <si>
    <t>02/21/2013</t>
  </si>
  <si>
    <t>850 912 6441</t>
  </si>
  <si>
    <t>6683   KLONDIKE RD</t>
  </si>
  <si>
    <t>[502410426640]</t>
  </si>
  <si>
    <t>386877</t>
  </si>
  <si>
    <t>-269.07</t>
  </si>
  <si>
    <t>-257.48</t>
  </si>
  <si>
    <t>933.2</t>
  </si>
  <si>
    <t>513.74</t>
  </si>
  <si>
    <t>273.55</t>
  </si>
  <si>
    <t>145.91</t>
  </si>
  <si>
    <t>2011-03-30 00:00:00</t>
  </si>
  <si>
    <t>850 912-6441</t>
  </si>
  <si>
    <t>25703627</t>
  </si>
  <si>
    <t>25706662</t>
  </si>
  <si>
    <t>25706696</t>
  </si>
  <si>
    <t>25706714</t>
  </si>
  <si>
    <t>25708157</t>
  </si>
  <si>
    <t>25708176</t>
  </si>
  <si>
    <t>25708234</t>
  </si>
  <si>
    <t>25709287</t>
  </si>
  <si>
    <t>56207422</t>
  </si>
  <si>
    <t>Andre Hill</t>
  </si>
  <si>
    <t>850 466 2987</t>
  </si>
  <si>
    <t>12000   SCENIC HWY</t>
  </si>
  <si>
    <t xml:space="preserve">    38</t>
  </si>
  <si>
    <t>DCS4M13003273</t>
  </si>
  <si>
    <t>632604</t>
  </si>
  <si>
    <t>1428.3</t>
  </si>
  <si>
    <t>877.31</t>
  </si>
  <si>
    <t>357.36</t>
  </si>
  <si>
    <t>176</t>
  </si>
  <si>
    <t>17.63</t>
  </si>
  <si>
    <t>850 466-2987</t>
  </si>
  <si>
    <t>850 324-4991</t>
  </si>
  <si>
    <t>25709329</t>
  </si>
  <si>
    <t>25712695</t>
  </si>
  <si>
    <t>25712727</t>
  </si>
  <si>
    <t>25712793</t>
  </si>
  <si>
    <t>25696810</t>
  </si>
  <si>
    <t>570112</t>
  </si>
  <si>
    <t>KATRINA KYLES</t>
  </si>
  <si>
    <t>850 438 1543</t>
  </si>
  <si>
    <t xml:space="preserve">   121</t>
  </si>
  <si>
    <t>405832</t>
  </si>
  <si>
    <t>187.33</t>
  </si>
  <si>
    <t>88.23</t>
  </si>
  <si>
    <t>850 438-1543</t>
  </si>
  <si>
    <t>25696822</t>
  </si>
  <si>
    <t>2239016</t>
  </si>
  <si>
    <t>Bobbie Roulhac</t>
  </si>
  <si>
    <t xml:space="preserve">   252</t>
  </si>
  <si>
    <t>SABRFSZBF</t>
  </si>
  <si>
    <t>697194</t>
  </si>
  <si>
    <t>-42.18</t>
  </si>
  <si>
    <t>297.75</t>
  </si>
  <si>
    <t>199.17</t>
  </si>
  <si>
    <t>850 760-7054</t>
  </si>
  <si>
    <t>25696949</t>
  </si>
  <si>
    <t>66138807</t>
  </si>
  <si>
    <t>CHERI MCCANN</t>
  </si>
  <si>
    <t>08/07/2012</t>
  </si>
  <si>
    <t>850 453 9560</t>
  </si>
  <si>
    <t>300   DOGWOOD DR</t>
  </si>
  <si>
    <t>SABFHWLTZ</t>
  </si>
  <si>
    <t>N808707</t>
  </si>
  <si>
    <t>-192.65</t>
  </si>
  <si>
    <t>-196.22</t>
  </si>
  <si>
    <t>-196.16</t>
  </si>
  <si>
    <t>454.4</t>
  </si>
  <si>
    <t>217.69</t>
  </si>
  <si>
    <t>231.72</t>
  </si>
  <si>
    <t>850 453-9560</t>
  </si>
  <si>
    <t>25696956</t>
  </si>
  <si>
    <t>66933010</t>
  </si>
  <si>
    <t>sonya mclaurin</t>
  </si>
  <si>
    <t>601 434 2687</t>
  </si>
  <si>
    <t>20   BAGGETT CT</t>
  </si>
  <si>
    <t>SABNZZTSP</t>
  </si>
  <si>
    <t>879563</t>
  </si>
  <si>
    <t>129.77</t>
  </si>
  <si>
    <t>74.09</t>
  </si>
  <si>
    <t>50.69</t>
  </si>
  <si>
    <t>601 434-2687</t>
  </si>
  <si>
    <t>25696979</t>
  </si>
  <si>
    <t>69569102</t>
  </si>
  <si>
    <t>SHARON SPENCER</t>
  </si>
  <si>
    <t>850 450 8607</t>
  </si>
  <si>
    <t>6512   HAMPTON RD</t>
  </si>
  <si>
    <t>SABNDNPJX</t>
  </si>
  <si>
    <t>937989</t>
  </si>
  <si>
    <t>-192.63</t>
  </si>
  <si>
    <t>412.92</t>
  </si>
  <si>
    <t>211.47</t>
  </si>
  <si>
    <t>196.46</t>
  </si>
  <si>
    <t>850 450-8607</t>
  </si>
  <si>
    <t>25700344</t>
  </si>
  <si>
    <t>25835002</t>
  </si>
  <si>
    <t>BERT RIPPESTEIN</t>
  </si>
  <si>
    <t>10/31/2014</t>
  </si>
  <si>
    <t>850 438 3364</t>
  </si>
  <si>
    <t>210   VIRGINIA WAY</t>
  </si>
  <si>
    <t>SABRNZCGZ</t>
  </si>
  <si>
    <t>1004100</t>
  </si>
  <si>
    <t>-124.47</t>
  </si>
  <si>
    <t>-128.46</t>
  </si>
  <si>
    <t>386.4</t>
  </si>
  <si>
    <t>133.46</t>
  </si>
  <si>
    <t>128.47</t>
  </si>
  <si>
    <t>124.47</t>
  </si>
  <si>
    <t>850 438-3364</t>
  </si>
  <si>
    <t>25700357</t>
  </si>
  <si>
    <t>42623920</t>
  </si>
  <si>
    <t>KATHY GRUBBS</t>
  </si>
  <si>
    <t>116   NEW MEXICO DR</t>
  </si>
  <si>
    <t>SABNDMFPV</t>
  </si>
  <si>
    <t>0009450</t>
  </si>
  <si>
    <t>418.05</t>
  </si>
  <si>
    <t>25700371</t>
  </si>
  <si>
    <t>60846314</t>
  </si>
  <si>
    <t>LIA ANDREWS</t>
  </si>
  <si>
    <t>850 361 6460</t>
  </si>
  <si>
    <t>161   BOONE ST</t>
  </si>
  <si>
    <t xml:space="preserve">  104A</t>
  </si>
  <si>
    <t>SABNTFSDJ</t>
  </si>
  <si>
    <t>852800</t>
  </si>
  <si>
    <t>215.39</t>
  </si>
  <si>
    <t>850 361-6460</t>
  </si>
  <si>
    <t>850 292-7905</t>
  </si>
  <si>
    <t>25703562</t>
  </si>
  <si>
    <t>1113103</t>
  </si>
  <si>
    <t>RUFUS FAIRLEY</t>
  </si>
  <si>
    <t>10/09/2013</t>
  </si>
  <si>
    <t>3209  W CROSS ST</t>
  </si>
  <si>
    <t>SABKPRFFW</t>
  </si>
  <si>
    <t>O13432</t>
  </si>
  <si>
    <t>-161.67</t>
  </si>
  <si>
    <t>286.26</t>
  </si>
  <si>
    <t>140.31</t>
  </si>
  <si>
    <t>140.96</t>
  </si>
  <si>
    <t>850 382-2504</t>
  </si>
  <si>
    <t>25703680</t>
  </si>
  <si>
    <t>63424618</t>
  </si>
  <si>
    <t>850 748 1643</t>
  </si>
  <si>
    <t>4509   GUERLAIN WAY</t>
  </si>
  <si>
    <t>SACBJWNKT</t>
  </si>
  <si>
    <t>510219</t>
  </si>
  <si>
    <t>310.87</t>
  </si>
  <si>
    <t>176.43</t>
  </si>
  <si>
    <t>850 748-1643</t>
  </si>
  <si>
    <t>25703701</t>
  </si>
  <si>
    <t>68625909</t>
  </si>
  <si>
    <t>REA BAKER</t>
  </si>
  <si>
    <t>03/29/2013</t>
  </si>
  <si>
    <t>850 777 0117</t>
  </si>
  <si>
    <t>1021  N R ST</t>
  </si>
  <si>
    <t>SABLCFZCH</t>
  </si>
  <si>
    <t>541502</t>
  </si>
  <si>
    <t>-261.85</t>
  </si>
  <si>
    <t>-126.27</t>
  </si>
  <si>
    <t>368.82</t>
  </si>
  <si>
    <t>227.05</t>
  </si>
  <si>
    <t>136.78</t>
  </si>
  <si>
    <t>850 777-0117</t>
  </si>
  <si>
    <t>850 912-4276</t>
  </si>
  <si>
    <t>25706665</t>
  </si>
  <si>
    <t>26425910</t>
  </si>
  <si>
    <t>Nicole Bryan</t>
  </si>
  <si>
    <t>850 619 4162</t>
  </si>
  <si>
    <t>2959   MICHAEL DR</t>
  </si>
  <si>
    <t>260494744</t>
  </si>
  <si>
    <t>551000</t>
  </si>
  <si>
    <t>-123.58</t>
  </si>
  <si>
    <t>-236.00</t>
  </si>
  <si>
    <t>546.23</t>
  </si>
  <si>
    <t>182.84</t>
  </si>
  <si>
    <t>328.4</t>
  </si>
  <si>
    <t>850 619-4162</t>
  </si>
  <si>
    <t>25706667</t>
  </si>
  <si>
    <t>28779704</t>
  </si>
  <si>
    <t>CORA MOSS</t>
  </si>
  <si>
    <t>850 469 8990</t>
  </si>
  <si>
    <t>121   YOAKUM CT</t>
  </si>
  <si>
    <t>E124M13001134</t>
  </si>
  <si>
    <t>571929</t>
  </si>
  <si>
    <t>-195.36</t>
  </si>
  <si>
    <t>714.03</t>
  </si>
  <si>
    <t>246.38</t>
  </si>
  <si>
    <t>269.97</t>
  </si>
  <si>
    <t>192.69</t>
  </si>
  <si>
    <t>850 469-8990</t>
  </si>
  <si>
    <t>25706700</t>
  </si>
  <si>
    <t>65930416</t>
  </si>
  <si>
    <t>LATOYA SINGLETON</t>
  </si>
  <si>
    <t>504 407 4733</t>
  </si>
  <si>
    <t>112   AQUAMARINE AVE</t>
  </si>
  <si>
    <t>DCP4M13005878</t>
  </si>
  <si>
    <t>R023540</t>
  </si>
  <si>
    <t>-184.77</t>
  </si>
  <si>
    <t>590.11</t>
  </si>
  <si>
    <t>218.9</t>
  </si>
  <si>
    <t>202.44</t>
  </si>
  <si>
    <t>168.77</t>
  </si>
  <si>
    <t>504 407-4733</t>
  </si>
  <si>
    <t>25706728</t>
  </si>
  <si>
    <t>68697808</t>
  </si>
  <si>
    <t>Charles Payne</t>
  </si>
  <si>
    <t>09/24/2014</t>
  </si>
  <si>
    <t>850 292 9037</t>
  </si>
  <si>
    <t>611  N R ST</t>
  </si>
  <si>
    <t>711147</t>
  </si>
  <si>
    <t>-93.04</t>
  </si>
  <si>
    <t>189.36</t>
  </si>
  <si>
    <t>92.68</t>
  </si>
  <si>
    <t>850 292-9037</t>
  </si>
  <si>
    <t>25706567</t>
  </si>
  <si>
    <t>565020</t>
  </si>
  <si>
    <t>SHAKIRA EAST</t>
  </si>
  <si>
    <t>850 356 9310</t>
  </si>
  <si>
    <t xml:space="preserve">    72</t>
  </si>
  <si>
    <t>236531107</t>
  </si>
  <si>
    <t>629872</t>
  </si>
  <si>
    <t>-136.74</t>
  </si>
  <si>
    <t>-145.21</t>
  </si>
  <si>
    <t>333.19</t>
  </si>
  <si>
    <t>200.2</t>
  </si>
  <si>
    <t>128</t>
  </si>
  <si>
    <t>850 356-9310</t>
  </si>
  <si>
    <t>25706578</t>
  </si>
  <si>
    <t>2239723</t>
  </si>
  <si>
    <t>RACHELLE MARTIN</t>
  </si>
  <si>
    <t xml:space="preserve">   259</t>
  </si>
  <si>
    <t>SACDRTCLH</t>
  </si>
  <si>
    <t>1060257</t>
  </si>
  <si>
    <t>25708148</t>
  </si>
  <si>
    <t>3048403</t>
  </si>
  <si>
    <t>ROBBERT DUKES</t>
  </si>
  <si>
    <t>850 384 3126</t>
  </si>
  <si>
    <t>1170   CAPITOL BLVD</t>
  </si>
  <si>
    <t>266451080</t>
  </si>
  <si>
    <t>655198</t>
  </si>
  <si>
    <t>-98.00</t>
  </si>
  <si>
    <t>646.75</t>
  </si>
  <si>
    <t>8.33</t>
  </si>
  <si>
    <t>338.69</t>
  </si>
  <si>
    <t>850 384-3126</t>
  </si>
  <si>
    <t>25708187</t>
  </si>
  <si>
    <t>13495718</t>
  </si>
  <si>
    <t>DONNELL RUSSAW</t>
  </si>
  <si>
    <t>850 341 5527</t>
  </si>
  <si>
    <t>1008   NEW MEXICO DR</t>
  </si>
  <si>
    <t>RGI0900</t>
  </si>
  <si>
    <t>[314758028716272701011036]</t>
  </si>
  <si>
    <t>387543</t>
  </si>
  <si>
    <t>725466</t>
  </si>
  <si>
    <t>338.99</t>
  </si>
  <si>
    <t>282.43</t>
  </si>
  <si>
    <t>48.23</t>
  </si>
  <si>
    <t>850 341-5527</t>
  </si>
  <si>
    <t>25708227</t>
  </si>
  <si>
    <t>66421716</t>
  </si>
  <si>
    <t>KATINA HICKS</t>
  </si>
  <si>
    <t>850 417 2458</t>
  </si>
  <si>
    <t>211   MCKINLEY DR</t>
  </si>
  <si>
    <t>[210319767]</t>
  </si>
  <si>
    <t>781393</t>
  </si>
  <si>
    <t>-131.61</t>
  </si>
  <si>
    <t>-141.61</t>
  </si>
  <si>
    <t>-10.00</t>
  </si>
  <si>
    <t>399.84</t>
  </si>
  <si>
    <t>136.61</t>
  </si>
  <si>
    <t>131.62</t>
  </si>
  <si>
    <t>850 417-2458</t>
  </si>
  <si>
    <t>25708240</t>
  </si>
  <si>
    <t>68581004</t>
  </si>
  <si>
    <t>Rhonda Robinson</t>
  </si>
  <si>
    <t>07/24/2014</t>
  </si>
  <si>
    <t>850 607 4203</t>
  </si>
  <si>
    <t>1901  N S ST</t>
  </si>
  <si>
    <t>SABQDCBQQ</t>
  </si>
  <si>
    <t>843035</t>
  </si>
  <si>
    <t>659.09</t>
  </si>
  <si>
    <t>243.39</t>
  </si>
  <si>
    <t>196.86</t>
  </si>
  <si>
    <t>33.85</t>
  </si>
  <si>
    <t>150</t>
  </si>
  <si>
    <t>850 607-4203</t>
  </si>
  <si>
    <t>25709222</t>
  </si>
  <si>
    <t>32006909</t>
  </si>
  <si>
    <t>DELARRIAN STALLWORTH</t>
  </si>
  <si>
    <t>01/07/2014</t>
  </si>
  <si>
    <t>850 261 7163</t>
  </si>
  <si>
    <t>2   GAIL DR</t>
  </si>
  <si>
    <t>236002258</t>
  </si>
  <si>
    <t>718244</t>
  </si>
  <si>
    <t>R151261</t>
  </si>
  <si>
    <t>-140.02</t>
  </si>
  <si>
    <t>-128.34</t>
  </si>
  <si>
    <t>360.23</t>
  </si>
  <si>
    <t>183.11</t>
  </si>
  <si>
    <t>172.13</t>
  </si>
  <si>
    <t>850 261-7163</t>
  </si>
  <si>
    <t>25709232</t>
  </si>
  <si>
    <t>5154603</t>
  </si>
  <si>
    <t>TRISTA KNOTTS</t>
  </si>
  <si>
    <t>850 691 9731</t>
  </si>
  <si>
    <t>908  W MICHIGAN AVE</t>
  </si>
  <si>
    <t>236772039</t>
  </si>
  <si>
    <t>919478</t>
  </si>
  <si>
    <t>107.11</t>
  </si>
  <si>
    <t>63.14</t>
  </si>
  <si>
    <t>850 691-9731</t>
  </si>
  <si>
    <t>25709267</t>
  </si>
  <si>
    <t>47454416</t>
  </si>
  <si>
    <t>JAMARCUS MADDOX</t>
  </si>
  <si>
    <t>850 483 9416</t>
  </si>
  <si>
    <t>1024   POTOMAC DR</t>
  </si>
  <si>
    <t>DCF4D31003770</t>
  </si>
  <si>
    <t>Z005524</t>
  </si>
  <si>
    <t>-226.80</t>
  </si>
  <si>
    <t>406.59</t>
  </si>
  <si>
    <t>226.8</t>
  </si>
  <si>
    <t>850 483-9416</t>
  </si>
  <si>
    <t>25709309</t>
  </si>
  <si>
    <t>65945817</t>
  </si>
  <si>
    <t>PHILIP SHELBY</t>
  </si>
  <si>
    <t>850 712 8562</t>
  </si>
  <si>
    <t>3420  W AVERY ST</t>
  </si>
  <si>
    <t>[218081813]</t>
  </si>
  <si>
    <t>403415</t>
  </si>
  <si>
    <t>-55.92</t>
  </si>
  <si>
    <t>96.07</t>
  </si>
  <si>
    <t>27.94</t>
  </si>
  <si>
    <t>850 712-8562</t>
  </si>
  <si>
    <t>25709331</t>
  </si>
  <si>
    <t>66626211</t>
  </si>
  <si>
    <t>Trayvon Jones</t>
  </si>
  <si>
    <t>2704  W STRONG ST</t>
  </si>
  <si>
    <t>DCX4M13000195</t>
  </si>
  <si>
    <t>921350</t>
  </si>
  <si>
    <t>242.75</t>
  </si>
  <si>
    <t>16.51</t>
  </si>
  <si>
    <t>41.17</t>
  </si>
  <si>
    <t>850 525-2288</t>
  </si>
  <si>
    <t>25709384</t>
  </si>
  <si>
    <t>68529004</t>
  </si>
  <si>
    <t>LONNELL DEMOS</t>
  </si>
  <si>
    <t>12/22/2009</t>
  </si>
  <si>
    <t>850 982 1808</t>
  </si>
  <si>
    <t>3200  W LLOYD ST</t>
  </si>
  <si>
    <t>5156</t>
  </si>
  <si>
    <t>R141481</t>
  </si>
  <si>
    <t>69.55</t>
  </si>
  <si>
    <t>850 982-1808</t>
  </si>
  <si>
    <t>25709387</t>
  </si>
  <si>
    <t>68633101</t>
  </si>
  <si>
    <t>JAMES W KELLEY</t>
  </si>
  <si>
    <t>05/01/1991</t>
  </si>
  <si>
    <t>850 438 5919</t>
  </si>
  <si>
    <t>405   ROSALYN WAY</t>
  </si>
  <si>
    <t>[502510431241]</t>
  </si>
  <si>
    <t>968101</t>
  </si>
  <si>
    <t>-159.80</t>
  </si>
  <si>
    <t>-314.61</t>
  </si>
  <si>
    <t>-154.81</t>
  </si>
  <si>
    <t>405.82</t>
  </si>
  <si>
    <t>199.52</t>
  </si>
  <si>
    <t>201.31</t>
  </si>
  <si>
    <t>850 438-5919</t>
  </si>
  <si>
    <t>850 477-0998</t>
  </si>
  <si>
    <t>25709389</t>
  </si>
  <si>
    <t>68800304</t>
  </si>
  <si>
    <t>CHARLES BETTIS SR</t>
  </si>
  <si>
    <t>2525   TRUMAN AVE</t>
  </si>
  <si>
    <t>4749</t>
  </si>
  <si>
    <t>[0HYTSX1PZ3S8]</t>
  </si>
  <si>
    <t>696059</t>
  </si>
  <si>
    <t>655179</t>
  </si>
  <si>
    <t>-234.00</t>
  </si>
  <si>
    <t>-106.00</t>
  </si>
  <si>
    <t>321.58</t>
  </si>
  <si>
    <t>160.22</t>
  </si>
  <si>
    <t>156.37</t>
  </si>
  <si>
    <t>2015-05-20 00:00:00</t>
  </si>
  <si>
    <t>850 855-0998</t>
  </si>
  <si>
    <t>25712836</t>
  </si>
  <si>
    <t>58617220</t>
  </si>
  <si>
    <t>JESSICA DAILEY</t>
  </si>
  <si>
    <t>850 760 7540</t>
  </si>
  <si>
    <t>227   AQUAMARINE AVE</t>
  </si>
  <si>
    <t>D6A3R44000969</t>
  </si>
  <si>
    <t>412206</t>
  </si>
  <si>
    <t>343.88</t>
  </si>
  <si>
    <t>236.98</t>
  </si>
  <si>
    <t>101.91</t>
  </si>
  <si>
    <t>850 760-7540</t>
  </si>
  <si>
    <t>25712904</t>
  </si>
  <si>
    <t>67689719</t>
  </si>
  <si>
    <t>HERBERT BASS</t>
  </si>
  <si>
    <t>850 438 1260</t>
  </si>
  <si>
    <t>6402   FAIRVIEW DR</t>
  </si>
  <si>
    <t>236562919</t>
  </si>
  <si>
    <t>389202</t>
  </si>
  <si>
    <t>-177.98</t>
  </si>
  <si>
    <t>-183.83</t>
  </si>
  <si>
    <t>438.89</t>
  </si>
  <si>
    <t>253.98</t>
  </si>
  <si>
    <t>154.92</t>
  </si>
  <si>
    <t>850 438-1260</t>
  </si>
  <si>
    <t>25712919</t>
  </si>
  <si>
    <t>68308303</t>
  </si>
  <si>
    <t>Heather Dickerson</t>
  </si>
  <si>
    <t>3   MISSISSIPPI CIR</t>
  </si>
  <si>
    <t>DCX4M13000035</t>
  </si>
  <si>
    <t>629891</t>
  </si>
  <si>
    <t>372.86</t>
  </si>
  <si>
    <t>241.59</t>
  </si>
  <si>
    <t>126.28</t>
  </si>
  <si>
    <t>706 332-3006</t>
  </si>
  <si>
    <t>25712924</t>
  </si>
  <si>
    <t>68505906</t>
  </si>
  <si>
    <t>MELINDA M MEREDITH</t>
  </si>
  <si>
    <t>01/28/2004</t>
  </si>
  <si>
    <t>850 549 3951</t>
  </si>
  <si>
    <t>1009   MASSACHUSETTS LN</t>
  </si>
  <si>
    <t>[CSV01HB82804]</t>
  </si>
  <si>
    <t>R007614</t>
  </si>
  <si>
    <t>-229.37</t>
  </si>
  <si>
    <t>-132.31</t>
  </si>
  <si>
    <t>543.9</t>
  </si>
  <si>
    <t>235.07</t>
  </si>
  <si>
    <t>303.84</t>
  </si>
  <si>
    <t>850 549-3951</t>
  </si>
  <si>
    <t>25696808</t>
  </si>
  <si>
    <t>25696940</t>
  </si>
  <si>
    <t>1043.96</t>
  </si>
  <si>
    <t>281.57</t>
  </si>
  <si>
    <t>25700220</t>
  </si>
  <si>
    <t>847.97</t>
  </si>
  <si>
    <t>166.47</t>
  </si>
  <si>
    <t>25700392</t>
  </si>
  <si>
    <t>594.09</t>
  </si>
  <si>
    <t>175.61</t>
  </si>
  <si>
    <t>202.67</t>
  </si>
  <si>
    <t>25703684</t>
  </si>
  <si>
    <t>25706675</t>
  </si>
  <si>
    <t>25706724</t>
  </si>
  <si>
    <t>67753901</t>
  </si>
  <si>
    <t>RHONDA F JOHNSON</t>
  </si>
  <si>
    <t>850 455 8145</t>
  </si>
  <si>
    <t>223   GARFIELD DR</t>
  </si>
  <si>
    <t>246181210</t>
  </si>
  <si>
    <t>0008119</t>
  </si>
  <si>
    <t>-139.77</t>
  </si>
  <si>
    <t>-156.39</t>
  </si>
  <si>
    <t>-167.83</t>
  </si>
  <si>
    <t>292.19</t>
  </si>
  <si>
    <t>7.46</t>
  </si>
  <si>
    <t>188.86</t>
  </si>
  <si>
    <t>95.87</t>
  </si>
  <si>
    <t>2015-02-18 00:00:00</t>
  </si>
  <si>
    <t>850 455-8145</t>
  </si>
  <si>
    <t>850 455-5782</t>
  </si>
  <si>
    <t>850 586-1346</t>
  </si>
  <si>
    <t>25708223</t>
  </si>
  <si>
    <t>25709214</t>
  </si>
  <si>
    <t>25709216</t>
  </si>
  <si>
    <t>25709308</t>
  </si>
  <si>
    <t>25712809</t>
  </si>
  <si>
    <t>25712884</t>
  </si>
  <si>
    <t>1575.95</t>
  </si>
  <si>
    <t>973.39</t>
  </si>
  <si>
    <t>33.39</t>
  </si>
  <si>
    <t>25696816</t>
  </si>
  <si>
    <t>938110</t>
  </si>
  <si>
    <t>GREGORY BURRIS</t>
  </si>
  <si>
    <t>12394   AILANTHUS DR</t>
  </si>
  <si>
    <t>[219285643]</t>
  </si>
  <si>
    <t>1004984</t>
  </si>
  <si>
    <t>31706</t>
  </si>
  <si>
    <t>-160.49</t>
  </si>
  <si>
    <t>-174.46</t>
  </si>
  <si>
    <t>80.49</t>
  </si>
  <si>
    <t>850 453-1977</t>
  </si>
  <si>
    <t>Caridad</t>
  </si>
  <si>
    <t>25696879</t>
  </si>
  <si>
    <t>12319013</t>
  </si>
  <si>
    <t>Karen Phillips</t>
  </si>
  <si>
    <t>239 200 4492</t>
  </si>
  <si>
    <t>49   NORWOOD DR</t>
  </si>
  <si>
    <t>D5W3R44009501</t>
  </si>
  <si>
    <t>528265</t>
  </si>
  <si>
    <t>-229.51</t>
  </si>
  <si>
    <t>-47.00</t>
  </si>
  <si>
    <t>328.61</t>
  </si>
  <si>
    <t>55.62</t>
  </si>
  <si>
    <t>163.94</t>
  </si>
  <si>
    <t>109.05</t>
  </si>
  <si>
    <t>239 200-4492</t>
  </si>
  <si>
    <t>25695806</t>
  </si>
  <si>
    <t>44140223</t>
  </si>
  <si>
    <t>BRIDGETT TOLER</t>
  </si>
  <si>
    <t>850 288 2491</t>
  </si>
  <si>
    <t xml:space="preserve">   906</t>
  </si>
  <si>
    <t>SABNZZDLV</t>
  </si>
  <si>
    <t>529943</t>
  </si>
  <si>
    <t>-960.65</t>
  </si>
  <si>
    <t>-297.71</t>
  </si>
  <si>
    <t>1186.99</t>
  </si>
  <si>
    <t>102.51</t>
  </si>
  <si>
    <t>123.83</t>
  </si>
  <si>
    <t>960.65</t>
  </si>
  <si>
    <t>850 288-2491</t>
  </si>
  <si>
    <t>850 417-4844</t>
  </si>
  <si>
    <t>25696985</t>
  </si>
  <si>
    <t>71494315</t>
  </si>
  <si>
    <t>ANTONIETTA BENBOE</t>
  </si>
  <si>
    <t>850 483 7634</t>
  </si>
  <si>
    <t>611  N 63RD AVE</t>
  </si>
  <si>
    <t>SABSCMSSX</t>
  </si>
  <si>
    <t>856706</t>
  </si>
  <si>
    <t>812689</t>
  </si>
  <si>
    <t>-163.33</t>
  </si>
  <si>
    <t>-189.83</t>
  </si>
  <si>
    <t>-179.75</t>
  </si>
  <si>
    <t>667.38</t>
  </si>
  <si>
    <t>173.35</t>
  </si>
  <si>
    <t>165.41</t>
  </si>
  <si>
    <t>328.62</t>
  </si>
  <si>
    <t>850 483-7634</t>
  </si>
  <si>
    <t>25703571</t>
  </si>
  <si>
    <t>2750308</t>
  </si>
  <si>
    <t>BRIAN BAILEY</t>
  </si>
  <si>
    <t>850 849 6240</t>
  </si>
  <si>
    <t>829   MERLIN TER</t>
  </si>
  <si>
    <t>249593294</t>
  </si>
  <si>
    <t>813015</t>
  </si>
  <si>
    <t>-84.07</t>
  </si>
  <si>
    <t>-84.08</t>
  </si>
  <si>
    <t>-57.58</t>
  </si>
  <si>
    <t>173.13</t>
  </si>
  <si>
    <t>84.07</t>
  </si>
  <si>
    <t>850 849-6240</t>
  </si>
  <si>
    <t>25703572</t>
  </si>
  <si>
    <t>2798410</t>
  </si>
  <si>
    <t>JOAN ANDERSON</t>
  </si>
  <si>
    <t>910 382 3606</t>
  </si>
  <si>
    <t>4404   LILLIAN HWY</t>
  </si>
  <si>
    <t>5247</t>
  </si>
  <si>
    <t>236730654</t>
  </si>
  <si>
    <t>604307</t>
  </si>
  <si>
    <t>-42.00</t>
  </si>
  <si>
    <t>94.48</t>
  </si>
  <si>
    <t>.5</t>
  </si>
  <si>
    <t>910 382-3606</t>
  </si>
  <si>
    <t>25703657</t>
  </si>
  <si>
    <t>33245209</t>
  </si>
  <si>
    <t>BARBARA JOHNSON</t>
  </si>
  <si>
    <t>850 485 7105</t>
  </si>
  <si>
    <t xml:space="preserve">   911</t>
  </si>
  <si>
    <t>DCJ4M13005171</t>
  </si>
  <si>
    <t>853490</t>
  </si>
  <si>
    <t>795.13</t>
  </si>
  <si>
    <t>204.09</t>
  </si>
  <si>
    <t>384.45</t>
  </si>
  <si>
    <t>850 485-7105</t>
  </si>
  <si>
    <t>850 525-3728</t>
  </si>
  <si>
    <t>25703661</t>
  </si>
  <si>
    <t>38414918</t>
  </si>
  <si>
    <t>KEANU KIRTON</t>
  </si>
  <si>
    <t>850 637 1487</t>
  </si>
  <si>
    <t>13   PEN HAVEN DR</t>
  </si>
  <si>
    <t>236424506</t>
  </si>
  <si>
    <t>413712</t>
  </si>
  <si>
    <t>-500.63</t>
  </si>
  <si>
    <t>-216.14</t>
  </si>
  <si>
    <t>745.29</t>
  </si>
  <si>
    <t>245.35</t>
  </si>
  <si>
    <t>178.85</t>
  </si>
  <si>
    <t>316.1</t>
  </si>
  <si>
    <t>2015-05-15 00:00:00</t>
  </si>
  <si>
    <t>850 637-1487</t>
  </si>
  <si>
    <t>850 426-8036</t>
  </si>
  <si>
    <t>25703677</t>
  </si>
  <si>
    <t>59768213</t>
  </si>
  <si>
    <t>CHARLES ROSE</t>
  </si>
  <si>
    <t>850 341 6937</t>
  </si>
  <si>
    <t xml:space="preserve">    17</t>
  </si>
  <si>
    <t>SABQFSRJQ</t>
  </si>
  <si>
    <t>373500</t>
  </si>
  <si>
    <t>-206.52</t>
  </si>
  <si>
    <t>-149.27</t>
  </si>
  <si>
    <t>221.46</t>
  </si>
  <si>
    <t>160.96</t>
  </si>
  <si>
    <t>850 341-6937</t>
  </si>
  <si>
    <t>25703707</t>
  </si>
  <si>
    <t>69167502</t>
  </si>
  <si>
    <t>WILBUR J STEELEY</t>
  </si>
  <si>
    <t>850 453 4773</t>
  </si>
  <si>
    <t>711  N 69TH AVE</t>
  </si>
  <si>
    <t>[206992416]</t>
  </si>
  <si>
    <t>493005</t>
  </si>
  <si>
    <t>164.74</t>
  </si>
  <si>
    <t>70.63</t>
  </si>
  <si>
    <t>850 453-4773</t>
  </si>
  <si>
    <t>25703720</t>
  </si>
  <si>
    <t>71977509</t>
  </si>
  <si>
    <t>KANDY SIMON</t>
  </si>
  <si>
    <t>01/19/2015</t>
  </si>
  <si>
    <t>850 206 9676</t>
  </si>
  <si>
    <t xml:space="preserve">  1301</t>
  </si>
  <si>
    <t>3HW13AW30067D</t>
  </si>
  <si>
    <t>902648</t>
  </si>
  <si>
    <t>54.94</t>
  </si>
  <si>
    <t>2015-04-01 00:00:00</t>
  </si>
  <si>
    <t>850 206-9676</t>
  </si>
  <si>
    <t>25703721</t>
  </si>
  <si>
    <t>71981406</t>
  </si>
  <si>
    <t>WALLACE CHRISTIE</t>
  </si>
  <si>
    <t>850 503 0284</t>
  </si>
  <si>
    <t>24   DOMITILLA ST</t>
  </si>
  <si>
    <t>SABWNRFHJ</t>
  </si>
  <si>
    <t>1004585</t>
  </si>
  <si>
    <t>-280.58</t>
  </si>
  <si>
    <t>-189.82</t>
  </si>
  <si>
    <t>393.1</t>
  </si>
  <si>
    <t>216.76</t>
  </si>
  <si>
    <t>171.35</t>
  </si>
  <si>
    <t>850 503-0284</t>
  </si>
  <si>
    <t>25706661</t>
  </si>
  <si>
    <t>24557108</t>
  </si>
  <si>
    <t>JAMES DAY</t>
  </si>
  <si>
    <t>850 586 9251</t>
  </si>
  <si>
    <t>505  S EDGEWOOD CIR</t>
  </si>
  <si>
    <t>45U14AW502689</t>
  </si>
  <si>
    <t>P389331</t>
  </si>
  <si>
    <t>-54.72</t>
  </si>
  <si>
    <t>-50.73</t>
  </si>
  <si>
    <t>-52.98</t>
  </si>
  <si>
    <t>114.43</t>
  </si>
  <si>
    <t>850 586-9251</t>
  </si>
  <si>
    <t>25706694</t>
  </si>
  <si>
    <t>61800917</t>
  </si>
  <si>
    <t>TARRIL JONES</t>
  </si>
  <si>
    <t>850 490 7626</t>
  </si>
  <si>
    <t xml:space="preserve">   224</t>
  </si>
  <si>
    <t>SABLBNHVL</t>
  </si>
  <si>
    <t>745647</t>
  </si>
  <si>
    <t>-119.28</t>
  </si>
  <si>
    <t>-142.61</t>
  </si>
  <si>
    <t>453.44</t>
  </si>
  <si>
    <t>126.33</t>
  </si>
  <si>
    <t>91.34</t>
  </si>
  <si>
    <t>115.71</t>
  </si>
  <si>
    <t>120.06</t>
  </si>
  <si>
    <t>850 490-7626</t>
  </si>
  <si>
    <t>25706703</t>
  </si>
  <si>
    <t>66367410</t>
  </si>
  <si>
    <t>ELSA ROEMER</t>
  </si>
  <si>
    <t>850 530 6224</t>
  </si>
  <si>
    <t>5800   LILLIAN HWY</t>
  </si>
  <si>
    <t xml:space="preserve">    57</t>
  </si>
  <si>
    <t>QBAJ1D4003992</t>
  </si>
  <si>
    <t>492765</t>
  </si>
  <si>
    <t>-44.00</t>
  </si>
  <si>
    <t>-283.40</t>
  </si>
  <si>
    <t>11/10/2014</t>
  </si>
  <si>
    <t>585.89</t>
  </si>
  <si>
    <t>308.11</t>
  </si>
  <si>
    <t>204.65</t>
  </si>
  <si>
    <t>73.13</t>
  </si>
  <si>
    <t>850 530-6224</t>
  </si>
  <si>
    <t>850 206-3274</t>
  </si>
  <si>
    <t>25706711</t>
  </si>
  <si>
    <t>66671610</t>
  </si>
  <si>
    <t>ROIMON SANDERS</t>
  </si>
  <si>
    <t xml:space="preserve">   916</t>
  </si>
  <si>
    <t>DC54M13006387</t>
  </si>
  <si>
    <t>412298</t>
  </si>
  <si>
    <t>272.36</t>
  </si>
  <si>
    <t>195.85</t>
  </si>
  <si>
    <t>71.52</t>
  </si>
  <si>
    <t>850 760-7302</t>
  </si>
  <si>
    <t>25706750</t>
  </si>
  <si>
    <t>71975015</t>
  </si>
  <si>
    <t>DRE'NEISHA BLACK</t>
  </si>
  <si>
    <t>251 513 3123</t>
  </si>
  <si>
    <t xml:space="preserve">   706</t>
  </si>
  <si>
    <t>45U14BW6031F0</t>
  </si>
  <si>
    <t>705653</t>
  </si>
  <si>
    <t>276.69</t>
  </si>
  <si>
    <t>129.85</t>
  </si>
  <si>
    <t>141.85</t>
  </si>
  <si>
    <t>251 513-3123</t>
  </si>
  <si>
    <t>25706593</t>
  </si>
  <si>
    <t>5740702</t>
  </si>
  <si>
    <t>DARRYL L MINNIFIELD</t>
  </si>
  <si>
    <t>678 675 3269</t>
  </si>
  <si>
    <t>5033   CASSIA DR</t>
  </si>
  <si>
    <t>0133</t>
  </si>
  <si>
    <t>5838</t>
  </si>
  <si>
    <t>[QBAJ1D5004524]</t>
  </si>
  <si>
    <t>2063338</t>
  </si>
  <si>
    <t>-276.13</t>
  </si>
  <si>
    <t>-338.89</t>
  </si>
  <si>
    <t>-319.88</t>
  </si>
  <si>
    <t>1126.73</t>
  </si>
  <si>
    <t>77.69</t>
  </si>
  <si>
    <t>847.04</t>
  </si>
  <si>
    <t>202</t>
  </si>
  <si>
    <t>678 675-3269</t>
  </si>
  <si>
    <t>25708146</t>
  </si>
  <si>
    <t>2440506</t>
  </si>
  <si>
    <t>SHAMPALIAN JOHNSON</t>
  </si>
  <si>
    <t>850 572 7608</t>
  </si>
  <si>
    <t>2028   CORAL ST</t>
  </si>
  <si>
    <t>0131</t>
  </si>
  <si>
    <t>D7K4D31006106</t>
  </si>
  <si>
    <t>388985</t>
  </si>
  <si>
    <t>850 572-7608</t>
  </si>
  <si>
    <t>25708151</t>
  </si>
  <si>
    <t>4114809</t>
  </si>
  <si>
    <t>BRANDON HOLLINS</t>
  </si>
  <si>
    <t>7680  W HIGHWAY 98</t>
  </si>
  <si>
    <t>[235120764]</t>
  </si>
  <si>
    <t>104</t>
  </si>
  <si>
    <t>-21.99</t>
  </si>
  <si>
    <t>-60.23</t>
  </si>
  <si>
    <t>91.3</t>
  </si>
  <si>
    <t>52.48</t>
  </si>
  <si>
    <t>22.07</t>
  </si>
  <si>
    <t>11.76</t>
  </si>
  <si>
    <t>915 740-5839</t>
  </si>
  <si>
    <t>25708169</t>
  </si>
  <si>
    <t>7788705</t>
  </si>
  <si>
    <t>SHATAKA POTTER</t>
  </si>
  <si>
    <t>850 483 4678</t>
  </si>
  <si>
    <t>8905   FOREST OAK DR</t>
  </si>
  <si>
    <t>5540,5641</t>
  </si>
  <si>
    <t>708674</t>
  </si>
  <si>
    <t>237</t>
  </si>
  <si>
    <t>122.41</t>
  </si>
  <si>
    <t>109.6</t>
  </si>
  <si>
    <t>850 483-4678</t>
  </si>
  <si>
    <t>25708171</t>
  </si>
  <si>
    <t>7911510</t>
  </si>
  <si>
    <t>RALPH TYRELL</t>
  </si>
  <si>
    <t>617 416 1221</t>
  </si>
  <si>
    <t xml:space="preserve">  1517</t>
  </si>
  <si>
    <t>236712753</t>
  </si>
  <si>
    <t>384695</t>
  </si>
  <si>
    <t>-330.78</t>
  </si>
  <si>
    <t>-152.29</t>
  </si>
  <si>
    <t>516.29</t>
  </si>
  <si>
    <t>185.51</t>
  </si>
  <si>
    <t>330.78</t>
  </si>
  <si>
    <t>617 416-1221</t>
  </si>
  <si>
    <t>25708249</t>
  </si>
  <si>
    <t>71196708</t>
  </si>
  <si>
    <t>JONATHAN KENT</t>
  </si>
  <si>
    <t>757 818 3624</t>
  </si>
  <si>
    <t>12461   AIRBLANC CIR</t>
  </si>
  <si>
    <t xml:space="preserve">    NC</t>
  </si>
  <si>
    <t>3HW147WD073E3</t>
  </si>
  <si>
    <t>1004476</t>
  </si>
  <si>
    <t>-93.51</t>
  </si>
  <si>
    <t>155.47</t>
  </si>
  <si>
    <t>56.48</t>
  </si>
  <si>
    <t>757 818-3624</t>
  </si>
  <si>
    <t>25708255</t>
  </si>
  <si>
    <t>72090012</t>
  </si>
  <si>
    <t>SHARONDA BOSTON</t>
  </si>
  <si>
    <t>228 297 3912</t>
  </si>
  <si>
    <t xml:space="preserve">   133</t>
  </si>
  <si>
    <t>D6R3R44003185</t>
  </si>
  <si>
    <t>919844</t>
  </si>
  <si>
    <t>-76.49</t>
  </si>
  <si>
    <t>206.12</t>
  </si>
  <si>
    <t>42.51</t>
  </si>
  <si>
    <t>2015-08-10 00:00:00</t>
  </si>
  <si>
    <t>228 297-3912</t>
  </si>
  <si>
    <t>228 437-7531</t>
  </si>
  <si>
    <t>25709334</t>
  </si>
  <si>
    <t>66652810</t>
  </si>
  <si>
    <t>JONATHAN KANE</t>
  </si>
  <si>
    <t>850 341 7594</t>
  </si>
  <si>
    <t>106   TOMAHAWK TRL</t>
  </si>
  <si>
    <t>SACFBWDNX</t>
  </si>
  <si>
    <t>494786</t>
  </si>
  <si>
    <t>-438.00</t>
  </si>
  <si>
    <t>791.32</t>
  </si>
  <si>
    <t>296.83</t>
  </si>
  <si>
    <t>438</t>
  </si>
  <si>
    <t>2015-08-04 00:00:00</t>
  </si>
  <si>
    <t>850 341-7594</t>
  </si>
  <si>
    <t>25712730</t>
  </si>
  <si>
    <t>71594923</t>
  </si>
  <si>
    <t>MARILYN WILLIAMS</t>
  </si>
  <si>
    <t>08/28/2013</t>
  </si>
  <si>
    <t>850 439 5360</t>
  </si>
  <si>
    <t xml:space="preserve">     K</t>
  </si>
  <si>
    <t>SABWNJVXB</t>
  </si>
  <si>
    <t>589240</t>
  </si>
  <si>
    <t>-166.19</t>
  </si>
  <si>
    <t>-146.24</t>
  </si>
  <si>
    <t>234.91</t>
  </si>
  <si>
    <t>850 439-5360</t>
  </si>
  <si>
    <t>25712834</t>
  </si>
  <si>
    <t>58120734</t>
  </si>
  <si>
    <t>PARIS JENNINGS</t>
  </si>
  <si>
    <t>850 377 9581</t>
  </si>
  <si>
    <t>99   REDWOOD CIR</t>
  </si>
  <si>
    <t xml:space="preserve">    2B</t>
  </si>
  <si>
    <t>3HW13AW200698</t>
  </si>
  <si>
    <t>387638</t>
  </si>
  <si>
    <t>320.95</t>
  </si>
  <si>
    <t>19.53</t>
  </si>
  <si>
    <t>158.07</t>
  </si>
  <si>
    <t>850 377-9581</t>
  </si>
  <si>
    <t>25696955</t>
  </si>
  <si>
    <t>838.79</t>
  </si>
  <si>
    <t>25700253</t>
  </si>
  <si>
    <t>25700366</t>
  </si>
  <si>
    <t>54737204</t>
  </si>
  <si>
    <t>SHEILA HARRINGTON</t>
  </si>
  <si>
    <t>850 691 9457</t>
  </si>
  <si>
    <t>48   DE LUNA DR</t>
  </si>
  <si>
    <t>262527714</t>
  </si>
  <si>
    <t>798115</t>
  </si>
  <si>
    <t>-241.28</t>
  </si>
  <si>
    <t>-239.08</t>
  </si>
  <si>
    <t>-224.62</t>
  </si>
  <si>
    <t>1243.03</t>
  </si>
  <si>
    <t>772.41</t>
  </si>
  <si>
    <t>229.81</t>
  </si>
  <si>
    <t>215.06</t>
  </si>
  <si>
    <t>20.76</t>
  </si>
  <si>
    <t>850 691-9457</t>
  </si>
  <si>
    <t>25709233</t>
  </si>
  <si>
    <t>25712812</t>
  </si>
  <si>
    <t>25700434</t>
  </si>
  <si>
    <t>73564102</t>
  </si>
  <si>
    <t>JOSEPHINE POTTER</t>
  </si>
  <si>
    <t>06/17/2011</t>
  </si>
  <si>
    <t>850 243 2451</t>
  </si>
  <si>
    <t>51   MALLARD AVE</t>
  </si>
  <si>
    <t>[0HYTSX7MYNN7]</t>
  </si>
  <si>
    <t>768295</t>
  </si>
  <si>
    <t>-178.58</t>
  </si>
  <si>
    <t>-178.64</t>
  </si>
  <si>
    <t>-87.31</t>
  </si>
  <si>
    <t>96.3</t>
  </si>
  <si>
    <t>91.31</t>
  </si>
  <si>
    <t>87.31</t>
  </si>
  <si>
    <t>850 243-2451</t>
  </si>
  <si>
    <t>25700488</t>
  </si>
  <si>
    <t>78022913</t>
  </si>
  <si>
    <t>JOHN PORTER</t>
  </si>
  <si>
    <t>12/20/2007</t>
  </si>
  <si>
    <t>850 582 0525</t>
  </si>
  <si>
    <t>1552   PINE ST</t>
  </si>
  <si>
    <t>[212794702]</t>
  </si>
  <si>
    <t>H340136</t>
  </si>
  <si>
    <t>-206.02</t>
  </si>
  <si>
    <t>-179.83</t>
  </si>
  <si>
    <t>301.97</t>
  </si>
  <si>
    <t>179.84</t>
  </si>
  <si>
    <t>850 582-0525</t>
  </si>
  <si>
    <t>850 882-2477</t>
  </si>
  <si>
    <t>25703620</t>
  </si>
  <si>
    <t>11464603</t>
  </si>
  <si>
    <t>AMANDA STOCKWELL</t>
  </si>
  <si>
    <t>05/23/2014</t>
  </si>
  <si>
    <t>850 460 7858</t>
  </si>
  <si>
    <t>502   1ST AVE</t>
  </si>
  <si>
    <t>265467117</t>
  </si>
  <si>
    <t>336223</t>
  </si>
  <si>
    <t>-228.46</t>
  </si>
  <si>
    <t>-132.25</t>
  </si>
  <si>
    <t>-83.82</t>
  </si>
  <si>
    <t>-22.8</t>
  </si>
  <si>
    <t>850 460-7858</t>
  </si>
  <si>
    <t>25703774</t>
  </si>
  <si>
    <t>76841207</t>
  </si>
  <si>
    <t>CHERYL DESKO</t>
  </si>
  <si>
    <t>850 667 2256</t>
  </si>
  <si>
    <t>76   DRIFTWOOD RD</t>
  </si>
  <si>
    <t>425735</t>
  </si>
  <si>
    <t>-46.83</t>
  </si>
  <si>
    <t>850 667-2256</t>
  </si>
  <si>
    <t>25706643</t>
  </si>
  <si>
    <t>15149503</t>
  </si>
  <si>
    <t>OBIOMA OGBONNA</t>
  </si>
  <si>
    <t>646 932 6725</t>
  </si>
  <si>
    <t>1000   PATRIOT LN</t>
  </si>
  <si>
    <t xml:space="preserve">   330</t>
  </si>
  <si>
    <t>SABQZPGSJ</t>
  </si>
  <si>
    <t>397607</t>
  </si>
  <si>
    <t>-329.05</t>
  </si>
  <si>
    <t>-151.15</t>
  </si>
  <si>
    <t>305.22</t>
  </si>
  <si>
    <t>160.38</t>
  </si>
  <si>
    <t>120.11</t>
  </si>
  <si>
    <t>3.53</t>
  </si>
  <si>
    <t>646 932-6725</t>
  </si>
  <si>
    <t>25706655</t>
  </si>
  <si>
    <t>17741401</t>
  </si>
  <si>
    <t>DEBORAH SHEIKH</t>
  </si>
  <si>
    <t>850 460 7927</t>
  </si>
  <si>
    <t>3680   SCENIC HIGHWAY 98</t>
  </si>
  <si>
    <t>267227119</t>
  </si>
  <si>
    <t>2071407</t>
  </si>
  <si>
    <t>-567.00</t>
  </si>
  <si>
    <t>212.13</t>
  </si>
  <si>
    <t>28.4</t>
  </si>
  <si>
    <t>183.73</t>
  </si>
  <si>
    <t>850 460-7927</t>
  </si>
  <si>
    <t>25706833</t>
  </si>
  <si>
    <t>81231503</t>
  </si>
  <si>
    <t>KATHLYN S BARROW</t>
  </si>
  <si>
    <t>03/23/2000</t>
  </si>
  <si>
    <t>850 682 4717</t>
  </si>
  <si>
    <t>513   KREST DR</t>
  </si>
  <si>
    <t>SABQRVCFT</t>
  </si>
  <si>
    <t>0007175</t>
  </si>
  <si>
    <t>-146.98</t>
  </si>
  <si>
    <t>-177.76</t>
  </si>
  <si>
    <t>-177.75</t>
  </si>
  <si>
    <t>319.27</t>
  </si>
  <si>
    <t>177.74</t>
  </si>
  <si>
    <t>850 682-4717</t>
  </si>
  <si>
    <t>25708259</t>
  </si>
  <si>
    <t>73278102</t>
  </si>
  <si>
    <t>DONALD COOKSEY</t>
  </si>
  <si>
    <t>02/27/1997</t>
  </si>
  <si>
    <t>850 837 3637</t>
  </si>
  <si>
    <t>423   LINKSIDE DR</t>
  </si>
  <si>
    <t>DCD4D31003854</t>
  </si>
  <si>
    <t>2017529</t>
  </si>
  <si>
    <t>138.49</t>
  </si>
  <si>
    <t>53</t>
  </si>
  <si>
    <t>60</t>
  </si>
  <si>
    <t>850 837-3637</t>
  </si>
  <si>
    <t>25708292</t>
  </si>
  <si>
    <t>77063705</t>
  </si>
  <si>
    <t>ALAN MANGOLD</t>
  </si>
  <si>
    <t>03/21/1995</t>
  </si>
  <si>
    <t>513 604 3371</t>
  </si>
  <si>
    <t>2312   SCENIC GULF DR</t>
  </si>
  <si>
    <t xml:space="preserve">    20</t>
  </si>
  <si>
    <t>236070643</t>
  </si>
  <si>
    <t>818788</t>
  </si>
  <si>
    <t>87.32</t>
  </si>
  <si>
    <t>31.49</t>
  </si>
  <si>
    <t>34.33</t>
  </si>
  <si>
    <t>513 604-3371</t>
  </si>
  <si>
    <t>25712866</t>
  </si>
  <si>
    <t>77121018</t>
  </si>
  <si>
    <t>MS JENNIFER SCHULTZ</t>
  </si>
  <si>
    <t>05/09/2014</t>
  </si>
  <si>
    <t>850 533 3645</t>
  </si>
  <si>
    <t>621   VIRGINIA OAK CT</t>
  </si>
  <si>
    <t>SABWNLMSM</t>
  </si>
  <si>
    <t>637050</t>
  </si>
  <si>
    <t>116.33</t>
  </si>
  <si>
    <t>95.13</t>
  </si>
  <si>
    <t>850 533-3645</t>
  </si>
  <si>
    <t>25712931</t>
  </si>
  <si>
    <t>79710708</t>
  </si>
  <si>
    <t>ALLISON HARDY</t>
  </si>
  <si>
    <t>07/08/2013</t>
  </si>
  <si>
    <t>864 934 0676</t>
  </si>
  <si>
    <t>535   CHINQUAPIN DR</t>
  </si>
  <si>
    <t>0HYTV13FS9P8</t>
  </si>
  <si>
    <t>422962</t>
  </si>
  <si>
    <t>-103.18</t>
  </si>
  <si>
    <t>66.17</t>
  </si>
  <si>
    <t>864 934-0676</t>
  </si>
  <si>
    <t>25708180</t>
  </si>
  <si>
    <t>25696829</t>
  </si>
  <si>
    <t>3474501</t>
  </si>
  <si>
    <t>CLAUDIA WERDER</t>
  </si>
  <si>
    <t>06/30/1997</t>
  </si>
  <si>
    <t>850 837 3892</t>
  </si>
  <si>
    <t>280   GULF SHORE DR</t>
  </si>
  <si>
    <t xml:space="preserve">   541</t>
  </si>
  <si>
    <t>[212792418]</t>
  </si>
  <si>
    <t>1191943</t>
  </si>
  <si>
    <t>-143.90</t>
  </si>
  <si>
    <t>-138.28</t>
  </si>
  <si>
    <t>-138.19</t>
  </si>
  <si>
    <t>326.74</t>
  </si>
  <si>
    <t>177.85</t>
  </si>
  <si>
    <t>143.9</t>
  </si>
  <si>
    <t>850 837-3892</t>
  </si>
  <si>
    <t>25696849</t>
  </si>
  <si>
    <t>7922008</t>
  </si>
  <si>
    <t>MANDI JOHNSON</t>
  </si>
  <si>
    <t>850 450 1993</t>
  </si>
  <si>
    <t>1004   JOAN AVE</t>
  </si>
  <si>
    <t>CAK4A21005674</t>
  </si>
  <si>
    <t>2337366</t>
  </si>
  <si>
    <t>-179.06</t>
  </si>
  <si>
    <t>-119.06</t>
  </si>
  <si>
    <t>82.76</t>
  </si>
  <si>
    <t>18.66</t>
  </si>
  <si>
    <t>59.11</t>
  </si>
  <si>
    <t>850 450-1993</t>
  </si>
  <si>
    <t>25697007</t>
  </si>
  <si>
    <t>73366504</t>
  </si>
  <si>
    <t>DAVID BAKER</t>
  </si>
  <si>
    <t>11/20/2012</t>
  </si>
  <si>
    <t>850 226 6313</t>
  </si>
  <si>
    <t>11   EGLIN ST</t>
  </si>
  <si>
    <t>SACBJWWRP</t>
  </si>
  <si>
    <t>819892</t>
  </si>
  <si>
    <t>-76.75</t>
  </si>
  <si>
    <t>492.27</t>
  </si>
  <si>
    <t>251.02</t>
  </si>
  <si>
    <t>236.26</t>
  </si>
  <si>
    <t>850 226-6313</t>
  </si>
  <si>
    <t>850 699-1363</t>
  </si>
  <si>
    <t>25697029</t>
  </si>
  <si>
    <t>75972632</t>
  </si>
  <si>
    <t>LILIANA BARRIGA</t>
  </si>
  <si>
    <t>850 699 7167</t>
  </si>
  <si>
    <t>607   COLONIAL DR</t>
  </si>
  <si>
    <t>SABLVBVNV</t>
  </si>
  <si>
    <t>398691</t>
  </si>
  <si>
    <t>-99.08</t>
  </si>
  <si>
    <t>-108.00</t>
  </si>
  <si>
    <t>-99.09</t>
  </si>
  <si>
    <t>207.17</t>
  </si>
  <si>
    <t>103.09</t>
  </si>
  <si>
    <t>99.09</t>
  </si>
  <si>
    <t>850 699-7167</t>
  </si>
  <si>
    <t>25697033</t>
  </si>
  <si>
    <t>76443512</t>
  </si>
  <si>
    <t>Kelly Carriger</t>
  </si>
  <si>
    <t>850 428 2896</t>
  </si>
  <si>
    <t>4000   GULF TERRACE DR</t>
  </si>
  <si>
    <t xml:space="preserve">   273</t>
  </si>
  <si>
    <t>3HW146WJ060A4</t>
  </si>
  <si>
    <t>0V61731</t>
  </si>
  <si>
    <t>-63.60</t>
  </si>
  <si>
    <t>-125.58</t>
  </si>
  <si>
    <t>119.72</t>
  </si>
  <si>
    <t>72.58</t>
  </si>
  <si>
    <t>42.15</t>
  </si>
  <si>
    <t>850 428-2896</t>
  </si>
  <si>
    <t>850 427-0903</t>
  </si>
  <si>
    <t>25697040</t>
  </si>
  <si>
    <t>77647809</t>
  </si>
  <si>
    <t>JIMMY L RHINE</t>
  </si>
  <si>
    <t>502 600 2333</t>
  </si>
  <si>
    <t>608   AVENUE DE LA DAUPHINE</t>
  </si>
  <si>
    <t>SABNZCBFX</t>
  </si>
  <si>
    <t>788885</t>
  </si>
  <si>
    <t>258.2</t>
  </si>
  <si>
    <t>150.7</t>
  </si>
  <si>
    <t>502 600-2333</t>
  </si>
  <si>
    <t>25695266</t>
  </si>
  <si>
    <t>7549709</t>
  </si>
  <si>
    <t>TIMOTHY L GABLE</t>
  </si>
  <si>
    <t>911   LAUDERHILL LN</t>
  </si>
  <si>
    <t>[221983187]</t>
  </si>
  <si>
    <t>705118</t>
  </si>
  <si>
    <t>-151.54</t>
  </si>
  <si>
    <t>-130.34</t>
  </si>
  <si>
    <t>338.25</t>
  </si>
  <si>
    <t>160.34</t>
  </si>
  <si>
    <t>109.15</t>
  </si>
  <si>
    <t>68.76</t>
  </si>
  <si>
    <t>850 218-2437</t>
  </si>
  <si>
    <t>25700243</t>
  </si>
  <si>
    <t>3470707</t>
  </si>
  <si>
    <t>LARRY HARRISON II</t>
  </si>
  <si>
    <t>850 376 9054</t>
  </si>
  <si>
    <t>976   SOUTHERN OAKS CT</t>
  </si>
  <si>
    <t>[31E2395M007B8]</t>
  </si>
  <si>
    <t>397142</t>
  </si>
  <si>
    <t>-322.09</t>
  </si>
  <si>
    <t>-214.95</t>
  </si>
  <si>
    <t>288.44</t>
  </si>
  <si>
    <t>158.25</t>
  </si>
  <si>
    <t>125.2</t>
  </si>
  <si>
    <t>850 376-9054</t>
  </si>
  <si>
    <t>25700292</t>
  </si>
  <si>
    <t>10452109</t>
  </si>
  <si>
    <t>Lareece Starkes</t>
  </si>
  <si>
    <t>850 980 0840</t>
  </si>
  <si>
    <t xml:space="preserve">  3206</t>
  </si>
  <si>
    <t>D554M13002507</t>
  </si>
  <si>
    <t>0006225</t>
  </si>
  <si>
    <t>-183.89</t>
  </si>
  <si>
    <t>-257.37</t>
  </si>
  <si>
    <t>393.91</t>
  </si>
  <si>
    <t>190.17</t>
  </si>
  <si>
    <t>198.75</t>
  </si>
  <si>
    <t>850 980-0840</t>
  </si>
  <si>
    <t>25700307</t>
  </si>
  <si>
    <t>12770302</t>
  </si>
  <si>
    <t>PATTI JAMES</t>
  </si>
  <si>
    <t>256 679 3278</t>
  </si>
  <si>
    <t>1878   BAYTOWNE LOOP</t>
  </si>
  <si>
    <t>83ABNE886419882</t>
  </si>
  <si>
    <t>0016516</t>
  </si>
  <si>
    <t>210.21</t>
  </si>
  <si>
    <t>26.48</t>
  </si>
  <si>
    <t>161.24</t>
  </si>
  <si>
    <t>17.5</t>
  </si>
  <si>
    <t>256 679-3278</t>
  </si>
  <si>
    <t>25700445</t>
  </si>
  <si>
    <t>74774224</t>
  </si>
  <si>
    <t>ANGELA FILE</t>
  </si>
  <si>
    <t>06/14/2012</t>
  </si>
  <si>
    <t>262 812 9258</t>
  </si>
  <si>
    <t>6   HIGHLAND DR</t>
  </si>
  <si>
    <t>RAMC018</t>
  </si>
  <si>
    <t>[Y7Y1815002105]</t>
  </si>
  <si>
    <t>2335145</t>
  </si>
  <si>
    <t>-152.21</t>
  </si>
  <si>
    <t>464.49</t>
  </si>
  <si>
    <t>161.29</t>
  </si>
  <si>
    <t>156.3</t>
  </si>
  <si>
    <t>146.9</t>
  </si>
  <si>
    <t>262 812-9258</t>
  </si>
  <si>
    <t>25700447</t>
  </si>
  <si>
    <t>74859016</t>
  </si>
  <si>
    <t>Lisa Baustista</t>
  </si>
  <si>
    <t>850 368 1792</t>
  </si>
  <si>
    <t>57   BUCHANAN CT</t>
  </si>
  <si>
    <t>DCU4M13000006</t>
  </si>
  <si>
    <t>2056216</t>
  </si>
  <si>
    <t>-128.01</t>
  </si>
  <si>
    <t>-256.23</t>
  </si>
  <si>
    <t>-155.14</t>
  </si>
  <si>
    <t>368.36</t>
  </si>
  <si>
    <t>152.63</t>
  </si>
  <si>
    <t>850 368-1792</t>
  </si>
  <si>
    <t>25700449</t>
  </si>
  <si>
    <t>75494218</t>
  </si>
  <si>
    <t>ERIKA GREEN</t>
  </si>
  <si>
    <t>850 346 0943</t>
  </si>
  <si>
    <t>207   POPLAR AVE</t>
  </si>
  <si>
    <t>428315</t>
  </si>
  <si>
    <t>-41.22</t>
  </si>
  <si>
    <t>164.13</t>
  </si>
  <si>
    <t>107.6</t>
  </si>
  <si>
    <t>2.77</t>
  </si>
  <si>
    <t>48.77</t>
  </si>
  <si>
    <t>850 346-0943</t>
  </si>
  <si>
    <t>25700450</t>
  </si>
  <si>
    <t>75507802</t>
  </si>
  <si>
    <t>DARREN FITZPATRICK</t>
  </si>
  <si>
    <t>850 240 5284</t>
  </si>
  <si>
    <t>478   CASCABELLAS ST</t>
  </si>
  <si>
    <t>[409420312352]</t>
  </si>
  <si>
    <t>J545868</t>
  </si>
  <si>
    <t>-169.54</t>
  </si>
  <si>
    <t>-195.73</t>
  </si>
  <si>
    <t>-387.65</t>
  </si>
  <si>
    <t>525.6</t>
  </si>
  <si>
    <t>173.54</t>
  </si>
  <si>
    <t>173.53</t>
  </si>
  <si>
    <t>850 240-5284</t>
  </si>
  <si>
    <t>25700454</t>
  </si>
  <si>
    <t>75787933</t>
  </si>
  <si>
    <t>CHRIS NICHOLS</t>
  </si>
  <si>
    <t>850 902 2854</t>
  </si>
  <si>
    <t>618   COLONIAL DR</t>
  </si>
  <si>
    <t>SACBHXZNG</t>
  </si>
  <si>
    <t>2121700</t>
  </si>
  <si>
    <t>-192.53</t>
  </si>
  <si>
    <t>186.78</t>
  </si>
  <si>
    <t>144.47</t>
  </si>
  <si>
    <t>37.32</t>
  </si>
  <si>
    <t>850 902-2854</t>
  </si>
  <si>
    <t>25700455</t>
  </si>
  <si>
    <t>75832706</t>
  </si>
  <si>
    <t>Christina Tucker</t>
  </si>
  <si>
    <t>08/24/2013</t>
  </si>
  <si>
    <t>850 362 7120</t>
  </si>
  <si>
    <t>501   UNION ST</t>
  </si>
  <si>
    <t>261716142</t>
  </si>
  <si>
    <t>427496</t>
  </si>
  <si>
    <t>-77.32</t>
  </si>
  <si>
    <t>113.26</t>
  </si>
  <si>
    <t>56.13</t>
  </si>
  <si>
    <t>52.14</t>
  </si>
  <si>
    <t>850 362-7120</t>
  </si>
  <si>
    <t>850 603-1801</t>
  </si>
  <si>
    <t>25700459</t>
  </si>
  <si>
    <t>76052102</t>
  </si>
  <si>
    <t>CHRISTOPHE M OCONNOR</t>
  </si>
  <si>
    <t>850 483 9935</t>
  </si>
  <si>
    <t>102   AKRON ST</t>
  </si>
  <si>
    <t>272810695</t>
  </si>
  <si>
    <t>696551</t>
  </si>
  <si>
    <t>0018837</t>
  </si>
  <si>
    <t>-900.00</t>
  </si>
  <si>
    <t>-375.36</t>
  </si>
  <si>
    <t>-208.03</t>
  </si>
  <si>
    <t>1329.32</t>
  </si>
  <si>
    <t>319.5</t>
  </si>
  <si>
    <t>109.82</t>
  </si>
  <si>
    <t>900</t>
  </si>
  <si>
    <t>2015-07-31 00:00:00</t>
  </si>
  <si>
    <t>850 483-9935</t>
  </si>
  <si>
    <t>25700460</t>
  </si>
  <si>
    <t>76068007</t>
  </si>
  <si>
    <t>CHRISTOPHE GAGLIANO</t>
  </si>
  <si>
    <t>02/24/2011</t>
  </si>
  <si>
    <t>850 678 0390</t>
  </si>
  <si>
    <t>3871   INDIAN TRL</t>
  </si>
  <si>
    <t xml:space="preserve">    2D</t>
  </si>
  <si>
    <t>[CDFJ1HA00104]</t>
  </si>
  <si>
    <t>461031</t>
  </si>
  <si>
    <t>-187.12</t>
  </si>
  <si>
    <t>387.03</t>
  </si>
  <si>
    <t>193.96</t>
  </si>
  <si>
    <t>4.11</t>
  </si>
  <si>
    <t>850 678-0390</t>
  </si>
  <si>
    <t>25700474</t>
  </si>
  <si>
    <t>76794514</t>
  </si>
  <si>
    <t>DEBRA GILDAY</t>
  </si>
  <si>
    <t>850 642 0226</t>
  </si>
  <si>
    <t>639903</t>
  </si>
  <si>
    <t>-252.57</t>
  </si>
  <si>
    <t>-147.81</t>
  </si>
  <si>
    <t>194.62</t>
  </si>
  <si>
    <t>74.69</t>
  </si>
  <si>
    <t>89.94</t>
  </si>
  <si>
    <t>2015-03-10 00:00:00</t>
  </si>
  <si>
    <t>850 642-0226</t>
  </si>
  <si>
    <t>25700477</t>
  </si>
  <si>
    <t>77070203</t>
  </si>
  <si>
    <t>ROCKY GRIFFITH</t>
  </si>
  <si>
    <t>01/07/1998</t>
  </si>
  <si>
    <t>850 974 7143</t>
  </si>
  <si>
    <t>819   CROSS ST</t>
  </si>
  <si>
    <t>[502030502971]</t>
  </si>
  <si>
    <t>026069</t>
  </si>
  <si>
    <t>-343.24</t>
  </si>
  <si>
    <t>-399.52</t>
  </si>
  <si>
    <t>-331.60</t>
  </si>
  <si>
    <t>789.29</t>
  </si>
  <si>
    <t>388.8</t>
  </si>
  <si>
    <t>335.5</t>
  </si>
  <si>
    <t>2010-07-09 00:00:00</t>
  </si>
  <si>
    <t>850 974-7143</t>
  </si>
  <si>
    <t>850 461-5348</t>
  </si>
  <si>
    <t>25703584</t>
  </si>
  <si>
    <t>4670206</t>
  </si>
  <si>
    <t>MICHAEL LEVINE</t>
  </si>
  <si>
    <t>856 882 6769</t>
  </si>
  <si>
    <t>444   BRIDGEWATER CT</t>
  </si>
  <si>
    <t>E124M13001055</t>
  </si>
  <si>
    <t>1020698</t>
  </si>
  <si>
    <t>-175.58</t>
  </si>
  <si>
    <t>467.94</t>
  </si>
  <si>
    <t>228.39</t>
  </si>
  <si>
    <t>234.56</t>
  </si>
  <si>
    <t>2015-07-09 00:00:00</t>
  </si>
  <si>
    <t>856 882-6769</t>
  </si>
  <si>
    <t>25703742</t>
  </si>
  <si>
    <t>73448004</t>
  </si>
  <si>
    <t>WILLIAM HOFFA</t>
  </si>
  <si>
    <t>04/25/2011</t>
  </si>
  <si>
    <t>850 585 9370</t>
  </si>
  <si>
    <t>600   CAMBORNE AVE</t>
  </si>
  <si>
    <t>[0HYTSSPLFT49]</t>
  </si>
  <si>
    <t>GJ68271</t>
  </si>
  <si>
    <t>-109.61</t>
  </si>
  <si>
    <t>-67.98</t>
  </si>
  <si>
    <t>182.97</t>
  </si>
  <si>
    <t>88.39</t>
  </si>
  <si>
    <t>89.59</t>
  </si>
  <si>
    <t>850 585-9370</t>
  </si>
  <si>
    <t>25703743</t>
  </si>
  <si>
    <t>73464518</t>
  </si>
  <si>
    <t>SABEN M SCHMITT</t>
  </si>
  <si>
    <t>08/26/2013</t>
  </si>
  <si>
    <t>850 225 0321</t>
  </si>
  <si>
    <t>57   MALLARD AVE</t>
  </si>
  <si>
    <t>[2DV336U000E7A]</t>
  </si>
  <si>
    <t>447024</t>
  </si>
  <si>
    <t>-126.80</t>
  </si>
  <si>
    <t>-134.56</t>
  </si>
  <si>
    <t>159.69</t>
  </si>
  <si>
    <t>850 225-0321</t>
  </si>
  <si>
    <t>25703750</t>
  </si>
  <si>
    <t>74126202</t>
  </si>
  <si>
    <t>Karen Hennesey</t>
  </si>
  <si>
    <t>850 398 3854</t>
  </si>
  <si>
    <t>186   VILLACREST DR</t>
  </si>
  <si>
    <t>249561600</t>
  </si>
  <si>
    <t>449425</t>
  </si>
  <si>
    <t>-68.39</t>
  </si>
  <si>
    <t>-126.51</t>
  </si>
  <si>
    <t>467.42</t>
  </si>
  <si>
    <t>94.58</t>
  </si>
  <si>
    <t>103.38</t>
  </si>
  <si>
    <t>174.88</t>
  </si>
  <si>
    <t>850 398-3854</t>
  </si>
  <si>
    <t>25703757</t>
  </si>
  <si>
    <t>74569226</t>
  </si>
  <si>
    <t>TIFFANY VAUGHN</t>
  </si>
  <si>
    <t>245   HIGHWAY AVE</t>
  </si>
  <si>
    <t>SABNHCZMN</t>
  </si>
  <si>
    <t>705532</t>
  </si>
  <si>
    <t>-223.72</t>
  </si>
  <si>
    <t>-59.20</t>
  </si>
  <si>
    <t>497.44</t>
  </si>
  <si>
    <t>188.94</t>
  </si>
  <si>
    <t>303.51</t>
  </si>
  <si>
    <t>318 233-0892</t>
  </si>
  <si>
    <t>25703759</t>
  </si>
  <si>
    <t>75031003</t>
  </si>
  <si>
    <t>SCOTT BARDWELL</t>
  </si>
  <si>
    <t>229 726 7008</t>
  </si>
  <si>
    <t>4652   PARADISE ISLE</t>
  </si>
  <si>
    <t>[45U14AW101035]</t>
  </si>
  <si>
    <t>940980</t>
  </si>
  <si>
    <t>429356</t>
  </si>
  <si>
    <t>-258.18</t>
  </si>
  <si>
    <t>-160.96</t>
  </si>
  <si>
    <t>118.03</t>
  </si>
  <si>
    <t>229 726-7008</t>
  </si>
  <si>
    <t>205 792-3385</t>
  </si>
  <si>
    <t>25703769</t>
  </si>
  <si>
    <t>76302506</t>
  </si>
  <si>
    <t>ANGEL J FIGUEROA</t>
  </si>
  <si>
    <t>850 218 7491</t>
  </si>
  <si>
    <t>220   CYPRESS ST</t>
  </si>
  <si>
    <t>SABRVVSCS</t>
  </si>
  <si>
    <t>457336</t>
  </si>
  <si>
    <t>-231.35</t>
  </si>
  <si>
    <t>-20.90</t>
  </si>
  <si>
    <t>-137.00</t>
  </si>
  <si>
    <t>102.19</t>
  </si>
  <si>
    <t>29.6</t>
  </si>
  <si>
    <t>850 218-7491</t>
  </si>
  <si>
    <t>25703772</t>
  </si>
  <si>
    <t>76806103</t>
  </si>
  <si>
    <t>LIBBY HAULK</t>
  </si>
  <si>
    <t>404 374 5141</t>
  </si>
  <si>
    <t>30   MORENO POINT RD</t>
  </si>
  <si>
    <t xml:space="preserve">  506C</t>
  </si>
  <si>
    <t>[236732515]</t>
  </si>
  <si>
    <t>-115.77</t>
  </si>
  <si>
    <t>162.94</t>
  </si>
  <si>
    <t>58.97</t>
  </si>
  <si>
    <t>53.98</t>
  </si>
  <si>
    <t>404 374-5141</t>
  </si>
  <si>
    <t>25703796</t>
  </si>
  <si>
    <t>80448304</t>
  </si>
  <si>
    <t>TOMMY FAILLA</t>
  </si>
  <si>
    <t>01/14/2011</t>
  </si>
  <si>
    <t>805   HARBOUR POINT DR</t>
  </si>
  <si>
    <t>[0HYTV15NZ054]</t>
  </si>
  <si>
    <t>W283688</t>
  </si>
  <si>
    <t>-64.99</t>
  </si>
  <si>
    <t>207.94</t>
  </si>
  <si>
    <t>73.97</t>
  </si>
  <si>
    <t>504 214-2495</t>
  </si>
  <si>
    <t>25703801</t>
  </si>
  <si>
    <t>80992105</t>
  </si>
  <si>
    <t>Kaleb Billmyer</t>
  </si>
  <si>
    <t>831   OAKRIDGE RD</t>
  </si>
  <si>
    <t>[3H213CW00180E]</t>
  </si>
  <si>
    <t>835826</t>
  </si>
  <si>
    <t>347.27</t>
  </si>
  <si>
    <t>109.37</t>
  </si>
  <si>
    <t>159.05</t>
  </si>
  <si>
    <t>73.86</t>
  </si>
  <si>
    <t>850 218-9755</t>
  </si>
  <si>
    <t>25706640</t>
  </si>
  <si>
    <t>15088602</t>
  </si>
  <si>
    <t>DANIEL WARR</t>
  </si>
  <si>
    <t>850 218 7353</t>
  </si>
  <si>
    <t>2087   VILLA PALMS CIR</t>
  </si>
  <si>
    <t>861318</t>
  </si>
  <si>
    <t>-183.39</t>
  </si>
  <si>
    <t>-164.84</t>
  </si>
  <si>
    <t>-114.92</t>
  </si>
  <si>
    <t>367.44</t>
  </si>
  <si>
    <t>184.09</t>
  </si>
  <si>
    <t>178.36</t>
  </si>
  <si>
    <t>850 218-7353</t>
  </si>
  <si>
    <t>25706647</t>
  </si>
  <si>
    <t>16946002</t>
  </si>
  <si>
    <t>STACY BREWSTER</t>
  </si>
  <si>
    <t>850 449 0947</t>
  </si>
  <si>
    <t>36  SE CARSON DR</t>
  </si>
  <si>
    <t>SACDJPXLT</t>
  </si>
  <si>
    <t>788912</t>
  </si>
  <si>
    <t>-94.98</t>
  </si>
  <si>
    <t>-171.59</t>
  </si>
  <si>
    <t>-74.11</t>
  </si>
  <si>
    <t>106.57</t>
  </si>
  <si>
    <t>106.15</t>
  </si>
  <si>
    <t>850 449-0947</t>
  </si>
  <si>
    <t>25706783</t>
  </si>
  <si>
    <t>75737538</t>
  </si>
  <si>
    <t>RONALD GROOVER</t>
  </si>
  <si>
    <t>850 398 0377</t>
  </si>
  <si>
    <t>107   CHICAGO AVE</t>
  </si>
  <si>
    <t>DCU4M13000012</t>
  </si>
  <si>
    <t>638370</t>
  </si>
  <si>
    <t>-49.59</t>
  </si>
  <si>
    <t>418.39</t>
  </si>
  <si>
    <t>228.59</t>
  </si>
  <si>
    <t>184.81</t>
  </si>
  <si>
    <t>850 398-0377</t>
  </si>
  <si>
    <t>25706802</t>
  </si>
  <si>
    <t>77460417</t>
  </si>
  <si>
    <t>ANDREA AMMONS</t>
  </si>
  <si>
    <t>09/24/2013</t>
  </si>
  <si>
    <t>850 603 1374</t>
  </si>
  <si>
    <t>443   WATERWAY LN</t>
  </si>
  <si>
    <t>260923613</t>
  </si>
  <si>
    <t>0011141</t>
  </si>
  <si>
    <t>-95.60</t>
  </si>
  <si>
    <t>-161.77</t>
  </si>
  <si>
    <t>161.77</t>
  </si>
  <si>
    <t>850 603-1374</t>
  </si>
  <si>
    <t>25706817</t>
  </si>
  <si>
    <t>79020213</t>
  </si>
  <si>
    <t>THEO FARNSWORTH</t>
  </si>
  <si>
    <t>06/26/2013</t>
  </si>
  <si>
    <t>850 200 2127</t>
  </si>
  <si>
    <t>81   CROSS CREEK RD</t>
  </si>
  <si>
    <t xml:space="preserve">   B17</t>
  </si>
  <si>
    <t>236854160</t>
  </si>
  <si>
    <t>460873</t>
  </si>
  <si>
    <t>-175.73</t>
  </si>
  <si>
    <t>-168.96</t>
  </si>
  <si>
    <t>-99.30</t>
  </si>
  <si>
    <t>313.92</t>
  </si>
  <si>
    <t>165.21</t>
  </si>
  <si>
    <t>2014-10-16 00:00:00</t>
  </si>
  <si>
    <t>850 200-2127</t>
  </si>
  <si>
    <t>25706585</t>
  </si>
  <si>
    <t>4054410</t>
  </si>
  <si>
    <t>EDWIN K ANDERSON</t>
  </si>
  <si>
    <t>12/03/2014</t>
  </si>
  <si>
    <t>850 218 2498</t>
  </si>
  <si>
    <t xml:space="preserve">    21</t>
  </si>
  <si>
    <t>446823</t>
  </si>
  <si>
    <t>374751</t>
  </si>
  <si>
    <t>-88.78</t>
  </si>
  <si>
    <t>187.55</t>
  </si>
  <si>
    <t>88.78</t>
  </si>
  <si>
    <t>850 218-2498</t>
  </si>
  <si>
    <t>25706599</t>
  </si>
  <si>
    <t>7238001</t>
  </si>
  <si>
    <t>12/20/2001</t>
  </si>
  <si>
    <t>1751   SCENIC HIGHWAY 98</t>
  </si>
  <si>
    <t xml:space="preserve">   912</t>
  </si>
  <si>
    <t>X271</t>
  </si>
  <si>
    <t>SACBMCKGS</t>
  </si>
  <si>
    <t>1533360</t>
  </si>
  <si>
    <t>74.2</t>
  </si>
  <si>
    <t>56.21</t>
  </si>
  <si>
    <t>25706608</t>
  </si>
  <si>
    <t>8177008</t>
  </si>
  <si>
    <t>LINDSAY FULLERTON</t>
  </si>
  <si>
    <t>850 461 4581</t>
  </si>
  <si>
    <t>150   BENT ARROW DR</t>
  </si>
  <si>
    <t>[QBAJ1D4004123]</t>
  </si>
  <si>
    <t>202172</t>
  </si>
  <si>
    <t>2056236</t>
  </si>
  <si>
    <t>424.05</t>
  </si>
  <si>
    <t>41.53</t>
  </si>
  <si>
    <t>211.07</t>
  </si>
  <si>
    <t>171.45</t>
  </si>
  <si>
    <t>850 461-4581</t>
  </si>
  <si>
    <t>25708270</t>
  </si>
  <si>
    <t>74642227</t>
  </si>
  <si>
    <t>DOLORES JAIME</t>
  </si>
  <si>
    <t>04/30/2014</t>
  </si>
  <si>
    <t>850 428 3854</t>
  </si>
  <si>
    <t>148   BARKS DR</t>
  </si>
  <si>
    <t>[264298162]</t>
  </si>
  <si>
    <t>425063</t>
  </si>
  <si>
    <t>-293.14</t>
  </si>
  <si>
    <t>-164.59</t>
  </si>
  <si>
    <t>562.62</t>
  </si>
  <si>
    <t>168.85</t>
  </si>
  <si>
    <t>95.64</t>
  </si>
  <si>
    <t>850 428-3854</t>
  </si>
  <si>
    <t>25708275</t>
  </si>
  <si>
    <t>74971926</t>
  </si>
  <si>
    <t>Daisy Brewley</t>
  </si>
  <si>
    <t>07/25/2013</t>
  </si>
  <si>
    <t>347 799 0014</t>
  </si>
  <si>
    <t>206   3RD ST</t>
  </si>
  <si>
    <t>[QBAJ1D5002586]</t>
  </si>
  <si>
    <t>411892</t>
  </si>
  <si>
    <t>-70.04</t>
  </si>
  <si>
    <t>-74.21</t>
  </si>
  <si>
    <t>-61.05</t>
  </si>
  <si>
    <t>145.08</t>
  </si>
  <si>
    <t>70.05</t>
  </si>
  <si>
    <t>70.04</t>
  </si>
  <si>
    <t>347 799-0014</t>
  </si>
  <si>
    <t>25708277</t>
  </si>
  <si>
    <t>75287529</t>
  </si>
  <si>
    <t>ELIO NOE  MARTINEZ</t>
  </si>
  <si>
    <t>504 413 4641</t>
  </si>
  <si>
    <t>262813362</t>
  </si>
  <si>
    <t>430808</t>
  </si>
  <si>
    <t>305.03</t>
  </si>
  <si>
    <t>152.02</t>
  </si>
  <si>
    <t>148.02</t>
  </si>
  <si>
    <t>504 413-4641</t>
  </si>
  <si>
    <t>25708279</t>
  </si>
  <si>
    <t>75562932</t>
  </si>
  <si>
    <t>SADE STALLINGS</t>
  </si>
  <si>
    <t>519   CIRCLE DR</t>
  </si>
  <si>
    <t>SABKFKKZG</t>
  </si>
  <si>
    <t>2037599</t>
  </si>
  <si>
    <t>-242.88</t>
  </si>
  <si>
    <t>527.54</t>
  </si>
  <si>
    <t>226.75</t>
  </si>
  <si>
    <t>57.91</t>
  </si>
  <si>
    <t>242.88</t>
  </si>
  <si>
    <t>850 259-2067</t>
  </si>
  <si>
    <t>25708283</t>
  </si>
  <si>
    <t>76106619</t>
  </si>
  <si>
    <t>MENTORIA SMITH</t>
  </si>
  <si>
    <t>09/12/2013</t>
  </si>
  <si>
    <t>850 357 1929</t>
  </si>
  <si>
    <t xml:space="preserve">    E8</t>
  </si>
  <si>
    <t>SABQLCSVN</t>
  </si>
  <si>
    <t>390645</t>
  </si>
  <si>
    <t>-145.08</t>
  </si>
  <si>
    <t>-102.56</t>
  </si>
  <si>
    <t>-195.47</t>
  </si>
  <si>
    <t>348.44</t>
  </si>
  <si>
    <t>10.14</t>
  </si>
  <si>
    <t>135.88</t>
  </si>
  <si>
    <t>202.42</t>
  </si>
  <si>
    <t>850 357-1929</t>
  </si>
  <si>
    <t>25708285</t>
  </si>
  <si>
    <t>76132811</t>
  </si>
  <si>
    <t>PATRICIA BURDICK</t>
  </si>
  <si>
    <t>12/06/2012</t>
  </si>
  <si>
    <t>850 758 9624</t>
  </si>
  <si>
    <t>333   BLUEFISH DR</t>
  </si>
  <si>
    <t>243618995</t>
  </si>
  <si>
    <t>420038</t>
  </si>
  <si>
    <t>-109.14</t>
  </si>
  <si>
    <t>-135.33</t>
  </si>
  <si>
    <t>258.26</t>
  </si>
  <si>
    <t>139.14</t>
  </si>
  <si>
    <t>114.13</t>
  </si>
  <si>
    <t>850 758-9624</t>
  </si>
  <si>
    <t>25709198</t>
  </si>
  <si>
    <t>73039828</t>
  </si>
  <si>
    <t>JEREMY BESS</t>
  </si>
  <si>
    <t>850 368 3900</t>
  </si>
  <si>
    <t>131   BAYOU VIEW DR</t>
  </si>
  <si>
    <t>SACBLWBZV</t>
  </si>
  <si>
    <t>2143259</t>
  </si>
  <si>
    <t>370.59</t>
  </si>
  <si>
    <t>142.4</t>
  </si>
  <si>
    <t>223.2</t>
  </si>
  <si>
    <t>850 368-3900</t>
  </si>
  <si>
    <t>25709213</t>
  </si>
  <si>
    <t>4026101</t>
  </si>
  <si>
    <t>DONALD BOONE</t>
  </si>
  <si>
    <t>05/17/1997</t>
  </si>
  <si>
    <t>810 730 6478</t>
  </si>
  <si>
    <t>114   MAINSAIL DR</t>
  </si>
  <si>
    <t xml:space="preserve">   251</t>
  </si>
  <si>
    <t>SABNVQDLL</t>
  </si>
  <si>
    <t>-36.82</t>
  </si>
  <si>
    <t>-73.64</t>
  </si>
  <si>
    <t>113.4</t>
  </si>
  <si>
    <t>34.72</t>
  </si>
  <si>
    <t>29.73</t>
  </si>
  <si>
    <t>14.23</t>
  </si>
  <si>
    <t>810 730-6478</t>
  </si>
  <si>
    <t>25709228</t>
  </si>
  <si>
    <t>74034201</t>
  </si>
  <si>
    <t>JOEY B KING</t>
  </si>
  <si>
    <t>08/18/1993</t>
  </si>
  <si>
    <t>850 864 5195</t>
  </si>
  <si>
    <t>424   ED ST</t>
  </si>
  <si>
    <t>[0HYTV136MGZ8]</t>
  </si>
  <si>
    <t>2338976</t>
  </si>
  <si>
    <t>-114.43</t>
  </si>
  <si>
    <t>356.89</t>
  </si>
  <si>
    <t>123.77</t>
  </si>
  <si>
    <t>114.34</t>
  </si>
  <si>
    <t>850 864-5195</t>
  </si>
  <si>
    <t>850 837-2047</t>
  </si>
  <si>
    <t>25709251</t>
  </si>
  <si>
    <t>74868818</t>
  </si>
  <si>
    <t>BROOKS JONES</t>
  </si>
  <si>
    <t>850 461 8787</t>
  </si>
  <si>
    <t>936   CARLOS DR</t>
  </si>
  <si>
    <t>[359079330925945101012019]</t>
  </si>
  <si>
    <t>887657</t>
  </si>
  <si>
    <t>-208.50</t>
  </si>
  <si>
    <t>-214.52</t>
  </si>
  <si>
    <t>-218.00</t>
  </si>
  <si>
    <t>51.66</t>
  </si>
  <si>
    <t>850 461-8787</t>
  </si>
  <si>
    <t>25709282</t>
  </si>
  <si>
    <t>75844437</t>
  </si>
  <si>
    <t>PATRICIA MCGRUIRE</t>
  </si>
  <si>
    <t>850 368 2588</t>
  </si>
  <si>
    <t>3   ALLEN DR</t>
  </si>
  <si>
    <t>[502510431719]</t>
  </si>
  <si>
    <t>1010705</t>
  </si>
  <si>
    <t>1531377</t>
  </si>
  <si>
    <t>-183.90</t>
  </si>
  <si>
    <t>411.63</t>
  </si>
  <si>
    <t>297.05</t>
  </si>
  <si>
    <t>850 368-2588</t>
  </si>
  <si>
    <t>25709298</t>
  </si>
  <si>
    <t>76730915</t>
  </si>
  <si>
    <t>Na'shika Bess</t>
  </si>
  <si>
    <t>850 368 2394</t>
  </si>
  <si>
    <t>539   SCHNEIDER DR</t>
  </si>
  <si>
    <t>SACBCLNVN</t>
  </si>
  <si>
    <t>869231</t>
  </si>
  <si>
    <t>-387.76</t>
  </si>
  <si>
    <t>-387.67</t>
  </si>
  <si>
    <t>321.56</t>
  </si>
  <si>
    <t>224.16</t>
  </si>
  <si>
    <t>92.41</t>
  </si>
  <si>
    <t>850 368-2394</t>
  </si>
  <si>
    <t>25709302</t>
  </si>
  <si>
    <t>76858604</t>
  </si>
  <si>
    <t>BRITTANY POMLINSON</t>
  </si>
  <si>
    <t>12/27/2013</t>
  </si>
  <si>
    <t>850 543 1889</t>
  </si>
  <si>
    <t>718   NAVY ST</t>
  </si>
  <si>
    <t>1387548</t>
  </si>
  <si>
    <t>-202.56</t>
  </si>
  <si>
    <t>-187.54</t>
  </si>
  <si>
    <t>-175.86</t>
  </si>
  <si>
    <t>850 543-1889</t>
  </si>
  <si>
    <t>850 585-8141</t>
  </si>
  <si>
    <t>25709307</t>
  </si>
  <si>
    <t>9752505</t>
  </si>
  <si>
    <t>ALLEN MILLER</t>
  </si>
  <si>
    <t>08/19/2013</t>
  </si>
  <si>
    <t>850 529 5924</t>
  </si>
  <si>
    <t>265   CALUSA BLVD</t>
  </si>
  <si>
    <t>260107749</t>
  </si>
  <si>
    <t>428239</t>
  </si>
  <si>
    <t>-218.14</t>
  </si>
  <si>
    <t>-278.18</t>
  </si>
  <si>
    <t>-110.07</t>
  </si>
  <si>
    <t>219.15</t>
  </si>
  <si>
    <t>109.08</t>
  </si>
  <si>
    <t>105.08</t>
  </si>
  <si>
    <t>850 529-5924</t>
  </si>
  <si>
    <t>25709330</t>
  </si>
  <si>
    <t>77545019</t>
  </si>
  <si>
    <t>GRAHAM PROVIS</t>
  </si>
  <si>
    <t>850 501 5969</t>
  </si>
  <si>
    <t>115   HUGHES ST</t>
  </si>
  <si>
    <t xml:space="preserve">    F2</t>
  </si>
  <si>
    <t xml:space="preserve"> 422</t>
  </si>
  <si>
    <t>E1C4M13002779</t>
  </si>
  <si>
    <t>416696</t>
  </si>
  <si>
    <t>322.83</t>
  </si>
  <si>
    <t>160.91</t>
  </si>
  <si>
    <t>156.93</t>
  </si>
  <si>
    <t>850 501-5969</t>
  </si>
  <si>
    <t>25709333</t>
  </si>
  <si>
    <t>77676816</t>
  </si>
  <si>
    <t>JAMEKA DAVENPORT</t>
  </si>
  <si>
    <t>850 368 7707</t>
  </si>
  <si>
    <t>103   WATER ST</t>
  </si>
  <si>
    <t>260161071</t>
  </si>
  <si>
    <t>430789</t>
  </si>
  <si>
    <t>-101.98</t>
  </si>
  <si>
    <t>208.95</t>
  </si>
  <si>
    <t>101.98</t>
  </si>
  <si>
    <t>850 368-7707</t>
  </si>
  <si>
    <t>25709412</t>
  </si>
  <si>
    <t>81127705</t>
  </si>
  <si>
    <t>WILLIAM LAVIN</t>
  </si>
  <si>
    <t>12/22/2010</t>
  </si>
  <si>
    <t>850 362 6714</t>
  </si>
  <si>
    <t>803   CARDINAL ST</t>
  </si>
  <si>
    <t>[QBAJ1D4002738]</t>
  </si>
  <si>
    <t>2111093</t>
  </si>
  <si>
    <t>-173.59</t>
  </si>
  <si>
    <t>180.89</t>
  </si>
  <si>
    <t>134.99</t>
  </si>
  <si>
    <t>40.91</t>
  </si>
  <si>
    <t>850 362-6714</t>
  </si>
  <si>
    <t>850 678-0056</t>
  </si>
  <si>
    <t>25709415</t>
  </si>
  <si>
    <t>81166421</t>
  </si>
  <si>
    <t>BRIAN ROGERS</t>
  </si>
  <si>
    <t>269 759 4447</t>
  </si>
  <si>
    <t>31   ALDER AVE</t>
  </si>
  <si>
    <t xml:space="preserve">     M</t>
  </si>
  <si>
    <t>SACBSZLSQ</t>
  </si>
  <si>
    <t>447767</t>
  </si>
  <si>
    <t>-86.50</t>
  </si>
  <si>
    <t>473.61</t>
  </si>
  <si>
    <t>133.97</t>
  </si>
  <si>
    <t>334.65</t>
  </si>
  <si>
    <t>269 759-4447</t>
  </si>
  <si>
    <t>25712758</t>
  </si>
  <si>
    <t>73328202</t>
  </si>
  <si>
    <t>H H CARNATHAN</t>
  </si>
  <si>
    <t>05/24/2002</t>
  </si>
  <si>
    <t>850 243 9697</t>
  </si>
  <si>
    <t>169   BEAL PKWY</t>
  </si>
  <si>
    <t>[502460442806]</t>
  </si>
  <si>
    <t>411899</t>
  </si>
  <si>
    <t>-308.96</t>
  </si>
  <si>
    <t>-326.17</t>
  </si>
  <si>
    <t>-313.75</t>
  </si>
  <si>
    <t>627.83</t>
  </si>
  <si>
    <t>313.88</t>
  </si>
  <si>
    <t>308.96</t>
  </si>
  <si>
    <t>850 243-9697</t>
  </si>
  <si>
    <t>850 863-5117</t>
  </si>
  <si>
    <t>25712825</t>
  </si>
  <si>
    <t>76054611</t>
  </si>
  <si>
    <t>REBECCA THEDFORD</t>
  </si>
  <si>
    <t>12/29/2007</t>
  </si>
  <si>
    <t>850 797 6112</t>
  </si>
  <si>
    <t>8   DOE LN</t>
  </si>
  <si>
    <t>[210318545]</t>
  </si>
  <si>
    <t>0001965</t>
  </si>
  <si>
    <t>-71.28</t>
  </si>
  <si>
    <t>-171.14</t>
  </si>
  <si>
    <t>309.99</t>
  </si>
  <si>
    <t>205.14</t>
  </si>
  <si>
    <t>2015-07-18 00:00:00</t>
  </si>
  <si>
    <t>850 797-6112</t>
  </si>
  <si>
    <t>850 315-0719</t>
  </si>
  <si>
    <t>25712833</t>
  </si>
  <si>
    <t>76191419</t>
  </si>
  <si>
    <t>MICKEY BERRY</t>
  </si>
  <si>
    <t>12/06/2014</t>
  </si>
  <si>
    <t>850 714 4542</t>
  </si>
  <si>
    <t>815   WILLOW ST</t>
  </si>
  <si>
    <t>SABQNSVGW</t>
  </si>
  <si>
    <t>1056227</t>
  </si>
  <si>
    <t>-315.04</t>
  </si>
  <si>
    <t>-286.00</t>
  </si>
  <si>
    <t>652.58</t>
  </si>
  <si>
    <t>206.82</t>
  </si>
  <si>
    <t>130.72</t>
  </si>
  <si>
    <t>315.04</t>
  </si>
  <si>
    <t>850 714-4542</t>
  </si>
  <si>
    <t>25712844</t>
  </si>
  <si>
    <t>76486126</t>
  </si>
  <si>
    <t>PATRICIA WHITE</t>
  </si>
  <si>
    <t>03/28/2014</t>
  </si>
  <si>
    <t>850 217 7242</t>
  </si>
  <si>
    <t>404   CORVET ST</t>
  </si>
  <si>
    <t>DC54M13007328</t>
  </si>
  <si>
    <t>679044</t>
  </si>
  <si>
    <t>-165.49</t>
  </si>
  <si>
    <t>348.34</t>
  </si>
  <si>
    <t>171.67</t>
  </si>
  <si>
    <t>171.68</t>
  </si>
  <si>
    <t>850 217-7242</t>
  </si>
  <si>
    <t>25712869</t>
  </si>
  <si>
    <t>77184008</t>
  </si>
  <si>
    <t>RENIE ANTONAKAKIS</t>
  </si>
  <si>
    <t>850 532 5154</t>
  </si>
  <si>
    <t>124D   ELM AVE</t>
  </si>
  <si>
    <t>SABTXDQCH</t>
  </si>
  <si>
    <t>863320</t>
  </si>
  <si>
    <t>W118798</t>
  </si>
  <si>
    <t>-93.57</t>
  </si>
  <si>
    <t>-126.12</t>
  </si>
  <si>
    <t>254.15</t>
  </si>
  <si>
    <t>11.65</t>
  </si>
  <si>
    <t>164.42</t>
  </si>
  <si>
    <t>78.08</t>
  </si>
  <si>
    <t>850 532-5154</t>
  </si>
  <si>
    <t>25712877</t>
  </si>
  <si>
    <t>5928112</t>
  </si>
  <si>
    <t>DESIREE RYAN</t>
  </si>
  <si>
    <t>04/23/2014</t>
  </si>
  <si>
    <t>850 974 5129</t>
  </si>
  <si>
    <t>574   ROUGH LEAF LN</t>
  </si>
  <si>
    <t>[0HYTSSZ4NRS3]</t>
  </si>
  <si>
    <t>785591</t>
  </si>
  <si>
    <t>159.74</t>
  </si>
  <si>
    <t>62.57</t>
  </si>
  <si>
    <t>2014-10-18 00:00:00</t>
  </si>
  <si>
    <t>850 974-5129</t>
  </si>
  <si>
    <t>570 637-6005</t>
  </si>
  <si>
    <t>25712878</t>
  </si>
  <si>
    <t>77425805</t>
  </si>
  <si>
    <t>RUSSELL WOERL</t>
  </si>
  <si>
    <t>850 650 0624</t>
  </si>
  <si>
    <t>1221   QUAIL RIDGE DR</t>
  </si>
  <si>
    <t>[0HYTV0YD7ND9]</t>
  </si>
  <si>
    <t>444816</t>
  </si>
  <si>
    <t>-289.18</t>
  </si>
  <si>
    <t>-264.18</t>
  </si>
  <si>
    <t>-291.29</t>
  </si>
  <si>
    <t>121</t>
  </si>
  <si>
    <t>73.18</t>
  </si>
  <si>
    <t>850 650-0624</t>
  </si>
  <si>
    <t>850 267-2229</t>
  </si>
  <si>
    <t>25712913</t>
  </si>
  <si>
    <t>8036408</t>
  </si>
  <si>
    <t>RAGHIB GORDON</t>
  </si>
  <si>
    <t>213 590 7748</t>
  </si>
  <si>
    <t>227   INVERRARY DR</t>
  </si>
  <si>
    <t>SABNNXZCP</t>
  </si>
  <si>
    <t>696801</t>
  </si>
  <si>
    <t>-332.64</t>
  </si>
  <si>
    <t>819.85</t>
  </si>
  <si>
    <t>261.23</t>
  </si>
  <si>
    <t>225.98</t>
  </si>
  <si>
    <t>332.64</t>
  </si>
  <si>
    <t>213 590-7748</t>
  </si>
  <si>
    <t>25712929</t>
  </si>
  <si>
    <t>79254512</t>
  </si>
  <si>
    <t>SKYKETHIA POWELL</t>
  </si>
  <si>
    <t>850 855 5602</t>
  </si>
  <si>
    <t>515   UNION ST</t>
  </si>
  <si>
    <t xml:space="preserve">    2A</t>
  </si>
  <si>
    <t>SABRSRLTZ</t>
  </si>
  <si>
    <t>J574957</t>
  </si>
  <si>
    <t>-128.63</t>
  </si>
  <si>
    <t>-97.14</t>
  </si>
  <si>
    <t>338.98</t>
  </si>
  <si>
    <t>221.1</t>
  </si>
  <si>
    <t>87.89</t>
  </si>
  <si>
    <t>850 855-5602</t>
  </si>
  <si>
    <t>25696848</t>
  </si>
  <si>
    <t>7859008</t>
  </si>
  <si>
    <t>CARLISSA TUCKER</t>
  </si>
  <si>
    <t>931 691 0721</t>
  </si>
  <si>
    <t>14   RICKEY AVE</t>
  </si>
  <si>
    <t>E124M13003434</t>
  </si>
  <si>
    <t>861108</t>
  </si>
  <si>
    <t>-226.07</t>
  </si>
  <si>
    <t>1471.17</t>
  </si>
  <si>
    <t>1030.98</t>
  </si>
  <si>
    <t>263</t>
  </si>
  <si>
    <t>177.19</t>
  </si>
  <si>
    <t>931 691-0721</t>
  </si>
  <si>
    <t>25700436</t>
  </si>
  <si>
    <t>25700438</t>
  </si>
  <si>
    <t>25700464</t>
  </si>
  <si>
    <t>25703575</t>
  </si>
  <si>
    <t>25703738</t>
  </si>
  <si>
    <t>73277605</t>
  </si>
  <si>
    <t>VIRGINIA KELLOGG</t>
  </si>
  <si>
    <t>01/15/2015</t>
  </si>
  <si>
    <t>465   LINKSIDE DR</t>
  </si>
  <si>
    <t>242232580</t>
  </si>
  <si>
    <t>863583</t>
  </si>
  <si>
    <t>-93.38</t>
  </si>
  <si>
    <t>-210.17</t>
  </si>
  <si>
    <t>122.42</t>
  </si>
  <si>
    <t>15.2</t>
  </si>
  <si>
    <t>51.69</t>
  </si>
  <si>
    <t>44.33</t>
  </si>
  <si>
    <t>11.2</t>
  </si>
  <si>
    <t>415 218-1782</t>
  </si>
  <si>
    <t>25703741</t>
  </si>
  <si>
    <t>25703775</t>
  </si>
  <si>
    <t>76978716</t>
  </si>
  <si>
    <t>TAMMIE FLEMING</t>
  </si>
  <si>
    <t>04/18/2012</t>
  </si>
  <si>
    <t>850 424 7814</t>
  </si>
  <si>
    <t>3455   SCENIC HIGHWAY 98</t>
  </si>
  <si>
    <t>SABNHDSBX</t>
  </si>
  <si>
    <t>1033822</t>
  </si>
  <si>
    <t>-348.54</t>
  </si>
  <si>
    <t>-332.32</t>
  </si>
  <si>
    <t>12/28/2014</t>
  </si>
  <si>
    <t>-152.90</t>
  </si>
  <si>
    <t>821.47</t>
  </si>
  <si>
    <t>499.83</t>
  </si>
  <si>
    <t>170.67</t>
  </si>
  <si>
    <t>14.53</t>
  </si>
  <si>
    <t>850 424-7814</t>
  </si>
  <si>
    <t>25706623</t>
  </si>
  <si>
    <t>25706774</t>
  </si>
  <si>
    <t>25708153</t>
  </si>
  <si>
    <t>25708315</t>
  </si>
  <si>
    <t>25709278</t>
  </si>
  <si>
    <t>25709288</t>
  </si>
  <si>
    <t>25712815</t>
  </si>
  <si>
    <t>75567818</t>
  </si>
  <si>
    <t>GEORGE HINTON</t>
  </si>
  <si>
    <t>850 240 2901</t>
  </si>
  <si>
    <t>222   HICKORY ST</t>
  </si>
  <si>
    <t>SABWCJSNZ</t>
  </si>
  <si>
    <t>639653</t>
  </si>
  <si>
    <t>789.51</t>
  </si>
  <si>
    <t>477</t>
  </si>
  <si>
    <t>155.34</t>
  </si>
  <si>
    <t>850 240-2901</t>
  </si>
  <si>
    <t>25696846</t>
  </si>
  <si>
    <t>7582403</t>
  </si>
  <si>
    <t>Teresa Maldonado</t>
  </si>
  <si>
    <t>10/05/2013</t>
  </si>
  <si>
    <t>408   BRIGADIER ST</t>
  </si>
  <si>
    <t>5846</t>
  </si>
  <si>
    <t>[JUT00JC69198]</t>
  </si>
  <si>
    <t>494038</t>
  </si>
  <si>
    <t>203.45</t>
  </si>
  <si>
    <t>850 910-3959</t>
  </si>
  <si>
    <t>25696969</t>
  </si>
  <si>
    <t>68597503</t>
  </si>
  <si>
    <t>BOYCE DOROUGH</t>
  </si>
  <si>
    <t>03/16/2013</t>
  </si>
  <si>
    <t>503   PELHAM RD</t>
  </si>
  <si>
    <t>[JUT00K5G2705]</t>
  </si>
  <si>
    <t>371709</t>
  </si>
  <si>
    <t>-73.97</t>
  </si>
  <si>
    <t>117.94</t>
  </si>
  <si>
    <t>850 777-0990</t>
  </si>
  <si>
    <t>25696992</t>
  </si>
  <si>
    <t>72018411</t>
  </si>
  <si>
    <t>GRACE STEWART</t>
  </si>
  <si>
    <t>850 316 7721</t>
  </si>
  <si>
    <t xml:space="preserve">    52</t>
  </si>
  <si>
    <t>SABXWJLNM</t>
  </si>
  <si>
    <t>384566</t>
  </si>
  <si>
    <t>-94.20</t>
  </si>
  <si>
    <t>-104.20</t>
  </si>
  <si>
    <t>197.39</t>
  </si>
  <si>
    <t>98.2</t>
  </si>
  <si>
    <t>94.2</t>
  </si>
  <si>
    <t>850 316-7721</t>
  </si>
  <si>
    <t>25696994</t>
  </si>
  <si>
    <t>72022714</t>
  </si>
  <si>
    <t>Tiah Washington</t>
  </si>
  <si>
    <t>850 341 4115</t>
  </si>
  <si>
    <t xml:space="preserve">    95</t>
  </si>
  <si>
    <t>DCU4M13000046</t>
  </si>
  <si>
    <t>385881</t>
  </si>
  <si>
    <t>-147.97</t>
  </si>
  <si>
    <t>394.28</t>
  </si>
  <si>
    <t>208.77</t>
  </si>
  <si>
    <t>173.82</t>
  </si>
  <si>
    <t>850 341-4115</t>
  </si>
  <si>
    <t>25696995</t>
  </si>
  <si>
    <t>72023217</t>
  </si>
  <si>
    <t>RUBY LEWIS</t>
  </si>
  <si>
    <t>850 455 0376</t>
  </si>
  <si>
    <t xml:space="preserve">    98</t>
  </si>
  <si>
    <t>[223736972]</t>
  </si>
  <si>
    <t>541242</t>
  </si>
  <si>
    <t>-221.01</t>
  </si>
  <si>
    <t>435.5</t>
  </si>
  <si>
    <t>204.51</t>
  </si>
  <si>
    <t>226</t>
  </si>
  <si>
    <t>2013-05-15 00:00:00</t>
  </si>
  <si>
    <t>850 455-0376</t>
  </si>
  <si>
    <t>850 341-4088</t>
  </si>
  <si>
    <t>25700365</t>
  </si>
  <si>
    <t>52067609</t>
  </si>
  <si>
    <t>GARY KELLEY</t>
  </si>
  <si>
    <t>850 466 2249</t>
  </si>
  <si>
    <t>1196   GORDON AVE</t>
  </si>
  <si>
    <t>384559</t>
  </si>
  <si>
    <t>-237.28</t>
  </si>
  <si>
    <t>-228.90</t>
  </si>
  <si>
    <t>345.53</t>
  </si>
  <si>
    <t>236.01</t>
  </si>
  <si>
    <t>44.91</t>
  </si>
  <si>
    <t>2013-05-07 00:00:00</t>
  </si>
  <si>
    <t>850 466-2249</t>
  </si>
  <si>
    <t>850 982-9510</t>
  </si>
  <si>
    <t>25700367</t>
  </si>
  <si>
    <t>55505229</t>
  </si>
  <si>
    <t>ASHLEY BENBOE</t>
  </si>
  <si>
    <t>850 281 8331</t>
  </si>
  <si>
    <t>1523   GULF BEACH HWY</t>
  </si>
  <si>
    <t xml:space="preserve">    31</t>
  </si>
  <si>
    <t>SACFBHKPX</t>
  </si>
  <si>
    <t>749106</t>
  </si>
  <si>
    <t>-93.59</t>
  </si>
  <si>
    <t>229.71</t>
  </si>
  <si>
    <t>850 281-8331</t>
  </si>
  <si>
    <t>25703666</t>
  </si>
  <si>
    <t>46999919</t>
  </si>
  <si>
    <t>SHARRON LUNFORD</t>
  </si>
  <si>
    <t>757 831 2730</t>
  </si>
  <si>
    <t>530  S 1ST ST</t>
  </si>
  <si>
    <t>3HW148W20560C</t>
  </si>
  <si>
    <t>655312</t>
  </si>
  <si>
    <t>372.93</t>
  </si>
  <si>
    <t>169.38</t>
  </si>
  <si>
    <t>757 831-2730</t>
  </si>
  <si>
    <t>25703678</t>
  </si>
  <si>
    <t>61350519</t>
  </si>
  <si>
    <t>BRITTANY COFFMAN</t>
  </si>
  <si>
    <t>850 497 4266</t>
  </si>
  <si>
    <t>2503   SAN JUAN GRANDE</t>
  </si>
  <si>
    <t>3HW14AW902908</t>
  </si>
  <si>
    <t>841016</t>
  </si>
  <si>
    <t>R154416</t>
  </si>
  <si>
    <t>324.12</t>
  </si>
  <si>
    <t>40.77</t>
  </si>
  <si>
    <t>164.94</t>
  </si>
  <si>
    <t>118.41</t>
  </si>
  <si>
    <t>850 497-4266</t>
  </si>
  <si>
    <t>25703702</t>
  </si>
  <si>
    <t>68782311</t>
  </si>
  <si>
    <t>THOMAS HART</t>
  </si>
  <si>
    <t>225 623 7347</t>
  </si>
  <si>
    <t>1120   PATTON DR</t>
  </si>
  <si>
    <t>RNE00BD</t>
  </si>
  <si>
    <t>[3H2143WA010S9]</t>
  </si>
  <si>
    <t>917169</t>
  </si>
  <si>
    <t>298137</t>
  </si>
  <si>
    <t>-53.98</t>
  </si>
  <si>
    <t>173.08</t>
  </si>
  <si>
    <t>80.47</t>
  </si>
  <si>
    <t>75.48</t>
  </si>
  <si>
    <t>12.14</t>
  </si>
  <si>
    <t>225 623-7347</t>
  </si>
  <si>
    <t>25703722</t>
  </si>
  <si>
    <t>72019813</t>
  </si>
  <si>
    <t>DARLENE SEDILLO</t>
  </si>
  <si>
    <t>02/27/2014</t>
  </si>
  <si>
    <t>850 529 6689</t>
  </si>
  <si>
    <t xml:space="preserve">    68</t>
  </si>
  <si>
    <t>[0HYTV15YBP21]</t>
  </si>
  <si>
    <t>389218</t>
  </si>
  <si>
    <t>-154.20</t>
  </si>
  <si>
    <t>-610.00</t>
  </si>
  <si>
    <t>557.67</t>
  </si>
  <si>
    <t>173.8</t>
  </si>
  <si>
    <t>190.3</t>
  </si>
  <si>
    <t>193.57</t>
  </si>
  <si>
    <t>2015-05-26 00:00:00</t>
  </si>
  <si>
    <t>850 529-6689</t>
  </si>
  <si>
    <t>25703724</t>
  </si>
  <si>
    <t>72028607</t>
  </si>
  <si>
    <t>STARNESHIA JORDAN</t>
  </si>
  <si>
    <t>850 418 7108</t>
  </si>
  <si>
    <t xml:space="preserve">   152</t>
  </si>
  <si>
    <t>D664M13004484</t>
  </si>
  <si>
    <t>576271</t>
  </si>
  <si>
    <t>624.96</t>
  </si>
  <si>
    <t>237.78</t>
  </si>
  <si>
    <t>225.7</t>
  </si>
  <si>
    <t>161.48</t>
  </si>
  <si>
    <t>850 418-7108</t>
  </si>
  <si>
    <t>25706747</t>
  </si>
  <si>
    <t>71722907</t>
  </si>
  <si>
    <t>CHARLES W WARRICK</t>
  </si>
  <si>
    <t>850 206 1680</t>
  </si>
  <si>
    <t>9423   GULF BEACH HWY</t>
  </si>
  <si>
    <t>SABLWJLFP</t>
  </si>
  <si>
    <t>2855210</t>
  </si>
  <si>
    <t>277.27</t>
  </si>
  <si>
    <t>95.14</t>
  </si>
  <si>
    <t>177.14</t>
  </si>
  <si>
    <t>850 206-1680</t>
  </si>
  <si>
    <t>25706566</t>
  </si>
  <si>
    <t>450808</t>
  </si>
  <si>
    <t>Shirley Peacock</t>
  </si>
  <si>
    <t>8542   SAN LUCUS CALZADA</t>
  </si>
  <si>
    <t>SABPBHNKD</t>
  </si>
  <si>
    <t>945750</t>
  </si>
  <si>
    <t>380.86</t>
  </si>
  <si>
    <t>178.46</t>
  </si>
  <si>
    <t>13.97</t>
  </si>
  <si>
    <t>850 426-2745</t>
  </si>
  <si>
    <t>25708242</t>
  </si>
  <si>
    <t>69462212</t>
  </si>
  <si>
    <t>TOMMY MOORE</t>
  </si>
  <si>
    <t>843 263 1856</t>
  </si>
  <si>
    <t>SABLNCNSN</t>
  </si>
  <si>
    <t>2036853</t>
  </si>
  <si>
    <t>497.5</t>
  </si>
  <si>
    <t>190.61</t>
  </si>
  <si>
    <t>246.97</t>
  </si>
  <si>
    <t>59.92</t>
  </si>
  <si>
    <t>843 263-1856</t>
  </si>
  <si>
    <t>25708250</t>
  </si>
  <si>
    <t>71340406</t>
  </si>
  <si>
    <t>MELISSA REAVES</t>
  </si>
  <si>
    <t>850 291 5828</t>
  </si>
  <si>
    <t>8442   SAN JUAN CALZADA</t>
  </si>
  <si>
    <t>Z451268</t>
  </si>
  <si>
    <t>-85.13</t>
  </si>
  <si>
    <t>-93.71</t>
  </si>
  <si>
    <t>179.07</t>
  </si>
  <si>
    <t>84.96</t>
  </si>
  <si>
    <t>850 291-5828</t>
  </si>
  <si>
    <t>25709156</t>
  </si>
  <si>
    <t>71269602</t>
  </si>
  <si>
    <t>LINDA PEARSON</t>
  </si>
  <si>
    <t>850 999 9999</t>
  </si>
  <si>
    <t>14644   RIVER RD</t>
  </si>
  <si>
    <t>7531</t>
  </si>
  <si>
    <t>SABQFQVLC</t>
  </si>
  <si>
    <t>R107118</t>
  </si>
  <si>
    <t>-47.44</t>
  </si>
  <si>
    <t>-141.66</t>
  </si>
  <si>
    <t>50.55</t>
  </si>
  <si>
    <t>850 999-9999</t>
  </si>
  <si>
    <t>25712702</t>
  </si>
  <si>
    <t>69369210</t>
  </si>
  <si>
    <t>ELISA ANDERSON</t>
  </si>
  <si>
    <t>07/29/2014</t>
  </si>
  <si>
    <t>850 417 2463</t>
  </si>
  <si>
    <t xml:space="preserve">   306</t>
  </si>
  <si>
    <t>SABKPCFMZ</t>
  </si>
  <si>
    <t>407786</t>
  </si>
  <si>
    <t>-211.27</t>
  </si>
  <si>
    <t>-211.28</t>
  </si>
  <si>
    <t>-150.75</t>
  </si>
  <si>
    <t>735.71</t>
  </si>
  <si>
    <t>279.82</t>
  </si>
  <si>
    <t>445.31</t>
  </si>
  <si>
    <t>850 417-2463</t>
  </si>
  <si>
    <t>850 501-7740</t>
  </si>
  <si>
    <t>25712742</t>
  </si>
  <si>
    <t>72137625</t>
  </si>
  <si>
    <t>Alexandria Heath</t>
  </si>
  <si>
    <t>2350   SAN MARCOS CAMINO</t>
  </si>
  <si>
    <t>SABTXCLWM</t>
  </si>
  <si>
    <t>405669</t>
  </si>
  <si>
    <t>-103.77</t>
  </si>
  <si>
    <t>-176.28</t>
  </si>
  <si>
    <t>-45.69</t>
  </si>
  <si>
    <t>375.1</t>
  </si>
  <si>
    <t>183.5</t>
  </si>
  <si>
    <t>25712814</t>
  </si>
  <si>
    <t>44335802</t>
  </si>
  <si>
    <t>WILLIE WILSON</t>
  </si>
  <si>
    <t>12/29/1998</t>
  </si>
  <si>
    <t>850 912 4936</t>
  </si>
  <si>
    <t>26   AUDUSSON AVE</t>
  </si>
  <si>
    <t>SABHXQRRX</t>
  </si>
  <si>
    <t>9898907</t>
  </si>
  <si>
    <t>345337</t>
  </si>
  <si>
    <t>-128.29</t>
  </si>
  <si>
    <t>-168.85</t>
  </si>
  <si>
    <t>461.79</t>
  </si>
  <si>
    <t>238.17</t>
  </si>
  <si>
    <t>850 912-4936</t>
  </si>
  <si>
    <t>25696825</t>
  </si>
  <si>
    <t>492.76</t>
  </si>
  <si>
    <t>287.76</t>
  </si>
  <si>
    <t>2015-08-18 00:00:00</t>
  </si>
  <si>
    <t>25696926</t>
  </si>
  <si>
    <t>440.81</t>
  </si>
  <si>
    <t>150.88</t>
  </si>
  <si>
    <t>25700424</t>
  </si>
  <si>
    <t>25703723</t>
  </si>
  <si>
    <t>25706687</t>
  </si>
  <si>
    <t>52974326</t>
  </si>
  <si>
    <t>AGNOLIA DANTIN</t>
  </si>
  <si>
    <t>850 607 7797</t>
  </si>
  <si>
    <t xml:space="preserve">    13</t>
  </si>
  <si>
    <t>265467355</t>
  </si>
  <si>
    <t>801916</t>
  </si>
  <si>
    <t>-27.70</t>
  </si>
  <si>
    <t>-24.70</t>
  </si>
  <si>
    <t>-45.43</t>
  </si>
  <si>
    <t>105.03</t>
  </si>
  <si>
    <t>36.67</t>
  </si>
  <si>
    <t>31.69</t>
  </si>
  <si>
    <t>850 607-7797</t>
  </si>
  <si>
    <t>850 602-3264</t>
  </si>
  <si>
    <t>25709144</t>
  </si>
  <si>
    <t>25709368</t>
  </si>
  <si>
    <t>12396711</t>
  </si>
  <si>
    <t>CHAUNCEY JAMES</t>
  </si>
  <si>
    <t>850 898 3759</t>
  </si>
  <si>
    <t xml:space="preserve">  1308</t>
  </si>
  <si>
    <t>SABLNTZSK</t>
  </si>
  <si>
    <t>412440</t>
  </si>
  <si>
    <t>-208.77</t>
  </si>
  <si>
    <t>1272.96</t>
  </si>
  <si>
    <t>681.79</t>
  </si>
  <si>
    <t>174.26</t>
  </si>
  <si>
    <t>196.68</t>
  </si>
  <si>
    <t>220.23</t>
  </si>
  <si>
    <t>850 898-3759</t>
  </si>
  <si>
    <t>850 418-9653</t>
  </si>
  <si>
    <t>25696872</t>
  </si>
  <si>
    <t>10996503</t>
  </si>
  <si>
    <t>DEREK LYNN</t>
  </si>
  <si>
    <t>828 279 8765</t>
  </si>
  <si>
    <t>117   PATE BRANCH RD</t>
  </si>
  <si>
    <t>SACGJDBJH</t>
  </si>
  <si>
    <t>679002</t>
  </si>
  <si>
    <t>243.66</t>
  </si>
  <si>
    <t>119.06</t>
  </si>
  <si>
    <t>828 279-8765</t>
  </si>
  <si>
    <t>25696873</t>
  </si>
  <si>
    <t>11010204</t>
  </si>
  <si>
    <t>BILL BUTERBAUGH</t>
  </si>
  <si>
    <t>724 699 5309</t>
  </si>
  <si>
    <t>207   CITADEL LN</t>
  </si>
  <si>
    <t>X334185</t>
  </si>
  <si>
    <t>261727574</t>
  </si>
  <si>
    <t>819331</t>
  </si>
  <si>
    <t>-241.94</t>
  </si>
  <si>
    <t>-224.61</t>
  </si>
  <si>
    <t>-105.82</t>
  </si>
  <si>
    <t>236.91</t>
  </si>
  <si>
    <t>109.84</t>
  </si>
  <si>
    <t>724 699-5309</t>
  </si>
  <si>
    <t>25696876</t>
  </si>
  <si>
    <t>11569506</t>
  </si>
  <si>
    <t>CAMERON HARMER</t>
  </si>
  <si>
    <t>315 528 1369</t>
  </si>
  <si>
    <t>721   MAJESTIC DR</t>
  </si>
  <si>
    <t>[0N5Z6F5KZ488]</t>
  </si>
  <si>
    <t>785273</t>
  </si>
  <si>
    <t>84.35</t>
  </si>
  <si>
    <t>315 528-1369</t>
  </si>
  <si>
    <t>25696905</t>
  </si>
  <si>
    <t>15607303</t>
  </si>
  <si>
    <t>JOSHUA ANSON</t>
  </si>
  <si>
    <t>11/03/2013</t>
  </si>
  <si>
    <t>850 758 1874</t>
  </si>
  <si>
    <t>424   CROOKED PINE TRL</t>
  </si>
  <si>
    <t>[0HYTSXK15R02]</t>
  </si>
  <si>
    <t>441975</t>
  </si>
  <si>
    <t>293.64</t>
  </si>
  <si>
    <t>137.82</t>
  </si>
  <si>
    <t>150.83</t>
  </si>
  <si>
    <t>850 758-1874</t>
  </si>
  <si>
    <t>850 612-3286</t>
  </si>
  <si>
    <t>25697014</t>
  </si>
  <si>
    <t>74262509</t>
  </si>
  <si>
    <t>CLARA G PIOTROWSKI</t>
  </si>
  <si>
    <t>02/23/2005</t>
  </si>
  <si>
    <t>850 279 4162</t>
  </si>
  <si>
    <t>1767   HOPPER ST</t>
  </si>
  <si>
    <t>SABLJSCTK</t>
  </si>
  <si>
    <t>1998903</t>
  </si>
  <si>
    <t>-333.93</t>
  </si>
  <si>
    <t>-160.42</t>
  </si>
  <si>
    <t>-236.54</t>
  </si>
  <si>
    <t>301.66</t>
  </si>
  <si>
    <t>189.45</t>
  </si>
  <si>
    <t>107.22</t>
  </si>
  <si>
    <t>850 279-4162</t>
  </si>
  <si>
    <t>850 855-8849</t>
  </si>
  <si>
    <t>25697020</t>
  </si>
  <si>
    <t>74632038</t>
  </si>
  <si>
    <t>CARTER GRAY</t>
  </si>
  <si>
    <t>850 613 2068</t>
  </si>
  <si>
    <t xml:space="preserve">    25</t>
  </si>
  <si>
    <t>[QBAJ1C9008522]</t>
  </si>
  <si>
    <t>586369</t>
  </si>
  <si>
    <t>-79.91</t>
  </si>
  <si>
    <t>-148.41</t>
  </si>
  <si>
    <t>195.6</t>
  </si>
  <si>
    <t>109</t>
  </si>
  <si>
    <t>81.61</t>
  </si>
  <si>
    <t>850 613-2068</t>
  </si>
  <si>
    <t>25697044</t>
  </si>
  <si>
    <t>77982519</t>
  </si>
  <si>
    <t>Aysia Freeman</t>
  </si>
  <si>
    <t>850 830 9160</t>
  </si>
  <si>
    <t>304   REEVES ST</t>
  </si>
  <si>
    <t xml:space="preserve">    B7</t>
  </si>
  <si>
    <t>236020824</t>
  </si>
  <si>
    <t>4424</t>
  </si>
  <si>
    <t>08/13/2015</t>
  </si>
  <si>
    <t>440.77</t>
  </si>
  <si>
    <t>83.61</t>
  </si>
  <si>
    <t>352.17</t>
  </si>
  <si>
    <t>850 830-9160</t>
  </si>
  <si>
    <t>25697064</t>
  </si>
  <si>
    <t>80610313</t>
  </si>
  <si>
    <t>ERICA CORDERO</t>
  </si>
  <si>
    <t>850 305 1526</t>
  </si>
  <si>
    <t>806   BIRCH RIVER AVE</t>
  </si>
  <si>
    <t>[206992570]</t>
  </si>
  <si>
    <t>396683</t>
  </si>
  <si>
    <t>-114.38</t>
  </si>
  <si>
    <t>234.15</t>
  </si>
  <si>
    <t>116.58</t>
  </si>
  <si>
    <t>112.58</t>
  </si>
  <si>
    <t>850 305-1526</t>
  </si>
  <si>
    <t>25700260</t>
  </si>
  <si>
    <t>5609711</t>
  </si>
  <si>
    <t>GERALD REGULUS</t>
  </si>
  <si>
    <t>850 341 4949</t>
  </si>
  <si>
    <t>38   HAZELWOOD LN</t>
  </si>
  <si>
    <t>SABSQSFSV</t>
  </si>
  <si>
    <t>536773</t>
  </si>
  <si>
    <t>534940</t>
  </si>
  <si>
    <t>-164.14</t>
  </si>
  <si>
    <t>420.96</t>
  </si>
  <si>
    <t>140.88</t>
  </si>
  <si>
    <t>139.2</t>
  </si>
  <si>
    <t>850 341-4949</t>
  </si>
  <si>
    <t>25700313</t>
  </si>
  <si>
    <t>14278904</t>
  </si>
  <si>
    <t>ALLAN MOORE</t>
  </si>
  <si>
    <t>850 279 3866</t>
  </si>
  <si>
    <t>1305  S CEDAR AVE</t>
  </si>
  <si>
    <t>E244M13005366</t>
  </si>
  <si>
    <t>821780</t>
  </si>
  <si>
    <t>-231.13</t>
  </si>
  <si>
    <t>-174.64</t>
  </si>
  <si>
    <t>-173.06</t>
  </si>
  <si>
    <t>655.52</t>
  </si>
  <si>
    <t>227.01</t>
  </si>
  <si>
    <t>216.73</t>
  </si>
  <si>
    <t>211.78</t>
  </si>
  <si>
    <t>850 279-3866</t>
  </si>
  <si>
    <t>25700486</t>
  </si>
  <si>
    <t>77905604</t>
  </si>
  <si>
    <t>Sandra Oneal</t>
  </si>
  <si>
    <t>850 517 6540</t>
  </si>
  <si>
    <t>1006   EVERGLADE DR</t>
  </si>
  <si>
    <t>428392</t>
  </si>
  <si>
    <t>-85.45</t>
  </si>
  <si>
    <t>-83.11</t>
  </si>
  <si>
    <t>175.96</t>
  </si>
  <si>
    <t>85.47</t>
  </si>
  <si>
    <t>.02</t>
  </si>
  <si>
    <t>850 517-6540</t>
  </si>
  <si>
    <t>25700487</t>
  </si>
  <si>
    <t>77994817</t>
  </si>
  <si>
    <t>ADAM HYLAND</t>
  </si>
  <si>
    <t>850 729 2572</t>
  </si>
  <si>
    <t>205   REEVES ST</t>
  </si>
  <si>
    <t>SABFKNMPH</t>
  </si>
  <si>
    <t>837326</t>
  </si>
  <si>
    <t>2181015</t>
  </si>
  <si>
    <t>-122.94</t>
  </si>
  <si>
    <t>-92.00</t>
  </si>
  <si>
    <t>252.39</t>
  </si>
  <si>
    <t>124.14</t>
  </si>
  <si>
    <t>123.26</t>
  </si>
  <si>
    <t>850 729-2572</t>
  </si>
  <si>
    <t>25700496</t>
  </si>
  <si>
    <t>78681721</t>
  </si>
  <si>
    <t>ANNA GONZALES</t>
  </si>
  <si>
    <t>298   STILLWELL BLVD</t>
  </si>
  <si>
    <t>SABQKQQFZ</t>
  </si>
  <si>
    <t>GZ20794</t>
  </si>
  <si>
    <t>667.43</t>
  </si>
  <si>
    <t>308.19</t>
  </si>
  <si>
    <t>191.31</t>
  </si>
  <si>
    <t>167.93</t>
  </si>
  <si>
    <t>850 612-6635</t>
  </si>
  <si>
    <t>25700497</t>
  </si>
  <si>
    <t>78712508</t>
  </si>
  <si>
    <t>JACQUELINE LLOYD</t>
  </si>
  <si>
    <t>2941   SHOFFNER AVE</t>
  </si>
  <si>
    <t>236345928</t>
  </si>
  <si>
    <t>397676</t>
  </si>
  <si>
    <t>334.64</t>
  </si>
  <si>
    <t>202.46</t>
  </si>
  <si>
    <t>25700504</t>
  </si>
  <si>
    <t>79907703</t>
  </si>
  <si>
    <t>John Price</t>
  </si>
  <si>
    <t>15324   331 BUSINESS</t>
  </si>
  <si>
    <t>SABTTBFRW</t>
  </si>
  <si>
    <t>1003190</t>
  </si>
  <si>
    <t>163.06</t>
  </si>
  <si>
    <t>98.85</t>
  </si>
  <si>
    <t>256 252-9302</t>
  </si>
  <si>
    <t>25703581</t>
  </si>
  <si>
    <t>4053706</t>
  </si>
  <si>
    <t>KIMBERLY ANDERSON</t>
  </si>
  <si>
    <t>850 398 1735</t>
  </si>
  <si>
    <t>509  E WILLIAMS AVE</t>
  </si>
  <si>
    <t>261269545</t>
  </si>
  <si>
    <t>1020706</t>
  </si>
  <si>
    <t>-118.79</t>
  </si>
  <si>
    <t>72.11</t>
  </si>
  <si>
    <t>850 398-1735</t>
  </si>
  <si>
    <t>25703635</t>
  </si>
  <si>
    <t>15470603</t>
  </si>
  <si>
    <t>Adam Kehl</t>
  </si>
  <si>
    <t>262 348 6737</t>
  </si>
  <si>
    <t>000000   BLD 4580</t>
  </si>
  <si>
    <t xml:space="preserve">  227A</t>
  </si>
  <si>
    <t>D6L3R44006445</t>
  </si>
  <si>
    <t>444017</t>
  </si>
  <si>
    <t>-181.37</t>
  </si>
  <si>
    <t>142.76</t>
  </si>
  <si>
    <t>71.38</t>
  </si>
  <si>
    <t>262 348-6737</t>
  </si>
  <si>
    <t>25703642</t>
  </si>
  <si>
    <t>17045702</t>
  </si>
  <si>
    <t>CHAD BROWN</t>
  </si>
  <si>
    <t>850 333 8876</t>
  </si>
  <si>
    <t>560  W JAMES LEE BLVD</t>
  </si>
  <si>
    <t xml:space="preserve">   142</t>
  </si>
  <si>
    <t>260975567</t>
  </si>
  <si>
    <t>2012593</t>
  </si>
  <si>
    <t>-153.00</t>
  </si>
  <si>
    <t>168.64</t>
  </si>
  <si>
    <t>19.68</t>
  </si>
  <si>
    <t>850 333-8876</t>
  </si>
  <si>
    <t>850 305-3159</t>
  </si>
  <si>
    <t>25703782</t>
  </si>
  <si>
    <t>78376805</t>
  </si>
  <si>
    <t>CHARLES BEAL</t>
  </si>
  <si>
    <t>850 517 7915</t>
  </si>
  <si>
    <t>49   LIVE OAK ST</t>
  </si>
  <si>
    <t>3HW146WS02D16</t>
  </si>
  <si>
    <t>724880</t>
  </si>
  <si>
    <t>639535</t>
  </si>
  <si>
    <t>-89.47</t>
  </si>
  <si>
    <t>-158.00</t>
  </si>
  <si>
    <t>145.33</t>
  </si>
  <si>
    <t>40.35</t>
  </si>
  <si>
    <t>850 517-7915</t>
  </si>
  <si>
    <t>25703784</t>
  </si>
  <si>
    <t>78663006</t>
  </si>
  <si>
    <t>HAZEL WESTBROOKS</t>
  </si>
  <si>
    <t>01/15/2014</t>
  </si>
  <si>
    <t>850 306 3242</t>
  </si>
  <si>
    <t>698  W GRIFFITH AVE</t>
  </si>
  <si>
    <t>[215854804]</t>
  </si>
  <si>
    <t>428341</t>
  </si>
  <si>
    <t>-133.27</t>
  </si>
  <si>
    <t>-137.12</t>
  </si>
  <si>
    <t>-243.48</t>
  </si>
  <si>
    <t>272.33</t>
  </si>
  <si>
    <t>132.29</t>
  </si>
  <si>
    <t>135.05</t>
  </si>
  <si>
    <t>850 306-3242</t>
  </si>
  <si>
    <t>25703795</t>
  </si>
  <si>
    <t>80243007</t>
  </si>
  <si>
    <t>EVELYN G WEAVER</t>
  </si>
  <si>
    <t>10/23/2012</t>
  </si>
  <si>
    <t>850 305 5247</t>
  </si>
  <si>
    <t>1441   COREMO DR</t>
  </si>
  <si>
    <t>785247</t>
  </si>
  <si>
    <t>-253.12</t>
  </si>
  <si>
    <t>-219.75</t>
  </si>
  <si>
    <t>-215.15</t>
  </si>
  <si>
    <t>515.89</t>
  </si>
  <si>
    <t>242.35</t>
  </si>
  <si>
    <t>268.55</t>
  </si>
  <si>
    <t>850 305-5247</t>
  </si>
  <si>
    <t>25706633</t>
  </si>
  <si>
    <t>11831303</t>
  </si>
  <si>
    <t>EDWARD LEE</t>
  </si>
  <si>
    <t>850 880 6271</t>
  </si>
  <si>
    <t>571   BLACK CREEK BLVD</t>
  </si>
  <si>
    <t>X293236</t>
  </si>
  <si>
    <t>[2WR2287HA0319]</t>
  </si>
  <si>
    <t>99999</t>
  </si>
  <si>
    <t>-361.71</t>
  </si>
  <si>
    <t>-364.03</t>
  </si>
  <si>
    <t>-337.47</t>
  </si>
  <si>
    <t>647.13</t>
  </si>
  <si>
    <t>6.98</t>
  </si>
  <si>
    <t>326.56</t>
  </si>
  <si>
    <t>313.59</t>
  </si>
  <si>
    <t>850 880-6271</t>
  </si>
  <si>
    <t>25706654</t>
  </si>
  <si>
    <t>17688401</t>
  </si>
  <si>
    <t>HAROLD M WILLIAMS</t>
  </si>
  <si>
    <t>850 855 3882</t>
  </si>
  <si>
    <t>6374   CHILDRENS LN</t>
  </si>
  <si>
    <t>[QBAJ1D4009321]</t>
  </si>
  <si>
    <t>2070114</t>
  </si>
  <si>
    <t>-353.31</t>
  </si>
  <si>
    <t>-172.36</t>
  </si>
  <si>
    <t>-59.00</t>
  </si>
  <si>
    <t>505.51</t>
  </si>
  <si>
    <t>188.17</t>
  </si>
  <si>
    <t>312.35</t>
  </si>
  <si>
    <t>850 855-3882</t>
  </si>
  <si>
    <t>25706807</t>
  </si>
  <si>
    <t>78521009</t>
  </si>
  <si>
    <t>LEE COLLINS</t>
  </si>
  <si>
    <t>850 461 0447</t>
  </si>
  <si>
    <t>503   MCKINNEY ST</t>
  </si>
  <si>
    <t>[QBAJ1D5003192]</t>
  </si>
  <si>
    <t>820584</t>
  </si>
  <si>
    <t>-129.32</t>
  </si>
  <si>
    <t>-142.24</t>
  </si>
  <si>
    <t>-140.04</t>
  </si>
  <si>
    <t>501.79</t>
  </si>
  <si>
    <t>184.62</t>
  </si>
  <si>
    <t>178.44</t>
  </si>
  <si>
    <t>138.73</t>
  </si>
  <si>
    <t>850 461-0447</t>
  </si>
  <si>
    <t>25706811</t>
  </si>
  <si>
    <t>78693203</t>
  </si>
  <si>
    <t>MICHAEL D HOLT</t>
  </si>
  <si>
    <t>850 305 1209</t>
  </si>
  <si>
    <t>3160   FORREST AVE</t>
  </si>
  <si>
    <t>[196053410203G2992]</t>
  </si>
  <si>
    <t>1217817</t>
  </si>
  <si>
    <t>S383290</t>
  </si>
  <si>
    <t>-78.71</t>
  </si>
  <si>
    <t>-52.92</t>
  </si>
  <si>
    <t>108.96</t>
  </si>
  <si>
    <t>850 305-1209</t>
  </si>
  <si>
    <t>850 225-9078</t>
  </si>
  <si>
    <t>25706820</t>
  </si>
  <si>
    <t>79442910</t>
  </si>
  <si>
    <t>ASHLEY HENRIOTT</t>
  </si>
  <si>
    <t>12/26/2013</t>
  </si>
  <si>
    <t>850 685 8994</t>
  </si>
  <si>
    <t>1755   LAREDO AVE</t>
  </si>
  <si>
    <t>[0L78T72HDFT2]</t>
  </si>
  <si>
    <t>415464</t>
  </si>
  <si>
    <t>-331.72</t>
  </si>
  <si>
    <t>-292.75</t>
  </si>
  <si>
    <t>-289.05</t>
  </si>
  <si>
    <t>215.14</t>
  </si>
  <si>
    <t>137.78</t>
  </si>
  <si>
    <t>72.37</t>
  </si>
  <si>
    <t>850 685-8994</t>
  </si>
  <si>
    <t>25706829</t>
  </si>
  <si>
    <t>80987408</t>
  </si>
  <si>
    <t>MARISKA ROBINSON</t>
  </si>
  <si>
    <t>850 292 3386</t>
  </si>
  <si>
    <t>1005   MARTIN LUTHER KING JR AVE</t>
  </si>
  <si>
    <t xml:space="preserve">    C7</t>
  </si>
  <si>
    <t>SABKNZTSN</t>
  </si>
  <si>
    <t>2056739</t>
  </si>
  <si>
    <t>-81.15</t>
  </si>
  <si>
    <t>171.29</t>
  </si>
  <si>
    <t>85.15</t>
  </si>
  <si>
    <t>81.15</t>
  </si>
  <si>
    <t>850 292-3386</t>
  </si>
  <si>
    <t>25708158</t>
  </si>
  <si>
    <t>5802509</t>
  </si>
  <si>
    <t>WILLIAM SCHUMPERT</t>
  </si>
  <si>
    <t>532   BROCK AVE</t>
  </si>
  <si>
    <t>45U14BW202CA9</t>
  </si>
  <si>
    <t>439227</t>
  </si>
  <si>
    <t>117.98</t>
  </si>
  <si>
    <t>850 398-2683</t>
  </si>
  <si>
    <t>25708195</t>
  </si>
  <si>
    <t>15487503</t>
  </si>
  <si>
    <t>Dominique Jones</t>
  </si>
  <si>
    <t>214 952 3438</t>
  </si>
  <si>
    <t xml:space="preserve"> 232A</t>
  </si>
  <si>
    <t>264297865</t>
  </si>
  <si>
    <t>427312</t>
  </si>
  <si>
    <t>214 952-3438</t>
  </si>
  <si>
    <t>25708276</t>
  </si>
  <si>
    <t>75225508</t>
  </si>
  <si>
    <t>JOSIE HAYCOOK</t>
  </si>
  <si>
    <t>850 651 1026</t>
  </si>
  <si>
    <t>41   9TH ST</t>
  </si>
  <si>
    <t>GJ69889</t>
  </si>
  <si>
    <t>-178.50</t>
  </si>
  <si>
    <t>178.63</t>
  </si>
  <si>
    <t>.06</t>
  </si>
  <si>
    <t>850 651-1026</t>
  </si>
  <si>
    <t>850 453-3089</t>
  </si>
  <si>
    <t>25708289</t>
  </si>
  <si>
    <t>76520418</t>
  </si>
  <si>
    <t>ELLEN TUNSTALL</t>
  </si>
  <si>
    <t>850 259 4010</t>
  </si>
  <si>
    <t>86   BERWICK CIR</t>
  </si>
  <si>
    <t>RGI6120</t>
  </si>
  <si>
    <t>[398079420237309001012019]</t>
  </si>
  <si>
    <t>861766</t>
  </si>
  <si>
    <t>-154.13</t>
  </si>
  <si>
    <t>-189.93</t>
  </si>
  <si>
    <t>500.06</t>
  </si>
  <si>
    <t>179.29</t>
  </si>
  <si>
    <t>158.11</t>
  </si>
  <si>
    <t>162.66</t>
  </si>
  <si>
    <t>850 259-4010</t>
  </si>
  <si>
    <t>25709160</t>
  </si>
  <si>
    <t>15480707</t>
  </si>
  <si>
    <t>HAKEEM JOHNSON</t>
  </si>
  <si>
    <t>267 750 9139</t>
  </si>
  <si>
    <t xml:space="preserve"> 105A</t>
  </si>
  <si>
    <t>3HW145WV0299C</t>
  </si>
  <si>
    <t>818644</t>
  </si>
  <si>
    <t>267 750-9139</t>
  </si>
  <si>
    <t>25709231</t>
  </si>
  <si>
    <t>74046910</t>
  </si>
  <si>
    <t>JANET FIELDS</t>
  </si>
  <si>
    <t>08/26/2014</t>
  </si>
  <si>
    <t>850 398 6585</t>
  </si>
  <si>
    <t>109   OAK TERRACE DR</t>
  </si>
  <si>
    <t>534984</t>
  </si>
  <si>
    <t>-191.45</t>
  </si>
  <si>
    <t>-189.55</t>
  </si>
  <si>
    <t>-236.49</t>
  </si>
  <si>
    <t>431.44</t>
  </si>
  <si>
    <t>212.64</t>
  </si>
  <si>
    <t>213.81</t>
  </si>
  <si>
    <t>850 398-6585</t>
  </si>
  <si>
    <t>850 586-8887</t>
  </si>
  <si>
    <t>25709245</t>
  </si>
  <si>
    <t>6174001</t>
  </si>
  <si>
    <t>MS DOROTHY QUILL</t>
  </si>
  <si>
    <t>04/17/2009</t>
  </si>
  <si>
    <t>850 902 3937</t>
  </si>
  <si>
    <t>2816   TAMIAMI TRL</t>
  </si>
  <si>
    <t>SABKPCFTP</t>
  </si>
  <si>
    <t>816484</t>
  </si>
  <si>
    <t>-51.29</t>
  </si>
  <si>
    <t>166.86</t>
  </si>
  <si>
    <t>60.28</t>
  </si>
  <si>
    <t>55.29</t>
  </si>
  <si>
    <t>51.29</t>
  </si>
  <si>
    <t>850 902-3937</t>
  </si>
  <si>
    <t>850 240-5385</t>
  </si>
  <si>
    <t>25709364</t>
  </si>
  <si>
    <t>78656009</t>
  </si>
  <si>
    <t>JHLENA DOUGLAS</t>
  </si>
  <si>
    <t>954 651 0873</t>
  </si>
  <si>
    <t>460   SCHOOL AVE</t>
  </si>
  <si>
    <t>45U14BWB02F8D</t>
  </si>
  <si>
    <t>390012</t>
  </si>
  <si>
    <t>-542.19</t>
  </si>
  <si>
    <t>-323.89</t>
  </si>
  <si>
    <t>2174.52</t>
  </si>
  <si>
    <t>1445.97</t>
  </si>
  <si>
    <t>186.36</t>
  </si>
  <si>
    <t>542.19</t>
  </si>
  <si>
    <t>954 651-0873</t>
  </si>
  <si>
    <t>25709376</t>
  </si>
  <si>
    <t>78822614</t>
  </si>
  <si>
    <t>JOSHUA N ARELLANO</t>
  </si>
  <si>
    <t>05/15/2014</t>
  </si>
  <si>
    <t>850 810 6800</t>
  </si>
  <si>
    <t>210   SCHOOL AVE</t>
  </si>
  <si>
    <t>[401060311673]</t>
  </si>
  <si>
    <t>400445</t>
  </si>
  <si>
    <t>-59.13</t>
  </si>
  <si>
    <t>-59.80</t>
  </si>
  <si>
    <t>-19.78</t>
  </si>
  <si>
    <t>161.14</t>
  </si>
  <si>
    <t>95.18</t>
  </si>
  <si>
    <t>850 810-6800</t>
  </si>
  <si>
    <t>850 225-5999</t>
  </si>
  <si>
    <t>25712749</t>
  </si>
  <si>
    <t>15878205</t>
  </si>
  <si>
    <t>JAMIE PHILLIPS</t>
  </si>
  <si>
    <t>850 612 3257</t>
  </si>
  <si>
    <t>3197   WELLS AVE</t>
  </si>
  <si>
    <t>[31134A58006AA]</t>
  </si>
  <si>
    <t>398666</t>
  </si>
  <si>
    <t>-285.31</t>
  </si>
  <si>
    <t>-139.95</t>
  </si>
  <si>
    <t>-119.98</t>
  </si>
  <si>
    <t>732.34</t>
  </si>
  <si>
    <t>238.88</t>
  </si>
  <si>
    <t>223.07</t>
  </si>
  <si>
    <t>270.39</t>
  </si>
  <si>
    <t>850 612-3257</t>
  </si>
  <si>
    <t>25712880</t>
  </si>
  <si>
    <t>6039007</t>
  </si>
  <si>
    <t>LACOLE NEAL</t>
  </si>
  <si>
    <t>09/12/2014</t>
  </si>
  <si>
    <t>850 419 7205</t>
  </si>
  <si>
    <t>5356   COX LN</t>
  </si>
  <si>
    <t>SABLNVXFZ</t>
  </si>
  <si>
    <t>2149671</t>
  </si>
  <si>
    <t>-315.70</t>
  </si>
  <si>
    <t>-279.00</t>
  </si>
  <si>
    <t>529.92</t>
  </si>
  <si>
    <t>183.75</t>
  </si>
  <si>
    <t>30.47</t>
  </si>
  <si>
    <t>315.7</t>
  </si>
  <si>
    <t>850 419-7205</t>
  </si>
  <si>
    <t>25712892</t>
  </si>
  <si>
    <t>78022123</t>
  </si>
  <si>
    <t>JEFFERSON TAYLOR</t>
  </si>
  <si>
    <t>850 502 6965</t>
  </si>
  <si>
    <t>402   PALM BLVD</t>
  </si>
  <si>
    <t>SABTTQTNT</t>
  </si>
  <si>
    <t>2334606</t>
  </si>
  <si>
    <t>-153.47</t>
  </si>
  <si>
    <t>-148.34</t>
  </si>
  <si>
    <t>231.65</t>
  </si>
  <si>
    <t>122.33</t>
  </si>
  <si>
    <t>104.33</t>
  </si>
  <si>
    <t>850 502-6965</t>
  </si>
  <si>
    <t>25712893</t>
  </si>
  <si>
    <t>78022418</t>
  </si>
  <si>
    <t>DENNIS B BENTLEY</t>
  </si>
  <si>
    <t>850 333 9647</t>
  </si>
  <si>
    <t>1489   PINE ST</t>
  </si>
  <si>
    <t>SABLTHJLM</t>
  </si>
  <si>
    <t>2170305</t>
  </si>
  <si>
    <t>355.6</t>
  </si>
  <si>
    <t>135.3</t>
  </si>
  <si>
    <t>215.31</t>
  </si>
  <si>
    <t>850 333-9647</t>
  </si>
  <si>
    <t>25712896</t>
  </si>
  <si>
    <t>78049203</t>
  </si>
  <si>
    <t>LINDA JOHNSON</t>
  </si>
  <si>
    <t>11/07/2013</t>
  </si>
  <si>
    <t>850 401 4051</t>
  </si>
  <si>
    <t>405   FLORIDA ST</t>
  </si>
  <si>
    <t>2149674</t>
  </si>
  <si>
    <t>-91.21</t>
  </si>
  <si>
    <t>249.95</t>
  </si>
  <si>
    <t>157.74</t>
  </si>
  <si>
    <t>87.22</t>
  </si>
  <si>
    <t>850 401-4051</t>
  </si>
  <si>
    <t>25696915</t>
  </si>
  <si>
    <t>17596001</t>
  </si>
  <si>
    <t>STACY CUNNINGHAM</t>
  </si>
  <si>
    <t>850 461 8427</t>
  </si>
  <si>
    <t>6533   POSSUM RIDGE RD</t>
  </si>
  <si>
    <t>E124M13002946</t>
  </si>
  <si>
    <t>863313</t>
  </si>
  <si>
    <t>-141.04</t>
  </si>
  <si>
    <t>944</t>
  </si>
  <si>
    <t>577.29</t>
  </si>
  <si>
    <t>203.14</t>
  </si>
  <si>
    <t>850 461-8427</t>
  </si>
  <si>
    <t>25697043</t>
  </si>
  <si>
    <t>25697052</t>
  </si>
  <si>
    <t>25697058</t>
  </si>
  <si>
    <t>25700261</t>
  </si>
  <si>
    <t>25700439</t>
  </si>
  <si>
    <t>74462419</t>
  </si>
  <si>
    <t>JOHN T HART</t>
  </si>
  <si>
    <t>931  W JAMES LEE BLVD</t>
  </si>
  <si>
    <t>D3G4M12001482</t>
  </si>
  <si>
    <t>2011511</t>
  </si>
  <si>
    <t>584.52</t>
  </si>
  <si>
    <t>231.91</t>
  </si>
  <si>
    <t>171.6</t>
  </si>
  <si>
    <t>167.21</t>
  </si>
  <si>
    <t>13.8</t>
  </si>
  <si>
    <t>850 603-5037</t>
  </si>
  <si>
    <t>25700495</t>
  </si>
  <si>
    <t>25700498</t>
  </si>
  <si>
    <t>281.33</t>
  </si>
  <si>
    <t>97.09</t>
  </si>
  <si>
    <t>25700506</t>
  </si>
  <si>
    <t>25703617</t>
  </si>
  <si>
    <t>25703755</t>
  </si>
  <si>
    <t>74485714</t>
  </si>
  <si>
    <t>SANDRA MITCHEM</t>
  </si>
  <si>
    <t>850 533 3915</t>
  </si>
  <si>
    <t>39   HAZELWOOD LN</t>
  </si>
  <si>
    <t xml:space="preserve">    22</t>
  </si>
  <si>
    <t>SABMSMZJV</t>
  </si>
  <si>
    <t>724888</t>
  </si>
  <si>
    <t>900677</t>
  </si>
  <si>
    <t>785.19</t>
  </si>
  <si>
    <t>534.78</t>
  </si>
  <si>
    <t>187.66</t>
  </si>
  <si>
    <t>57.76</t>
  </si>
  <si>
    <t>850 533-3915</t>
  </si>
  <si>
    <t>25706637</t>
  </si>
  <si>
    <t>25706810</t>
  </si>
  <si>
    <t>25706812</t>
  </si>
  <si>
    <t>78751140</t>
  </si>
  <si>
    <t>ANTONIO LATIMER</t>
  </si>
  <si>
    <t>241437291</t>
  </si>
  <si>
    <t>637172</t>
  </si>
  <si>
    <t>888.68</t>
  </si>
  <si>
    <t>152.06</t>
  </si>
  <si>
    <t>428.78</t>
  </si>
  <si>
    <t>297.86</t>
  </si>
  <si>
    <t>850 304-5425</t>
  </si>
  <si>
    <t>25708300</t>
  </si>
  <si>
    <t>25708303</t>
  </si>
  <si>
    <t>78807909</t>
  </si>
  <si>
    <t>ANTHONY SMILEY</t>
  </si>
  <si>
    <t>813 381 9957</t>
  </si>
  <si>
    <t>337  E BOWERS AVE</t>
  </si>
  <si>
    <t>266451362</t>
  </si>
  <si>
    <t>1043531</t>
  </si>
  <si>
    <t>697.5</t>
  </si>
  <si>
    <t>285.21</t>
  </si>
  <si>
    <t>251.56</t>
  </si>
  <si>
    <t>160.73</t>
  </si>
  <si>
    <t>813 381-9957</t>
  </si>
  <si>
    <t>25708313</t>
  </si>
  <si>
    <t>25709194</t>
  </si>
  <si>
    <t>25709352</t>
  </si>
  <si>
    <t>25709354</t>
  </si>
  <si>
    <t>25712851</t>
  </si>
  <si>
    <t>Tech#</t>
  </si>
  <si>
    <t>Name</t>
  </si>
  <si>
    <t>Assigned Date</t>
  </si>
  <si>
    <t>Days</t>
  </si>
  <si>
    <t>Serial Number</t>
  </si>
  <si>
    <t>Item</t>
  </si>
  <si>
    <t>Description</t>
  </si>
  <si>
    <t>Type</t>
  </si>
  <si>
    <t>SACGJBBFL</t>
  </si>
  <si>
    <t>DSG S/A - TRIO 474</t>
  </si>
  <si>
    <t>DUBW32N-UBEE DVW32</t>
  </si>
  <si>
    <t xml:space="preserve">ROUTER </t>
  </si>
  <si>
    <t>DIG S/A EXPLORER 8</t>
  </si>
  <si>
    <t>DSG S/A - TRIO 874</t>
  </si>
  <si>
    <t>SABKTCZQC</t>
  </si>
  <si>
    <t>DIG S/A 8240HDC HD</t>
  </si>
  <si>
    <t>SACGPWPGX</t>
  </si>
  <si>
    <t>SABSBQCQS</t>
  </si>
  <si>
    <t>SABSNRCDC</t>
  </si>
  <si>
    <t>SACDQJZQV</t>
  </si>
  <si>
    <t>SACDSLFJC</t>
  </si>
  <si>
    <t>SACGHZTJT</t>
  </si>
  <si>
    <t>SA:DPQ3212-NO BATT</t>
  </si>
  <si>
    <t>ARRIS:TM502G</t>
  </si>
  <si>
    <t>SA:DPQ3925-NO BATT</t>
  </si>
  <si>
    <t>D6C3R44006406</t>
  </si>
  <si>
    <t>UBEE DDW3656-PURCH</t>
  </si>
  <si>
    <t>CISCO:DPC3825 GATE</t>
  </si>
  <si>
    <t>3HW148WV03AF4</t>
  </si>
  <si>
    <t>NETGEAR CG3000DV2</t>
  </si>
  <si>
    <t>D814M13005228</t>
  </si>
  <si>
    <t>DLINK SINGLE BAND</t>
  </si>
  <si>
    <t>DIG S/A 4240HDC HD</t>
  </si>
  <si>
    <t>SABTWRJLR</t>
  </si>
  <si>
    <t>SABWLSGKP</t>
  </si>
  <si>
    <t>DIG S/A EXPLORER 3</t>
  </si>
  <si>
    <t>E1C4M13002670</t>
  </si>
  <si>
    <t>SABMLDHHC</t>
  </si>
  <si>
    <t>SABRNLTJT</t>
  </si>
  <si>
    <t>SABTTBFDS</t>
  </si>
  <si>
    <t>SACDJNLQV</t>
  </si>
  <si>
    <t>SACGPZPGD</t>
  </si>
  <si>
    <t>SACGQWSHM</t>
  </si>
  <si>
    <t>SABMSKXSX</t>
  </si>
  <si>
    <t>SABNVQDVS</t>
  </si>
  <si>
    <t>SABSQWJCX</t>
  </si>
  <si>
    <t>SABSZWFHL</t>
  </si>
  <si>
    <t>SABWPFQKM</t>
  </si>
  <si>
    <t>SABXXNJCS</t>
  </si>
  <si>
    <t>DSG S/A - TRIO 864</t>
  </si>
  <si>
    <t>SACCVVJDV</t>
  </si>
  <si>
    <t>DIG S/A - ROVI 464</t>
  </si>
  <si>
    <t>SACDRCJCQ</t>
  </si>
  <si>
    <t>DCS4M13003380</t>
  </si>
  <si>
    <t>D733R44003452</t>
  </si>
  <si>
    <t>3HW143W9002A2</t>
  </si>
  <si>
    <t>Donald</t>
  </si>
  <si>
    <t>SABLKPQXT</t>
  </si>
  <si>
    <t>SABMNGZNS</t>
  </si>
  <si>
    <t>SABNRBTCT</t>
  </si>
  <si>
    <t>DIG S/A EXP 8240 H</t>
  </si>
  <si>
    <t>SABNZSWXF</t>
  </si>
  <si>
    <t>SABPFCHMF</t>
  </si>
  <si>
    <t>SABQBRQTQ</t>
  </si>
  <si>
    <t>SABQCDFKG</t>
  </si>
  <si>
    <t>SABQNZKLL</t>
  </si>
  <si>
    <t>SABQRQTLP</t>
  </si>
  <si>
    <t>SABSNHXQH</t>
  </si>
  <si>
    <t>SABSPTJFG</t>
  </si>
  <si>
    <t>SABTBGGNZ</t>
  </si>
  <si>
    <t>SABTTBDSS</t>
  </si>
  <si>
    <t>SABTTSRTQ</t>
  </si>
  <si>
    <t>SACBJXNVN</t>
  </si>
  <si>
    <t>SACBSNNHF</t>
  </si>
  <si>
    <t>SACDFKRCZ</t>
  </si>
  <si>
    <t>SACDPZSRQ</t>
  </si>
  <si>
    <t>SACDVLHCR</t>
  </si>
  <si>
    <t>SACDZZRPT</t>
  </si>
  <si>
    <t>SACFXNWLT</t>
  </si>
  <si>
    <t>SACFZHKWF</t>
  </si>
  <si>
    <t>GSH9865</t>
  </si>
  <si>
    <t>DSG S/A - TRIO 986</t>
  </si>
  <si>
    <t>SACGCHGXX</t>
  </si>
  <si>
    <t>SACGDSVWN</t>
  </si>
  <si>
    <t>615BMK4AR049442</t>
  </si>
  <si>
    <t>ARRIS:TM402PV2</t>
  </si>
  <si>
    <t>CAW4A31000173</t>
  </si>
  <si>
    <t>UBEE DDW3656-SINGL</t>
  </si>
  <si>
    <t>DCP4M13004552</t>
  </si>
  <si>
    <t>D484M13003230</t>
  </si>
  <si>
    <t>D484M13004096</t>
  </si>
  <si>
    <t>CISCO MODEL DPQ321</t>
  </si>
  <si>
    <t>Disco (%)</t>
  </si>
  <si>
    <t>Note: Only information in the "TOTAL" row is actually needed for your weekly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</si>
</sst>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(&quot;$&quot;* #,##0.00_);_(&quot;$&quot;* \(#,##0.00\);_(&quot;$&quot;* &quot;-&quot;??_);_(@_)"/>
    <numFmt numFmtId="164" formatCode="_(\$* #,##0.00_);_(\$* \(#,##0.00\);_(\$* \-??_);_(@_)"/>
    <numFmt numFmtId="165" formatCode="&quot;$&quot;#,##0.00"/>
    <numFmt numFmtId="166" formatCode="dddd"/>
  </numFmts>
  <fonts count="5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name val="Arial"/>
      <family val="2"/>
    </font>
    <font>
      <sz val="8"/>
      <name val="Arial"/>
      <family val="2"/>
    </font>
    <font>
      <sz val="7"/>
      <name val="Arial Narrow"/>
      <family val="2"/>
    </font>
    <font>
      <b/>
      <sz val="8"/>
      <name val="Arial"/>
      <family val="2"/>
    </font>
    <font>
      <u/>
      <sz val="8.25"/>
      <color indexed="12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sz val="11"/>
      <color indexed="10"/>
      <name val="Calibri"/>
      <family val="2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4"/>
      <color indexed="8"/>
      <name val="Calibri"/>
      <family val="2"/>
    </font>
    <font>
      <sz val="12"/>
      <color indexed="8"/>
      <name val="Calibri"/>
      <family val="2"/>
    </font>
    <font>
      <b/>
      <sz val="11"/>
      <color indexed="8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56"/>
      <name val="Calibri"/>
      <family val="2"/>
    </font>
    <font>
      <sz val="12"/>
      <name val="Calibri"/>
      <family val="2"/>
    </font>
    <font>
      <b/>
      <sz val="12"/>
      <color indexed="10"/>
      <name val="Calibri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28"/>
      <color rgb="FF000000"/>
      <name val="Calibri"/>
      <family val="2"/>
    </font>
    <font>
      <b/>
      <sz val="11"/>
      <color rgb="FFFF0000"/>
      <name val="Calibri"/>
      <family val="2"/>
      <scheme val="minor"/>
    </font>
    <font>
      <b/>
      <sz val="10"/>
      <color indexed="8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trike/>
      <sz val="10"/>
      <color indexed="8"/>
      <name val="Calibri"/>
      <family val="2"/>
      <scheme val="minor"/>
    </font>
    <font>
      <strike/>
      <sz val="10"/>
      <color theme="1"/>
      <name val="Calibri"/>
      <family val="2"/>
      <scheme val="minor"/>
    </font>
    <font>
      <b/>
      <strike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FFCC"/>
        <bgColor indexed="64"/>
      </patternFill>
    </fill>
  </fills>
  <borders count="9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 style="thin">
        <color theme="1"/>
      </top>
      <bottom style="medium">
        <color theme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theme="1"/>
      </right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auto="1"/>
      </top>
      <bottom style="medium">
        <color indexed="64"/>
      </bottom>
      <diagonal/>
    </border>
  </borders>
  <cellStyleXfs count="95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3" borderId="0" applyNumberFormat="0" applyBorder="0" applyAlignment="0" applyProtection="0"/>
    <xf numFmtId="0" fontId="11" fillId="20" borderId="1" applyNumberFormat="0" applyAlignment="0" applyProtection="0"/>
    <xf numFmtId="0" fontId="12" fillId="21" borderId="2" applyNumberFormat="0" applyAlignment="0" applyProtection="0"/>
    <xf numFmtId="0" fontId="7" fillId="0" borderId="3" applyNumberFormat="0" applyFill="0" applyBorder="0" applyProtection="0">
      <alignment horizontal="center"/>
    </xf>
    <xf numFmtId="0" fontId="7" fillId="0" borderId="0" applyNumberFormat="0" applyFill="0" applyBorder="0" applyProtection="0">
      <alignment horizontal="center"/>
    </xf>
    <xf numFmtId="0" fontId="7" fillId="0" borderId="3" applyNumberFormat="0" applyFill="0" applyBorder="0" applyProtection="0">
      <alignment horizontal="center"/>
    </xf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164" fontId="2" fillId="0" borderId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4" borderId="0" applyNumberFormat="0" applyBorder="0" applyAlignment="0" applyProtection="0"/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2" fillId="0" borderId="0" applyNumberForma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Protection="0">
      <alignment horizontal="center" vertical="center" wrapText="1"/>
    </xf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6" fillId="0" borderId="0" applyNumberFormat="0" applyFill="0" applyBorder="0" applyAlignment="0" applyProtection="0">
      <alignment horizontal="center"/>
    </xf>
    <xf numFmtId="0" fontId="6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2" fillId="0" borderId="0" applyNumberForma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5" fillId="0" borderId="0" applyNumberFormat="0" applyFont="0" applyFill="0" applyBorder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7" fillId="0" borderId="0" applyNumberForma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8" fillId="0" borderId="0" applyNumberFormat="0" applyFill="0" applyBorder="0" applyAlignment="0" applyProtection="0"/>
    <xf numFmtId="0" fontId="18" fillId="7" borderId="1" applyNumberFormat="0" applyAlignment="0" applyProtection="0"/>
    <xf numFmtId="0" fontId="19" fillId="0" borderId="7" applyNumberFormat="0" applyFill="0" applyAlignment="0" applyProtection="0"/>
    <xf numFmtId="0" fontId="20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23" borderId="8" applyNumberFormat="0" applyAlignment="0" applyProtection="0"/>
    <xf numFmtId="0" fontId="21" fillId="20" borderId="9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2" fillId="0" borderId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20" fontId="4" fillId="0" borderId="0" applyFont="0" applyFill="0" applyBorder="0" applyAlignment="0" applyProtection="0"/>
    <xf numFmtId="0" fontId="22" fillId="0" borderId="0" applyNumberFormat="0" applyFill="0" applyBorder="0" applyAlignment="0" applyProtection="0"/>
    <xf numFmtId="0" fontId="3" fillId="0" borderId="10" applyNumberFormat="0" applyFill="0" applyAlignment="0" applyProtection="0"/>
    <xf numFmtId="0" fontId="23" fillId="0" borderId="0" applyNumberFormat="0" applyFill="0" applyBorder="0" applyAlignment="0" applyProtection="0"/>
    <xf numFmtId="44" fontId="36" fillId="0" borderId="0" applyFont="0" applyFill="0" applyBorder="0" applyAlignment="0" applyProtection="0"/>
    <xf numFmtId="9" fontId="36" fillId="0" borderId="0" applyFont="0" applyFill="0" applyBorder="0" applyAlignment="0" applyProtection="0"/>
  </cellStyleXfs>
  <cellXfs count="22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vertical="top" wrapText="1"/>
    </xf>
    <xf numFmtId="0" fontId="24" fillId="0" borderId="0" xfId="0" applyFont="1"/>
    <xf numFmtId="0" fontId="24" fillId="0" borderId="11" xfId="0" applyFont="1" applyBorder="1" applyAlignment="1">
      <alignment horizontal="right"/>
    </xf>
    <xf numFmtId="0" fontId="24" fillId="0" borderId="11" xfId="0" applyFont="1" applyFill="1" applyBorder="1" applyAlignment="1">
      <alignment horizontal="center"/>
    </xf>
    <xf numFmtId="0" fontId="24" fillId="0" borderId="0" xfId="0" applyFont="1" applyAlignment="1">
      <alignment horizontal="right"/>
    </xf>
    <xf numFmtId="0" fontId="24" fillId="0" borderId="0" xfId="0" applyFont="1" applyFill="1" applyBorder="1" applyAlignment="1">
      <alignment horizontal="center"/>
    </xf>
    <xf numFmtId="0" fontId="0" fillId="0" borderId="0" xfId="0"/>
    <xf numFmtId="0" fontId="25" fillId="0" borderId="0" xfId="0" applyFont="1" applyFill="1" applyBorder="1" applyAlignment="1">
      <alignment horizontal="left"/>
    </xf>
    <xf numFmtId="49" fontId="24" fillId="0" borderId="11" xfId="0" applyNumberFormat="1" applyFont="1" applyBorder="1"/>
    <xf numFmtId="49" fontId="24" fillId="0" borderId="19" xfId="0" applyNumberFormat="1" applyFont="1" applyBorder="1"/>
    <xf numFmtId="49" fontId="24" fillId="0" borderId="26" xfId="0" applyNumberFormat="1" applyFont="1" applyBorder="1"/>
    <xf numFmtId="49" fontId="24" fillId="0" borderId="13" xfId="0" applyNumberFormat="1" applyFont="1" applyBorder="1"/>
    <xf numFmtId="0" fontId="25" fillId="25" borderId="22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25" fillId="25" borderId="24" xfId="0" applyFont="1" applyFill="1" applyBorder="1" applyAlignment="1">
      <alignment horizontal="center"/>
    </xf>
    <xf numFmtId="49" fontId="24" fillId="0" borderId="20" xfId="0" applyNumberFormat="1" applyFont="1" applyBorder="1" applyAlignment="1">
      <alignment horizontal="center"/>
    </xf>
    <xf numFmtId="49" fontId="24" fillId="0" borderId="25" xfId="0" applyNumberFormat="1" applyFont="1" applyBorder="1" applyAlignment="1">
      <alignment horizontal="center"/>
    </xf>
    <xf numFmtId="14" fontId="24" fillId="0" borderId="0" xfId="0" applyNumberFormat="1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  <xf numFmtId="1" fontId="24" fillId="0" borderId="11" xfId="0" applyNumberFormat="1" applyFont="1" applyFill="1" applyBorder="1" applyAlignment="1">
      <alignment horizontal="center"/>
    </xf>
    <xf numFmtId="49" fontId="0" fillId="0" borderId="0" xfId="0" applyNumberFormat="1" applyFont="1" applyFill="1"/>
    <xf numFmtId="14" fontId="24" fillId="0" borderId="11" xfId="0" applyNumberFormat="1" applyFont="1" applyFill="1" applyBorder="1" applyAlignment="1">
      <alignment horizontal="right"/>
    </xf>
    <xf numFmtId="0" fontId="26" fillId="0" borderId="0" xfId="0" applyFont="1" applyAlignment="1" applyProtection="1">
      <alignment wrapText="1"/>
    </xf>
    <xf numFmtId="0" fontId="26" fillId="0" borderId="0" xfId="0" applyFont="1" applyProtection="1"/>
    <xf numFmtId="0" fontId="26" fillId="0" borderId="0" xfId="0" applyFont="1" applyAlignment="1" applyProtection="1"/>
    <xf numFmtId="0" fontId="27" fillId="0" borderId="0" xfId="0" applyFont="1" applyProtection="1"/>
    <xf numFmtId="0" fontId="25" fillId="0" borderId="0" xfId="0" applyFont="1" applyFill="1"/>
    <xf numFmtId="0" fontId="1" fillId="0" borderId="0" xfId="0" applyFont="1" applyFill="1" applyAlignment="1">
      <alignment horizontal="center" vertical="center"/>
    </xf>
    <xf numFmtId="14" fontId="1" fillId="0" borderId="0" xfId="0" applyNumberFormat="1" applyFont="1" applyFill="1" applyAlignment="1">
      <alignment horizontal="center"/>
    </xf>
    <xf numFmtId="0" fontId="0" fillId="0" borderId="0" xfId="0" applyFill="1"/>
    <xf numFmtId="0" fontId="25" fillId="29" borderId="27" xfId="0" applyFont="1" applyFill="1" applyBorder="1"/>
    <xf numFmtId="0" fontId="25" fillId="29" borderId="46" xfId="0" applyFont="1" applyFill="1" applyBorder="1"/>
    <xf numFmtId="0" fontId="25" fillId="29" borderId="47" xfId="0" applyFont="1" applyFill="1" applyBorder="1"/>
    <xf numFmtId="0" fontId="1" fillId="32" borderId="42" xfId="0" applyFont="1" applyFill="1" applyBorder="1" applyAlignment="1">
      <alignment horizontal="center" vertical="center"/>
    </xf>
    <xf numFmtId="14" fontId="1" fillId="32" borderId="45" xfId="0" applyNumberFormat="1" applyFont="1" applyFill="1" applyBorder="1" applyAlignment="1">
      <alignment horizontal="center"/>
    </xf>
    <xf numFmtId="0" fontId="1" fillId="32" borderId="48" xfId="0" applyFont="1" applyFill="1" applyBorder="1" applyAlignment="1">
      <alignment horizontal="center" vertical="center"/>
    </xf>
    <xf numFmtId="14" fontId="1" fillId="32" borderId="29" xfId="0" applyNumberFormat="1" applyFont="1" applyFill="1" applyBorder="1" applyAlignment="1">
      <alignment horizontal="center"/>
    </xf>
    <xf numFmtId="0" fontId="1" fillId="32" borderId="49" xfId="0" applyFont="1" applyFill="1" applyBorder="1" applyAlignment="1">
      <alignment horizontal="center" vertical="center"/>
    </xf>
    <xf numFmtId="14" fontId="1" fillId="32" borderId="50" xfId="0" applyNumberFormat="1" applyFont="1" applyFill="1" applyBorder="1" applyAlignment="1">
      <alignment horizontal="center"/>
    </xf>
    <xf numFmtId="0" fontId="25" fillId="30" borderId="27" xfId="0" applyFont="1" applyFill="1" applyBorder="1"/>
    <xf numFmtId="0" fontId="25" fillId="30" borderId="46" xfId="0" applyFont="1" applyFill="1" applyBorder="1"/>
    <xf numFmtId="0" fontId="25" fillId="30" borderId="47" xfId="0" applyFont="1" applyFill="1" applyBorder="1"/>
    <xf numFmtId="0" fontId="1" fillId="31" borderId="42" xfId="0" applyFont="1" applyFill="1" applyBorder="1" applyAlignment="1">
      <alignment horizontal="center" vertical="center"/>
    </xf>
    <xf numFmtId="14" fontId="1" fillId="31" borderId="45" xfId="0" applyNumberFormat="1" applyFont="1" applyFill="1" applyBorder="1" applyAlignment="1">
      <alignment horizontal="center"/>
    </xf>
    <xf numFmtId="0" fontId="1" fillId="31" borderId="48" xfId="0" applyFont="1" applyFill="1" applyBorder="1" applyAlignment="1">
      <alignment horizontal="center" vertical="center"/>
    </xf>
    <xf numFmtId="14" fontId="1" fillId="31" borderId="29" xfId="0" applyNumberFormat="1" applyFont="1" applyFill="1" applyBorder="1" applyAlignment="1">
      <alignment horizontal="center"/>
    </xf>
    <xf numFmtId="0" fontId="1" fillId="31" borderId="51" xfId="0" applyFont="1" applyFill="1" applyBorder="1" applyAlignment="1">
      <alignment horizontal="center" vertical="center"/>
    </xf>
    <xf numFmtId="14" fontId="1" fillId="31" borderId="52" xfId="0" applyNumberFormat="1" applyFont="1" applyFill="1" applyBorder="1" applyAlignment="1">
      <alignment horizontal="center"/>
    </xf>
    <xf numFmtId="0" fontId="29" fillId="0" borderId="0" xfId="0" applyFont="1" applyProtection="1"/>
    <xf numFmtId="0" fontId="27" fillId="28" borderId="32" xfId="0" applyFont="1" applyFill="1" applyBorder="1" applyAlignment="1" applyProtection="1">
      <alignment horizontal="center" wrapText="1"/>
    </xf>
    <xf numFmtId="166" fontId="29" fillId="28" borderId="34" xfId="0" applyNumberFormat="1" applyFont="1" applyFill="1" applyBorder="1" applyAlignment="1" applyProtection="1">
      <alignment horizontal="center" wrapText="1"/>
    </xf>
    <xf numFmtId="166" fontId="29" fillId="28" borderId="35" xfId="0" applyNumberFormat="1" applyFont="1" applyFill="1" applyBorder="1" applyAlignment="1" applyProtection="1">
      <alignment horizontal="center" wrapText="1"/>
    </xf>
    <xf numFmtId="0" fontId="29" fillId="28" borderId="32" xfId="0" applyFont="1" applyFill="1" applyBorder="1" applyAlignment="1" applyProtection="1">
      <alignment horizontal="center" wrapText="1"/>
    </xf>
    <xf numFmtId="0" fontId="29" fillId="0" borderId="36" xfId="0" applyFont="1" applyBorder="1" applyAlignment="1" applyProtection="1">
      <alignment horizontal="center" wrapText="1"/>
    </xf>
    <xf numFmtId="44" fontId="30" fillId="0" borderId="18" xfId="32" applyFont="1" applyFill="1" applyBorder="1" applyAlignment="1" applyProtection="1">
      <alignment horizontal="center" wrapText="1"/>
      <protection locked="0"/>
    </xf>
    <xf numFmtId="44" fontId="30" fillId="0" borderId="37" xfId="32" applyFont="1" applyFill="1" applyBorder="1" applyAlignment="1" applyProtection="1">
      <alignment horizontal="center" wrapText="1"/>
      <protection locked="0"/>
    </xf>
    <xf numFmtId="44" fontId="30" fillId="0" borderId="17" xfId="32" applyFont="1" applyFill="1" applyBorder="1" applyAlignment="1" applyProtection="1">
      <alignment horizontal="center" wrapText="1"/>
      <protection locked="0"/>
    </xf>
    <xf numFmtId="44" fontId="30" fillId="28" borderId="43" xfId="32" applyFont="1" applyFill="1" applyBorder="1" applyAlignment="1" applyProtection="1">
      <alignment horizontal="center" wrapText="1"/>
    </xf>
    <xf numFmtId="165" fontId="30" fillId="0" borderId="12" xfId="32" applyNumberFormat="1" applyFont="1" applyFill="1" applyBorder="1" applyAlignment="1" applyProtection="1">
      <alignment horizontal="center" wrapText="1"/>
      <protection locked="0"/>
    </xf>
    <xf numFmtId="165" fontId="30" fillId="0" borderId="19" xfId="32" applyNumberFormat="1" applyFont="1" applyFill="1" applyBorder="1" applyAlignment="1" applyProtection="1">
      <alignment horizontal="center" wrapText="1"/>
      <protection locked="0"/>
    </xf>
    <xf numFmtId="165" fontId="30" fillId="0" borderId="14" xfId="32" applyNumberFormat="1" applyFont="1" applyFill="1" applyBorder="1" applyAlignment="1" applyProtection="1">
      <alignment horizontal="center" wrapText="1"/>
      <protection locked="0"/>
    </xf>
    <xf numFmtId="44" fontId="30" fillId="28" borderId="44" xfId="32" applyFont="1" applyFill="1" applyBorder="1" applyAlignment="1" applyProtection="1">
      <alignment horizontal="center" wrapText="1"/>
    </xf>
    <xf numFmtId="1" fontId="31" fillId="0" borderId="12" xfId="32" applyNumberFormat="1" applyFont="1" applyFill="1" applyBorder="1" applyAlignment="1" applyProtection="1">
      <alignment horizontal="center" wrapText="1"/>
      <protection locked="0"/>
    </xf>
    <xf numFmtId="1" fontId="31" fillId="0" borderId="19" xfId="32" applyNumberFormat="1" applyFont="1" applyFill="1" applyBorder="1" applyAlignment="1" applyProtection="1">
      <alignment horizontal="center" wrapText="1"/>
      <protection locked="0"/>
    </xf>
    <xf numFmtId="1" fontId="31" fillId="0" borderId="14" xfId="32" applyNumberFormat="1" applyFont="1" applyFill="1" applyBorder="1" applyAlignment="1" applyProtection="1">
      <alignment horizontal="center" wrapText="1"/>
      <protection locked="0"/>
    </xf>
    <xf numFmtId="1" fontId="30" fillId="28" borderId="44" xfId="32" applyNumberFormat="1" applyFont="1" applyFill="1" applyBorder="1" applyAlignment="1" applyProtection="1">
      <alignment horizontal="center" wrapText="1"/>
    </xf>
    <xf numFmtId="1" fontId="31" fillId="0" borderId="12" xfId="0" applyNumberFormat="1" applyFont="1" applyFill="1" applyBorder="1" applyAlignment="1" applyProtection="1">
      <alignment horizontal="center" wrapText="1"/>
      <protection locked="0"/>
    </xf>
    <xf numFmtId="1" fontId="31" fillId="0" borderId="19" xfId="0" applyNumberFormat="1" applyFont="1" applyFill="1" applyBorder="1" applyAlignment="1" applyProtection="1">
      <alignment horizontal="center" wrapText="1"/>
      <protection locked="0"/>
    </xf>
    <xf numFmtId="1" fontId="31" fillId="0" borderId="14" xfId="0" applyNumberFormat="1" applyFont="1" applyFill="1" applyBorder="1" applyAlignment="1" applyProtection="1">
      <alignment horizontal="center" wrapText="1"/>
      <protection locked="0"/>
    </xf>
    <xf numFmtId="1" fontId="31" fillId="0" borderId="29" xfId="0" applyNumberFormat="1" applyFont="1" applyFill="1" applyBorder="1" applyAlignment="1" applyProtection="1">
      <alignment horizontal="center" wrapText="1"/>
      <protection locked="0"/>
    </xf>
    <xf numFmtId="1" fontId="31" fillId="0" borderId="39" xfId="0" applyNumberFormat="1" applyFont="1" applyFill="1" applyBorder="1" applyAlignment="1" applyProtection="1">
      <alignment horizontal="center" wrapText="1"/>
      <protection locked="0"/>
    </xf>
    <xf numFmtId="1" fontId="31" fillId="0" borderId="40" xfId="0" applyNumberFormat="1" applyFont="1" applyFill="1" applyBorder="1" applyAlignment="1" applyProtection="1">
      <alignment horizontal="center" wrapText="1"/>
      <protection locked="0"/>
    </xf>
    <xf numFmtId="1" fontId="30" fillId="28" borderId="45" xfId="32" applyNumberFormat="1" applyFont="1" applyFill="1" applyBorder="1" applyAlignment="1" applyProtection="1">
      <alignment horizontal="center" wrapText="1"/>
    </xf>
    <xf numFmtId="0" fontId="27" fillId="28" borderId="27" xfId="0" applyFont="1" applyFill="1" applyBorder="1" applyAlignment="1" applyProtection="1">
      <alignment horizontal="center" wrapText="1"/>
    </xf>
    <xf numFmtId="0" fontId="32" fillId="28" borderId="41" xfId="0" applyFont="1" applyFill="1" applyBorder="1" applyAlignment="1" applyProtection="1">
      <alignment horizontal="center" wrapText="1"/>
    </xf>
    <xf numFmtId="0" fontId="27" fillId="28" borderId="45" xfId="0" applyFont="1" applyFill="1" applyBorder="1" applyAlignment="1" applyProtection="1">
      <alignment horizontal="center" wrapText="1"/>
    </xf>
    <xf numFmtId="0" fontId="27" fillId="0" borderId="0" xfId="0" applyFont="1" applyFill="1" applyBorder="1" applyAlignment="1" applyProtection="1">
      <alignment horizontal="center" wrapText="1"/>
    </xf>
    <xf numFmtId="1" fontId="31" fillId="0" borderId="0" xfId="0" applyNumberFormat="1" applyFont="1" applyFill="1" applyBorder="1" applyAlignment="1" applyProtection="1">
      <alignment horizontal="center" wrapText="1"/>
    </xf>
    <xf numFmtId="0" fontId="27" fillId="0" borderId="0" xfId="0" applyFont="1" applyAlignment="1" applyProtection="1">
      <alignment horizontal="right"/>
    </xf>
    <xf numFmtId="0" fontId="27" fillId="0" borderId="0" xfId="0" applyFont="1" applyAlignment="1" applyProtection="1"/>
    <xf numFmtId="0" fontId="27" fillId="0" borderId="0" xfId="0" applyFont="1" applyAlignment="1" applyProtection="1">
      <alignment horizontal="right" indent="1"/>
    </xf>
    <xf numFmtId="10" fontId="27" fillId="0" borderId="38" xfId="79" applyNumberFormat="1" applyFont="1" applyBorder="1" applyAlignment="1" applyProtection="1">
      <alignment horizontal="center"/>
    </xf>
    <xf numFmtId="10" fontId="27" fillId="0" borderId="28" xfId="79" applyNumberFormat="1" applyFont="1" applyBorder="1" applyAlignment="1" applyProtection="1">
      <alignment horizontal="center"/>
    </xf>
    <xf numFmtId="10" fontId="27" fillId="0" borderId="30" xfId="79" applyNumberFormat="1" applyFont="1" applyBorder="1" applyAlignment="1" applyProtection="1">
      <alignment horizontal="center"/>
    </xf>
    <xf numFmtId="0" fontId="29" fillId="28" borderId="27" xfId="0" applyFont="1" applyFill="1" applyBorder="1" applyAlignment="1" applyProtection="1">
      <alignment horizontal="center"/>
    </xf>
    <xf numFmtId="0" fontId="29" fillId="28" borderId="33" xfId="0" applyFont="1" applyFill="1" applyBorder="1" applyAlignment="1" applyProtection="1">
      <alignment horizontal="center"/>
    </xf>
    <xf numFmtId="0" fontId="29" fillId="28" borderId="42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right"/>
    </xf>
    <xf numFmtId="165" fontId="1" fillId="24" borderId="34" xfId="0" applyNumberFormat="1" applyFont="1" applyFill="1" applyBorder="1" applyAlignment="1">
      <alignment horizontal="right"/>
    </xf>
    <xf numFmtId="165" fontId="1" fillId="24" borderId="35" xfId="0" applyNumberFormat="1" applyFont="1" applyFill="1" applyBorder="1" applyAlignment="1">
      <alignment horizontal="right"/>
    </xf>
    <xf numFmtId="165" fontId="1" fillId="24" borderId="47" xfId="0" applyNumberFormat="1" applyFont="1" applyFill="1" applyBorder="1" applyAlignment="1">
      <alignment horizontal="right"/>
    </xf>
    <xf numFmtId="165" fontId="1" fillId="24" borderId="34" xfId="0" applyNumberFormat="1" applyFont="1" applyFill="1" applyBorder="1" applyAlignment="1">
      <alignment horizontal="center"/>
    </xf>
    <xf numFmtId="165" fontId="1" fillId="24" borderId="35" xfId="0" applyNumberFormat="1" applyFont="1" applyFill="1" applyBorder="1" applyAlignment="1">
      <alignment horizontal="center"/>
    </xf>
    <xf numFmtId="165" fontId="1" fillId="24" borderId="47" xfId="0" applyNumberFormat="1" applyFont="1" applyFill="1" applyBorder="1" applyAlignment="1">
      <alignment horizontal="center"/>
    </xf>
    <xf numFmtId="1" fontId="1" fillId="24" borderId="34" xfId="0" applyNumberFormat="1" applyFont="1" applyFill="1" applyBorder="1" applyAlignment="1">
      <alignment horizontal="center"/>
    </xf>
    <xf numFmtId="1" fontId="1" fillId="24" borderId="35" xfId="0" applyNumberFormat="1" applyFont="1" applyFill="1" applyBorder="1" applyAlignment="1">
      <alignment horizontal="center"/>
    </xf>
    <xf numFmtId="1" fontId="1" fillId="24" borderId="47" xfId="0" applyNumberFormat="1" applyFont="1" applyFill="1" applyBorder="1" applyAlignment="1">
      <alignment horizontal="center"/>
    </xf>
    <xf numFmtId="165" fontId="0" fillId="0" borderId="0" xfId="0" applyNumberFormat="1" applyBorder="1" applyAlignment="1">
      <alignment horizontal="right"/>
    </xf>
    <xf numFmtId="0" fontId="0" fillId="0" borderId="0" xfId="0" applyFill="1" applyBorder="1"/>
    <xf numFmtId="165" fontId="24" fillId="0" borderId="0" xfId="0" applyNumberFormat="1" applyFont="1"/>
    <xf numFmtId="1" fontId="0" fillId="0" borderId="0" xfId="0" applyNumberFormat="1" applyBorder="1" applyAlignment="1">
      <alignment horizontal="right"/>
    </xf>
    <xf numFmtId="1" fontId="24" fillId="0" borderId="0" xfId="0" applyNumberFormat="1" applyFont="1"/>
    <xf numFmtId="0" fontId="27" fillId="0" borderId="0" xfId="0" applyFont="1" applyFill="1" applyBorder="1" applyProtection="1"/>
    <xf numFmtId="0" fontId="29" fillId="0" borderId="0" xfId="0" applyFont="1" applyAlignment="1" applyProtection="1">
      <alignment horizontal="center"/>
    </xf>
    <xf numFmtId="1" fontId="27" fillId="0" borderId="38" xfId="0" applyNumberFormat="1" applyFont="1" applyBorder="1" applyAlignment="1" applyProtection="1">
      <alignment horizontal="right"/>
      <protection locked="0"/>
    </xf>
    <xf numFmtId="1" fontId="27" fillId="0" borderId="28" xfId="0" applyNumberFormat="1" applyFont="1" applyBorder="1" applyAlignment="1" applyProtection="1">
      <alignment horizontal="right" wrapText="1"/>
      <protection locked="0"/>
    </xf>
    <xf numFmtId="1" fontId="27" fillId="0" borderId="31" xfId="0" applyNumberFormat="1" applyFont="1" applyBorder="1" applyAlignment="1" applyProtection="1">
      <alignment horizontal="right" wrapText="1"/>
      <protection locked="0"/>
    </xf>
    <xf numFmtId="1" fontId="1" fillId="24" borderId="53" xfId="0" applyNumberFormat="1" applyFont="1" applyFill="1" applyBorder="1" applyAlignment="1">
      <alignment horizontal="center"/>
    </xf>
    <xf numFmtId="0" fontId="25" fillId="35" borderId="54" xfId="0" applyFont="1" applyFill="1" applyBorder="1"/>
    <xf numFmtId="0" fontId="25" fillId="35" borderId="33" xfId="0" applyFont="1" applyFill="1" applyBorder="1"/>
    <xf numFmtId="0" fontId="25" fillId="35" borderId="42" xfId="0" applyFont="1" applyFill="1" applyBorder="1"/>
    <xf numFmtId="0" fontId="1" fillId="35" borderId="58" xfId="0" applyFont="1" applyFill="1" applyBorder="1" applyAlignment="1">
      <alignment vertical="center"/>
    </xf>
    <xf numFmtId="0" fontId="1" fillId="35" borderId="41" xfId="0" applyFont="1" applyFill="1" applyBorder="1" applyAlignment="1">
      <alignment horizontal="center" vertical="center"/>
    </xf>
    <xf numFmtId="0" fontId="1" fillId="35" borderId="45" xfId="0" applyFont="1" applyFill="1" applyBorder="1" applyAlignment="1">
      <alignment horizontal="center" vertical="center"/>
    </xf>
    <xf numFmtId="0" fontId="1" fillId="34" borderId="55" xfId="0" applyFont="1" applyFill="1" applyBorder="1" applyAlignment="1">
      <alignment horizontal="center" vertical="center"/>
    </xf>
    <xf numFmtId="0" fontId="1" fillId="34" borderId="56" xfId="0" applyFont="1" applyFill="1" applyBorder="1" applyAlignment="1">
      <alignment horizontal="center" vertical="center"/>
    </xf>
    <xf numFmtId="0" fontId="1" fillId="34" borderId="57" xfId="0" applyFont="1" applyFill="1" applyBorder="1" applyAlignment="1">
      <alignment horizontal="center" vertical="center"/>
    </xf>
    <xf numFmtId="0" fontId="0" fillId="0" borderId="0" xfId="0"/>
    <xf numFmtId="14" fontId="0" fillId="0" borderId="0" xfId="0" applyNumberFormat="1"/>
    <xf numFmtId="0" fontId="24" fillId="0" borderId="11" xfId="0" applyFont="1" applyFill="1" applyBorder="1" applyAlignment="1">
      <alignment horizontal="right"/>
    </xf>
    <xf numFmtId="0" fontId="33" fillId="0" borderId="0" xfId="0" quotePrefix="1" applyFont="1" applyAlignment="1">
      <alignment horizontal="righ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right"/>
    </xf>
    <xf numFmtId="0" fontId="34" fillId="0" borderId="0" xfId="0" quotePrefix="1" applyFont="1" applyAlignment="1">
      <alignment horizontal="left"/>
    </xf>
    <xf numFmtId="0" fontId="37" fillId="0" borderId="18" xfId="0" applyFont="1" applyBorder="1" applyAlignment="1">
      <alignment horizontal="right" vertical="center"/>
    </xf>
    <xf numFmtId="0" fontId="37" fillId="0" borderId="12" xfId="0" applyFont="1" applyBorder="1" applyAlignment="1">
      <alignment horizontal="right" vertical="center"/>
    </xf>
    <xf numFmtId="1" fontId="39" fillId="24" borderId="14" xfId="0" applyNumberFormat="1" applyFont="1" applyFill="1" applyBorder="1" applyAlignment="1">
      <alignment horizontal="right" vertical="center"/>
    </xf>
    <xf numFmtId="0" fontId="37" fillId="0" borderId="12" xfId="0" applyFont="1" applyFill="1" applyBorder="1" applyAlignment="1">
      <alignment horizontal="right" vertical="center"/>
    </xf>
    <xf numFmtId="0" fontId="37" fillId="0" borderId="15" xfId="0" applyFont="1" applyFill="1" applyBorder="1" applyAlignment="1">
      <alignment horizontal="right" vertical="center"/>
    </xf>
    <xf numFmtId="1" fontId="39" fillId="24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right"/>
    </xf>
    <xf numFmtId="0" fontId="34" fillId="0" borderId="0" xfId="0" applyFont="1" applyAlignment="1"/>
    <xf numFmtId="0" fontId="34" fillId="0" borderId="0" xfId="0" applyFont="1"/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0" quotePrefix="1" applyNumberFormat="1"/>
    <xf numFmtId="0" fontId="0" fillId="0" borderId="0" xfId="0" applyNumberFormat="1"/>
    <xf numFmtId="1" fontId="0" fillId="36" borderId="73" xfId="0" applyNumberFormat="1" applyFont="1" applyFill="1" applyBorder="1" applyAlignment="1">
      <alignment horizontal="center"/>
    </xf>
    <xf numFmtId="1" fontId="0" fillId="36" borderId="67" xfId="0" applyNumberFormat="1" applyFont="1" applyFill="1" applyBorder="1" applyAlignment="1" applyProtection="1">
      <alignment horizontal="center"/>
      <protection locked="0"/>
    </xf>
    <xf numFmtId="1" fontId="0" fillId="36" borderId="68" xfId="0" applyNumberFormat="1" applyFont="1" applyFill="1" applyBorder="1" applyAlignment="1" applyProtection="1">
      <alignment horizontal="center"/>
      <protection locked="0"/>
    </xf>
    <xf numFmtId="1" fontId="0" fillId="36" borderId="69" xfId="0" applyNumberFormat="1" applyFont="1" applyFill="1" applyBorder="1" applyAlignment="1">
      <alignment horizontal="center"/>
    </xf>
    <xf numFmtId="1" fontId="1" fillId="36" borderId="70" xfId="0" applyNumberFormat="1" applyFont="1" applyFill="1" applyBorder="1" applyAlignment="1">
      <alignment horizontal="center"/>
    </xf>
    <xf numFmtId="1" fontId="0" fillId="36" borderId="56" xfId="0" applyNumberFormat="1" applyFont="1" applyFill="1" applyBorder="1" applyAlignment="1" applyProtection="1">
      <alignment horizontal="center"/>
      <protection locked="0"/>
    </xf>
    <xf numFmtId="1" fontId="0" fillId="36" borderId="72" xfId="0" applyNumberFormat="1" applyFont="1" applyFill="1" applyBorder="1" applyAlignment="1">
      <alignment horizontal="center"/>
    </xf>
    <xf numFmtId="0" fontId="0" fillId="0" borderId="75" xfId="0" applyNumberFormat="1" applyFont="1" applyFill="1" applyBorder="1" applyAlignment="1">
      <alignment horizontal="center"/>
    </xf>
    <xf numFmtId="0" fontId="28" fillId="37" borderId="35" xfId="0" applyFont="1" applyFill="1" applyBorder="1" applyAlignment="1">
      <alignment horizontal="center" vertical="center" wrapText="1"/>
    </xf>
    <xf numFmtId="0" fontId="28" fillId="37" borderId="74" xfId="0" applyFont="1" applyFill="1" applyBorder="1" applyAlignment="1">
      <alignment horizontal="center" vertical="center" wrapText="1"/>
    </xf>
    <xf numFmtId="14" fontId="0" fillId="0" borderId="64" xfId="0" applyNumberFormat="1" applyFont="1" applyFill="1" applyBorder="1" applyAlignment="1" applyProtection="1">
      <alignment horizontal="center"/>
      <protection locked="0"/>
    </xf>
    <xf numFmtId="14" fontId="0" fillId="0" borderId="65" xfId="0" applyNumberFormat="1" applyFont="1" applyFill="1" applyBorder="1" applyAlignment="1" applyProtection="1">
      <alignment horizontal="center"/>
      <protection locked="0"/>
    </xf>
    <xf numFmtId="1" fontId="0" fillId="0" borderId="66" xfId="0" applyNumberFormat="1" applyFont="1" applyFill="1" applyBorder="1" applyAlignment="1">
      <alignment horizontal="center"/>
    </xf>
    <xf numFmtId="1" fontId="0" fillId="0" borderId="64" xfId="0" applyNumberFormat="1" applyFont="1" applyFill="1" applyBorder="1" applyAlignment="1" applyProtection="1">
      <alignment horizontal="center"/>
      <protection locked="0"/>
    </xf>
    <xf numFmtId="1" fontId="1" fillId="0" borderId="62" xfId="94" applyNumberFormat="1" applyFont="1" applyFill="1" applyBorder="1" applyAlignment="1">
      <alignment horizontal="center"/>
    </xf>
    <xf numFmtId="1" fontId="0" fillId="0" borderId="63" xfId="93" applyNumberFormat="1" applyFont="1" applyFill="1" applyBorder="1" applyAlignment="1" applyProtection="1">
      <alignment horizontal="center"/>
      <protection locked="0"/>
    </xf>
    <xf numFmtId="1" fontId="0" fillId="0" borderId="71" xfId="0" applyNumberFormat="1" applyFont="1" applyFill="1" applyBorder="1" applyAlignment="1">
      <alignment horizontal="center"/>
    </xf>
    <xf numFmtId="14" fontId="0" fillId="0" borderId="33" xfId="0" applyNumberFormat="1" applyBorder="1" applyAlignment="1"/>
    <xf numFmtId="0" fontId="1" fillId="0" borderId="76" xfId="0" applyFont="1" applyBorder="1"/>
    <xf numFmtId="14" fontId="1" fillId="0" borderId="0" xfId="0" applyNumberFormat="1" applyFont="1"/>
    <xf numFmtId="1" fontId="0" fillId="24" borderId="60" xfId="0" applyNumberFormat="1" applyFont="1" applyFill="1" applyBorder="1" applyAlignment="1">
      <alignment horizontal="right"/>
    </xf>
    <xf numFmtId="1" fontId="0" fillId="24" borderId="61" xfId="0" applyNumberFormat="1" applyFont="1" applyFill="1" applyBorder="1" applyAlignment="1">
      <alignment horizontal="right"/>
    </xf>
    <xf numFmtId="14" fontId="0" fillId="24" borderId="0" xfId="0" applyNumberFormat="1" applyFill="1"/>
    <xf numFmtId="0" fontId="0" fillId="24" borderId="0" xfId="0" applyFill="1" applyAlignment="1">
      <alignment horizontal="center"/>
    </xf>
    <xf numFmtId="165" fontId="0" fillId="24" borderId="0" xfId="0" applyNumberFormat="1" applyFill="1"/>
    <xf numFmtId="0" fontId="0" fillId="24" borderId="0" xfId="0" applyFill="1"/>
    <xf numFmtId="0" fontId="28" fillId="37" borderId="74" xfId="0" applyFont="1" applyFill="1" applyBorder="1" applyAlignment="1">
      <alignment horizontal="center" wrapText="1"/>
    </xf>
    <xf numFmtId="1" fontId="43" fillId="0" borderId="78" xfId="0" applyNumberFormat="1" applyFont="1" applyBorder="1" applyAlignment="1" applyProtection="1">
      <alignment horizontal="center"/>
      <protection locked="0"/>
    </xf>
    <xf numFmtId="9" fontId="44" fillId="0" borderId="78" xfId="94" applyFont="1" applyBorder="1" applyAlignment="1">
      <alignment horizontal="center"/>
    </xf>
    <xf numFmtId="165" fontId="43" fillId="0" borderId="78" xfId="93" applyNumberFormat="1" applyFont="1" applyBorder="1" applyAlignment="1" applyProtection="1">
      <alignment horizontal="center"/>
      <protection locked="0"/>
    </xf>
    <xf numFmtId="0" fontId="43" fillId="26" borderId="78" xfId="0" applyFont="1" applyFill="1" applyBorder="1" applyAlignment="1" applyProtection="1">
      <alignment horizontal="center"/>
      <protection locked="0"/>
    </xf>
    <xf numFmtId="9" fontId="44" fillId="26" borderId="78" xfId="94" applyFont="1" applyFill="1" applyBorder="1" applyAlignment="1">
      <alignment horizontal="center"/>
    </xf>
    <xf numFmtId="9" fontId="44" fillId="0" borderId="79" xfId="94" applyNumberFormat="1" applyFont="1" applyBorder="1" applyAlignment="1">
      <alignment horizontal="center"/>
    </xf>
    <xf numFmtId="0" fontId="42" fillId="33" borderId="80" xfId="0" applyFont="1" applyFill="1" applyBorder="1" applyAlignment="1">
      <alignment horizontal="center" vertical="center" wrapText="1"/>
    </xf>
    <xf numFmtId="0" fontId="45" fillId="33" borderId="80" xfId="0" applyFont="1" applyFill="1" applyBorder="1" applyAlignment="1">
      <alignment horizontal="center" vertical="center" wrapText="1"/>
    </xf>
    <xf numFmtId="0" fontId="42" fillId="33" borderId="81" xfId="0" applyFont="1" applyFill="1" applyBorder="1" applyAlignment="1">
      <alignment horizontal="center" vertical="center" wrapText="1"/>
    </xf>
    <xf numFmtId="0" fontId="43" fillId="36" borderId="82" xfId="0" applyFont="1" applyFill="1" applyBorder="1" applyAlignment="1" applyProtection="1">
      <alignment horizontal="center"/>
      <protection locked="0"/>
    </xf>
    <xf numFmtId="9" fontId="44" fillId="36" borderId="82" xfId="0" applyNumberFormat="1" applyFont="1" applyFill="1" applyBorder="1" applyAlignment="1">
      <alignment horizontal="center"/>
    </xf>
    <xf numFmtId="165" fontId="43" fillId="36" borderId="82" xfId="0" applyNumberFormat="1" applyFont="1" applyFill="1" applyBorder="1" applyAlignment="1" applyProtection="1">
      <alignment horizontal="center"/>
      <protection locked="0"/>
    </xf>
    <xf numFmtId="0" fontId="46" fillId="27" borderId="82" xfId="0" applyFont="1" applyFill="1" applyBorder="1" applyAlignment="1" applyProtection="1">
      <alignment horizontal="center"/>
      <protection locked="0"/>
    </xf>
    <xf numFmtId="0" fontId="47" fillId="27" borderId="82" xfId="0" applyNumberFormat="1" applyFont="1" applyFill="1" applyBorder="1" applyAlignment="1">
      <alignment horizontal="center"/>
    </xf>
    <xf numFmtId="9" fontId="44" fillId="36" borderId="83" xfId="0" applyNumberFormat="1" applyFont="1" applyFill="1" applyBorder="1" applyAlignment="1">
      <alignment horizontal="center"/>
    </xf>
    <xf numFmtId="1" fontId="43" fillId="0" borderId="84" xfId="0" applyNumberFormat="1" applyFont="1" applyBorder="1" applyAlignment="1">
      <alignment horizontal="center"/>
    </xf>
    <xf numFmtId="1" fontId="43" fillId="0" borderId="77" xfId="0" applyNumberFormat="1" applyFont="1" applyBorder="1" applyAlignment="1" applyProtection="1">
      <alignment horizontal="center"/>
      <protection locked="0"/>
    </xf>
    <xf numFmtId="0" fontId="42" fillId="33" borderId="85" xfId="0" applyFont="1" applyFill="1" applyBorder="1" applyAlignment="1">
      <alignment horizontal="center" vertical="center" wrapText="1"/>
    </xf>
    <xf numFmtId="165" fontId="42" fillId="33" borderId="87" xfId="0" applyNumberFormat="1" applyFont="1" applyFill="1" applyBorder="1" applyAlignment="1">
      <alignment horizontal="center" vertical="center" wrapText="1"/>
    </xf>
    <xf numFmtId="0" fontId="45" fillId="33" borderId="85" xfId="0" applyFont="1" applyFill="1" applyBorder="1" applyAlignment="1">
      <alignment horizontal="center" vertical="center" wrapText="1"/>
    </xf>
    <xf numFmtId="0" fontId="42" fillId="33" borderId="86" xfId="0" applyFont="1" applyFill="1" applyBorder="1" applyAlignment="1">
      <alignment horizontal="center" vertical="center" wrapText="1"/>
    </xf>
    <xf numFmtId="0" fontId="45" fillId="33" borderId="87" xfId="0" applyFont="1" applyFill="1" applyBorder="1" applyAlignment="1">
      <alignment horizontal="center" vertical="center" wrapText="1"/>
    </xf>
    <xf numFmtId="0" fontId="43" fillId="26" borderId="88" xfId="0" applyFont="1" applyFill="1" applyBorder="1" applyAlignment="1" applyProtection="1">
      <alignment horizontal="center"/>
      <protection locked="0"/>
    </xf>
    <xf numFmtId="0" fontId="46" fillId="27" borderId="90" xfId="0" applyFont="1" applyFill="1" applyBorder="1" applyAlignment="1" applyProtection="1">
      <alignment horizontal="center"/>
      <protection locked="0"/>
    </xf>
    <xf numFmtId="0" fontId="43" fillId="36" borderId="91" xfId="0" applyFont="1" applyFill="1" applyBorder="1" applyAlignment="1" applyProtection="1">
      <alignment horizontal="center"/>
      <protection locked="0"/>
    </xf>
    <xf numFmtId="0" fontId="43" fillId="26" borderId="89" xfId="0" applyFont="1" applyFill="1" applyBorder="1" applyAlignment="1" applyProtection="1">
      <alignment horizontal="center"/>
      <protection locked="0"/>
    </xf>
    <xf numFmtId="0" fontId="46" fillId="27" borderId="92" xfId="0" applyFont="1" applyFill="1" applyBorder="1" applyAlignment="1" applyProtection="1">
      <alignment horizontal="center"/>
      <protection locked="0"/>
    </xf>
    <xf numFmtId="1" fontId="43" fillId="0" borderId="88" xfId="0" applyNumberFormat="1" applyFont="1" applyBorder="1" applyAlignment="1" applyProtection="1">
      <alignment horizontal="center"/>
      <protection locked="0"/>
    </xf>
    <xf numFmtId="1" fontId="43" fillId="0" borderId="89" xfId="0" applyNumberFormat="1" applyFont="1" applyBorder="1" applyAlignment="1">
      <alignment horizontal="center"/>
    </xf>
    <xf numFmtId="165" fontId="43" fillId="0" borderId="89" xfId="0" applyNumberFormat="1" applyFont="1" applyBorder="1" applyAlignment="1">
      <alignment horizontal="center"/>
    </xf>
    <xf numFmtId="1" fontId="42" fillId="33" borderId="93" xfId="0" applyNumberFormat="1" applyFont="1" applyFill="1" applyBorder="1" applyAlignment="1">
      <alignment horizontal="center" vertical="center" wrapText="1"/>
    </xf>
    <xf numFmtId="0" fontId="42" fillId="33" borderId="87" xfId="0" applyFont="1" applyFill="1" applyBorder="1" applyAlignment="1">
      <alignment horizontal="center" vertical="center" wrapText="1"/>
    </xf>
    <xf numFmtId="1" fontId="43" fillId="36" borderId="94" xfId="0" applyNumberFormat="1" applyFont="1" applyFill="1" applyBorder="1" applyAlignment="1">
      <alignment horizontal="center"/>
    </xf>
    <xf numFmtId="0" fontId="43" fillId="36" borderId="90" xfId="0" applyFont="1" applyFill="1" applyBorder="1" applyAlignment="1" applyProtection="1">
      <alignment horizontal="center"/>
      <protection locked="0"/>
    </xf>
    <xf numFmtId="0" fontId="43" fillId="36" borderId="92" xfId="0" applyFont="1" applyFill="1" applyBorder="1" applyAlignment="1">
      <alignment horizontal="center"/>
    </xf>
    <xf numFmtId="165" fontId="43" fillId="36" borderId="92" xfId="0" applyNumberFormat="1" applyFont="1" applyFill="1" applyBorder="1" applyAlignment="1">
      <alignment horizontal="center"/>
    </xf>
    <xf numFmtId="0" fontId="48" fillId="0" borderId="0" xfId="0" applyFont="1"/>
    <xf numFmtId="0" fontId="49" fillId="0" borderId="0" xfId="0" applyFont="1"/>
    <xf numFmtId="0" fontId="50" fillId="24" borderId="0" xfId="0" applyFont="1" applyFill="1"/>
    <xf numFmtId="0" fontId="49" fillId="24" borderId="0" xfId="0" applyFont="1" applyFill="1"/>
    <xf numFmtId="0" fontId="33" fillId="0" borderId="0" xfId="0" applyFont="1" applyAlignment="1">
      <alignment horizontal="left"/>
    </xf>
    <xf numFmtId="0" fontId="35" fillId="0" borderId="59" xfId="0" applyFont="1" applyBorder="1" applyAlignment="1">
      <alignment horizontal="center"/>
    </xf>
    <xf numFmtId="0" fontId="38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" fillId="0" borderId="41" xfId="0" applyFont="1" applyBorder="1" applyAlignment="1">
      <alignment horizontal="left" vertical="center"/>
    </xf>
    <xf numFmtId="0" fontId="41" fillId="0" borderId="0" xfId="0" applyFont="1" applyAlignment="1">
      <alignment horizontal="center" wrapText="1"/>
    </xf>
    <xf numFmtId="14" fontId="0" fillId="0" borderId="0" xfId="0" applyNumberFormat="1" applyAlignment="1">
      <alignment horizontal="center"/>
    </xf>
    <xf numFmtId="0" fontId="25" fillId="26" borderId="19" xfId="0" applyFont="1" applyFill="1" applyBorder="1" applyAlignment="1">
      <alignment horizontal="left"/>
    </xf>
    <xf numFmtId="0" fontId="25" fillId="26" borderId="20" xfId="0" applyFont="1" applyFill="1" applyBorder="1" applyAlignment="1">
      <alignment horizontal="left"/>
    </xf>
    <xf numFmtId="0" fontId="25" fillId="27" borderId="19" xfId="0" applyFont="1" applyFill="1" applyBorder="1" applyAlignment="1">
      <alignment horizontal="left"/>
    </xf>
    <xf numFmtId="0" fontId="25" fillId="27" borderId="21" xfId="0" applyFont="1" applyFill="1" applyBorder="1" applyAlignment="1">
      <alignment horizontal="left"/>
    </xf>
    <xf numFmtId="0" fontId="25" fillId="27" borderId="20" xfId="0" applyFont="1" applyFill="1" applyBorder="1" applyAlignment="1">
      <alignment horizontal="left"/>
    </xf>
  </cellXfs>
  <cellStyles count="95">
    <cellStyle name="20% - Accent1 2" xfId="1"/>
    <cellStyle name="20% - Accent2 2" xfId="2"/>
    <cellStyle name="20% - Accent3 2" xfId="3"/>
    <cellStyle name="20% - Accent4 2" xfId="4"/>
    <cellStyle name="20% - Accent5 2" xfId="5"/>
    <cellStyle name="20% - Accent6 2" xfId="6"/>
    <cellStyle name="40% - Accent1 2" xfId="7"/>
    <cellStyle name="40% - Accent2 2" xfId="8"/>
    <cellStyle name="40% - Accent3 2" xfId="9"/>
    <cellStyle name="40% - Accent4 2" xfId="10"/>
    <cellStyle name="40% - Accent5 2" xfId="11"/>
    <cellStyle name="40% - Accent6 2" xfId="12"/>
    <cellStyle name="60% - Accent1 2" xfId="13"/>
    <cellStyle name="60% - Accent2 2" xfId="14"/>
    <cellStyle name="60% - Accent3 2" xfId="15"/>
    <cellStyle name="60% - Accent4 2" xfId="16"/>
    <cellStyle name="60% - Accent5 2" xfId="17"/>
    <cellStyle name="60% - Accent6 2" xfId="18"/>
    <cellStyle name="Accent1 2" xfId="19"/>
    <cellStyle name="Accent2 2" xfId="20"/>
    <cellStyle name="Accent3 2" xfId="21"/>
    <cellStyle name="Accent4 2" xfId="22"/>
    <cellStyle name="Accent5 2" xfId="23"/>
    <cellStyle name="Accent6 2" xfId="24"/>
    <cellStyle name="Bad 2" xfId="25"/>
    <cellStyle name="Calculation 2" xfId="26"/>
    <cellStyle name="Check Cell 2" xfId="27"/>
    <cellStyle name="company information" xfId="28"/>
    <cellStyle name="company information 2" xfId="29"/>
    <cellStyle name="company information 3" xfId="30"/>
    <cellStyle name="Currency" xfId="93" builtinId="4"/>
    <cellStyle name="Currency 2" xfId="32"/>
    <cellStyle name="Currency 2 2" xfId="33"/>
    <cellStyle name="Currency 2 3" xfId="34"/>
    <cellStyle name="Currency 3" xfId="35"/>
    <cellStyle name="Currency 4" xfId="31"/>
    <cellStyle name="Explanatory Text 2" xfId="36"/>
    <cellStyle name="Good 2" xfId="37"/>
    <cellStyle name="header description" xfId="38"/>
    <cellStyle name="header description 2" xfId="39"/>
    <cellStyle name="header description 2 2" xfId="40"/>
    <cellStyle name="header description 2 3" xfId="41"/>
    <cellStyle name="header description 2 3 2" xfId="42"/>
    <cellStyle name="header description 2 3 3" xfId="43"/>
    <cellStyle name="header description 2 4" xfId="44"/>
    <cellStyle name="header E/D codes" xfId="45"/>
    <cellStyle name="header E/D codes 2" xfId="46"/>
    <cellStyle name="header E/D codes 2 2" xfId="47"/>
    <cellStyle name="header E/D codes 2 3" xfId="48"/>
    <cellStyle name="header E/D codes 2 3 2" xfId="49"/>
    <cellStyle name="header E/D codes 2 3 3" xfId="50"/>
    <cellStyle name="header E/D codes 2 4" xfId="51"/>
    <cellStyle name="header macro" xfId="52"/>
    <cellStyle name="header macro 2" xfId="53"/>
    <cellStyle name="header total" xfId="54"/>
    <cellStyle name="header total 2" xfId="55"/>
    <cellStyle name="header total 2 2" xfId="56"/>
    <cellStyle name="header total 2 3" xfId="57"/>
    <cellStyle name="header total 2 3 2" xfId="58"/>
    <cellStyle name="header total 2 3 3" xfId="59"/>
    <cellStyle name="header total 2 4" xfId="60"/>
    <cellStyle name="Heading 1 2" xfId="61"/>
    <cellStyle name="Heading 2 2" xfId="62"/>
    <cellStyle name="Heading 3 2" xfId="63"/>
    <cellStyle name="Heading 4 2" xfId="64"/>
    <cellStyle name="Hyperlink 2" xfId="65"/>
    <cellStyle name="Hyperlink 2 2" xfId="66"/>
    <cellStyle name="Input 2" xfId="67"/>
    <cellStyle name="Linked Cell 2" xfId="68"/>
    <cellStyle name="Neutral 2" xfId="69"/>
    <cellStyle name="Normal" xfId="0" builtinId="0"/>
    <cellStyle name="Normal 2" xfId="70"/>
    <cellStyle name="Normal 2 2" xfId="71"/>
    <cellStyle name="Normal 2 2 2" xfId="72"/>
    <cellStyle name="Normal 2 2 2 2" xfId="73"/>
    <cellStyle name="Normal 2 2 3" xfId="74"/>
    <cellStyle name="Normal 3" xfId="75"/>
    <cellStyle name="Note 2" xfId="76"/>
    <cellStyle name="Output 2" xfId="77"/>
    <cellStyle name="Percent" xfId="94" builtinId="5"/>
    <cellStyle name="Percent 2" xfId="79"/>
    <cellStyle name="Percent 2 2" xfId="80"/>
    <cellStyle name="Percent 2 3" xfId="81"/>
    <cellStyle name="Percent 3" xfId="82"/>
    <cellStyle name="Percent 4" xfId="78"/>
    <cellStyle name="time of day" xfId="83"/>
    <cellStyle name="time of day 2" xfId="84"/>
    <cellStyle name="time of day 2 2" xfId="85"/>
    <cellStyle name="time of day 2 3" xfId="86"/>
    <cellStyle name="time of day 2 3 2" xfId="87"/>
    <cellStyle name="time of day 2 3 3" xfId="88"/>
    <cellStyle name="time of day 2 4" xfId="89"/>
    <cellStyle name="Title 2" xfId="90"/>
    <cellStyle name="Total 2" xfId="91"/>
    <cellStyle name="Warning Text 2" xfId="92"/>
  </cellStyles>
  <dxfs count="9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medium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1" formatCode="0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medium">
          <color theme="1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theme="1"/>
        </left>
        <right style="thin">
          <color indexed="64"/>
        </right>
        <top style="thin">
          <color theme="1"/>
        </top>
        <bottom style="medium">
          <color theme="1"/>
        </bottom>
      </border>
      <protection locked="0" hidden="0"/>
    </dxf>
    <dxf>
      <numFmt numFmtId="19" formatCode="m/d/yyyy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thin">
          <color indexed="64"/>
        </right>
        <top style="thin">
          <color theme="1"/>
        </top>
        <bottom style="thin">
          <color theme="1"/>
        </bottom>
        <vertical style="thin">
          <color indexed="64"/>
        </vertical>
        <horizontal style="thin">
          <color theme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theme="1"/>
        </right>
        <top style="thin">
          <color theme="1"/>
        </top>
        <bottom style="medium">
          <color theme="1"/>
        </bottom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medium">
          <color theme="1"/>
        </left>
        <right style="medium">
          <color theme="1"/>
        </right>
        <top style="thin">
          <color theme="1"/>
        </top>
        <bottom style="thin">
          <color theme="1"/>
        </bottom>
        <vertical/>
        <horizontal style="thin">
          <color theme="1"/>
        </horizontal>
      </border>
    </dxf>
    <dxf>
      <fill>
        <patternFill patternType="solid">
          <fgColor indexed="64"/>
          <bgColor theme="4" tint="0.59999389629810485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0" tint="-0.34998626667073579"/>
        </patternFill>
      </fill>
      <alignment horizontal="center" vertical="bottom" textRotation="0" wrapText="0" indent="0" justifyLastLine="0" shrinkToFit="0" readingOrder="0"/>
      <protection locked="0" hidden="0"/>
    </dxf>
    <dxf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$&quot;#,##0.0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medium">
          <color auto="1"/>
        </top>
      </border>
    </dxf>
    <dxf>
      <fill>
        <patternFill patternType="solid">
          <fgColor indexed="64"/>
          <bgColor theme="4" tint="0.59999389629810485"/>
        </patternFill>
      </fill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protection locked="0" hidden="0"/>
    </dxf>
    <dxf>
      <border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Calibri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18</xdr:row>
          <xdr:rowOff>228600</xdr:rowOff>
        </xdr:from>
        <xdr:to>
          <xdr:col>2</xdr:col>
          <xdr:colOff>8305800</xdr:colOff>
          <xdr:row>21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</a:rPr>
                <a:t>RUN THE DAMN MACRO ALREADY!!!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Production" displayName="Production" ref="A5:R7" totalsRowCount="1" headerRowDxfId="90" dataDxfId="88" totalsRowDxfId="86" headerRowBorderDxfId="89" tableBorderDxfId="87" totalsRowBorderDxfId="85">
  <autoFilter ref="A5:R6"/>
  <tableColumns count="18">
    <tableColumn id="1" name="Tech ID" totalsRowLabel="TOTAL" dataDxfId="84" totalsRowDxfId="83"/>
    <tableColumn id="4" name="Orders Issued" totalsRowFunction="sum" dataDxfId="82" totalsRowDxfId="81"/>
    <tableColumn id="5" name="RS/Dups Other" totalsRowFunction="sum" dataDxfId="80" totalsRowDxfId="79"/>
    <tableColumn id="6" name="Net Issued" totalsRowFunction="custom" dataDxfId="78" totalsRowDxfId="77">
      <calculatedColumnFormula>Production[Orders Issued]-Production[RS/Dups Other]</calculatedColumnFormula>
      <totalsRowFormula>Production[[#Totals],[Orders Issued]]-Production[[#Totals],[RS/Dups Other]]</totalsRowFormula>
    </tableColumn>
    <tableColumn id="7" name="Saves (Ct)" totalsRowFunction="sum" dataDxfId="76" totalsRowDxfId="75"/>
    <tableColumn id="8" name="Saves (%)" totalsRowFunction="custom" dataDxfId="74" totalsRowDxfId="73" dataCellStyle="Percent">
      <calculatedColumnFormula>IF(Production[[#This Row],[Net Issued]]=0,1,Production[[#This Row],[Saves (Ct)]]/Production[[#This Row],[Net Issued]])</calculatedColumnFormula>
      <totalsRowFormula>IF(Production[[#Totals],[Net Issued]]=0,1,Production[[#Totals],[Saves (Ct)]]/Production[[#Totals],[Net Issued]])</totalsRowFormula>
    </tableColumn>
    <tableColumn id="9" name="Saves ($)" totalsRowFunction="sum" dataDxfId="72" totalsRowDxfId="71" dataCellStyle="Currency"/>
    <tableColumn id="10" name="Avg per Save" totalsRowFunction="custom" dataDxfId="70" totalsRowDxfId="69">
      <calculatedColumnFormula>IF(Production[[#This Row],[Saves (Ct)]]=0,"N/A",Production[[#This Row],[Saves ($)]]/Production[[#This Row],[Saves (Ct)]])</calculatedColumnFormula>
      <totalsRowFormula>IF(Production[[#Totals],[Saves (Ct)]]=0,"N/A",Production[[#Totals],[Saves ($)]]/Production[[#Totals],[Saves (Ct)]])</totalsRowFormula>
    </tableColumn>
    <tableColumn id="11" name="EQ Assn'd" totalsRowFunction="sum" dataDxfId="68" totalsRowDxfId="67"/>
    <tableColumn id="12" name="CPE Ret'd" totalsRowFunction="sum" dataDxfId="66" totalsRowDxfId="65"/>
    <tableColumn id="13" name="CPE           %" totalsRowLabel="0" dataDxfId="64" totalsRowDxfId="63" dataCellStyle="Percent"/>
    <tableColumn id="14" name="Prem Dig" totalsRowFunction="sum" dataDxfId="62" totalsRowDxfId="61"/>
    <tableColumn id="15" name="Std Dig" totalsRowFunction="sum" dataDxfId="60" totalsRowDxfId="59"/>
    <tableColumn id="16" name="eMTA   MTA" totalsRowFunction="sum" dataDxfId="58" totalsRowDxfId="57"/>
    <tableColumn id="17" name="Home Sec" totalsRowFunction="sum" dataDxfId="56" totalsRowDxfId="55"/>
    <tableColumn id="18" name="To Be Disco'd" totalsRowFunction="sum" dataDxfId="54" totalsRowDxfId="53">
      <calculatedColumnFormula>Production[Net Issued]-Production[Saves (Ct)]</calculatedColumnFormula>
    </tableColumn>
    <tableColumn id="19" name="Discos Done" totalsRowFunction="sum" dataDxfId="52" totalsRowDxfId="51"/>
    <tableColumn id="20" name="Disco (%)" totalsRowFunction="custom" dataDxfId="50" totalsRowDxfId="49" dataCellStyle="Percent">
      <calculatedColumnFormula>IF(Production[[#This Row],[To Be Disco''d]]=0,1,Production[[#This Row],[Discos Done]]/Production[[#This Row],[To Be Disco''d]])</calculatedColumnFormula>
      <totalsRowFormula>IF(Production[[#Totals],[To Be Disco''d]]=0,1,Production[[#Totals],[Discos Done]]/Production[[#Totals],[To Be Disco''d]])</totalsRow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Production7" displayName="Production7" ref="S5:AA7" totalsRowCount="1" headerRowDxfId="48" dataDxfId="46" totalsRowDxfId="44" headerRowBorderDxfId="47" tableBorderDxfId="45">
  <autoFilter ref="S5:AA6"/>
  <tableColumns count="9">
    <tableColumn id="1" name="TechID" totalsRowLabel="TOTAL" dataDxfId="43" totalsRowDxfId="42"/>
    <tableColumn id="4" name="Issue        Date" totalsRowFunction="max" dataDxfId="41" totalsRowDxfId="40"/>
    <tableColumn id="5" name="Turn In       Date" totalsRowFunction="max" dataDxfId="39" totalsRowDxfId="38"/>
    <tableColumn id="6" name="Premium Digital" totalsRowFunction="sum" dataDxfId="37" totalsRowDxfId="36"/>
    <tableColumn id="7" name="Standard  Digital" totalsRowFunction="sum" dataDxfId="35" totalsRowDxfId="34"/>
    <tableColumn id="8" name="eMTA      MTA" totalsRowFunction="sum" dataDxfId="33" totalsRowDxfId="32" dataCellStyle="Percent"/>
    <tableColumn id="9" name="Modem/ Router" totalsRowFunction="sum" dataDxfId="31" totalsRowDxfId="30" dataCellStyle="Currency"/>
    <tableColumn id="10" name="Home Security" totalsRowFunction="sum" dataDxfId="29" totalsRowDxfId="28"/>
    <tableColumn id="18" name="Total" totalsRowFunction="sum" dataDxfId="27" totalsRowDxfId="26">
      <calculatedColumnFormula>SUM(V6:Z6)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86:H139" totalsRowShown="0" headerRowDxfId="25" dataDxfId="23" headerRowBorderDxfId="24" tableBorderDxfId="22" totalsRowBorderDxfId="21">
  <autoFilter ref="A86:H139"/>
  <tableColumns count="8">
    <tableColumn id="1" name="Number" dataDxfId="20"/>
    <tableColumn id="2" name="Starting Date" dataDxfId="19"/>
    <tableColumn id="3" name="Ending Date" dataDxfId="18"/>
    <tableColumn id="4" name="Issue1 (Old)" dataDxfId="17"/>
    <tableColumn id="5" name="Issue2 (Old)" dataDxfId="16"/>
    <tableColumn id="6" name="Issue3 (New)" dataDxfId="15"/>
    <tableColumn id="7" name="LastClosed" dataDxfId="14"/>
    <tableColumn id="8" name="Column1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30:H83" totalsRowShown="0" headerRowDxfId="12" dataDxfId="10" headerRowBorderDxfId="11" tableBorderDxfId="9" totalsRowBorderDxfId="8">
  <autoFilter ref="A30:H83"/>
  <tableColumns count="8">
    <tableColumn id="1" name="Number" dataDxfId="7"/>
    <tableColumn id="2" name="Monday" dataDxfId="6"/>
    <tableColumn id="3" name="Tuesday" dataDxfId="5"/>
    <tableColumn id="4" name="Wednesday" dataDxfId="4"/>
    <tableColumn id="5" name="Thursday" dataDxfId="3"/>
    <tableColumn id="6" name="Friday" dataDxfId="2"/>
    <tableColumn id="7" name="Saturday" dataDxfId="1"/>
    <tableColumn id="8" name="Sun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UserInput"/>
  <dimension ref="A1:F24"/>
  <sheetViews>
    <sheetView showGridLines="0" tabSelected="1" showRuler="0" view="pageLayout" topLeftCell="A3" zoomScale="70" zoomScaleNormal="100" zoomScalePageLayoutView="70" workbookViewId="0">
      <selection activeCell="B14" sqref="B14:C14"/>
    </sheetView>
  </sheetViews>
  <sheetFormatPr defaultRowHeight="21" x14ac:dyDescent="0.35"/>
  <cols>
    <col min="1" max="1" width="4.42578125" style="10" customWidth="1"/>
    <col min="2" max="2" width="4.140625" style="126" customWidth="1"/>
    <col min="3" max="3" width="125.5703125" style="127" customWidth="1"/>
    <col min="4" max="4" width="3.28515625" style="10" customWidth="1"/>
    <col min="5" max="5" width="34.28515625" style="10" customWidth="1"/>
    <col min="6" max="6" width="13.5703125" style="136" customWidth="1"/>
    <col min="7" max="16384" width="9.140625" style="10"/>
  </cols>
  <sheetData>
    <row r="1" spans="1:6" ht="15" x14ac:dyDescent="0.25">
      <c r="B1" s="3"/>
      <c r="C1" s="10"/>
    </row>
    <row r="2" spans="1:6" ht="15" x14ac:dyDescent="0.25">
      <c r="B2" s="213"/>
      <c r="C2" s="213"/>
      <c r="D2" s="213"/>
    </row>
    <row r="3" spans="1:6" ht="30.75" customHeight="1" thickBot="1" x14ac:dyDescent="0.4">
      <c r="A3" s="211" t="s">
        <v>147</v>
      </c>
      <c r="B3" s="211"/>
      <c r="C3" s="211"/>
      <c r="D3" s="23"/>
    </row>
    <row r="4" spans="1:6" ht="27.75" customHeight="1" thickTop="1" x14ac:dyDescent="0.35">
      <c r="A4" s="125" t="s">
        <v>114</v>
      </c>
      <c r="B4" s="210" t="s">
        <v>149</v>
      </c>
      <c r="C4" s="210"/>
      <c r="D4" s="2"/>
      <c r="E4" s="130" t="s">
        <v>0</v>
      </c>
      <c r="F4" s="163">
        <v>34</v>
      </c>
    </row>
    <row r="5" spans="1:6" ht="27.75" customHeight="1" x14ac:dyDescent="0.35">
      <c r="A5" s="137"/>
      <c r="B5" s="128" t="s">
        <v>117</v>
      </c>
      <c r="C5" s="127" t="s">
        <v>148</v>
      </c>
      <c r="E5" s="131" t="s">
        <v>1</v>
      </c>
      <c r="F5" s="164" t="s">
        <v>589</v>
      </c>
    </row>
    <row r="6" spans="1:6" ht="27.75" customHeight="1" x14ac:dyDescent="0.35">
      <c r="A6" s="137"/>
      <c r="B6" s="128" t="s">
        <v>132</v>
      </c>
      <c r="C6" s="129" t="s">
        <v>146</v>
      </c>
      <c r="E6" s="131" t="s">
        <v>2</v>
      </c>
      <c r="F6" s="164" t="s">
        <v>1420</v>
      </c>
    </row>
    <row r="7" spans="1:6" ht="27.75" customHeight="1" x14ac:dyDescent="0.35">
      <c r="A7" s="137"/>
      <c r="C7" s="129" t="s">
        <v>150</v>
      </c>
      <c r="E7" s="131" t="s">
        <v>3</v>
      </c>
      <c r="F7" s="164" t="s">
        <v>2802</v>
      </c>
    </row>
    <row r="8" spans="1:6" ht="27.75" customHeight="1" x14ac:dyDescent="0.35">
      <c r="A8" s="138"/>
      <c r="B8" s="128" t="s">
        <v>133</v>
      </c>
      <c r="C8" s="127" t="s">
        <v>134</v>
      </c>
      <c r="E8" s="131" t="s">
        <v>4</v>
      </c>
      <c r="F8" s="164" t="s">
        <v>3538</v>
      </c>
    </row>
    <row r="9" spans="1:6" ht="27.75" customHeight="1" x14ac:dyDescent="0.35">
      <c r="A9" s="138"/>
      <c r="C9" s="127" t="s">
        <v>135</v>
      </c>
      <c r="D9" s="4"/>
      <c r="E9" s="131" t="s">
        <v>5</v>
      </c>
      <c r="F9" s="164" t="s">
        <v>4681</v>
      </c>
    </row>
    <row r="10" spans="1:6" ht="27.75" customHeight="1" x14ac:dyDescent="0.35">
      <c r="A10" s="138"/>
      <c r="B10" s="128" t="s">
        <v>136</v>
      </c>
      <c r="C10" s="127" t="s">
        <v>137</v>
      </c>
      <c r="E10" s="131" t="s">
        <v>6</v>
      </c>
      <c r="F10" s="164" t="s">
        <v>13647</v>
      </c>
    </row>
    <row r="11" spans="1:6" ht="27.75" customHeight="1" x14ac:dyDescent="0.35">
      <c r="A11" s="214" t="s">
        <v>138</v>
      </c>
      <c r="B11" s="214"/>
      <c r="C11" s="214"/>
      <c r="E11" s="131" t="s">
        <v>7</v>
      </c>
      <c r="F11" s="164"/>
    </row>
    <row r="12" spans="1:6" ht="27.75" customHeight="1" x14ac:dyDescent="0.35">
      <c r="A12" s="125" t="s">
        <v>115</v>
      </c>
      <c r="B12" s="210" t="s">
        <v>139</v>
      </c>
      <c r="C12" s="210"/>
      <c r="E12" s="131" t="s">
        <v>8</v>
      </c>
      <c r="F12" s="164"/>
    </row>
    <row r="13" spans="1:6" ht="27.75" customHeight="1" x14ac:dyDescent="0.35">
      <c r="A13" s="138"/>
      <c r="B13" s="128" t="s">
        <v>117</v>
      </c>
      <c r="C13" s="127" t="s">
        <v>140</v>
      </c>
      <c r="E13" s="131" t="s">
        <v>9</v>
      </c>
      <c r="F13" s="164"/>
    </row>
    <row r="14" spans="1:6" ht="27.75" customHeight="1" x14ac:dyDescent="0.35">
      <c r="A14" s="125" t="s">
        <v>116</v>
      </c>
      <c r="B14" s="210" t="s">
        <v>141</v>
      </c>
      <c r="C14" s="210"/>
      <c r="E14" s="131" t="s">
        <v>10</v>
      </c>
      <c r="F14" s="164"/>
    </row>
    <row r="15" spans="1:6" ht="27.75" customHeight="1" x14ac:dyDescent="0.35">
      <c r="A15" s="138"/>
      <c r="B15" s="128" t="s">
        <v>117</v>
      </c>
      <c r="C15" s="127" t="s">
        <v>142</v>
      </c>
      <c r="D15" s="1"/>
      <c r="E15" s="133" t="s">
        <v>12</v>
      </c>
      <c r="F15" s="164"/>
    </row>
    <row r="16" spans="1:6" ht="27.75" customHeight="1" x14ac:dyDescent="0.35">
      <c r="A16" s="138"/>
      <c r="B16" s="128" t="s">
        <v>132</v>
      </c>
      <c r="C16" s="127" t="s">
        <v>165</v>
      </c>
      <c r="E16" s="133" t="s">
        <v>13</v>
      </c>
      <c r="F16" s="164"/>
    </row>
    <row r="17" spans="1:6" ht="27.75" customHeight="1" x14ac:dyDescent="0.35">
      <c r="A17" s="212" t="s">
        <v>143</v>
      </c>
      <c r="B17" s="212"/>
      <c r="C17" s="212"/>
      <c r="E17" s="133" t="s">
        <v>14</v>
      </c>
      <c r="F17" s="164"/>
    </row>
    <row r="18" spans="1:6" ht="27.75" customHeight="1" x14ac:dyDescent="0.35">
      <c r="A18" s="125" t="s">
        <v>145</v>
      </c>
      <c r="B18" s="210" t="s">
        <v>144</v>
      </c>
      <c r="C18" s="210"/>
      <c r="E18" s="133" t="s">
        <v>98</v>
      </c>
      <c r="F18" s="164"/>
    </row>
    <row r="19" spans="1:6" ht="27.75" customHeight="1" x14ac:dyDescent="0.35">
      <c r="A19" s="138"/>
      <c r="C19" s="129"/>
      <c r="E19" s="133" t="s">
        <v>99</v>
      </c>
      <c r="F19" s="164"/>
    </row>
    <row r="20" spans="1:6" ht="27.75" customHeight="1" x14ac:dyDescent="0.35">
      <c r="E20" s="133" t="s">
        <v>100</v>
      </c>
      <c r="F20" s="164"/>
    </row>
    <row r="21" spans="1:6" ht="27.75" customHeight="1" x14ac:dyDescent="0.35">
      <c r="E21" s="133" t="s">
        <v>101</v>
      </c>
      <c r="F21" s="164"/>
    </row>
    <row r="22" spans="1:6" ht="27.75" customHeight="1" x14ac:dyDescent="0.35">
      <c r="A22" s="122"/>
      <c r="E22" s="133" t="s">
        <v>102</v>
      </c>
      <c r="F22" s="132"/>
    </row>
    <row r="23" spans="1:6" ht="27.75" customHeight="1" x14ac:dyDescent="0.35">
      <c r="A23" s="122"/>
      <c r="E23" s="133" t="s">
        <v>103</v>
      </c>
      <c r="F23" s="132"/>
    </row>
    <row r="24" spans="1:6" ht="27.75" customHeight="1" thickBot="1" x14ac:dyDescent="0.4">
      <c r="A24" s="122"/>
      <c r="E24" s="134" t="s">
        <v>104</v>
      </c>
      <c r="F24" s="135"/>
    </row>
  </sheetData>
  <mergeCells count="8">
    <mergeCell ref="B18:C18"/>
    <mergeCell ref="A3:C3"/>
    <mergeCell ref="A17:C17"/>
    <mergeCell ref="B2:D2"/>
    <mergeCell ref="B4:C4"/>
    <mergeCell ref="B12:C12"/>
    <mergeCell ref="B14:C14"/>
    <mergeCell ref="A11:C11"/>
  </mergeCells>
  <pageMargins left="0.27555555555555555" right="0.25" top="0.25" bottom="0.25" header="0.25" footer="0.25"/>
  <pageSetup paperSize="34" scale="62" orientation="landscape" r:id="rId1"/>
  <ignoredErrors>
    <ignoredError sqref="A4 A12 A14 A18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MasterButton_Click">
                <anchor moveWithCells="1" sizeWithCells="1">
                  <from>
                    <xdr:col>2</xdr:col>
                    <xdr:colOff>419100</xdr:colOff>
                    <xdr:row>18</xdr:row>
                    <xdr:rowOff>228600</xdr:rowOff>
                  </from>
                  <to>
                    <xdr:col>2</xdr:col>
                    <xdr:colOff>8305800</xdr:colOff>
                    <xdr:row>21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I30"/>
  <sheetViews>
    <sheetView showGridLines="0" showRowColHeaders="0" showRuler="0" view="pageLayout" zoomScale="75" zoomScaleNormal="55" zoomScalePageLayoutView="75" workbookViewId="0">
      <selection activeCell="B24" sqref="B24"/>
    </sheetView>
  </sheetViews>
  <sheetFormatPr defaultRowHeight="15.75" x14ac:dyDescent="0.25"/>
  <cols>
    <col min="1" max="1" width="32.42578125" style="30" customWidth="1"/>
    <col min="2" max="8" width="14.7109375" style="30" customWidth="1"/>
    <col min="9" max="9" width="14.7109375" style="30" bestFit="1" customWidth="1"/>
    <col min="10" max="38" width="9.140625" style="30"/>
    <col min="39" max="39" width="40.7109375" style="30" customWidth="1"/>
    <col min="40" max="51" width="22.7109375" style="30" customWidth="1"/>
    <col min="52" max="54" width="15" style="30" customWidth="1"/>
    <col min="55" max="294" width="9.140625" style="30"/>
    <col min="295" max="295" width="40.7109375" style="30" customWidth="1"/>
    <col min="296" max="307" width="22.7109375" style="30" customWidth="1"/>
    <col min="308" max="310" width="15" style="30" customWidth="1"/>
    <col min="311" max="550" width="9.140625" style="30"/>
    <col min="551" max="551" width="40.7109375" style="30" customWidth="1"/>
    <col min="552" max="563" width="22.7109375" style="30" customWidth="1"/>
    <col min="564" max="566" width="15" style="30" customWidth="1"/>
    <col min="567" max="806" width="9.140625" style="30"/>
    <col min="807" max="807" width="40.7109375" style="30" customWidth="1"/>
    <col min="808" max="819" width="22.7109375" style="30" customWidth="1"/>
    <col min="820" max="822" width="15" style="30" customWidth="1"/>
    <col min="823" max="1062" width="9.140625" style="30"/>
    <col min="1063" max="1063" width="40.7109375" style="30" customWidth="1"/>
    <col min="1064" max="1075" width="22.7109375" style="30" customWidth="1"/>
    <col min="1076" max="1078" width="15" style="30" customWidth="1"/>
    <col min="1079" max="1318" width="9.140625" style="30"/>
    <col min="1319" max="1319" width="40.7109375" style="30" customWidth="1"/>
    <col min="1320" max="1331" width="22.7109375" style="30" customWidth="1"/>
    <col min="1332" max="1334" width="15" style="30" customWidth="1"/>
    <col min="1335" max="1574" width="9.140625" style="30"/>
    <col min="1575" max="1575" width="40.7109375" style="30" customWidth="1"/>
    <col min="1576" max="1587" width="22.7109375" style="30" customWidth="1"/>
    <col min="1588" max="1590" width="15" style="30" customWidth="1"/>
    <col min="1591" max="1830" width="9.140625" style="30"/>
    <col min="1831" max="1831" width="40.7109375" style="30" customWidth="1"/>
    <col min="1832" max="1843" width="22.7109375" style="30" customWidth="1"/>
    <col min="1844" max="1846" width="15" style="30" customWidth="1"/>
    <col min="1847" max="2086" width="9.140625" style="30"/>
    <col min="2087" max="2087" width="40.7109375" style="30" customWidth="1"/>
    <col min="2088" max="2099" width="22.7109375" style="30" customWidth="1"/>
    <col min="2100" max="2102" width="15" style="30" customWidth="1"/>
    <col min="2103" max="2342" width="9.140625" style="30"/>
    <col min="2343" max="2343" width="40.7109375" style="30" customWidth="1"/>
    <col min="2344" max="2355" width="22.7109375" style="30" customWidth="1"/>
    <col min="2356" max="2358" width="15" style="30" customWidth="1"/>
    <col min="2359" max="2598" width="9.140625" style="30"/>
    <col min="2599" max="2599" width="40.7109375" style="30" customWidth="1"/>
    <col min="2600" max="2611" width="22.7109375" style="30" customWidth="1"/>
    <col min="2612" max="2614" width="15" style="30" customWidth="1"/>
    <col min="2615" max="2854" width="9.140625" style="30"/>
    <col min="2855" max="2855" width="40.7109375" style="30" customWidth="1"/>
    <col min="2856" max="2867" width="22.7109375" style="30" customWidth="1"/>
    <col min="2868" max="2870" width="15" style="30" customWidth="1"/>
    <col min="2871" max="3110" width="9.140625" style="30"/>
    <col min="3111" max="3111" width="40.7109375" style="30" customWidth="1"/>
    <col min="3112" max="3123" width="22.7109375" style="30" customWidth="1"/>
    <col min="3124" max="3126" width="15" style="30" customWidth="1"/>
    <col min="3127" max="3366" width="9.140625" style="30"/>
    <col min="3367" max="3367" width="40.7109375" style="30" customWidth="1"/>
    <col min="3368" max="3379" width="22.7109375" style="30" customWidth="1"/>
    <col min="3380" max="3382" width="15" style="30" customWidth="1"/>
    <col min="3383" max="3622" width="9.140625" style="30"/>
    <col min="3623" max="3623" width="40.7109375" style="30" customWidth="1"/>
    <col min="3624" max="3635" width="22.7109375" style="30" customWidth="1"/>
    <col min="3636" max="3638" width="15" style="30" customWidth="1"/>
    <col min="3639" max="3878" width="9.140625" style="30"/>
    <col min="3879" max="3879" width="40.7109375" style="30" customWidth="1"/>
    <col min="3880" max="3891" width="22.7109375" style="30" customWidth="1"/>
    <col min="3892" max="3894" width="15" style="30" customWidth="1"/>
    <col min="3895" max="4134" width="9.140625" style="30"/>
    <col min="4135" max="4135" width="40.7109375" style="30" customWidth="1"/>
    <col min="4136" max="4147" width="22.7109375" style="30" customWidth="1"/>
    <col min="4148" max="4150" width="15" style="30" customWidth="1"/>
    <col min="4151" max="4390" width="9.140625" style="30"/>
    <col min="4391" max="4391" width="40.7109375" style="30" customWidth="1"/>
    <col min="4392" max="4403" width="22.7109375" style="30" customWidth="1"/>
    <col min="4404" max="4406" width="15" style="30" customWidth="1"/>
    <col min="4407" max="4646" width="9.140625" style="30"/>
    <col min="4647" max="4647" width="40.7109375" style="30" customWidth="1"/>
    <col min="4648" max="4659" width="22.7109375" style="30" customWidth="1"/>
    <col min="4660" max="4662" width="15" style="30" customWidth="1"/>
    <col min="4663" max="4902" width="9.140625" style="30"/>
    <col min="4903" max="4903" width="40.7109375" style="30" customWidth="1"/>
    <col min="4904" max="4915" width="22.7109375" style="30" customWidth="1"/>
    <col min="4916" max="4918" width="15" style="30" customWidth="1"/>
    <col min="4919" max="5158" width="9.140625" style="30"/>
    <col min="5159" max="5159" width="40.7109375" style="30" customWidth="1"/>
    <col min="5160" max="5171" width="22.7109375" style="30" customWidth="1"/>
    <col min="5172" max="5174" width="15" style="30" customWidth="1"/>
    <col min="5175" max="5414" width="9.140625" style="30"/>
    <col min="5415" max="5415" width="40.7109375" style="30" customWidth="1"/>
    <col min="5416" max="5427" width="22.7109375" style="30" customWidth="1"/>
    <col min="5428" max="5430" width="15" style="30" customWidth="1"/>
    <col min="5431" max="5670" width="9.140625" style="30"/>
    <col min="5671" max="5671" width="40.7109375" style="30" customWidth="1"/>
    <col min="5672" max="5683" width="22.7109375" style="30" customWidth="1"/>
    <col min="5684" max="5686" width="15" style="30" customWidth="1"/>
    <col min="5687" max="5926" width="9.140625" style="30"/>
    <col min="5927" max="5927" width="40.7109375" style="30" customWidth="1"/>
    <col min="5928" max="5939" width="22.7109375" style="30" customWidth="1"/>
    <col min="5940" max="5942" width="15" style="30" customWidth="1"/>
    <col min="5943" max="6182" width="9.140625" style="30"/>
    <col min="6183" max="6183" width="40.7109375" style="30" customWidth="1"/>
    <col min="6184" max="6195" width="22.7109375" style="30" customWidth="1"/>
    <col min="6196" max="6198" width="15" style="30" customWidth="1"/>
    <col min="6199" max="6438" width="9.140625" style="30"/>
    <col min="6439" max="6439" width="40.7109375" style="30" customWidth="1"/>
    <col min="6440" max="6451" width="22.7109375" style="30" customWidth="1"/>
    <col min="6452" max="6454" width="15" style="30" customWidth="1"/>
    <col min="6455" max="6694" width="9.140625" style="30"/>
    <col min="6695" max="6695" width="40.7109375" style="30" customWidth="1"/>
    <col min="6696" max="6707" width="22.7109375" style="30" customWidth="1"/>
    <col min="6708" max="6710" width="15" style="30" customWidth="1"/>
    <col min="6711" max="6950" width="9.140625" style="30"/>
    <col min="6951" max="6951" width="40.7109375" style="30" customWidth="1"/>
    <col min="6952" max="6963" width="22.7109375" style="30" customWidth="1"/>
    <col min="6964" max="6966" width="15" style="30" customWidth="1"/>
    <col min="6967" max="7206" width="9.140625" style="30"/>
    <col min="7207" max="7207" width="40.7109375" style="30" customWidth="1"/>
    <col min="7208" max="7219" width="22.7109375" style="30" customWidth="1"/>
    <col min="7220" max="7222" width="15" style="30" customWidth="1"/>
    <col min="7223" max="7462" width="9.140625" style="30"/>
    <col min="7463" max="7463" width="40.7109375" style="30" customWidth="1"/>
    <col min="7464" max="7475" width="22.7109375" style="30" customWidth="1"/>
    <col min="7476" max="7478" width="15" style="30" customWidth="1"/>
    <col min="7479" max="7718" width="9.140625" style="30"/>
    <col min="7719" max="7719" width="40.7109375" style="30" customWidth="1"/>
    <col min="7720" max="7731" width="22.7109375" style="30" customWidth="1"/>
    <col min="7732" max="7734" width="15" style="30" customWidth="1"/>
    <col min="7735" max="7974" width="9.140625" style="30"/>
    <col min="7975" max="7975" width="40.7109375" style="30" customWidth="1"/>
    <col min="7976" max="7987" width="22.7109375" style="30" customWidth="1"/>
    <col min="7988" max="7990" width="15" style="30" customWidth="1"/>
    <col min="7991" max="8230" width="9.140625" style="30"/>
    <col min="8231" max="8231" width="40.7109375" style="30" customWidth="1"/>
    <col min="8232" max="8243" width="22.7109375" style="30" customWidth="1"/>
    <col min="8244" max="8246" width="15" style="30" customWidth="1"/>
    <col min="8247" max="8486" width="9.140625" style="30"/>
    <col min="8487" max="8487" width="40.7109375" style="30" customWidth="1"/>
    <col min="8488" max="8499" width="22.7109375" style="30" customWidth="1"/>
    <col min="8500" max="8502" width="15" style="30" customWidth="1"/>
    <col min="8503" max="8742" width="9.140625" style="30"/>
    <col min="8743" max="8743" width="40.7109375" style="30" customWidth="1"/>
    <col min="8744" max="8755" width="22.7109375" style="30" customWidth="1"/>
    <col min="8756" max="8758" width="15" style="30" customWidth="1"/>
    <col min="8759" max="8998" width="9.140625" style="30"/>
    <col min="8999" max="8999" width="40.7109375" style="30" customWidth="1"/>
    <col min="9000" max="9011" width="22.7109375" style="30" customWidth="1"/>
    <col min="9012" max="9014" width="15" style="30" customWidth="1"/>
    <col min="9015" max="9254" width="9.140625" style="30"/>
    <col min="9255" max="9255" width="40.7109375" style="30" customWidth="1"/>
    <col min="9256" max="9267" width="22.7109375" style="30" customWidth="1"/>
    <col min="9268" max="9270" width="15" style="30" customWidth="1"/>
    <col min="9271" max="9510" width="9.140625" style="30"/>
    <col min="9511" max="9511" width="40.7109375" style="30" customWidth="1"/>
    <col min="9512" max="9523" width="22.7109375" style="30" customWidth="1"/>
    <col min="9524" max="9526" width="15" style="30" customWidth="1"/>
    <col min="9527" max="9766" width="9.140625" style="30"/>
    <col min="9767" max="9767" width="40.7109375" style="30" customWidth="1"/>
    <col min="9768" max="9779" width="22.7109375" style="30" customWidth="1"/>
    <col min="9780" max="9782" width="15" style="30" customWidth="1"/>
    <col min="9783" max="10022" width="9.140625" style="30"/>
    <col min="10023" max="10023" width="40.7109375" style="30" customWidth="1"/>
    <col min="10024" max="10035" width="22.7109375" style="30" customWidth="1"/>
    <col min="10036" max="10038" width="15" style="30" customWidth="1"/>
    <col min="10039" max="10278" width="9.140625" style="30"/>
    <col min="10279" max="10279" width="40.7109375" style="30" customWidth="1"/>
    <col min="10280" max="10291" width="22.7109375" style="30" customWidth="1"/>
    <col min="10292" max="10294" width="15" style="30" customWidth="1"/>
    <col min="10295" max="10534" width="9.140625" style="30"/>
    <col min="10535" max="10535" width="40.7109375" style="30" customWidth="1"/>
    <col min="10536" max="10547" width="22.7109375" style="30" customWidth="1"/>
    <col min="10548" max="10550" width="15" style="30" customWidth="1"/>
    <col min="10551" max="10790" width="9.140625" style="30"/>
    <col min="10791" max="10791" width="40.7109375" style="30" customWidth="1"/>
    <col min="10792" max="10803" width="22.7109375" style="30" customWidth="1"/>
    <col min="10804" max="10806" width="15" style="30" customWidth="1"/>
    <col min="10807" max="11046" width="9.140625" style="30"/>
    <col min="11047" max="11047" width="40.7109375" style="30" customWidth="1"/>
    <col min="11048" max="11059" width="22.7109375" style="30" customWidth="1"/>
    <col min="11060" max="11062" width="15" style="30" customWidth="1"/>
    <col min="11063" max="11302" width="9.140625" style="30"/>
    <col min="11303" max="11303" width="40.7109375" style="30" customWidth="1"/>
    <col min="11304" max="11315" width="22.7109375" style="30" customWidth="1"/>
    <col min="11316" max="11318" width="15" style="30" customWidth="1"/>
    <col min="11319" max="11558" width="9.140625" style="30"/>
    <col min="11559" max="11559" width="40.7109375" style="30" customWidth="1"/>
    <col min="11560" max="11571" width="22.7109375" style="30" customWidth="1"/>
    <col min="11572" max="11574" width="15" style="30" customWidth="1"/>
    <col min="11575" max="11814" width="9.140625" style="30"/>
    <col min="11815" max="11815" width="40.7109375" style="30" customWidth="1"/>
    <col min="11816" max="11827" width="22.7109375" style="30" customWidth="1"/>
    <col min="11828" max="11830" width="15" style="30" customWidth="1"/>
    <col min="11831" max="12070" width="9.140625" style="30"/>
    <col min="12071" max="12071" width="40.7109375" style="30" customWidth="1"/>
    <col min="12072" max="12083" width="22.7109375" style="30" customWidth="1"/>
    <col min="12084" max="12086" width="15" style="30" customWidth="1"/>
    <col min="12087" max="12326" width="9.140625" style="30"/>
    <col min="12327" max="12327" width="40.7109375" style="30" customWidth="1"/>
    <col min="12328" max="12339" width="22.7109375" style="30" customWidth="1"/>
    <col min="12340" max="12342" width="15" style="30" customWidth="1"/>
    <col min="12343" max="12582" width="9.140625" style="30"/>
    <col min="12583" max="12583" width="40.7109375" style="30" customWidth="1"/>
    <col min="12584" max="12595" width="22.7109375" style="30" customWidth="1"/>
    <col min="12596" max="12598" width="15" style="30" customWidth="1"/>
    <col min="12599" max="12838" width="9.140625" style="30"/>
    <col min="12839" max="12839" width="40.7109375" style="30" customWidth="1"/>
    <col min="12840" max="12851" width="22.7109375" style="30" customWidth="1"/>
    <col min="12852" max="12854" width="15" style="30" customWidth="1"/>
    <col min="12855" max="13094" width="9.140625" style="30"/>
    <col min="13095" max="13095" width="40.7109375" style="30" customWidth="1"/>
    <col min="13096" max="13107" width="22.7109375" style="30" customWidth="1"/>
    <col min="13108" max="13110" width="15" style="30" customWidth="1"/>
    <col min="13111" max="13350" width="9.140625" style="30"/>
    <col min="13351" max="13351" width="40.7109375" style="30" customWidth="1"/>
    <col min="13352" max="13363" width="22.7109375" style="30" customWidth="1"/>
    <col min="13364" max="13366" width="15" style="30" customWidth="1"/>
    <col min="13367" max="13606" width="9.140625" style="30"/>
    <col min="13607" max="13607" width="40.7109375" style="30" customWidth="1"/>
    <col min="13608" max="13619" width="22.7109375" style="30" customWidth="1"/>
    <col min="13620" max="13622" width="15" style="30" customWidth="1"/>
    <col min="13623" max="13862" width="9.140625" style="30"/>
    <col min="13863" max="13863" width="40.7109375" style="30" customWidth="1"/>
    <col min="13864" max="13875" width="22.7109375" style="30" customWidth="1"/>
    <col min="13876" max="13878" width="15" style="30" customWidth="1"/>
    <col min="13879" max="14118" width="9.140625" style="30"/>
    <col min="14119" max="14119" width="40.7109375" style="30" customWidth="1"/>
    <col min="14120" max="14131" width="22.7109375" style="30" customWidth="1"/>
    <col min="14132" max="14134" width="15" style="30" customWidth="1"/>
    <col min="14135" max="14374" width="9.140625" style="30"/>
    <col min="14375" max="14375" width="40.7109375" style="30" customWidth="1"/>
    <col min="14376" max="14387" width="22.7109375" style="30" customWidth="1"/>
    <col min="14388" max="14390" width="15" style="30" customWidth="1"/>
    <col min="14391" max="14630" width="9.140625" style="30"/>
    <col min="14631" max="14631" width="40.7109375" style="30" customWidth="1"/>
    <col min="14632" max="14643" width="22.7109375" style="30" customWidth="1"/>
    <col min="14644" max="14646" width="15" style="30" customWidth="1"/>
    <col min="14647" max="14886" width="9.140625" style="30"/>
    <col min="14887" max="14887" width="40.7109375" style="30" customWidth="1"/>
    <col min="14888" max="14899" width="22.7109375" style="30" customWidth="1"/>
    <col min="14900" max="14902" width="15" style="30" customWidth="1"/>
    <col min="14903" max="15142" width="9.140625" style="30"/>
    <col min="15143" max="15143" width="40.7109375" style="30" customWidth="1"/>
    <col min="15144" max="15155" width="22.7109375" style="30" customWidth="1"/>
    <col min="15156" max="15158" width="15" style="30" customWidth="1"/>
    <col min="15159" max="15398" width="9.140625" style="30"/>
    <col min="15399" max="15399" width="40.7109375" style="30" customWidth="1"/>
    <col min="15400" max="15411" width="22.7109375" style="30" customWidth="1"/>
    <col min="15412" max="15414" width="15" style="30" customWidth="1"/>
    <col min="15415" max="15654" width="9.140625" style="30"/>
    <col min="15655" max="15655" width="40.7109375" style="30" customWidth="1"/>
    <col min="15656" max="15667" width="22.7109375" style="30" customWidth="1"/>
    <col min="15668" max="15670" width="15" style="30" customWidth="1"/>
    <col min="15671" max="15910" width="9.140625" style="30"/>
    <col min="15911" max="15911" width="40.7109375" style="30" customWidth="1"/>
    <col min="15912" max="15923" width="22.7109375" style="30" customWidth="1"/>
    <col min="15924" max="15926" width="15" style="30" customWidth="1"/>
    <col min="15927" max="16384" width="9.140625" style="30"/>
  </cols>
  <sheetData>
    <row r="1" spans="1:9" ht="18.75" customHeight="1" x14ac:dyDescent="0.25">
      <c r="A1" s="92" t="s">
        <v>91</v>
      </c>
      <c r="B1" s="108" t="s">
        <v>11</v>
      </c>
    </row>
    <row r="2" spans="1:9" ht="20.25" customHeight="1" x14ac:dyDescent="0.25">
      <c r="A2" s="92" t="s">
        <v>90</v>
      </c>
      <c r="B2" s="108">
        <v>53727</v>
      </c>
      <c r="C2" s="108"/>
    </row>
    <row r="3" spans="1:9" ht="8.25" customHeight="1" thickBot="1" x14ac:dyDescent="0.3">
      <c r="A3" s="53"/>
    </row>
    <row r="4" spans="1:9" ht="18.75" customHeight="1" thickBot="1" x14ac:dyDescent="0.3">
      <c r="A4" s="89" t="s">
        <v>59</v>
      </c>
      <c r="B4" s="90"/>
      <c r="C4" s="90"/>
      <c r="D4" s="90"/>
      <c r="E4" s="90"/>
      <c r="F4" s="90"/>
      <c r="G4" s="90"/>
      <c r="H4" s="90"/>
      <c r="I4" s="91"/>
    </row>
    <row r="5" spans="1:9" s="27" customFormat="1" ht="19.5" thickBot="1" x14ac:dyDescent="0.35">
      <c r="A5" s="54"/>
      <c r="B5" s="55" t="s">
        <v>16</v>
      </c>
      <c r="C5" s="56" t="s">
        <v>17</v>
      </c>
      <c r="D5" s="56" t="s">
        <v>18</v>
      </c>
      <c r="E5" s="56" t="s">
        <v>19</v>
      </c>
      <c r="F5" s="56" t="s">
        <v>20</v>
      </c>
      <c r="G5" s="56" t="s">
        <v>21</v>
      </c>
      <c r="H5" s="56" t="s">
        <v>22</v>
      </c>
      <c r="I5" s="57" t="s">
        <v>60</v>
      </c>
    </row>
    <row r="6" spans="1:9" s="28" customFormat="1" ht="18" customHeight="1" x14ac:dyDescent="0.3">
      <c r="A6" s="58" t="s">
        <v>71</v>
      </c>
      <c r="B6" s="59"/>
      <c r="C6" s="60"/>
      <c r="D6" s="60"/>
      <c r="E6" s="60"/>
      <c r="F6" s="60"/>
      <c r="G6" s="60"/>
      <c r="H6" s="61"/>
      <c r="I6" s="62">
        <f t="shared" ref="I6:I22" si="0">SUM(B6:H6)</f>
        <v>0</v>
      </c>
    </row>
    <row r="7" spans="1:9" s="28" customFormat="1" ht="18" customHeight="1" x14ac:dyDescent="0.3">
      <c r="A7" s="58" t="s">
        <v>68</v>
      </c>
      <c r="B7" s="63"/>
      <c r="C7" s="64"/>
      <c r="D7" s="64"/>
      <c r="E7" s="64"/>
      <c r="F7" s="64"/>
      <c r="G7" s="64"/>
      <c r="H7" s="65"/>
      <c r="I7" s="66">
        <f t="shared" si="0"/>
        <v>0</v>
      </c>
    </row>
    <row r="8" spans="1:9" s="28" customFormat="1" ht="18" customHeight="1" x14ac:dyDescent="0.3">
      <c r="A8" s="58" t="s">
        <v>69</v>
      </c>
      <c r="B8" s="63"/>
      <c r="C8" s="64"/>
      <c r="D8" s="64"/>
      <c r="E8" s="64"/>
      <c r="F8" s="64"/>
      <c r="G8" s="64"/>
      <c r="H8" s="65"/>
      <c r="I8" s="66">
        <f t="shared" si="0"/>
        <v>0</v>
      </c>
    </row>
    <row r="9" spans="1:9" s="28" customFormat="1" ht="18" customHeight="1" x14ac:dyDescent="0.3">
      <c r="A9" s="58" t="s">
        <v>70</v>
      </c>
      <c r="B9" s="63"/>
      <c r="C9" s="64"/>
      <c r="D9" s="64"/>
      <c r="E9" s="64"/>
      <c r="F9" s="64"/>
      <c r="G9" s="64"/>
      <c r="H9" s="65"/>
      <c r="I9" s="66">
        <f t="shared" si="0"/>
        <v>0</v>
      </c>
    </row>
    <row r="10" spans="1:9" s="28" customFormat="1" ht="18" customHeight="1" x14ac:dyDescent="0.3">
      <c r="A10" s="58" t="s">
        <v>71</v>
      </c>
      <c r="B10" s="67"/>
      <c r="C10" s="68"/>
      <c r="D10" s="68"/>
      <c r="E10" s="68"/>
      <c r="F10" s="68"/>
      <c r="G10" s="68"/>
      <c r="H10" s="69"/>
      <c r="I10" s="70">
        <f t="shared" si="0"/>
        <v>0</v>
      </c>
    </row>
    <row r="11" spans="1:9" s="28" customFormat="1" ht="18" customHeight="1" x14ac:dyDescent="0.3">
      <c r="A11" s="58" t="s">
        <v>72</v>
      </c>
      <c r="B11" s="67"/>
      <c r="C11" s="68"/>
      <c r="D11" s="68"/>
      <c r="E11" s="68"/>
      <c r="F11" s="68"/>
      <c r="G11" s="68"/>
      <c r="H11" s="69"/>
      <c r="I11" s="70">
        <f t="shared" si="0"/>
        <v>0</v>
      </c>
    </row>
    <row r="12" spans="1:9" s="28" customFormat="1" ht="18" customHeight="1" x14ac:dyDescent="0.3">
      <c r="A12" s="58" t="s">
        <v>73</v>
      </c>
      <c r="B12" s="67"/>
      <c r="C12" s="68"/>
      <c r="D12" s="68"/>
      <c r="E12" s="68"/>
      <c r="F12" s="68"/>
      <c r="G12" s="68"/>
      <c r="H12" s="69"/>
      <c r="I12" s="70">
        <f t="shared" si="0"/>
        <v>0</v>
      </c>
    </row>
    <row r="13" spans="1:9" s="28" customFormat="1" ht="18" customHeight="1" x14ac:dyDescent="0.3">
      <c r="A13" s="58" t="s">
        <v>74</v>
      </c>
      <c r="B13" s="67"/>
      <c r="C13" s="68"/>
      <c r="D13" s="68"/>
      <c r="E13" s="68"/>
      <c r="F13" s="68"/>
      <c r="G13" s="68"/>
      <c r="H13" s="69"/>
      <c r="I13" s="70">
        <f t="shared" si="0"/>
        <v>0</v>
      </c>
    </row>
    <row r="14" spans="1:9" s="28" customFormat="1" ht="18" customHeight="1" x14ac:dyDescent="0.3">
      <c r="A14" s="58" t="s">
        <v>75</v>
      </c>
      <c r="B14" s="67"/>
      <c r="C14" s="68"/>
      <c r="D14" s="68"/>
      <c r="E14" s="68"/>
      <c r="F14" s="68"/>
      <c r="G14" s="68"/>
      <c r="H14" s="69"/>
      <c r="I14" s="70">
        <f t="shared" si="0"/>
        <v>0</v>
      </c>
    </row>
    <row r="15" spans="1:9" s="28" customFormat="1" ht="18" customHeight="1" x14ac:dyDescent="0.3">
      <c r="A15" s="58" t="s">
        <v>76</v>
      </c>
      <c r="B15" s="67"/>
      <c r="C15" s="68"/>
      <c r="D15" s="68"/>
      <c r="E15" s="68"/>
      <c r="F15" s="68"/>
      <c r="G15" s="68"/>
      <c r="H15" s="69"/>
      <c r="I15" s="70">
        <f t="shared" si="0"/>
        <v>0</v>
      </c>
    </row>
    <row r="16" spans="1:9" s="28" customFormat="1" ht="18" customHeight="1" x14ac:dyDescent="0.3">
      <c r="A16" s="58" t="s">
        <v>77</v>
      </c>
      <c r="B16" s="67"/>
      <c r="C16" s="68"/>
      <c r="D16" s="68"/>
      <c r="E16" s="68"/>
      <c r="F16" s="68"/>
      <c r="G16" s="68"/>
      <c r="H16" s="69"/>
      <c r="I16" s="70">
        <f t="shared" si="0"/>
        <v>0</v>
      </c>
    </row>
    <row r="17" spans="1:9" s="28" customFormat="1" ht="18" customHeight="1" x14ac:dyDescent="0.3">
      <c r="A17" s="58" t="s">
        <v>78</v>
      </c>
      <c r="B17" s="71"/>
      <c r="C17" s="72"/>
      <c r="D17" s="72"/>
      <c r="E17" s="72"/>
      <c r="F17" s="72"/>
      <c r="G17" s="72"/>
      <c r="H17" s="73"/>
      <c r="I17" s="70">
        <f t="shared" si="0"/>
        <v>0</v>
      </c>
    </row>
    <row r="18" spans="1:9" s="28" customFormat="1" ht="18" customHeight="1" x14ac:dyDescent="0.3">
      <c r="A18" s="58" t="s">
        <v>79</v>
      </c>
      <c r="B18" s="71"/>
      <c r="C18" s="72"/>
      <c r="D18" s="72"/>
      <c r="E18" s="72"/>
      <c r="F18" s="72"/>
      <c r="G18" s="72"/>
      <c r="H18" s="73"/>
      <c r="I18" s="70">
        <f t="shared" si="0"/>
        <v>0</v>
      </c>
    </row>
    <row r="19" spans="1:9" s="28" customFormat="1" ht="18" customHeight="1" x14ac:dyDescent="0.3">
      <c r="A19" s="58" t="s">
        <v>71</v>
      </c>
      <c r="B19" s="71"/>
      <c r="C19" s="72"/>
      <c r="D19" s="72"/>
      <c r="E19" s="72"/>
      <c r="F19" s="72"/>
      <c r="G19" s="72"/>
      <c r="H19" s="73"/>
      <c r="I19" s="70">
        <f t="shared" si="0"/>
        <v>0</v>
      </c>
    </row>
    <row r="20" spans="1:9" s="28" customFormat="1" ht="18" customHeight="1" x14ac:dyDescent="0.3">
      <c r="A20" s="58" t="s">
        <v>80</v>
      </c>
      <c r="B20" s="71"/>
      <c r="C20" s="72"/>
      <c r="D20" s="72"/>
      <c r="E20" s="72"/>
      <c r="F20" s="72"/>
      <c r="G20" s="72"/>
      <c r="H20" s="73"/>
      <c r="I20" s="70">
        <f t="shared" si="0"/>
        <v>0</v>
      </c>
    </row>
    <row r="21" spans="1:9" s="28" customFormat="1" ht="18" customHeight="1" x14ac:dyDescent="0.3">
      <c r="A21" s="58" t="s">
        <v>81</v>
      </c>
      <c r="B21" s="71"/>
      <c r="C21" s="72"/>
      <c r="D21" s="72"/>
      <c r="E21" s="72"/>
      <c r="F21" s="72"/>
      <c r="G21" s="72"/>
      <c r="H21" s="73"/>
      <c r="I21" s="70">
        <f t="shared" si="0"/>
        <v>0</v>
      </c>
    </row>
    <row r="22" spans="1:9" s="28" customFormat="1" ht="18" customHeight="1" thickBot="1" x14ac:dyDescent="0.35">
      <c r="A22" s="58" t="s">
        <v>71</v>
      </c>
      <c r="B22" s="74"/>
      <c r="C22" s="75"/>
      <c r="D22" s="75"/>
      <c r="E22" s="75"/>
      <c r="F22" s="75"/>
      <c r="G22" s="75"/>
      <c r="H22" s="76"/>
      <c r="I22" s="77">
        <f t="shared" si="0"/>
        <v>0</v>
      </c>
    </row>
    <row r="23" spans="1:9" s="28" customFormat="1" ht="19.5" thickBot="1" x14ac:dyDescent="0.35">
      <c r="A23" s="78"/>
      <c r="B23" s="79"/>
      <c r="C23" s="79"/>
      <c r="D23" s="79"/>
      <c r="E23" s="79"/>
      <c r="F23" s="79"/>
      <c r="G23" s="79"/>
      <c r="H23" s="79"/>
      <c r="I23" s="80"/>
    </row>
    <row r="24" spans="1:9" s="28" customFormat="1" ht="19.5" thickBot="1" x14ac:dyDescent="0.35"/>
    <row r="25" spans="1:9" s="28" customFormat="1" ht="18.75" x14ac:dyDescent="0.3">
      <c r="A25" s="83" t="s">
        <v>61</v>
      </c>
      <c r="B25" s="109"/>
      <c r="C25" s="84"/>
      <c r="E25" s="85" t="s">
        <v>62</v>
      </c>
      <c r="F25" s="86">
        <f>IF(B25=0,0,B27/B25)</f>
        <v>0</v>
      </c>
      <c r="G25" s="81"/>
      <c r="H25" s="81"/>
      <c r="I25" s="81"/>
    </row>
    <row r="26" spans="1:9" s="28" customFormat="1" ht="18.75" x14ac:dyDescent="0.3">
      <c r="A26" s="83" t="s">
        <v>63</v>
      </c>
      <c r="B26" s="110"/>
      <c r="C26" s="30"/>
      <c r="E26" s="85" t="s">
        <v>64</v>
      </c>
      <c r="F26" s="87">
        <f>IF(B25=0,0,(B27/(B25-B26-B28)))</f>
        <v>0</v>
      </c>
      <c r="G26" s="81"/>
      <c r="H26" s="81"/>
      <c r="I26" s="81"/>
    </row>
    <row r="27" spans="1:9" s="28" customFormat="1" ht="19.5" thickBot="1" x14ac:dyDescent="0.35">
      <c r="A27" s="83" t="s">
        <v>65</v>
      </c>
      <c r="B27" s="110"/>
      <c r="C27" s="30"/>
      <c r="E27" s="85" t="s">
        <v>66</v>
      </c>
      <c r="F27" s="88">
        <f>IF(B25=0,0,(B27+B26)/(B25-B28))</f>
        <v>0</v>
      </c>
      <c r="G27" s="81"/>
      <c r="H27" s="81"/>
      <c r="I27" s="81"/>
    </row>
    <row r="28" spans="1:9" s="28" customFormat="1" ht="19.5" thickBot="1" x14ac:dyDescent="0.35">
      <c r="A28" s="83" t="s">
        <v>67</v>
      </c>
      <c r="B28" s="111"/>
      <c r="C28" s="30"/>
      <c r="E28" s="30"/>
      <c r="F28" s="30"/>
      <c r="G28" s="82"/>
      <c r="H28" s="82"/>
      <c r="I28" s="81"/>
    </row>
    <row r="29" spans="1:9" s="29" customFormat="1" ht="18.75" x14ac:dyDescent="0.3">
      <c r="G29" s="84"/>
      <c r="H29" s="84"/>
      <c r="I29" s="84"/>
    </row>
    <row r="30" spans="1:9" x14ac:dyDescent="0.25">
      <c r="A30" s="107"/>
      <c r="B30" s="107"/>
      <c r="C30" s="107"/>
      <c r="D30" s="107"/>
      <c r="E30" s="107"/>
      <c r="F30" s="107"/>
      <c r="G30" s="107"/>
      <c r="H30" s="107"/>
      <c r="I30" s="107"/>
    </row>
  </sheetData>
  <sheetProtection insertColumns="0" insertRows="0" insertHyperlinks="0" deleteColumns="0" deleteRows="0"/>
  <pageMargins left="0.7" right="0.7" top="0.75" bottom="0.75" header="0.3" footer="0.3"/>
  <pageSetup scale="75" fitToHeight="0" orientation="landscape" errors="NA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ports">
    <pageSetUpPr fitToPage="1"/>
  </sheetPr>
  <dimension ref="A1:AA9"/>
  <sheetViews>
    <sheetView showGridLines="0" showRuler="0" view="pageLayout" zoomScaleNormal="100" workbookViewId="0">
      <selection activeCell="G12" sqref="G12"/>
    </sheetView>
  </sheetViews>
  <sheetFormatPr defaultRowHeight="15" x14ac:dyDescent="0.25"/>
  <cols>
    <col min="1" max="1" width="7.42578125" style="122" customWidth="1"/>
    <col min="2" max="2" width="6.42578125" style="122" customWidth="1"/>
    <col min="3" max="3" width="7.7109375" style="122" customWidth="1"/>
    <col min="4" max="5" width="6.7109375" style="122" customWidth="1"/>
    <col min="6" max="6" width="7.28515625" style="122" customWidth="1"/>
    <col min="7" max="7" width="10" style="122" customWidth="1"/>
    <col min="8" max="8" width="9.28515625" style="122" customWidth="1"/>
    <col min="9" max="9" width="5.7109375" style="122" customWidth="1"/>
    <col min="10" max="10" width="5.28515625" style="122" customWidth="1"/>
    <col min="11" max="11" width="4.7109375" style="122" customWidth="1"/>
    <col min="12" max="12" width="5.140625" style="122" customWidth="1"/>
    <col min="13" max="13" width="4.7109375" style="122" customWidth="1"/>
    <col min="14" max="15" width="6" style="122" customWidth="1"/>
    <col min="16" max="16" width="7.7109375" style="122" customWidth="1"/>
    <col min="17" max="17" width="6.85546875" style="122" customWidth="1"/>
    <col min="18" max="18" width="8" style="122" customWidth="1"/>
    <col min="19" max="19" width="9.140625" style="122" customWidth="1"/>
    <col min="20" max="20" width="10" style="122" customWidth="1"/>
    <col min="21" max="22" width="9.85546875" style="122" customWidth="1"/>
    <col min="23" max="23" width="10" style="122" customWidth="1"/>
    <col min="24" max="24" width="8.28515625" style="122" customWidth="1"/>
    <col min="25" max="25" width="9" style="122" customWidth="1"/>
    <col min="26" max="26" width="8.42578125" style="122" customWidth="1"/>
    <col min="27" max="27" width="7.28515625" style="122" customWidth="1"/>
    <col min="28" max="16384" width="9.140625" style="122"/>
  </cols>
  <sheetData>
    <row r="1" spans="1:27" ht="19.5" customHeight="1" thickBot="1" x14ac:dyDescent="0.3">
      <c r="A1" s="215" t="s">
        <v>153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5"/>
      <c r="P1" s="215"/>
      <c r="Q1" s="215"/>
      <c r="R1" s="215"/>
      <c r="S1" s="215" t="s">
        <v>152</v>
      </c>
      <c r="T1" s="215"/>
      <c r="U1" s="215"/>
      <c r="V1" s="215"/>
      <c r="W1" s="215"/>
      <c r="X1" s="215"/>
      <c r="Y1" s="215"/>
      <c r="Z1" s="215"/>
      <c r="AA1" s="215"/>
    </row>
    <row r="2" spans="1:27" x14ac:dyDescent="0.25">
      <c r="A2" s="213" t="s">
        <v>118</v>
      </c>
      <c r="B2" s="213"/>
      <c r="C2" s="217"/>
      <c r="D2" s="217"/>
      <c r="S2" s="213" t="s">
        <v>163</v>
      </c>
      <c r="T2" s="213"/>
      <c r="U2" s="160"/>
      <c r="V2" s="160"/>
    </row>
    <row r="3" spans="1:27" ht="15" customHeight="1" x14ac:dyDescent="0.25">
      <c r="A3" s="213" t="s">
        <v>119</v>
      </c>
      <c r="B3" s="213"/>
      <c r="C3" s="217"/>
      <c r="D3" s="217"/>
      <c r="S3" s="216" t="s">
        <v>164</v>
      </c>
      <c r="T3" s="216"/>
      <c r="U3" s="216"/>
      <c r="V3" s="216"/>
      <c r="W3" s="216"/>
      <c r="X3" s="216"/>
      <c r="Y3" s="216"/>
      <c r="Z3" s="216"/>
      <c r="AA3" s="216"/>
    </row>
    <row r="4" spans="1:27" ht="15.75" thickBot="1" x14ac:dyDescent="0.3">
      <c r="B4" s="206"/>
      <c r="C4" s="207"/>
      <c r="D4" s="207"/>
      <c r="E4" s="207"/>
      <c r="F4" s="207"/>
      <c r="G4" s="207"/>
      <c r="H4" s="207"/>
      <c r="I4" s="207"/>
      <c r="J4" s="207"/>
    </row>
    <row r="5" spans="1:27" ht="32.25" customHeight="1" thickBot="1" x14ac:dyDescent="0.3">
      <c r="A5" s="200" t="s">
        <v>120</v>
      </c>
      <c r="B5" s="187" t="s">
        <v>86</v>
      </c>
      <c r="C5" s="176" t="s">
        <v>87</v>
      </c>
      <c r="D5" s="201" t="s">
        <v>88</v>
      </c>
      <c r="E5" s="187" t="s">
        <v>89</v>
      </c>
      <c r="F5" s="176" t="s">
        <v>121</v>
      </c>
      <c r="G5" s="176" t="s">
        <v>151</v>
      </c>
      <c r="H5" s="188" t="s">
        <v>122</v>
      </c>
      <c r="I5" s="189" t="s">
        <v>123</v>
      </c>
      <c r="J5" s="177" t="s">
        <v>124</v>
      </c>
      <c r="K5" s="177" t="s">
        <v>125</v>
      </c>
      <c r="L5" s="177" t="s">
        <v>126</v>
      </c>
      <c r="M5" s="177" t="s">
        <v>127</v>
      </c>
      <c r="N5" s="177" t="s">
        <v>128</v>
      </c>
      <c r="O5" s="191" t="s">
        <v>129</v>
      </c>
      <c r="P5" s="190" t="s">
        <v>130</v>
      </c>
      <c r="Q5" s="176" t="s">
        <v>131</v>
      </c>
      <c r="R5" s="178" t="s">
        <v>16053</v>
      </c>
      <c r="S5" s="169" t="s">
        <v>162</v>
      </c>
      <c r="T5" s="152" t="s">
        <v>154</v>
      </c>
      <c r="U5" s="151" t="s">
        <v>155</v>
      </c>
      <c r="V5" s="151" t="s">
        <v>156</v>
      </c>
      <c r="W5" s="151" t="s">
        <v>157</v>
      </c>
      <c r="X5" s="151" t="s">
        <v>158</v>
      </c>
      <c r="Y5" s="151" t="s">
        <v>159</v>
      </c>
      <c r="Z5" s="151" t="s">
        <v>160</v>
      </c>
      <c r="AA5" s="151" t="s">
        <v>161</v>
      </c>
    </row>
    <row r="6" spans="1:27" ht="15.75" thickBot="1" x14ac:dyDescent="0.3">
      <c r="A6" s="185" t="s">
        <v>11</v>
      </c>
      <c r="B6" s="197"/>
      <c r="C6" s="170"/>
      <c r="D6" s="198">
        <f>Production[Orders Issued]-Production[RS/Dups Other]</f>
        <v>0</v>
      </c>
      <c r="E6" s="197"/>
      <c r="F6" s="171">
        <f>IF(Production[[#This Row],[Net Issued]]=0,1,Production[[#This Row],[Saves (Ct)]]/Production[[#This Row],[Net Issued]])</f>
        <v>1</v>
      </c>
      <c r="G6" s="172"/>
      <c r="H6" s="199" t="str">
        <f>IF(Production[[#This Row],[Saves (Ct)]]=0,"N/A",Production[[#This Row],[Saves ($)]]/Production[[#This Row],[Saves (Ct)]])</f>
        <v>N/A</v>
      </c>
      <c r="I6" s="192"/>
      <c r="J6" s="173"/>
      <c r="K6" s="174"/>
      <c r="L6" s="173"/>
      <c r="M6" s="173"/>
      <c r="N6" s="173"/>
      <c r="O6" s="195"/>
      <c r="P6" s="186">
        <f>Production[Net Issued]-Production[Saves (Ct)]</f>
        <v>0</v>
      </c>
      <c r="Q6" s="170">
        <v>0</v>
      </c>
      <c r="R6" s="175">
        <f>IF(Production[[#This Row],[To Be Disco''d]]=0,1,Production[[#This Row],[Discos Done]]/Production[[#This Row],[To Be Disco''d]])</f>
        <v>1</v>
      </c>
      <c r="S6" s="150">
        <v>11111</v>
      </c>
      <c r="T6" s="153"/>
      <c r="U6" s="154"/>
      <c r="V6" s="155"/>
      <c r="W6" s="156"/>
      <c r="X6" s="157"/>
      <c r="Y6" s="158"/>
      <c r="Z6" s="159"/>
      <c r="AA6" s="156">
        <f t="shared" ref="AA6" si="0">SUM(V6:Z6)</f>
        <v>0</v>
      </c>
    </row>
    <row r="7" spans="1:27" ht="15.75" thickBot="1" x14ac:dyDescent="0.3">
      <c r="A7" s="202" t="s">
        <v>60</v>
      </c>
      <c r="B7" s="203">
        <f>SUBTOTAL(109,Production[Orders Issued])</f>
        <v>0</v>
      </c>
      <c r="C7" s="179">
        <f>SUBTOTAL(109,Production[RS/Dups Other])</f>
        <v>0</v>
      </c>
      <c r="D7" s="204">
        <f>Production[[#Totals],[Orders Issued]]-Production[[#Totals],[RS/Dups Other]]</f>
        <v>0</v>
      </c>
      <c r="E7" s="203">
        <f>SUBTOTAL(109,Production[Saves (Ct)])</f>
        <v>0</v>
      </c>
      <c r="F7" s="180">
        <f>IF(Production[[#Totals],[Net Issued]]=0,1,Production[[#Totals],[Saves (Ct)]]/Production[[#Totals],[Net Issued]])</f>
        <v>1</v>
      </c>
      <c r="G7" s="181">
        <f>SUBTOTAL(109,Production[Saves ($)])</f>
        <v>0</v>
      </c>
      <c r="H7" s="205" t="str">
        <f>IF(Production[[#Totals],[Saves (Ct)]]=0,"N/A",Production[[#Totals],[Saves ($)]]/Production[[#Totals],[Saves (Ct)]])</f>
        <v>N/A</v>
      </c>
      <c r="I7" s="193">
        <f>SUBTOTAL(109,Production[EQ Assn''d])</f>
        <v>0</v>
      </c>
      <c r="J7" s="182">
        <f>SUBTOTAL(109,Production[CPE Ret''d])</f>
        <v>0</v>
      </c>
      <c r="K7" s="183" t="s">
        <v>253</v>
      </c>
      <c r="L7" s="182">
        <f>SUBTOTAL(109,Production[Prem Dig])</f>
        <v>0</v>
      </c>
      <c r="M7" s="182">
        <f>SUBTOTAL(109,Production[Std Dig])</f>
        <v>0</v>
      </c>
      <c r="N7" s="182">
        <f>SUBTOTAL(109,Production[eMTA   MTA])</f>
        <v>0</v>
      </c>
      <c r="O7" s="196">
        <f>SUBTOTAL(109,Production[Home Sec])</f>
        <v>0</v>
      </c>
      <c r="P7" s="194">
        <f>SUBTOTAL(109,Production[To Be Disco''d])</f>
        <v>0</v>
      </c>
      <c r="Q7" s="179">
        <f>SUBTOTAL(109,Production[Discos Done])</f>
        <v>0</v>
      </c>
      <c r="R7" s="184">
        <f>IF(Production[[#Totals],[To Be Disco''d]]=0,1,Production[[#Totals],[Discos Done]]/Production[[#Totals],[To Be Disco''d]])</f>
        <v>1</v>
      </c>
      <c r="S7" s="143" t="s">
        <v>60</v>
      </c>
      <c r="T7" s="144">
        <f>SUBTOTAL(104,Production7[Issue        Date])</f>
        <v>0</v>
      </c>
      <c r="U7" s="145">
        <f>SUBTOTAL(104,Production7[Turn In       Date])</f>
        <v>0</v>
      </c>
      <c r="V7" s="146">
        <f>SUBTOTAL(109,Production7[Premium Digital])</f>
        <v>0</v>
      </c>
      <c r="W7" s="144">
        <f>SUBTOTAL(109,Production7[Standard  Digital])</f>
        <v>0</v>
      </c>
      <c r="X7" s="147">
        <f>SUBTOTAL(109,Production7[eMTA      MTA])</f>
        <v>0</v>
      </c>
      <c r="Y7" s="148">
        <f>SUBTOTAL(109,Production7[Modem/ Router])</f>
        <v>0</v>
      </c>
      <c r="Z7" s="149">
        <f>SUBTOTAL(109,Production7[Home Security])</f>
        <v>0</v>
      </c>
      <c r="AA7" s="144">
        <f>SUBTOTAL(109,Production7[Total])</f>
        <v>0</v>
      </c>
    </row>
    <row r="9" spans="1:27" x14ac:dyDescent="0.25">
      <c r="B9" s="208" t="s">
        <v>16054</v>
      </c>
      <c r="C9" s="209"/>
      <c r="D9" s="209"/>
      <c r="E9" s="209"/>
      <c r="F9" s="209"/>
      <c r="G9" s="209"/>
      <c r="H9" s="209"/>
      <c r="I9" s="209"/>
      <c r="J9" s="209"/>
    </row>
  </sheetData>
  <sheetProtection sort="0" autoFilter="0" pivotTables="0"/>
  <mergeCells count="8">
    <mergeCell ref="S1:AA1"/>
    <mergeCell ref="S2:T2"/>
    <mergeCell ref="S3:AA3"/>
    <mergeCell ref="A1:R1"/>
    <mergeCell ref="A2:B2"/>
    <mergeCell ref="A3:B3"/>
    <mergeCell ref="C2:D2"/>
    <mergeCell ref="C3:D3"/>
  </mergeCells>
  <pageMargins left="0.7" right="0.7" top="0.75" bottom="0.75" header="0.3" footer="0.3"/>
  <pageSetup fitToWidth="2" fitToHeight="0" orientation="landscape" r:id="rId1"/>
  <headerFooter>
    <oddHeader>&amp;L&amp;"-,Bold"Weekly Reports</oddHeader>
  </headerFooter>
  <colBreaks count="1" manualBreakCount="1">
    <brk id="18" max="1048575" man="1"/>
  </colBreak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racking"/>
  <dimension ref="A1"/>
  <sheetViews>
    <sheetView workbookViewId="0">
      <selection activeCell="G26" sqref="G26"/>
    </sheetView>
  </sheetViews>
  <sheetFormatPr defaultRowHeight="15" x14ac:dyDescent="0.25"/>
  <cols>
    <col min="1" max="16384" width="9.140625" style="25"/>
  </cols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502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855468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W1" s="122" t="s">
        <v>188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230</v>
      </c>
      <c r="B2" s="122" t="s">
        <v>231</v>
      </c>
      <c r="C2" s="122" t="s">
        <v>232</v>
      </c>
      <c r="D2" s="122" t="s">
        <v>233</v>
      </c>
      <c r="E2" s="123">
        <v>42219</v>
      </c>
      <c r="F2" s="122" t="s">
        <v>234</v>
      </c>
      <c r="G2" s="122" t="s">
        <v>235</v>
      </c>
      <c r="H2" s="122" t="s">
        <v>236</v>
      </c>
      <c r="I2" s="122" t="s">
        <v>237</v>
      </c>
      <c r="K2" s="122" t="s">
        <v>238</v>
      </c>
      <c r="L2" s="122" t="s">
        <v>239</v>
      </c>
      <c r="M2" s="122" t="s">
        <v>240</v>
      </c>
      <c r="O2" s="141" t="s">
        <v>241</v>
      </c>
      <c r="P2" s="141" t="s">
        <v>242</v>
      </c>
      <c r="Q2" s="122" t="s">
        <v>243</v>
      </c>
      <c r="R2" s="142">
        <v>50</v>
      </c>
      <c r="S2" s="122" t="s">
        <v>244</v>
      </c>
      <c r="U2" s="122" t="s">
        <v>245</v>
      </c>
      <c r="W2" s="122" t="s">
        <v>246</v>
      </c>
      <c r="X2" s="122" t="s">
        <v>247</v>
      </c>
      <c r="Y2" s="141" t="s">
        <v>248</v>
      </c>
      <c r="Z2" s="122" t="s">
        <v>249</v>
      </c>
      <c r="AB2" s="122" t="s">
        <v>250</v>
      </c>
      <c r="AD2" s="122" t="s">
        <v>250</v>
      </c>
      <c r="AE2" s="122" t="s">
        <v>235</v>
      </c>
      <c r="AF2" s="122" t="s">
        <v>251</v>
      </c>
      <c r="AG2" s="122" t="s">
        <v>252</v>
      </c>
      <c r="AH2" s="122" t="s">
        <v>253</v>
      </c>
      <c r="AI2" s="122" t="s">
        <v>254</v>
      </c>
      <c r="AJ2" s="122" t="s">
        <v>255</v>
      </c>
      <c r="AK2" s="122" t="s">
        <v>256</v>
      </c>
      <c r="AL2" s="122" t="s">
        <v>253</v>
      </c>
      <c r="AM2" s="122" t="s">
        <v>253</v>
      </c>
      <c r="AN2" s="122" t="s">
        <v>253</v>
      </c>
      <c r="AO2" s="141" t="s">
        <v>247</v>
      </c>
      <c r="AP2" s="141" t="s">
        <v>247</v>
      </c>
      <c r="AQ2" s="141" t="s">
        <v>247</v>
      </c>
      <c r="AR2" s="141" t="s">
        <v>253</v>
      </c>
      <c r="AS2" s="141" t="s">
        <v>257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41" t="s">
        <v>253</v>
      </c>
      <c r="AZ2" s="122" t="s">
        <v>261</v>
      </c>
      <c r="BA2" s="122" t="s">
        <v>262</v>
      </c>
      <c r="BB2" s="122" t="s">
        <v>262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50</v>
      </c>
      <c r="BJ2" s="123">
        <v>42220</v>
      </c>
      <c r="BK2" s="139" t="s">
        <v>264</v>
      </c>
      <c r="BL2" s="140">
        <v>366.19</v>
      </c>
      <c r="BM2" s="122">
        <v>32</v>
      </c>
    </row>
    <row r="3" spans="1:66" x14ac:dyDescent="0.25">
      <c r="A3" s="122" t="s">
        <v>230</v>
      </c>
      <c r="B3" s="122" t="s">
        <v>265</v>
      </c>
      <c r="C3" s="122" t="s">
        <v>266</v>
      </c>
      <c r="D3" s="122" t="s">
        <v>267</v>
      </c>
      <c r="E3" s="123">
        <v>42219</v>
      </c>
      <c r="F3" s="122" t="s">
        <v>268</v>
      </c>
      <c r="G3" s="122" t="s">
        <v>235</v>
      </c>
      <c r="H3" s="122" t="s">
        <v>269</v>
      </c>
      <c r="I3" s="122" t="s">
        <v>270</v>
      </c>
      <c r="K3" s="122" t="s">
        <v>238</v>
      </c>
      <c r="L3" s="122" t="s">
        <v>271</v>
      </c>
      <c r="M3" s="122" t="s">
        <v>272</v>
      </c>
      <c r="O3" s="141" t="s">
        <v>273</v>
      </c>
      <c r="P3" s="141" t="s">
        <v>274</v>
      </c>
      <c r="Q3" s="122" t="s">
        <v>243</v>
      </c>
      <c r="R3" s="142">
        <v>53</v>
      </c>
      <c r="S3" s="122" t="s">
        <v>275</v>
      </c>
      <c r="U3" s="122" t="s">
        <v>245</v>
      </c>
      <c r="V3" s="122" t="s">
        <v>276</v>
      </c>
      <c r="W3" s="122" t="s">
        <v>277</v>
      </c>
      <c r="X3" s="122" t="s">
        <v>278</v>
      </c>
      <c r="Y3" s="141" t="s">
        <v>279</v>
      </c>
      <c r="Z3" s="122" t="s">
        <v>280</v>
      </c>
      <c r="AA3" s="141" t="s">
        <v>281</v>
      </c>
      <c r="AB3" s="122" t="s">
        <v>282</v>
      </c>
      <c r="AC3" s="141" t="s">
        <v>283</v>
      </c>
      <c r="AD3" s="122" t="s">
        <v>284</v>
      </c>
      <c r="AE3" s="122" t="s">
        <v>235</v>
      </c>
      <c r="AF3" s="122" t="s">
        <v>285</v>
      </c>
      <c r="AG3" s="122" t="s">
        <v>252</v>
      </c>
      <c r="AH3" s="122" t="s">
        <v>253</v>
      </c>
      <c r="AI3" s="122" t="s">
        <v>286</v>
      </c>
      <c r="AJ3" s="122" t="s">
        <v>287</v>
      </c>
      <c r="AK3" s="122" t="s">
        <v>288</v>
      </c>
      <c r="AL3" s="122" t="s">
        <v>289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253</v>
      </c>
      <c r="AS3" s="141" t="s">
        <v>257</v>
      </c>
      <c r="AT3" s="141" t="s">
        <v>257</v>
      </c>
      <c r="AU3" s="141" t="s">
        <v>258</v>
      </c>
      <c r="AV3" s="122" t="s">
        <v>259</v>
      </c>
      <c r="AW3" s="122" t="s">
        <v>260</v>
      </c>
      <c r="AY3" s="141" t="s">
        <v>253</v>
      </c>
      <c r="AZ3" s="122" t="s">
        <v>290</v>
      </c>
      <c r="BA3" s="122" t="s">
        <v>290</v>
      </c>
      <c r="BB3" s="122" t="s">
        <v>290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53</v>
      </c>
      <c r="BJ3" s="123">
        <v>42219</v>
      </c>
      <c r="BK3" s="139" t="s">
        <v>264</v>
      </c>
      <c r="BL3" s="140">
        <v>475.24</v>
      </c>
      <c r="BM3" s="122">
        <v>32</v>
      </c>
    </row>
    <row r="4" spans="1:66" x14ac:dyDescent="0.25">
      <c r="A4" s="122" t="s">
        <v>230</v>
      </c>
      <c r="B4" s="122" t="s">
        <v>291</v>
      </c>
      <c r="C4" s="122" t="s">
        <v>292</v>
      </c>
      <c r="D4" s="122" t="s">
        <v>293</v>
      </c>
      <c r="E4" s="123">
        <v>42219</v>
      </c>
      <c r="F4" s="122" t="s">
        <v>294</v>
      </c>
      <c r="G4" s="122" t="s">
        <v>235</v>
      </c>
      <c r="H4" s="122" t="s">
        <v>295</v>
      </c>
      <c r="I4" s="122" t="s">
        <v>296</v>
      </c>
      <c r="K4" s="122" t="s">
        <v>238</v>
      </c>
      <c r="L4" s="122" t="s">
        <v>297</v>
      </c>
      <c r="M4" s="122" t="s">
        <v>298</v>
      </c>
      <c r="O4" s="141" t="s">
        <v>299</v>
      </c>
      <c r="P4" s="141" t="s">
        <v>300</v>
      </c>
      <c r="Q4" s="122" t="s">
        <v>243</v>
      </c>
      <c r="R4" s="142">
        <v>64</v>
      </c>
      <c r="S4" s="122" t="s">
        <v>301</v>
      </c>
      <c r="U4" s="122" t="s">
        <v>245</v>
      </c>
      <c r="W4" s="122" t="s">
        <v>246</v>
      </c>
      <c r="X4" s="122" t="s">
        <v>302</v>
      </c>
      <c r="Y4" s="141" t="s">
        <v>279</v>
      </c>
      <c r="Z4" s="122" t="s">
        <v>303</v>
      </c>
      <c r="AA4" s="141" t="s">
        <v>304</v>
      </c>
      <c r="AB4" s="122" t="s">
        <v>305</v>
      </c>
      <c r="AC4" s="141" t="s">
        <v>306</v>
      </c>
      <c r="AD4" s="122" t="s">
        <v>307</v>
      </c>
      <c r="AE4" s="122" t="s">
        <v>235</v>
      </c>
      <c r="AF4" s="122" t="s">
        <v>308</v>
      </c>
      <c r="AG4" s="122" t="s">
        <v>252</v>
      </c>
      <c r="AH4" s="122" t="s">
        <v>253</v>
      </c>
      <c r="AI4" s="122" t="s">
        <v>309</v>
      </c>
      <c r="AJ4" s="122" t="s">
        <v>253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247</v>
      </c>
      <c r="AP4" s="141" t="s">
        <v>247</v>
      </c>
      <c r="AQ4" s="141" t="s">
        <v>247</v>
      </c>
      <c r="AR4" s="141" t="s">
        <v>253</v>
      </c>
      <c r="AS4" s="141" t="s">
        <v>257</v>
      </c>
      <c r="AT4" s="141" t="s">
        <v>257</v>
      </c>
      <c r="AU4" s="141" t="s">
        <v>258</v>
      </c>
      <c r="AV4" s="122" t="s">
        <v>259</v>
      </c>
      <c r="AW4" s="122" t="s">
        <v>260</v>
      </c>
      <c r="AY4" s="141" t="s">
        <v>253</v>
      </c>
      <c r="AZ4" s="122" t="s">
        <v>310</v>
      </c>
      <c r="BA4" s="122" t="s">
        <v>262</v>
      </c>
      <c r="BB4" s="122" t="s">
        <v>311</v>
      </c>
      <c r="BC4" s="141" t="s">
        <v>312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64</v>
      </c>
      <c r="BJ4" s="123">
        <v>42220</v>
      </c>
      <c r="BK4" s="139" t="s">
        <v>264</v>
      </c>
      <c r="BL4" s="140">
        <v>163</v>
      </c>
      <c r="BM4" s="122">
        <v>32</v>
      </c>
    </row>
    <row r="5" spans="1:66" x14ac:dyDescent="0.25">
      <c r="A5" s="122" t="s">
        <v>230</v>
      </c>
      <c r="B5" s="122" t="s">
        <v>313</v>
      </c>
      <c r="C5" s="122" t="s">
        <v>314</v>
      </c>
      <c r="D5" s="122" t="s">
        <v>315</v>
      </c>
      <c r="E5" s="123">
        <v>42219</v>
      </c>
      <c r="F5" s="122" t="s">
        <v>316</v>
      </c>
      <c r="G5" s="122" t="s">
        <v>235</v>
      </c>
      <c r="H5" s="122" t="s">
        <v>317</v>
      </c>
      <c r="I5" s="122" t="s">
        <v>318</v>
      </c>
      <c r="J5" s="122" t="s">
        <v>319</v>
      </c>
      <c r="K5" s="122" t="s">
        <v>238</v>
      </c>
      <c r="L5" s="122" t="s">
        <v>320</v>
      </c>
      <c r="M5" s="122" t="s">
        <v>321</v>
      </c>
      <c r="O5" s="141" t="s">
        <v>322</v>
      </c>
      <c r="P5" s="141" t="s">
        <v>323</v>
      </c>
      <c r="Q5" s="122" t="s">
        <v>243</v>
      </c>
      <c r="R5" s="142">
        <v>65</v>
      </c>
      <c r="S5" s="122" t="s">
        <v>324</v>
      </c>
      <c r="U5" s="122" t="s">
        <v>245</v>
      </c>
      <c r="W5" s="122" t="s">
        <v>246</v>
      </c>
      <c r="X5" s="122" t="s">
        <v>325</v>
      </c>
      <c r="Y5" s="141" t="s">
        <v>326</v>
      </c>
      <c r="Z5" s="122" t="s">
        <v>327</v>
      </c>
      <c r="AA5" s="141" t="s">
        <v>328</v>
      </c>
      <c r="AB5" s="122" t="s">
        <v>329</v>
      </c>
      <c r="AC5" s="141" t="s">
        <v>330</v>
      </c>
      <c r="AD5" s="122" t="s">
        <v>331</v>
      </c>
      <c r="AE5" s="122" t="s">
        <v>235</v>
      </c>
      <c r="AF5" s="122" t="s">
        <v>332</v>
      </c>
      <c r="AG5" s="122" t="s">
        <v>252</v>
      </c>
      <c r="AH5" s="122" t="s">
        <v>253</v>
      </c>
      <c r="AI5" s="122" t="s">
        <v>333</v>
      </c>
      <c r="AJ5" s="122" t="s">
        <v>334</v>
      </c>
      <c r="AK5" s="122" t="s">
        <v>335</v>
      </c>
      <c r="AL5" s="122" t="s">
        <v>253</v>
      </c>
      <c r="AM5" s="122" t="s">
        <v>253</v>
      </c>
      <c r="AN5" s="122" t="s">
        <v>253</v>
      </c>
      <c r="AO5" s="141" t="s">
        <v>247</v>
      </c>
      <c r="AP5" s="141" t="s">
        <v>247</v>
      </c>
      <c r="AQ5" s="141" t="s">
        <v>253</v>
      </c>
      <c r="AR5" s="141" t="s">
        <v>253</v>
      </c>
      <c r="AS5" s="141" t="s">
        <v>257</v>
      </c>
      <c r="AT5" s="141" t="s">
        <v>258</v>
      </c>
      <c r="AU5" s="141" t="s">
        <v>258</v>
      </c>
      <c r="AV5" s="122" t="s">
        <v>259</v>
      </c>
      <c r="AW5" s="122" t="s">
        <v>260</v>
      </c>
      <c r="AX5" s="141" t="s">
        <v>336</v>
      </c>
      <c r="AY5" s="141" t="s">
        <v>247</v>
      </c>
      <c r="AZ5" s="122" t="s">
        <v>337</v>
      </c>
      <c r="BA5" s="122" t="s">
        <v>262</v>
      </c>
      <c r="BB5" s="122" t="s">
        <v>338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65</v>
      </c>
      <c r="BJ5" s="123">
        <v>42220</v>
      </c>
      <c r="BK5" s="139" t="s">
        <v>264</v>
      </c>
      <c r="BL5" s="140">
        <v>268.35000000000002</v>
      </c>
      <c r="BM5" s="122">
        <v>32</v>
      </c>
    </row>
    <row r="6" spans="1:66" x14ac:dyDescent="0.25">
      <c r="A6" s="122" t="s">
        <v>230</v>
      </c>
      <c r="B6" s="122" t="s">
        <v>339</v>
      </c>
      <c r="C6" s="122" t="s">
        <v>340</v>
      </c>
      <c r="D6" s="122" t="s">
        <v>341</v>
      </c>
      <c r="E6" s="123">
        <v>42219</v>
      </c>
      <c r="F6" s="122" t="s">
        <v>342</v>
      </c>
      <c r="G6" s="122" t="s">
        <v>235</v>
      </c>
      <c r="H6" s="122" t="s">
        <v>343</v>
      </c>
      <c r="I6" s="122" t="s">
        <v>344</v>
      </c>
      <c r="J6" s="122" t="s">
        <v>345</v>
      </c>
      <c r="K6" s="122" t="s">
        <v>238</v>
      </c>
      <c r="L6" s="122" t="s">
        <v>346</v>
      </c>
      <c r="M6" s="122" t="s">
        <v>347</v>
      </c>
      <c r="O6" s="141" t="s">
        <v>348</v>
      </c>
      <c r="P6" s="141" t="s">
        <v>349</v>
      </c>
      <c r="Q6" s="122" t="s">
        <v>243</v>
      </c>
      <c r="R6" s="142">
        <v>74</v>
      </c>
      <c r="S6" s="122" t="s">
        <v>350</v>
      </c>
      <c r="U6" s="122" t="s">
        <v>245</v>
      </c>
      <c r="V6" s="122" t="s">
        <v>351</v>
      </c>
      <c r="W6" s="122" t="s">
        <v>277</v>
      </c>
      <c r="X6" s="122" t="s">
        <v>325</v>
      </c>
      <c r="Y6" s="141" t="s">
        <v>352</v>
      </c>
      <c r="Z6" s="122" t="s">
        <v>353</v>
      </c>
      <c r="AA6" s="141" t="s">
        <v>354</v>
      </c>
      <c r="AB6" s="122" t="s">
        <v>355</v>
      </c>
      <c r="AC6" s="141" t="s">
        <v>356</v>
      </c>
      <c r="AD6" s="122" t="s">
        <v>357</v>
      </c>
      <c r="AE6" s="122" t="s">
        <v>235</v>
      </c>
      <c r="AF6" s="122" t="s">
        <v>358</v>
      </c>
      <c r="AG6" s="122" t="s">
        <v>359</v>
      </c>
      <c r="AH6" s="122" t="s">
        <v>253</v>
      </c>
      <c r="AI6" s="122" t="s">
        <v>360</v>
      </c>
      <c r="AJ6" s="122" t="s">
        <v>253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253</v>
      </c>
      <c r="AP6" s="141" t="s">
        <v>253</v>
      </c>
      <c r="AQ6" s="141" t="s">
        <v>247</v>
      </c>
      <c r="AR6" s="141" t="s">
        <v>247</v>
      </c>
      <c r="AS6" s="141" t="s">
        <v>361</v>
      </c>
      <c r="AT6" s="141" t="s">
        <v>257</v>
      </c>
      <c r="AU6" s="141" t="s">
        <v>257</v>
      </c>
      <c r="AV6" s="122" t="s">
        <v>259</v>
      </c>
      <c r="AW6" s="122" t="s">
        <v>260</v>
      </c>
      <c r="AX6" s="141" t="s">
        <v>362</v>
      </c>
      <c r="AY6" s="141" t="s">
        <v>247</v>
      </c>
      <c r="AZ6" s="122" t="s">
        <v>363</v>
      </c>
      <c r="BA6" s="122" t="s">
        <v>262</v>
      </c>
      <c r="BB6" s="122" t="s">
        <v>262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74</v>
      </c>
      <c r="BJ6" s="123">
        <v>42219</v>
      </c>
      <c r="BK6" s="139" t="s">
        <v>264</v>
      </c>
      <c r="BL6" s="140">
        <v>135</v>
      </c>
      <c r="BM6" s="122">
        <v>32</v>
      </c>
    </row>
    <row r="7" spans="1:66" x14ac:dyDescent="0.25">
      <c r="A7" s="122" t="s">
        <v>230</v>
      </c>
      <c r="B7" s="122" t="s">
        <v>364</v>
      </c>
      <c r="C7" s="122" t="s">
        <v>365</v>
      </c>
      <c r="D7" s="122" t="s">
        <v>366</v>
      </c>
      <c r="E7" s="123">
        <v>42219</v>
      </c>
      <c r="F7" s="122" t="s">
        <v>367</v>
      </c>
      <c r="G7" s="122" t="s">
        <v>235</v>
      </c>
      <c r="H7" s="122" t="s">
        <v>368</v>
      </c>
      <c r="I7" s="122" t="s">
        <v>369</v>
      </c>
      <c r="J7" s="122" t="s">
        <v>370</v>
      </c>
      <c r="K7" s="122" t="s">
        <v>238</v>
      </c>
      <c r="L7" s="122" t="s">
        <v>371</v>
      </c>
      <c r="M7" s="122" t="s">
        <v>372</v>
      </c>
      <c r="O7" s="141" t="s">
        <v>373</v>
      </c>
      <c r="P7" s="141" t="s">
        <v>374</v>
      </c>
      <c r="Q7" s="122" t="s">
        <v>243</v>
      </c>
      <c r="R7" s="142">
        <v>76</v>
      </c>
      <c r="S7" s="122" t="s">
        <v>375</v>
      </c>
      <c r="U7" s="122" t="s">
        <v>245</v>
      </c>
      <c r="V7" s="122" t="s">
        <v>276</v>
      </c>
      <c r="W7" s="122" t="s">
        <v>277</v>
      </c>
      <c r="X7" s="122" t="s">
        <v>376</v>
      </c>
      <c r="Y7" s="141" t="s">
        <v>352</v>
      </c>
      <c r="Z7" s="122" t="s">
        <v>377</v>
      </c>
      <c r="AA7" s="141" t="s">
        <v>378</v>
      </c>
      <c r="AB7" s="122" t="s">
        <v>379</v>
      </c>
      <c r="AD7" s="122" t="s">
        <v>250</v>
      </c>
      <c r="AE7" s="122" t="s">
        <v>235</v>
      </c>
      <c r="AF7" s="122" t="s">
        <v>380</v>
      </c>
      <c r="AG7" s="122" t="s">
        <v>380</v>
      </c>
      <c r="AH7" s="122" t="s">
        <v>253</v>
      </c>
      <c r="AI7" s="122" t="s">
        <v>253</v>
      </c>
      <c r="AJ7" s="122" t="s">
        <v>253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247</v>
      </c>
      <c r="AQ7" s="141" t="s">
        <v>247</v>
      </c>
      <c r="AR7" s="141" t="s">
        <v>253</v>
      </c>
      <c r="AS7" s="141" t="s">
        <v>257</v>
      </c>
      <c r="AT7" s="141" t="s">
        <v>257</v>
      </c>
      <c r="AU7" s="141" t="s">
        <v>258</v>
      </c>
      <c r="AV7" s="122" t="s">
        <v>259</v>
      </c>
      <c r="AW7" s="122" t="s">
        <v>260</v>
      </c>
      <c r="AY7" s="141" t="s">
        <v>253</v>
      </c>
      <c r="AZ7" s="122" t="s">
        <v>381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76</v>
      </c>
      <c r="BJ7" s="123">
        <v>42219</v>
      </c>
      <c r="BK7" s="139" t="s">
        <v>264</v>
      </c>
      <c r="BL7" s="140">
        <v>129.94999999999999</v>
      </c>
      <c r="BM7" s="122">
        <v>32</v>
      </c>
    </row>
    <row r="8" spans="1:66" x14ac:dyDescent="0.25">
      <c r="A8" s="122" t="s">
        <v>230</v>
      </c>
      <c r="B8" s="122" t="s">
        <v>382</v>
      </c>
      <c r="C8" s="122" t="s">
        <v>383</v>
      </c>
      <c r="D8" s="122" t="s">
        <v>384</v>
      </c>
      <c r="E8" s="123">
        <v>42219</v>
      </c>
      <c r="F8" s="122" t="s">
        <v>385</v>
      </c>
      <c r="G8" s="122" t="s">
        <v>235</v>
      </c>
      <c r="H8" s="122" t="s">
        <v>386</v>
      </c>
      <c r="I8" s="122" t="s">
        <v>387</v>
      </c>
      <c r="J8" s="122" t="s">
        <v>370</v>
      </c>
      <c r="K8" s="122" t="s">
        <v>238</v>
      </c>
      <c r="L8" s="122" t="s">
        <v>388</v>
      </c>
      <c r="M8" s="122" t="s">
        <v>389</v>
      </c>
      <c r="O8" s="141" t="s">
        <v>390</v>
      </c>
      <c r="P8" s="141" t="s">
        <v>391</v>
      </c>
      <c r="Q8" s="122" t="s">
        <v>243</v>
      </c>
      <c r="R8" s="142">
        <v>77</v>
      </c>
      <c r="S8" s="122" t="s">
        <v>392</v>
      </c>
      <c r="U8" s="122" t="s">
        <v>245</v>
      </c>
      <c r="V8" s="122" t="s">
        <v>276</v>
      </c>
      <c r="W8" s="122" t="s">
        <v>277</v>
      </c>
      <c r="X8" s="122" t="s">
        <v>325</v>
      </c>
      <c r="Y8" s="141" t="s">
        <v>393</v>
      </c>
      <c r="Z8" s="122" t="s">
        <v>355</v>
      </c>
      <c r="AA8" s="141" t="s">
        <v>394</v>
      </c>
      <c r="AB8" s="122" t="s">
        <v>395</v>
      </c>
      <c r="AC8" s="141" t="s">
        <v>396</v>
      </c>
      <c r="AD8" s="122" t="s">
        <v>397</v>
      </c>
      <c r="AE8" s="122" t="s">
        <v>235</v>
      </c>
      <c r="AF8" s="122" t="s">
        <v>398</v>
      </c>
      <c r="AG8" s="122" t="s">
        <v>252</v>
      </c>
      <c r="AH8" s="122" t="s">
        <v>253</v>
      </c>
      <c r="AI8" s="122" t="s">
        <v>399</v>
      </c>
      <c r="AJ8" s="122" t="s">
        <v>400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253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401</v>
      </c>
      <c r="BA8" s="122" t="s">
        <v>402</v>
      </c>
      <c r="BB8" s="122" t="s">
        <v>403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77</v>
      </c>
      <c r="BJ8" s="123">
        <v>42219</v>
      </c>
      <c r="BK8" s="139" t="s">
        <v>264</v>
      </c>
      <c r="BL8" s="140">
        <v>200</v>
      </c>
      <c r="BM8" s="122">
        <v>32</v>
      </c>
    </row>
    <row r="9" spans="1:66" x14ac:dyDescent="0.25">
      <c r="A9" s="122" t="s">
        <v>404</v>
      </c>
      <c r="B9" s="122" t="s">
        <v>405</v>
      </c>
      <c r="C9" s="122" t="s">
        <v>406</v>
      </c>
      <c r="D9" s="122" t="s">
        <v>407</v>
      </c>
      <c r="E9" s="123">
        <v>42219</v>
      </c>
      <c r="F9" s="122" t="s">
        <v>408</v>
      </c>
      <c r="G9" s="122" t="s">
        <v>235</v>
      </c>
      <c r="H9" s="122" t="s">
        <v>409</v>
      </c>
      <c r="I9" s="122" t="s">
        <v>410</v>
      </c>
      <c r="K9" s="122" t="s">
        <v>238</v>
      </c>
      <c r="L9" s="122" t="s">
        <v>320</v>
      </c>
      <c r="M9" s="122" t="s">
        <v>411</v>
      </c>
      <c r="O9" s="141" t="s">
        <v>412</v>
      </c>
      <c r="P9" s="141" t="s">
        <v>413</v>
      </c>
      <c r="Q9" s="122" t="s">
        <v>243</v>
      </c>
      <c r="R9" s="142">
        <v>134</v>
      </c>
      <c r="S9" s="122" t="s">
        <v>414</v>
      </c>
      <c r="U9" s="122" t="s">
        <v>245</v>
      </c>
      <c r="W9" s="122" t="s">
        <v>246</v>
      </c>
      <c r="X9" s="122" t="s">
        <v>302</v>
      </c>
      <c r="Y9" s="141" t="s">
        <v>279</v>
      </c>
      <c r="Z9" s="122" t="s">
        <v>415</v>
      </c>
      <c r="AA9" s="141" t="s">
        <v>378</v>
      </c>
      <c r="AB9" s="122" t="s">
        <v>416</v>
      </c>
      <c r="AC9" s="141" t="s">
        <v>417</v>
      </c>
      <c r="AD9" s="122" t="s">
        <v>418</v>
      </c>
      <c r="AE9" s="122" t="s">
        <v>235</v>
      </c>
      <c r="AF9" s="122" t="s">
        <v>419</v>
      </c>
      <c r="AG9" s="122" t="s">
        <v>252</v>
      </c>
      <c r="AH9" s="122" t="s">
        <v>253</v>
      </c>
      <c r="AI9" s="122" t="s">
        <v>420</v>
      </c>
      <c r="AJ9" s="122" t="s">
        <v>253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41" t="s">
        <v>253</v>
      </c>
      <c r="AZ9" s="122" t="s">
        <v>421</v>
      </c>
      <c r="BA9" s="122" t="s">
        <v>262</v>
      </c>
      <c r="BB9" s="122" t="s">
        <v>262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134</v>
      </c>
      <c r="BJ9" s="123">
        <v>42220</v>
      </c>
      <c r="BK9" s="139" t="s">
        <v>264</v>
      </c>
      <c r="BL9" s="140">
        <v>166</v>
      </c>
      <c r="BM9" s="122">
        <v>32</v>
      </c>
    </row>
    <row r="10" spans="1:66" x14ac:dyDescent="0.25">
      <c r="A10" s="122" t="s">
        <v>422</v>
      </c>
      <c r="B10" s="122" t="s">
        <v>423</v>
      </c>
      <c r="C10" s="122" t="s">
        <v>424</v>
      </c>
      <c r="D10" s="122" t="s">
        <v>425</v>
      </c>
      <c r="E10" s="123">
        <v>42219</v>
      </c>
      <c r="F10" s="122" t="s">
        <v>426</v>
      </c>
      <c r="G10" s="122" t="s">
        <v>235</v>
      </c>
      <c r="H10" s="122" t="s">
        <v>427</v>
      </c>
      <c r="I10" s="122" t="s">
        <v>428</v>
      </c>
      <c r="K10" s="122" t="s">
        <v>238</v>
      </c>
      <c r="L10" s="122" t="s">
        <v>429</v>
      </c>
      <c r="M10" s="122" t="s">
        <v>430</v>
      </c>
      <c r="O10" s="141" t="s">
        <v>299</v>
      </c>
      <c r="P10" s="141" t="s">
        <v>431</v>
      </c>
      <c r="Q10" s="122" t="s">
        <v>243</v>
      </c>
      <c r="R10" s="142">
        <v>163</v>
      </c>
      <c r="S10" s="122" t="s">
        <v>432</v>
      </c>
      <c r="U10" s="122" t="s">
        <v>245</v>
      </c>
      <c r="V10" s="122" t="s">
        <v>276</v>
      </c>
      <c r="W10" s="122" t="s">
        <v>277</v>
      </c>
      <c r="X10" s="122" t="s">
        <v>433</v>
      </c>
      <c r="Y10" s="141" t="s">
        <v>378</v>
      </c>
      <c r="Z10" s="122" t="s">
        <v>434</v>
      </c>
      <c r="AA10" s="141" t="s">
        <v>304</v>
      </c>
      <c r="AB10" s="122" t="s">
        <v>435</v>
      </c>
      <c r="AC10" s="141" t="s">
        <v>281</v>
      </c>
      <c r="AD10" s="122" t="s">
        <v>436</v>
      </c>
      <c r="AE10" s="122" t="s">
        <v>235</v>
      </c>
      <c r="AF10" s="122" t="s">
        <v>437</v>
      </c>
      <c r="AG10" s="122" t="s">
        <v>438</v>
      </c>
      <c r="AH10" s="122" t="s">
        <v>253</v>
      </c>
      <c r="AI10" s="122" t="s">
        <v>439</v>
      </c>
      <c r="AJ10" s="122" t="s">
        <v>440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247</v>
      </c>
      <c r="AP10" s="141" t="s">
        <v>253</v>
      </c>
      <c r="AQ10" s="141" t="s">
        <v>253</v>
      </c>
      <c r="AR10" s="141" t="s">
        <v>253</v>
      </c>
      <c r="AS10" s="141" t="s">
        <v>257</v>
      </c>
      <c r="AT10" s="141" t="s">
        <v>258</v>
      </c>
      <c r="AU10" s="141" t="s">
        <v>258</v>
      </c>
      <c r="AV10" s="122" t="s">
        <v>259</v>
      </c>
      <c r="AW10" s="122" t="s">
        <v>260</v>
      </c>
      <c r="AX10" s="141" t="s">
        <v>441</v>
      </c>
      <c r="AY10" s="141" t="s">
        <v>442</v>
      </c>
      <c r="AZ10" s="122" t="s">
        <v>443</v>
      </c>
      <c r="BA10" s="122" t="s">
        <v>262</v>
      </c>
      <c r="BB10" s="122" t="s">
        <v>262</v>
      </c>
      <c r="BC10" s="141" t="s">
        <v>312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163</v>
      </c>
      <c r="BJ10" s="123">
        <v>42219</v>
      </c>
      <c r="BK10" s="139" t="s">
        <v>264</v>
      </c>
      <c r="BL10" s="140">
        <v>100.93</v>
      </c>
      <c r="BM10" s="122">
        <v>32</v>
      </c>
    </row>
    <row r="11" spans="1:66" x14ac:dyDescent="0.25">
      <c r="A11" s="122" t="s">
        <v>422</v>
      </c>
      <c r="B11" s="122" t="s">
        <v>444</v>
      </c>
      <c r="C11" s="122" t="s">
        <v>445</v>
      </c>
      <c r="D11" s="122" t="s">
        <v>446</v>
      </c>
      <c r="E11" s="123">
        <v>42219</v>
      </c>
      <c r="F11" s="122" t="s">
        <v>447</v>
      </c>
      <c r="G11" s="122" t="s">
        <v>235</v>
      </c>
      <c r="H11" s="122" t="s">
        <v>448</v>
      </c>
      <c r="I11" s="122" t="s">
        <v>449</v>
      </c>
      <c r="K11" s="122" t="s">
        <v>238</v>
      </c>
      <c r="L11" s="122" t="s">
        <v>346</v>
      </c>
      <c r="M11" s="122" t="s">
        <v>450</v>
      </c>
      <c r="O11" s="141" t="s">
        <v>451</v>
      </c>
      <c r="P11" s="141" t="s">
        <v>452</v>
      </c>
      <c r="Q11" s="122" t="s">
        <v>243</v>
      </c>
      <c r="R11" s="142">
        <v>171</v>
      </c>
      <c r="S11" s="122" t="s">
        <v>453</v>
      </c>
      <c r="U11" s="122" t="s">
        <v>245</v>
      </c>
      <c r="V11" s="122" t="s">
        <v>276</v>
      </c>
      <c r="W11" s="122" t="s">
        <v>277</v>
      </c>
      <c r="X11" s="122" t="s">
        <v>454</v>
      </c>
      <c r="Y11" s="141" t="s">
        <v>455</v>
      </c>
      <c r="Z11" s="122" t="s">
        <v>456</v>
      </c>
      <c r="AA11" s="141" t="s">
        <v>457</v>
      </c>
      <c r="AB11" s="122" t="s">
        <v>458</v>
      </c>
      <c r="AC11" s="141" t="s">
        <v>459</v>
      </c>
      <c r="AD11" s="122" t="s">
        <v>460</v>
      </c>
      <c r="AE11" s="122" t="s">
        <v>235</v>
      </c>
      <c r="AF11" s="122" t="s">
        <v>461</v>
      </c>
      <c r="AG11" s="122" t="s">
        <v>462</v>
      </c>
      <c r="AH11" s="122" t="s">
        <v>253</v>
      </c>
      <c r="AI11" s="122" t="s">
        <v>463</v>
      </c>
      <c r="AJ11" s="122" t="s">
        <v>464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247</v>
      </c>
      <c r="AP11" s="141" t="s">
        <v>247</v>
      </c>
      <c r="AQ11" s="141" t="s">
        <v>247</v>
      </c>
      <c r="AR11" s="141" t="s">
        <v>247</v>
      </c>
      <c r="AS11" s="141" t="s">
        <v>257</v>
      </c>
      <c r="AT11" s="141" t="s">
        <v>257</v>
      </c>
      <c r="AU11" s="141" t="s">
        <v>257</v>
      </c>
      <c r="AV11" s="122" t="s">
        <v>259</v>
      </c>
      <c r="AW11" s="122" t="s">
        <v>260</v>
      </c>
      <c r="AY11" s="141" t="s">
        <v>253</v>
      </c>
      <c r="AZ11" s="122" t="s">
        <v>262</v>
      </c>
      <c r="BA11" s="122" t="s">
        <v>262</v>
      </c>
      <c r="BB11" s="122" t="s">
        <v>465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171</v>
      </c>
      <c r="BJ11" s="123">
        <v>42219</v>
      </c>
      <c r="BK11" s="139" t="s">
        <v>264</v>
      </c>
      <c r="BL11" s="140">
        <v>153.53</v>
      </c>
      <c r="BM11" s="122">
        <v>32</v>
      </c>
    </row>
    <row r="12" spans="1:66" x14ac:dyDescent="0.25">
      <c r="A12" s="122" t="s">
        <v>422</v>
      </c>
      <c r="B12" s="122" t="s">
        <v>466</v>
      </c>
      <c r="C12" s="122" t="s">
        <v>467</v>
      </c>
      <c r="D12" s="122" t="s">
        <v>468</v>
      </c>
      <c r="E12" s="123">
        <v>42219</v>
      </c>
      <c r="F12" s="122" t="s">
        <v>469</v>
      </c>
      <c r="G12" s="122" t="s">
        <v>235</v>
      </c>
      <c r="H12" s="122" t="s">
        <v>470</v>
      </c>
      <c r="I12" s="122" t="s">
        <v>471</v>
      </c>
      <c r="K12" s="122" t="s">
        <v>472</v>
      </c>
      <c r="L12" s="122" t="s">
        <v>473</v>
      </c>
      <c r="M12" s="122" t="s">
        <v>474</v>
      </c>
      <c r="O12" s="141" t="s">
        <v>390</v>
      </c>
      <c r="P12" s="141" t="s">
        <v>475</v>
      </c>
      <c r="Q12" s="122" t="s">
        <v>243</v>
      </c>
      <c r="R12" s="142">
        <v>178</v>
      </c>
      <c r="S12" s="122" t="s">
        <v>476</v>
      </c>
      <c r="U12" s="122" t="s">
        <v>245</v>
      </c>
      <c r="V12" s="122" t="s">
        <v>276</v>
      </c>
      <c r="W12" s="122" t="s">
        <v>277</v>
      </c>
      <c r="X12" s="122" t="s">
        <v>433</v>
      </c>
      <c r="Y12" s="141" t="s">
        <v>352</v>
      </c>
      <c r="Z12" s="122" t="s">
        <v>477</v>
      </c>
      <c r="AA12" s="141" t="s">
        <v>478</v>
      </c>
      <c r="AB12" s="122" t="s">
        <v>479</v>
      </c>
      <c r="AC12" s="141" t="s">
        <v>480</v>
      </c>
      <c r="AD12" s="122" t="s">
        <v>481</v>
      </c>
      <c r="AE12" s="122" t="s">
        <v>235</v>
      </c>
      <c r="AF12" s="122" t="s">
        <v>482</v>
      </c>
      <c r="AG12" s="122" t="s">
        <v>482</v>
      </c>
      <c r="AH12" s="122" t="s">
        <v>253</v>
      </c>
      <c r="AI12" s="122" t="s">
        <v>253</v>
      </c>
      <c r="AJ12" s="122" t="s">
        <v>253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253</v>
      </c>
      <c r="AQ12" s="141" t="s">
        <v>247</v>
      </c>
      <c r="AR12" s="141" t="s">
        <v>247</v>
      </c>
      <c r="AS12" s="141" t="s">
        <v>257</v>
      </c>
      <c r="AT12" s="141" t="s">
        <v>257</v>
      </c>
      <c r="AU12" s="141" t="s">
        <v>257</v>
      </c>
      <c r="AV12" s="122" t="s">
        <v>259</v>
      </c>
      <c r="AW12" s="122" t="s">
        <v>260</v>
      </c>
      <c r="AX12" s="141" t="s">
        <v>483</v>
      </c>
      <c r="AY12" s="141" t="s">
        <v>247</v>
      </c>
      <c r="AZ12" s="122" t="s">
        <v>484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178</v>
      </c>
      <c r="BJ12" s="123">
        <v>42219</v>
      </c>
      <c r="BK12" s="139" t="s">
        <v>264</v>
      </c>
      <c r="BL12" s="140">
        <v>305.38</v>
      </c>
      <c r="BM12" s="122">
        <v>32</v>
      </c>
    </row>
    <row r="13" spans="1:66" x14ac:dyDescent="0.25">
      <c r="A13" s="122" t="s">
        <v>485</v>
      </c>
      <c r="B13" s="122" t="s">
        <v>486</v>
      </c>
      <c r="C13" s="122" t="s">
        <v>487</v>
      </c>
      <c r="D13" s="122" t="s">
        <v>488</v>
      </c>
      <c r="E13" s="123">
        <v>42219</v>
      </c>
      <c r="F13" s="122" t="s">
        <v>489</v>
      </c>
      <c r="G13" s="122" t="s">
        <v>235</v>
      </c>
      <c r="H13" s="122" t="s">
        <v>490</v>
      </c>
      <c r="I13" s="122" t="s">
        <v>491</v>
      </c>
      <c r="K13" s="122" t="s">
        <v>472</v>
      </c>
      <c r="L13" s="122" t="s">
        <v>473</v>
      </c>
      <c r="M13" s="122" t="s">
        <v>492</v>
      </c>
      <c r="N13" s="122" t="s">
        <v>493</v>
      </c>
      <c r="O13" s="141" t="s">
        <v>494</v>
      </c>
      <c r="P13" s="141" t="s">
        <v>495</v>
      </c>
      <c r="Q13" s="122" t="s">
        <v>243</v>
      </c>
      <c r="R13" s="142">
        <v>182</v>
      </c>
      <c r="S13" s="122" t="s">
        <v>496</v>
      </c>
      <c r="U13" s="122" t="s">
        <v>245</v>
      </c>
      <c r="V13" s="122" t="s">
        <v>276</v>
      </c>
      <c r="W13" s="122" t="s">
        <v>277</v>
      </c>
      <c r="X13" s="122" t="s">
        <v>497</v>
      </c>
      <c r="Y13" s="141" t="s">
        <v>498</v>
      </c>
      <c r="Z13" s="122" t="s">
        <v>499</v>
      </c>
      <c r="AA13" s="141" t="s">
        <v>500</v>
      </c>
      <c r="AB13" s="122" t="s">
        <v>501</v>
      </c>
      <c r="AC13" s="141" t="s">
        <v>502</v>
      </c>
      <c r="AD13" s="122" t="s">
        <v>503</v>
      </c>
      <c r="AE13" s="122" t="s">
        <v>235</v>
      </c>
      <c r="AF13" s="122" t="s">
        <v>504</v>
      </c>
      <c r="AG13" s="122" t="s">
        <v>359</v>
      </c>
      <c r="AH13" s="122" t="s">
        <v>253</v>
      </c>
      <c r="AI13" s="122" t="s">
        <v>505</v>
      </c>
      <c r="AJ13" s="122" t="s">
        <v>506</v>
      </c>
      <c r="AK13" s="122" t="s">
        <v>253</v>
      </c>
      <c r="AL13" s="122" t="s">
        <v>253</v>
      </c>
      <c r="AM13" s="122" t="s">
        <v>253</v>
      </c>
      <c r="AN13" s="122" t="s">
        <v>253</v>
      </c>
      <c r="AO13" s="141" t="s">
        <v>253</v>
      </c>
      <c r="AP13" s="141" t="s">
        <v>253</v>
      </c>
      <c r="AQ13" s="141" t="s">
        <v>247</v>
      </c>
      <c r="AR13" s="141" t="s">
        <v>247</v>
      </c>
      <c r="AS13" s="141" t="s">
        <v>361</v>
      </c>
      <c r="AT13" s="141" t="s">
        <v>257</v>
      </c>
      <c r="AU13" s="141" t="s">
        <v>257</v>
      </c>
      <c r="AV13" s="122" t="s">
        <v>259</v>
      </c>
      <c r="AW13" s="122" t="s">
        <v>260</v>
      </c>
      <c r="AY13" s="141" t="s">
        <v>253</v>
      </c>
      <c r="AZ13" s="122" t="s">
        <v>507</v>
      </c>
      <c r="BA13" s="122" t="s">
        <v>262</v>
      </c>
      <c r="BB13" s="122" t="s">
        <v>507</v>
      </c>
      <c r="BD13" s="122" t="s">
        <v>253</v>
      </c>
      <c r="BE13" s="122" t="s">
        <v>263</v>
      </c>
      <c r="BF13" s="122" t="s">
        <v>11</v>
      </c>
      <c r="BH13" s="122" t="s">
        <v>245</v>
      </c>
      <c r="BI13" s="142">
        <v>182</v>
      </c>
      <c r="BJ13" s="123">
        <v>42219</v>
      </c>
      <c r="BK13" s="139" t="s">
        <v>264</v>
      </c>
      <c r="BL13" s="140">
        <v>126</v>
      </c>
      <c r="BM13" s="122">
        <v>32</v>
      </c>
    </row>
    <row r="14" spans="1:66" x14ac:dyDescent="0.25">
      <c r="A14" s="122" t="s">
        <v>485</v>
      </c>
      <c r="B14" s="122" t="s">
        <v>508</v>
      </c>
      <c r="C14" s="122" t="s">
        <v>509</v>
      </c>
      <c r="D14" s="122" t="s">
        <v>510</v>
      </c>
      <c r="E14" s="123">
        <v>42219</v>
      </c>
      <c r="F14" s="122" t="s">
        <v>511</v>
      </c>
      <c r="G14" s="122" t="s">
        <v>235</v>
      </c>
      <c r="H14" s="122" t="s">
        <v>512</v>
      </c>
      <c r="I14" s="122" t="s">
        <v>513</v>
      </c>
      <c r="K14" s="122" t="s">
        <v>238</v>
      </c>
      <c r="L14" s="122" t="s">
        <v>346</v>
      </c>
      <c r="M14" s="122" t="s">
        <v>514</v>
      </c>
      <c r="N14" s="122" t="s">
        <v>515</v>
      </c>
      <c r="O14" s="141" t="s">
        <v>373</v>
      </c>
      <c r="P14" s="141" t="s">
        <v>516</v>
      </c>
      <c r="Q14" s="122" t="s">
        <v>243</v>
      </c>
      <c r="R14" s="142">
        <v>199</v>
      </c>
      <c r="S14" s="122" t="s">
        <v>517</v>
      </c>
      <c r="U14" s="122" t="s">
        <v>245</v>
      </c>
      <c r="W14" s="122" t="s">
        <v>246</v>
      </c>
      <c r="X14" s="122" t="s">
        <v>376</v>
      </c>
      <c r="Y14" s="141" t="s">
        <v>500</v>
      </c>
      <c r="Z14" s="122" t="s">
        <v>518</v>
      </c>
      <c r="AB14" s="122" t="s">
        <v>250</v>
      </c>
      <c r="AD14" s="122" t="s">
        <v>250</v>
      </c>
      <c r="AE14" s="122" t="s">
        <v>235</v>
      </c>
      <c r="AF14" s="122" t="s">
        <v>519</v>
      </c>
      <c r="AG14" s="122" t="s">
        <v>252</v>
      </c>
      <c r="AH14" s="122" t="s">
        <v>253</v>
      </c>
      <c r="AI14" s="122" t="s">
        <v>520</v>
      </c>
      <c r="AJ14" s="122" t="s">
        <v>521</v>
      </c>
      <c r="AK14" s="122" t="s">
        <v>253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247</v>
      </c>
      <c r="AR14" s="141" t="s">
        <v>253</v>
      </c>
      <c r="AS14" s="141" t="s">
        <v>257</v>
      </c>
      <c r="AT14" s="141" t="s">
        <v>257</v>
      </c>
      <c r="AU14" s="141" t="s">
        <v>258</v>
      </c>
      <c r="AV14" s="122" t="s">
        <v>259</v>
      </c>
      <c r="AW14" s="122" t="s">
        <v>260</v>
      </c>
      <c r="AY14" s="141" t="s">
        <v>253</v>
      </c>
      <c r="AZ14" s="122" t="s">
        <v>522</v>
      </c>
      <c r="BA14" s="122" t="s">
        <v>262</v>
      </c>
      <c r="BB14" s="122" t="s">
        <v>262</v>
      </c>
      <c r="BD14" s="122" t="s">
        <v>253</v>
      </c>
      <c r="BE14" s="122" t="s">
        <v>263</v>
      </c>
      <c r="BF14" s="122" t="s">
        <v>11</v>
      </c>
      <c r="BH14" s="122" t="s">
        <v>245</v>
      </c>
      <c r="BI14" s="142">
        <v>199</v>
      </c>
      <c r="BJ14" s="123">
        <v>42220</v>
      </c>
      <c r="BK14" s="139" t="s">
        <v>264</v>
      </c>
      <c r="BL14" s="140">
        <v>122</v>
      </c>
      <c r="BM14" s="122">
        <v>32</v>
      </c>
    </row>
    <row r="15" spans="1:66" x14ac:dyDescent="0.25">
      <c r="A15" s="122" t="s">
        <v>485</v>
      </c>
      <c r="B15" s="122" t="s">
        <v>523</v>
      </c>
      <c r="C15" s="122" t="s">
        <v>524</v>
      </c>
      <c r="D15" s="122" t="s">
        <v>525</v>
      </c>
      <c r="E15" s="123">
        <v>42219</v>
      </c>
      <c r="F15" s="122" t="s">
        <v>526</v>
      </c>
      <c r="G15" s="122" t="s">
        <v>235</v>
      </c>
      <c r="H15" s="122" t="s">
        <v>527</v>
      </c>
      <c r="I15" s="122" t="s">
        <v>528</v>
      </c>
      <c r="J15" s="122" t="s">
        <v>529</v>
      </c>
      <c r="K15" s="122" t="s">
        <v>238</v>
      </c>
      <c r="L15" s="122" t="s">
        <v>530</v>
      </c>
      <c r="M15" s="122" t="s">
        <v>531</v>
      </c>
      <c r="Q15" s="122" t="s">
        <v>243</v>
      </c>
      <c r="R15" s="142">
        <v>217</v>
      </c>
      <c r="S15" s="122" t="s">
        <v>532</v>
      </c>
      <c r="U15" s="122" t="s">
        <v>245</v>
      </c>
      <c r="W15" s="122" t="s">
        <v>246</v>
      </c>
      <c r="X15" s="122" t="s">
        <v>497</v>
      </c>
      <c r="Y15" s="141" t="s">
        <v>279</v>
      </c>
      <c r="Z15" s="122" t="s">
        <v>533</v>
      </c>
      <c r="AA15" s="141" t="s">
        <v>534</v>
      </c>
      <c r="AB15" s="122" t="s">
        <v>518</v>
      </c>
      <c r="AC15" s="141" t="s">
        <v>535</v>
      </c>
      <c r="AD15" s="122" t="s">
        <v>518</v>
      </c>
      <c r="AE15" s="122" t="s">
        <v>235</v>
      </c>
      <c r="AF15" s="122" t="s">
        <v>536</v>
      </c>
      <c r="AG15" s="122" t="s">
        <v>537</v>
      </c>
      <c r="AH15" s="122" t="s">
        <v>253</v>
      </c>
      <c r="AI15" s="122" t="s">
        <v>538</v>
      </c>
      <c r="AJ15" s="122" t="s">
        <v>539</v>
      </c>
      <c r="AK15" s="122" t="s">
        <v>253</v>
      </c>
      <c r="AL15" s="122" t="s">
        <v>253</v>
      </c>
      <c r="AM15" s="122" t="s">
        <v>253</v>
      </c>
      <c r="AN15" s="122" t="s">
        <v>253</v>
      </c>
      <c r="AO15" s="141" t="s">
        <v>247</v>
      </c>
      <c r="AP15" s="141" t="s">
        <v>253</v>
      </c>
      <c r="AQ15" s="141" t="s">
        <v>253</v>
      </c>
      <c r="AR15" s="141" t="s">
        <v>253</v>
      </c>
      <c r="AS15" s="141" t="s">
        <v>257</v>
      </c>
      <c r="AT15" s="141" t="s">
        <v>258</v>
      </c>
      <c r="AU15" s="141" t="s">
        <v>258</v>
      </c>
      <c r="AV15" s="122" t="s">
        <v>259</v>
      </c>
      <c r="AW15" s="122" t="s">
        <v>260</v>
      </c>
      <c r="AX15" s="141" t="s">
        <v>362</v>
      </c>
      <c r="AY15" s="141" t="s">
        <v>247</v>
      </c>
      <c r="AZ15" s="122" t="s">
        <v>540</v>
      </c>
      <c r="BA15" s="122" t="s">
        <v>262</v>
      </c>
      <c r="BB15" s="122" t="s">
        <v>262</v>
      </c>
      <c r="BD15" s="122" t="s">
        <v>253</v>
      </c>
      <c r="BE15" s="122" t="s">
        <v>263</v>
      </c>
      <c r="BF15" s="122" t="s">
        <v>11</v>
      </c>
      <c r="BH15" s="122" t="s">
        <v>245</v>
      </c>
      <c r="BI15" s="142">
        <v>217</v>
      </c>
      <c r="BJ15" s="123">
        <v>42220</v>
      </c>
      <c r="BK15" s="139" t="s">
        <v>264</v>
      </c>
      <c r="BL15" s="140">
        <v>80</v>
      </c>
      <c r="BM15" s="122">
        <v>32</v>
      </c>
    </row>
    <row r="16" spans="1:66" x14ac:dyDescent="0.25">
      <c r="A16" s="122" t="s">
        <v>541</v>
      </c>
      <c r="B16" s="122" t="s">
        <v>542</v>
      </c>
      <c r="C16" s="122" t="s">
        <v>543</v>
      </c>
      <c r="D16" s="122" t="s">
        <v>544</v>
      </c>
      <c r="E16" s="123">
        <v>42219</v>
      </c>
      <c r="F16" s="122" t="s">
        <v>306</v>
      </c>
      <c r="G16" s="122" t="s">
        <v>235</v>
      </c>
      <c r="H16" s="122" t="s">
        <v>545</v>
      </c>
      <c r="I16" s="122" t="s">
        <v>546</v>
      </c>
      <c r="K16" s="122" t="s">
        <v>238</v>
      </c>
      <c r="L16" s="122" t="s">
        <v>239</v>
      </c>
      <c r="M16" s="122" t="s">
        <v>547</v>
      </c>
      <c r="O16" s="141" t="s">
        <v>548</v>
      </c>
      <c r="P16" s="141" t="s">
        <v>549</v>
      </c>
      <c r="Q16" s="122" t="s">
        <v>243</v>
      </c>
      <c r="R16" s="142">
        <v>232</v>
      </c>
      <c r="S16" s="122" t="s">
        <v>550</v>
      </c>
      <c r="U16" s="122" t="s">
        <v>245</v>
      </c>
      <c r="V16" s="122" t="s">
        <v>276</v>
      </c>
      <c r="W16" s="122" t="s">
        <v>277</v>
      </c>
      <c r="X16" s="122" t="s">
        <v>551</v>
      </c>
      <c r="Y16" s="141" t="s">
        <v>352</v>
      </c>
      <c r="Z16" s="122" t="s">
        <v>552</v>
      </c>
      <c r="AB16" s="122" t="s">
        <v>250</v>
      </c>
      <c r="AD16" s="122" t="s">
        <v>250</v>
      </c>
      <c r="AE16" s="122" t="s">
        <v>235</v>
      </c>
      <c r="AF16" s="122" t="s">
        <v>553</v>
      </c>
      <c r="AG16" s="122" t="s">
        <v>554</v>
      </c>
      <c r="AH16" s="122" t="s">
        <v>253</v>
      </c>
      <c r="AI16" s="122" t="s">
        <v>555</v>
      </c>
      <c r="AJ16" s="122" t="s">
        <v>253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247</v>
      </c>
      <c r="AQ16" s="141" t="s">
        <v>247</v>
      </c>
      <c r="AR16" s="141" t="s">
        <v>247</v>
      </c>
      <c r="AS16" s="141" t="s">
        <v>257</v>
      </c>
      <c r="AT16" s="141" t="s">
        <v>257</v>
      </c>
      <c r="AU16" s="141" t="s">
        <v>257</v>
      </c>
      <c r="AV16" s="122" t="s">
        <v>259</v>
      </c>
      <c r="AW16" s="122" t="s">
        <v>556</v>
      </c>
      <c r="AY16" s="141" t="s">
        <v>253</v>
      </c>
      <c r="AZ16" s="122" t="s">
        <v>557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11</v>
      </c>
      <c r="BH16" s="122" t="s">
        <v>245</v>
      </c>
      <c r="BI16" s="142">
        <v>232</v>
      </c>
      <c r="BK16" s="139" t="s">
        <v>558</v>
      </c>
    </row>
    <row r="17" spans="1:65" x14ac:dyDescent="0.25">
      <c r="A17" s="122" t="s">
        <v>541</v>
      </c>
      <c r="B17" s="122" t="s">
        <v>559</v>
      </c>
      <c r="C17" s="122" t="s">
        <v>560</v>
      </c>
      <c r="D17" s="122" t="s">
        <v>561</v>
      </c>
      <c r="E17" s="123">
        <v>42219</v>
      </c>
      <c r="F17" s="122" t="s">
        <v>328</v>
      </c>
      <c r="G17" s="122" t="s">
        <v>235</v>
      </c>
      <c r="H17" s="122" t="s">
        <v>562</v>
      </c>
      <c r="I17" s="122" t="s">
        <v>563</v>
      </c>
      <c r="J17" s="122" t="s">
        <v>564</v>
      </c>
      <c r="K17" s="122" t="s">
        <v>238</v>
      </c>
      <c r="L17" s="122" t="s">
        <v>271</v>
      </c>
      <c r="M17" s="122" t="s">
        <v>565</v>
      </c>
      <c r="O17" s="141" t="s">
        <v>566</v>
      </c>
      <c r="P17" s="141" t="s">
        <v>567</v>
      </c>
      <c r="Q17" s="122" t="s">
        <v>243</v>
      </c>
      <c r="R17" s="142">
        <v>237</v>
      </c>
      <c r="S17" s="122" t="s">
        <v>568</v>
      </c>
      <c r="U17" s="122" t="s">
        <v>245</v>
      </c>
      <c r="W17" s="122" t="s">
        <v>246</v>
      </c>
      <c r="X17" s="122" t="s">
        <v>569</v>
      </c>
      <c r="Y17" s="141" t="s">
        <v>570</v>
      </c>
      <c r="Z17" s="122" t="s">
        <v>571</v>
      </c>
      <c r="AB17" s="122" t="s">
        <v>250</v>
      </c>
      <c r="AD17" s="122" t="s">
        <v>250</v>
      </c>
      <c r="AE17" s="122" t="s">
        <v>235</v>
      </c>
      <c r="AF17" s="122" t="s">
        <v>572</v>
      </c>
      <c r="AG17" s="122" t="s">
        <v>359</v>
      </c>
      <c r="AH17" s="122" t="s">
        <v>253</v>
      </c>
      <c r="AI17" s="122" t="s">
        <v>573</v>
      </c>
      <c r="AJ17" s="122" t="s">
        <v>574</v>
      </c>
      <c r="AK17" s="122" t="s">
        <v>575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247</v>
      </c>
      <c r="AR17" s="141" t="s">
        <v>247</v>
      </c>
      <c r="AS17" s="141" t="s">
        <v>257</v>
      </c>
      <c r="AT17" s="141" t="s">
        <v>257</v>
      </c>
      <c r="AU17" s="141" t="s">
        <v>257</v>
      </c>
      <c r="AV17" s="122" t="s">
        <v>259</v>
      </c>
      <c r="AW17" s="122" t="s">
        <v>556</v>
      </c>
      <c r="AY17" s="141" t="s">
        <v>253</v>
      </c>
      <c r="AZ17" s="122" t="s">
        <v>576</v>
      </c>
      <c r="BA17" s="122" t="s">
        <v>262</v>
      </c>
      <c r="BB17" s="122" t="s">
        <v>262</v>
      </c>
      <c r="BD17" s="122" t="s">
        <v>253</v>
      </c>
      <c r="BE17" s="122" t="s">
        <v>263</v>
      </c>
      <c r="BF17" s="122" t="s">
        <v>11</v>
      </c>
      <c r="BH17" s="122" t="s">
        <v>245</v>
      </c>
      <c r="BI17" s="142">
        <v>237</v>
      </c>
      <c r="BK17" s="139" t="s">
        <v>558</v>
      </c>
    </row>
    <row r="18" spans="1:65" x14ac:dyDescent="0.25">
      <c r="A18" s="122" t="s">
        <v>404</v>
      </c>
      <c r="B18" s="122" t="s">
        <v>577</v>
      </c>
      <c r="C18" s="122" t="s">
        <v>340</v>
      </c>
      <c r="D18" s="122" t="s">
        <v>341</v>
      </c>
      <c r="E18" s="123">
        <v>42219</v>
      </c>
      <c r="F18" s="122" t="s">
        <v>342</v>
      </c>
      <c r="G18" s="122" t="s">
        <v>235</v>
      </c>
      <c r="H18" s="122" t="s">
        <v>343</v>
      </c>
      <c r="I18" s="122" t="s">
        <v>344</v>
      </c>
      <c r="J18" s="122" t="s">
        <v>345</v>
      </c>
      <c r="K18" s="122" t="s">
        <v>238</v>
      </c>
      <c r="L18" s="122" t="s">
        <v>346</v>
      </c>
      <c r="M18" s="122" t="s">
        <v>347</v>
      </c>
      <c r="O18" s="141" t="s">
        <v>348</v>
      </c>
      <c r="P18" s="141" t="s">
        <v>349</v>
      </c>
      <c r="Q18" s="122" t="s">
        <v>243</v>
      </c>
      <c r="R18" s="142">
        <v>271</v>
      </c>
      <c r="S18" s="122" t="s">
        <v>350</v>
      </c>
      <c r="U18" s="122" t="s">
        <v>245</v>
      </c>
      <c r="V18" s="122" t="s">
        <v>351</v>
      </c>
      <c r="W18" s="122" t="s">
        <v>277</v>
      </c>
      <c r="X18" s="122" t="s">
        <v>325</v>
      </c>
      <c r="Y18" s="141" t="s">
        <v>352</v>
      </c>
      <c r="Z18" s="122" t="s">
        <v>353</v>
      </c>
      <c r="AA18" s="141" t="s">
        <v>354</v>
      </c>
      <c r="AB18" s="122" t="s">
        <v>355</v>
      </c>
      <c r="AC18" s="141" t="s">
        <v>356</v>
      </c>
      <c r="AD18" s="122" t="s">
        <v>357</v>
      </c>
      <c r="AE18" s="122" t="s">
        <v>235</v>
      </c>
      <c r="AF18" s="122" t="s">
        <v>358</v>
      </c>
      <c r="AG18" s="122" t="s">
        <v>359</v>
      </c>
      <c r="AH18" s="122" t="s">
        <v>253</v>
      </c>
      <c r="AI18" s="122" t="s">
        <v>360</v>
      </c>
      <c r="AJ18" s="122" t="s">
        <v>253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253</v>
      </c>
      <c r="AP18" s="141" t="s">
        <v>253</v>
      </c>
      <c r="AQ18" s="141" t="s">
        <v>247</v>
      </c>
      <c r="AR18" s="141" t="s">
        <v>247</v>
      </c>
      <c r="AS18" s="141" t="s">
        <v>361</v>
      </c>
      <c r="AT18" s="141" t="s">
        <v>257</v>
      </c>
      <c r="AU18" s="141" t="s">
        <v>257</v>
      </c>
      <c r="AV18" s="122" t="s">
        <v>259</v>
      </c>
      <c r="AW18" s="122" t="s">
        <v>556</v>
      </c>
      <c r="AX18" s="141" t="s">
        <v>362</v>
      </c>
      <c r="AY18" s="141" t="s">
        <v>247</v>
      </c>
      <c r="AZ18" s="122" t="s">
        <v>363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11</v>
      </c>
      <c r="BH18" s="122" t="s">
        <v>245</v>
      </c>
      <c r="BI18" s="142">
        <v>271</v>
      </c>
      <c r="BK18" s="139" t="s">
        <v>558</v>
      </c>
    </row>
    <row r="19" spans="1:65" x14ac:dyDescent="0.25">
      <c r="A19" s="122" t="s">
        <v>578</v>
      </c>
      <c r="B19" s="122" t="s">
        <v>579</v>
      </c>
      <c r="C19" s="122" t="s">
        <v>580</v>
      </c>
      <c r="D19" s="122" t="s">
        <v>581</v>
      </c>
      <c r="E19" s="123">
        <v>42219</v>
      </c>
      <c r="F19" s="122" t="s">
        <v>582</v>
      </c>
      <c r="G19" s="122" t="s">
        <v>235</v>
      </c>
      <c r="H19" s="122" t="s">
        <v>583</v>
      </c>
      <c r="I19" s="122" t="s">
        <v>584</v>
      </c>
      <c r="K19" s="122" t="s">
        <v>238</v>
      </c>
      <c r="L19" s="122" t="s">
        <v>320</v>
      </c>
      <c r="M19" s="122" t="s">
        <v>585</v>
      </c>
      <c r="N19" s="122" t="s">
        <v>586</v>
      </c>
      <c r="O19" s="141" t="s">
        <v>566</v>
      </c>
      <c r="P19" s="141" t="s">
        <v>587</v>
      </c>
      <c r="Q19" s="122" t="s">
        <v>243</v>
      </c>
      <c r="R19" s="142">
        <v>1</v>
      </c>
      <c r="S19" s="122" t="s">
        <v>588</v>
      </c>
      <c r="U19" s="122" t="s">
        <v>589</v>
      </c>
      <c r="W19" s="122" t="s">
        <v>246</v>
      </c>
      <c r="X19" s="122" t="s">
        <v>590</v>
      </c>
      <c r="Y19" s="141" t="s">
        <v>591</v>
      </c>
      <c r="Z19" s="122" t="s">
        <v>592</v>
      </c>
      <c r="AA19" s="141" t="s">
        <v>593</v>
      </c>
      <c r="AB19" s="122" t="s">
        <v>594</v>
      </c>
      <c r="AC19" s="141" t="s">
        <v>595</v>
      </c>
      <c r="AD19" s="122" t="s">
        <v>596</v>
      </c>
      <c r="AE19" s="122" t="s">
        <v>235</v>
      </c>
      <c r="AF19" s="122" t="s">
        <v>597</v>
      </c>
      <c r="AG19" s="122" t="s">
        <v>537</v>
      </c>
      <c r="AH19" s="122" t="s">
        <v>253</v>
      </c>
      <c r="AI19" s="122" t="s">
        <v>598</v>
      </c>
      <c r="AJ19" s="122" t="s">
        <v>599</v>
      </c>
      <c r="AK19" s="122" t="s">
        <v>253</v>
      </c>
      <c r="AL19" s="122" t="s">
        <v>600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253</v>
      </c>
      <c r="AS19" s="141" t="s">
        <v>601</v>
      </c>
      <c r="AT19" s="141" t="s">
        <v>601</v>
      </c>
      <c r="AU19" s="141" t="s">
        <v>258</v>
      </c>
      <c r="AV19" s="122" t="s">
        <v>259</v>
      </c>
      <c r="AW19" s="122" t="s">
        <v>260</v>
      </c>
      <c r="AX19" s="141" t="s">
        <v>602</v>
      </c>
      <c r="AY19" s="141" t="s">
        <v>603</v>
      </c>
      <c r="AZ19" s="122" t="s">
        <v>604</v>
      </c>
      <c r="BA19" s="122" t="s">
        <v>262</v>
      </c>
      <c r="BB19" s="122" t="s">
        <v>262</v>
      </c>
      <c r="BD19" s="122" t="s">
        <v>253</v>
      </c>
      <c r="BE19" s="122" t="s">
        <v>263</v>
      </c>
      <c r="BF19" s="122" t="s">
        <v>605</v>
      </c>
      <c r="BH19" s="122" t="s">
        <v>589</v>
      </c>
      <c r="BI19" s="142">
        <v>1</v>
      </c>
      <c r="BJ19" s="123">
        <v>42232</v>
      </c>
      <c r="BK19" s="139" t="s">
        <v>606</v>
      </c>
      <c r="BM19" s="122">
        <v>33</v>
      </c>
    </row>
    <row r="20" spans="1:65" x14ac:dyDescent="0.25">
      <c r="A20" s="122" t="s">
        <v>578</v>
      </c>
      <c r="B20" s="122" t="s">
        <v>607</v>
      </c>
      <c r="C20" s="122" t="s">
        <v>608</v>
      </c>
      <c r="D20" s="122" t="s">
        <v>609</v>
      </c>
      <c r="E20" s="123">
        <v>42219</v>
      </c>
      <c r="F20" s="122" t="s">
        <v>610</v>
      </c>
      <c r="G20" s="122" t="s">
        <v>235</v>
      </c>
      <c r="H20" s="122" t="s">
        <v>448</v>
      </c>
      <c r="I20" s="122" t="s">
        <v>611</v>
      </c>
      <c r="K20" s="122" t="s">
        <v>238</v>
      </c>
      <c r="L20" s="122" t="s">
        <v>320</v>
      </c>
      <c r="M20" s="122" t="s">
        <v>612</v>
      </c>
      <c r="O20" s="141" t="s">
        <v>613</v>
      </c>
      <c r="P20" s="141" t="s">
        <v>614</v>
      </c>
      <c r="Q20" s="122" t="s">
        <v>243</v>
      </c>
      <c r="R20" s="142">
        <v>2</v>
      </c>
      <c r="S20" s="122" t="s">
        <v>615</v>
      </c>
      <c r="U20" s="122" t="s">
        <v>589</v>
      </c>
      <c r="W20" s="122" t="s">
        <v>246</v>
      </c>
      <c r="X20" s="122" t="s">
        <v>302</v>
      </c>
      <c r="Y20" s="141" t="s">
        <v>595</v>
      </c>
      <c r="Z20" s="122" t="s">
        <v>355</v>
      </c>
      <c r="AA20" s="141" t="s">
        <v>417</v>
      </c>
      <c r="AB20" s="122" t="s">
        <v>616</v>
      </c>
      <c r="AC20" s="141" t="s">
        <v>234</v>
      </c>
      <c r="AD20" s="122" t="s">
        <v>617</v>
      </c>
      <c r="AE20" s="122" t="s">
        <v>235</v>
      </c>
      <c r="AF20" s="122" t="s">
        <v>618</v>
      </c>
      <c r="AG20" s="122" t="s">
        <v>537</v>
      </c>
      <c r="AH20" s="122" t="s">
        <v>253</v>
      </c>
      <c r="AI20" s="122" t="s">
        <v>619</v>
      </c>
      <c r="AJ20" s="122" t="s">
        <v>620</v>
      </c>
      <c r="AK20" s="122" t="s">
        <v>253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253</v>
      </c>
      <c r="AQ20" s="141" t="s">
        <v>253</v>
      </c>
      <c r="AR20" s="141" t="s">
        <v>253</v>
      </c>
      <c r="AS20" s="141" t="s">
        <v>601</v>
      </c>
      <c r="AT20" s="141" t="s">
        <v>258</v>
      </c>
      <c r="AU20" s="141" t="s">
        <v>258</v>
      </c>
      <c r="AV20" s="122" t="s">
        <v>259</v>
      </c>
      <c r="AW20" s="122" t="s">
        <v>260</v>
      </c>
      <c r="AY20" s="141" t="s">
        <v>253</v>
      </c>
      <c r="AZ20" s="122" t="s">
        <v>262</v>
      </c>
      <c r="BA20" s="122" t="s">
        <v>262</v>
      </c>
      <c r="BB20" s="122" t="s">
        <v>262</v>
      </c>
      <c r="BC20" s="141" t="s">
        <v>312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2</v>
      </c>
      <c r="BJ20" s="123">
        <v>42232</v>
      </c>
      <c r="BK20" s="139" t="s">
        <v>606</v>
      </c>
      <c r="BM20" s="122">
        <v>33</v>
      </c>
    </row>
    <row r="21" spans="1:65" x14ac:dyDescent="0.25">
      <c r="A21" s="122" t="s">
        <v>578</v>
      </c>
      <c r="B21" s="122" t="s">
        <v>621</v>
      </c>
      <c r="C21" s="122" t="s">
        <v>622</v>
      </c>
      <c r="D21" s="122" t="s">
        <v>623</v>
      </c>
      <c r="E21" s="123">
        <v>42219</v>
      </c>
      <c r="F21" s="122" t="s">
        <v>624</v>
      </c>
      <c r="G21" s="122" t="s">
        <v>235</v>
      </c>
      <c r="H21" s="122" t="s">
        <v>448</v>
      </c>
      <c r="I21" s="122" t="s">
        <v>625</v>
      </c>
      <c r="J21" s="122" t="s">
        <v>626</v>
      </c>
      <c r="K21" s="122" t="s">
        <v>238</v>
      </c>
      <c r="L21" s="122" t="s">
        <v>239</v>
      </c>
      <c r="M21" s="122" t="s">
        <v>627</v>
      </c>
      <c r="O21" s="141" t="s">
        <v>241</v>
      </c>
      <c r="P21" s="141" t="s">
        <v>628</v>
      </c>
      <c r="Q21" s="122" t="s">
        <v>243</v>
      </c>
      <c r="R21" s="142">
        <v>3</v>
      </c>
      <c r="S21" s="122" t="s">
        <v>629</v>
      </c>
      <c r="T21" s="122" t="s">
        <v>630</v>
      </c>
      <c r="U21" s="122" t="s">
        <v>589</v>
      </c>
      <c r="W21" s="122" t="s">
        <v>246</v>
      </c>
      <c r="X21" s="122" t="s">
        <v>631</v>
      </c>
      <c r="Y21" s="141" t="s">
        <v>591</v>
      </c>
      <c r="Z21" s="122" t="s">
        <v>632</v>
      </c>
      <c r="AA21" s="141" t="s">
        <v>633</v>
      </c>
      <c r="AB21" s="122" t="s">
        <v>634</v>
      </c>
      <c r="AC21" s="141" t="s">
        <v>635</v>
      </c>
      <c r="AD21" s="122" t="s">
        <v>636</v>
      </c>
      <c r="AE21" s="122" t="s">
        <v>235</v>
      </c>
      <c r="AF21" s="122" t="s">
        <v>637</v>
      </c>
      <c r="AG21" s="122" t="s">
        <v>638</v>
      </c>
      <c r="AH21" s="122" t="s">
        <v>253</v>
      </c>
      <c r="AI21" s="122" t="s">
        <v>639</v>
      </c>
      <c r="AJ21" s="122" t="s">
        <v>640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247</v>
      </c>
      <c r="AR21" s="141" t="s">
        <v>253</v>
      </c>
      <c r="AS21" s="141" t="s">
        <v>601</v>
      </c>
      <c r="AT21" s="141" t="s">
        <v>601</v>
      </c>
      <c r="AU21" s="141" t="s">
        <v>258</v>
      </c>
      <c r="AV21" s="122" t="s">
        <v>259</v>
      </c>
      <c r="AW21" s="122" t="s">
        <v>260</v>
      </c>
      <c r="AY21" s="141" t="s">
        <v>253</v>
      </c>
      <c r="AZ21" s="122" t="s">
        <v>262</v>
      </c>
      <c r="BA21" s="122" t="s">
        <v>262</v>
      </c>
      <c r="BB21" s="122" t="s">
        <v>641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3</v>
      </c>
      <c r="BJ21" s="123">
        <v>42232</v>
      </c>
      <c r="BK21" s="139" t="s">
        <v>606</v>
      </c>
      <c r="BM21" s="122">
        <v>33</v>
      </c>
    </row>
    <row r="22" spans="1:65" x14ac:dyDescent="0.25">
      <c r="A22" s="122" t="s">
        <v>578</v>
      </c>
      <c r="B22" s="122" t="s">
        <v>642</v>
      </c>
      <c r="C22" s="122" t="s">
        <v>643</v>
      </c>
      <c r="D22" s="122" t="s">
        <v>644</v>
      </c>
      <c r="E22" s="123">
        <v>42219</v>
      </c>
      <c r="F22" s="122" t="s">
        <v>645</v>
      </c>
      <c r="G22" s="122" t="s">
        <v>235</v>
      </c>
      <c r="H22" s="122" t="s">
        <v>646</v>
      </c>
      <c r="I22" s="122" t="s">
        <v>647</v>
      </c>
      <c r="K22" s="122" t="s">
        <v>238</v>
      </c>
      <c r="L22" s="122" t="s">
        <v>320</v>
      </c>
      <c r="M22" s="122" t="s">
        <v>648</v>
      </c>
      <c r="O22" s="141" t="s">
        <v>649</v>
      </c>
      <c r="P22" s="141" t="s">
        <v>650</v>
      </c>
      <c r="Q22" s="122" t="s">
        <v>243</v>
      </c>
      <c r="R22" s="142">
        <v>4</v>
      </c>
      <c r="S22" s="122" t="s">
        <v>651</v>
      </c>
      <c r="U22" s="122" t="s">
        <v>589</v>
      </c>
      <c r="W22" s="122" t="s">
        <v>246</v>
      </c>
      <c r="X22" s="122" t="s">
        <v>631</v>
      </c>
      <c r="Y22" s="141" t="s">
        <v>455</v>
      </c>
      <c r="Z22" s="122" t="s">
        <v>355</v>
      </c>
      <c r="AA22" s="141" t="s">
        <v>595</v>
      </c>
      <c r="AB22" s="122" t="s">
        <v>652</v>
      </c>
      <c r="AC22" s="141" t="s">
        <v>500</v>
      </c>
      <c r="AD22" s="122" t="s">
        <v>653</v>
      </c>
      <c r="AE22" s="122" t="s">
        <v>235</v>
      </c>
      <c r="AF22" s="122" t="s">
        <v>654</v>
      </c>
      <c r="AG22" s="122" t="s">
        <v>537</v>
      </c>
      <c r="AH22" s="122" t="s">
        <v>253</v>
      </c>
      <c r="AI22" s="122" t="s">
        <v>655</v>
      </c>
      <c r="AJ22" s="122" t="s">
        <v>656</v>
      </c>
      <c r="AK22" s="122" t="s">
        <v>253</v>
      </c>
      <c r="AL22" s="122" t="s">
        <v>253</v>
      </c>
      <c r="AM22" s="122" t="s">
        <v>253</v>
      </c>
      <c r="AN22" s="122" t="s">
        <v>253</v>
      </c>
      <c r="AO22" s="141" t="s">
        <v>247</v>
      </c>
      <c r="AP22" s="141" t="s">
        <v>253</v>
      </c>
      <c r="AQ22" s="141" t="s">
        <v>247</v>
      </c>
      <c r="AR22" s="141" t="s">
        <v>253</v>
      </c>
      <c r="AS22" s="141" t="s">
        <v>601</v>
      </c>
      <c r="AT22" s="141" t="s">
        <v>601</v>
      </c>
      <c r="AU22" s="141" t="s">
        <v>258</v>
      </c>
      <c r="AV22" s="122" t="s">
        <v>259</v>
      </c>
      <c r="AW22" s="122" t="s">
        <v>260</v>
      </c>
      <c r="AY22" s="141" t="s">
        <v>253</v>
      </c>
      <c r="AZ22" s="122" t="s">
        <v>657</v>
      </c>
      <c r="BA22" s="122" t="s">
        <v>262</v>
      </c>
      <c r="BB22" s="122" t="s">
        <v>262</v>
      </c>
      <c r="BC22" s="141" t="s">
        <v>312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4</v>
      </c>
      <c r="BJ22" s="123">
        <v>42232</v>
      </c>
      <c r="BK22" s="139" t="s">
        <v>606</v>
      </c>
      <c r="BM22" s="122">
        <v>33</v>
      </c>
    </row>
    <row r="23" spans="1:65" x14ac:dyDescent="0.25">
      <c r="A23" s="122" t="s">
        <v>578</v>
      </c>
      <c r="B23" s="122" t="s">
        <v>658</v>
      </c>
      <c r="C23" s="122" t="s">
        <v>659</v>
      </c>
      <c r="D23" s="122" t="s">
        <v>660</v>
      </c>
      <c r="E23" s="123">
        <v>42219</v>
      </c>
      <c r="F23" s="122" t="s">
        <v>661</v>
      </c>
      <c r="G23" s="122" t="s">
        <v>235</v>
      </c>
      <c r="H23" s="122" t="s">
        <v>662</v>
      </c>
      <c r="I23" s="122" t="s">
        <v>663</v>
      </c>
      <c r="J23" s="122" t="s">
        <v>664</v>
      </c>
      <c r="K23" s="122" t="s">
        <v>238</v>
      </c>
      <c r="L23" s="122" t="s">
        <v>239</v>
      </c>
      <c r="M23" s="122" t="s">
        <v>240</v>
      </c>
      <c r="O23" s="141" t="s">
        <v>665</v>
      </c>
      <c r="P23" s="141" t="s">
        <v>666</v>
      </c>
      <c r="Q23" s="122" t="s">
        <v>243</v>
      </c>
      <c r="R23" s="142">
        <v>5</v>
      </c>
      <c r="S23" s="122" t="s">
        <v>667</v>
      </c>
      <c r="U23" s="122" t="s">
        <v>589</v>
      </c>
      <c r="W23" s="122" t="s">
        <v>246</v>
      </c>
      <c r="X23" s="122" t="s">
        <v>302</v>
      </c>
      <c r="Y23" s="141" t="s">
        <v>668</v>
      </c>
      <c r="Z23" s="122" t="s">
        <v>669</v>
      </c>
      <c r="AA23" s="141" t="s">
        <v>670</v>
      </c>
      <c r="AB23" s="122" t="s">
        <v>671</v>
      </c>
      <c r="AC23" s="141" t="s">
        <v>672</v>
      </c>
      <c r="AD23" s="122" t="s">
        <v>673</v>
      </c>
      <c r="AE23" s="122" t="s">
        <v>235</v>
      </c>
      <c r="AF23" s="122" t="s">
        <v>674</v>
      </c>
      <c r="AG23" s="122" t="s">
        <v>537</v>
      </c>
      <c r="AH23" s="122" t="s">
        <v>253</v>
      </c>
      <c r="AI23" s="122" t="s">
        <v>675</v>
      </c>
      <c r="AJ23" s="122" t="s">
        <v>676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247</v>
      </c>
      <c r="AP23" s="141" t="s">
        <v>247</v>
      </c>
      <c r="AQ23" s="141" t="s">
        <v>247</v>
      </c>
      <c r="AR23" s="141" t="s">
        <v>253</v>
      </c>
      <c r="AS23" s="141" t="s">
        <v>601</v>
      </c>
      <c r="AT23" s="141" t="s">
        <v>601</v>
      </c>
      <c r="AU23" s="141" t="s">
        <v>258</v>
      </c>
      <c r="AV23" s="122" t="s">
        <v>259</v>
      </c>
      <c r="AW23" s="122" t="s">
        <v>260</v>
      </c>
      <c r="AX23" s="141" t="s">
        <v>362</v>
      </c>
      <c r="AY23" s="141" t="s">
        <v>247</v>
      </c>
      <c r="AZ23" s="122" t="s">
        <v>677</v>
      </c>
      <c r="BA23" s="122" t="s">
        <v>262</v>
      </c>
      <c r="BB23" s="122" t="s">
        <v>262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5</v>
      </c>
      <c r="BJ23" s="123">
        <v>42232</v>
      </c>
      <c r="BK23" s="139" t="s">
        <v>606</v>
      </c>
      <c r="BM23" s="122">
        <v>33</v>
      </c>
    </row>
    <row r="24" spans="1:65" x14ac:dyDescent="0.25">
      <c r="A24" s="122" t="s">
        <v>541</v>
      </c>
      <c r="B24" s="122" t="s">
        <v>678</v>
      </c>
      <c r="C24" s="122" t="s">
        <v>679</v>
      </c>
      <c r="D24" s="122" t="s">
        <v>680</v>
      </c>
      <c r="E24" s="123">
        <v>42219</v>
      </c>
      <c r="F24" s="122" t="s">
        <v>234</v>
      </c>
      <c r="G24" s="122" t="s">
        <v>235</v>
      </c>
      <c r="H24" s="122" t="s">
        <v>681</v>
      </c>
      <c r="I24" s="122" t="s">
        <v>682</v>
      </c>
      <c r="K24" s="122" t="s">
        <v>238</v>
      </c>
      <c r="L24" s="122" t="s">
        <v>320</v>
      </c>
      <c r="M24" s="122" t="s">
        <v>321</v>
      </c>
      <c r="O24" s="141" t="s">
        <v>373</v>
      </c>
      <c r="P24" s="141" t="s">
        <v>683</v>
      </c>
      <c r="Q24" s="122" t="s">
        <v>243</v>
      </c>
      <c r="R24" s="142">
        <v>6</v>
      </c>
      <c r="S24" s="122" t="s">
        <v>684</v>
      </c>
      <c r="U24" s="122" t="s">
        <v>589</v>
      </c>
      <c r="W24" s="122" t="s">
        <v>246</v>
      </c>
      <c r="X24" s="122" t="s">
        <v>325</v>
      </c>
      <c r="Y24" s="141" t="s">
        <v>685</v>
      </c>
      <c r="Z24" s="122" t="s">
        <v>686</v>
      </c>
      <c r="AA24" s="141" t="s">
        <v>687</v>
      </c>
      <c r="AB24" s="122" t="s">
        <v>688</v>
      </c>
      <c r="AC24" s="141" t="s">
        <v>689</v>
      </c>
      <c r="AD24" s="122" t="s">
        <v>688</v>
      </c>
      <c r="AE24" s="122" t="s">
        <v>235</v>
      </c>
      <c r="AF24" s="122" t="s">
        <v>690</v>
      </c>
      <c r="AG24" s="122" t="s">
        <v>537</v>
      </c>
      <c r="AH24" s="122" t="s">
        <v>253</v>
      </c>
      <c r="AI24" s="122" t="s">
        <v>691</v>
      </c>
      <c r="AJ24" s="122" t="s">
        <v>691</v>
      </c>
      <c r="AK24" s="122" t="s">
        <v>692</v>
      </c>
      <c r="AL24" s="122" t="s">
        <v>693</v>
      </c>
      <c r="AM24" s="122" t="s">
        <v>253</v>
      </c>
      <c r="AN24" s="122" t="s">
        <v>694</v>
      </c>
      <c r="AO24" s="141" t="s">
        <v>253</v>
      </c>
      <c r="AP24" s="141" t="s">
        <v>253</v>
      </c>
      <c r="AQ24" s="141" t="s">
        <v>247</v>
      </c>
      <c r="AR24" s="141" t="s">
        <v>253</v>
      </c>
      <c r="AS24" s="141" t="s">
        <v>361</v>
      </c>
      <c r="AT24" s="141" t="s">
        <v>601</v>
      </c>
      <c r="AU24" s="141" t="s">
        <v>258</v>
      </c>
      <c r="AV24" s="122" t="s">
        <v>259</v>
      </c>
      <c r="AW24" s="122" t="s">
        <v>260</v>
      </c>
      <c r="AY24" s="141" t="s">
        <v>253</v>
      </c>
      <c r="AZ24" s="122" t="s">
        <v>695</v>
      </c>
      <c r="BA24" s="122" t="s">
        <v>262</v>
      </c>
      <c r="BB24" s="122" t="s">
        <v>262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6</v>
      </c>
      <c r="BJ24" s="123">
        <v>42232</v>
      </c>
      <c r="BK24" s="139" t="s">
        <v>606</v>
      </c>
      <c r="BM24" s="122">
        <v>33</v>
      </c>
    </row>
    <row r="25" spans="1:65" x14ac:dyDescent="0.25">
      <c r="A25" s="122" t="s">
        <v>541</v>
      </c>
      <c r="B25" s="122" t="s">
        <v>696</v>
      </c>
      <c r="C25" s="122" t="s">
        <v>697</v>
      </c>
      <c r="D25" s="122" t="s">
        <v>698</v>
      </c>
      <c r="E25" s="123">
        <v>42219</v>
      </c>
      <c r="F25" s="122" t="s">
        <v>699</v>
      </c>
      <c r="G25" s="122" t="s">
        <v>235</v>
      </c>
      <c r="H25" s="122" t="s">
        <v>700</v>
      </c>
      <c r="I25" s="122" t="s">
        <v>701</v>
      </c>
      <c r="K25" s="122" t="s">
        <v>238</v>
      </c>
      <c r="L25" s="122" t="s">
        <v>320</v>
      </c>
      <c r="M25" s="122" t="s">
        <v>702</v>
      </c>
      <c r="O25" s="141" t="s">
        <v>299</v>
      </c>
      <c r="P25" s="141" t="s">
        <v>703</v>
      </c>
      <c r="Q25" s="122" t="s">
        <v>243</v>
      </c>
      <c r="R25" s="142">
        <v>7</v>
      </c>
      <c r="S25" s="122" t="s">
        <v>704</v>
      </c>
      <c r="U25" s="122" t="s">
        <v>589</v>
      </c>
      <c r="W25" s="122" t="s">
        <v>246</v>
      </c>
      <c r="X25" s="122" t="s">
        <v>325</v>
      </c>
      <c r="Y25" s="141" t="s">
        <v>705</v>
      </c>
      <c r="Z25" s="122" t="s">
        <v>706</v>
      </c>
      <c r="AA25" s="141" t="s">
        <v>707</v>
      </c>
      <c r="AB25" s="122" t="s">
        <v>706</v>
      </c>
      <c r="AC25" s="141" t="s">
        <v>234</v>
      </c>
      <c r="AD25" s="122" t="s">
        <v>706</v>
      </c>
      <c r="AE25" s="122" t="s">
        <v>235</v>
      </c>
      <c r="AF25" s="122" t="s">
        <v>708</v>
      </c>
      <c r="AG25" s="122" t="s">
        <v>537</v>
      </c>
      <c r="AH25" s="122" t="s">
        <v>253</v>
      </c>
      <c r="AI25" s="122" t="s">
        <v>709</v>
      </c>
      <c r="AJ25" s="122" t="s">
        <v>710</v>
      </c>
      <c r="AK25" s="122" t="s">
        <v>253</v>
      </c>
      <c r="AL25" s="122" t="s">
        <v>253</v>
      </c>
      <c r="AM25" s="122" t="s">
        <v>253</v>
      </c>
      <c r="AN25" s="122" t="s">
        <v>253</v>
      </c>
      <c r="AO25" s="141" t="s">
        <v>253</v>
      </c>
      <c r="AP25" s="141" t="s">
        <v>253</v>
      </c>
      <c r="AQ25" s="141" t="s">
        <v>247</v>
      </c>
      <c r="AR25" s="141" t="s">
        <v>253</v>
      </c>
      <c r="AS25" s="141" t="s">
        <v>361</v>
      </c>
      <c r="AT25" s="141" t="s">
        <v>601</v>
      </c>
      <c r="AU25" s="141" t="s">
        <v>258</v>
      </c>
      <c r="AV25" s="122" t="s">
        <v>259</v>
      </c>
      <c r="AW25" s="122" t="s">
        <v>260</v>
      </c>
      <c r="AX25" s="141" t="s">
        <v>711</v>
      </c>
      <c r="AY25" s="141" t="s">
        <v>247</v>
      </c>
      <c r="AZ25" s="122" t="s">
        <v>712</v>
      </c>
      <c r="BA25" s="122" t="s">
        <v>262</v>
      </c>
      <c r="BB25" s="122" t="s">
        <v>262</v>
      </c>
      <c r="BC25" s="141" t="s">
        <v>312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7</v>
      </c>
      <c r="BJ25" s="123">
        <v>42222</v>
      </c>
      <c r="BK25" s="139" t="s">
        <v>264</v>
      </c>
      <c r="BL25" s="140">
        <v>144.96</v>
      </c>
      <c r="BM25" s="122">
        <v>32</v>
      </c>
    </row>
    <row r="26" spans="1:65" x14ac:dyDescent="0.25">
      <c r="A26" s="122" t="s">
        <v>541</v>
      </c>
      <c r="B26" s="122" t="s">
        <v>713</v>
      </c>
      <c r="C26" s="122" t="s">
        <v>714</v>
      </c>
      <c r="D26" s="122" t="s">
        <v>715</v>
      </c>
      <c r="E26" s="123">
        <v>42219</v>
      </c>
      <c r="F26" s="122" t="s">
        <v>716</v>
      </c>
      <c r="G26" s="122" t="s">
        <v>235</v>
      </c>
      <c r="H26" s="122" t="s">
        <v>717</v>
      </c>
      <c r="I26" s="122" t="s">
        <v>718</v>
      </c>
      <c r="K26" s="122" t="s">
        <v>238</v>
      </c>
      <c r="L26" s="122" t="s">
        <v>239</v>
      </c>
      <c r="M26" s="122" t="s">
        <v>719</v>
      </c>
      <c r="Q26" s="122" t="s">
        <v>243</v>
      </c>
      <c r="R26" s="142">
        <v>8</v>
      </c>
      <c r="S26" s="122" t="s">
        <v>720</v>
      </c>
      <c r="U26" s="122" t="s">
        <v>589</v>
      </c>
      <c r="W26" s="122" t="s">
        <v>246</v>
      </c>
      <c r="X26" s="122" t="s">
        <v>721</v>
      </c>
      <c r="Y26" s="141" t="s">
        <v>455</v>
      </c>
      <c r="Z26" s="122" t="s">
        <v>616</v>
      </c>
      <c r="AA26" s="141" t="s">
        <v>722</v>
      </c>
      <c r="AB26" s="122" t="s">
        <v>723</v>
      </c>
      <c r="AC26" s="141" t="s">
        <v>724</v>
      </c>
      <c r="AD26" s="122" t="s">
        <v>725</v>
      </c>
      <c r="AE26" s="122" t="s">
        <v>235</v>
      </c>
      <c r="AF26" s="122" t="s">
        <v>726</v>
      </c>
      <c r="AG26" s="122" t="s">
        <v>537</v>
      </c>
      <c r="AH26" s="122" t="s">
        <v>253</v>
      </c>
      <c r="AI26" s="122" t="s">
        <v>727</v>
      </c>
      <c r="AJ26" s="122" t="s">
        <v>728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247</v>
      </c>
      <c r="AP26" s="141" t="s">
        <v>253</v>
      </c>
      <c r="AQ26" s="141" t="s">
        <v>253</v>
      </c>
      <c r="AR26" s="141" t="s">
        <v>253</v>
      </c>
      <c r="AS26" s="141" t="s">
        <v>601</v>
      </c>
      <c r="AT26" s="141" t="s">
        <v>258</v>
      </c>
      <c r="AU26" s="141" t="s">
        <v>258</v>
      </c>
      <c r="AV26" s="122" t="s">
        <v>259</v>
      </c>
      <c r="AW26" s="122" t="s">
        <v>260</v>
      </c>
      <c r="AY26" s="141" t="s">
        <v>253</v>
      </c>
      <c r="AZ26" s="122" t="s">
        <v>729</v>
      </c>
      <c r="BA26" s="122" t="s">
        <v>262</v>
      </c>
      <c r="BB26" s="122" t="s">
        <v>262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8</v>
      </c>
      <c r="BJ26" s="123">
        <v>42222</v>
      </c>
      <c r="BK26" s="139" t="s">
        <v>264</v>
      </c>
      <c r="BL26" s="140">
        <v>91.68</v>
      </c>
      <c r="BM26" s="122">
        <v>32</v>
      </c>
    </row>
    <row r="27" spans="1:65" x14ac:dyDescent="0.25">
      <c r="A27" s="122" t="s">
        <v>541</v>
      </c>
      <c r="B27" s="122" t="s">
        <v>730</v>
      </c>
      <c r="C27" s="122" t="s">
        <v>731</v>
      </c>
      <c r="D27" s="122" t="s">
        <v>732</v>
      </c>
      <c r="E27" s="123">
        <v>42219</v>
      </c>
      <c r="F27" s="122" t="s">
        <v>733</v>
      </c>
      <c r="G27" s="122" t="s">
        <v>235</v>
      </c>
      <c r="H27" s="122" t="s">
        <v>734</v>
      </c>
      <c r="I27" s="122" t="s">
        <v>735</v>
      </c>
      <c r="K27" s="122" t="s">
        <v>238</v>
      </c>
      <c r="L27" s="122" t="s">
        <v>320</v>
      </c>
      <c r="M27" s="122" t="s">
        <v>585</v>
      </c>
      <c r="O27" s="141" t="s">
        <v>736</v>
      </c>
      <c r="P27" s="141" t="s">
        <v>737</v>
      </c>
      <c r="Q27" s="122" t="s">
        <v>243</v>
      </c>
      <c r="R27" s="142">
        <v>9</v>
      </c>
      <c r="S27" s="122" t="s">
        <v>738</v>
      </c>
      <c r="U27" s="122" t="s">
        <v>589</v>
      </c>
      <c r="W27" s="122" t="s">
        <v>246</v>
      </c>
      <c r="X27" s="122" t="s">
        <v>739</v>
      </c>
      <c r="Y27" s="141" t="s">
        <v>740</v>
      </c>
      <c r="Z27" s="122" t="s">
        <v>741</v>
      </c>
      <c r="AA27" s="141" t="s">
        <v>742</v>
      </c>
      <c r="AB27" s="122" t="s">
        <v>743</v>
      </c>
      <c r="AC27" s="141" t="s">
        <v>744</v>
      </c>
      <c r="AD27" s="122" t="s">
        <v>745</v>
      </c>
      <c r="AE27" s="122" t="s">
        <v>235</v>
      </c>
      <c r="AF27" s="122" t="s">
        <v>746</v>
      </c>
      <c r="AG27" s="122" t="s">
        <v>747</v>
      </c>
      <c r="AH27" s="122" t="s">
        <v>253</v>
      </c>
      <c r="AI27" s="122" t="s">
        <v>748</v>
      </c>
      <c r="AJ27" s="122" t="s">
        <v>749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247</v>
      </c>
      <c r="AP27" s="141" t="s">
        <v>247</v>
      </c>
      <c r="AQ27" s="141" t="s">
        <v>247</v>
      </c>
      <c r="AR27" s="141" t="s">
        <v>247</v>
      </c>
      <c r="AS27" s="141" t="s">
        <v>601</v>
      </c>
      <c r="AT27" s="141" t="s">
        <v>601</v>
      </c>
      <c r="AU27" s="141" t="s">
        <v>257</v>
      </c>
      <c r="AV27" s="122" t="s">
        <v>259</v>
      </c>
      <c r="AW27" s="122" t="s">
        <v>260</v>
      </c>
      <c r="AX27" s="141" t="s">
        <v>750</v>
      </c>
      <c r="AY27" s="141" t="s">
        <v>442</v>
      </c>
      <c r="AZ27" s="122" t="s">
        <v>751</v>
      </c>
      <c r="BA27" s="122" t="s">
        <v>262</v>
      </c>
      <c r="BB27" s="122" t="s">
        <v>262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9</v>
      </c>
      <c r="BJ27" s="123">
        <v>42232</v>
      </c>
      <c r="BK27" s="139" t="s">
        <v>606</v>
      </c>
      <c r="BM27" s="122">
        <v>33</v>
      </c>
    </row>
    <row r="28" spans="1:65" x14ac:dyDescent="0.25">
      <c r="A28" s="122" t="s">
        <v>541</v>
      </c>
      <c r="B28" s="122" t="s">
        <v>752</v>
      </c>
      <c r="C28" s="122" t="s">
        <v>753</v>
      </c>
      <c r="D28" s="122" t="s">
        <v>754</v>
      </c>
      <c r="E28" s="123">
        <v>42219</v>
      </c>
      <c r="F28" s="122" t="s">
        <v>755</v>
      </c>
      <c r="G28" s="122" t="s">
        <v>235</v>
      </c>
      <c r="H28" s="122" t="s">
        <v>756</v>
      </c>
      <c r="I28" s="122" t="s">
        <v>757</v>
      </c>
      <c r="J28" s="122" t="s">
        <v>758</v>
      </c>
      <c r="K28" s="122" t="s">
        <v>238</v>
      </c>
      <c r="L28" s="122" t="s">
        <v>239</v>
      </c>
      <c r="M28" s="122" t="s">
        <v>759</v>
      </c>
      <c r="O28" s="141" t="s">
        <v>566</v>
      </c>
      <c r="P28" s="141" t="s">
        <v>760</v>
      </c>
      <c r="Q28" s="122" t="s">
        <v>243</v>
      </c>
      <c r="R28" s="142">
        <v>10</v>
      </c>
      <c r="S28" s="122" t="s">
        <v>761</v>
      </c>
      <c r="U28" s="122" t="s">
        <v>589</v>
      </c>
      <c r="W28" s="122" t="s">
        <v>246</v>
      </c>
      <c r="X28" s="122" t="s">
        <v>260</v>
      </c>
      <c r="Y28" s="141" t="s">
        <v>500</v>
      </c>
      <c r="Z28" s="122" t="s">
        <v>762</v>
      </c>
      <c r="AA28" s="141" t="s">
        <v>763</v>
      </c>
      <c r="AB28" s="122" t="s">
        <v>764</v>
      </c>
      <c r="AC28" s="141" t="s">
        <v>765</v>
      </c>
      <c r="AD28" s="122" t="s">
        <v>766</v>
      </c>
      <c r="AE28" s="122" t="s">
        <v>235</v>
      </c>
      <c r="AF28" s="122" t="s">
        <v>767</v>
      </c>
      <c r="AG28" s="122" t="s">
        <v>253</v>
      </c>
      <c r="AH28" s="122" t="s">
        <v>253</v>
      </c>
      <c r="AI28" s="122" t="s">
        <v>768</v>
      </c>
      <c r="AJ28" s="122" t="s">
        <v>769</v>
      </c>
      <c r="AK28" s="122" t="s">
        <v>770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X28" s="141" t="s">
        <v>771</v>
      </c>
      <c r="AY28" s="141" t="s">
        <v>603</v>
      </c>
      <c r="AZ28" s="122" t="s">
        <v>772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10</v>
      </c>
      <c r="BJ28" s="123">
        <v>42232</v>
      </c>
      <c r="BK28" s="139" t="s">
        <v>606</v>
      </c>
      <c r="BM28" s="122">
        <v>33</v>
      </c>
    </row>
    <row r="29" spans="1:65" x14ac:dyDescent="0.25">
      <c r="A29" s="122" t="s">
        <v>230</v>
      </c>
      <c r="B29" s="122" t="s">
        <v>773</v>
      </c>
      <c r="C29" s="122" t="s">
        <v>774</v>
      </c>
      <c r="D29" s="122" t="s">
        <v>775</v>
      </c>
      <c r="E29" s="123">
        <v>42219</v>
      </c>
      <c r="F29" s="122" t="s">
        <v>776</v>
      </c>
      <c r="G29" s="122" t="s">
        <v>235</v>
      </c>
      <c r="H29" s="122" t="s">
        <v>777</v>
      </c>
      <c r="I29" s="122" t="s">
        <v>778</v>
      </c>
      <c r="K29" s="122" t="s">
        <v>238</v>
      </c>
      <c r="L29" s="122" t="s">
        <v>320</v>
      </c>
      <c r="M29" s="122" t="s">
        <v>779</v>
      </c>
      <c r="O29" s="141" t="s">
        <v>780</v>
      </c>
      <c r="P29" s="141" t="s">
        <v>781</v>
      </c>
      <c r="Q29" s="122" t="s">
        <v>243</v>
      </c>
      <c r="R29" s="142">
        <v>11</v>
      </c>
      <c r="S29" s="122" t="s">
        <v>782</v>
      </c>
      <c r="U29" s="122" t="s">
        <v>589</v>
      </c>
      <c r="W29" s="122" t="s">
        <v>246</v>
      </c>
      <c r="X29" s="122" t="s">
        <v>260</v>
      </c>
      <c r="Y29" s="141" t="s">
        <v>455</v>
      </c>
      <c r="Z29" s="122" t="s">
        <v>783</v>
      </c>
      <c r="AA29" s="141" t="s">
        <v>784</v>
      </c>
      <c r="AB29" s="122" t="s">
        <v>783</v>
      </c>
      <c r="AC29" s="141" t="s">
        <v>570</v>
      </c>
      <c r="AD29" s="122" t="s">
        <v>785</v>
      </c>
      <c r="AE29" s="122" t="s">
        <v>235</v>
      </c>
      <c r="AF29" s="122" t="s">
        <v>786</v>
      </c>
      <c r="AG29" s="122" t="s">
        <v>253</v>
      </c>
      <c r="AH29" s="122" t="s">
        <v>253</v>
      </c>
      <c r="AI29" s="122" t="s">
        <v>787</v>
      </c>
      <c r="AJ29" s="122" t="s">
        <v>788</v>
      </c>
      <c r="AK29" s="122" t="s">
        <v>789</v>
      </c>
      <c r="AL29" s="122" t="s">
        <v>253</v>
      </c>
      <c r="AM29" s="122" t="s">
        <v>253</v>
      </c>
      <c r="AN29" s="122" t="s">
        <v>253</v>
      </c>
      <c r="AO29" s="141" t="s">
        <v>253</v>
      </c>
      <c r="AP29" s="141" t="s">
        <v>253</v>
      </c>
      <c r="AQ29" s="141" t="s">
        <v>247</v>
      </c>
      <c r="AR29" s="141" t="s">
        <v>247</v>
      </c>
      <c r="AS29" s="141" t="s">
        <v>361</v>
      </c>
      <c r="AT29" s="141" t="s">
        <v>601</v>
      </c>
      <c r="AU29" s="141" t="s">
        <v>601</v>
      </c>
      <c r="AV29" s="122" t="s">
        <v>259</v>
      </c>
      <c r="AW29" s="122" t="s">
        <v>260</v>
      </c>
      <c r="AX29" s="141" t="s">
        <v>790</v>
      </c>
      <c r="AY29" s="141" t="s">
        <v>260</v>
      </c>
      <c r="AZ29" s="122" t="s">
        <v>791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11</v>
      </c>
      <c r="BJ29" s="123">
        <v>42232</v>
      </c>
      <c r="BK29" s="139" t="s">
        <v>606</v>
      </c>
      <c r="BM29" s="122">
        <v>33</v>
      </c>
    </row>
    <row r="30" spans="1:65" x14ac:dyDescent="0.25">
      <c r="A30" s="122" t="s">
        <v>230</v>
      </c>
      <c r="B30" s="122" t="s">
        <v>792</v>
      </c>
      <c r="C30" s="122" t="s">
        <v>793</v>
      </c>
      <c r="D30" s="122" t="s">
        <v>794</v>
      </c>
      <c r="E30" s="123">
        <v>42219</v>
      </c>
      <c r="F30" s="122" t="s">
        <v>795</v>
      </c>
      <c r="G30" s="122" t="s">
        <v>235</v>
      </c>
      <c r="H30" s="122" t="s">
        <v>448</v>
      </c>
      <c r="I30" s="122" t="s">
        <v>796</v>
      </c>
      <c r="K30" s="122" t="s">
        <v>238</v>
      </c>
      <c r="L30" s="122" t="s">
        <v>320</v>
      </c>
      <c r="M30" s="122" t="s">
        <v>779</v>
      </c>
      <c r="O30" s="141" t="s">
        <v>390</v>
      </c>
      <c r="P30" s="141" t="s">
        <v>797</v>
      </c>
      <c r="Q30" s="122" t="s">
        <v>243</v>
      </c>
      <c r="R30" s="142">
        <v>12</v>
      </c>
      <c r="S30" s="122" t="s">
        <v>798</v>
      </c>
      <c r="U30" s="122" t="s">
        <v>589</v>
      </c>
      <c r="W30" s="122" t="s">
        <v>246</v>
      </c>
      <c r="X30" s="122" t="s">
        <v>302</v>
      </c>
      <c r="Y30" s="141" t="s">
        <v>593</v>
      </c>
      <c r="Z30" s="122" t="s">
        <v>799</v>
      </c>
      <c r="AA30" s="141" t="s">
        <v>306</v>
      </c>
      <c r="AB30" s="122" t="s">
        <v>800</v>
      </c>
      <c r="AC30" s="141" t="s">
        <v>801</v>
      </c>
      <c r="AD30" s="122" t="s">
        <v>802</v>
      </c>
      <c r="AE30" s="122" t="s">
        <v>235</v>
      </c>
      <c r="AF30" s="122" t="s">
        <v>803</v>
      </c>
      <c r="AG30" s="122" t="s">
        <v>537</v>
      </c>
      <c r="AH30" s="122" t="s">
        <v>253</v>
      </c>
      <c r="AI30" s="122" t="s">
        <v>804</v>
      </c>
      <c r="AJ30" s="122" t="s">
        <v>805</v>
      </c>
      <c r="AK30" s="122" t="s">
        <v>253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253</v>
      </c>
      <c r="AQ30" s="141" t="s">
        <v>247</v>
      </c>
      <c r="AR30" s="141" t="s">
        <v>247</v>
      </c>
      <c r="AS30" s="141" t="s">
        <v>601</v>
      </c>
      <c r="AT30" s="141" t="s">
        <v>601</v>
      </c>
      <c r="AU30" s="141" t="s">
        <v>601</v>
      </c>
      <c r="AV30" s="122" t="s">
        <v>259</v>
      </c>
      <c r="AW30" s="122" t="s">
        <v>260</v>
      </c>
      <c r="AY30" s="141" t="s">
        <v>253</v>
      </c>
      <c r="AZ30" s="122" t="s">
        <v>262</v>
      </c>
      <c r="BA30" s="122" t="s">
        <v>262</v>
      </c>
      <c r="BB30" s="122" t="s">
        <v>806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12</v>
      </c>
      <c r="BJ30" s="123">
        <v>42232</v>
      </c>
      <c r="BK30" s="139" t="s">
        <v>606</v>
      </c>
      <c r="BM30" s="122">
        <v>33</v>
      </c>
    </row>
    <row r="31" spans="1:65" x14ac:dyDescent="0.25">
      <c r="A31" s="122" t="s">
        <v>230</v>
      </c>
      <c r="B31" s="122" t="s">
        <v>807</v>
      </c>
      <c r="C31" s="122" t="s">
        <v>808</v>
      </c>
      <c r="D31" s="122" t="s">
        <v>809</v>
      </c>
      <c r="E31" s="123">
        <v>42219</v>
      </c>
      <c r="F31" s="122" t="s">
        <v>810</v>
      </c>
      <c r="G31" s="122" t="s">
        <v>235</v>
      </c>
      <c r="H31" s="122" t="s">
        <v>811</v>
      </c>
      <c r="I31" s="122" t="s">
        <v>812</v>
      </c>
      <c r="J31" s="122" t="s">
        <v>813</v>
      </c>
      <c r="K31" s="122" t="s">
        <v>238</v>
      </c>
      <c r="L31" s="122" t="s">
        <v>239</v>
      </c>
      <c r="M31" s="122" t="s">
        <v>814</v>
      </c>
      <c r="O31" s="141" t="s">
        <v>548</v>
      </c>
      <c r="P31" s="141" t="s">
        <v>815</v>
      </c>
      <c r="Q31" s="122" t="s">
        <v>243</v>
      </c>
      <c r="R31" s="142">
        <v>13</v>
      </c>
      <c r="S31" s="122" t="s">
        <v>816</v>
      </c>
      <c r="U31" s="122" t="s">
        <v>589</v>
      </c>
      <c r="W31" s="122" t="s">
        <v>246</v>
      </c>
      <c r="X31" s="122" t="s">
        <v>325</v>
      </c>
      <c r="Y31" s="141" t="s">
        <v>457</v>
      </c>
      <c r="Z31" s="122" t="s">
        <v>817</v>
      </c>
      <c r="AA31" s="141" t="s">
        <v>742</v>
      </c>
      <c r="AB31" s="122" t="s">
        <v>818</v>
      </c>
      <c r="AC31" s="141" t="s">
        <v>819</v>
      </c>
      <c r="AD31" s="122" t="s">
        <v>355</v>
      </c>
      <c r="AE31" s="122" t="s">
        <v>235</v>
      </c>
      <c r="AF31" s="122" t="s">
        <v>820</v>
      </c>
      <c r="AG31" s="122" t="s">
        <v>537</v>
      </c>
      <c r="AH31" s="122" t="s">
        <v>253</v>
      </c>
      <c r="AI31" s="122" t="s">
        <v>821</v>
      </c>
      <c r="AJ31" s="122" t="s">
        <v>822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247</v>
      </c>
      <c r="AQ31" s="141" t="s">
        <v>253</v>
      </c>
      <c r="AR31" s="141" t="s">
        <v>253</v>
      </c>
      <c r="AS31" s="141" t="s">
        <v>601</v>
      </c>
      <c r="AT31" s="141" t="s">
        <v>258</v>
      </c>
      <c r="AU31" s="141" t="s">
        <v>258</v>
      </c>
      <c r="AV31" s="122" t="s">
        <v>259</v>
      </c>
      <c r="AW31" s="122" t="s">
        <v>260</v>
      </c>
      <c r="AY31" s="141" t="s">
        <v>253</v>
      </c>
      <c r="AZ31" s="122" t="s">
        <v>823</v>
      </c>
      <c r="BA31" s="122" t="s">
        <v>262</v>
      </c>
      <c r="BB31" s="122" t="s">
        <v>262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13</v>
      </c>
      <c r="BJ31" s="123">
        <v>42232</v>
      </c>
      <c r="BK31" s="139" t="s">
        <v>606</v>
      </c>
      <c r="BM31" s="122">
        <v>33</v>
      </c>
    </row>
    <row r="32" spans="1:65" x14ac:dyDescent="0.25">
      <c r="A32" s="122" t="s">
        <v>230</v>
      </c>
      <c r="B32" s="122" t="s">
        <v>824</v>
      </c>
      <c r="C32" s="122" t="s">
        <v>825</v>
      </c>
      <c r="D32" s="122" t="s">
        <v>826</v>
      </c>
      <c r="E32" s="123">
        <v>42219</v>
      </c>
      <c r="F32" s="122" t="s">
        <v>827</v>
      </c>
      <c r="G32" s="122" t="s">
        <v>235</v>
      </c>
      <c r="H32" s="122" t="s">
        <v>828</v>
      </c>
      <c r="I32" s="122" t="s">
        <v>829</v>
      </c>
      <c r="K32" s="122" t="s">
        <v>238</v>
      </c>
      <c r="L32" s="122" t="s">
        <v>320</v>
      </c>
      <c r="M32" s="122" t="s">
        <v>321</v>
      </c>
      <c r="O32" s="141" t="s">
        <v>613</v>
      </c>
      <c r="P32" s="141" t="s">
        <v>830</v>
      </c>
      <c r="Q32" s="122" t="s">
        <v>243</v>
      </c>
      <c r="R32" s="142">
        <v>14</v>
      </c>
      <c r="S32" s="122" t="s">
        <v>831</v>
      </c>
      <c r="U32" s="122" t="s">
        <v>589</v>
      </c>
      <c r="W32" s="122" t="s">
        <v>246</v>
      </c>
      <c r="X32" s="122" t="s">
        <v>442</v>
      </c>
      <c r="Y32" s="141" t="s">
        <v>352</v>
      </c>
      <c r="Z32" s="122" t="s">
        <v>832</v>
      </c>
      <c r="AA32" s="141" t="s">
        <v>833</v>
      </c>
      <c r="AB32" s="122" t="s">
        <v>355</v>
      </c>
      <c r="AC32" s="141" t="s">
        <v>834</v>
      </c>
      <c r="AD32" s="122" t="s">
        <v>835</v>
      </c>
      <c r="AE32" s="122" t="s">
        <v>235</v>
      </c>
      <c r="AF32" s="122" t="s">
        <v>836</v>
      </c>
      <c r="AG32" s="122" t="s">
        <v>253</v>
      </c>
      <c r="AH32" s="122" t="s">
        <v>253</v>
      </c>
      <c r="AI32" s="122" t="s">
        <v>837</v>
      </c>
      <c r="AJ32" s="122" t="s">
        <v>838</v>
      </c>
      <c r="AK32" s="122" t="s">
        <v>839</v>
      </c>
      <c r="AL32" s="122" t="s">
        <v>253</v>
      </c>
      <c r="AM32" s="122" t="s">
        <v>253</v>
      </c>
      <c r="AN32" s="122" t="s">
        <v>253</v>
      </c>
      <c r="AO32" s="141" t="s">
        <v>247</v>
      </c>
      <c r="AP32" s="141" t="s">
        <v>253</v>
      </c>
      <c r="AQ32" s="141" t="s">
        <v>247</v>
      </c>
      <c r="AR32" s="141" t="s">
        <v>253</v>
      </c>
      <c r="AS32" s="141" t="s">
        <v>601</v>
      </c>
      <c r="AT32" s="141" t="s">
        <v>601</v>
      </c>
      <c r="AU32" s="141" t="s">
        <v>258</v>
      </c>
      <c r="AV32" s="122" t="s">
        <v>259</v>
      </c>
      <c r="AW32" s="122" t="s">
        <v>260</v>
      </c>
      <c r="AX32" s="141" t="s">
        <v>840</v>
      </c>
      <c r="AY32" s="141" t="s">
        <v>260</v>
      </c>
      <c r="AZ32" s="122" t="s">
        <v>841</v>
      </c>
      <c r="BA32" s="122" t="s">
        <v>262</v>
      </c>
      <c r="BB32" s="122" t="s">
        <v>841</v>
      </c>
      <c r="BC32" s="141" t="s">
        <v>312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14</v>
      </c>
      <c r="BJ32" s="123">
        <v>42232</v>
      </c>
      <c r="BK32" s="139" t="s">
        <v>606</v>
      </c>
      <c r="BM32" s="122">
        <v>33</v>
      </c>
    </row>
    <row r="33" spans="1:66" x14ac:dyDescent="0.25">
      <c r="A33" s="122" t="s">
        <v>230</v>
      </c>
      <c r="B33" s="122" t="s">
        <v>842</v>
      </c>
      <c r="C33" s="122" t="s">
        <v>843</v>
      </c>
      <c r="D33" s="122" t="s">
        <v>844</v>
      </c>
      <c r="E33" s="123">
        <v>42219</v>
      </c>
      <c r="F33" s="122" t="s">
        <v>845</v>
      </c>
      <c r="G33" s="122" t="s">
        <v>235</v>
      </c>
      <c r="H33" s="122" t="s">
        <v>846</v>
      </c>
      <c r="I33" s="122" t="s">
        <v>847</v>
      </c>
      <c r="J33" s="122" t="s">
        <v>848</v>
      </c>
      <c r="K33" s="122" t="s">
        <v>238</v>
      </c>
      <c r="L33" s="122" t="s">
        <v>239</v>
      </c>
      <c r="M33" s="122" t="s">
        <v>849</v>
      </c>
      <c r="O33" s="141" t="s">
        <v>850</v>
      </c>
      <c r="P33" s="141" t="s">
        <v>851</v>
      </c>
      <c r="Q33" s="122" t="s">
        <v>243</v>
      </c>
      <c r="R33" s="142">
        <v>15</v>
      </c>
      <c r="S33" s="122" t="s">
        <v>852</v>
      </c>
      <c r="U33" s="122" t="s">
        <v>589</v>
      </c>
      <c r="W33" s="122" t="s">
        <v>246</v>
      </c>
      <c r="X33" s="122" t="s">
        <v>853</v>
      </c>
      <c r="Y33" s="141" t="s">
        <v>670</v>
      </c>
      <c r="Z33" s="122" t="s">
        <v>854</v>
      </c>
      <c r="AA33" s="141" t="s">
        <v>855</v>
      </c>
      <c r="AB33" s="122" t="s">
        <v>856</v>
      </c>
      <c r="AC33" s="141" t="s">
        <v>857</v>
      </c>
      <c r="AD33" s="122" t="s">
        <v>669</v>
      </c>
      <c r="AE33" s="122" t="s">
        <v>235</v>
      </c>
      <c r="AF33" s="122" t="s">
        <v>858</v>
      </c>
      <c r="AG33" s="122" t="s">
        <v>537</v>
      </c>
      <c r="AH33" s="122" t="s">
        <v>253</v>
      </c>
      <c r="AI33" s="122" t="s">
        <v>859</v>
      </c>
      <c r="AJ33" s="122" t="s">
        <v>860</v>
      </c>
      <c r="AK33" s="122" t="s">
        <v>861</v>
      </c>
      <c r="AL33" s="122" t="s">
        <v>862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253</v>
      </c>
      <c r="AS33" s="141" t="s">
        <v>601</v>
      </c>
      <c r="AT33" s="141" t="s">
        <v>601</v>
      </c>
      <c r="AU33" s="141" t="s">
        <v>258</v>
      </c>
      <c r="AV33" s="122" t="s">
        <v>259</v>
      </c>
      <c r="AW33" s="122" t="s">
        <v>260</v>
      </c>
      <c r="AX33" s="141" t="s">
        <v>863</v>
      </c>
      <c r="AY33" s="141" t="s">
        <v>442</v>
      </c>
      <c r="AZ33" s="122" t="s">
        <v>864</v>
      </c>
      <c r="BA33" s="122" t="s">
        <v>262</v>
      </c>
      <c r="BB33" s="122" t="s">
        <v>262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15</v>
      </c>
      <c r="BJ33" s="123">
        <v>42232</v>
      </c>
      <c r="BK33" s="139" t="s">
        <v>606</v>
      </c>
      <c r="BM33" s="122">
        <v>33</v>
      </c>
    </row>
    <row r="34" spans="1:66" x14ac:dyDescent="0.25">
      <c r="A34" s="122" t="s">
        <v>230</v>
      </c>
      <c r="B34" s="122" t="s">
        <v>865</v>
      </c>
      <c r="C34" s="122" t="s">
        <v>866</v>
      </c>
      <c r="D34" s="122" t="s">
        <v>867</v>
      </c>
      <c r="E34" s="123">
        <v>42219</v>
      </c>
      <c r="F34" s="122" t="s">
        <v>868</v>
      </c>
      <c r="G34" s="122" t="s">
        <v>235</v>
      </c>
      <c r="H34" s="122" t="s">
        <v>869</v>
      </c>
      <c r="I34" s="122" t="s">
        <v>870</v>
      </c>
      <c r="J34" s="122" t="s">
        <v>871</v>
      </c>
      <c r="K34" s="122" t="s">
        <v>238</v>
      </c>
      <c r="L34" s="122" t="s">
        <v>320</v>
      </c>
      <c r="M34" s="122" t="s">
        <v>872</v>
      </c>
      <c r="O34" s="141" t="s">
        <v>873</v>
      </c>
      <c r="P34" s="141" t="s">
        <v>874</v>
      </c>
      <c r="Q34" s="122" t="s">
        <v>243</v>
      </c>
      <c r="R34" s="142">
        <v>16</v>
      </c>
      <c r="S34" s="122" t="s">
        <v>875</v>
      </c>
      <c r="T34" s="122" t="s">
        <v>876</v>
      </c>
      <c r="U34" s="122" t="s">
        <v>589</v>
      </c>
      <c r="W34" s="122" t="s">
        <v>246</v>
      </c>
      <c r="X34" s="122" t="s">
        <v>442</v>
      </c>
      <c r="Y34" s="141" t="s">
        <v>877</v>
      </c>
      <c r="Z34" s="122" t="s">
        <v>878</v>
      </c>
      <c r="AA34" s="141" t="s">
        <v>879</v>
      </c>
      <c r="AB34" s="122" t="s">
        <v>878</v>
      </c>
      <c r="AC34" s="141" t="s">
        <v>880</v>
      </c>
      <c r="AD34" s="122" t="s">
        <v>881</v>
      </c>
      <c r="AE34" s="122" t="s">
        <v>235</v>
      </c>
      <c r="AF34" s="122" t="s">
        <v>882</v>
      </c>
      <c r="AG34" s="122" t="s">
        <v>253</v>
      </c>
      <c r="AH34" s="122" t="s">
        <v>253</v>
      </c>
      <c r="AI34" s="122" t="s">
        <v>883</v>
      </c>
      <c r="AJ34" s="122" t="s">
        <v>884</v>
      </c>
      <c r="AK34" s="122" t="s">
        <v>885</v>
      </c>
      <c r="AL34" s="122" t="s">
        <v>886</v>
      </c>
      <c r="AM34" s="122" t="s">
        <v>253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253</v>
      </c>
      <c r="AS34" s="141" t="s">
        <v>601</v>
      </c>
      <c r="AT34" s="141" t="s">
        <v>601</v>
      </c>
      <c r="AU34" s="141" t="s">
        <v>258</v>
      </c>
      <c r="AV34" s="122" t="s">
        <v>259</v>
      </c>
      <c r="AW34" s="122" t="s">
        <v>260</v>
      </c>
      <c r="AY34" s="141" t="s">
        <v>253</v>
      </c>
      <c r="AZ34" s="122" t="s">
        <v>887</v>
      </c>
      <c r="BA34" s="122" t="s">
        <v>262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16</v>
      </c>
      <c r="BJ34" s="123">
        <v>42232</v>
      </c>
      <c r="BK34" s="139" t="s">
        <v>606</v>
      </c>
      <c r="BM34" s="122">
        <v>33</v>
      </c>
    </row>
    <row r="35" spans="1:66" x14ac:dyDescent="0.25">
      <c r="A35" s="122" t="s">
        <v>888</v>
      </c>
      <c r="B35" s="122" t="s">
        <v>889</v>
      </c>
      <c r="C35" s="122" t="s">
        <v>890</v>
      </c>
      <c r="D35" s="122" t="s">
        <v>891</v>
      </c>
      <c r="E35" s="123">
        <v>42219</v>
      </c>
      <c r="F35" s="122" t="s">
        <v>892</v>
      </c>
      <c r="G35" s="122" t="s">
        <v>235</v>
      </c>
      <c r="H35" s="122" t="s">
        <v>893</v>
      </c>
      <c r="I35" s="122" t="s">
        <v>894</v>
      </c>
      <c r="J35" s="122" t="s">
        <v>370</v>
      </c>
      <c r="K35" s="122" t="s">
        <v>238</v>
      </c>
      <c r="L35" s="122" t="s">
        <v>320</v>
      </c>
      <c r="M35" s="122" t="s">
        <v>895</v>
      </c>
      <c r="O35" s="141" t="s">
        <v>273</v>
      </c>
      <c r="P35" s="141" t="s">
        <v>896</v>
      </c>
      <c r="Q35" s="122" t="s">
        <v>243</v>
      </c>
      <c r="R35" s="142">
        <v>17</v>
      </c>
      <c r="S35" s="122" t="s">
        <v>897</v>
      </c>
      <c r="U35" s="122" t="s">
        <v>589</v>
      </c>
      <c r="W35" s="122" t="s">
        <v>246</v>
      </c>
      <c r="X35" s="122" t="s">
        <v>739</v>
      </c>
      <c r="Y35" s="141" t="s">
        <v>378</v>
      </c>
      <c r="Z35" s="122" t="s">
        <v>898</v>
      </c>
      <c r="AA35" s="141" t="s">
        <v>899</v>
      </c>
      <c r="AB35" s="122" t="s">
        <v>900</v>
      </c>
      <c r="AC35" s="141" t="s">
        <v>901</v>
      </c>
      <c r="AD35" s="122" t="s">
        <v>902</v>
      </c>
      <c r="AE35" s="122" t="s">
        <v>235</v>
      </c>
      <c r="AF35" s="122" t="s">
        <v>903</v>
      </c>
      <c r="AG35" s="122" t="s">
        <v>904</v>
      </c>
      <c r="AH35" s="122" t="s">
        <v>253</v>
      </c>
      <c r="AI35" s="122" t="s">
        <v>905</v>
      </c>
      <c r="AJ35" s="122" t="s">
        <v>906</v>
      </c>
      <c r="AK35" s="122" t="s">
        <v>253</v>
      </c>
      <c r="AL35" s="122" t="s">
        <v>253</v>
      </c>
      <c r="AM35" s="122" t="s">
        <v>253</v>
      </c>
      <c r="AN35" s="122" t="s">
        <v>253</v>
      </c>
      <c r="AO35" s="141" t="s">
        <v>247</v>
      </c>
      <c r="AP35" s="141" t="s">
        <v>247</v>
      </c>
      <c r="AQ35" s="141" t="s">
        <v>253</v>
      </c>
      <c r="AR35" s="141" t="s">
        <v>253</v>
      </c>
      <c r="AS35" s="141" t="s">
        <v>601</v>
      </c>
      <c r="AT35" s="141" t="s">
        <v>258</v>
      </c>
      <c r="AU35" s="141" t="s">
        <v>258</v>
      </c>
      <c r="AV35" s="122" t="s">
        <v>259</v>
      </c>
      <c r="AW35" s="122" t="s">
        <v>260</v>
      </c>
      <c r="AY35" s="141" t="s">
        <v>253</v>
      </c>
      <c r="AZ35" s="122" t="s">
        <v>907</v>
      </c>
      <c r="BA35" s="122" t="s">
        <v>262</v>
      </c>
      <c r="BB35" s="122" t="s">
        <v>262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17</v>
      </c>
      <c r="BJ35" s="123">
        <v>42232</v>
      </c>
      <c r="BK35" s="139" t="s">
        <v>606</v>
      </c>
      <c r="BM35" s="122">
        <v>33</v>
      </c>
    </row>
    <row r="36" spans="1:66" x14ac:dyDescent="0.25">
      <c r="A36" s="122" t="s">
        <v>888</v>
      </c>
      <c r="B36" s="122" t="s">
        <v>908</v>
      </c>
      <c r="C36" s="122" t="s">
        <v>909</v>
      </c>
      <c r="D36" s="122" t="s">
        <v>910</v>
      </c>
      <c r="E36" s="123">
        <v>42219</v>
      </c>
      <c r="F36" s="122" t="s">
        <v>911</v>
      </c>
      <c r="G36" s="122" t="s">
        <v>235</v>
      </c>
      <c r="H36" s="122" t="s">
        <v>912</v>
      </c>
      <c r="I36" s="122" t="s">
        <v>913</v>
      </c>
      <c r="J36" s="122" t="s">
        <v>914</v>
      </c>
      <c r="K36" s="122" t="s">
        <v>238</v>
      </c>
      <c r="L36" s="122" t="s">
        <v>320</v>
      </c>
      <c r="M36" s="122" t="s">
        <v>915</v>
      </c>
      <c r="O36" s="141" t="s">
        <v>916</v>
      </c>
      <c r="P36" s="141" t="s">
        <v>917</v>
      </c>
      <c r="Q36" s="122" t="s">
        <v>243</v>
      </c>
      <c r="R36" s="142">
        <v>18</v>
      </c>
      <c r="S36" s="122" t="s">
        <v>918</v>
      </c>
      <c r="U36" s="122" t="s">
        <v>589</v>
      </c>
      <c r="W36" s="122" t="s">
        <v>246</v>
      </c>
      <c r="X36" s="122" t="s">
        <v>739</v>
      </c>
      <c r="Y36" s="141" t="s">
        <v>511</v>
      </c>
      <c r="Z36" s="122" t="s">
        <v>919</v>
      </c>
      <c r="AA36" s="141" t="s">
        <v>920</v>
      </c>
      <c r="AB36" s="122" t="s">
        <v>249</v>
      </c>
      <c r="AC36" s="141" t="s">
        <v>921</v>
      </c>
      <c r="AD36" s="122" t="s">
        <v>922</v>
      </c>
      <c r="AE36" s="122" t="s">
        <v>235</v>
      </c>
      <c r="AF36" s="122" t="s">
        <v>923</v>
      </c>
      <c r="AG36" s="122" t="s">
        <v>924</v>
      </c>
      <c r="AH36" s="122" t="s">
        <v>253</v>
      </c>
      <c r="AI36" s="122" t="s">
        <v>925</v>
      </c>
      <c r="AJ36" s="122" t="s">
        <v>926</v>
      </c>
      <c r="AK36" s="122" t="s">
        <v>927</v>
      </c>
      <c r="AL36" s="122" t="s">
        <v>253</v>
      </c>
      <c r="AM36" s="122" t="s">
        <v>253</v>
      </c>
      <c r="AN36" s="122" t="s">
        <v>253</v>
      </c>
      <c r="AO36" s="141" t="s">
        <v>247</v>
      </c>
      <c r="AP36" s="141" t="s">
        <v>247</v>
      </c>
      <c r="AQ36" s="141" t="s">
        <v>247</v>
      </c>
      <c r="AR36" s="141" t="s">
        <v>247</v>
      </c>
      <c r="AS36" s="141" t="s">
        <v>601</v>
      </c>
      <c r="AT36" s="141" t="s">
        <v>601</v>
      </c>
      <c r="AU36" s="141" t="s">
        <v>601</v>
      </c>
      <c r="AV36" s="122" t="s">
        <v>259</v>
      </c>
      <c r="AW36" s="122" t="s">
        <v>260</v>
      </c>
      <c r="AY36" s="141" t="s">
        <v>253</v>
      </c>
      <c r="AZ36" s="122" t="s">
        <v>928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18</v>
      </c>
      <c r="BJ36" s="123">
        <v>42232</v>
      </c>
      <c r="BK36" s="139" t="s">
        <v>606</v>
      </c>
      <c r="BM36" s="122">
        <v>33</v>
      </c>
    </row>
    <row r="37" spans="1:66" x14ac:dyDescent="0.25">
      <c r="A37" s="122" t="s">
        <v>888</v>
      </c>
      <c r="B37" s="122" t="s">
        <v>929</v>
      </c>
      <c r="C37" s="122" t="s">
        <v>930</v>
      </c>
      <c r="D37" s="122" t="s">
        <v>931</v>
      </c>
      <c r="E37" s="123">
        <v>42219</v>
      </c>
      <c r="F37" s="122" t="s">
        <v>932</v>
      </c>
      <c r="G37" s="122" t="s">
        <v>235</v>
      </c>
      <c r="H37" s="122" t="s">
        <v>933</v>
      </c>
      <c r="I37" s="122" t="s">
        <v>934</v>
      </c>
      <c r="K37" s="122" t="s">
        <v>238</v>
      </c>
      <c r="L37" s="122" t="s">
        <v>239</v>
      </c>
      <c r="M37" s="122" t="s">
        <v>935</v>
      </c>
      <c r="N37" s="122" t="s">
        <v>936</v>
      </c>
      <c r="Q37" s="122" t="s">
        <v>243</v>
      </c>
      <c r="R37" s="142">
        <v>19</v>
      </c>
      <c r="S37" s="122" t="s">
        <v>937</v>
      </c>
      <c r="U37" s="122" t="s">
        <v>589</v>
      </c>
      <c r="W37" s="122" t="s">
        <v>246</v>
      </c>
      <c r="X37" s="122" t="s">
        <v>739</v>
      </c>
      <c r="Y37" s="141" t="s">
        <v>378</v>
      </c>
      <c r="Z37" s="122" t="s">
        <v>938</v>
      </c>
      <c r="AA37" s="141" t="s">
        <v>511</v>
      </c>
      <c r="AB37" s="122" t="s">
        <v>939</v>
      </c>
      <c r="AC37" s="141" t="s">
        <v>763</v>
      </c>
      <c r="AD37" s="122" t="s">
        <v>940</v>
      </c>
      <c r="AE37" s="122" t="s">
        <v>235</v>
      </c>
      <c r="AF37" s="122" t="s">
        <v>941</v>
      </c>
      <c r="AG37" s="122" t="s">
        <v>537</v>
      </c>
      <c r="AH37" s="122" t="s">
        <v>253</v>
      </c>
      <c r="AI37" s="122" t="s">
        <v>942</v>
      </c>
      <c r="AJ37" s="122" t="s">
        <v>943</v>
      </c>
      <c r="AK37" s="122" t="s">
        <v>944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253</v>
      </c>
      <c r="AQ37" s="141" t="s">
        <v>253</v>
      </c>
      <c r="AR37" s="141" t="s">
        <v>253</v>
      </c>
      <c r="AS37" s="141" t="s">
        <v>601</v>
      </c>
      <c r="AT37" s="141" t="s">
        <v>258</v>
      </c>
      <c r="AU37" s="141" t="s">
        <v>258</v>
      </c>
      <c r="AV37" s="122" t="s">
        <v>259</v>
      </c>
      <c r="AW37" s="122" t="s">
        <v>260</v>
      </c>
      <c r="AY37" s="141" t="s">
        <v>253</v>
      </c>
      <c r="AZ37" s="122" t="s">
        <v>945</v>
      </c>
      <c r="BA37" s="122" t="s">
        <v>262</v>
      </c>
      <c r="BB37" s="122" t="s">
        <v>946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19</v>
      </c>
      <c r="BJ37" s="123">
        <v>42222</v>
      </c>
      <c r="BK37" s="139" t="s">
        <v>264</v>
      </c>
      <c r="BL37" s="140">
        <v>40</v>
      </c>
      <c r="BM37" s="122">
        <v>32</v>
      </c>
    </row>
    <row r="38" spans="1:66" x14ac:dyDescent="0.25">
      <c r="A38" s="122" t="s">
        <v>888</v>
      </c>
      <c r="B38" s="122" t="s">
        <v>947</v>
      </c>
      <c r="C38" s="122" t="s">
        <v>948</v>
      </c>
      <c r="D38" s="122" t="s">
        <v>949</v>
      </c>
      <c r="E38" s="123">
        <v>42219</v>
      </c>
      <c r="F38" s="122" t="s">
        <v>950</v>
      </c>
      <c r="G38" s="122" t="s">
        <v>235</v>
      </c>
      <c r="H38" s="122" t="s">
        <v>951</v>
      </c>
      <c r="I38" s="122" t="s">
        <v>952</v>
      </c>
      <c r="K38" s="122" t="s">
        <v>238</v>
      </c>
      <c r="L38" s="122" t="s">
        <v>320</v>
      </c>
      <c r="M38" s="122" t="s">
        <v>648</v>
      </c>
      <c r="O38" s="141" t="s">
        <v>953</v>
      </c>
      <c r="P38" s="141" t="s">
        <v>954</v>
      </c>
      <c r="Q38" s="122" t="s">
        <v>243</v>
      </c>
      <c r="R38" s="142">
        <v>20</v>
      </c>
      <c r="S38" s="122" t="s">
        <v>955</v>
      </c>
      <c r="U38" s="122" t="s">
        <v>589</v>
      </c>
      <c r="W38" s="122" t="s">
        <v>246</v>
      </c>
      <c r="X38" s="122" t="s">
        <v>376</v>
      </c>
      <c r="Y38" s="141" t="s">
        <v>956</v>
      </c>
      <c r="Z38" s="122" t="s">
        <v>957</v>
      </c>
      <c r="AA38" s="141" t="s">
        <v>958</v>
      </c>
      <c r="AB38" s="122" t="s">
        <v>249</v>
      </c>
      <c r="AC38" s="141" t="s">
        <v>670</v>
      </c>
      <c r="AD38" s="122" t="s">
        <v>959</v>
      </c>
      <c r="AE38" s="122" t="s">
        <v>235</v>
      </c>
      <c r="AF38" s="122" t="s">
        <v>960</v>
      </c>
      <c r="AG38" s="122" t="s">
        <v>537</v>
      </c>
      <c r="AH38" s="122" t="s">
        <v>253</v>
      </c>
      <c r="AI38" s="122" t="s">
        <v>961</v>
      </c>
      <c r="AJ38" s="122" t="s">
        <v>962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247</v>
      </c>
      <c r="AP38" s="141" t="s">
        <v>247</v>
      </c>
      <c r="AQ38" s="141" t="s">
        <v>247</v>
      </c>
      <c r="AR38" s="141" t="s">
        <v>253</v>
      </c>
      <c r="AS38" s="141" t="s">
        <v>601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X38" s="141" t="s">
        <v>963</v>
      </c>
      <c r="AY38" s="141" t="s">
        <v>603</v>
      </c>
      <c r="AZ38" s="122" t="s">
        <v>964</v>
      </c>
      <c r="BA38" s="122" t="s">
        <v>262</v>
      </c>
      <c r="BB38" s="122" t="s">
        <v>262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20</v>
      </c>
      <c r="BJ38" s="123">
        <v>42221</v>
      </c>
      <c r="BK38" s="139" t="s">
        <v>264</v>
      </c>
      <c r="BL38" s="140">
        <v>190</v>
      </c>
      <c r="BM38" s="122">
        <v>32</v>
      </c>
    </row>
    <row r="39" spans="1:66" x14ac:dyDescent="0.25">
      <c r="A39" s="122" t="s">
        <v>404</v>
      </c>
      <c r="B39" s="122" t="s">
        <v>965</v>
      </c>
      <c r="C39" s="122" t="s">
        <v>966</v>
      </c>
      <c r="D39" s="122" t="s">
        <v>967</v>
      </c>
      <c r="E39" s="123">
        <v>42219</v>
      </c>
      <c r="F39" s="122" t="s">
        <v>968</v>
      </c>
      <c r="G39" s="122" t="s">
        <v>235</v>
      </c>
      <c r="H39" s="122" t="s">
        <v>448</v>
      </c>
      <c r="I39" s="122" t="s">
        <v>969</v>
      </c>
      <c r="K39" s="122" t="s">
        <v>238</v>
      </c>
      <c r="L39" s="122" t="s">
        <v>320</v>
      </c>
      <c r="M39" s="122" t="s">
        <v>915</v>
      </c>
      <c r="O39" s="141" t="s">
        <v>665</v>
      </c>
      <c r="P39" s="141" t="s">
        <v>970</v>
      </c>
      <c r="Q39" s="122" t="s">
        <v>243</v>
      </c>
      <c r="R39" s="142">
        <v>21</v>
      </c>
      <c r="S39" s="122" t="s">
        <v>971</v>
      </c>
      <c r="U39" s="122" t="s">
        <v>589</v>
      </c>
      <c r="W39" s="122" t="s">
        <v>246</v>
      </c>
      <c r="X39" s="122" t="s">
        <v>972</v>
      </c>
      <c r="Y39" s="141" t="s">
        <v>973</v>
      </c>
      <c r="Z39" s="122" t="s">
        <v>974</v>
      </c>
      <c r="AA39" s="141" t="s">
        <v>304</v>
      </c>
      <c r="AB39" s="122" t="s">
        <v>305</v>
      </c>
      <c r="AC39" s="141" t="s">
        <v>367</v>
      </c>
      <c r="AD39" s="122" t="s">
        <v>975</v>
      </c>
      <c r="AE39" s="122" t="s">
        <v>235</v>
      </c>
      <c r="AF39" s="122" t="s">
        <v>976</v>
      </c>
      <c r="AG39" s="122" t="s">
        <v>253</v>
      </c>
      <c r="AH39" s="122" t="s">
        <v>253</v>
      </c>
      <c r="AI39" s="122" t="s">
        <v>977</v>
      </c>
      <c r="AJ39" s="122" t="s">
        <v>978</v>
      </c>
      <c r="AK39" s="122" t="s">
        <v>253</v>
      </c>
      <c r="AL39" s="122" t="s">
        <v>979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247</v>
      </c>
      <c r="AS39" s="141" t="s">
        <v>601</v>
      </c>
      <c r="AT39" s="141" t="s">
        <v>601</v>
      </c>
      <c r="AU39" s="141" t="s">
        <v>601</v>
      </c>
      <c r="AV39" s="122" t="s">
        <v>259</v>
      </c>
      <c r="AW39" s="122" t="s">
        <v>260</v>
      </c>
      <c r="AX39" s="141" t="s">
        <v>980</v>
      </c>
      <c r="AY39" s="141" t="s">
        <v>247</v>
      </c>
      <c r="AZ39" s="122" t="s">
        <v>262</v>
      </c>
      <c r="BA39" s="122" t="s">
        <v>262</v>
      </c>
      <c r="BB39" s="122" t="s">
        <v>981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21</v>
      </c>
      <c r="BJ39" s="123">
        <v>42232</v>
      </c>
      <c r="BK39" s="139" t="s">
        <v>606</v>
      </c>
      <c r="BM39" s="122">
        <v>33</v>
      </c>
    </row>
    <row r="40" spans="1:66" x14ac:dyDescent="0.25">
      <c r="A40" s="122" t="s">
        <v>404</v>
      </c>
      <c r="B40" s="122" t="s">
        <v>982</v>
      </c>
      <c r="C40" s="122" t="s">
        <v>983</v>
      </c>
      <c r="D40" s="122" t="s">
        <v>984</v>
      </c>
      <c r="E40" s="123">
        <v>42219</v>
      </c>
      <c r="F40" s="122" t="s">
        <v>985</v>
      </c>
      <c r="G40" s="122" t="s">
        <v>235</v>
      </c>
      <c r="H40" s="122" t="s">
        <v>986</v>
      </c>
      <c r="I40" s="122" t="s">
        <v>987</v>
      </c>
      <c r="K40" s="122" t="s">
        <v>238</v>
      </c>
      <c r="L40" s="122" t="s">
        <v>320</v>
      </c>
      <c r="M40" s="122" t="s">
        <v>988</v>
      </c>
      <c r="O40" s="141" t="s">
        <v>451</v>
      </c>
      <c r="P40" s="141" t="s">
        <v>989</v>
      </c>
      <c r="Q40" s="122" t="s">
        <v>243</v>
      </c>
      <c r="R40" s="142">
        <v>22</v>
      </c>
      <c r="S40" s="122" t="s">
        <v>990</v>
      </c>
      <c r="U40" s="122" t="s">
        <v>589</v>
      </c>
      <c r="W40" s="122" t="s">
        <v>246</v>
      </c>
      <c r="X40" s="122" t="s">
        <v>302</v>
      </c>
      <c r="Y40" s="141" t="s">
        <v>784</v>
      </c>
      <c r="Z40" s="122" t="s">
        <v>991</v>
      </c>
      <c r="AA40" s="141" t="s">
        <v>281</v>
      </c>
      <c r="AB40" s="122" t="s">
        <v>992</v>
      </c>
      <c r="AC40" s="141" t="s">
        <v>367</v>
      </c>
      <c r="AD40" s="122" t="s">
        <v>355</v>
      </c>
      <c r="AE40" s="122" t="s">
        <v>235</v>
      </c>
      <c r="AF40" s="122" t="s">
        <v>993</v>
      </c>
      <c r="AG40" s="122" t="s">
        <v>994</v>
      </c>
      <c r="AH40" s="122" t="s">
        <v>253</v>
      </c>
      <c r="AI40" s="122" t="s">
        <v>995</v>
      </c>
      <c r="AJ40" s="122" t="s">
        <v>996</v>
      </c>
      <c r="AK40" s="122" t="s">
        <v>253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247</v>
      </c>
      <c r="AQ40" s="141" t="s">
        <v>247</v>
      </c>
      <c r="AR40" s="141" t="s">
        <v>247</v>
      </c>
      <c r="AS40" s="141" t="s">
        <v>601</v>
      </c>
      <c r="AT40" s="141" t="s">
        <v>601</v>
      </c>
      <c r="AU40" s="141" t="s">
        <v>601</v>
      </c>
      <c r="AV40" s="122" t="s">
        <v>259</v>
      </c>
      <c r="AW40" s="122" t="s">
        <v>260</v>
      </c>
      <c r="AY40" s="141" t="s">
        <v>253</v>
      </c>
      <c r="AZ40" s="122" t="s">
        <v>997</v>
      </c>
      <c r="BA40" s="122" t="s">
        <v>262</v>
      </c>
      <c r="BB40" s="122" t="s">
        <v>262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22</v>
      </c>
      <c r="BJ40" s="123">
        <v>42232</v>
      </c>
      <c r="BK40" s="139" t="s">
        <v>606</v>
      </c>
      <c r="BM40" s="122">
        <v>33</v>
      </c>
    </row>
    <row r="41" spans="1:66" x14ac:dyDescent="0.25">
      <c r="A41" s="122" t="s">
        <v>404</v>
      </c>
      <c r="B41" s="122" t="s">
        <v>998</v>
      </c>
      <c r="C41" s="122" t="s">
        <v>999</v>
      </c>
      <c r="D41" s="122" t="s">
        <v>1000</v>
      </c>
      <c r="E41" s="123">
        <v>42219</v>
      </c>
      <c r="F41" s="122" t="s">
        <v>281</v>
      </c>
      <c r="G41" s="122" t="s">
        <v>235</v>
      </c>
      <c r="H41" s="122" t="s">
        <v>1001</v>
      </c>
      <c r="I41" s="122" t="s">
        <v>1002</v>
      </c>
      <c r="K41" s="122" t="s">
        <v>238</v>
      </c>
      <c r="L41" s="122" t="s">
        <v>320</v>
      </c>
      <c r="M41" s="122" t="s">
        <v>1003</v>
      </c>
      <c r="O41" s="141" t="s">
        <v>780</v>
      </c>
      <c r="P41" s="141" t="s">
        <v>1004</v>
      </c>
      <c r="Q41" s="122" t="s">
        <v>243</v>
      </c>
      <c r="R41" s="142">
        <v>23</v>
      </c>
      <c r="S41" s="122" t="s">
        <v>1005</v>
      </c>
      <c r="T41" s="122" t="s">
        <v>1006</v>
      </c>
      <c r="U41" s="122" t="s">
        <v>589</v>
      </c>
      <c r="W41" s="122" t="s">
        <v>246</v>
      </c>
      <c r="X41" s="122" t="s">
        <v>302</v>
      </c>
      <c r="Z41" s="122" t="s">
        <v>250</v>
      </c>
      <c r="AB41" s="122" t="s">
        <v>250</v>
      </c>
      <c r="AD41" s="122" t="s">
        <v>250</v>
      </c>
      <c r="AE41" s="122" t="s">
        <v>235</v>
      </c>
      <c r="AF41" s="122" t="s">
        <v>1007</v>
      </c>
      <c r="AG41" s="122" t="s">
        <v>537</v>
      </c>
      <c r="AH41" s="122" t="s">
        <v>253</v>
      </c>
      <c r="AI41" s="122" t="s">
        <v>1008</v>
      </c>
      <c r="AJ41" s="122" t="s">
        <v>1009</v>
      </c>
      <c r="AK41" s="122" t="s">
        <v>1010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247</v>
      </c>
      <c r="AQ41" s="141" t="s">
        <v>247</v>
      </c>
      <c r="AR41" s="141" t="s">
        <v>253</v>
      </c>
      <c r="AS41" s="141" t="s">
        <v>601</v>
      </c>
      <c r="AT41" s="141" t="s">
        <v>601</v>
      </c>
      <c r="AU41" s="141" t="s">
        <v>258</v>
      </c>
      <c r="AV41" s="122" t="s">
        <v>259</v>
      </c>
      <c r="AW41" s="122" t="s">
        <v>260</v>
      </c>
      <c r="AY41" s="141" t="s">
        <v>253</v>
      </c>
      <c r="AZ41" s="122" t="s">
        <v>1011</v>
      </c>
      <c r="BA41" s="122" t="s">
        <v>262</v>
      </c>
      <c r="BB41" s="122" t="s">
        <v>262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23</v>
      </c>
      <c r="BJ41" s="123">
        <v>42232</v>
      </c>
      <c r="BK41" s="139" t="s">
        <v>606</v>
      </c>
      <c r="BM41" s="122">
        <v>33</v>
      </c>
    </row>
    <row r="42" spans="1:66" x14ac:dyDescent="0.25">
      <c r="A42" s="122" t="s">
        <v>404</v>
      </c>
      <c r="B42" s="122" t="s">
        <v>1012</v>
      </c>
      <c r="C42" s="122" t="s">
        <v>1013</v>
      </c>
      <c r="D42" s="122" t="s">
        <v>1014</v>
      </c>
      <c r="E42" s="123">
        <v>42219</v>
      </c>
      <c r="F42" s="122" t="s">
        <v>1015</v>
      </c>
      <c r="G42" s="122" t="s">
        <v>235</v>
      </c>
      <c r="H42" s="122" t="s">
        <v>1016</v>
      </c>
      <c r="I42" s="122" t="s">
        <v>1017</v>
      </c>
      <c r="J42" s="122" t="s">
        <v>1018</v>
      </c>
      <c r="K42" s="122" t="s">
        <v>238</v>
      </c>
      <c r="L42" s="122" t="s">
        <v>320</v>
      </c>
      <c r="M42" s="122" t="s">
        <v>1019</v>
      </c>
      <c r="O42" s="141" t="s">
        <v>566</v>
      </c>
      <c r="P42" s="141" t="s">
        <v>1020</v>
      </c>
      <c r="Q42" s="122" t="s">
        <v>243</v>
      </c>
      <c r="R42" s="142">
        <v>24</v>
      </c>
      <c r="S42" s="122" t="s">
        <v>1021</v>
      </c>
      <c r="U42" s="122" t="s">
        <v>589</v>
      </c>
      <c r="W42" s="122" t="s">
        <v>246</v>
      </c>
      <c r="X42" s="122" t="s">
        <v>325</v>
      </c>
      <c r="Y42" s="141" t="s">
        <v>595</v>
      </c>
      <c r="Z42" s="122" t="s">
        <v>1022</v>
      </c>
      <c r="AA42" s="141" t="s">
        <v>1023</v>
      </c>
      <c r="AB42" s="122" t="s">
        <v>1024</v>
      </c>
      <c r="AC42" s="141" t="s">
        <v>283</v>
      </c>
      <c r="AD42" s="122" t="s">
        <v>518</v>
      </c>
      <c r="AE42" s="122" t="s">
        <v>235</v>
      </c>
      <c r="AF42" s="122" t="s">
        <v>1025</v>
      </c>
      <c r="AG42" s="122" t="s">
        <v>537</v>
      </c>
      <c r="AH42" s="122" t="s">
        <v>253</v>
      </c>
      <c r="AI42" s="122" t="s">
        <v>1026</v>
      </c>
      <c r="AJ42" s="122" t="s">
        <v>1027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247</v>
      </c>
      <c r="AR42" s="141" t="s">
        <v>253</v>
      </c>
      <c r="AS42" s="141" t="s">
        <v>601</v>
      </c>
      <c r="AT42" s="141" t="s">
        <v>601</v>
      </c>
      <c r="AU42" s="141" t="s">
        <v>258</v>
      </c>
      <c r="AV42" s="122" t="s">
        <v>259</v>
      </c>
      <c r="AW42" s="122" t="s">
        <v>260</v>
      </c>
      <c r="AY42" s="141" t="s">
        <v>253</v>
      </c>
      <c r="AZ42" s="122" t="s">
        <v>1028</v>
      </c>
      <c r="BA42" s="122" t="s">
        <v>262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24</v>
      </c>
      <c r="BK42" s="139" t="s">
        <v>1029</v>
      </c>
      <c r="BN42" s="122" t="s">
        <v>1030</v>
      </c>
    </row>
    <row r="43" spans="1:66" x14ac:dyDescent="0.25">
      <c r="A43" s="122" t="s">
        <v>422</v>
      </c>
      <c r="B43" s="122" t="s">
        <v>1031</v>
      </c>
      <c r="C43" s="122" t="s">
        <v>1032</v>
      </c>
      <c r="D43" s="122" t="s">
        <v>1033</v>
      </c>
      <c r="E43" s="123">
        <v>42219</v>
      </c>
      <c r="F43" s="122" t="s">
        <v>1034</v>
      </c>
      <c r="G43" s="122" t="s">
        <v>235</v>
      </c>
      <c r="H43" s="122" t="s">
        <v>1035</v>
      </c>
      <c r="I43" s="122" t="s">
        <v>913</v>
      </c>
      <c r="J43" s="122" t="s">
        <v>1036</v>
      </c>
      <c r="K43" s="122" t="s">
        <v>238</v>
      </c>
      <c r="L43" s="122" t="s">
        <v>320</v>
      </c>
      <c r="M43" s="122" t="s">
        <v>915</v>
      </c>
      <c r="O43" s="141" t="s">
        <v>390</v>
      </c>
      <c r="P43" s="141" t="s">
        <v>1037</v>
      </c>
      <c r="Q43" s="122" t="s">
        <v>243</v>
      </c>
      <c r="R43" s="142">
        <v>25</v>
      </c>
      <c r="S43" s="122" t="s">
        <v>1038</v>
      </c>
      <c r="U43" s="122" t="s">
        <v>589</v>
      </c>
      <c r="W43" s="122" t="s">
        <v>246</v>
      </c>
      <c r="X43" s="122" t="s">
        <v>569</v>
      </c>
      <c r="Y43" s="141" t="s">
        <v>1039</v>
      </c>
      <c r="Z43" s="122" t="s">
        <v>1040</v>
      </c>
      <c r="AA43" s="141" t="s">
        <v>595</v>
      </c>
      <c r="AB43" s="122" t="s">
        <v>249</v>
      </c>
      <c r="AC43" s="141" t="s">
        <v>234</v>
      </c>
      <c r="AD43" s="122" t="s">
        <v>1041</v>
      </c>
      <c r="AE43" s="122" t="s">
        <v>235</v>
      </c>
      <c r="AF43" s="122" t="s">
        <v>1042</v>
      </c>
      <c r="AG43" s="122" t="s">
        <v>253</v>
      </c>
      <c r="AH43" s="122" t="s">
        <v>253</v>
      </c>
      <c r="AI43" s="122" t="s">
        <v>1043</v>
      </c>
      <c r="AJ43" s="122" t="s">
        <v>1044</v>
      </c>
      <c r="AK43" s="122" t="s">
        <v>1045</v>
      </c>
      <c r="AL43" s="122" t="s">
        <v>253</v>
      </c>
      <c r="AM43" s="122" t="s">
        <v>253</v>
      </c>
      <c r="AN43" s="122" t="s">
        <v>253</v>
      </c>
      <c r="AO43" s="141" t="s">
        <v>247</v>
      </c>
      <c r="AP43" s="141" t="s">
        <v>253</v>
      </c>
      <c r="AQ43" s="141" t="s">
        <v>253</v>
      </c>
      <c r="AR43" s="141" t="s">
        <v>247</v>
      </c>
      <c r="AS43" s="141" t="s">
        <v>601</v>
      </c>
      <c r="AT43" s="141" t="s">
        <v>258</v>
      </c>
      <c r="AU43" s="141" t="s">
        <v>257</v>
      </c>
      <c r="AV43" s="122" t="s">
        <v>259</v>
      </c>
      <c r="AW43" s="122" t="s">
        <v>260</v>
      </c>
      <c r="AX43" s="141" t="s">
        <v>1046</v>
      </c>
      <c r="AY43" s="141" t="s">
        <v>247</v>
      </c>
      <c r="AZ43" s="122" t="s">
        <v>1047</v>
      </c>
      <c r="BA43" s="122" t="s">
        <v>262</v>
      </c>
      <c r="BB43" s="122" t="s">
        <v>1048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25</v>
      </c>
      <c r="BJ43" s="123">
        <v>42221</v>
      </c>
      <c r="BK43" s="139" t="s">
        <v>264</v>
      </c>
      <c r="BL43" s="140">
        <v>151.18</v>
      </c>
      <c r="BM43" s="122">
        <v>32</v>
      </c>
    </row>
    <row r="44" spans="1:66" x14ac:dyDescent="0.25">
      <c r="A44" s="122" t="s">
        <v>422</v>
      </c>
      <c r="B44" s="122" t="s">
        <v>1049</v>
      </c>
      <c r="C44" s="122" t="s">
        <v>1050</v>
      </c>
      <c r="D44" s="122" t="s">
        <v>1051</v>
      </c>
      <c r="E44" s="123">
        <v>42219</v>
      </c>
      <c r="F44" s="122" t="s">
        <v>901</v>
      </c>
      <c r="G44" s="122" t="s">
        <v>235</v>
      </c>
      <c r="H44" s="122" t="s">
        <v>448</v>
      </c>
      <c r="I44" s="122" t="s">
        <v>1052</v>
      </c>
      <c r="J44" s="122" t="s">
        <v>1053</v>
      </c>
      <c r="K44" s="122" t="s">
        <v>238</v>
      </c>
      <c r="L44" s="122" t="s">
        <v>320</v>
      </c>
      <c r="M44" s="122" t="s">
        <v>1054</v>
      </c>
      <c r="O44" s="141" t="s">
        <v>1055</v>
      </c>
      <c r="P44" s="141" t="s">
        <v>1056</v>
      </c>
      <c r="Q44" s="122" t="s">
        <v>243</v>
      </c>
      <c r="R44" s="142">
        <v>26</v>
      </c>
      <c r="U44" s="122" t="s">
        <v>589</v>
      </c>
      <c r="V44" s="122" t="s">
        <v>351</v>
      </c>
      <c r="W44" s="122" t="s">
        <v>246</v>
      </c>
      <c r="X44" s="122" t="s">
        <v>1057</v>
      </c>
      <c r="Z44" s="122" t="s">
        <v>250</v>
      </c>
      <c r="AB44" s="122" t="s">
        <v>250</v>
      </c>
      <c r="AD44" s="122" t="s">
        <v>250</v>
      </c>
      <c r="AE44" s="122" t="s">
        <v>235</v>
      </c>
      <c r="AF44" s="122" t="s">
        <v>1058</v>
      </c>
      <c r="AG44" s="122" t="s">
        <v>537</v>
      </c>
      <c r="AH44" s="122" t="s">
        <v>253</v>
      </c>
      <c r="AI44" s="122" t="s">
        <v>1059</v>
      </c>
      <c r="AJ44" s="122" t="s">
        <v>1060</v>
      </c>
      <c r="AK44" s="122" t="s">
        <v>1061</v>
      </c>
      <c r="AL44" s="122" t="s">
        <v>1062</v>
      </c>
      <c r="AM44" s="122" t="s">
        <v>253</v>
      </c>
      <c r="AN44" s="122" t="s">
        <v>253</v>
      </c>
      <c r="AO44" s="141" t="s">
        <v>247</v>
      </c>
      <c r="AP44" s="141" t="s">
        <v>253</v>
      </c>
      <c r="AQ44" s="141" t="s">
        <v>247</v>
      </c>
      <c r="AR44" s="141" t="s">
        <v>253</v>
      </c>
      <c r="AS44" s="141" t="s">
        <v>601</v>
      </c>
      <c r="AT44" s="141" t="s">
        <v>601</v>
      </c>
      <c r="AU44" s="141" t="s">
        <v>258</v>
      </c>
      <c r="AV44" s="122" t="s">
        <v>259</v>
      </c>
      <c r="AW44" s="122" t="s">
        <v>260</v>
      </c>
      <c r="AY44" s="141" t="s">
        <v>253</v>
      </c>
      <c r="AZ44" s="122" t="s">
        <v>262</v>
      </c>
      <c r="BA44" s="122" t="s">
        <v>262</v>
      </c>
      <c r="BB44" s="122" t="s">
        <v>1063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26</v>
      </c>
      <c r="BJ44" s="123">
        <v>42232</v>
      </c>
      <c r="BK44" s="139" t="s">
        <v>606</v>
      </c>
      <c r="BM44" s="122">
        <v>33</v>
      </c>
    </row>
    <row r="45" spans="1:66" x14ac:dyDescent="0.25">
      <c r="A45" s="122" t="s">
        <v>422</v>
      </c>
      <c r="B45" s="122" t="s">
        <v>1064</v>
      </c>
      <c r="C45" s="122" t="s">
        <v>1065</v>
      </c>
      <c r="D45" s="122" t="s">
        <v>1066</v>
      </c>
      <c r="E45" s="123">
        <v>42219</v>
      </c>
      <c r="F45" s="122" t="s">
        <v>1067</v>
      </c>
      <c r="G45" s="122" t="s">
        <v>235</v>
      </c>
      <c r="H45" s="122" t="s">
        <v>1068</v>
      </c>
      <c r="I45" s="122" t="s">
        <v>1069</v>
      </c>
      <c r="K45" s="122" t="s">
        <v>238</v>
      </c>
      <c r="L45" s="122" t="s">
        <v>320</v>
      </c>
      <c r="M45" s="122" t="s">
        <v>648</v>
      </c>
      <c r="O45" s="141" t="s">
        <v>613</v>
      </c>
      <c r="P45" s="141" t="s">
        <v>1070</v>
      </c>
      <c r="Q45" s="122" t="s">
        <v>243</v>
      </c>
      <c r="R45" s="142">
        <v>27</v>
      </c>
      <c r="S45" s="122" t="s">
        <v>1071</v>
      </c>
      <c r="U45" s="122" t="s">
        <v>589</v>
      </c>
      <c r="W45" s="122" t="s">
        <v>246</v>
      </c>
      <c r="X45" s="122" t="s">
        <v>1072</v>
      </c>
      <c r="Y45" s="141" t="s">
        <v>742</v>
      </c>
      <c r="Z45" s="122" t="s">
        <v>1073</v>
      </c>
      <c r="AA45" s="141" t="s">
        <v>635</v>
      </c>
      <c r="AB45" s="122" t="s">
        <v>1074</v>
      </c>
      <c r="AC45" s="141" t="s">
        <v>1075</v>
      </c>
      <c r="AD45" s="122" t="s">
        <v>1076</v>
      </c>
      <c r="AE45" s="122" t="s">
        <v>235</v>
      </c>
      <c r="AF45" s="122" t="s">
        <v>1077</v>
      </c>
      <c r="AG45" s="122" t="s">
        <v>253</v>
      </c>
      <c r="AH45" s="122" t="s">
        <v>253</v>
      </c>
      <c r="AI45" s="122" t="s">
        <v>1078</v>
      </c>
      <c r="AJ45" s="122" t="s">
        <v>1079</v>
      </c>
      <c r="AK45" s="122" t="s">
        <v>1080</v>
      </c>
      <c r="AL45" s="122" t="s">
        <v>253</v>
      </c>
      <c r="AM45" s="122" t="s">
        <v>253</v>
      </c>
      <c r="AN45" s="122" t="s">
        <v>253</v>
      </c>
      <c r="AO45" s="141" t="s">
        <v>247</v>
      </c>
      <c r="AP45" s="141" t="s">
        <v>253</v>
      </c>
      <c r="AQ45" s="141" t="s">
        <v>253</v>
      </c>
      <c r="AR45" s="141" t="s">
        <v>253</v>
      </c>
      <c r="AS45" s="141" t="s">
        <v>601</v>
      </c>
      <c r="AT45" s="141" t="s">
        <v>258</v>
      </c>
      <c r="AU45" s="141" t="s">
        <v>258</v>
      </c>
      <c r="AV45" s="122" t="s">
        <v>259</v>
      </c>
      <c r="AW45" s="122" t="s">
        <v>260</v>
      </c>
      <c r="AY45" s="141" t="s">
        <v>253</v>
      </c>
      <c r="AZ45" s="122" t="s">
        <v>1081</v>
      </c>
      <c r="BA45" s="122" t="s">
        <v>262</v>
      </c>
      <c r="BB45" s="122" t="s">
        <v>262</v>
      </c>
      <c r="BC45" s="141" t="s">
        <v>312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27</v>
      </c>
      <c r="BJ45" s="123">
        <v>42232</v>
      </c>
      <c r="BK45" s="139" t="s">
        <v>606</v>
      </c>
      <c r="BM45" s="122">
        <v>33</v>
      </c>
    </row>
    <row r="46" spans="1:66" x14ac:dyDescent="0.25">
      <c r="A46" s="122" t="s">
        <v>422</v>
      </c>
      <c r="B46" s="122" t="s">
        <v>1082</v>
      </c>
      <c r="C46" s="122" t="s">
        <v>1083</v>
      </c>
      <c r="D46" s="122" t="s">
        <v>1084</v>
      </c>
      <c r="E46" s="123">
        <v>42219</v>
      </c>
      <c r="F46" s="122" t="s">
        <v>1085</v>
      </c>
      <c r="G46" s="122" t="s">
        <v>235</v>
      </c>
      <c r="H46" s="122" t="s">
        <v>1086</v>
      </c>
      <c r="I46" s="122" t="s">
        <v>1087</v>
      </c>
      <c r="K46" s="122" t="s">
        <v>238</v>
      </c>
      <c r="L46" s="122" t="s">
        <v>320</v>
      </c>
      <c r="M46" s="122" t="s">
        <v>988</v>
      </c>
      <c r="O46" s="141" t="s">
        <v>665</v>
      </c>
      <c r="P46" s="141" t="s">
        <v>1088</v>
      </c>
      <c r="Q46" s="122" t="s">
        <v>243</v>
      </c>
      <c r="R46" s="142">
        <v>28</v>
      </c>
      <c r="S46" s="122" t="s">
        <v>1089</v>
      </c>
      <c r="U46" s="122" t="s">
        <v>589</v>
      </c>
      <c r="W46" s="122" t="s">
        <v>246</v>
      </c>
      <c r="X46" s="122" t="s">
        <v>454</v>
      </c>
      <c r="Y46" s="141" t="s">
        <v>591</v>
      </c>
      <c r="Z46" s="122" t="s">
        <v>533</v>
      </c>
      <c r="AA46" s="141" t="s">
        <v>304</v>
      </c>
      <c r="AB46" s="122" t="s">
        <v>533</v>
      </c>
      <c r="AC46" s="141" t="s">
        <v>1090</v>
      </c>
      <c r="AD46" s="122" t="s">
        <v>1091</v>
      </c>
      <c r="AE46" s="122" t="s">
        <v>235</v>
      </c>
      <c r="AF46" s="122" t="s">
        <v>1092</v>
      </c>
      <c r="AG46" s="122" t="s">
        <v>537</v>
      </c>
      <c r="AH46" s="122" t="s">
        <v>253</v>
      </c>
      <c r="AI46" s="122" t="s">
        <v>1093</v>
      </c>
      <c r="AJ46" s="122" t="s">
        <v>1094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247</v>
      </c>
      <c r="AP46" s="141" t="s">
        <v>247</v>
      </c>
      <c r="AQ46" s="141" t="s">
        <v>253</v>
      </c>
      <c r="AR46" s="141" t="s">
        <v>253</v>
      </c>
      <c r="AS46" s="141" t="s">
        <v>601</v>
      </c>
      <c r="AT46" s="141" t="s">
        <v>258</v>
      </c>
      <c r="AU46" s="141" t="s">
        <v>258</v>
      </c>
      <c r="AV46" s="122" t="s">
        <v>259</v>
      </c>
      <c r="AW46" s="122" t="s">
        <v>260</v>
      </c>
      <c r="AY46" s="141" t="s">
        <v>253</v>
      </c>
      <c r="AZ46" s="122" t="s">
        <v>1095</v>
      </c>
      <c r="BA46" s="122" t="s">
        <v>262</v>
      </c>
      <c r="BB46" s="122" t="s">
        <v>262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28</v>
      </c>
      <c r="BJ46" s="123">
        <v>42232</v>
      </c>
      <c r="BK46" s="139" t="s">
        <v>606</v>
      </c>
      <c r="BM46" s="122">
        <v>33</v>
      </c>
    </row>
    <row r="47" spans="1:66" x14ac:dyDescent="0.25">
      <c r="A47" s="122" t="s">
        <v>422</v>
      </c>
      <c r="B47" s="122" t="s">
        <v>1096</v>
      </c>
      <c r="C47" s="122" t="s">
        <v>1097</v>
      </c>
      <c r="D47" s="122" t="s">
        <v>1098</v>
      </c>
      <c r="E47" s="123">
        <v>42219</v>
      </c>
      <c r="F47" s="122" t="s">
        <v>1099</v>
      </c>
      <c r="G47" s="122" t="s">
        <v>235</v>
      </c>
      <c r="H47" s="122" t="s">
        <v>1100</v>
      </c>
      <c r="I47" s="122" t="s">
        <v>812</v>
      </c>
      <c r="J47" s="122" t="s">
        <v>1101</v>
      </c>
      <c r="K47" s="122" t="s">
        <v>238</v>
      </c>
      <c r="L47" s="122" t="s">
        <v>239</v>
      </c>
      <c r="M47" s="122" t="s">
        <v>814</v>
      </c>
      <c r="O47" s="141" t="s">
        <v>1102</v>
      </c>
      <c r="P47" s="141" t="s">
        <v>1103</v>
      </c>
      <c r="Q47" s="122" t="s">
        <v>243</v>
      </c>
      <c r="R47" s="142">
        <v>29</v>
      </c>
      <c r="S47" s="122" t="s">
        <v>1104</v>
      </c>
      <c r="T47" s="122" t="s">
        <v>1105</v>
      </c>
      <c r="U47" s="122" t="s">
        <v>589</v>
      </c>
      <c r="W47" s="122" t="s">
        <v>246</v>
      </c>
      <c r="X47" s="122" t="s">
        <v>433</v>
      </c>
      <c r="Y47" s="141" t="s">
        <v>740</v>
      </c>
      <c r="Z47" s="122" t="s">
        <v>249</v>
      </c>
      <c r="AA47" s="141" t="s">
        <v>511</v>
      </c>
      <c r="AB47" s="122" t="s">
        <v>1106</v>
      </c>
      <c r="AC47" s="141" t="s">
        <v>234</v>
      </c>
      <c r="AD47" s="122" t="s">
        <v>1107</v>
      </c>
      <c r="AE47" s="122" t="s">
        <v>235</v>
      </c>
      <c r="AF47" s="122" t="s">
        <v>1108</v>
      </c>
      <c r="AG47" s="122" t="s">
        <v>537</v>
      </c>
      <c r="AH47" s="122" t="s">
        <v>253</v>
      </c>
      <c r="AI47" s="122" t="s">
        <v>1109</v>
      </c>
      <c r="AJ47" s="122" t="s">
        <v>1110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253</v>
      </c>
      <c r="AQ47" s="141" t="s">
        <v>247</v>
      </c>
      <c r="AR47" s="141" t="s">
        <v>247</v>
      </c>
      <c r="AS47" s="141" t="s">
        <v>601</v>
      </c>
      <c r="AT47" s="141" t="s">
        <v>601</v>
      </c>
      <c r="AU47" s="141" t="s">
        <v>257</v>
      </c>
      <c r="AV47" s="122" t="s">
        <v>259</v>
      </c>
      <c r="AW47" s="122" t="s">
        <v>260</v>
      </c>
      <c r="AY47" s="141" t="s">
        <v>253</v>
      </c>
      <c r="AZ47" s="122" t="s">
        <v>1111</v>
      </c>
      <c r="BA47" s="122" t="s">
        <v>1112</v>
      </c>
      <c r="BB47" s="122" t="s">
        <v>1112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29</v>
      </c>
      <c r="BJ47" s="123">
        <v>42232</v>
      </c>
      <c r="BK47" s="139" t="s">
        <v>606</v>
      </c>
      <c r="BM47" s="122">
        <v>33</v>
      </c>
    </row>
    <row r="48" spans="1:66" x14ac:dyDescent="0.25">
      <c r="A48" s="122" t="s">
        <v>485</v>
      </c>
      <c r="B48" s="122" t="s">
        <v>1113</v>
      </c>
      <c r="C48" s="122" t="s">
        <v>1114</v>
      </c>
      <c r="D48" s="122" t="s">
        <v>1115</v>
      </c>
      <c r="E48" s="123">
        <v>42219</v>
      </c>
      <c r="F48" s="122" t="s">
        <v>1116</v>
      </c>
      <c r="G48" s="122" t="s">
        <v>235</v>
      </c>
      <c r="H48" s="122" t="s">
        <v>1117</v>
      </c>
      <c r="I48" s="122" t="s">
        <v>913</v>
      </c>
      <c r="J48" s="122" t="s">
        <v>1118</v>
      </c>
      <c r="K48" s="122" t="s">
        <v>238</v>
      </c>
      <c r="L48" s="122" t="s">
        <v>320</v>
      </c>
      <c r="M48" s="122" t="s">
        <v>915</v>
      </c>
      <c r="O48" s="141" t="s">
        <v>566</v>
      </c>
      <c r="P48" s="141" t="s">
        <v>1119</v>
      </c>
      <c r="Q48" s="122" t="s">
        <v>243</v>
      </c>
      <c r="R48" s="142">
        <v>30</v>
      </c>
      <c r="S48" s="122" t="s">
        <v>1120</v>
      </c>
      <c r="U48" s="122" t="s">
        <v>589</v>
      </c>
      <c r="W48" s="122" t="s">
        <v>246</v>
      </c>
      <c r="X48" s="122" t="s">
        <v>1121</v>
      </c>
      <c r="Y48" s="141" t="s">
        <v>1122</v>
      </c>
      <c r="Z48" s="122" t="s">
        <v>1123</v>
      </c>
      <c r="AA48" s="141" t="s">
        <v>534</v>
      </c>
      <c r="AB48" s="122" t="s">
        <v>1124</v>
      </c>
      <c r="AC48" s="141" t="s">
        <v>1125</v>
      </c>
      <c r="AD48" s="122" t="s">
        <v>355</v>
      </c>
      <c r="AE48" s="122" t="s">
        <v>235</v>
      </c>
      <c r="AF48" s="122" t="s">
        <v>1126</v>
      </c>
      <c r="AG48" s="122" t="s">
        <v>1127</v>
      </c>
      <c r="AH48" s="122" t="s">
        <v>253</v>
      </c>
      <c r="AI48" s="122" t="s">
        <v>1128</v>
      </c>
      <c r="AJ48" s="122" t="s">
        <v>253</v>
      </c>
      <c r="AK48" s="122" t="s">
        <v>1129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247</v>
      </c>
      <c r="AS48" s="141" t="s">
        <v>601</v>
      </c>
      <c r="AT48" s="141" t="s">
        <v>601</v>
      </c>
      <c r="AU48" s="141" t="s">
        <v>601</v>
      </c>
      <c r="AV48" s="122" t="s">
        <v>259</v>
      </c>
      <c r="AW48" s="122" t="s">
        <v>260</v>
      </c>
      <c r="AX48" s="141" t="s">
        <v>1130</v>
      </c>
      <c r="AY48" s="141" t="s">
        <v>603</v>
      </c>
      <c r="AZ48" s="122" t="s">
        <v>1131</v>
      </c>
      <c r="BA48" s="122" t="s">
        <v>262</v>
      </c>
      <c r="BB48" s="122" t="s">
        <v>262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30</v>
      </c>
      <c r="BJ48" s="123">
        <v>42232</v>
      </c>
      <c r="BK48" s="139" t="s">
        <v>606</v>
      </c>
      <c r="BM48" s="122">
        <v>33</v>
      </c>
    </row>
    <row r="49" spans="1:65" x14ac:dyDescent="0.25">
      <c r="A49" s="122" t="s">
        <v>485</v>
      </c>
      <c r="B49" s="122" t="s">
        <v>1132</v>
      </c>
      <c r="C49" s="122" t="s">
        <v>1133</v>
      </c>
      <c r="D49" s="122" t="s">
        <v>1134</v>
      </c>
      <c r="E49" s="123">
        <v>42219</v>
      </c>
      <c r="F49" s="122" t="s">
        <v>1135</v>
      </c>
      <c r="G49" s="122" t="s">
        <v>235</v>
      </c>
      <c r="H49" s="122" t="s">
        <v>1136</v>
      </c>
      <c r="I49" s="122" t="s">
        <v>1137</v>
      </c>
      <c r="J49" s="122" t="s">
        <v>1138</v>
      </c>
      <c r="K49" s="122" t="s">
        <v>238</v>
      </c>
      <c r="L49" s="122" t="s">
        <v>320</v>
      </c>
      <c r="M49" s="122" t="s">
        <v>779</v>
      </c>
      <c r="O49" s="141" t="s">
        <v>916</v>
      </c>
      <c r="P49" s="141" t="s">
        <v>1139</v>
      </c>
      <c r="Q49" s="122" t="s">
        <v>243</v>
      </c>
      <c r="R49" s="142">
        <v>31</v>
      </c>
      <c r="S49" s="122" t="s">
        <v>1140</v>
      </c>
      <c r="U49" s="122" t="s">
        <v>589</v>
      </c>
      <c r="W49" s="122" t="s">
        <v>246</v>
      </c>
      <c r="X49" s="122" t="s">
        <v>569</v>
      </c>
      <c r="Y49" s="141" t="s">
        <v>1141</v>
      </c>
      <c r="Z49" s="122" t="s">
        <v>1142</v>
      </c>
      <c r="AA49" s="141" t="s">
        <v>744</v>
      </c>
      <c r="AB49" s="122" t="s">
        <v>533</v>
      </c>
      <c r="AC49" s="141" t="s">
        <v>1143</v>
      </c>
      <c r="AD49" s="122" t="s">
        <v>1144</v>
      </c>
      <c r="AE49" s="122" t="s">
        <v>235</v>
      </c>
      <c r="AF49" s="122" t="s">
        <v>1145</v>
      </c>
      <c r="AG49" s="122" t="s">
        <v>253</v>
      </c>
      <c r="AH49" s="122" t="s">
        <v>253</v>
      </c>
      <c r="AI49" s="122" t="s">
        <v>1146</v>
      </c>
      <c r="AJ49" s="122" t="s">
        <v>1147</v>
      </c>
      <c r="AK49" s="122" t="s">
        <v>253</v>
      </c>
      <c r="AL49" s="122" t="s">
        <v>1148</v>
      </c>
      <c r="AM49" s="122" t="s">
        <v>253</v>
      </c>
      <c r="AN49" s="122" t="s">
        <v>253</v>
      </c>
      <c r="AO49" s="141" t="s">
        <v>247</v>
      </c>
      <c r="AP49" s="141" t="s">
        <v>247</v>
      </c>
      <c r="AQ49" s="141" t="s">
        <v>253</v>
      </c>
      <c r="AR49" s="141" t="s">
        <v>253</v>
      </c>
      <c r="AS49" s="141" t="s">
        <v>601</v>
      </c>
      <c r="AT49" s="141" t="s">
        <v>258</v>
      </c>
      <c r="AU49" s="141" t="s">
        <v>258</v>
      </c>
      <c r="AV49" s="122" t="s">
        <v>259</v>
      </c>
      <c r="AW49" s="122" t="s">
        <v>260</v>
      </c>
      <c r="AX49" s="141" t="s">
        <v>1149</v>
      </c>
      <c r="AY49" s="141" t="s">
        <v>247</v>
      </c>
      <c r="AZ49" s="122" t="s">
        <v>1150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31</v>
      </c>
      <c r="BJ49" s="123">
        <v>42232</v>
      </c>
      <c r="BK49" s="139" t="s">
        <v>264</v>
      </c>
      <c r="BL49" s="140">
        <v>235.76</v>
      </c>
      <c r="BM49" s="122">
        <v>33</v>
      </c>
    </row>
    <row r="50" spans="1:65" x14ac:dyDescent="0.25">
      <c r="A50" s="122" t="s">
        <v>485</v>
      </c>
      <c r="B50" s="122" t="s">
        <v>1151</v>
      </c>
      <c r="C50" s="122" t="s">
        <v>1152</v>
      </c>
      <c r="D50" s="122" t="s">
        <v>1153</v>
      </c>
      <c r="E50" s="123">
        <v>42219</v>
      </c>
      <c r="F50" s="122" t="s">
        <v>1154</v>
      </c>
      <c r="G50" s="122" t="s">
        <v>235</v>
      </c>
      <c r="H50" s="122" t="s">
        <v>1155</v>
      </c>
      <c r="I50" s="122" t="s">
        <v>1156</v>
      </c>
      <c r="K50" s="122" t="s">
        <v>238</v>
      </c>
      <c r="L50" s="122" t="s">
        <v>239</v>
      </c>
      <c r="M50" s="122" t="s">
        <v>1157</v>
      </c>
      <c r="O50" s="141" t="s">
        <v>1158</v>
      </c>
      <c r="P50" s="141" t="s">
        <v>1159</v>
      </c>
      <c r="Q50" s="122" t="s">
        <v>243</v>
      </c>
      <c r="R50" s="142">
        <v>32</v>
      </c>
      <c r="S50" s="122" t="s">
        <v>1160</v>
      </c>
      <c r="U50" s="122" t="s">
        <v>589</v>
      </c>
      <c r="W50" s="122" t="s">
        <v>246</v>
      </c>
      <c r="X50" s="122" t="s">
        <v>325</v>
      </c>
      <c r="Y50" s="141" t="s">
        <v>1161</v>
      </c>
      <c r="Z50" s="122" t="s">
        <v>307</v>
      </c>
      <c r="AA50" s="141" t="s">
        <v>1162</v>
      </c>
      <c r="AB50" s="122" t="s">
        <v>355</v>
      </c>
      <c r="AC50" s="141" t="s">
        <v>591</v>
      </c>
      <c r="AD50" s="122" t="s">
        <v>1163</v>
      </c>
      <c r="AE50" s="122" t="s">
        <v>235</v>
      </c>
      <c r="AF50" s="122" t="s">
        <v>1164</v>
      </c>
      <c r="AG50" s="122" t="s">
        <v>537</v>
      </c>
      <c r="AH50" s="122" t="s">
        <v>253</v>
      </c>
      <c r="AI50" s="122" t="s">
        <v>1165</v>
      </c>
      <c r="AJ50" s="122" t="s">
        <v>1166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247</v>
      </c>
      <c r="AS50" s="141" t="s">
        <v>601</v>
      </c>
      <c r="AT50" s="141" t="s">
        <v>601</v>
      </c>
      <c r="AU50" s="141" t="s">
        <v>257</v>
      </c>
      <c r="AV50" s="122" t="s">
        <v>259</v>
      </c>
      <c r="AW50" s="122" t="s">
        <v>260</v>
      </c>
      <c r="AY50" s="141" t="s">
        <v>253</v>
      </c>
      <c r="AZ50" s="122" t="s">
        <v>1167</v>
      </c>
      <c r="BA50" s="122" t="s">
        <v>262</v>
      </c>
      <c r="BB50" s="122" t="s">
        <v>262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32</v>
      </c>
      <c r="BJ50" s="123">
        <v>42223</v>
      </c>
      <c r="BK50" s="139" t="s">
        <v>264</v>
      </c>
      <c r="BL50" s="140">
        <v>39</v>
      </c>
      <c r="BM50" s="122">
        <v>32</v>
      </c>
    </row>
    <row r="51" spans="1:65" x14ac:dyDescent="0.25">
      <c r="A51" s="122" t="s">
        <v>485</v>
      </c>
      <c r="B51" s="122" t="s">
        <v>1168</v>
      </c>
      <c r="C51" s="122" t="s">
        <v>1169</v>
      </c>
      <c r="D51" s="122" t="s">
        <v>1170</v>
      </c>
      <c r="E51" s="123">
        <v>42219</v>
      </c>
      <c r="F51" s="122" t="s">
        <v>1171</v>
      </c>
      <c r="G51" s="122" t="s">
        <v>235</v>
      </c>
      <c r="H51" s="122" t="s">
        <v>1172</v>
      </c>
      <c r="I51" s="122" t="s">
        <v>1173</v>
      </c>
      <c r="K51" s="122" t="s">
        <v>238</v>
      </c>
      <c r="L51" s="122" t="s">
        <v>320</v>
      </c>
      <c r="M51" s="122" t="s">
        <v>321</v>
      </c>
      <c r="O51" s="141" t="s">
        <v>1174</v>
      </c>
      <c r="P51" s="141" t="s">
        <v>1175</v>
      </c>
      <c r="Q51" s="122" t="s">
        <v>243</v>
      </c>
      <c r="R51" s="142">
        <v>33</v>
      </c>
      <c r="S51" s="122" t="s">
        <v>1176</v>
      </c>
      <c r="U51" s="122" t="s">
        <v>589</v>
      </c>
      <c r="W51" s="122" t="s">
        <v>246</v>
      </c>
      <c r="X51" s="122" t="s">
        <v>325</v>
      </c>
      <c r="Y51" s="141" t="s">
        <v>457</v>
      </c>
      <c r="Z51" s="122" t="s">
        <v>1177</v>
      </c>
      <c r="AA51" s="141" t="s">
        <v>234</v>
      </c>
      <c r="AB51" s="122" t="s">
        <v>1178</v>
      </c>
      <c r="AC51" s="141" t="s">
        <v>1179</v>
      </c>
      <c r="AD51" s="122" t="s">
        <v>1178</v>
      </c>
      <c r="AE51" s="122" t="s">
        <v>235</v>
      </c>
      <c r="AF51" s="122" t="s">
        <v>1180</v>
      </c>
      <c r="AG51" s="122" t="s">
        <v>537</v>
      </c>
      <c r="AH51" s="122" t="s">
        <v>253</v>
      </c>
      <c r="AI51" s="122" t="s">
        <v>1181</v>
      </c>
      <c r="AJ51" s="122" t="s">
        <v>1182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253</v>
      </c>
      <c r="AP51" s="141" t="s">
        <v>253</v>
      </c>
      <c r="AQ51" s="141" t="s">
        <v>247</v>
      </c>
      <c r="AR51" s="141" t="s">
        <v>253</v>
      </c>
      <c r="AS51" s="141" t="s">
        <v>361</v>
      </c>
      <c r="AT51" s="141" t="s">
        <v>601</v>
      </c>
      <c r="AU51" s="141" t="s">
        <v>258</v>
      </c>
      <c r="AV51" s="122" t="s">
        <v>259</v>
      </c>
      <c r="AW51" s="122" t="s">
        <v>260</v>
      </c>
      <c r="AY51" s="141" t="s">
        <v>253</v>
      </c>
      <c r="AZ51" s="122" t="s">
        <v>1183</v>
      </c>
      <c r="BA51" s="122" t="s">
        <v>262</v>
      </c>
      <c r="BB51" s="122" t="s">
        <v>262</v>
      </c>
      <c r="BC51" s="141" t="s">
        <v>312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33</v>
      </c>
      <c r="BJ51" s="123">
        <v>42232</v>
      </c>
      <c r="BK51" s="139" t="s">
        <v>606</v>
      </c>
      <c r="BM51" s="122">
        <v>33</v>
      </c>
    </row>
    <row r="52" spans="1:65" x14ac:dyDescent="0.25">
      <c r="A52" s="122" t="s">
        <v>485</v>
      </c>
      <c r="B52" s="122" t="s">
        <v>1184</v>
      </c>
      <c r="C52" s="122" t="s">
        <v>1185</v>
      </c>
      <c r="D52" s="122" t="s">
        <v>1186</v>
      </c>
      <c r="E52" s="123">
        <v>42219</v>
      </c>
      <c r="F52" s="122" t="s">
        <v>1187</v>
      </c>
      <c r="G52" s="122" t="s">
        <v>235</v>
      </c>
      <c r="H52" s="122" t="s">
        <v>448</v>
      </c>
      <c r="I52" s="122" t="s">
        <v>1188</v>
      </c>
      <c r="J52" s="122" t="s">
        <v>1189</v>
      </c>
      <c r="K52" s="122" t="s">
        <v>238</v>
      </c>
      <c r="L52" s="122" t="s">
        <v>320</v>
      </c>
      <c r="M52" s="122" t="s">
        <v>702</v>
      </c>
      <c r="Q52" s="122" t="s">
        <v>243</v>
      </c>
      <c r="R52" s="142">
        <v>34</v>
      </c>
      <c r="S52" s="122" t="s">
        <v>1190</v>
      </c>
      <c r="U52" s="122" t="s">
        <v>589</v>
      </c>
      <c r="W52" s="122" t="s">
        <v>246</v>
      </c>
      <c r="X52" s="122" t="s">
        <v>325</v>
      </c>
      <c r="Y52" s="141" t="s">
        <v>306</v>
      </c>
      <c r="Z52" s="122" t="s">
        <v>1191</v>
      </c>
      <c r="AA52" s="141" t="s">
        <v>234</v>
      </c>
      <c r="AB52" s="122" t="s">
        <v>1191</v>
      </c>
      <c r="AC52" s="141" t="s">
        <v>1192</v>
      </c>
      <c r="AD52" s="122" t="s">
        <v>1193</v>
      </c>
      <c r="AE52" s="122" t="s">
        <v>235</v>
      </c>
      <c r="AF52" s="122" t="s">
        <v>1194</v>
      </c>
      <c r="AG52" s="122" t="s">
        <v>537</v>
      </c>
      <c r="AH52" s="122" t="s">
        <v>253</v>
      </c>
      <c r="AI52" s="122" t="s">
        <v>1195</v>
      </c>
      <c r="AJ52" s="122" t="s">
        <v>1196</v>
      </c>
      <c r="AK52" s="122" t="s">
        <v>253</v>
      </c>
      <c r="AL52" s="122" t="s">
        <v>253</v>
      </c>
      <c r="AM52" s="122" t="s">
        <v>253</v>
      </c>
      <c r="AN52" s="122" t="s">
        <v>253</v>
      </c>
      <c r="AO52" s="141" t="s">
        <v>247</v>
      </c>
      <c r="AP52" s="141" t="s">
        <v>247</v>
      </c>
      <c r="AQ52" s="141" t="s">
        <v>253</v>
      </c>
      <c r="AR52" s="141" t="s">
        <v>253</v>
      </c>
      <c r="AS52" s="141" t="s">
        <v>601</v>
      </c>
      <c r="AT52" s="141" t="s">
        <v>258</v>
      </c>
      <c r="AU52" s="141" t="s">
        <v>258</v>
      </c>
      <c r="AV52" s="122" t="s">
        <v>259</v>
      </c>
      <c r="AW52" s="122" t="s">
        <v>260</v>
      </c>
      <c r="AY52" s="141" t="s">
        <v>253</v>
      </c>
      <c r="AZ52" s="122" t="s">
        <v>262</v>
      </c>
      <c r="BA52" s="122" t="s">
        <v>262</v>
      </c>
      <c r="BB52" s="122" t="s">
        <v>1197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34</v>
      </c>
      <c r="BJ52" s="123">
        <v>42232</v>
      </c>
      <c r="BK52" s="139" t="s">
        <v>606</v>
      </c>
      <c r="BM52" s="122">
        <v>33</v>
      </c>
    </row>
    <row r="53" spans="1:65" x14ac:dyDescent="0.25">
      <c r="A53" s="122" t="s">
        <v>485</v>
      </c>
      <c r="B53" s="122" t="s">
        <v>1198</v>
      </c>
      <c r="C53" s="122" t="s">
        <v>1199</v>
      </c>
      <c r="D53" s="122" t="s">
        <v>1200</v>
      </c>
      <c r="E53" s="123">
        <v>42219</v>
      </c>
      <c r="F53" s="122" t="s">
        <v>1201</v>
      </c>
      <c r="G53" s="122" t="s">
        <v>235</v>
      </c>
      <c r="H53" s="122" t="s">
        <v>1202</v>
      </c>
      <c r="I53" s="122" t="s">
        <v>1203</v>
      </c>
      <c r="J53" s="122" t="s">
        <v>1204</v>
      </c>
      <c r="K53" s="122" t="s">
        <v>238</v>
      </c>
      <c r="L53" s="122" t="s">
        <v>239</v>
      </c>
      <c r="M53" s="122" t="s">
        <v>240</v>
      </c>
      <c r="O53" s="141" t="s">
        <v>1205</v>
      </c>
      <c r="P53" s="141" t="s">
        <v>1206</v>
      </c>
      <c r="Q53" s="122" t="s">
        <v>243</v>
      </c>
      <c r="R53" s="142">
        <v>35</v>
      </c>
      <c r="S53" s="122" t="s">
        <v>1207</v>
      </c>
      <c r="T53" s="122" t="s">
        <v>1208</v>
      </c>
      <c r="U53" s="122" t="s">
        <v>589</v>
      </c>
      <c r="W53" s="122" t="s">
        <v>246</v>
      </c>
      <c r="X53" s="122" t="s">
        <v>497</v>
      </c>
      <c r="Y53" s="141" t="s">
        <v>1209</v>
      </c>
      <c r="Z53" s="122" t="s">
        <v>1210</v>
      </c>
      <c r="AA53" s="141" t="s">
        <v>457</v>
      </c>
      <c r="AB53" s="122" t="s">
        <v>1211</v>
      </c>
      <c r="AC53" s="141" t="s">
        <v>879</v>
      </c>
      <c r="AD53" s="122" t="s">
        <v>1212</v>
      </c>
      <c r="AE53" s="122" t="s">
        <v>235</v>
      </c>
      <c r="AF53" s="122" t="s">
        <v>1213</v>
      </c>
      <c r="AG53" s="122" t="s">
        <v>537</v>
      </c>
      <c r="AH53" s="122" t="s">
        <v>253</v>
      </c>
      <c r="AI53" s="122" t="s">
        <v>1214</v>
      </c>
      <c r="AJ53" s="122" t="s">
        <v>1215</v>
      </c>
      <c r="AK53" s="122" t="s">
        <v>253</v>
      </c>
      <c r="AL53" s="122" t="s">
        <v>253</v>
      </c>
      <c r="AM53" s="122" t="s">
        <v>253</v>
      </c>
      <c r="AN53" s="122" t="s">
        <v>253</v>
      </c>
      <c r="AO53" s="141" t="s">
        <v>253</v>
      </c>
      <c r="AP53" s="141" t="s">
        <v>253</v>
      </c>
      <c r="AQ53" s="141" t="s">
        <v>247</v>
      </c>
      <c r="AR53" s="141" t="s">
        <v>253</v>
      </c>
      <c r="AS53" s="141" t="s">
        <v>361</v>
      </c>
      <c r="AT53" s="141" t="s">
        <v>601</v>
      </c>
      <c r="AU53" s="141" t="s">
        <v>258</v>
      </c>
      <c r="AV53" s="122" t="s">
        <v>259</v>
      </c>
      <c r="AW53" s="122" t="s">
        <v>260</v>
      </c>
      <c r="AY53" s="141" t="s">
        <v>253</v>
      </c>
      <c r="AZ53" s="122" t="s">
        <v>1216</v>
      </c>
      <c r="BA53" s="122" t="s">
        <v>262</v>
      </c>
      <c r="BB53" s="122" t="s">
        <v>262</v>
      </c>
      <c r="BC53" s="141" t="s">
        <v>312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35</v>
      </c>
      <c r="BJ53" s="123">
        <v>42232</v>
      </c>
      <c r="BK53" s="139" t="s">
        <v>606</v>
      </c>
      <c r="BM53" s="122">
        <v>33</v>
      </c>
    </row>
    <row r="54" spans="1:65" x14ac:dyDescent="0.25">
      <c r="A54" s="122" t="s">
        <v>485</v>
      </c>
      <c r="B54" s="122" t="s">
        <v>1217</v>
      </c>
      <c r="C54" s="122" t="s">
        <v>1218</v>
      </c>
      <c r="D54" s="122" t="s">
        <v>1219</v>
      </c>
      <c r="E54" s="123">
        <v>42219</v>
      </c>
      <c r="F54" s="122" t="s">
        <v>1220</v>
      </c>
      <c r="G54" s="122" t="s">
        <v>235</v>
      </c>
      <c r="H54" s="122" t="s">
        <v>1221</v>
      </c>
      <c r="I54" s="122" t="s">
        <v>1222</v>
      </c>
      <c r="K54" s="122" t="s">
        <v>238</v>
      </c>
      <c r="L54" s="122" t="s">
        <v>239</v>
      </c>
      <c r="M54" s="122" t="s">
        <v>935</v>
      </c>
      <c r="O54" s="141" t="s">
        <v>548</v>
      </c>
      <c r="P54" s="141" t="s">
        <v>1223</v>
      </c>
      <c r="Q54" s="122" t="s">
        <v>243</v>
      </c>
      <c r="R54" s="142">
        <v>36</v>
      </c>
      <c r="S54" s="122" t="s">
        <v>1224</v>
      </c>
      <c r="U54" s="122" t="s">
        <v>589</v>
      </c>
      <c r="W54" s="122" t="s">
        <v>246</v>
      </c>
      <c r="X54" s="122" t="s">
        <v>1225</v>
      </c>
      <c r="Y54" s="141" t="s">
        <v>888</v>
      </c>
      <c r="Z54" s="122" t="s">
        <v>1226</v>
      </c>
      <c r="AA54" s="141" t="s">
        <v>973</v>
      </c>
      <c r="AB54" s="122" t="s">
        <v>1227</v>
      </c>
      <c r="AC54" s="141" t="s">
        <v>722</v>
      </c>
      <c r="AD54" s="122" t="s">
        <v>669</v>
      </c>
      <c r="AE54" s="122" t="s">
        <v>235</v>
      </c>
      <c r="AF54" s="122" t="s">
        <v>1228</v>
      </c>
      <c r="AG54" s="122" t="s">
        <v>253</v>
      </c>
      <c r="AH54" s="122" t="s">
        <v>253</v>
      </c>
      <c r="AI54" s="122" t="s">
        <v>1229</v>
      </c>
      <c r="AJ54" s="122" t="s">
        <v>1230</v>
      </c>
      <c r="AK54" s="122" t="s">
        <v>1231</v>
      </c>
      <c r="AL54" s="122" t="s">
        <v>1232</v>
      </c>
      <c r="AM54" s="122" t="s">
        <v>253</v>
      </c>
      <c r="AN54" s="122" t="s">
        <v>253</v>
      </c>
      <c r="AO54" s="141" t="s">
        <v>247</v>
      </c>
      <c r="AP54" s="141" t="s">
        <v>247</v>
      </c>
      <c r="AQ54" s="141" t="s">
        <v>247</v>
      </c>
      <c r="AR54" s="141" t="s">
        <v>247</v>
      </c>
      <c r="AS54" s="141" t="s">
        <v>601</v>
      </c>
      <c r="AT54" s="141" t="s">
        <v>601</v>
      </c>
      <c r="AU54" s="141" t="s">
        <v>601</v>
      </c>
      <c r="AV54" s="122" t="s">
        <v>259</v>
      </c>
      <c r="AW54" s="122" t="s">
        <v>260</v>
      </c>
      <c r="AX54" s="141" t="s">
        <v>1130</v>
      </c>
      <c r="AY54" s="141" t="s">
        <v>603</v>
      </c>
      <c r="AZ54" s="122" t="s">
        <v>1233</v>
      </c>
      <c r="BA54" s="122" t="s">
        <v>262</v>
      </c>
      <c r="BB54" s="122" t="s">
        <v>262</v>
      </c>
      <c r="BD54" s="122" t="s">
        <v>253</v>
      </c>
      <c r="BE54" s="122" t="s">
        <v>263</v>
      </c>
      <c r="BF54" s="122" t="s">
        <v>605</v>
      </c>
      <c r="BH54" s="122" t="s">
        <v>589</v>
      </c>
      <c r="BI54" s="142">
        <v>36</v>
      </c>
      <c r="BJ54" s="123">
        <v>42232</v>
      </c>
      <c r="BK54" s="139" t="s">
        <v>606</v>
      </c>
      <c r="BM54" s="122">
        <v>33</v>
      </c>
    </row>
    <row r="55" spans="1:65" x14ac:dyDescent="0.25">
      <c r="A55" s="122" t="s">
        <v>485</v>
      </c>
      <c r="B55" s="122" t="s">
        <v>1234</v>
      </c>
      <c r="C55" s="122" t="s">
        <v>1235</v>
      </c>
      <c r="D55" s="122" t="s">
        <v>1236</v>
      </c>
      <c r="E55" s="123">
        <v>42219</v>
      </c>
      <c r="F55" s="122" t="s">
        <v>511</v>
      </c>
      <c r="G55" s="122" t="s">
        <v>235</v>
      </c>
      <c r="H55" s="122" t="s">
        <v>1237</v>
      </c>
      <c r="I55" s="122" t="s">
        <v>1238</v>
      </c>
      <c r="J55" s="122" t="s">
        <v>1239</v>
      </c>
      <c r="K55" s="122" t="s">
        <v>238</v>
      </c>
      <c r="L55" s="122" t="s">
        <v>239</v>
      </c>
      <c r="M55" s="122" t="s">
        <v>935</v>
      </c>
      <c r="O55" s="141" t="s">
        <v>1240</v>
      </c>
      <c r="P55" s="141" t="s">
        <v>1241</v>
      </c>
      <c r="Q55" s="122" t="s">
        <v>243</v>
      </c>
      <c r="R55" s="142">
        <v>37</v>
      </c>
      <c r="S55" s="122" t="s">
        <v>1242</v>
      </c>
      <c r="U55" s="122" t="s">
        <v>589</v>
      </c>
      <c r="W55" s="122" t="s">
        <v>246</v>
      </c>
      <c r="X55" s="122" t="s">
        <v>376</v>
      </c>
      <c r="Z55" s="122" t="s">
        <v>250</v>
      </c>
      <c r="AB55" s="122" t="s">
        <v>250</v>
      </c>
      <c r="AD55" s="122" t="s">
        <v>250</v>
      </c>
      <c r="AE55" s="122" t="s">
        <v>235</v>
      </c>
      <c r="AF55" s="122" t="s">
        <v>1243</v>
      </c>
      <c r="AG55" s="122" t="s">
        <v>537</v>
      </c>
      <c r="AH55" s="122" t="s">
        <v>253</v>
      </c>
      <c r="AI55" s="122" t="s">
        <v>1244</v>
      </c>
      <c r="AJ55" s="122" t="s">
        <v>1245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247</v>
      </c>
      <c r="AP55" s="141" t="s">
        <v>247</v>
      </c>
      <c r="AQ55" s="141" t="s">
        <v>247</v>
      </c>
      <c r="AR55" s="141" t="s">
        <v>247</v>
      </c>
      <c r="AS55" s="141" t="s">
        <v>601</v>
      </c>
      <c r="AT55" s="141" t="s">
        <v>601</v>
      </c>
      <c r="AU55" s="141" t="s">
        <v>601</v>
      </c>
      <c r="AV55" s="122" t="s">
        <v>259</v>
      </c>
      <c r="AW55" s="122" t="s">
        <v>260</v>
      </c>
      <c r="AY55" s="141" t="s">
        <v>253</v>
      </c>
      <c r="AZ55" s="122" t="s">
        <v>1246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605</v>
      </c>
      <c r="BH55" s="122" t="s">
        <v>589</v>
      </c>
      <c r="BI55" s="142">
        <v>37</v>
      </c>
      <c r="BJ55" s="123">
        <v>42232</v>
      </c>
      <c r="BK55" s="139" t="s">
        <v>606</v>
      </c>
      <c r="BM55" s="122">
        <v>33</v>
      </c>
    </row>
    <row r="56" spans="1:65" x14ac:dyDescent="0.25">
      <c r="A56" s="122" t="s">
        <v>485</v>
      </c>
      <c r="B56" s="122" t="s">
        <v>1247</v>
      </c>
      <c r="C56" s="122" t="s">
        <v>1248</v>
      </c>
      <c r="D56" s="122" t="s">
        <v>1249</v>
      </c>
      <c r="E56" s="123">
        <v>42219</v>
      </c>
      <c r="F56" s="122" t="s">
        <v>1250</v>
      </c>
      <c r="G56" s="122" t="s">
        <v>235</v>
      </c>
      <c r="H56" s="122" t="s">
        <v>1251</v>
      </c>
      <c r="I56" s="122" t="s">
        <v>1252</v>
      </c>
      <c r="J56" s="122" t="s">
        <v>370</v>
      </c>
      <c r="K56" s="122" t="s">
        <v>238</v>
      </c>
      <c r="L56" s="122" t="s">
        <v>320</v>
      </c>
      <c r="M56" s="122" t="s">
        <v>1019</v>
      </c>
      <c r="O56" s="141" t="s">
        <v>1253</v>
      </c>
      <c r="P56" s="141" t="s">
        <v>1254</v>
      </c>
      <c r="Q56" s="122" t="s">
        <v>243</v>
      </c>
      <c r="R56" s="142">
        <v>38</v>
      </c>
      <c r="S56" s="122" t="s">
        <v>1255</v>
      </c>
      <c r="U56" s="122" t="s">
        <v>589</v>
      </c>
      <c r="W56" s="122" t="s">
        <v>246</v>
      </c>
      <c r="X56" s="122" t="s">
        <v>497</v>
      </c>
      <c r="Y56" s="141" t="s">
        <v>1256</v>
      </c>
      <c r="Z56" s="122" t="s">
        <v>1257</v>
      </c>
      <c r="AA56" s="141" t="s">
        <v>1258</v>
      </c>
      <c r="AB56" s="122" t="s">
        <v>1259</v>
      </c>
      <c r="AC56" s="141" t="s">
        <v>1260</v>
      </c>
      <c r="AD56" s="122" t="s">
        <v>1261</v>
      </c>
      <c r="AE56" s="122" t="s">
        <v>235</v>
      </c>
      <c r="AF56" s="122" t="s">
        <v>1262</v>
      </c>
      <c r="AG56" s="122" t="s">
        <v>537</v>
      </c>
      <c r="AH56" s="122" t="s">
        <v>253</v>
      </c>
      <c r="AI56" s="122" t="s">
        <v>1263</v>
      </c>
      <c r="AJ56" s="122" t="s">
        <v>1264</v>
      </c>
      <c r="AK56" s="122" t="s">
        <v>253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247</v>
      </c>
      <c r="AQ56" s="141" t="s">
        <v>247</v>
      </c>
      <c r="AR56" s="141" t="s">
        <v>247</v>
      </c>
      <c r="AS56" s="141" t="s">
        <v>601</v>
      </c>
      <c r="AT56" s="141" t="s">
        <v>601</v>
      </c>
      <c r="AU56" s="141" t="s">
        <v>601</v>
      </c>
      <c r="AV56" s="122" t="s">
        <v>259</v>
      </c>
      <c r="AW56" s="122" t="s">
        <v>260</v>
      </c>
      <c r="AY56" s="141" t="s">
        <v>253</v>
      </c>
      <c r="AZ56" s="122" t="s">
        <v>1265</v>
      </c>
      <c r="BA56" s="122" t="s">
        <v>262</v>
      </c>
      <c r="BB56" s="122" t="s">
        <v>262</v>
      </c>
      <c r="BC56" s="141" t="s">
        <v>312</v>
      </c>
      <c r="BD56" s="122" t="s">
        <v>253</v>
      </c>
      <c r="BE56" s="122" t="s">
        <v>263</v>
      </c>
      <c r="BF56" s="122" t="s">
        <v>605</v>
      </c>
      <c r="BH56" s="122" t="s">
        <v>589</v>
      </c>
      <c r="BI56" s="142">
        <v>38</v>
      </c>
      <c r="BJ56" s="123">
        <v>42230</v>
      </c>
      <c r="BK56" s="139" t="s">
        <v>264</v>
      </c>
      <c r="BL56" s="140">
        <v>156.84</v>
      </c>
      <c r="BM56" s="122">
        <v>33</v>
      </c>
    </row>
    <row r="57" spans="1:65" x14ac:dyDescent="0.25">
      <c r="A57" s="122" t="s">
        <v>578</v>
      </c>
      <c r="B57" s="122" t="s">
        <v>1266</v>
      </c>
      <c r="C57" s="122" t="s">
        <v>1267</v>
      </c>
      <c r="D57" s="122" t="s">
        <v>1268</v>
      </c>
      <c r="E57" s="123">
        <v>42219</v>
      </c>
      <c r="F57" s="122" t="s">
        <v>1269</v>
      </c>
      <c r="G57" s="122" t="s">
        <v>235</v>
      </c>
      <c r="H57" s="122" t="s">
        <v>1270</v>
      </c>
      <c r="I57" s="122" t="s">
        <v>1271</v>
      </c>
      <c r="J57" s="122" t="s">
        <v>1053</v>
      </c>
      <c r="K57" s="122" t="s">
        <v>238</v>
      </c>
      <c r="L57" s="122" t="s">
        <v>320</v>
      </c>
      <c r="M57" s="122" t="s">
        <v>411</v>
      </c>
      <c r="O57" s="141" t="s">
        <v>451</v>
      </c>
      <c r="P57" s="141" t="s">
        <v>1272</v>
      </c>
      <c r="Q57" s="122" t="s">
        <v>243</v>
      </c>
      <c r="R57" s="142">
        <v>39</v>
      </c>
      <c r="S57" s="122" t="s">
        <v>1273</v>
      </c>
      <c r="U57" s="122" t="s">
        <v>589</v>
      </c>
      <c r="W57" s="122" t="s">
        <v>246</v>
      </c>
      <c r="X57" s="122" t="s">
        <v>631</v>
      </c>
      <c r="Y57" s="141" t="s">
        <v>958</v>
      </c>
      <c r="Z57" s="122" t="s">
        <v>1274</v>
      </c>
      <c r="AA57" s="141" t="s">
        <v>304</v>
      </c>
      <c r="AB57" s="122" t="s">
        <v>1275</v>
      </c>
      <c r="AC57" s="141" t="s">
        <v>763</v>
      </c>
      <c r="AD57" s="122" t="s">
        <v>1276</v>
      </c>
      <c r="AE57" s="122" t="s">
        <v>235</v>
      </c>
      <c r="AF57" s="122" t="s">
        <v>1277</v>
      </c>
      <c r="AG57" s="122" t="s">
        <v>537</v>
      </c>
      <c r="AH57" s="122" t="s">
        <v>253</v>
      </c>
      <c r="AI57" s="122" t="s">
        <v>1278</v>
      </c>
      <c r="AJ57" s="122" t="s">
        <v>1279</v>
      </c>
      <c r="AK57" s="122" t="s">
        <v>253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247</v>
      </c>
      <c r="AQ57" s="141" t="s">
        <v>247</v>
      </c>
      <c r="AR57" s="141" t="s">
        <v>247</v>
      </c>
      <c r="AS57" s="141" t="s">
        <v>601</v>
      </c>
      <c r="AT57" s="141" t="s">
        <v>601</v>
      </c>
      <c r="AU57" s="141" t="s">
        <v>601</v>
      </c>
      <c r="AV57" s="122" t="s">
        <v>259</v>
      </c>
      <c r="AW57" s="122" t="s">
        <v>556</v>
      </c>
      <c r="AY57" s="141" t="s">
        <v>253</v>
      </c>
      <c r="AZ57" s="122" t="s">
        <v>1280</v>
      </c>
      <c r="BA57" s="122" t="s">
        <v>262</v>
      </c>
      <c r="BB57" s="122" t="s">
        <v>262</v>
      </c>
      <c r="BD57" s="122" t="s">
        <v>253</v>
      </c>
      <c r="BE57" s="122" t="s">
        <v>263</v>
      </c>
      <c r="BF57" s="122" t="s">
        <v>605</v>
      </c>
      <c r="BH57" s="122" t="s">
        <v>589</v>
      </c>
      <c r="BI57" s="142">
        <v>39</v>
      </c>
      <c r="BK57" s="139" t="s">
        <v>558</v>
      </c>
    </row>
    <row r="58" spans="1:65" x14ac:dyDescent="0.25">
      <c r="A58" s="122" t="s">
        <v>541</v>
      </c>
      <c r="B58" s="122" t="s">
        <v>1281</v>
      </c>
      <c r="C58" s="122" t="s">
        <v>1282</v>
      </c>
      <c r="D58" s="122" t="s">
        <v>1283</v>
      </c>
      <c r="E58" s="123">
        <v>42219</v>
      </c>
      <c r="F58" s="122" t="s">
        <v>1284</v>
      </c>
      <c r="G58" s="122" t="s">
        <v>235</v>
      </c>
      <c r="H58" s="122" t="s">
        <v>1285</v>
      </c>
      <c r="I58" s="122" t="s">
        <v>1286</v>
      </c>
      <c r="K58" s="122" t="s">
        <v>238</v>
      </c>
      <c r="L58" s="122" t="s">
        <v>320</v>
      </c>
      <c r="M58" s="122" t="s">
        <v>895</v>
      </c>
      <c r="O58" s="141" t="s">
        <v>451</v>
      </c>
      <c r="P58" s="141" t="s">
        <v>1287</v>
      </c>
      <c r="Q58" s="122" t="s">
        <v>243</v>
      </c>
      <c r="R58" s="142">
        <v>40</v>
      </c>
      <c r="S58" s="122" t="s">
        <v>1288</v>
      </c>
      <c r="U58" s="122" t="s">
        <v>589</v>
      </c>
      <c r="W58" s="122" t="s">
        <v>246</v>
      </c>
      <c r="X58" s="122" t="s">
        <v>603</v>
      </c>
      <c r="Y58" s="141" t="s">
        <v>1289</v>
      </c>
      <c r="Z58" s="122" t="s">
        <v>1290</v>
      </c>
      <c r="AA58" s="141" t="s">
        <v>1291</v>
      </c>
      <c r="AB58" s="122" t="s">
        <v>1292</v>
      </c>
      <c r="AC58" s="141" t="s">
        <v>765</v>
      </c>
      <c r="AD58" s="122" t="s">
        <v>1293</v>
      </c>
      <c r="AE58" s="122" t="s">
        <v>235</v>
      </c>
      <c r="AF58" s="122" t="s">
        <v>1294</v>
      </c>
      <c r="AG58" s="122" t="s">
        <v>253</v>
      </c>
      <c r="AH58" s="122" t="s">
        <v>253</v>
      </c>
      <c r="AI58" s="122" t="s">
        <v>1295</v>
      </c>
      <c r="AJ58" s="122" t="s">
        <v>1296</v>
      </c>
      <c r="AK58" s="122" t="s">
        <v>1297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247</v>
      </c>
      <c r="AQ58" s="141" t="s">
        <v>247</v>
      </c>
      <c r="AR58" s="141" t="s">
        <v>247</v>
      </c>
      <c r="AS58" s="141" t="s">
        <v>601</v>
      </c>
      <c r="AT58" s="141" t="s">
        <v>601</v>
      </c>
      <c r="AU58" s="141" t="s">
        <v>601</v>
      </c>
      <c r="AV58" s="122" t="s">
        <v>259</v>
      </c>
      <c r="AW58" s="122" t="s">
        <v>556</v>
      </c>
      <c r="AX58" s="141" t="s">
        <v>1298</v>
      </c>
      <c r="AY58" s="141" t="s">
        <v>247</v>
      </c>
      <c r="AZ58" s="122" t="s">
        <v>1299</v>
      </c>
      <c r="BA58" s="122" t="s">
        <v>262</v>
      </c>
      <c r="BB58" s="122" t="s">
        <v>1299</v>
      </c>
      <c r="BD58" s="122" t="s">
        <v>253</v>
      </c>
      <c r="BE58" s="122" t="s">
        <v>263</v>
      </c>
      <c r="BF58" s="122" t="s">
        <v>605</v>
      </c>
      <c r="BH58" s="122" t="s">
        <v>589</v>
      </c>
      <c r="BI58" s="142">
        <v>40</v>
      </c>
      <c r="BK58" s="139" t="s">
        <v>558</v>
      </c>
    </row>
    <row r="59" spans="1:65" x14ac:dyDescent="0.25">
      <c r="A59" s="122" t="s">
        <v>541</v>
      </c>
      <c r="B59" s="122" t="s">
        <v>1300</v>
      </c>
      <c r="C59" s="122" t="s">
        <v>1301</v>
      </c>
      <c r="D59" s="122" t="s">
        <v>1302</v>
      </c>
      <c r="E59" s="123">
        <v>42219</v>
      </c>
      <c r="F59" s="122" t="s">
        <v>328</v>
      </c>
      <c r="G59" s="122" t="s">
        <v>235</v>
      </c>
      <c r="H59" s="122" t="s">
        <v>1303</v>
      </c>
      <c r="I59" s="122" t="s">
        <v>1304</v>
      </c>
      <c r="K59" s="122" t="s">
        <v>238</v>
      </c>
      <c r="L59" s="122" t="s">
        <v>239</v>
      </c>
      <c r="M59" s="122" t="s">
        <v>814</v>
      </c>
      <c r="O59" s="141" t="s">
        <v>566</v>
      </c>
      <c r="P59" s="141" t="s">
        <v>1305</v>
      </c>
      <c r="Q59" s="122" t="s">
        <v>243</v>
      </c>
      <c r="R59" s="142">
        <v>41</v>
      </c>
      <c r="S59" s="122" t="s">
        <v>1306</v>
      </c>
      <c r="U59" s="122" t="s">
        <v>589</v>
      </c>
      <c r="W59" s="122" t="s">
        <v>246</v>
      </c>
      <c r="X59" s="122" t="s">
        <v>569</v>
      </c>
      <c r="Z59" s="122" t="s">
        <v>250</v>
      </c>
      <c r="AB59" s="122" t="s">
        <v>250</v>
      </c>
      <c r="AD59" s="122" t="s">
        <v>250</v>
      </c>
      <c r="AE59" s="122" t="s">
        <v>235</v>
      </c>
      <c r="AF59" s="122" t="s">
        <v>1307</v>
      </c>
      <c r="AG59" s="122" t="s">
        <v>253</v>
      </c>
      <c r="AH59" s="122" t="s">
        <v>1308</v>
      </c>
      <c r="AI59" s="122" t="s">
        <v>1309</v>
      </c>
      <c r="AJ59" s="122" t="s">
        <v>1310</v>
      </c>
      <c r="AK59" s="122" t="s">
        <v>1311</v>
      </c>
      <c r="AL59" s="122" t="s">
        <v>253</v>
      </c>
      <c r="AM59" s="122" t="s">
        <v>253</v>
      </c>
      <c r="AN59" s="122" t="s">
        <v>253</v>
      </c>
      <c r="AO59" s="141" t="s">
        <v>247</v>
      </c>
      <c r="AP59" s="141" t="s">
        <v>247</v>
      </c>
      <c r="AQ59" s="141" t="s">
        <v>247</v>
      </c>
      <c r="AR59" s="141" t="s">
        <v>247</v>
      </c>
      <c r="AS59" s="141" t="s">
        <v>601</v>
      </c>
      <c r="AT59" s="141" t="s">
        <v>601</v>
      </c>
      <c r="AU59" s="141" t="s">
        <v>601</v>
      </c>
      <c r="AV59" s="122" t="s">
        <v>259</v>
      </c>
      <c r="AW59" s="122" t="s">
        <v>556</v>
      </c>
      <c r="AY59" s="141" t="s">
        <v>253</v>
      </c>
      <c r="AZ59" s="122" t="s">
        <v>1312</v>
      </c>
      <c r="BA59" s="122" t="s">
        <v>262</v>
      </c>
      <c r="BB59" s="122" t="s">
        <v>262</v>
      </c>
      <c r="BD59" s="122" t="s">
        <v>253</v>
      </c>
      <c r="BE59" s="122" t="s">
        <v>263</v>
      </c>
      <c r="BF59" s="122" t="s">
        <v>605</v>
      </c>
      <c r="BH59" s="122" t="s">
        <v>589</v>
      </c>
      <c r="BI59" s="142">
        <v>41</v>
      </c>
      <c r="BK59" s="139" t="s">
        <v>558</v>
      </c>
    </row>
    <row r="60" spans="1:65" x14ac:dyDescent="0.25">
      <c r="A60" s="122" t="s">
        <v>404</v>
      </c>
      <c r="B60" s="122" t="s">
        <v>1313</v>
      </c>
      <c r="C60" s="122" t="s">
        <v>774</v>
      </c>
      <c r="D60" s="122" t="s">
        <v>775</v>
      </c>
      <c r="E60" s="123">
        <v>42219</v>
      </c>
      <c r="F60" s="122" t="s">
        <v>776</v>
      </c>
      <c r="G60" s="122" t="s">
        <v>235</v>
      </c>
      <c r="H60" s="122" t="s">
        <v>777</v>
      </c>
      <c r="I60" s="122" t="s">
        <v>778</v>
      </c>
      <c r="K60" s="122" t="s">
        <v>238</v>
      </c>
      <c r="L60" s="122" t="s">
        <v>320</v>
      </c>
      <c r="M60" s="122" t="s">
        <v>779</v>
      </c>
      <c r="O60" s="141" t="s">
        <v>780</v>
      </c>
      <c r="P60" s="141" t="s">
        <v>781</v>
      </c>
      <c r="Q60" s="122" t="s">
        <v>243</v>
      </c>
      <c r="R60" s="142">
        <v>42</v>
      </c>
      <c r="S60" s="122" t="s">
        <v>782</v>
      </c>
      <c r="U60" s="122" t="s">
        <v>589</v>
      </c>
      <c r="W60" s="122" t="s">
        <v>246</v>
      </c>
      <c r="X60" s="122" t="s">
        <v>260</v>
      </c>
      <c r="Y60" s="141" t="s">
        <v>455</v>
      </c>
      <c r="Z60" s="122" t="s">
        <v>783</v>
      </c>
      <c r="AA60" s="141" t="s">
        <v>784</v>
      </c>
      <c r="AB60" s="122" t="s">
        <v>783</v>
      </c>
      <c r="AC60" s="141" t="s">
        <v>570</v>
      </c>
      <c r="AD60" s="122" t="s">
        <v>785</v>
      </c>
      <c r="AE60" s="122" t="s">
        <v>235</v>
      </c>
      <c r="AF60" s="122" t="s">
        <v>786</v>
      </c>
      <c r="AG60" s="122" t="s">
        <v>253</v>
      </c>
      <c r="AH60" s="122" t="s">
        <v>253</v>
      </c>
      <c r="AI60" s="122" t="s">
        <v>787</v>
      </c>
      <c r="AJ60" s="122" t="s">
        <v>788</v>
      </c>
      <c r="AK60" s="122" t="s">
        <v>789</v>
      </c>
      <c r="AL60" s="122" t="s">
        <v>253</v>
      </c>
      <c r="AM60" s="122" t="s">
        <v>253</v>
      </c>
      <c r="AN60" s="122" t="s">
        <v>253</v>
      </c>
      <c r="AO60" s="141" t="s">
        <v>253</v>
      </c>
      <c r="AP60" s="141" t="s">
        <v>253</v>
      </c>
      <c r="AQ60" s="141" t="s">
        <v>247</v>
      </c>
      <c r="AR60" s="141" t="s">
        <v>247</v>
      </c>
      <c r="AS60" s="141" t="s">
        <v>361</v>
      </c>
      <c r="AT60" s="141" t="s">
        <v>601</v>
      </c>
      <c r="AU60" s="141" t="s">
        <v>601</v>
      </c>
      <c r="AV60" s="122" t="s">
        <v>259</v>
      </c>
      <c r="AW60" s="122" t="s">
        <v>556</v>
      </c>
      <c r="AX60" s="141" t="s">
        <v>790</v>
      </c>
      <c r="AY60" s="141" t="s">
        <v>260</v>
      </c>
      <c r="AZ60" s="122" t="s">
        <v>791</v>
      </c>
      <c r="BA60" s="122" t="s">
        <v>262</v>
      </c>
      <c r="BB60" s="122" t="s">
        <v>262</v>
      </c>
      <c r="BD60" s="122" t="s">
        <v>253</v>
      </c>
      <c r="BE60" s="122" t="s">
        <v>263</v>
      </c>
      <c r="BF60" s="122" t="s">
        <v>605</v>
      </c>
      <c r="BH60" s="122" t="s">
        <v>589</v>
      </c>
      <c r="BI60" s="142">
        <v>42</v>
      </c>
      <c r="BK60" s="139" t="s">
        <v>558</v>
      </c>
    </row>
    <row r="61" spans="1:65" x14ac:dyDescent="0.25">
      <c r="A61" s="122" t="s">
        <v>404</v>
      </c>
      <c r="B61" s="122" t="s">
        <v>1314</v>
      </c>
      <c r="C61" s="122" t="s">
        <v>793</v>
      </c>
      <c r="D61" s="122" t="s">
        <v>794</v>
      </c>
      <c r="E61" s="123">
        <v>42219</v>
      </c>
      <c r="F61" s="122" t="s">
        <v>795</v>
      </c>
      <c r="G61" s="122" t="s">
        <v>235</v>
      </c>
      <c r="H61" s="122" t="s">
        <v>448</v>
      </c>
      <c r="I61" s="122" t="s">
        <v>796</v>
      </c>
      <c r="K61" s="122" t="s">
        <v>238</v>
      </c>
      <c r="L61" s="122" t="s">
        <v>320</v>
      </c>
      <c r="M61" s="122" t="s">
        <v>779</v>
      </c>
      <c r="O61" s="141" t="s">
        <v>390</v>
      </c>
      <c r="P61" s="141" t="s">
        <v>797</v>
      </c>
      <c r="Q61" s="122" t="s">
        <v>243</v>
      </c>
      <c r="R61" s="142">
        <v>43</v>
      </c>
      <c r="S61" s="122" t="s">
        <v>798</v>
      </c>
      <c r="U61" s="122" t="s">
        <v>589</v>
      </c>
      <c r="W61" s="122" t="s">
        <v>246</v>
      </c>
      <c r="X61" s="122" t="s">
        <v>302</v>
      </c>
      <c r="Y61" s="141" t="s">
        <v>593</v>
      </c>
      <c r="Z61" s="122" t="s">
        <v>799</v>
      </c>
      <c r="AA61" s="141" t="s">
        <v>306</v>
      </c>
      <c r="AB61" s="122" t="s">
        <v>800</v>
      </c>
      <c r="AC61" s="141" t="s">
        <v>801</v>
      </c>
      <c r="AD61" s="122" t="s">
        <v>802</v>
      </c>
      <c r="AE61" s="122" t="s">
        <v>235</v>
      </c>
      <c r="AF61" s="122" t="s">
        <v>803</v>
      </c>
      <c r="AG61" s="122" t="s">
        <v>537</v>
      </c>
      <c r="AH61" s="122" t="s">
        <v>253</v>
      </c>
      <c r="AI61" s="122" t="s">
        <v>804</v>
      </c>
      <c r="AJ61" s="122" t="s">
        <v>805</v>
      </c>
      <c r="AK61" s="122" t="s">
        <v>253</v>
      </c>
      <c r="AL61" s="122" t="s">
        <v>253</v>
      </c>
      <c r="AM61" s="122" t="s">
        <v>253</v>
      </c>
      <c r="AN61" s="122" t="s">
        <v>253</v>
      </c>
      <c r="AO61" s="141" t="s">
        <v>247</v>
      </c>
      <c r="AP61" s="141" t="s">
        <v>253</v>
      </c>
      <c r="AQ61" s="141" t="s">
        <v>247</v>
      </c>
      <c r="AR61" s="141" t="s">
        <v>247</v>
      </c>
      <c r="AS61" s="141" t="s">
        <v>601</v>
      </c>
      <c r="AT61" s="141" t="s">
        <v>601</v>
      </c>
      <c r="AU61" s="141" t="s">
        <v>601</v>
      </c>
      <c r="AV61" s="122" t="s">
        <v>259</v>
      </c>
      <c r="AW61" s="122" t="s">
        <v>556</v>
      </c>
      <c r="AY61" s="141" t="s">
        <v>253</v>
      </c>
      <c r="AZ61" s="122" t="s">
        <v>262</v>
      </c>
      <c r="BA61" s="122" t="s">
        <v>262</v>
      </c>
      <c r="BB61" s="122" t="s">
        <v>806</v>
      </c>
      <c r="BD61" s="122" t="s">
        <v>253</v>
      </c>
      <c r="BE61" s="122" t="s">
        <v>263</v>
      </c>
      <c r="BF61" s="122" t="s">
        <v>605</v>
      </c>
      <c r="BH61" s="122" t="s">
        <v>589</v>
      </c>
      <c r="BI61" s="142">
        <v>43</v>
      </c>
      <c r="BK61" s="139" t="s">
        <v>558</v>
      </c>
    </row>
    <row r="62" spans="1:65" x14ac:dyDescent="0.25">
      <c r="A62" s="122" t="s">
        <v>404</v>
      </c>
      <c r="B62" s="122" t="s">
        <v>1315</v>
      </c>
      <c r="C62" s="122" t="s">
        <v>1316</v>
      </c>
      <c r="D62" s="122" t="s">
        <v>1317</v>
      </c>
      <c r="E62" s="123">
        <v>42219</v>
      </c>
      <c r="F62" s="122" t="s">
        <v>1318</v>
      </c>
      <c r="G62" s="122" t="s">
        <v>235</v>
      </c>
      <c r="H62" s="122" t="s">
        <v>1319</v>
      </c>
      <c r="I62" s="122" t="s">
        <v>1320</v>
      </c>
      <c r="J62" s="122" t="s">
        <v>1321</v>
      </c>
      <c r="K62" s="122" t="s">
        <v>238</v>
      </c>
      <c r="L62" s="122" t="s">
        <v>320</v>
      </c>
      <c r="M62" s="122" t="s">
        <v>872</v>
      </c>
      <c r="O62" s="141" t="s">
        <v>1240</v>
      </c>
      <c r="P62" s="141" t="s">
        <v>1322</v>
      </c>
      <c r="Q62" s="122" t="s">
        <v>243</v>
      </c>
      <c r="R62" s="142">
        <v>44</v>
      </c>
      <c r="S62" s="122" t="s">
        <v>1323</v>
      </c>
      <c r="U62" s="122" t="s">
        <v>589</v>
      </c>
      <c r="W62" s="122" t="s">
        <v>246</v>
      </c>
      <c r="X62" s="122" t="s">
        <v>1324</v>
      </c>
      <c r="Y62" s="141" t="s">
        <v>1325</v>
      </c>
      <c r="Z62" s="122" t="s">
        <v>1326</v>
      </c>
      <c r="AA62" s="141" t="s">
        <v>1325</v>
      </c>
      <c r="AB62" s="122" t="s">
        <v>249</v>
      </c>
      <c r="AC62" s="141" t="s">
        <v>1327</v>
      </c>
      <c r="AD62" s="122" t="s">
        <v>355</v>
      </c>
      <c r="AE62" s="122" t="s">
        <v>235</v>
      </c>
      <c r="AF62" s="122" t="s">
        <v>1328</v>
      </c>
      <c r="AG62" s="122" t="s">
        <v>253</v>
      </c>
      <c r="AH62" s="122" t="s">
        <v>253</v>
      </c>
      <c r="AI62" s="122" t="s">
        <v>1329</v>
      </c>
      <c r="AJ62" s="122" t="s">
        <v>1330</v>
      </c>
      <c r="AK62" s="122" t="s">
        <v>1331</v>
      </c>
      <c r="AL62" s="122" t="s">
        <v>1332</v>
      </c>
      <c r="AM62" s="122" t="s">
        <v>253</v>
      </c>
      <c r="AN62" s="122" t="s">
        <v>253</v>
      </c>
      <c r="AO62" s="141" t="s">
        <v>253</v>
      </c>
      <c r="AP62" s="141" t="s">
        <v>253</v>
      </c>
      <c r="AQ62" s="141" t="s">
        <v>253</v>
      </c>
      <c r="AR62" s="141" t="s">
        <v>247</v>
      </c>
      <c r="AS62" s="141" t="s">
        <v>361</v>
      </c>
      <c r="AT62" s="141" t="s">
        <v>258</v>
      </c>
      <c r="AU62" s="141" t="s">
        <v>601</v>
      </c>
      <c r="AV62" s="122" t="s">
        <v>259</v>
      </c>
      <c r="AW62" s="122" t="s">
        <v>556</v>
      </c>
      <c r="AY62" s="141" t="s">
        <v>253</v>
      </c>
      <c r="AZ62" s="122" t="s">
        <v>1333</v>
      </c>
      <c r="BA62" s="122" t="s">
        <v>262</v>
      </c>
      <c r="BB62" s="122" t="s">
        <v>262</v>
      </c>
      <c r="BD62" s="122" t="s">
        <v>253</v>
      </c>
      <c r="BE62" s="122" t="s">
        <v>263</v>
      </c>
      <c r="BF62" s="122" t="s">
        <v>605</v>
      </c>
      <c r="BH62" s="122" t="s">
        <v>589</v>
      </c>
      <c r="BI62" s="142">
        <v>44</v>
      </c>
      <c r="BJ62" s="123">
        <v>42232</v>
      </c>
      <c r="BK62" s="139" t="s">
        <v>606</v>
      </c>
      <c r="BM62" s="122">
        <v>33</v>
      </c>
    </row>
    <row r="63" spans="1:65" x14ac:dyDescent="0.25">
      <c r="A63" s="122" t="s">
        <v>404</v>
      </c>
      <c r="B63" s="122" t="s">
        <v>1334</v>
      </c>
      <c r="C63" s="122" t="s">
        <v>1335</v>
      </c>
      <c r="D63" s="122" t="s">
        <v>1336</v>
      </c>
      <c r="E63" s="123">
        <v>42219</v>
      </c>
      <c r="F63" s="122" t="s">
        <v>1337</v>
      </c>
      <c r="G63" s="122" t="s">
        <v>235</v>
      </c>
      <c r="H63" s="122" t="s">
        <v>1338</v>
      </c>
      <c r="I63" s="122" t="s">
        <v>1339</v>
      </c>
      <c r="K63" s="122" t="s">
        <v>238</v>
      </c>
      <c r="L63" s="122" t="s">
        <v>239</v>
      </c>
      <c r="M63" s="122" t="s">
        <v>1157</v>
      </c>
      <c r="O63" s="141" t="s">
        <v>451</v>
      </c>
      <c r="P63" s="141" t="s">
        <v>1340</v>
      </c>
      <c r="Q63" s="122" t="s">
        <v>243</v>
      </c>
      <c r="R63" s="142">
        <v>45</v>
      </c>
      <c r="S63" s="122" t="s">
        <v>1341</v>
      </c>
      <c r="U63" s="122" t="s">
        <v>589</v>
      </c>
      <c r="W63" s="122" t="s">
        <v>246</v>
      </c>
      <c r="X63" s="122" t="s">
        <v>1121</v>
      </c>
      <c r="Y63" s="141" t="s">
        <v>763</v>
      </c>
      <c r="Z63" s="122" t="s">
        <v>1342</v>
      </c>
      <c r="AA63" s="141" t="s">
        <v>283</v>
      </c>
      <c r="AB63" s="122" t="s">
        <v>1343</v>
      </c>
      <c r="AC63" s="141" t="s">
        <v>1344</v>
      </c>
      <c r="AD63" s="122" t="s">
        <v>1345</v>
      </c>
      <c r="AE63" s="122" t="s">
        <v>235</v>
      </c>
      <c r="AF63" s="122" t="s">
        <v>1346</v>
      </c>
      <c r="AG63" s="122" t="s">
        <v>537</v>
      </c>
      <c r="AH63" s="122" t="s">
        <v>253</v>
      </c>
      <c r="AI63" s="122" t="s">
        <v>1347</v>
      </c>
      <c r="AJ63" s="122" t="s">
        <v>1348</v>
      </c>
      <c r="AK63" s="122" t="s">
        <v>1349</v>
      </c>
      <c r="AL63" s="122" t="s">
        <v>1350</v>
      </c>
      <c r="AM63" s="122" t="s">
        <v>253</v>
      </c>
      <c r="AN63" s="122" t="s">
        <v>253</v>
      </c>
      <c r="AO63" s="141" t="s">
        <v>253</v>
      </c>
      <c r="AP63" s="141" t="s">
        <v>253</v>
      </c>
      <c r="AQ63" s="141" t="s">
        <v>253</v>
      </c>
      <c r="AR63" s="141" t="s">
        <v>247</v>
      </c>
      <c r="AS63" s="141" t="s">
        <v>361</v>
      </c>
      <c r="AT63" s="141" t="s">
        <v>258</v>
      </c>
      <c r="AU63" s="141" t="s">
        <v>601</v>
      </c>
      <c r="AV63" s="122" t="s">
        <v>259</v>
      </c>
      <c r="AW63" s="122" t="s">
        <v>556</v>
      </c>
      <c r="AX63" s="141" t="s">
        <v>1351</v>
      </c>
      <c r="AY63" s="141" t="s">
        <v>247</v>
      </c>
      <c r="AZ63" s="122" t="s">
        <v>1352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605</v>
      </c>
      <c r="BH63" s="122" t="s">
        <v>589</v>
      </c>
      <c r="BI63" s="142">
        <v>45</v>
      </c>
      <c r="BJ63" s="123">
        <v>42232</v>
      </c>
      <c r="BK63" s="139" t="s">
        <v>606</v>
      </c>
      <c r="BM63" s="122">
        <v>33</v>
      </c>
    </row>
    <row r="64" spans="1:65" x14ac:dyDescent="0.25">
      <c r="A64" s="122" t="s">
        <v>404</v>
      </c>
      <c r="B64" s="122" t="s">
        <v>1353</v>
      </c>
      <c r="C64" s="122" t="s">
        <v>1354</v>
      </c>
      <c r="D64" s="122" t="s">
        <v>1355</v>
      </c>
      <c r="E64" s="123">
        <v>42219</v>
      </c>
      <c r="F64" s="122" t="s">
        <v>880</v>
      </c>
      <c r="G64" s="122" t="s">
        <v>235</v>
      </c>
      <c r="H64" s="122" t="s">
        <v>1356</v>
      </c>
      <c r="I64" s="122" t="s">
        <v>1357</v>
      </c>
      <c r="J64" s="122" t="s">
        <v>1358</v>
      </c>
      <c r="K64" s="122" t="s">
        <v>238</v>
      </c>
      <c r="L64" s="122" t="s">
        <v>320</v>
      </c>
      <c r="M64" s="122" t="s">
        <v>779</v>
      </c>
      <c r="Q64" s="122" t="s">
        <v>243</v>
      </c>
      <c r="R64" s="142">
        <v>46</v>
      </c>
      <c r="S64" s="122" t="s">
        <v>1359</v>
      </c>
      <c r="U64" s="122" t="s">
        <v>589</v>
      </c>
      <c r="W64" s="122" t="s">
        <v>246</v>
      </c>
      <c r="X64" s="122" t="s">
        <v>442</v>
      </c>
      <c r="Y64" s="141" t="s">
        <v>234</v>
      </c>
      <c r="Z64" s="122" t="s">
        <v>1360</v>
      </c>
      <c r="AA64" s="141" t="s">
        <v>1361</v>
      </c>
      <c r="AB64" s="122" t="s">
        <v>669</v>
      </c>
      <c r="AD64" s="122" t="s">
        <v>250</v>
      </c>
      <c r="AE64" s="122" t="s">
        <v>235</v>
      </c>
      <c r="AF64" s="122" t="s">
        <v>1362</v>
      </c>
      <c r="AG64" s="122" t="s">
        <v>253</v>
      </c>
      <c r="AH64" s="122" t="s">
        <v>253</v>
      </c>
      <c r="AI64" s="122" t="s">
        <v>1363</v>
      </c>
      <c r="AJ64" s="122" t="s">
        <v>1364</v>
      </c>
      <c r="AK64" s="122" t="s">
        <v>1365</v>
      </c>
      <c r="AL64" s="122" t="s">
        <v>1366</v>
      </c>
      <c r="AM64" s="122" t="s">
        <v>253</v>
      </c>
      <c r="AN64" s="122" t="s">
        <v>253</v>
      </c>
      <c r="AO64" s="141" t="s">
        <v>253</v>
      </c>
      <c r="AP64" s="141" t="s">
        <v>253</v>
      </c>
      <c r="AQ64" s="141" t="s">
        <v>253</v>
      </c>
      <c r="AR64" s="141" t="s">
        <v>247</v>
      </c>
      <c r="AS64" s="141" t="s">
        <v>361</v>
      </c>
      <c r="AT64" s="141" t="s">
        <v>258</v>
      </c>
      <c r="AU64" s="141" t="s">
        <v>601</v>
      </c>
      <c r="AV64" s="122" t="s">
        <v>259</v>
      </c>
      <c r="AW64" s="122" t="s">
        <v>556</v>
      </c>
      <c r="AY64" s="141" t="s">
        <v>253</v>
      </c>
      <c r="AZ64" s="122" t="s">
        <v>1367</v>
      </c>
      <c r="BA64" s="122" t="s">
        <v>262</v>
      </c>
      <c r="BB64" s="122" t="s">
        <v>262</v>
      </c>
      <c r="BD64" s="122" t="s">
        <v>253</v>
      </c>
      <c r="BE64" s="122" t="s">
        <v>263</v>
      </c>
      <c r="BF64" s="122" t="s">
        <v>605</v>
      </c>
      <c r="BH64" s="122" t="s">
        <v>589</v>
      </c>
      <c r="BI64" s="142">
        <v>46</v>
      </c>
      <c r="BJ64" s="123">
        <v>42232</v>
      </c>
      <c r="BK64" s="139" t="s">
        <v>606</v>
      </c>
      <c r="BM64" s="122">
        <v>33</v>
      </c>
    </row>
    <row r="65" spans="1:65" x14ac:dyDescent="0.25">
      <c r="A65" s="122" t="s">
        <v>422</v>
      </c>
      <c r="B65" s="122" t="s">
        <v>1368</v>
      </c>
      <c r="C65" s="122" t="s">
        <v>909</v>
      </c>
      <c r="D65" s="122" t="s">
        <v>910</v>
      </c>
      <c r="E65" s="123">
        <v>42219</v>
      </c>
      <c r="F65" s="122" t="s">
        <v>911</v>
      </c>
      <c r="G65" s="122" t="s">
        <v>235</v>
      </c>
      <c r="H65" s="122" t="s">
        <v>912</v>
      </c>
      <c r="I65" s="122" t="s">
        <v>913</v>
      </c>
      <c r="J65" s="122" t="s">
        <v>914</v>
      </c>
      <c r="K65" s="122" t="s">
        <v>238</v>
      </c>
      <c r="L65" s="122" t="s">
        <v>320</v>
      </c>
      <c r="M65" s="122" t="s">
        <v>915</v>
      </c>
      <c r="O65" s="141" t="s">
        <v>916</v>
      </c>
      <c r="P65" s="141" t="s">
        <v>917</v>
      </c>
      <c r="Q65" s="122" t="s">
        <v>243</v>
      </c>
      <c r="R65" s="142">
        <v>47</v>
      </c>
      <c r="S65" s="122" t="s">
        <v>918</v>
      </c>
      <c r="U65" s="122" t="s">
        <v>589</v>
      </c>
      <c r="W65" s="122" t="s">
        <v>246</v>
      </c>
      <c r="X65" s="122" t="s">
        <v>739</v>
      </c>
      <c r="Y65" s="141" t="s">
        <v>511</v>
      </c>
      <c r="Z65" s="122" t="s">
        <v>919</v>
      </c>
      <c r="AA65" s="141" t="s">
        <v>920</v>
      </c>
      <c r="AB65" s="122" t="s">
        <v>249</v>
      </c>
      <c r="AC65" s="141" t="s">
        <v>921</v>
      </c>
      <c r="AD65" s="122" t="s">
        <v>922</v>
      </c>
      <c r="AE65" s="122" t="s">
        <v>235</v>
      </c>
      <c r="AF65" s="122" t="s">
        <v>923</v>
      </c>
      <c r="AG65" s="122" t="s">
        <v>924</v>
      </c>
      <c r="AH65" s="122" t="s">
        <v>253</v>
      </c>
      <c r="AI65" s="122" t="s">
        <v>925</v>
      </c>
      <c r="AJ65" s="122" t="s">
        <v>926</v>
      </c>
      <c r="AK65" s="122" t="s">
        <v>927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556</v>
      </c>
      <c r="AY65" s="141" t="s">
        <v>253</v>
      </c>
      <c r="AZ65" s="122" t="s">
        <v>928</v>
      </c>
      <c r="BA65" s="122" t="s">
        <v>262</v>
      </c>
      <c r="BB65" s="122" t="s">
        <v>262</v>
      </c>
      <c r="BD65" s="122" t="s">
        <v>253</v>
      </c>
      <c r="BE65" s="122" t="s">
        <v>263</v>
      </c>
      <c r="BF65" s="122" t="s">
        <v>605</v>
      </c>
      <c r="BH65" s="122" t="s">
        <v>589</v>
      </c>
      <c r="BI65" s="142">
        <v>47</v>
      </c>
      <c r="BK65" s="139" t="s">
        <v>558</v>
      </c>
    </row>
    <row r="66" spans="1:65" x14ac:dyDescent="0.25">
      <c r="A66" s="122" t="s">
        <v>485</v>
      </c>
      <c r="B66" s="122" t="s">
        <v>1369</v>
      </c>
      <c r="C66" s="122" t="s">
        <v>1370</v>
      </c>
      <c r="D66" s="122" t="s">
        <v>1371</v>
      </c>
      <c r="E66" s="123">
        <v>42219</v>
      </c>
      <c r="F66" s="122" t="s">
        <v>1372</v>
      </c>
      <c r="G66" s="122" t="s">
        <v>235</v>
      </c>
      <c r="H66" s="122" t="s">
        <v>1373</v>
      </c>
      <c r="I66" s="122" t="s">
        <v>1374</v>
      </c>
      <c r="K66" s="122" t="s">
        <v>238</v>
      </c>
      <c r="L66" s="122" t="s">
        <v>320</v>
      </c>
      <c r="M66" s="122" t="s">
        <v>1003</v>
      </c>
      <c r="O66" s="141" t="s">
        <v>451</v>
      </c>
      <c r="P66" s="141" t="s">
        <v>1375</v>
      </c>
      <c r="Q66" s="122" t="s">
        <v>243</v>
      </c>
      <c r="R66" s="142">
        <v>48</v>
      </c>
      <c r="S66" s="122" t="s">
        <v>1376</v>
      </c>
      <c r="U66" s="122" t="s">
        <v>589</v>
      </c>
      <c r="W66" s="122" t="s">
        <v>246</v>
      </c>
      <c r="X66" s="122" t="s">
        <v>1377</v>
      </c>
      <c r="Y66" s="141" t="s">
        <v>724</v>
      </c>
      <c r="Z66" s="122" t="s">
        <v>1378</v>
      </c>
      <c r="AA66" s="141" t="s">
        <v>1379</v>
      </c>
      <c r="AB66" s="122" t="s">
        <v>1378</v>
      </c>
      <c r="AC66" s="141" t="s">
        <v>1380</v>
      </c>
      <c r="AD66" s="122" t="s">
        <v>1381</v>
      </c>
      <c r="AE66" s="122" t="s">
        <v>235</v>
      </c>
      <c r="AF66" s="122" t="s">
        <v>1382</v>
      </c>
      <c r="AG66" s="122" t="s">
        <v>253</v>
      </c>
      <c r="AH66" s="122" t="s">
        <v>253</v>
      </c>
      <c r="AI66" s="122" t="s">
        <v>1383</v>
      </c>
      <c r="AJ66" s="122" t="s">
        <v>1384</v>
      </c>
      <c r="AK66" s="122" t="s">
        <v>1385</v>
      </c>
      <c r="AL66" s="122" t="s">
        <v>1386</v>
      </c>
      <c r="AM66" s="122" t="s">
        <v>253</v>
      </c>
      <c r="AN66" s="122" t="s">
        <v>253</v>
      </c>
      <c r="AO66" s="141" t="s">
        <v>253</v>
      </c>
      <c r="AP66" s="141" t="s">
        <v>253</v>
      </c>
      <c r="AQ66" s="141" t="s">
        <v>253</v>
      </c>
      <c r="AR66" s="141" t="s">
        <v>247</v>
      </c>
      <c r="AS66" s="141" t="s">
        <v>361</v>
      </c>
      <c r="AT66" s="141" t="s">
        <v>258</v>
      </c>
      <c r="AU66" s="141" t="s">
        <v>601</v>
      </c>
      <c r="AV66" s="122" t="s">
        <v>259</v>
      </c>
      <c r="AW66" s="122" t="s">
        <v>556</v>
      </c>
      <c r="AY66" s="141" t="s">
        <v>253</v>
      </c>
      <c r="AZ66" s="122" t="s">
        <v>1387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605</v>
      </c>
      <c r="BH66" s="122" t="s">
        <v>589</v>
      </c>
      <c r="BI66" s="142">
        <v>48</v>
      </c>
      <c r="BJ66" s="123">
        <v>42232</v>
      </c>
      <c r="BK66" s="139" t="s">
        <v>606</v>
      </c>
      <c r="BM66" s="122">
        <v>33</v>
      </c>
    </row>
    <row r="67" spans="1:65" x14ac:dyDescent="0.25">
      <c r="A67" s="122" t="s">
        <v>485</v>
      </c>
      <c r="B67" s="122" t="s">
        <v>1388</v>
      </c>
      <c r="C67" s="122" t="s">
        <v>966</v>
      </c>
      <c r="D67" s="122" t="s">
        <v>967</v>
      </c>
      <c r="E67" s="123">
        <v>42219</v>
      </c>
      <c r="F67" s="122" t="s">
        <v>968</v>
      </c>
      <c r="G67" s="122" t="s">
        <v>235</v>
      </c>
      <c r="H67" s="122" t="s">
        <v>448</v>
      </c>
      <c r="I67" s="122" t="s">
        <v>969</v>
      </c>
      <c r="K67" s="122" t="s">
        <v>238</v>
      </c>
      <c r="L67" s="122" t="s">
        <v>320</v>
      </c>
      <c r="M67" s="122" t="s">
        <v>915</v>
      </c>
      <c r="O67" s="141" t="s">
        <v>665</v>
      </c>
      <c r="P67" s="141" t="s">
        <v>970</v>
      </c>
      <c r="Q67" s="122" t="s">
        <v>243</v>
      </c>
      <c r="R67" s="142">
        <v>49</v>
      </c>
      <c r="S67" s="122" t="s">
        <v>971</v>
      </c>
      <c r="U67" s="122" t="s">
        <v>589</v>
      </c>
      <c r="W67" s="122" t="s">
        <v>246</v>
      </c>
      <c r="X67" s="122" t="s">
        <v>972</v>
      </c>
      <c r="Y67" s="141" t="s">
        <v>973</v>
      </c>
      <c r="Z67" s="122" t="s">
        <v>974</v>
      </c>
      <c r="AA67" s="141" t="s">
        <v>304</v>
      </c>
      <c r="AB67" s="122" t="s">
        <v>305</v>
      </c>
      <c r="AC67" s="141" t="s">
        <v>367</v>
      </c>
      <c r="AD67" s="122" t="s">
        <v>975</v>
      </c>
      <c r="AE67" s="122" t="s">
        <v>235</v>
      </c>
      <c r="AF67" s="122" t="s">
        <v>976</v>
      </c>
      <c r="AG67" s="122" t="s">
        <v>253</v>
      </c>
      <c r="AH67" s="122" t="s">
        <v>253</v>
      </c>
      <c r="AI67" s="122" t="s">
        <v>977</v>
      </c>
      <c r="AJ67" s="122" t="s">
        <v>978</v>
      </c>
      <c r="AK67" s="122" t="s">
        <v>253</v>
      </c>
      <c r="AL67" s="122" t="s">
        <v>979</v>
      </c>
      <c r="AM67" s="122" t="s">
        <v>253</v>
      </c>
      <c r="AN67" s="122" t="s">
        <v>253</v>
      </c>
      <c r="AO67" s="141" t="s">
        <v>247</v>
      </c>
      <c r="AP67" s="141" t="s">
        <v>247</v>
      </c>
      <c r="AQ67" s="141" t="s">
        <v>247</v>
      </c>
      <c r="AR67" s="141" t="s">
        <v>247</v>
      </c>
      <c r="AS67" s="141" t="s">
        <v>601</v>
      </c>
      <c r="AT67" s="141" t="s">
        <v>601</v>
      </c>
      <c r="AU67" s="141" t="s">
        <v>601</v>
      </c>
      <c r="AV67" s="122" t="s">
        <v>259</v>
      </c>
      <c r="AW67" s="122" t="s">
        <v>556</v>
      </c>
      <c r="AX67" s="141" t="s">
        <v>980</v>
      </c>
      <c r="AY67" s="141" t="s">
        <v>247</v>
      </c>
      <c r="AZ67" s="122" t="s">
        <v>262</v>
      </c>
      <c r="BA67" s="122" t="s">
        <v>262</v>
      </c>
      <c r="BB67" s="122" t="s">
        <v>981</v>
      </c>
      <c r="BD67" s="122" t="s">
        <v>253</v>
      </c>
      <c r="BE67" s="122" t="s">
        <v>263</v>
      </c>
      <c r="BF67" s="122" t="s">
        <v>605</v>
      </c>
      <c r="BH67" s="122" t="s">
        <v>589</v>
      </c>
      <c r="BI67" s="142">
        <v>49</v>
      </c>
      <c r="BK67" s="139" t="s">
        <v>558</v>
      </c>
    </row>
    <row r="68" spans="1:65" x14ac:dyDescent="0.25">
      <c r="A68" s="122" t="s">
        <v>485</v>
      </c>
      <c r="B68" s="122" t="s">
        <v>1389</v>
      </c>
      <c r="C68" s="122" t="s">
        <v>983</v>
      </c>
      <c r="D68" s="122" t="s">
        <v>984</v>
      </c>
      <c r="E68" s="123">
        <v>42219</v>
      </c>
      <c r="F68" s="122" t="s">
        <v>985</v>
      </c>
      <c r="G68" s="122" t="s">
        <v>235</v>
      </c>
      <c r="H68" s="122" t="s">
        <v>986</v>
      </c>
      <c r="I68" s="122" t="s">
        <v>987</v>
      </c>
      <c r="K68" s="122" t="s">
        <v>238</v>
      </c>
      <c r="L68" s="122" t="s">
        <v>320</v>
      </c>
      <c r="M68" s="122" t="s">
        <v>988</v>
      </c>
      <c r="O68" s="141" t="s">
        <v>451</v>
      </c>
      <c r="P68" s="141" t="s">
        <v>989</v>
      </c>
      <c r="Q68" s="122" t="s">
        <v>243</v>
      </c>
      <c r="R68" s="142">
        <v>50</v>
      </c>
      <c r="S68" s="122" t="s">
        <v>990</v>
      </c>
      <c r="U68" s="122" t="s">
        <v>589</v>
      </c>
      <c r="W68" s="122" t="s">
        <v>246</v>
      </c>
      <c r="X68" s="122" t="s">
        <v>302</v>
      </c>
      <c r="Y68" s="141" t="s">
        <v>784</v>
      </c>
      <c r="Z68" s="122" t="s">
        <v>991</v>
      </c>
      <c r="AA68" s="141" t="s">
        <v>281</v>
      </c>
      <c r="AB68" s="122" t="s">
        <v>992</v>
      </c>
      <c r="AC68" s="141" t="s">
        <v>367</v>
      </c>
      <c r="AD68" s="122" t="s">
        <v>355</v>
      </c>
      <c r="AE68" s="122" t="s">
        <v>235</v>
      </c>
      <c r="AF68" s="122" t="s">
        <v>993</v>
      </c>
      <c r="AG68" s="122" t="s">
        <v>994</v>
      </c>
      <c r="AH68" s="122" t="s">
        <v>253</v>
      </c>
      <c r="AI68" s="122" t="s">
        <v>995</v>
      </c>
      <c r="AJ68" s="122" t="s">
        <v>996</v>
      </c>
      <c r="AK68" s="122" t="s">
        <v>253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247</v>
      </c>
      <c r="AS68" s="141" t="s">
        <v>601</v>
      </c>
      <c r="AT68" s="141" t="s">
        <v>601</v>
      </c>
      <c r="AU68" s="141" t="s">
        <v>601</v>
      </c>
      <c r="AV68" s="122" t="s">
        <v>259</v>
      </c>
      <c r="AW68" s="122" t="s">
        <v>556</v>
      </c>
      <c r="AY68" s="141" t="s">
        <v>253</v>
      </c>
      <c r="AZ68" s="122" t="s">
        <v>997</v>
      </c>
      <c r="BA68" s="122" t="s">
        <v>262</v>
      </c>
      <c r="BB68" s="122" t="s">
        <v>262</v>
      </c>
      <c r="BD68" s="122" t="s">
        <v>253</v>
      </c>
      <c r="BE68" s="122" t="s">
        <v>263</v>
      </c>
      <c r="BF68" s="122" t="s">
        <v>605</v>
      </c>
      <c r="BH68" s="122" t="s">
        <v>589</v>
      </c>
      <c r="BI68" s="142">
        <v>50</v>
      </c>
      <c r="BK68" s="139" t="s">
        <v>558</v>
      </c>
    </row>
    <row r="69" spans="1:65" x14ac:dyDescent="0.25">
      <c r="A69" s="122" t="s">
        <v>485</v>
      </c>
      <c r="B69" s="122" t="s">
        <v>1390</v>
      </c>
      <c r="C69" s="122" t="s">
        <v>1391</v>
      </c>
      <c r="D69" s="122" t="s">
        <v>1392</v>
      </c>
      <c r="E69" s="123">
        <v>42219</v>
      </c>
      <c r="F69" s="122" t="s">
        <v>1393</v>
      </c>
      <c r="G69" s="122" t="s">
        <v>235</v>
      </c>
      <c r="H69" s="122" t="s">
        <v>1394</v>
      </c>
      <c r="I69" s="122" t="s">
        <v>1395</v>
      </c>
      <c r="K69" s="122" t="s">
        <v>238</v>
      </c>
      <c r="L69" s="122" t="s">
        <v>320</v>
      </c>
      <c r="M69" s="122" t="s">
        <v>612</v>
      </c>
      <c r="O69" s="141" t="s">
        <v>373</v>
      </c>
      <c r="P69" s="141" t="s">
        <v>1396</v>
      </c>
      <c r="Q69" s="122" t="s">
        <v>243</v>
      </c>
      <c r="R69" s="142">
        <v>51</v>
      </c>
      <c r="S69" s="122" t="s">
        <v>1397</v>
      </c>
      <c r="U69" s="122" t="s">
        <v>589</v>
      </c>
      <c r="W69" s="122" t="s">
        <v>246</v>
      </c>
      <c r="X69" s="122" t="s">
        <v>278</v>
      </c>
      <c r="Y69" s="141" t="s">
        <v>1398</v>
      </c>
      <c r="Z69" s="122" t="s">
        <v>1399</v>
      </c>
      <c r="AA69" s="141" t="s">
        <v>1400</v>
      </c>
      <c r="AB69" s="122" t="s">
        <v>1401</v>
      </c>
      <c r="AC69" s="141" t="s">
        <v>1402</v>
      </c>
      <c r="AD69" s="122" t="s">
        <v>1403</v>
      </c>
      <c r="AE69" s="122" t="s">
        <v>235</v>
      </c>
      <c r="AF69" s="122" t="s">
        <v>1404</v>
      </c>
      <c r="AG69" s="122" t="s">
        <v>253</v>
      </c>
      <c r="AH69" s="122" t="s">
        <v>253</v>
      </c>
      <c r="AI69" s="122" t="s">
        <v>1405</v>
      </c>
      <c r="AJ69" s="122" t="s">
        <v>1406</v>
      </c>
      <c r="AK69" s="122" t="s">
        <v>1407</v>
      </c>
      <c r="AL69" s="122" t="s">
        <v>1408</v>
      </c>
      <c r="AM69" s="122" t="s">
        <v>1409</v>
      </c>
      <c r="AN69" s="122" t="s">
        <v>253</v>
      </c>
      <c r="AO69" s="141" t="s">
        <v>253</v>
      </c>
      <c r="AP69" s="141" t="s">
        <v>253</v>
      </c>
      <c r="AQ69" s="141" t="s">
        <v>253</v>
      </c>
      <c r="AR69" s="141" t="s">
        <v>247</v>
      </c>
      <c r="AS69" s="141" t="s">
        <v>361</v>
      </c>
      <c r="AT69" s="141" t="s">
        <v>258</v>
      </c>
      <c r="AU69" s="141" t="s">
        <v>601</v>
      </c>
      <c r="AV69" s="122" t="s">
        <v>259</v>
      </c>
      <c r="AW69" s="122" t="s">
        <v>556</v>
      </c>
      <c r="AY69" s="141" t="s">
        <v>253</v>
      </c>
      <c r="AZ69" s="122" t="s">
        <v>1410</v>
      </c>
      <c r="BA69" s="122" t="s">
        <v>262</v>
      </c>
      <c r="BB69" s="122" t="s">
        <v>262</v>
      </c>
      <c r="BC69" s="141" t="s">
        <v>312</v>
      </c>
      <c r="BD69" s="122" t="s">
        <v>253</v>
      </c>
      <c r="BE69" s="122" t="s">
        <v>263</v>
      </c>
      <c r="BF69" s="122" t="s">
        <v>605</v>
      </c>
      <c r="BH69" s="122" t="s">
        <v>589</v>
      </c>
      <c r="BI69" s="142">
        <v>51</v>
      </c>
      <c r="BJ69" s="123">
        <v>42232</v>
      </c>
      <c r="BK69" s="139" t="s">
        <v>606</v>
      </c>
      <c r="BM69" s="122">
        <v>33</v>
      </c>
    </row>
    <row r="70" spans="1:65" x14ac:dyDescent="0.25">
      <c r="A70" s="122" t="s">
        <v>578</v>
      </c>
      <c r="B70" s="122" t="s">
        <v>1411</v>
      </c>
      <c r="C70" s="122" t="s">
        <v>1412</v>
      </c>
      <c r="D70" s="122" t="s">
        <v>1413</v>
      </c>
      <c r="E70" s="123">
        <v>42219</v>
      </c>
      <c r="F70" s="122" t="s">
        <v>1414</v>
      </c>
      <c r="G70" s="122" t="s">
        <v>235</v>
      </c>
      <c r="H70" s="122" t="s">
        <v>1415</v>
      </c>
      <c r="I70" s="122" t="s">
        <v>1416</v>
      </c>
      <c r="K70" s="122" t="s">
        <v>238</v>
      </c>
      <c r="L70" s="122" t="s">
        <v>429</v>
      </c>
      <c r="M70" s="122" t="s">
        <v>1417</v>
      </c>
      <c r="O70" s="141" t="s">
        <v>548</v>
      </c>
      <c r="P70" s="141" t="s">
        <v>1418</v>
      </c>
      <c r="Q70" s="122" t="s">
        <v>243</v>
      </c>
      <c r="R70" s="142">
        <v>6</v>
      </c>
      <c r="S70" s="122" t="s">
        <v>1419</v>
      </c>
      <c r="U70" s="122" t="s">
        <v>1420</v>
      </c>
      <c r="W70" s="122" t="s">
        <v>246</v>
      </c>
      <c r="X70" s="122" t="s">
        <v>376</v>
      </c>
      <c r="Y70" s="141" t="s">
        <v>1421</v>
      </c>
      <c r="Z70" s="122" t="s">
        <v>1422</v>
      </c>
      <c r="AA70" s="141" t="s">
        <v>1423</v>
      </c>
      <c r="AB70" s="122" t="s">
        <v>1424</v>
      </c>
      <c r="AC70" s="141" t="s">
        <v>1398</v>
      </c>
      <c r="AD70" s="122" t="s">
        <v>1425</v>
      </c>
      <c r="AE70" s="122" t="s">
        <v>235</v>
      </c>
      <c r="AF70" s="122" t="s">
        <v>1426</v>
      </c>
      <c r="AG70" s="122" t="s">
        <v>537</v>
      </c>
      <c r="AH70" s="122" t="s">
        <v>253</v>
      </c>
      <c r="AI70" s="122" t="s">
        <v>1427</v>
      </c>
      <c r="AJ70" s="122" t="s">
        <v>1428</v>
      </c>
      <c r="AK70" s="122" t="s">
        <v>253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260</v>
      </c>
      <c r="AY70" s="141" t="s">
        <v>253</v>
      </c>
      <c r="AZ70" s="122" t="s">
        <v>1429</v>
      </c>
      <c r="BA70" s="122" t="s">
        <v>262</v>
      </c>
      <c r="BB70" s="122" t="s">
        <v>262</v>
      </c>
      <c r="BD70" s="122" t="s">
        <v>253</v>
      </c>
      <c r="BE70" s="122" t="s">
        <v>263</v>
      </c>
      <c r="BF70" s="122" t="s">
        <v>1430</v>
      </c>
      <c r="BH70" s="122" t="s">
        <v>1420</v>
      </c>
      <c r="BI70" s="142">
        <v>6</v>
      </c>
      <c r="BJ70" s="123">
        <v>42227</v>
      </c>
      <c r="BK70" s="139" t="s">
        <v>606</v>
      </c>
      <c r="BM70" s="122">
        <v>33</v>
      </c>
    </row>
    <row r="71" spans="1:65" x14ac:dyDescent="0.25">
      <c r="A71" s="122" t="s">
        <v>578</v>
      </c>
      <c r="B71" s="122" t="s">
        <v>1431</v>
      </c>
      <c r="C71" s="122" t="s">
        <v>1432</v>
      </c>
      <c r="D71" s="122" t="s">
        <v>1433</v>
      </c>
      <c r="E71" s="123">
        <v>42219</v>
      </c>
      <c r="F71" s="122" t="s">
        <v>1179</v>
      </c>
      <c r="G71" s="122" t="s">
        <v>235</v>
      </c>
      <c r="H71" s="122" t="s">
        <v>1434</v>
      </c>
      <c r="I71" s="122" t="s">
        <v>1435</v>
      </c>
      <c r="K71" s="122" t="s">
        <v>472</v>
      </c>
      <c r="L71" s="122" t="s">
        <v>473</v>
      </c>
      <c r="M71" s="122" t="s">
        <v>1436</v>
      </c>
      <c r="O71" s="141" t="s">
        <v>451</v>
      </c>
      <c r="P71" s="141" t="s">
        <v>1437</v>
      </c>
      <c r="Q71" s="122" t="s">
        <v>243</v>
      </c>
      <c r="R71" s="142">
        <v>7</v>
      </c>
      <c r="S71" s="122" t="s">
        <v>1438</v>
      </c>
      <c r="U71" s="122" t="s">
        <v>1420</v>
      </c>
      <c r="W71" s="122" t="s">
        <v>246</v>
      </c>
      <c r="X71" s="122" t="s">
        <v>247</v>
      </c>
      <c r="Y71" s="141" t="s">
        <v>973</v>
      </c>
      <c r="Z71" s="122" t="s">
        <v>1439</v>
      </c>
      <c r="AA71" s="141" t="s">
        <v>1440</v>
      </c>
      <c r="AB71" s="122" t="s">
        <v>1441</v>
      </c>
      <c r="AD71" s="122" t="s">
        <v>250</v>
      </c>
      <c r="AE71" s="122" t="s">
        <v>235</v>
      </c>
      <c r="AF71" s="122" t="s">
        <v>1442</v>
      </c>
      <c r="AG71" s="122" t="s">
        <v>253</v>
      </c>
      <c r="AH71" s="122" t="s">
        <v>253</v>
      </c>
      <c r="AI71" s="122" t="s">
        <v>1443</v>
      </c>
      <c r="AJ71" s="122" t="s">
        <v>1444</v>
      </c>
      <c r="AK71" s="122" t="s">
        <v>1445</v>
      </c>
      <c r="AL71" s="122" t="s">
        <v>1446</v>
      </c>
      <c r="AM71" s="122" t="s">
        <v>253</v>
      </c>
      <c r="AN71" s="122" t="s">
        <v>253</v>
      </c>
      <c r="AO71" s="141" t="s">
        <v>247</v>
      </c>
      <c r="AP71" s="141" t="s">
        <v>247</v>
      </c>
      <c r="AQ71" s="141" t="s">
        <v>247</v>
      </c>
      <c r="AR71" s="141" t="s">
        <v>247</v>
      </c>
      <c r="AS71" s="141" t="s">
        <v>601</v>
      </c>
      <c r="AT71" s="141" t="s">
        <v>601</v>
      </c>
      <c r="AU71" s="141" t="s">
        <v>601</v>
      </c>
      <c r="AV71" s="122" t="s">
        <v>259</v>
      </c>
      <c r="AW71" s="122" t="s">
        <v>260</v>
      </c>
      <c r="AX71" s="141" t="s">
        <v>1447</v>
      </c>
      <c r="AY71" s="141" t="s">
        <v>603</v>
      </c>
      <c r="AZ71" s="122" t="s">
        <v>1448</v>
      </c>
      <c r="BA71" s="122" t="s">
        <v>262</v>
      </c>
      <c r="BB71" s="122" t="s">
        <v>262</v>
      </c>
      <c r="BD71" s="122" t="s">
        <v>253</v>
      </c>
      <c r="BE71" s="122" t="s">
        <v>263</v>
      </c>
      <c r="BF71" s="122" t="s">
        <v>1430</v>
      </c>
      <c r="BH71" s="122" t="s">
        <v>1420</v>
      </c>
      <c r="BI71" s="142">
        <v>7</v>
      </c>
      <c r="BJ71" s="123">
        <v>42227</v>
      </c>
      <c r="BK71" s="139" t="s">
        <v>606</v>
      </c>
      <c r="BM71" s="122">
        <v>33</v>
      </c>
    </row>
    <row r="72" spans="1:65" x14ac:dyDescent="0.25">
      <c r="A72" s="122" t="s">
        <v>578</v>
      </c>
      <c r="B72" s="122" t="s">
        <v>1449</v>
      </c>
      <c r="C72" s="122" t="s">
        <v>1450</v>
      </c>
      <c r="D72" s="122" t="s">
        <v>1451</v>
      </c>
      <c r="E72" s="123">
        <v>42219</v>
      </c>
      <c r="F72" s="122" t="s">
        <v>1269</v>
      </c>
      <c r="G72" s="122" t="s">
        <v>235</v>
      </c>
      <c r="H72" s="122" t="s">
        <v>1452</v>
      </c>
      <c r="I72" s="122" t="s">
        <v>1453</v>
      </c>
      <c r="K72" s="122" t="s">
        <v>472</v>
      </c>
      <c r="L72" s="122" t="s">
        <v>473</v>
      </c>
      <c r="M72" s="122" t="s">
        <v>1417</v>
      </c>
      <c r="O72" s="141" t="s">
        <v>451</v>
      </c>
      <c r="P72" s="141" t="s">
        <v>1454</v>
      </c>
      <c r="Q72" s="122" t="s">
        <v>243</v>
      </c>
      <c r="R72" s="142">
        <v>8</v>
      </c>
      <c r="S72" s="122" t="s">
        <v>1455</v>
      </c>
      <c r="U72" s="122" t="s">
        <v>1420</v>
      </c>
      <c r="W72" s="122" t="s">
        <v>246</v>
      </c>
      <c r="X72" s="122" t="s">
        <v>631</v>
      </c>
      <c r="Y72" s="141" t="s">
        <v>455</v>
      </c>
      <c r="Z72" s="122" t="s">
        <v>1456</v>
      </c>
      <c r="AA72" s="141" t="s">
        <v>500</v>
      </c>
      <c r="AB72" s="122" t="s">
        <v>249</v>
      </c>
      <c r="AC72" s="141" t="s">
        <v>234</v>
      </c>
      <c r="AD72" s="122" t="s">
        <v>669</v>
      </c>
      <c r="AE72" s="122" t="s">
        <v>235</v>
      </c>
      <c r="AF72" s="122" t="s">
        <v>1457</v>
      </c>
      <c r="AG72" s="122" t="s">
        <v>537</v>
      </c>
      <c r="AH72" s="122" t="s">
        <v>253</v>
      </c>
      <c r="AI72" s="122" t="s">
        <v>1458</v>
      </c>
      <c r="AJ72" s="122" t="s">
        <v>1459</v>
      </c>
      <c r="AK72" s="122" t="s">
        <v>253</v>
      </c>
      <c r="AL72" s="122" t="s">
        <v>253</v>
      </c>
      <c r="AM72" s="122" t="s">
        <v>253</v>
      </c>
      <c r="AN72" s="122" t="s">
        <v>253</v>
      </c>
      <c r="AO72" s="141" t="s">
        <v>247</v>
      </c>
      <c r="AP72" s="141" t="s">
        <v>247</v>
      </c>
      <c r="AQ72" s="141" t="s">
        <v>247</v>
      </c>
      <c r="AR72" s="141" t="s">
        <v>247</v>
      </c>
      <c r="AS72" s="141" t="s">
        <v>601</v>
      </c>
      <c r="AT72" s="141" t="s">
        <v>601</v>
      </c>
      <c r="AU72" s="141" t="s">
        <v>601</v>
      </c>
      <c r="AV72" s="122" t="s">
        <v>259</v>
      </c>
      <c r="AW72" s="122" t="s">
        <v>260</v>
      </c>
      <c r="AY72" s="141" t="s">
        <v>253</v>
      </c>
      <c r="AZ72" s="122" t="s">
        <v>1460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1430</v>
      </c>
      <c r="BH72" s="122" t="s">
        <v>1420</v>
      </c>
      <c r="BI72" s="142">
        <v>8</v>
      </c>
      <c r="BJ72" s="123">
        <v>42229</v>
      </c>
      <c r="BK72" s="139" t="s">
        <v>606</v>
      </c>
      <c r="BM72" s="122">
        <v>33</v>
      </c>
    </row>
    <row r="73" spans="1:65" x14ac:dyDescent="0.25">
      <c r="A73" s="122" t="s">
        <v>578</v>
      </c>
      <c r="B73" s="122" t="s">
        <v>1461</v>
      </c>
      <c r="C73" s="122" t="s">
        <v>1462</v>
      </c>
      <c r="D73" s="122" t="s">
        <v>1463</v>
      </c>
      <c r="E73" s="123">
        <v>42219</v>
      </c>
      <c r="F73" s="122" t="s">
        <v>511</v>
      </c>
      <c r="G73" s="122" t="s">
        <v>235</v>
      </c>
      <c r="H73" s="122" t="s">
        <v>1464</v>
      </c>
      <c r="I73" s="122" t="s">
        <v>1465</v>
      </c>
      <c r="K73" s="122" t="s">
        <v>238</v>
      </c>
      <c r="L73" s="122" t="s">
        <v>429</v>
      </c>
      <c r="M73" s="122" t="s">
        <v>1466</v>
      </c>
      <c r="O73" s="141" t="s">
        <v>1467</v>
      </c>
      <c r="P73" s="141" t="s">
        <v>1468</v>
      </c>
      <c r="Q73" s="122" t="s">
        <v>243</v>
      </c>
      <c r="R73" s="142">
        <v>9</v>
      </c>
      <c r="S73" s="122" t="s">
        <v>1469</v>
      </c>
      <c r="U73" s="122" t="s">
        <v>1420</v>
      </c>
      <c r="W73" s="122" t="s">
        <v>246</v>
      </c>
      <c r="X73" s="122" t="s">
        <v>376</v>
      </c>
      <c r="Z73" s="122" t="s">
        <v>250</v>
      </c>
      <c r="AB73" s="122" t="s">
        <v>250</v>
      </c>
      <c r="AD73" s="122" t="s">
        <v>250</v>
      </c>
      <c r="AE73" s="122" t="s">
        <v>235</v>
      </c>
      <c r="AF73" s="122" t="s">
        <v>1470</v>
      </c>
      <c r="AG73" s="122" t="s">
        <v>537</v>
      </c>
      <c r="AH73" s="122" t="s">
        <v>253</v>
      </c>
      <c r="AI73" s="122" t="s">
        <v>1471</v>
      </c>
      <c r="AJ73" s="122" t="s">
        <v>1472</v>
      </c>
      <c r="AK73" s="122" t="s">
        <v>253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247</v>
      </c>
      <c r="AQ73" s="141" t="s">
        <v>253</v>
      </c>
      <c r="AR73" s="141" t="s">
        <v>253</v>
      </c>
      <c r="AS73" s="141" t="s">
        <v>601</v>
      </c>
      <c r="AT73" s="141" t="s">
        <v>258</v>
      </c>
      <c r="AU73" s="141" t="s">
        <v>258</v>
      </c>
      <c r="AV73" s="122" t="s">
        <v>259</v>
      </c>
      <c r="AW73" s="122" t="s">
        <v>260</v>
      </c>
      <c r="AY73" s="141" t="s">
        <v>253</v>
      </c>
      <c r="AZ73" s="122" t="s">
        <v>1473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1430</v>
      </c>
      <c r="BH73" s="122" t="s">
        <v>1420</v>
      </c>
      <c r="BI73" s="142">
        <v>9</v>
      </c>
      <c r="BJ73" s="123">
        <v>42227</v>
      </c>
      <c r="BK73" s="139" t="s">
        <v>606</v>
      </c>
      <c r="BM73" s="122">
        <v>33</v>
      </c>
    </row>
    <row r="74" spans="1:65" x14ac:dyDescent="0.25">
      <c r="A74" s="122" t="s">
        <v>578</v>
      </c>
      <c r="B74" s="122" t="s">
        <v>1474</v>
      </c>
      <c r="C74" s="122" t="s">
        <v>1475</v>
      </c>
      <c r="D74" s="122" t="s">
        <v>1476</v>
      </c>
      <c r="E74" s="123">
        <v>42219</v>
      </c>
      <c r="F74" s="122" t="s">
        <v>1291</v>
      </c>
      <c r="G74" s="122" t="s">
        <v>235</v>
      </c>
      <c r="H74" s="122" t="s">
        <v>1477</v>
      </c>
      <c r="I74" s="122" t="s">
        <v>1478</v>
      </c>
      <c r="K74" s="122" t="s">
        <v>238</v>
      </c>
      <c r="L74" s="122" t="s">
        <v>297</v>
      </c>
      <c r="M74" s="122" t="s">
        <v>1479</v>
      </c>
      <c r="O74" s="141" t="s">
        <v>373</v>
      </c>
      <c r="P74" s="141" t="s">
        <v>1480</v>
      </c>
      <c r="Q74" s="122" t="s">
        <v>243</v>
      </c>
      <c r="R74" s="142">
        <v>10</v>
      </c>
      <c r="S74" s="122" t="s">
        <v>1481</v>
      </c>
      <c r="U74" s="122" t="s">
        <v>1420</v>
      </c>
      <c r="W74" s="122" t="s">
        <v>246</v>
      </c>
      <c r="X74" s="122" t="s">
        <v>302</v>
      </c>
      <c r="Y74" s="141" t="s">
        <v>455</v>
      </c>
      <c r="Z74" s="122" t="s">
        <v>1482</v>
      </c>
      <c r="AA74" s="141" t="s">
        <v>635</v>
      </c>
      <c r="AB74" s="122" t="s">
        <v>1483</v>
      </c>
      <c r="AC74" s="141" t="s">
        <v>1484</v>
      </c>
      <c r="AD74" s="122" t="s">
        <v>1485</v>
      </c>
      <c r="AE74" s="122" t="s">
        <v>235</v>
      </c>
      <c r="AF74" s="122" t="s">
        <v>1486</v>
      </c>
      <c r="AG74" s="122" t="s">
        <v>537</v>
      </c>
      <c r="AH74" s="122" t="s">
        <v>253</v>
      </c>
      <c r="AI74" s="122" t="s">
        <v>1487</v>
      </c>
      <c r="AJ74" s="122" t="s">
        <v>1488</v>
      </c>
      <c r="AK74" s="122" t="s">
        <v>253</v>
      </c>
      <c r="AL74" s="122" t="s">
        <v>253</v>
      </c>
      <c r="AM74" s="122" t="s">
        <v>253</v>
      </c>
      <c r="AN74" s="122" t="s">
        <v>253</v>
      </c>
      <c r="AO74" s="141" t="s">
        <v>253</v>
      </c>
      <c r="AP74" s="141" t="s">
        <v>253</v>
      </c>
      <c r="AQ74" s="141" t="s">
        <v>247</v>
      </c>
      <c r="AR74" s="141" t="s">
        <v>253</v>
      </c>
      <c r="AS74" s="141" t="s">
        <v>361</v>
      </c>
      <c r="AT74" s="141" t="s">
        <v>601</v>
      </c>
      <c r="AU74" s="141" t="s">
        <v>258</v>
      </c>
      <c r="AV74" s="122" t="s">
        <v>259</v>
      </c>
      <c r="AW74" s="122" t="s">
        <v>260</v>
      </c>
      <c r="AY74" s="141" t="s">
        <v>253</v>
      </c>
      <c r="AZ74" s="122" t="s">
        <v>1489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1430</v>
      </c>
      <c r="BH74" s="122" t="s">
        <v>1420</v>
      </c>
      <c r="BI74" s="142">
        <v>10</v>
      </c>
      <c r="BJ74" s="123">
        <v>42231</v>
      </c>
      <c r="BK74" s="139" t="s">
        <v>606</v>
      </c>
      <c r="BM74" s="122">
        <v>33</v>
      </c>
    </row>
    <row r="75" spans="1:65" x14ac:dyDescent="0.25">
      <c r="A75" s="122" t="s">
        <v>578</v>
      </c>
      <c r="B75" s="122" t="s">
        <v>1490</v>
      </c>
      <c r="C75" s="122" t="s">
        <v>1491</v>
      </c>
      <c r="D75" s="122" t="s">
        <v>1492</v>
      </c>
      <c r="E75" s="123">
        <v>42219</v>
      </c>
      <c r="F75" s="122" t="s">
        <v>624</v>
      </c>
      <c r="G75" s="122" t="s">
        <v>235</v>
      </c>
      <c r="H75" s="122" t="s">
        <v>1493</v>
      </c>
      <c r="I75" s="122" t="s">
        <v>1494</v>
      </c>
      <c r="J75" s="122" t="s">
        <v>1053</v>
      </c>
      <c r="K75" s="122" t="s">
        <v>238</v>
      </c>
      <c r="L75" s="122" t="s">
        <v>297</v>
      </c>
      <c r="M75" s="122" t="s">
        <v>298</v>
      </c>
      <c r="O75" s="141" t="s">
        <v>548</v>
      </c>
      <c r="P75" s="141" t="s">
        <v>1495</v>
      </c>
      <c r="Q75" s="122" t="s">
        <v>243</v>
      </c>
      <c r="R75" s="142">
        <v>11</v>
      </c>
      <c r="S75" s="122" t="s">
        <v>1496</v>
      </c>
      <c r="U75" s="122" t="s">
        <v>1420</v>
      </c>
      <c r="W75" s="122" t="s">
        <v>246</v>
      </c>
      <c r="X75" s="122" t="s">
        <v>631</v>
      </c>
      <c r="Y75" s="141" t="s">
        <v>457</v>
      </c>
      <c r="Z75" s="122" t="s">
        <v>1497</v>
      </c>
      <c r="AA75" s="141" t="s">
        <v>1498</v>
      </c>
      <c r="AB75" s="122" t="s">
        <v>1497</v>
      </c>
      <c r="AC75" s="141" t="s">
        <v>480</v>
      </c>
      <c r="AD75" s="122" t="s">
        <v>1499</v>
      </c>
      <c r="AE75" s="122" t="s">
        <v>235</v>
      </c>
      <c r="AF75" s="122" t="s">
        <v>1500</v>
      </c>
      <c r="AG75" s="122" t="s">
        <v>537</v>
      </c>
      <c r="AH75" s="122" t="s">
        <v>253</v>
      </c>
      <c r="AI75" s="122" t="s">
        <v>1501</v>
      </c>
      <c r="AJ75" s="122" t="s">
        <v>1502</v>
      </c>
      <c r="AK75" s="122" t="s">
        <v>253</v>
      </c>
      <c r="AL75" s="122" t="s">
        <v>253</v>
      </c>
      <c r="AM75" s="122" t="s">
        <v>253</v>
      </c>
      <c r="AN75" s="122" t="s">
        <v>253</v>
      </c>
      <c r="AO75" s="141" t="s">
        <v>247</v>
      </c>
      <c r="AP75" s="141" t="s">
        <v>247</v>
      </c>
      <c r="AQ75" s="141" t="s">
        <v>253</v>
      </c>
      <c r="AR75" s="141" t="s">
        <v>247</v>
      </c>
      <c r="AS75" s="141" t="s">
        <v>601</v>
      </c>
      <c r="AT75" s="141" t="s">
        <v>258</v>
      </c>
      <c r="AU75" s="141" t="s">
        <v>601</v>
      </c>
      <c r="AV75" s="122" t="s">
        <v>259</v>
      </c>
      <c r="AW75" s="122" t="s">
        <v>260</v>
      </c>
      <c r="AY75" s="141" t="s">
        <v>253</v>
      </c>
      <c r="AZ75" s="122" t="s">
        <v>1503</v>
      </c>
      <c r="BA75" s="122" t="s">
        <v>262</v>
      </c>
      <c r="BB75" s="122" t="s">
        <v>262</v>
      </c>
      <c r="BD75" s="122" t="s">
        <v>253</v>
      </c>
      <c r="BE75" s="122" t="s">
        <v>263</v>
      </c>
      <c r="BF75" s="122" t="s">
        <v>1430</v>
      </c>
      <c r="BH75" s="122" t="s">
        <v>1420</v>
      </c>
      <c r="BI75" s="142">
        <v>11</v>
      </c>
      <c r="BJ75" s="123">
        <v>42230</v>
      </c>
      <c r="BK75" s="139" t="s">
        <v>264</v>
      </c>
      <c r="BL75" s="140">
        <v>236.55</v>
      </c>
      <c r="BM75" s="122">
        <v>33</v>
      </c>
    </row>
    <row r="76" spans="1:65" x14ac:dyDescent="0.25">
      <c r="A76" s="122" t="s">
        <v>578</v>
      </c>
      <c r="B76" s="122" t="s">
        <v>1504</v>
      </c>
      <c r="C76" s="122" t="s">
        <v>1505</v>
      </c>
      <c r="D76" s="122" t="s">
        <v>1506</v>
      </c>
      <c r="E76" s="123">
        <v>42219</v>
      </c>
      <c r="F76" s="122" t="s">
        <v>795</v>
      </c>
      <c r="G76" s="122" t="s">
        <v>235</v>
      </c>
      <c r="H76" s="122" t="s">
        <v>1507</v>
      </c>
      <c r="I76" s="122" t="s">
        <v>1508</v>
      </c>
      <c r="K76" s="122" t="s">
        <v>238</v>
      </c>
      <c r="L76" s="122" t="s">
        <v>271</v>
      </c>
      <c r="M76" s="122" t="s">
        <v>1509</v>
      </c>
      <c r="O76" s="141" t="s">
        <v>1510</v>
      </c>
      <c r="P76" s="141" t="s">
        <v>1511</v>
      </c>
      <c r="Q76" s="122" t="s">
        <v>243</v>
      </c>
      <c r="R76" s="142">
        <v>12</v>
      </c>
      <c r="S76" s="122" t="s">
        <v>1512</v>
      </c>
      <c r="U76" s="122" t="s">
        <v>1420</v>
      </c>
      <c r="W76" s="122" t="s">
        <v>246</v>
      </c>
      <c r="X76" s="122" t="s">
        <v>302</v>
      </c>
      <c r="Y76" s="141" t="s">
        <v>956</v>
      </c>
      <c r="Z76" s="122" t="s">
        <v>518</v>
      </c>
      <c r="AA76" s="141" t="s">
        <v>306</v>
      </c>
      <c r="AB76" s="122" t="s">
        <v>1513</v>
      </c>
      <c r="AC76" s="141" t="s">
        <v>281</v>
      </c>
      <c r="AD76" s="122" t="s">
        <v>818</v>
      </c>
      <c r="AE76" s="122" t="s">
        <v>235</v>
      </c>
      <c r="AF76" s="122" t="s">
        <v>1514</v>
      </c>
      <c r="AG76" s="122" t="s">
        <v>537</v>
      </c>
      <c r="AH76" s="122" t="s">
        <v>253</v>
      </c>
      <c r="AI76" s="122" t="s">
        <v>1515</v>
      </c>
      <c r="AJ76" s="122" t="s">
        <v>1516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253</v>
      </c>
      <c r="AP76" s="141" t="s">
        <v>253</v>
      </c>
      <c r="AQ76" s="141" t="s">
        <v>247</v>
      </c>
      <c r="AR76" s="141" t="s">
        <v>253</v>
      </c>
      <c r="AS76" s="141" t="s">
        <v>361</v>
      </c>
      <c r="AT76" s="141" t="s">
        <v>601</v>
      </c>
      <c r="AU76" s="141" t="s">
        <v>258</v>
      </c>
      <c r="AV76" s="122" t="s">
        <v>259</v>
      </c>
      <c r="AW76" s="122" t="s">
        <v>260</v>
      </c>
      <c r="AY76" s="141" t="s">
        <v>253</v>
      </c>
      <c r="AZ76" s="122" t="s">
        <v>1517</v>
      </c>
      <c r="BA76" s="122" t="s">
        <v>262</v>
      </c>
      <c r="BB76" s="122" t="s">
        <v>1518</v>
      </c>
      <c r="BC76" s="141" t="s">
        <v>312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12</v>
      </c>
      <c r="BJ76" s="123">
        <v>42226</v>
      </c>
      <c r="BK76" s="139" t="s">
        <v>264</v>
      </c>
      <c r="BL76" s="140">
        <v>70.88</v>
      </c>
      <c r="BM76" s="122">
        <v>33</v>
      </c>
    </row>
    <row r="77" spans="1:65" x14ac:dyDescent="0.25">
      <c r="A77" s="122" t="s">
        <v>578</v>
      </c>
      <c r="B77" s="122" t="s">
        <v>1519</v>
      </c>
      <c r="C77" s="122" t="s">
        <v>1520</v>
      </c>
      <c r="D77" s="122" t="s">
        <v>1521</v>
      </c>
      <c r="E77" s="123">
        <v>42219</v>
      </c>
      <c r="F77" s="122" t="s">
        <v>1522</v>
      </c>
      <c r="G77" s="122" t="s">
        <v>235</v>
      </c>
      <c r="H77" s="122" t="s">
        <v>1523</v>
      </c>
      <c r="I77" s="122" t="s">
        <v>1524</v>
      </c>
      <c r="K77" s="122" t="s">
        <v>238</v>
      </c>
      <c r="L77" s="122" t="s">
        <v>429</v>
      </c>
      <c r="M77" s="122" t="s">
        <v>1525</v>
      </c>
      <c r="O77" s="141" t="s">
        <v>299</v>
      </c>
      <c r="P77" s="141" t="s">
        <v>1526</v>
      </c>
      <c r="Q77" s="122" t="s">
        <v>243</v>
      </c>
      <c r="R77" s="142">
        <v>13</v>
      </c>
      <c r="S77" s="122" t="s">
        <v>1527</v>
      </c>
      <c r="U77" s="122" t="s">
        <v>1420</v>
      </c>
      <c r="W77" s="122" t="s">
        <v>246</v>
      </c>
      <c r="X77" s="122" t="s">
        <v>302</v>
      </c>
      <c r="Y77" s="141" t="s">
        <v>1528</v>
      </c>
      <c r="Z77" s="122" t="s">
        <v>1529</v>
      </c>
      <c r="AA77" s="141" t="s">
        <v>685</v>
      </c>
      <c r="AB77" s="122" t="s">
        <v>1530</v>
      </c>
      <c r="AC77" s="141" t="s">
        <v>1423</v>
      </c>
      <c r="AD77" s="122" t="s">
        <v>1441</v>
      </c>
      <c r="AE77" s="122" t="s">
        <v>235</v>
      </c>
      <c r="AF77" s="122" t="s">
        <v>1531</v>
      </c>
      <c r="AG77" s="122" t="s">
        <v>537</v>
      </c>
      <c r="AH77" s="122" t="s">
        <v>253</v>
      </c>
      <c r="AI77" s="122" t="s">
        <v>1532</v>
      </c>
      <c r="AJ77" s="122" t="s">
        <v>1533</v>
      </c>
      <c r="AK77" s="122" t="s">
        <v>253</v>
      </c>
      <c r="AL77" s="122" t="s">
        <v>253</v>
      </c>
      <c r="AM77" s="122" t="s">
        <v>253</v>
      </c>
      <c r="AN77" s="122" t="s">
        <v>253</v>
      </c>
      <c r="AO77" s="141" t="s">
        <v>247</v>
      </c>
      <c r="AP77" s="141" t="s">
        <v>247</v>
      </c>
      <c r="AQ77" s="141" t="s">
        <v>247</v>
      </c>
      <c r="AR77" s="141" t="s">
        <v>253</v>
      </c>
      <c r="AS77" s="141" t="s">
        <v>601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X77" s="141" t="s">
        <v>1534</v>
      </c>
      <c r="AY77" s="141" t="s">
        <v>247</v>
      </c>
      <c r="AZ77" s="122" t="s">
        <v>1535</v>
      </c>
      <c r="BA77" s="122" t="s">
        <v>262</v>
      </c>
      <c r="BB77" s="122" t="s">
        <v>262</v>
      </c>
      <c r="BC77" s="141" t="s">
        <v>312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13</v>
      </c>
      <c r="BJ77" s="123">
        <v>42224</v>
      </c>
      <c r="BK77" s="139" t="s">
        <v>264</v>
      </c>
      <c r="BL77" s="140">
        <v>128.34</v>
      </c>
      <c r="BM77" s="122">
        <v>32</v>
      </c>
    </row>
    <row r="78" spans="1:65" x14ac:dyDescent="0.25">
      <c r="A78" s="122" t="s">
        <v>578</v>
      </c>
      <c r="B78" s="122" t="s">
        <v>1536</v>
      </c>
      <c r="C78" s="122" t="s">
        <v>1537</v>
      </c>
      <c r="D78" s="122" t="s">
        <v>1538</v>
      </c>
      <c r="E78" s="123">
        <v>42219</v>
      </c>
      <c r="F78" s="122" t="s">
        <v>1539</v>
      </c>
      <c r="G78" s="122" t="s">
        <v>235</v>
      </c>
      <c r="H78" s="122" t="s">
        <v>1540</v>
      </c>
      <c r="I78" s="122" t="s">
        <v>1541</v>
      </c>
      <c r="K78" s="122" t="s">
        <v>238</v>
      </c>
      <c r="L78" s="122" t="s">
        <v>297</v>
      </c>
      <c r="M78" s="122" t="s">
        <v>1542</v>
      </c>
      <c r="O78" s="141" t="s">
        <v>241</v>
      </c>
      <c r="P78" s="141" t="s">
        <v>1543</v>
      </c>
      <c r="Q78" s="122" t="s">
        <v>243</v>
      </c>
      <c r="R78" s="142">
        <v>14</v>
      </c>
      <c r="S78" s="122" t="s">
        <v>1544</v>
      </c>
      <c r="U78" s="122" t="s">
        <v>1420</v>
      </c>
      <c r="W78" s="122" t="s">
        <v>246</v>
      </c>
      <c r="X78" s="122" t="s">
        <v>302</v>
      </c>
      <c r="Y78" s="141" t="s">
        <v>593</v>
      </c>
      <c r="Z78" s="122" t="s">
        <v>1545</v>
      </c>
      <c r="AA78" s="141" t="s">
        <v>304</v>
      </c>
      <c r="AB78" s="122" t="s">
        <v>1546</v>
      </c>
      <c r="AC78" s="141" t="s">
        <v>1547</v>
      </c>
      <c r="AD78" s="122" t="s">
        <v>1548</v>
      </c>
      <c r="AE78" s="122" t="s">
        <v>235</v>
      </c>
      <c r="AF78" s="122" t="s">
        <v>1549</v>
      </c>
      <c r="AG78" s="122" t="s">
        <v>537</v>
      </c>
      <c r="AH78" s="122" t="s">
        <v>253</v>
      </c>
      <c r="AI78" s="122" t="s">
        <v>1550</v>
      </c>
      <c r="AJ78" s="122" t="s">
        <v>1551</v>
      </c>
      <c r="AK78" s="122" t="s">
        <v>253</v>
      </c>
      <c r="AL78" s="122" t="s">
        <v>253</v>
      </c>
      <c r="AM78" s="122" t="s">
        <v>253</v>
      </c>
      <c r="AN78" s="122" t="s">
        <v>253</v>
      </c>
      <c r="AO78" s="141" t="s">
        <v>247</v>
      </c>
      <c r="AP78" s="141" t="s">
        <v>247</v>
      </c>
      <c r="AQ78" s="141" t="s">
        <v>247</v>
      </c>
      <c r="AR78" s="141" t="s">
        <v>253</v>
      </c>
      <c r="AS78" s="141" t="s">
        <v>601</v>
      </c>
      <c r="AT78" s="141" t="s">
        <v>601</v>
      </c>
      <c r="AU78" s="141" t="s">
        <v>258</v>
      </c>
      <c r="AV78" s="122" t="s">
        <v>259</v>
      </c>
      <c r="AW78" s="122" t="s">
        <v>260</v>
      </c>
      <c r="AX78" s="141" t="s">
        <v>1552</v>
      </c>
      <c r="AY78" s="141" t="s">
        <v>247</v>
      </c>
      <c r="AZ78" s="122" t="s">
        <v>1553</v>
      </c>
      <c r="BA78" s="122" t="s">
        <v>262</v>
      </c>
      <c r="BB78" s="122" t="s">
        <v>262</v>
      </c>
      <c r="BC78" s="141" t="s">
        <v>312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14</v>
      </c>
      <c r="BJ78" s="123">
        <v>42231</v>
      </c>
      <c r="BK78" s="139" t="s">
        <v>606</v>
      </c>
      <c r="BM78" s="122">
        <v>33</v>
      </c>
    </row>
    <row r="79" spans="1:65" x14ac:dyDescent="0.25">
      <c r="A79" s="122" t="s">
        <v>578</v>
      </c>
      <c r="B79" s="122" t="s">
        <v>1554</v>
      </c>
      <c r="C79" s="122" t="s">
        <v>1555</v>
      </c>
      <c r="D79" s="122" t="s">
        <v>1556</v>
      </c>
      <c r="E79" s="123">
        <v>42219</v>
      </c>
      <c r="F79" s="122" t="s">
        <v>1557</v>
      </c>
      <c r="G79" s="122" t="s">
        <v>235</v>
      </c>
      <c r="H79" s="122" t="s">
        <v>1558</v>
      </c>
      <c r="I79" s="122" t="s">
        <v>1559</v>
      </c>
      <c r="J79" s="122" t="s">
        <v>1560</v>
      </c>
      <c r="K79" s="122" t="s">
        <v>238</v>
      </c>
      <c r="L79" s="122" t="s">
        <v>271</v>
      </c>
      <c r="M79" s="122" t="s">
        <v>1561</v>
      </c>
      <c r="O79" s="141" t="s">
        <v>1562</v>
      </c>
      <c r="P79" s="141" t="s">
        <v>1563</v>
      </c>
      <c r="Q79" s="122" t="s">
        <v>243</v>
      </c>
      <c r="R79" s="142">
        <v>15</v>
      </c>
      <c r="S79" s="122" t="s">
        <v>1564</v>
      </c>
      <c r="U79" s="122" t="s">
        <v>1420</v>
      </c>
      <c r="W79" s="122" t="s">
        <v>246</v>
      </c>
      <c r="X79" s="122" t="s">
        <v>302</v>
      </c>
      <c r="Y79" s="141" t="s">
        <v>670</v>
      </c>
      <c r="Z79" s="122" t="s">
        <v>1565</v>
      </c>
      <c r="AA79" s="141" t="s">
        <v>765</v>
      </c>
      <c r="AB79" s="122" t="s">
        <v>1566</v>
      </c>
      <c r="AC79" s="141" t="s">
        <v>1567</v>
      </c>
      <c r="AD79" s="122" t="s">
        <v>1568</v>
      </c>
      <c r="AE79" s="122" t="s">
        <v>235</v>
      </c>
      <c r="AF79" s="122" t="s">
        <v>1569</v>
      </c>
      <c r="AG79" s="122" t="s">
        <v>537</v>
      </c>
      <c r="AH79" s="122" t="s">
        <v>253</v>
      </c>
      <c r="AI79" s="122" t="s">
        <v>1570</v>
      </c>
      <c r="AJ79" s="122" t="s">
        <v>1571</v>
      </c>
      <c r="AK79" s="122" t="s">
        <v>253</v>
      </c>
      <c r="AL79" s="122" t="s">
        <v>253</v>
      </c>
      <c r="AM79" s="122" t="s">
        <v>253</v>
      </c>
      <c r="AN79" s="122" t="s">
        <v>253</v>
      </c>
      <c r="AO79" s="141" t="s">
        <v>253</v>
      </c>
      <c r="AP79" s="141" t="s">
        <v>253</v>
      </c>
      <c r="AQ79" s="141" t="s">
        <v>247</v>
      </c>
      <c r="AR79" s="141" t="s">
        <v>253</v>
      </c>
      <c r="AS79" s="141" t="s">
        <v>361</v>
      </c>
      <c r="AT79" s="141" t="s">
        <v>601</v>
      </c>
      <c r="AU79" s="141" t="s">
        <v>258</v>
      </c>
      <c r="AV79" s="122" t="s">
        <v>259</v>
      </c>
      <c r="AW79" s="122" t="s">
        <v>260</v>
      </c>
      <c r="AX79" s="141" t="s">
        <v>1572</v>
      </c>
      <c r="AY79" s="141" t="s">
        <v>603</v>
      </c>
      <c r="AZ79" s="122" t="s">
        <v>1573</v>
      </c>
      <c r="BA79" s="122" t="s">
        <v>262</v>
      </c>
      <c r="BB79" s="122" t="s">
        <v>262</v>
      </c>
      <c r="BC79" s="141" t="s">
        <v>312</v>
      </c>
      <c r="BD79" s="122" t="s">
        <v>247</v>
      </c>
      <c r="BE79" s="122" t="s">
        <v>263</v>
      </c>
      <c r="BF79" s="122" t="s">
        <v>1430</v>
      </c>
      <c r="BH79" s="122" t="s">
        <v>1420</v>
      </c>
      <c r="BI79" s="142">
        <v>15</v>
      </c>
      <c r="BJ79" s="123">
        <v>42229</v>
      </c>
      <c r="BK79" s="139" t="s">
        <v>606</v>
      </c>
      <c r="BM79" s="122">
        <v>33</v>
      </c>
    </row>
    <row r="80" spans="1:65" x14ac:dyDescent="0.25">
      <c r="A80" s="122" t="s">
        <v>578</v>
      </c>
      <c r="B80" s="122" t="s">
        <v>1574</v>
      </c>
      <c r="C80" s="122" t="s">
        <v>1575</v>
      </c>
      <c r="D80" s="122" t="s">
        <v>1576</v>
      </c>
      <c r="E80" s="123">
        <v>42219</v>
      </c>
      <c r="F80" s="122" t="s">
        <v>742</v>
      </c>
      <c r="G80" s="122" t="s">
        <v>235</v>
      </c>
      <c r="H80" s="122" t="s">
        <v>1577</v>
      </c>
      <c r="I80" s="122" t="s">
        <v>1578</v>
      </c>
      <c r="K80" s="122" t="s">
        <v>238</v>
      </c>
      <c r="L80" s="122" t="s">
        <v>297</v>
      </c>
      <c r="M80" s="122" t="s">
        <v>1579</v>
      </c>
      <c r="N80" s="122" t="s">
        <v>1580</v>
      </c>
      <c r="O80" s="141" t="s">
        <v>373</v>
      </c>
      <c r="P80" s="141" t="s">
        <v>1581</v>
      </c>
      <c r="Q80" s="122" t="s">
        <v>243</v>
      </c>
      <c r="R80" s="142">
        <v>16</v>
      </c>
      <c r="S80" s="122" t="s">
        <v>1582</v>
      </c>
      <c r="T80" s="122" t="s">
        <v>1583</v>
      </c>
      <c r="U80" s="122" t="s">
        <v>1420</v>
      </c>
      <c r="W80" s="122" t="s">
        <v>246</v>
      </c>
      <c r="X80" s="122" t="s">
        <v>376</v>
      </c>
      <c r="Z80" s="122" t="s">
        <v>250</v>
      </c>
      <c r="AB80" s="122" t="s">
        <v>250</v>
      </c>
      <c r="AD80" s="122" t="s">
        <v>250</v>
      </c>
      <c r="AE80" s="122" t="s">
        <v>235</v>
      </c>
      <c r="AF80" s="122" t="s">
        <v>1584</v>
      </c>
      <c r="AG80" s="122" t="s">
        <v>537</v>
      </c>
      <c r="AH80" s="122" t="s">
        <v>253</v>
      </c>
      <c r="AI80" s="122" t="s">
        <v>1585</v>
      </c>
      <c r="AJ80" s="122" t="s">
        <v>1586</v>
      </c>
      <c r="AK80" s="122" t="s">
        <v>253</v>
      </c>
      <c r="AL80" s="122" t="s">
        <v>253</v>
      </c>
      <c r="AM80" s="122" t="s">
        <v>253</v>
      </c>
      <c r="AN80" s="122" t="s">
        <v>253</v>
      </c>
      <c r="AO80" s="141" t="s">
        <v>253</v>
      </c>
      <c r="AP80" s="141" t="s">
        <v>253</v>
      </c>
      <c r="AQ80" s="141" t="s">
        <v>247</v>
      </c>
      <c r="AR80" s="141" t="s">
        <v>253</v>
      </c>
      <c r="AS80" s="141" t="s">
        <v>361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41" t="s">
        <v>253</v>
      </c>
      <c r="AZ80" s="122" t="s">
        <v>1587</v>
      </c>
      <c r="BA80" s="122" t="s">
        <v>262</v>
      </c>
      <c r="BB80" s="122" t="s">
        <v>262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16</v>
      </c>
      <c r="BJ80" s="123">
        <v>42231</v>
      </c>
      <c r="BK80" s="139" t="s">
        <v>606</v>
      </c>
      <c r="BM80" s="122">
        <v>33</v>
      </c>
    </row>
    <row r="81" spans="1:66" x14ac:dyDescent="0.25">
      <c r="A81" s="122" t="s">
        <v>578</v>
      </c>
      <c r="B81" s="122" t="s">
        <v>1588</v>
      </c>
      <c r="C81" s="122" t="s">
        <v>1589</v>
      </c>
      <c r="D81" s="122" t="s">
        <v>1590</v>
      </c>
      <c r="E81" s="123">
        <v>42219</v>
      </c>
      <c r="F81" s="122" t="s">
        <v>833</v>
      </c>
      <c r="G81" s="122" t="s">
        <v>235</v>
      </c>
      <c r="H81" s="122" t="s">
        <v>1591</v>
      </c>
      <c r="I81" s="122" t="s">
        <v>1592</v>
      </c>
      <c r="K81" s="122" t="s">
        <v>238</v>
      </c>
      <c r="L81" s="122" t="s">
        <v>271</v>
      </c>
      <c r="M81" s="122" t="s">
        <v>1593</v>
      </c>
      <c r="O81" s="141" t="s">
        <v>566</v>
      </c>
      <c r="P81" s="141" t="s">
        <v>1594</v>
      </c>
      <c r="Q81" s="122" t="s">
        <v>243</v>
      </c>
      <c r="R81" s="142">
        <v>17</v>
      </c>
      <c r="S81" s="122" t="s">
        <v>1595</v>
      </c>
      <c r="U81" s="122" t="s">
        <v>1420</v>
      </c>
      <c r="W81" s="122" t="s">
        <v>246</v>
      </c>
      <c r="X81" s="122" t="s">
        <v>302</v>
      </c>
      <c r="Y81" s="141" t="s">
        <v>1596</v>
      </c>
      <c r="Z81" s="122" t="s">
        <v>1597</v>
      </c>
      <c r="AA81" s="141" t="s">
        <v>234</v>
      </c>
      <c r="AB81" s="122" t="s">
        <v>249</v>
      </c>
      <c r="AC81" s="141" t="s">
        <v>724</v>
      </c>
      <c r="AD81" s="122" t="s">
        <v>1598</v>
      </c>
      <c r="AE81" s="122" t="s">
        <v>235</v>
      </c>
      <c r="AF81" s="122" t="s">
        <v>1599</v>
      </c>
      <c r="AG81" s="122" t="s">
        <v>537</v>
      </c>
      <c r="AH81" s="122" t="s">
        <v>253</v>
      </c>
      <c r="AI81" s="122" t="s">
        <v>1600</v>
      </c>
      <c r="AJ81" s="122" t="s">
        <v>1601</v>
      </c>
      <c r="AK81" s="122" t="s">
        <v>253</v>
      </c>
      <c r="AL81" s="122" t="s">
        <v>253</v>
      </c>
      <c r="AM81" s="122" t="s">
        <v>253</v>
      </c>
      <c r="AN81" s="122" t="s">
        <v>253</v>
      </c>
      <c r="AO81" s="141" t="s">
        <v>247</v>
      </c>
      <c r="AP81" s="141" t="s">
        <v>247</v>
      </c>
      <c r="AQ81" s="141" t="s">
        <v>247</v>
      </c>
      <c r="AR81" s="141" t="s">
        <v>247</v>
      </c>
      <c r="AS81" s="141" t="s">
        <v>601</v>
      </c>
      <c r="AT81" s="141" t="s">
        <v>601</v>
      </c>
      <c r="AU81" s="141" t="s">
        <v>601</v>
      </c>
      <c r="AV81" s="122" t="s">
        <v>259</v>
      </c>
      <c r="AW81" s="122" t="s">
        <v>260</v>
      </c>
      <c r="AY81" s="141" t="s">
        <v>253</v>
      </c>
      <c r="AZ81" s="122" t="s">
        <v>1602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17</v>
      </c>
      <c r="BJ81" s="123">
        <v>42230</v>
      </c>
      <c r="BK81" s="139" t="s">
        <v>606</v>
      </c>
      <c r="BM81" s="122">
        <v>33</v>
      </c>
    </row>
    <row r="82" spans="1:66" x14ac:dyDescent="0.25">
      <c r="A82" s="122" t="s">
        <v>578</v>
      </c>
      <c r="B82" s="122" t="s">
        <v>1603</v>
      </c>
      <c r="C82" s="122" t="s">
        <v>1604</v>
      </c>
      <c r="D82" s="122" t="s">
        <v>1605</v>
      </c>
      <c r="E82" s="123">
        <v>42219</v>
      </c>
      <c r="F82" s="122" t="s">
        <v>795</v>
      </c>
      <c r="G82" s="122" t="s">
        <v>235</v>
      </c>
      <c r="H82" s="122" t="s">
        <v>1606</v>
      </c>
      <c r="I82" s="122" t="s">
        <v>1607</v>
      </c>
      <c r="J82" s="122" t="s">
        <v>1608</v>
      </c>
      <c r="K82" s="122" t="s">
        <v>238</v>
      </c>
      <c r="L82" s="122" t="s">
        <v>271</v>
      </c>
      <c r="M82" s="122" t="s">
        <v>1561</v>
      </c>
      <c r="O82" s="141" t="s">
        <v>1055</v>
      </c>
      <c r="P82" s="141" t="s">
        <v>1609</v>
      </c>
      <c r="Q82" s="122" t="s">
        <v>243</v>
      </c>
      <c r="R82" s="142">
        <v>18</v>
      </c>
      <c r="S82" s="122" t="s">
        <v>1610</v>
      </c>
      <c r="U82" s="122" t="s">
        <v>1420</v>
      </c>
      <c r="W82" s="122" t="s">
        <v>246</v>
      </c>
      <c r="X82" s="122" t="s">
        <v>302</v>
      </c>
      <c r="Y82" s="141" t="s">
        <v>668</v>
      </c>
      <c r="Z82" s="122" t="s">
        <v>1611</v>
      </c>
      <c r="AA82" s="141" t="s">
        <v>1612</v>
      </c>
      <c r="AB82" s="122" t="s">
        <v>1611</v>
      </c>
      <c r="AC82" s="141" t="s">
        <v>1291</v>
      </c>
      <c r="AD82" s="122" t="s">
        <v>1613</v>
      </c>
      <c r="AE82" s="122" t="s">
        <v>235</v>
      </c>
      <c r="AF82" s="122" t="s">
        <v>1614</v>
      </c>
      <c r="AG82" s="122" t="s">
        <v>537</v>
      </c>
      <c r="AH82" s="122" t="s">
        <v>253</v>
      </c>
      <c r="AI82" s="122" t="s">
        <v>1615</v>
      </c>
      <c r="AJ82" s="122" t="s">
        <v>1616</v>
      </c>
      <c r="AK82" s="122" t="s">
        <v>253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247</v>
      </c>
      <c r="AR82" s="141" t="s">
        <v>253</v>
      </c>
      <c r="AS82" s="141" t="s">
        <v>601</v>
      </c>
      <c r="AT82" s="141" t="s">
        <v>601</v>
      </c>
      <c r="AU82" s="141" t="s">
        <v>258</v>
      </c>
      <c r="AV82" s="122" t="s">
        <v>259</v>
      </c>
      <c r="AW82" s="122" t="s">
        <v>260</v>
      </c>
      <c r="AY82" s="141" t="s">
        <v>253</v>
      </c>
      <c r="AZ82" s="122" t="s">
        <v>1617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18</v>
      </c>
      <c r="BJ82" s="123">
        <v>42229</v>
      </c>
      <c r="BK82" s="139" t="s">
        <v>606</v>
      </c>
      <c r="BM82" s="122">
        <v>33</v>
      </c>
    </row>
    <row r="83" spans="1:66" x14ac:dyDescent="0.25">
      <c r="A83" s="122" t="s">
        <v>541</v>
      </c>
      <c r="B83" s="122" t="s">
        <v>1618</v>
      </c>
      <c r="C83" s="122" t="s">
        <v>1619</v>
      </c>
      <c r="D83" s="122" t="s">
        <v>1620</v>
      </c>
      <c r="E83" s="123">
        <v>42219</v>
      </c>
      <c r="F83" s="122" t="s">
        <v>1621</v>
      </c>
      <c r="G83" s="122" t="s">
        <v>235</v>
      </c>
      <c r="H83" s="122" t="s">
        <v>1622</v>
      </c>
      <c r="I83" s="122" t="s">
        <v>1623</v>
      </c>
      <c r="J83" s="122" t="s">
        <v>1053</v>
      </c>
      <c r="K83" s="122" t="s">
        <v>238</v>
      </c>
      <c r="L83" s="122" t="s">
        <v>388</v>
      </c>
      <c r="M83" s="122" t="s">
        <v>1624</v>
      </c>
      <c r="N83" s="122" t="s">
        <v>1625</v>
      </c>
      <c r="O83" s="141" t="s">
        <v>566</v>
      </c>
      <c r="P83" s="141" t="s">
        <v>1626</v>
      </c>
      <c r="Q83" s="122" t="s">
        <v>243</v>
      </c>
      <c r="R83" s="142">
        <v>19</v>
      </c>
      <c r="S83" s="122" t="s">
        <v>1627</v>
      </c>
      <c r="U83" s="122" t="s">
        <v>1420</v>
      </c>
      <c r="W83" s="122" t="s">
        <v>246</v>
      </c>
      <c r="X83" s="122" t="s">
        <v>721</v>
      </c>
      <c r="Y83" s="141" t="s">
        <v>511</v>
      </c>
      <c r="Z83" s="122" t="s">
        <v>1628</v>
      </c>
      <c r="AA83" s="141" t="s">
        <v>1023</v>
      </c>
      <c r="AB83" s="122" t="s">
        <v>1628</v>
      </c>
      <c r="AC83" s="141" t="s">
        <v>1629</v>
      </c>
      <c r="AD83" s="122" t="s">
        <v>1628</v>
      </c>
      <c r="AE83" s="122" t="s">
        <v>235</v>
      </c>
      <c r="AF83" s="122" t="s">
        <v>1630</v>
      </c>
      <c r="AG83" s="122" t="s">
        <v>1631</v>
      </c>
      <c r="AH83" s="122" t="s">
        <v>253</v>
      </c>
      <c r="AI83" s="122" t="s">
        <v>1632</v>
      </c>
      <c r="AJ83" s="122" t="s">
        <v>1633</v>
      </c>
      <c r="AK83" s="122" t="s">
        <v>253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247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41" t="s">
        <v>253</v>
      </c>
      <c r="AZ83" s="122" t="s">
        <v>1634</v>
      </c>
      <c r="BA83" s="122" t="s">
        <v>262</v>
      </c>
      <c r="BB83" s="122" t="s">
        <v>262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19</v>
      </c>
      <c r="BJ83" s="123">
        <v>42233</v>
      </c>
      <c r="BK83" s="139" t="s">
        <v>606</v>
      </c>
      <c r="BM83" s="122">
        <v>34</v>
      </c>
    </row>
    <row r="84" spans="1:66" x14ac:dyDescent="0.25">
      <c r="A84" s="122" t="s">
        <v>541</v>
      </c>
      <c r="B84" s="122" t="s">
        <v>1635</v>
      </c>
      <c r="C84" s="122" t="s">
        <v>1636</v>
      </c>
      <c r="D84" s="122" t="s">
        <v>1637</v>
      </c>
      <c r="E84" s="123">
        <v>42219</v>
      </c>
      <c r="F84" s="122" t="s">
        <v>1638</v>
      </c>
      <c r="G84" s="122" t="s">
        <v>235</v>
      </c>
      <c r="H84" s="122" t="s">
        <v>448</v>
      </c>
      <c r="I84" s="122" t="s">
        <v>1639</v>
      </c>
      <c r="K84" s="122" t="s">
        <v>472</v>
      </c>
      <c r="L84" s="122" t="s">
        <v>473</v>
      </c>
      <c r="M84" s="122" t="s">
        <v>1640</v>
      </c>
      <c r="O84" s="141" t="s">
        <v>1205</v>
      </c>
      <c r="P84" s="141" t="s">
        <v>1641</v>
      </c>
      <c r="Q84" s="122" t="s">
        <v>243</v>
      </c>
      <c r="R84" s="142">
        <v>20</v>
      </c>
      <c r="S84" s="122" t="s">
        <v>1642</v>
      </c>
      <c r="U84" s="122" t="s">
        <v>1420</v>
      </c>
      <c r="W84" s="122" t="s">
        <v>246</v>
      </c>
      <c r="X84" s="122" t="s">
        <v>1643</v>
      </c>
      <c r="Y84" s="141" t="s">
        <v>356</v>
      </c>
      <c r="Z84" s="122" t="s">
        <v>1644</v>
      </c>
      <c r="AA84" s="141" t="s">
        <v>306</v>
      </c>
      <c r="AB84" s="122" t="s">
        <v>1645</v>
      </c>
      <c r="AC84" s="141" t="s">
        <v>1116</v>
      </c>
      <c r="AD84" s="122" t="s">
        <v>1646</v>
      </c>
      <c r="AE84" s="122" t="s">
        <v>235</v>
      </c>
      <c r="AF84" s="122" t="s">
        <v>1647</v>
      </c>
      <c r="AG84" s="122" t="s">
        <v>1648</v>
      </c>
      <c r="AH84" s="122" t="s">
        <v>253</v>
      </c>
      <c r="AI84" s="122" t="s">
        <v>1649</v>
      </c>
      <c r="AJ84" s="122" t="s">
        <v>1650</v>
      </c>
      <c r="AK84" s="122" t="s">
        <v>253</v>
      </c>
      <c r="AL84" s="122" t="s">
        <v>253</v>
      </c>
      <c r="AM84" s="122" t="s">
        <v>253</v>
      </c>
      <c r="AN84" s="122" t="s">
        <v>253</v>
      </c>
      <c r="AO84" s="141" t="s">
        <v>247</v>
      </c>
      <c r="AP84" s="141" t="s">
        <v>247</v>
      </c>
      <c r="AQ84" s="141" t="s">
        <v>247</v>
      </c>
      <c r="AR84" s="141" t="s">
        <v>247</v>
      </c>
      <c r="AS84" s="141" t="s">
        <v>601</v>
      </c>
      <c r="AT84" s="141" t="s">
        <v>601</v>
      </c>
      <c r="AU84" s="141" t="s">
        <v>601</v>
      </c>
      <c r="AV84" s="122" t="s">
        <v>259</v>
      </c>
      <c r="AW84" s="122" t="s">
        <v>260</v>
      </c>
      <c r="AY84" s="141" t="s">
        <v>253</v>
      </c>
      <c r="AZ84" s="122" t="s">
        <v>262</v>
      </c>
      <c r="BA84" s="122" t="s">
        <v>262</v>
      </c>
      <c r="BB84" s="122" t="s">
        <v>1651</v>
      </c>
      <c r="BC84" s="141" t="s">
        <v>312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20</v>
      </c>
      <c r="BJ84" s="123">
        <v>42227</v>
      </c>
      <c r="BK84" s="139" t="s">
        <v>606</v>
      </c>
      <c r="BM84" s="122">
        <v>33</v>
      </c>
    </row>
    <row r="85" spans="1:66" x14ac:dyDescent="0.25">
      <c r="A85" s="122" t="s">
        <v>541</v>
      </c>
      <c r="B85" s="122" t="s">
        <v>1652</v>
      </c>
      <c r="C85" s="122" t="s">
        <v>1653</v>
      </c>
      <c r="D85" s="122" t="s">
        <v>1654</v>
      </c>
      <c r="E85" s="123">
        <v>42219</v>
      </c>
      <c r="F85" s="122" t="s">
        <v>1655</v>
      </c>
      <c r="G85" s="122" t="s">
        <v>235</v>
      </c>
      <c r="H85" s="122" t="s">
        <v>1656</v>
      </c>
      <c r="I85" s="122" t="s">
        <v>1657</v>
      </c>
      <c r="J85" s="122" t="s">
        <v>1658</v>
      </c>
      <c r="K85" s="122" t="s">
        <v>238</v>
      </c>
      <c r="L85" s="122" t="s">
        <v>297</v>
      </c>
      <c r="M85" s="122" t="s">
        <v>1659</v>
      </c>
      <c r="Q85" s="122" t="s">
        <v>243</v>
      </c>
      <c r="R85" s="142">
        <v>21</v>
      </c>
      <c r="S85" s="122" t="s">
        <v>1660</v>
      </c>
      <c r="U85" s="122" t="s">
        <v>1420</v>
      </c>
      <c r="W85" s="122" t="s">
        <v>246</v>
      </c>
      <c r="X85" s="122" t="s">
        <v>1643</v>
      </c>
      <c r="Y85" s="141" t="s">
        <v>1440</v>
      </c>
      <c r="Z85" s="122" t="s">
        <v>1661</v>
      </c>
      <c r="AA85" s="141" t="s">
        <v>1325</v>
      </c>
      <c r="AB85" s="122" t="s">
        <v>1662</v>
      </c>
      <c r="AC85" s="141" t="s">
        <v>985</v>
      </c>
      <c r="AD85" s="122" t="s">
        <v>1663</v>
      </c>
      <c r="AE85" s="122" t="s">
        <v>235</v>
      </c>
      <c r="AF85" s="122" t="s">
        <v>1664</v>
      </c>
      <c r="AG85" s="122" t="s">
        <v>537</v>
      </c>
      <c r="AH85" s="122" t="s">
        <v>253</v>
      </c>
      <c r="AI85" s="122" t="s">
        <v>1665</v>
      </c>
      <c r="AJ85" s="122" t="s">
        <v>1666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247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41" t="s">
        <v>253</v>
      </c>
      <c r="AZ85" s="122" t="s">
        <v>1667</v>
      </c>
      <c r="BA85" s="122" t="s">
        <v>262</v>
      </c>
      <c r="BB85" s="122" t="s">
        <v>262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21</v>
      </c>
      <c r="BK85" s="139" t="s">
        <v>1029</v>
      </c>
      <c r="BN85" s="122" t="s">
        <v>1668</v>
      </c>
    </row>
    <row r="86" spans="1:66" x14ac:dyDescent="0.25">
      <c r="A86" s="122" t="s">
        <v>541</v>
      </c>
      <c r="B86" s="122" t="s">
        <v>1669</v>
      </c>
      <c r="C86" s="122" t="s">
        <v>1670</v>
      </c>
      <c r="D86" s="122" t="s">
        <v>1671</v>
      </c>
      <c r="E86" s="123">
        <v>42219</v>
      </c>
      <c r="F86" s="122" t="s">
        <v>1672</v>
      </c>
      <c r="G86" s="122" t="s">
        <v>235</v>
      </c>
      <c r="H86" s="122" t="s">
        <v>448</v>
      </c>
      <c r="I86" s="122" t="s">
        <v>1673</v>
      </c>
      <c r="J86" s="122" t="s">
        <v>1674</v>
      </c>
      <c r="K86" s="122" t="s">
        <v>238</v>
      </c>
      <c r="L86" s="122" t="s">
        <v>388</v>
      </c>
      <c r="M86" s="122" t="s">
        <v>389</v>
      </c>
      <c r="O86" s="141" t="s">
        <v>299</v>
      </c>
      <c r="P86" s="141" t="s">
        <v>1675</v>
      </c>
      <c r="Q86" s="122" t="s">
        <v>243</v>
      </c>
      <c r="R86" s="142">
        <v>22</v>
      </c>
      <c r="S86" s="122" t="s">
        <v>1676</v>
      </c>
      <c r="U86" s="122" t="s">
        <v>1420</v>
      </c>
      <c r="W86" s="122" t="s">
        <v>246</v>
      </c>
      <c r="X86" s="122" t="s">
        <v>442</v>
      </c>
      <c r="Y86" s="141" t="s">
        <v>1209</v>
      </c>
      <c r="Z86" s="122" t="s">
        <v>1677</v>
      </c>
      <c r="AA86" s="141" t="s">
        <v>707</v>
      </c>
      <c r="AB86" s="122" t="s">
        <v>1678</v>
      </c>
      <c r="AC86" s="141" t="s">
        <v>1679</v>
      </c>
      <c r="AD86" s="122" t="s">
        <v>1680</v>
      </c>
      <c r="AE86" s="122" t="s">
        <v>235</v>
      </c>
      <c r="AF86" s="122" t="s">
        <v>1681</v>
      </c>
      <c r="AG86" s="122" t="s">
        <v>253</v>
      </c>
      <c r="AH86" s="122" t="s">
        <v>253</v>
      </c>
      <c r="AI86" s="122" t="s">
        <v>1682</v>
      </c>
      <c r="AJ86" s="122" t="s">
        <v>1683</v>
      </c>
      <c r="AK86" s="122" t="s">
        <v>1684</v>
      </c>
      <c r="AL86" s="122" t="s">
        <v>253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247</v>
      </c>
      <c r="AR86" s="141" t="s">
        <v>253</v>
      </c>
      <c r="AS86" s="141" t="s">
        <v>601</v>
      </c>
      <c r="AT86" s="141" t="s">
        <v>601</v>
      </c>
      <c r="AU86" s="141" t="s">
        <v>258</v>
      </c>
      <c r="AV86" s="122" t="s">
        <v>259</v>
      </c>
      <c r="AW86" s="122" t="s">
        <v>260</v>
      </c>
      <c r="AX86" s="141" t="s">
        <v>1685</v>
      </c>
      <c r="AY86" s="141" t="s">
        <v>247</v>
      </c>
      <c r="AZ86" s="122" t="s">
        <v>262</v>
      </c>
      <c r="BA86" s="122" t="s">
        <v>262</v>
      </c>
      <c r="BB86" s="122" t="s">
        <v>1686</v>
      </c>
      <c r="BC86" s="141" t="s">
        <v>312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22</v>
      </c>
      <c r="BJ86" s="123">
        <v>42233</v>
      </c>
      <c r="BK86" s="139" t="s">
        <v>606</v>
      </c>
      <c r="BM86" s="122">
        <v>34</v>
      </c>
    </row>
    <row r="87" spans="1:66" x14ac:dyDescent="0.25">
      <c r="A87" s="122" t="s">
        <v>541</v>
      </c>
      <c r="B87" s="122" t="s">
        <v>1687</v>
      </c>
      <c r="C87" s="122" t="s">
        <v>1688</v>
      </c>
      <c r="D87" s="122" t="s">
        <v>1689</v>
      </c>
      <c r="E87" s="123">
        <v>42219</v>
      </c>
      <c r="F87" s="122" t="s">
        <v>1690</v>
      </c>
      <c r="G87" s="122" t="s">
        <v>235</v>
      </c>
      <c r="H87" s="122" t="s">
        <v>1691</v>
      </c>
      <c r="I87" s="122" t="s">
        <v>1692</v>
      </c>
      <c r="K87" s="122" t="s">
        <v>238</v>
      </c>
      <c r="L87" s="122" t="s">
        <v>271</v>
      </c>
      <c r="M87" s="122" t="s">
        <v>1693</v>
      </c>
      <c r="O87" s="141" t="s">
        <v>649</v>
      </c>
      <c r="P87" s="141" t="s">
        <v>1694</v>
      </c>
      <c r="Q87" s="122" t="s">
        <v>243</v>
      </c>
      <c r="R87" s="142">
        <v>23</v>
      </c>
      <c r="S87" s="122" t="s">
        <v>1695</v>
      </c>
      <c r="U87" s="122" t="s">
        <v>1420</v>
      </c>
      <c r="W87" s="122" t="s">
        <v>246</v>
      </c>
      <c r="X87" s="122" t="s">
        <v>1643</v>
      </c>
      <c r="Y87" s="141" t="s">
        <v>784</v>
      </c>
      <c r="Z87" s="122" t="s">
        <v>1696</v>
      </c>
      <c r="AA87" s="141" t="s">
        <v>722</v>
      </c>
      <c r="AB87" s="122" t="s">
        <v>1697</v>
      </c>
      <c r="AC87" s="141" t="s">
        <v>1698</v>
      </c>
      <c r="AD87" s="122" t="s">
        <v>1699</v>
      </c>
      <c r="AE87" s="122" t="s">
        <v>235</v>
      </c>
      <c r="AF87" s="122" t="s">
        <v>1700</v>
      </c>
      <c r="AG87" s="122" t="s">
        <v>537</v>
      </c>
      <c r="AH87" s="122" t="s">
        <v>253</v>
      </c>
      <c r="AI87" s="122" t="s">
        <v>1701</v>
      </c>
      <c r="AJ87" s="122" t="s">
        <v>1702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247</v>
      </c>
      <c r="AP87" s="141" t="s">
        <v>247</v>
      </c>
      <c r="AQ87" s="141" t="s">
        <v>247</v>
      </c>
      <c r="AR87" s="141" t="s">
        <v>253</v>
      </c>
      <c r="AS87" s="141" t="s">
        <v>601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Y87" s="141" t="s">
        <v>253</v>
      </c>
      <c r="AZ87" s="122" t="s">
        <v>1703</v>
      </c>
      <c r="BA87" s="122" t="s">
        <v>262</v>
      </c>
      <c r="BB87" s="122" t="s">
        <v>262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23</v>
      </c>
      <c r="BJ87" s="123">
        <v>42229</v>
      </c>
      <c r="BK87" s="139" t="s">
        <v>606</v>
      </c>
      <c r="BM87" s="122">
        <v>33</v>
      </c>
    </row>
    <row r="88" spans="1:66" x14ac:dyDescent="0.25">
      <c r="A88" s="122" t="s">
        <v>541</v>
      </c>
      <c r="B88" s="122" t="s">
        <v>1704</v>
      </c>
      <c r="C88" s="122" t="s">
        <v>1705</v>
      </c>
      <c r="D88" s="122" t="s">
        <v>1706</v>
      </c>
      <c r="E88" s="123">
        <v>42219</v>
      </c>
      <c r="F88" s="122" t="s">
        <v>1707</v>
      </c>
      <c r="G88" s="122" t="s">
        <v>235</v>
      </c>
      <c r="H88" s="122" t="s">
        <v>1708</v>
      </c>
      <c r="I88" s="122" t="s">
        <v>1709</v>
      </c>
      <c r="J88" s="122" t="s">
        <v>1710</v>
      </c>
      <c r="K88" s="122" t="s">
        <v>238</v>
      </c>
      <c r="L88" s="122" t="s">
        <v>271</v>
      </c>
      <c r="M88" s="122" t="s">
        <v>1711</v>
      </c>
      <c r="Q88" s="122" t="s">
        <v>243</v>
      </c>
      <c r="R88" s="142">
        <v>24</v>
      </c>
      <c r="S88" s="122" t="s">
        <v>1712</v>
      </c>
      <c r="U88" s="122" t="s">
        <v>1420</v>
      </c>
      <c r="W88" s="122" t="s">
        <v>246</v>
      </c>
      <c r="X88" s="122" t="s">
        <v>442</v>
      </c>
      <c r="Z88" s="122" t="s">
        <v>250</v>
      </c>
      <c r="AB88" s="122" t="s">
        <v>250</v>
      </c>
      <c r="AD88" s="122" t="s">
        <v>250</v>
      </c>
      <c r="AE88" s="122" t="s">
        <v>235</v>
      </c>
      <c r="AF88" s="122" t="s">
        <v>1713</v>
      </c>
      <c r="AG88" s="122" t="s">
        <v>253</v>
      </c>
      <c r="AH88" s="122" t="s">
        <v>253</v>
      </c>
      <c r="AI88" s="122" t="s">
        <v>1714</v>
      </c>
      <c r="AJ88" s="122" t="s">
        <v>1715</v>
      </c>
      <c r="AK88" s="122" t="s">
        <v>1716</v>
      </c>
      <c r="AL88" s="122" t="s">
        <v>253</v>
      </c>
      <c r="AM88" s="122" t="s">
        <v>253</v>
      </c>
      <c r="AN88" s="122" t="s">
        <v>253</v>
      </c>
      <c r="AO88" s="141" t="s">
        <v>247</v>
      </c>
      <c r="AP88" s="141" t="s">
        <v>253</v>
      </c>
      <c r="AQ88" s="141" t="s">
        <v>253</v>
      </c>
      <c r="AR88" s="141" t="s">
        <v>253</v>
      </c>
      <c r="AS88" s="141" t="s">
        <v>601</v>
      </c>
      <c r="AT88" s="141" t="s">
        <v>258</v>
      </c>
      <c r="AU88" s="141" t="s">
        <v>258</v>
      </c>
      <c r="AV88" s="122" t="s">
        <v>259</v>
      </c>
      <c r="AW88" s="122" t="s">
        <v>260</v>
      </c>
      <c r="AY88" s="141" t="s">
        <v>253</v>
      </c>
      <c r="AZ88" s="122" t="s">
        <v>1717</v>
      </c>
      <c r="BA88" s="122" t="s">
        <v>262</v>
      </c>
      <c r="BB88" s="122" t="s">
        <v>262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24</v>
      </c>
      <c r="BJ88" s="123">
        <v>42229</v>
      </c>
      <c r="BK88" s="139" t="s">
        <v>606</v>
      </c>
      <c r="BM88" s="122">
        <v>33</v>
      </c>
    </row>
    <row r="89" spans="1:66" x14ac:dyDescent="0.25">
      <c r="A89" s="122" t="s">
        <v>541</v>
      </c>
      <c r="B89" s="122" t="s">
        <v>1718</v>
      </c>
      <c r="C89" s="122" t="s">
        <v>1719</v>
      </c>
      <c r="D89" s="122" t="s">
        <v>1720</v>
      </c>
      <c r="E89" s="123">
        <v>42219</v>
      </c>
      <c r="F89" s="122" t="s">
        <v>1721</v>
      </c>
      <c r="G89" s="122" t="s">
        <v>235</v>
      </c>
      <c r="H89" s="122" t="s">
        <v>1722</v>
      </c>
      <c r="I89" s="122" t="s">
        <v>1723</v>
      </c>
      <c r="J89" s="122" t="s">
        <v>370</v>
      </c>
      <c r="K89" s="122" t="s">
        <v>238</v>
      </c>
      <c r="L89" s="122" t="s">
        <v>297</v>
      </c>
      <c r="M89" s="122" t="s">
        <v>1724</v>
      </c>
      <c r="O89" s="141" t="s">
        <v>1240</v>
      </c>
      <c r="P89" s="141" t="s">
        <v>1725</v>
      </c>
      <c r="Q89" s="122" t="s">
        <v>243</v>
      </c>
      <c r="R89" s="142">
        <v>25</v>
      </c>
      <c r="S89" s="122" t="s">
        <v>1726</v>
      </c>
      <c r="U89" s="122" t="s">
        <v>1420</v>
      </c>
      <c r="W89" s="122" t="s">
        <v>246</v>
      </c>
      <c r="X89" s="122" t="s">
        <v>631</v>
      </c>
      <c r="Y89" s="141" t="s">
        <v>1039</v>
      </c>
      <c r="Z89" s="122" t="s">
        <v>355</v>
      </c>
      <c r="AA89" s="141" t="s">
        <v>722</v>
      </c>
      <c r="AB89" s="122" t="s">
        <v>1727</v>
      </c>
      <c r="AC89" s="141" t="s">
        <v>899</v>
      </c>
      <c r="AD89" s="122" t="s">
        <v>1728</v>
      </c>
      <c r="AE89" s="122" t="s">
        <v>235</v>
      </c>
      <c r="AF89" s="122" t="s">
        <v>1729</v>
      </c>
      <c r="AG89" s="122" t="s">
        <v>1730</v>
      </c>
      <c r="AH89" s="122" t="s">
        <v>253</v>
      </c>
      <c r="AI89" s="122" t="s">
        <v>1731</v>
      </c>
      <c r="AJ89" s="122" t="s">
        <v>1732</v>
      </c>
      <c r="AK89" s="122" t="s">
        <v>1733</v>
      </c>
      <c r="AL89" s="122" t="s">
        <v>253</v>
      </c>
      <c r="AM89" s="122" t="s">
        <v>253</v>
      </c>
      <c r="AN89" s="122" t="s">
        <v>253</v>
      </c>
      <c r="AO89" s="141" t="s">
        <v>247</v>
      </c>
      <c r="AP89" s="141" t="s">
        <v>247</v>
      </c>
      <c r="AQ89" s="141" t="s">
        <v>247</v>
      </c>
      <c r="AR89" s="141" t="s">
        <v>253</v>
      </c>
      <c r="AS89" s="141" t="s">
        <v>601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41" t="s">
        <v>253</v>
      </c>
      <c r="AZ89" s="122" t="s">
        <v>1734</v>
      </c>
      <c r="BA89" s="122" t="s">
        <v>262</v>
      </c>
      <c r="BB89" s="122" t="s">
        <v>262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25</v>
      </c>
      <c r="BJ89" s="123">
        <v>42231</v>
      </c>
      <c r="BK89" s="139" t="s">
        <v>606</v>
      </c>
      <c r="BM89" s="122">
        <v>33</v>
      </c>
    </row>
    <row r="90" spans="1:66" x14ac:dyDescent="0.25">
      <c r="A90" s="122" t="s">
        <v>230</v>
      </c>
      <c r="B90" s="122" t="s">
        <v>1735</v>
      </c>
      <c r="C90" s="122" t="s">
        <v>1736</v>
      </c>
      <c r="D90" s="122" t="s">
        <v>1737</v>
      </c>
      <c r="E90" s="123">
        <v>42219</v>
      </c>
      <c r="F90" s="122" t="s">
        <v>1738</v>
      </c>
      <c r="G90" s="122" t="s">
        <v>235</v>
      </c>
      <c r="H90" s="122" t="s">
        <v>1739</v>
      </c>
      <c r="I90" s="122" t="s">
        <v>1740</v>
      </c>
      <c r="K90" s="122" t="s">
        <v>238</v>
      </c>
      <c r="L90" s="122" t="s">
        <v>429</v>
      </c>
      <c r="M90" s="122" t="s">
        <v>430</v>
      </c>
      <c r="N90" s="122" t="s">
        <v>1741</v>
      </c>
      <c r="O90" s="141" t="s">
        <v>390</v>
      </c>
      <c r="P90" s="141" t="s">
        <v>1742</v>
      </c>
      <c r="Q90" s="122" t="s">
        <v>243</v>
      </c>
      <c r="R90" s="142">
        <v>26</v>
      </c>
      <c r="S90" s="122" t="s">
        <v>1743</v>
      </c>
      <c r="U90" s="122" t="s">
        <v>1420</v>
      </c>
      <c r="W90" s="122" t="s">
        <v>246</v>
      </c>
      <c r="X90" s="122" t="s">
        <v>325</v>
      </c>
      <c r="Y90" s="141" t="s">
        <v>1440</v>
      </c>
      <c r="Z90" s="122" t="s">
        <v>1744</v>
      </c>
      <c r="AA90" s="141" t="s">
        <v>328</v>
      </c>
      <c r="AB90" s="122" t="s">
        <v>1745</v>
      </c>
      <c r="AC90" s="141" t="s">
        <v>877</v>
      </c>
      <c r="AD90" s="122" t="s">
        <v>1746</v>
      </c>
      <c r="AE90" s="122" t="s">
        <v>235</v>
      </c>
      <c r="AF90" s="122" t="s">
        <v>1747</v>
      </c>
      <c r="AG90" s="122" t="s">
        <v>537</v>
      </c>
      <c r="AH90" s="122" t="s">
        <v>253</v>
      </c>
      <c r="AI90" s="122" t="s">
        <v>1748</v>
      </c>
      <c r="AJ90" s="122" t="s">
        <v>1749</v>
      </c>
      <c r="AK90" s="122" t="s">
        <v>253</v>
      </c>
      <c r="AL90" s="122" t="s">
        <v>253</v>
      </c>
      <c r="AM90" s="122" t="s">
        <v>253</v>
      </c>
      <c r="AN90" s="122" t="s">
        <v>253</v>
      </c>
      <c r="AO90" s="141" t="s">
        <v>253</v>
      </c>
      <c r="AP90" s="141" t="s">
        <v>253</v>
      </c>
      <c r="AQ90" s="141" t="s">
        <v>247</v>
      </c>
      <c r="AR90" s="141" t="s">
        <v>247</v>
      </c>
      <c r="AS90" s="141" t="s">
        <v>361</v>
      </c>
      <c r="AT90" s="141" t="s">
        <v>601</v>
      </c>
      <c r="AU90" s="141" t="s">
        <v>601</v>
      </c>
      <c r="AV90" s="122" t="s">
        <v>259</v>
      </c>
      <c r="AW90" s="122" t="s">
        <v>260</v>
      </c>
      <c r="AY90" s="141" t="s">
        <v>253</v>
      </c>
      <c r="AZ90" s="122" t="s">
        <v>1750</v>
      </c>
      <c r="BA90" s="122" t="s">
        <v>262</v>
      </c>
      <c r="BB90" s="122" t="s">
        <v>262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26</v>
      </c>
      <c r="BJ90" s="123">
        <v>42227</v>
      </c>
      <c r="BK90" s="139" t="s">
        <v>606</v>
      </c>
      <c r="BM90" s="122">
        <v>33</v>
      </c>
    </row>
    <row r="91" spans="1:66" x14ac:dyDescent="0.25">
      <c r="A91" s="122" t="s">
        <v>230</v>
      </c>
      <c r="B91" s="122" t="s">
        <v>1751</v>
      </c>
      <c r="C91" s="122" t="s">
        <v>1752</v>
      </c>
      <c r="D91" s="122" t="s">
        <v>1753</v>
      </c>
      <c r="E91" s="123">
        <v>42219</v>
      </c>
      <c r="F91" s="122" t="s">
        <v>1754</v>
      </c>
      <c r="G91" s="122" t="s">
        <v>235</v>
      </c>
      <c r="H91" s="122" t="s">
        <v>1755</v>
      </c>
      <c r="I91" s="122" t="s">
        <v>1756</v>
      </c>
      <c r="K91" s="122" t="s">
        <v>238</v>
      </c>
      <c r="L91" s="122" t="s">
        <v>388</v>
      </c>
      <c r="M91" s="122" t="s">
        <v>389</v>
      </c>
      <c r="N91" s="122" t="s">
        <v>1757</v>
      </c>
      <c r="O91" s="141" t="s">
        <v>373</v>
      </c>
      <c r="P91" s="141" t="s">
        <v>1758</v>
      </c>
      <c r="Q91" s="122" t="s">
        <v>243</v>
      </c>
      <c r="R91" s="142">
        <v>27</v>
      </c>
      <c r="S91" s="122" t="s">
        <v>1759</v>
      </c>
      <c r="U91" s="122" t="s">
        <v>1420</v>
      </c>
      <c r="W91" s="122" t="s">
        <v>246</v>
      </c>
      <c r="X91" s="122" t="s">
        <v>302</v>
      </c>
      <c r="Y91" s="141" t="s">
        <v>1209</v>
      </c>
      <c r="Z91" s="122" t="s">
        <v>1760</v>
      </c>
      <c r="AA91" s="141" t="s">
        <v>356</v>
      </c>
      <c r="AB91" s="122" t="s">
        <v>1761</v>
      </c>
      <c r="AC91" s="141" t="s">
        <v>1762</v>
      </c>
      <c r="AD91" s="122" t="s">
        <v>1763</v>
      </c>
      <c r="AE91" s="122" t="s">
        <v>235</v>
      </c>
      <c r="AF91" s="122" t="s">
        <v>1764</v>
      </c>
      <c r="AG91" s="122" t="s">
        <v>537</v>
      </c>
      <c r="AH91" s="122" t="s">
        <v>253</v>
      </c>
      <c r="AI91" s="122" t="s">
        <v>1765</v>
      </c>
      <c r="AJ91" s="122" t="s">
        <v>1766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253</v>
      </c>
      <c r="AP91" s="141" t="s">
        <v>253</v>
      </c>
      <c r="AQ91" s="141" t="s">
        <v>247</v>
      </c>
      <c r="AR91" s="141" t="s">
        <v>253</v>
      </c>
      <c r="AS91" s="141" t="s">
        <v>361</v>
      </c>
      <c r="AT91" s="141" t="s">
        <v>601</v>
      </c>
      <c r="AU91" s="141" t="s">
        <v>258</v>
      </c>
      <c r="AV91" s="122" t="s">
        <v>259</v>
      </c>
      <c r="AW91" s="122" t="s">
        <v>260</v>
      </c>
      <c r="AX91" s="141" t="s">
        <v>1767</v>
      </c>
      <c r="AY91" s="141" t="s">
        <v>247</v>
      </c>
      <c r="AZ91" s="122" t="s">
        <v>1768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27</v>
      </c>
      <c r="BJ91" s="123">
        <v>42233</v>
      </c>
      <c r="BK91" s="139" t="s">
        <v>264</v>
      </c>
      <c r="BL91" s="140">
        <v>173.89</v>
      </c>
      <c r="BM91" s="122">
        <v>34</v>
      </c>
    </row>
    <row r="92" spans="1:66" x14ac:dyDescent="0.25">
      <c r="A92" s="122" t="s">
        <v>230</v>
      </c>
      <c r="B92" s="122" t="s">
        <v>1769</v>
      </c>
      <c r="C92" s="122" t="s">
        <v>1770</v>
      </c>
      <c r="D92" s="122" t="s">
        <v>1771</v>
      </c>
      <c r="E92" s="123">
        <v>42219</v>
      </c>
      <c r="F92" s="122" t="s">
        <v>624</v>
      </c>
      <c r="G92" s="122" t="s">
        <v>235</v>
      </c>
      <c r="H92" s="122" t="s">
        <v>1772</v>
      </c>
      <c r="I92" s="122" t="s">
        <v>1773</v>
      </c>
      <c r="J92" s="122" t="s">
        <v>370</v>
      </c>
      <c r="K92" s="122" t="s">
        <v>238</v>
      </c>
      <c r="L92" s="122" t="s">
        <v>429</v>
      </c>
      <c r="M92" s="122" t="s">
        <v>1774</v>
      </c>
      <c r="O92" s="141" t="s">
        <v>373</v>
      </c>
      <c r="P92" s="141" t="s">
        <v>1775</v>
      </c>
      <c r="Q92" s="122" t="s">
        <v>243</v>
      </c>
      <c r="R92" s="142">
        <v>28</v>
      </c>
      <c r="S92" s="122" t="s">
        <v>1776</v>
      </c>
      <c r="U92" s="122" t="s">
        <v>1420</v>
      </c>
      <c r="W92" s="122" t="s">
        <v>246</v>
      </c>
      <c r="X92" s="122" t="s">
        <v>631</v>
      </c>
      <c r="Y92" s="141" t="s">
        <v>784</v>
      </c>
      <c r="Z92" s="122" t="s">
        <v>1777</v>
      </c>
      <c r="AA92" s="141" t="s">
        <v>1778</v>
      </c>
      <c r="AB92" s="122" t="s">
        <v>1779</v>
      </c>
      <c r="AC92" s="141" t="s">
        <v>1116</v>
      </c>
      <c r="AD92" s="122" t="s">
        <v>1780</v>
      </c>
      <c r="AE92" s="122" t="s">
        <v>235</v>
      </c>
      <c r="AF92" s="122" t="s">
        <v>1781</v>
      </c>
      <c r="AG92" s="122" t="s">
        <v>537</v>
      </c>
      <c r="AH92" s="122" t="s">
        <v>253</v>
      </c>
      <c r="AI92" s="122" t="s">
        <v>1782</v>
      </c>
      <c r="AJ92" s="122" t="s">
        <v>1782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253</v>
      </c>
      <c r="AP92" s="141" t="s">
        <v>253</v>
      </c>
      <c r="AQ92" s="141" t="s">
        <v>247</v>
      </c>
      <c r="AR92" s="141" t="s">
        <v>253</v>
      </c>
      <c r="AS92" s="141" t="s">
        <v>361</v>
      </c>
      <c r="AT92" s="141" t="s">
        <v>601</v>
      </c>
      <c r="AU92" s="141" t="s">
        <v>258</v>
      </c>
      <c r="AV92" s="122" t="s">
        <v>259</v>
      </c>
      <c r="AW92" s="122" t="s">
        <v>260</v>
      </c>
      <c r="AY92" s="141" t="s">
        <v>253</v>
      </c>
      <c r="AZ92" s="122" t="s">
        <v>1783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28</v>
      </c>
      <c r="BJ92" s="123">
        <v>42224</v>
      </c>
      <c r="BK92" s="139" t="s">
        <v>264</v>
      </c>
      <c r="BL92" s="140">
        <v>122.98</v>
      </c>
      <c r="BM92" s="122">
        <v>32</v>
      </c>
    </row>
    <row r="93" spans="1:66" x14ac:dyDescent="0.25">
      <c r="A93" s="122" t="s">
        <v>230</v>
      </c>
      <c r="B93" s="122" t="s">
        <v>1784</v>
      </c>
      <c r="C93" s="122" t="s">
        <v>1785</v>
      </c>
      <c r="D93" s="122" t="s">
        <v>1786</v>
      </c>
      <c r="E93" s="123">
        <v>42219</v>
      </c>
      <c r="F93" s="122" t="s">
        <v>1787</v>
      </c>
      <c r="G93" s="122" t="s">
        <v>235</v>
      </c>
      <c r="H93" s="122" t="s">
        <v>1788</v>
      </c>
      <c r="I93" s="122" t="s">
        <v>1789</v>
      </c>
      <c r="K93" s="122" t="s">
        <v>238</v>
      </c>
      <c r="L93" s="122" t="s">
        <v>271</v>
      </c>
      <c r="M93" s="122" t="s">
        <v>1593</v>
      </c>
      <c r="O93" s="141" t="s">
        <v>850</v>
      </c>
      <c r="P93" s="141" t="s">
        <v>1790</v>
      </c>
      <c r="Q93" s="122" t="s">
        <v>243</v>
      </c>
      <c r="R93" s="142">
        <v>29</v>
      </c>
      <c r="S93" s="122" t="s">
        <v>1791</v>
      </c>
      <c r="U93" s="122" t="s">
        <v>1420</v>
      </c>
      <c r="W93" s="122" t="s">
        <v>246</v>
      </c>
      <c r="X93" s="122" t="s">
        <v>325</v>
      </c>
      <c r="Y93" s="141" t="s">
        <v>352</v>
      </c>
      <c r="Z93" s="122" t="s">
        <v>355</v>
      </c>
      <c r="AA93" s="141" t="s">
        <v>595</v>
      </c>
      <c r="AB93" s="122" t="s">
        <v>1792</v>
      </c>
      <c r="AC93" s="141" t="s">
        <v>1289</v>
      </c>
      <c r="AD93" s="122" t="s">
        <v>1793</v>
      </c>
      <c r="AE93" s="122" t="s">
        <v>235</v>
      </c>
      <c r="AF93" s="122" t="s">
        <v>1794</v>
      </c>
      <c r="AG93" s="122" t="s">
        <v>537</v>
      </c>
      <c r="AH93" s="122" t="s">
        <v>253</v>
      </c>
      <c r="AI93" s="122" t="s">
        <v>1795</v>
      </c>
      <c r="AJ93" s="122" t="s">
        <v>1796</v>
      </c>
      <c r="AK93" s="122" t="s">
        <v>253</v>
      </c>
      <c r="AL93" s="122" t="s">
        <v>253</v>
      </c>
      <c r="AM93" s="122" t="s">
        <v>253</v>
      </c>
      <c r="AN93" s="122" t="s">
        <v>253</v>
      </c>
      <c r="AO93" s="141" t="s">
        <v>253</v>
      </c>
      <c r="AP93" s="141" t="s">
        <v>253</v>
      </c>
      <c r="AQ93" s="141" t="s">
        <v>247</v>
      </c>
      <c r="AR93" s="141" t="s">
        <v>253</v>
      </c>
      <c r="AS93" s="141" t="s">
        <v>361</v>
      </c>
      <c r="AT93" s="141" t="s">
        <v>601</v>
      </c>
      <c r="AU93" s="141" t="s">
        <v>258</v>
      </c>
      <c r="AV93" s="122" t="s">
        <v>259</v>
      </c>
      <c r="AW93" s="122" t="s">
        <v>260</v>
      </c>
      <c r="AY93" s="141" t="s">
        <v>253</v>
      </c>
      <c r="AZ93" s="122" t="s">
        <v>1797</v>
      </c>
      <c r="BA93" s="122" t="s">
        <v>262</v>
      </c>
      <c r="BB93" s="122" t="s">
        <v>262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29</v>
      </c>
      <c r="BJ93" s="123">
        <v>42230</v>
      </c>
      <c r="BK93" s="139" t="s">
        <v>606</v>
      </c>
      <c r="BM93" s="122">
        <v>33</v>
      </c>
    </row>
    <row r="94" spans="1:66" x14ac:dyDescent="0.25">
      <c r="A94" s="122" t="s">
        <v>230</v>
      </c>
      <c r="B94" s="122" t="s">
        <v>1798</v>
      </c>
      <c r="C94" s="122" t="s">
        <v>1799</v>
      </c>
      <c r="D94" s="122" t="s">
        <v>1800</v>
      </c>
      <c r="E94" s="123">
        <v>42219</v>
      </c>
      <c r="F94" s="122" t="s">
        <v>1801</v>
      </c>
      <c r="G94" s="122" t="s">
        <v>235</v>
      </c>
      <c r="H94" s="122" t="s">
        <v>448</v>
      </c>
      <c r="I94" s="122" t="s">
        <v>1802</v>
      </c>
      <c r="J94" s="122" t="s">
        <v>1053</v>
      </c>
      <c r="K94" s="122" t="s">
        <v>238</v>
      </c>
      <c r="L94" s="122" t="s">
        <v>271</v>
      </c>
      <c r="M94" s="122" t="s">
        <v>1803</v>
      </c>
      <c r="O94" s="141" t="s">
        <v>494</v>
      </c>
      <c r="P94" s="141" t="s">
        <v>1804</v>
      </c>
      <c r="Q94" s="122" t="s">
        <v>243</v>
      </c>
      <c r="R94" s="142">
        <v>30</v>
      </c>
      <c r="S94" s="122" t="s">
        <v>1805</v>
      </c>
      <c r="U94" s="122" t="s">
        <v>1420</v>
      </c>
      <c r="W94" s="122" t="s">
        <v>246</v>
      </c>
      <c r="X94" s="122" t="s">
        <v>325</v>
      </c>
      <c r="Y94" s="141" t="s">
        <v>498</v>
      </c>
      <c r="Z94" s="122" t="s">
        <v>249</v>
      </c>
      <c r="AA94" s="141" t="s">
        <v>500</v>
      </c>
      <c r="AB94" s="122" t="s">
        <v>1806</v>
      </c>
      <c r="AC94" s="141" t="s">
        <v>1023</v>
      </c>
      <c r="AD94" s="122" t="s">
        <v>1807</v>
      </c>
      <c r="AE94" s="122" t="s">
        <v>235</v>
      </c>
      <c r="AF94" s="122" t="s">
        <v>1808</v>
      </c>
      <c r="AG94" s="122" t="s">
        <v>537</v>
      </c>
      <c r="AH94" s="122" t="s">
        <v>253</v>
      </c>
      <c r="AI94" s="122" t="s">
        <v>1214</v>
      </c>
      <c r="AJ94" s="122" t="s">
        <v>1809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253</v>
      </c>
      <c r="AP94" s="141" t="s">
        <v>253</v>
      </c>
      <c r="AQ94" s="141" t="s">
        <v>247</v>
      </c>
      <c r="AR94" s="141" t="s">
        <v>253</v>
      </c>
      <c r="AS94" s="141" t="s">
        <v>361</v>
      </c>
      <c r="AT94" s="141" t="s">
        <v>601</v>
      </c>
      <c r="AU94" s="141" t="s">
        <v>258</v>
      </c>
      <c r="AV94" s="122" t="s">
        <v>259</v>
      </c>
      <c r="AW94" s="122" t="s">
        <v>260</v>
      </c>
      <c r="AX94" s="141" t="s">
        <v>1810</v>
      </c>
      <c r="AY94" s="141" t="s">
        <v>247</v>
      </c>
      <c r="AZ94" s="122" t="s">
        <v>262</v>
      </c>
      <c r="BA94" s="122" t="s">
        <v>262</v>
      </c>
      <c r="BB94" s="122" t="s">
        <v>262</v>
      </c>
      <c r="BD94" s="122" t="s">
        <v>253</v>
      </c>
      <c r="BE94" s="122" t="s">
        <v>263</v>
      </c>
      <c r="BF94" s="122" t="s">
        <v>1430</v>
      </c>
      <c r="BH94" s="122" t="s">
        <v>1420</v>
      </c>
      <c r="BI94" s="142">
        <v>30</v>
      </c>
      <c r="BJ94" s="123">
        <v>42229</v>
      </c>
      <c r="BK94" s="139" t="s">
        <v>606</v>
      </c>
      <c r="BM94" s="122">
        <v>33</v>
      </c>
    </row>
    <row r="95" spans="1:66" x14ac:dyDescent="0.25">
      <c r="A95" s="122" t="s">
        <v>230</v>
      </c>
      <c r="B95" s="122" t="s">
        <v>1811</v>
      </c>
      <c r="C95" s="122" t="s">
        <v>1812</v>
      </c>
      <c r="D95" s="122" t="s">
        <v>1813</v>
      </c>
      <c r="E95" s="123">
        <v>42219</v>
      </c>
      <c r="F95" s="122" t="s">
        <v>801</v>
      </c>
      <c r="G95" s="122" t="s">
        <v>235</v>
      </c>
      <c r="H95" s="122" t="s">
        <v>1814</v>
      </c>
      <c r="I95" s="122" t="s">
        <v>1815</v>
      </c>
      <c r="J95" s="122" t="s">
        <v>1816</v>
      </c>
      <c r="K95" s="122" t="s">
        <v>238</v>
      </c>
      <c r="L95" s="122" t="s">
        <v>297</v>
      </c>
      <c r="M95" s="122" t="s">
        <v>1659</v>
      </c>
      <c r="N95" s="122" t="s">
        <v>1817</v>
      </c>
      <c r="Q95" s="122" t="s">
        <v>243</v>
      </c>
      <c r="R95" s="142">
        <v>31</v>
      </c>
      <c r="S95" s="122" t="s">
        <v>1818</v>
      </c>
      <c r="U95" s="122" t="s">
        <v>1420</v>
      </c>
      <c r="W95" s="122" t="s">
        <v>246</v>
      </c>
      <c r="X95" s="122" t="s">
        <v>325</v>
      </c>
      <c r="Y95" s="141" t="s">
        <v>306</v>
      </c>
      <c r="Z95" s="122" t="s">
        <v>1819</v>
      </c>
      <c r="AA95" s="141" t="s">
        <v>1820</v>
      </c>
      <c r="AB95" s="122" t="s">
        <v>1821</v>
      </c>
      <c r="AC95" s="141" t="s">
        <v>582</v>
      </c>
      <c r="AD95" s="122" t="s">
        <v>1822</v>
      </c>
      <c r="AE95" s="122" t="s">
        <v>235</v>
      </c>
      <c r="AF95" s="122" t="s">
        <v>1823</v>
      </c>
      <c r="AG95" s="122" t="s">
        <v>537</v>
      </c>
      <c r="AH95" s="122" t="s">
        <v>253</v>
      </c>
      <c r="AI95" s="122" t="s">
        <v>1715</v>
      </c>
      <c r="AJ95" s="122" t="s">
        <v>1824</v>
      </c>
      <c r="AK95" s="122" t="s">
        <v>253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253</v>
      </c>
      <c r="AQ95" s="141" t="s">
        <v>253</v>
      </c>
      <c r="AR95" s="141" t="s">
        <v>253</v>
      </c>
      <c r="AS95" s="141" t="s">
        <v>601</v>
      </c>
      <c r="AT95" s="141" t="s">
        <v>258</v>
      </c>
      <c r="AU95" s="141" t="s">
        <v>258</v>
      </c>
      <c r="AV95" s="122" t="s">
        <v>259</v>
      </c>
      <c r="AW95" s="122" t="s">
        <v>260</v>
      </c>
      <c r="AY95" s="141" t="s">
        <v>253</v>
      </c>
      <c r="AZ95" s="122" t="s">
        <v>1825</v>
      </c>
      <c r="BA95" s="122" t="s">
        <v>262</v>
      </c>
      <c r="BB95" s="122" t="s">
        <v>262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31</v>
      </c>
      <c r="BJ95" s="123">
        <v>42231</v>
      </c>
      <c r="BK95" s="139" t="s">
        <v>606</v>
      </c>
      <c r="BM95" s="122">
        <v>33</v>
      </c>
    </row>
    <row r="96" spans="1:66" x14ac:dyDescent="0.25">
      <c r="A96" s="122" t="s">
        <v>230</v>
      </c>
      <c r="B96" s="122" t="s">
        <v>1826</v>
      </c>
      <c r="C96" s="122" t="s">
        <v>1827</v>
      </c>
      <c r="D96" s="122" t="s">
        <v>1828</v>
      </c>
      <c r="E96" s="123">
        <v>42219</v>
      </c>
      <c r="F96" s="122" t="s">
        <v>985</v>
      </c>
      <c r="G96" s="122" t="s">
        <v>235</v>
      </c>
      <c r="H96" s="122" t="s">
        <v>1829</v>
      </c>
      <c r="I96" s="122" t="s">
        <v>1815</v>
      </c>
      <c r="J96" s="122" t="s">
        <v>1830</v>
      </c>
      <c r="K96" s="122" t="s">
        <v>238</v>
      </c>
      <c r="L96" s="122" t="s">
        <v>297</v>
      </c>
      <c r="M96" s="122" t="s">
        <v>1659</v>
      </c>
      <c r="N96" s="122" t="s">
        <v>1817</v>
      </c>
      <c r="O96" s="141" t="s">
        <v>548</v>
      </c>
      <c r="P96" s="141" t="s">
        <v>1831</v>
      </c>
      <c r="Q96" s="122" t="s">
        <v>243</v>
      </c>
      <c r="R96" s="142">
        <v>32</v>
      </c>
      <c r="S96" s="122" t="s">
        <v>1832</v>
      </c>
      <c r="U96" s="122" t="s">
        <v>1420</v>
      </c>
      <c r="W96" s="122" t="s">
        <v>246</v>
      </c>
      <c r="X96" s="122" t="s">
        <v>302</v>
      </c>
      <c r="Y96" s="141" t="s">
        <v>958</v>
      </c>
      <c r="Z96" s="122" t="s">
        <v>1833</v>
      </c>
      <c r="AA96" s="141" t="s">
        <v>742</v>
      </c>
      <c r="AB96" s="122" t="s">
        <v>1834</v>
      </c>
      <c r="AC96" s="141" t="s">
        <v>1398</v>
      </c>
      <c r="AD96" s="122" t="s">
        <v>1326</v>
      </c>
      <c r="AE96" s="122" t="s">
        <v>235</v>
      </c>
      <c r="AF96" s="122" t="s">
        <v>1835</v>
      </c>
      <c r="AG96" s="122" t="s">
        <v>537</v>
      </c>
      <c r="AH96" s="122" t="s">
        <v>253</v>
      </c>
      <c r="AI96" s="122" t="s">
        <v>1836</v>
      </c>
      <c r="AJ96" s="122" t="s">
        <v>1837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247</v>
      </c>
      <c r="AP96" s="141" t="s">
        <v>247</v>
      </c>
      <c r="AQ96" s="141" t="s">
        <v>247</v>
      </c>
      <c r="AR96" s="141" t="s">
        <v>253</v>
      </c>
      <c r="AS96" s="141" t="s">
        <v>601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41" t="s">
        <v>253</v>
      </c>
      <c r="AZ96" s="122" t="s">
        <v>1838</v>
      </c>
      <c r="BA96" s="122" t="s">
        <v>262</v>
      </c>
      <c r="BB96" s="122" t="s">
        <v>262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32</v>
      </c>
      <c r="BJ96" s="123">
        <v>42231</v>
      </c>
      <c r="BK96" s="139" t="s">
        <v>606</v>
      </c>
      <c r="BM96" s="122">
        <v>33</v>
      </c>
    </row>
    <row r="97" spans="1:65" x14ac:dyDescent="0.25">
      <c r="A97" s="122" t="s">
        <v>230</v>
      </c>
      <c r="B97" s="122" t="s">
        <v>1839</v>
      </c>
      <c r="C97" s="122" t="s">
        <v>1840</v>
      </c>
      <c r="D97" s="122" t="s">
        <v>1841</v>
      </c>
      <c r="E97" s="123">
        <v>42219</v>
      </c>
      <c r="F97" s="122" t="s">
        <v>1842</v>
      </c>
      <c r="G97" s="122" t="s">
        <v>235</v>
      </c>
      <c r="H97" s="122" t="s">
        <v>1843</v>
      </c>
      <c r="I97" s="122" t="s">
        <v>1844</v>
      </c>
      <c r="J97" s="122" t="s">
        <v>1845</v>
      </c>
      <c r="K97" s="122" t="s">
        <v>472</v>
      </c>
      <c r="L97" s="122" t="s">
        <v>473</v>
      </c>
      <c r="M97" s="122" t="s">
        <v>1846</v>
      </c>
      <c r="O97" s="141" t="s">
        <v>916</v>
      </c>
      <c r="P97" s="141" t="s">
        <v>1847</v>
      </c>
      <c r="Q97" s="122" t="s">
        <v>243</v>
      </c>
      <c r="R97" s="142">
        <v>33</v>
      </c>
      <c r="S97" s="122" t="s">
        <v>1848</v>
      </c>
      <c r="U97" s="122" t="s">
        <v>1420</v>
      </c>
      <c r="W97" s="122" t="s">
        <v>246</v>
      </c>
      <c r="X97" s="122" t="s">
        <v>325</v>
      </c>
      <c r="Y97" s="141" t="s">
        <v>1125</v>
      </c>
      <c r="Z97" s="122" t="s">
        <v>1849</v>
      </c>
      <c r="AA97" s="141" t="s">
        <v>500</v>
      </c>
      <c r="AB97" s="122" t="s">
        <v>1849</v>
      </c>
      <c r="AC97" s="141" t="s">
        <v>635</v>
      </c>
      <c r="AD97" s="122" t="s">
        <v>1849</v>
      </c>
      <c r="AE97" s="122" t="s">
        <v>235</v>
      </c>
      <c r="AF97" s="122" t="s">
        <v>1850</v>
      </c>
      <c r="AG97" s="122" t="s">
        <v>537</v>
      </c>
      <c r="AH97" s="122" t="s">
        <v>253</v>
      </c>
      <c r="AI97" s="122" t="s">
        <v>1851</v>
      </c>
      <c r="AJ97" s="122" t="s">
        <v>1852</v>
      </c>
      <c r="AK97" s="122" t="s">
        <v>253</v>
      </c>
      <c r="AL97" s="122" t="s">
        <v>253</v>
      </c>
      <c r="AM97" s="122" t="s">
        <v>253</v>
      </c>
      <c r="AN97" s="122" t="s">
        <v>253</v>
      </c>
      <c r="AO97" s="141" t="s">
        <v>247</v>
      </c>
      <c r="AP97" s="141" t="s">
        <v>247</v>
      </c>
      <c r="AQ97" s="141" t="s">
        <v>247</v>
      </c>
      <c r="AR97" s="141" t="s">
        <v>253</v>
      </c>
      <c r="AS97" s="141" t="s">
        <v>601</v>
      </c>
      <c r="AT97" s="141" t="s">
        <v>601</v>
      </c>
      <c r="AU97" s="141" t="s">
        <v>258</v>
      </c>
      <c r="AV97" s="122" t="s">
        <v>259</v>
      </c>
      <c r="AW97" s="122" t="s">
        <v>260</v>
      </c>
      <c r="AY97" s="141" t="s">
        <v>253</v>
      </c>
      <c r="AZ97" s="122" t="s">
        <v>1853</v>
      </c>
      <c r="BA97" s="122" t="s">
        <v>262</v>
      </c>
      <c r="BB97" s="122" t="s">
        <v>1854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33</v>
      </c>
      <c r="BJ97" s="123">
        <v>42227</v>
      </c>
      <c r="BK97" s="139" t="s">
        <v>606</v>
      </c>
      <c r="BM97" s="122">
        <v>33</v>
      </c>
    </row>
    <row r="98" spans="1:65" x14ac:dyDescent="0.25">
      <c r="A98" s="122" t="s">
        <v>230</v>
      </c>
      <c r="B98" s="122" t="s">
        <v>1855</v>
      </c>
      <c r="C98" s="122" t="s">
        <v>1856</v>
      </c>
      <c r="D98" s="122" t="s">
        <v>1857</v>
      </c>
      <c r="E98" s="123">
        <v>42219</v>
      </c>
      <c r="F98" s="122" t="s">
        <v>819</v>
      </c>
      <c r="G98" s="122" t="s">
        <v>235</v>
      </c>
      <c r="H98" s="122" t="s">
        <v>448</v>
      </c>
      <c r="I98" s="122" t="s">
        <v>1858</v>
      </c>
      <c r="K98" s="122" t="s">
        <v>238</v>
      </c>
      <c r="L98" s="122" t="s">
        <v>297</v>
      </c>
      <c r="M98" s="122" t="s">
        <v>1579</v>
      </c>
      <c r="O98" s="141" t="s">
        <v>1240</v>
      </c>
      <c r="P98" s="141" t="s">
        <v>1859</v>
      </c>
      <c r="Q98" s="122" t="s">
        <v>243</v>
      </c>
      <c r="R98" s="142">
        <v>34</v>
      </c>
      <c r="S98" s="122" t="s">
        <v>1860</v>
      </c>
      <c r="U98" s="122" t="s">
        <v>1420</v>
      </c>
      <c r="W98" s="122" t="s">
        <v>246</v>
      </c>
      <c r="X98" s="122" t="s">
        <v>631</v>
      </c>
      <c r="Y98" s="141" t="s">
        <v>1090</v>
      </c>
      <c r="Z98" s="122" t="s">
        <v>355</v>
      </c>
      <c r="AB98" s="122" t="s">
        <v>250</v>
      </c>
      <c r="AD98" s="122" t="s">
        <v>250</v>
      </c>
      <c r="AE98" s="122" t="s">
        <v>235</v>
      </c>
      <c r="AF98" s="122" t="s">
        <v>1861</v>
      </c>
      <c r="AG98" s="122" t="s">
        <v>537</v>
      </c>
      <c r="AH98" s="122" t="s">
        <v>253</v>
      </c>
      <c r="AI98" s="122" t="s">
        <v>1862</v>
      </c>
      <c r="AJ98" s="122" t="s">
        <v>1863</v>
      </c>
      <c r="AK98" s="122" t="s">
        <v>1864</v>
      </c>
      <c r="AL98" s="122" t="s">
        <v>253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247</v>
      </c>
      <c r="AS98" s="141" t="s">
        <v>601</v>
      </c>
      <c r="AT98" s="141" t="s">
        <v>601</v>
      </c>
      <c r="AU98" s="141" t="s">
        <v>601</v>
      </c>
      <c r="AV98" s="122" t="s">
        <v>259</v>
      </c>
      <c r="AW98" s="122" t="s">
        <v>260</v>
      </c>
      <c r="AY98" s="141" t="s">
        <v>253</v>
      </c>
      <c r="AZ98" s="122" t="s">
        <v>262</v>
      </c>
      <c r="BA98" s="122" t="s">
        <v>262</v>
      </c>
      <c r="BB98" s="122" t="s">
        <v>1865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34</v>
      </c>
      <c r="BJ98" s="123">
        <v>42231</v>
      </c>
      <c r="BK98" s="139" t="s">
        <v>606</v>
      </c>
      <c r="BM98" s="122">
        <v>33</v>
      </c>
    </row>
    <row r="99" spans="1:65" x14ac:dyDescent="0.25">
      <c r="A99" s="122" t="s">
        <v>888</v>
      </c>
      <c r="B99" s="122" t="s">
        <v>1866</v>
      </c>
      <c r="C99" s="122" t="s">
        <v>1867</v>
      </c>
      <c r="D99" s="122" t="s">
        <v>1868</v>
      </c>
      <c r="E99" s="123">
        <v>42219</v>
      </c>
      <c r="F99" s="122" t="s">
        <v>1869</v>
      </c>
      <c r="G99" s="122" t="s">
        <v>235</v>
      </c>
      <c r="H99" s="122" t="s">
        <v>1870</v>
      </c>
      <c r="I99" s="122" t="s">
        <v>1871</v>
      </c>
      <c r="J99" s="122" t="s">
        <v>370</v>
      </c>
      <c r="K99" s="122" t="s">
        <v>238</v>
      </c>
      <c r="L99" s="122" t="s">
        <v>1872</v>
      </c>
      <c r="M99" s="122" t="s">
        <v>1873</v>
      </c>
      <c r="O99" s="141" t="s">
        <v>273</v>
      </c>
      <c r="P99" s="141" t="s">
        <v>1874</v>
      </c>
      <c r="Q99" s="122" t="s">
        <v>243</v>
      </c>
      <c r="R99" s="142">
        <v>35</v>
      </c>
      <c r="S99" s="122" t="s">
        <v>1875</v>
      </c>
      <c r="U99" s="122" t="s">
        <v>1420</v>
      </c>
      <c r="W99" s="122" t="s">
        <v>246</v>
      </c>
      <c r="X99" s="122" t="s">
        <v>739</v>
      </c>
      <c r="Y99" s="141" t="s">
        <v>1876</v>
      </c>
      <c r="Z99" s="122" t="s">
        <v>1877</v>
      </c>
      <c r="AA99" s="141" t="s">
        <v>1498</v>
      </c>
      <c r="AB99" s="122" t="s">
        <v>1878</v>
      </c>
      <c r="AC99" s="141" t="s">
        <v>985</v>
      </c>
      <c r="AD99" s="122" t="s">
        <v>1879</v>
      </c>
      <c r="AE99" s="122" t="s">
        <v>235</v>
      </c>
      <c r="AF99" s="122" t="s">
        <v>1880</v>
      </c>
      <c r="AG99" s="122" t="s">
        <v>1881</v>
      </c>
      <c r="AH99" s="122" t="s">
        <v>253</v>
      </c>
      <c r="AI99" s="122" t="s">
        <v>1882</v>
      </c>
      <c r="AJ99" s="122" t="s">
        <v>1883</v>
      </c>
      <c r="AK99" s="122" t="s">
        <v>253</v>
      </c>
      <c r="AL99" s="122" t="s">
        <v>253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247</v>
      </c>
      <c r="AR99" s="141" t="s">
        <v>253</v>
      </c>
      <c r="AS99" s="141" t="s">
        <v>601</v>
      </c>
      <c r="AT99" s="141" t="s">
        <v>601</v>
      </c>
      <c r="AU99" s="141" t="s">
        <v>258</v>
      </c>
      <c r="AV99" s="122" t="s">
        <v>259</v>
      </c>
      <c r="AW99" s="122" t="s">
        <v>260</v>
      </c>
      <c r="AY99" s="141" t="s">
        <v>253</v>
      </c>
      <c r="AZ99" s="122" t="s">
        <v>1884</v>
      </c>
      <c r="BA99" s="122" t="s">
        <v>262</v>
      </c>
      <c r="BB99" s="122" t="s">
        <v>262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35</v>
      </c>
      <c r="BJ99" s="123">
        <v>42233</v>
      </c>
      <c r="BK99" s="139" t="s">
        <v>606</v>
      </c>
      <c r="BM99" s="122">
        <v>34</v>
      </c>
    </row>
    <row r="100" spans="1:65" x14ac:dyDescent="0.25">
      <c r="A100" s="122" t="s">
        <v>888</v>
      </c>
      <c r="B100" s="122" t="s">
        <v>1885</v>
      </c>
      <c r="C100" s="122" t="s">
        <v>1886</v>
      </c>
      <c r="D100" s="122" t="s">
        <v>1887</v>
      </c>
      <c r="E100" s="123">
        <v>42219</v>
      </c>
      <c r="F100" s="122" t="s">
        <v>1888</v>
      </c>
      <c r="G100" s="122" t="s">
        <v>235</v>
      </c>
      <c r="H100" s="122" t="s">
        <v>1889</v>
      </c>
      <c r="I100" s="122" t="s">
        <v>1890</v>
      </c>
      <c r="K100" s="122" t="s">
        <v>238</v>
      </c>
      <c r="L100" s="122" t="s">
        <v>388</v>
      </c>
      <c r="M100" s="122" t="s">
        <v>1891</v>
      </c>
      <c r="O100" s="141" t="s">
        <v>373</v>
      </c>
      <c r="P100" s="141" t="s">
        <v>1892</v>
      </c>
      <c r="Q100" s="122" t="s">
        <v>243</v>
      </c>
      <c r="R100" s="142">
        <v>36</v>
      </c>
      <c r="S100" s="122" t="s">
        <v>1893</v>
      </c>
      <c r="U100" s="122" t="s">
        <v>1420</v>
      </c>
      <c r="W100" s="122" t="s">
        <v>246</v>
      </c>
      <c r="X100" s="122" t="s">
        <v>454</v>
      </c>
      <c r="Y100" s="141" t="s">
        <v>705</v>
      </c>
      <c r="Z100" s="122" t="s">
        <v>1894</v>
      </c>
      <c r="AA100" s="141" t="s">
        <v>356</v>
      </c>
      <c r="AB100" s="122" t="s">
        <v>1895</v>
      </c>
      <c r="AC100" s="141" t="s">
        <v>1896</v>
      </c>
      <c r="AD100" s="122" t="s">
        <v>355</v>
      </c>
      <c r="AE100" s="122" t="s">
        <v>235</v>
      </c>
      <c r="AF100" s="122" t="s">
        <v>1897</v>
      </c>
      <c r="AG100" s="122" t="s">
        <v>537</v>
      </c>
      <c r="AH100" s="122" t="s">
        <v>253</v>
      </c>
      <c r="AI100" s="122" t="s">
        <v>1898</v>
      </c>
      <c r="AJ100" s="122" t="s">
        <v>1899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247</v>
      </c>
      <c r="AP100" s="141" t="s">
        <v>253</v>
      </c>
      <c r="AQ100" s="141" t="s">
        <v>247</v>
      </c>
      <c r="AR100" s="141" t="s">
        <v>253</v>
      </c>
      <c r="AS100" s="141" t="s">
        <v>601</v>
      </c>
      <c r="AT100" s="141" t="s">
        <v>601</v>
      </c>
      <c r="AU100" s="141" t="s">
        <v>258</v>
      </c>
      <c r="AV100" s="122" t="s">
        <v>259</v>
      </c>
      <c r="AW100" s="122" t="s">
        <v>260</v>
      </c>
      <c r="AX100" s="141" t="s">
        <v>1900</v>
      </c>
      <c r="AY100" s="141" t="s">
        <v>376</v>
      </c>
      <c r="AZ100" s="122" t="s">
        <v>1901</v>
      </c>
      <c r="BA100" s="122" t="s">
        <v>262</v>
      </c>
      <c r="BB100" s="122" t="s">
        <v>1902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36</v>
      </c>
      <c r="BJ100" s="123">
        <v>42230</v>
      </c>
      <c r="BK100" s="139" t="s">
        <v>264</v>
      </c>
      <c r="BL100" s="140">
        <v>200</v>
      </c>
      <c r="BM100" s="122">
        <v>33</v>
      </c>
    </row>
    <row r="101" spans="1:65" x14ac:dyDescent="0.25">
      <c r="A101" s="122" t="s">
        <v>888</v>
      </c>
      <c r="B101" s="122" t="s">
        <v>1903</v>
      </c>
      <c r="C101" s="122" t="s">
        <v>1904</v>
      </c>
      <c r="D101" s="122" t="s">
        <v>1905</v>
      </c>
      <c r="E101" s="123">
        <v>42219</v>
      </c>
      <c r="F101" s="122" t="s">
        <v>281</v>
      </c>
      <c r="G101" s="122" t="s">
        <v>235</v>
      </c>
      <c r="H101" s="122" t="s">
        <v>448</v>
      </c>
      <c r="I101" s="122" t="s">
        <v>1906</v>
      </c>
      <c r="K101" s="122" t="s">
        <v>238</v>
      </c>
      <c r="L101" s="122" t="s">
        <v>271</v>
      </c>
      <c r="M101" s="122" t="s">
        <v>1907</v>
      </c>
      <c r="O101" s="141" t="s">
        <v>548</v>
      </c>
      <c r="P101" s="141" t="s">
        <v>1908</v>
      </c>
      <c r="Q101" s="122" t="s">
        <v>243</v>
      </c>
      <c r="R101" s="142">
        <v>37</v>
      </c>
      <c r="S101" s="122" t="s">
        <v>1909</v>
      </c>
      <c r="U101" s="122" t="s">
        <v>1420</v>
      </c>
      <c r="W101" s="122" t="s">
        <v>246</v>
      </c>
      <c r="X101" s="122" t="s">
        <v>1643</v>
      </c>
      <c r="Z101" s="122" t="s">
        <v>250</v>
      </c>
      <c r="AB101" s="122" t="s">
        <v>250</v>
      </c>
      <c r="AD101" s="122" t="s">
        <v>250</v>
      </c>
      <c r="AE101" s="122" t="s">
        <v>235</v>
      </c>
      <c r="AF101" s="122" t="s">
        <v>1910</v>
      </c>
      <c r="AG101" s="122" t="s">
        <v>537</v>
      </c>
      <c r="AH101" s="122" t="s">
        <v>253</v>
      </c>
      <c r="AI101" s="122" t="s">
        <v>1911</v>
      </c>
      <c r="AJ101" s="122" t="s">
        <v>1912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253</v>
      </c>
      <c r="AS101" s="141" t="s">
        <v>601</v>
      </c>
      <c r="AT101" s="141" t="s">
        <v>601</v>
      </c>
      <c r="AU101" s="141" t="s">
        <v>258</v>
      </c>
      <c r="AV101" s="122" t="s">
        <v>259</v>
      </c>
      <c r="AW101" s="122" t="s">
        <v>260</v>
      </c>
      <c r="AY101" s="141" t="s">
        <v>253</v>
      </c>
      <c r="AZ101" s="122" t="s">
        <v>262</v>
      </c>
      <c r="BA101" s="122" t="s">
        <v>262</v>
      </c>
      <c r="BB101" s="122" t="s">
        <v>262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37</v>
      </c>
      <c r="BJ101" s="123">
        <v>42230</v>
      </c>
      <c r="BK101" s="139" t="s">
        <v>606</v>
      </c>
      <c r="BM101" s="122">
        <v>33</v>
      </c>
    </row>
    <row r="102" spans="1:65" x14ac:dyDescent="0.25">
      <c r="A102" s="122" t="s">
        <v>888</v>
      </c>
      <c r="B102" s="122" t="s">
        <v>1913</v>
      </c>
      <c r="C102" s="122" t="s">
        <v>1914</v>
      </c>
      <c r="D102" s="122" t="s">
        <v>1915</v>
      </c>
      <c r="E102" s="123">
        <v>42219</v>
      </c>
      <c r="F102" s="122" t="s">
        <v>1916</v>
      </c>
      <c r="G102" s="122" t="s">
        <v>235</v>
      </c>
      <c r="H102" s="122" t="s">
        <v>1917</v>
      </c>
      <c r="I102" s="122" t="s">
        <v>1918</v>
      </c>
      <c r="J102" s="122" t="s">
        <v>1919</v>
      </c>
      <c r="K102" s="122" t="s">
        <v>238</v>
      </c>
      <c r="L102" s="122" t="s">
        <v>297</v>
      </c>
      <c r="M102" s="122" t="s">
        <v>1920</v>
      </c>
      <c r="O102" s="141" t="s">
        <v>1921</v>
      </c>
      <c r="P102" s="141" t="s">
        <v>1922</v>
      </c>
      <c r="Q102" s="122" t="s">
        <v>243</v>
      </c>
      <c r="R102" s="142">
        <v>38</v>
      </c>
      <c r="S102" s="122" t="s">
        <v>1923</v>
      </c>
      <c r="T102" s="122" t="s">
        <v>1924</v>
      </c>
      <c r="U102" s="122" t="s">
        <v>1420</v>
      </c>
      <c r="W102" s="122" t="s">
        <v>246</v>
      </c>
      <c r="X102" s="122" t="s">
        <v>376</v>
      </c>
      <c r="Y102" s="141" t="s">
        <v>1596</v>
      </c>
      <c r="Z102" s="122" t="s">
        <v>1925</v>
      </c>
      <c r="AA102" s="141" t="s">
        <v>1926</v>
      </c>
      <c r="AB102" s="122" t="s">
        <v>1925</v>
      </c>
      <c r="AC102" s="141" t="s">
        <v>1927</v>
      </c>
      <c r="AD102" s="122" t="s">
        <v>1928</v>
      </c>
      <c r="AE102" s="122" t="s">
        <v>235</v>
      </c>
      <c r="AF102" s="122" t="s">
        <v>1929</v>
      </c>
      <c r="AG102" s="122" t="s">
        <v>537</v>
      </c>
      <c r="AH102" s="122" t="s">
        <v>253</v>
      </c>
      <c r="AI102" s="122" t="s">
        <v>1930</v>
      </c>
      <c r="AJ102" s="122" t="s">
        <v>1931</v>
      </c>
      <c r="AK102" s="122" t="s">
        <v>253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247</v>
      </c>
      <c r="AQ102" s="141" t="s">
        <v>247</v>
      </c>
      <c r="AR102" s="141" t="s">
        <v>253</v>
      </c>
      <c r="AS102" s="141" t="s">
        <v>601</v>
      </c>
      <c r="AT102" s="141" t="s">
        <v>601</v>
      </c>
      <c r="AU102" s="141" t="s">
        <v>258</v>
      </c>
      <c r="AV102" s="122" t="s">
        <v>259</v>
      </c>
      <c r="AW102" s="122" t="s">
        <v>260</v>
      </c>
      <c r="AY102" s="141" t="s">
        <v>253</v>
      </c>
      <c r="AZ102" s="122" t="s">
        <v>1932</v>
      </c>
      <c r="BA102" s="122" t="s">
        <v>262</v>
      </c>
      <c r="BB102" s="122" t="s">
        <v>1933</v>
      </c>
      <c r="BC102" s="141" t="s">
        <v>312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38</v>
      </c>
      <c r="BJ102" s="123">
        <v>42231</v>
      </c>
      <c r="BK102" s="139" t="s">
        <v>606</v>
      </c>
      <c r="BM102" s="122">
        <v>33</v>
      </c>
    </row>
    <row r="103" spans="1:65" x14ac:dyDescent="0.25">
      <c r="A103" s="122" t="s">
        <v>888</v>
      </c>
      <c r="B103" s="122" t="s">
        <v>1934</v>
      </c>
      <c r="C103" s="122" t="s">
        <v>1935</v>
      </c>
      <c r="D103" s="122" t="s">
        <v>1936</v>
      </c>
      <c r="E103" s="123">
        <v>42219</v>
      </c>
      <c r="F103" s="122" t="s">
        <v>1258</v>
      </c>
      <c r="G103" s="122" t="s">
        <v>235</v>
      </c>
      <c r="H103" s="122" t="s">
        <v>1937</v>
      </c>
      <c r="I103" s="122" t="s">
        <v>1938</v>
      </c>
      <c r="J103" s="122" t="s">
        <v>1939</v>
      </c>
      <c r="K103" s="122" t="s">
        <v>238</v>
      </c>
      <c r="L103" s="122" t="s">
        <v>429</v>
      </c>
      <c r="M103" s="122" t="s">
        <v>779</v>
      </c>
      <c r="O103" s="141" t="s">
        <v>548</v>
      </c>
      <c r="P103" s="141" t="s">
        <v>1940</v>
      </c>
      <c r="Q103" s="122" t="s">
        <v>243</v>
      </c>
      <c r="R103" s="142">
        <v>39</v>
      </c>
      <c r="S103" s="122" t="s">
        <v>1941</v>
      </c>
      <c r="U103" s="122" t="s">
        <v>1420</v>
      </c>
      <c r="W103" s="122" t="s">
        <v>246</v>
      </c>
      <c r="X103" s="122" t="s">
        <v>603</v>
      </c>
      <c r="Z103" s="122" t="s">
        <v>250</v>
      </c>
      <c r="AB103" s="122" t="s">
        <v>250</v>
      </c>
      <c r="AD103" s="122" t="s">
        <v>250</v>
      </c>
      <c r="AE103" s="122" t="s">
        <v>235</v>
      </c>
      <c r="AF103" s="122" t="s">
        <v>1942</v>
      </c>
      <c r="AG103" s="122" t="s">
        <v>253</v>
      </c>
      <c r="AH103" s="122" t="s">
        <v>1214</v>
      </c>
      <c r="AI103" s="122" t="s">
        <v>1943</v>
      </c>
      <c r="AJ103" s="122" t="s">
        <v>1944</v>
      </c>
      <c r="AK103" s="122" t="s">
        <v>1945</v>
      </c>
      <c r="AL103" s="122" t="s">
        <v>253</v>
      </c>
      <c r="AM103" s="122" t="s">
        <v>253</v>
      </c>
      <c r="AN103" s="122" t="s">
        <v>253</v>
      </c>
      <c r="AO103" s="141" t="s">
        <v>247</v>
      </c>
      <c r="AP103" s="141" t="s">
        <v>247</v>
      </c>
      <c r="AQ103" s="141" t="s">
        <v>247</v>
      </c>
      <c r="AR103" s="141" t="s">
        <v>247</v>
      </c>
      <c r="AS103" s="141" t="s">
        <v>601</v>
      </c>
      <c r="AT103" s="141" t="s">
        <v>601</v>
      </c>
      <c r="AU103" s="141" t="s">
        <v>601</v>
      </c>
      <c r="AV103" s="122" t="s">
        <v>259</v>
      </c>
      <c r="AW103" s="122" t="s">
        <v>260</v>
      </c>
      <c r="AY103" s="141" t="s">
        <v>253</v>
      </c>
      <c r="AZ103" s="122" t="s">
        <v>1946</v>
      </c>
      <c r="BA103" s="122" t="s">
        <v>262</v>
      </c>
      <c r="BB103" s="122" t="s">
        <v>262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39</v>
      </c>
      <c r="BJ103" s="123">
        <v>42230</v>
      </c>
      <c r="BK103" s="139" t="s">
        <v>606</v>
      </c>
      <c r="BM103" s="122">
        <v>33</v>
      </c>
    </row>
    <row r="104" spans="1:65" x14ac:dyDescent="0.25">
      <c r="A104" s="122" t="s">
        <v>888</v>
      </c>
      <c r="B104" s="122" t="s">
        <v>1947</v>
      </c>
      <c r="C104" s="122" t="s">
        <v>1948</v>
      </c>
      <c r="D104" s="122" t="s">
        <v>1949</v>
      </c>
      <c r="E104" s="123">
        <v>42219</v>
      </c>
      <c r="F104" s="122" t="s">
        <v>707</v>
      </c>
      <c r="G104" s="122" t="s">
        <v>235</v>
      </c>
      <c r="H104" s="122" t="s">
        <v>1950</v>
      </c>
      <c r="I104" s="122" t="s">
        <v>1951</v>
      </c>
      <c r="K104" s="122" t="s">
        <v>238</v>
      </c>
      <c r="L104" s="122" t="s">
        <v>388</v>
      </c>
      <c r="M104" s="122" t="s">
        <v>1624</v>
      </c>
      <c r="N104" s="122" t="s">
        <v>1952</v>
      </c>
      <c r="O104" s="141" t="s">
        <v>548</v>
      </c>
      <c r="P104" s="141" t="s">
        <v>1953</v>
      </c>
      <c r="Q104" s="122" t="s">
        <v>243</v>
      </c>
      <c r="R104" s="142">
        <v>40</v>
      </c>
      <c r="S104" s="122" t="s">
        <v>1954</v>
      </c>
      <c r="U104" s="122" t="s">
        <v>1420</v>
      </c>
      <c r="W104" s="122" t="s">
        <v>246</v>
      </c>
      <c r="X104" s="122" t="s">
        <v>247</v>
      </c>
      <c r="Z104" s="122" t="s">
        <v>250</v>
      </c>
      <c r="AB104" s="122" t="s">
        <v>250</v>
      </c>
      <c r="AD104" s="122" t="s">
        <v>250</v>
      </c>
      <c r="AE104" s="122" t="s">
        <v>235</v>
      </c>
      <c r="AF104" s="122" t="s">
        <v>1955</v>
      </c>
      <c r="AG104" s="122" t="s">
        <v>253</v>
      </c>
      <c r="AH104" s="122" t="s">
        <v>253</v>
      </c>
      <c r="AI104" s="122" t="s">
        <v>1956</v>
      </c>
      <c r="AJ104" s="122" t="s">
        <v>1957</v>
      </c>
      <c r="AK104" s="122" t="s">
        <v>1958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247</v>
      </c>
      <c r="AS104" s="141" t="s">
        <v>601</v>
      </c>
      <c r="AT104" s="141" t="s">
        <v>601</v>
      </c>
      <c r="AU104" s="141" t="s">
        <v>601</v>
      </c>
      <c r="AV104" s="122" t="s">
        <v>259</v>
      </c>
      <c r="AW104" s="122" t="s">
        <v>260</v>
      </c>
      <c r="AY104" s="141" t="s">
        <v>253</v>
      </c>
      <c r="AZ104" s="122" t="s">
        <v>1959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40</v>
      </c>
      <c r="BJ104" s="123">
        <v>42233</v>
      </c>
      <c r="BK104" s="139" t="s">
        <v>606</v>
      </c>
      <c r="BM104" s="122">
        <v>34</v>
      </c>
    </row>
    <row r="105" spans="1:65" x14ac:dyDescent="0.25">
      <c r="A105" s="122" t="s">
        <v>888</v>
      </c>
      <c r="B105" s="122" t="s">
        <v>1960</v>
      </c>
      <c r="C105" s="122" t="s">
        <v>1961</v>
      </c>
      <c r="D105" s="122" t="s">
        <v>1962</v>
      </c>
      <c r="E105" s="123">
        <v>42219</v>
      </c>
      <c r="F105" s="122" t="s">
        <v>1963</v>
      </c>
      <c r="G105" s="122" t="s">
        <v>235</v>
      </c>
      <c r="H105" s="122" t="s">
        <v>448</v>
      </c>
      <c r="I105" s="122" t="s">
        <v>1964</v>
      </c>
      <c r="K105" s="122" t="s">
        <v>238</v>
      </c>
      <c r="L105" s="122" t="s">
        <v>271</v>
      </c>
      <c r="M105" s="122" t="s">
        <v>1965</v>
      </c>
      <c r="O105" s="141" t="s">
        <v>299</v>
      </c>
      <c r="P105" s="141" t="s">
        <v>1966</v>
      </c>
      <c r="Q105" s="122" t="s">
        <v>243</v>
      </c>
      <c r="R105" s="142">
        <v>41</v>
      </c>
      <c r="S105" s="122" t="s">
        <v>1967</v>
      </c>
      <c r="U105" s="122" t="s">
        <v>1420</v>
      </c>
      <c r="W105" s="122" t="s">
        <v>246</v>
      </c>
      <c r="X105" s="122" t="s">
        <v>739</v>
      </c>
      <c r="Y105" s="141" t="s">
        <v>535</v>
      </c>
      <c r="Z105" s="122" t="s">
        <v>1968</v>
      </c>
      <c r="AA105" s="141" t="s">
        <v>1969</v>
      </c>
      <c r="AB105" s="122" t="s">
        <v>1091</v>
      </c>
      <c r="AC105" s="141" t="s">
        <v>1679</v>
      </c>
      <c r="AD105" s="122" t="s">
        <v>1968</v>
      </c>
      <c r="AE105" s="122" t="s">
        <v>235</v>
      </c>
      <c r="AF105" s="122" t="s">
        <v>1970</v>
      </c>
      <c r="AG105" s="122" t="s">
        <v>537</v>
      </c>
      <c r="AH105" s="122" t="s">
        <v>253</v>
      </c>
      <c r="AI105" s="122" t="s">
        <v>1971</v>
      </c>
      <c r="AJ105" s="122" t="s">
        <v>1971</v>
      </c>
      <c r="AK105" s="122" t="s">
        <v>253</v>
      </c>
      <c r="AL105" s="122" t="s">
        <v>253</v>
      </c>
      <c r="AM105" s="122" t="s">
        <v>253</v>
      </c>
      <c r="AN105" s="122" t="s">
        <v>253</v>
      </c>
      <c r="AO105" s="141" t="s">
        <v>253</v>
      </c>
      <c r="AP105" s="141" t="s">
        <v>253</v>
      </c>
      <c r="AQ105" s="141" t="s">
        <v>247</v>
      </c>
      <c r="AR105" s="141" t="s">
        <v>253</v>
      </c>
      <c r="AS105" s="141" t="s">
        <v>361</v>
      </c>
      <c r="AT105" s="141" t="s">
        <v>601</v>
      </c>
      <c r="AU105" s="141" t="s">
        <v>258</v>
      </c>
      <c r="AV105" s="122" t="s">
        <v>259</v>
      </c>
      <c r="AW105" s="122" t="s">
        <v>260</v>
      </c>
      <c r="AY105" s="141" t="s">
        <v>253</v>
      </c>
      <c r="AZ105" s="122" t="s">
        <v>262</v>
      </c>
      <c r="BA105" s="122" t="s">
        <v>262</v>
      </c>
      <c r="BB105" s="122" t="s">
        <v>1972</v>
      </c>
      <c r="BC105" s="141" t="s">
        <v>312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41</v>
      </c>
      <c r="BJ105" s="123">
        <v>42230</v>
      </c>
      <c r="BK105" s="139" t="s">
        <v>606</v>
      </c>
      <c r="BM105" s="122">
        <v>33</v>
      </c>
    </row>
    <row r="106" spans="1:65" x14ac:dyDescent="0.25">
      <c r="A106" s="122" t="s">
        <v>888</v>
      </c>
      <c r="B106" s="122" t="s">
        <v>1973</v>
      </c>
      <c r="C106" s="122" t="s">
        <v>1974</v>
      </c>
      <c r="D106" s="122" t="s">
        <v>1975</v>
      </c>
      <c r="E106" s="123">
        <v>42219</v>
      </c>
      <c r="F106" s="122" t="s">
        <v>1976</v>
      </c>
      <c r="G106" s="122" t="s">
        <v>235</v>
      </c>
      <c r="H106" s="122" t="s">
        <v>1977</v>
      </c>
      <c r="I106" s="122" t="s">
        <v>1978</v>
      </c>
      <c r="K106" s="122" t="s">
        <v>238</v>
      </c>
      <c r="L106" s="122" t="s">
        <v>1872</v>
      </c>
      <c r="M106" s="122" t="s">
        <v>1979</v>
      </c>
      <c r="Q106" s="122" t="s">
        <v>243</v>
      </c>
      <c r="R106" s="142">
        <v>42</v>
      </c>
      <c r="S106" s="122" t="s">
        <v>1980</v>
      </c>
      <c r="U106" s="122" t="s">
        <v>1420</v>
      </c>
      <c r="W106" s="122" t="s">
        <v>246</v>
      </c>
      <c r="X106" s="122" t="s">
        <v>603</v>
      </c>
      <c r="Y106" s="141" t="s">
        <v>1289</v>
      </c>
      <c r="Z106" s="122" t="s">
        <v>723</v>
      </c>
      <c r="AA106" s="141" t="s">
        <v>763</v>
      </c>
      <c r="AB106" s="122" t="s">
        <v>723</v>
      </c>
      <c r="AC106" s="141" t="s">
        <v>1981</v>
      </c>
      <c r="AD106" s="122" t="s">
        <v>723</v>
      </c>
      <c r="AE106" s="122" t="s">
        <v>235</v>
      </c>
      <c r="AF106" s="122" t="s">
        <v>1982</v>
      </c>
      <c r="AG106" s="122" t="s">
        <v>253</v>
      </c>
      <c r="AH106" s="122" t="s">
        <v>253</v>
      </c>
      <c r="AI106" s="122" t="s">
        <v>1983</v>
      </c>
      <c r="AJ106" s="122" t="s">
        <v>619</v>
      </c>
      <c r="AK106" s="122" t="s">
        <v>1984</v>
      </c>
      <c r="AL106" s="122" t="s">
        <v>253</v>
      </c>
      <c r="AM106" s="122" t="s">
        <v>253</v>
      </c>
      <c r="AN106" s="122" t="s">
        <v>253</v>
      </c>
      <c r="AO106" s="141" t="s">
        <v>247</v>
      </c>
      <c r="AP106" s="141" t="s">
        <v>253</v>
      </c>
      <c r="AQ106" s="141" t="s">
        <v>253</v>
      </c>
      <c r="AR106" s="141" t="s">
        <v>253</v>
      </c>
      <c r="AS106" s="141" t="s">
        <v>601</v>
      </c>
      <c r="AT106" s="141" t="s">
        <v>258</v>
      </c>
      <c r="AU106" s="141" t="s">
        <v>258</v>
      </c>
      <c r="AV106" s="122" t="s">
        <v>259</v>
      </c>
      <c r="AW106" s="122" t="s">
        <v>260</v>
      </c>
      <c r="AY106" s="141" t="s">
        <v>253</v>
      </c>
      <c r="AZ106" s="122" t="s">
        <v>1985</v>
      </c>
      <c r="BA106" s="122" t="s">
        <v>262</v>
      </c>
      <c r="BB106" s="122" t="s">
        <v>262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42</v>
      </c>
      <c r="BJ106" s="123">
        <v>42233</v>
      </c>
      <c r="BK106" s="139" t="s">
        <v>606</v>
      </c>
      <c r="BM106" s="122">
        <v>34</v>
      </c>
    </row>
    <row r="107" spans="1:65" x14ac:dyDescent="0.25">
      <c r="A107" s="122" t="s">
        <v>888</v>
      </c>
      <c r="B107" s="122" t="s">
        <v>1986</v>
      </c>
      <c r="C107" s="122" t="s">
        <v>1987</v>
      </c>
      <c r="D107" s="122" t="s">
        <v>1988</v>
      </c>
      <c r="E107" s="123">
        <v>42219</v>
      </c>
      <c r="F107" s="122" t="s">
        <v>1989</v>
      </c>
      <c r="G107" s="122" t="s">
        <v>235</v>
      </c>
      <c r="H107" s="122" t="s">
        <v>1990</v>
      </c>
      <c r="I107" s="122" t="s">
        <v>1623</v>
      </c>
      <c r="J107" s="122" t="s">
        <v>370</v>
      </c>
      <c r="K107" s="122" t="s">
        <v>238</v>
      </c>
      <c r="L107" s="122" t="s">
        <v>388</v>
      </c>
      <c r="M107" s="122" t="s">
        <v>1624</v>
      </c>
      <c r="N107" s="122" t="s">
        <v>1625</v>
      </c>
      <c r="O107" s="141" t="s">
        <v>1991</v>
      </c>
      <c r="P107" s="141" t="s">
        <v>1992</v>
      </c>
      <c r="Q107" s="122" t="s">
        <v>243</v>
      </c>
      <c r="R107" s="142">
        <v>43</v>
      </c>
      <c r="S107" s="122" t="s">
        <v>1993</v>
      </c>
      <c r="U107" s="122" t="s">
        <v>1420</v>
      </c>
      <c r="W107" s="122" t="s">
        <v>246</v>
      </c>
      <c r="X107" s="122" t="s">
        <v>454</v>
      </c>
      <c r="Y107" s="141" t="s">
        <v>705</v>
      </c>
      <c r="Z107" s="122" t="s">
        <v>305</v>
      </c>
      <c r="AA107" s="141" t="s">
        <v>457</v>
      </c>
      <c r="AB107" s="122" t="s">
        <v>1091</v>
      </c>
      <c r="AC107" s="141" t="s">
        <v>1896</v>
      </c>
      <c r="AD107" s="122" t="s">
        <v>1994</v>
      </c>
      <c r="AE107" s="122" t="s">
        <v>235</v>
      </c>
      <c r="AF107" s="122" t="s">
        <v>1995</v>
      </c>
      <c r="AG107" s="122" t="s">
        <v>537</v>
      </c>
      <c r="AH107" s="122" t="s">
        <v>253</v>
      </c>
      <c r="AI107" s="122" t="s">
        <v>1996</v>
      </c>
      <c r="AJ107" s="122" t="s">
        <v>1997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247</v>
      </c>
      <c r="AQ107" s="141" t="s">
        <v>253</v>
      </c>
      <c r="AR107" s="141" t="s">
        <v>253</v>
      </c>
      <c r="AS107" s="141" t="s">
        <v>601</v>
      </c>
      <c r="AT107" s="141" t="s">
        <v>258</v>
      </c>
      <c r="AU107" s="141" t="s">
        <v>258</v>
      </c>
      <c r="AV107" s="122" t="s">
        <v>259</v>
      </c>
      <c r="AW107" s="122" t="s">
        <v>260</v>
      </c>
      <c r="AY107" s="141" t="s">
        <v>253</v>
      </c>
      <c r="AZ107" s="122" t="s">
        <v>1998</v>
      </c>
      <c r="BA107" s="122" t="s">
        <v>262</v>
      </c>
      <c r="BB107" s="122" t="s">
        <v>1999</v>
      </c>
      <c r="BC107" s="141" t="s">
        <v>312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43</v>
      </c>
      <c r="BJ107" s="123">
        <v>42226</v>
      </c>
      <c r="BK107" s="139" t="s">
        <v>264</v>
      </c>
      <c r="BL107" s="140">
        <v>100</v>
      </c>
      <c r="BM107" s="122">
        <v>33</v>
      </c>
    </row>
    <row r="108" spans="1:65" x14ac:dyDescent="0.25">
      <c r="A108" s="122" t="s">
        <v>888</v>
      </c>
      <c r="B108" s="122" t="s">
        <v>2000</v>
      </c>
      <c r="C108" s="122" t="s">
        <v>2001</v>
      </c>
      <c r="D108" s="122" t="s">
        <v>2002</v>
      </c>
      <c r="E108" s="123">
        <v>42219</v>
      </c>
      <c r="F108" s="122" t="s">
        <v>1738</v>
      </c>
      <c r="G108" s="122" t="s">
        <v>235</v>
      </c>
      <c r="H108" s="122" t="s">
        <v>2003</v>
      </c>
      <c r="I108" s="122" t="s">
        <v>2004</v>
      </c>
      <c r="J108" s="122" t="s">
        <v>2005</v>
      </c>
      <c r="K108" s="122" t="s">
        <v>238</v>
      </c>
      <c r="L108" s="122" t="s">
        <v>297</v>
      </c>
      <c r="M108" s="122" t="s">
        <v>2006</v>
      </c>
      <c r="O108" s="141" t="s">
        <v>451</v>
      </c>
      <c r="P108" s="141" t="s">
        <v>2007</v>
      </c>
      <c r="Q108" s="122" t="s">
        <v>243</v>
      </c>
      <c r="R108" s="142">
        <v>44</v>
      </c>
      <c r="S108" s="122" t="s">
        <v>2008</v>
      </c>
      <c r="U108" s="122" t="s">
        <v>1420</v>
      </c>
      <c r="W108" s="122" t="s">
        <v>246</v>
      </c>
      <c r="X108" s="122" t="s">
        <v>325</v>
      </c>
      <c r="Y108" s="141" t="s">
        <v>593</v>
      </c>
      <c r="Z108" s="122" t="s">
        <v>2009</v>
      </c>
      <c r="AA108" s="141" t="s">
        <v>2010</v>
      </c>
      <c r="AB108" s="122" t="s">
        <v>2011</v>
      </c>
      <c r="AC108" s="141" t="s">
        <v>670</v>
      </c>
      <c r="AD108" s="122" t="s">
        <v>1326</v>
      </c>
      <c r="AE108" s="122" t="s">
        <v>235</v>
      </c>
      <c r="AF108" s="122" t="s">
        <v>2012</v>
      </c>
      <c r="AG108" s="122" t="s">
        <v>438</v>
      </c>
      <c r="AH108" s="122" t="s">
        <v>253</v>
      </c>
      <c r="AI108" s="122" t="s">
        <v>2013</v>
      </c>
      <c r="AJ108" s="122" t="s">
        <v>253</v>
      </c>
      <c r="AK108" s="122" t="s">
        <v>2014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247</v>
      </c>
      <c r="AQ108" s="141" t="s">
        <v>247</v>
      </c>
      <c r="AR108" s="141" t="s">
        <v>247</v>
      </c>
      <c r="AS108" s="141" t="s">
        <v>601</v>
      </c>
      <c r="AT108" s="141" t="s">
        <v>601</v>
      </c>
      <c r="AU108" s="141" t="s">
        <v>601</v>
      </c>
      <c r="AV108" s="122" t="s">
        <v>259</v>
      </c>
      <c r="AW108" s="122" t="s">
        <v>260</v>
      </c>
      <c r="AX108" s="141" t="s">
        <v>602</v>
      </c>
      <c r="AY108" s="141" t="s">
        <v>247</v>
      </c>
      <c r="AZ108" s="122" t="s">
        <v>2015</v>
      </c>
      <c r="BA108" s="122" t="s">
        <v>262</v>
      </c>
      <c r="BB108" s="122" t="s">
        <v>262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44</v>
      </c>
      <c r="BJ108" s="123">
        <v>42233</v>
      </c>
      <c r="BK108" s="139" t="s">
        <v>606</v>
      </c>
      <c r="BM108" s="122">
        <v>34</v>
      </c>
    </row>
    <row r="109" spans="1:65" x14ac:dyDescent="0.25">
      <c r="A109" s="122" t="s">
        <v>404</v>
      </c>
      <c r="B109" s="122" t="s">
        <v>2016</v>
      </c>
      <c r="C109" s="122" t="s">
        <v>2017</v>
      </c>
      <c r="D109" s="122" t="s">
        <v>2018</v>
      </c>
      <c r="E109" s="123">
        <v>42219</v>
      </c>
      <c r="F109" s="122" t="s">
        <v>1484</v>
      </c>
      <c r="G109" s="122" t="s">
        <v>235</v>
      </c>
      <c r="H109" s="122" t="s">
        <v>2019</v>
      </c>
      <c r="I109" s="122" t="s">
        <v>2020</v>
      </c>
      <c r="K109" s="122" t="s">
        <v>238</v>
      </c>
      <c r="L109" s="122" t="s">
        <v>297</v>
      </c>
      <c r="M109" s="122" t="s">
        <v>2021</v>
      </c>
      <c r="O109" s="141" t="s">
        <v>373</v>
      </c>
      <c r="P109" s="141" t="s">
        <v>2022</v>
      </c>
      <c r="Q109" s="122" t="s">
        <v>243</v>
      </c>
      <c r="R109" s="142">
        <v>45</v>
      </c>
      <c r="S109" s="122" t="s">
        <v>2023</v>
      </c>
      <c r="U109" s="122" t="s">
        <v>1420</v>
      </c>
      <c r="W109" s="122" t="s">
        <v>246</v>
      </c>
      <c r="X109" s="122" t="s">
        <v>302</v>
      </c>
      <c r="Y109" s="141" t="s">
        <v>593</v>
      </c>
      <c r="Z109" s="122" t="s">
        <v>741</v>
      </c>
      <c r="AA109" s="141" t="s">
        <v>1260</v>
      </c>
      <c r="AB109" s="122" t="s">
        <v>2024</v>
      </c>
      <c r="AC109" s="141" t="s">
        <v>1679</v>
      </c>
      <c r="AD109" s="122" t="s">
        <v>2025</v>
      </c>
      <c r="AE109" s="122" t="s">
        <v>235</v>
      </c>
      <c r="AF109" s="122" t="s">
        <v>2026</v>
      </c>
      <c r="AG109" s="122" t="s">
        <v>747</v>
      </c>
      <c r="AH109" s="122" t="s">
        <v>253</v>
      </c>
      <c r="AI109" s="122" t="s">
        <v>2027</v>
      </c>
      <c r="AJ109" s="122" t="s">
        <v>2028</v>
      </c>
      <c r="AK109" s="122" t="s">
        <v>253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253</v>
      </c>
      <c r="AS109" s="141" t="s">
        <v>601</v>
      </c>
      <c r="AT109" s="141" t="s">
        <v>601</v>
      </c>
      <c r="AU109" s="141" t="s">
        <v>258</v>
      </c>
      <c r="AV109" s="122" t="s">
        <v>259</v>
      </c>
      <c r="AW109" s="122" t="s">
        <v>260</v>
      </c>
      <c r="AX109" s="141" t="s">
        <v>2029</v>
      </c>
      <c r="AY109" s="141" t="s">
        <v>603</v>
      </c>
      <c r="AZ109" s="122" t="s">
        <v>2030</v>
      </c>
      <c r="BA109" s="122" t="s">
        <v>262</v>
      </c>
      <c r="BB109" s="122" t="s">
        <v>262</v>
      </c>
      <c r="BC109" s="141" t="s">
        <v>312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45</v>
      </c>
      <c r="BJ109" s="123">
        <v>42231</v>
      </c>
      <c r="BK109" s="139" t="s">
        <v>606</v>
      </c>
      <c r="BM109" s="122">
        <v>33</v>
      </c>
    </row>
    <row r="110" spans="1:65" x14ac:dyDescent="0.25">
      <c r="A110" s="122" t="s">
        <v>404</v>
      </c>
      <c r="B110" s="122" t="s">
        <v>2031</v>
      </c>
      <c r="C110" s="122" t="s">
        <v>2032</v>
      </c>
      <c r="D110" s="122" t="s">
        <v>2033</v>
      </c>
      <c r="E110" s="123">
        <v>42219</v>
      </c>
      <c r="F110" s="122" t="s">
        <v>2034</v>
      </c>
      <c r="G110" s="122" t="s">
        <v>235</v>
      </c>
      <c r="H110" s="122" t="s">
        <v>2035</v>
      </c>
      <c r="I110" s="122" t="s">
        <v>2036</v>
      </c>
      <c r="K110" s="122" t="s">
        <v>238</v>
      </c>
      <c r="L110" s="122" t="s">
        <v>297</v>
      </c>
      <c r="M110" s="122" t="s">
        <v>2006</v>
      </c>
      <c r="N110" s="122" t="s">
        <v>2037</v>
      </c>
      <c r="O110" s="141" t="s">
        <v>2038</v>
      </c>
      <c r="P110" s="141" t="s">
        <v>2039</v>
      </c>
      <c r="Q110" s="122" t="s">
        <v>243</v>
      </c>
      <c r="R110" s="142">
        <v>46</v>
      </c>
      <c r="S110" s="122" t="s">
        <v>2040</v>
      </c>
      <c r="U110" s="122" t="s">
        <v>1420</v>
      </c>
      <c r="W110" s="122" t="s">
        <v>246</v>
      </c>
      <c r="X110" s="122" t="s">
        <v>631</v>
      </c>
      <c r="Y110" s="141" t="s">
        <v>1440</v>
      </c>
      <c r="Z110" s="122" t="s">
        <v>2041</v>
      </c>
      <c r="AA110" s="141" t="s">
        <v>1291</v>
      </c>
      <c r="AB110" s="122" t="s">
        <v>2042</v>
      </c>
      <c r="AC110" s="141" t="s">
        <v>879</v>
      </c>
      <c r="AD110" s="122" t="s">
        <v>249</v>
      </c>
      <c r="AE110" s="122" t="s">
        <v>235</v>
      </c>
      <c r="AF110" s="122" t="s">
        <v>2043</v>
      </c>
      <c r="AG110" s="122" t="s">
        <v>537</v>
      </c>
      <c r="AH110" s="122" t="s">
        <v>253</v>
      </c>
      <c r="AI110" s="122" t="s">
        <v>2044</v>
      </c>
      <c r="AJ110" s="122" t="s">
        <v>2045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247</v>
      </c>
      <c r="AP110" s="141" t="s">
        <v>247</v>
      </c>
      <c r="AQ110" s="141" t="s">
        <v>247</v>
      </c>
      <c r="AR110" s="141" t="s">
        <v>247</v>
      </c>
      <c r="AS110" s="141" t="s">
        <v>601</v>
      </c>
      <c r="AT110" s="141" t="s">
        <v>601</v>
      </c>
      <c r="AU110" s="141" t="s">
        <v>601</v>
      </c>
      <c r="AV110" s="122" t="s">
        <v>259</v>
      </c>
      <c r="AW110" s="122" t="s">
        <v>260</v>
      </c>
      <c r="AY110" s="141" t="s">
        <v>253</v>
      </c>
      <c r="AZ110" s="122" t="s">
        <v>2046</v>
      </c>
      <c r="BA110" s="122" t="s">
        <v>2047</v>
      </c>
      <c r="BB110" s="122" t="s">
        <v>2046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46</v>
      </c>
      <c r="BJ110" s="123">
        <v>42233</v>
      </c>
      <c r="BK110" s="139" t="s">
        <v>264</v>
      </c>
      <c r="BL110" s="140">
        <v>342.34</v>
      </c>
      <c r="BM110" s="122">
        <v>34</v>
      </c>
    </row>
    <row r="111" spans="1:65" x14ac:dyDescent="0.25">
      <c r="A111" s="122" t="s">
        <v>404</v>
      </c>
      <c r="B111" s="122" t="s">
        <v>2048</v>
      </c>
      <c r="C111" s="122" t="s">
        <v>2049</v>
      </c>
      <c r="D111" s="122" t="s">
        <v>2050</v>
      </c>
      <c r="E111" s="123">
        <v>42219</v>
      </c>
      <c r="F111" s="122" t="s">
        <v>2051</v>
      </c>
      <c r="G111" s="122" t="s">
        <v>235</v>
      </c>
      <c r="H111" s="122" t="s">
        <v>2052</v>
      </c>
      <c r="I111" s="122" t="s">
        <v>2053</v>
      </c>
      <c r="J111" s="122" t="s">
        <v>2054</v>
      </c>
      <c r="K111" s="122" t="s">
        <v>238</v>
      </c>
      <c r="L111" s="122" t="s">
        <v>271</v>
      </c>
      <c r="M111" s="122" t="s">
        <v>1965</v>
      </c>
      <c r="O111" s="141" t="s">
        <v>2055</v>
      </c>
      <c r="P111" s="141" t="s">
        <v>2056</v>
      </c>
      <c r="Q111" s="122" t="s">
        <v>243</v>
      </c>
      <c r="R111" s="142">
        <v>47</v>
      </c>
      <c r="S111" s="122" t="s">
        <v>2057</v>
      </c>
      <c r="U111" s="122" t="s">
        <v>1420</v>
      </c>
      <c r="W111" s="122" t="s">
        <v>246</v>
      </c>
      <c r="X111" s="122" t="s">
        <v>302</v>
      </c>
      <c r="Y111" s="141" t="s">
        <v>378</v>
      </c>
      <c r="Z111" s="122" t="s">
        <v>2058</v>
      </c>
      <c r="AA111" s="141" t="s">
        <v>685</v>
      </c>
      <c r="AB111" s="122" t="s">
        <v>2059</v>
      </c>
      <c r="AC111" s="141" t="s">
        <v>901</v>
      </c>
      <c r="AD111" s="122" t="s">
        <v>2060</v>
      </c>
      <c r="AE111" s="122" t="s">
        <v>235</v>
      </c>
      <c r="AF111" s="122" t="s">
        <v>2061</v>
      </c>
      <c r="AG111" s="122" t="s">
        <v>537</v>
      </c>
      <c r="AH111" s="122" t="s">
        <v>253</v>
      </c>
      <c r="AI111" s="122" t="s">
        <v>2062</v>
      </c>
      <c r="AJ111" s="122" t="s">
        <v>2063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247</v>
      </c>
      <c r="AP111" s="141" t="s">
        <v>247</v>
      </c>
      <c r="AQ111" s="141" t="s">
        <v>253</v>
      </c>
      <c r="AR111" s="141" t="s">
        <v>253</v>
      </c>
      <c r="AS111" s="141" t="s">
        <v>601</v>
      </c>
      <c r="AT111" s="141" t="s">
        <v>258</v>
      </c>
      <c r="AU111" s="141" t="s">
        <v>258</v>
      </c>
      <c r="AV111" s="122" t="s">
        <v>259</v>
      </c>
      <c r="AW111" s="122" t="s">
        <v>260</v>
      </c>
      <c r="AY111" s="141" t="s">
        <v>253</v>
      </c>
      <c r="AZ111" s="122" t="s">
        <v>2064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47</v>
      </c>
      <c r="BJ111" s="123">
        <v>42229</v>
      </c>
      <c r="BK111" s="139" t="s">
        <v>606</v>
      </c>
      <c r="BM111" s="122">
        <v>33</v>
      </c>
    </row>
    <row r="112" spans="1:65" x14ac:dyDescent="0.25">
      <c r="A112" s="122" t="s">
        <v>404</v>
      </c>
      <c r="B112" s="122" t="s">
        <v>2065</v>
      </c>
      <c r="C112" s="122" t="s">
        <v>2066</v>
      </c>
      <c r="D112" s="122" t="s">
        <v>2067</v>
      </c>
      <c r="E112" s="123">
        <v>42219</v>
      </c>
      <c r="F112" s="122" t="s">
        <v>248</v>
      </c>
      <c r="G112" s="122" t="s">
        <v>235</v>
      </c>
      <c r="H112" s="122" t="s">
        <v>448</v>
      </c>
      <c r="I112" s="122" t="s">
        <v>2068</v>
      </c>
      <c r="K112" s="122" t="s">
        <v>238</v>
      </c>
      <c r="L112" s="122" t="s">
        <v>271</v>
      </c>
      <c r="M112" s="122" t="s">
        <v>2069</v>
      </c>
      <c r="O112" s="141" t="s">
        <v>273</v>
      </c>
      <c r="P112" s="141" t="s">
        <v>2070</v>
      </c>
      <c r="Q112" s="122" t="s">
        <v>243</v>
      </c>
      <c r="R112" s="142">
        <v>48</v>
      </c>
      <c r="S112" s="122" t="s">
        <v>2071</v>
      </c>
      <c r="U112" s="122" t="s">
        <v>1420</v>
      </c>
      <c r="W112" s="122" t="s">
        <v>246</v>
      </c>
      <c r="X112" s="122" t="s">
        <v>325</v>
      </c>
      <c r="Y112" s="141" t="s">
        <v>2072</v>
      </c>
      <c r="Z112" s="122" t="s">
        <v>518</v>
      </c>
      <c r="AB112" s="122" t="s">
        <v>250</v>
      </c>
      <c r="AD112" s="122" t="s">
        <v>250</v>
      </c>
      <c r="AE112" s="122" t="s">
        <v>235</v>
      </c>
      <c r="AF112" s="122" t="s">
        <v>2073</v>
      </c>
      <c r="AG112" s="122" t="s">
        <v>537</v>
      </c>
      <c r="AH112" s="122" t="s">
        <v>253</v>
      </c>
      <c r="AI112" s="122" t="s">
        <v>2074</v>
      </c>
      <c r="AJ112" s="122" t="s">
        <v>2075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247</v>
      </c>
      <c r="AP112" s="141" t="s">
        <v>247</v>
      </c>
      <c r="AQ112" s="141" t="s">
        <v>253</v>
      </c>
      <c r="AR112" s="141" t="s">
        <v>253</v>
      </c>
      <c r="AS112" s="141" t="s">
        <v>601</v>
      </c>
      <c r="AT112" s="141" t="s">
        <v>258</v>
      </c>
      <c r="AU112" s="141" t="s">
        <v>258</v>
      </c>
      <c r="AV112" s="122" t="s">
        <v>259</v>
      </c>
      <c r="AW112" s="122" t="s">
        <v>260</v>
      </c>
      <c r="AY112" s="141" t="s">
        <v>253</v>
      </c>
      <c r="AZ112" s="122" t="s">
        <v>262</v>
      </c>
      <c r="BA112" s="122" t="s">
        <v>262</v>
      </c>
      <c r="BB112" s="122" t="s">
        <v>2076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48</v>
      </c>
      <c r="BJ112" s="123">
        <v>42229</v>
      </c>
      <c r="BK112" s="139" t="s">
        <v>606</v>
      </c>
      <c r="BM112" s="122">
        <v>33</v>
      </c>
    </row>
    <row r="113" spans="1:65" x14ac:dyDescent="0.25">
      <c r="A113" s="122" t="s">
        <v>404</v>
      </c>
      <c r="B113" s="122" t="s">
        <v>2077</v>
      </c>
      <c r="C113" s="122" t="s">
        <v>2078</v>
      </c>
      <c r="D113" s="122" t="s">
        <v>2079</v>
      </c>
      <c r="E113" s="123">
        <v>42219</v>
      </c>
      <c r="F113" s="122" t="s">
        <v>2080</v>
      </c>
      <c r="G113" s="122" t="s">
        <v>235</v>
      </c>
      <c r="H113" s="122" t="s">
        <v>2081</v>
      </c>
      <c r="I113" s="122" t="s">
        <v>2082</v>
      </c>
      <c r="J113" s="122" t="s">
        <v>2083</v>
      </c>
      <c r="K113" s="122" t="s">
        <v>238</v>
      </c>
      <c r="L113" s="122" t="s">
        <v>429</v>
      </c>
      <c r="M113" s="122" t="s">
        <v>2084</v>
      </c>
      <c r="N113" s="122" t="s">
        <v>2085</v>
      </c>
      <c r="O113" s="141" t="s">
        <v>566</v>
      </c>
      <c r="P113" s="141" t="s">
        <v>2086</v>
      </c>
      <c r="Q113" s="122" t="s">
        <v>243</v>
      </c>
      <c r="R113" s="142">
        <v>49</v>
      </c>
      <c r="S113" s="122" t="s">
        <v>2087</v>
      </c>
      <c r="U113" s="122" t="s">
        <v>1420</v>
      </c>
      <c r="W113" s="122" t="s">
        <v>246</v>
      </c>
      <c r="X113" s="122" t="s">
        <v>631</v>
      </c>
      <c r="Y113" s="141" t="s">
        <v>498</v>
      </c>
      <c r="Z113" s="122" t="s">
        <v>249</v>
      </c>
      <c r="AA113" s="141" t="s">
        <v>1015</v>
      </c>
      <c r="AB113" s="122" t="s">
        <v>2088</v>
      </c>
      <c r="AC113" s="141" t="s">
        <v>765</v>
      </c>
      <c r="AD113" s="122" t="s">
        <v>2088</v>
      </c>
      <c r="AE113" s="122" t="s">
        <v>235</v>
      </c>
      <c r="AF113" s="122" t="s">
        <v>2089</v>
      </c>
      <c r="AG113" s="122" t="s">
        <v>537</v>
      </c>
      <c r="AH113" s="122" t="s">
        <v>253</v>
      </c>
      <c r="AI113" s="122" t="s">
        <v>2090</v>
      </c>
      <c r="AJ113" s="122" t="s">
        <v>2091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253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Y113" s="141" t="s">
        <v>253</v>
      </c>
      <c r="AZ113" s="122" t="s">
        <v>2092</v>
      </c>
      <c r="BA113" s="122" t="s">
        <v>2093</v>
      </c>
      <c r="BB113" s="122" t="s">
        <v>2094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49</v>
      </c>
      <c r="BJ113" s="123">
        <v>42227</v>
      </c>
      <c r="BK113" s="139" t="s">
        <v>264</v>
      </c>
      <c r="BL113" s="140">
        <v>300</v>
      </c>
      <c r="BM113" s="122">
        <v>33</v>
      </c>
    </row>
    <row r="114" spans="1:65" x14ac:dyDescent="0.25">
      <c r="A114" s="122" t="s">
        <v>404</v>
      </c>
      <c r="B114" s="122" t="s">
        <v>2095</v>
      </c>
      <c r="C114" s="122" t="s">
        <v>2096</v>
      </c>
      <c r="D114" s="122" t="s">
        <v>2097</v>
      </c>
      <c r="E114" s="123">
        <v>42219</v>
      </c>
      <c r="F114" s="122" t="s">
        <v>2098</v>
      </c>
      <c r="G114" s="122" t="s">
        <v>235</v>
      </c>
      <c r="H114" s="122" t="s">
        <v>2099</v>
      </c>
      <c r="I114" s="122" t="s">
        <v>2100</v>
      </c>
      <c r="K114" s="122" t="s">
        <v>238</v>
      </c>
      <c r="L114" s="122" t="s">
        <v>429</v>
      </c>
      <c r="M114" s="122" t="s">
        <v>1525</v>
      </c>
      <c r="O114" s="141" t="s">
        <v>451</v>
      </c>
      <c r="P114" s="141" t="s">
        <v>2101</v>
      </c>
      <c r="Q114" s="122" t="s">
        <v>243</v>
      </c>
      <c r="R114" s="142">
        <v>50</v>
      </c>
      <c r="S114" s="122" t="s">
        <v>2102</v>
      </c>
      <c r="U114" s="122" t="s">
        <v>1420</v>
      </c>
      <c r="W114" s="122" t="s">
        <v>246</v>
      </c>
      <c r="X114" s="122" t="s">
        <v>497</v>
      </c>
      <c r="Y114" s="141" t="s">
        <v>1528</v>
      </c>
      <c r="Z114" s="122" t="s">
        <v>2103</v>
      </c>
      <c r="AA114" s="141" t="s">
        <v>328</v>
      </c>
      <c r="AB114" s="122" t="s">
        <v>2104</v>
      </c>
      <c r="AC114" s="141" t="s">
        <v>2105</v>
      </c>
      <c r="AD114" s="122" t="s">
        <v>2106</v>
      </c>
      <c r="AE114" s="122" t="s">
        <v>235</v>
      </c>
      <c r="AF114" s="122" t="s">
        <v>2107</v>
      </c>
      <c r="AG114" s="122" t="s">
        <v>747</v>
      </c>
      <c r="AH114" s="122" t="s">
        <v>253</v>
      </c>
      <c r="AI114" s="122" t="s">
        <v>2108</v>
      </c>
      <c r="AJ114" s="122" t="s">
        <v>2109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X114" s="141" t="s">
        <v>2029</v>
      </c>
      <c r="AY114" s="141" t="s">
        <v>603</v>
      </c>
      <c r="AZ114" s="122" t="s">
        <v>2110</v>
      </c>
      <c r="BA114" s="122" t="s">
        <v>262</v>
      </c>
      <c r="BB114" s="122" t="s">
        <v>262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50</v>
      </c>
      <c r="BJ114" s="123">
        <v>42227</v>
      </c>
      <c r="BK114" s="139" t="s">
        <v>606</v>
      </c>
      <c r="BM114" s="122">
        <v>33</v>
      </c>
    </row>
    <row r="115" spans="1:65" x14ac:dyDescent="0.25">
      <c r="A115" s="122" t="s">
        <v>404</v>
      </c>
      <c r="B115" s="122" t="s">
        <v>2111</v>
      </c>
      <c r="C115" s="122" t="s">
        <v>2112</v>
      </c>
      <c r="D115" s="122" t="s">
        <v>2113</v>
      </c>
      <c r="E115" s="123">
        <v>42219</v>
      </c>
      <c r="F115" s="122" t="s">
        <v>595</v>
      </c>
      <c r="G115" s="122" t="s">
        <v>235</v>
      </c>
      <c r="H115" s="122" t="s">
        <v>2114</v>
      </c>
      <c r="I115" s="122" t="s">
        <v>2115</v>
      </c>
      <c r="J115" s="122" t="s">
        <v>2116</v>
      </c>
      <c r="K115" s="122" t="s">
        <v>238</v>
      </c>
      <c r="L115" s="122" t="s">
        <v>271</v>
      </c>
      <c r="M115" s="122" t="s">
        <v>1693</v>
      </c>
      <c r="O115" s="141" t="s">
        <v>373</v>
      </c>
      <c r="P115" s="141" t="s">
        <v>2117</v>
      </c>
      <c r="Q115" s="122" t="s">
        <v>243</v>
      </c>
      <c r="R115" s="142">
        <v>51</v>
      </c>
      <c r="S115" s="122" t="s">
        <v>2118</v>
      </c>
      <c r="U115" s="122" t="s">
        <v>1420</v>
      </c>
      <c r="W115" s="122" t="s">
        <v>246</v>
      </c>
      <c r="X115" s="122" t="s">
        <v>442</v>
      </c>
      <c r="Y115" s="141" t="s">
        <v>707</v>
      </c>
      <c r="Z115" s="122" t="s">
        <v>1326</v>
      </c>
      <c r="AB115" s="122" t="s">
        <v>250</v>
      </c>
      <c r="AD115" s="122" t="s">
        <v>250</v>
      </c>
      <c r="AE115" s="122" t="s">
        <v>235</v>
      </c>
      <c r="AF115" s="122" t="s">
        <v>2119</v>
      </c>
      <c r="AG115" s="122" t="s">
        <v>253</v>
      </c>
      <c r="AH115" s="122" t="s">
        <v>253</v>
      </c>
      <c r="AI115" s="122" t="s">
        <v>2120</v>
      </c>
      <c r="AJ115" s="122" t="s">
        <v>2121</v>
      </c>
      <c r="AK115" s="122" t="s">
        <v>2122</v>
      </c>
      <c r="AL115" s="122" t="s">
        <v>253</v>
      </c>
      <c r="AM115" s="122" t="s">
        <v>253</v>
      </c>
      <c r="AN115" s="122" t="s">
        <v>253</v>
      </c>
      <c r="AO115" s="141" t="s">
        <v>253</v>
      </c>
      <c r="AP115" s="141" t="s">
        <v>253</v>
      </c>
      <c r="AQ115" s="141" t="s">
        <v>247</v>
      </c>
      <c r="AR115" s="141" t="s">
        <v>253</v>
      </c>
      <c r="AS115" s="141" t="s">
        <v>361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X115" s="141" t="s">
        <v>2123</v>
      </c>
      <c r="AY115" s="141" t="s">
        <v>247</v>
      </c>
      <c r="AZ115" s="122" t="s">
        <v>2124</v>
      </c>
      <c r="BA115" s="122" t="s">
        <v>262</v>
      </c>
      <c r="BB115" s="122" t="s">
        <v>262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51</v>
      </c>
      <c r="BJ115" s="123">
        <v>42230</v>
      </c>
      <c r="BK115" s="139" t="s">
        <v>606</v>
      </c>
      <c r="BM115" s="122">
        <v>33</v>
      </c>
    </row>
    <row r="116" spans="1:65" x14ac:dyDescent="0.25">
      <c r="A116" s="122" t="s">
        <v>404</v>
      </c>
      <c r="B116" s="122" t="s">
        <v>2125</v>
      </c>
      <c r="C116" s="122" t="s">
        <v>2126</v>
      </c>
      <c r="D116" s="122" t="s">
        <v>2127</v>
      </c>
      <c r="E116" s="123">
        <v>42219</v>
      </c>
      <c r="F116" s="122" t="s">
        <v>1143</v>
      </c>
      <c r="G116" s="122" t="s">
        <v>235</v>
      </c>
      <c r="H116" s="122" t="s">
        <v>2128</v>
      </c>
      <c r="I116" s="122" t="s">
        <v>2129</v>
      </c>
      <c r="K116" s="122" t="s">
        <v>238</v>
      </c>
      <c r="L116" s="122" t="s">
        <v>1872</v>
      </c>
      <c r="M116" s="122" t="s">
        <v>1979</v>
      </c>
      <c r="O116" s="141" t="s">
        <v>1253</v>
      </c>
      <c r="P116" s="141" t="s">
        <v>2130</v>
      </c>
      <c r="Q116" s="122" t="s">
        <v>243</v>
      </c>
      <c r="R116" s="142">
        <v>52</v>
      </c>
      <c r="S116" s="122" t="s">
        <v>2131</v>
      </c>
      <c r="U116" s="122" t="s">
        <v>1420</v>
      </c>
      <c r="W116" s="122" t="s">
        <v>246</v>
      </c>
      <c r="X116" s="122" t="s">
        <v>433</v>
      </c>
      <c r="Y116" s="141" t="s">
        <v>1141</v>
      </c>
      <c r="Z116" s="122" t="s">
        <v>2132</v>
      </c>
      <c r="AA116" s="141" t="s">
        <v>2133</v>
      </c>
      <c r="AB116" s="122" t="s">
        <v>2134</v>
      </c>
      <c r="AC116" s="141" t="s">
        <v>1698</v>
      </c>
      <c r="AD116" s="122" t="s">
        <v>2135</v>
      </c>
      <c r="AE116" s="122" t="s">
        <v>235</v>
      </c>
      <c r="AF116" s="122" t="s">
        <v>2136</v>
      </c>
      <c r="AG116" s="122" t="s">
        <v>537</v>
      </c>
      <c r="AH116" s="122" t="s">
        <v>253</v>
      </c>
      <c r="AI116" s="122" t="s">
        <v>2137</v>
      </c>
      <c r="AJ116" s="122" t="s">
        <v>253</v>
      </c>
      <c r="AK116" s="122" t="s">
        <v>253</v>
      </c>
      <c r="AL116" s="122" t="s">
        <v>2138</v>
      </c>
      <c r="AM116" s="122" t="s">
        <v>253</v>
      </c>
      <c r="AN116" s="122" t="s">
        <v>253</v>
      </c>
      <c r="AO116" s="141" t="s">
        <v>247</v>
      </c>
      <c r="AP116" s="141" t="s">
        <v>247</v>
      </c>
      <c r="AQ116" s="141" t="s">
        <v>247</v>
      </c>
      <c r="AR116" s="141" t="s">
        <v>247</v>
      </c>
      <c r="AS116" s="141" t="s">
        <v>601</v>
      </c>
      <c r="AT116" s="141" t="s">
        <v>601</v>
      </c>
      <c r="AU116" s="141" t="s">
        <v>601</v>
      </c>
      <c r="AV116" s="122" t="s">
        <v>259</v>
      </c>
      <c r="AW116" s="122" t="s">
        <v>260</v>
      </c>
      <c r="AX116" s="141" t="s">
        <v>980</v>
      </c>
      <c r="AY116" s="141" t="s">
        <v>247</v>
      </c>
      <c r="AZ116" s="122" t="s">
        <v>2139</v>
      </c>
      <c r="BA116" s="122" t="s">
        <v>262</v>
      </c>
      <c r="BB116" s="122" t="s">
        <v>262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52</v>
      </c>
      <c r="BJ116" s="123">
        <v>42233</v>
      </c>
      <c r="BK116" s="139" t="s">
        <v>606</v>
      </c>
      <c r="BM116" s="122">
        <v>34</v>
      </c>
    </row>
    <row r="117" spans="1:65" x14ac:dyDescent="0.25">
      <c r="A117" s="122" t="s">
        <v>404</v>
      </c>
      <c r="B117" s="122" t="s">
        <v>2140</v>
      </c>
      <c r="C117" s="122" t="s">
        <v>2141</v>
      </c>
      <c r="D117" s="122" t="s">
        <v>2142</v>
      </c>
      <c r="E117" s="123">
        <v>42219</v>
      </c>
      <c r="F117" s="122" t="s">
        <v>880</v>
      </c>
      <c r="G117" s="122" t="s">
        <v>235</v>
      </c>
      <c r="H117" s="122" t="s">
        <v>2143</v>
      </c>
      <c r="I117" s="122" t="s">
        <v>1815</v>
      </c>
      <c r="J117" s="122" t="s">
        <v>2144</v>
      </c>
      <c r="K117" s="122" t="s">
        <v>238</v>
      </c>
      <c r="L117" s="122" t="s">
        <v>297</v>
      </c>
      <c r="M117" s="122" t="s">
        <v>1659</v>
      </c>
      <c r="N117" s="122" t="s">
        <v>1817</v>
      </c>
      <c r="O117" s="141" t="s">
        <v>1240</v>
      </c>
      <c r="P117" s="141" t="s">
        <v>2145</v>
      </c>
      <c r="Q117" s="122" t="s">
        <v>243</v>
      </c>
      <c r="R117" s="142">
        <v>53</v>
      </c>
      <c r="S117" s="122" t="s">
        <v>2146</v>
      </c>
      <c r="U117" s="122" t="s">
        <v>1420</v>
      </c>
      <c r="W117" s="122" t="s">
        <v>246</v>
      </c>
      <c r="X117" s="122" t="s">
        <v>442</v>
      </c>
      <c r="Y117" s="141" t="s">
        <v>535</v>
      </c>
      <c r="Z117" s="122" t="s">
        <v>1746</v>
      </c>
      <c r="AA117" s="141" t="s">
        <v>2010</v>
      </c>
      <c r="AB117" s="122" t="s">
        <v>2147</v>
      </c>
      <c r="AC117" s="141" t="s">
        <v>707</v>
      </c>
      <c r="AD117" s="122" t="s">
        <v>355</v>
      </c>
      <c r="AE117" s="122" t="s">
        <v>235</v>
      </c>
      <c r="AF117" s="122" t="s">
        <v>2148</v>
      </c>
      <c r="AG117" s="122" t="s">
        <v>253</v>
      </c>
      <c r="AH117" s="122" t="s">
        <v>253</v>
      </c>
      <c r="AI117" s="122" t="s">
        <v>2149</v>
      </c>
      <c r="AJ117" s="122" t="s">
        <v>2150</v>
      </c>
      <c r="AK117" s="122" t="s">
        <v>2151</v>
      </c>
      <c r="AL117" s="122" t="s">
        <v>253</v>
      </c>
      <c r="AM117" s="122" t="s">
        <v>253</v>
      </c>
      <c r="AN117" s="122" t="s">
        <v>253</v>
      </c>
      <c r="AO117" s="141" t="s">
        <v>247</v>
      </c>
      <c r="AP117" s="141" t="s">
        <v>247</v>
      </c>
      <c r="AQ117" s="141" t="s">
        <v>247</v>
      </c>
      <c r="AR117" s="141" t="s">
        <v>247</v>
      </c>
      <c r="AS117" s="141" t="s">
        <v>601</v>
      </c>
      <c r="AT117" s="141" t="s">
        <v>601</v>
      </c>
      <c r="AU117" s="141" t="s">
        <v>257</v>
      </c>
      <c r="AV117" s="122" t="s">
        <v>259</v>
      </c>
      <c r="AW117" s="122" t="s">
        <v>260</v>
      </c>
      <c r="AY117" s="141" t="s">
        <v>253</v>
      </c>
      <c r="AZ117" s="122" t="s">
        <v>2152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53</v>
      </c>
      <c r="BJ117" s="123">
        <v>42231</v>
      </c>
      <c r="BK117" s="139" t="s">
        <v>606</v>
      </c>
      <c r="BM117" s="122">
        <v>33</v>
      </c>
    </row>
    <row r="118" spans="1:65" x14ac:dyDescent="0.25">
      <c r="A118" s="122" t="s">
        <v>422</v>
      </c>
      <c r="B118" s="122" t="s">
        <v>2153</v>
      </c>
      <c r="C118" s="122" t="s">
        <v>2154</v>
      </c>
      <c r="D118" s="122" t="s">
        <v>2155</v>
      </c>
      <c r="E118" s="123">
        <v>42219</v>
      </c>
      <c r="F118" s="122" t="s">
        <v>833</v>
      </c>
      <c r="G118" s="122" t="s">
        <v>235</v>
      </c>
      <c r="H118" s="122" t="s">
        <v>2156</v>
      </c>
      <c r="I118" s="122" t="s">
        <v>2157</v>
      </c>
      <c r="J118" s="122" t="s">
        <v>2158</v>
      </c>
      <c r="K118" s="122" t="s">
        <v>472</v>
      </c>
      <c r="L118" s="122" t="s">
        <v>473</v>
      </c>
      <c r="M118" s="122" t="s">
        <v>2159</v>
      </c>
      <c r="O118" s="141" t="s">
        <v>1240</v>
      </c>
      <c r="P118" s="141" t="s">
        <v>2160</v>
      </c>
      <c r="Q118" s="122" t="s">
        <v>243</v>
      </c>
      <c r="R118" s="142">
        <v>54</v>
      </c>
      <c r="S118" s="122" t="s">
        <v>2161</v>
      </c>
      <c r="U118" s="122" t="s">
        <v>1420</v>
      </c>
      <c r="W118" s="122" t="s">
        <v>246</v>
      </c>
      <c r="X118" s="122" t="s">
        <v>260</v>
      </c>
      <c r="Z118" s="122" t="s">
        <v>250</v>
      </c>
      <c r="AB118" s="122" t="s">
        <v>250</v>
      </c>
      <c r="AD118" s="122" t="s">
        <v>250</v>
      </c>
      <c r="AE118" s="122" t="s">
        <v>235</v>
      </c>
      <c r="AF118" s="122" t="s">
        <v>2162</v>
      </c>
      <c r="AG118" s="122" t="s">
        <v>2163</v>
      </c>
      <c r="AH118" s="122" t="s">
        <v>253</v>
      </c>
      <c r="AI118" s="122" t="s">
        <v>2164</v>
      </c>
      <c r="AJ118" s="122" t="s">
        <v>2165</v>
      </c>
      <c r="AK118" s="122" t="s">
        <v>2166</v>
      </c>
      <c r="AL118" s="122" t="s">
        <v>253</v>
      </c>
      <c r="AM118" s="122" t="s">
        <v>253</v>
      </c>
      <c r="AN118" s="122" t="s">
        <v>253</v>
      </c>
      <c r="AO118" s="141" t="s">
        <v>247</v>
      </c>
      <c r="AP118" s="141" t="s">
        <v>247</v>
      </c>
      <c r="AQ118" s="141" t="s">
        <v>247</v>
      </c>
      <c r="AR118" s="141" t="s">
        <v>247</v>
      </c>
      <c r="AS118" s="141" t="s">
        <v>601</v>
      </c>
      <c r="AT118" s="141" t="s">
        <v>601</v>
      </c>
      <c r="AU118" s="141" t="s">
        <v>257</v>
      </c>
      <c r="AV118" s="122" t="s">
        <v>259</v>
      </c>
      <c r="AW118" s="122" t="s">
        <v>260</v>
      </c>
      <c r="AY118" s="141" t="s">
        <v>253</v>
      </c>
      <c r="AZ118" s="122" t="s">
        <v>2167</v>
      </c>
      <c r="BA118" s="122" t="s">
        <v>262</v>
      </c>
      <c r="BB118" s="122" t="s">
        <v>262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54</v>
      </c>
      <c r="BJ118" s="123">
        <v>42227</v>
      </c>
      <c r="BK118" s="139" t="s">
        <v>606</v>
      </c>
      <c r="BM118" s="122">
        <v>33</v>
      </c>
    </row>
    <row r="119" spans="1:65" x14ac:dyDescent="0.25">
      <c r="A119" s="122" t="s">
        <v>422</v>
      </c>
      <c r="B119" s="122" t="s">
        <v>2168</v>
      </c>
      <c r="C119" s="122" t="s">
        <v>2169</v>
      </c>
      <c r="D119" s="122" t="s">
        <v>2170</v>
      </c>
      <c r="E119" s="123">
        <v>42219</v>
      </c>
      <c r="F119" s="122" t="s">
        <v>2171</v>
      </c>
      <c r="G119" s="122" t="s">
        <v>235</v>
      </c>
      <c r="H119" s="122" t="s">
        <v>2172</v>
      </c>
      <c r="I119" s="122" t="s">
        <v>2173</v>
      </c>
      <c r="K119" s="122" t="s">
        <v>238</v>
      </c>
      <c r="L119" s="122" t="s">
        <v>271</v>
      </c>
      <c r="M119" s="122" t="s">
        <v>849</v>
      </c>
      <c r="N119" s="122" t="s">
        <v>2174</v>
      </c>
      <c r="O119" s="141" t="s">
        <v>2175</v>
      </c>
      <c r="P119" s="141" t="s">
        <v>2176</v>
      </c>
      <c r="Q119" s="122" t="s">
        <v>243</v>
      </c>
      <c r="R119" s="142">
        <v>55</v>
      </c>
      <c r="S119" s="122" t="s">
        <v>2177</v>
      </c>
      <c r="U119" s="122" t="s">
        <v>1420</v>
      </c>
      <c r="W119" s="122" t="s">
        <v>246</v>
      </c>
      <c r="X119" s="122" t="s">
        <v>454</v>
      </c>
      <c r="Y119" s="141" t="s">
        <v>2133</v>
      </c>
      <c r="Z119" s="122" t="s">
        <v>533</v>
      </c>
      <c r="AA119" s="141" t="s">
        <v>234</v>
      </c>
      <c r="AB119" s="122" t="s">
        <v>2178</v>
      </c>
      <c r="AC119" s="141" t="s">
        <v>2051</v>
      </c>
      <c r="AD119" s="122" t="s">
        <v>2178</v>
      </c>
      <c r="AE119" s="122" t="s">
        <v>235</v>
      </c>
      <c r="AF119" s="122" t="s">
        <v>2179</v>
      </c>
      <c r="AG119" s="122" t="s">
        <v>537</v>
      </c>
      <c r="AH119" s="122" t="s">
        <v>253</v>
      </c>
      <c r="AI119" s="122" t="s">
        <v>2180</v>
      </c>
      <c r="AJ119" s="122" t="s">
        <v>2181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253</v>
      </c>
      <c r="AP119" s="141" t="s">
        <v>253</v>
      </c>
      <c r="AQ119" s="141" t="s">
        <v>247</v>
      </c>
      <c r="AR119" s="141" t="s">
        <v>253</v>
      </c>
      <c r="AS119" s="141" t="s">
        <v>361</v>
      </c>
      <c r="AT119" s="141" t="s">
        <v>601</v>
      </c>
      <c r="AU119" s="141" t="s">
        <v>258</v>
      </c>
      <c r="AV119" s="122" t="s">
        <v>259</v>
      </c>
      <c r="AW119" s="122" t="s">
        <v>260</v>
      </c>
      <c r="AY119" s="141" t="s">
        <v>253</v>
      </c>
      <c r="AZ119" s="122" t="s">
        <v>2182</v>
      </c>
      <c r="BA119" s="122" t="s">
        <v>262</v>
      </c>
      <c r="BB119" s="122" t="s">
        <v>262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55</v>
      </c>
      <c r="BJ119" s="123">
        <v>42230</v>
      </c>
      <c r="BK119" s="139" t="s">
        <v>606</v>
      </c>
      <c r="BM119" s="122">
        <v>33</v>
      </c>
    </row>
    <row r="120" spans="1:65" x14ac:dyDescent="0.25">
      <c r="A120" s="122" t="s">
        <v>422</v>
      </c>
      <c r="B120" s="122" t="s">
        <v>2183</v>
      </c>
      <c r="C120" s="122" t="s">
        <v>2184</v>
      </c>
      <c r="D120" s="122" t="s">
        <v>2185</v>
      </c>
      <c r="E120" s="123">
        <v>42219</v>
      </c>
      <c r="F120" s="122" t="s">
        <v>2186</v>
      </c>
      <c r="G120" s="122" t="s">
        <v>235</v>
      </c>
      <c r="H120" s="122" t="s">
        <v>2187</v>
      </c>
      <c r="I120" s="122" t="s">
        <v>2188</v>
      </c>
      <c r="K120" s="122" t="s">
        <v>238</v>
      </c>
      <c r="L120" s="122" t="s">
        <v>271</v>
      </c>
      <c r="M120" s="122" t="s">
        <v>1693</v>
      </c>
      <c r="N120" s="122" t="s">
        <v>2189</v>
      </c>
      <c r="O120" s="141" t="s">
        <v>273</v>
      </c>
      <c r="P120" s="141" t="s">
        <v>2190</v>
      </c>
      <c r="Q120" s="122" t="s">
        <v>243</v>
      </c>
      <c r="R120" s="142">
        <v>56</v>
      </c>
      <c r="S120" s="122" t="s">
        <v>2191</v>
      </c>
      <c r="U120" s="122" t="s">
        <v>1420</v>
      </c>
      <c r="W120" s="122" t="s">
        <v>246</v>
      </c>
      <c r="X120" s="122" t="s">
        <v>1643</v>
      </c>
      <c r="Y120" s="141" t="s">
        <v>784</v>
      </c>
      <c r="Z120" s="122" t="s">
        <v>2192</v>
      </c>
      <c r="AA120" s="141" t="s">
        <v>1325</v>
      </c>
      <c r="AB120" s="122" t="s">
        <v>2192</v>
      </c>
      <c r="AC120" s="141" t="s">
        <v>985</v>
      </c>
      <c r="AD120" s="122" t="s">
        <v>2193</v>
      </c>
      <c r="AE120" s="122" t="s">
        <v>235</v>
      </c>
      <c r="AF120" s="122" t="s">
        <v>2194</v>
      </c>
      <c r="AG120" s="122" t="s">
        <v>537</v>
      </c>
      <c r="AH120" s="122" t="s">
        <v>253</v>
      </c>
      <c r="AI120" s="122" t="s">
        <v>2195</v>
      </c>
      <c r="AJ120" s="122" t="s">
        <v>2196</v>
      </c>
      <c r="AK120" s="122" t="s">
        <v>253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260</v>
      </c>
      <c r="AY120" s="141" t="s">
        <v>253</v>
      </c>
      <c r="AZ120" s="122" t="s">
        <v>2197</v>
      </c>
      <c r="BA120" s="122" t="s">
        <v>262</v>
      </c>
      <c r="BB120" s="122" t="s">
        <v>2198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56</v>
      </c>
      <c r="BJ120" s="123">
        <v>42229</v>
      </c>
      <c r="BK120" s="139" t="s">
        <v>606</v>
      </c>
      <c r="BM120" s="122">
        <v>33</v>
      </c>
    </row>
    <row r="121" spans="1:65" x14ac:dyDescent="0.25">
      <c r="A121" s="122" t="s">
        <v>422</v>
      </c>
      <c r="B121" s="122" t="s">
        <v>2199</v>
      </c>
      <c r="C121" s="122" t="s">
        <v>2200</v>
      </c>
      <c r="D121" s="122" t="s">
        <v>2201</v>
      </c>
      <c r="E121" s="123">
        <v>42219</v>
      </c>
      <c r="F121" s="122" t="s">
        <v>2202</v>
      </c>
      <c r="G121" s="122" t="s">
        <v>235</v>
      </c>
      <c r="H121" s="122" t="s">
        <v>2203</v>
      </c>
      <c r="I121" s="122" t="s">
        <v>2204</v>
      </c>
      <c r="J121" s="122" t="s">
        <v>2116</v>
      </c>
      <c r="K121" s="122" t="s">
        <v>238</v>
      </c>
      <c r="L121" s="122" t="s">
        <v>297</v>
      </c>
      <c r="M121" s="122" t="s">
        <v>2205</v>
      </c>
      <c r="N121" s="122" t="s">
        <v>2206</v>
      </c>
      <c r="O121" s="141" t="s">
        <v>299</v>
      </c>
      <c r="P121" s="141" t="s">
        <v>2207</v>
      </c>
      <c r="Q121" s="122" t="s">
        <v>243</v>
      </c>
      <c r="R121" s="142">
        <v>57</v>
      </c>
      <c r="S121" s="122" t="s">
        <v>2208</v>
      </c>
      <c r="U121" s="122" t="s">
        <v>1420</v>
      </c>
      <c r="W121" s="122" t="s">
        <v>246</v>
      </c>
      <c r="X121" s="122" t="s">
        <v>739</v>
      </c>
      <c r="Y121" s="141" t="s">
        <v>593</v>
      </c>
      <c r="Z121" s="122" t="s">
        <v>249</v>
      </c>
      <c r="AA121" s="141" t="s">
        <v>2133</v>
      </c>
      <c r="AB121" s="122" t="s">
        <v>2209</v>
      </c>
      <c r="AC121" s="141" t="s">
        <v>899</v>
      </c>
      <c r="AD121" s="122" t="s">
        <v>2210</v>
      </c>
      <c r="AE121" s="122" t="s">
        <v>235</v>
      </c>
      <c r="AF121" s="122" t="s">
        <v>2211</v>
      </c>
      <c r="AG121" s="122" t="s">
        <v>747</v>
      </c>
      <c r="AH121" s="122" t="s">
        <v>253</v>
      </c>
      <c r="AI121" s="122" t="s">
        <v>2212</v>
      </c>
      <c r="AJ121" s="122" t="s">
        <v>2213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247</v>
      </c>
      <c r="AP121" s="141" t="s">
        <v>247</v>
      </c>
      <c r="AQ121" s="141" t="s">
        <v>247</v>
      </c>
      <c r="AR121" s="141" t="s">
        <v>253</v>
      </c>
      <c r="AS121" s="141" t="s">
        <v>601</v>
      </c>
      <c r="AT121" s="141" t="s">
        <v>601</v>
      </c>
      <c r="AU121" s="141" t="s">
        <v>258</v>
      </c>
      <c r="AV121" s="122" t="s">
        <v>259</v>
      </c>
      <c r="AW121" s="122" t="s">
        <v>260</v>
      </c>
      <c r="AX121" s="141" t="s">
        <v>1046</v>
      </c>
      <c r="AY121" s="141" t="s">
        <v>721</v>
      </c>
      <c r="AZ121" s="122" t="s">
        <v>2214</v>
      </c>
      <c r="BA121" s="122" t="s">
        <v>262</v>
      </c>
      <c r="BB121" s="122" t="s">
        <v>2214</v>
      </c>
      <c r="BC121" s="141" t="s">
        <v>312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57</v>
      </c>
      <c r="BJ121" s="123">
        <v>42223</v>
      </c>
      <c r="BK121" s="139" t="s">
        <v>264</v>
      </c>
      <c r="BL121" s="140">
        <v>378</v>
      </c>
      <c r="BM121" s="122">
        <v>32</v>
      </c>
    </row>
    <row r="122" spans="1:65" x14ac:dyDescent="0.25">
      <c r="A122" s="122" t="s">
        <v>422</v>
      </c>
      <c r="B122" s="122" t="s">
        <v>2215</v>
      </c>
      <c r="C122" s="122" t="s">
        <v>2216</v>
      </c>
      <c r="D122" s="122" t="s">
        <v>2217</v>
      </c>
      <c r="E122" s="123">
        <v>42219</v>
      </c>
      <c r="F122" s="122" t="s">
        <v>968</v>
      </c>
      <c r="G122" s="122" t="s">
        <v>235</v>
      </c>
      <c r="H122" s="122" t="s">
        <v>2218</v>
      </c>
      <c r="I122" s="122" t="s">
        <v>2219</v>
      </c>
      <c r="J122" s="122" t="s">
        <v>2220</v>
      </c>
      <c r="K122" s="122" t="s">
        <v>238</v>
      </c>
      <c r="L122" s="122" t="s">
        <v>271</v>
      </c>
      <c r="M122" s="122" t="s">
        <v>2221</v>
      </c>
      <c r="O122" s="141" t="s">
        <v>613</v>
      </c>
      <c r="P122" s="141" t="s">
        <v>2222</v>
      </c>
      <c r="Q122" s="122" t="s">
        <v>243</v>
      </c>
      <c r="R122" s="142">
        <v>58</v>
      </c>
      <c r="S122" s="122" t="s">
        <v>2223</v>
      </c>
      <c r="U122" s="122" t="s">
        <v>1420</v>
      </c>
      <c r="W122" s="122" t="s">
        <v>246</v>
      </c>
      <c r="X122" s="122" t="s">
        <v>497</v>
      </c>
      <c r="Y122" s="141" t="s">
        <v>784</v>
      </c>
      <c r="Z122" s="122" t="s">
        <v>2224</v>
      </c>
      <c r="AA122" s="141" t="s">
        <v>1498</v>
      </c>
      <c r="AB122" s="122" t="s">
        <v>835</v>
      </c>
      <c r="AC122" s="141" t="s">
        <v>2225</v>
      </c>
      <c r="AD122" s="122" t="s">
        <v>2226</v>
      </c>
      <c r="AE122" s="122" t="s">
        <v>235</v>
      </c>
      <c r="AF122" s="122" t="s">
        <v>2227</v>
      </c>
      <c r="AG122" s="122" t="s">
        <v>537</v>
      </c>
      <c r="AH122" s="122" t="s">
        <v>253</v>
      </c>
      <c r="AI122" s="122" t="s">
        <v>2228</v>
      </c>
      <c r="AJ122" s="122" t="s">
        <v>2229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253</v>
      </c>
      <c r="AS122" s="141" t="s">
        <v>601</v>
      </c>
      <c r="AT122" s="141" t="s">
        <v>601</v>
      </c>
      <c r="AU122" s="141" t="s">
        <v>258</v>
      </c>
      <c r="AV122" s="122" t="s">
        <v>259</v>
      </c>
      <c r="AW122" s="122" t="s">
        <v>260</v>
      </c>
      <c r="AX122" s="141" t="s">
        <v>2230</v>
      </c>
      <c r="AY122" s="141" t="s">
        <v>247</v>
      </c>
      <c r="AZ122" s="122" t="s">
        <v>2231</v>
      </c>
      <c r="BA122" s="122" t="s">
        <v>262</v>
      </c>
      <c r="BB122" s="122" t="s">
        <v>262</v>
      </c>
      <c r="BC122" s="141" t="s">
        <v>312</v>
      </c>
      <c r="BD122" s="122" t="s">
        <v>253</v>
      </c>
      <c r="BE122" s="122" t="s">
        <v>263</v>
      </c>
      <c r="BF122" s="122" t="s">
        <v>1430</v>
      </c>
      <c r="BH122" s="122" t="s">
        <v>1420</v>
      </c>
      <c r="BI122" s="142">
        <v>58</v>
      </c>
      <c r="BJ122" s="123">
        <v>42229</v>
      </c>
      <c r="BK122" s="139" t="s">
        <v>606</v>
      </c>
      <c r="BM122" s="122">
        <v>33</v>
      </c>
    </row>
    <row r="123" spans="1:65" x14ac:dyDescent="0.25">
      <c r="A123" s="122" t="s">
        <v>422</v>
      </c>
      <c r="B123" s="122" t="s">
        <v>2232</v>
      </c>
      <c r="C123" s="122" t="s">
        <v>2233</v>
      </c>
      <c r="D123" s="122" t="s">
        <v>2234</v>
      </c>
      <c r="E123" s="123">
        <v>42219</v>
      </c>
      <c r="F123" s="122" t="s">
        <v>2235</v>
      </c>
      <c r="G123" s="122" t="s">
        <v>235</v>
      </c>
      <c r="H123" s="122" t="s">
        <v>448</v>
      </c>
      <c r="I123" s="122" t="s">
        <v>2236</v>
      </c>
      <c r="K123" s="122" t="s">
        <v>238</v>
      </c>
      <c r="L123" s="122" t="s">
        <v>388</v>
      </c>
      <c r="M123" s="122" t="s">
        <v>2237</v>
      </c>
      <c r="N123" s="122" t="s">
        <v>2238</v>
      </c>
      <c r="O123" s="141" t="s">
        <v>373</v>
      </c>
      <c r="P123" s="141" t="s">
        <v>2239</v>
      </c>
      <c r="Q123" s="122" t="s">
        <v>243</v>
      </c>
      <c r="R123" s="142">
        <v>59</v>
      </c>
      <c r="S123" s="122" t="s">
        <v>2240</v>
      </c>
      <c r="U123" s="122" t="s">
        <v>1420</v>
      </c>
      <c r="W123" s="122" t="s">
        <v>246</v>
      </c>
      <c r="X123" s="122" t="s">
        <v>433</v>
      </c>
      <c r="Y123" s="141" t="s">
        <v>705</v>
      </c>
      <c r="Z123" s="122" t="s">
        <v>2241</v>
      </c>
      <c r="AA123" s="141" t="s">
        <v>328</v>
      </c>
      <c r="AB123" s="122" t="s">
        <v>2242</v>
      </c>
      <c r="AC123" s="141" t="s">
        <v>1260</v>
      </c>
      <c r="AD123" s="122" t="s">
        <v>2243</v>
      </c>
      <c r="AE123" s="122" t="s">
        <v>235</v>
      </c>
      <c r="AF123" s="122" t="s">
        <v>2244</v>
      </c>
      <c r="AG123" s="122" t="s">
        <v>537</v>
      </c>
      <c r="AH123" s="122" t="s">
        <v>253</v>
      </c>
      <c r="AI123" s="122" t="s">
        <v>553</v>
      </c>
      <c r="AJ123" s="122" t="s">
        <v>2245</v>
      </c>
      <c r="AK123" s="122" t="s">
        <v>253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247</v>
      </c>
      <c r="AQ123" s="141" t="s">
        <v>247</v>
      </c>
      <c r="AR123" s="141" t="s">
        <v>253</v>
      </c>
      <c r="AS123" s="141" t="s">
        <v>601</v>
      </c>
      <c r="AT123" s="141" t="s">
        <v>601</v>
      </c>
      <c r="AU123" s="141" t="s">
        <v>258</v>
      </c>
      <c r="AV123" s="122" t="s">
        <v>259</v>
      </c>
      <c r="AW123" s="122" t="s">
        <v>260</v>
      </c>
      <c r="AY123" s="141" t="s">
        <v>253</v>
      </c>
      <c r="AZ123" s="122" t="s">
        <v>262</v>
      </c>
      <c r="BA123" s="122" t="s">
        <v>262</v>
      </c>
      <c r="BB123" s="122" t="s">
        <v>2246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59</v>
      </c>
      <c r="BJ123" s="123">
        <v>42221</v>
      </c>
      <c r="BK123" s="139" t="s">
        <v>264</v>
      </c>
      <c r="BL123" s="140">
        <v>200</v>
      </c>
      <c r="BM123" s="122">
        <v>32</v>
      </c>
    </row>
    <row r="124" spans="1:65" x14ac:dyDescent="0.25">
      <c r="A124" s="122" t="s">
        <v>422</v>
      </c>
      <c r="B124" s="122" t="s">
        <v>2247</v>
      </c>
      <c r="C124" s="122" t="s">
        <v>2248</v>
      </c>
      <c r="D124" s="122" t="s">
        <v>2249</v>
      </c>
      <c r="E124" s="123">
        <v>42219</v>
      </c>
      <c r="F124" s="122" t="s">
        <v>2250</v>
      </c>
      <c r="G124" s="122" t="s">
        <v>235</v>
      </c>
      <c r="H124" s="122" t="s">
        <v>2251</v>
      </c>
      <c r="I124" s="122" t="s">
        <v>2252</v>
      </c>
      <c r="K124" s="122" t="s">
        <v>238</v>
      </c>
      <c r="L124" s="122" t="s">
        <v>297</v>
      </c>
      <c r="M124" s="122" t="s">
        <v>1724</v>
      </c>
      <c r="N124" s="122" t="s">
        <v>2253</v>
      </c>
      <c r="O124" s="141" t="s">
        <v>2254</v>
      </c>
      <c r="P124" s="141" t="s">
        <v>2255</v>
      </c>
      <c r="Q124" s="122" t="s">
        <v>243</v>
      </c>
      <c r="R124" s="142">
        <v>60</v>
      </c>
      <c r="S124" s="122" t="s">
        <v>2256</v>
      </c>
      <c r="U124" s="122" t="s">
        <v>1420</v>
      </c>
      <c r="W124" s="122" t="s">
        <v>246</v>
      </c>
      <c r="X124" s="122" t="s">
        <v>433</v>
      </c>
      <c r="Y124" s="141" t="s">
        <v>2257</v>
      </c>
      <c r="Z124" s="122" t="s">
        <v>2258</v>
      </c>
      <c r="AA124" s="141" t="s">
        <v>2010</v>
      </c>
      <c r="AB124" s="122" t="s">
        <v>395</v>
      </c>
      <c r="AC124" s="141" t="s">
        <v>2259</v>
      </c>
      <c r="AD124" s="122" t="s">
        <v>2260</v>
      </c>
      <c r="AE124" s="122" t="s">
        <v>235</v>
      </c>
      <c r="AF124" s="122" t="s">
        <v>2261</v>
      </c>
      <c r="AG124" s="122" t="s">
        <v>537</v>
      </c>
      <c r="AH124" s="122" t="s">
        <v>253</v>
      </c>
      <c r="AI124" s="122" t="s">
        <v>2262</v>
      </c>
      <c r="AJ124" s="122" t="s">
        <v>2263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253</v>
      </c>
      <c r="AS124" s="141" t="s">
        <v>361</v>
      </c>
      <c r="AT124" s="141" t="s">
        <v>601</v>
      </c>
      <c r="AU124" s="141" t="s">
        <v>258</v>
      </c>
      <c r="AV124" s="122" t="s">
        <v>259</v>
      </c>
      <c r="AW124" s="122" t="s">
        <v>260</v>
      </c>
      <c r="AY124" s="141" t="s">
        <v>253</v>
      </c>
      <c r="AZ124" s="122" t="s">
        <v>2264</v>
      </c>
      <c r="BA124" s="122" t="s">
        <v>262</v>
      </c>
      <c r="BB124" s="122" t="s">
        <v>262</v>
      </c>
      <c r="BC124" s="141" t="s">
        <v>312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60</v>
      </c>
      <c r="BJ124" s="123">
        <v>42231</v>
      </c>
      <c r="BK124" s="139" t="s">
        <v>264</v>
      </c>
      <c r="BL124" s="140">
        <v>155.96</v>
      </c>
      <c r="BM124" s="122">
        <v>33</v>
      </c>
    </row>
    <row r="125" spans="1:65" x14ac:dyDescent="0.25">
      <c r="A125" s="122" t="s">
        <v>422</v>
      </c>
      <c r="B125" s="122" t="s">
        <v>2265</v>
      </c>
      <c r="C125" s="122" t="s">
        <v>2266</v>
      </c>
      <c r="D125" s="122" t="s">
        <v>2267</v>
      </c>
      <c r="E125" s="123">
        <v>42219</v>
      </c>
      <c r="F125" s="122" t="s">
        <v>2268</v>
      </c>
      <c r="G125" s="122" t="s">
        <v>235</v>
      </c>
      <c r="H125" s="122" t="s">
        <v>2269</v>
      </c>
      <c r="I125" s="122" t="s">
        <v>2270</v>
      </c>
      <c r="J125" s="122" t="s">
        <v>2271</v>
      </c>
      <c r="K125" s="122" t="s">
        <v>472</v>
      </c>
      <c r="L125" s="122" t="s">
        <v>473</v>
      </c>
      <c r="M125" s="122" t="s">
        <v>2272</v>
      </c>
      <c r="O125" s="141" t="s">
        <v>273</v>
      </c>
      <c r="P125" s="141" t="s">
        <v>2273</v>
      </c>
      <c r="Q125" s="122" t="s">
        <v>243</v>
      </c>
      <c r="R125" s="142">
        <v>61</v>
      </c>
      <c r="S125" s="122" t="s">
        <v>2274</v>
      </c>
      <c r="U125" s="122" t="s">
        <v>1420</v>
      </c>
      <c r="W125" s="122" t="s">
        <v>246</v>
      </c>
      <c r="X125" s="122" t="s">
        <v>433</v>
      </c>
      <c r="Y125" s="141" t="s">
        <v>956</v>
      </c>
      <c r="Z125" s="122" t="s">
        <v>2275</v>
      </c>
      <c r="AA125" s="141" t="s">
        <v>500</v>
      </c>
      <c r="AB125" s="122" t="s">
        <v>2276</v>
      </c>
      <c r="AC125" s="141" t="s">
        <v>1698</v>
      </c>
      <c r="AD125" s="122" t="s">
        <v>2277</v>
      </c>
      <c r="AE125" s="122" t="s">
        <v>235</v>
      </c>
      <c r="AF125" s="122" t="s">
        <v>2278</v>
      </c>
      <c r="AG125" s="122" t="s">
        <v>537</v>
      </c>
      <c r="AH125" s="122" t="s">
        <v>253</v>
      </c>
      <c r="AI125" s="122" t="s">
        <v>2279</v>
      </c>
      <c r="AJ125" s="122" t="s">
        <v>2280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253</v>
      </c>
      <c r="AS125" s="141" t="s">
        <v>601</v>
      </c>
      <c r="AT125" s="141" t="s">
        <v>601</v>
      </c>
      <c r="AU125" s="141" t="s">
        <v>258</v>
      </c>
      <c r="AV125" s="122" t="s">
        <v>259</v>
      </c>
      <c r="AW125" s="122" t="s">
        <v>260</v>
      </c>
      <c r="AY125" s="141" t="s">
        <v>253</v>
      </c>
      <c r="AZ125" s="122" t="s">
        <v>2281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61</v>
      </c>
      <c r="BJ125" s="123">
        <v>42223</v>
      </c>
      <c r="BK125" s="139" t="s">
        <v>264</v>
      </c>
      <c r="BL125" s="140">
        <v>182.12</v>
      </c>
      <c r="BM125" s="122">
        <v>32</v>
      </c>
    </row>
    <row r="126" spans="1:65" x14ac:dyDescent="0.25">
      <c r="A126" s="122" t="s">
        <v>422</v>
      </c>
      <c r="B126" s="122" t="s">
        <v>2282</v>
      </c>
      <c r="C126" s="122" t="s">
        <v>2283</v>
      </c>
      <c r="D126" s="122" t="s">
        <v>2284</v>
      </c>
      <c r="E126" s="123">
        <v>42219</v>
      </c>
      <c r="F126" s="122" t="s">
        <v>1820</v>
      </c>
      <c r="G126" s="122" t="s">
        <v>235</v>
      </c>
      <c r="H126" s="122" t="s">
        <v>2285</v>
      </c>
      <c r="I126" s="122" t="s">
        <v>2286</v>
      </c>
      <c r="K126" s="122" t="s">
        <v>238</v>
      </c>
      <c r="L126" s="122" t="s">
        <v>297</v>
      </c>
      <c r="M126" s="122" t="s">
        <v>2021</v>
      </c>
      <c r="O126" s="141" t="s">
        <v>873</v>
      </c>
      <c r="P126" s="141" t="s">
        <v>2287</v>
      </c>
      <c r="Q126" s="122" t="s">
        <v>243</v>
      </c>
      <c r="R126" s="142">
        <v>62</v>
      </c>
      <c r="S126" s="122" t="s">
        <v>2288</v>
      </c>
      <c r="U126" s="122" t="s">
        <v>1420</v>
      </c>
      <c r="W126" s="122" t="s">
        <v>246</v>
      </c>
      <c r="X126" s="122" t="s">
        <v>454</v>
      </c>
      <c r="Y126" s="141" t="s">
        <v>593</v>
      </c>
      <c r="Z126" s="122" t="s">
        <v>2289</v>
      </c>
      <c r="AA126" s="141" t="s">
        <v>570</v>
      </c>
      <c r="AB126" s="122" t="s">
        <v>2290</v>
      </c>
      <c r="AC126" s="141" t="s">
        <v>1969</v>
      </c>
      <c r="AD126" s="122" t="s">
        <v>2291</v>
      </c>
      <c r="AE126" s="122" t="s">
        <v>235</v>
      </c>
      <c r="AF126" s="122" t="s">
        <v>2292</v>
      </c>
      <c r="AG126" s="122" t="s">
        <v>747</v>
      </c>
      <c r="AH126" s="122" t="s">
        <v>253</v>
      </c>
      <c r="AI126" s="122" t="s">
        <v>2293</v>
      </c>
      <c r="AJ126" s="122" t="s">
        <v>2294</v>
      </c>
      <c r="AK126" s="122" t="s">
        <v>253</v>
      </c>
      <c r="AL126" s="122" t="s">
        <v>253</v>
      </c>
      <c r="AM126" s="122" t="s">
        <v>253</v>
      </c>
      <c r="AN126" s="122" t="s">
        <v>253</v>
      </c>
      <c r="AO126" s="141" t="s">
        <v>247</v>
      </c>
      <c r="AP126" s="141" t="s">
        <v>247</v>
      </c>
      <c r="AQ126" s="141" t="s">
        <v>247</v>
      </c>
      <c r="AR126" s="141" t="s">
        <v>253</v>
      </c>
      <c r="AS126" s="141" t="s">
        <v>601</v>
      </c>
      <c r="AT126" s="141" t="s">
        <v>601</v>
      </c>
      <c r="AU126" s="141" t="s">
        <v>258</v>
      </c>
      <c r="AV126" s="122" t="s">
        <v>259</v>
      </c>
      <c r="AW126" s="122" t="s">
        <v>260</v>
      </c>
      <c r="AX126" s="141" t="s">
        <v>1046</v>
      </c>
      <c r="AY126" s="141" t="s">
        <v>247</v>
      </c>
      <c r="AZ126" s="122" t="s">
        <v>2295</v>
      </c>
      <c r="BA126" s="122" t="s">
        <v>262</v>
      </c>
      <c r="BB126" s="122" t="s">
        <v>262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62</v>
      </c>
      <c r="BJ126" s="123">
        <v>42231</v>
      </c>
      <c r="BK126" s="139" t="s">
        <v>606</v>
      </c>
      <c r="BM126" s="122">
        <v>33</v>
      </c>
    </row>
    <row r="127" spans="1:65" x14ac:dyDescent="0.25">
      <c r="A127" s="122" t="s">
        <v>422</v>
      </c>
      <c r="B127" s="122" t="s">
        <v>2296</v>
      </c>
      <c r="C127" s="122" t="s">
        <v>2297</v>
      </c>
      <c r="D127" s="122" t="s">
        <v>2298</v>
      </c>
      <c r="E127" s="123">
        <v>42219</v>
      </c>
      <c r="F127" s="122" t="s">
        <v>2299</v>
      </c>
      <c r="G127" s="122" t="s">
        <v>235</v>
      </c>
      <c r="H127" s="122" t="s">
        <v>2300</v>
      </c>
      <c r="I127" s="122" t="s">
        <v>2301</v>
      </c>
      <c r="K127" s="122" t="s">
        <v>238</v>
      </c>
      <c r="L127" s="122" t="s">
        <v>297</v>
      </c>
      <c r="M127" s="122" t="s">
        <v>430</v>
      </c>
      <c r="O127" s="141" t="s">
        <v>373</v>
      </c>
      <c r="P127" s="141" t="s">
        <v>2302</v>
      </c>
      <c r="Q127" s="122" t="s">
        <v>243</v>
      </c>
      <c r="R127" s="142">
        <v>63</v>
      </c>
      <c r="S127" s="122" t="s">
        <v>2303</v>
      </c>
      <c r="U127" s="122" t="s">
        <v>1420</v>
      </c>
      <c r="W127" s="122" t="s">
        <v>246</v>
      </c>
      <c r="X127" s="122" t="s">
        <v>433</v>
      </c>
      <c r="Y127" s="141" t="s">
        <v>1125</v>
      </c>
      <c r="Z127" s="122" t="s">
        <v>2304</v>
      </c>
      <c r="AA127" s="141" t="s">
        <v>457</v>
      </c>
      <c r="AB127" s="122" t="s">
        <v>2305</v>
      </c>
      <c r="AC127" s="141" t="s">
        <v>2306</v>
      </c>
      <c r="AD127" s="122" t="s">
        <v>2307</v>
      </c>
      <c r="AE127" s="122" t="s">
        <v>235</v>
      </c>
      <c r="AF127" s="122" t="s">
        <v>2308</v>
      </c>
      <c r="AG127" s="122" t="s">
        <v>537</v>
      </c>
      <c r="AH127" s="122" t="s">
        <v>253</v>
      </c>
      <c r="AI127" s="122" t="s">
        <v>2309</v>
      </c>
      <c r="AJ127" s="122" t="s">
        <v>1214</v>
      </c>
      <c r="AK127" s="122" t="s">
        <v>253</v>
      </c>
      <c r="AL127" s="122" t="s">
        <v>253</v>
      </c>
      <c r="AM127" s="122" t="s">
        <v>253</v>
      </c>
      <c r="AN127" s="122" t="s">
        <v>253</v>
      </c>
      <c r="AO127" s="141" t="s">
        <v>253</v>
      </c>
      <c r="AP127" s="141" t="s">
        <v>253</v>
      </c>
      <c r="AQ127" s="141" t="s">
        <v>247</v>
      </c>
      <c r="AR127" s="141" t="s">
        <v>253</v>
      </c>
      <c r="AS127" s="141" t="s">
        <v>361</v>
      </c>
      <c r="AT127" s="141" t="s">
        <v>601</v>
      </c>
      <c r="AU127" s="141" t="s">
        <v>258</v>
      </c>
      <c r="AV127" s="122" t="s">
        <v>259</v>
      </c>
      <c r="AW127" s="122" t="s">
        <v>260</v>
      </c>
      <c r="AY127" s="141" t="s">
        <v>253</v>
      </c>
      <c r="AZ127" s="122" t="s">
        <v>2310</v>
      </c>
      <c r="BA127" s="122" t="s">
        <v>262</v>
      </c>
      <c r="BB127" s="122" t="s">
        <v>262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63</v>
      </c>
      <c r="BJ127" s="123">
        <v>42231</v>
      </c>
      <c r="BK127" s="139" t="s">
        <v>606</v>
      </c>
      <c r="BM127" s="122">
        <v>33</v>
      </c>
    </row>
    <row r="128" spans="1:65" x14ac:dyDescent="0.25">
      <c r="A128" s="122" t="s">
        <v>422</v>
      </c>
      <c r="B128" s="122" t="s">
        <v>2311</v>
      </c>
      <c r="C128" s="122" t="s">
        <v>2312</v>
      </c>
      <c r="D128" s="122" t="s">
        <v>2313</v>
      </c>
      <c r="E128" s="123">
        <v>42219</v>
      </c>
      <c r="F128" s="122" t="s">
        <v>2259</v>
      </c>
      <c r="G128" s="122" t="s">
        <v>235</v>
      </c>
      <c r="H128" s="122" t="s">
        <v>2314</v>
      </c>
      <c r="I128" s="122" t="s">
        <v>2315</v>
      </c>
      <c r="K128" s="122" t="s">
        <v>238</v>
      </c>
      <c r="L128" s="122" t="s">
        <v>388</v>
      </c>
      <c r="M128" s="122" t="s">
        <v>1891</v>
      </c>
      <c r="O128" s="141" t="s">
        <v>390</v>
      </c>
      <c r="P128" s="141" t="s">
        <v>2316</v>
      </c>
      <c r="Q128" s="122" t="s">
        <v>243</v>
      </c>
      <c r="R128" s="142">
        <v>64</v>
      </c>
      <c r="S128" s="122" t="s">
        <v>2317</v>
      </c>
      <c r="U128" s="122" t="s">
        <v>1420</v>
      </c>
      <c r="W128" s="122" t="s">
        <v>246</v>
      </c>
      <c r="X128" s="122" t="s">
        <v>442</v>
      </c>
      <c r="Y128" s="141" t="s">
        <v>833</v>
      </c>
      <c r="Z128" s="122" t="s">
        <v>2318</v>
      </c>
      <c r="AB128" s="122" t="s">
        <v>250</v>
      </c>
      <c r="AD128" s="122" t="s">
        <v>250</v>
      </c>
      <c r="AE128" s="122" t="s">
        <v>235</v>
      </c>
      <c r="AF128" s="122" t="s">
        <v>2319</v>
      </c>
      <c r="AG128" s="122" t="s">
        <v>253</v>
      </c>
      <c r="AH128" s="122" t="s">
        <v>253</v>
      </c>
      <c r="AI128" s="122" t="s">
        <v>2320</v>
      </c>
      <c r="AJ128" s="122" t="s">
        <v>2321</v>
      </c>
      <c r="AK128" s="122" t="s">
        <v>2322</v>
      </c>
      <c r="AL128" s="122" t="s">
        <v>253</v>
      </c>
      <c r="AM128" s="122" t="s">
        <v>253</v>
      </c>
      <c r="AN128" s="122" t="s">
        <v>253</v>
      </c>
      <c r="AO128" s="141" t="s">
        <v>247</v>
      </c>
      <c r="AP128" s="141" t="s">
        <v>253</v>
      </c>
      <c r="AQ128" s="141" t="s">
        <v>253</v>
      </c>
      <c r="AR128" s="141" t="s">
        <v>247</v>
      </c>
      <c r="AS128" s="141" t="s">
        <v>601</v>
      </c>
      <c r="AT128" s="141" t="s">
        <v>258</v>
      </c>
      <c r="AU128" s="141" t="s">
        <v>601</v>
      </c>
      <c r="AV128" s="122" t="s">
        <v>259</v>
      </c>
      <c r="AW128" s="122" t="s">
        <v>260</v>
      </c>
      <c r="AY128" s="141" t="s">
        <v>253</v>
      </c>
      <c r="AZ128" s="122" t="s">
        <v>2323</v>
      </c>
      <c r="BA128" s="122" t="s">
        <v>262</v>
      </c>
      <c r="BB128" s="122" t="s">
        <v>262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64</v>
      </c>
      <c r="BJ128" s="123">
        <v>42233</v>
      </c>
      <c r="BK128" s="139" t="s">
        <v>606</v>
      </c>
      <c r="BM128" s="122">
        <v>34</v>
      </c>
    </row>
    <row r="129" spans="1:65" x14ac:dyDescent="0.25">
      <c r="A129" s="122" t="s">
        <v>422</v>
      </c>
      <c r="B129" s="122" t="s">
        <v>2324</v>
      </c>
      <c r="C129" s="122" t="s">
        <v>2325</v>
      </c>
      <c r="D129" s="122" t="s">
        <v>2326</v>
      </c>
      <c r="E129" s="123">
        <v>42219</v>
      </c>
      <c r="F129" s="122" t="s">
        <v>595</v>
      </c>
      <c r="G129" s="122" t="s">
        <v>235</v>
      </c>
      <c r="H129" s="122" t="s">
        <v>2327</v>
      </c>
      <c r="I129" s="122" t="s">
        <v>2328</v>
      </c>
      <c r="K129" s="122" t="s">
        <v>238</v>
      </c>
      <c r="L129" s="122" t="s">
        <v>388</v>
      </c>
      <c r="M129" s="122" t="s">
        <v>2329</v>
      </c>
      <c r="O129" s="141" t="s">
        <v>451</v>
      </c>
      <c r="P129" s="141" t="s">
        <v>2330</v>
      </c>
      <c r="Q129" s="122" t="s">
        <v>243</v>
      </c>
      <c r="R129" s="142">
        <v>65</v>
      </c>
      <c r="S129" s="122" t="s">
        <v>2331</v>
      </c>
      <c r="U129" s="122" t="s">
        <v>1420</v>
      </c>
      <c r="W129" s="122" t="s">
        <v>246</v>
      </c>
      <c r="X129" s="122" t="s">
        <v>442</v>
      </c>
      <c r="Z129" s="122" t="s">
        <v>250</v>
      </c>
      <c r="AB129" s="122" t="s">
        <v>250</v>
      </c>
      <c r="AD129" s="122" t="s">
        <v>250</v>
      </c>
      <c r="AE129" s="122" t="s">
        <v>235</v>
      </c>
      <c r="AF129" s="122" t="s">
        <v>2332</v>
      </c>
      <c r="AG129" s="122" t="s">
        <v>253</v>
      </c>
      <c r="AH129" s="122" t="s">
        <v>253</v>
      </c>
      <c r="AI129" s="122" t="s">
        <v>2333</v>
      </c>
      <c r="AJ129" s="122" t="s">
        <v>2334</v>
      </c>
      <c r="AK129" s="122" t="s">
        <v>2335</v>
      </c>
      <c r="AL129" s="122" t="s">
        <v>253</v>
      </c>
      <c r="AM129" s="122" t="s">
        <v>253</v>
      </c>
      <c r="AN129" s="122" t="s">
        <v>253</v>
      </c>
      <c r="AO129" s="141" t="s">
        <v>253</v>
      </c>
      <c r="AP129" s="141" t="s">
        <v>253</v>
      </c>
      <c r="AQ129" s="141" t="s">
        <v>247</v>
      </c>
      <c r="AR129" s="141" t="s">
        <v>247</v>
      </c>
      <c r="AS129" s="141" t="s">
        <v>361</v>
      </c>
      <c r="AT129" s="141" t="s">
        <v>601</v>
      </c>
      <c r="AU129" s="141" t="s">
        <v>601</v>
      </c>
      <c r="AV129" s="122" t="s">
        <v>259</v>
      </c>
      <c r="AW129" s="122" t="s">
        <v>260</v>
      </c>
      <c r="AY129" s="141" t="s">
        <v>253</v>
      </c>
      <c r="AZ129" s="122" t="s">
        <v>2336</v>
      </c>
      <c r="BA129" s="122" t="s">
        <v>262</v>
      </c>
      <c r="BB129" s="122" t="s">
        <v>262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65</v>
      </c>
      <c r="BJ129" s="123">
        <v>42227</v>
      </c>
      <c r="BK129" s="139" t="s">
        <v>264</v>
      </c>
      <c r="BL129" s="140">
        <v>179.14</v>
      </c>
      <c r="BM129" s="122">
        <v>33</v>
      </c>
    </row>
    <row r="130" spans="1:65" x14ac:dyDescent="0.25">
      <c r="A130" s="122" t="s">
        <v>422</v>
      </c>
      <c r="B130" s="122" t="s">
        <v>2337</v>
      </c>
      <c r="C130" s="122" t="s">
        <v>2338</v>
      </c>
      <c r="D130" s="122" t="s">
        <v>2339</v>
      </c>
      <c r="E130" s="123">
        <v>42219</v>
      </c>
      <c r="F130" s="122" t="s">
        <v>2340</v>
      </c>
      <c r="G130" s="122" t="s">
        <v>235</v>
      </c>
      <c r="H130" s="122" t="s">
        <v>2341</v>
      </c>
      <c r="I130" s="122" t="s">
        <v>2342</v>
      </c>
      <c r="K130" s="122" t="s">
        <v>238</v>
      </c>
      <c r="L130" s="122" t="s">
        <v>297</v>
      </c>
      <c r="M130" s="122" t="s">
        <v>2021</v>
      </c>
      <c r="N130" s="122" t="s">
        <v>2343</v>
      </c>
      <c r="O130" s="141" t="s">
        <v>613</v>
      </c>
      <c r="P130" s="141" t="s">
        <v>2344</v>
      </c>
      <c r="Q130" s="122" t="s">
        <v>243</v>
      </c>
      <c r="R130" s="142">
        <v>66</v>
      </c>
      <c r="S130" s="122" t="s">
        <v>2345</v>
      </c>
      <c r="U130" s="122" t="s">
        <v>1420</v>
      </c>
      <c r="W130" s="122" t="s">
        <v>246</v>
      </c>
      <c r="X130" s="122" t="s">
        <v>454</v>
      </c>
      <c r="Y130" s="141" t="s">
        <v>668</v>
      </c>
      <c r="Z130" s="122" t="s">
        <v>2346</v>
      </c>
      <c r="AA130" s="141" t="s">
        <v>670</v>
      </c>
      <c r="AB130" s="122" t="s">
        <v>2347</v>
      </c>
      <c r="AC130" s="141" t="s">
        <v>234</v>
      </c>
      <c r="AD130" s="122" t="s">
        <v>1792</v>
      </c>
      <c r="AE130" s="122" t="s">
        <v>235</v>
      </c>
      <c r="AF130" s="122" t="s">
        <v>2348</v>
      </c>
      <c r="AG130" s="122" t="s">
        <v>537</v>
      </c>
      <c r="AH130" s="122" t="s">
        <v>253</v>
      </c>
      <c r="AI130" s="122" t="s">
        <v>2349</v>
      </c>
      <c r="AJ130" s="122" t="s">
        <v>2350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253</v>
      </c>
      <c r="AQ130" s="141" t="s">
        <v>247</v>
      </c>
      <c r="AR130" s="141" t="s">
        <v>253</v>
      </c>
      <c r="AS130" s="141" t="s">
        <v>601</v>
      </c>
      <c r="AT130" s="141" t="s">
        <v>601</v>
      </c>
      <c r="AU130" s="141" t="s">
        <v>258</v>
      </c>
      <c r="AV130" s="122" t="s">
        <v>259</v>
      </c>
      <c r="AW130" s="122" t="s">
        <v>260</v>
      </c>
      <c r="AY130" s="141" t="s">
        <v>253</v>
      </c>
      <c r="AZ130" s="122" t="s">
        <v>2351</v>
      </c>
      <c r="BA130" s="122" t="s">
        <v>262</v>
      </c>
      <c r="BB130" s="122" t="s">
        <v>262</v>
      </c>
      <c r="BC130" s="141" t="s">
        <v>312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66</v>
      </c>
      <c r="BJ130" s="123">
        <v>42221</v>
      </c>
      <c r="BK130" s="139" t="s">
        <v>264</v>
      </c>
      <c r="BL130" s="140">
        <v>258.22000000000003</v>
      </c>
      <c r="BM130" s="122">
        <v>32</v>
      </c>
    </row>
    <row r="131" spans="1:65" x14ac:dyDescent="0.25">
      <c r="A131" s="122" t="s">
        <v>422</v>
      </c>
      <c r="B131" s="122" t="s">
        <v>2352</v>
      </c>
      <c r="C131" s="122" t="s">
        <v>2353</v>
      </c>
      <c r="D131" s="122" t="s">
        <v>2354</v>
      </c>
      <c r="E131" s="123">
        <v>42219</v>
      </c>
      <c r="F131" s="122" t="s">
        <v>2355</v>
      </c>
      <c r="G131" s="122" t="s">
        <v>235</v>
      </c>
      <c r="H131" s="122" t="s">
        <v>2356</v>
      </c>
      <c r="I131" s="122" t="s">
        <v>2357</v>
      </c>
      <c r="J131" s="122" t="s">
        <v>370</v>
      </c>
      <c r="K131" s="122" t="s">
        <v>238</v>
      </c>
      <c r="L131" s="122" t="s">
        <v>388</v>
      </c>
      <c r="M131" s="122" t="s">
        <v>389</v>
      </c>
      <c r="N131" s="122" t="s">
        <v>2358</v>
      </c>
      <c r="O131" s="141" t="s">
        <v>1055</v>
      </c>
      <c r="P131" s="141" t="s">
        <v>2359</v>
      </c>
      <c r="Q131" s="122" t="s">
        <v>243</v>
      </c>
      <c r="R131" s="142">
        <v>67</v>
      </c>
      <c r="S131" s="122" t="s">
        <v>2360</v>
      </c>
      <c r="T131" s="122" t="s">
        <v>2361</v>
      </c>
      <c r="U131" s="122" t="s">
        <v>1420</v>
      </c>
      <c r="W131" s="122" t="s">
        <v>246</v>
      </c>
      <c r="X131" s="122" t="s">
        <v>433</v>
      </c>
      <c r="Y131" s="141" t="s">
        <v>417</v>
      </c>
      <c r="Z131" s="122" t="s">
        <v>2362</v>
      </c>
      <c r="AA131" s="141" t="s">
        <v>2363</v>
      </c>
      <c r="AB131" s="122" t="s">
        <v>2364</v>
      </c>
      <c r="AC131" s="141" t="s">
        <v>2365</v>
      </c>
      <c r="AD131" s="122" t="s">
        <v>2366</v>
      </c>
      <c r="AE131" s="122" t="s">
        <v>235</v>
      </c>
      <c r="AF131" s="122" t="s">
        <v>2367</v>
      </c>
      <c r="AG131" s="122" t="s">
        <v>537</v>
      </c>
      <c r="AH131" s="122" t="s">
        <v>253</v>
      </c>
      <c r="AI131" s="122" t="s">
        <v>1585</v>
      </c>
      <c r="AJ131" s="122" t="s">
        <v>2368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253</v>
      </c>
      <c r="AP131" s="141" t="s">
        <v>253</v>
      </c>
      <c r="AQ131" s="141" t="s">
        <v>247</v>
      </c>
      <c r="AR131" s="141" t="s">
        <v>253</v>
      </c>
      <c r="AS131" s="141" t="s">
        <v>361</v>
      </c>
      <c r="AT131" s="141" t="s">
        <v>601</v>
      </c>
      <c r="AU131" s="141" t="s">
        <v>258</v>
      </c>
      <c r="AV131" s="122" t="s">
        <v>259</v>
      </c>
      <c r="AW131" s="122" t="s">
        <v>260</v>
      </c>
      <c r="AY131" s="141" t="s">
        <v>253</v>
      </c>
      <c r="AZ131" s="122" t="s">
        <v>2369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1430</v>
      </c>
      <c r="BH131" s="122" t="s">
        <v>1420</v>
      </c>
      <c r="BI131" s="142">
        <v>67</v>
      </c>
      <c r="BJ131" s="123">
        <v>42230</v>
      </c>
      <c r="BK131" s="139" t="s">
        <v>264</v>
      </c>
      <c r="BL131" s="140">
        <v>88.99</v>
      </c>
      <c r="BM131" s="122">
        <v>33</v>
      </c>
    </row>
    <row r="132" spans="1:65" x14ac:dyDescent="0.25">
      <c r="A132" s="122" t="s">
        <v>422</v>
      </c>
      <c r="B132" s="122" t="s">
        <v>2370</v>
      </c>
      <c r="C132" s="122" t="s">
        <v>2371</v>
      </c>
      <c r="D132" s="122" t="s">
        <v>2372</v>
      </c>
      <c r="E132" s="123">
        <v>42219</v>
      </c>
      <c r="F132" s="122" t="s">
        <v>2373</v>
      </c>
      <c r="G132" s="122" t="s">
        <v>235</v>
      </c>
      <c r="H132" s="122" t="s">
        <v>2374</v>
      </c>
      <c r="I132" s="122" t="s">
        <v>2375</v>
      </c>
      <c r="J132" s="122" t="s">
        <v>2376</v>
      </c>
      <c r="K132" s="122" t="s">
        <v>238</v>
      </c>
      <c r="L132" s="122" t="s">
        <v>1872</v>
      </c>
      <c r="M132" s="122" t="s">
        <v>2377</v>
      </c>
      <c r="O132" s="141" t="s">
        <v>2378</v>
      </c>
      <c r="P132" s="141" t="s">
        <v>2379</v>
      </c>
      <c r="Q132" s="122" t="s">
        <v>243</v>
      </c>
      <c r="R132" s="142">
        <v>68</v>
      </c>
      <c r="S132" s="122" t="s">
        <v>2380</v>
      </c>
      <c r="U132" s="122" t="s">
        <v>1420</v>
      </c>
      <c r="W132" s="122" t="s">
        <v>246</v>
      </c>
      <c r="X132" s="122" t="s">
        <v>739</v>
      </c>
      <c r="Y132" s="141" t="s">
        <v>306</v>
      </c>
      <c r="Z132" s="122" t="s">
        <v>2381</v>
      </c>
      <c r="AA132" s="141" t="s">
        <v>1969</v>
      </c>
      <c r="AB132" s="122" t="s">
        <v>2382</v>
      </c>
      <c r="AC132" s="141" t="s">
        <v>1327</v>
      </c>
      <c r="AD132" s="122" t="s">
        <v>2383</v>
      </c>
      <c r="AE132" s="122" t="s">
        <v>235</v>
      </c>
      <c r="AF132" s="122" t="s">
        <v>2384</v>
      </c>
      <c r="AG132" s="122" t="s">
        <v>537</v>
      </c>
      <c r="AH132" s="122" t="s">
        <v>253</v>
      </c>
      <c r="AI132" s="122" t="s">
        <v>2385</v>
      </c>
      <c r="AJ132" s="122" t="s">
        <v>2386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253</v>
      </c>
      <c r="AQ132" s="141" t="s">
        <v>247</v>
      </c>
      <c r="AR132" s="141" t="s">
        <v>253</v>
      </c>
      <c r="AS132" s="141" t="s">
        <v>601</v>
      </c>
      <c r="AT132" s="141" t="s">
        <v>601</v>
      </c>
      <c r="AU132" s="141" t="s">
        <v>258</v>
      </c>
      <c r="AV132" s="122" t="s">
        <v>259</v>
      </c>
      <c r="AW132" s="122" t="s">
        <v>260</v>
      </c>
      <c r="AY132" s="141" t="s">
        <v>253</v>
      </c>
      <c r="AZ132" s="122" t="s">
        <v>2387</v>
      </c>
      <c r="BA132" s="122" t="s">
        <v>262</v>
      </c>
      <c r="BB132" s="122" t="s">
        <v>262</v>
      </c>
      <c r="BC132" s="141" t="s">
        <v>312</v>
      </c>
      <c r="BD132" s="122" t="s">
        <v>253</v>
      </c>
      <c r="BE132" s="122" t="s">
        <v>263</v>
      </c>
      <c r="BF132" s="122" t="s">
        <v>1430</v>
      </c>
      <c r="BH132" s="122" t="s">
        <v>1420</v>
      </c>
      <c r="BI132" s="142">
        <v>68</v>
      </c>
      <c r="BJ132" s="123">
        <v>42233</v>
      </c>
      <c r="BK132" s="139" t="s">
        <v>606</v>
      </c>
      <c r="BM132" s="122">
        <v>34</v>
      </c>
    </row>
    <row r="133" spans="1:65" x14ac:dyDescent="0.25">
      <c r="A133" s="122" t="s">
        <v>422</v>
      </c>
      <c r="B133" s="122" t="s">
        <v>2388</v>
      </c>
      <c r="C133" s="122" t="s">
        <v>2389</v>
      </c>
      <c r="D133" s="122" t="s">
        <v>2390</v>
      </c>
      <c r="E133" s="123">
        <v>42219</v>
      </c>
      <c r="F133" s="122" t="s">
        <v>2391</v>
      </c>
      <c r="G133" s="122" t="s">
        <v>235</v>
      </c>
      <c r="H133" s="122" t="s">
        <v>2392</v>
      </c>
      <c r="I133" s="122" t="s">
        <v>1709</v>
      </c>
      <c r="J133" s="122" t="s">
        <v>2393</v>
      </c>
      <c r="K133" s="122" t="s">
        <v>238</v>
      </c>
      <c r="L133" s="122" t="s">
        <v>271</v>
      </c>
      <c r="M133" s="122" t="s">
        <v>1711</v>
      </c>
      <c r="Q133" s="122" t="s">
        <v>243</v>
      </c>
      <c r="R133" s="142">
        <v>69</v>
      </c>
      <c r="S133" s="122" t="s">
        <v>2394</v>
      </c>
      <c r="U133" s="122" t="s">
        <v>1420</v>
      </c>
      <c r="W133" s="122" t="s">
        <v>246</v>
      </c>
      <c r="X133" s="122" t="s">
        <v>376</v>
      </c>
      <c r="Y133" s="141" t="s">
        <v>2395</v>
      </c>
      <c r="Z133" s="122" t="s">
        <v>2396</v>
      </c>
      <c r="AA133" s="141" t="s">
        <v>2397</v>
      </c>
      <c r="AB133" s="122" t="s">
        <v>2396</v>
      </c>
      <c r="AC133" s="141" t="s">
        <v>2398</v>
      </c>
      <c r="AD133" s="122" t="s">
        <v>2396</v>
      </c>
      <c r="AE133" s="122" t="s">
        <v>235</v>
      </c>
      <c r="AF133" s="122" t="s">
        <v>2399</v>
      </c>
      <c r="AG133" s="122" t="s">
        <v>537</v>
      </c>
      <c r="AH133" s="122" t="s">
        <v>253</v>
      </c>
      <c r="AI133" s="122" t="s">
        <v>1715</v>
      </c>
      <c r="AJ133" s="122" t="s">
        <v>2400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253</v>
      </c>
      <c r="AQ133" s="141" t="s">
        <v>253</v>
      </c>
      <c r="AR133" s="141" t="s">
        <v>253</v>
      </c>
      <c r="AS133" s="141" t="s">
        <v>601</v>
      </c>
      <c r="AT133" s="141" t="s">
        <v>258</v>
      </c>
      <c r="AU133" s="141" t="s">
        <v>258</v>
      </c>
      <c r="AV133" s="122" t="s">
        <v>259</v>
      </c>
      <c r="AW133" s="122" t="s">
        <v>260</v>
      </c>
      <c r="AY133" s="141" t="s">
        <v>253</v>
      </c>
      <c r="AZ133" s="122" t="s">
        <v>2401</v>
      </c>
      <c r="BA133" s="122" t="s">
        <v>262</v>
      </c>
      <c r="BB133" s="122" t="s">
        <v>262</v>
      </c>
      <c r="BD133" s="122" t="s">
        <v>253</v>
      </c>
      <c r="BE133" s="122" t="s">
        <v>263</v>
      </c>
      <c r="BF133" s="122" t="s">
        <v>1430</v>
      </c>
      <c r="BH133" s="122" t="s">
        <v>1420</v>
      </c>
      <c r="BI133" s="142">
        <v>69</v>
      </c>
      <c r="BJ133" s="123">
        <v>42229</v>
      </c>
      <c r="BK133" s="139" t="s">
        <v>606</v>
      </c>
      <c r="BM133" s="122">
        <v>33</v>
      </c>
    </row>
    <row r="134" spans="1:65" x14ac:dyDescent="0.25">
      <c r="A134" s="122" t="s">
        <v>485</v>
      </c>
      <c r="B134" s="122" t="s">
        <v>2402</v>
      </c>
      <c r="C134" s="122" t="s">
        <v>2403</v>
      </c>
      <c r="D134" s="122" t="s">
        <v>2404</v>
      </c>
      <c r="E134" s="123">
        <v>42219</v>
      </c>
      <c r="F134" s="122" t="s">
        <v>2405</v>
      </c>
      <c r="G134" s="122" t="s">
        <v>235</v>
      </c>
      <c r="H134" s="122" t="s">
        <v>2406</v>
      </c>
      <c r="I134" s="122" t="s">
        <v>2407</v>
      </c>
      <c r="J134" s="122" t="s">
        <v>2408</v>
      </c>
      <c r="K134" s="122" t="s">
        <v>238</v>
      </c>
      <c r="L134" s="122" t="s">
        <v>271</v>
      </c>
      <c r="M134" s="122" t="s">
        <v>1907</v>
      </c>
      <c r="O134" s="141" t="s">
        <v>613</v>
      </c>
      <c r="P134" s="141" t="s">
        <v>2409</v>
      </c>
      <c r="Q134" s="122" t="s">
        <v>243</v>
      </c>
      <c r="R134" s="142">
        <v>70</v>
      </c>
      <c r="S134" s="122" t="s">
        <v>2410</v>
      </c>
      <c r="U134" s="122" t="s">
        <v>1420</v>
      </c>
      <c r="W134" s="122" t="s">
        <v>246</v>
      </c>
      <c r="X134" s="122" t="s">
        <v>1643</v>
      </c>
      <c r="Y134" s="141" t="s">
        <v>535</v>
      </c>
      <c r="Z134" s="122" t="s">
        <v>249</v>
      </c>
      <c r="AA134" s="141" t="s">
        <v>742</v>
      </c>
      <c r="AB134" s="122" t="s">
        <v>1792</v>
      </c>
      <c r="AC134" s="141" t="s">
        <v>899</v>
      </c>
      <c r="AD134" s="122" t="s">
        <v>2411</v>
      </c>
      <c r="AE134" s="122" t="s">
        <v>235</v>
      </c>
      <c r="AF134" s="122" t="s">
        <v>2412</v>
      </c>
      <c r="AG134" s="122" t="s">
        <v>537</v>
      </c>
      <c r="AH134" s="122" t="s">
        <v>253</v>
      </c>
      <c r="AI134" s="122" t="s">
        <v>2413</v>
      </c>
      <c r="AJ134" s="122" t="s">
        <v>2414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247</v>
      </c>
      <c r="AQ134" s="141" t="s">
        <v>247</v>
      </c>
      <c r="AR134" s="141" t="s">
        <v>253</v>
      </c>
      <c r="AS134" s="141" t="s">
        <v>601</v>
      </c>
      <c r="AT134" s="141" t="s">
        <v>601</v>
      </c>
      <c r="AU134" s="141" t="s">
        <v>258</v>
      </c>
      <c r="AV134" s="122" t="s">
        <v>259</v>
      </c>
      <c r="AW134" s="122" t="s">
        <v>260</v>
      </c>
      <c r="AX134" s="141" t="s">
        <v>2415</v>
      </c>
      <c r="AY134" s="141" t="s">
        <v>603</v>
      </c>
      <c r="AZ134" s="122" t="s">
        <v>2416</v>
      </c>
      <c r="BA134" s="122" t="s">
        <v>262</v>
      </c>
      <c r="BB134" s="122" t="s">
        <v>2417</v>
      </c>
      <c r="BC134" s="141" t="s">
        <v>312</v>
      </c>
      <c r="BD134" s="122" t="s">
        <v>253</v>
      </c>
      <c r="BE134" s="122" t="s">
        <v>263</v>
      </c>
      <c r="BF134" s="122" t="s">
        <v>1430</v>
      </c>
      <c r="BH134" s="122" t="s">
        <v>1420</v>
      </c>
      <c r="BI134" s="142">
        <v>70</v>
      </c>
      <c r="BJ134" s="123">
        <v>42222</v>
      </c>
      <c r="BK134" s="139" t="s">
        <v>264</v>
      </c>
      <c r="BL134" s="140">
        <v>190</v>
      </c>
      <c r="BM134" s="122">
        <v>32</v>
      </c>
    </row>
    <row r="135" spans="1:65" x14ac:dyDescent="0.25">
      <c r="A135" s="122" t="s">
        <v>485</v>
      </c>
      <c r="B135" s="122" t="s">
        <v>2418</v>
      </c>
      <c r="C135" s="122" t="s">
        <v>2419</v>
      </c>
      <c r="D135" s="122" t="s">
        <v>2420</v>
      </c>
      <c r="E135" s="123">
        <v>42219</v>
      </c>
      <c r="F135" s="122" t="s">
        <v>2421</v>
      </c>
      <c r="G135" s="122" t="s">
        <v>235</v>
      </c>
      <c r="H135" s="122" t="s">
        <v>2422</v>
      </c>
      <c r="I135" s="122" t="s">
        <v>2423</v>
      </c>
      <c r="K135" s="122" t="s">
        <v>472</v>
      </c>
      <c r="L135" s="122" t="s">
        <v>473</v>
      </c>
      <c r="M135" s="122" t="s">
        <v>2272</v>
      </c>
      <c r="N135" s="122" t="s">
        <v>2424</v>
      </c>
      <c r="O135" s="141" t="s">
        <v>613</v>
      </c>
      <c r="P135" s="141" t="s">
        <v>2425</v>
      </c>
      <c r="Q135" s="122" t="s">
        <v>243</v>
      </c>
      <c r="R135" s="142">
        <v>71</v>
      </c>
      <c r="S135" s="122" t="s">
        <v>2426</v>
      </c>
      <c r="U135" s="122" t="s">
        <v>1420</v>
      </c>
      <c r="W135" s="122" t="s">
        <v>246</v>
      </c>
      <c r="X135" s="122" t="s">
        <v>260</v>
      </c>
      <c r="Y135" s="141" t="s">
        <v>784</v>
      </c>
      <c r="Z135" s="122" t="s">
        <v>2427</v>
      </c>
      <c r="AA135" s="141" t="s">
        <v>1398</v>
      </c>
      <c r="AB135" s="122" t="s">
        <v>2428</v>
      </c>
      <c r="AC135" s="141" t="s">
        <v>2429</v>
      </c>
      <c r="AD135" s="122" t="s">
        <v>2430</v>
      </c>
      <c r="AE135" s="122" t="s">
        <v>235</v>
      </c>
      <c r="AF135" s="122" t="s">
        <v>2431</v>
      </c>
      <c r="AG135" s="122" t="s">
        <v>253</v>
      </c>
      <c r="AH135" s="122" t="s">
        <v>253</v>
      </c>
      <c r="AI135" s="122" t="s">
        <v>2432</v>
      </c>
      <c r="AJ135" s="122" t="s">
        <v>2433</v>
      </c>
      <c r="AK135" s="122" t="s">
        <v>2433</v>
      </c>
      <c r="AL135" s="122" t="s">
        <v>253</v>
      </c>
      <c r="AM135" s="122" t="s">
        <v>253</v>
      </c>
      <c r="AN135" s="122" t="s">
        <v>253</v>
      </c>
      <c r="AO135" s="141" t="s">
        <v>253</v>
      </c>
      <c r="AP135" s="141" t="s">
        <v>253</v>
      </c>
      <c r="AQ135" s="141" t="s">
        <v>247</v>
      </c>
      <c r="AR135" s="141" t="s">
        <v>253</v>
      </c>
      <c r="AS135" s="141" t="s">
        <v>361</v>
      </c>
      <c r="AT135" s="141" t="s">
        <v>601</v>
      </c>
      <c r="AU135" s="141" t="s">
        <v>258</v>
      </c>
      <c r="AV135" s="122" t="s">
        <v>259</v>
      </c>
      <c r="AW135" s="122" t="s">
        <v>260</v>
      </c>
      <c r="AY135" s="141" t="s">
        <v>253</v>
      </c>
      <c r="AZ135" s="122" t="s">
        <v>2434</v>
      </c>
      <c r="BA135" s="122" t="s">
        <v>262</v>
      </c>
      <c r="BB135" s="122" t="s">
        <v>2434</v>
      </c>
      <c r="BC135" s="141" t="s">
        <v>312</v>
      </c>
      <c r="BD135" s="122" t="s">
        <v>253</v>
      </c>
      <c r="BE135" s="122" t="s">
        <v>263</v>
      </c>
      <c r="BF135" s="122" t="s">
        <v>1430</v>
      </c>
      <c r="BH135" s="122" t="s">
        <v>1420</v>
      </c>
      <c r="BI135" s="142">
        <v>71</v>
      </c>
      <c r="BJ135" s="123">
        <v>42221</v>
      </c>
      <c r="BK135" s="139" t="s">
        <v>264</v>
      </c>
      <c r="BL135" s="140">
        <v>148</v>
      </c>
      <c r="BM135" s="122">
        <v>32</v>
      </c>
    </row>
    <row r="136" spans="1:65" x14ac:dyDescent="0.25">
      <c r="A136" s="122" t="s">
        <v>485</v>
      </c>
      <c r="B136" s="122" t="s">
        <v>2435</v>
      </c>
      <c r="C136" s="122" t="s">
        <v>2436</v>
      </c>
      <c r="D136" s="122" t="s">
        <v>2437</v>
      </c>
      <c r="E136" s="123">
        <v>42219</v>
      </c>
      <c r="F136" s="122" t="s">
        <v>2438</v>
      </c>
      <c r="G136" s="122" t="s">
        <v>235</v>
      </c>
      <c r="H136" s="122" t="s">
        <v>2439</v>
      </c>
      <c r="I136" s="122" t="s">
        <v>2440</v>
      </c>
      <c r="K136" s="122" t="s">
        <v>238</v>
      </c>
      <c r="L136" s="122" t="s">
        <v>271</v>
      </c>
      <c r="M136" s="122" t="s">
        <v>2441</v>
      </c>
      <c r="O136" s="141" t="s">
        <v>2442</v>
      </c>
      <c r="P136" s="141" t="s">
        <v>2443</v>
      </c>
      <c r="Q136" s="122" t="s">
        <v>243</v>
      </c>
      <c r="R136" s="142">
        <v>72</v>
      </c>
      <c r="S136" s="122" t="s">
        <v>2444</v>
      </c>
      <c r="U136" s="122" t="s">
        <v>1420</v>
      </c>
      <c r="W136" s="122" t="s">
        <v>246</v>
      </c>
      <c r="X136" s="122" t="s">
        <v>497</v>
      </c>
      <c r="Y136" s="141" t="s">
        <v>1256</v>
      </c>
      <c r="Z136" s="122" t="s">
        <v>2445</v>
      </c>
      <c r="AA136" s="141" t="s">
        <v>478</v>
      </c>
      <c r="AB136" s="122" t="s">
        <v>2446</v>
      </c>
      <c r="AC136" s="141" t="s">
        <v>2259</v>
      </c>
      <c r="AD136" s="122" t="s">
        <v>2446</v>
      </c>
      <c r="AE136" s="122" t="s">
        <v>235</v>
      </c>
      <c r="AF136" s="122" t="s">
        <v>2447</v>
      </c>
      <c r="AG136" s="122" t="s">
        <v>537</v>
      </c>
      <c r="AH136" s="122" t="s">
        <v>253</v>
      </c>
      <c r="AI136" s="122" t="s">
        <v>2448</v>
      </c>
      <c r="AJ136" s="122" t="s">
        <v>2449</v>
      </c>
      <c r="AK136" s="122" t="s">
        <v>253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247</v>
      </c>
      <c r="AR136" s="141" t="s">
        <v>253</v>
      </c>
      <c r="AS136" s="141" t="s">
        <v>601</v>
      </c>
      <c r="AT136" s="141" t="s">
        <v>601</v>
      </c>
      <c r="AU136" s="141" t="s">
        <v>258</v>
      </c>
      <c r="AV136" s="122" t="s">
        <v>259</v>
      </c>
      <c r="AW136" s="122" t="s">
        <v>260</v>
      </c>
      <c r="AY136" s="141" t="s">
        <v>253</v>
      </c>
      <c r="AZ136" s="122" t="s">
        <v>2450</v>
      </c>
      <c r="BA136" s="122" t="s">
        <v>262</v>
      </c>
      <c r="BB136" s="122" t="s">
        <v>262</v>
      </c>
      <c r="BC136" s="141" t="s">
        <v>312</v>
      </c>
      <c r="BD136" s="122" t="s">
        <v>253</v>
      </c>
      <c r="BE136" s="122" t="s">
        <v>263</v>
      </c>
      <c r="BF136" s="122" t="s">
        <v>1430</v>
      </c>
      <c r="BH136" s="122" t="s">
        <v>1420</v>
      </c>
      <c r="BI136" s="142">
        <v>72</v>
      </c>
      <c r="BJ136" s="123">
        <v>42223</v>
      </c>
      <c r="BK136" s="139" t="s">
        <v>264</v>
      </c>
      <c r="BL136" s="140">
        <v>150.44999999999999</v>
      </c>
      <c r="BM136" s="122">
        <v>32</v>
      </c>
    </row>
    <row r="137" spans="1:65" x14ac:dyDescent="0.25">
      <c r="A137" s="122" t="s">
        <v>485</v>
      </c>
      <c r="B137" s="122" t="s">
        <v>2451</v>
      </c>
      <c r="C137" s="122" t="s">
        <v>2452</v>
      </c>
      <c r="D137" s="122" t="s">
        <v>2453</v>
      </c>
      <c r="E137" s="123">
        <v>42219</v>
      </c>
      <c r="F137" s="122" t="s">
        <v>2454</v>
      </c>
      <c r="G137" s="122" t="s">
        <v>235</v>
      </c>
      <c r="H137" s="122" t="s">
        <v>2455</v>
      </c>
      <c r="I137" s="122" t="s">
        <v>2456</v>
      </c>
      <c r="J137" s="122" t="s">
        <v>1239</v>
      </c>
      <c r="K137" s="122" t="s">
        <v>238</v>
      </c>
      <c r="L137" s="122" t="s">
        <v>429</v>
      </c>
      <c r="M137" s="122" t="s">
        <v>1774</v>
      </c>
      <c r="O137" s="141" t="s">
        <v>299</v>
      </c>
      <c r="P137" s="141" t="s">
        <v>2457</v>
      </c>
      <c r="Q137" s="122" t="s">
        <v>243</v>
      </c>
      <c r="R137" s="142">
        <v>73</v>
      </c>
      <c r="S137" s="122" t="s">
        <v>2458</v>
      </c>
      <c r="U137" s="122" t="s">
        <v>1420</v>
      </c>
      <c r="V137" s="122" t="s">
        <v>351</v>
      </c>
      <c r="W137" s="122" t="s">
        <v>246</v>
      </c>
      <c r="X137" s="122" t="s">
        <v>631</v>
      </c>
      <c r="Y137" s="141" t="s">
        <v>534</v>
      </c>
      <c r="Z137" s="122" t="s">
        <v>2459</v>
      </c>
      <c r="AA137" s="141" t="s">
        <v>500</v>
      </c>
      <c r="AB137" s="122" t="s">
        <v>249</v>
      </c>
      <c r="AC137" s="141" t="s">
        <v>635</v>
      </c>
      <c r="AD137" s="122" t="s">
        <v>1545</v>
      </c>
      <c r="AE137" s="122" t="s">
        <v>235</v>
      </c>
      <c r="AF137" s="122" t="s">
        <v>2460</v>
      </c>
      <c r="AG137" s="122" t="s">
        <v>747</v>
      </c>
      <c r="AH137" s="122" t="s">
        <v>253</v>
      </c>
      <c r="AI137" s="122" t="s">
        <v>2461</v>
      </c>
      <c r="AJ137" s="122" t="s">
        <v>2462</v>
      </c>
      <c r="AK137" s="122" t="s">
        <v>253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247</v>
      </c>
      <c r="AQ137" s="141" t="s">
        <v>247</v>
      </c>
      <c r="AR137" s="141" t="s">
        <v>253</v>
      </c>
      <c r="AS137" s="141" t="s">
        <v>601</v>
      </c>
      <c r="AT137" s="141" t="s">
        <v>601</v>
      </c>
      <c r="AU137" s="141" t="s">
        <v>258</v>
      </c>
      <c r="AV137" s="122" t="s">
        <v>259</v>
      </c>
      <c r="AW137" s="122" t="s">
        <v>260</v>
      </c>
      <c r="AX137" s="141" t="s">
        <v>1149</v>
      </c>
      <c r="AY137" s="141" t="s">
        <v>260</v>
      </c>
      <c r="AZ137" s="122" t="s">
        <v>2463</v>
      </c>
      <c r="BA137" s="122" t="s">
        <v>2464</v>
      </c>
      <c r="BB137" s="122" t="s">
        <v>2465</v>
      </c>
      <c r="BC137" s="141" t="s">
        <v>312</v>
      </c>
      <c r="BD137" s="122" t="s">
        <v>253</v>
      </c>
      <c r="BE137" s="122" t="s">
        <v>263</v>
      </c>
      <c r="BF137" s="122" t="s">
        <v>1430</v>
      </c>
      <c r="BH137" s="122" t="s">
        <v>1420</v>
      </c>
      <c r="BI137" s="142">
        <v>73</v>
      </c>
      <c r="BJ137" s="123">
        <v>42227</v>
      </c>
      <c r="BK137" s="139" t="s">
        <v>606</v>
      </c>
      <c r="BM137" s="122">
        <v>33</v>
      </c>
    </row>
    <row r="138" spans="1:65" x14ac:dyDescent="0.25">
      <c r="A138" s="122" t="s">
        <v>485</v>
      </c>
      <c r="B138" s="122" t="s">
        <v>2466</v>
      </c>
      <c r="C138" s="122" t="s">
        <v>2467</v>
      </c>
      <c r="D138" s="122" t="s">
        <v>2468</v>
      </c>
      <c r="E138" s="123">
        <v>42219</v>
      </c>
      <c r="F138" s="122" t="s">
        <v>511</v>
      </c>
      <c r="G138" s="122" t="s">
        <v>235</v>
      </c>
      <c r="H138" s="122" t="s">
        <v>448</v>
      </c>
      <c r="I138" s="122" t="s">
        <v>2469</v>
      </c>
      <c r="K138" s="122" t="s">
        <v>238</v>
      </c>
      <c r="L138" s="122" t="s">
        <v>429</v>
      </c>
      <c r="M138" s="122" t="s">
        <v>1466</v>
      </c>
      <c r="O138" s="141" t="s">
        <v>1055</v>
      </c>
      <c r="P138" s="141" t="s">
        <v>2470</v>
      </c>
      <c r="Q138" s="122" t="s">
        <v>243</v>
      </c>
      <c r="R138" s="142">
        <v>74</v>
      </c>
      <c r="S138" s="122" t="s">
        <v>2471</v>
      </c>
      <c r="U138" s="122" t="s">
        <v>1420</v>
      </c>
      <c r="W138" s="122" t="s">
        <v>246</v>
      </c>
      <c r="X138" s="122" t="s">
        <v>376</v>
      </c>
      <c r="Z138" s="122" t="s">
        <v>250</v>
      </c>
      <c r="AB138" s="122" t="s">
        <v>250</v>
      </c>
      <c r="AD138" s="122" t="s">
        <v>250</v>
      </c>
      <c r="AE138" s="122" t="s">
        <v>235</v>
      </c>
      <c r="AF138" s="122" t="s">
        <v>2472</v>
      </c>
      <c r="AG138" s="122" t="s">
        <v>537</v>
      </c>
      <c r="AH138" s="122" t="s">
        <v>253</v>
      </c>
      <c r="AI138" s="122" t="s">
        <v>2473</v>
      </c>
      <c r="AJ138" s="122" t="s">
        <v>2474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253</v>
      </c>
      <c r="AP138" s="141" t="s">
        <v>253</v>
      </c>
      <c r="AQ138" s="141" t="s">
        <v>247</v>
      </c>
      <c r="AR138" s="141" t="s">
        <v>253</v>
      </c>
      <c r="AS138" s="141" t="s">
        <v>361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41" t="s">
        <v>253</v>
      </c>
      <c r="AZ138" s="122" t="s">
        <v>262</v>
      </c>
      <c r="BA138" s="122" t="s">
        <v>262</v>
      </c>
      <c r="BB138" s="122" t="s">
        <v>2475</v>
      </c>
      <c r="BD138" s="122" t="s">
        <v>253</v>
      </c>
      <c r="BE138" s="122" t="s">
        <v>263</v>
      </c>
      <c r="BF138" s="122" t="s">
        <v>1430</v>
      </c>
      <c r="BH138" s="122" t="s">
        <v>1420</v>
      </c>
      <c r="BI138" s="142">
        <v>74</v>
      </c>
      <c r="BJ138" s="123">
        <v>42229</v>
      </c>
      <c r="BK138" s="139" t="s">
        <v>606</v>
      </c>
      <c r="BM138" s="122">
        <v>33</v>
      </c>
    </row>
    <row r="139" spans="1:65" x14ac:dyDescent="0.25">
      <c r="A139" s="122" t="s">
        <v>485</v>
      </c>
      <c r="B139" s="122" t="s">
        <v>2476</v>
      </c>
      <c r="C139" s="122" t="s">
        <v>2477</v>
      </c>
      <c r="D139" s="122" t="s">
        <v>2478</v>
      </c>
      <c r="E139" s="123">
        <v>42219</v>
      </c>
      <c r="F139" s="122" t="s">
        <v>1327</v>
      </c>
      <c r="G139" s="122" t="s">
        <v>235</v>
      </c>
      <c r="H139" s="122" t="s">
        <v>2479</v>
      </c>
      <c r="I139" s="122" t="s">
        <v>2480</v>
      </c>
      <c r="K139" s="122" t="s">
        <v>238</v>
      </c>
      <c r="L139" s="122" t="s">
        <v>297</v>
      </c>
      <c r="M139" s="122" t="s">
        <v>2481</v>
      </c>
      <c r="O139" s="141" t="s">
        <v>548</v>
      </c>
      <c r="P139" s="141" t="s">
        <v>2482</v>
      </c>
      <c r="Q139" s="122" t="s">
        <v>243</v>
      </c>
      <c r="R139" s="142">
        <v>75</v>
      </c>
      <c r="S139" s="122" t="s">
        <v>2483</v>
      </c>
      <c r="U139" s="122" t="s">
        <v>1420</v>
      </c>
      <c r="W139" s="122" t="s">
        <v>246</v>
      </c>
      <c r="X139" s="122" t="s">
        <v>721</v>
      </c>
      <c r="Y139" s="141" t="s">
        <v>1440</v>
      </c>
      <c r="Z139" s="122" t="s">
        <v>2484</v>
      </c>
      <c r="AA139" s="141" t="s">
        <v>819</v>
      </c>
      <c r="AB139" s="122" t="s">
        <v>2485</v>
      </c>
      <c r="AD139" s="122" t="s">
        <v>250</v>
      </c>
      <c r="AE139" s="122" t="s">
        <v>235</v>
      </c>
      <c r="AF139" s="122" t="s">
        <v>2486</v>
      </c>
      <c r="AG139" s="122" t="s">
        <v>537</v>
      </c>
      <c r="AH139" s="122" t="s">
        <v>253</v>
      </c>
      <c r="AI139" s="122" t="s">
        <v>2487</v>
      </c>
      <c r="AJ139" s="122" t="s">
        <v>2488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247</v>
      </c>
      <c r="AR139" s="141" t="s">
        <v>247</v>
      </c>
      <c r="AS139" s="141" t="s">
        <v>601</v>
      </c>
      <c r="AT139" s="141" t="s">
        <v>601</v>
      </c>
      <c r="AU139" s="141" t="s">
        <v>601</v>
      </c>
      <c r="AV139" s="122" t="s">
        <v>259</v>
      </c>
      <c r="AW139" s="122" t="s">
        <v>260</v>
      </c>
      <c r="AY139" s="141" t="s">
        <v>253</v>
      </c>
      <c r="AZ139" s="122" t="s">
        <v>2489</v>
      </c>
      <c r="BA139" s="122" t="s">
        <v>262</v>
      </c>
      <c r="BB139" s="122" t="s">
        <v>262</v>
      </c>
      <c r="BD139" s="122" t="s">
        <v>253</v>
      </c>
      <c r="BE139" s="122" t="s">
        <v>263</v>
      </c>
      <c r="BF139" s="122" t="s">
        <v>1430</v>
      </c>
      <c r="BH139" s="122" t="s">
        <v>1420</v>
      </c>
      <c r="BI139" s="142">
        <v>75</v>
      </c>
      <c r="BJ139" s="123">
        <v>42231</v>
      </c>
      <c r="BK139" s="139" t="s">
        <v>264</v>
      </c>
      <c r="BL139" s="140">
        <v>346.33</v>
      </c>
      <c r="BM139" s="122">
        <v>33</v>
      </c>
    </row>
    <row r="140" spans="1:65" x14ac:dyDescent="0.25">
      <c r="A140" s="122" t="s">
        <v>485</v>
      </c>
      <c r="B140" s="122" t="s">
        <v>2490</v>
      </c>
      <c r="C140" s="122" t="s">
        <v>2491</v>
      </c>
      <c r="D140" s="122" t="s">
        <v>2492</v>
      </c>
      <c r="E140" s="123">
        <v>42219</v>
      </c>
      <c r="F140" s="122" t="s">
        <v>2493</v>
      </c>
      <c r="G140" s="122" t="s">
        <v>235</v>
      </c>
      <c r="H140" s="122" t="s">
        <v>2494</v>
      </c>
      <c r="I140" s="122" t="s">
        <v>2495</v>
      </c>
      <c r="K140" s="122" t="s">
        <v>238</v>
      </c>
      <c r="L140" s="122" t="s">
        <v>297</v>
      </c>
      <c r="M140" s="122" t="s">
        <v>2496</v>
      </c>
      <c r="N140" s="122" t="s">
        <v>2497</v>
      </c>
      <c r="O140" s="141" t="s">
        <v>613</v>
      </c>
      <c r="P140" s="141" t="s">
        <v>2498</v>
      </c>
      <c r="Q140" s="122" t="s">
        <v>243</v>
      </c>
      <c r="R140" s="142">
        <v>76</v>
      </c>
      <c r="S140" s="122" t="s">
        <v>2499</v>
      </c>
      <c r="U140" s="122" t="s">
        <v>1420</v>
      </c>
      <c r="W140" s="122" t="s">
        <v>246</v>
      </c>
      <c r="X140" s="122" t="s">
        <v>497</v>
      </c>
      <c r="Y140" s="141" t="s">
        <v>956</v>
      </c>
      <c r="Z140" s="122" t="s">
        <v>2500</v>
      </c>
      <c r="AA140" s="141" t="s">
        <v>1896</v>
      </c>
      <c r="AB140" s="122" t="s">
        <v>2501</v>
      </c>
      <c r="AC140" s="141" t="s">
        <v>724</v>
      </c>
      <c r="AD140" s="122" t="s">
        <v>2502</v>
      </c>
      <c r="AE140" s="122" t="s">
        <v>235</v>
      </c>
      <c r="AF140" s="122" t="s">
        <v>2503</v>
      </c>
      <c r="AG140" s="122" t="s">
        <v>537</v>
      </c>
      <c r="AH140" s="122" t="s">
        <v>253</v>
      </c>
      <c r="AI140" s="122" t="s">
        <v>2504</v>
      </c>
      <c r="AJ140" s="122" t="s">
        <v>2505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253</v>
      </c>
      <c r="AQ140" s="141" t="s">
        <v>247</v>
      </c>
      <c r="AR140" s="141" t="s">
        <v>253</v>
      </c>
      <c r="AS140" s="141" t="s">
        <v>601</v>
      </c>
      <c r="AT140" s="141" t="s">
        <v>601</v>
      </c>
      <c r="AU140" s="141" t="s">
        <v>258</v>
      </c>
      <c r="AV140" s="122" t="s">
        <v>259</v>
      </c>
      <c r="AW140" s="122" t="s">
        <v>260</v>
      </c>
      <c r="AY140" s="141" t="s">
        <v>253</v>
      </c>
      <c r="AZ140" s="122" t="s">
        <v>2506</v>
      </c>
      <c r="BA140" s="122" t="s">
        <v>262</v>
      </c>
      <c r="BB140" s="122" t="s">
        <v>262</v>
      </c>
      <c r="BC140" s="141" t="s">
        <v>312</v>
      </c>
      <c r="BD140" s="122" t="s">
        <v>253</v>
      </c>
      <c r="BE140" s="122" t="s">
        <v>263</v>
      </c>
      <c r="BF140" s="122" t="s">
        <v>1430</v>
      </c>
      <c r="BH140" s="122" t="s">
        <v>1420</v>
      </c>
      <c r="BI140" s="142">
        <v>76</v>
      </c>
      <c r="BJ140" s="123">
        <v>42221</v>
      </c>
      <c r="BK140" s="139" t="s">
        <v>264</v>
      </c>
      <c r="BL140" s="140">
        <v>150.26</v>
      </c>
      <c r="BM140" s="122">
        <v>32</v>
      </c>
    </row>
    <row r="141" spans="1:65" x14ac:dyDescent="0.25">
      <c r="A141" s="122" t="s">
        <v>485</v>
      </c>
      <c r="B141" s="122" t="s">
        <v>2507</v>
      </c>
      <c r="C141" s="122" t="s">
        <v>2508</v>
      </c>
      <c r="D141" s="122" t="s">
        <v>2509</v>
      </c>
      <c r="E141" s="123">
        <v>42219</v>
      </c>
      <c r="F141" s="122" t="s">
        <v>765</v>
      </c>
      <c r="G141" s="122" t="s">
        <v>235</v>
      </c>
      <c r="H141" s="122" t="s">
        <v>2510</v>
      </c>
      <c r="I141" s="122" t="s">
        <v>2511</v>
      </c>
      <c r="K141" s="122" t="s">
        <v>238</v>
      </c>
      <c r="L141" s="122" t="s">
        <v>297</v>
      </c>
      <c r="M141" s="122" t="s">
        <v>2006</v>
      </c>
      <c r="O141" s="141" t="s">
        <v>1467</v>
      </c>
      <c r="P141" s="141" t="s">
        <v>2512</v>
      </c>
      <c r="Q141" s="122" t="s">
        <v>243</v>
      </c>
      <c r="R141" s="142">
        <v>77</v>
      </c>
      <c r="S141" s="122" t="s">
        <v>2513</v>
      </c>
      <c r="U141" s="122" t="s">
        <v>1420</v>
      </c>
      <c r="W141" s="122" t="s">
        <v>246</v>
      </c>
      <c r="X141" s="122" t="s">
        <v>497</v>
      </c>
      <c r="Y141" s="141" t="s">
        <v>455</v>
      </c>
      <c r="Z141" s="122" t="s">
        <v>2514</v>
      </c>
      <c r="AA141" s="141" t="s">
        <v>2259</v>
      </c>
      <c r="AB141" s="122" t="s">
        <v>2515</v>
      </c>
      <c r="AD141" s="122" t="s">
        <v>250</v>
      </c>
      <c r="AE141" s="122" t="s">
        <v>235</v>
      </c>
      <c r="AF141" s="122" t="s">
        <v>2516</v>
      </c>
      <c r="AG141" s="122" t="s">
        <v>537</v>
      </c>
      <c r="AH141" s="122" t="s">
        <v>253</v>
      </c>
      <c r="AI141" s="122" t="s">
        <v>2517</v>
      </c>
      <c r="AJ141" s="122" t="s">
        <v>2518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247</v>
      </c>
      <c r="AQ141" s="141" t="s">
        <v>253</v>
      </c>
      <c r="AR141" s="141" t="s">
        <v>253</v>
      </c>
      <c r="AS141" s="141" t="s">
        <v>601</v>
      </c>
      <c r="AT141" s="141" t="s">
        <v>258</v>
      </c>
      <c r="AU141" s="141" t="s">
        <v>258</v>
      </c>
      <c r="AV141" s="122" t="s">
        <v>259</v>
      </c>
      <c r="AW141" s="122" t="s">
        <v>260</v>
      </c>
      <c r="AY141" s="141" t="s">
        <v>253</v>
      </c>
      <c r="AZ141" s="122" t="s">
        <v>2519</v>
      </c>
      <c r="BA141" s="122" t="s">
        <v>262</v>
      </c>
      <c r="BB141" s="122" t="s">
        <v>262</v>
      </c>
      <c r="BD141" s="122" t="s">
        <v>253</v>
      </c>
      <c r="BE141" s="122" t="s">
        <v>263</v>
      </c>
      <c r="BF141" s="122" t="s">
        <v>1430</v>
      </c>
      <c r="BH141" s="122" t="s">
        <v>1420</v>
      </c>
      <c r="BI141" s="142">
        <v>77</v>
      </c>
      <c r="BJ141" s="123">
        <v>42229</v>
      </c>
      <c r="BK141" s="139" t="s">
        <v>264</v>
      </c>
      <c r="BL141" s="140">
        <v>110.09</v>
      </c>
      <c r="BM141" s="122">
        <v>33</v>
      </c>
    </row>
    <row r="142" spans="1:65" x14ac:dyDescent="0.25">
      <c r="A142" s="122" t="s">
        <v>485</v>
      </c>
      <c r="B142" s="122" t="s">
        <v>2520</v>
      </c>
      <c r="C142" s="122" t="s">
        <v>2521</v>
      </c>
      <c r="D142" s="122" t="s">
        <v>2522</v>
      </c>
      <c r="E142" s="123">
        <v>42219</v>
      </c>
      <c r="F142" s="122" t="s">
        <v>1567</v>
      </c>
      <c r="G142" s="122" t="s">
        <v>235</v>
      </c>
      <c r="H142" s="122" t="s">
        <v>2523</v>
      </c>
      <c r="I142" s="122" t="s">
        <v>2524</v>
      </c>
      <c r="K142" s="122" t="s">
        <v>238</v>
      </c>
      <c r="L142" s="122" t="s">
        <v>388</v>
      </c>
      <c r="M142" s="122" t="s">
        <v>2237</v>
      </c>
      <c r="N142" s="122" t="s">
        <v>2525</v>
      </c>
      <c r="O142" s="141" t="s">
        <v>2526</v>
      </c>
      <c r="P142" s="141" t="s">
        <v>2527</v>
      </c>
      <c r="Q142" s="122" t="s">
        <v>243</v>
      </c>
      <c r="R142" s="142">
        <v>78</v>
      </c>
      <c r="S142" s="122" t="s">
        <v>2528</v>
      </c>
      <c r="U142" s="122" t="s">
        <v>1420</v>
      </c>
      <c r="W142" s="122" t="s">
        <v>246</v>
      </c>
      <c r="X142" s="122" t="s">
        <v>631</v>
      </c>
      <c r="Y142" s="141" t="s">
        <v>1258</v>
      </c>
      <c r="Z142" s="122" t="s">
        <v>2529</v>
      </c>
      <c r="AA142" s="141" t="s">
        <v>1498</v>
      </c>
      <c r="AB142" s="122" t="s">
        <v>2530</v>
      </c>
      <c r="AD142" s="122" t="s">
        <v>250</v>
      </c>
      <c r="AE142" s="122" t="s">
        <v>235</v>
      </c>
      <c r="AF142" s="122" t="s">
        <v>2531</v>
      </c>
      <c r="AG142" s="122" t="s">
        <v>537</v>
      </c>
      <c r="AH142" s="122" t="s">
        <v>253</v>
      </c>
      <c r="AI142" s="122" t="s">
        <v>2532</v>
      </c>
      <c r="AJ142" s="122" t="s">
        <v>2533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253</v>
      </c>
      <c r="AS142" s="141" t="s">
        <v>601</v>
      </c>
      <c r="AT142" s="141" t="s">
        <v>601</v>
      </c>
      <c r="AU142" s="141" t="s">
        <v>258</v>
      </c>
      <c r="AV142" s="122" t="s">
        <v>259</v>
      </c>
      <c r="AW142" s="122" t="s">
        <v>260</v>
      </c>
      <c r="AX142" s="141" t="s">
        <v>2534</v>
      </c>
      <c r="AY142" s="141" t="s">
        <v>247</v>
      </c>
      <c r="AZ142" s="122" t="s">
        <v>2535</v>
      </c>
      <c r="BA142" s="122" t="s">
        <v>262</v>
      </c>
      <c r="BB142" s="122" t="s">
        <v>262</v>
      </c>
      <c r="BD142" s="122" t="s">
        <v>253</v>
      </c>
      <c r="BE142" s="122" t="s">
        <v>263</v>
      </c>
      <c r="BF142" s="122" t="s">
        <v>1430</v>
      </c>
      <c r="BH142" s="122" t="s">
        <v>1420</v>
      </c>
      <c r="BI142" s="142">
        <v>78</v>
      </c>
      <c r="BJ142" s="123">
        <v>42233</v>
      </c>
      <c r="BK142" s="139" t="s">
        <v>606</v>
      </c>
      <c r="BM142" s="122">
        <v>34</v>
      </c>
    </row>
    <row r="143" spans="1:65" x14ac:dyDescent="0.25">
      <c r="A143" s="122" t="s">
        <v>485</v>
      </c>
      <c r="B143" s="122" t="s">
        <v>2536</v>
      </c>
      <c r="C143" s="122" t="s">
        <v>2537</v>
      </c>
      <c r="D143" s="122" t="s">
        <v>2538</v>
      </c>
      <c r="E143" s="123">
        <v>42219</v>
      </c>
      <c r="F143" s="122" t="s">
        <v>2539</v>
      </c>
      <c r="G143" s="122" t="s">
        <v>235</v>
      </c>
      <c r="H143" s="122" t="s">
        <v>2540</v>
      </c>
      <c r="I143" s="122" t="s">
        <v>2541</v>
      </c>
      <c r="K143" s="122" t="s">
        <v>238</v>
      </c>
      <c r="L143" s="122" t="s">
        <v>271</v>
      </c>
      <c r="M143" s="122" t="s">
        <v>1711</v>
      </c>
      <c r="O143" s="141" t="s">
        <v>2542</v>
      </c>
      <c r="P143" s="141" t="s">
        <v>2543</v>
      </c>
      <c r="Q143" s="122" t="s">
        <v>243</v>
      </c>
      <c r="R143" s="142">
        <v>79</v>
      </c>
      <c r="S143" s="122" t="s">
        <v>2544</v>
      </c>
      <c r="U143" s="122" t="s">
        <v>1420</v>
      </c>
      <c r="W143" s="122" t="s">
        <v>246</v>
      </c>
      <c r="X143" s="122" t="s">
        <v>721</v>
      </c>
      <c r="Y143" s="141" t="s">
        <v>1162</v>
      </c>
      <c r="Z143" s="122" t="s">
        <v>2545</v>
      </c>
      <c r="AA143" s="141" t="s">
        <v>535</v>
      </c>
      <c r="AB143" s="122" t="s">
        <v>2546</v>
      </c>
      <c r="AC143" s="141" t="s">
        <v>742</v>
      </c>
      <c r="AD143" s="122" t="s">
        <v>2547</v>
      </c>
      <c r="AE143" s="122" t="s">
        <v>235</v>
      </c>
      <c r="AF143" s="122" t="s">
        <v>2548</v>
      </c>
      <c r="AG143" s="122" t="s">
        <v>2549</v>
      </c>
      <c r="AH143" s="122" t="s">
        <v>253</v>
      </c>
      <c r="AI143" s="122" t="s">
        <v>2550</v>
      </c>
      <c r="AJ143" s="122" t="s">
        <v>253</v>
      </c>
      <c r="AK143" s="122" t="s">
        <v>2551</v>
      </c>
      <c r="AL143" s="122" t="s">
        <v>253</v>
      </c>
      <c r="AM143" s="122" t="s">
        <v>253</v>
      </c>
      <c r="AN143" s="122" t="s">
        <v>253</v>
      </c>
      <c r="AO143" s="141" t="s">
        <v>247</v>
      </c>
      <c r="AP143" s="141" t="s">
        <v>247</v>
      </c>
      <c r="AQ143" s="141" t="s">
        <v>247</v>
      </c>
      <c r="AR143" s="141" t="s">
        <v>253</v>
      </c>
      <c r="AS143" s="141" t="s">
        <v>601</v>
      </c>
      <c r="AT143" s="141" t="s">
        <v>601</v>
      </c>
      <c r="AU143" s="141" t="s">
        <v>258</v>
      </c>
      <c r="AV143" s="122" t="s">
        <v>259</v>
      </c>
      <c r="AW143" s="122" t="s">
        <v>260</v>
      </c>
      <c r="AX143" s="141" t="s">
        <v>1130</v>
      </c>
      <c r="AY143" s="141" t="s">
        <v>442</v>
      </c>
      <c r="AZ143" s="122" t="s">
        <v>2552</v>
      </c>
      <c r="BA143" s="122" t="s">
        <v>262</v>
      </c>
      <c r="BB143" s="122" t="s">
        <v>262</v>
      </c>
      <c r="BC143" s="141" t="s">
        <v>312</v>
      </c>
      <c r="BD143" s="122" t="s">
        <v>253</v>
      </c>
      <c r="BE143" s="122" t="s">
        <v>263</v>
      </c>
      <c r="BF143" s="122" t="s">
        <v>1430</v>
      </c>
      <c r="BH143" s="122" t="s">
        <v>1420</v>
      </c>
      <c r="BI143" s="142">
        <v>79</v>
      </c>
      <c r="BJ143" s="123">
        <v>42229</v>
      </c>
      <c r="BK143" s="139" t="s">
        <v>606</v>
      </c>
      <c r="BM143" s="122">
        <v>33</v>
      </c>
    </row>
    <row r="144" spans="1:65" x14ac:dyDescent="0.25">
      <c r="A144" s="122" t="s">
        <v>485</v>
      </c>
      <c r="B144" s="122" t="s">
        <v>2553</v>
      </c>
      <c r="C144" s="122" t="s">
        <v>2554</v>
      </c>
      <c r="D144" s="122" t="s">
        <v>2555</v>
      </c>
      <c r="E144" s="123">
        <v>42219</v>
      </c>
      <c r="F144" s="122" t="s">
        <v>2556</v>
      </c>
      <c r="G144" s="122" t="s">
        <v>235</v>
      </c>
      <c r="H144" s="122" t="s">
        <v>2557</v>
      </c>
      <c r="I144" s="122" t="s">
        <v>2558</v>
      </c>
      <c r="K144" s="122" t="s">
        <v>238</v>
      </c>
      <c r="L144" s="122" t="s">
        <v>271</v>
      </c>
      <c r="M144" s="122" t="s">
        <v>1803</v>
      </c>
      <c r="O144" s="141" t="s">
        <v>2559</v>
      </c>
      <c r="P144" s="141" t="s">
        <v>2560</v>
      </c>
      <c r="Q144" s="122" t="s">
        <v>243</v>
      </c>
      <c r="R144" s="142">
        <v>80</v>
      </c>
      <c r="S144" s="122" t="s">
        <v>2561</v>
      </c>
      <c r="U144" s="122" t="s">
        <v>1420</v>
      </c>
      <c r="W144" s="122" t="s">
        <v>246</v>
      </c>
      <c r="X144" s="122" t="s">
        <v>497</v>
      </c>
      <c r="Y144" s="141" t="s">
        <v>833</v>
      </c>
      <c r="Z144" s="122" t="s">
        <v>2562</v>
      </c>
      <c r="AA144" s="141" t="s">
        <v>877</v>
      </c>
      <c r="AB144" s="122" t="s">
        <v>2563</v>
      </c>
      <c r="AC144" s="141" t="s">
        <v>2235</v>
      </c>
      <c r="AD144" s="122" t="s">
        <v>249</v>
      </c>
      <c r="AE144" s="122" t="s">
        <v>235</v>
      </c>
      <c r="AF144" s="122" t="s">
        <v>2564</v>
      </c>
      <c r="AG144" s="122" t="s">
        <v>537</v>
      </c>
      <c r="AH144" s="122" t="s">
        <v>253</v>
      </c>
      <c r="AI144" s="122" t="s">
        <v>2565</v>
      </c>
      <c r="AJ144" s="122" t="s">
        <v>2566</v>
      </c>
      <c r="AK144" s="122" t="s">
        <v>253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253</v>
      </c>
      <c r="AQ144" s="141" t="s">
        <v>247</v>
      </c>
      <c r="AR144" s="141" t="s">
        <v>253</v>
      </c>
      <c r="AS144" s="141" t="s">
        <v>601</v>
      </c>
      <c r="AT144" s="141" t="s">
        <v>601</v>
      </c>
      <c r="AU144" s="141" t="s">
        <v>258</v>
      </c>
      <c r="AV144" s="122" t="s">
        <v>259</v>
      </c>
      <c r="AW144" s="122" t="s">
        <v>260</v>
      </c>
      <c r="AX144" s="141" t="s">
        <v>362</v>
      </c>
      <c r="AY144" s="141" t="s">
        <v>247</v>
      </c>
      <c r="AZ144" s="122" t="s">
        <v>2567</v>
      </c>
      <c r="BA144" s="122" t="s">
        <v>262</v>
      </c>
      <c r="BB144" s="122" t="s">
        <v>2568</v>
      </c>
      <c r="BD144" s="122" t="s">
        <v>253</v>
      </c>
      <c r="BE144" s="122" t="s">
        <v>263</v>
      </c>
      <c r="BF144" s="122" t="s">
        <v>1430</v>
      </c>
      <c r="BH144" s="122" t="s">
        <v>1420</v>
      </c>
      <c r="BI144" s="142">
        <v>80</v>
      </c>
      <c r="BJ144" s="123">
        <v>42229</v>
      </c>
      <c r="BK144" s="139" t="s">
        <v>264</v>
      </c>
      <c r="BL144" s="140">
        <v>46.58</v>
      </c>
      <c r="BM144" s="122">
        <v>33</v>
      </c>
    </row>
    <row r="145" spans="1:65" x14ac:dyDescent="0.25">
      <c r="A145" s="122" t="s">
        <v>485</v>
      </c>
      <c r="B145" s="122" t="s">
        <v>2569</v>
      </c>
      <c r="C145" s="122" t="s">
        <v>2570</v>
      </c>
      <c r="D145" s="122" t="s">
        <v>2571</v>
      </c>
      <c r="E145" s="123">
        <v>42219</v>
      </c>
      <c r="F145" s="122" t="s">
        <v>1289</v>
      </c>
      <c r="G145" s="122" t="s">
        <v>235</v>
      </c>
      <c r="H145" s="122" t="s">
        <v>2572</v>
      </c>
      <c r="I145" s="122" t="s">
        <v>2573</v>
      </c>
      <c r="J145" s="122" t="s">
        <v>370</v>
      </c>
      <c r="K145" s="122" t="s">
        <v>238</v>
      </c>
      <c r="L145" s="122" t="s">
        <v>1872</v>
      </c>
      <c r="M145" s="122" t="s">
        <v>2377</v>
      </c>
      <c r="O145" s="141" t="s">
        <v>613</v>
      </c>
      <c r="P145" s="141" t="s">
        <v>2574</v>
      </c>
      <c r="Q145" s="122" t="s">
        <v>243</v>
      </c>
      <c r="R145" s="142">
        <v>81</v>
      </c>
      <c r="S145" s="122" t="s">
        <v>2575</v>
      </c>
      <c r="T145" s="122" t="s">
        <v>2576</v>
      </c>
      <c r="U145" s="122" t="s">
        <v>1420</v>
      </c>
      <c r="W145" s="122" t="s">
        <v>246</v>
      </c>
      <c r="X145" s="122" t="s">
        <v>325</v>
      </c>
      <c r="Y145" s="141" t="s">
        <v>570</v>
      </c>
      <c r="Z145" s="122" t="s">
        <v>2577</v>
      </c>
      <c r="AB145" s="122" t="s">
        <v>250</v>
      </c>
      <c r="AD145" s="122" t="s">
        <v>250</v>
      </c>
      <c r="AE145" s="122" t="s">
        <v>235</v>
      </c>
      <c r="AF145" s="122" t="s">
        <v>2578</v>
      </c>
      <c r="AG145" s="122" t="s">
        <v>537</v>
      </c>
      <c r="AH145" s="122" t="s">
        <v>253</v>
      </c>
      <c r="AI145" s="122" t="s">
        <v>2579</v>
      </c>
      <c r="AJ145" s="122" t="s">
        <v>2580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253</v>
      </c>
      <c r="AP145" s="141" t="s">
        <v>253</v>
      </c>
      <c r="AQ145" s="141" t="s">
        <v>247</v>
      </c>
      <c r="AR145" s="141" t="s">
        <v>253</v>
      </c>
      <c r="AS145" s="141" t="s">
        <v>361</v>
      </c>
      <c r="AT145" s="141" t="s">
        <v>601</v>
      </c>
      <c r="AU145" s="141" t="s">
        <v>258</v>
      </c>
      <c r="AV145" s="122" t="s">
        <v>259</v>
      </c>
      <c r="AW145" s="122" t="s">
        <v>260</v>
      </c>
      <c r="AY145" s="141" t="s">
        <v>253</v>
      </c>
      <c r="AZ145" s="122" t="s">
        <v>2581</v>
      </c>
      <c r="BA145" s="122" t="s">
        <v>262</v>
      </c>
      <c r="BB145" s="122" t="s">
        <v>262</v>
      </c>
      <c r="BC145" s="141" t="s">
        <v>312</v>
      </c>
      <c r="BD145" s="122" t="s">
        <v>253</v>
      </c>
      <c r="BE145" s="122" t="s">
        <v>263</v>
      </c>
      <c r="BF145" s="122" t="s">
        <v>1430</v>
      </c>
      <c r="BH145" s="122" t="s">
        <v>1420</v>
      </c>
      <c r="BI145" s="142">
        <v>81</v>
      </c>
      <c r="BJ145" s="123">
        <v>42228</v>
      </c>
      <c r="BK145" s="139" t="s">
        <v>264</v>
      </c>
      <c r="BL145" s="140">
        <v>64.989999999999995</v>
      </c>
      <c r="BM145" s="122">
        <v>33</v>
      </c>
    </row>
    <row r="146" spans="1:65" x14ac:dyDescent="0.25">
      <c r="A146" s="122" t="s">
        <v>485</v>
      </c>
      <c r="B146" s="122" t="s">
        <v>2582</v>
      </c>
      <c r="C146" s="122" t="s">
        <v>2583</v>
      </c>
      <c r="D146" s="122" t="s">
        <v>2584</v>
      </c>
      <c r="E146" s="123">
        <v>42219</v>
      </c>
      <c r="F146" s="122" t="s">
        <v>2585</v>
      </c>
      <c r="G146" s="122" t="s">
        <v>235</v>
      </c>
      <c r="H146" s="122" t="s">
        <v>2586</v>
      </c>
      <c r="I146" s="122" t="s">
        <v>2587</v>
      </c>
      <c r="J146" s="122" t="s">
        <v>2588</v>
      </c>
      <c r="K146" s="122" t="s">
        <v>238</v>
      </c>
      <c r="L146" s="122" t="s">
        <v>271</v>
      </c>
      <c r="M146" s="122" t="s">
        <v>2589</v>
      </c>
      <c r="O146" s="141" t="s">
        <v>1205</v>
      </c>
      <c r="P146" s="141" t="s">
        <v>2590</v>
      </c>
      <c r="Q146" s="122" t="s">
        <v>243</v>
      </c>
      <c r="R146" s="142">
        <v>82</v>
      </c>
      <c r="S146" s="122" t="s">
        <v>2591</v>
      </c>
      <c r="U146" s="122" t="s">
        <v>1420</v>
      </c>
      <c r="W146" s="122" t="s">
        <v>246</v>
      </c>
      <c r="X146" s="122" t="s">
        <v>497</v>
      </c>
      <c r="Y146" s="141" t="s">
        <v>500</v>
      </c>
      <c r="Z146" s="122" t="s">
        <v>2592</v>
      </c>
      <c r="AA146" s="141" t="s">
        <v>1629</v>
      </c>
      <c r="AB146" s="122" t="s">
        <v>2593</v>
      </c>
      <c r="AC146" s="141" t="s">
        <v>921</v>
      </c>
      <c r="AD146" s="122" t="s">
        <v>2594</v>
      </c>
      <c r="AE146" s="122" t="s">
        <v>235</v>
      </c>
      <c r="AF146" s="122" t="s">
        <v>2595</v>
      </c>
      <c r="AG146" s="122" t="s">
        <v>537</v>
      </c>
      <c r="AH146" s="122" t="s">
        <v>253</v>
      </c>
      <c r="AI146" s="122" t="s">
        <v>2596</v>
      </c>
      <c r="AJ146" s="122" t="s">
        <v>2597</v>
      </c>
      <c r="AK146" s="122" t="s">
        <v>2598</v>
      </c>
      <c r="AL146" s="122" t="s">
        <v>253</v>
      </c>
      <c r="AM146" s="122" t="s">
        <v>253</v>
      </c>
      <c r="AN146" s="122" t="s">
        <v>253</v>
      </c>
      <c r="AO146" s="141" t="s">
        <v>247</v>
      </c>
      <c r="AP146" s="141" t="s">
        <v>247</v>
      </c>
      <c r="AQ146" s="141" t="s">
        <v>247</v>
      </c>
      <c r="AR146" s="141" t="s">
        <v>253</v>
      </c>
      <c r="AS146" s="141" t="s">
        <v>601</v>
      </c>
      <c r="AT146" s="141" t="s">
        <v>601</v>
      </c>
      <c r="AU146" s="141" t="s">
        <v>258</v>
      </c>
      <c r="AV146" s="122" t="s">
        <v>259</v>
      </c>
      <c r="AW146" s="122" t="s">
        <v>260</v>
      </c>
      <c r="AX146" s="141" t="s">
        <v>2599</v>
      </c>
      <c r="AY146" s="141" t="s">
        <v>247</v>
      </c>
      <c r="AZ146" s="122" t="s">
        <v>2600</v>
      </c>
      <c r="BA146" s="122" t="s">
        <v>262</v>
      </c>
      <c r="BB146" s="122" t="s">
        <v>262</v>
      </c>
      <c r="BC146" s="141" t="s">
        <v>312</v>
      </c>
      <c r="BD146" s="122" t="s">
        <v>253</v>
      </c>
      <c r="BE146" s="122" t="s">
        <v>263</v>
      </c>
      <c r="BF146" s="122" t="s">
        <v>1430</v>
      </c>
      <c r="BH146" s="122" t="s">
        <v>1420</v>
      </c>
      <c r="BI146" s="142">
        <v>82</v>
      </c>
      <c r="BJ146" s="123">
        <v>42229</v>
      </c>
      <c r="BK146" s="139" t="s">
        <v>264</v>
      </c>
      <c r="BL146" s="140">
        <v>383.44</v>
      </c>
      <c r="BM146" s="122">
        <v>33</v>
      </c>
    </row>
    <row r="147" spans="1:65" x14ac:dyDescent="0.25">
      <c r="A147" s="122" t="s">
        <v>485</v>
      </c>
      <c r="B147" s="122" t="s">
        <v>2601</v>
      </c>
      <c r="C147" s="122" t="s">
        <v>2602</v>
      </c>
      <c r="D147" s="122" t="s">
        <v>2603</v>
      </c>
      <c r="E147" s="123">
        <v>42219</v>
      </c>
      <c r="F147" s="122" t="s">
        <v>2604</v>
      </c>
      <c r="G147" s="122" t="s">
        <v>235</v>
      </c>
      <c r="H147" s="122" t="s">
        <v>2605</v>
      </c>
      <c r="I147" s="122" t="s">
        <v>1815</v>
      </c>
      <c r="J147" s="122" t="s">
        <v>2606</v>
      </c>
      <c r="K147" s="122" t="s">
        <v>238</v>
      </c>
      <c r="L147" s="122" t="s">
        <v>297</v>
      </c>
      <c r="M147" s="122" t="s">
        <v>1659</v>
      </c>
      <c r="N147" s="122" t="s">
        <v>1817</v>
      </c>
      <c r="O147" s="141" t="s">
        <v>566</v>
      </c>
      <c r="P147" s="141" t="s">
        <v>2607</v>
      </c>
      <c r="Q147" s="122" t="s">
        <v>243</v>
      </c>
      <c r="R147" s="142">
        <v>83</v>
      </c>
      <c r="S147" s="122" t="s">
        <v>2608</v>
      </c>
      <c r="U147" s="122" t="s">
        <v>1420</v>
      </c>
      <c r="W147" s="122" t="s">
        <v>246</v>
      </c>
      <c r="X147" s="122" t="s">
        <v>497</v>
      </c>
      <c r="Y147" s="141" t="s">
        <v>535</v>
      </c>
      <c r="Z147" s="122" t="s">
        <v>2609</v>
      </c>
      <c r="AA147" s="141" t="s">
        <v>2072</v>
      </c>
      <c r="AB147" s="122" t="s">
        <v>2610</v>
      </c>
      <c r="AC147" s="141" t="s">
        <v>367</v>
      </c>
      <c r="AD147" s="122" t="s">
        <v>2611</v>
      </c>
      <c r="AE147" s="122" t="s">
        <v>235</v>
      </c>
      <c r="AF147" s="122" t="s">
        <v>2612</v>
      </c>
      <c r="AG147" s="122" t="s">
        <v>537</v>
      </c>
      <c r="AH147" s="122" t="s">
        <v>253</v>
      </c>
      <c r="AI147" s="122" t="s">
        <v>2613</v>
      </c>
      <c r="AJ147" s="122" t="s">
        <v>2614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247</v>
      </c>
      <c r="AQ147" s="141" t="s">
        <v>247</v>
      </c>
      <c r="AR147" s="141" t="s">
        <v>247</v>
      </c>
      <c r="AS147" s="141" t="s">
        <v>601</v>
      </c>
      <c r="AT147" s="141" t="s">
        <v>601</v>
      </c>
      <c r="AU147" s="141" t="s">
        <v>601</v>
      </c>
      <c r="AV147" s="122" t="s">
        <v>259</v>
      </c>
      <c r="AW147" s="122" t="s">
        <v>260</v>
      </c>
      <c r="AY147" s="141" t="s">
        <v>253</v>
      </c>
      <c r="AZ147" s="122" t="s">
        <v>2615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1430</v>
      </c>
      <c r="BH147" s="122" t="s">
        <v>1420</v>
      </c>
      <c r="BI147" s="142">
        <v>83</v>
      </c>
      <c r="BJ147" s="123">
        <v>42231</v>
      </c>
      <c r="BK147" s="139" t="s">
        <v>606</v>
      </c>
      <c r="BM147" s="122">
        <v>33</v>
      </c>
    </row>
    <row r="148" spans="1:65" x14ac:dyDescent="0.25">
      <c r="A148" s="122" t="s">
        <v>578</v>
      </c>
      <c r="B148" s="122" t="s">
        <v>2616</v>
      </c>
      <c r="C148" s="122" t="s">
        <v>2617</v>
      </c>
      <c r="D148" s="122" t="s">
        <v>2618</v>
      </c>
      <c r="E148" s="123">
        <v>42219</v>
      </c>
      <c r="F148" s="122" t="s">
        <v>763</v>
      </c>
      <c r="G148" s="122" t="s">
        <v>235</v>
      </c>
      <c r="H148" s="122" t="s">
        <v>2619</v>
      </c>
      <c r="I148" s="122" t="s">
        <v>2620</v>
      </c>
      <c r="K148" s="122" t="s">
        <v>238</v>
      </c>
      <c r="L148" s="122" t="s">
        <v>1872</v>
      </c>
      <c r="M148" s="122" t="s">
        <v>2377</v>
      </c>
      <c r="O148" s="141" t="s">
        <v>1240</v>
      </c>
      <c r="P148" s="141" t="s">
        <v>2621</v>
      </c>
      <c r="Q148" s="122" t="s">
        <v>243</v>
      </c>
      <c r="R148" s="142">
        <v>84</v>
      </c>
      <c r="S148" s="122" t="s">
        <v>2622</v>
      </c>
      <c r="T148" s="122" t="s">
        <v>2623</v>
      </c>
      <c r="U148" s="122" t="s">
        <v>1420</v>
      </c>
      <c r="W148" s="122" t="s">
        <v>246</v>
      </c>
      <c r="X148" s="122" t="s">
        <v>2624</v>
      </c>
      <c r="Y148" s="141" t="s">
        <v>455</v>
      </c>
      <c r="Z148" s="122" t="s">
        <v>2625</v>
      </c>
      <c r="AB148" s="122" t="s">
        <v>250</v>
      </c>
      <c r="AD148" s="122" t="s">
        <v>250</v>
      </c>
      <c r="AE148" s="122" t="s">
        <v>235</v>
      </c>
      <c r="AF148" s="122" t="s">
        <v>2626</v>
      </c>
      <c r="AG148" s="122" t="s">
        <v>537</v>
      </c>
      <c r="AH148" s="122" t="s">
        <v>253</v>
      </c>
      <c r="AI148" s="122" t="s">
        <v>2627</v>
      </c>
      <c r="AJ148" s="122" t="s">
        <v>2628</v>
      </c>
      <c r="AK148" s="122" t="s">
        <v>253</v>
      </c>
      <c r="AL148" s="122" t="s">
        <v>2629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247</v>
      </c>
      <c r="AS148" s="141" t="s">
        <v>601</v>
      </c>
      <c r="AT148" s="141" t="s">
        <v>601</v>
      </c>
      <c r="AU148" s="141" t="s">
        <v>601</v>
      </c>
      <c r="AV148" s="122" t="s">
        <v>259</v>
      </c>
      <c r="AW148" s="122" t="s">
        <v>556</v>
      </c>
      <c r="AX148" s="141" t="s">
        <v>790</v>
      </c>
      <c r="AY148" s="141" t="s">
        <v>247</v>
      </c>
      <c r="AZ148" s="122" t="s">
        <v>2630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1430</v>
      </c>
      <c r="BH148" s="122" t="s">
        <v>1420</v>
      </c>
      <c r="BI148" s="142">
        <v>84</v>
      </c>
      <c r="BK148" s="139" t="s">
        <v>558</v>
      </c>
    </row>
    <row r="149" spans="1:65" x14ac:dyDescent="0.25">
      <c r="A149" s="122" t="s">
        <v>541</v>
      </c>
      <c r="B149" s="122" t="s">
        <v>2631</v>
      </c>
      <c r="C149" s="122" t="s">
        <v>2632</v>
      </c>
      <c r="D149" s="122" t="s">
        <v>2633</v>
      </c>
      <c r="E149" s="123">
        <v>42219</v>
      </c>
      <c r="F149" s="122" t="s">
        <v>2634</v>
      </c>
      <c r="G149" s="122" t="s">
        <v>235</v>
      </c>
      <c r="H149" s="122" t="s">
        <v>2635</v>
      </c>
      <c r="I149" s="122" t="s">
        <v>2636</v>
      </c>
      <c r="J149" s="122" t="s">
        <v>1053</v>
      </c>
      <c r="K149" s="122" t="s">
        <v>238</v>
      </c>
      <c r="L149" s="122" t="s">
        <v>1872</v>
      </c>
      <c r="M149" s="122" t="s">
        <v>1979</v>
      </c>
      <c r="O149" s="141" t="s">
        <v>2637</v>
      </c>
      <c r="P149" s="141" t="s">
        <v>2638</v>
      </c>
      <c r="Q149" s="122" t="s">
        <v>243</v>
      </c>
      <c r="R149" s="142">
        <v>85</v>
      </c>
      <c r="S149" s="122" t="s">
        <v>2639</v>
      </c>
      <c r="U149" s="122" t="s">
        <v>1420</v>
      </c>
      <c r="W149" s="122" t="s">
        <v>246</v>
      </c>
      <c r="X149" s="122" t="s">
        <v>1643</v>
      </c>
      <c r="Y149" s="141" t="s">
        <v>784</v>
      </c>
      <c r="Z149" s="122" t="s">
        <v>2640</v>
      </c>
      <c r="AA149" s="141" t="s">
        <v>670</v>
      </c>
      <c r="AB149" s="122" t="s">
        <v>2641</v>
      </c>
      <c r="AC149" s="141" t="s">
        <v>742</v>
      </c>
      <c r="AD149" s="122" t="s">
        <v>2642</v>
      </c>
      <c r="AE149" s="122" t="s">
        <v>235</v>
      </c>
      <c r="AF149" s="122" t="s">
        <v>2643</v>
      </c>
      <c r="AG149" s="122" t="s">
        <v>537</v>
      </c>
      <c r="AH149" s="122" t="s">
        <v>253</v>
      </c>
      <c r="AI149" s="122" t="s">
        <v>2644</v>
      </c>
      <c r="AJ149" s="122" t="s">
        <v>2645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247</v>
      </c>
      <c r="AQ149" s="141" t="s">
        <v>247</v>
      </c>
      <c r="AR149" s="141" t="s">
        <v>247</v>
      </c>
      <c r="AS149" s="141" t="s">
        <v>601</v>
      </c>
      <c r="AT149" s="141" t="s">
        <v>601</v>
      </c>
      <c r="AU149" s="141" t="s">
        <v>601</v>
      </c>
      <c r="AV149" s="122" t="s">
        <v>259</v>
      </c>
      <c r="AW149" s="122" t="s">
        <v>556</v>
      </c>
      <c r="AX149" s="141" t="s">
        <v>2646</v>
      </c>
      <c r="AY149" s="141" t="s">
        <v>247</v>
      </c>
      <c r="AZ149" s="122" t="s">
        <v>2647</v>
      </c>
      <c r="BA149" s="122" t="s">
        <v>262</v>
      </c>
      <c r="BB149" s="122" t="s">
        <v>262</v>
      </c>
      <c r="BC149" s="141" t="s">
        <v>312</v>
      </c>
      <c r="BD149" s="122" t="s">
        <v>253</v>
      </c>
      <c r="BE149" s="122" t="s">
        <v>263</v>
      </c>
      <c r="BF149" s="122" t="s">
        <v>1430</v>
      </c>
      <c r="BH149" s="122" t="s">
        <v>1420</v>
      </c>
      <c r="BI149" s="142">
        <v>85</v>
      </c>
      <c r="BK149" s="139" t="s">
        <v>558</v>
      </c>
    </row>
    <row r="150" spans="1:65" x14ac:dyDescent="0.25">
      <c r="A150" s="122" t="s">
        <v>541</v>
      </c>
      <c r="B150" s="122" t="s">
        <v>2648</v>
      </c>
      <c r="C150" s="122" t="s">
        <v>2649</v>
      </c>
      <c r="D150" s="122" t="s">
        <v>2650</v>
      </c>
      <c r="E150" s="123">
        <v>42219</v>
      </c>
      <c r="F150" s="122" t="s">
        <v>356</v>
      </c>
      <c r="G150" s="122" t="s">
        <v>235</v>
      </c>
      <c r="H150" s="122" t="s">
        <v>2651</v>
      </c>
      <c r="I150" s="122" t="s">
        <v>2652</v>
      </c>
      <c r="J150" s="122" t="s">
        <v>2653</v>
      </c>
      <c r="K150" s="122" t="s">
        <v>238</v>
      </c>
      <c r="L150" s="122" t="s">
        <v>271</v>
      </c>
      <c r="M150" s="122" t="s">
        <v>2221</v>
      </c>
      <c r="O150" s="141" t="s">
        <v>566</v>
      </c>
      <c r="P150" s="141" t="s">
        <v>2654</v>
      </c>
      <c r="Q150" s="122" t="s">
        <v>243</v>
      </c>
      <c r="R150" s="142">
        <v>86</v>
      </c>
      <c r="S150" s="122" t="s">
        <v>2655</v>
      </c>
      <c r="T150" s="122" t="s">
        <v>2656</v>
      </c>
      <c r="U150" s="122" t="s">
        <v>1420</v>
      </c>
      <c r="W150" s="122" t="s">
        <v>246</v>
      </c>
      <c r="X150" s="122" t="s">
        <v>2657</v>
      </c>
      <c r="Z150" s="122" t="s">
        <v>250</v>
      </c>
      <c r="AB150" s="122" t="s">
        <v>250</v>
      </c>
      <c r="AD150" s="122" t="s">
        <v>250</v>
      </c>
      <c r="AE150" s="122" t="s">
        <v>235</v>
      </c>
      <c r="AF150" s="122" t="s">
        <v>2658</v>
      </c>
      <c r="AG150" s="122" t="s">
        <v>253</v>
      </c>
      <c r="AH150" s="122" t="s">
        <v>253</v>
      </c>
      <c r="AI150" s="122" t="s">
        <v>2659</v>
      </c>
      <c r="AJ150" s="122" t="s">
        <v>2660</v>
      </c>
      <c r="AK150" s="122" t="s">
        <v>2661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247</v>
      </c>
      <c r="AQ150" s="141" t="s">
        <v>247</v>
      </c>
      <c r="AR150" s="141" t="s">
        <v>247</v>
      </c>
      <c r="AS150" s="141" t="s">
        <v>601</v>
      </c>
      <c r="AT150" s="141" t="s">
        <v>601</v>
      </c>
      <c r="AU150" s="141" t="s">
        <v>601</v>
      </c>
      <c r="AV150" s="122" t="s">
        <v>259</v>
      </c>
      <c r="AW150" s="122" t="s">
        <v>556</v>
      </c>
      <c r="AY150" s="141" t="s">
        <v>253</v>
      </c>
      <c r="AZ150" s="122" t="s">
        <v>2662</v>
      </c>
      <c r="BA150" s="122" t="s">
        <v>262</v>
      </c>
      <c r="BB150" s="122" t="s">
        <v>262</v>
      </c>
      <c r="BD150" s="122" t="s">
        <v>253</v>
      </c>
      <c r="BE150" s="122" t="s">
        <v>263</v>
      </c>
      <c r="BF150" s="122" t="s">
        <v>1430</v>
      </c>
      <c r="BH150" s="122" t="s">
        <v>1420</v>
      </c>
      <c r="BI150" s="142">
        <v>86</v>
      </c>
      <c r="BK150" s="139" t="s">
        <v>558</v>
      </c>
    </row>
    <row r="151" spans="1:65" x14ac:dyDescent="0.25">
      <c r="A151" s="122" t="s">
        <v>541</v>
      </c>
      <c r="B151" s="122" t="s">
        <v>2663</v>
      </c>
      <c r="C151" s="122" t="s">
        <v>2664</v>
      </c>
      <c r="D151" s="122" t="s">
        <v>2665</v>
      </c>
      <c r="E151" s="123">
        <v>42219</v>
      </c>
      <c r="F151" s="122" t="s">
        <v>724</v>
      </c>
      <c r="G151" s="122" t="s">
        <v>235</v>
      </c>
      <c r="H151" s="122" t="s">
        <v>448</v>
      </c>
      <c r="I151" s="122" t="s">
        <v>2666</v>
      </c>
      <c r="J151" s="122" t="s">
        <v>2667</v>
      </c>
      <c r="K151" s="122" t="s">
        <v>238</v>
      </c>
      <c r="L151" s="122" t="s">
        <v>297</v>
      </c>
      <c r="M151" s="122" t="s">
        <v>1920</v>
      </c>
      <c r="O151" s="141" t="s">
        <v>548</v>
      </c>
      <c r="P151" s="141" t="s">
        <v>2668</v>
      </c>
      <c r="Q151" s="122" t="s">
        <v>243</v>
      </c>
      <c r="R151" s="142">
        <v>87</v>
      </c>
      <c r="S151" s="122" t="s">
        <v>2669</v>
      </c>
      <c r="U151" s="122" t="s">
        <v>1420</v>
      </c>
      <c r="W151" s="122" t="s">
        <v>246</v>
      </c>
      <c r="X151" s="122" t="s">
        <v>603</v>
      </c>
      <c r="Y151" s="141" t="s">
        <v>1896</v>
      </c>
      <c r="Z151" s="122" t="s">
        <v>1678</v>
      </c>
      <c r="AB151" s="122" t="s">
        <v>250</v>
      </c>
      <c r="AD151" s="122" t="s">
        <v>250</v>
      </c>
      <c r="AE151" s="122" t="s">
        <v>235</v>
      </c>
      <c r="AF151" s="122" t="s">
        <v>2670</v>
      </c>
      <c r="AG151" s="122" t="s">
        <v>253</v>
      </c>
      <c r="AH151" s="122" t="s">
        <v>253</v>
      </c>
      <c r="AI151" s="122" t="s">
        <v>2671</v>
      </c>
      <c r="AJ151" s="122" t="s">
        <v>2672</v>
      </c>
      <c r="AK151" s="122" t="s">
        <v>2673</v>
      </c>
      <c r="AL151" s="122" t="s">
        <v>253</v>
      </c>
      <c r="AM151" s="122" t="s">
        <v>253</v>
      </c>
      <c r="AN151" s="122" t="s">
        <v>253</v>
      </c>
      <c r="AO151" s="141" t="s">
        <v>253</v>
      </c>
      <c r="AP151" s="141" t="s">
        <v>253</v>
      </c>
      <c r="AQ151" s="141" t="s">
        <v>253</v>
      </c>
      <c r="AR151" s="141" t="s">
        <v>247</v>
      </c>
      <c r="AS151" s="141" t="s">
        <v>361</v>
      </c>
      <c r="AT151" s="141" t="s">
        <v>258</v>
      </c>
      <c r="AU151" s="141" t="s">
        <v>601</v>
      </c>
      <c r="AV151" s="122" t="s">
        <v>259</v>
      </c>
      <c r="AW151" s="122" t="s">
        <v>556</v>
      </c>
      <c r="AY151" s="141" t="s">
        <v>253</v>
      </c>
      <c r="AZ151" s="122" t="s">
        <v>262</v>
      </c>
      <c r="BA151" s="122" t="s">
        <v>262</v>
      </c>
      <c r="BB151" s="122" t="s">
        <v>2674</v>
      </c>
      <c r="BD151" s="122" t="s">
        <v>253</v>
      </c>
      <c r="BE151" s="122" t="s">
        <v>263</v>
      </c>
      <c r="BF151" s="122" t="s">
        <v>1430</v>
      </c>
      <c r="BH151" s="122" t="s">
        <v>1420</v>
      </c>
      <c r="BI151" s="142">
        <v>87</v>
      </c>
      <c r="BJ151" s="123">
        <v>42231</v>
      </c>
      <c r="BK151" s="139" t="s">
        <v>606</v>
      </c>
      <c r="BM151" s="122">
        <v>33</v>
      </c>
    </row>
    <row r="152" spans="1:65" x14ac:dyDescent="0.25">
      <c r="A152" s="122" t="s">
        <v>230</v>
      </c>
      <c r="B152" s="122" t="s">
        <v>2675</v>
      </c>
      <c r="C152" s="122" t="s">
        <v>1412</v>
      </c>
      <c r="D152" s="122" t="s">
        <v>1413</v>
      </c>
      <c r="E152" s="123">
        <v>42219</v>
      </c>
      <c r="F152" s="122" t="s">
        <v>1414</v>
      </c>
      <c r="G152" s="122" t="s">
        <v>235</v>
      </c>
      <c r="H152" s="122" t="s">
        <v>1415</v>
      </c>
      <c r="I152" s="122" t="s">
        <v>1416</v>
      </c>
      <c r="K152" s="122" t="s">
        <v>238</v>
      </c>
      <c r="L152" s="122" t="s">
        <v>429</v>
      </c>
      <c r="M152" s="122" t="s">
        <v>1417</v>
      </c>
      <c r="O152" s="141" t="s">
        <v>548</v>
      </c>
      <c r="P152" s="141" t="s">
        <v>1418</v>
      </c>
      <c r="Q152" s="122" t="s">
        <v>243</v>
      </c>
      <c r="R152" s="142">
        <v>88</v>
      </c>
      <c r="S152" s="122" t="s">
        <v>1419</v>
      </c>
      <c r="U152" s="122" t="s">
        <v>1420</v>
      </c>
      <c r="W152" s="122" t="s">
        <v>246</v>
      </c>
      <c r="X152" s="122" t="s">
        <v>376</v>
      </c>
      <c r="Y152" s="141" t="s">
        <v>1421</v>
      </c>
      <c r="Z152" s="122" t="s">
        <v>1422</v>
      </c>
      <c r="AA152" s="141" t="s">
        <v>1423</v>
      </c>
      <c r="AB152" s="122" t="s">
        <v>1424</v>
      </c>
      <c r="AC152" s="141" t="s">
        <v>1398</v>
      </c>
      <c r="AD152" s="122" t="s">
        <v>1425</v>
      </c>
      <c r="AE152" s="122" t="s">
        <v>235</v>
      </c>
      <c r="AF152" s="122" t="s">
        <v>1426</v>
      </c>
      <c r="AG152" s="122" t="s">
        <v>537</v>
      </c>
      <c r="AH152" s="122" t="s">
        <v>253</v>
      </c>
      <c r="AI152" s="122" t="s">
        <v>1427</v>
      </c>
      <c r="AJ152" s="122" t="s">
        <v>1428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247</v>
      </c>
      <c r="AP152" s="141" t="s">
        <v>247</v>
      </c>
      <c r="AQ152" s="141" t="s">
        <v>247</v>
      </c>
      <c r="AR152" s="141" t="s">
        <v>247</v>
      </c>
      <c r="AS152" s="141" t="s">
        <v>601</v>
      </c>
      <c r="AT152" s="141" t="s">
        <v>601</v>
      </c>
      <c r="AU152" s="141" t="s">
        <v>601</v>
      </c>
      <c r="AV152" s="122" t="s">
        <v>259</v>
      </c>
      <c r="AW152" s="122" t="s">
        <v>556</v>
      </c>
      <c r="AY152" s="141" t="s">
        <v>253</v>
      </c>
      <c r="AZ152" s="122" t="s">
        <v>1429</v>
      </c>
      <c r="BA152" s="122" t="s">
        <v>262</v>
      </c>
      <c r="BB152" s="122" t="s">
        <v>262</v>
      </c>
      <c r="BD152" s="122" t="s">
        <v>253</v>
      </c>
      <c r="BE152" s="122" t="s">
        <v>263</v>
      </c>
      <c r="BF152" s="122" t="s">
        <v>1430</v>
      </c>
      <c r="BH152" s="122" t="s">
        <v>1420</v>
      </c>
      <c r="BI152" s="142">
        <v>88</v>
      </c>
      <c r="BK152" s="139" t="s">
        <v>558</v>
      </c>
    </row>
    <row r="153" spans="1:65" x14ac:dyDescent="0.25">
      <c r="A153" s="122" t="s">
        <v>230</v>
      </c>
      <c r="B153" s="122" t="s">
        <v>2676</v>
      </c>
      <c r="C153" s="122" t="s">
        <v>1432</v>
      </c>
      <c r="D153" s="122" t="s">
        <v>1433</v>
      </c>
      <c r="E153" s="123">
        <v>42219</v>
      </c>
      <c r="F153" s="122" t="s">
        <v>1179</v>
      </c>
      <c r="G153" s="122" t="s">
        <v>235</v>
      </c>
      <c r="H153" s="122" t="s">
        <v>1434</v>
      </c>
      <c r="I153" s="122" t="s">
        <v>1435</v>
      </c>
      <c r="K153" s="122" t="s">
        <v>472</v>
      </c>
      <c r="L153" s="122" t="s">
        <v>473</v>
      </c>
      <c r="M153" s="122" t="s">
        <v>1436</v>
      </c>
      <c r="O153" s="141" t="s">
        <v>451</v>
      </c>
      <c r="P153" s="141" t="s">
        <v>1437</v>
      </c>
      <c r="Q153" s="122" t="s">
        <v>243</v>
      </c>
      <c r="R153" s="142">
        <v>89</v>
      </c>
      <c r="S153" s="122" t="s">
        <v>1438</v>
      </c>
      <c r="U153" s="122" t="s">
        <v>1420</v>
      </c>
      <c r="W153" s="122" t="s">
        <v>246</v>
      </c>
      <c r="X153" s="122" t="s">
        <v>247</v>
      </c>
      <c r="Y153" s="141" t="s">
        <v>973</v>
      </c>
      <c r="Z153" s="122" t="s">
        <v>1439</v>
      </c>
      <c r="AA153" s="141" t="s">
        <v>1440</v>
      </c>
      <c r="AB153" s="122" t="s">
        <v>1441</v>
      </c>
      <c r="AD153" s="122" t="s">
        <v>250</v>
      </c>
      <c r="AE153" s="122" t="s">
        <v>235</v>
      </c>
      <c r="AF153" s="122" t="s">
        <v>1442</v>
      </c>
      <c r="AG153" s="122" t="s">
        <v>253</v>
      </c>
      <c r="AH153" s="122" t="s">
        <v>253</v>
      </c>
      <c r="AI153" s="122" t="s">
        <v>1443</v>
      </c>
      <c r="AJ153" s="122" t="s">
        <v>1444</v>
      </c>
      <c r="AK153" s="122" t="s">
        <v>1445</v>
      </c>
      <c r="AL153" s="122" t="s">
        <v>1446</v>
      </c>
      <c r="AM153" s="122" t="s">
        <v>253</v>
      </c>
      <c r="AN153" s="122" t="s">
        <v>253</v>
      </c>
      <c r="AO153" s="141" t="s">
        <v>247</v>
      </c>
      <c r="AP153" s="141" t="s">
        <v>247</v>
      </c>
      <c r="AQ153" s="141" t="s">
        <v>247</v>
      </c>
      <c r="AR153" s="141" t="s">
        <v>247</v>
      </c>
      <c r="AS153" s="141" t="s">
        <v>601</v>
      </c>
      <c r="AT153" s="141" t="s">
        <v>601</v>
      </c>
      <c r="AU153" s="141" t="s">
        <v>601</v>
      </c>
      <c r="AV153" s="122" t="s">
        <v>259</v>
      </c>
      <c r="AW153" s="122" t="s">
        <v>556</v>
      </c>
      <c r="AX153" s="141" t="s">
        <v>1447</v>
      </c>
      <c r="AY153" s="141" t="s">
        <v>603</v>
      </c>
      <c r="AZ153" s="122" t="s">
        <v>1448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1430</v>
      </c>
      <c r="BH153" s="122" t="s">
        <v>1420</v>
      </c>
      <c r="BI153" s="142">
        <v>89</v>
      </c>
      <c r="BK153" s="139" t="s">
        <v>558</v>
      </c>
    </row>
    <row r="154" spans="1:65" x14ac:dyDescent="0.25">
      <c r="A154" s="122" t="s">
        <v>230</v>
      </c>
      <c r="B154" s="122" t="s">
        <v>2677</v>
      </c>
      <c r="C154" s="122" t="s">
        <v>1450</v>
      </c>
      <c r="D154" s="122" t="s">
        <v>1451</v>
      </c>
      <c r="E154" s="123">
        <v>42219</v>
      </c>
      <c r="F154" s="122" t="s">
        <v>1269</v>
      </c>
      <c r="G154" s="122" t="s">
        <v>235</v>
      </c>
      <c r="H154" s="122" t="s">
        <v>1452</v>
      </c>
      <c r="I154" s="122" t="s">
        <v>1453</v>
      </c>
      <c r="K154" s="122" t="s">
        <v>472</v>
      </c>
      <c r="L154" s="122" t="s">
        <v>473</v>
      </c>
      <c r="M154" s="122" t="s">
        <v>1417</v>
      </c>
      <c r="O154" s="141" t="s">
        <v>451</v>
      </c>
      <c r="P154" s="141" t="s">
        <v>1454</v>
      </c>
      <c r="Q154" s="122" t="s">
        <v>243</v>
      </c>
      <c r="R154" s="142">
        <v>90</v>
      </c>
      <c r="S154" s="122" t="s">
        <v>1455</v>
      </c>
      <c r="U154" s="122" t="s">
        <v>1420</v>
      </c>
      <c r="W154" s="122" t="s">
        <v>246</v>
      </c>
      <c r="X154" s="122" t="s">
        <v>631</v>
      </c>
      <c r="Y154" s="141" t="s">
        <v>455</v>
      </c>
      <c r="Z154" s="122" t="s">
        <v>1456</v>
      </c>
      <c r="AA154" s="141" t="s">
        <v>500</v>
      </c>
      <c r="AB154" s="122" t="s">
        <v>249</v>
      </c>
      <c r="AC154" s="141" t="s">
        <v>234</v>
      </c>
      <c r="AD154" s="122" t="s">
        <v>669</v>
      </c>
      <c r="AE154" s="122" t="s">
        <v>235</v>
      </c>
      <c r="AF154" s="122" t="s">
        <v>1457</v>
      </c>
      <c r="AG154" s="122" t="s">
        <v>537</v>
      </c>
      <c r="AH154" s="122" t="s">
        <v>253</v>
      </c>
      <c r="AI154" s="122" t="s">
        <v>1458</v>
      </c>
      <c r="AJ154" s="122" t="s">
        <v>1459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247</v>
      </c>
      <c r="AR154" s="141" t="s">
        <v>247</v>
      </c>
      <c r="AS154" s="141" t="s">
        <v>601</v>
      </c>
      <c r="AT154" s="141" t="s">
        <v>601</v>
      </c>
      <c r="AU154" s="141" t="s">
        <v>601</v>
      </c>
      <c r="AV154" s="122" t="s">
        <v>259</v>
      </c>
      <c r="AW154" s="122" t="s">
        <v>556</v>
      </c>
      <c r="AY154" s="141" t="s">
        <v>253</v>
      </c>
      <c r="AZ154" s="122" t="s">
        <v>1460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1430</v>
      </c>
      <c r="BH154" s="122" t="s">
        <v>1420</v>
      </c>
      <c r="BI154" s="142">
        <v>90</v>
      </c>
      <c r="BK154" s="139" t="s">
        <v>558</v>
      </c>
    </row>
    <row r="155" spans="1:65" x14ac:dyDescent="0.25">
      <c r="A155" s="122" t="s">
        <v>230</v>
      </c>
      <c r="B155" s="122" t="s">
        <v>2678</v>
      </c>
      <c r="C155" s="122" t="s">
        <v>1491</v>
      </c>
      <c r="D155" s="122" t="s">
        <v>1492</v>
      </c>
      <c r="E155" s="123">
        <v>42219</v>
      </c>
      <c r="F155" s="122" t="s">
        <v>624</v>
      </c>
      <c r="G155" s="122" t="s">
        <v>235</v>
      </c>
      <c r="H155" s="122" t="s">
        <v>1493</v>
      </c>
      <c r="I155" s="122" t="s">
        <v>1494</v>
      </c>
      <c r="J155" s="122" t="s">
        <v>1053</v>
      </c>
      <c r="K155" s="122" t="s">
        <v>238</v>
      </c>
      <c r="L155" s="122" t="s">
        <v>297</v>
      </c>
      <c r="M155" s="122" t="s">
        <v>298</v>
      </c>
      <c r="O155" s="141" t="s">
        <v>548</v>
      </c>
      <c r="P155" s="141" t="s">
        <v>1495</v>
      </c>
      <c r="Q155" s="122" t="s">
        <v>243</v>
      </c>
      <c r="R155" s="142">
        <v>91</v>
      </c>
      <c r="S155" s="122" t="s">
        <v>1496</v>
      </c>
      <c r="U155" s="122" t="s">
        <v>1420</v>
      </c>
      <c r="W155" s="122" t="s">
        <v>246</v>
      </c>
      <c r="X155" s="122" t="s">
        <v>631</v>
      </c>
      <c r="Y155" s="141" t="s">
        <v>457</v>
      </c>
      <c r="Z155" s="122" t="s">
        <v>1497</v>
      </c>
      <c r="AA155" s="141" t="s">
        <v>1498</v>
      </c>
      <c r="AB155" s="122" t="s">
        <v>1497</v>
      </c>
      <c r="AC155" s="141" t="s">
        <v>480</v>
      </c>
      <c r="AD155" s="122" t="s">
        <v>1499</v>
      </c>
      <c r="AE155" s="122" t="s">
        <v>235</v>
      </c>
      <c r="AF155" s="122" t="s">
        <v>1500</v>
      </c>
      <c r="AG155" s="122" t="s">
        <v>537</v>
      </c>
      <c r="AH155" s="122" t="s">
        <v>253</v>
      </c>
      <c r="AI155" s="122" t="s">
        <v>1501</v>
      </c>
      <c r="AJ155" s="122" t="s">
        <v>1502</v>
      </c>
      <c r="AK155" s="122" t="s">
        <v>253</v>
      </c>
      <c r="AL155" s="122" t="s">
        <v>253</v>
      </c>
      <c r="AM155" s="122" t="s">
        <v>253</v>
      </c>
      <c r="AN155" s="122" t="s">
        <v>253</v>
      </c>
      <c r="AO155" s="141" t="s">
        <v>247</v>
      </c>
      <c r="AP155" s="141" t="s">
        <v>247</v>
      </c>
      <c r="AQ155" s="141" t="s">
        <v>253</v>
      </c>
      <c r="AR155" s="141" t="s">
        <v>247</v>
      </c>
      <c r="AS155" s="141" t="s">
        <v>601</v>
      </c>
      <c r="AT155" s="141" t="s">
        <v>258</v>
      </c>
      <c r="AU155" s="141" t="s">
        <v>601</v>
      </c>
      <c r="AV155" s="122" t="s">
        <v>259</v>
      </c>
      <c r="AW155" s="122" t="s">
        <v>556</v>
      </c>
      <c r="AY155" s="141" t="s">
        <v>253</v>
      </c>
      <c r="AZ155" s="122" t="s">
        <v>1503</v>
      </c>
      <c r="BA155" s="122" t="s">
        <v>262</v>
      </c>
      <c r="BB155" s="122" t="s">
        <v>262</v>
      </c>
      <c r="BD155" s="122" t="s">
        <v>253</v>
      </c>
      <c r="BE155" s="122" t="s">
        <v>263</v>
      </c>
      <c r="BF155" s="122" t="s">
        <v>1430</v>
      </c>
      <c r="BH155" s="122" t="s">
        <v>1420</v>
      </c>
      <c r="BI155" s="142">
        <v>91</v>
      </c>
      <c r="BK155" s="139" t="s">
        <v>558</v>
      </c>
    </row>
    <row r="156" spans="1:65" x14ac:dyDescent="0.25">
      <c r="A156" s="122" t="s">
        <v>230</v>
      </c>
      <c r="B156" s="122" t="s">
        <v>2679</v>
      </c>
      <c r="C156" s="122" t="s">
        <v>1589</v>
      </c>
      <c r="D156" s="122" t="s">
        <v>1590</v>
      </c>
      <c r="E156" s="123">
        <v>42219</v>
      </c>
      <c r="F156" s="122" t="s">
        <v>833</v>
      </c>
      <c r="G156" s="122" t="s">
        <v>235</v>
      </c>
      <c r="H156" s="122" t="s">
        <v>1591</v>
      </c>
      <c r="I156" s="122" t="s">
        <v>1592</v>
      </c>
      <c r="K156" s="122" t="s">
        <v>238</v>
      </c>
      <c r="L156" s="122" t="s">
        <v>271</v>
      </c>
      <c r="M156" s="122" t="s">
        <v>1593</v>
      </c>
      <c r="O156" s="141" t="s">
        <v>566</v>
      </c>
      <c r="P156" s="141" t="s">
        <v>1594</v>
      </c>
      <c r="Q156" s="122" t="s">
        <v>243</v>
      </c>
      <c r="R156" s="142">
        <v>92</v>
      </c>
      <c r="S156" s="122" t="s">
        <v>1595</v>
      </c>
      <c r="U156" s="122" t="s">
        <v>1420</v>
      </c>
      <c r="W156" s="122" t="s">
        <v>246</v>
      </c>
      <c r="X156" s="122" t="s">
        <v>302</v>
      </c>
      <c r="Y156" s="141" t="s">
        <v>1596</v>
      </c>
      <c r="Z156" s="122" t="s">
        <v>1597</v>
      </c>
      <c r="AA156" s="141" t="s">
        <v>234</v>
      </c>
      <c r="AB156" s="122" t="s">
        <v>249</v>
      </c>
      <c r="AC156" s="141" t="s">
        <v>724</v>
      </c>
      <c r="AD156" s="122" t="s">
        <v>1598</v>
      </c>
      <c r="AE156" s="122" t="s">
        <v>235</v>
      </c>
      <c r="AF156" s="122" t="s">
        <v>1599</v>
      </c>
      <c r="AG156" s="122" t="s">
        <v>537</v>
      </c>
      <c r="AH156" s="122" t="s">
        <v>253</v>
      </c>
      <c r="AI156" s="122" t="s">
        <v>1600</v>
      </c>
      <c r="AJ156" s="122" t="s">
        <v>1601</v>
      </c>
      <c r="AK156" s="122" t="s">
        <v>253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601</v>
      </c>
      <c r="AV156" s="122" t="s">
        <v>259</v>
      </c>
      <c r="AW156" s="122" t="s">
        <v>556</v>
      </c>
      <c r="AY156" s="141" t="s">
        <v>253</v>
      </c>
      <c r="AZ156" s="122" t="s">
        <v>1602</v>
      </c>
      <c r="BA156" s="122" t="s">
        <v>262</v>
      </c>
      <c r="BB156" s="122" t="s">
        <v>262</v>
      </c>
      <c r="BD156" s="122" t="s">
        <v>253</v>
      </c>
      <c r="BE156" s="122" t="s">
        <v>263</v>
      </c>
      <c r="BF156" s="122" t="s">
        <v>1430</v>
      </c>
      <c r="BH156" s="122" t="s">
        <v>1420</v>
      </c>
      <c r="BI156" s="142">
        <v>92</v>
      </c>
      <c r="BK156" s="139" t="s">
        <v>558</v>
      </c>
    </row>
    <row r="157" spans="1:65" x14ac:dyDescent="0.25">
      <c r="A157" s="122" t="s">
        <v>888</v>
      </c>
      <c r="B157" s="122" t="s">
        <v>2680</v>
      </c>
      <c r="C157" s="122" t="s">
        <v>2681</v>
      </c>
      <c r="D157" s="122" t="s">
        <v>2682</v>
      </c>
      <c r="E157" s="123">
        <v>42219</v>
      </c>
      <c r="F157" s="122" t="s">
        <v>2250</v>
      </c>
      <c r="G157" s="122" t="s">
        <v>235</v>
      </c>
      <c r="H157" s="122" t="s">
        <v>448</v>
      </c>
      <c r="I157" s="122" t="s">
        <v>2683</v>
      </c>
      <c r="J157" s="122" t="s">
        <v>1358</v>
      </c>
      <c r="K157" s="122" t="s">
        <v>238</v>
      </c>
      <c r="L157" s="122" t="s">
        <v>271</v>
      </c>
      <c r="M157" s="122" t="s">
        <v>1711</v>
      </c>
      <c r="Q157" s="122" t="s">
        <v>243</v>
      </c>
      <c r="R157" s="142">
        <v>93</v>
      </c>
      <c r="S157" s="122" t="s">
        <v>2684</v>
      </c>
      <c r="T157" s="122" t="s">
        <v>2685</v>
      </c>
      <c r="U157" s="122" t="s">
        <v>1420</v>
      </c>
      <c r="W157" s="122" t="s">
        <v>246</v>
      </c>
      <c r="X157" s="122" t="s">
        <v>433</v>
      </c>
      <c r="Y157" s="141" t="s">
        <v>2259</v>
      </c>
      <c r="Z157" s="122" t="s">
        <v>249</v>
      </c>
      <c r="AB157" s="122" t="s">
        <v>250</v>
      </c>
      <c r="AD157" s="122" t="s">
        <v>250</v>
      </c>
      <c r="AE157" s="122" t="s">
        <v>235</v>
      </c>
      <c r="AF157" s="122" t="s">
        <v>2686</v>
      </c>
      <c r="AG157" s="122" t="s">
        <v>537</v>
      </c>
      <c r="AH157" s="122" t="s">
        <v>253</v>
      </c>
      <c r="AI157" s="122" t="s">
        <v>2687</v>
      </c>
      <c r="AJ157" s="122" t="s">
        <v>2688</v>
      </c>
      <c r="AK157" s="122" t="s">
        <v>2689</v>
      </c>
      <c r="AL157" s="122" t="s">
        <v>2690</v>
      </c>
      <c r="AM157" s="122" t="s">
        <v>253</v>
      </c>
      <c r="AN157" s="122" t="s">
        <v>253</v>
      </c>
      <c r="AO157" s="141" t="s">
        <v>253</v>
      </c>
      <c r="AP157" s="141" t="s">
        <v>253</v>
      </c>
      <c r="AQ157" s="141" t="s">
        <v>253</v>
      </c>
      <c r="AR157" s="141" t="s">
        <v>247</v>
      </c>
      <c r="AS157" s="141" t="s">
        <v>361</v>
      </c>
      <c r="AT157" s="141" t="s">
        <v>258</v>
      </c>
      <c r="AU157" s="141" t="s">
        <v>601</v>
      </c>
      <c r="AV157" s="122" t="s">
        <v>259</v>
      </c>
      <c r="AW157" s="122" t="s">
        <v>556</v>
      </c>
      <c r="AY157" s="141" t="s">
        <v>253</v>
      </c>
      <c r="AZ157" s="122" t="s">
        <v>262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1430</v>
      </c>
      <c r="BH157" s="122" t="s">
        <v>1420</v>
      </c>
      <c r="BI157" s="142">
        <v>93</v>
      </c>
      <c r="BJ157" s="123">
        <v>42229</v>
      </c>
      <c r="BK157" s="139" t="s">
        <v>606</v>
      </c>
      <c r="BM157" s="122">
        <v>33</v>
      </c>
    </row>
    <row r="158" spans="1:65" x14ac:dyDescent="0.25">
      <c r="A158" s="122" t="s">
        <v>888</v>
      </c>
      <c r="B158" s="122" t="s">
        <v>2691</v>
      </c>
      <c r="C158" s="122" t="s">
        <v>1636</v>
      </c>
      <c r="D158" s="122" t="s">
        <v>1637</v>
      </c>
      <c r="E158" s="123">
        <v>42219</v>
      </c>
      <c r="F158" s="122" t="s">
        <v>1638</v>
      </c>
      <c r="G158" s="122" t="s">
        <v>235</v>
      </c>
      <c r="H158" s="122" t="s">
        <v>448</v>
      </c>
      <c r="I158" s="122" t="s">
        <v>1639</v>
      </c>
      <c r="K158" s="122" t="s">
        <v>472</v>
      </c>
      <c r="L158" s="122" t="s">
        <v>473</v>
      </c>
      <c r="M158" s="122" t="s">
        <v>1640</v>
      </c>
      <c r="O158" s="141" t="s">
        <v>1205</v>
      </c>
      <c r="P158" s="141" t="s">
        <v>1641</v>
      </c>
      <c r="Q158" s="122" t="s">
        <v>243</v>
      </c>
      <c r="R158" s="142">
        <v>94</v>
      </c>
      <c r="S158" s="122" t="s">
        <v>1642</v>
      </c>
      <c r="U158" s="122" t="s">
        <v>1420</v>
      </c>
      <c r="W158" s="122" t="s">
        <v>246</v>
      </c>
      <c r="X158" s="122" t="s">
        <v>1643</v>
      </c>
      <c r="Y158" s="141" t="s">
        <v>356</v>
      </c>
      <c r="Z158" s="122" t="s">
        <v>1644</v>
      </c>
      <c r="AA158" s="141" t="s">
        <v>306</v>
      </c>
      <c r="AB158" s="122" t="s">
        <v>1645</v>
      </c>
      <c r="AC158" s="141" t="s">
        <v>1116</v>
      </c>
      <c r="AD158" s="122" t="s">
        <v>1646</v>
      </c>
      <c r="AE158" s="122" t="s">
        <v>235</v>
      </c>
      <c r="AF158" s="122" t="s">
        <v>1647</v>
      </c>
      <c r="AG158" s="122" t="s">
        <v>1648</v>
      </c>
      <c r="AH158" s="122" t="s">
        <v>253</v>
      </c>
      <c r="AI158" s="122" t="s">
        <v>1649</v>
      </c>
      <c r="AJ158" s="122" t="s">
        <v>1650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247</v>
      </c>
      <c r="AS158" s="141" t="s">
        <v>601</v>
      </c>
      <c r="AT158" s="141" t="s">
        <v>601</v>
      </c>
      <c r="AU158" s="141" t="s">
        <v>601</v>
      </c>
      <c r="AV158" s="122" t="s">
        <v>259</v>
      </c>
      <c r="AW158" s="122" t="s">
        <v>556</v>
      </c>
      <c r="AY158" s="141" t="s">
        <v>253</v>
      </c>
      <c r="AZ158" s="122" t="s">
        <v>262</v>
      </c>
      <c r="BA158" s="122" t="s">
        <v>262</v>
      </c>
      <c r="BB158" s="122" t="s">
        <v>1651</v>
      </c>
      <c r="BC158" s="141" t="s">
        <v>312</v>
      </c>
      <c r="BD158" s="122" t="s">
        <v>253</v>
      </c>
      <c r="BE158" s="122" t="s">
        <v>263</v>
      </c>
      <c r="BF158" s="122" t="s">
        <v>1430</v>
      </c>
      <c r="BH158" s="122" t="s">
        <v>1420</v>
      </c>
      <c r="BI158" s="142">
        <v>94</v>
      </c>
      <c r="BK158" s="139" t="s">
        <v>558</v>
      </c>
    </row>
    <row r="159" spans="1:65" x14ac:dyDescent="0.25">
      <c r="A159" s="122" t="s">
        <v>888</v>
      </c>
      <c r="B159" s="122" t="s">
        <v>2692</v>
      </c>
      <c r="C159" s="122" t="s">
        <v>2693</v>
      </c>
      <c r="D159" s="122" t="s">
        <v>2694</v>
      </c>
      <c r="E159" s="123">
        <v>42219</v>
      </c>
      <c r="F159" s="122" t="s">
        <v>2695</v>
      </c>
      <c r="G159" s="122" t="s">
        <v>235</v>
      </c>
      <c r="H159" s="122" t="s">
        <v>2696</v>
      </c>
      <c r="I159" s="122" t="s">
        <v>1918</v>
      </c>
      <c r="J159" s="122" t="s">
        <v>2697</v>
      </c>
      <c r="K159" s="122" t="s">
        <v>238</v>
      </c>
      <c r="L159" s="122" t="s">
        <v>297</v>
      </c>
      <c r="M159" s="122" t="s">
        <v>1920</v>
      </c>
      <c r="Q159" s="122" t="s">
        <v>243</v>
      </c>
      <c r="R159" s="142">
        <v>95</v>
      </c>
      <c r="S159" s="122" t="s">
        <v>2698</v>
      </c>
      <c r="T159" s="122" t="s">
        <v>2699</v>
      </c>
      <c r="U159" s="122" t="s">
        <v>1420</v>
      </c>
      <c r="W159" s="122" t="s">
        <v>246</v>
      </c>
      <c r="X159" s="122" t="s">
        <v>302</v>
      </c>
      <c r="Y159" s="141" t="s">
        <v>2700</v>
      </c>
      <c r="Z159" s="122" t="s">
        <v>355</v>
      </c>
      <c r="AA159" s="141" t="s">
        <v>2701</v>
      </c>
      <c r="AB159" s="122" t="s">
        <v>2702</v>
      </c>
      <c r="AC159" s="141" t="s">
        <v>1361</v>
      </c>
      <c r="AD159" s="122" t="s">
        <v>2702</v>
      </c>
      <c r="AE159" s="122" t="s">
        <v>235</v>
      </c>
      <c r="AF159" s="122" t="s">
        <v>2703</v>
      </c>
      <c r="AG159" s="122" t="s">
        <v>537</v>
      </c>
      <c r="AH159" s="122" t="s">
        <v>253</v>
      </c>
      <c r="AI159" s="122" t="s">
        <v>2704</v>
      </c>
      <c r="AJ159" s="122" t="s">
        <v>2705</v>
      </c>
      <c r="AK159" s="122" t="s">
        <v>2706</v>
      </c>
      <c r="AL159" s="122" t="s">
        <v>253</v>
      </c>
      <c r="AM159" s="122" t="s">
        <v>253</v>
      </c>
      <c r="AN159" s="122" t="s">
        <v>253</v>
      </c>
      <c r="AO159" s="141" t="s">
        <v>253</v>
      </c>
      <c r="AP159" s="141" t="s">
        <v>253</v>
      </c>
      <c r="AQ159" s="141" t="s">
        <v>253</v>
      </c>
      <c r="AR159" s="141" t="s">
        <v>247</v>
      </c>
      <c r="AS159" s="141" t="s">
        <v>361</v>
      </c>
      <c r="AT159" s="141" t="s">
        <v>258</v>
      </c>
      <c r="AU159" s="141" t="s">
        <v>601</v>
      </c>
      <c r="AV159" s="122" t="s">
        <v>259</v>
      </c>
      <c r="AW159" s="122" t="s">
        <v>556</v>
      </c>
      <c r="AY159" s="141" t="s">
        <v>253</v>
      </c>
      <c r="AZ159" s="122" t="s">
        <v>2707</v>
      </c>
      <c r="BA159" s="122" t="s">
        <v>262</v>
      </c>
      <c r="BB159" s="122" t="s">
        <v>262</v>
      </c>
      <c r="BD159" s="122" t="s">
        <v>253</v>
      </c>
      <c r="BE159" s="122" t="s">
        <v>263</v>
      </c>
      <c r="BF159" s="122" t="s">
        <v>1430</v>
      </c>
      <c r="BH159" s="122" t="s">
        <v>1420</v>
      </c>
      <c r="BI159" s="142">
        <v>95</v>
      </c>
      <c r="BJ159" s="123">
        <v>42231</v>
      </c>
      <c r="BK159" s="139" t="s">
        <v>606</v>
      </c>
      <c r="BM159" s="122">
        <v>33</v>
      </c>
    </row>
    <row r="160" spans="1:65" x14ac:dyDescent="0.25">
      <c r="A160" s="122" t="s">
        <v>404</v>
      </c>
      <c r="B160" s="122" t="s">
        <v>2708</v>
      </c>
      <c r="C160" s="122" t="s">
        <v>2709</v>
      </c>
      <c r="D160" s="122" t="s">
        <v>2710</v>
      </c>
      <c r="E160" s="123">
        <v>42219</v>
      </c>
      <c r="F160" s="122" t="s">
        <v>2711</v>
      </c>
      <c r="G160" s="122" t="s">
        <v>235</v>
      </c>
      <c r="H160" s="122" t="s">
        <v>2712</v>
      </c>
      <c r="I160" s="122" t="s">
        <v>2713</v>
      </c>
      <c r="J160" s="122" t="s">
        <v>2714</v>
      </c>
      <c r="K160" s="122" t="s">
        <v>238</v>
      </c>
      <c r="L160" s="122" t="s">
        <v>271</v>
      </c>
      <c r="M160" s="122" t="s">
        <v>2715</v>
      </c>
      <c r="O160" s="141" t="s">
        <v>953</v>
      </c>
      <c r="P160" s="141" t="s">
        <v>2716</v>
      </c>
      <c r="Q160" s="122" t="s">
        <v>243</v>
      </c>
      <c r="R160" s="142">
        <v>96</v>
      </c>
      <c r="S160" s="122" t="s">
        <v>247</v>
      </c>
      <c r="U160" s="122" t="s">
        <v>1420</v>
      </c>
      <c r="V160" s="122" t="s">
        <v>351</v>
      </c>
      <c r="W160" s="122" t="s">
        <v>246</v>
      </c>
      <c r="X160" s="122" t="s">
        <v>603</v>
      </c>
      <c r="Y160" s="141" t="s">
        <v>2717</v>
      </c>
      <c r="Z160" s="122" t="s">
        <v>2718</v>
      </c>
      <c r="AA160" s="141" t="s">
        <v>1325</v>
      </c>
      <c r="AB160" s="122" t="s">
        <v>2719</v>
      </c>
      <c r="AC160" s="141" t="s">
        <v>2720</v>
      </c>
      <c r="AD160" s="122" t="s">
        <v>2721</v>
      </c>
      <c r="AE160" s="122" t="s">
        <v>235</v>
      </c>
      <c r="AF160" s="122" t="s">
        <v>2722</v>
      </c>
      <c r="AG160" s="122" t="s">
        <v>253</v>
      </c>
      <c r="AH160" s="122" t="s">
        <v>253</v>
      </c>
      <c r="AI160" s="122" t="s">
        <v>2723</v>
      </c>
      <c r="AJ160" s="122" t="s">
        <v>2724</v>
      </c>
      <c r="AK160" s="122" t="s">
        <v>2725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253</v>
      </c>
      <c r="AQ160" s="141" t="s">
        <v>247</v>
      </c>
      <c r="AR160" s="141" t="s">
        <v>247</v>
      </c>
      <c r="AS160" s="141" t="s">
        <v>257</v>
      </c>
      <c r="AT160" s="141" t="s">
        <v>257</v>
      </c>
      <c r="AU160" s="141" t="s">
        <v>601</v>
      </c>
      <c r="AV160" s="122" t="s">
        <v>259</v>
      </c>
      <c r="AW160" s="122" t="s">
        <v>556</v>
      </c>
      <c r="AY160" s="141" t="s">
        <v>253</v>
      </c>
      <c r="AZ160" s="122" t="s">
        <v>2726</v>
      </c>
      <c r="BA160" s="122" t="s">
        <v>262</v>
      </c>
      <c r="BB160" s="122" t="s">
        <v>2726</v>
      </c>
      <c r="BD160" s="122" t="s">
        <v>253</v>
      </c>
      <c r="BE160" s="122" t="s">
        <v>263</v>
      </c>
      <c r="BF160" s="122" t="s">
        <v>1430</v>
      </c>
      <c r="BH160" s="122" t="s">
        <v>1420</v>
      </c>
      <c r="BI160" s="142">
        <v>96</v>
      </c>
      <c r="BJ160" s="123">
        <v>42224</v>
      </c>
      <c r="BK160" s="139" t="s">
        <v>264</v>
      </c>
      <c r="BL160" s="140">
        <v>143.86000000000001</v>
      </c>
      <c r="BM160" s="122">
        <v>32</v>
      </c>
    </row>
    <row r="161" spans="1:65" x14ac:dyDescent="0.25">
      <c r="A161" s="122" t="s">
        <v>404</v>
      </c>
      <c r="B161" s="122" t="s">
        <v>2727</v>
      </c>
      <c r="C161" s="122" t="s">
        <v>2728</v>
      </c>
      <c r="D161" s="122" t="s">
        <v>2729</v>
      </c>
      <c r="E161" s="123">
        <v>42219</v>
      </c>
      <c r="F161" s="122" t="s">
        <v>2730</v>
      </c>
      <c r="G161" s="122" t="s">
        <v>235</v>
      </c>
      <c r="H161" s="122" t="s">
        <v>2731</v>
      </c>
      <c r="I161" s="122" t="s">
        <v>2732</v>
      </c>
      <c r="K161" s="122" t="s">
        <v>472</v>
      </c>
      <c r="L161" s="122" t="s">
        <v>473</v>
      </c>
      <c r="M161" s="122" t="s">
        <v>2272</v>
      </c>
      <c r="Q161" s="122" t="s">
        <v>243</v>
      </c>
      <c r="R161" s="142">
        <v>97</v>
      </c>
      <c r="S161" s="122" t="s">
        <v>2733</v>
      </c>
      <c r="T161" s="122" t="s">
        <v>2734</v>
      </c>
      <c r="U161" s="122" t="s">
        <v>1420</v>
      </c>
      <c r="W161" s="122" t="s">
        <v>246</v>
      </c>
      <c r="X161" s="122" t="s">
        <v>278</v>
      </c>
      <c r="Y161" s="141" t="s">
        <v>2051</v>
      </c>
      <c r="Z161" s="122" t="s">
        <v>669</v>
      </c>
      <c r="AA161" s="141" t="s">
        <v>2735</v>
      </c>
      <c r="AB161" s="122" t="s">
        <v>1792</v>
      </c>
      <c r="AC161" s="141" t="s">
        <v>968</v>
      </c>
      <c r="AD161" s="122" t="s">
        <v>766</v>
      </c>
      <c r="AE161" s="122" t="s">
        <v>235</v>
      </c>
      <c r="AF161" s="122" t="s">
        <v>2736</v>
      </c>
      <c r="AG161" s="122" t="s">
        <v>253</v>
      </c>
      <c r="AH161" s="122" t="s">
        <v>253</v>
      </c>
      <c r="AI161" s="122" t="s">
        <v>2737</v>
      </c>
      <c r="AJ161" s="122" t="s">
        <v>2738</v>
      </c>
      <c r="AK161" s="122" t="s">
        <v>2739</v>
      </c>
      <c r="AL161" s="122" t="s">
        <v>2740</v>
      </c>
      <c r="AM161" s="122" t="s">
        <v>253</v>
      </c>
      <c r="AN161" s="122" t="s">
        <v>253</v>
      </c>
      <c r="AO161" s="141" t="s">
        <v>253</v>
      </c>
      <c r="AP161" s="141" t="s">
        <v>253</v>
      </c>
      <c r="AQ161" s="141" t="s">
        <v>253</v>
      </c>
      <c r="AR161" s="141" t="s">
        <v>247</v>
      </c>
      <c r="AS161" s="141" t="s">
        <v>361</v>
      </c>
      <c r="AT161" s="141" t="s">
        <v>258</v>
      </c>
      <c r="AU161" s="141" t="s">
        <v>601</v>
      </c>
      <c r="AV161" s="122" t="s">
        <v>259</v>
      </c>
      <c r="AW161" s="122" t="s">
        <v>556</v>
      </c>
      <c r="AY161" s="141" t="s">
        <v>253</v>
      </c>
      <c r="AZ161" s="122" t="s">
        <v>2741</v>
      </c>
      <c r="BA161" s="122" t="s">
        <v>2742</v>
      </c>
      <c r="BB161" s="122" t="s">
        <v>262</v>
      </c>
      <c r="BD161" s="122" t="s">
        <v>253</v>
      </c>
      <c r="BE161" s="122" t="s">
        <v>263</v>
      </c>
      <c r="BF161" s="122" t="s">
        <v>1430</v>
      </c>
      <c r="BH161" s="122" t="s">
        <v>1420</v>
      </c>
      <c r="BI161" s="142">
        <v>97</v>
      </c>
      <c r="BJ161" s="123">
        <v>42227</v>
      </c>
      <c r="BK161" s="139" t="s">
        <v>606</v>
      </c>
      <c r="BM161" s="122">
        <v>33</v>
      </c>
    </row>
    <row r="162" spans="1:65" x14ac:dyDescent="0.25">
      <c r="A162" s="122" t="s">
        <v>404</v>
      </c>
      <c r="B162" s="122" t="s">
        <v>2743</v>
      </c>
      <c r="C162" s="122" t="s">
        <v>1736</v>
      </c>
      <c r="D162" s="122" t="s">
        <v>1737</v>
      </c>
      <c r="E162" s="123">
        <v>42219</v>
      </c>
      <c r="F162" s="122" t="s">
        <v>1738</v>
      </c>
      <c r="G162" s="122" t="s">
        <v>235</v>
      </c>
      <c r="H162" s="122" t="s">
        <v>1739</v>
      </c>
      <c r="I162" s="122" t="s">
        <v>1740</v>
      </c>
      <c r="K162" s="122" t="s">
        <v>238</v>
      </c>
      <c r="L162" s="122" t="s">
        <v>429</v>
      </c>
      <c r="M162" s="122" t="s">
        <v>430</v>
      </c>
      <c r="N162" s="122" t="s">
        <v>1741</v>
      </c>
      <c r="O162" s="141" t="s">
        <v>390</v>
      </c>
      <c r="P162" s="141" t="s">
        <v>1742</v>
      </c>
      <c r="Q162" s="122" t="s">
        <v>243</v>
      </c>
      <c r="R162" s="142">
        <v>98</v>
      </c>
      <c r="S162" s="122" t="s">
        <v>1743</v>
      </c>
      <c r="U162" s="122" t="s">
        <v>1420</v>
      </c>
      <c r="W162" s="122" t="s">
        <v>246</v>
      </c>
      <c r="X162" s="122" t="s">
        <v>325</v>
      </c>
      <c r="Y162" s="141" t="s">
        <v>1440</v>
      </c>
      <c r="Z162" s="122" t="s">
        <v>1744</v>
      </c>
      <c r="AA162" s="141" t="s">
        <v>328</v>
      </c>
      <c r="AB162" s="122" t="s">
        <v>1745</v>
      </c>
      <c r="AC162" s="141" t="s">
        <v>877</v>
      </c>
      <c r="AD162" s="122" t="s">
        <v>1746</v>
      </c>
      <c r="AE162" s="122" t="s">
        <v>235</v>
      </c>
      <c r="AF162" s="122" t="s">
        <v>1747</v>
      </c>
      <c r="AG162" s="122" t="s">
        <v>537</v>
      </c>
      <c r="AH162" s="122" t="s">
        <v>253</v>
      </c>
      <c r="AI162" s="122" t="s">
        <v>1748</v>
      </c>
      <c r="AJ162" s="122" t="s">
        <v>1749</v>
      </c>
      <c r="AK162" s="122" t="s">
        <v>253</v>
      </c>
      <c r="AL162" s="122" t="s">
        <v>253</v>
      </c>
      <c r="AM162" s="122" t="s">
        <v>253</v>
      </c>
      <c r="AN162" s="122" t="s">
        <v>253</v>
      </c>
      <c r="AO162" s="141" t="s">
        <v>253</v>
      </c>
      <c r="AP162" s="141" t="s">
        <v>253</v>
      </c>
      <c r="AQ162" s="141" t="s">
        <v>247</v>
      </c>
      <c r="AR162" s="141" t="s">
        <v>247</v>
      </c>
      <c r="AS162" s="141" t="s">
        <v>361</v>
      </c>
      <c r="AT162" s="141" t="s">
        <v>601</v>
      </c>
      <c r="AU162" s="141" t="s">
        <v>601</v>
      </c>
      <c r="AV162" s="122" t="s">
        <v>259</v>
      </c>
      <c r="AW162" s="122" t="s">
        <v>556</v>
      </c>
      <c r="AY162" s="141" t="s">
        <v>253</v>
      </c>
      <c r="AZ162" s="122" t="s">
        <v>1750</v>
      </c>
      <c r="BA162" s="122" t="s">
        <v>262</v>
      </c>
      <c r="BB162" s="122" t="s">
        <v>262</v>
      </c>
      <c r="BD162" s="122" t="s">
        <v>253</v>
      </c>
      <c r="BE162" s="122" t="s">
        <v>263</v>
      </c>
      <c r="BF162" s="122" t="s">
        <v>1430</v>
      </c>
      <c r="BH162" s="122" t="s">
        <v>1420</v>
      </c>
      <c r="BI162" s="142">
        <v>98</v>
      </c>
      <c r="BK162" s="139" t="s">
        <v>558</v>
      </c>
    </row>
    <row r="163" spans="1:65" x14ac:dyDescent="0.25">
      <c r="A163" s="122" t="s">
        <v>404</v>
      </c>
      <c r="B163" s="122" t="s">
        <v>2744</v>
      </c>
      <c r="C163" s="122" t="s">
        <v>2745</v>
      </c>
      <c r="D163" s="122" t="s">
        <v>2746</v>
      </c>
      <c r="E163" s="123">
        <v>42219</v>
      </c>
      <c r="F163" s="122" t="s">
        <v>1344</v>
      </c>
      <c r="G163" s="122" t="s">
        <v>235</v>
      </c>
      <c r="H163" s="122" t="s">
        <v>2747</v>
      </c>
      <c r="I163" s="122" t="s">
        <v>2748</v>
      </c>
      <c r="K163" s="122" t="s">
        <v>238</v>
      </c>
      <c r="L163" s="122" t="s">
        <v>388</v>
      </c>
      <c r="M163" s="122" t="s">
        <v>2749</v>
      </c>
      <c r="N163" s="122" t="s">
        <v>2750</v>
      </c>
      <c r="Q163" s="122" t="s">
        <v>243</v>
      </c>
      <c r="R163" s="142">
        <v>99</v>
      </c>
      <c r="S163" s="122" t="s">
        <v>2751</v>
      </c>
      <c r="U163" s="122" t="s">
        <v>1420</v>
      </c>
      <c r="W163" s="122" t="s">
        <v>246</v>
      </c>
      <c r="X163" s="122" t="s">
        <v>260</v>
      </c>
      <c r="Y163" s="141" t="s">
        <v>901</v>
      </c>
      <c r="Z163" s="122" t="s">
        <v>1326</v>
      </c>
      <c r="AA163" s="141" t="s">
        <v>985</v>
      </c>
      <c r="AB163" s="122" t="s">
        <v>395</v>
      </c>
      <c r="AC163" s="141" t="s">
        <v>1116</v>
      </c>
      <c r="AD163" s="122" t="s">
        <v>518</v>
      </c>
      <c r="AE163" s="122" t="s">
        <v>235</v>
      </c>
      <c r="AF163" s="122" t="s">
        <v>2752</v>
      </c>
      <c r="AG163" s="122" t="s">
        <v>253</v>
      </c>
      <c r="AH163" s="122" t="s">
        <v>253</v>
      </c>
      <c r="AI163" s="122" t="s">
        <v>2737</v>
      </c>
      <c r="AJ163" s="122" t="s">
        <v>2753</v>
      </c>
      <c r="AK163" s="122" t="s">
        <v>2754</v>
      </c>
      <c r="AL163" s="122" t="s">
        <v>2755</v>
      </c>
      <c r="AM163" s="122" t="s">
        <v>2756</v>
      </c>
      <c r="AN163" s="122" t="s">
        <v>253</v>
      </c>
      <c r="AO163" s="141" t="s">
        <v>253</v>
      </c>
      <c r="AP163" s="141" t="s">
        <v>253</v>
      </c>
      <c r="AQ163" s="141" t="s">
        <v>253</v>
      </c>
      <c r="AR163" s="141" t="s">
        <v>247</v>
      </c>
      <c r="AS163" s="141" t="s">
        <v>361</v>
      </c>
      <c r="AT163" s="141" t="s">
        <v>258</v>
      </c>
      <c r="AU163" s="141" t="s">
        <v>601</v>
      </c>
      <c r="AV163" s="122" t="s">
        <v>259</v>
      </c>
      <c r="AW163" s="122" t="s">
        <v>556</v>
      </c>
      <c r="AY163" s="141" t="s">
        <v>253</v>
      </c>
      <c r="AZ163" s="122" t="s">
        <v>2757</v>
      </c>
      <c r="BA163" s="122" t="s">
        <v>262</v>
      </c>
      <c r="BB163" s="122" t="s">
        <v>262</v>
      </c>
      <c r="BD163" s="122" t="s">
        <v>253</v>
      </c>
      <c r="BE163" s="122" t="s">
        <v>263</v>
      </c>
      <c r="BF163" s="122" t="s">
        <v>1430</v>
      </c>
      <c r="BH163" s="122" t="s">
        <v>1420</v>
      </c>
      <c r="BI163" s="142">
        <v>99</v>
      </c>
      <c r="BJ163" s="123">
        <v>42233</v>
      </c>
      <c r="BK163" s="139" t="s">
        <v>606</v>
      </c>
      <c r="BM163" s="122">
        <v>34</v>
      </c>
    </row>
    <row r="164" spans="1:65" x14ac:dyDescent="0.25">
      <c r="A164" s="122" t="s">
        <v>404</v>
      </c>
      <c r="B164" s="122" t="s">
        <v>2758</v>
      </c>
      <c r="C164" s="122" t="s">
        <v>2759</v>
      </c>
      <c r="D164" s="122" t="s">
        <v>2760</v>
      </c>
      <c r="E164" s="123">
        <v>42219</v>
      </c>
      <c r="F164" s="122" t="s">
        <v>2761</v>
      </c>
      <c r="G164" s="122" t="s">
        <v>235</v>
      </c>
      <c r="H164" s="122" t="s">
        <v>2762</v>
      </c>
      <c r="I164" s="122" t="s">
        <v>2004</v>
      </c>
      <c r="J164" s="122" t="s">
        <v>1358</v>
      </c>
      <c r="K164" s="122" t="s">
        <v>238</v>
      </c>
      <c r="L164" s="122" t="s">
        <v>297</v>
      </c>
      <c r="M164" s="122" t="s">
        <v>2006</v>
      </c>
      <c r="Q164" s="122" t="s">
        <v>243</v>
      </c>
      <c r="R164" s="142">
        <v>100</v>
      </c>
      <c r="S164" s="122" t="s">
        <v>2763</v>
      </c>
      <c r="U164" s="122" t="s">
        <v>1420</v>
      </c>
      <c r="W164" s="122" t="s">
        <v>246</v>
      </c>
      <c r="X164" s="122" t="s">
        <v>2624</v>
      </c>
      <c r="Y164" s="141" t="s">
        <v>367</v>
      </c>
      <c r="Z164" s="122" t="s">
        <v>2764</v>
      </c>
      <c r="AA164" s="141" t="s">
        <v>724</v>
      </c>
      <c r="AB164" s="122" t="s">
        <v>2765</v>
      </c>
      <c r="AC164" s="141" t="s">
        <v>2766</v>
      </c>
      <c r="AD164" s="122" t="s">
        <v>2767</v>
      </c>
      <c r="AE164" s="122" t="s">
        <v>235</v>
      </c>
      <c r="AF164" s="122" t="s">
        <v>2768</v>
      </c>
      <c r="AG164" s="122" t="s">
        <v>537</v>
      </c>
      <c r="AH164" s="122" t="s">
        <v>253</v>
      </c>
      <c r="AI164" s="122" t="s">
        <v>2769</v>
      </c>
      <c r="AJ164" s="122" t="s">
        <v>2770</v>
      </c>
      <c r="AK164" s="122" t="s">
        <v>2771</v>
      </c>
      <c r="AL164" s="122" t="s">
        <v>2772</v>
      </c>
      <c r="AM164" s="122" t="s">
        <v>253</v>
      </c>
      <c r="AN164" s="122" t="s">
        <v>253</v>
      </c>
      <c r="AO164" s="141" t="s">
        <v>253</v>
      </c>
      <c r="AP164" s="141" t="s">
        <v>253</v>
      </c>
      <c r="AQ164" s="141" t="s">
        <v>253</v>
      </c>
      <c r="AR164" s="141" t="s">
        <v>247</v>
      </c>
      <c r="AS164" s="141" t="s">
        <v>361</v>
      </c>
      <c r="AT164" s="141" t="s">
        <v>258</v>
      </c>
      <c r="AU164" s="141" t="s">
        <v>601</v>
      </c>
      <c r="AV164" s="122" t="s">
        <v>259</v>
      </c>
      <c r="AW164" s="122" t="s">
        <v>556</v>
      </c>
      <c r="AY164" s="141" t="s">
        <v>253</v>
      </c>
      <c r="AZ164" s="122" t="s">
        <v>2773</v>
      </c>
      <c r="BA164" s="122" t="s">
        <v>262</v>
      </c>
      <c r="BB164" s="122" t="s">
        <v>262</v>
      </c>
      <c r="BD164" s="122" t="s">
        <v>253</v>
      </c>
      <c r="BE164" s="122" t="s">
        <v>263</v>
      </c>
      <c r="BF164" s="122" t="s">
        <v>1430</v>
      </c>
      <c r="BH164" s="122" t="s">
        <v>1420</v>
      </c>
      <c r="BI164" s="142">
        <v>100</v>
      </c>
      <c r="BJ164" s="123">
        <v>42231</v>
      </c>
      <c r="BK164" s="139" t="s">
        <v>606</v>
      </c>
      <c r="BM164" s="122">
        <v>33</v>
      </c>
    </row>
    <row r="165" spans="1:65" x14ac:dyDescent="0.25">
      <c r="A165" s="122" t="s">
        <v>404</v>
      </c>
      <c r="B165" s="122" t="s">
        <v>2774</v>
      </c>
      <c r="C165" s="122" t="s">
        <v>1856</v>
      </c>
      <c r="D165" s="122" t="s">
        <v>1857</v>
      </c>
      <c r="E165" s="123">
        <v>42219</v>
      </c>
      <c r="F165" s="122" t="s">
        <v>819</v>
      </c>
      <c r="G165" s="122" t="s">
        <v>235</v>
      </c>
      <c r="H165" s="122" t="s">
        <v>448</v>
      </c>
      <c r="I165" s="122" t="s">
        <v>1858</v>
      </c>
      <c r="K165" s="122" t="s">
        <v>238</v>
      </c>
      <c r="L165" s="122" t="s">
        <v>297</v>
      </c>
      <c r="M165" s="122" t="s">
        <v>1579</v>
      </c>
      <c r="O165" s="141" t="s">
        <v>1240</v>
      </c>
      <c r="P165" s="141" t="s">
        <v>1859</v>
      </c>
      <c r="Q165" s="122" t="s">
        <v>243</v>
      </c>
      <c r="R165" s="142">
        <v>101</v>
      </c>
      <c r="S165" s="122" t="s">
        <v>1860</v>
      </c>
      <c r="U165" s="122" t="s">
        <v>1420</v>
      </c>
      <c r="W165" s="122" t="s">
        <v>246</v>
      </c>
      <c r="X165" s="122" t="s">
        <v>631</v>
      </c>
      <c r="Y165" s="141" t="s">
        <v>1090</v>
      </c>
      <c r="Z165" s="122" t="s">
        <v>355</v>
      </c>
      <c r="AB165" s="122" t="s">
        <v>250</v>
      </c>
      <c r="AD165" s="122" t="s">
        <v>250</v>
      </c>
      <c r="AE165" s="122" t="s">
        <v>235</v>
      </c>
      <c r="AF165" s="122" t="s">
        <v>1861</v>
      </c>
      <c r="AG165" s="122" t="s">
        <v>537</v>
      </c>
      <c r="AH165" s="122" t="s">
        <v>253</v>
      </c>
      <c r="AI165" s="122" t="s">
        <v>1862</v>
      </c>
      <c r="AJ165" s="122" t="s">
        <v>1863</v>
      </c>
      <c r="AK165" s="122" t="s">
        <v>1864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Y165" s="141" t="s">
        <v>253</v>
      </c>
      <c r="AZ165" s="122" t="s">
        <v>262</v>
      </c>
      <c r="BA165" s="122" t="s">
        <v>262</v>
      </c>
      <c r="BB165" s="122" t="s">
        <v>1865</v>
      </c>
      <c r="BD165" s="122" t="s">
        <v>253</v>
      </c>
      <c r="BE165" s="122" t="s">
        <v>263</v>
      </c>
      <c r="BF165" s="122" t="s">
        <v>1430</v>
      </c>
      <c r="BH165" s="122" t="s">
        <v>1420</v>
      </c>
      <c r="BI165" s="142">
        <v>101</v>
      </c>
      <c r="BK165" s="139" t="s">
        <v>558</v>
      </c>
    </row>
    <row r="166" spans="1:65" x14ac:dyDescent="0.25">
      <c r="A166" s="122" t="s">
        <v>422</v>
      </c>
      <c r="B166" s="122" t="s">
        <v>2775</v>
      </c>
      <c r="C166" s="122" t="s">
        <v>1935</v>
      </c>
      <c r="D166" s="122" t="s">
        <v>1936</v>
      </c>
      <c r="E166" s="123">
        <v>42219</v>
      </c>
      <c r="F166" s="122" t="s">
        <v>1258</v>
      </c>
      <c r="G166" s="122" t="s">
        <v>235</v>
      </c>
      <c r="H166" s="122" t="s">
        <v>1937</v>
      </c>
      <c r="I166" s="122" t="s">
        <v>1938</v>
      </c>
      <c r="J166" s="122" t="s">
        <v>1939</v>
      </c>
      <c r="K166" s="122" t="s">
        <v>238</v>
      </c>
      <c r="L166" s="122" t="s">
        <v>429</v>
      </c>
      <c r="M166" s="122" t="s">
        <v>779</v>
      </c>
      <c r="O166" s="141" t="s">
        <v>548</v>
      </c>
      <c r="P166" s="141" t="s">
        <v>1940</v>
      </c>
      <c r="Q166" s="122" t="s">
        <v>243</v>
      </c>
      <c r="R166" s="142">
        <v>102</v>
      </c>
      <c r="S166" s="122" t="s">
        <v>1941</v>
      </c>
      <c r="U166" s="122" t="s">
        <v>1420</v>
      </c>
      <c r="W166" s="122" t="s">
        <v>246</v>
      </c>
      <c r="X166" s="122" t="s">
        <v>603</v>
      </c>
      <c r="Z166" s="122" t="s">
        <v>250</v>
      </c>
      <c r="AB166" s="122" t="s">
        <v>250</v>
      </c>
      <c r="AD166" s="122" t="s">
        <v>250</v>
      </c>
      <c r="AE166" s="122" t="s">
        <v>235</v>
      </c>
      <c r="AF166" s="122" t="s">
        <v>1942</v>
      </c>
      <c r="AG166" s="122" t="s">
        <v>253</v>
      </c>
      <c r="AH166" s="122" t="s">
        <v>1214</v>
      </c>
      <c r="AI166" s="122" t="s">
        <v>1943</v>
      </c>
      <c r="AJ166" s="122" t="s">
        <v>1944</v>
      </c>
      <c r="AK166" s="122" t="s">
        <v>1945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41" t="s">
        <v>253</v>
      </c>
      <c r="AZ166" s="122" t="s">
        <v>1946</v>
      </c>
      <c r="BA166" s="122" t="s">
        <v>262</v>
      </c>
      <c r="BB166" s="122" t="s">
        <v>262</v>
      </c>
      <c r="BD166" s="122" t="s">
        <v>253</v>
      </c>
      <c r="BE166" s="122" t="s">
        <v>263</v>
      </c>
      <c r="BF166" s="122" t="s">
        <v>1430</v>
      </c>
      <c r="BH166" s="122" t="s">
        <v>1420</v>
      </c>
      <c r="BI166" s="142">
        <v>102</v>
      </c>
      <c r="BK166" s="139" t="s">
        <v>558</v>
      </c>
    </row>
    <row r="167" spans="1:65" x14ac:dyDescent="0.25">
      <c r="A167" s="122" t="s">
        <v>422</v>
      </c>
      <c r="B167" s="122" t="s">
        <v>2776</v>
      </c>
      <c r="C167" s="122" t="s">
        <v>1948</v>
      </c>
      <c r="D167" s="122" t="s">
        <v>1949</v>
      </c>
      <c r="E167" s="123">
        <v>42219</v>
      </c>
      <c r="F167" s="122" t="s">
        <v>707</v>
      </c>
      <c r="G167" s="122" t="s">
        <v>235</v>
      </c>
      <c r="H167" s="122" t="s">
        <v>1950</v>
      </c>
      <c r="I167" s="122" t="s">
        <v>1951</v>
      </c>
      <c r="K167" s="122" t="s">
        <v>238</v>
      </c>
      <c r="L167" s="122" t="s">
        <v>388</v>
      </c>
      <c r="M167" s="122" t="s">
        <v>1624</v>
      </c>
      <c r="N167" s="122" t="s">
        <v>1952</v>
      </c>
      <c r="O167" s="141" t="s">
        <v>548</v>
      </c>
      <c r="P167" s="141" t="s">
        <v>1953</v>
      </c>
      <c r="Q167" s="122" t="s">
        <v>243</v>
      </c>
      <c r="R167" s="142">
        <v>103</v>
      </c>
      <c r="S167" s="122" t="s">
        <v>1954</v>
      </c>
      <c r="U167" s="122" t="s">
        <v>1420</v>
      </c>
      <c r="W167" s="122" t="s">
        <v>246</v>
      </c>
      <c r="X167" s="122" t="s">
        <v>247</v>
      </c>
      <c r="Z167" s="122" t="s">
        <v>250</v>
      </c>
      <c r="AB167" s="122" t="s">
        <v>250</v>
      </c>
      <c r="AD167" s="122" t="s">
        <v>250</v>
      </c>
      <c r="AE167" s="122" t="s">
        <v>235</v>
      </c>
      <c r="AF167" s="122" t="s">
        <v>1955</v>
      </c>
      <c r="AG167" s="122" t="s">
        <v>253</v>
      </c>
      <c r="AH167" s="122" t="s">
        <v>253</v>
      </c>
      <c r="AI167" s="122" t="s">
        <v>1956</v>
      </c>
      <c r="AJ167" s="122" t="s">
        <v>1957</v>
      </c>
      <c r="AK167" s="122" t="s">
        <v>1958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Y167" s="141" t="s">
        <v>253</v>
      </c>
      <c r="AZ167" s="122" t="s">
        <v>1959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1430</v>
      </c>
      <c r="BH167" s="122" t="s">
        <v>1420</v>
      </c>
      <c r="BI167" s="142">
        <v>103</v>
      </c>
      <c r="BK167" s="139" t="s">
        <v>558</v>
      </c>
    </row>
    <row r="168" spans="1:65" x14ac:dyDescent="0.25">
      <c r="A168" s="122" t="s">
        <v>485</v>
      </c>
      <c r="B168" s="122" t="s">
        <v>2777</v>
      </c>
      <c r="C168" s="122" t="s">
        <v>2032</v>
      </c>
      <c r="D168" s="122" t="s">
        <v>2033</v>
      </c>
      <c r="E168" s="123">
        <v>42219</v>
      </c>
      <c r="F168" s="122" t="s">
        <v>2034</v>
      </c>
      <c r="G168" s="122" t="s">
        <v>235</v>
      </c>
      <c r="H168" s="122" t="s">
        <v>2035</v>
      </c>
      <c r="I168" s="122" t="s">
        <v>2036</v>
      </c>
      <c r="K168" s="122" t="s">
        <v>238</v>
      </c>
      <c r="L168" s="122" t="s">
        <v>297</v>
      </c>
      <c r="M168" s="122" t="s">
        <v>2006</v>
      </c>
      <c r="N168" s="122" t="s">
        <v>2037</v>
      </c>
      <c r="O168" s="141" t="s">
        <v>2038</v>
      </c>
      <c r="P168" s="141" t="s">
        <v>2039</v>
      </c>
      <c r="Q168" s="122" t="s">
        <v>243</v>
      </c>
      <c r="R168" s="142">
        <v>104</v>
      </c>
      <c r="S168" s="122" t="s">
        <v>2040</v>
      </c>
      <c r="U168" s="122" t="s">
        <v>1420</v>
      </c>
      <c r="W168" s="122" t="s">
        <v>246</v>
      </c>
      <c r="X168" s="122" t="s">
        <v>631</v>
      </c>
      <c r="Y168" s="141" t="s">
        <v>1440</v>
      </c>
      <c r="Z168" s="122" t="s">
        <v>2041</v>
      </c>
      <c r="AA168" s="141" t="s">
        <v>1291</v>
      </c>
      <c r="AB168" s="122" t="s">
        <v>2042</v>
      </c>
      <c r="AC168" s="141" t="s">
        <v>879</v>
      </c>
      <c r="AD168" s="122" t="s">
        <v>249</v>
      </c>
      <c r="AE168" s="122" t="s">
        <v>235</v>
      </c>
      <c r="AF168" s="122" t="s">
        <v>2043</v>
      </c>
      <c r="AG168" s="122" t="s">
        <v>537</v>
      </c>
      <c r="AH168" s="122" t="s">
        <v>253</v>
      </c>
      <c r="AI168" s="122" t="s">
        <v>2044</v>
      </c>
      <c r="AJ168" s="122" t="s">
        <v>2045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247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Y168" s="141" t="s">
        <v>253</v>
      </c>
      <c r="AZ168" s="122" t="s">
        <v>2046</v>
      </c>
      <c r="BA168" s="122" t="s">
        <v>2047</v>
      </c>
      <c r="BB168" s="122" t="s">
        <v>2046</v>
      </c>
      <c r="BD168" s="122" t="s">
        <v>253</v>
      </c>
      <c r="BE168" s="122" t="s">
        <v>263</v>
      </c>
      <c r="BF168" s="122" t="s">
        <v>1430</v>
      </c>
      <c r="BH168" s="122" t="s">
        <v>1420</v>
      </c>
      <c r="BI168" s="142">
        <v>104</v>
      </c>
      <c r="BK168" s="139" t="s">
        <v>558</v>
      </c>
    </row>
    <row r="169" spans="1:65" x14ac:dyDescent="0.25">
      <c r="A169" s="122" t="s">
        <v>485</v>
      </c>
      <c r="B169" s="122" t="s">
        <v>2778</v>
      </c>
      <c r="C169" s="122" t="s">
        <v>2096</v>
      </c>
      <c r="D169" s="122" t="s">
        <v>2097</v>
      </c>
      <c r="E169" s="123">
        <v>42219</v>
      </c>
      <c r="F169" s="122" t="s">
        <v>2098</v>
      </c>
      <c r="G169" s="122" t="s">
        <v>235</v>
      </c>
      <c r="H169" s="122" t="s">
        <v>2099</v>
      </c>
      <c r="I169" s="122" t="s">
        <v>2100</v>
      </c>
      <c r="K169" s="122" t="s">
        <v>238</v>
      </c>
      <c r="L169" s="122" t="s">
        <v>429</v>
      </c>
      <c r="M169" s="122" t="s">
        <v>1525</v>
      </c>
      <c r="O169" s="141" t="s">
        <v>451</v>
      </c>
      <c r="P169" s="141" t="s">
        <v>2101</v>
      </c>
      <c r="Q169" s="122" t="s">
        <v>243</v>
      </c>
      <c r="R169" s="142">
        <v>105</v>
      </c>
      <c r="S169" s="122" t="s">
        <v>2102</v>
      </c>
      <c r="U169" s="122" t="s">
        <v>1420</v>
      </c>
      <c r="W169" s="122" t="s">
        <v>246</v>
      </c>
      <c r="X169" s="122" t="s">
        <v>497</v>
      </c>
      <c r="Y169" s="141" t="s">
        <v>1528</v>
      </c>
      <c r="Z169" s="122" t="s">
        <v>2103</v>
      </c>
      <c r="AA169" s="141" t="s">
        <v>328</v>
      </c>
      <c r="AB169" s="122" t="s">
        <v>2104</v>
      </c>
      <c r="AC169" s="141" t="s">
        <v>2105</v>
      </c>
      <c r="AD169" s="122" t="s">
        <v>2106</v>
      </c>
      <c r="AE169" s="122" t="s">
        <v>235</v>
      </c>
      <c r="AF169" s="122" t="s">
        <v>2107</v>
      </c>
      <c r="AG169" s="122" t="s">
        <v>747</v>
      </c>
      <c r="AH169" s="122" t="s">
        <v>253</v>
      </c>
      <c r="AI169" s="122" t="s">
        <v>2108</v>
      </c>
      <c r="AJ169" s="122" t="s">
        <v>2109</v>
      </c>
      <c r="AK169" s="122" t="s">
        <v>253</v>
      </c>
      <c r="AL169" s="122" t="s">
        <v>253</v>
      </c>
      <c r="AM169" s="122" t="s">
        <v>253</v>
      </c>
      <c r="AN169" s="122" t="s">
        <v>253</v>
      </c>
      <c r="AO169" s="141" t="s">
        <v>247</v>
      </c>
      <c r="AP169" s="141" t="s">
        <v>247</v>
      </c>
      <c r="AQ169" s="141" t="s">
        <v>247</v>
      </c>
      <c r="AR169" s="141" t="s">
        <v>247</v>
      </c>
      <c r="AS169" s="141" t="s">
        <v>601</v>
      </c>
      <c r="AT169" s="141" t="s">
        <v>601</v>
      </c>
      <c r="AU169" s="141" t="s">
        <v>601</v>
      </c>
      <c r="AV169" s="122" t="s">
        <v>259</v>
      </c>
      <c r="AW169" s="122" t="s">
        <v>556</v>
      </c>
      <c r="AX169" s="141" t="s">
        <v>2029</v>
      </c>
      <c r="AY169" s="141" t="s">
        <v>603</v>
      </c>
      <c r="AZ169" s="122" t="s">
        <v>2110</v>
      </c>
      <c r="BA169" s="122" t="s">
        <v>262</v>
      </c>
      <c r="BB169" s="122" t="s">
        <v>262</v>
      </c>
      <c r="BD169" s="122" t="s">
        <v>253</v>
      </c>
      <c r="BE169" s="122" t="s">
        <v>263</v>
      </c>
      <c r="BF169" s="122" t="s">
        <v>1430</v>
      </c>
      <c r="BH169" s="122" t="s">
        <v>1420</v>
      </c>
      <c r="BI169" s="142">
        <v>105</v>
      </c>
      <c r="BK169" s="139" t="s">
        <v>558</v>
      </c>
    </row>
    <row r="170" spans="1:65" x14ac:dyDescent="0.25">
      <c r="A170" s="122" t="s">
        <v>485</v>
      </c>
      <c r="B170" s="122" t="s">
        <v>2779</v>
      </c>
      <c r="C170" s="122" t="s">
        <v>2780</v>
      </c>
      <c r="D170" s="122" t="s">
        <v>2781</v>
      </c>
      <c r="E170" s="123">
        <v>42219</v>
      </c>
      <c r="F170" s="122" t="s">
        <v>1090</v>
      </c>
      <c r="G170" s="122" t="s">
        <v>235</v>
      </c>
      <c r="H170" s="122" t="s">
        <v>2782</v>
      </c>
      <c r="I170" s="122" t="s">
        <v>2783</v>
      </c>
      <c r="K170" s="122" t="s">
        <v>238</v>
      </c>
      <c r="L170" s="122" t="s">
        <v>297</v>
      </c>
      <c r="M170" s="122" t="s">
        <v>2481</v>
      </c>
      <c r="O170" s="141" t="s">
        <v>873</v>
      </c>
      <c r="P170" s="141" t="s">
        <v>2784</v>
      </c>
      <c r="Q170" s="122" t="s">
        <v>243</v>
      </c>
      <c r="R170" s="142">
        <v>106</v>
      </c>
      <c r="S170" s="122" t="s">
        <v>2785</v>
      </c>
      <c r="T170" s="122" t="s">
        <v>2786</v>
      </c>
      <c r="U170" s="122" t="s">
        <v>1420</v>
      </c>
      <c r="W170" s="122" t="s">
        <v>246</v>
      </c>
      <c r="X170" s="122" t="s">
        <v>721</v>
      </c>
      <c r="Y170" s="141" t="s">
        <v>740</v>
      </c>
      <c r="Z170" s="122" t="s">
        <v>2787</v>
      </c>
      <c r="AB170" s="122" t="s">
        <v>250</v>
      </c>
      <c r="AD170" s="122" t="s">
        <v>250</v>
      </c>
      <c r="AE170" s="122" t="s">
        <v>235</v>
      </c>
      <c r="AF170" s="122" t="s">
        <v>2788</v>
      </c>
      <c r="AG170" s="122" t="s">
        <v>2789</v>
      </c>
      <c r="AH170" s="122" t="s">
        <v>253</v>
      </c>
      <c r="AI170" s="122" t="s">
        <v>2790</v>
      </c>
      <c r="AJ170" s="122" t="s">
        <v>2791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253</v>
      </c>
      <c r="AP170" s="141" t="s">
        <v>253</v>
      </c>
      <c r="AQ170" s="141" t="s">
        <v>253</v>
      </c>
      <c r="AR170" s="141" t="s">
        <v>247</v>
      </c>
      <c r="AS170" s="141" t="s">
        <v>361</v>
      </c>
      <c r="AT170" s="141" t="s">
        <v>258</v>
      </c>
      <c r="AU170" s="141" t="s">
        <v>601</v>
      </c>
      <c r="AV170" s="122" t="s">
        <v>259</v>
      </c>
      <c r="AW170" s="122" t="s">
        <v>556</v>
      </c>
      <c r="AY170" s="141" t="s">
        <v>253</v>
      </c>
      <c r="AZ170" s="122" t="s">
        <v>2792</v>
      </c>
      <c r="BA170" s="122" t="s">
        <v>262</v>
      </c>
      <c r="BB170" s="122" t="s">
        <v>262</v>
      </c>
      <c r="BD170" s="122" t="s">
        <v>253</v>
      </c>
      <c r="BE170" s="122" t="s">
        <v>263</v>
      </c>
      <c r="BF170" s="122" t="s">
        <v>1430</v>
      </c>
      <c r="BH170" s="122" t="s">
        <v>1420</v>
      </c>
      <c r="BI170" s="142">
        <v>106</v>
      </c>
      <c r="BJ170" s="123">
        <v>42231</v>
      </c>
      <c r="BK170" s="139" t="s">
        <v>606</v>
      </c>
      <c r="BM170" s="122">
        <v>33</v>
      </c>
    </row>
    <row r="171" spans="1:65" x14ac:dyDescent="0.25">
      <c r="A171" s="122" t="s">
        <v>485</v>
      </c>
      <c r="B171" s="122" t="s">
        <v>2793</v>
      </c>
      <c r="C171" s="122" t="s">
        <v>2126</v>
      </c>
      <c r="D171" s="122" t="s">
        <v>2127</v>
      </c>
      <c r="E171" s="123">
        <v>42219</v>
      </c>
      <c r="F171" s="122" t="s">
        <v>1143</v>
      </c>
      <c r="G171" s="122" t="s">
        <v>235</v>
      </c>
      <c r="H171" s="122" t="s">
        <v>2128</v>
      </c>
      <c r="I171" s="122" t="s">
        <v>2129</v>
      </c>
      <c r="K171" s="122" t="s">
        <v>238</v>
      </c>
      <c r="L171" s="122" t="s">
        <v>1872</v>
      </c>
      <c r="M171" s="122" t="s">
        <v>1979</v>
      </c>
      <c r="O171" s="141" t="s">
        <v>1253</v>
      </c>
      <c r="P171" s="141" t="s">
        <v>2130</v>
      </c>
      <c r="Q171" s="122" t="s">
        <v>243</v>
      </c>
      <c r="R171" s="142">
        <v>107</v>
      </c>
      <c r="S171" s="122" t="s">
        <v>2131</v>
      </c>
      <c r="U171" s="122" t="s">
        <v>1420</v>
      </c>
      <c r="W171" s="122" t="s">
        <v>246</v>
      </c>
      <c r="X171" s="122" t="s">
        <v>433</v>
      </c>
      <c r="Y171" s="141" t="s">
        <v>1141</v>
      </c>
      <c r="Z171" s="122" t="s">
        <v>2132</v>
      </c>
      <c r="AA171" s="141" t="s">
        <v>2133</v>
      </c>
      <c r="AB171" s="122" t="s">
        <v>2134</v>
      </c>
      <c r="AC171" s="141" t="s">
        <v>1698</v>
      </c>
      <c r="AD171" s="122" t="s">
        <v>2135</v>
      </c>
      <c r="AE171" s="122" t="s">
        <v>235</v>
      </c>
      <c r="AF171" s="122" t="s">
        <v>2136</v>
      </c>
      <c r="AG171" s="122" t="s">
        <v>537</v>
      </c>
      <c r="AH171" s="122" t="s">
        <v>253</v>
      </c>
      <c r="AI171" s="122" t="s">
        <v>2137</v>
      </c>
      <c r="AJ171" s="122" t="s">
        <v>253</v>
      </c>
      <c r="AK171" s="122" t="s">
        <v>253</v>
      </c>
      <c r="AL171" s="122" t="s">
        <v>2138</v>
      </c>
      <c r="AM171" s="122" t="s">
        <v>253</v>
      </c>
      <c r="AN171" s="122" t="s">
        <v>253</v>
      </c>
      <c r="AO171" s="141" t="s">
        <v>247</v>
      </c>
      <c r="AP171" s="141" t="s">
        <v>247</v>
      </c>
      <c r="AQ171" s="141" t="s">
        <v>247</v>
      </c>
      <c r="AR171" s="141" t="s">
        <v>247</v>
      </c>
      <c r="AS171" s="141" t="s">
        <v>601</v>
      </c>
      <c r="AT171" s="141" t="s">
        <v>601</v>
      </c>
      <c r="AU171" s="141" t="s">
        <v>601</v>
      </c>
      <c r="AV171" s="122" t="s">
        <v>259</v>
      </c>
      <c r="AW171" s="122" t="s">
        <v>556</v>
      </c>
      <c r="AX171" s="141" t="s">
        <v>980</v>
      </c>
      <c r="AY171" s="141" t="s">
        <v>247</v>
      </c>
      <c r="AZ171" s="122" t="s">
        <v>2139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1430</v>
      </c>
      <c r="BH171" s="122" t="s">
        <v>1420</v>
      </c>
      <c r="BI171" s="142">
        <v>107</v>
      </c>
      <c r="BK171" s="139" t="s">
        <v>558</v>
      </c>
    </row>
    <row r="172" spans="1:65" x14ac:dyDescent="0.25">
      <c r="A172" s="122" t="s">
        <v>578</v>
      </c>
      <c r="B172" s="122" t="s">
        <v>2794</v>
      </c>
      <c r="C172" s="122" t="s">
        <v>2795</v>
      </c>
      <c r="D172" s="122" t="s">
        <v>2796</v>
      </c>
      <c r="E172" s="123">
        <v>42219</v>
      </c>
      <c r="F172" s="122" t="s">
        <v>2202</v>
      </c>
      <c r="G172" s="122" t="s">
        <v>235</v>
      </c>
      <c r="H172" s="122" t="s">
        <v>2797</v>
      </c>
      <c r="I172" s="122" t="s">
        <v>2798</v>
      </c>
      <c r="K172" s="122" t="s">
        <v>238</v>
      </c>
      <c r="L172" s="122" t="s">
        <v>346</v>
      </c>
      <c r="M172" s="122" t="s">
        <v>2237</v>
      </c>
      <c r="O172" s="141" t="s">
        <v>2799</v>
      </c>
      <c r="P172" s="141" t="s">
        <v>2800</v>
      </c>
      <c r="Q172" s="122" t="s">
        <v>243</v>
      </c>
      <c r="R172" s="142">
        <v>12</v>
      </c>
      <c r="S172" s="122" t="s">
        <v>2801</v>
      </c>
      <c r="U172" s="122" t="s">
        <v>2802</v>
      </c>
      <c r="W172" s="122" t="s">
        <v>246</v>
      </c>
      <c r="X172" s="122" t="s">
        <v>551</v>
      </c>
      <c r="Y172" s="141" t="s">
        <v>534</v>
      </c>
      <c r="Z172" s="122" t="s">
        <v>2803</v>
      </c>
      <c r="AA172" s="141" t="s">
        <v>958</v>
      </c>
      <c r="AB172" s="122" t="s">
        <v>518</v>
      </c>
      <c r="AC172" s="141" t="s">
        <v>2804</v>
      </c>
      <c r="AD172" s="122" t="s">
        <v>2805</v>
      </c>
      <c r="AE172" s="122" t="s">
        <v>235</v>
      </c>
      <c r="AF172" s="122" t="s">
        <v>2806</v>
      </c>
      <c r="AG172" s="122" t="s">
        <v>253</v>
      </c>
      <c r="AH172" s="122" t="s">
        <v>253</v>
      </c>
      <c r="AI172" s="122" t="s">
        <v>2807</v>
      </c>
      <c r="AJ172" s="122" t="s">
        <v>2808</v>
      </c>
      <c r="AK172" s="122" t="s">
        <v>253</v>
      </c>
      <c r="AL172" s="122" t="s">
        <v>2809</v>
      </c>
      <c r="AM172" s="122" t="s">
        <v>253</v>
      </c>
      <c r="AN172" s="122" t="s">
        <v>253</v>
      </c>
      <c r="AO172" s="141" t="s">
        <v>247</v>
      </c>
      <c r="AP172" s="141" t="s">
        <v>247</v>
      </c>
      <c r="AQ172" s="141" t="s">
        <v>247</v>
      </c>
      <c r="AR172" s="141" t="s">
        <v>253</v>
      </c>
      <c r="AS172" s="141" t="s">
        <v>601</v>
      </c>
      <c r="AT172" s="141" t="s">
        <v>601</v>
      </c>
      <c r="AU172" s="141" t="s">
        <v>258</v>
      </c>
      <c r="AV172" s="122" t="s">
        <v>259</v>
      </c>
      <c r="AW172" s="122" t="s">
        <v>260</v>
      </c>
      <c r="AX172" s="141" t="s">
        <v>1149</v>
      </c>
      <c r="AY172" s="141" t="s">
        <v>631</v>
      </c>
      <c r="AZ172" s="122" t="s">
        <v>2810</v>
      </c>
      <c r="BA172" s="122" t="s">
        <v>262</v>
      </c>
      <c r="BB172" s="122" t="s">
        <v>262</v>
      </c>
      <c r="BC172" s="141" t="s">
        <v>312</v>
      </c>
      <c r="BD172" s="122" t="s">
        <v>253</v>
      </c>
      <c r="BE172" s="122" t="s">
        <v>263</v>
      </c>
      <c r="BF172" s="122" t="s">
        <v>2811</v>
      </c>
      <c r="BH172" s="122" t="s">
        <v>2802</v>
      </c>
      <c r="BI172" s="142">
        <v>12</v>
      </c>
      <c r="BJ172" s="123">
        <v>42232</v>
      </c>
      <c r="BK172" s="139" t="s">
        <v>606</v>
      </c>
      <c r="BM172" s="122">
        <v>33</v>
      </c>
    </row>
    <row r="173" spans="1:65" x14ac:dyDescent="0.25">
      <c r="A173" s="122" t="s">
        <v>578</v>
      </c>
      <c r="B173" s="122" t="s">
        <v>2812</v>
      </c>
      <c r="C173" s="122" t="s">
        <v>2813</v>
      </c>
      <c r="D173" s="122" t="s">
        <v>2814</v>
      </c>
      <c r="E173" s="123">
        <v>42219</v>
      </c>
      <c r="F173" s="122" t="s">
        <v>1963</v>
      </c>
      <c r="G173" s="122" t="s">
        <v>235</v>
      </c>
      <c r="H173" s="122" t="s">
        <v>2815</v>
      </c>
      <c r="I173" s="122" t="s">
        <v>2816</v>
      </c>
      <c r="K173" s="122" t="s">
        <v>238</v>
      </c>
      <c r="L173" s="122" t="s">
        <v>346</v>
      </c>
      <c r="M173" s="122" t="s">
        <v>347</v>
      </c>
      <c r="O173" s="141" t="s">
        <v>390</v>
      </c>
      <c r="P173" s="141" t="s">
        <v>2817</v>
      </c>
      <c r="Q173" s="122" t="s">
        <v>243</v>
      </c>
      <c r="R173" s="142">
        <v>13</v>
      </c>
      <c r="S173" s="122" t="s">
        <v>2818</v>
      </c>
      <c r="U173" s="122" t="s">
        <v>2802</v>
      </c>
      <c r="W173" s="122" t="s">
        <v>246</v>
      </c>
      <c r="X173" s="122" t="s">
        <v>376</v>
      </c>
      <c r="Y173" s="141" t="s">
        <v>958</v>
      </c>
      <c r="Z173" s="122" t="s">
        <v>2819</v>
      </c>
      <c r="AA173" s="141" t="s">
        <v>833</v>
      </c>
      <c r="AB173" s="122" t="s">
        <v>355</v>
      </c>
      <c r="AC173" s="141" t="s">
        <v>367</v>
      </c>
      <c r="AD173" s="122" t="s">
        <v>2820</v>
      </c>
      <c r="AE173" s="122" t="s">
        <v>235</v>
      </c>
      <c r="AF173" s="122" t="s">
        <v>2821</v>
      </c>
      <c r="AG173" s="122" t="s">
        <v>537</v>
      </c>
      <c r="AH173" s="122" t="s">
        <v>253</v>
      </c>
      <c r="AI173" s="122" t="s">
        <v>2822</v>
      </c>
      <c r="AJ173" s="122" t="s">
        <v>2823</v>
      </c>
      <c r="AK173" s="122" t="s">
        <v>253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253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260</v>
      </c>
      <c r="AY173" s="141" t="s">
        <v>253</v>
      </c>
      <c r="AZ173" s="122" t="s">
        <v>2824</v>
      </c>
      <c r="BA173" s="122" t="s">
        <v>262</v>
      </c>
      <c r="BB173" s="122" t="s">
        <v>262</v>
      </c>
      <c r="BD173" s="122" t="s">
        <v>253</v>
      </c>
      <c r="BE173" s="122" t="s">
        <v>263</v>
      </c>
      <c r="BF173" s="122" t="s">
        <v>2811</v>
      </c>
      <c r="BH173" s="122" t="s">
        <v>2802</v>
      </c>
      <c r="BI173" s="142">
        <v>13</v>
      </c>
      <c r="BJ173" s="123">
        <v>42233</v>
      </c>
      <c r="BK173" s="139" t="s">
        <v>606</v>
      </c>
      <c r="BM173" s="122">
        <v>34</v>
      </c>
    </row>
    <row r="174" spans="1:65" x14ac:dyDescent="0.25">
      <c r="A174" s="122" t="s">
        <v>578</v>
      </c>
      <c r="B174" s="122" t="s">
        <v>2825</v>
      </c>
      <c r="C174" s="122" t="s">
        <v>2826</v>
      </c>
      <c r="D174" s="122" t="s">
        <v>2827</v>
      </c>
      <c r="E174" s="123">
        <v>42219</v>
      </c>
      <c r="F174" s="122" t="s">
        <v>2828</v>
      </c>
      <c r="G174" s="122" t="s">
        <v>235</v>
      </c>
      <c r="H174" s="122" t="s">
        <v>448</v>
      </c>
      <c r="I174" s="122" t="s">
        <v>2829</v>
      </c>
      <c r="K174" s="122" t="s">
        <v>238</v>
      </c>
      <c r="L174" s="122" t="s">
        <v>346</v>
      </c>
      <c r="M174" s="122" t="s">
        <v>2830</v>
      </c>
      <c r="O174" s="141" t="s">
        <v>2831</v>
      </c>
      <c r="P174" s="141" t="s">
        <v>2832</v>
      </c>
      <c r="Q174" s="122" t="s">
        <v>243</v>
      </c>
      <c r="R174" s="142">
        <v>14</v>
      </c>
      <c r="S174" s="122" t="s">
        <v>2833</v>
      </c>
      <c r="U174" s="122" t="s">
        <v>2802</v>
      </c>
      <c r="W174" s="122" t="s">
        <v>246</v>
      </c>
      <c r="X174" s="122" t="s">
        <v>260</v>
      </c>
      <c r="Y174" s="141" t="s">
        <v>668</v>
      </c>
      <c r="Z174" s="122" t="s">
        <v>2834</v>
      </c>
      <c r="AA174" s="141" t="s">
        <v>742</v>
      </c>
      <c r="AB174" s="122" t="s">
        <v>1792</v>
      </c>
      <c r="AC174" s="141" t="s">
        <v>1547</v>
      </c>
      <c r="AD174" s="122" t="s">
        <v>2835</v>
      </c>
      <c r="AE174" s="122" t="s">
        <v>235</v>
      </c>
      <c r="AF174" s="122" t="s">
        <v>2836</v>
      </c>
      <c r="AG174" s="122" t="s">
        <v>253</v>
      </c>
      <c r="AH174" s="122" t="s">
        <v>253</v>
      </c>
      <c r="AI174" s="122" t="s">
        <v>2837</v>
      </c>
      <c r="AJ174" s="122" t="s">
        <v>2838</v>
      </c>
      <c r="AK174" s="122" t="s">
        <v>2839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253</v>
      </c>
      <c r="AS174" s="141" t="s">
        <v>601</v>
      </c>
      <c r="AT174" s="141" t="s">
        <v>601</v>
      </c>
      <c r="AU174" s="141" t="s">
        <v>258</v>
      </c>
      <c r="AV174" s="122" t="s">
        <v>259</v>
      </c>
      <c r="AW174" s="122" t="s">
        <v>260</v>
      </c>
      <c r="AX174" s="141" t="s">
        <v>2840</v>
      </c>
      <c r="AY174" s="141" t="s">
        <v>442</v>
      </c>
      <c r="AZ174" s="122" t="s">
        <v>262</v>
      </c>
      <c r="BA174" s="122" t="s">
        <v>262</v>
      </c>
      <c r="BB174" s="122" t="s">
        <v>2841</v>
      </c>
      <c r="BC174" s="141" t="s">
        <v>312</v>
      </c>
      <c r="BD174" s="122" t="s">
        <v>253</v>
      </c>
      <c r="BE174" s="122" t="s">
        <v>263</v>
      </c>
      <c r="BF174" s="122" t="s">
        <v>2811</v>
      </c>
      <c r="BH174" s="122" t="s">
        <v>2802</v>
      </c>
      <c r="BI174" s="142">
        <v>14</v>
      </c>
      <c r="BJ174" s="123">
        <v>42232</v>
      </c>
      <c r="BK174" s="139" t="s">
        <v>606</v>
      </c>
      <c r="BM174" s="122">
        <v>33</v>
      </c>
    </row>
    <row r="175" spans="1:65" x14ac:dyDescent="0.25">
      <c r="A175" s="122" t="s">
        <v>578</v>
      </c>
      <c r="B175" s="122" t="s">
        <v>2842</v>
      </c>
      <c r="C175" s="122" t="s">
        <v>2843</v>
      </c>
      <c r="D175" s="122" t="s">
        <v>2844</v>
      </c>
      <c r="E175" s="123">
        <v>42219</v>
      </c>
      <c r="F175" s="122" t="s">
        <v>1721</v>
      </c>
      <c r="G175" s="122" t="s">
        <v>235</v>
      </c>
      <c r="H175" s="122" t="s">
        <v>2845</v>
      </c>
      <c r="I175" s="122" t="s">
        <v>2846</v>
      </c>
      <c r="K175" s="122" t="s">
        <v>238</v>
      </c>
      <c r="L175" s="122" t="s">
        <v>346</v>
      </c>
      <c r="M175" s="122" t="s">
        <v>2847</v>
      </c>
      <c r="O175" s="141" t="s">
        <v>548</v>
      </c>
      <c r="P175" s="141" t="s">
        <v>2848</v>
      </c>
      <c r="Q175" s="122" t="s">
        <v>243</v>
      </c>
      <c r="R175" s="142">
        <v>15</v>
      </c>
      <c r="S175" s="122" t="s">
        <v>2849</v>
      </c>
      <c r="U175" s="122" t="s">
        <v>2802</v>
      </c>
      <c r="W175" s="122" t="s">
        <v>246</v>
      </c>
      <c r="X175" s="122" t="s">
        <v>631</v>
      </c>
      <c r="Y175" s="141" t="s">
        <v>1698</v>
      </c>
      <c r="Z175" s="122" t="s">
        <v>2850</v>
      </c>
      <c r="AA175" s="141" t="s">
        <v>724</v>
      </c>
      <c r="AB175" s="122" t="s">
        <v>2851</v>
      </c>
      <c r="AC175" s="141" t="s">
        <v>502</v>
      </c>
      <c r="AD175" s="122" t="s">
        <v>2852</v>
      </c>
      <c r="AE175" s="122" t="s">
        <v>235</v>
      </c>
      <c r="AF175" s="122" t="s">
        <v>2853</v>
      </c>
      <c r="AG175" s="122" t="s">
        <v>537</v>
      </c>
      <c r="AH175" s="122" t="s">
        <v>253</v>
      </c>
      <c r="AI175" s="122" t="s">
        <v>2854</v>
      </c>
      <c r="AJ175" s="122" t="s">
        <v>2855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247</v>
      </c>
      <c r="AQ175" s="141" t="s">
        <v>247</v>
      </c>
      <c r="AR175" s="141" t="s">
        <v>253</v>
      </c>
      <c r="AS175" s="141" t="s">
        <v>601</v>
      </c>
      <c r="AT175" s="141" t="s">
        <v>601</v>
      </c>
      <c r="AU175" s="141" t="s">
        <v>258</v>
      </c>
      <c r="AV175" s="122" t="s">
        <v>259</v>
      </c>
      <c r="AW175" s="122" t="s">
        <v>260</v>
      </c>
      <c r="AY175" s="141" t="s">
        <v>253</v>
      </c>
      <c r="AZ175" s="122" t="s">
        <v>2856</v>
      </c>
      <c r="BA175" s="122" t="s">
        <v>262</v>
      </c>
      <c r="BB175" s="122" t="s">
        <v>262</v>
      </c>
      <c r="BD175" s="122" t="s">
        <v>253</v>
      </c>
      <c r="BE175" s="122" t="s">
        <v>263</v>
      </c>
      <c r="BF175" s="122" t="s">
        <v>2811</v>
      </c>
      <c r="BH175" s="122" t="s">
        <v>2802</v>
      </c>
      <c r="BI175" s="142">
        <v>15</v>
      </c>
      <c r="BJ175" s="123">
        <v>42233</v>
      </c>
      <c r="BK175" s="139" t="s">
        <v>606</v>
      </c>
      <c r="BM175" s="122">
        <v>34</v>
      </c>
    </row>
    <row r="176" spans="1:65" x14ac:dyDescent="0.25">
      <c r="A176" s="122" t="s">
        <v>578</v>
      </c>
      <c r="B176" s="122" t="s">
        <v>2857</v>
      </c>
      <c r="C176" s="122" t="s">
        <v>2858</v>
      </c>
      <c r="D176" s="122" t="s">
        <v>2859</v>
      </c>
      <c r="E176" s="123">
        <v>42219</v>
      </c>
      <c r="F176" s="122" t="s">
        <v>498</v>
      </c>
      <c r="G176" s="122" t="s">
        <v>235</v>
      </c>
      <c r="H176" s="122" t="s">
        <v>2860</v>
      </c>
      <c r="I176" s="122" t="s">
        <v>2861</v>
      </c>
      <c r="K176" s="122" t="s">
        <v>238</v>
      </c>
      <c r="L176" s="122" t="s">
        <v>346</v>
      </c>
      <c r="M176" s="122" t="s">
        <v>2862</v>
      </c>
      <c r="O176" s="141" t="s">
        <v>451</v>
      </c>
      <c r="P176" s="141" t="s">
        <v>2863</v>
      </c>
      <c r="Q176" s="122" t="s">
        <v>243</v>
      </c>
      <c r="R176" s="142">
        <v>16</v>
      </c>
      <c r="S176" s="122" t="s">
        <v>2864</v>
      </c>
      <c r="U176" s="122" t="s">
        <v>2802</v>
      </c>
      <c r="W176" s="122" t="s">
        <v>246</v>
      </c>
      <c r="X176" s="122" t="s">
        <v>278</v>
      </c>
      <c r="Z176" s="122" t="s">
        <v>250</v>
      </c>
      <c r="AB176" s="122" t="s">
        <v>250</v>
      </c>
      <c r="AD176" s="122" t="s">
        <v>250</v>
      </c>
      <c r="AE176" s="122" t="s">
        <v>235</v>
      </c>
      <c r="AF176" s="122" t="s">
        <v>2865</v>
      </c>
      <c r="AG176" s="122" t="s">
        <v>253</v>
      </c>
      <c r="AH176" s="122" t="s">
        <v>253</v>
      </c>
      <c r="AI176" s="122" t="s">
        <v>2866</v>
      </c>
      <c r="AJ176" s="122" t="s">
        <v>2867</v>
      </c>
      <c r="AK176" s="122" t="s">
        <v>2868</v>
      </c>
      <c r="AL176" s="122" t="s">
        <v>253</v>
      </c>
      <c r="AM176" s="122" t="s">
        <v>253</v>
      </c>
      <c r="AN176" s="122" t="s">
        <v>253</v>
      </c>
      <c r="AO176" s="141" t="s">
        <v>247</v>
      </c>
      <c r="AP176" s="141" t="s">
        <v>247</v>
      </c>
      <c r="AQ176" s="141" t="s">
        <v>247</v>
      </c>
      <c r="AR176" s="141" t="s">
        <v>247</v>
      </c>
      <c r="AS176" s="141" t="s">
        <v>601</v>
      </c>
      <c r="AT176" s="141" t="s">
        <v>601</v>
      </c>
      <c r="AU176" s="141" t="s">
        <v>257</v>
      </c>
      <c r="AV176" s="122" t="s">
        <v>259</v>
      </c>
      <c r="AW176" s="122" t="s">
        <v>260</v>
      </c>
      <c r="AY176" s="141" t="s">
        <v>253</v>
      </c>
      <c r="AZ176" s="122" t="s">
        <v>2869</v>
      </c>
      <c r="BA176" s="122" t="s">
        <v>262</v>
      </c>
      <c r="BB176" s="122" t="s">
        <v>262</v>
      </c>
      <c r="BD176" s="122" t="s">
        <v>253</v>
      </c>
      <c r="BE176" s="122" t="s">
        <v>263</v>
      </c>
      <c r="BF176" s="122" t="s">
        <v>2811</v>
      </c>
      <c r="BH176" s="122" t="s">
        <v>2802</v>
      </c>
      <c r="BI176" s="142">
        <v>16</v>
      </c>
      <c r="BJ176" s="123">
        <v>42232</v>
      </c>
      <c r="BK176" s="139" t="s">
        <v>606</v>
      </c>
      <c r="BM176" s="122">
        <v>33</v>
      </c>
    </row>
    <row r="177" spans="1:65" x14ac:dyDescent="0.25">
      <c r="A177" s="122" t="s">
        <v>578</v>
      </c>
      <c r="B177" s="122" t="s">
        <v>2870</v>
      </c>
      <c r="C177" s="122" t="s">
        <v>2871</v>
      </c>
      <c r="D177" s="122" t="s">
        <v>2872</v>
      </c>
      <c r="E177" s="123">
        <v>42219</v>
      </c>
      <c r="F177" s="122" t="s">
        <v>511</v>
      </c>
      <c r="G177" s="122" t="s">
        <v>235</v>
      </c>
      <c r="H177" s="122" t="s">
        <v>2873</v>
      </c>
      <c r="I177" s="122" t="s">
        <v>2874</v>
      </c>
      <c r="K177" s="122" t="s">
        <v>238</v>
      </c>
      <c r="L177" s="122" t="s">
        <v>346</v>
      </c>
      <c r="M177" s="122" t="s">
        <v>347</v>
      </c>
      <c r="O177" s="141" t="s">
        <v>566</v>
      </c>
      <c r="P177" s="141" t="s">
        <v>2875</v>
      </c>
      <c r="Q177" s="122" t="s">
        <v>243</v>
      </c>
      <c r="R177" s="142">
        <v>17</v>
      </c>
      <c r="S177" s="122" t="s">
        <v>2876</v>
      </c>
      <c r="U177" s="122" t="s">
        <v>2802</v>
      </c>
      <c r="W177" s="122" t="s">
        <v>246</v>
      </c>
      <c r="X177" s="122" t="s">
        <v>376</v>
      </c>
      <c r="Y177" s="141" t="s">
        <v>1596</v>
      </c>
      <c r="Z177" s="122" t="s">
        <v>818</v>
      </c>
      <c r="AB177" s="122" t="s">
        <v>250</v>
      </c>
      <c r="AD177" s="122" t="s">
        <v>250</v>
      </c>
      <c r="AE177" s="122" t="s">
        <v>235</v>
      </c>
      <c r="AF177" s="122" t="s">
        <v>2877</v>
      </c>
      <c r="AG177" s="122" t="s">
        <v>537</v>
      </c>
      <c r="AH177" s="122" t="s">
        <v>253</v>
      </c>
      <c r="AI177" s="122" t="s">
        <v>2878</v>
      </c>
      <c r="AJ177" s="122" t="s">
        <v>2879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247</v>
      </c>
      <c r="AP177" s="141" t="s">
        <v>247</v>
      </c>
      <c r="AQ177" s="141" t="s">
        <v>247</v>
      </c>
      <c r="AR177" s="141" t="s">
        <v>253</v>
      </c>
      <c r="AS177" s="141" t="s">
        <v>601</v>
      </c>
      <c r="AT177" s="141" t="s">
        <v>601</v>
      </c>
      <c r="AU177" s="141" t="s">
        <v>258</v>
      </c>
      <c r="AV177" s="122" t="s">
        <v>259</v>
      </c>
      <c r="AW177" s="122" t="s">
        <v>260</v>
      </c>
      <c r="AY177" s="141" t="s">
        <v>253</v>
      </c>
      <c r="AZ177" s="122" t="s">
        <v>2880</v>
      </c>
      <c r="BA177" s="122" t="s">
        <v>262</v>
      </c>
      <c r="BB177" s="122" t="s">
        <v>262</v>
      </c>
      <c r="BD177" s="122" t="s">
        <v>253</v>
      </c>
      <c r="BE177" s="122" t="s">
        <v>263</v>
      </c>
      <c r="BF177" s="122" t="s">
        <v>2811</v>
      </c>
      <c r="BH177" s="122" t="s">
        <v>2802</v>
      </c>
      <c r="BI177" s="142">
        <v>17</v>
      </c>
      <c r="BJ177" s="123">
        <v>42232</v>
      </c>
      <c r="BK177" s="139" t="s">
        <v>606</v>
      </c>
      <c r="BM177" s="122">
        <v>33</v>
      </c>
    </row>
    <row r="178" spans="1:65" x14ac:dyDescent="0.25">
      <c r="A178" s="122" t="s">
        <v>541</v>
      </c>
      <c r="B178" s="122" t="s">
        <v>2881</v>
      </c>
      <c r="C178" s="122" t="s">
        <v>2882</v>
      </c>
      <c r="D178" s="122" t="s">
        <v>2883</v>
      </c>
      <c r="E178" s="123">
        <v>42219</v>
      </c>
      <c r="F178" s="122" t="s">
        <v>2884</v>
      </c>
      <c r="G178" s="122" t="s">
        <v>2885</v>
      </c>
      <c r="H178" s="122" t="s">
        <v>448</v>
      </c>
      <c r="I178" s="122" t="s">
        <v>2886</v>
      </c>
      <c r="J178" s="122" t="s">
        <v>2393</v>
      </c>
      <c r="K178" s="122" t="s">
        <v>238</v>
      </c>
      <c r="L178" s="122" t="s">
        <v>346</v>
      </c>
      <c r="M178" s="122" t="s">
        <v>1054</v>
      </c>
      <c r="N178" s="122" t="s">
        <v>2887</v>
      </c>
      <c r="O178" s="141" t="s">
        <v>613</v>
      </c>
      <c r="P178" s="141" t="s">
        <v>2888</v>
      </c>
      <c r="Q178" s="122" t="s">
        <v>243</v>
      </c>
      <c r="R178" s="142">
        <v>18</v>
      </c>
      <c r="S178" s="122" t="s">
        <v>2889</v>
      </c>
      <c r="U178" s="122" t="s">
        <v>2802</v>
      </c>
      <c r="W178" s="122" t="s">
        <v>246</v>
      </c>
      <c r="X178" s="122" t="s">
        <v>2657</v>
      </c>
      <c r="Z178" s="122" t="s">
        <v>250</v>
      </c>
      <c r="AB178" s="122" t="s">
        <v>250</v>
      </c>
      <c r="AD178" s="122" t="s">
        <v>250</v>
      </c>
      <c r="AE178" s="122" t="s">
        <v>2885</v>
      </c>
      <c r="AF178" s="122" t="s">
        <v>253</v>
      </c>
      <c r="AG178" s="122" t="s">
        <v>253</v>
      </c>
      <c r="AH178" s="122" t="s">
        <v>253</v>
      </c>
      <c r="AI178" s="122" t="s">
        <v>253</v>
      </c>
      <c r="AJ178" s="122" t="s">
        <v>253</v>
      </c>
      <c r="AK178" s="122" t="s">
        <v>253</v>
      </c>
      <c r="AL178" s="122" t="s">
        <v>253</v>
      </c>
      <c r="AM178" s="122" t="s">
        <v>253</v>
      </c>
      <c r="AN178" s="122" t="s">
        <v>253</v>
      </c>
      <c r="AO178" s="141" t="s">
        <v>253</v>
      </c>
      <c r="AP178" s="141" t="s">
        <v>253</v>
      </c>
      <c r="AQ178" s="141" t="s">
        <v>253</v>
      </c>
      <c r="AR178" s="141" t="s">
        <v>253</v>
      </c>
      <c r="AS178" s="141" t="s">
        <v>361</v>
      </c>
      <c r="AT178" s="141" t="s">
        <v>601</v>
      </c>
      <c r="AU178" s="141" t="s">
        <v>258</v>
      </c>
      <c r="AV178" s="122" t="s">
        <v>259</v>
      </c>
      <c r="AW178" s="122" t="s">
        <v>260</v>
      </c>
      <c r="AZ178" s="122" t="s">
        <v>262</v>
      </c>
      <c r="BA178" s="122" t="s">
        <v>2890</v>
      </c>
      <c r="BB178" s="122" t="s">
        <v>262</v>
      </c>
      <c r="BD178" s="122" t="s">
        <v>253</v>
      </c>
      <c r="BE178" s="122" t="s">
        <v>263</v>
      </c>
      <c r="BF178" s="122" t="s">
        <v>2811</v>
      </c>
      <c r="BH178" s="122" t="s">
        <v>2802</v>
      </c>
      <c r="BI178" s="142">
        <v>18</v>
      </c>
      <c r="BJ178" s="123">
        <v>42226</v>
      </c>
      <c r="BK178" s="139" t="s">
        <v>2891</v>
      </c>
      <c r="BM178" s="122">
        <v>33</v>
      </c>
    </row>
    <row r="179" spans="1:65" x14ac:dyDescent="0.25">
      <c r="A179" s="122" t="s">
        <v>541</v>
      </c>
      <c r="B179" s="122" t="s">
        <v>2892</v>
      </c>
      <c r="C179" s="122" t="s">
        <v>2893</v>
      </c>
      <c r="D179" s="122" t="s">
        <v>2894</v>
      </c>
      <c r="E179" s="123">
        <v>42219</v>
      </c>
      <c r="F179" s="122" t="s">
        <v>1258</v>
      </c>
      <c r="G179" s="122" t="s">
        <v>235</v>
      </c>
      <c r="H179" s="122" t="s">
        <v>2895</v>
      </c>
      <c r="I179" s="122" t="s">
        <v>2896</v>
      </c>
      <c r="K179" s="122" t="s">
        <v>238</v>
      </c>
      <c r="L179" s="122" t="s">
        <v>346</v>
      </c>
      <c r="M179" s="122" t="s">
        <v>1003</v>
      </c>
      <c r="O179" s="141" t="s">
        <v>548</v>
      </c>
      <c r="P179" s="141" t="s">
        <v>2897</v>
      </c>
      <c r="Q179" s="122" t="s">
        <v>243</v>
      </c>
      <c r="R179" s="142">
        <v>19</v>
      </c>
      <c r="S179" s="122" t="s">
        <v>2898</v>
      </c>
      <c r="U179" s="122" t="s">
        <v>2802</v>
      </c>
      <c r="W179" s="122" t="s">
        <v>246</v>
      </c>
      <c r="X179" s="122" t="s">
        <v>260</v>
      </c>
      <c r="Y179" s="141" t="s">
        <v>2899</v>
      </c>
      <c r="Z179" s="122" t="s">
        <v>2900</v>
      </c>
      <c r="AA179" s="141" t="s">
        <v>705</v>
      </c>
      <c r="AB179" s="122" t="s">
        <v>594</v>
      </c>
      <c r="AD179" s="122" t="s">
        <v>250</v>
      </c>
      <c r="AE179" s="122" t="s">
        <v>235</v>
      </c>
      <c r="AF179" s="122" t="s">
        <v>2901</v>
      </c>
      <c r="AG179" s="122" t="s">
        <v>253</v>
      </c>
      <c r="AH179" s="122" t="s">
        <v>253</v>
      </c>
      <c r="AI179" s="122" t="s">
        <v>2902</v>
      </c>
      <c r="AJ179" s="122" t="s">
        <v>2903</v>
      </c>
      <c r="AK179" s="122" t="s">
        <v>2904</v>
      </c>
      <c r="AL179" s="122" t="s">
        <v>253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247</v>
      </c>
      <c r="AR179" s="141" t="s">
        <v>247</v>
      </c>
      <c r="AS179" s="141" t="s">
        <v>601</v>
      </c>
      <c r="AT179" s="141" t="s">
        <v>601</v>
      </c>
      <c r="AU179" s="141" t="s">
        <v>601</v>
      </c>
      <c r="AV179" s="122" t="s">
        <v>259</v>
      </c>
      <c r="AW179" s="122" t="s">
        <v>260</v>
      </c>
      <c r="AX179" s="141" t="s">
        <v>2905</v>
      </c>
      <c r="AY179" s="141" t="s">
        <v>603</v>
      </c>
      <c r="AZ179" s="122" t="s">
        <v>2906</v>
      </c>
      <c r="BA179" s="122" t="s">
        <v>262</v>
      </c>
      <c r="BB179" s="122" t="s">
        <v>262</v>
      </c>
      <c r="BD179" s="122" t="s">
        <v>253</v>
      </c>
      <c r="BE179" s="122" t="s">
        <v>263</v>
      </c>
      <c r="BF179" s="122" t="s">
        <v>2811</v>
      </c>
      <c r="BH179" s="122" t="s">
        <v>2802</v>
      </c>
      <c r="BI179" s="142">
        <v>19</v>
      </c>
      <c r="BJ179" s="123">
        <v>42233</v>
      </c>
      <c r="BK179" s="139" t="s">
        <v>606</v>
      </c>
      <c r="BM179" s="122">
        <v>34</v>
      </c>
    </row>
    <row r="180" spans="1:65" x14ac:dyDescent="0.25">
      <c r="A180" s="122" t="s">
        <v>230</v>
      </c>
      <c r="B180" s="122" t="s">
        <v>2907</v>
      </c>
      <c r="C180" s="122" t="s">
        <v>2908</v>
      </c>
      <c r="D180" s="122" t="s">
        <v>2909</v>
      </c>
      <c r="E180" s="123">
        <v>42219</v>
      </c>
      <c r="F180" s="122" t="s">
        <v>457</v>
      </c>
      <c r="G180" s="122" t="s">
        <v>235</v>
      </c>
      <c r="H180" s="122" t="s">
        <v>2910</v>
      </c>
      <c r="I180" s="122" t="s">
        <v>2911</v>
      </c>
      <c r="J180" s="122" t="s">
        <v>2912</v>
      </c>
      <c r="K180" s="122" t="s">
        <v>238</v>
      </c>
      <c r="L180" s="122" t="s">
        <v>346</v>
      </c>
      <c r="M180" s="122" t="s">
        <v>2913</v>
      </c>
      <c r="O180" s="141" t="s">
        <v>2914</v>
      </c>
      <c r="P180" s="141" t="s">
        <v>2915</v>
      </c>
      <c r="Q180" s="122" t="s">
        <v>243</v>
      </c>
      <c r="R180" s="142">
        <v>20</v>
      </c>
      <c r="S180" s="122" t="s">
        <v>2916</v>
      </c>
      <c r="U180" s="122" t="s">
        <v>2802</v>
      </c>
      <c r="W180" s="122" t="s">
        <v>246</v>
      </c>
      <c r="X180" s="122" t="s">
        <v>302</v>
      </c>
      <c r="Z180" s="122" t="s">
        <v>250</v>
      </c>
      <c r="AB180" s="122" t="s">
        <v>250</v>
      </c>
      <c r="AD180" s="122" t="s">
        <v>250</v>
      </c>
      <c r="AE180" s="122" t="s">
        <v>235</v>
      </c>
      <c r="AF180" s="122" t="s">
        <v>2917</v>
      </c>
      <c r="AG180" s="122" t="s">
        <v>537</v>
      </c>
      <c r="AH180" s="122" t="s">
        <v>253</v>
      </c>
      <c r="AI180" s="122" t="s">
        <v>2918</v>
      </c>
      <c r="AJ180" s="122" t="s">
        <v>2919</v>
      </c>
      <c r="AK180" s="122" t="s">
        <v>253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247</v>
      </c>
      <c r="AS180" s="141" t="s">
        <v>601</v>
      </c>
      <c r="AT180" s="141" t="s">
        <v>601</v>
      </c>
      <c r="AU180" s="141" t="s">
        <v>601</v>
      </c>
      <c r="AV180" s="122" t="s">
        <v>259</v>
      </c>
      <c r="AW180" s="122" t="s">
        <v>260</v>
      </c>
      <c r="AY180" s="141" t="s">
        <v>253</v>
      </c>
      <c r="AZ180" s="122" t="s">
        <v>2920</v>
      </c>
      <c r="BA180" s="122" t="s">
        <v>262</v>
      </c>
      <c r="BB180" s="122" t="s">
        <v>2921</v>
      </c>
      <c r="BC180" s="141" t="s">
        <v>312</v>
      </c>
      <c r="BD180" s="122" t="s">
        <v>253</v>
      </c>
      <c r="BE180" s="122" t="s">
        <v>263</v>
      </c>
      <c r="BF180" s="122" t="s">
        <v>2811</v>
      </c>
      <c r="BH180" s="122" t="s">
        <v>2802</v>
      </c>
      <c r="BI180" s="142">
        <v>20</v>
      </c>
      <c r="BJ180" s="123">
        <v>42232</v>
      </c>
      <c r="BK180" s="139" t="s">
        <v>606</v>
      </c>
      <c r="BM180" s="122">
        <v>33</v>
      </c>
    </row>
    <row r="181" spans="1:65" x14ac:dyDescent="0.25">
      <c r="A181" s="122" t="s">
        <v>230</v>
      </c>
      <c r="B181" s="122" t="s">
        <v>2922</v>
      </c>
      <c r="C181" s="122" t="s">
        <v>2923</v>
      </c>
      <c r="D181" s="122" t="s">
        <v>2924</v>
      </c>
      <c r="E181" s="123">
        <v>42219</v>
      </c>
      <c r="F181" s="122" t="s">
        <v>2925</v>
      </c>
      <c r="G181" s="122" t="s">
        <v>235</v>
      </c>
      <c r="H181" s="122" t="s">
        <v>2926</v>
      </c>
      <c r="I181" s="122" t="s">
        <v>2927</v>
      </c>
      <c r="K181" s="122" t="s">
        <v>238</v>
      </c>
      <c r="L181" s="122" t="s">
        <v>346</v>
      </c>
      <c r="M181" s="122" t="s">
        <v>2847</v>
      </c>
      <c r="Q181" s="122" t="s">
        <v>243</v>
      </c>
      <c r="R181" s="142">
        <v>21</v>
      </c>
      <c r="S181" s="122" t="s">
        <v>2928</v>
      </c>
      <c r="U181" s="122" t="s">
        <v>2802</v>
      </c>
      <c r="W181" s="122" t="s">
        <v>246</v>
      </c>
      <c r="X181" s="122" t="s">
        <v>260</v>
      </c>
      <c r="Y181" s="141" t="s">
        <v>457</v>
      </c>
      <c r="Z181" s="122" t="s">
        <v>2929</v>
      </c>
      <c r="AA181" s="141" t="s">
        <v>1498</v>
      </c>
      <c r="AB181" s="122" t="s">
        <v>2929</v>
      </c>
      <c r="AC181" s="141" t="s">
        <v>1547</v>
      </c>
      <c r="AD181" s="122" t="s">
        <v>2929</v>
      </c>
      <c r="AE181" s="122" t="s">
        <v>235</v>
      </c>
      <c r="AF181" s="122" t="s">
        <v>2930</v>
      </c>
      <c r="AG181" s="122" t="s">
        <v>253</v>
      </c>
      <c r="AH181" s="122" t="s">
        <v>253</v>
      </c>
      <c r="AI181" s="122" t="s">
        <v>1714</v>
      </c>
      <c r="AJ181" s="122" t="s">
        <v>1715</v>
      </c>
      <c r="AK181" s="122" t="s">
        <v>2931</v>
      </c>
      <c r="AL181" s="122" t="s">
        <v>253</v>
      </c>
      <c r="AM181" s="122" t="s">
        <v>253</v>
      </c>
      <c r="AN181" s="122" t="s">
        <v>253</v>
      </c>
      <c r="AO181" s="141" t="s">
        <v>247</v>
      </c>
      <c r="AP181" s="141" t="s">
        <v>253</v>
      </c>
      <c r="AQ181" s="141" t="s">
        <v>253</v>
      </c>
      <c r="AR181" s="141" t="s">
        <v>253</v>
      </c>
      <c r="AS181" s="141" t="s">
        <v>601</v>
      </c>
      <c r="AT181" s="141" t="s">
        <v>258</v>
      </c>
      <c r="AU181" s="141" t="s">
        <v>258</v>
      </c>
      <c r="AV181" s="122" t="s">
        <v>259</v>
      </c>
      <c r="AW181" s="122" t="s">
        <v>260</v>
      </c>
      <c r="AY181" s="141" t="s">
        <v>253</v>
      </c>
      <c r="AZ181" s="122" t="s">
        <v>2932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2811</v>
      </c>
      <c r="BH181" s="122" t="s">
        <v>2802</v>
      </c>
      <c r="BI181" s="142">
        <v>21</v>
      </c>
      <c r="BJ181" s="123">
        <v>42221</v>
      </c>
      <c r="BK181" s="139" t="s">
        <v>264</v>
      </c>
      <c r="BL181" s="140">
        <v>174.24</v>
      </c>
      <c r="BM181" s="122">
        <v>32</v>
      </c>
    </row>
    <row r="182" spans="1:65" x14ac:dyDescent="0.25">
      <c r="A182" s="122" t="s">
        <v>230</v>
      </c>
      <c r="B182" s="122" t="s">
        <v>2933</v>
      </c>
      <c r="C182" s="122" t="s">
        <v>2934</v>
      </c>
      <c r="D182" s="122" t="s">
        <v>2935</v>
      </c>
      <c r="E182" s="123">
        <v>42219</v>
      </c>
      <c r="F182" s="122" t="s">
        <v>1981</v>
      </c>
      <c r="G182" s="122" t="s">
        <v>235</v>
      </c>
      <c r="H182" s="122" t="s">
        <v>2936</v>
      </c>
      <c r="I182" s="122" t="s">
        <v>2937</v>
      </c>
      <c r="K182" s="122" t="s">
        <v>238</v>
      </c>
      <c r="L182" s="122" t="s">
        <v>346</v>
      </c>
      <c r="M182" s="122" t="s">
        <v>1054</v>
      </c>
      <c r="O182" s="141" t="s">
        <v>373</v>
      </c>
      <c r="P182" s="141" t="s">
        <v>2938</v>
      </c>
      <c r="Q182" s="122" t="s">
        <v>243</v>
      </c>
      <c r="R182" s="142">
        <v>22</v>
      </c>
      <c r="S182" s="122" t="s">
        <v>2939</v>
      </c>
      <c r="U182" s="122" t="s">
        <v>2802</v>
      </c>
      <c r="W182" s="122" t="s">
        <v>246</v>
      </c>
      <c r="X182" s="122" t="s">
        <v>376</v>
      </c>
      <c r="Y182" s="141" t="s">
        <v>834</v>
      </c>
      <c r="Z182" s="122" t="s">
        <v>2940</v>
      </c>
      <c r="AA182" s="141" t="s">
        <v>1325</v>
      </c>
      <c r="AB182" s="122" t="s">
        <v>355</v>
      </c>
      <c r="AC182" s="141" t="s">
        <v>879</v>
      </c>
      <c r="AD182" s="122" t="s">
        <v>2941</v>
      </c>
      <c r="AE182" s="122" t="s">
        <v>235</v>
      </c>
      <c r="AF182" s="122" t="s">
        <v>2942</v>
      </c>
      <c r="AG182" s="122" t="s">
        <v>537</v>
      </c>
      <c r="AH182" s="122" t="s">
        <v>253</v>
      </c>
      <c r="AI182" s="122" t="s">
        <v>2943</v>
      </c>
      <c r="AJ182" s="122" t="s">
        <v>2944</v>
      </c>
      <c r="AK182" s="122" t="s">
        <v>253</v>
      </c>
      <c r="AL182" s="122" t="s">
        <v>253</v>
      </c>
      <c r="AM182" s="122" t="s">
        <v>253</v>
      </c>
      <c r="AN182" s="122" t="s">
        <v>253</v>
      </c>
      <c r="AO182" s="141" t="s">
        <v>253</v>
      </c>
      <c r="AP182" s="141" t="s">
        <v>253</v>
      </c>
      <c r="AQ182" s="141" t="s">
        <v>247</v>
      </c>
      <c r="AR182" s="141" t="s">
        <v>253</v>
      </c>
      <c r="AS182" s="141" t="s">
        <v>361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41" t="s">
        <v>253</v>
      </c>
      <c r="AZ182" s="122" t="s">
        <v>2945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2811</v>
      </c>
      <c r="BH182" s="122" t="s">
        <v>2802</v>
      </c>
      <c r="BI182" s="142">
        <v>22</v>
      </c>
      <c r="BJ182" s="123">
        <v>42229</v>
      </c>
      <c r="BK182" s="139" t="s">
        <v>2891</v>
      </c>
      <c r="BM182" s="122">
        <v>33</v>
      </c>
    </row>
    <row r="183" spans="1:65" x14ac:dyDescent="0.25">
      <c r="A183" s="122" t="s">
        <v>888</v>
      </c>
      <c r="B183" s="122" t="s">
        <v>2946</v>
      </c>
      <c r="C183" s="122" t="s">
        <v>2947</v>
      </c>
      <c r="D183" s="122" t="s">
        <v>2948</v>
      </c>
      <c r="E183" s="123">
        <v>42219</v>
      </c>
      <c r="F183" s="122" t="s">
        <v>1778</v>
      </c>
      <c r="G183" s="122" t="s">
        <v>235</v>
      </c>
      <c r="H183" s="122" t="s">
        <v>2949</v>
      </c>
      <c r="I183" s="122" t="s">
        <v>2950</v>
      </c>
      <c r="J183" s="122" t="s">
        <v>2951</v>
      </c>
      <c r="K183" s="122" t="s">
        <v>238</v>
      </c>
      <c r="L183" s="122" t="s">
        <v>346</v>
      </c>
      <c r="M183" s="122" t="s">
        <v>2830</v>
      </c>
      <c r="O183" s="141" t="s">
        <v>2526</v>
      </c>
      <c r="P183" s="141" t="s">
        <v>2952</v>
      </c>
      <c r="Q183" s="122" t="s">
        <v>243</v>
      </c>
      <c r="R183" s="142">
        <v>23</v>
      </c>
      <c r="S183" s="122" t="s">
        <v>2953</v>
      </c>
      <c r="U183" s="122" t="s">
        <v>2802</v>
      </c>
      <c r="W183" s="122" t="s">
        <v>246</v>
      </c>
      <c r="X183" s="122" t="s">
        <v>739</v>
      </c>
      <c r="Y183" s="141" t="s">
        <v>2072</v>
      </c>
      <c r="Z183" s="122" t="s">
        <v>2954</v>
      </c>
      <c r="AB183" s="122" t="s">
        <v>250</v>
      </c>
      <c r="AD183" s="122" t="s">
        <v>250</v>
      </c>
      <c r="AE183" s="122" t="s">
        <v>235</v>
      </c>
      <c r="AF183" s="122" t="s">
        <v>2955</v>
      </c>
      <c r="AG183" s="122" t="s">
        <v>537</v>
      </c>
      <c r="AH183" s="122" t="s">
        <v>253</v>
      </c>
      <c r="AI183" s="122" t="s">
        <v>2074</v>
      </c>
      <c r="AJ183" s="122" t="s">
        <v>2956</v>
      </c>
      <c r="AK183" s="122" t="s">
        <v>253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253</v>
      </c>
      <c r="AR183" s="141" t="s">
        <v>253</v>
      </c>
      <c r="AS183" s="141" t="s">
        <v>601</v>
      </c>
      <c r="AT183" s="141" t="s">
        <v>258</v>
      </c>
      <c r="AU183" s="141" t="s">
        <v>258</v>
      </c>
      <c r="AV183" s="122" t="s">
        <v>259</v>
      </c>
      <c r="AW183" s="122" t="s">
        <v>260</v>
      </c>
      <c r="AY183" s="141" t="s">
        <v>253</v>
      </c>
      <c r="AZ183" s="122" t="s">
        <v>2957</v>
      </c>
      <c r="BA183" s="122" t="s">
        <v>262</v>
      </c>
      <c r="BB183" s="122" t="s">
        <v>262</v>
      </c>
      <c r="BD183" s="122" t="s">
        <v>253</v>
      </c>
      <c r="BE183" s="122" t="s">
        <v>263</v>
      </c>
      <c r="BF183" s="122" t="s">
        <v>2811</v>
      </c>
      <c r="BH183" s="122" t="s">
        <v>2802</v>
      </c>
      <c r="BI183" s="142">
        <v>23</v>
      </c>
      <c r="BJ183" s="123">
        <v>42231</v>
      </c>
      <c r="BK183" s="139" t="s">
        <v>264</v>
      </c>
      <c r="BL183" s="140">
        <v>163.44</v>
      </c>
      <c r="BM183" s="122">
        <v>33</v>
      </c>
    </row>
    <row r="184" spans="1:65" x14ac:dyDescent="0.25">
      <c r="A184" s="122" t="s">
        <v>888</v>
      </c>
      <c r="B184" s="122" t="s">
        <v>2958</v>
      </c>
      <c r="C184" s="122" t="s">
        <v>2959</v>
      </c>
      <c r="D184" s="122" t="s">
        <v>2960</v>
      </c>
      <c r="E184" s="123">
        <v>42219</v>
      </c>
      <c r="F184" s="122" t="s">
        <v>1820</v>
      </c>
      <c r="G184" s="122" t="s">
        <v>235</v>
      </c>
      <c r="H184" s="122" t="s">
        <v>2961</v>
      </c>
      <c r="I184" s="122" t="s">
        <v>2962</v>
      </c>
      <c r="K184" s="122" t="s">
        <v>238</v>
      </c>
      <c r="L184" s="122" t="s">
        <v>346</v>
      </c>
      <c r="M184" s="122" t="s">
        <v>2963</v>
      </c>
      <c r="O184" s="141" t="s">
        <v>566</v>
      </c>
      <c r="P184" s="141" t="s">
        <v>2964</v>
      </c>
      <c r="Q184" s="122" t="s">
        <v>243</v>
      </c>
      <c r="R184" s="142">
        <v>24</v>
      </c>
      <c r="S184" s="122" t="s">
        <v>2965</v>
      </c>
      <c r="U184" s="122" t="s">
        <v>2802</v>
      </c>
      <c r="W184" s="122" t="s">
        <v>246</v>
      </c>
      <c r="X184" s="122" t="s">
        <v>454</v>
      </c>
      <c r="Y184" s="141" t="s">
        <v>668</v>
      </c>
      <c r="Z184" s="122" t="s">
        <v>2966</v>
      </c>
      <c r="AA184" s="141" t="s">
        <v>685</v>
      </c>
      <c r="AB184" s="122" t="s">
        <v>2967</v>
      </c>
      <c r="AC184" s="141" t="s">
        <v>670</v>
      </c>
      <c r="AD184" s="122" t="s">
        <v>395</v>
      </c>
      <c r="AE184" s="122" t="s">
        <v>235</v>
      </c>
      <c r="AF184" s="122" t="s">
        <v>2968</v>
      </c>
      <c r="AG184" s="122" t="s">
        <v>537</v>
      </c>
      <c r="AH184" s="122" t="s">
        <v>253</v>
      </c>
      <c r="AI184" s="122" t="s">
        <v>2969</v>
      </c>
      <c r="AJ184" s="122" t="s">
        <v>2970</v>
      </c>
      <c r="AK184" s="122" t="s">
        <v>253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247</v>
      </c>
      <c r="AR184" s="141" t="s">
        <v>253</v>
      </c>
      <c r="AS184" s="141" t="s">
        <v>601</v>
      </c>
      <c r="AT184" s="141" t="s">
        <v>601</v>
      </c>
      <c r="AU184" s="141" t="s">
        <v>258</v>
      </c>
      <c r="AV184" s="122" t="s">
        <v>259</v>
      </c>
      <c r="AW184" s="122" t="s">
        <v>260</v>
      </c>
      <c r="AY184" s="141" t="s">
        <v>253</v>
      </c>
      <c r="AZ184" s="122" t="s">
        <v>2971</v>
      </c>
      <c r="BA184" s="122" t="s">
        <v>2972</v>
      </c>
      <c r="BB184" s="122" t="s">
        <v>262</v>
      </c>
      <c r="BD184" s="122" t="s">
        <v>253</v>
      </c>
      <c r="BE184" s="122" t="s">
        <v>263</v>
      </c>
      <c r="BF184" s="122" t="s">
        <v>2811</v>
      </c>
      <c r="BH184" s="122" t="s">
        <v>2802</v>
      </c>
      <c r="BI184" s="142">
        <v>24</v>
      </c>
      <c r="BJ184" s="123">
        <v>42232</v>
      </c>
      <c r="BK184" s="139" t="s">
        <v>606</v>
      </c>
      <c r="BM184" s="122">
        <v>33</v>
      </c>
    </row>
    <row r="185" spans="1:65" x14ac:dyDescent="0.25">
      <c r="A185" s="122" t="s">
        <v>888</v>
      </c>
      <c r="B185" s="122" t="s">
        <v>2973</v>
      </c>
      <c r="C185" s="122" t="s">
        <v>2974</v>
      </c>
      <c r="D185" s="122" t="s">
        <v>2975</v>
      </c>
      <c r="E185" s="123">
        <v>42219</v>
      </c>
      <c r="F185" s="122" t="s">
        <v>1567</v>
      </c>
      <c r="G185" s="122" t="s">
        <v>235</v>
      </c>
      <c r="H185" s="122" t="s">
        <v>448</v>
      </c>
      <c r="I185" s="122" t="s">
        <v>2976</v>
      </c>
      <c r="K185" s="122" t="s">
        <v>238</v>
      </c>
      <c r="L185" s="122" t="s">
        <v>346</v>
      </c>
      <c r="M185" s="122" t="s">
        <v>2830</v>
      </c>
      <c r="O185" s="141" t="s">
        <v>1240</v>
      </c>
      <c r="P185" s="141" t="s">
        <v>2977</v>
      </c>
      <c r="Q185" s="122" t="s">
        <v>243</v>
      </c>
      <c r="R185" s="142">
        <v>25</v>
      </c>
      <c r="S185" s="122" t="s">
        <v>2978</v>
      </c>
      <c r="U185" s="122" t="s">
        <v>2802</v>
      </c>
      <c r="W185" s="122" t="s">
        <v>246</v>
      </c>
      <c r="X185" s="122" t="s">
        <v>260</v>
      </c>
      <c r="Y185" s="141" t="s">
        <v>2979</v>
      </c>
      <c r="Z185" s="122" t="s">
        <v>249</v>
      </c>
      <c r="AA185" s="141" t="s">
        <v>956</v>
      </c>
      <c r="AB185" s="122" t="s">
        <v>2980</v>
      </c>
      <c r="AC185" s="141" t="s">
        <v>2804</v>
      </c>
      <c r="AD185" s="122" t="s">
        <v>249</v>
      </c>
      <c r="AE185" s="122" t="s">
        <v>235</v>
      </c>
      <c r="AF185" s="122" t="s">
        <v>2981</v>
      </c>
      <c r="AG185" s="122" t="s">
        <v>2982</v>
      </c>
      <c r="AH185" s="122" t="s">
        <v>253</v>
      </c>
      <c r="AI185" s="122" t="s">
        <v>2983</v>
      </c>
      <c r="AJ185" s="122" t="s">
        <v>2984</v>
      </c>
      <c r="AK185" s="122" t="s">
        <v>2985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247</v>
      </c>
      <c r="AS185" s="141" t="s">
        <v>601</v>
      </c>
      <c r="AT185" s="141" t="s">
        <v>601</v>
      </c>
      <c r="AU185" s="141" t="s">
        <v>257</v>
      </c>
      <c r="AV185" s="122" t="s">
        <v>259</v>
      </c>
      <c r="AW185" s="122" t="s">
        <v>260</v>
      </c>
      <c r="AX185" s="141" t="s">
        <v>2986</v>
      </c>
      <c r="AY185" s="141" t="s">
        <v>603</v>
      </c>
      <c r="AZ185" s="122" t="s">
        <v>262</v>
      </c>
      <c r="BA185" s="122" t="s">
        <v>262</v>
      </c>
      <c r="BB185" s="122" t="s">
        <v>2987</v>
      </c>
      <c r="BD185" s="122" t="s">
        <v>253</v>
      </c>
      <c r="BE185" s="122" t="s">
        <v>263</v>
      </c>
      <c r="BF185" s="122" t="s">
        <v>2811</v>
      </c>
      <c r="BH185" s="122" t="s">
        <v>2802</v>
      </c>
      <c r="BI185" s="142">
        <v>25</v>
      </c>
      <c r="BJ185" s="123">
        <v>42232</v>
      </c>
      <c r="BK185" s="139" t="s">
        <v>606</v>
      </c>
      <c r="BM185" s="122">
        <v>33</v>
      </c>
    </row>
    <row r="186" spans="1:65" x14ac:dyDescent="0.25">
      <c r="A186" s="122" t="s">
        <v>404</v>
      </c>
      <c r="B186" s="122" t="s">
        <v>2988</v>
      </c>
      <c r="C186" s="122" t="s">
        <v>2989</v>
      </c>
      <c r="D186" s="122" t="s">
        <v>2990</v>
      </c>
      <c r="E186" s="123">
        <v>42219</v>
      </c>
      <c r="F186" s="122" t="s">
        <v>2991</v>
      </c>
      <c r="G186" s="122" t="s">
        <v>235</v>
      </c>
      <c r="H186" s="122" t="s">
        <v>2992</v>
      </c>
      <c r="I186" s="122" t="s">
        <v>2911</v>
      </c>
      <c r="J186" s="122" t="s">
        <v>2993</v>
      </c>
      <c r="K186" s="122" t="s">
        <v>238</v>
      </c>
      <c r="L186" s="122" t="s">
        <v>346</v>
      </c>
      <c r="M186" s="122" t="s">
        <v>2913</v>
      </c>
      <c r="Q186" s="122" t="s">
        <v>243</v>
      </c>
      <c r="R186" s="142">
        <v>26</v>
      </c>
      <c r="S186" s="122" t="s">
        <v>2994</v>
      </c>
      <c r="U186" s="122" t="s">
        <v>2802</v>
      </c>
      <c r="W186" s="122" t="s">
        <v>246</v>
      </c>
      <c r="X186" s="122" t="s">
        <v>442</v>
      </c>
      <c r="Y186" s="141" t="s">
        <v>668</v>
      </c>
      <c r="Z186" s="122" t="s">
        <v>2995</v>
      </c>
      <c r="AA186" s="141" t="s">
        <v>356</v>
      </c>
      <c r="AB186" s="122" t="s">
        <v>2996</v>
      </c>
      <c r="AC186" s="141" t="s">
        <v>234</v>
      </c>
      <c r="AD186" s="122" t="s">
        <v>2997</v>
      </c>
      <c r="AE186" s="122" t="s">
        <v>235</v>
      </c>
      <c r="AF186" s="122" t="s">
        <v>2998</v>
      </c>
      <c r="AG186" s="122" t="s">
        <v>253</v>
      </c>
      <c r="AH186" s="122" t="s">
        <v>253</v>
      </c>
      <c r="AI186" s="122" t="s">
        <v>2999</v>
      </c>
      <c r="AJ186" s="122" t="s">
        <v>2212</v>
      </c>
      <c r="AK186" s="122" t="s">
        <v>3000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247</v>
      </c>
      <c r="AQ186" s="141" t="s">
        <v>247</v>
      </c>
      <c r="AR186" s="141" t="s">
        <v>253</v>
      </c>
      <c r="AS186" s="141" t="s">
        <v>601</v>
      </c>
      <c r="AT186" s="141" t="s">
        <v>601</v>
      </c>
      <c r="AU186" s="141" t="s">
        <v>258</v>
      </c>
      <c r="AV186" s="122" t="s">
        <v>259</v>
      </c>
      <c r="AW186" s="122" t="s">
        <v>260</v>
      </c>
      <c r="AY186" s="141" t="s">
        <v>253</v>
      </c>
      <c r="AZ186" s="122" t="s">
        <v>3001</v>
      </c>
      <c r="BA186" s="122" t="s">
        <v>262</v>
      </c>
      <c r="BB186" s="122" t="s">
        <v>262</v>
      </c>
      <c r="BD186" s="122" t="s">
        <v>253</v>
      </c>
      <c r="BE186" s="122" t="s">
        <v>263</v>
      </c>
      <c r="BF186" s="122" t="s">
        <v>2811</v>
      </c>
      <c r="BH186" s="122" t="s">
        <v>2802</v>
      </c>
      <c r="BI186" s="142">
        <v>26</v>
      </c>
      <c r="BJ186" s="123">
        <v>42232</v>
      </c>
      <c r="BK186" s="139" t="s">
        <v>606</v>
      </c>
      <c r="BM186" s="122">
        <v>33</v>
      </c>
    </row>
    <row r="187" spans="1:65" x14ac:dyDescent="0.25">
      <c r="A187" s="122" t="s">
        <v>404</v>
      </c>
      <c r="B187" s="122" t="s">
        <v>3002</v>
      </c>
      <c r="C187" s="122" t="s">
        <v>3003</v>
      </c>
      <c r="D187" s="122" t="s">
        <v>3004</v>
      </c>
      <c r="E187" s="123">
        <v>42219</v>
      </c>
      <c r="F187" s="122" t="s">
        <v>304</v>
      </c>
      <c r="G187" s="122" t="s">
        <v>235</v>
      </c>
      <c r="H187" s="122" t="s">
        <v>3005</v>
      </c>
      <c r="I187" s="122" t="s">
        <v>3006</v>
      </c>
      <c r="K187" s="122" t="s">
        <v>238</v>
      </c>
      <c r="L187" s="122" t="s">
        <v>346</v>
      </c>
      <c r="M187" s="122" t="s">
        <v>2830</v>
      </c>
      <c r="O187" s="141" t="s">
        <v>273</v>
      </c>
      <c r="P187" s="141" t="s">
        <v>3007</v>
      </c>
      <c r="Q187" s="122" t="s">
        <v>243</v>
      </c>
      <c r="R187" s="142">
        <v>27</v>
      </c>
      <c r="S187" s="122" t="s">
        <v>3008</v>
      </c>
      <c r="U187" s="122" t="s">
        <v>2802</v>
      </c>
      <c r="W187" s="122" t="s">
        <v>246</v>
      </c>
      <c r="X187" s="122" t="s">
        <v>302</v>
      </c>
      <c r="Y187" s="141" t="s">
        <v>888</v>
      </c>
      <c r="Z187" s="122" t="s">
        <v>1746</v>
      </c>
      <c r="AB187" s="122" t="s">
        <v>250</v>
      </c>
      <c r="AD187" s="122" t="s">
        <v>250</v>
      </c>
      <c r="AE187" s="122" t="s">
        <v>235</v>
      </c>
      <c r="AF187" s="122" t="s">
        <v>3009</v>
      </c>
      <c r="AG187" s="122" t="s">
        <v>537</v>
      </c>
      <c r="AH187" s="122" t="s">
        <v>253</v>
      </c>
      <c r="AI187" s="122" t="s">
        <v>3010</v>
      </c>
      <c r="AJ187" s="122" t="s">
        <v>3011</v>
      </c>
      <c r="AK187" s="122" t="s">
        <v>253</v>
      </c>
      <c r="AL187" s="122" t="s">
        <v>253</v>
      </c>
      <c r="AM187" s="122" t="s">
        <v>253</v>
      </c>
      <c r="AN187" s="122" t="s">
        <v>253</v>
      </c>
      <c r="AO187" s="141" t="s">
        <v>247</v>
      </c>
      <c r="AP187" s="141" t="s">
        <v>247</v>
      </c>
      <c r="AQ187" s="141" t="s">
        <v>247</v>
      </c>
      <c r="AR187" s="141" t="s">
        <v>253</v>
      </c>
      <c r="AS187" s="141" t="s">
        <v>601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Y187" s="141" t="s">
        <v>253</v>
      </c>
      <c r="AZ187" s="122" t="s">
        <v>3012</v>
      </c>
      <c r="BA187" s="122" t="s">
        <v>262</v>
      </c>
      <c r="BB187" s="122" t="s">
        <v>262</v>
      </c>
      <c r="BD187" s="122" t="s">
        <v>253</v>
      </c>
      <c r="BE187" s="122" t="s">
        <v>263</v>
      </c>
      <c r="BF187" s="122" t="s">
        <v>2811</v>
      </c>
      <c r="BH187" s="122" t="s">
        <v>2802</v>
      </c>
      <c r="BI187" s="142">
        <v>27</v>
      </c>
      <c r="BJ187" s="123">
        <v>42231</v>
      </c>
      <c r="BK187" s="139" t="s">
        <v>264</v>
      </c>
      <c r="BL187" s="140">
        <v>441.03</v>
      </c>
      <c r="BM187" s="122">
        <v>33</v>
      </c>
    </row>
    <row r="188" spans="1:65" x14ac:dyDescent="0.25">
      <c r="A188" s="122" t="s">
        <v>404</v>
      </c>
      <c r="B188" s="122" t="s">
        <v>3013</v>
      </c>
      <c r="C188" s="122" t="s">
        <v>3014</v>
      </c>
      <c r="D188" s="122" t="s">
        <v>3015</v>
      </c>
      <c r="E188" s="123">
        <v>42219</v>
      </c>
      <c r="F188" s="122" t="s">
        <v>1075</v>
      </c>
      <c r="G188" s="122" t="s">
        <v>235</v>
      </c>
      <c r="H188" s="122" t="s">
        <v>3016</v>
      </c>
      <c r="I188" s="122" t="s">
        <v>3017</v>
      </c>
      <c r="K188" s="122" t="s">
        <v>238</v>
      </c>
      <c r="L188" s="122" t="s">
        <v>346</v>
      </c>
      <c r="M188" s="122" t="s">
        <v>3018</v>
      </c>
      <c r="O188" s="141" t="s">
        <v>780</v>
      </c>
      <c r="P188" s="141" t="s">
        <v>3019</v>
      </c>
      <c r="Q188" s="122" t="s">
        <v>243</v>
      </c>
      <c r="R188" s="142">
        <v>28</v>
      </c>
      <c r="S188" s="122" t="s">
        <v>3020</v>
      </c>
      <c r="U188" s="122" t="s">
        <v>2802</v>
      </c>
      <c r="W188" s="122" t="s">
        <v>246</v>
      </c>
      <c r="X188" s="122" t="s">
        <v>325</v>
      </c>
      <c r="Y188" s="141" t="s">
        <v>1256</v>
      </c>
      <c r="Z188" s="122" t="s">
        <v>3021</v>
      </c>
      <c r="AA188" s="141" t="s">
        <v>356</v>
      </c>
      <c r="AB188" s="122" t="s">
        <v>3022</v>
      </c>
      <c r="AC188" s="141" t="s">
        <v>901</v>
      </c>
      <c r="AD188" s="122" t="s">
        <v>3023</v>
      </c>
      <c r="AE188" s="122" t="s">
        <v>235</v>
      </c>
      <c r="AF188" s="122" t="s">
        <v>3024</v>
      </c>
      <c r="AG188" s="122" t="s">
        <v>1408</v>
      </c>
      <c r="AH188" s="122" t="s">
        <v>253</v>
      </c>
      <c r="AI188" s="122" t="s">
        <v>3025</v>
      </c>
      <c r="AJ188" s="122" t="s">
        <v>3026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247</v>
      </c>
      <c r="AR188" s="141" t="s">
        <v>253</v>
      </c>
      <c r="AS188" s="141" t="s">
        <v>601</v>
      </c>
      <c r="AT188" s="141" t="s">
        <v>601</v>
      </c>
      <c r="AU188" s="141" t="s">
        <v>258</v>
      </c>
      <c r="AV188" s="122" t="s">
        <v>259</v>
      </c>
      <c r="AW188" s="122" t="s">
        <v>260</v>
      </c>
      <c r="AX188" s="141" t="s">
        <v>3027</v>
      </c>
      <c r="AY188" s="141" t="s">
        <v>247</v>
      </c>
      <c r="AZ188" s="122" t="s">
        <v>3028</v>
      </c>
      <c r="BA188" s="122" t="s">
        <v>262</v>
      </c>
      <c r="BB188" s="122" t="s">
        <v>262</v>
      </c>
      <c r="BD188" s="122" t="s">
        <v>253</v>
      </c>
      <c r="BE188" s="122" t="s">
        <v>263</v>
      </c>
      <c r="BF188" s="122" t="s">
        <v>2811</v>
      </c>
      <c r="BH188" s="122" t="s">
        <v>2802</v>
      </c>
      <c r="BI188" s="142">
        <v>28</v>
      </c>
      <c r="BJ188" s="123">
        <v>42233</v>
      </c>
      <c r="BK188" s="139" t="s">
        <v>606</v>
      </c>
      <c r="BM188" s="122">
        <v>34</v>
      </c>
    </row>
    <row r="189" spans="1:65" x14ac:dyDescent="0.25">
      <c r="A189" s="122" t="s">
        <v>404</v>
      </c>
      <c r="B189" s="122" t="s">
        <v>3029</v>
      </c>
      <c r="C189" s="122" t="s">
        <v>3030</v>
      </c>
      <c r="D189" s="122" t="s">
        <v>3031</v>
      </c>
      <c r="E189" s="123">
        <v>42219</v>
      </c>
      <c r="F189" s="122" t="s">
        <v>3032</v>
      </c>
      <c r="G189" s="122" t="s">
        <v>235</v>
      </c>
      <c r="H189" s="122" t="s">
        <v>3033</v>
      </c>
      <c r="I189" s="122" t="s">
        <v>3034</v>
      </c>
      <c r="K189" s="122" t="s">
        <v>238</v>
      </c>
      <c r="L189" s="122" t="s">
        <v>346</v>
      </c>
      <c r="M189" s="122" t="s">
        <v>3018</v>
      </c>
      <c r="N189" s="122" t="s">
        <v>3035</v>
      </c>
      <c r="Q189" s="122" t="s">
        <v>243</v>
      </c>
      <c r="R189" s="142">
        <v>29</v>
      </c>
      <c r="S189" s="122" t="s">
        <v>3036</v>
      </c>
      <c r="U189" s="122" t="s">
        <v>2802</v>
      </c>
      <c r="W189" s="122" t="s">
        <v>246</v>
      </c>
      <c r="X189" s="122" t="s">
        <v>302</v>
      </c>
      <c r="Y189" s="141" t="s">
        <v>3037</v>
      </c>
      <c r="Z189" s="122" t="s">
        <v>3038</v>
      </c>
      <c r="AA189" s="141" t="s">
        <v>3039</v>
      </c>
      <c r="AB189" s="122" t="s">
        <v>3038</v>
      </c>
      <c r="AC189" s="141" t="s">
        <v>834</v>
      </c>
      <c r="AD189" s="122" t="s">
        <v>3040</v>
      </c>
      <c r="AE189" s="122" t="s">
        <v>235</v>
      </c>
      <c r="AF189" s="122" t="s">
        <v>3041</v>
      </c>
      <c r="AG189" s="122" t="s">
        <v>537</v>
      </c>
      <c r="AH189" s="122" t="s">
        <v>253</v>
      </c>
      <c r="AI189" s="122" t="s">
        <v>439</v>
      </c>
      <c r="AJ189" s="122" t="s">
        <v>3042</v>
      </c>
      <c r="AK189" s="122" t="s">
        <v>253</v>
      </c>
      <c r="AL189" s="122" t="s">
        <v>253</v>
      </c>
      <c r="AM189" s="122" t="s">
        <v>253</v>
      </c>
      <c r="AN189" s="122" t="s">
        <v>253</v>
      </c>
      <c r="AO189" s="141" t="s">
        <v>247</v>
      </c>
      <c r="AP189" s="141" t="s">
        <v>253</v>
      </c>
      <c r="AQ189" s="141" t="s">
        <v>253</v>
      </c>
      <c r="AR189" s="141" t="s">
        <v>253</v>
      </c>
      <c r="AS189" s="141" t="s">
        <v>601</v>
      </c>
      <c r="AT189" s="141" t="s">
        <v>258</v>
      </c>
      <c r="AU189" s="141" t="s">
        <v>258</v>
      </c>
      <c r="AV189" s="122" t="s">
        <v>259</v>
      </c>
      <c r="AW189" s="122" t="s">
        <v>260</v>
      </c>
      <c r="AY189" s="141" t="s">
        <v>253</v>
      </c>
      <c r="AZ189" s="122" t="s">
        <v>3043</v>
      </c>
      <c r="BA189" s="122" t="s">
        <v>3044</v>
      </c>
      <c r="BB189" s="122" t="s">
        <v>262</v>
      </c>
      <c r="BD189" s="122" t="s">
        <v>253</v>
      </c>
      <c r="BE189" s="122" t="s">
        <v>263</v>
      </c>
      <c r="BF189" s="122" t="s">
        <v>2811</v>
      </c>
      <c r="BH189" s="122" t="s">
        <v>2802</v>
      </c>
      <c r="BI189" s="142">
        <v>29</v>
      </c>
      <c r="BJ189" s="123">
        <v>42221</v>
      </c>
      <c r="BK189" s="139" t="s">
        <v>264</v>
      </c>
      <c r="BL189" s="140">
        <v>37</v>
      </c>
      <c r="BM189" s="122">
        <v>32</v>
      </c>
    </row>
    <row r="190" spans="1:65" x14ac:dyDescent="0.25">
      <c r="A190" s="122" t="s">
        <v>404</v>
      </c>
      <c r="B190" s="122" t="s">
        <v>3045</v>
      </c>
      <c r="C190" s="122" t="s">
        <v>3046</v>
      </c>
      <c r="D190" s="122" t="s">
        <v>3047</v>
      </c>
      <c r="E190" s="123">
        <v>42219</v>
      </c>
      <c r="F190" s="122" t="s">
        <v>1787</v>
      </c>
      <c r="G190" s="122" t="s">
        <v>235</v>
      </c>
      <c r="H190" s="122" t="s">
        <v>3048</v>
      </c>
      <c r="I190" s="122" t="s">
        <v>3049</v>
      </c>
      <c r="K190" s="122" t="s">
        <v>238</v>
      </c>
      <c r="L190" s="122" t="s">
        <v>346</v>
      </c>
      <c r="M190" s="122" t="s">
        <v>3050</v>
      </c>
      <c r="O190" s="141" t="s">
        <v>390</v>
      </c>
      <c r="P190" s="141" t="s">
        <v>3051</v>
      </c>
      <c r="Q190" s="122" t="s">
        <v>243</v>
      </c>
      <c r="R190" s="142">
        <v>30</v>
      </c>
      <c r="S190" s="122" t="s">
        <v>3052</v>
      </c>
      <c r="U190" s="122" t="s">
        <v>2802</v>
      </c>
      <c r="W190" s="122" t="s">
        <v>246</v>
      </c>
      <c r="X190" s="122" t="s">
        <v>325</v>
      </c>
      <c r="Y190" s="141" t="s">
        <v>304</v>
      </c>
      <c r="Z190" s="122" t="s">
        <v>3053</v>
      </c>
      <c r="AA190" s="141" t="s">
        <v>306</v>
      </c>
      <c r="AB190" s="122" t="s">
        <v>3054</v>
      </c>
      <c r="AC190" s="141" t="s">
        <v>2701</v>
      </c>
      <c r="AD190" s="122" t="s">
        <v>3055</v>
      </c>
      <c r="AE190" s="122" t="s">
        <v>235</v>
      </c>
      <c r="AF190" s="122" t="s">
        <v>3056</v>
      </c>
      <c r="AG190" s="122" t="s">
        <v>537</v>
      </c>
      <c r="AH190" s="122" t="s">
        <v>253</v>
      </c>
      <c r="AI190" s="122" t="s">
        <v>3057</v>
      </c>
      <c r="AJ190" s="122" t="s">
        <v>3058</v>
      </c>
      <c r="AK190" s="122" t="s">
        <v>253</v>
      </c>
      <c r="AL190" s="122" t="s">
        <v>253</v>
      </c>
      <c r="AM190" s="122" t="s">
        <v>253</v>
      </c>
      <c r="AN190" s="122" t="s">
        <v>253</v>
      </c>
      <c r="AO190" s="141" t="s">
        <v>247</v>
      </c>
      <c r="AP190" s="141" t="s">
        <v>247</v>
      </c>
      <c r="AQ190" s="141" t="s">
        <v>247</v>
      </c>
      <c r="AR190" s="141" t="s">
        <v>247</v>
      </c>
      <c r="AS190" s="141" t="s">
        <v>601</v>
      </c>
      <c r="AT190" s="141" t="s">
        <v>601</v>
      </c>
      <c r="AU190" s="141" t="s">
        <v>601</v>
      </c>
      <c r="AV190" s="122" t="s">
        <v>259</v>
      </c>
      <c r="AW190" s="122" t="s">
        <v>260</v>
      </c>
      <c r="AY190" s="141" t="s">
        <v>253</v>
      </c>
      <c r="AZ190" s="122" t="s">
        <v>3059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2811</v>
      </c>
      <c r="BH190" s="122" t="s">
        <v>2802</v>
      </c>
      <c r="BI190" s="142">
        <v>30</v>
      </c>
      <c r="BJ190" s="123">
        <v>42233</v>
      </c>
      <c r="BK190" s="139" t="s">
        <v>606</v>
      </c>
      <c r="BM190" s="122">
        <v>34</v>
      </c>
    </row>
    <row r="191" spans="1:65" x14ac:dyDescent="0.25">
      <c r="A191" s="122" t="s">
        <v>422</v>
      </c>
      <c r="B191" s="122" t="s">
        <v>3060</v>
      </c>
      <c r="C191" s="122" t="s">
        <v>3061</v>
      </c>
      <c r="D191" s="122" t="s">
        <v>3062</v>
      </c>
      <c r="E191" s="123">
        <v>42219</v>
      </c>
      <c r="F191" s="122" t="s">
        <v>1402</v>
      </c>
      <c r="G191" s="122" t="s">
        <v>235</v>
      </c>
      <c r="H191" s="122" t="s">
        <v>3063</v>
      </c>
      <c r="I191" s="122" t="s">
        <v>3064</v>
      </c>
      <c r="J191" s="122" t="s">
        <v>3065</v>
      </c>
      <c r="K191" s="122" t="s">
        <v>238</v>
      </c>
      <c r="L191" s="122" t="s">
        <v>346</v>
      </c>
      <c r="M191" s="122" t="s">
        <v>585</v>
      </c>
      <c r="O191" s="141" t="s">
        <v>548</v>
      </c>
      <c r="P191" s="141" t="s">
        <v>3066</v>
      </c>
      <c r="Q191" s="122" t="s">
        <v>243</v>
      </c>
      <c r="R191" s="142">
        <v>31</v>
      </c>
      <c r="S191" s="122" t="s">
        <v>3067</v>
      </c>
      <c r="U191" s="122" t="s">
        <v>2802</v>
      </c>
      <c r="W191" s="122" t="s">
        <v>246</v>
      </c>
      <c r="X191" s="122" t="s">
        <v>1057</v>
      </c>
      <c r="Y191" s="141" t="s">
        <v>593</v>
      </c>
      <c r="Z191" s="122" t="s">
        <v>3068</v>
      </c>
      <c r="AA191" s="141" t="s">
        <v>511</v>
      </c>
      <c r="AB191" s="122" t="s">
        <v>3069</v>
      </c>
      <c r="AC191" s="141" t="s">
        <v>1423</v>
      </c>
      <c r="AD191" s="122" t="s">
        <v>3070</v>
      </c>
      <c r="AE191" s="122" t="s">
        <v>235</v>
      </c>
      <c r="AF191" s="122" t="s">
        <v>3071</v>
      </c>
      <c r="AG191" s="122" t="s">
        <v>537</v>
      </c>
      <c r="AH191" s="122" t="s">
        <v>253</v>
      </c>
      <c r="AI191" s="122" t="s">
        <v>3072</v>
      </c>
      <c r="AJ191" s="122" t="s">
        <v>3073</v>
      </c>
      <c r="AK191" s="122" t="s">
        <v>3074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253</v>
      </c>
      <c r="AR191" s="141" t="s">
        <v>253</v>
      </c>
      <c r="AS191" s="141" t="s">
        <v>601</v>
      </c>
      <c r="AT191" s="141" t="s">
        <v>258</v>
      </c>
      <c r="AU191" s="141" t="s">
        <v>258</v>
      </c>
      <c r="AV191" s="122" t="s">
        <v>259</v>
      </c>
      <c r="AW191" s="122" t="s">
        <v>260</v>
      </c>
      <c r="AX191" s="141" t="s">
        <v>1046</v>
      </c>
      <c r="AY191" s="141" t="s">
        <v>603</v>
      </c>
      <c r="AZ191" s="122" t="s">
        <v>3075</v>
      </c>
      <c r="BA191" s="122" t="s">
        <v>262</v>
      </c>
      <c r="BB191" s="122" t="s">
        <v>262</v>
      </c>
      <c r="BD191" s="122" t="s">
        <v>253</v>
      </c>
      <c r="BE191" s="122" t="s">
        <v>263</v>
      </c>
      <c r="BF191" s="122" t="s">
        <v>2811</v>
      </c>
      <c r="BH191" s="122" t="s">
        <v>2802</v>
      </c>
      <c r="BI191" s="142">
        <v>31</v>
      </c>
      <c r="BJ191" s="123">
        <v>42230</v>
      </c>
      <c r="BK191" s="139" t="s">
        <v>264</v>
      </c>
      <c r="BL191" s="140">
        <v>305.74</v>
      </c>
      <c r="BM191" s="122">
        <v>33</v>
      </c>
    </row>
    <row r="192" spans="1:65" x14ac:dyDescent="0.25">
      <c r="A192" s="122" t="s">
        <v>422</v>
      </c>
      <c r="B192" s="122" t="s">
        <v>3076</v>
      </c>
      <c r="C192" s="122" t="s">
        <v>3077</v>
      </c>
      <c r="D192" s="122" t="s">
        <v>3078</v>
      </c>
      <c r="E192" s="123">
        <v>42219</v>
      </c>
      <c r="F192" s="122" t="s">
        <v>3079</v>
      </c>
      <c r="G192" s="122" t="s">
        <v>235</v>
      </c>
      <c r="H192" s="122" t="s">
        <v>3080</v>
      </c>
      <c r="I192" s="122" t="s">
        <v>3081</v>
      </c>
      <c r="J192" s="122" t="s">
        <v>2606</v>
      </c>
      <c r="K192" s="122" t="s">
        <v>238</v>
      </c>
      <c r="L192" s="122" t="s">
        <v>346</v>
      </c>
      <c r="M192" s="122" t="s">
        <v>2963</v>
      </c>
      <c r="O192" s="141" t="s">
        <v>548</v>
      </c>
      <c r="P192" s="141" t="s">
        <v>3082</v>
      </c>
      <c r="Q192" s="122" t="s">
        <v>243</v>
      </c>
      <c r="R192" s="142">
        <v>32</v>
      </c>
      <c r="S192" s="122" t="s">
        <v>3083</v>
      </c>
      <c r="U192" s="122" t="s">
        <v>2802</v>
      </c>
      <c r="W192" s="122" t="s">
        <v>246</v>
      </c>
      <c r="X192" s="122" t="s">
        <v>454</v>
      </c>
      <c r="Y192" s="141" t="s">
        <v>1440</v>
      </c>
      <c r="Z192" s="122" t="s">
        <v>3084</v>
      </c>
      <c r="AA192" s="141" t="s">
        <v>356</v>
      </c>
      <c r="AB192" s="122" t="s">
        <v>3085</v>
      </c>
      <c r="AC192" s="141" t="s">
        <v>819</v>
      </c>
      <c r="AD192" s="122" t="s">
        <v>3086</v>
      </c>
      <c r="AE192" s="122" t="s">
        <v>235</v>
      </c>
      <c r="AF192" s="122" t="s">
        <v>3087</v>
      </c>
      <c r="AG192" s="122" t="s">
        <v>537</v>
      </c>
      <c r="AH192" s="122" t="s">
        <v>253</v>
      </c>
      <c r="AI192" s="122" t="s">
        <v>3088</v>
      </c>
      <c r="AJ192" s="122" t="s">
        <v>3089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247</v>
      </c>
      <c r="AR192" s="141" t="s">
        <v>253</v>
      </c>
      <c r="AS192" s="141" t="s">
        <v>601</v>
      </c>
      <c r="AT192" s="141" t="s">
        <v>601</v>
      </c>
      <c r="AU192" s="141" t="s">
        <v>258</v>
      </c>
      <c r="AV192" s="122" t="s">
        <v>259</v>
      </c>
      <c r="AW192" s="122" t="s">
        <v>260</v>
      </c>
      <c r="AY192" s="141" t="s">
        <v>253</v>
      </c>
      <c r="AZ192" s="122" t="s">
        <v>3090</v>
      </c>
      <c r="BA192" s="122" t="s">
        <v>262</v>
      </c>
      <c r="BB192" s="122" t="s">
        <v>262</v>
      </c>
      <c r="BD192" s="122" t="s">
        <v>253</v>
      </c>
      <c r="BE192" s="122" t="s">
        <v>263</v>
      </c>
      <c r="BF192" s="122" t="s">
        <v>2811</v>
      </c>
      <c r="BH192" s="122" t="s">
        <v>2802</v>
      </c>
      <c r="BI192" s="142">
        <v>32</v>
      </c>
      <c r="BJ192" s="123">
        <v>42233</v>
      </c>
      <c r="BK192" s="139" t="s">
        <v>606</v>
      </c>
      <c r="BM192" s="122">
        <v>34</v>
      </c>
    </row>
    <row r="193" spans="1:65" x14ac:dyDescent="0.25">
      <c r="A193" s="122" t="s">
        <v>422</v>
      </c>
      <c r="B193" s="122" t="s">
        <v>3091</v>
      </c>
      <c r="C193" s="122" t="s">
        <v>3092</v>
      </c>
      <c r="D193" s="122" t="s">
        <v>3093</v>
      </c>
      <c r="E193" s="123">
        <v>42219</v>
      </c>
      <c r="F193" s="122" t="s">
        <v>595</v>
      </c>
      <c r="G193" s="122" t="s">
        <v>235</v>
      </c>
      <c r="H193" s="122" t="s">
        <v>3094</v>
      </c>
      <c r="I193" s="122" t="s">
        <v>3095</v>
      </c>
      <c r="K193" s="122" t="s">
        <v>238</v>
      </c>
      <c r="L193" s="122" t="s">
        <v>346</v>
      </c>
      <c r="M193" s="122" t="s">
        <v>2749</v>
      </c>
      <c r="O193" s="141" t="s">
        <v>273</v>
      </c>
      <c r="P193" s="141" t="s">
        <v>3096</v>
      </c>
      <c r="Q193" s="122" t="s">
        <v>243</v>
      </c>
      <c r="R193" s="142">
        <v>33</v>
      </c>
      <c r="S193" s="122" t="s">
        <v>3097</v>
      </c>
      <c r="U193" s="122" t="s">
        <v>2802</v>
      </c>
      <c r="W193" s="122" t="s">
        <v>246</v>
      </c>
      <c r="X193" s="122" t="s">
        <v>442</v>
      </c>
      <c r="Y193" s="141" t="s">
        <v>1258</v>
      </c>
      <c r="Z193" s="122" t="s">
        <v>518</v>
      </c>
      <c r="AB193" s="122" t="s">
        <v>250</v>
      </c>
      <c r="AD193" s="122" t="s">
        <v>250</v>
      </c>
      <c r="AE193" s="122" t="s">
        <v>235</v>
      </c>
      <c r="AF193" s="122" t="s">
        <v>3098</v>
      </c>
      <c r="AG193" s="122" t="s">
        <v>253</v>
      </c>
      <c r="AH193" s="122" t="s">
        <v>253</v>
      </c>
      <c r="AI193" s="122" t="s">
        <v>3099</v>
      </c>
      <c r="AJ193" s="122" t="s">
        <v>3100</v>
      </c>
      <c r="AK193" s="122" t="s">
        <v>3101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247</v>
      </c>
      <c r="AQ193" s="141" t="s">
        <v>253</v>
      </c>
      <c r="AR193" s="141" t="s">
        <v>253</v>
      </c>
      <c r="AS193" s="141" t="s">
        <v>601</v>
      </c>
      <c r="AT193" s="141" t="s">
        <v>258</v>
      </c>
      <c r="AU193" s="141" t="s">
        <v>258</v>
      </c>
      <c r="AV193" s="122" t="s">
        <v>259</v>
      </c>
      <c r="AW193" s="122" t="s">
        <v>260</v>
      </c>
      <c r="AY193" s="141" t="s">
        <v>253</v>
      </c>
      <c r="AZ193" s="122" t="s">
        <v>3102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2811</v>
      </c>
      <c r="BH193" s="122" t="s">
        <v>2802</v>
      </c>
      <c r="BI193" s="142">
        <v>33</v>
      </c>
      <c r="BJ193" s="123">
        <v>42232</v>
      </c>
      <c r="BK193" s="139" t="s">
        <v>606</v>
      </c>
      <c r="BM193" s="122">
        <v>33</v>
      </c>
    </row>
    <row r="194" spans="1:65" x14ac:dyDescent="0.25">
      <c r="A194" s="122" t="s">
        <v>422</v>
      </c>
      <c r="B194" s="122" t="s">
        <v>3103</v>
      </c>
      <c r="C194" s="122" t="s">
        <v>3104</v>
      </c>
      <c r="D194" s="122" t="s">
        <v>3105</v>
      </c>
      <c r="E194" s="123">
        <v>42219</v>
      </c>
      <c r="F194" s="122" t="s">
        <v>459</v>
      </c>
      <c r="G194" s="122" t="s">
        <v>235</v>
      </c>
      <c r="H194" s="122" t="s">
        <v>3106</v>
      </c>
      <c r="I194" s="122" t="s">
        <v>3107</v>
      </c>
      <c r="K194" s="122" t="s">
        <v>238</v>
      </c>
      <c r="L194" s="122" t="s">
        <v>346</v>
      </c>
      <c r="M194" s="122" t="s">
        <v>2830</v>
      </c>
      <c r="O194" s="141" t="s">
        <v>273</v>
      </c>
      <c r="P194" s="141" t="s">
        <v>3108</v>
      </c>
      <c r="Q194" s="122" t="s">
        <v>243</v>
      </c>
      <c r="R194" s="142">
        <v>34</v>
      </c>
      <c r="S194" s="122" t="s">
        <v>3109</v>
      </c>
      <c r="T194" s="122" t="s">
        <v>3110</v>
      </c>
      <c r="U194" s="122" t="s">
        <v>2802</v>
      </c>
      <c r="W194" s="122" t="s">
        <v>246</v>
      </c>
      <c r="X194" s="122" t="s">
        <v>433</v>
      </c>
      <c r="Z194" s="122" t="s">
        <v>250</v>
      </c>
      <c r="AB194" s="122" t="s">
        <v>250</v>
      </c>
      <c r="AD194" s="122" t="s">
        <v>250</v>
      </c>
      <c r="AE194" s="122" t="s">
        <v>235</v>
      </c>
      <c r="AF194" s="122" t="s">
        <v>3111</v>
      </c>
      <c r="AG194" s="122" t="s">
        <v>253</v>
      </c>
      <c r="AH194" s="122" t="s">
        <v>253</v>
      </c>
      <c r="AI194" s="122" t="s">
        <v>3111</v>
      </c>
      <c r="AJ194" s="122" t="s">
        <v>253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253</v>
      </c>
      <c r="AS194" s="141" t="s">
        <v>601</v>
      </c>
      <c r="AT194" s="141" t="s">
        <v>601</v>
      </c>
      <c r="AU194" s="141" t="s">
        <v>258</v>
      </c>
      <c r="AV194" s="122" t="s">
        <v>259</v>
      </c>
      <c r="AW194" s="122" t="s">
        <v>260</v>
      </c>
      <c r="AY194" s="141" t="s">
        <v>253</v>
      </c>
      <c r="AZ194" s="122" t="s">
        <v>3112</v>
      </c>
      <c r="BA194" s="122" t="s">
        <v>262</v>
      </c>
      <c r="BB194" s="122" t="s">
        <v>262</v>
      </c>
      <c r="BD194" s="122" t="s">
        <v>253</v>
      </c>
      <c r="BE194" s="122" t="s">
        <v>263</v>
      </c>
      <c r="BF194" s="122" t="s">
        <v>2811</v>
      </c>
      <c r="BH194" s="122" t="s">
        <v>2802</v>
      </c>
      <c r="BI194" s="142">
        <v>34</v>
      </c>
      <c r="BJ194" s="123">
        <v>42233</v>
      </c>
      <c r="BK194" s="139" t="s">
        <v>606</v>
      </c>
      <c r="BM194" s="122">
        <v>34</v>
      </c>
    </row>
    <row r="195" spans="1:65" x14ac:dyDescent="0.25">
      <c r="A195" s="122" t="s">
        <v>422</v>
      </c>
      <c r="B195" s="122" t="s">
        <v>3113</v>
      </c>
      <c r="C195" s="122" t="s">
        <v>3114</v>
      </c>
      <c r="D195" s="122" t="s">
        <v>3115</v>
      </c>
      <c r="E195" s="123">
        <v>42219</v>
      </c>
      <c r="F195" s="122" t="s">
        <v>3116</v>
      </c>
      <c r="G195" s="122" t="s">
        <v>235</v>
      </c>
      <c r="H195" s="122" t="s">
        <v>3117</v>
      </c>
      <c r="I195" s="122" t="s">
        <v>3118</v>
      </c>
      <c r="K195" s="122" t="s">
        <v>238</v>
      </c>
      <c r="L195" s="122" t="s">
        <v>346</v>
      </c>
      <c r="M195" s="122" t="s">
        <v>514</v>
      </c>
      <c r="O195" s="141" t="s">
        <v>273</v>
      </c>
      <c r="P195" s="141" t="s">
        <v>3119</v>
      </c>
      <c r="Q195" s="122" t="s">
        <v>243</v>
      </c>
      <c r="R195" s="142">
        <v>35</v>
      </c>
      <c r="S195" s="122" t="s">
        <v>3120</v>
      </c>
      <c r="U195" s="122" t="s">
        <v>2802</v>
      </c>
      <c r="W195" s="122" t="s">
        <v>246</v>
      </c>
      <c r="X195" s="122" t="s">
        <v>454</v>
      </c>
      <c r="Y195" s="141" t="s">
        <v>378</v>
      </c>
      <c r="Z195" s="122" t="s">
        <v>3121</v>
      </c>
      <c r="AA195" s="141" t="s">
        <v>356</v>
      </c>
      <c r="AB195" s="122" t="s">
        <v>3122</v>
      </c>
      <c r="AC195" s="141" t="s">
        <v>1896</v>
      </c>
      <c r="AD195" s="122" t="s">
        <v>355</v>
      </c>
      <c r="AE195" s="122" t="s">
        <v>235</v>
      </c>
      <c r="AF195" s="122" t="s">
        <v>3123</v>
      </c>
      <c r="AG195" s="122" t="s">
        <v>537</v>
      </c>
      <c r="AH195" s="122" t="s">
        <v>253</v>
      </c>
      <c r="AI195" s="122" t="s">
        <v>3124</v>
      </c>
      <c r="AJ195" s="122" t="s">
        <v>3125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247</v>
      </c>
      <c r="AP195" s="141" t="s">
        <v>247</v>
      </c>
      <c r="AQ195" s="141" t="s">
        <v>247</v>
      </c>
      <c r="AR195" s="141" t="s">
        <v>247</v>
      </c>
      <c r="AS195" s="141" t="s">
        <v>601</v>
      </c>
      <c r="AT195" s="141" t="s">
        <v>601</v>
      </c>
      <c r="AU195" s="141" t="s">
        <v>601</v>
      </c>
      <c r="AV195" s="122" t="s">
        <v>259</v>
      </c>
      <c r="AW195" s="122" t="s">
        <v>260</v>
      </c>
      <c r="AY195" s="141" t="s">
        <v>253</v>
      </c>
      <c r="AZ195" s="122" t="s">
        <v>3126</v>
      </c>
      <c r="BA195" s="122" t="s">
        <v>262</v>
      </c>
      <c r="BB195" s="122" t="s">
        <v>262</v>
      </c>
      <c r="BD195" s="122" t="s">
        <v>253</v>
      </c>
      <c r="BE195" s="122" t="s">
        <v>263</v>
      </c>
      <c r="BF195" s="122" t="s">
        <v>2811</v>
      </c>
      <c r="BH195" s="122" t="s">
        <v>2802</v>
      </c>
      <c r="BI195" s="142">
        <v>35</v>
      </c>
      <c r="BJ195" s="123">
        <v>42232</v>
      </c>
      <c r="BK195" s="139" t="s">
        <v>606</v>
      </c>
      <c r="BM195" s="122">
        <v>33</v>
      </c>
    </row>
    <row r="196" spans="1:65" x14ac:dyDescent="0.25">
      <c r="A196" s="122" t="s">
        <v>422</v>
      </c>
      <c r="B196" s="122" t="s">
        <v>3127</v>
      </c>
      <c r="C196" s="122" t="s">
        <v>3128</v>
      </c>
      <c r="D196" s="122" t="s">
        <v>3129</v>
      </c>
      <c r="E196" s="123">
        <v>42219</v>
      </c>
      <c r="F196" s="122" t="s">
        <v>1423</v>
      </c>
      <c r="G196" s="122" t="s">
        <v>235</v>
      </c>
      <c r="H196" s="122" t="s">
        <v>448</v>
      </c>
      <c r="I196" s="122" t="s">
        <v>3130</v>
      </c>
      <c r="K196" s="122" t="s">
        <v>238</v>
      </c>
      <c r="L196" s="122" t="s">
        <v>346</v>
      </c>
      <c r="M196" s="122" t="s">
        <v>3050</v>
      </c>
      <c r="O196" s="141" t="s">
        <v>451</v>
      </c>
      <c r="P196" s="141" t="s">
        <v>3131</v>
      </c>
      <c r="Q196" s="122" t="s">
        <v>243</v>
      </c>
      <c r="R196" s="142">
        <v>36</v>
      </c>
      <c r="S196" s="122" t="s">
        <v>3132</v>
      </c>
      <c r="U196" s="122" t="s">
        <v>2802</v>
      </c>
      <c r="W196" s="122" t="s">
        <v>246</v>
      </c>
      <c r="X196" s="122" t="s">
        <v>1643</v>
      </c>
      <c r="Z196" s="122" t="s">
        <v>250</v>
      </c>
      <c r="AB196" s="122" t="s">
        <v>250</v>
      </c>
      <c r="AD196" s="122" t="s">
        <v>250</v>
      </c>
      <c r="AE196" s="122" t="s">
        <v>235</v>
      </c>
      <c r="AF196" s="122" t="s">
        <v>3133</v>
      </c>
      <c r="AG196" s="122" t="s">
        <v>3134</v>
      </c>
      <c r="AH196" s="122" t="s">
        <v>253</v>
      </c>
      <c r="AI196" s="122" t="s">
        <v>3135</v>
      </c>
      <c r="AJ196" s="122" t="s">
        <v>3136</v>
      </c>
      <c r="AK196" s="122" t="s">
        <v>3137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247</v>
      </c>
      <c r="AR196" s="141" t="s">
        <v>247</v>
      </c>
      <c r="AS196" s="141" t="s">
        <v>601</v>
      </c>
      <c r="AT196" s="141" t="s">
        <v>601</v>
      </c>
      <c r="AU196" s="141" t="s">
        <v>601</v>
      </c>
      <c r="AV196" s="122" t="s">
        <v>259</v>
      </c>
      <c r="AW196" s="122" t="s">
        <v>260</v>
      </c>
      <c r="AY196" s="141" t="s">
        <v>253</v>
      </c>
      <c r="AZ196" s="122" t="s">
        <v>262</v>
      </c>
      <c r="BA196" s="122" t="s">
        <v>262</v>
      </c>
      <c r="BB196" s="122" t="s">
        <v>3138</v>
      </c>
      <c r="BD196" s="122" t="s">
        <v>253</v>
      </c>
      <c r="BE196" s="122" t="s">
        <v>263</v>
      </c>
      <c r="BF196" s="122" t="s">
        <v>2811</v>
      </c>
      <c r="BH196" s="122" t="s">
        <v>2802</v>
      </c>
      <c r="BI196" s="142">
        <v>36</v>
      </c>
      <c r="BJ196" s="123">
        <v>42233</v>
      </c>
      <c r="BK196" s="139" t="s">
        <v>606</v>
      </c>
      <c r="BM196" s="122">
        <v>34</v>
      </c>
    </row>
    <row r="197" spans="1:65" x14ac:dyDescent="0.25">
      <c r="A197" s="122" t="s">
        <v>422</v>
      </c>
      <c r="B197" s="122" t="s">
        <v>3139</v>
      </c>
      <c r="C197" s="122" t="s">
        <v>3140</v>
      </c>
      <c r="D197" s="122" t="s">
        <v>3141</v>
      </c>
      <c r="E197" s="123">
        <v>42219</v>
      </c>
      <c r="F197" s="122" t="s">
        <v>2701</v>
      </c>
      <c r="G197" s="122" t="s">
        <v>235</v>
      </c>
      <c r="H197" s="122" t="s">
        <v>3142</v>
      </c>
      <c r="I197" s="122" t="s">
        <v>3143</v>
      </c>
      <c r="J197" s="122" t="s">
        <v>3144</v>
      </c>
      <c r="K197" s="122" t="s">
        <v>238</v>
      </c>
      <c r="L197" s="122" t="s">
        <v>346</v>
      </c>
      <c r="M197" s="122" t="s">
        <v>585</v>
      </c>
      <c r="O197" s="141" t="s">
        <v>566</v>
      </c>
      <c r="P197" s="141" t="s">
        <v>3145</v>
      </c>
      <c r="Q197" s="122" t="s">
        <v>243</v>
      </c>
      <c r="R197" s="142">
        <v>37</v>
      </c>
      <c r="S197" s="122" t="s">
        <v>3146</v>
      </c>
      <c r="U197" s="122" t="s">
        <v>2802</v>
      </c>
      <c r="W197" s="122" t="s">
        <v>246</v>
      </c>
      <c r="X197" s="122" t="s">
        <v>3147</v>
      </c>
      <c r="Y197" s="141" t="s">
        <v>1256</v>
      </c>
      <c r="Z197" s="122" t="s">
        <v>3148</v>
      </c>
      <c r="AA197" s="141" t="s">
        <v>1258</v>
      </c>
      <c r="AB197" s="122" t="s">
        <v>3149</v>
      </c>
      <c r="AD197" s="122" t="s">
        <v>250</v>
      </c>
      <c r="AE197" s="122" t="s">
        <v>235</v>
      </c>
      <c r="AF197" s="122" t="s">
        <v>3150</v>
      </c>
      <c r="AG197" s="122" t="s">
        <v>537</v>
      </c>
      <c r="AH197" s="122" t="s">
        <v>253</v>
      </c>
      <c r="AI197" s="122" t="s">
        <v>3151</v>
      </c>
      <c r="AJ197" s="122" t="s">
        <v>3152</v>
      </c>
      <c r="AK197" s="122" t="s">
        <v>3153</v>
      </c>
      <c r="AL197" s="122" t="s">
        <v>253</v>
      </c>
      <c r="AM197" s="122" t="s">
        <v>253</v>
      </c>
      <c r="AN197" s="122" t="s">
        <v>253</v>
      </c>
      <c r="AO197" s="141" t="s">
        <v>247</v>
      </c>
      <c r="AP197" s="141" t="s">
        <v>247</v>
      </c>
      <c r="AQ197" s="141" t="s">
        <v>247</v>
      </c>
      <c r="AR197" s="141" t="s">
        <v>247</v>
      </c>
      <c r="AS197" s="141" t="s">
        <v>601</v>
      </c>
      <c r="AT197" s="141" t="s">
        <v>601</v>
      </c>
      <c r="AU197" s="141" t="s">
        <v>257</v>
      </c>
      <c r="AV197" s="122" t="s">
        <v>259</v>
      </c>
      <c r="AW197" s="122" t="s">
        <v>260</v>
      </c>
      <c r="AX197" s="141" t="s">
        <v>1046</v>
      </c>
      <c r="AY197" s="141" t="s">
        <v>247</v>
      </c>
      <c r="AZ197" s="122" t="s">
        <v>3154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2811</v>
      </c>
      <c r="BH197" s="122" t="s">
        <v>2802</v>
      </c>
      <c r="BI197" s="142">
        <v>37</v>
      </c>
      <c r="BJ197" s="123">
        <v>42231</v>
      </c>
      <c r="BK197" s="139" t="s">
        <v>264</v>
      </c>
      <c r="BL197" s="140">
        <v>302.83999999999997</v>
      </c>
      <c r="BM197" s="122">
        <v>33</v>
      </c>
    </row>
    <row r="198" spans="1:65" x14ac:dyDescent="0.25">
      <c r="A198" s="122" t="s">
        <v>422</v>
      </c>
      <c r="B198" s="122" t="s">
        <v>3155</v>
      </c>
      <c r="C198" s="122" t="s">
        <v>3156</v>
      </c>
      <c r="D198" s="122" t="s">
        <v>3157</v>
      </c>
      <c r="E198" s="123">
        <v>42219</v>
      </c>
      <c r="F198" s="122" t="s">
        <v>3158</v>
      </c>
      <c r="G198" s="122" t="s">
        <v>235</v>
      </c>
      <c r="H198" s="122" t="s">
        <v>3159</v>
      </c>
      <c r="I198" s="122" t="s">
        <v>3160</v>
      </c>
      <c r="K198" s="122" t="s">
        <v>238</v>
      </c>
      <c r="L198" s="122" t="s">
        <v>346</v>
      </c>
      <c r="M198" s="122" t="s">
        <v>347</v>
      </c>
      <c r="O198" s="141" t="s">
        <v>566</v>
      </c>
      <c r="P198" s="141" t="s">
        <v>3161</v>
      </c>
      <c r="Q198" s="122" t="s">
        <v>243</v>
      </c>
      <c r="R198" s="142">
        <v>38</v>
      </c>
      <c r="S198" s="122" t="s">
        <v>3162</v>
      </c>
      <c r="U198" s="122" t="s">
        <v>2802</v>
      </c>
      <c r="W198" s="122" t="s">
        <v>246</v>
      </c>
      <c r="X198" s="122" t="s">
        <v>247</v>
      </c>
      <c r="Y198" s="141" t="s">
        <v>888</v>
      </c>
      <c r="Z198" s="122" t="s">
        <v>305</v>
      </c>
      <c r="AA198" s="141" t="s">
        <v>2979</v>
      </c>
      <c r="AB198" s="122" t="s">
        <v>353</v>
      </c>
      <c r="AC198" s="141" t="s">
        <v>535</v>
      </c>
      <c r="AD198" s="122" t="s">
        <v>3163</v>
      </c>
      <c r="AE198" s="122" t="s">
        <v>235</v>
      </c>
      <c r="AF198" s="122" t="s">
        <v>3164</v>
      </c>
      <c r="AG198" s="122" t="s">
        <v>253</v>
      </c>
      <c r="AH198" s="122" t="s">
        <v>253</v>
      </c>
      <c r="AI198" s="122" t="s">
        <v>3165</v>
      </c>
      <c r="AJ198" s="122" t="s">
        <v>3166</v>
      </c>
      <c r="AK198" s="122" t="s">
        <v>3167</v>
      </c>
      <c r="AL198" s="122" t="s">
        <v>3168</v>
      </c>
      <c r="AM198" s="122" t="s">
        <v>253</v>
      </c>
      <c r="AN198" s="122" t="s">
        <v>253</v>
      </c>
      <c r="AO198" s="141" t="s">
        <v>247</v>
      </c>
      <c r="AP198" s="141" t="s">
        <v>247</v>
      </c>
      <c r="AQ198" s="141" t="s">
        <v>253</v>
      </c>
      <c r="AR198" s="141" t="s">
        <v>253</v>
      </c>
      <c r="AS198" s="141" t="s">
        <v>601</v>
      </c>
      <c r="AT198" s="141" t="s">
        <v>258</v>
      </c>
      <c r="AU198" s="141" t="s">
        <v>258</v>
      </c>
      <c r="AV198" s="122" t="s">
        <v>259</v>
      </c>
      <c r="AW198" s="122" t="s">
        <v>260</v>
      </c>
      <c r="AX198" s="141" t="s">
        <v>3169</v>
      </c>
      <c r="AY198" s="141" t="s">
        <v>442</v>
      </c>
      <c r="AZ198" s="122" t="s">
        <v>3170</v>
      </c>
      <c r="BA198" s="122" t="s">
        <v>262</v>
      </c>
      <c r="BB198" s="122" t="s">
        <v>262</v>
      </c>
      <c r="BD198" s="122" t="s">
        <v>253</v>
      </c>
      <c r="BE198" s="122" t="s">
        <v>263</v>
      </c>
      <c r="BF198" s="122" t="s">
        <v>2811</v>
      </c>
      <c r="BH198" s="122" t="s">
        <v>2802</v>
      </c>
      <c r="BI198" s="142">
        <v>38</v>
      </c>
      <c r="BJ198" s="123">
        <v>42233</v>
      </c>
      <c r="BK198" s="139" t="s">
        <v>606</v>
      </c>
      <c r="BM198" s="122">
        <v>34</v>
      </c>
    </row>
    <row r="199" spans="1:65" x14ac:dyDescent="0.25">
      <c r="A199" s="122" t="s">
        <v>485</v>
      </c>
      <c r="B199" s="122" t="s">
        <v>3171</v>
      </c>
      <c r="C199" s="122" t="s">
        <v>3172</v>
      </c>
      <c r="D199" s="122" t="s">
        <v>3173</v>
      </c>
      <c r="E199" s="123">
        <v>42219</v>
      </c>
      <c r="F199" s="122" t="s">
        <v>385</v>
      </c>
      <c r="G199" s="122" t="s">
        <v>235</v>
      </c>
      <c r="H199" s="122" t="s">
        <v>3174</v>
      </c>
      <c r="I199" s="122" t="s">
        <v>3175</v>
      </c>
      <c r="K199" s="122" t="s">
        <v>238</v>
      </c>
      <c r="L199" s="122" t="s">
        <v>346</v>
      </c>
      <c r="M199" s="122" t="s">
        <v>3176</v>
      </c>
      <c r="O199" s="141" t="s">
        <v>1102</v>
      </c>
      <c r="P199" s="141" t="s">
        <v>3177</v>
      </c>
      <c r="Q199" s="122" t="s">
        <v>243</v>
      </c>
      <c r="R199" s="142">
        <v>39</v>
      </c>
      <c r="S199" s="122" t="s">
        <v>3178</v>
      </c>
      <c r="U199" s="122" t="s">
        <v>2802</v>
      </c>
      <c r="W199" s="122" t="s">
        <v>246</v>
      </c>
      <c r="X199" s="122" t="s">
        <v>325</v>
      </c>
      <c r="Y199" s="141" t="s">
        <v>511</v>
      </c>
      <c r="Z199" s="122" t="s">
        <v>3179</v>
      </c>
      <c r="AA199" s="141" t="s">
        <v>722</v>
      </c>
      <c r="AB199" s="122" t="s">
        <v>3180</v>
      </c>
      <c r="AC199" s="141" t="s">
        <v>1981</v>
      </c>
      <c r="AD199" s="122" t="s">
        <v>3181</v>
      </c>
      <c r="AE199" s="122" t="s">
        <v>235</v>
      </c>
      <c r="AF199" s="122" t="s">
        <v>3182</v>
      </c>
      <c r="AG199" s="122" t="s">
        <v>537</v>
      </c>
      <c r="AH199" s="122" t="s">
        <v>253</v>
      </c>
      <c r="AI199" s="122" t="s">
        <v>3183</v>
      </c>
      <c r="AJ199" s="122" t="s">
        <v>3184</v>
      </c>
      <c r="AK199" s="122" t="s">
        <v>253</v>
      </c>
      <c r="AL199" s="122" t="s">
        <v>253</v>
      </c>
      <c r="AM199" s="122" t="s">
        <v>253</v>
      </c>
      <c r="AN199" s="122" t="s">
        <v>253</v>
      </c>
      <c r="AO199" s="141" t="s">
        <v>247</v>
      </c>
      <c r="AP199" s="141" t="s">
        <v>253</v>
      </c>
      <c r="AQ199" s="141" t="s">
        <v>253</v>
      </c>
      <c r="AR199" s="141" t="s">
        <v>247</v>
      </c>
      <c r="AS199" s="141" t="s">
        <v>601</v>
      </c>
      <c r="AT199" s="141" t="s">
        <v>258</v>
      </c>
      <c r="AU199" s="141" t="s">
        <v>601</v>
      </c>
      <c r="AV199" s="122" t="s">
        <v>259</v>
      </c>
      <c r="AW199" s="122" t="s">
        <v>260</v>
      </c>
      <c r="AX199" s="141" t="s">
        <v>3185</v>
      </c>
      <c r="AY199" s="141" t="s">
        <v>631</v>
      </c>
      <c r="AZ199" s="122" t="s">
        <v>3186</v>
      </c>
      <c r="BA199" s="122" t="s">
        <v>262</v>
      </c>
      <c r="BB199" s="122" t="s">
        <v>3186</v>
      </c>
      <c r="BD199" s="122" t="s">
        <v>253</v>
      </c>
      <c r="BE199" s="122" t="s">
        <v>263</v>
      </c>
      <c r="BF199" s="122" t="s">
        <v>2811</v>
      </c>
      <c r="BH199" s="122" t="s">
        <v>2802</v>
      </c>
      <c r="BI199" s="142">
        <v>39</v>
      </c>
      <c r="BJ199" s="123">
        <v>42227</v>
      </c>
      <c r="BK199" s="139" t="s">
        <v>264</v>
      </c>
      <c r="BL199" s="140">
        <v>239.98</v>
      </c>
      <c r="BM199" s="122">
        <v>33</v>
      </c>
    </row>
    <row r="200" spans="1:65" x14ac:dyDescent="0.25">
      <c r="A200" s="122" t="s">
        <v>485</v>
      </c>
      <c r="B200" s="122" t="s">
        <v>3187</v>
      </c>
      <c r="C200" s="122" t="s">
        <v>3188</v>
      </c>
      <c r="D200" s="122" t="s">
        <v>3189</v>
      </c>
      <c r="E200" s="123">
        <v>42219</v>
      </c>
      <c r="F200" s="122" t="s">
        <v>511</v>
      </c>
      <c r="G200" s="122" t="s">
        <v>235</v>
      </c>
      <c r="H200" s="122" t="s">
        <v>3190</v>
      </c>
      <c r="I200" s="122" t="s">
        <v>3191</v>
      </c>
      <c r="J200" s="122" t="s">
        <v>564</v>
      </c>
      <c r="K200" s="122" t="s">
        <v>238</v>
      </c>
      <c r="L200" s="122" t="s">
        <v>346</v>
      </c>
      <c r="M200" s="122" t="s">
        <v>3050</v>
      </c>
      <c r="Q200" s="122" t="s">
        <v>243</v>
      </c>
      <c r="R200" s="142">
        <v>40</v>
      </c>
      <c r="S200" s="122" t="s">
        <v>3192</v>
      </c>
      <c r="U200" s="122" t="s">
        <v>2802</v>
      </c>
      <c r="W200" s="122" t="s">
        <v>246</v>
      </c>
      <c r="X200" s="122" t="s">
        <v>376</v>
      </c>
      <c r="Z200" s="122" t="s">
        <v>250</v>
      </c>
      <c r="AB200" s="122" t="s">
        <v>250</v>
      </c>
      <c r="AD200" s="122" t="s">
        <v>250</v>
      </c>
      <c r="AE200" s="122" t="s">
        <v>235</v>
      </c>
      <c r="AF200" s="122" t="s">
        <v>3193</v>
      </c>
      <c r="AG200" s="122" t="s">
        <v>537</v>
      </c>
      <c r="AH200" s="122" t="s">
        <v>253</v>
      </c>
      <c r="AI200" s="122" t="s">
        <v>1715</v>
      </c>
      <c r="AJ200" s="122" t="s">
        <v>3194</v>
      </c>
      <c r="AK200" s="122" t="s">
        <v>253</v>
      </c>
      <c r="AL200" s="122" t="s">
        <v>253</v>
      </c>
      <c r="AM200" s="122" t="s">
        <v>253</v>
      </c>
      <c r="AN200" s="122" t="s">
        <v>253</v>
      </c>
      <c r="AO200" s="141" t="s">
        <v>247</v>
      </c>
      <c r="AP200" s="141" t="s">
        <v>253</v>
      </c>
      <c r="AQ200" s="141" t="s">
        <v>253</v>
      </c>
      <c r="AR200" s="141" t="s">
        <v>253</v>
      </c>
      <c r="AS200" s="141" t="s">
        <v>601</v>
      </c>
      <c r="AT200" s="141" t="s">
        <v>258</v>
      </c>
      <c r="AU200" s="141" t="s">
        <v>258</v>
      </c>
      <c r="AV200" s="122" t="s">
        <v>259</v>
      </c>
      <c r="AW200" s="122" t="s">
        <v>260</v>
      </c>
      <c r="AY200" s="141" t="s">
        <v>253</v>
      </c>
      <c r="AZ200" s="122" t="s">
        <v>3195</v>
      </c>
      <c r="BA200" s="122" t="s">
        <v>262</v>
      </c>
      <c r="BB200" s="122" t="s">
        <v>3195</v>
      </c>
      <c r="BD200" s="122" t="s">
        <v>253</v>
      </c>
      <c r="BE200" s="122" t="s">
        <v>263</v>
      </c>
      <c r="BF200" s="122" t="s">
        <v>2811</v>
      </c>
      <c r="BH200" s="122" t="s">
        <v>2802</v>
      </c>
      <c r="BI200" s="142">
        <v>40</v>
      </c>
      <c r="BJ200" s="123">
        <v>42233</v>
      </c>
      <c r="BK200" s="139" t="s">
        <v>606</v>
      </c>
      <c r="BM200" s="122">
        <v>34</v>
      </c>
    </row>
    <row r="201" spans="1:65" x14ac:dyDescent="0.25">
      <c r="A201" s="122" t="s">
        <v>485</v>
      </c>
      <c r="B201" s="122" t="s">
        <v>3196</v>
      </c>
      <c r="C201" s="122" t="s">
        <v>3197</v>
      </c>
      <c r="D201" s="122" t="s">
        <v>3198</v>
      </c>
      <c r="E201" s="123">
        <v>42219</v>
      </c>
      <c r="F201" s="122" t="s">
        <v>3199</v>
      </c>
      <c r="G201" s="122" t="s">
        <v>235</v>
      </c>
      <c r="H201" s="122" t="s">
        <v>3200</v>
      </c>
      <c r="I201" s="122" t="s">
        <v>3201</v>
      </c>
      <c r="K201" s="122" t="s">
        <v>238</v>
      </c>
      <c r="L201" s="122" t="s">
        <v>346</v>
      </c>
      <c r="M201" s="122" t="s">
        <v>1054</v>
      </c>
      <c r="O201" s="141" t="s">
        <v>299</v>
      </c>
      <c r="P201" s="141" t="s">
        <v>3202</v>
      </c>
      <c r="Q201" s="122" t="s">
        <v>243</v>
      </c>
      <c r="R201" s="142">
        <v>41</v>
      </c>
      <c r="S201" s="122" t="s">
        <v>3203</v>
      </c>
      <c r="U201" s="122" t="s">
        <v>2802</v>
      </c>
      <c r="W201" s="122" t="s">
        <v>246</v>
      </c>
      <c r="X201" s="122" t="s">
        <v>497</v>
      </c>
      <c r="Y201" s="141" t="s">
        <v>498</v>
      </c>
      <c r="Z201" s="122" t="s">
        <v>3204</v>
      </c>
      <c r="AA201" s="141" t="s">
        <v>670</v>
      </c>
      <c r="AB201" s="122" t="s">
        <v>3204</v>
      </c>
      <c r="AC201" s="141" t="s">
        <v>763</v>
      </c>
      <c r="AD201" s="122" t="s">
        <v>3205</v>
      </c>
      <c r="AE201" s="122" t="s">
        <v>235</v>
      </c>
      <c r="AF201" s="122" t="s">
        <v>3206</v>
      </c>
      <c r="AG201" s="122" t="s">
        <v>537</v>
      </c>
      <c r="AH201" s="122" t="s">
        <v>253</v>
      </c>
      <c r="AI201" s="122" t="s">
        <v>3207</v>
      </c>
      <c r="AJ201" s="122" t="s">
        <v>3208</v>
      </c>
      <c r="AK201" s="122" t="s">
        <v>253</v>
      </c>
      <c r="AL201" s="122" t="s">
        <v>253</v>
      </c>
      <c r="AM201" s="122" t="s">
        <v>253</v>
      </c>
      <c r="AN201" s="122" t="s">
        <v>253</v>
      </c>
      <c r="AO201" s="141" t="s">
        <v>253</v>
      </c>
      <c r="AP201" s="141" t="s">
        <v>253</v>
      </c>
      <c r="AQ201" s="141" t="s">
        <v>247</v>
      </c>
      <c r="AR201" s="141" t="s">
        <v>253</v>
      </c>
      <c r="AS201" s="141" t="s">
        <v>361</v>
      </c>
      <c r="AT201" s="141" t="s">
        <v>601</v>
      </c>
      <c r="AU201" s="141" t="s">
        <v>258</v>
      </c>
      <c r="AV201" s="122" t="s">
        <v>259</v>
      </c>
      <c r="AW201" s="122" t="s">
        <v>260</v>
      </c>
      <c r="AX201" s="141" t="s">
        <v>3209</v>
      </c>
      <c r="AY201" s="141" t="s">
        <v>603</v>
      </c>
      <c r="AZ201" s="122" t="s">
        <v>3210</v>
      </c>
      <c r="BA201" s="122" t="s">
        <v>262</v>
      </c>
      <c r="BB201" s="122" t="s">
        <v>3210</v>
      </c>
      <c r="BC201" s="141" t="s">
        <v>312</v>
      </c>
      <c r="BD201" s="122" t="s">
        <v>253</v>
      </c>
      <c r="BE201" s="122" t="s">
        <v>263</v>
      </c>
      <c r="BF201" s="122" t="s">
        <v>2811</v>
      </c>
      <c r="BH201" s="122" t="s">
        <v>2802</v>
      </c>
      <c r="BI201" s="142">
        <v>41</v>
      </c>
      <c r="BJ201" s="123">
        <v>42228</v>
      </c>
      <c r="BK201" s="139" t="s">
        <v>264</v>
      </c>
      <c r="BL201" s="140">
        <v>62.05</v>
      </c>
      <c r="BM201" s="122">
        <v>33</v>
      </c>
    </row>
    <row r="202" spans="1:65" x14ac:dyDescent="0.25">
      <c r="A202" s="122" t="s">
        <v>485</v>
      </c>
      <c r="B202" s="122" t="s">
        <v>3211</v>
      </c>
      <c r="C202" s="122" t="s">
        <v>3212</v>
      </c>
      <c r="D202" s="122" t="s">
        <v>3213</v>
      </c>
      <c r="E202" s="123">
        <v>42219</v>
      </c>
      <c r="F202" s="122" t="s">
        <v>457</v>
      </c>
      <c r="G202" s="122" t="s">
        <v>235</v>
      </c>
      <c r="H202" s="122" t="s">
        <v>448</v>
      </c>
      <c r="I202" s="122" t="s">
        <v>3214</v>
      </c>
      <c r="K202" s="122" t="s">
        <v>238</v>
      </c>
      <c r="L202" s="122" t="s">
        <v>346</v>
      </c>
      <c r="M202" s="122" t="s">
        <v>2830</v>
      </c>
      <c r="O202" s="141" t="s">
        <v>548</v>
      </c>
      <c r="P202" s="141" t="s">
        <v>3215</v>
      </c>
      <c r="Q202" s="122" t="s">
        <v>243</v>
      </c>
      <c r="R202" s="142">
        <v>42</v>
      </c>
      <c r="S202" s="122" t="s">
        <v>3216</v>
      </c>
      <c r="U202" s="122" t="s">
        <v>2802</v>
      </c>
      <c r="W202" s="122" t="s">
        <v>246</v>
      </c>
      <c r="X202" s="122" t="s">
        <v>260</v>
      </c>
      <c r="Z202" s="122" t="s">
        <v>250</v>
      </c>
      <c r="AB202" s="122" t="s">
        <v>250</v>
      </c>
      <c r="AD202" s="122" t="s">
        <v>250</v>
      </c>
      <c r="AE202" s="122" t="s">
        <v>235</v>
      </c>
      <c r="AF202" s="122" t="s">
        <v>3217</v>
      </c>
      <c r="AG202" s="122" t="s">
        <v>253</v>
      </c>
      <c r="AH202" s="122" t="s">
        <v>253</v>
      </c>
      <c r="AI202" s="122" t="s">
        <v>3218</v>
      </c>
      <c r="AJ202" s="122" t="s">
        <v>3219</v>
      </c>
      <c r="AK202" s="122" t="s">
        <v>3220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253</v>
      </c>
      <c r="AR202" s="141" t="s">
        <v>253</v>
      </c>
      <c r="AS202" s="141" t="s">
        <v>601</v>
      </c>
      <c r="AT202" s="141" t="s">
        <v>258</v>
      </c>
      <c r="AU202" s="141" t="s">
        <v>258</v>
      </c>
      <c r="AV202" s="122" t="s">
        <v>259</v>
      </c>
      <c r="AW202" s="122" t="s">
        <v>260</v>
      </c>
      <c r="AY202" s="141" t="s">
        <v>253</v>
      </c>
      <c r="AZ202" s="122" t="s">
        <v>262</v>
      </c>
      <c r="BA202" s="122" t="s">
        <v>262</v>
      </c>
      <c r="BB202" s="122" t="s">
        <v>3221</v>
      </c>
      <c r="BD202" s="122" t="s">
        <v>253</v>
      </c>
      <c r="BE202" s="122" t="s">
        <v>263</v>
      </c>
      <c r="BF202" s="122" t="s">
        <v>2811</v>
      </c>
      <c r="BH202" s="122" t="s">
        <v>2802</v>
      </c>
      <c r="BI202" s="142">
        <v>42</v>
      </c>
      <c r="BJ202" s="123">
        <v>42232</v>
      </c>
      <c r="BK202" s="139" t="s">
        <v>606</v>
      </c>
      <c r="BM202" s="122">
        <v>33</v>
      </c>
    </row>
    <row r="203" spans="1:65" x14ac:dyDescent="0.25">
      <c r="A203" s="122" t="s">
        <v>485</v>
      </c>
      <c r="B203" s="122" t="s">
        <v>3222</v>
      </c>
      <c r="C203" s="122" t="s">
        <v>3223</v>
      </c>
      <c r="D203" s="122" t="s">
        <v>3224</v>
      </c>
      <c r="E203" s="123">
        <v>42219</v>
      </c>
      <c r="F203" s="122" t="s">
        <v>1498</v>
      </c>
      <c r="G203" s="122" t="s">
        <v>235</v>
      </c>
      <c r="H203" s="122" t="s">
        <v>3225</v>
      </c>
      <c r="I203" s="122" t="s">
        <v>3226</v>
      </c>
      <c r="K203" s="122" t="s">
        <v>238</v>
      </c>
      <c r="L203" s="122" t="s">
        <v>346</v>
      </c>
      <c r="M203" s="122" t="s">
        <v>450</v>
      </c>
      <c r="N203" s="122" t="s">
        <v>3227</v>
      </c>
      <c r="O203" s="141" t="s">
        <v>649</v>
      </c>
      <c r="P203" s="141" t="s">
        <v>3228</v>
      </c>
      <c r="Q203" s="122" t="s">
        <v>243</v>
      </c>
      <c r="R203" s="142">
        <v>43</v>
      </c>
      <c r="S203" s="122" t="s">
        <v>3229</v>
      </c>
      <c r="U203" s="122" t="s">
        <v>2802</v>
      </c>
      <c r="W203" s="122" t="s">
        <v>246</v>
      </c>
      <c r="X203" s="122" t="s">
        <v>260</v>
      </c>
      <c r="Y203" s="141" t="s">
        <v>3230</v>
      </c>
      <c r="Z203" s="122" t="s">
        <v>3231</v>
      </c>
      <c r="AA203" s="141" t="s">
        <v>956</v>
      </c>
      <c r="AB203" s="122" t="s">
        <v>3231</v>
      </c>
      <c r="AD203" s="122" t="s">
        <v>250</v>
      </c>
      <c r="AE203" s="122" t="s">
        <v>235</v>
      </c>
      <c r="AF203" s="122" t="s">
        <v>3232</v>
      </c>
      <c r="AG203" s="122" t="s">
        <v>253</v>
      </c>
      <c r="AH203" s="122" t="s">
        <v>253</v>
      </c>
      <c r="AI203" s="122" t="s">
        <v>3233</v>
      </c>
      <c r="AJ203" s="122" t="s">
        <v>3234</v>
      </c>
      <c r="AK203" s="122" t="s">
        <v>253</v>
      </c>
      <c r="AL203" s="122" t="s">
        <v>3235</v>
      </c>
      <c r="AM203" s="122" t="s">
        <v>253</v>
      </c>
      <c r="AN203" s="122" t="s">
        <v>253</v>
      </c>
      <c r="AO203" s="141" t="s">
        <v>253</v>
      </c>
      <c r="AP203" s="141" t="s">
        <v>253</v>
      </c>
      <c r="AQ203" s="141" t="s">
        <v>247</v>
      </c>
      <c r="AR203" s="141" t="s">
        <v>253</v>
      </c>
      <c r="AS203" s="141" t="s">
        <v>361</v>
      </c>
      <c r="AT203" s="141" t="s">
        <v>601</v>
      </c>
      <c r="AU203" s="141" t="s">
        <v>258</v>
      </c>
      <c r="AV203" s="122" t="s">
        <v>259</v>
      </c>
      <c r="AW203" s="122" t="s">
        <v>260</v>
      </c>
      <c r="AX203" s="141" t="s">
        <v>1130</v>
      </c>
      <c r="AY203" s="141" t="s">
        <v>603</v>
      </c>
      <c r="AZ203" s="122" t="s">
        <v>3236</v>
      </c>
      <c r="BA203" s="122" t="s">
        <v>262</v>
      </c>
      <c r="BB203" s="122" t="s">
        <v>262</v>
      </c>
      <c r="BD203" s="122" t="s">
        <v>253</v>
      </c>
      <c r="BE203" s="122" t="s">
        <v>263</v>
      </c>
      <c r="BF203" s="122" t="s">
        <v>2811</v>
      </c>
      <c r="BH203" s="122" t="s">
        <v>2802</v>
      </c>
      <c r="BI203" s="142">
        <v>43</v>
      </c>
      <c r="BJ203" s="123">
        <v>42223</v>
      </c>
      <c r="BK203" s="139" t="s">
        <v>264</v>
      </c>
      <c r="BL203" s="140">
        <v>170.98</v>
      </c>
      <c r="BM203" s="122">
        <v>32</v>
      </c>
    </row>
    <row r="204" spans="1:65" x14ac:dyDescent="0.25">
      <c r="A204" s="122" t="s">
        <v>485</v>
      </c>
      <c r="B204" s="122" t="s">
        <v>3237</v>
      </c>
      <c r="C204" s="122" t="s">
        <v>3238</v>
      </c>
      <c r="D204" s="122" t="s">
        <v>3239</v>
      </c>
      <c r="E204" s="123">
        <v>42219</v>
      </c>
      <c r="F204" s="122" t="s">
        <v>3158</v>
      </c>
      <c r="G204" s="122" t="s">
        <v>235</v>
      </c>
      <c r="H204" s="122" t="s">
        <v>3240</v>
      </c>
      <c r="I204" s="122" t="s">
        <v>3241</v>
      </c>
      <c r="K204" s="122" t="s">
        <v>238</v>
      </c>
      <c r="L204" s="122" t="s">
        <v>346</v>
      </c>
      <c r="M204" s="122" t="s">
        <v>3242</v>
      </c>
      <c r="O204" s="141" t="s">
        <v>1055</v>
      </c>
      <c r="P204" s="141" t="s">
        <v>3243</v>
      </c>
      <c r="Q204" s="122" t="s">
        <v>243</v>
      </c>
      <c r="R204" s="142">
        <v>44</v>
      </c>
      <c r="S204" s="122" t="s">
        <v>3244</v>
      </c>
      <c r="U204" s="122" t="s">
        <v>2802</v>
      </c>
      <c r="W204" s="122" t="s">
        <v>246</v>
      </c>
      <c r="X204" s="122" t="s">
        <v>247</v>
      </c>
      <c r="Y204" s="141" t="s">
        <v>378</v>
      </c>
      <c r="Z204" s="122" t="s">
        <v>3245</v>
      </c>
      <c r="AA204" s="141" t="s">
        <v>901</v>
      </c>
      <c r="AB204" s="122" t="s">
        <v>3246</v>
      </c>
      <c r="AC204" s="141" t="s">
        <v>3247</v>
      </c>
      <c r="AD204" s="122" t="s">
        <v>3248</v>
      </c>
      <c r="AE204" s="122" t="s">
        <v>235</v>
      </c>
      <c r="AF204" s="122" t="s">
        <v>3249</v>
      </c>
      <c r="AG204" s="122" t="s">
        <v>253</v>
      </c>
      <c r="AH204" s="122" t="s">
        <v>253</v>
      </c>
      <c r="AI204" s="122" t="s">
        <v>3250</v>
      </c>
      <c r="AJ204" s="122" t="s">
        <v>3251</v>
      </c>
      <c r="AK204" s="122" t="s">
        <v>253</v>
      </c>
      <c r="AL204" s="122" t="s">
        <v>3252</v>
      </c>
      <c r="AM204" s="122" t="s">
        <v>253</v>
      </c>
      <c r="AN204" s="122" t="s">
        <v>253</v>
      </c>
      <c r="AO204" s="141" t="s">
        <v>247</v>
      </c>
      <c r="AP204" s="141" t="s">
        <v>247</v>
      </c>
      <c r="AQ204" s="141" t="s">
        <v>247</v>
      </c>
      <c r="AR204" s="141" t="s">
        <v>253</v>
      </c>
      <c r="AS204" s="141" t="s">
        <v>601</v>
      </c>
      <c r="AT204" s="141" t="s">
        <v>601</v>
      </c>
      <c r="AU204" s="141" t="s">
        <v>258</v>
      </c>
      <c r="AV204" s="122" t="s">
        <v>259</v>
      </c>
      <c r="AW204" s="122" t="s">
        <v>260</v>
      </c>
      <c r="AX204" s="141" t="s">
        <v>1149</v>
      </c>
      <c r="AY204" s="141" t="s">
        <v>247</v>
      </c>
      <c r="AZ204" s="122" t="s">
        <v>3253</v>
      </c>
      <c r="BA204" s="122" t="s">
        <v>262</v>
      </c>
      <c r="BB204" s="122" t="s">
        <v>3253</v>
      </c>
      <c r="BD204" s="122" t="s">
        <v>253</v>
      </c>
      <c r="BE204" s="122" t="s">
        <v>263</v>
      </c>
      <c r="BF204" s="122" t="s">
        <v>2811</v>
      </c>
      <c r="BH204" s="122" t="s">
        <v>2802</v>
      </c>
      <c r="BI204" s="142">
        <v>44</v>
      </c>
      <c r="BJ204" s="123">
        <v>42232</v>
      </c>
      <c r="BK204" s="139" t="s">
        <v>606</v>
      </c>
      <c r="BM204" s="122">
        <v>33</v>
      </c>
    </row>
    <row r="205" spans="1:65" x14ac:dyDescent="0.25">
      <c r="A205" s="122" t="s">
        <v>485</v>
      </c>
      <c r="B205" s="122" t="s">
        <v>3254</v>
      </c>
      <c r="C205" s="122" t="s">
        <v>3255</v>
      </c>
      <c r="D205" s="122" t="s">
        <v>3256</v>
      </c>
      <c r="E205" s="123">
        <v>42219</v>
      </c>
      <c r="F205" s="122" t="s">
        <v>3257</v>
      </c>
      <c r="G205" s="122" t="s">
        <v>235</v>
      </c>
      <c r="H205" s="122" t="s">
        <v>3258</v>
      </c>
      <c r="I205" s="122" t="s">
        <v>3259</v>
      </c>
      <c r="J205" s="122" t="s">
        <v>1053</v>
      </c>
      <c r="K205" s="122" t="s">
        <v>238</v>
      </c>
      <c r="L205" s="122" t="s">
        <v>346</v>
      </c>
      <c r="M205" s="122" t="s">
        <v>1054</v>
      </c>
      <c r="N205" s="122" t="s">
        <v>3260</v>
      </c>
      <c r="Q205" s="122" t="s">
        <v>243</v>
      </c>
      <c r="R205" s="142">
        <v>45</v>
      </c>
      <c r="S205" s="122" t="s">
        <v>3261</v>
      </c>
      <c r="U205" s="122" t="s">
        <v>2802</v>
      </c>
      <c r="W205" s="122" t="s">
        <v>246</v>
      </c>
      <c r="X205" s="122" t="s">
        <v>497</v>
      </c>
      <c r="Y205" s="141" t="s">
        <v>593</v>
      </c>
      <c r="Z205" s="122" t="s">
        <v>2318</v>
      </c>
      <c r="AA205" s="141" t="s">
        <v>1090</v>
      </c>
      <c r="AB205" s="122" t="s">
        <v>3262</v>
      </c>
      <c r="AC205" s="141" t="s">
        <v>1629</v>
      </c>
      <c r="AD205" s="122" t="s">
        <v>3263</v>
      </c>
      <c r="AE205" s="122" t="s">
        <v>235</v>
      </c>
      <c r="AF205" s="122" t="s">
        <v>3264</v>
      </c>
      <c r="AG205" s="122" t="s">
        <v>537</v>
      </c>
      <c r="AH205" s="122" t="s">
        <v>253</v>
      </c>
      <c r="AI205" s="122" t="s">
        <v>3265</v>
      </c>
      <c r="AJ205" s="122" t="s">
        <v>3266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253</v>
      </c>
      <c r="AQ205" s="141" t="s">
        <v>253</v>
      </c>
      <c r="AR205" s="141" t="s">
        <v>253</v>
      </c>
      <c r="AS205" s="141" t="s">
        <v>601</v>
      </c>
      <c r="AT205" s="141" t="s">
        <v>258</v>
      </c>
      <c r="AU205" s="141" t="s">
        <v>258</v>
      </c>
      <c r="AV205" s="122" t="s">
        <v>259</v>
      </c>
      <c r="AW205" s="122" t="s">
        <v>260</v>
      </c>
      <c r="AY205" s="141" t="s">
        <v>253</v>
      </c>
      <c r="AZ205" s="122" t="s">
        <v>3267</v>
      </c>
      <c r="BA205" s="122" t="s">
        <v>262</v>
      </c>
      <c r="BB205" s="122" t="s">
        <v>262</v>
      </c>
      <c r="BD205" s="122" t="s">
        <v>253</v>
      </c>
      <c r="BE205" s="122" t="s">
        <v>263</v>
      </c>
      <c r="BF205" s="122" t="s">
        <v>2811</v>
      </c>
      <c r="BH205" s="122" t="s">
        <v>2802</v>
      </c>
      <c r="BI205" s="142">
        <v>45</v>
      </c>
      <c r="BJ205" s="123">
        <v>42223</v>
      </c>
      <c r="BK205" s="139" t="s">
        <v>264</v>
      </c>
      <c r="BL205" s="140">
        <v>78.53</v>
      </c>
      <c r="BM205" s="122">
        <v>32</v>
      </c>
    </row>
    <row r="206" spans="1:65" x14ac:dyDescent="0.25">
      <c r="A206" s="122" t="s">
        <v>485</v>
      </c>
      <c r="B206" s="122" t="s">
        <v>3268</v>
      </c>
      <c r="C206" s="122" t="s">
        <v>3269</v>
      </c>
      <c r="D206" s="122" t="s">
        <v>3270</v>
      </c>
      <c r="E206" s="123">
        <v>42219</v>
      </c>
      <c r="F206" s="122" t="s">
        <v>3271</v>
      </c>
      <c r="G206" s="122" t="s">
        <v>235</v>
      </c>
      <c r="H206" s="122" t="s">
        <v>3272</v>
      </c>
      <c r="I206" s="122" t="s">
        <v>3273</v>
      </c>
      <c r="K206" s="122" t="s">
        <v>238</v>
      </c>
      <c r="L206" s="122" t="s">
        <v>346</v>
      </c>
      <c r="M206" s="122" t="s">
        <v>347</v>
      </c>
      <c r="O206" s="141" t="s">
        <v>373</v>
      </c>
      <c r="P206" s="141" t="s">
        <v>3274</v>
      </c>
      <c r="Q206" s="122" t="s">
        <v>243</v>
      </c>
      <c r="R206" s="142">
        <v>46</v>
      </c>
      <c r="S206" s="122" t="s">
        <v>3275</v>
      </c>
      <c r="U206" s="122" t="s">
        <v>2802</v>
      </c>
      <c r="W206" s="122" t="s">
        <v>246</v>
      </c>
      <c r="X206" s="122" t="s">
        <v>1057</v>
      </c>
      <c r="Y206" s="141" t="s">
        <v>1162</v>
      </c>
      <c r="Z206" s="122" t="s">
        <v>1894</v>
      </c>
      <c r="AA206" s="141" t="s">
        <v>1162</v>
      </c>
      <c r="AB206" s="122" t="s">
        <v>3276</v>
      </c>
      <c r="AC206" s="141" t="s">
        <v>457</v>
      </c>
      <c r="AD206" s="122" t="s">
        <v>3276</v>
      </c>
      <c r="AE206" s="122" t="s">
        <v>235</v>
      </c>
      <c r="AF206" s="122" t="s">
        <v>3277</v>
      </c>
      <c r="AG206" s="122" t="s">
        <v>3278</v>
      </c>
      <c r="AH206" s="122" t="s">
        <v>253</v>
      </c>
      <c r="AI206" s="122" t="s">
        <v>3279</v>
      </c>
      <c r="AJ206" s="122" t="s">
        <v>253</v>
      </c>
      <c r="AK206" s="122" t="s">
        <v>253</v>
      </c>
      <c r="AL206" s="122" t="s">
        <v>3280</v>
      </c>
      <c r="AM206" s="122" t="s">
        <v>253</v>
      </c>
      <c r="AN206" s="122" t="s">
        <v>253</v>
      </c>
      <c r="AO206" s="141" t="s">
        <v>247</v>
      </c>
      <c r="AP206" s="141" t="s">
        <v>253</v>
      </c>
      <c r="AQ206" s="141" t="s">
        <v>247</v>
      </c>
      <c r="AR206" s="141" t="s">
        <v>253</v>
      </c>
      <c r="AS206" s="141" t="s">
        <v>601</v>
      </c>
      <c r="AT206" s="141" t="s">
        <v>601</v>
      </c>
      <c r="AU206" s="141" t="s">
        <v>258</v>
      </c>
      <c r="AV206" s="122" t="s">
        <v>259</v>
      </c>
      <c r="AW206" s="122" t="s">
        <v>260</v>
      </c>
      <c r="AX206" s="141" t="s">
        <v>3027</v>
      </c>
      <c r="AY206" s="141" t="s">
        <v>442</v>
      </c>
      <c r="AZ206" s="122" t="s">
        <v>3281</v>
      </c>
      <c r="BA206" s="122" t="s">
        <v>262</v>
      </c>
      <c r="BB206" s="122" t="s">
        <v>262</v>
      </c>
      <c r="BD206" s="122" t="s">
        <v>253</v>
      </c>
      <c r="BE206" s="122" t="s">
        <v>263</v>
      </c>
      <c r="BF206" s="122" t="s">
        <v>2811</v>
      </c>
      <c r="BH206" s="122" t="s">
        <v>2802</v>
      </c>
      <c r="BI206" s="142">
        <v>46</v>
      </c>
      <c r="BJ206" s="123">
        <v>42232</v>
      </c>
      <c r="BK206" s="139" t="s">
        <v>606</v>
      </c>
      <c r="BM206" s="122">
        <v>33</v>
      </c>
    </row>
    <row r="207" spans="1:65" x14ac:dyDescent="0.25">
      <c r="A207" s="122" t="s">
        <v>578</v>
      </c>
      <c r="B207" s="122" t="s">
        <v>3282</v>
      </c>
      <c r="C207" s="122" t="s">
        <v>3283</v>
      </c>
      <c r="D207" s="122" t="s">
        <v>3284</v>
      </c>
      <c r="E207" s="123">
        <v>42219</v>
      </c>
      <c r="F207" s="122" t="s">
        <v>3285</v>
      </c>
      <c r="G207" s="122" t="s">
        <v>235</v>
      </c>
      <c r="H207" s="122" t="s">
        <v>3286</v>
      </c>
      <c r="I207" s="122" t="s">
        <v>3287</v>
      </c>
      <c r="K207" s="122" t="s">
        <v>238</v>
      </c>
      <c r="L207" s="122" t="s">
        <v>346</v>
      </c>
      <c r="M207" s="122" t="s">
        <v>3242</v>
      </c>
      <c r="N207" s="122" t="s">
        <v>3288</v>
      </c>
      <c r="O207" s="141" t="s">
        <v>273</v>
      </c>
      <c r="P207" s="141" t="s">
        <v>3289</v>
      </c>
      <c r="Q207" s="122" t="s">
        <v>243</v>
      </c>
      <c r="R207" s="142">
        <v>47</v>
      </c>
      <c r="S207" s="122" t="s">
        <v>3290</v>
      </c>
      <c r="U207" s="122" t="s">
        <v>2802</v>
      </c>
      <c r="W207" s="122" t="s">
        <v>246</v>
      </c>
      <c r="X207" s="122" t="s">
        <v>260</v>
      </c>
      <c r="Y207" s="141" t="s">
        <v>833</v>
      </c>
      <c r="Z207" s="122" t="s">
        <v>3291</v>
      </c>
      <c r="AA207" s="141" t="s">
        <v>500</v>
      </c>
      <c r="AB207" s="122" t="s">
        <v>3292</v>
      </c>
      <c r="AC207" s="141" t="s">
        <v>742</v>
      </c>
      <c r="AD207" s="122" t="s">
        <v>1326</v>
      </c>
      <c r="AE207" s="122" t="s">
        <v>235</v>
      </c>
      <c r="AF207" s="122" t="s">
        <v>3293</v>
      </c>
      <c r="AG207" s="122" t="s">
        <v>3294</v>
      </c>
      <c r="AH207" s="122" t="s">
        <v>253</v>
      </c>
      <c r="AI207" s="122" t="s">
        <v>3295</v>
      </c>
      <c r="AJ207" s="122" t="s">
        <v>3296</v>
      </c>
      <c r="AK207" s="122" t="s">
        <v>3297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247</v>
      </c>
      <c r="AS207" s="141" t="s">
        <v>601</v>
      </c>
      <c r="AT207" s="141" t="s">
        <v>601</v>
      </c>
      <c r="AU207" s="141" t="s">
        <v>601</v>
      </c>
      <c r="AV207" s="122" t="s">
        <v>259</v>
      </c>
      <c r="AW207" s="122" t="s">
        <v>556</v>
      </c>
      <c r="AY207" s="141" t="s">
        <v>253</v>
      </c>
      <c r="AZ207" s="122" t="s">
        <v>3298</v>
      </c>
      <c r="BA207" s="122" t="s">
        <v>262</v>
      </c>
      <c r="BB207" s="122" t="s">
        <v>262</v>
      </c>
      <c r="BD207" s="122" t="s">
        <v>253</v>
      </c>
      <c r="BE207" s="122" t="s">
        <v>263</v>
      </c>
      <c r="BF207" s="122" t="s">
        <v>2811</v>
      </c>
      <c r="BH207" s="122" t="s">
        <v>2802</v>
      </c>
      <c r="BI207" s="142">
        <v>47</v>
      </c>
      <c r="BK207" s="139" t="s">
        <v>558</v>
      </c>
    </row>
    <row r="208" spans="1:65" x14ac:dyDescent="0.25">
      <c r="A208" s="122" t="s">
        <v>541</v>
      </c>
      <c r="B208" s="122" t="s">
        <v>3299</v>
      </c>
      <c r="C208" s="122" t="s">
        <v>3300</v>
      </c>
      <c r="D208" s="122" t="s">
        <v>3301</v>
      </c>
      <c r="E208" s="123">
        <v>42219</v>
      </c>
      <c r="F208" s="122" t="s">
        <v>356</v>
      </c>
      <c r="G208" s="122" t="s">
        <v>235</v>
      </c>
      <c r="H208" s="122" t="s">
        <v>3302</v>
      </c>
      <c r="I208" s="122" t="s">
        <v>2950</v>
      </c>
      <c r="J208" s="122" t="s">
        <v>2220</v>
      </c>
      <c r="K208" s="122" t="s">
        <v>238</v>
      </c>
      <c r="L208" s="122" t="s">
        <v>346</v>
      </c>
      <c r="M208" s="122" t="s">
        <v>2830</v>
      </c>
      <c r="O208" s="141" t="s">
        <v>566</v>
      </c>
      <c r="P208" s="141" t="s">
        <v>3303</v>
      </c>
      <c r="Q208" s="122" t="s">
        <v>243</v>
      </c>
      <c r="R208" s="142">
        <v>48</v>
      </c>
      <c r="S208" s="122" t="s">
        <v>3304</v>
      </c>
      <c r="U208" s="122" t="s">
        <v>2802</v>
      </c>
      <c r="W208" s="122" t="s">
        <v>246</v>
      </c>
      <c r="X208" s="122" t="s">
        <v>2657</v>
      </c>
      <c r="Y208" s="141" t="s">
        <v>279</v>
      </c>
      <c r="Z208" s="122" t="s">
        <v>355</v>
      </c>
      <c r="AB208" s="122" t="s">
        <v>250</v>
      </c>
      <c r="AD208" s="122" t="s">
        <v>250</v>
      </c>
      <c r="AE208" s="122" t="s">
        <v>235</v>
      </c>
      <c r="AF208" s="122" t="s">
        <v>3305</v>
      </c>
      <c r="AG208" s="122" t="s">
        <v>739</v>
      </c>
      <c r="AH208" s="122" t="s">
        <v>253</v>
      </c>
      <c r="AI208" s="122" t="s">
        <v>3306</v>
      </c>
      <c r="AJ208" s="122" t="s">
        <v>3307</v>
      </c>
      <c r="AK208" s="122" t="s">
        <v>3308</v>
      </c>
      <c r="AL208" s="122" t="s">
        <v>253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556</v>
      </c>
      <c r="AY208" s="141" t="s">
        <v>253</v>
      </c>
      <c r="AZ208" s="122" t="s">
        <v>3309</v>
      </c>
      <c r="BA208" s="122" t="s">
        <v>262</v>
      </c>
      <c r="BB208" s="122" t="s">
        <v>262</v>
      </c>
      <c r="BD208" s="122" t="s">
        <v>247</v>
      </c>
      <c r="BE208" s="122" t="s">
        <v>263</v>
      </c>
      <c r="BF208" s="122" t="s">
        <v>2811</v>
      </c>
      <c r="BH208" s="122" t="s">
        <v>2802</v>
      </c>
      <c r="BI208" s="142">
        <v>48</v>
      </c>
      <c r="BK208" s="139" t="s">
        <v>558</v>
      </c>
    </row>
    <row r="209" spans="1:65" x14ac:dyDescent="0.25">
      <c r="A209" s="122" t="s">
        <v>541</v>
      </c>
      <c r="B209" s="122" t="s">
        <v>3310</v>
      </c>
      <c r="C209" s="122" t="s">
        <v>3311</v>
      </c>
      <c r="D209" s="122" t="s">
        <v>3312</v>
      </c>
      <c r="E209" s="123">
        <v>42219</v>
      </c>
      <c r="F209" s="122" t="s">
        <v>1289</v>
      </c>
      <c r="G209" s="122" t="s">
        <v>235</v>
      </c>
      <c r="H209" s="122" t="s">
        <v>3313</v>
      </c>
      <c r="I209" s="122" t="s">
        <v>3314</v>
      </c>
      <c r="K209" s="122" t="s">
        <v>238</v>
      </c>
      <c r="L209" s="122" t="s">
        <v>346</v>
      </c>
      <c r="M209" s="122" t="s">
        <v>2862</v>
      </c>
      <c r="O209" s="141" t="s">
        <v>566</v>
      </c>
      <c r="P209" s="141" t="s">
        <v>3315</v>
      </c>
      <c r="Q209" s="122" t="s">
        <v>243</v>
      </c>
      <c r="R209" s="142">
        <v>49</v>
      </c>
      <c r="S209" s="122" t="s">
        <v>3316</v>
      </c>
      <c r="U209" s="122" t="s">
        <v>2802</v>
      </c>
      <c r="W209" s="122" t="s">
        <v>246</v>
      </c>
      <c r="X209" s="122" t="s">
        <v>1072</v>
      </c>
      <c r="Z209" s="122" t="s">
        <v>250</v>
      </c>
      <c r="AB209" s="122" t="s">
        <v>250</v>
      </c>
      <c r="AD209" s="122" t="s">
        <v>250</v>
      </c>
      <c r="AE209" s="122" t="s">
        <v>235</v>
      </c>
      <c r="AF209" s="122" t="s">
        <v>3317</v>
      </c>
      <c r="AG209" s="122" t="s">
        <v>253</v>
      </c>
      <c r="AH209" s="122" t="s">
        <v>253</v>
      </c>
      <c r="AI209" s="122" t="s">
        <v>3318</v>
      </c>
      <c r="AJ209" s="122" t="s">
        <v>3319</v>
      </c>
      <c r="AK209" s="122" t="s">
        <v>3320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247</v>
      </c>
      <c r="AQ209" s="141" t="s">
        <v>247</v>
      </c>
      <c r="AR209" s="141" t="s">
        <v>247</v>
      </c>
      <c r="AS209" s="141" t="s">
        <v>601</v>
      </c>
      <c r="AT209" s="141" t="s">
        <v>601</v>
      </c>
      <c r="AU209" s="141" t="s">
        <v>601</v>
      </c>
      <c r="AV209" s="122" t="s">
        <v>259</v>
      </c>
      <c r="AW209" s="122" t="s">
        <v>556</v>
      </c>
      <c r="AY209" s="141" t="s">
        <v>253</v>
      </c>
      <c r="AZ209" s="122" t="s">
        <v>3321</v>
      </c>
      <c r="BA209" s="122" t="s">
        <v>262</v>
      </c>
      <c r="BB209" s="122" t="s">
        <v>262</v>
      </c>
      <c r="BD209" s="122" t="s">
        <v>253</v>
      </c>
      <c r="BE209" s="122" t="s">
        <v>263</v>
      </c>
      <c r="BF209" s="122" t="s">
        <v>2811</v>
      </c>
      <c r="BH209" s="122" t="s">
        <v>2802</v>
      </c>
      <c r="BI209" s="142">
        <v>49</v>
      </c>
      <c r="BK209" s="139" t="s">
        <v>558</v>
      </c>
    </row>
    <row r="210" spans="1:65" x14ac:dyDescent="0.25">
      <c r="A210" s="122" t="s">
        <v>541</v>
      </c>
      <c r="B210" s="122" t="s">
        <v>3322</v>
      </c>
      <c r="C210" s="122" t="s">
        <v>3323</v>
      </c>
      <c r="D210" s="122" t="s">
        <v>3324</v>
      </c>
      <c r="E210" s="123">
        <v>42219</v>
      </c>
      <c r="F210" s="122" t="s">
        <v>3325</v>
      </c>
      <c r="G210" s="122" t="s">
        <v>235</v>
      </c>
      <c r="H210" s="122" t="s">
        <v>3326</v>
      </c>
      <c r="I210" s="122" t="s">
        <v>3327</v>
      </c>
      <c r="K210" s="122" t="s">
        <v>238</v>
      </c>
      <c r="L210" s="122" t="s">
        <v>346</v>
      </c>
      <c r="M210" s="122" t="s">
        <v>3018</v>
      </c>
      <c r="O210" s="141" t="s">
        <v>273</v>
      </c>
      <c r="P210" s="141" t="s">
        <v>3328</v>
      </c>
      <c r="Q210" s="122" t="s">
        <v>243</v>
      </c>
      <c r="R210" s="142">
        <v>50</v>
      </c>
      <c r="S210" s="122" t="s">
        <v>3329</v>
      </c>
      <c r="U210" s="122" t="s">
        <v>2802</v>
      </c>
      <c r="W210" s="122" t="s">
        <v>246</v>
      </c>
      <c r="X210" s="122" t="s">
        <v>721</v>
      </c>
      <c r="Y210" s="141" t="s">
        <v>973</v>
      </c>
      <c r="Z210" s="122" t="s">
        <v>3330</v>
      </c>
      <c r="AA210" s="141" t="s">
        <v>1421</v>
      </c>
      <c r="AB210" s="122" t="s">
        <v>741</v>
      </c>
      <c r="AC210" s="141" t="s">
        <v>1498</v>
      </c>
      <c r="AD210" s="122" t="s">
        <v>3331</v>
      </c>
      <c r="AE210" s="122" t="s">
        <v>235</v>
      </c>
      <c r="AF210" s="122" t="s">
        <v>3332</v>
      </c>
      <c r="AG210" s="122" t="s">
        <v>3333</v>
      </c>
      <c r="AH210" s="122" t="s">
        <v>253</v>
      </c>
      <c r="AI210" s="122" t="s">
        <v>3334</v>
      </c>
      <c r="AJ210" s="122" t="s">
        <v>3335</v>
      </c>
      <c r="AK210" s="122" t="s">
        <v>253</v>
      </c>
      <c r="AL210" s="122" t="s">
        <v>3336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247</v>
      </c>
      <c r="AR210" s="141" t="s">
        <v>247</v>
      </c>
      <c r="AS210" s="141" t="s">
        <v>601</v>
      </c>
      <c r="AT210" s="141" t="s">
        <v>601</v>
      </c>
      <c r="AU210" s="141" t="s">
        <v>601</v>
      </c>
      <c r="AV210" s="122" t="s">
        <v>259</v>
      </c>
      <c r="AW210" s="122" t="s">
        <v>556</v>
      </c>
      <c r="AX210" s="141" t="s">
        <v>1046</v>
      </c>
      <c r="AY210" s="141" t="s">
        <v>442</v>
      </c>
      <c r="AZ210" s="122" t="s">
        <v>3337</v>
      </c>
      <c r="BA210" s="122" t="s">
        <v>262</v>
      </c>
      <c r="BB210" s="122" t="s">
        <v>262</v>
      </c>
      <c r="BD210" s="122" t="s">
        <v>253</v>
      </c>
      <c r="BE210" s="122" t="s">
        <v>263</v>
      </c>
      <c r="BF210" s="122" t="s">
        <v>2811</v>
      </c>
      <c r="BH210" s="122" t="s">
        <v>2802</v>
      </c>
      <c r="BI210" s="142">
        <v>50</v>
      </c>
      <c r="BK210" s="139" t="s">
        <v>558</v>
      </c>
    </row>
    <row r="211" spans="1:65" x14ac:dyDescent="0.25">
      <c r="A211" s="122" t="s">
        <v>230</v>
      </c>
      <c r="B211" s="122" t="s">
        <v>3338</v>
      </c>
      <c r="C211" s="122" t="s">
        <v>2813</v>
      </c>
      <c r="D211" s="122" t="s">
        <v>2814</v>
      </c>
      <c r="E211" s="123">
        <v>42219</v>
      </c>
      <c r="F211" s="122" t="s">
        <v>1963</v>
      </c>
      <c r="G211" s="122" t="s">
        <v>235</v>
      </c>
      <c r="H211" s="122" t="s">
        <v>2815</v>
      </c>
      <c r="I211" s="122" t="s">
        <v>2816</v>
      </c>
      <c r="K211" s="122" t="s">
        <v>238</v>
      </c>
      <c r="L211" s="122" t="s">
        <v>346</v>
      </c>
      <c r="M211" s="122" t="s">
        <v>347</v>
      </c>
      <c r="O211" s="141" t="s">
        <v>390</v>
      </c>
      <c r="P211" s="141" t="s">
        <v>2817</v>
      </c>
      <c r="Q211" s="122" t="s">
        <v>243</v>
      </c>
      <c r="R211" s="142">
        <v>51</v>
      </c>
      <c r="S211" s="122" t="s">
        <v>2818</v>
      </c>
      <c r="U211" s="122" t="s">
        <v>2802</v>
      </c>
      <c r="W211" s="122" t="s">
        <v>246</v>
      </c>
      <c r="X211" s="122" t="s">
        <v>376</v>
      </c>
      <c r="Y211" s="141" t="s">
        <v>958</v>
      </c>
      <c r="Z211" s="122" t="s">
        <v>2819</v>
      </c>
      <c r="AA211" s="141" t="s">
        <v>833</v>
      </c>
      <c r="AB211" s="122" t="s">
        <v>355</v>
      </c>
      <c r="AC211" s="141" t="s">
        <v>367</v>
      </c>
      <c r="AD211" s="122" t="s">
        <v>2820</v>
      </c>
      <c r="AE211" s="122" t="s">
        <v>235</v>
      </c>
      <c r="AF211" s="122" t="s">
        <v>2821</v>
      </c>
      <c r="AG211" s="122" t="s">
        <v>537</v>
      </c>
      <c r="AH211" s="122" t="s">
        <v>253</v>
      </c>
      <c r="AI211" s="122" t="s">
        <v>2822</v>
      </c>
      <c r="AJ211" s="122" t="s">
        <v>2823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253</v>
      </c>
      <c r="AQ211" s="141" t="s">
        <v>247</v>
      </c>
      <c r="AR211" s="141" t="s">
        <v>247</v>
      </c>
      <c r="AS211" s="141" t="s">
        <v>601</v>
      </c>
      <c r="AT211" s="141" t="s">
        <v>601</v>
      </c>
      <c r="AU211" s="141" t="s">
        <v>601</v>
      </c>
      <c r="AV211" s="122" t="s">
        <v>259</v>
      </c>
      <c r="AW211" s="122" t="s">
        <v>556</v>
      </c>
      <c r="AY211" s="141" t="s">
        <v>253</v>
      </c>
      <c r="AZ211" s="122" t="s">
        <v>2824</v>
      </c>
      <c r="BA211" s="122" t="s">
        <v>262</v>
      </c>
      <c r="BB211" s="122" t="s">
        <v>262</v>
      </c>
      <c r="BD211" s="122" t="s">
        <v>253</v>
      </c>
      <c r="BE211" s="122" t="s">
        <v>263</v>
      </c>
      <c r="BF211" s="122" t="s">
        <v>2811</v>
      </c>
      <c r="BH211" s="122" t="s">
        <v>2802</v>
      </c>
      <c r="BI211" s="142">
        <v>51</v>
      </c>
      <c r="BK211" s="139" t="s">
        <v>558</v>
      </c>
    </row>
    <row r="212" spans="1:65" x14ac:dyDescent="0.25">
      <c r="A212" s="122" t="s">
        <v>888</v>
      </c>
      <c r="B212" s="122" t="s">
        <v>3339</v>
      </c>
      <c r="C212" s="122" t="s">
        <v>2893</v>
      </c>
      <c r="D212" s="122" t="s">
        <v>2894</v>
      </c>
      <c r="E212" s="123">
        <v>42219</v>
      </c>
      <c r="F212" s="122" t="s">
        <v>1258</v>
      </c>
      <c r="G212" s="122" t="s">
        <v>235</v>
      </c>
      <c r="H212" s="122" t="s">
        <v>2895</v>
      </c>
      <c r="I212" s="122" t="s">
        <v>2896</v>
      </c>
      <c r="K212" s="122" t="s">
        <v>238</v>
      </c>
      <c r="L212" s="122" t="s">
        <v>346</v>
      </c>
      <c r="M212" s="122" t="s">
        <v>1003</v>
      </c>
      <c r="O212" s="141" t="s">
        <v>548</v>
      </c>
      <c r="P212" s="141" t="s">
        <v>2897</v>
      </c>
      <c r="Q212" s="122" t="s">
        <v>243</v>
      </c>
      <c r="R212" s="142">
        <v>52</v>
      </c>
      <c r="S212" s="122" t="s">
        <v>2898</v>
      </c>
      <c r="U212" s="122" t="s">
        <v>2802</v>
      </c>
      <c r="W212" s="122" t="s">
        <v>246</v>
      </c>
      <c r="X212" s="122" t="s">
        <v>260</v>
      </c>
      <c r="Y212" s="141" t="s">
        <v>2899</v>
      </c>
      <c r="Z212" s="122" t="s">
        <v>2900</v>
      </c>
      <c r="AA212" s="141" t="s">
        <v>705</v>
      </c>
      <c r="AB212" s="122" t="s">
        <v>594</v>
      </c>
      <c r="AD212" s="122" t="s">
        <v>250</v>
      </c>
      <c r="AE212" s="122" t="s">
        <v>235</v>
      </c>
      <c r="AF212" s="122" t="s">
        <v>2901</v>
      </c>
      <c r="AG212" s="122" t="s">
        <v>253</v>
      </c>
      <c r="AH212" s="122" t="s">
        <v>253</v>
      </c>
      <c r="AI212" s="122" t="s">
        <v>2902</v>
      </c>
      <c r="AJ212" s="122" t="s">
        <v>2903</v>
      </c>
      <c r="AK212" s="122" t="s">
        <v>2904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247</v>
      </c>
      <c r="AQ212" s="141" t="s">
        <v>247</v>
      </c>
      <c r="AR212" s="141" t="s">
        <v>247</v>
      </c>
      <c r="AS212" s="141" t="s">
        <v>601</v>
      </c>
      <c r="AT212" s="141" t="s">
        <v>601</v>
      </c>
      <c r="AU212" s="141" t="s">
        <v>601</v>
      </c>
      <c r="AV212" s="122" t="s">
        <v>259</v>
      </c>
      <c r="AW212" s="122" t="s">
        <v>556</v>
      </c>
      <c r="AX212" s="141" t="s">
        <v>2905</v>
      </c>
      <c r="AY212" s="141" t="s">
        <v>603</v>
      </c>
      <c r="AZ212" s="122" t="s">
        <v>2906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2811</v>
      </c>
      <c r="BH212" s="122" t="s">
        <v>2802</v>
      </c>
      <c r="BI212" s="142">
        <v>52</v>
      </c>
      <c r="BK212" s="139" t="s">
        <v>558</v>
      </c>
    </row>
    <row r="213" spans="1:65" x14ac:dyDescent="0.25">
      <c r="A213" s="122" t="s">
        <v>404</v>
      </c>
      <c r="B213" s="122" t="s">
        <v>3340</v>
      </c>
      <c r="C213" s="122" t="s">
        <v>2908</v>
      </c>
      <c r="D213" s="122" t="s">
        <v>2909</v>
      </c>
      <c r="E213" s="123">
        <v>42219</v>
      </c>
      <c r="F213" s="122" t="s">
        <v>457</v>
      </c>
      <c r="G213" s="122" t="s">
        <v>235</v>
      </c>
      <c r="H213" s="122" t="s">
        <v>2910</v>
      </c>
      <c r="I213" s="122" t="s">
        <v>2911</v>
      </c>
      <c r="J213" s="122" t="s">
        <v>2912</v>
      </c>
      <c r="K213" s="122" t="s">
        <v>238</v>
      </c>
      <c r="L213" s="122" t="s">
        <v>346</v>
      </c>
      <c r="M213" s="122" t="s">
        <v>2913</v>
      </c>
      <c r="O213" s="141" t="s">
        <v>2914</v>
      </c>
      <c r="P213" s="141" t="s">
        <v>2915</v>
      </c>
      <c r="Q213" s="122" t="s">
        <v>243</v>
      </c>
      <c r="R213" s="142">
        <v>53</v>
      </c>
      <c r="S213" s="122" t="s">
        <v>2916</v>
      </c>
      <c r="U213" s="122" t="s">
        <v>2802</v>
      </c>
      <c r="W213" s="122" t="s">
        <v>246</v>
      </c>
      <c r="X213" s="122" t="s">
        <v>302</v>
      </c>
      <c r="Z213" s="122" t="s">
        <v>250</v>
      </c>
      <c r="AB213" s="122" t="s">
        <v>250</v>
      </c>
      <c r="AD213" s="122" t="s">
        <v>250</v>
      </c>
      <c r="AE213" s="122" t="s">
        <v>235</v>
      </c>
      <c r="AF213" s="122" t="s">
        <v>2917</v>
      </c>
      <c r="AG213" s="122" t="s">
        <v>537</v>
      </c>
      <c r="AH213" s="122" t="s">
        <v>253</v>
      </c>
      <c r="AI213" s="122" t="s">
        <v>2918</v>
      </c>
      <c r="AJ213" s="122" t="s">
        <v>2919</v>
      </c>
      <c r="AK213" s="122" t="s">
        <v>253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247</v>
      </c>
      <c r="AS213" s="141" t="s">
        <v>601</v>
      </c>
      <c r="AT213" s="141" t="s">
        <v>601</v>
      </c>
      <c r="AU213" s="141" t="s">
        <v>601</v>
      </c>
      <c r="AV213" s="122" t="s">
        <v>259</v>
      </c>
      <c r="AW213" s="122" t="s">
        <v>556</v>
      </c>
      <c r="AY213" s="141" t="s">
        <v>253</v>
      </c>
      <c r="AZ213" s="122" t="s">
        <v>2920</v>
      </c>
      <c r="BA213" s="122" t="s">
        <v>262</v>
      </c>
      <c r="BB213" s="122" t="s">
        <v>2921</v>
      </c>
      <c r="BC213" s="141" t="s">
        <v>312</v>
      </c>
      <c r="BD213" s="122" t="s">
        <v>253</v>
      </c>
      <c r="BE213" s="122" t="s">
        <v>263</v>
      </c>
      <c r="BF213" s="122" t="s">
        <v>2811</v>
      </c>
      <c r="BH213" s="122" t="s">
        <v>2802</v>
      </c>
      <c r="BI213" s="142">
        <v>53</v>
      </c>
      <c r="BK213" s="139" t="s">
        <v>558</v>
      </c>
    </row>
    <row r="214" spans="1:65" x14ac:dyDescent="0.25">
      <c r="A214" s="122" t="s">
        <v>404</v>
      </c>
      <c r="B214" s="122" t="s">
        <v>3341</v>
      </c>
      <c r="C214" s="122" t="s">
        <v>3342</v>
      </c>
      <c r="D214" s="122" t="s">
        <v>3343</v>
      </c>
      <c r="E214" s="123">
        <v>42219</v>
      </c>
      <c r="F214" s="122" t="s">
        <v>3344</v>
      </c>
      <c r="G214" s="122" t="s">
        <v>235</v>
      </c>
      <c r="H214" s="122" t="s">
        <v>3345</v>
      </c>
      <c r="I214" s="122" t="s">
        <v>3346</v>
      </c>
      <c r="K214" s="122" t="s">
        <v>238</v>
      </c>
      <c r="L214" s="122" t="s">
        <v>346</v>
      </c>
      <c r="M214" s="122" t="s">
        <v>3018</v>
      </c>
      <c r="N214" s="122" t="s">
        <v>3035</v>
      </c>
      <c r="O214" s="141" t="s">
        <v>273</v>
      </c>
      <c r="P214" s="141" t="s">
        <v>3347</v>
      </c>
      <c r="Q214" s="122" t="s">
        <v>243</v>
      </c>
      <c r="R214" s="142">
        <v>54</v>
      </c>
      <c r="S214" s="122" t="s">
        <v>3348</v>
      </c>
      <c r="T214" s="122" t="s">
        <v>3349</v>
      </c>
      <c r="U214" s="122" t="s">
        <v>2802</v>
      </c>
      <c r="W214" s="122" t="s">
        <v>246</v>
      </c>
      <c r="X214" s="122" t="s">
        <v>247</v>
      </c>
      <c r="Y214" s="141" t="s">
        <v>1289</v>
      </c>
      <c r="Z214" s="122" t="s">
        <v>669</v>
      </c>
      <c r="AA214" s="141" t="s">
        <v>901</v>
      </c>
      <c r="AB214" s="122" t="s">
        <v>3350</v>
      </c>
      <c r="AC214" s="141" t="s">
        <v>968</v>
      </c>
      <c r="AD214" s="122" t="s">
        <v>3351</v>
      </c>
      <c r="AE214" s="122" t="s">
        <v>235</v>
      </c>
      <c r="AF214" s="122" t="s">
        <v>3352</v>
      </c>
      <c r="AG214" s="122" t="s">
        <v>253</v>
      </c>
      <c r="AH214" s="122" t="s">
        <v>253</v>
      </c>
      <c r="AI214" s="122" t="s">
        <v>2737</v>
      </c>
      <c r="AJ214" s="122" t="s">
        <v>3353</v>
      </c>
      <c r="AK214" s="122" t="s">
        <v>3354</v>
      </c>
      <c r="AL214" s="122" t="s">
        <v>3355</v>
      </c>
      <c r="AM214" s="122" t="s">
        <v>253</v>
      </c>
      <c r="AN214" s="122" t="s">
        <v>253</v>
      </c>
      <c r="AO214" s="141" t="s">
        <v>253</v>
      </c>
      <c r="AP214" s="141" t="s">
        <v>253</v>
      </c>
      <c r="AQ214" s="141" t="s">
        <v>253</v>
      </c>
      <c r="AR214" s="141" t="s">
        <v>247</v>
      </c>
      <c r="AS214" s="141" t="s">
        <v>361</v>
      </c>
      <c r="AT214" s="141" t="s">
        <v>258</v>
      </c>
      <c r="AU214" s="141" t="s">
        <v>601</v>
      </c>
      <c r="AV214" s="122" t="s">
        <v>259</v>
      </c>
      <c r="AW214" s="122" t="s">
        <v>556</v>
      </c>
      <c r="AY214" s="141" t="s">
        <v>253</v>
      </c>
      <c r="AZ214" s="122" t="s">
        <v>3356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2811</v>
      </c>
      <c r="BH214" s="122" t="s">
        <v>2802</v>
      </c>
      <c r="BI214" s="142">
        <v>54</v>
      </c>
      <c r="BJ214" s="123">
        <v>42233</v>
      </c>
      <c r="BK214" s="139" t="s">
        <v>606</v>
      </c>
      <c r="BM214" s="122">
        <v>34</v>
      </c>
    </row>
    <row r="215" spans="1:65" x14ac:dyDescent="0.25">
      <c r="A215" s="122" t="s">
        <v>485</v>
      </c>
      <c r="B215" s="122" t="s">
        <v>3357</v>
      </c>
      <c r="C215" s="122" t="s">
        <v>3046</v>
      </c>
      <c r="D215" s="122" t="s">
        <v>3047</v>
      </c>
      <c r="E215" s="123">
        <v>42219</v>
      </c>
      <c r="F215" s="122" t="s">
        <v>1787</v>
      </c>
      <c r="G215" s="122" t="s">
        <v>235</v>
      </c>
      <c r="H215" s="122" t="s">
        <v>3048</v>
      </c>
      <c r="I215" s="122" t="s">
        <v>3049</v>
      </c>
      <c r="K215" s="122" t="s">
        <v>238</v>
      </c>
      <c r="L215" s="122" t="s">
        <v>346</v>
      </c>
      <c r="M215" s="122" t="s">
        <v>3050</v>
      </c>
      <c r="O215" s="141" t="s">
        <v>390</v>
      </c>
      <c r="P215" s="141" t="s">
        <v>3051</v>
      </c>
      <c r="Q215" s="122" t="s">
        <v>243</v>
      </c>
      <c r="R215" s="142">
        <v>55</v>
      </c>
      <c r="S215" s="122" t="s">
        <v>3052</v>
      </c>
      <c r="U215" s="122" t="s">
        <v>2802</v>
      </c>
      <c r="W215" s="122" t="s">
        <v>246</v>
      </c>
      <c r="X215" s="122" t="s">
        <v>325</v>
      </c>
      <c r="Y215" s="141" t="s">
        <v>304</v>
      </c>
      <c r="Z215" s="122" t="s">
        <v>3053</v>
      </c>
      <c r="AA215" s="141" t="s">
        <v>306</v>
      </c>
      <c r="AB215" s="122" t="s">
        <v>3054</v>
      </c>
      <c r="AC215" s="141" t="s">
        <v>2701</v>
      </c>
      <c r="AD215" s="122" t="s">
        <v>3055</v>
      </c>
      <c r="AE215" s="122" t="s">
        <v>235</v>
      </c>
      <c r="AF215" s="122" t="s">
        <v>3056</v>
      </c>
      <c r="AG215" s="122" t="s">
        <v>537</v>
      </c>
      <c r="AH215" s="122" t="s">
        <v>253</v>
      </c>
      <c r="AI215" s="122" t="s">
        <v>3057</v>
      </c>
      <c r="AJ215" s="122" t="s">
        <v>3058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247</v>
      </c>
      <c r="AQ215" s="141" t="s">
        <v>247</v>
      </c>
      <c r="AR215" s="141" t="s">
        <v>247</v>
      </c>
      <c r="AS215" s="141" t="s">
        <v>601</v>
      </c>
      <c r="AT215" s="141" t="s">
        <v>601</v>
      </c>
      <c r="AU215" s="141" t="s">
        <v>601</v>
      </c>
      <c r="AV215" s="122" t="s">
        <v>259</v>
      </c>
      <c r="AW215" s="122" t="s">
        <v>556</v>
      </c>
      <c r="AY215" s="141" t="s">
        <v>253</v>
      </c>
      <c r="AZ215" s="122" t="s">
        <v>3059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2811</v>
      </c>
      <c r="BH215" s="122" t="s">
        <v>2802</v>
      </c>
      <c r="BI215" s="142">
        <v>55</v>
      </c>
      <c r="BK215" s="139" t="s">
        <v>558</v>
      </c>
    </row>
    <row r="216" spans="1:65" x14ac:dyDescent="0.25">
      <c r="A216" s="122" t="s">
        <v>578</v>
      </c>
      <c r="B216" s="122" t="s">
        <v>3358</v>
      </c>
      <c r="C216" s="122" t="s">
        <v>3359</v>
      </c>
      <c r="D216" s="122" t="s">
        <v>3360</v>
      </c>
      <c r="E216" s="123">
        <v>42219</v>
      </c>
      <c r="F216" s="122" t="s">
        <v>755</v>
      </c>
      <c r="G216" s="122" t="s">
        <v>235</v>
      </c>
      <c r="H216" s="122" t="s">
        <v>3361</v>
      </c>
      <c r="I216" s="122" t="s">
        <v>3362</v>
      </c>
      <c r="J216" s="122" t="s">
        <v>3363</v>
      </c>
      <c r="K216" s="122" t="s">
        <v>3364</v>
      </c>
      <c r="L216" s="122" t="s">
        <v>3365</v>
      </c>
      <c r="M216" s="122" t="s">
        <v>3366</v>
      </c>
      <c r="O216" s="141" t="s">
        <v>3367</v>
      </c>
      <c r="P216" s="141" t="s">
        <v>3368</v>
      </c>
      <c r="Q216" s="122" t="s">
        <v>3369</v>
      </c>
      <c r="R216" s="142">
        <v>6</v>
      </c>
      <c r="S216" s="122" t="s">
        <v>3370</v>
      </c>
      <c r="U216" s="122" t="s">
        <v>3371</v>
      </c>
      <c r="W216" s="122" t="s">
        <v>246</v>
      </c>
      <c r="X216" s="122" t="s">
        <v>260</v>
      </c>
      <c r="Y216" s="141" t="s">
        <v>670</v>
      </c>
      <c r="Z216" s="122" t="s">
        <v>3372</v>
      </c>
      <c r="AA216" s="141" t="s">
        <v>1969</v>
      </c>
      <c r="AB216" s="122" t="s">
        <v>3372</v>
      </c>
      <c r="AC216" s="141" t="s">
        <v>1192</v>
      </c>
      <c r="AD216" s="122" t="s">
        <v>3373</v>
      </c>
      <c r="AE216" s="122" t="s">
        <v>235</v>
      </c>
      <c r="AF216" s="122" t="s">
        <v>3374</v>
      </c>
      <c r="AG216" s="122" t="s">
        <v>253</v>
      </c>
      <c r="AH216" s="122" t="s">
        <v>253</v>
      </c>
      <c r="AI216" s="122" t="s">
        <v>3375</v>
      </c>
      <c r="AJ216" s="122" t="s">
        <v>3376</v>
      </c>
      <c r="AK216" s="122" t="s">
        <v>3377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253</v>
      </c>
      <c r="AR216" s="141" t="s">
        <v>247</v>
      </c>
      <c r="AS216" s="141" t="s">
        <v>257</v>
      </c>
      <c r="AT216" s="141" t="s">
        <v>258</v>
      </c>
      <c r="AU216" s="141" t="s">
        <v>257</v>
      </c>
      <c r="AV216" s="122" t="s">
        <v>259</v>
      </c>
      <c r="AW216" s="122" t="s">
        <v>260</v>
      </c>
      <c r="AY216" s="141" t="s">
        <v>253</v>
      </c>
      <c r="AZ216" s="122" t="s">
        <v>3378</v>
      </c>
      <c r="BA216" s="122" t="s">
        <v>262</v>
      </c>
      <c r="BB216" s="122" t="s">
        <v>262</v>
      </c>
      <c r="BD216" s="122" t="s">
        <v>253</v>
      </c>
      <c r="BE216" s="122" t="s">
        <v>263</v>
      </c>
      <c r="BF216" s="122" t="s">
        <v>11</v>
      </c>
      <c r="BH216" s="122" t="s">
        <v>3371</v>
      </c>
      <c r="BI216" s="142">
        <v>6</v>
      </c>
      <c r="BJ216" s="123">
        <v>42220</v>
      </c>
      <c r="BK216" s="139" t="s">
        <v>264</v>
      </c>
      <c r="BL216" s="140">
        <v>228.81</v>
      </c>
      <c r="BM216" s="122">
        <v>32</v>
      </c>
    </row>
    <row r="217" spans="1:65" x14ac:dyDescent="0.25">
      <c r="A217" s="122" t="s">
        <v>541</v>
      </c>
      <c r="B217" s="122" t="s">
        <v>3379</v>
      </c>
      <c r="C217" s="122" t="s">
        <v>3380</v>
      </c>
      <c r="D217" s="122" t="s">
        <v>3381</v>
      </c>
      <c r="E217" s="123">
        <v>42219</v>
      </c>
      <c r="F217" s="122" t="s">
        <v>3382</v>
      </c>
      <c r="G217" s="122" t="s">
        <v>235</v>
      </c>
      <c r="H217" s="122" t="s">
        <v>3383</v>
      </c>
      <c r="I217" s="122" t="s">
        <v>3384</v>
      </c>
      <c r="K217" s="122" t="s">
        <v>3385</v>
      </c>
      <c r="L217" s="122" t="s">
        <v>3386</v>
      </c>
      <c r="M217" s="122" t="s">
        <v>3387</v>
      </c>
      <c r="O217" s="141" t="s">
        <v>2831</v>
      </c>
      <c r="P217" s="141" t="s">
        <v>3388</v>
      </c>
      <c r="Q217" s="122" t="s">
        <v>3389</v>
      </c>
      <c r="R217" s="142">
        <v>22</v>
      </c>
      <c r="S217" s="122" t="s">
        <v>3390</v>
      </c>
      <c r="U217" s="122" t="s">
        <v>3371</v>
      </c>
      <c r="W217" s="122" t="s">
        <v>246</v>
      </c>
      <c r="X217" s="122" t="s">
        <v>442</v>
      </c>
      <c r="Y217" s="141" t="s">
        <v>326</v>
      </c>
      <c r="Z217" s="122" t="s">
        <v>3391</v>
      </c>
      <c r="AA217" s="141" t="s">
        <v>593</v>
      </c>
      <c r="AB217" s="122" t="s">
        <v>3392</v>
      </c>
      <c r="AC217" s="141" t="s">
        <v>1258</v>
      </c>
      <c r="AD217" s="122" t="s">
        <v>3393</v>
      </c>
      <c r="AE217" s="122" t="s">
        <v>235</v>
      </c>
      <c r="AF217" s="122" t="s">
        <v>3394</v>
      </c>
      <c r="AG217" s="122" t="s">
        <v>3395</v>
      </c>
      <c r="AH217" s="122" t="s">
        <v>253</v>
      </c>
      <c r="AI217" s="122" t="s">
        <v>3396</v>
      </c>
      <c r="AJ217" s="122" t="s">
        <v>3397</v>
      </c>
      <c r="AK217" s="122" t="s">
        <v>3398</v>
      </c>
      <c r="AL217" s="122" t="s">
        <v>253</v>
      </c>
      <c r="AM217" s="122" t="s">
        <v>253</v>
      </c>
      <c r="AN217" s="122" t="s">
        <v>253</v>
      </c>
      <c r="AO217" s="141" t="s">
        <v>247</v>
      </c>
      <c r="AP217" s="141" t="s">
        <v>247</v>
      </c>
      <c r="AQ217" s="141" t="s">
        <v>247</v>
      </c>
      <c r="AR217" s="141" t="s">
        <v>253</v>
      </c>
      <c r="AS217" s="141" t="s">
        <v>257</v>
      </c>
      <c r="AT217" s="141" t="s">
        <v>601</v>
      </c>
      <c r="AU217" s="141" t="s">
        <v>258</v>
      </c>
      <c r="AV217" s="122" t="s">
        <v>259</v>
      </c>
      <c r="AW217" s="122" t="s">
        <v>260</v>
      </c>
      <c r="AY217" s="141" t="s">
        <v>253</v>
      </c>
      <c r="AZ217" s="122" t="s">
        <v>3399</v>
      </c>
      <c r="BA217" s="122" t="s">
        <v>262</v>
      </c>
      <c r="BB217" s="122" t="s">
        <v>262</v>
      </c>
      <c r="BC217" s="141" t="s">
        <v>312</v>
      </c>
      <c r="BD217" s="122" t="s">
        <v>253</v>
      </c>
      <c r="BE217" s="122" t="s">
        <v>263</v>
      </c>
      <c r="BF217" s="122" t="s">
        <v>11</v>
      </c>
      <c r="BH217" s="122" t="s">
        <v>3371</v>
      </c>
      <c r="BI217" s="142">
        <v>22</v>
      </c>
      <c r="BJ217" s="123">
        <v>42220</v>
      </c>
      <c r="BK217" s="139" t="s">
        <v>264</v>
      </c>
      <c r="BL217" s="140">
        <v>177.65</v>
      </c>
      <c r="BM217" s="122">
        <v>32</v>
      </c>
    </row>
    <row r="218" spans="1:65" x14ac:dyDescent="0.25">
      <c r="A218" s="122" t="s">
        <v>541</v>
      </c>
      <c r="B218" s="122" t="s">
        <v>3400</v>
      </c>
      <c r="C218" s="122" t="s">
        <v>3401</v>
      </c>
      <c r="D218" s="122" t="s">
        <v>3402</v>
      </c>
      <c r="E218" s="123">
        <v>42219</v>
      </c>
      <c r="F218" s="122" t="s">
        <v>1400</v>
      </c>
      <c r="G218" s="122" t="s">
        <v>235</v>
      </c>
      <c r="H218" s="122" t="s">
        <v>3403</v>
      </c>
      <c r="I218" s="122" t="s">
        <v>3404</v>
      </c>
      <c r="J218" s="122" t="s">
        <v>2271</v>
      </c>
      <c r="K218" s="122" t="s">
        <v>3385</v>
      </c>
      <c r="L218" s="122" t="s">
        <v>3386</v>
      </c>
      <c r="M218" s="122" t="s">
        <v>3405</v>
      </c>
      <c r="N218" s="122" t="s">
        <v>3406</v>
      </c>
      <c r="Q218" s="122" t="s">
        <v>3389</v>
      </c>
      <c r="R218" s="142">
        <v>37</v>
      </c>
      <c r="S218" s="122" t="s">
        <v>3407</v>
      </c>
      <c r="U218" s="122" t="s">
        <v>3371</v>
      </c>
      <c r="W218" s="122" t="s">
        <v>246</v>
      </c>
      <c r="X218" s="122" t="s">
        <v>721</v>
      </c>
      <c r="Y218" s="141" t="s">
        <v>1876</v>
      </c>
      <c r="Z218" s="122" t="s">
        <v>3408</v>
      </c>
      <c r="AA218" s="141" t="s">
        <v>1289</v>
      </c>
      <c r="AB218" s="122" t="s">
        <v>669</v>
      </c>
      <c r="AD218" s="122" t="s">
        <v>250</v>
      </c>
      <c r="AE218" s="122" t="s">
        <v>235</v>
      </c>
      <c r="AF218" s="122" t="s">
        <v>3409</v>
      </c>
      <c r="AG218" s="122" t="s">
        <v>537</v>
      </c>
      <c r="AH218" s="122" t="s">
        <v>253</v>
      </c>
      <c r="AI218" s="122" t="s">
        <v>3410</v>
      </c>
      <c r="AJ218" s="122" t="s">
        <v>3411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253</v>
      </c>
      <c r="AQ218" s="141" t="s">
        <v>253</v>
      </c>
      <c r="AR218" s="141" t="s">
        <v>253</v>
      </c>
      <c r="AS218" s="141" t="s">
        <v>257</v>
      </c>
      <c r="AT218" s="141" t="s">
        <v>258</v>
      </c>
      <c r="AU218" s="141" t="s">
        <v>258</v>
      </c>
      <c r="AV218" s="122" t="s">
        <v>259</v>
      </c>
      <c r="AW218" s="122" t="s">
        <v>260</v>
      </c>
      <c r="AY218" s="141" t="s">
        <v>253</v>
      </c>
      <c r="AZ218" s="122" t="s">
        <v>3412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11</v>
      </c>
      <c r="BH218" s="122" t="s">
        <v>3371</v>
      </c>
      <c r="BI218" s="142">
        <v>37</v>
      </c>
      <c r="BJ218" s="123">
        <v>42220</v>
      </c>
      <c r="BK218" s="139" t="s">
        <v>264</v>
      </c>
      <c r="BL218" s="140">
        <v>168.33</v>
      </c>
      <c r="BM218" s="122">
        <v>32</v>
      </c>
    </row>
    <row r="219" spans="1:65" x14ac:dyDescent="0.25">
      <c r="A219" s="122" t="s">
        <v>230</v>
      </c>
      <c r="B219" s="122" t="s">
        <v>3413</v>
      </c>
      <c r="C219" s="122" t="s">
        <v>3414</v>
      </c>
      <c r="D219" s="122" t="s">
        <v>3415</v>
      </c>
      <c r="E219" s="123">
        <v>42219</v>
      </c>
      <c r="F219" s="122" t="s">
        <v>279</v>
      </c>
      <c r="G219" s="122" t="s">
        <v>235</v>
      </c>
      <c r="H219" s="122" t="s">
        <v>3416</v>
      </c>
      <c r="I219" s="122" t="s">
        <v>3417</v>
      </c>
      <c r="J219" s="122" t="s">
        <v>3418</v>
      </c>
      <c r="K219" s="122" t="s">
        <v>3419</v>
      </c>
      <c r="L219" s="122" t="s">
        <v>3420</v>
      </c>
      <c r="M219" s="122" t="s">
        <v>3421</v>
      </c>
      <c r="N219" s="122" t="s">
        <v>3422</v>
      </c>
      <c r="O219" s="141" t="s">
        <v>390</v>
      </c>
      <c r="P219" s="141" t="s">
        <v>3423</v>
      </c>
      <c r="Q219" s="122" t="s">
        <v>3424</v>
      </c>
      <c r="R219" s="142">
        <v>46</v>
      </c>
      <c r="S219" s="122" t="s">
        <v>3425</v>
      </c>
      <c r="U219" s="122" t="s">
        <v>3371</v>
      </c>
      <c r="W219" s="122" t="s">
        <v>246</v>
      </c>
      <c r="X219" s="122" t="s">
        <v>302</v>
      </c>
      <c r="Y219" s="141" t="s">
        <v>591</v>
      </c>
      <c r="Z219" s="122" t="s">
        <v>3426</v>
      </c>
      <c r="AA219" s="141" t="s">
        <v>328</v>
      </c>
      <c r="AB219" s="122" t="s">
        <v>3427</v>
      </c>
      <c r="AC219" s="141" t="s">
        <v>330</v>
      </c>
      <c r="AD219" s="122" t="s">
        <v>3428</v>
      </c>
      <c r="AE219" s="122" t="s">
        <v>235</v>
      </c>
      <c r="AF219" s="122" t="s">
        <v>3429</v>
      </c>
      <c r="AG219" s="122" t="s">
        <v>3430</v>
      </c>
      <c r="AH219" s="122" t="s">
        <v>253</v>
      </c>
      <c r="AI219" s="122" t="s">
        <v>3431</v>
      </c>
      <c r="AJ219" s="122" t="s">
        <v>3432</v>
      </c>
      <c r="AK219" s="122" t="s">
        <v>253</v>
      </c>
      <c r="AL219" s="122" t="s">
        <v>253</v>
      </c>
      <c r="AM219" s="122" t="s">
        <v>253</v>
      </c>
      <c r="AN219" s="122" t="s">
        <v>253</v>
      </c>
      <c r="AV219" s="122" t="s">
        <v>259</v>
      </c>
      <c r="AW219" s="122" t="s">
        <v>260</v>
      </c>
      <c r="AY219" s="141" t="s">
        <v>253</v>
      </c>
      <c r="AZ219" s="122" t="s">
        <v>3433</v>
      </c>
      <c r="BA219" s="122" t="s">
        <v>262</v>
      </c>
      <c r="BB219" s="122" t="s">
        <v>262</v>
      </c>
      <c r="BD219" s="122" t="s">
        <v>253</v>
      </c>
      <c r="BE219" s="122" t="s">
        <v>263</v>
      </c>
      <c r="BF219" s="122" t="s">
        <v>11</v>
      </c>
      <c r="BH219" s="122" t="s">
        <v>3371</v>
      </c>
      <c r="BI219" s="142">
        <v>46</v>
      </c>
      <c r="BJ219" s="123">
        <v>42220</v>
      </c>
      <c r="BK219" s="139" t="s">
        <v>264</v>
      </c>
      <c r="BL219" s="140">
        <v>250</v>
      </c>
      <c r="BM219" s="122">
        <v>32</v>
      </c>
    </row>
    <row r="220" spans="1:65" x14ac:dyDescent="0.25">
      <c r="A220" s="122" t="s">
        <v>888</v>
      </c>
      <c r="B220" s="122" t="s">
        <v>3434</v>
      </c>
      <c r="C220" s="122" t="s">
        <v>3435</v>
      </c>
      <c r="D220" s="122" t="s">
        <v>3436</v>
      </c>
      <c r="E220" s="123">
        <v>42219</v>
      </c>
      <c r="F220" s="122" t="s">
        <v>1258</v>
      </c>
      <c r="G220" s="122" t="s">
        <v>235</v>
      </c>
      <c r="H220" s="122" t="s">
        <v>3437</v>
      </c>
      <c r="I220" s="122" t="s">
        <v>3438</v>
      </c>
      <c r="J220" s="122" t="s">
        <v>1053</v>
      </c>
      <c r="K220" s="122" t="s">
        <v>3364</v>
      </c>
      <c r="L220" s="122" t="s">
        <v>3365</v>
      </c>
      <c r="M220" s="122" t="s">
        <v>3366</v>
      </c>
      <c r="O220" s="141" t="s">
        <v>2378</v>
      </c>
      <c r="P220" s="141" t="s">
        <v>3439</v>
      </c>
      <c r="Q220" s="122" t="s">
        <v>3369</v>
      </c>
      <c r="R220" s="142">
        <v>70</v>
      </c>
      <c r="U220" s="122" t="s">
        <v>3371</v>
      </c>
      <c r="W220" s="122" t="s">
        <v>246</v>
      </c>
      <c r="X220" s="122" t="s">
        <v>603</v>
      </c>
      <c r="Y220" s="141" t="s">
        <v>326</v>
      </c>
      <c r="Z220" s="122" t="s">
        <v>3440</v>
      </c>
      <c r="AB220" s="122" t="s">
        <v>250</v>
      </c>
      <c r="AD220" s="122" t="s">
        <v>250</v>
      </c>
      <c r="AE220" s="122" t="s">
        <v>235</v>
      </c>
      <c r="AF220" s="122" t="s">
        <v>3441</v>
      </c>
      <c r="AG220" s="122" t="s">
        <v>3395</v>
      </c>
      <c r="AH220" s="122" t="s">
        <v>253</v>
      </c>
      <c r="AI220" s="122" t="s">
        <v>3442</v>
      </c>
      <c r="AJ220" s="122" t="s">
        <v>3443</v>
      </c>
      <c r="AK220" s="122" t="s">
        <v>3444</v>
      </c>
      <c r="AL220" s="122" t="s">
        <v>253</v>
      </c>
      <c r="AM220" s="122" t="s">
        <v>253</v>
      </c>
      <c r="AN220" s="122" t="s">
        <v>253</v>
      </c>
      <c r="AO220" s="141" t="s">
        <v>253</v>
      </c>
      <c r="AP220" s="141" t="s">
        <v>253</v>
      </c>
      <c r="AQ220" s="141" t="s">
        <v>247</v>
      </c>
      <c r="AR220" s="141" t="s">
        <v>253</v>
      </c>
      <c r="AS220" s="141" t="s">
        <v>361</v>
      </c>
      <c r="AT220" s="141" t="s">
        <v>257</v>
      </c>
      <c r="AU220" s="141" t="s">
        <v>258</v>
      </c>
      <c r="AV220" s="122" t="s">
        <v>259</v>
      </c>
      <c r="AW220" s="122" t="s">
        <v>260</v>
      </c>
      <c r="AY220" s="141" t="s">
        <v>253</v>
      </c>
      <c r="AZ220" s="122" t="s">
        <v>3445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11</v>
      </c>
      <c r="BH220" s="122" t="s">
        <v>3371</v>
      </c>
      <c r="BI220" s="142">
        <v>70</v>
      </c>
      <c r="BJ220" s="123">
        <v>42220</v>
      </c>
      <c r="BK220" s="139" t="s">
        <v>264</v>
      </c>
      <c r="BL220" s="140">
        <v>294.61</v>
      </c>
      <c r="BM220" s="122">
        <v>32</v>
      </c>
    </row>
    <row r="221" spans="1:65" x14ac:dyDescent="0.25">
      <c r="A221" s="122" t="s">
        <v>888</v>
      </c>
      <c r="B221" s="122" t="s">
        <v>3446</v>
      </c>
      <c r="C221" s="122" t="s">
        <v>3447</v>
      </c>
      <c r="D221" s="122" t="s">
        <v>3448</v>
      </c>
      <c r="E221" s="123">
        <v>42219</v>
      </c>
      <c r="F221" s="122" t="s">
        <v>3449</v>
      </c>
      <c r="G221" s="122" t="s">
        <v>235</v>
      </c>
      <c r="H221" s="122" t="s">
        <v>3450</v>
      </c>
      <c r="I221" s="122" t="s">
        <v>3451</v>
      </c>
      <c r="K221" s="122" t="s">
        <v>3452</v>
      </c>
      <c r="L221" s="122" t="s">
        <v>3453</v>
      </c>
      <c r="M221" s="122" t="s">
        <v>3454</v>
      </c>
      <c r="O221" s="141" t="s">
        <v>3455</v>
      </c>
      <c r="P221" s="141" t="s">
        <v>3456</v>
      </c>
      <c r="Q221" s="122" t="s">
        <v>3389</v>
      </c>
      <c r="R221" s="142">
        <v>81</v>
      </c>
      <c r="S221" s="122" t="s">
        <v>3457</v>
      </c>
      <c r="U221" s="122" t="s">
        <v>3371</v>
      </c>
      <c r="W221" s="122" t="s">
        <v>246</v>
      </c>
      <c r="X221" s="122" t="s">
        <v>739</v>
      </c>
      <c r="Y221" s="141" t="s">
        <v>326</v>
      </c>
      <c r="Z221" s="122" t="s">
        <v>3458</v>
      </c>
      <c r="AA221" s="141" t="s">
        <v>973</v>
      </c>
      <c r="AB221" s="122" t="s">
        <v>3459</v>
      </c>
      <c r="AC221" s="141" t="s">
        <v>1325</v>
      </c>
      <c r="AD221" s="122" t="s">
        <v>3460</v>
      </c>
      <c r="AE221" s="122" t="s">
        <v>235</v>
      </c>
      <c r="AF221" s="122" t="s">
        <v>3461</v>
      </c>
      <c r="AG221" s="122" t="s">
        <v>3395</v>
      </c>
      <c r="AH221" s="122" t="s">
        <v>253</v>
      </c>
      <c r="AI221" s="122" t="s">
        <v>3462</v>
      </c>
      <c r="AJ221" s="122" t="s">
        <v>3463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257</v>
      </c>
      <c r="AT221" s="141" t="s">
        <v>257</v>
      </c>
      <c r="AU221" s="141" t="s">
        <v>257</v>
      </c>
      <c r="AV221" s="122" t="s">
        <v>259</v>
      </c>
      <c r="AW221" s="122" t="s">
        <v>260</v>
      </c>
      <c r="AY221" s="141" t="s">
        <v>253</v>
      </c>
      <c r="AZ221" s="122" t="s">
        <v>3464</v>
      </c>
      <c r="BA221" s="122" t="s">
        <v>262</v>
      </c>
      <c r="BB221" s="122" t="s">
        <v>262</v>
      </c>
      <c r="BC221" s="141" t="s">
        <v>312</v>
      </c>
      <c r="BD221" s="122" t="s">
        <v>253</v>
      </c>
      <c r="BE221" s="122" t="s">
        <v>263</v>
      </c>
      <c r="BF221" s="122" t="s">
        <v>11</v>
      </c>
      <c r="BH221" s="122" t="s">
        <v>3371</v>
      </c>
      <c r="BI221" s="142">
        <v>81</v>
      </c>
      <c r="BJ221" s="123">
        <v>42220</v>
      </c>
      <c r="BK221" s="139" t="s">
        <v>264</v>
      </c>
      <c r="BL221" s="140">
        <v>150.87</v>
      </c>
      <c r="BM221" s="122">
        <v>32</v>
      </c>
    </row>
    <row r="222" spans="1:65" x14ac:dyDescent="0.25">
      <c r="A222" s="122" t="s">
        <v>888</v>
      </c>
      <c r="B222" s="122" t="s">
        <v>3465</v>
      </c>
      <c r="C222" s="122" t="s">
        <v>3466</v>
      </c>
      <c r="D222" s="122" t="s">
        <v>3467</v>
      </c>
      <c r="E222" s="123">
        <v>42219</v>
      </c>
      <c r="F222" s="122" t="s">
        <v>3468</v>
      </c>
      <c r="G222" s="122" t="s">
        <v>235</v>
      </c>
      <c r="H222" s="122" t="s">
        <v>3469</v>
      </c>
      <c r="I222" s="122" t="s">
        <v>3470</v>
      </c>
      <c r="J222" s="122" t="s">
        <v>3471</v>
      </c>
      <c r="K222" s="122" t="s">
        <v>3385</v>
      </c>
      <c r="L222" s="122" t="s">
        <v>3386</v>
      </c>
      <c r="M222" s="122" t="s">
        <v>3405</v>
      </c>
      <c r="O222" s="141" t="s">
        <v>390</v>
      </c>
      <c r="P222" s="141" t="s">
        <v>3472</v>
      </c>
      <c r="Q222" s="122" t="s">
        <v>3389</v>
      </c>
      <c r="R222" s="142">
        <v>82</v>
      </c>
      <c r="S222" s="122" t="s">
        <v>3473</v>
      </c>
      <c r="U222" s="122" t="s">
        <v>3371</v>
      </c>
      <c r="V222" s="122" t="s">
        <v>276</v>
      </c>
      <c r="W222" s="122" t="s">
        <v>277</v>
      </c>
      <c r="X222" s="122" t="s">
        <v>454</v>
      </c>
      <c r="Y222" s="141" t="s">
        <v>591</v>
      </c>
      <c r="Z222" s="122" t="s">
        <v>832</v>
      </c>
      <c r="AA222" s="141" t="s">
        <v>593</v>
      </c>
      <c r="AB222" s="122" t="s">
        <v>3474</v>
      </c>
      <c r="AC222" s="141" t="s">
        <v>511</v>
      </c>
      <c r="AD222" s="122" t="s">
        <v>518</v>
      </c>
      <c r="AE222" s="122" t="s">
        <v>235</v>
      </c>
      <c r="AF222" s="122" t="s">
        <v>3475</v>
      </c>
      <c r="AG222" s="122" t="s">
        <v>3395</v>
      </c>
      <c r="AH222" s="122" t="s">
        <v>253</v>
      </c>
      <c r="AI222" s="122" t="s">
        <v>3476</v>
      </c>
      <c r="AJ222" s="122" t="s">
        <v>3477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253</v>
      </c>
      <c r="AP222" s="141" t="s">
        <v>253</v>
      </c>
      <c r="AQ222" s="141" t="s">
        <v>247</v>
      </c>
      <c r="AR222" s="141" t="s">
        <v>247</v>
      </c>
      <c r="AS222" s="141" t="s">
        <v>361</v>
      </c>
      <c r="AT222" s="141" t="s">
        <v>257</v>
      </c>
      <c r="AU222" s="141" t="s">
        <v>257</v>
      </c>
      <c r="AV222" s="122" t="s">
        <v>259</v>
      </c>
      <c r="AW222" s="122" t="s">
        <v>260</v>
      </c>
      <c r="AX222" s="141" t="s">
        <v>3478</v>
      </c>
      <c r="AY222" s="141" t="s">
        <v>247</v>
      </c>
      <c r="AZ222" s="122" t="s">
        <v>3479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11</v>
      </c>
      <c r="BH222" s="122" t="s">
        <v>3371</v>
      </c>
      <c r="BI222" s="142">
        <v>82</v>
      </c>
      <c r="BJ222" s="123">
        <v>42219</v>
      </c>
      <c r="BK222" s="139" t="s">
        <v>264</v>
      </c>
      <c r="BL222" s="140">
        <v>100.37</v>
      </c>
      <c r="BM222" s="122">
        <v>32</v>
      </c>
    </row>
    <row r="223" spans="1:65" x14ac:dyDescent="0.25">
      <c r="A223" s="122" t="s">
        <v>485</v>
      </c>
      <c r="B223" s="122" t="s">
        <v>3480</v>
      </c>
      <c r="C223" s="122" t="s">
        <v>3481</v>
      </c>
      <c r="D223" s="122" t="s">
        <v>3482</v>
      </c>
      <c r="E223" s="123">
        <v>42219</v>
      </c>
      <c r="F223" s="122" t="s">
        <v>3483</v>
      </c>
      <c r="G223" s="122" t="s">
        <v>235</v>
      </c>
      <c r="H223" s="122" t="s">
        <v>3484</v>
      </c>
      <c r="I223" s="122" t="s">
        <v>3485</v>
      </c>
      <c r="K223" s="122" t="s">
        <v>3385</v>
      </c>
      <c r="L223" s="122" t="s">
        <v>3386</v>
      </c>
      <c r="M223" s="122" t="s">
        <v>3486</v>
      </c>
      <c r="O223" s="141" t="s">
        <v>1240</v>
      </c>
      <c r="P223" s="141" t="s">
        <v>3487</v>
      </c>
      <c r="Q223" s="122" t="s">
        <v>3389</v>
      </c>
      <c r="R223" s="142">
        <v>124</v>
      </c>
      <c r="S223" s="122" t="s">
        <v>3488</v>
      </c>
      <c r="U223" s="122" t="s">
        <v>3371</v>
      </c>
      <c r="V223" s="122" t="s">
        <v>276</v>
      </c>
      <c r="W223" s="122" t="s">
        <v>277</v>
      </c>
      <c r="X223" s="122" t="s">
        <v>497</v>
      </c>
      <c r="Y223" s="141" t="s">
        <v>1209</v>
      </c>
      <c r="Z223" s="122" t="s">
        <v>3489</v>
      </c>
      <c r="AA223" s="141" t="s">
        <v>1926</v>
      </c>
      <c r="AB223" s="122" t="s">
        <v>3490</v>
      </c>
      <c r="AC223" s="141" t="s">
        <v>1762</v>
      </c>
      <c r="AD223" s="122" t="s">
        <v>3491</v>
      </c>
      <c r="AE223" s="122" t="s">
        <v>235</v>
      </c>
      <c r="AF223" s="122" t="s">
        <v>3492</v>
      </c>
      <c r="AG223" s="122" t="s">
        <v>3493</v>
      </c>
      <c r="AH223" s="122" t="s">
        <v>253</v>
      </c>
      <c r="AI223" s="122" t="s">
        <v>3494</v>
      </c>
      <c r="AJ223" s="122" t="s">
        <v>3495</v>
      </c>
      <c r="AK223" s="122" t="s">
        <v>253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257</v>
      </c>
      <c r="AT223" s="141" t="s">
        <v>257</v>
      </c>
      <c r="AU223" s="141" t="s">
        <v>257</v>
      </c>
      <c r="AV223" s="122" t="s">
        <v>259</v>
      </c>
      <c r="AW223" s="122" t="s">
        <v>260</v>
      </c>
      <c r="AY223" s="141" t="s">
        <v>253</v>
      </c>
      <c r="AZ223" s="122" t="s">
        <v>3496</v>
      </c>
      <c r="BA223" s="122" t="s">
        <v>262</v>
      </c>
      <c r="BB223" s="122" t="s">
        <v>3497</v>
      </c>
      <c r="BD223" s="122" t="s">
        <v>253</v>
      </c>
      <c r="BE223" s="122" t="s">
        <v>263</v>
      </c>
      <c r="BF223" s="122" t="s">
        <v>11</v>
      </c>
      <c r="BH223" s="122" t="s">
        <v>3371</v>
      </c>
      <c r="BI223" s="142">
        <v>124</v>
      </c>
      <c r="BJ223" s="123">
        <v>42219</v>
      </c>
      <c r="BK223" s="139" t="s">
        <v>264</v>
      </c>
      <c r="BL223" s="140">
        <v>158.26</v>
      </c>
      <c r="BM223" s="122">
        <v>32</v>
      </c>
    </row>
    <row r="224" spans="1:65" x14ac:dyDescent="0.25">
      <c r="A224" s="122" t="s">
        <v>485</v>
      </c>
      <c r="B224" s="122" t="s">
        <v>3498</v>
      </c>
      <c r="C224" s="122" t="s">
        <v>3499</v>
      </c>
      <c r="D224" s="122" t="s">
        <v>3500</v>
      </c>
      <c r="E224" s="123">
        <v>42219</v>
      </c>
      <c r="F224" s="122" t="s">
        <v>765</v>
      </c>
      <c r="G224" s="122" t="s">
        <v>235</v>
      </c>
      <c r="H224" s="122" t="s">
        <v>3501</v>
      </c>
      <c r="I224" s="122" t="s">
        <v>3502</v>
      </c>
      <c r="K224" s="122" t="s">
        <v>3419</v>
      </c>
      <c r="L224" s="122" t="s">
        <v>3503</v>
      </c>
      <c r="M224" s="122" t="s">
        <v>3504</v>
      </c>
      <c r="O224" s="141" t="s">
        <v>273</v>
      </c>
      <c r="P224" s="141" t="s">
        <v>3505</v>
      </c>
      <c r="Q224" s="122" t="s">
        <v>3424</v>
      </c>
      <c r="R224" s="142">
        <v>128</v>
      </c>
      <c r="S224" s="122" t="s">
        <v>3506</v>
      </c>
      <c r="U224" s="122" t="s">
        <v>3371</v>
      </c>
      <c r="V224" s="122" t="s">
        <v>276</v>
      </c>
      <c r="W224" s="122" t="s">
        <v>277</v>
      </c>
      <c r="X224" s="122" t="s">
        <v>325</v>
      </c>
      <c r="Y224" s="141" t="s">
        <v>591</v>
      </c>
      <c r="Z224" s="122" t="s">
        <v>3507</v>
      </c>
      <c r="AA224" s="141" t="s">
        <v>2701</v>
      </c>
      <c r="AB224" s="122" t="s">
        <v>3508</v>
      </c>
      <c r="AD224" s="122" t="s">
        <v>250</v>
      </c>
      <c r="AE224" s="122" t="s">
        <v>235</v>
      </c>
      <c r="AF224" s="122" t="s">
        <v>3509</v>
      </c>
      <c r="AG224" s="122" t="s">
        <v>3395</v>
      </c>
      <c r="AH224" s="122" t="s">
        <v>253</v>
      </c>
      <c r="AI224" s="122" t="s">
        <v>3510</v>
      </c>
      <c r="AJ224" s="122" t="s">
        <v>3511</v>
      </c>
      <c r="AK224" s="122" t="s">
        <v>253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257</v>
      </c>
      <c r="AT224" s="141" t="s">
        <v>257</v>
      </c>
      <c r="AU224" s="141" t="s">
        <v>258</v>
      </c>
      <c r="AV224" s="122" t="s">
        <v>259</v>
      </c>
      <c r="AW224" s="122" t="s">
        <v>260</v>
      </c>
      <c r="AY224" s="141" t="s">
        <v>253</v>
      </c>
      <c r="AZ224" s="122" t="s">
        <v>3512</v>
      </c>
      <c r="BA224" s="122" t="s">
        <v>262</v>
      </c>
      <c r="BB224" s="122" t="s">
        <v>262</v>
      </c>
      <c r="BD224" s="122" t="s">
        <v>253</v>
      </c>
      <c r="BE224" s="122" t="s">
        <v>263</v>
      </c>
      <c r="BF224" s="122" t="s">
        <v>11</v>
      </c>
      <c r="BH224" s="122" t="s">
        <v>3371</v>
      </c>
      <c r="BI224" s="142">
        <v>128</v>
      </c>
      <c r="BJ224" s="123">
        <v>42219</v>
      </c>
      <c r="BK224" s="139" t="s">
        <v>264</v>
      </c>
      <c r="BL224" s="140">
        <v>290.39999999999998</v>
      </c>
      <c r="BM224" s="122">
        <v>32</v>
      </c>
    </row>
    <row r="225" spans="1:65" x14ac:dyDescent="0.25">
      <c r="A225" s="122" t="s">
        <v>485</v>
      </c>
      <c r="B225" s="122" t="s">
        <v>3513</v>
      </c>
      <c r="C225" s="122" t="s">
        <v>3514</v>
      </c>
      <c r="D225" s="122" t="s">
        <v>3515</v>
      </c>
      <c r="E225" s="123">
        <v>42219</v>
      </c>
      <c r="F225" s="122" t="s">
        <v>2604</v>
      </c>
      <c r="G225" s="122" t="s">
        <v>235</v>
      </c>
      <c r="H225" s="122" t="s">
        <v>448</v>
      </c>
      <c r="I225" s="122" t="s">
        <v>3516</v>
      </c>
      <c r="J225" s="122" t="s">
        <v>3517</v>
      </c>
      <c r="K225" s="122" t="s">
        <v>3385</v>
      </c>
      <c r="L225" s="122" t="s">
        <v>3386</v>
      </c>
      <c r="M225" s="122" t="s">
        <v>3405</v>
      </c>
      <c r="Q225" s="122" t="s">
        <v>3389</v>
      </c>
      <c r="R225" s="142">
        <v>138</v>
      </c>
      <c r="S225" s="122" t="s">
        <v>3518</v>
      </c>
      <c r="U225" s="122" t="s">
        <v>3371</v>
      </c>
      <c r="W225" s="122" t="s">
        <v>246</v>
      </c>
      <c r="X225" s="122" t="s">
        <v>497</v>
      </c>
      <c r="Y225" s="141" t="s">
        <v>279</v>
      </c>
      <c r="Z225" s="122" t="s">
        <v>3519</v>
      </c>
      <c r="AA225" s="141" t="s">
        <v>3520</v>
      </c>
      <c r="AB225" s="122" t="s">
        <v>3521</v>
      </c>
      <c r="AC225" s="141" t="s">
        <v>511</v>
      </c>
      <c r="AD225" s="122" t="s">
        <v>1091</v>
      </c>
      <c r="AE225" s="122" t="s">
        <v>235</v>
      </c>
      <c r="AF225" s="122" t="s">
        <v>3522</v>
      </c>
      <c r="AG225" s="122" t="s">
        <v>537</v>
      </c>
      <c r="AH225" s="122" t="s">
        <v>253</v>
      </c>
      <c r="AI225" s="122" t="s">
        <v>3523</v>
      </c>
      <c r="AJ225" s="122" t="s">
        <v>253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253</v>
      </c>
      <c r="AQ225" s="141" t="s">
        <v>253</v>
      </c>
      <c r="AR225" s="141" t="s">
        <v>253</v>
      </c>
      <c r="AS225" s="141" t="s">
        <v>257</v>
      </c>
      <c r="AT225" s="141" t="s">
        <v>258</v>
      </c>
      <c r="AU225" s="141" t="s">
        <v>258</v>
      </c>
      <c r="AV225" s="122" t="s">
        <v>259</v>
      </c>
      <c r="AW225" s="122" t="s">
        <v>260</v>
      </c>
      <c r="AY225" s="141" t="s">
        <v>253</v>
      </c>
      <c r="AZ225" s="122" t="s">
        <v>262</v>
      </c>
      <c r="BA225" s="122" t="s">
        <v>262</v>
      </c>
      <c r="BB225" s="122" t="s">
        <v>3524</v>
      </c>
      <c r="BD225" s="122" t="s">
        <v>253</v>
      </c>
      <c r="BE225" s="122" t="s">
        <v>263</v>
      </c>
      <c r="BF225" s="122" t="s">
        <v>11</v>
      </c>
      <c r="BH225" s="122" t="s">
        <v>3371</v>
      </c>
      <c r="BI225" s="142">
        <v>138</v>
      </c>
      <c r="BJ225" s="123">
        <v>42220</v>
      </c>
      <c r="BK225" s="139" t="s">
        <v>264</v>
      </c>
      <c r="BL225" s="140">
        <v>81</v>
      </c>
      <c r="BM225" s="122">
        <v>32</v>
      </c>
    </row>
    <row r="226" spans="1:65" x14ac:dyDescent="0.25">
      <c r="A226" s="122" t="s">
        <v>230</v>
      </c>
      <c r="B226" s="122" t="s">
        <v>3525</v>
      </c>
      <c r="C226" s="122" t="s">
        <v>3359</v>
      </c>
      <c r="D226" s="122" t="s">
        <v>3360</v>
      </c>
      <c r="E226" s="123">
        <v>42219</v>
      </c>
      <c r="F226" s="122" t="s">
        <v>755</v>
      </c>
      <c r="G226" s="122" t="s">
        <v>235</v>
      </c>
      <c r="H226" s="122" t="s">
        <v>3361</v>
      </c>
      <c r="I226" s="122" t="s">
        <v>3362</v>
      </c>
      <c r="J226" s="122" t="s">
        <v>3363</v>
      </c>
      <c r="K226" s="122" t="s">
        <v>3364</v>
      </c>
      <c r="L226" s="122" t="s">
        <v>3365</v>
      </c>
      <c r="M226" s="122" t="s">
        <v>3366</v>
      </c>
      <c r="O226" s="141" t="s">
        <v>3367</v>
      </c>
      <c r="P226" s="141" t="s">
        <v>3368</v>
      </c>
      <c r="Q226" s="122" t="s">
        <v>3369</v>
      </c>
      <c r="R226" s="142">
        <v>155</v>
      </c>
      <c r="S226" s="122" t="s">
        <v>3370</v>
      </c>
      <c r="U226" s="122" t="s">
        <v>3371</v>
      </c>
      <c r="W226" s="122" t="s">
        <v>246</v>
      </c>
      <c r="X226" s="122" t="s">
        <v>260</v>
      </c>
      <c r="Y226" s="141" t="s">
        <v>670</v>
      </c>
      <c r="Z226" s="122" t="s">
        <v>3372</v>
      </c>
      <c r="AA226" s="141" t="s">
        <v>1969</v>
      </c>
      <c r="AB226" s="122" t="s">
        <v>3372</v>
      </c>
      <c r="AC226" s="141" t="s">
        <v>1192</v>
      </c>
      <c r="AD226" s="122" t="s">
        <v>3373</v>
      </c>
      <c r="AE226" s="122" t="s">
        <v>235</v>
      </c>
      <c r="AF226" s="122" t="s">
        <v>3374</v>
      </c>
      <c r="AG226" s="122" t="s">
        <v>253</v>
      </c>
      <c r="AH226" s="122" t="s">
        <v>253</v>
      </c>
      <c r="AI226" s="122" t="s">
        <v>3375</v>
      </c>
      <c r="AJ226" s="122" t="s">
        <v>3376</v>
      </c>
      <c r="AK226" s="122" t="s">
        <v>3377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253</v>
      </c>
      <c r="AQ226" s="141" t="s">
        <v>253</v>
      </c>
      <c r="AR226" s="141" t="s">
        <v>247</v>
      </c>
      <c r="AS226" s="141" t="s">
        <v>257</v>
      </c>
      <c r="AT226" s="141" t="s">
        <v>258</v>
      </c>
      <c r="AU226" s="141" t="s">
        <v>257</v>
      </c>
      <c r="AV226" s="122" t="s">
        <v>259</v>
      </c>
      <c r="AW226" s="122" t="s">
        <v>556</v>
      </c>
      <c r="AY226" s="141" t="s">
        <v>253</v>
      </c>
      <c r="AZ226" s="122" t="s">
        <v>3378</v>
      </c>
      <c r="BA226" s="122" t="s">
        <v>262</v>
      </c>
      <c r="BB226" s="122" t="s">
        <v>262</v>
      </c>
      <c r="BD226" s="122" t="s">
        <v>253</v>
      </c>
      <c r="BE226" s="122" t="s">
        <v>263</v>
      </c>
      <c r="BF226" s="122" t="s">
        <v>11</v>
      </c>
      <c r="BH226" s="122" t="s">
        <v>3371</v>
      </c>
      <c r="BI226" s="142">
        <v>155</v>
      </c>
      <c r="BK226" s="139" t="s">
        <v>558</v>
      </c>
    </row>
    <row r="227" spans="1:65" x14ac:dyDescent="0.25">
      <c r="A227" s="122" t="s">
        <v>578</v>
      </c>
      <c r="B227" s="122" t="s">
        <v>3526</v>
      </c>
      <c r="C227" s="122" t="s">
        <v>3527</v>
      </c>
      <c r="D227" s="122" t="s">
        <v>3528</v>
      </c>
      <c r="E227" s="123">
        <v>42219</v>
      </c>
      <c r="F227" s="122" t="s">
        <v>3529</v>
      </c>
      <c r="G227" s="122" t="s">
        <v>235</v>
      </c>
      <c r="H227" s="122" t="s">
        <v>3530</v>
      </c>
      <c r="I227" s="122" t="s">
        <v>3531</v>
      </c>
      <c r="J227" s="122" t="s">
        <v>3532</v>
      </c>
      <c r="K227" s="122" t="s">
        <v>3533</v>
      </c>
      <c r="L227" s="122" t="s">
        <v>3534</v>
      </c>
      <c r="M227" s="122" t="s">
        <v>3535</v>
      </c>
      <c r="O227" s="141" t="s">
        <v>1055</v>
      </c>
      <c r="P227" s="141" t="s">
        <v>3536</v>
      </c>
      <c r="Q227" s="122" t="s">
        <v>3369</v>
      </c>
      <c r="R227" s="142">
        <v>1</v>
      </c>
      <c r="S227" s="122" t="s">
        <v>3537</v>
      </c>
      <c r="U227" s="122" t="s">
        <v>3538</v>
      </c>
      <c r="V227" s="122" t="s">
        <v>351</v>
      </c>
      <c r="W227" s="122" t="s">
        <v>246</v>
      </c>
      <c r="X227" s="122" t="s">
        <v>631</v>
      </c>
      <c r="Y227" s="141" t="s">
        <v>2105</v>
      </c>
      <c r="Z227" s="122" t="s">
        <v>3539</v>
      </c>
      <c r="AA227" s="141" t="s">
        <v>921</v>
      </c>
      <c r="AB227" s="122" t="s">
        <v>3540</v>
      </c>
      <c r="AC227" s="141" t="s">
        <v>3541</v>
      </c>
      <c r="AD227" s="122" t="s">
        <v>3542</v>
      </c>
      <c r="AE227" s="122" t="s">
        <v>235</v>
      </c>
      <c r="AF227" s="122" t="s">
        <v>3543</v>
      </c>
      <c r="AG227" s="122" t="s">
        <v>537</v>
      </c>
      <c r="AH227" s="122" t="s">
        <v>253</v>
      </c>
      <c r="AI227" s="122" t="s">
        <v>3544</v>
      </c>
      <c r="AJ227" s="122" t="s">
        <v>3545</v>
      </c>
      <c r="AK227" s="122" t="s">
        <v>253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247</v>
      </c>
      <c r="AQ227" s="141" t="s">
        <v>247</v>
      </c>
      <c r="AR227" s="141" t="s">
        <v>253</v>
      </c>
      <c r="AS227" s="141" t="s">
        <v>601</v>
      </c>
      <c r="AT227" s="141" t="s">
        <v>601</v>
      </c>
      <c r="AU227" s="141" t="s">
        <v>258</v>
      </c>
      <c r="AV227" s="122" t="s">
        <v>259</v>
      </c>
      <c r="AW227" s="122" t="s">
        <v>260</v>
      </c>
      <c r="AY227" s="141" t="s">
        <v>253</v>
      </c>
      <c r="AZ227" s="122" t="s">
        <v>3546</v>
      </c>
      <c r="BA227" s="122" t="s">
        <v>262</v>
      </c>
      <c r="BB227" s="122" t="s">
        <v>262</v>
      </c>
      <c r="BD227" s="122" t="s">
        <v>253</v>
      </c>
      <c r="BE227" s="122" t="s">
        <v>263</v>
      </c>
      <c r="BF227" s="122" t="s">
        <v>3547</v>
      </c>
      <c r="BH227" s="122" t="s">
        <v>3538</v>
      </c>
      <c r="BI227" s="142">
        <v>1</v>
      </c>
      <c r="BJ227" s="123">
        <v>42233</v>
      </c>
      <c r="BK227" s="139" t="s">
        <v>2891</v>
      </c>
      <c r="BM227" s="122">
        <v>34</v>
      </c>
    </row>
    <row r="228" spans="1:65" x14ac:dyDescent="0.25">
      <c r="A228" s="122" t="s">
        <v>578</v>
      </c>
      <c r="B228" s="122" t="s">
        <v>3548</v>
      </c>
      <c r="C228" s="122" t="s">
        <v>3549</v>
      </c>
      <c r="D228" s="122" t="s">
        <v>3550</v>
      </c>
      <c r="E228" s="123">
        <v>42219</v>
      </c>
      <c r="F228" s="122" t="s">
        <v>3551</v>
      </c>
      <c r="G228" s="122" t="s">
        <v>235</v>
      </c>
      <c r="H228" s="122" t="s">
        <v>3552</v>
      </c>
      <c r="I228" s="122" t="s">
        <v>3553</v>
      </c>
      <c r="K228" s="122" t="s">
        <v>3385</v>
      </c>
      <c r="L228" s="122" t="s">
        <v>3554</v>
      </c>
      <c r="M228" s="122" t="s">
        <v>3555</v>
      </c>
      <c r="O228" s="141" t="s">
        <v>373</v>
      </c>
      <c r="P228" s="141" t="s">
        <v>3556</v>
      </c>
      <c r="Q228" s="122" t="s">
        <v>3389</v>
      </c>
      <c r="R228" s="142">
        <v>2</v>
      </c>
      <c r="S228" s="122" t="s">
        <v>3557</v>
      </c>
      <c r="U228" s="122" t="s">
        <v>3538</v>
      </c>
      <c r="W228" s="122" t="s">
        <v>246</v>
      </c>
      <c r="X228" s="122" t="s">
        <v>302</v>
      </c>
      <c r="Y228" s="141" t="s">
        <v>541</v>
      </c>
      <c r="Z228" s="122" t="s">
        <v>3558</v>
      </c>
      <c r="AA228" s="141" t="s">
        <v>956</v>
      </c>
      <c r="AB228" s="122" t="s">
        <v>3558</v>
      </c>
      <c r="AC228" s="141" t="s">
        <v>511</v>
      </c>
      <c r="AD228" s="122" t="s">
        <v>3559</v>
      </c>
      <c r="AE228" s="122" t="s">
        <v>235</v>
      </c>
      <c r="AF228" s="122" t="s">
        <v>3560</v>
      </c>
      <c r="AG228" s="122" t="s">
        <v>537</v>
      </c>
      <c r="AH228" s="122" t="s">
        <v>253</v>
      </c>
      <c r="AI228" s="122" t="s">
        <v>3561</v>
      </c>
      <c r="AJ228" s="122" t="s">
        <v>3562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253</v>
      </c>
      <c r="AQ228" s="141" t="s">
        <v>247</v>
      </c>
      <c r="AR228" s="141" t="s">
        <v>253</v>
      </c>
      <c r="AS228" s="141" t="s">
        <v>601</v>
      </c>
      <c r="AT228" s="141" t="s">
        <v>601</v>
      </c>
      <c r="AU228" s="141" t="s">
        <v>258</v>
      </c>
      <c r="AV228" s="122" t="s">
        <v>259</v>
      </c>
      <c r="AW228" s="122" t="s">
        <v>260</v>
      </c>
      <c r="AY228" s="141" t="s">
        <v>253</v>
      </c>
      <c r="AZ228" s="122" t="s">
        <v>3563</v>
      </c>
      <c r="BA228" s="122" t="s">
        <v>262</v>
      </c>
      <c r="BB228" s="122" t="s">
        <v>262</v>
      </c>
      <c r="BD228" s="122" t="s">
        <v>253</v>
      </c>
      <c r="BE228" s="122" t="s">
        <v>263</v>
      </c>
      <c r="BF228" s="122" t="s">
        <v>3547</v>
      </c>
      <c r="BH228" s="122" t="s">
        <v>3538</v>
      </c>
      <c r="BI228" s="142">
        <v>2</v>
      </c>
      <c r="BJ228" s="123">
        <v>42231</v>
      </c>
      <c r="BK228" s="139" t="s">
        <v>264</v>
      </c>
      <c r="BL228" s="140">
        <v>231.66</v>
      </c>
      <c r="BM228" s="122">
        <v>33</v>
      </c>
    </row>
    <row r="229" spans="1:65" x14ac:dyDescent="0.25">
      <c r="A229" s="122" t="s">
        <v>578</v>
      </c>
      <c r="B229" s="122" t="s">
        <v>3564</v>
      </c>
      <c r="C229" s="122" t="s">
        <v>3565</v>
      </c>
      <c r="D229" s="122" t="s">
        <v>3566</v>
      </c>
      <c r="E229" s="123">
        <v>42219</v>
      </c>
      <c r="F229" s="122" t="s">
        <v>3567</v>
      </c>
      <c r="G229" s="122" t="s">
        <v>235</v>
      </c>
      <c r="H229" s="122" t="s">
        <v>3568</v>
      </c>
      <c r="I229" s="122" t="s">
        <v>3569</v>
      </c>
      <c r="K229" s="122" t="s">
        <v>3385</v>
      </c>
      <c r="L229" s="122" t="s">
        <v>3554</v>
      </c>
      <c r="M229" s="122" t="s">
        <v>3570</v>
      </c>
      <c r="O229" s="141" t="s">
        <v>494</v>
      </c>
      <c r="P229" s="141" t="s">
        <v>3571</v>
      </c>
      <c r="Q229" s="122" t="s">
        <v>3389</v>
      </c>
      <c r="R229" s="142">
        <v>3</v>
      </c>
      <c r="S229" s="122" t="s">
        <v>3572</v>
      </c>
      <c r="U229" s="122" t="s">
        <v>3538</v>
      </c>
      <c r="W229" s="122" t="s">
        <v>246</v>
      </c>
      <c r="X229" s="122" t="s">
        <v>302</v>
      </c>
      <c r="Y229" s="141" t="s">
        <v>958</v>
      </c>
      <c r="Z229" s="122" t="s">
        <v>3573</v>
      </c>
      <c r="AA229" s="141" t="s">
        <v>3574</v>
      </c>
      <c r="AB229" s="122" t="s">
        <v>3575</v>
      </c>
      <c r="AC229" s="141" t="s">
        <v>672</v>
      </c>
      <c r="AD229" s="122" t="s">
        <v>3576</v>
      </c>
      <c r="AE229" s="122" t="s">
        <v>235</v>
      </c>
      <c r="AF229" s="122" t="s">
        <v>3577</v>
      </c>
      <c r="AG229" s="122" t="s">
        <v>537</v>
      </c>
      <c r="AH229" s="122" t="s">
        <v>253</v>
      </c>
      <c r="AI229" s="122" t="s">
        <v>3578</v>
      </c>
      <c r="AJ229" s="122" t="s">
        <v>3579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253</v>
      </c>
      <c r="AQ229" s="141" t="s">
        <v>247</v>
      </c>
      <c r="AR229" s="141" t="s">
        <v>247</v>
      </c>
      <c r="AS229" s="141" t="s">
        <v>601</v>
      </c>
      <c r="AT229" s="141" t="s">
        <v>601</v>
      </c>
      <c r="AU229" s="141" t="s">
        <v>601</v>
      </c>
      <c r="AV229" s="122" t="s">
        <v>259</v>
      </c>
      <c r="AW229" s="122" t="s">
        <v>260</v>
      </c>
      <c r="AX229" s="141" t="s">
        <v>3580</v>
      </c>
      <c r="AY229" s="141" t="s">
        <v>247</v>
      </c>
      <c r="AZ229" s="122" t="s">
        <v>3581</v>
      </c>
      <c r="BA229" s="122" t="s">
        <v>262</v>
      </c>
      <c r="BB229" s="122" t="s">
        <v>262</v>
      </c>
      <c r="BD229" s="122" t="s">
        <v>253</v>
      </c>
      <c r="BE229" s="122" t="s">
        <v>263</v>
      </c>
      <c r="BF229" s="122" t="s">
        <v>3547</v>
      </c>
      <c r="BH229" s="122" t="s">
        <v>3538</v>
      </c>
      <c r="BI229" s="142">
        <v>3</v>
      </c>
      <c r="BJ229" s="123">
        <v>42221</v>
      </c>
      <c r="BK229" s="139" t="s">
        <v>264</v>
      </c>
      <c r="BL229" s="140">
        <v>196.91</v>
      </c>
      <c r="BM229" s="122">
        <v>32</v>
      </c>
    </row>
    <row r="230" spans="1:65" x14ac:dyDescent="0.25">
      <c r="A230" s="122" t="s">
        <v>578</v>
      </c>
      <c r="B230" s="122" t="s">
        <v>3582</v>
      </c>
      <c r="C230" s="122" t="s">
        <v>3583</v>
      </c>
      <c r="D230" s="122" t="s">
        <v>3584</v>
      </c>
      <c r="E230" s="123">
        <v>42219</v>
      </c>
      <c r="F230" s="122" t="s">
        <v>1414</v>
      </c>
      <c r="G230" s="122" t="s">
        <v>235</v>
      </c>
      <c r="H230" s="122" t="s">
        <v>448</v>
      </c>
      <c r="I230" s="122" t="s">
        <v>3470</v>
      </c>
      <c r="J230" s="122" t="s">
        <v>3585</v>
      </c>
      <c r="K230" s="122" t="s">
        <v>3385</v>
      </c>
      <c r="L230" s="122" t="s">
        <v>3386</v>
      </c>
      <c r="M230" s="122" t="s">
        <v>3405</v>
      </c>
      <c r="O230" s="141" t="s">
        <v>273</v>
      </c>
      <c r="P230" s="141" t="s">
        <v>3586</v>
      </c>
      <c r="Q230" s="122" t="s">
        <v>3389</v>
      </c>
      <c r="R230" s="142">
        <v>4</v>
      </c>
      <c r="S230" s="122" t="s">
        <v>3587</v>
      </c>
      <c r="T230" s="122" t="s">
        <v>3588</v>
      </c>
      <c r="U230" s="122" t="s">
        <v>3538</v>
      </c>
      <c r="W230" s="122" t="s">
        <v>246</v>
      </c>
      <c r="X230" s="122" t="s">
        <v>376</v>
      </c>
      <c r="Y230" s="141" t="s">
        <v>457</v>
      </c>
      <c r="Z230" s="122" t="s">
        <v>1678</v>
      </c>
      <c r="AA230" s="141" t="s">
        <v>283</v>
      </c>
      <c r="AB230" s="122" t="s">
        <v>3589</v>
      </c>
      <c r="AC230" s="141" t="s">
        <v>3590</v>
      </c>
      <c r="AD230" s="122" t="s">
        <v>2346</v>
      </c>
      <c r="AE230" s="122" t="s">
        <v>235</v>
      </c>
      <c r="AF230" s="122" t="s">
        <v>3591</v>
      </c>
      <c r="AG230" s="122" t="s">
        <v>537</v>
      </c>
      <c r="AH230" s="122" t="s">
        <v>253</v>
      </c>
      <c r="AI230" s="122" t="s">
        <v>3592</v>
      </c>
      <c r="AJ230" s="122" t="s">
        <v>3593</v>
      </c>
      <c r="AK230" s="122" t="s">
        <v>253</v>
      </c>
      <c r="AL230" s="122" t="s">
        <v>253</v>
      </c>
      <c r="AM230" s="122" t="s">
        <v>253</v>
      </c>
      <c r="AN230" s="122" t="s">
        <v>253</v>
      </c>
      <c r="AO230" s="141" t="s">
        <v>247</v>
      </c>
      <c r="AP230" s="141" t="s">
        <v>247</v>
      </c>
      <c r="AQ230" s="141" t="s">
        <v>247</v>
      </c>
      <c r="AR230" s="141" t="s">
        <v>253</v>
      </c>
      <c r="AS230" s="141" t="s">
        <v>601</v>
      </c>
      <c r="AT230" s="141" t="s">
        <v>601</v>
      </c>
      <c r="AU230" s="141" t="s">
        <v>258</v>
      </c>
      <c r="AV230" s="122" t="s">
        <v>259</v>
      </c>
      <c r="AW230" s="122" t="s">
        <v>260</v>
      </c>
      <c r="AY230" s="141" t="s">
        <v>253</v>
      </c>
      <c r="AZ230" s="122" t="s">
        <v>262</v>
      </c>
      <c r="BA230" s="122" t="s">
        <v>262</v>
      </c>
      <c r="BB230" s="122" t="s">
        <v>3594</v>
      </c>
      <c r="BD230" s="122" t="s">
        <v>253</v>
      </c>
      <c r="BE230" s="122" t="s">
        <v>263</v>
      </c>
      <c r="BF230" s="122" t="s">
        <v>3547</v>
      </c>
      <c r="BH230" s="122" t="s">
        <v>3538</v>
      </c>
      <c r="BI230" s="142">
        <v>4</v>
      </c>
      <c r="BJ230" s="123">
        <v>42233</v>
      </c>
      <c r="BK230" s="139" t="s">
        <v>606</v>
      </c>
      <c r="BM230" s="122">
        <v>34</v>
      </c>
    </row>
    <row r="231" spans="1:65" x14ac:dyDescent="0.25">
      <c r="A231" s="122" t="s">
        <v>578</v>
      </c>
      <c r="B231" s="122" t="s">
        <v>3595</v>
      </c>
      <c r="C231" s="122" t="s">
        <v>3596</v>
      </c>
      <c r="D231" s="122" t="s">
        <v>3597</v>
      </c>
      <c r="E231" s="123">
        <v>42219</v>
      </c>
      <c r="F231" s="122" t="s">
        <v>3598</v>
      </c>
      <c r="G231" s="122" t="s">
        <v>235</v>
      </c>
      <c r="H231" s="122" t="s">
        <v>3599</v>
      </c>
      <c r="I231" s="122" t="s">
        <v>3600</v>
      </c>
      <c r="J231" s="122" t="s">
        <v>3601</v>
      </c>
      <c r="K231" s="122" t="s">
        <v>3385</v>
      </c>
      <c r="L231" s="122" t="s">
        <v>3386</v>
      </c>
      <c r="M231" s="122" t="s">
        <v>3405</v>
      </c>
      <c r="O231" s="141" t="s">
        <v>566</v>
      </c>
      <c r="P231" s="141" t="s">
        <v>3602</v>
      </c>
      <c r="Q231" s="122" t="s">
        <v>3389</v>
      </c>
      <c r="R231" s="142">
        <v>5</v>
      </c>
      <c r="S231" s="122" t="s">
        <v>3603</v>
      </c>
      <c r="U231" s="122" t="s">
        <v>3538</v>
      </c>
      <c r="W231" s="122" t="s">
        <v>246</v>
      </c>
      <c r="X231" s="122" t="s">
        <v>302</v>
      </c>
      <c r="Y231" s="141" t="s">
        <v>1762</v>
      </c>
      <c r="Z231" s="122" t="s">
        <v>571</v>
      </c>
      <c r="AA231" s="141" t="s">
        <v>1762</v>
      </c>
      <c r="AB231" s="122" t="s">
        <v>3604</v>
      </c>
      <c r="AC231" s="141" t="s">
        <v>635</v>
      </c>
      <c r="AD231" s="122" t="s">
        <v>1792</v>
      </c>
      <c r="AE231" s="122" t="s">
        <v>235</v>
      </c>
      <c r="AF231" s="122" t="s">
        <v>3605</v>
      </c>
      <c r="AG231" s="122" t="s">
        <v>537</v>
      </c>
      <c r="AH231" s="122" t="s">
        <v>253</v>
      </c>
      <c r="AI231" s="122" t="s">
        <v>3606</v>
      </c>
      <c r="AJ231" s="122" t="s">
        <v>3607</v>
      </c>
      <c r="AK231" s="122" t="s">
        <v>253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247</v>
      </c>
      <c r="AQ231" s="141" t="s">
        <v>247</v>
      </c>
      <c r="AR231" s="141" t="s">
        <v>253</v>
      </c>
      <c r="AS231" s="141" t="s">
        <v>601</v>
      </c>
      <c r="AT231" s="141" t="s">
        <v>601</v>
      </c>
      <c r="AU231" s="141" t="s">
        <v>258</v>
      </c>
      <c r="AV231" s="122" t="s">
        <v>259</v>
      </c>
      <c r="AW231" s="122" t="s">
        <v>260</v>
      </c>
      <c r="AX231" s="141" t="s">
        <v>362</v>
      </c>
      <c r="AY231" s="141" t="s">
        <v>247</v>
      </c>
      <c r="AZ231" s="122" t="s">
        <v>3608</v>
      </c>
      <c r="BA231" s="122" t="s">
        <v>262</v>
      </c>
      <c r="BB231" s="122" t="s">
        <v>262</v>
      </c>
      <c r="BD231" s="122" t="s">
        <v>253</v>
      </c>
      <c r="BE231" s="122" t="s">
        <v>263</v>
      </c>
      <c r="BF231" s="122" t="s">
        <v>3547</v>
      </c>
      <c r="BH231" s="122" t="s">
        <v>3538</v>
      </c>
      <c r="BI231" s="142">
        <v>5</v>
      </c>
      <c r="BJ231" s="123">
        <v>42226</v>
      </c>
      <c r="BK231" s="139" t="s">
        <v>264</v>
      </c>
      <c r="BL231" s="140">
        <v>119.44</v>
      </c>
      <c r="BM231" s="122">
        <v>33</v>
      </c>
    </row>
    <row r="232" spans="1:65" x14ac:dyDescent="0.25">
      <c r="A232" s="122" t="s">
        <v>578</v>
      </c>
      <c r="B232" s="122" t="s">
        <v>3609</v>
      </c>
      <c r="C232" s="122" t="s">
        <v>3610</v>
      </c>
      <c r="D232" s="122" t="s">
        <v>3611</v>
      </c>
      <c r="E232" s="123">
        <v>42219</v>
      </c>
      <c r="F232" s="122" t="s">
        <v>500</v>
      </c>
      <c r="G232" s="122" t="s">
        <v>235</v>
      </c>
      <c r="H232" s="122" t="s">
        <v>3612</v>
      </c>
      <c r="I232" s="122" t="s">
        <v>3613</v>
      </c>
      <c r="J232" s="122" t="s">
        <v>2116</v>
      </c>
      <c r="K232" s="122" t="s">
        <v>3385</v>
      </c>
      <c r="L232" s="122" t="s">
        <v>3386</v>
      </c>
      <c r="M232" s="122" t="s">
        <v>3486</v>
      </c>
      <c r="O232" s="141" t="s">
        <v>1055</v>
      </c>
      <c r="P232" s="141" t="s">
        <v>3614</v>
      </c>
      <c r="Q232" s="122" t="s">
        <v>3389</v>
      </c>
      <c r="R232" s="142">
        <v>6</v>
      </c>
      <c r="S232" s="122" t="s">
        <v>3615</v>
      </c>
      <c r="U232" s="122" t="s">
        <v>3538</v>
      </c>
      <c r="W232" s="122" t="s">
        <v>246</v>
      </c>
      <c r="X232" s="122" t="s">
        <v>972</v>
      </c>
      <c r="Y232" s="141" t="s">
        <v>328</v>
      </c>
      <c r="Z232" s="122" t="s">
        <v>518</v>
      </c>
      <c r="AB232" s="122" t="s">
        <v>250</v>
      </c>
      <c r="AD232" s="122" t="s">
        <v>250</v>
      </c>
      <c r="AE232" s="122" t="s">
        <v>235</v>
      </c>
      <c r="AF232" s="122" t="s">
        <v>3616</v>
      </c>
      <c r="AG232" s="122" t="s">
        <v>253</v>
      </c>
      <c r="AH232" s="122" t="s">
        <v>253</v>
      </c>
      <c r="AI232" s="122" t="s">
        <v>3617</v>
      </c>
      <c r="AJ232" s="122" t="s">
        <v>3618</v>
      </c>
      <c r="AK232" s="122" t="s">
        <v>3619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253</v>
      </c>
      <c r="AQ232" s="141" t="s">
        <v>247</v>
      </c>
      <c r="AR232" s="141" t="s">
        <v>253</v>
      </c>
      <c r="AS232" s="141" t="s">
        <v>601</v>
      </c>
      <c r="AT232" s="141" t="s">
        <v>601</v>
      </c>
      <c r="AU232" s="141" t="s">
        <v>258</v>
      </c>
      <c r="AV232" s="122" t="s">
        <v>259</v>
      </c>
      <c r="AW232" s="122" t="s">
        <v>260</v>
      </c>
      <c r="AY232" s="141" t="s">
        <v>253</v>
      </c>
      <c r="AZ232" s="122" t="s">
        <v>3620</v>
      </c>
      <c r="BA232" s="122" t="s">
        <v>262</v>
      </c>
      <c r="BB232" s="122" t="s">
        <v>262</v>
      </c>
      <c r="BD232" s="122" t="s">
        <v>253</v>
      </c>
      <c r="BE232" s="122" t="s">
        <v>263</v>
      </c>
      <c r="BF232" s="122" t="s">
        <v>3547</v>
      </c>
      <c r="BH232" s="122" t="s">
        <v>3538</v>
      </c>
      <c r="BI232" s="142">
        <v>6</v>
      </c>
      <c r="BJ232" s="123">
        <v>42233</v>
      </c>
      <c r="BK232" s="139" t="s">
        <v>606</v>
      </c>
      <c r="BM232" s="122">
        <v>34</v>
      </c>
    </row>
    <row r="233" spans="1:65" x14ac:dyDescent="0.25">
      <c r="A233" s="122" t="s">
        <v>578</v>
      </c>
      <c r="B233" s="122" t="s">
        <v>3621</v>
      </c>
      <c r="C233" s="122" t="s">
        <v>3622</v>
      </c>
      <c r="D233" s="122" t="s">
        <v>3623</v>
      </c>
      <c r="E233" s="123">
        <v>42219</v>
      </c>
      <c r="F233" s="122" t="s">
        <v>3624</v>
      </c>
      <c r="G233" s="122" t="s">
        <v>235</v>
      </c>
      <c r="H233" s="122" t="s">
        <v>3625</v>
      </c>
      <c r="I233" s="122" t="s">
        <v>3626</v>
      </c>
      <c r="J233" s="122" t="s">
        <v>2393</v>
      </c>
      <c r="K233" s="122" t="s">
        <v>3385</v>
      </c>
      <c r="L233" s="122" t="s">
        <v>3386</v>
      </c>
      <c r="M233" s="122" t="s">
        <v>3405</v>
      </c>
      <c r="O233" s="141" t="s">
        <v>566</v>
      </c>
      <c r="P233" s="141" t="s">
        <v>3627</v>
      </c>
      <c r="Q233" s="122" t="s">
        <v>3389</v>
      </c>
      <c r="R233" s="142">
        <v>7</v>
      </c>
      <c r="S233" s="122" t="s">
        <v>3628</v>
      </c>
      <c r="U233" s="122" t="s">
        <v>3538</v>
      </c>
      <c r="W233" s="122" t="s">
        <v>246</v>
      </c>
      <c r="X233" s="122" t="s">
        <v>302</v>
      </c>
      <c r="Y233" s="141" t="s">
        <v>535</v>
      </c>
      <c r="Z233" s="122" t="s">
        <v>3629</v>
      </c>
      <c r="AA233" s="141" t="s">
        <v>672</v>
      </c>
      <c r="AB233" s="122" t="s">
        <v>3630</v>
      </c>
      <c r="AC233" s="141" t="s">
        <v>2363</v>
      </c>
      <c r="AD233" s="122" t="s">
        <v>3631</v>
      </c>
      <c r="AE233" s="122" t="s">
        <v>235</v>
      </c>
      <c r="AF233" s="122" t="s">
        <v>3632</v>
      </c>
      <c r="AG233" s="122" t="s">
        <v>3633</v>
      </c>
      <c r="AH233" s="122" t="s">
        <v>253</v>
      </c>
      <c r="AI233" s="122" t="s">
        <v>3634</v>
      </c>
      <c r="AJ233" s="122" t="s">
        <v>3635</v>
      </c>
      <c r="AK233" s="122" t="s">
        <v>253</v>
      </c>
      <c r="AL233" s="122" t="s">
        <v>253</v>
      </c>
      <c r="AM233" s="122" t="s">
        <v>253</v>
      </c>
      <c r="AN233" s="122" t="s">
        <v>253</v>
      </c>
      <c r="AO233" s="141" t="s">
        <v>247</v>
      </c>
      <c r="AP233" s="141" t="s">
        <v>247</v>
      </c>
      <c r="AQ233" s="141" t="s">
        <v>247</v>
      </c>
      <c r="AR233" s="141" t="s">
        <v>253</v>
      </c>
      <c r="AS233" s="141" t="s">
        <v>601</v>
      </c>
      <c r="AT233" s="141" t="s">
        <v>601</v>
      </c>
      <c r="AU233" s="141" t="s">
        <v>258</v>
      </c>
      <c r="AV233" s="122" t="s">
        <v>259</v>
      </c>
      <c r="AW233" s="122" t="s">
        <v>260</v>
      </c>
      <c r="AY233" s="141" t="s">
        <v>253</v>
      </c>
      <c r="AZ233" s="122" t="s">
        <v>3636</v>
      </c>
      <c r="BA233" s="122" t="s">
        <v>262</v>
      </c>
      <c r="BB233" s="122" t="s">
        <v>262</v>
      </c>
      <c r="BD233" s="122" t="s">
        <v>253</v>
      </c>
      <c r="BE233" s="122" t="s">
        <v>263</v>
      </c>
      <c r="BF233" s="122" t="s">
        <v>3547</v>
      </c>
      <c r="BH233" s="122" t="s">
        <v>3538</v>
      </c>
      <c r="BI233" s="142">
        <v>7</v>
      </c>
      <c r="BJ233" s="123">
        <v>42226</v>
      </c>
      <c r="BK233" s="139" t="s">
        <v>264</v>
      </c>
      <c r="BL233" s="140">
        <v>245.1</v>
      </c>
      <c r="BM233" s="122">
        <v>33</v>
      </c>
    </row>
    <row r="234" spans="1:65" x14ac:dyDescent="0.25">
      <c r="A234" s="122" t="s">
        <v>578</v>
      </c>
      <c r="B234" s="122" t="s">
        <v>3637</v>
      </c>
      <c r="C234" s="122" t="s">
        <v>3638</v>
      </c>
      <c r="D234" s="122" t="s">
        <v>3639</v>
      </c>
      <c r="E234" s="123">
        <v>42219</v>
      </c>
      <c r="F234" s="122" t="s">
        <v>3640</v>
      </c>
      <c r="G234" s="122" t="s">
        <v>235</v>
      </c>
      <c r="H234" s="122" t="s">
        <v>3641</v>
      </c>
      <c r="I234" s="122" t="s">
        <v>3642</v>
      </c>
      <c r="K234" s="122" t="s">
        <v>3452</v>
      </c>
      <c r="L234" s="122" t="s">
        <v>3453</v>
      </c>
      <c r="M234" s="122" t="s">
        <v>3454</v>
      </c>
      <c r="O234" s="141" t="s">
        <v>299</v>
      </c>
      <c r="P234" s="141" t="s">
        <v>3643</v>
      </c>
      <c r="Q234" s="122" t="s">
        <v>3389</v>
      </c>
      <c r="R234" s="142">
        <v>8</v>
      </c>
      <c r="S234" s="122" t="s">
        <v>3644</v>
      </c>
      <c r="U234" s="122" t="s">
        <v>3538</v>
      </c>
      <c r="W234" s="122" t="s">
        <v>246</v>
      </c>
      <c r="X234" s="122" t="s">
        <v>260</v>
      </c>
      <c r="Y234" s="141" t="s">
        <v>1423</v>
      </c>
      <c r="Z234" s="122" t="s">
        <v>3645</v>
      </c>
      <c r="AA234" s="141" t="s">
        <v>502</v>
      </c>
      <c r="AB234" s="122" t="s">
        <v>3646</v>
      </c>
      <c r="AC234" s="141" t="s">
        <v>3647</v>
      </c>
      <c r="AD234" s="122" t="s">
        <v>3648</v>
      </c>
      <c r="AE234" s="122" t="s">
        <v>235</v>
      </c>
      <c r="AF234" s="122" t="s">
        <v>3649</v>
      </c>
      <c r="AG234" s="122" t="s">
        <v>253</v>
      </c>
      <c r="AH234" s="122" t="s">
        <v>253</v>
      </c>
      <c r="AI234" s="122" t="s">
        <v>3650</v>
      </c>
      <c r="AJ234" s="122" t="s">
        <v>3651</v>
      </c>
      <c r="AK234" s="122" t="s">
        <v>3652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253</v>
      </c>
      <c r="AS234" s="141" t="s">
        <v>601</v>
      </c>
      <c r="AT234" s="141" t="s">
        <v>601</v>
      </c>
      <c r="AU234" s="141" t="s">
        <v>258</v>
      </c>
      <c r="AV234" s="122" t="s">
        <v>259</v>
      </c>
      <c r="AW234" s="122" t="s">
        <v>260</v>
      </c>
      <c r="AY234" s="141" t="s">
        <v>253</v>
      </c>
      <c r="AZ234" s="122" t="s">
        <v>3653</v>
      </c>
      <c r="BA234" s="122" t="s">
        <v>262</v>
      </c>
      <c r="BB234" s="122" t="s">
        <v>262</v>
      </c>
      <c r="BC234" s="141" t="s">
        <v>312</v>
      </c>
      <c r="BD234" s="122" t="s">
        <v>253</v>
      </c>
      <c r="BE234" s="122" t="s">
        <v>263</v>
      </c>
      <c r="BF234" s="122" t="s">
        <v>3547</v>
      </c>
      <c r="BH234" s="122" t="s">
        <v>3538</v>
      </c>
      <c r="BI234" s="142">
        <v>8</v>
      </c>
      <c r="BJ234" s="123">
        <v>42232</v>
      </c>
      <c r="BK234" s="139" t="s">
        <v>264</v>
      </c>
      <c r="BL234" s="140">
        <v>592.01</v>
      </c>
      <c r="BM234" s="122">
        <v>33</v>
      </c>
    </row>
    <row r="235" spans="1:65" x14ac:dyDescent="0.25">
      <c r="A235" s="122" t="s">
        <v>578</v>
      </c>
      <c r="B235" s="122" t="s">
        <v>3654</v>
      </c>
      <c r="C235" s="122" t="s">
        <v>3655</v>
      </c>
      <c r="D235" s="122" t="s">
        <v>3656</v>
      </c>
      <c r="E235" s="123">
        <v>42219</v>
      </c>
      <c r="F235" s="122" t="s">
        <v>3657</v>
      </c>
      <c r="G235" s="122" t="s">
        <v>235</v>
      </c>
      <c r="H235" s="122" t="s">
        <v>3658</v>
      </c>
      <c r="I235" s="122" t="s">
        <v>3659</v>
      </c>
      <c r="K235" s="122" t="s">
        <v>3385</v>
      </c>
      <c r="L235" s="122" t="s">
        <v>3386</v>
      </c>
      <c r="M235" s="122" t="s">
        <v>3486</v>
      </c>
      <c r="O235" s="141" t="s">
        <v>1921</v>
      </c>
      <c r="P235" s="141" t="s">
        <v>3660</v>
      </c>
      <c r="Q235" s="122" t="s">
        <v>3389</v>
      </c>
      <c r="R235" s="142">
        <v>9</v>
      </c>
      <c r="S235" s="122" t="s">
        <v>3661</v>
      </c>
      <c r="U235" s="122" t="s">
        <v>3538</v>
      </c>
      <c r="W235" s="122" t="s">
        <v>246</v>
      </c>
      <c r="X235" s="122" t="s">
        <v>972</v>
      </c>
      <c r="Y235" s="141" t="s">
        <v>834</v>
      </c>
      <c r="Z235" s="122" t="s">
        <v>3662</v>
      </c>
      <c r="AA235" s="141" t="s">
        <v>763</v>
      </c>
      <c r="AB235" s="122" t="s">
        <v>3663</v>
      </c>
      <c r="AC235" s="141" t="s">
        <v>3664</v>
      </c>
      <c r="AD235" s="122" t="s">
        <v>3665</v>
      </c>
      <c r="AE235" s="122" t="s">
        <v>235</v>
      </c>
      <c r="AF235" s="122" t="s">
        <v>3666</v>
      </c>
      <c r="AG235" s="122" t="s">
        <v>253</v>
      </c>
      <c r="AH235" s="122" t="s">
        <v>253</v>
      </c>
      <c r="AI235" s="122" t="s">
        <v>3667</v>
      </c>
      <c r="AJ235" s="122" t="s">
        <v>3668</v>
      </c>
      <c r="AK235" s="122" t="s">
        <v>3669</v>
      </c>
      <c r="AL235" s="122" t="s">
        <v>253</v>
      </c>
      <c r="AM235" s="122" t="s">
        <v>253</v>
      </c>
      <c r="AN235" s="122" t="s">
        <v>253</v>
      </c>
      <c r="AO235" s="141" t="s">
        <v>253</v>
      </c>
      <c r="AP235" s="141" t="s">
        <v>253</v>
      </c>
      <c r="AQ235" s="141" t="s">
        <v>247</v>
      </c>
      <c r="AR235" s="141" t="s">
        <v>253</v>
      </c>
      <c r="AS235" s="141" t="s">
        <v>361</v>
      </c>
      <c r="AT235" s="141" t="s">
        <v>601</v>
      </c>
      <c r="AU235" s="141" t="s">
        <v>258</v>
      </c>
      <c r="AV235" s="122" t="s">
        <v>259</v>
      </c>
      <c r="AW235" s="122" t="s">
        <v>260</v>
      </c>
      <c r="AY235" s="141" t="s">
        <v>253</v>
      </c>
      <c r="AZ235" s="122" t="s">
        <v>3670</v>
      </c>
      <c r="BA235" s="122" t="s">
        <v>262</v>
      </c>
      <c r="BB235" s="122" t="s">
        <v>3671</v>
      </c>
      <c r="BC235" s="141" t="s">
        <v>312</v>
      </c>
      <c r="BD235" s="122" t="s">
        <v>253</v>
      </c>
      <c r="BE235" s="122" t="s">
        <v>263</v>
      </c>
      <c r="BF235" s="122" t="s">
        <v>3547</v>
      </c>
      <c r="BH235" s="122" t="s">
        <v>3538</v>
      </c>
      <c r="BI235" s="142">
        <v>9</v>
      </c>
      <c r="BJ235" s="123">
        <v>42233</v>
      </c>
      <c r="BK235" s="139" t="s">
        <v>606</v>
      </c>
      <c r="BM235" s="122">
        <v>34</v>
      </c>
    </row>
    <row r="236" spans="1:65" x14ac:dyDescent="0.25">
      <c r="A236" s="122" t="s">
        <v>578</v>
      </c>
      <c r="B236" s="122" t="s">
        <v>3672</v>
      </c>
      <c r="C236" s="122" t="s">
        <v>3673</v>
      </c>
      <c r="D236" s="122" t="s">
        <v>3674</v>
      </c>
      <c r="E236" s="123">
        <v>42219</v>
      </c>
      <c r="F236" s="122" t="s">
        <v>1116</v>
      </c>
      <c r="G236" s="122" t="s">
        <v>235</v>
      </c>
      <c r="H236" s="122" t="s">
        <v>448</v>
      </c>
      <c r="I236" s="122" t="s">
        <v>3675</v>
      </c>
      <c r="J236" s="122" t="s">
        <v>3676</v>
      </c>
      <c r="K236" s="122" t="s">
        <v>3385</v>
      </c>
      <c r="L236" s="122" t="s">
        <v>3386</v>
      </c>
      <c r="M236" s="122" t="s">
        <v>3405</v>
      </c>
      <c r="O236" s="141" t="s">
        <v>1055</v>
      </c>
      <c r="P236" s="141" t="s">
        <v>3677</v>
      </c>
      <c r="Q236" s="122" t="s">
        <v>3389</v>
      </c>
      <c r="R236" s="142">
        <v>10</v>
      </c>
      <c r="S236" s="122" t="s">
        <v>3678</v>
      </c>
      <c r="U236" s="122" t="s">
        <v>3538</v>
      </c>
      <c r="W236" s="122" t="s">
        <v>246</v>
      </c>
      <c r="X236" s="122" t="s">
        <v>260</v>
      </c>
      <c r="Y236" s="141" t="s">
        <v>668</v>
      </c>
      <c r="Z236" s="122" t="s">
        <v>3679</v>
      </c>
      <c r="AA236" s="141" t="s">
        <v>306</v>
      </c>
      <c r="AB236" s="122" t="s">
        <v>3680</v>
      </c>
      <c r="AD236" s="122" t="s">
        <v>250</v>
      </c>
      <c r="AE236" s="122" t="s">
        <v>235</v>
      </c>
      <c r="AF236" s="122" t="s">
        <v>3681</v>
      </c>
      <c r="AG236" s="122" t="s">
        <v>253</v>
      </c>
      <c r="AH236" s="122" t="s">
        <v>253</v>
      </c>
      <c r="AI236" s="122" t="s">
        <v>3682</v>
      </c>
      <c r="AJ236" s="122" t="s">
        <v>3683</v>
      </c>
      <c r="AK236" s="122" t="s">
        <v>3684</v>
      </c>
      <c r="AL236" s="122" t="s">
        <v>253</v>
      </c>
      <c r="AM236" s="122" t="s">
        <v>253</v>
      </c>
      <c r="AN236" s="122" t="s">
        <v>253</v>
      </c>
      <c r="AO236" s="141" t="s">
        <v>247</v>
      </c>
      <c r="AP236" s="141" t="s">
        <v>253</v>
      </c>
      <c r="AQ236" s="141" t="s">
        <v>247</v>
      </c>
      <c r="AR236" s="141" t="s">
        <v>253</v>
      </c>
      <c r="AS236" s="141" t="s">
        <v>601</v>
      </c>
      <c r="AT236" s="141" t="s">
        <v>601</v>
      </c>
      <c r="AU236" s="141" t="s">
        <v>258</v>
      </c>
      <c r="AV236" s="122" t="s">
        <v>259</v>
      </c>
      <c r="AW236" s="122" t="s">
        <v>260</v>
      </c>
      <c r="AY236" s="141" t="s">
        <v>253</v>
      </c>
      <c r="AZ236" s="122" t="s">
        <v>262</v>
      </c>
      <c r="BA236" s="122" t="s">
        <v>262</v>
      </c>
      <c r="BB236" s="122" t="s">
        <v>3685</v>
      </c>
      <c r="BD236" s="122" t="s">
        <v>253</v>
      </c>
      <c r="BE236" s="122" t="s">
        <v>263</v>
      </c>
      <c r="BF236" s="122" t="s">
        <v>3547</v>
      </c>
      <c r="BH236" s="122" t="s">
        <v>3538</v>
      </c>
      <c r="BI236" s="142">
        <v>10</v>
      </c>
      <c r="BJ236" s="123">
        <v>42233</v>
      </c>
      <c r="BK236" s="139" t="s">
        <v>606</v>
      </c>
      <c r="BM236" s="122">
        <v>34</v>
      </c>
    </row>
    <row r="237" spans="1:65" x14ac:dyDescent="0.25">
      <c r="A237" s="122" t="s">
        <v>578</v>
      </c>
      <c r="B237" s="122" t="s">
        <v>3686</v>
      </c>
      <c r="C237" s="122" t="s">
        <v>3687</v>
      </c>
      <c r="D237" s="122" t="s">
        <v>3688</v>
      </c>
      <c r="E237" s="123">
        <v>42219</v>
      </c>
      <c r="F237" s="122" t="s">
        <v>3689</v>
      </c>
      <c r="G237" s="122" t="s">
        <v>235</v>
      </c>
      <c r="H237" s="122" t="s">
        <v>448</v>
      </c>
      <c r="I237" s="122" t="s">
        <v>3690</v>
      </c>
      <c r="J237" s="122" t="s">
        <v>3691</v>
      </c>
      <c r="K237" s="122" t="s">
        <v>3692</v>
      </c>
      <c r="L237" s="122" t="s">
        <v>3693</v>
      </c>
      <c r="M237" s="122" t="s">
        <v>3694</v>
      </c>
      <c r="O237" s="141" t="s">
        <v>1055</v>
      </c>
      <c r="P237" s="141" t="s">
        <v>3695</v>
      </c>
      <c r="Q237" s="122" t="s">
        <v>3389</v>
      </c>
      <c r="R237" s="142">
        <v>11</v>
      </c>
      <c r="S237" s="122" t="s">
        <v>3696</v>
      </c>
      <c r="U237" s="122" t="s">
        <v>3538</v>
      </c>
      <c r="W237" s="122" t="s">
        <v>246</v>
      </c>
      <c r="X237" s="122" t="s">
        <v>376</v>
      </c>
      <c r="Y237" s="141" t="s">
        <v>2717</v>
      </c>
      <c r="Z237" s="122" t="s">
        <v>3697</v>
      </c>
      <c r="AA237" s="141" t="s">
        <v>234</v>
      </c>
      <c r="AB237" s="122" t="s">
        <v>3697</v>
      </c>
      <c r="AC237" s="141" t="s">
        <v>801</v>
      </c>
      <c r="AD237" s="122" t="s">
        <v>3698</v>
      </c>
      <c r="AE237" s="122" t="s">
        <v>235</v>
      </c>
      <c r="AF237" s="122" t="s">
        <v>3699</v>
      </c>
      <c r="AG237" s="122" t="s">
        <v>537</v>
      </c>
      <c r="AH237" s="122" t="s">
        <v>253</v>
      </c>
      <c r="AI237" s="122" t="s">
        <v>3700</v>
      </c>
      <c r="AJ237" s="122" t="s">
        <v>3700</v>
      </c>
      <c r="AK237" s="122" t="s">
        <v>253</v>
      </c>
      <c r="AL237" s="122" t="s">
        <v>253</v>
      </c>
      <c r="AM237" s="122" t="s">
        <v>253</v>
      </c>
      <c r="AN237" s="122" t="s">
        <v>253</v>
      </c>
      <c r="AO237" s="141" t="s">
        <v>253</v>
      </c>
      <c r="AP237" s="141" t="s">
        <v>253</v>
      </c>
      <c r="AQ237" s="141" t="s">
        <v>247</v>
      </c>
      <c r="AR237" s="141" t="s">
        <v>253</v>
      </c>
      <c r="AS237" s="141" t="s">
        <v>361</v>
      </c>
      <c r="AT237" s="141" t="s">
        <v>601</v>
      </c>
      <c r="AU237" s="141" t="s">
        <v>258</v>
      </c>
      <c r="AV237" s="122" t="s">
        <v>259</v>
      </c>
      <c r="AW237" s="122" t="s">
        <v>260</v>
      </c>
      <c r="AY237" s="141" t="s">
        <v>253</v>
      </c>
      <c r="AZ237" s="122" t="s">
        <v>262</v>
      </c>
      <c r="BA237" s="122" t="s">
        <v>262</v>
      </c>
      <c r="BB237" s="122" t="s">
        <v>3701</v>
      </c>
      <c r="BD237" s="122" t="s">
        <v>253</v>
      </c>
      <c r="BE237" s="122" t="s">
        <v>263</v>
      </c>
      <c r="BF237" s="122" t="s">
        <v>3547</v>
      </c>
      <c r="BH237" s="122" t="s">
        <v>3538</v>
      </c>
      <c r="BI237" s="142">
        <v>11</v>
      </c>
      <c r="BJ237" s="123">
        <v>42221</v>
      </c>
      <c r="BK237" s="139" t="s">
        <v>264</v>
      </c>
      <c r="BL237" s="140">
        <v>122.78</v>
      </c>
      <c r="BM237" s="122">
        <v>32</v>
      </c>
    </row>
    <row r="238" spans="1:65" x14ac:dyDescent="0.25">
      <c r="A238" s="122" t="s">
        <v>578</v>
      </c>
      <c r="B238" s="122" t="s">
        <v>3702</v>
      </c>
      <c r="C238" s="122" t="s">
        <v>3703</v>
      </c>
      <c r="D238" s="122" t="s">
        <v>3704</v>
      </c>
      <c r="E238" s="123">
        <v>42219</v>
      </c>
      <c r="F238" s="122" t="s">
        <v>3705</v>
      </c>
      <c r="G238" s="122" t="s">
        <v>235</v>
      </c>
      <c r="H238" s="122" t="s">
        <v>3706</v>
      </c>
      <c r="I238" s="122" t="s">
        <v>3707</v>
      </c>
      <c r="J238" s="122" t="s">
        <v>2158</v>
      </c>
      <c r="K238" s="122" t="s">
        <v>3385</v>
      </c>
      <c r="L238" s="122" t="s">
        <v>3386</v>
      </c>
      <c r="M238" s="122" t="s">
        <v>3405</v>
      </c>
      <c r="O238" s="141" t="s">
        <v>451</v>
      </c>
      <c r="P238" s="141" t="s">
        <v>3708</v>
      </c>
      <c r="Q238" s="122" t="s">
        <v>3389</v>
      </c>
      <c r="R238" s="142">
        <v>12</v>
      </c>
      <c r="S238" s="122" t="s">
        <v>3709</v>
      </c>
      <c r="U238" s="122" t="s">
        <v>3538</v>
      </c>
      <c r="W238" s="122" t="s">
        <v>246</v>
      </c>
      <c r="X238" s="122" t="s">
        <v>1072</v>
      </c>
      <c r="Y238" s="141" t="s">
        <v>1896</v>
      </c>
      <c r="Z238" s="122" t="s">
        <v>355</v>
      </c>
      <c r="AA238" s="141" t="s">
        <v>1423</v>
      </c>
      <c r="AB238" s="122" t="s">
        <v>3710</v>
      </c>
      <c r="AC238" s="141" t="s">
        <v>901</v>
      </c>
      <c r="AD238" s="122" t="s">
        <v>3711</v>
      </c>
      <c r="AE238" s="122" t="s">
        <v>235</v>
      </c>
      <c r="AF238" s="122" t="s">
        <v>3712</v>
      </c>
      <c r="AG238" s="122" t="s">
        <v>253</v>
      </c>
      <c r="AH238" s="122" t="s">
        <v>253</v>
      </c>
      <c r="AI238" s="122" t="s">
        <v>3713</v>
      </c>
      <c r="AJ238" s="122" t="s">
        <v>3714</v>
      </c>
      <c r="AK238" s="122" t="s">
        <v>3715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247</v>
      </c>
      <c r="AS238" s="141" t="s">
        <v>601</v>
      </c>
      <c r="AT238" s="141" t="s">
        <v>601</v>
      </c>
      <c r="AU238" s="141" t="s">
        <v>601</v>
      </c>
      <c r="AV238" s="122" t="s">
        <v>259</v>
      </c>
      <c r="AW238" s="122" t="s">
        <v>260</v>
      </c>
      <c r="AY238" s="141" t="s">
        <v>253</v>
      </c>
      <c r="AZ238" s="122" t="s">
        <v>3716</v>
      </c>
      <c r="BA238" s="122" t="s">
        <v>262</v>
      </c>
      <c r="BB238" s="122" t="s">
        <v>262</v>
      </c>
      <c r="BD238" s="122" t="s">
        <v>253</v>
      </c>
      <c r="BE238" s="122" t="s">
        <v>263</v>
      </c>
      <c r="BF238" s="122" t="s">
        <v>3547</v>
      </c>
      <c r="BH238" s="122" t="s">
        <v>3538</v>
      </c>
      <c r="BI238" s="142">
        <v>12</v>
      </c>
      <c r="BJ238" s="123">
        <v>42233</v>
      </c>
      <c r="BK238" s="139" t="s">
        <v>606</v>
      </c>
      <c r="BM238" s="122">
        <v>34</v>
      </c>
    </row>
    <row r="239" spans="1:65" x14ac:dyDescent="0.25">
      <c r="A239" s="122" t="s">
        <v>541</v>
      </c>
      <c r="B239" s="122" t="s">
        <v>3717</v>
      </c>
      <c r="C239" s="122" t="s">
        <v>3718</v>
      </c>
      <c r="D239" s="122" t="s">
        <v>3719</v>
      </c>
      <c r="E239" s="123">
        <v>42219</v>
      </c>
      <c r="F239" s="122" t="s">
        <v>3720</v>
      </c>
      <c r="G239" s="122" t="s">
        <v>235</v>
      </c>
      <c r="H239" s="122" t="s">
        <v>448</v>
      </c>
      <c r="I239" s="122" t="s">
        <v>3721</v>
      </c>
      <c r="K239" s="122" t="s">
        <v>3385</v>
      </c>
      <c r="L239" s="122" t="s">
        <v>3386</v>
      </c>
      <c r="M239" s="122" t="s">
        <v>3486</v>
      </c>
      <c r="O239" s="141" t="s">
        <v>1174</v>
      </c>
      <c r="P239" s="141" t="s">
        <v>3722</v>
      </c>
      <c r="Q239" s="122" t="s">
        <v>3389</v>
      </c>
      <c r="R239" s="142">
        <v>13</v>
      </c>
      <c r="S239" s="122" t="s">
        <v>3723</v>
      </c>
      <c r="U239" s="122" t="s">
        <v>3538</v>
      </c>
      <c r="W239" s="122" t="s">
        <v>246</v>
      </c>
      <c r="X239" s="122" t="s">
        <v>739</v>
      </c>
      <c r="Y239" s="141" t="s">
        <v>956</v>
      </c>
      <c r="Z239" s="122" t="s">
        <v>3724</v>
      </c>
      <c r="AA239" s="141" t="s">
        <v>1258</v>
      </c>
      <c r="AB239" s="122" t="s">
        <v>3725</v>
      </c>
      <c r="AC239" s="141" t="s">
        <v>879</v>
      </c>
      <c r="AD239" s="122" t="s">
        <v>3726</v>
      </c>
      <c r="AE239" s="122" t="s">
        <v>235</v>
      </c>
      <c r="AF239" s="122" t="s">
        <v>3727</v>
      </c>
      <c r="AG239" s="122" t="s">
        <v>537</v>
      </c>
      <c r="AH239" s="122" t="s">
        <v>253</v>
      </c>
      <c r="AI239" s="122" t="s">
        <v>3728</v>
      </c>
      <c r="AJ239" s="122" t="s">
        <v>3729</v>
      </c>
      <c r="AK239" s="122" t="s">
        <v>253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247</v>
      </c>
      <c r="AQ239" s="141" t="s">
        <v>247</v>
      </c>
      <c r="AR239" s="141" t="s">
        <v>253</v>
      </c>
      <c r="AS239" s="141" t="s">
        <v>601</v>
      </c>
      <c r="AT239" s="141" t="s">
        <v>601</v>
      </c>
      <c r="AU239" s="141" t="s">
        <v>258</v>
      </c>
      <c r="AV239" s="122" t="s">
        <v>259</v>
      </c>
      <c r="AW239" s="122" t="s">
        <v>260</v>
      </c>
      <c r="AY239" s="141" t="s">
        <v>253</v>
      </c>
      <c r="AZ239" s="122" t="s">
        <v>262</v>
      </c>
      <c r="BA239" s="122" t="s">
        <v>262</v>
      </c>
      <c r="BB239" s="122" t="s">
        <v>3730</v>
      </c>
      <c r="BC239" s="141" t="s">
        <v>312</v>
      </c>
      <c r="BD239" s="122" t="s">
        <v>253</v>
      </c>
      <c r="BE239" s="122" t="s">
        <v>263</v>
      </c>
      <c r="BF239" s="122" t="s">
        <v>3547</v>
      </c>
      <c r="BH239" s="122" t="s">
        <v>3538</v>
      </c>
      <c r="BI239" s="142">
        <v>13</v>
      </c>
      <c r="BJ239" s="123">
        <v>42231</v>
      </c>
      <c r="BK239" s="139" t="s">
        <v>264</v>
      </c>
      <c r="BL239" s="140">
        <v>200</v>
      </c>
      <c r="BM239" s="122">
        <v>33</v>
      </c>
    </row>
    <row r="240" spans="1:65" x14ac:dyDescent="0.25">
      <c r="A240" s="122" t="s">
        <v>541</v>
      </c>
      <c r="B240" s="122" t="s">
        <v>3731</v>
      </c>
      <c r="C240" s="122" t="s">
        <v>3732</v>
      </c>
      <c r="D240" s="122" t="s">
        <v>3733</v>
      </c>
      <c r="E240" s="123">
        <v>42219</v>
      </c>
      <c r="F240" s="122" t="s">
        <v>234</v>
      </c>
      <c r="G240" s="122" t="s">
        <v>235</v>
      </c>
      <c r="H240" s="122" t="s">
        <v>3734</v>
      </c>
      <c r="I240" s="122" t="s">
        <v>3735</v>
      </c>
      <c r="K240" s="122" t="s">
        <v>3385</v>
      </c>
      <c r="L240" s="122" t="s">
        <v>3554</v>
      </c>
      <c r="M240" s="122" t="s">
        <v>3736</v>
      </c>
      <c r="O240" s="141" t="s">
        <v>373</v>
      </c>
      <c r="P240" s="141" t="s">
        <v>3737</v>
      </c>
      <c r="Q240" s="122" t="s">
        <v>3389</v>
      </c>
      <c r="R240" s="142">
        <v>14</v>
      </c>
      <c r="S240" s="122" t="s">
        <v>3738</v>
      </c>
      <c r="U240" s="122" t="s">
        <v>3538</v>
      </c>
      <c r="W240" s="122" t="s">
        <v>246</v>
      </c>
      <c r="X240" s="122" t="s">
        <v>739</v>
      </c>
      <c r="Y240" s="141" t="s">
        <v>478</v>
      </c>
      <c r="Z240" s="122" t="s">
        <v>3739</v>
      </c>
      <c r="AA240" s="141" t="s">
        <v>234</v>
      </c>
      <c r="AB240" s="122" t="s">
        <v>3740</v>
      </c>
      <c r="AC240" s="141" t="s">
        <v>3741</v>
      </c>
      <c r="AD240" s="122" t="s">
        <v>3742</v>
      </c>
      <c r="AE240" s="122" t="s">
        <v>235</v>
      </c>
      <c r="AF240" s="122" t="s">
        <v>3743</v>
      </c>
      <c r="AG240" s="122" t="s">
        <v>537</v>
      </c>
      <c r="AH240" s="122" t="s">
        <v>253</v>
      </c>
      <c r="AI240" s="122" t="s">
        <v>3744</v>
      </c>
      <c r="AJ240" s="122" t="s">
        <v>3744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253</v>
      </c>
      <c r="AP240" s="141" t="s">
        <v>253</v>
      </c>
      <c r="AQ240" s="141" t="s">
        <v>247</v>
      </c>
      <c r="AR240" s="141" t="s">
        <v>253</v>
      </c>
      <c r="AS240" s="141" t="s">
        <v>361</v>
      </c>
      <c r="AT240" s="141" t="s">
        <v>601</v>
      </c>
      <c r="AU240" s="141" t="s">
        <v>258</v>
      </c>
      <c r="AV240" s="122" t="s">
        <v>259</v>
      </c>
      <c r="AW240" s="122" t="s">
        <v>260</v>
      </c>
      <c r="AY240" s="141" t="s">
        <v>253</v>
      </c>
      <c r="AZ240" s="122" t="s">
        <v>3745</v>
      </c>
      <c r="BA240" s="122" t="s">
        <v>262</v>
      </c>
      <c r="BB240" s="122" t="s">
        <v>262</v>
      </c>
      <c r="BD240" s="122" t="s">
        <v>253</v>
      </c>
      <c r="BE240" s="122" t="s">
        <v>263</v>
      </c>
      <c r="BF240" s="122" t="s">
        <v>3547</v>
      </c>
      <c r="BH240" s="122" t="s">
        <v>3538</v>
      </c>
      <c r="BI240" s="142">
        <v>14</v>
      </c>
      <c r="BJ240" s="123">
        <v>42233</v>
      </c>
      <c r="BK240" s="139" t="s">
        <v>606</v>
      </c>
      <c r="BM240" s="122">
        <v>34</v>
      </c>
    </row>
    <row r="241" spans="1:65" x14ac:dyDescent="0.25">
      <c r="A241" s="122" t="s">
        <v>541</v>
      </c>
      <c r="B241" s="122" t="s">
        <v>3746</v>
      </c>
      <c r="C241" s="122" t="s">
        <v>3747</v>
      </c>
      <c r="D241" s="122" t="s">
        <v>3748</v>
      </c>
      <c r="E241" s="123">
        <v>42219</v>
      </c>
      <c r="F241" s="122" t="s">
        <v>1402</v>
      </c>
      <c r="G241" s="122" t="s">
        <v>235</v>
      </c>
      <c r="H241" s="122" t="s">
        <v>3749</v>
      </c>
      <c r="I241" s="122" t="s">
        <v>3750</v>
      </c>
      <c r="K241" s="122" t="s">
        <v>3385</v>
      </c>
      <c r="L241" s="122" t="s">
        <v>3386</v>
      </c>
      <c r="M241" s="122" t="s">
        <v>3405</v>
      </c>
      <c r="O241" s="141" t="s">
        <v>1562</v>
      </c>
      <c r="P241" s="141" t="s">
        <v>3751</v>
      </c>
      <c r="Q241" s="122" t="s">
        <v>3389</v>
      </c>
      <c r="R241" s="142">
        <v>15</v>
      </c>
      <c r="S241" s="122" t="s">
        <v>3752</v>
      </c>
      <c r="U241" s="122" t="s">
        <v>3538</v>
      </c>
      <c r="W241" s="122" t="s">
        <v>246</v>
      </c>
      <c r="X241" s="122" t="s">
        <v>721</v>
      </c>
      <c r="Y241" s="141" t="s">
        <v>478</v>
      </c>
      <c r="Z241" s="122" t="s">
        <v>3753</v>
      </c>
      <c r="AA241" s="141" t="s">
        <v>1291</v>
      </c>
      <c r="AB241" s="122" t="s">
        <v>3753</v>
      </c>
      <c r="AC241" s="141" t="s">
        <v>2720</v>
      </c>
      <c r="AD241" s="122" t="s">
        <v>3753</v>
      </c>
      <c r="AE241" s="122" t="s">
        <v>235</v>
      </c>
      <c r="AF241" s="122" t="s">
        <v>3754</v>
      </c>
      <c r="AG241" s="122" t="s">
        <v>537</v>
      </c>
      <c r="AH241" s="122" t="s">
        <v>253</v>
      </c>
      <c r="AI241" s="122" t="s">
        <v>3755</v>
      </c>
      <c r="AJ241" s="122" t="s">
        <v>3756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253</v>
      </c>
      <c r="AQ241" s="141" t="s">
        <v>247</v>
      </c>
      <c r="AR241" s="141" t="s">
        <v>253</v>
      </c>
      <c r="AS241" s="141" t="s">
        <v>601</v>
      </c>
      <c r="AT241" s="141" t="s">
        <v>601</v>
      </c>
      <c r="AU241" s="141" t="s">
        <v>258</v>
      </c>
      <c r="AV241" s="122" t="s">
        <v>259</v>
      </c>
      <c r="AW241" s="122" t="s">
        <v>260</v>
      </c>
      <c r="AY241" s="141" t="s">
        <v>253</v>
      </c>
      <c r="AZ241" s="122" t="s">
        <v>3757</v>
      </c>
      <c r="BA241" s="122" t="s">
        <v>262</v>
      </c>
      <c r="BB241" s="122" t="s">
        <v>262</v>
      </c>
      <c r="BC241" s="141" t="s">
        <v>312</v>
      </c>
      <c r="BD241" s="122" t="s">
        <v>253</v>
      </c>
      <c r="BE241" s="122" t="s">
        <v>263</v>
      </c>
      <c r="BF241" s="122" t="s">
        <v>3547</v>
      </c>
      <c r="BH241" s="122" t="s">
        <v>3538</v>
      </c>
      <c r="BI241" s="142">
        <v>15</v>
      </c>
      <c r="BJ241" s="123">
        <v>42224</v>
      </c>
      <c r="BK241" s="139" t="s">
        <v>264</v>
      </c>
      <c r="BL241" s="140">
        <v>128.29</v>
      </c>
      <c r="BM241" s="122">
        <v>32</v>
      </c>
    </row>
    <row r="242" spans="1:65" x14ac:dyDescent="0.25">
      <c r="A242" s="122" t="s">
        <v>541</v>
      </c>
      <c r="B242" s="122" t="s">
        <v>3758</v>
      </c>
      <c r="C242" s="122" t="s">
        <v>3759</v>
      </c>
      <c r="D242" s="122" t="s">
        <v>3760</v>
      </c>
      <c r="E242" s="123">
        <v>42219</v>
      </c>
      <c r="F242" s="122" t="s">
        <v>3761</v>
      </c>
      <c r="G242" s="122" t="s">
        <v>235</v>
      </c>
      <c r="H242" s="122" t="s">
        <v>3762</v>
      </c>
      <c r="I242" s="122" t="s">
        <v>3763</v>
      </c>
      <c r="K242" s="122" t="s">
        <v>3385</v>
      </c>
      <c r="L242" s="122" t="s">
        <v>3386</v>
      </c>
      <c r="M242" s="122" t="s">
        <v>3405</v>
      </c>
      <c r="O242" s="141" t="s">
        <v>390</v>
      </c>
      <c r="P242" s="141" t="s">
        <v>3764</v>
      </c>
      <c r="Q242" s="122" t="s">
        <v>3389</v>
      </c>
      <c r="R242" s="142">
        <v>16</v>
      </c>
      <c r="S242" s="122" t="s">
        <v>3765</v>
      </c>
      <c r="U242" s="122" t="s">
        <v>3538</v>
      </c>
      <c r="W242" s="122" t="s">
        <v>246</v>
      </c>
      <c r="X242" s="122" t="s">
        <v>442</v>
      </c>
      <c r="Y242" s="141" t="s">
        <v>1141</v>
      </c>
      <c r="Z242" s="122" t="s">
        <v>355</v>
      </c>
      <c r="AA242" s="141" t="s">
        <v>784</v>
      </c>
      <c r="AB242" s="122" t="s">
        <v>355</v>
      </c>
      <c r="AC242" s="141" t="s">
        <v>1090</v>
      </c>
      <c r="AD242" s="122" t="s">
        <v>800</v>
      </c>
      <c r="AE242" s="122" t="s">
        <v>235</v>
      </c>
      <c r="AF242" s="122" t="s">
        <v>3766</v>
      </c>
      <c r="AG242" s="122" t="s">
        <v>253</v>
      </c>
      <c r="AH242" s="122" t="s">
        <v>253</v>
      </c>
      <c r="AI242" s="122" t="s">
        <v>3767</v>
      </c>
      <c r="AJ242" s="122" t="s">
        <v>3768</v>
      </c>
      <c r="AK242" s="122" t="s">
        <v>1405</v>
      </c>
      <c r="AL242" s="122" t="s">
        <v>253</v>
      </c>
      <c r="AM242" s="122" t="s">
        <v>253</v>
      </c>
      <c r="AN242" s="122" t="s">
        <v>253</v>
      </c>
      <c r="AO242" s="141" t="s">
        <v>247</v>
      </c>
      <c r="AP242" s="141" t="s">
        <v>253</v>
      </c>
      <c r="AQ242" s="141" t="s">
        <v>253</v>
      </c>
      <c r="AR242" s="141" t="s">
        <v>247</v>
      </c>
      <c r="AS242" s="141" t="s">
        <v>601</v>
      </c>
      <c r="AT242" s="141" t="s">
        <v>258</v>
      </c>
      <c r="AU242" s="141" t="s">
        <v>257</v>
      </c>
      <c r="AV242" s="122" t="s">
        <v>259</v>
      </c>
      <c r="AW242" s="122" t="s">
        <v>260</v>
      </c>
      <c r="AY242" s="141" t="s">
        <v>253</v>
      </c>
      <c r="AZ242" s="122" t="s">
        <v>3769</v>
      </c>
      <c r="BA242" s="122" t="s">
        <v>262</v>
      </c>
      <c r="BB242" s="122" t="s">
        <v>262</v>
      </c>
      <c r="BD242" s="122" t="s">
        <v>253</v>
      </c>
      <c r="BE242" s="122" t="s">
        <v>263</v>
      </c>
      <c r="BF242" s="122" t="s">
        <v>3547</v>
      </c>
      <c r="BH242" s="122" t="s">
        <v>3538</v>
      </c>
      <c r="BI242" s="142">
        <v>16</v>
      </c>
      <c r="BJ242" s="123">
        <v>42233</v>
      </c>
      <c r="BK242" s="139" t="s">
        <v>606</v>
      </c>
      <c r="BM242" s="122">
        <v>34</v>
      </c>
    </row>
    <row r="243" spans="1:65" x14ac:dyDescent="0.25">
      <c r="A243" s="122" t="s">
        <v>541</v>
      </c>
      <c r="B243" s="122" t="s">
        <v>3770</v>
      </c>
      <c r="C243" s="122" t="s">
        <v>3771</v>
      </c>
      <c r="D243" s="122" t="s">
        <v>3772</v>
      </c>
      <c r="E243" s="123">
        <v>42219</v>
      </c>
      <c r="F243" s="122" t="s">
        <v>3773</v>
      </c>
      <c r="G243" s="122" t="s">
        <v>235</v>
      </c>
      <c r="H243" s="122" t="s">
        <v>3774</v>
      </c>
      <c r="I243" s="122" t="s">
        <v>3775</v>
      </c>
      <c r="K243" s="122" t="s">
        <v>3452</v>
      </c>
      <c r="L243" s="122" t="s">
        <v>3453</v>
      </c>
      <c r="M243" s="122" t="s">
        <v>3776</v>
      </c>
      <c r="O243" s="141" t="s">
        <v>3777</v>
      </c>
      <c r="P243" s="141" t="s">
        <v>3778</v>
      </c>
      <c r="Q243" s="122" t="s">
        <v>3389</v>
      </c>
      <c r="R243" s="142">
        <v>17</v>
      </c>
      <c r="S243" s="122" t="s">
        <v>3779</v>
      </c>
      <c r="U243" s="122" t="s">
        <v>3538</v>
      </c>
      <c r="W243" s="122" t="s">
        <v>246</v>
      </c>
      <c r="X243" s="122" t="s">
        <v>739</v>
      </c>
      <c r="Y243" s="141" t="s">
        <v>1440</v>
      </c>
      <c r="Z243" s="122" t="s">
        <v>3780</v>
      </c>
      <c r="AA243" s="141" t="s">
        <v>500</v>
      </c>
      <c r="AB243" s="122" t="s">
        <v>3781</v>
      </c>
      <c r="AC243" s="141" t="s">
        <v>2051</v>
      </c>
      <c r="AD243" s="122" t="s">
        <v>3781</v>
      </c>
      <c r="AE243" s="122" t="s">
        <v>235</v>
      </c>
      <c r="AF243" s="122" t="s">
        <v>3782</v>
      </c>
      <c r="AG243" s="122" t="s">
        <v>537</v>
      </c>
      <c r="AH243" s="122" t="s">
        <v>253</v>
      </c>
      <c r="AI243" s="122" t="s">
        <v>3783</v>
      </c>
      <c r="AJ243" s="122" t="s">
        <v>3784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247</v>
      </c>
      <c r="AP243" s="141" t="s">
        <v>253</v>
      </c>
      <c r="AQ243" s="141" t="s">
        <v>247</v>
      </c>
      <c r="AR243" s="141" t="s">
        <v>253</v>
      </c>
      <c r="AS243" s="141" t="s">
        <v>601</v>
      </c>
      <c r="AT243" s="141" t="s">
        <v>601</v>
      </c>
      <c r="AU243" s="141" t="s">
        <v>258</v>
      </c>
      <c r="AV243" s="122" t="s">
        <v>259</v>
      </c>
      <c r="AW243" s="122" t="s">
        <v>260</v>
      </c>
      <c r="AX243" s="141" t="s">
        <v>362</v>
      </c>
      <c r="AY243" s="141" t="s">
        <v>247</v>
      </c>
      <c r="AZ243" s="122" t="s">
        <v>3785</v>
      </c>
      <c r="BA243" s="122" t="s">
        <v>262</v>
      </c>
      <c r="BB243" s="122" t="s">
        <v>262</v>
      </c>
      <c r="BC243" s="141" t="s">
        <v>312</v>
      </c>
      <c r="BD243" s="122" t="s">
        <v>253</v>
      </c>
      <c r="BE243" s="122" t="s">
        <v>263</v>
      </c>
      <c r="BF243" s="122" t="s">
        <v>3547</v>
      </c>
      <c r="BH243" s="122" t="s">
        <v>3538</v>
      </c>
      <c r="BI243" s="142">
        <v>17</v>
      </c>
      <c r="BJ243" s="123">
        <v>42232</v>
      </c>
      <c r="BK243" s="139" t="s">
        <v>264</v>
      </c>
      <c r="BL243" s="140">
        <v>212.54</v>
      </c>
      <c r="BM243" s="122">
        <v>33</v>
      </c>
    </row>
    <row r="244" spans="1:65" x14ac:dyDescent="0.25">
      <c r="A244" s="122" t="s">
        <v>541</v>
      </c>
      <c r="B244" s="122" t="s">
        <v>3786</v>
      </c>
      <c r="C244" s="122" t="s">
        <v>3787</v>
      </c>
      <c r="D244" s="122" t="s">
        <v>3788</v>
      </c>
      <c r="E244" s="123">
        <v>42219</v>
      </c>
      <c r="F244" s="122" t="s">
        <v>3382</v>
      </c>
      <c r="G244" s="122" t="s">
        <v>235</v>
      </c>
      <c r="H244" s="122" t="s">
        <v>3789</v>
      </c>
      <c r="I244" s="122" t="s">
        <v>3790</v>
      </c>
      <c r="K244" s="122" t="s">
        <v>3452</v>
      </c>
      <c r="L244" s="122" t="s">
        <v>3453</v>
      </c>
      <c r="M244" s="122" t="s">
        <v>3776</v>
      </c>
      <c r="O244" s="141" t="s">
        <v>299</v>
      </c>
      <c r="P244" s="141" t="s">
        <v>3791</v>
      </c>
      <c r="Q244" s="122" t="s">
        <v>3389</v>
      </c>
      <c r="R244" s="142">
        <v>18</v>
      </c>
      <c r="S244" s="122" t="s">
        <v>3792</v>
      </c>
      <c r="U244" s="122" t="s">
        <v>3538</v>
      </c>
      <c r="W244" s="122" t="s">
        <v>246</v>
      </c>
      <c r="X244" s="122" t="s">
        <v>442</v>
      </c>
      <c r="Y244" s="141" t="s">
        <v>417</v>
      </c>
      <c r="Z244" s="122" t="s">
        <v>3793</v>
      </c>
      <c r="AA244" s="141" t="s">
        <v>920</v>
      </c>
      <c r="AB244" s="122" t="s">
        <v>355</v>
      </c>
      <c r="AC244" s="141" t="s">
        <v>1981</v>
      </c>
      <c r="AD244" s="122" t="s">
        <v>1091</v>
      </c>
      <c r="AE244" s="122" t="s">
        <v>235</v>
      </c>
      <c r="AF244" s="122" t="s">
        <v>3794</v>
      </c>
      <c r="AG244" s="122" t="s">
        <v>253</v>
      </c>
      <c r="AH244" s="122" t="s">
        <v>253</v>
      </c>
      <c r="AI244" s="122" t="s">
        <v>3795</v>
      </c>
      <c r="AJ244" s="122" t="s">
        <v>3796</v>
      </c>
      <c r="AK244" s="122" t="s">
        <v>3797</v>
      </c>
      <c r="AL244" s="122" t="s">
        <v>253</v>
      </c>
      <c r="AM244" s="122" t="s">
        <v>253</v>
      </c>
      <c r="AN244" s="122" t="s">
        <v>253</v>
      </c>
      <c r="AO244" s="141" t="s">
        <v>253</v>
      </c>
      <c r="AP244" s="141" t="s">
        <v>253</v>
      </c>
      <c r="AQ244" s="141" t="s">
        <v>247</v>
      </c>
      <c r="AR244" s="141" t="s">
        <v>253</v>
      </c>
      <c r="AS244" s="141" t="s">
        <v>361</v>
      </c>
      <c r="AT244" s="141" t="s">
        <v>601</v>
      </c>
      <c r="AU244" s="141" t="s">
        <v>258</v>
      </c>
      <c r="AV244" s="122" t="s">
        <v>259</v>
      </c>
      <c r="AW244" s="122" t="s">
        <v>260</v>
      </c>
      <c r="AY244" s="141" t="s">
        <v>253</v>
      </c>
      <c r="AZ244" s="122" t="s">
        <v>3798</v>
      </c>
      <c r="BA244" s="122" t="s">
        <v>262</v>
      </c>
      <c r="BB244" s="122" t="s">
        <v>262</v>
      </c>
      <c r="BC244" s="141" t="s">
        <v>312</v>
      </c>
      <c r="BD244" s="122" t="s">
        <v>253</v>
      </c>
      <c r="BE244" s="122" t="s">
        <v>263</v>
      </c>
      <c r="BF244" s="122" t="s">
        <v>3547</v>
      </c>
      <c r="BH244" s="122" t="s">
        <v>3538</v>
      </c>
      <c r="BI244" s="142">
        <v>18</v>
      </c>
      <c r="BJ244" s="123">
        <v>42233</v>
      </c>
      <c r="BK244" s="139" t="s">
        <v>606</v>
      </c>
      <c r="BM244" s="122">
        <v>34</v>
      </c>
    </row>
    <row r="245" spans="1:65" x14ac:dyDescent="0.25">
      <c r="A245" s="122" t="s">
        <v>541</v>
      </c>
      <c r="B245" s="122" t="s">
        <v>3799</v>
      </c>
      <c r="C245" s="122" t="s">
        <v>3800</v>
      </c>
      <c r="D245" s="122" t="s">
        <v>3801</v>
      </c>
      <c r="E245" s="123">
        <v>42219</v>
      </c>
      <c r="F245" s="122" t="s">
        <v>3802</v>
      </c>
      <c r="G245" s="122" t="s">
        <v>235</v>
      </c>
      <c r="H245" s="122" t="s">
        <v>3803</v>
      </c>
      <c r="I245" s="122" t="s">
        <v>3804</v>
      </c>
      <c r="K245" s="122" t="s">
        <v>3452</v>
      </c>
      <c r="L245" s="122" t="s">
        <v>3453</v>
      </c>
      <c r="M245" s="122" t="s">
        <v>3454</v>
      </c>
      <c r="O245" s="141" t="s">
        <v>241</v>
      </c>
      <c r="P245" s="141" t="s">
        <v>3805</v>
      </c>
      <c r="Q245" s="122" t="s">
        <v>3389</v>
      </c>
      <c r="R245" s="142">
        <v>19</v>
      </c>
      <c r="S245" s="122" t="s">
        <v>3806</v>
      </c>
      <c r="U245" s="122" t="s">
        <v>3538</v>
      </c>
      <c r="W245" s="122" t="s">
        <v>246</v>
      </c>
      <c r="X245" s="122" t="s">
        <v>442</v>
      </c>
      <c r="Y245" s="141" t="s">
        <v>877</v>
      </c>
      <c r="Z245" s="122" t="s">
        <v>249</v>
      </c>
      <c r="AA245" s="141" t="s">
        <v>3807</v>
      </c>
      <c r="AB245" s="122" t="s">
        <v>1792</v>
      </c>
      <c r="AC245" s="141" t="s">
        <v>3808</v>
      </c>
      <c r="AD245" s="122" t="s">
        <v>3809</v>
      </c>
      <c r="AE245" s="122" t="s">
        <v>235</v>
      </c>
      <c r="AF245" s="122" t="s">
        <v>3810</v>
      </c>
      <c r="AG245" s="122" t="s">
        <v>253</v>
      </c>
      <c r="AH245" s="122" t="s">
        <v>253</v>
      </c>
      <c r="AI245" s="122" t="s">
        <v>3811</v>
      </c>
      <c r="AJ245" s="122" t="s">
        <v>3812</v>
      </c>
      <c r="AK245" s="122" t="s">
        <v>3813</v>
      </c>
      <c r="AL245" s="122" t="s">
        <v>253</v>
      </c>
      <c r="AM245" s="122" t="s">
        <v>253</v>
      </c>
      <c r="AN245" s="122" t="s">
        <v>253</v>
      </c>
      <c r="AO245" s="141" t="s">
        <v>253</v>
      </c>
      <c r="AP245" s="141" t="s">
        <v>253</v>
      </c>
      <c r="AQ245" s="141" t="s">
        <v>247</v>
      </c>
      <c r="AR245" s="141" t="s">
        <v>253</v>
      </c>
      <c r="AS245" s="141" t="s">
        <v>361</v>
      </c>
      <c r="AT245" s="141" t="s">
        <v>601</v>
      </c>
      <c r="AU245" s="141" t="s">
        <v>258</v>
      </c>
      <c r="AV245" s="122" t="s">
        <v>259</v>
      </c>
      <c r="AW245" s="122" t="s">
        <v>260</v>
      </c>
      <c r="AY245" s="141" t="s">
        <v>253</v>
      </c>
      <c r="AZ245" s="122" t="s">
        <v>3814</v>
      </c>
      <c r="BA245" s="122" t="s">
        <v>3815</v>
      </c>
      <c r="BB245" s="122" t="s">
        <v>262</v>
      </c>
      <c r="BD245" s="122" t="s">
        <v>253</v>
      </c>
      <c r="BE245" s="122" t="s">
        <v>263</v>
      </c>
      <c r="BF245" s="122" t="s">
        <v>3547</v>
      </c>
      <c r="BH245" s="122" t="s">
        <v>3538</v>
      </c>
      <c r="BI245" s="142">
        <v>19</v>
      </c>
      <c r="BJ245" s="123">
        <v>42233</v>
      </c>
      <c r="BK245" s="139" t="s">
        <v>606</v>
      </c>
      <c r="BM245" s="122">
        <v>34</v>
      </c>
    </row>
    <row r="246" spans="1:65" x14ac:dyDescent="0.25">
      <c r="A246" s="122" t="s">
        <v>541</v>
      </c>
      <c r="B246" s="122" t="s">
        <v>3816</v>
      </c>
      <c r="C246" s="122" t="s">
        <v>3817</v>
      </c>
      <c r="D246" s="122" t="s">
        <v>3818</v>
      </c>
      <c r="E246" s="123">
        <v>42219</v>
      </c>
      <c r="F246" s="122" t="s">
        <v>3819</v>
      </c>
      <c r="G246" s="122" t="s">
        <v>235</v>
      </c>
      <c r="H246" s="122" t="s">
        <v>448</v>
      </c>
      <c r="I246" s="122" t="s">
        <v>3820</v>
      </c>
      <c r="K246" s="122" t="s">
        <v>3452</v>
      </c>
      <c r="L246" s="122" t="s">
        <v>3453</v>
      </c>
      <c r="M246" s="122" t="s">
        <v>3454</v>
      </c>
      <c r="O246" s="141" t="s">
        <v>1174</v>
      </c>
      <c r="P246" s="141" t="s">
        <v>3821</v>
      </c>
      <c r="Q246" s="122" t="s">
        <v>3389</v>
      </c>
      <c r="R246" s="142">
        <v>20</v>
      </c>
      <c r="S246" s="122" t="s">
        <v>3822</v>
      </c>
      <c r="U246" s="122" t="s">
        <v>3538</v>
      </c>
      <c r="W246" s="122" t="s">
        <v>246</v>
      </c>
      <c r="X246" s="122" t="s">
        <v>1643</v>
      </c>
      <c r="Y246" s="141" t="s">
        <v>478</v>
      </c>
      <c r="Z246" s="122" t="s">
        <v>3823</v>
      </c>
      <c r="AA246" s="141" t="s">
        <v>633</v>
      </c>
      <c r="AB246" s="122" t="s">
        <v>3824</v>
      </c>
      <c r="AC246" s="141" t="s">
        <v>3819</v>
      </c>
      <c r="AD246" s="122" t="s">
        <v>3825</v>
      </c>
      <c r="AE246" s="122" t="s">
        <v>235</v>
      </c>
      <c r="AF246" s="122" t="s">
        <v>3826</v>
      </c>
      <c r="AG246" s="122" t="s">
        <v>537</v>
      </c>
      <c r="AH246" s="122" t="s">
        <v>253</v>
      </c>
      <c r="AI246" s="122" t="s">
        <v>3700</v>
      </c>
      <c r="AJ246" s="122" t="s">
        <v>3827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253</v>
      </c>
      <c r="AP246" s="141" t="s">
        <v>253</v>
      </c>
      <c r="AQ246" s="141" t="s">
        <v>247</v>
      </c>
      <c r="AR246" s="141" t="s">
        <v>253</v>
      </c>
      <c r="AS246" s="141" t="s">
        <v>361</v>
      </c>
      <c r="AT246" s="141" t="s">
        <v>601</v>
      </c>
      <c r="AU246" s="141" t="s">
        <v>258</v>
      </c>
      <c r="AV246" s="122" t="s">
        <v>259</v>
      </c>
      <c r="AW246" s="122" t="s">
        <v>260</v>
      </c>
      <c r="AY246" s="141" t="s">
        <v>253</v>
      </c>
      <c r="AZ246" s="122" t="s">
        <v>262</v>
      </c>
      <c r="BA246" s="122" t="s">
        <v>262</v>
      </c>
      <c r="BB246" s="122" t="s">
        <v>3828</v>
      </c>
      <c r="BC246" s="141" t="s">
        <v>312</v>
      </c>
      <c r="BD246" s="122" t="s">
        <v>253</v>
      </c>
      <c r="BE246" s="122" t="s">
        <v>263</v>
      </c>
      <c r="BF246" s="122" t="s">
        <v>3547</v>
      </c>
      <c r="BH246" s="122" t="s">
        <v>3538</v>
      </c>
      <c r="BI246" s="142">
        <v>20</v>
      </c>
      <c r="BJ246" s="123">
        <v>42233</v>
      </c>
      <c r="BK246" s="139" t="s">
        <v>606</v>
      </c>
      <c r="BM246" s="122">
        <v>34</v>
      </c>
    </row>
    <row r="247" spans="1:65" x14ac:dyDescent="0.25">
      <c r="A247" s="122" t="s">
        <v>541</v>
      </c>
      <c r="B247" s="122" t="s">
        <v>3829</v>
      </c>
      <c r="C247" s="122" t="s">
        <v>3830</v>
      </c>
      <c r="D247" s="122" t="s">
        <v>3831</v>
      </c>
      <c r="E247" s="123">
        <v>42219</v>
      </c>
      <c r="F247" s="122" t="s">
        <v>3039</v>
      </c>
      <c r="G247" s="122" t="s">
        <v>235</v>
      </c>
      <c r="H247" s="122" t="s">
        <v>3832</v>
      </c>
      <c r="I247" s="122" t="s">
        <v>3833</v>
      </c>
      <c r="K247" s="122" t="s">
        <v>3385</v>
      </c>
      <c r="L247" s="122" t="s">
        <v>3386</v>
      </c>
      <c r="M247" s="122" t="s">
        <v>3486</v>
      </c>
      <c r="O247" s="141" t="s">
        <v>2559</v>
      </c>
      <c r="P247" s="141" t="s">
        <v>3834</v>
      </c>
      <c r="Q247" s="122" t="s">
        <v>3389</v>
      </c>
      <c r="R247" s="142">
        <v>21</v>
      </c>
      <c r="S247" s="122" t="s">
        <v>3835</v>
      </c>
      <c r="U247" s="122" t="s">
        <v>3538</v>
      </c>
      <c r="W247" s="122" t="s">
        <v>246</v>
      </c>
      <c r="X247" s="122" t="s">
        <v>376</v>
      </c>
      <c r="Z247" s="122" t="s">
        <v>250</v>
      </c>
      <c r="AB247" s="122" t="s">
        <v>250</v>
      </c>
      <c r="AD247" s="122" t="s">
        <v>250</v>
      </c>
      <c r="AE247" s="122" t="s">
        <v>235</v>
      </c>
      <c r="AF247" s="122" t="s">
        <v>3836</v>
      </c>
      <c r="AG247" s="122" t="s">
        <v>537</v>
      </c>
      <c r="AH247" s="122" t="s">
        <v>253</v>
      </c>
      <c r="AI247" s="122" t="s">
        <v>3837</v>
      </c>
      <c r="AJ247" s="122" t="s">
        <v>3838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247</v>
      </c>
      <c r="AQ247" s="141" t="s">
        <v>247</v>
      </c>
      <c r="AR247" s="141" t="s">
        <v>247</v>
      </c>
      <c r="AS247" s="141" t="s">
        <v>601</v>
      </c>
      <c r="AT247" s="141" t="s">
        <v>601</v>
      </c>
      <c r="AU247" s="141" t="s">
        <v>257</v>
      </c>
      <c r="AV247" s="122" t="s">
        <v>259</v>
      </c>
      <c r="AW247" s="122" t="s">
        <v>260</v>
      </c>
      <c r="AY247" s="141" t="s">
        <v>253</v>
      </c>
      <c r="AZ247" s="122" t="s">
        <v>3839</v>
      </c>
      <c r="BA247" s="122" t="s">
        <v>262</v>
      </c>
      <c r="BB247" s="122" t="s">
        <v>262</v>
      </c>
      <c r="BC247" s="141" t="s">
        <v>312</v>
      </c>
      <c r="BD247" s="122" t="s">
        <v>253</v>
      </c>
      <c r="BE247" s="122" t="s">
        <v>263</v>
      </c>
      <c r="BF247" s="122" t="s">
        <v>3547</v>
      </c>
      <c r="BH247" s="122" t="s">
        <v>3538</v>
      </c>
      <c r="BI247" s="142">
        <v>21</v>
      </c>
      <c r="BJ247" s="123">
        <v>42233</v>
      </c>
      <c r="BK247" s="139" t="s">
        <v>606</v>
      </c>
      <c r="BM247" s="122">
        <v>34</v>
      </c>
    </row>
    <row r="248" spans="1:65" x14ac:dyDescent="0.25">
      <c r="A248" s="122" t="s">
        <v>541</v>
      </c>
      <c r="B248" s="122" t="s">
        <v>3840</v>
      </c>
      <c r="C248" s="122" t="s">
        <v>3841</v>
      </c>
      <c r="D248" s="122" t="s">
        <v>3842</v>
      </c>
      <c r="E248" s="123">
        <v>42219</v>
      </c>
      <c r="F248" s="122" t="s">
        <v>570</v>
      </c>
      <c r="G248" s="122" t="s">
        <v>235</v>
      </c>
      <c r="H248" s="122" t="s">
        <v>3843</v>
      </c>
      <c r="I248" s="122" t="s">
        <v>3844</v>
      </c>
      <c r="J248" s="122" t="s">
        <v>3845</v>
      </c>
      <c r="K248" s="122" t="s">
        <v>3385</v>
      </c>
      <c r="L248" s="122" t="s">
        <v>3554</v>
      </c>
      <c r="M248" s="122" t="s">
        <v>3846</v>
      </c>
      <c r="O248" s="141" t="s">
        <v>649</v>
      </c>
      <c r="P248" s="141" t="s">
        <v>3847</v>
      </c>
      <c r="Q248" s="122" t="s">
        <v>3389</v>
      </c>
      <c r="R248" s="142">
        <v>22</v>
      </c>
      <c r="S248" s="122" t="s">
        <v>3848</v>
      </c>
      <c r="U248" s="122" t="s">
        <v>3538</v>
      </c>
      <c r="W248" s="122" t="s">
        <v>246</v>
      </c>
      <c r="X248" s="122" t="s">
        <v>721</v>
      </c>
      <c r="Z248" s="122" t="s">
        <v>250</v>
      </c>
      <c r="AB248" s="122" t="s">
        <v>250</v>
      </c>
      <c r="AD248" s="122" t="s">
        <v>250</v>
      </c>
      <c r="AE248" s="122" t="s">
        <v>235</v>
      </c>
      <c r="AF248" s="122" t="s">
        <v>3849</v>
      </c>
      <c r="AG248" s="122" t="s">
        <v>537</v>
      </c>
      <c r="AH248" s="122" t="s">
        <v>253</v>
      </c>
      <c r="AI248" s="122" t="s">
        <v>3850</v>
      </c>
      <c r="AJ248" s="122" t="s">
        <v>3851</v>
      </c>
      <c r="AK248" s="122" t="s">
        <v>253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247</v>
      </c>
      <c r="AQ248" s="141" t="s">
        <v>247</v>
      </c>
      <c r="AR248" s="141" t="s">
        <v>253</v>
      </c>
      <c r="AS248" s="141" t="s">
        <v>601</v>
      </c>
      <c r="AT248" s="141" t="s">
        <v>601</v>
      </c>
      <c r="AU248" s="141" t="s">
        <v>258</v>
      </c>
      <c r="AV248" s="122" t="s">
        <v>259</v>
      </c>
      <c r="AW248" s="122" t="s">
        <v>260</v>
      </c>
      <c r="AY248" s="141" t="s">
        <v>253</v>
      </c>
      <c r="AZ248" s="122" t="s">
        <v>3852</v>
      </c>
      <c r="BA248" s="122" t="s">
        <v>262</v>
      </c>
      <c r="BB248" s="122" t="s">
        <v>262</v>
      </c>
      <c r="BD248" s="122" t="s">
        <v>253</v>
      </c>
      <c r="BE248" s="122" t="s">
        <v>263</v>
      </c>
      <c r="BF248" s="122" t="s">
        <v>3547</v>
      </c>
      <c r="BH248" s="122" t="s">
        <v>3538</v>
      </c>
      <c r="BI248" s="142">
        <v>22</v>
      </c>
      <c r="BJ248" s="123">
        <v>42233</v>
      </c>
      <c r="BK248" s="139" t="s">
        <v>606</v>
      </c>
      <c r="BM248" s="122">
        <v>34</v>
      </c>
    </row>
    <row r="249" spans="1:65" x14ac:dyDescent="0.25">
      <c r="A249" s="122" t="s">
        <v>541</v>
      </c>
      <c r="B249" s="122" t="s">
        <v>3853</v>
      </c>
      <c r="C249" s="122" t="s">
        <v>3854</v>
      </c>
      <c r="D249" s="122" t="s">
        <v>3855</v>
      </c>
      <c r="E249" s="123">
        <v>42219</v>
      </c>
      <c r="F249" s="122" t="s">
        <v>3856</v>
      </c>
      <c r="G249" s="122" t="s">
        <v>235</v>
      </c>
      <c r="H249" s="122" t="s">
        <v>3857</v>
      </c>
      <c r="I249" s="122" t="s">
        <v>3858</v>
      </c>
      <c r="K249" s="122" t="s">
        <v>3385</v>
      </c>
      <c r="L249" s="122" t="s">
        <v>3554</v>
      </c>
      <c r="M249" s="122" t="s">
        <v>3846</v>
      </c>
      <c r="O249" s="141" t="s">
        <v>850</v>
      </c>
      <c r="P249" s="141" t="s">
        <v>3859</v>
      </c>
      <c r="Q249" s="122" t="s">
        <v>3389</v>
      </c>
      <c r="R249" s="142">
        <v>23</v>
      </c>
      <c r="S249" s="122" t="s">
        <v>3860</v>
      </c>
      <c r="U249" s="122" t="s">
        <v>3538</v>
      </c>
      <c r="W249" s="122" t="s">
        <v>246</v>
      </c>
      <c r="X249" s="122" t="s">
        <v>739</v>
      </c>
      <c r="Y249" s="141" t="s">
        <v>740</v>
      </c>
      <c r="Z249" s="122" t="s">
        <v>3861</v>
      </c>
      <c r="AA249" s="141" t="s">
        <v>1896</v>
      </c>
      <c r="AB249" s="122" t="s">
        <v>3862</v>
      </c>
      <c r="AC249" s="141" t="s">
        <v>3863</v>
      </c>
      <c r="AD249" s="122" t="s">
        <v>3864</v>
      </c>
      <c r="AE249" s="122" t="s">
        <v>235</v>
      </c>
      <c r="AF249" s="122" t="s">
        <v>2984</v>
      </c>
      <c r="AG249" s="122" t="s">
        <v>537</v>
      </c>
      <c r="AH249" s="122" t="s">
        <v>253</v>
      </c>
      <c r="AI249" s="122" t="s">
        <v>3865</v>
      </c>
      <c r="AJ249" s="122" t="s">
        <v>3866</v>
      </c>
      <c r="AK249" s="122" t="s">
        <v>253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253</v>
      </c>
      <c r="AQ249" s="141" t="s">
        <v>247</v>
      </c>
      <c r="AR249" s="141" t="s">
        <v>253</v>
      </c>
      <c r="AS249" s="141" t="s">
        <v>601</v>
      </c>
      <c r="AT249" s="141" t="s">
        <v>601</v>
      </c>
      <c r="AU249" s="141" t="s">
        <v>258</v>
      </c>
      <c r="AV249" s="122" t="s">
        <v>259</v>
      </c>
      <c r="AW249" s="122" t="s">
        <v>260</v>
      </c>
      <c r="AY249" s="141" t="s">
        <v>253</v>
      </c>
      <c r="AZ249" s="122" t="s">
        <v>3867</v>
      </c>
      <c r="BA249" s="122" t="s">
        <v>3868</v>
      </c>
      <c r="BB249" s="122" t="s">
        <v>3869</v>
      </c>
      <c r="BD249" s="122" t="s">
        <v>253</v>
      </c>
      <c r="BE249" s="122" t="s">
        <v>263</v>
      </c>
      <c r="BF249" s="122" t="s">
        <v>3547</v>
      </c>
      <c r="BH249" s="122" t="s">
        <v>3538</v>
      </c>
      <c r="BI249" s="142">
        <v>23</v>
      </c>
      <c r="BJ249" s="123">
        <v>42232</v>
      </c>
      <c r="BK249" s="139" t="s">
        <v>264</v>
      </c>
      <c r="BL249" s="140">
        <v>261.2</v>
      </c>
      <c r="BM249" s="122">
        <v>33</v>
      </c>
    </row>
    <row r="250" spans="1:65" x14ac:dyDescent="0.25">
      <c r="A250" s="122" t="s">
        <v>230</v>
      </c>
      <c r="B250" s="122" t="s">
        <v>3870</v>
      </c>
      <c r="C250" s="122" t="s">
        <v>3871</v>
      </c>
      <c r="D250" s="122" t="s">
        <v>3872</v>
      </c>
      <c r="E250" s="123">
        <v>42219</v>
      </c>
      <c r="F250" s="122" t="s">
        <v>3873</v>
      </c>
      <c r="G250" s="122" t="s">
        <v>235</v>
      </c>
      <c r="H250" s="122" t="s">
        <v>3874</v>
      </c>
      <c r="I250" s="122" t="s">
        <v>3875</v>
      </c>
      <c r="J250" s="122" t="s">
        <v>3876</v>
      </c>
      <c r="K250" s="122" t="s">
        <v>3364</v>
      </c>
      <c r="L250" s="122" t="s">
        <v>3365</v>
      </c>
      <c r="M250" s="122" t="s">
        <v>3366</v>
      </c>
      <c r="O250" s="141" t="s">
        <v>916</v>
      </c>
      <c r="P250" s="141" t="s">
        <v>3877</v>
      </c>
      <c r="Q250" s="122" t="s">
        <v>3369</v>
      </c>
      <c r="R250" s="142">
        <v>24</v>
      </c>
      <c r="S250" s="122" t="s">
        <v>3878</v>
      </c>
      <c r="U250" s="122" t="s">
        <v>3538</v>
      </c>
      <c r="W250" s="122" t="s">
        <v>246</v>
      </c>
      <c r="X250" s="122" t="s">
        <v>325</v>
      </c>
      <c r="Y250" s="141" t="s">
        <v>1125</v>
      </c>
      <c r="Z250" s="122" t="s">
        <v>3879</v>
      </c>
      <c r="AA250" s="141" t="s">
        <v>633</v>
      </c>
      <c r="AB250" s="122" t="s">
        <v>3880</v>
      </c>
      <c r="AC250" s="141" t="s">
        <v>3881</v>
      </c>
      <c r="AD250" s="122" t="s">
        <v>3882</v>
      </c>
      <c r="AE250" s="122" t="s">
        <v>235</v>
      </c>
      <c r="AF250" s="122" t="s">
        <v>3883</v>
      </c>
      <c r="AG250" s="122" t="s">
        <v>537</v>
      </c>
      <c r="AH250" s="122" t="s">
        <v>253</v>
      </c>
      <c r="AI250" s="122" t="s">
        <v>3884</v>
      </c>
      <c r="AJ250" s="122" t="s">
        <v>3885</v>
      </c>
      <c r="AK250" s="122" t="s">
        <v>253</v>
      </c>
      <c r="AL250" s="122" t="s">
        <v>253</v>
      </c>
      <c r="AM250" s="122" t="s">
        <v>253</v>
      </c>
      <c r="AN250" s="122" t="s">
        <v>253</v>
      </c>
      <c r="AO250" s="141" t="s">
        <v>247</v>
      </c>
      <c r="AP250" s="141" t="s">
        <v>247</v>
      </c>
      <c r="AQ250" s="141" t="s">
        <v>247</v>
      </c>
      <c r="AR250" s="141" t="s">
        <v>253</v>
      </c>
      <c r="AS250" s="141" t="s">
        <v>601</v>
      </c>
      <c r="AT250" s="141" t="s">
        <v>601</v>
      </c>
      <c r="AU250" s="141" t="s">
        <v>258</v>
      </c>
      <c r="AV250" s="122" t="s">
        <v>259</v>
      </c>
      <c r="AW250" s="122" t="s">
        <v>260</v>
      </c>
      <c r="AY250" s="141" t="s">
        <v>253</v>
      </c>
      <c r="AZ250" s="122" t="s">
        <v>3886</v>
      </c>
      <c r="BA250" s="122" t="s">
        <v>262</v>
      </c>
      <c r="BB250" s="122" t="s">
        <v>262</v>
      </c>
      <c r="BD250" s="122" t="s">
        <v>253</v>
      </c>
      <c r="BE250" s="122" t="s">
        <v>263</v>
      </c>
      <c r="BF250" s="122" t="s">
        <v>3547</v>
      </c>
      <c r="BH250" s="122" t="s">
        <v>3538</v>
      </c>
      <c r="BI250" s="142">
        <v>24</v>
      </c>
      <c r="BJ250" s="123">
        <v>42230</v>
      </c>
      <c r="BK250" s="139" t="s">
        <v>264</v>
      </c>
      <c r="BL250" s="140">
        <v>191.43</v>
      </c>
      <c r="BM250" s="122">
        <v>33</v>
      </c>
    </row>
    <row r="251" spans="1:65" x14ac:dyDescent="0.25">
      <c r="A251" s="122" t="s">
        <v>230</v>
      </c>
      <c r="B251" s="122" t="s">
        <v>3887</v>
      </c>
      <c r="C251" s="122" t="s">
        <v>3888</v>
      </c>
      <c r="D251" s="122" t="s">
        <v>3889</v>
      </c>
      <c r="E251" s="123">
        <v>42219</v>
      </c>
      <c r="F251" s="122" t="s">
        <v>3890</v>
      </c>
      <c r="G251" s="122" t="s">
        <v>235</v>
      </c>
      <c r="H251" s="122" t="s">
        <v>3891</v>
      </c>
      <c r="I251" s="122" t="s">
        <v>3892</v>
      </c>
      <c r="K251" s="122" t="s">
        <v>3385</v>
      </c>
      <c r="L251" s="122" t="s">
        <v>3386</v>
      </c>
      <c r="M251" s="122" t="s">
        <v>3486</v>
      </c>
      <c r="O251" s="141" t="s">
        <v>613</v>
      </c>
      <c r="P251" s="141" t="s">
        <v>3893</v>
      </c>
      <c r="Q251" s="122" t="s">
        <v>3389</v>
      </c>
      <c r="R251" s="142">
        <v>25</v>
      </c>
      <c r="S251" s="122" t="s">
        <v>3894</v>
      </c>
      <c r="U251" s="122" t="s">
        <v>3538</v>
      </c>
      <c r="W251" s="122" t="s">
        <v>246</v>
      </c>
      <c r="X251" s="122" t="s">
        <v>325</v>
      </c>
      <c r="Y251" s="141" t="s">
        <v>534</v>
      </c>
      <c r="Z251" s="122" t="s">
        <v>3895</v>
      </c>
      <c r="AA251" s="141" t="s">
        <v>1258</v>
      </c>
      <c r="AB251" s="122" t="s">
        <v>3895</v>
      </c>
      <c r="AC251" s="141" t="s">
        <v>281</v>
      </c>
      <c r="AD251" s="122" t="s">
        <v>3895</v>
      </c>
      <c r="AE251" s="122" t="s">
        <v>235</v>
      </c>
      <c r="AF251" s="122" t="s">
        <v>3896</v>
      </c>
      <c r="AG251" s="122" t="s">
        <v>537</v>
      </c>
      <c r="AH251" s="122" t="s">
        <v>253</v>
      </c>
      <c r="AI251" s="122" t="s">
        <v>3897</v>
      </c>
      <c r="AJ251" s="122" t="s">
        <v>3898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253</v>
      </c>
      <c r="AQ251" s="141" t="s">
        <v>253</v>
      </c>
      <c r="AR251" s="141" t="s">
        <v>253</v>
      </c>
      <c r="AS251" s="141" t="s">
        <v>601</v>
      </c>
      <c r="AT251" s="141" t="s">
        <v>258</v>
      </c>
      <c r="AU251" s="141" t="s">
        <v>258</v>
      </c>
      <c r="AV251" s="122" t="s">
        <v>259</v>
      </c>
      <c r="AW251" s="122" t="s">
        <v>260</v>
      </c>
      <c r="AY251" s="141" t="s">
        <v>253</v>
      </c>
      <c r="AZ251" s="122" t="s">
        <v>3899</v>
      </c>
      <c r="BA251" s="122" t="s">
        <v>3900</v>
      </c>
      <c r="BB251" s="122" t="s">
        <v>262</v>
      </c>
      <c r="BC251" s="141" t="s">
        <v>312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25</v>
      </c>
      <c r="BJ251" s="123">
        <v>42224</v>
      </c>
      <c r="BK251" s="139" t="s">
        <v>264</v>
      </c>
      <c r="BL251" s="140">
        <v>139.97</v>
      </c>
      <c r="BM251" s="122">
        <v>32</v>
      </c>
    </row>
    <row r="252" spans="1:65" x14ac:dyDescent="0.25">
      <c r="A252" s="122" t="s">
        <v>230</v>
      </c>
      <c r="B252" s="122" t="s">
        <v>3901</v>
      </c>
      <c r="C252" s="122" t="s">
        <v>3902</v>
      </c>
      <c r="D252" s="122" t="s">
        <v>3903</v>
      </c>
      <c r="E252" s="123">
        <v>42219</v>
      </c>
      <c r="F252" s="122" t="s">
        <v>1596</v>
      </c>
      <c r="G252" s="122" t="s">
        <v>235</v>
      </c>
      <c r="H252" s="122" t="s">
        <v>3904</v>
      </c>
      <c r="I252" s="122" t="s">
        <v>3905</v>
      </c>
      <c r="K252" s="122" t="s">
        <v>3452</v>
      </c>
      <c r="L252" s="122" t="s">
        <v>3453</v>
      </c>
      <c r="M252" s="122" t="s">
        <v>3454</v>
      </c>
      <c r="O252" s="141" t="s">
        <v>2559</v>
      </c>
      <c r="P252" s="141" t="s">
        <v>3906</v>
      </c>
      <c r="Q252" s="122" t="s">
        <v>3389</v>
      </c>
      <c r="R252" s="142">
        <v>26</v>
      </c>
      <c r="S252" s="122" t="s">
        <v>3907</v>
      </c>
      <c r="U252" s="122" t="s">
        <v>3538</v>
      </c>
      <c r="W252" s="122" t="s">
        <v>246</v>
      </c>
      <c r="X252" s="122" t="s">
        <v>325</v>
      </c>
      <c r="Y252" s="141" t="s">
        <v>1876</v>
      </c>
      <c r="Z252" s="122" t="s">
        <v>3908</v>
      </c>
      <c r="AA252" s="141" t="s">
        <v>879</v>
      </c>
      <c r="AB252" s="122" t="s">
        <v>3909</v>
      </c>
      <c r="AC252" s="141" t="s">
        <v>3910</v>
      </c>
      <c r="AD252" s="122" t="s">
        <v>3911</v>
      </c>
      <c r="AE252" s="122" t="s">
        <v>235</v>
      </c>
      <c r="AF252" s="122" t="s">
        <v>3912</v>
      </c>
      <c r="AG252" s="122" t="s">
        <v>537</v>
      </c>
      <c r="AH252" s="122" t="s">
        <v>253</v>
      </c>
      <c r="AI252" s="122" t="s">
        <v>3913</v>
      </c>
      <c r="AJ252" s="122" t="s">
        <v>3914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253</v>
      </c>
      <c r="AP252" s="141" t="s">
        <v>253</v>
      </c>
      <c r="AQ252" s="141" t="s">
        <v>247</v>
      </c>
      <c r="AR252" s="141" t="s">
        <v>253</v>
      </c>
      <c r="AS252" s="141" t="s">
        <v>361</v>
      </c>
      <c r="AT252" s="141" t="s">
        <v>601</v>
      </c>
      <c r="AU252" s="141" t="s">
        <v>258</v>
      </c>
      <c r="AV252" s="122" t="s">
        <v>259</v>
      </c>
      <c r="AW252" s="122" t="s">
        <v>260</v>
      </c>
      <c r="AY252" s="141" t="s">
        <v>253</v>
      </c>
      <c r="AZ252" s="122" t="s">
        <v>3915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26</v>
      </c>
      <c r="BJ252" s="123">
        <v>42232</v>
      </c>
      <c r="BK252" s="139" t="s">
        <v>264</v>
      </c>
      <c r="BL252" s="140">
        <v>161.41</v>
      </c>
      <c r="BM252" s="122">
        <v>33</v>
      </c>
    </row>
    <row r="253" spans="1:65" x14ac:dyDescent="0.25">
      <c r="A253" s="122" t="s">
        <v>230</v>
      </c>
      <c r="B253" s="122" t="s">
        <v>3916</v>
      </c>
      <c r="C253" s="122" t="s">
        <v>3917</v>
      </c>
      <c r="D253" s="122" t="s">
        <v>3918</v>
      </c>
      <c r="E253" s="123">
        <v>42219</v>
      </c>
      <c r="F253" s="122" t="s">
        <v>3919</v>
      </c>
      <c r="G253" s="122" t="s">
        <v>235</v>
      </c>
      <c r="H253" s="122" t="s">
        <v>3920</v>
      </c>
      <c r="I253" s="122" t="s">
        <v>3921</v>
      </c>
      <c r="K253" s="122" t="s">
        <v>3364</v>
      </c>
      <c r="L253" s="122" t="s">
        <v>3365</v>
      </c>
      <c r="M253" s="122" t="s">
        <v>3366</v>
      </c>
      <c r="Q253" s="122" t="s">
        <v>3369</v>
      </c>
      <c r="R253" s="142">
        <v>27</v>
      </c>
      <c r="S253" s="122" t="s">
        <v>3922</v>
      </c>
      <c r="U253" s="122" t="s">
        <v>3538</v>
      </c>
      <c r="W253" s="122" t="s">
        <v>246</v>
      </c>
      <c r="X253" s="122" t="s">
        <v>247</v>
      </c>
      <c r="Y253" s="141" t="s">
        <v>457</v>
      </c>
      <c r="Z253" s="122" t="s">
        <v>3923</v>
      </c>
      <c r="AA253" s="141" t="s">
        <v>1969</v>
      </c>
      <c r="AB253" s="122" t="s">
        <v>2060</v>
      </c>
      <c r="AC253" s="141" t="s">
        <v>3924</v>
      </c>
      <c r="AD253" s="122" t="s">
        <v>3925</v>
      </c>
      <c r="AE253" s="122" t="s">
        <v>235</v>
      </c>
      <c r="AF253" s="122" t="s">
        <v>3926</v>
      </c>
      <c r="AG253" s="122" t="s">
        <v>253</v>
      </c>
      <c r="AH253" s="122" t="s">
        <v>253</v>
      </c>
      <c r="AI253" s="122" t="s">
        <v>3927</v>
      </c>
      <c r="AJ253" s="122" t="s">
        <v>3928</v>
      </c>
      <c r="AK253" s="122" t="s">
        <v>3929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253</v>
      </c>
      <c r="AQ253" s="141" t="s">
        <v>253</v>
      </c>
      <c r="AR253" s="141" t="s">
        <v>253</v>
      </c>
      <c r="AS253" s="141" t="s">
        <v>601</v>
      </c>
      <c r="AT253" s="141" t="s">
        <v>258</v>
      </c>
      <c r="AU253" s="141" t="s">
        <v>258</v>
      </c>
      <c r="AV253" s="122" t="s">
        <v>259</v>
      </c>
      <c r="AW253" s="122" t="s">
        <v>260</v>
      </c>
      <c r="AY253" s="141" t="s">
        <v>253</v>
      </c>
      <c r="AZ253" s="122" t="s">
        <v>3930</v>
      </c>
      <c r="BA253" s="122" t="s">
        <v>262</v>
      </c>
      <c r="BB253" s="122" t="s">
        <v>262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27</v>
      </c>
      <c r="BJ253" s="123">
        <v>42233</v>
      </c>
      <c r="BK253" s="139" t="s">
        <v>606</v>
      </c>
      <c r="BM253" s="122">
        <v>34</v>
      </c>
    </row>
    <row r="254" spans="1:65" x14ac:dyDescent="0.25">
      <c r="A254" s="122" t="s">
        <v>230</v>
      </c>
      <c r="B254" s="122" t="s">
        <v>3931</v>
      </c>
      <c r="C254" s="122" t="s">
        <v>3932</v>
      </c>
      <c r="D254" s="122" t="s">
        <v>3933</v>
      </c>
      <c r="E254" s="123">
        <v>42219</v>
      </c>
      <c r="F254" s="122" t="s">
        <v>500</v>
      </c>
      <c r="G254" s="122" t="s">
        <v>235</v>
      </c>
      <c r="H254" s="122" t="s">
        <v>3934</v>
      </c>
      <c r="I254" s="122" t="s">
        <v>3935</v>
      </c>
      <c r="K254" s="122" t="s">
        <v>3364</v>
      </c>
      <c r="L254" s="122" t="s">
        <v>3365</v>
      </c>
      <c r="M254" s="122" t="s">
        <v>3366</v>
      </c>
      <c r="O254" s="141" t="s">
        <v>3936</v>
      </c>
      <c r="P254" s="141" t="s">
        <v>3937</v>
      </c>
      <c r="Q254" s="122" t="s">
        <v>3369</v>
      </c>
      <c r="R254" s="142">
        <v>28</v>
      </c>
      <c r="S254" s="122" t="s">
        <v>3938</v>
      </c>
      <c r="T254" s="122" t="s">
        <v>3939</v>
      </c>
      <c r="U254" s="122" t="s">
        <v>3538</v>
      </c>
      <c r="W254" s="122" t="s">
        <v>246</v>
      </c>
      <c r="X254" s="122" t="s">
        <v>325</v>
      </c>
      <c r="Y254" s="141" t="s">
        <v>328</v>
      </c>
      <c r="Z254" s="122" t="s">
        <v>3940</v>
      </c>
      <c r="AA254" s="141" t="s">
        <v>3941</v>
      </c>
      <c r="AB254" s="122" t="s">
        <v>3942</v>
      </c>
      <c r="AC254" s="141" t="s">
        <v>2634</v>
      </c>
      <c r="AD254" s="122" t="s">
        <v>3943</v>
      </c>
      <c r="AE254" s="122" t="s">
        <v>235</v>
      </c>
      <c r="AF254" s="122" t="s">
        <v>3944</v>
      </c>
      <c r="AG254" s="122" t="s">
        <v>537</v>
      </c>
      <c r="AH254" s="122" t="s">
        <v>253</v>
      </c>
      <c r="AI254" s="122" t="s">
        <v>3928</v>
      </c>
      <c r="AJ254" s="122" t="s">
        <v>3945</v>
      </c>
      <c r="AK254" s="122" t="s">
        <v>253</v>
      </c>
      <c r="AL254" s="122" t="s">
        <v>253</v>
      </c>
      <c r="AM254" s="122" t="s">
        <v>253</v>
      </c>
      <c r="AN254" s="122" t="s">
        <v>253</v>
      </c>
      <c r="AO254" s="141" t="s">
        <v>247</v>
      </c>
      <c r="AP254" s="141" t="s">
        <v>253</v>
      </c>
      <c r="AQ254" s="141" t="s">
        <v>253</v>
      </c>
      <c r="AR254" s="141" t="s">
        <v>253</v>
      </c>
      <c r="AS254" s="141" t="s">
        <v>601</v>
      </c>
      <c r="AT254" s="141" t="s">
        <v>258</v>
      </c>
      <c r="AU254" s="141" t="s">
        <v>258</v>
      </c>
      <c r="AV254" s="122" t="s">
        <v>259</v>
      </c>
      <c r="AW254" s="122" t="s">
        <v>260</v>
      </c>
      <c r="AY254" s="141" t="s">
        <v>253</v>
      </c>
      <c r="AZ254" s="122" t="s">
        <v>3946</v>
      </c>
      <c r="BA254" s="122" t="s">
        <v>3947</v>
      </c>
      <c r="BB254" s="122" t="s">
        <v>262</v>
      </c>
      <c r="BC254" s="141" t="s">
        <v>312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28</v>
      </c>
      <c r="BJ254" s="123">
        <v>42233</v>
      </c>
      <c r="BK254" s="139" t="s">
        <v>606</v>
      </c>
      <c r="BM254" s="122">
        <v>34</v>
      </c>
    </row>
    <row r="255" spans="1:65" x14ac:dyDescent="0.25">
      <c r="A255" s="122" t="s">
        <v>230</v>
      </c>
      <c r="B255" s="122" t="s">
        <v>3948</v>
      </c>
      <c r="C255" s="122" t="s">
        <v>3949</v>
      </c>
      <c r="D255" s="122" t="s">
        <v>3950</v>
      </c>
      <c r="E255" s="123">
        <v>42219</v>
      </c>
      <c r="F255" s="122" t="s">
        <v>356</v>
      </c>
      <c r="G255" s="122" t="s">
        <v>235</v>
      </c>
      <c r="H255" s="122" t="s">
        <v>448</v>
      </c>
      <c r="I255" s="122" t="s">
        <v>3951</v>
      </c>
      <c r="K255" s="122" t="s">
        <v>3533</v>
      </c>
      <c r="L255" s="122" t="s">
        <v>3534</v>
      </c>
      <c r="M255" s="122" t="s">
        <v>3535</v>
      </c>
      <c r="Q255" s="122" t="s">
        <v>3369</v>
      </c>
      <c r="R255" s="142">
        <v>29</v>
      </c>
      <c r="S255" s="122" t="s">
        <v>3952</v>
      </c>
      <c r="U255" s="122" t="s">
        <v>3538</v>
      </c>
      <c r="V255" s="122" t="s">
        <v>351</v>
      </c>
      <c r="W255" s="122" t="s">
        <v>246</v>
      </c>
      <c r="X255" s="122" t="s">
        <v>631</v>
      </c>
      <c r="Z255" s="122" t="s">
        <v>250</v>
      </c>
      <c r="AB255" s="122" t="s">
        <v>250</v>
      </c>
      <c r="AD255" s="122" t="s">
        <v>250</v>
      </c>
      <c r="AE255" s="122" t="s">
        <v>235</v>
      </c>
      <c r="AF255" s="122" t="s">
        <v>3953</v>
      </c>
      <c r="AG255" s="122" t="s">
        <v>537</v>
      </c>
      <c r="AH255" s="122" t="s">
        <v>253</v>
      </c>
      <c r="AI255" s="122" t="s">
        <v>3954</v>
      </c>
      <c r="AJ255" s="122" t="s">
        <v>3955</v>
      </c>
      <c r="AK255" s="122" t="s">
        <v>253</v>
      </c>
      <c r="AL255" s="122" t="s">
        <v>253</v>
      </c>
      <c r="AM255" s="122" t="s">
        <v>253</v>
      </c>
      <c r="AN255" s="122" t="s">
        <v>253</v>
      </c>
      <c r="AO255" s="141" t="s">
        <v>247</v>
      </c>
      <c r="AP255" s="141" t="s">
        <v>253</v>
      </c>
      <c r="AQ255" s="141" t="s">
        <v>253</v>
      </c>
      <c r="AR255" s="141" t="s">
        <v>253</v>
      </c>
      <c r="AS255" s="141" t="s">
        <v>601</v>
      </c>
      <c r="AT255" s="141" t="s">
        <v>258</v>
      </c>
      <c r="AU255" s="141" t="s">
        <v>258</v>
      </c>
      <c r="AV255" s="122" t="s">
        <v>259</v>
      </c>
      <c r="AW255" s="122" t="s">
        <v>260</v>
      </c>
      <c r="AY255" s="141" t="s">
        <v>253</v>
      </c>
      <c r="AZ255" s="122" t="s">
        <v>262</v>
      </c>
      <c r="BA255" s="122" t="s">
        <v>262</v>
      </c>
      <c r="BB255" s="122" t="s">
        <v>3956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29</v>
      </c>
      <c r="BJ255" s="123">
        <v>42233</v>
      </c>
      <c r="BK255" s="139" t="s">
        <v>2891</v>
      </c>
      <c r="BM255" s="122">
        <v>34</v>
      </c>
    </row>
    <row r="256" spans="1:65" x14ac:dyDescent="0.25">
      <c r="A256" s="122" t="s">
        <v>230</v>
      </c>
      <c r="B256" s="122" t="s">
        <v>3957</v>
      </c>
      <c r="C256" s="122" t="s">
        <v>3958</v>
      </c>
      <c r="D256" s="122" t="s">
        <v>3959</v>
      </c>
      <c r="E256" s="123">
        <v>42219</v>
      </c>
      <c r="F256" s="122" t="s">
        <v>3960</v>
      </c>
      <c r="G256" s="122" t="s">
        <v>235</v>
      </c>
      <c r="H256" s="122" t="s">
        <v>3961</v>
      </c>
      <c r="I256" s="122" t="s">
        <v>3962</v>
      </c>
      <c r="J256" s="122" t="s">
        <v>2005</v>
      </c>
      <c r="K256" s="122" t="s">
        <v>3385</v>
      </c>
      <c r="L256" s="122" t="s">
        <v>3386</v>
      </c>
      <c r="M256" s="122" t="s">
        <v>3486</v>
      </c>
      <c r="O256" s="141" t="s">
        <v>451</v>
      </c>
      <c r="P256" s="141" t="s">
        <v>3963</v>
      </c>
      <c r="Q256" s="122" t="s">
        <v>3389</v>
      </c>
      <c r="R256" s="142">
        <v>30</v>
      </c>
      <c r="S256" s="122" t="s">
        <v>3964</v>
      </c>
      <c r="U256" s="122" t="s">
        <v>3538</v>
      </c>
      <c r="W256" s="122" t="s">
        <v>246</v>
      </c>
      <c r="X256" s="122" t="s">
        <v>631</v>
      </c>
      <c r="Y256" s="141" t="s">
        <v>1125</v>
      </c>
      <c r="Z256" s="122" t="s">
        <v>3965</v>
      </c>
      <c r="AA256" s="141" t="s">
        <v>1896</v>
      </c>
      <c r="AB256" s="122" t="s">
        <v>307</v>
      </c>
      <c r="AC256" s="141" t="s">
        <v>1896</v>
      </c>
      <c r="AD256" s="122" t="s">
        <v>3966</v>
      </c>
      <c r="AE256" s="122" t="s">
        <v>235</v>
      </c>
      <c r="AF256" s="122" t="s">
        <v>3967</v>
      </c>
      <c r="AG256" s="122" t="s">
        <v>537</v>
      </c>
      <c r="AH256" s="122" t="s">
        <v>253</v>
      </c>
      <c r="AI256" s="122" t="s">
        <v>3968</v>
      </c>
      <c r="AJ256" s="122" t="s">
        <v>3969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247</v>
      </c>
      <c r="AP256" s="141" t="s">
        <v>247</v>
      </c>
      <c r="AQ256" s="141" t="s">
        <v>247</v>
      </c>
      <c r="AR256" s="141" t="s">
        <v>247</v>
      </c>
      <c r="AS256" s="141" t="s">
        <v>601</v>
      </c>
      <c r="AT256" s="141" t="s">
        <v>601</v>
      </c>
      <c r="AU256" s="141" t="s">
        <v>257</v>
      </c>
      <c r="AV256" s="122" t="s">
        <v>259</v>
      </c>
      <c r="AW256" s="122" t="s">
        <v>260</v>
      </c>
      <c r="AY256" s="141" t="s">
        <v>253</v>
      </c>
      <c r="AZ256" s="122" t="s">
        <v>3970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30</v>
      </c>
      <c r="BJ256" s="123">
        <v>42231</v>
      </c>
      <c r="BK256" s="139" t="s">
        <v>264</v>
      </c>
      <c r="BL256" s="140">
        <v>316.89</v>
      </c>
      <c r="BM256" s="122">
        <v>33</v>
      </c>
    </row>
    <row r="257" spans="1:65" x14ac:dyDescent="0.25">
      <c r="A257" s="122" t="s">
        <v>230</v>
      </c>
      <c r="B257" s="122" t="s">
        <v>3971</v>
      </c>
      <c r="C257" s="122" t="s">
        <v>3972</v>
      </c>
      <c r="D257" s="122" t="s">
        <v>3973</v>
      </c>
      <c r="E257" s="123">
        <v>42219</v>
      </c>
      <c r="F257" s="122" t="s">
        <v>3974</v>
      </c>
      <c r="G257" s="122" t="s">
        <v>235</v>
      </c>
      <c r="H257" s="122" t="s">
        <v>3975</v>
      </c>
      <c r="I257" s="122" t="s">
        <v>3976</v>
      </c>
      <c r="J257" s="122" t="s">
        <v>2951</v>
      </c>
      <c r="K257" s="122" t="s">
        <v>3533</v>
      </c>
      <c r="L257" s="122" t="s">
        <v>3534</v>
      </c>
      <c r="M257" s="122" t="s">
        <v>3535</v>
      </c>
      <c r="O257" s="141" t="s">
        <v>3977</v>
      </c>
      <c r="P257" s="141" t="s">
        <v>3978</v>
      </c>
      <c r="Q257" s="122" t="s">
        <v>3369</v>
      </c>
      <c r="R257" s="142">
        <v>31</v>
      </c>
      <c r="S257" s="122" t="s">
        <v>3979</v>
      </c>
      <c r="U257" s="122" t="s">
        <v>3538</v>
      </c>
      <c r="W257" s="122" t="s">
        <v>246</v>
      </c>
      <c r="X257" s="122" t="s">
        <v>631</v>
      </c>
      <c r="Y257" s="141" t="s">
        <v>534</v>
      </c>
      <c r="Z257" s="122" t="s">
        <v>3980</v>
      </c>
      <c r="AA257" s="141" t="s">
        <v>328</v>
      </c>
      <c r="AB257" s="122" t="s">
        <v>3981</v>
      </c>
      <c r="AC257" s="141" t="s">
        <v>1423</v>
      </c>
      <c r="AD257" s="122" t="s">
        <v>3982</v>
      </c>
      <c r="AE257" s="122" t="s">
        <v>235</v>
      </c>
      <c r="AF257" s="122" t="s">
        <v>3983</v>
      </c>
      <c r="AG257" s="122" t="s">
        <v>537</v>
      </c>
      <c r="AH257" s="122" t="s">
        <v>253</v>
      </c>
      <c r="AI257" s="122" t="s">
        <v>3984</v>
      </c>
      <c r="AJ257" s="122" t="s">
        <v>3985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247</v>
      </c>
      <c r="AP257" s="141" t="s">
        <v>247</v>
      </c>
      <c r="AQ257" s="141" t="s">
        <v>247</v>
      </c>
      <c r="AR257" s="141" t="s">
        <v>247</v>
      </c>
      <c r="AS257" s="141" t="s">
        <v>601</v>
      </c>
      <c r="AT257" s="141" t="s">
        <v>601</v>
      </c>
      <c r="AU257" s="141" t="s">
        <v>257</v>
      </c>
      <c r="AV257" s="122" t="s">
        <v>259</v>
      </c>
      <c r="AW257" s="122" t="s">
        <v>260</v>
      </c>
      <c r="AY257" s="141" t="s">
        <v>253</v>
      </c>
      <c r="AZ257" s="122" t="s">
        <v>3986</v>
      </c>
      <c r="BA257" s="122" t="s">
        <v>262</v>
      </c>
      <c r="BB257" s="122" t="s">
        <v>3987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31</v>
      </c>
      <c r="BJ257" s="123">
        <v>42233</v>
      </c>
      <c r="BK257" s="139" t="s">
        <v>606</v>
      </c>
      <c r="BM257" s="122">
        <v>34</v>
      </c>
    </row>
    <row r="258" spans="1:65" x14ac:dyDescent="0.25">
      <c r="A258" s="122" t="s">
        <v>230</v>
      </c>
      <c r="B258" s="122" t="s">
        <v>3988</v>
      </c>
      <c r="C258" s="122" t="s">
        <v>3989</v>
      </c>
      <c r="D258" s="122" t="s">
        <v>3990</v>
      </c>
      <c r="E258" s="123">
        <v>42219</v>
      </c>
      <c r="F258" s="122" t="s">
        <v>921</v>
      </c>
      <c r="G258" s="122" t="s">
        <v>235</v>
      </c>
      <c r="H258" s="122" t="s">
        <v>3991</v>
      </c>
      <c r="I258" s="122" t="s">
        <v>3992</v>
      </c>
      <c r="J258" s="122" t="s">
        <v>2116</v>
      </c>
      <c r="K258" s="122" t="s">
        <v>3385</v>
      </c>
      <c r="L258" s="122" t="s">
        <v>3554</v>
      </c>
      <c r="M258" s="122" t="s">
        <v>3555</v>
      </c>
      <c r="O258" s="141" t="s">
        <v>373</v>
      </c>
      <c r="P258" s="141" t="s">
        <v>3993</v>
      </c>
      <c r="Q258" s="122" t="s">
        <v>3389</v>
      </c>
      <c r="R258" s="142">
        <v>32</v>
      </c>
      <c r="S258" s="122" t="s">
        <v>3994</v>
      </c>
      <c r="U258" s="122" t="s">
        <v>3538</v>
      </c>
      <c r="W258" s="122" t="s">
        <v>246</v>
      </c>
      <c r="X258" s="122" t="s">
        <v>247</v>
      </c>
      <c r="Y258" s="141" t="s">
        <v>1440</v>
      </c>
      <c r="Z258" s="122" t="s">
        <v>3995</v>
      </c>
      <c r="AA258" s="141" t="s">
        <v>417</v>
      </c>
      <c r="AB258" s="122" t="s">
        <v>3996</v>
      </c>
      <c r="AD258" s="122" t="s">
        <v>250</v>
      </c>
      <c r="AE258" s="122" t="s">
        <v>235</v>
      </c>
      <c r="AF258" s="122" t="s">
        <v>3997</v>
      </c>
      <c r="AG258" s="122" t="s">
        <v>253</v>
      </c>
      <c r="AH258" s="122" t="s">
        <v>253</v>
      </c>
      <c r="AI258" s="122" t="s">
        <v>3998</v>
      </c>
      <c r="AJ258" s="122" t="s">
        <v>3999</v>
      </c>
      <c r="AK258" s="122" t="s">
        <v>4000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253</v>
      </c>
      <c r="AQ258" s="141" t="s">
        <v>247</v>
      </c>
      <c r="AR258" s="141" t="s">
        <v>253</v>
      </c>
      <c r="AS258" s="141" t="s">
        <v>601</v>
      </c>
      <c r="AT258" s="141" t="s">
        <v>601</v>
      </c>
      <c r="AU258" s="141" t="s">
        <v>258</v>
      </c>
      <c r="AV258" s="122" t="s">
        <v>259</v>
      </c>
      <c r="AW258" s="122" t="s">
        <v>260</v>
      </c>
      <c r="AY258" s="141" t="s">
        <v>253</v>
      </c>
      <c r="AZ258" s="122" t="s">
        <v>4001</v>
      </c>
      <c r="BA258" s="122" t="s">
        <v>262</v>
      </c>
      <c r="BB258" s="122" t="s">
        <v>262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32</v>
      </c>
      <c r="BJ258" s="123">
        <v>42233</v>
      </c>
      <c r="BK258" s="139" t="s">
        <v>606</v>
      </c>
      <c r="BM258" s="122">
        <v>34</v>
      </c>
    </row>
    <row r="259" spans="1:65" x14ac:dyDescent="0.25">
      <c r="A259" s="122" t="s">
        <v>888</v>
      </c>
      <c r="B259" s="122" t="s">
        <v>4002</v>
      </c>
      <c r="C259" s="122" t="s">
        <v>4003</v>
      </c>
      <c r="D259" s="122" t="s">
        <v>4004</v>
      </c>
      <c r="E259" s="123">
        <v>42219</v>
      </c>
      <c r="F259" s="122" t="s">
        <v>765</v>
      </c>
      <c r="G259" s="122" t="s">
        <v>235</v>
      </c>
      <c r="H259" s="122" t="s">
        <v>4005</v>
      </c>
      <c r="I259" s="122" t="s">
        <v>4006</v>
      </c>
      <c r="J259" s="122" t="s">
        <v>4007</v>
      </c>
      <c r="K259" s="122" t="s">
        <v>3385</v>
      </c>
      <c r="L259" s="122" t="s">
        <v>3386</v>
      </c>
      <c r="M259" s="122" t="s">
        <v>3405</v>
      </c>
      <c r="O259" s="141" t="s">
        <v>566</v>
      </c>
      <c r="P259" s="141" t="s">
        <v>4008</v>
      </c>
      <c r="Q259" s="122" t="s">
        <v>3389</v>
      </c>
      <c r="R259" s="142">
        <v>33</v>
      </c>
      <c r="S259" s="122" t="s">
        <v>4009</v>
      </c>
      <c r="U259" s="122" t="s">
        <v>3538</v>
      </c>
      <c r="W259" s="122" t="s">
        <v>246</v>
      </c>
      <c r="X259" s="122" t="s">
        <v>497</v>
      </c>
      <c r="Y259" s="141" t="s">
        <v>1209</v>
      </c>
      <c r="Z259" s="122" t="s">
        <v>4010</v>
      </c>
      <c r="AA259" s="141" t="s">
        <v>234</v>
      </c>
      <c r="AB259" s="122" t="s">
        <v>1792</v>
      </c>
      <c r="AD259" s="122" t="s">
        <v>250</v>
      </c>
      <c r="AE259" s="122" t="s">
        <v>235</v>
      </c>
      <c r="AF259" s="122" t="s">
        <v>4011</v>
      </c>
      <c r="AG259" s="122" t="s">
        <v>537</v>
      </c>
      <c r="AH259" s="122" t="s">
        <v>253</v>
      </c>
      <c r="AI259" s="122" t="s">
        <v>4012</v>
      </c>
      <c r="AJ259" s="122" t="s">
        <v>4013</v>
      </c>
      <c r="AK259" s="122" t="s">
        <v>253</v>
      </c>
      <c r="AL259" s="122" t="s">
        <v>4014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253</v>
      </c>
      <c r="AS259" s="141" t="s">
        <v>601</v>
      </c>
      <c r="AT259" s="141" t="s">
        <v>601</v>
      </c>
      <c r="AU259" s="141" t="s">
        <v>258</v>
      </c>
      <c r="AV259" s="122" t="s">
        <v>259</v>
      </c>
      <c r="AW259" s="122" t="s">
        <v>260</v>
      </c>
      <c r="AX259" s="141" t="s">
        <v>4015</v>
      </c>
      <c r="AY259" s="141" t="s">
        <v>247</v>
      </c>
      <c r="AZ259" s="122" t="s">
        <v>4016</v>
      </c>
      <c r="BA259" s="122" t="s">
        <v>262</v>
      </c>
      <c r="BB259" s="122" t="s">
        <v>262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33</v>
      </c>
      <c r="BJ259" s="123">
        <v>42233</v>
      </c>
      <c r="BK259" s="139" t="s">
        <v>606</v>
      </c>
      <c r="BM259" s="122">
        <v>34</v>
      </c>
    </row>
    <row r="260" spans="1:65" x14ac:dyDescent="0.25">
      <c r="A260" s="122" t="s">
        <v>888</v>
      </c>
      <c r="B260" s="122" t="s">
        <v>4017</v>
      </c>
      <c r="C260" s="122" t="s">
        <v>4018</v>
      </c>
      <c r="D260" s="122" t="s">
        <v>4019</v>
      </c>
      <c r="E260" s="123">
        <v>42219</v>
      </c>
      <c r="F260" s="122" t="s">
        <v>1402</v>
      </c>
      <c r="G260" s="122" t="s">
        <v>235</v>
      </c>
      <c r="H260" s="122" t="s">
        <v>4020</v>
      </c>
      <c r="I260" s="122" t="s">
        <v>4021</v>
      </c>
      <c r="K260" s="122" t="s">
        <v>3385</v>
      </c>
      <c r="L260" s="122" t="s">
        <v>3386</v>
      </c>
      <c r="M260" s="122" t="s">
        <v>3486</v>
      </c>
      <c r="O260" s="141" t="s">
        <v>2559</v>
      </c>
      <c r="P260" s="141" t="s">
        <v>4022</v>
      </c>
      <c r="Q260" s="122" t="s">
        <v>3389</v>
      </c>
      <c r="R260" s="142">
        <v>34</v>
      </c>
      <c r="S260" s="122" t="s">
        <v>4023</v>
      </c>
      <c r="U260" s="122" t="s">
        <v>3538</v>
      </c>
      <c r="W260" s="122" t="s">
        <v>246</v>
      </c>
      <c r="X260" s="122" t="s">
        <v>721</v>
      </c>
      <c r="Y260" s="141" t="s">
        <v>685</v>
      </c>
      <c r="Z260" s="122" t="s">
        <v>4024</v>
      </c>
      <c r="AA260" s="141" t="s">
        <v>744</v>
      </c>
      <c r="AB260" s="122" t="s">
        <v>4025</v>
      </c>
      <c r="AC260" s="141" t="s">
        <v>502</v>
      </c>
      <c r="AD260" s="122" t="s">
        <v>4026</v>
      </c>
      <c r="AE260" s="122" t="s">
        <v>235</v>
      </c>
      <c r="AF260" s="122" t="s">
        <v>4027</v>
      </c>
      <c r="AG260" s="122" t="s">
        <v>537</v>
      </c>
      <c r="AH260" s="122" t="s">
        <v>253</v>
      </c>
      <c r="AI260" s="122" t="s">
        <v>4028</v>
      </c>
      <c r="AJ260" s="122" t="s">
        <v>4029</v>
      </c>
      <c r="AK260" s="122" t="s">
        <v>253</v>
      </c>
      <c r="AL260" s="122" t="s">
        <v>253</v>
      </c>
      <c r="AM260" s="122" t="s">
        <v>253</v>
      </c>
      <c r="AN260" s="122" t="s">
        <v>253</v>
      </c>
      <c r="AO260" s="141" t="s">
        <v>247</v>
      </c>
      <c r="AP260" s="141" t="s">
        <v>247</v>
      </c>
      <c r="AQ260" s="141" t="s">
        <v>247</v>
      </c>
      <c r="AR260" s="141" t="s">
        <v>253</v>
      </c>
      <c r="AS260" s="141" t="s">
        <v>601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41" t="s">
        <v>253</v>
      </c>
      <c r="AZ260" s="122" t="s">
        <v>4030</v>
      </c>
      <c r="BA260" s="122" t="s">
        <v>262</v>
      </c>
      <c r="BB260" s="122" t="s">
        <v>262</v>
      </c>
      <c r="BD260" s="122" t="s">
        <v>253</v>
      </c>
      <c r="BE260" s="122" t="s">
        <v>263</v>
      </c>
      <c r="BF260" s="122" t="s">
        <v>3547</v>
      </c>
      <c r="BH260" s="122" t="s">
        <v>3538</v>
      </c>
      <c r="BI260" s="142">
        <v>34</v>
      </c>
      <c r="BJ260" s="123">
        <v>42229</v>
      </c>
      <c r="BK260" s="139" t="s">
        <v>2891</v>
      </c>
      <c r="BM260" s="122">
        <v>33</v>
      </c>
    </row>
    <row r="261" spans="1:65" x14ac:dyDescent="0.25">
      <c r="A261" s="122" t="s">
        <v>888</v>
      </c>
      <c r="B261" s="122" t="s">
        <v>4031</v>
      </c>
      <c r="C261" s="122" t="s">
        <v>4032</v>
      </c>
      <c r="D261" s="122" t="s">
        <v>4033</v>
      </c>
      <c r="E261" s="123">
        <v>42219</v>
      </c>
      <c r="F261" s="122" t="s">
        <v>4034</v>
      </c>
      <c r="G261" s="122" t="s">
        <v>235</v>
      </c>
      <c r="H261" s="122" t="s">
        <v>4035</v>
      </c>
      <c r="I261" s="122" t="s">
        <v>4036</v>
      </c>
      <c r="J261" s="122" t="s">
        <v>4037</v>
      </c>
      <c r="K261" s="122" t="s">
        <v>3533</v>
      </c>
      <c r="L261" s="122" t="s">
        <v>3534</v>
      </c>
      <c r="M261" s="122" t="s">
        <v>3535</v>
      </c>
      <c r="O261" s="141" t="s">
        <v>1174</v>
      </c>
      <c r="P261" s="141" t="s">
        <v>4038</v>
      </c>
      <c r="Q261" s="122" t="s">
        <v>3369</v>
      </c>
      <c r="R261" s="142">
        <v>35</v>
      </c>
      <c r="S261" s="122" t="s">
        <v>4039</v>
      </c>
      <c r="U261" s="122" t="s">
        <v>3538</v>
      </c>
      <c r="V261" s="122" t="s">
        <v>351</v>
      </c>
      <c r="W261" s="122" t="s">
        <v>246</v>
      </c>
      <c r="X261" s="122" t="s">
        <v>1643</v>
      </c>
      <c r="Y261" s="141" t="s">
        <v>1612</v>
      </c>
      <c r="Z261" s="122" t="s">
        <v>4040</v>
      </c>
      <c r="AA261" s="141" t="s">
        <v>763</v>
      </c>
      <c r="AB261" s="122" t="s">
        <v>4041</v>
      </c>
      <c r="AC261" s="141" t="s">
        <v>921</v>
      </c>
      <c r="AD261" s="122" t="s">
        <v>4041</v>
      </c>
      <c r="AE261" s="122" t="s">
        <v>235</v>
      </c>
      <c r="AF261" s="122" t="s">
        <v>4042</v>
      </c>
      <c r="AG261" s="122" t="s">
        <v>537</v>
      </c>
      <c r="AH261" s="122" t="s">
        <v>253</v>
      </c>
      <c r="AI261" s="122" t="s">
        <v>4043</v>
      </c>
      <c r="AJ261" s="122" t="s">
        <v>4044</v>
      </c>
      <c r="AK261" s="122" t="s">
        <v>253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253</v>
      </c>
      <c r="AQ261" s="141" t="s">
        <v>247</v>
      </c>
      <c r="AR261" s="141" t="s">
        <v>253</v>
      </c>
      <c r="AS261" s="141" t="s">
        <v>601</v>
      </c>
      <c r="AT261" s="141" t="s">
        <v>601</v>
      </c>
      <c r="AU261" s="141" t="s">
        <v>258</v>
      </c>
      <c r="AV261" s="122" t="s">
        <v>259</v>
      </c>
      <c r="AW261" s="122" t="s">
        <v>260</v>
      </c>
      <c r="AY261" s="141" t="s">
        <v>253</v>
      </c>
      <c r="AZ261" s="122" t="s">
        <v>4045</v>
      </c>
      <c r="BA261" s="122" t="s">
        <v>262</v>
      </c>
      <c r="BB261" s="122" t="s">
        <v>4045</v>
      </c>
      <c r="BC261" s="141" t="s">
        <v>312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35</v>
      </c>
      <c r="BJ261" s="123">
        <v>42224</v>
      </c>
      <c r="BK261" s="139" t="s">
        <v>264</v>
      </c>
      <c r="BL261" s="140">
        <v>66.989999999999995</v>
      </c>
      <c r="BM261" s="122">
        <v>32</v>
      </c>
    </row>
    <row r="262" spans="1:65" x14ac:dyDescent="0.25">
      <c r="A262" s="122" t="s">
        <v>888</v>
      </c>
      <c r="B262" s="122" t="s">
        <v>4046</v>
      </c>
      <c r="C262" s="122" t="s">
        <v>4047</v>
      </c>
      <c r="D262" s="122" t="s">
        <v>4048</v>
      </c>
      <c r="E262" s="123">
        <v>42219</v>
      </c>
      <c r="F262" s="122" t="s">
        <v>4049</v>
      </c>
      <c r="G262" s="122" t="s">
        <v>235</v>
      </c>
      <c r="H262" s="122" t="s">
        <v>4050</v>
      </c>
      <c r="I262" s="122" t="s">
        <v>4051</v>
      </c>
      <c r="J262" s="122" t="s">
        <v>4052</v>
      </c>
      <c r="K262" s="122" t="s">
        <v>3385</v>
      </c>
      <c r="L262" s="122" t="s">
        <v>3386</v>
      </c>
      <c r="M262" s="122" t="s">
        <v>3405</v>
      </c>
      <c r="O262" s="141" t="s">
        <v>494</v>
      </c>
      <c r="P262" s="141" t="s">
        <v>4053</v>
      </c>
      <c r="Q262" s="122" t="s">
        <v>3389</v>
      </c>
      <c r="R262" s="142">
        <v>36</v>
      </c>
      <c r="S262" s="122" t="s">
        <v>4054</v>
      </c>
      <c r="U262" s="122" t="s">
        <v>3538</v>
      </c>
      <c r="W262" s="122" t="s">
        <v>246</v>
      </c>
      <c r="X262" s="122" t="s">
        <v>739</v>
      </c>
      <c r="Y262" s="141" t="s">
        <v>956</v>
      </c>
      <c r="Z262" s="122" t="s">
        <v>4055</v>
      </c>
      <c r="AA262" s="141" t="s">
        <v>1440</v>
      </c>
      <c r="AB262" s="122" t="s">
        <v>4056</v>
      </c>
      <c r="AC262" s="141" t="s">
        <v>1325</v>
      </c>
      <c r="AD262" s="122" t="s">
        <v>4057</v>
      </c>
      <c r="AE262" s="122" t="s">
        <v>235</v>
      </c>
      <c r="AF262" s="122" t="s">
        <v>4058</v>
      </c>
      <c r="AG262" s="122" t="s">
        <v>537</v>
      </c>
      <c r="AH262" s="122" t="s">
        <v>253</v>
      </c>
      <c r="AI262" s="122" t="s">
        <v>4059</v>
      </c>
      <c r="AJ262" s="122" t="s">
        <v>4060</v>
      </c>
      <c r="AK262" s="122" t="s">
        <v>253</v>
      </c>
      <c r="AL262" s="122" t="s">
        <v>253</v>
      </c>
      <c r="AM262" s="122" t="s">
        <v>253</v>
      </c>
      <c r="AN262" s="122" t="s">
        <v>253</v>
      </c>
      <c r="AO262" s="141" t="s">
        <v>247</v>
      </c>
      <c r="AP262" s="141" t="s">
        <v>253</v>
      </c>
      <c r="AQ262" s="141" t="s">
        <v>247</v>
      </c>
      <c r="AR262" s="141" t="s">
        <v>253</v>
      </c>
      <c r="AS262" s="141" t="s">
        <v>601</v>
      </c>
      <c r="AT262" s="141" t="s">
        <v>601</v>
      </c>
      <c r="AU262" s="141" t="s">
        <v>258</v>
      </c>
      <c r="AV262" s="122" t="s">
        <v>259</v>
      </c>
      <c r="AW262" s="122" t="s">
        <v>260</v>
      </c>
      <c r="AX262" s="141" t="s">
        <v>4061</v>
      </c>
      <c r="AY262" s="141" t="s">
        <v>247</v>
      </c>
      <c r="AZ262" s="122" t="s">
        <v>4062</v>
      </c>
      <c r="BA262" s="122" t="s">
        <v>262</v>
      </c>
      <c r="BB262" s="122" t="s">
        <v>262</v>
      </c>
      <c r="BC262" s="141" t="s">
        <v>312</v>
      </c>
      <c r="BD262" s="122" t="s">
        <v>253</v>
      </c>
      <c r="BE262" s="122" t="s">
        <v>263</v>
      </c>
      <c r="BF262" s="122" t="s">
        <v>3547</v>
      </c>
      <c r="BH262" s="122" t="s">
        <v>3538</v>
      </c>
      <c r="BI262" s="142">
        <v>36</v>
      </c>
      <c r="BJ262" s="123">
        <v>42231</v>
      </c>
      <c r="BK262" s="139" t="s">
        <v>264</v>
      </c>
      <c r="BL262" s="140">
        <v>173</v>
      </c>
      <c r="BM262" s="122">
        <v>33</v>
      </c>
    </row>
    <row r="263" spans="1:65" x14ac:dyDescent="0.25">
      <c r="A263" s="122" t="s">
        <v>888</v>
      </c>
      <c r="B263" s="122" t="s">
        <v>4063</v>
      </c>
      <c r="C263" s="122" t="s">
        <v>4064</v>
      </c>
      <c r="D263" s="122" t="s">
        <v>4065</v>
      </c>
      <c r="E263" s="123">
        <v>42219</v>
      </c>
      <c r="F263" s="122" t="s">
        <v>2235</v>
      </c>
      <c r="G263" s="122" t="s">
        <v>235</v>
      </c>
      <c r="H263" s="122" t="s">
        <v>4066</v>
      </c>
      <c r="I263" s="122" t="s">
        <v>4067</v>
      </c>
      <c r="K263" s="122" t="s">
        <v>3385</v>
      </c>
      <c r="L263" s="122" t="s">
        <v>3554</v>
      </c>
      <c r="M263" s="122" t="s">
        <v>3570</v>
      </c>
      <c r="O263" s="141" t="s">
        <v>613</v>
      </c>
      <c r="P263" s="141" t="s">
        <v>4068</v>
      </c>
      <c r="Q263" s="122" t="s">
        <v>3389</v>
      </c>
      <c r="R263" s="142">
        <v>37</v>
      </c>
      <c r="S263" s="122" t="s">
        <v>4069</v>
      </c>
      <c r="U263" s="122" t="s">
        <v>3538</v>
      </c>
      <c r="W263" s="122" t="s">
        <v>246</v>
      </c>
      <c r="X263" s="122" t="s">
        <v>442</v>
      </c>
      <c r="Y263" s="141" t="s">
        <v>328</v>
      </c>
      <c r="Z263" s="122" t="s">
        <v>766</v>
      </c>
      <c r="AA263" s="141" t="s">
        <v>1926</v>
      </c>
      <c r="AB263" s="122" t="s">
        <v>4070</v>
      </c>
      <c r="AC263" s="141" t="s">
        <v>901</v>
      </c>
      <c r="AD263" s="122" t="s">
        <v>4071</v>
      </c>
      <c r="AE263" s="122" t="s">
        <v>235</v>
      </c>
      <c r="AF263" s="122" t="s">
        <v>4072</v>
      </c>
      <c r="AG263" s="122" t="s">
        <v>253</v>
      </c>
      <c r="AH263" s="122" t="s">
        <v>253</v>
      </c>
      <c r="AI263" s="122" t="s">
        <v>4073</v>
      </c>
      <c r="AJ263" s="122" t="s">
        <v>4074</v>
      </c>
      <c r="AK263" s="122" t="s">
        <v>4075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247</v>
      </c>
      <c r="AS263" s="141" t="s">
        <v>601</v>
      </c>
      <c r="AT263" s="141" t="s">
        <v>601</v>
      </c>
      <c r="AU263" s="141" t="s">
        <v>601</v>
      </c>
      <c r="AV263" s="122" t="s">
        <v>259</v>
      </c>
      <c r="AW263" s="122" t="s">
        <v>260</v>
      </c>
      <c r="AX263" s="141" t="s">
        <v>4076</v>
      </c>
      <c r="AY263" s="141" t="s">
        <v>325</v>
      </c>
      <c r="AZ263" s="122" t="s">
        <v>4077</v>
      </c>
      <c r="BA263" s="122" t="s">
        <v>262</v>
      </c>
      <c r="BB263" s="122" t="s">
        <v>4078</v>
      </c>
      <c r="BC263" s="141" t="s">
        <v>312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37</v>
      </c>
      <c r="BJ263" s="123">
        <v>42233</v>
      </c>
      <c r="BK263" s="139" t="s">
        <v>264</v>
      </c>
      <c r="BL263" s="140">
        <v>425</v>
      </c>
      <c r="BM263" s="122">
        <v>34</v>
      </c>
    </row>
    <row r="264" spans="1:65" x14ac:dyDescent="0.25">
      <c r="A264" s="122" t="s">
        <v>888</v>
      </c>
      <c r="B264" s="122" t="s">
        <v>4079</v>
      </c>
      <c r="C264" s="122" t="s">
        <v>4080</v>
      </c>
      <c r="D264" s="122" t="s">
        <v>4081</v>
      </c>
      <c r="E264" s="123">
        <v>42219</v>
      </c>
      <c r="F264" s="122" t="s">
        <v>4082</v>
      </c>
      <c r="G264" s="122" t="s">
        <v>235</v>
      </c>
      <c r="H264" s="122" t="s">
        <v>4083</v>
      </c>
      <c r="I264" s="122" t="s">
        <v>4084</v>
      </c>
      <c r="K264" s="122" t="s">
        <v>3452</v>
      </c>
      <c r="L264" s="122" t="s">
        <v>3453</v>
      </c>
      <c r="M264" s="122" t="s">
        <v>3776</v>
      </c>
      <c r="O264" s="141" t="s">
        <v>299</v>
      </c>
      <c r="P264" s="141" t="s">
        <v>4085</v>
      </c>
      <c r="Q264" s="122" t="s">
        <v>3389</v>
      </c>
      <c r="R264" s="142">
        <v>38</v>
      </c>
      <c r="S264" s="122" t="s">
        <v>4086</v>
      </c>
      <c r="U264" s="122" t="s">
        <v>3538</v>
      </c>
      <c r="W264" s="122" t="s">
        <v>246</v>
      </c>
      <c r="X264" s="122" t="s">
        <v>721</v>
      </c>
      <c r="Y264" s="141" t="s">
        <v>707</v>
      </c>
      <c r="Z264" s="122" t="s">
        <v>4087</v>
      </c>
      <c r="AA264" s="141" t="s">
        <v>1179</v>
      </c>
      <c r="AB264" s="122" t="s">
        <v>4088</v>
      </c>
      <c r="AC264" s="141" t="s">
        <v>1179</v>
      </c>
      <c r="AD264" s="122" t="s">
        <v>1746</v>
      </c>
      <c r="AE264" s="122" t="s">
        <v>235</v>
      </c>
      <c r="AF264" s="122" t="s">
        <v>4089</v>
      </c>
      <c r="AG264" s="122" t="s">
        <v>537</v>
      </c>
      <c r="AH264" s="122" t="s">
        <v>253</v>
      </c>
      <c r="AI264" s="122" t="s">
        <v>3812</v>
      </c>
      <c r="AJ264" s="122" t="s">
        <v>4090</v>
      </c>
      <c r="AK264" s="122" t="s">
        <v>253</v>
      </c>
      <c r="AL264" s="122" t="s">
        <v>253</v>
      </c>
      <c r="AM264" s="122" t="s">
        <v>253</v>
      </c>
      <c r="AN264" s="122" t="s">
        <v>253</v>
      </c>
      <c r="AO264" s="141" t="s">
        <v>253</v>
      </c>
      <c r="AP264" s="141" t="s">
        <v>253</v>
      </c>
      <c r="AQ264" s="141" t="s">
        <v>247</v>
      </c>
      <c r="AR264" s="141" t="s">
        <v>253</v>
      </c>
      <c r="AS264" s="141" t="s">
        <v>361</v>
      </c>
      <c r="AT264" s="141" t="s">
        <v>601</v>
      </c>
      <c r="AU264" s="141" t="s">
        <v>258</v>
      </c>
      <c r="AV264" s="122" t="s">
        <v>259</v>
      </c>
      <c r="AW264" s="122" t="s">
        <v>260</v>
      </c>
      <c r="AY264" s="141" t="s">
        <v>253</v>
      </c>
      <c r="AZ264" s="122" t="s">
        <v>4091</v>
      </c>
      <c r="BA264" s="122" t="s">
        <v>262</v>
      </c>
      <c r="BB264" s="122" t="s">
        <v>262</v>
      </c>
      <c r="BC264" s="141" t="s">
        <v>312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38</v>
      </c>
      <c r="BJ264" s="123">
        <v>42222</v>
      </c>
      <c r="BK264" s="139" t="s">
        <v>264</v>
      </c>
      <c r="BL264" s="140">
        <v>74.19</v>
      </c>
      <c r="BM264" s="122">
        <v>32</v>
      </c>
    </row>
    <row r="265" spans="1:65" x14ac:dyDescent="0.25">
      <c r="A265" s="122" t="s">
        <v>888</v>
      </c>
      <c r="B265" s="122" t="s">
        <v>4092</v>
      </c>
      <c r="C265" s="122" t="s">
        <v>4093</v>
      </c>
      <c r="D265" s="122" t="s">
        <v>4094</v>
      </c>
      <c r="E265" s="123">
        <v>42219</v>
      </c>
      <c r="F265" s="122" t="s">
        <v>868</v>
      </c>
      <c r="G265" s="122" t="s">
        <v>235</v>
      </c>
      <c r="H265" s="122" t="s">
        <v>4095</v>
      </c>
      <c r="I265" s="122" t="s">
        <v>4096</v>
      </c>
      <c r="K265" s="122" t="s">
        <v>3385</v>
      </c>
      <c r="L265" s="122" t="s">
        <v>3386</v>
      </c>
      <c r="M265" s="122" t="s">
        <v>3405</v>
      </c>
      <c r="O265" s="141" t="s">
        <v>2055</v>
      </c>
      <c r="P265" s="141" t="s">
        <v>4097</v>
      </c>
      <c r="Q265" s="122" t="s">
        <v>3389</v>
      </c>
      <c r="R265" s="142">
        <v>39</v>
      </c>
      <c r="S265" s="122" t="s">
        <v>4098</v>
      </c>
      <c r="U265" s="122" t="s">
        <v>3538</v>
      </c>
      <c r="W265" s="122" t="s">
        <v>246</v>
      </c>
      <c r="X265" s="122" t="s">
        <v>247</v>
      </c>
      <c r="Y265" s="141" t="s">
        <v>2133</v>
      </c>
      <c r="Z265" s="122" t="s">
        <v>4099</v>
      </c>
      <c r="AA265" s="141" t="s">
        <v>1291</v>
      </c>
      <c r="AB265" s="122" t="s">
        <v>4100</v>
      </c>
      <c r="AC265" s="141" t="s">
        <v>2363</v>
      </c>
      <c r="AD265" s="122" t="s">
        <v>4101</v>
      </c>
      <c r="AE265" s="122" t="s">
        <v>235</v>
      </c>
      <c r="AF265" s="122" t="s">
        <v>4102</v>
      </c>
      <c r="AG265" s="122" t="s">
        <v>253</v>
      </c>
      <c r="AH265" s="122" t="s">
        <v>253</v>
      </c>
      <c r="AI265" s="122" t="s">
        <v>4103</v>
      </c>
      <c r="AJ265" s="122" t="s">
        <v>4104</v>
      </c>
      <c r="AK265" s="122" t="s">
        <v>4105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247</v>
      </c>
      <c r="AS265" s="141" t="s">
        <v>601</v>
      </c>
      <c r="AT265" s="141" t="s">
        <v>601</v>
      </c>
      <c r="AU265" s="141" t="s">
        <v>601</v>
      </c>
      <c r="AV265" s="122" t="s">
        <v>259</v>
      </c>
      <c r="AW265" s="122" t="s">
        <v>260</v>
      </c>
      <c r="AY265" s="141" t="s">
        <v>253</v>
      </c>
      <c r="AZ265" s="122" t="s">
        <v>4106</v>
      </c>
      <c r="BA265" s="122" t="s">
        <v>262</v>
      </c>
      <c r="BB265" s="122" t="s">
        <v>262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39</v>
      </c>
      <c r="BJ265" s="123">
        <v>42231</v>
      </c>
      <c r="BK265" s="139" t="s">
        <v>264</v>
      </c>
      <c r="BL265" s="140">
        <v>676.8</v>
      </c>
      <c r="BM265" s="122">
        <v>33</v>
      </c>
    </row>
    <row r="266" spans="1:65" x14ac:dyDescent="0.25">
      <c r="A266" s="122" t="s">
        <v>888</v>
      </c>
      <c r="B266" s="122" t="s">
        <v>4107</v>
      </c>
      <c r="C266" s="122" t="s">
        <v>4108</v>
      </c>
      <c r="D266" s="122" t="s">
        <v>4109</v>
      </c>
      <c r="E266" s="123">
        <v>42219</v>
      </c>
      <c r="F266" s="122" t="s">
        <v>4110</v>
      </c>
      <c r="G266" s="122" t="s">
        <v>235</v>
      </c>
      <c r="H266" s="122" t="s">
        <v>4111</v>
      </c>
      <c r="I266" s="122" t="s">
        <v>4112</v>
      </c>
      <c r="K266" s="122" t="s">
        <v>3452</v>
      </c>
      <c r="L266" s="122" t="s">
        <v>3453</v>
      </c>
      <c r="M266" s="122" t="s">
        <v>3776</v>
      </c>
      <c r="O266" s="141" t="s">
        <v>665</v>
      </c>
      <c r="P266" s="141" t="s">
        <v>4113</v>
      </c>
      <c r="Q266" s="122" t="s">
        <v>3389</v>
      </c>
      <c r="R266" s="142">
        <v>40</v>
      </c>
      <c r="S266" s="122" t="s">
        <v>4114</v>
      </c>
      <c r="U266" s="122" t="s">
        <v>3538</v>
      </c>
      <c r="W266" s="122" t="s">
        <v>246</v>
      </c>
      <c r="X266" s="122" t="s">
        <v>454</v>
      </c>
      <c r="Y266" s="141" t="s">
        <v>956</v>
      </c>
      <c r="Z266" s="122" t="s">
        <v>4115</v>
      </c>
      <c r="AA266" s="141" t="s">
        <v>356</v>
      </c>
      <c r="AB266" s="122" t="s">
        <v>4115</v>
      </c>
      <c r="AC266" s="141" t="s">
        <v>1260</v>
      </c>
      <c r="AD266" s="122" t="s">
        <v>4116</v>
      </c>
      <c r="AE266" s="122" t="s">
        <v>235</v>
      </c>
      <c r="AF266" s="122" t="s">
        <v>4117</v>
      </c>
      <c r="AG266" s="122" t="s">
        <v>537</v>
      </c>
      <c r="AH266" s="122" t="s">
        <v>253</v>
      </c>
      <c r="AI266" s="122" t="s">
        <v>4118</v>
      </c>
      <c r="AJ266" s="122" t="s">
        <v>4119</v>
      </c>
      <c r="AK266" s="122" t="s">
        <v>253</v>
      </c>
      <c r="AL266" s="122" t="s">
        <v>253</v>
      </c>
      <c r="AM266" s="122" t="s">
        <v>253</v>
      </c>
      <c r="AN266" s="122" t="s">
        <v>253</v>
      </c>
      <c r="AO266" s="141" t="s">
        <v>247</v>
      </c>
      <c r="AP266" s="141" t="s">
        <v>247</v>
      </c>
      <c r="AQ266" s="141" t="s">
        <v>247</v>
      </c>
      <c r="AR266" s="141" t="s">
        <v>253</v>
      </c>
      <c r="AS266" s="141" t="s">
        <v>601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X266" s="141" t="s">
        <v>4120</v>
      </c>
      <c r="AY266" s="141" t="s">
        <v>247</v>
      </c>
      <c r="AZ266" s="122" t="s">
        <v>4121</v>
      </c>
      <c r="BA266" s="122" t="s">
        <v>262</v>
      </c>
      <c r="BB266" s="122" t="s">
        <v>4122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40</v>
      </c>
      <c r="BJ266" s="123">
        <v>42232</v>
      </c>
      <c r="BK266" s="139" t="s">
        <v>264</v>
      </c>
      <c r="BL266" s="140">
        <v>323.14</v>
      </c>
      <c r="BM266" s="122">
        <v>33</v>
      </c>
    </row>
    <row r="267" spans="1:65" x14ac:dyDescent="0.25">
      <c r="A267" s="122" t="s">
        <v>888</v>
      </c>
      <c r="B267" s="122" t="s">
        <v>4123</v>
      </c>
      <c r="C267" s="122" t="s">
        <v>4124</v>
      </c>
      <c r="D267" s="122" t="s">
        <v>4125</v>
      </c>
      <c r="E267" s="123">
        <v>42219</v>
      </c>
      <c r="F267" s="122" t="s">
        <v>4126</v>
      </c>
      <c r="G267" s="122" t="s">
        <v>235</v>
      </c>
      <c r="H267" s="122" t="s">
        <v>4127</v>
      </c>
      <c r="I267" s="122" t="s">
        <v>4128</v>
      </c>
      <c r="K267" s="122" t="s">
        <v>3385</v>
      </c>
      <c r="L267" s="122" t="s">
        <v>3386</v>
      </c>
      <c r="M267" s="122" t="s">
        <v>3486</v>
      </c>
      <c r="O267" s="141" t="s">
        <v>2055</v>
      </c>
      <c r="P267" s="141" t="s">
        <v>4129</v>
      </c>
      <c r="Q267" s="122" t="s">
        <v>3389</v>
      </c>
      <c r="R267" s="142">
        <v>41</v>
      </c>
      <c r="S267" s="122" t="s">
        <v>4130</v>
      </c>
      <c r="U267" s="122" t="s">
        <v>3538</v>
      </c>
      <c r="W267" s="122" t="s">
        <v>246</v>
      </c>
      <c r="X267" s="122" t="s">
        <v>454</v>
      </c>
      <c r="Y267" s="141" t="s">
        <v>1596</v>
      </c>
      <c r="Z267" s="122" t="s">
        <v>4131</v>
      </c>
      <c r="AA267" s="141" t="s">
        <v>417</v>
      </c>
      <c r="AB267" s="122" t="s">
        <v>3023</v>
      </c>
      <c r="AC267" s="141" t="s">
        <v>635</v>
      </c>
      <c r="AD267" s="122" t="s">
        <v>4132</v>
      </c>
      <c r="AE267" s="122" t="s">
        <v>235</v>
      </c>
      <c r="AF267" s="122" t="s">
        <v>4133</v>
      </c>
      <c r="AG267" s="122" t="s">
        <v>537</v>
      </c>
      <c r="AH267" s="122" t="s">
        <v>253</v>
      </c>
      <c r="AI267" s="122" t="s">
        <v>4134</v>
      </c>
      <c r="AJ267" s="122" t="s">
        <v>4135</v>
      </c>
      <c r="AK267" s="122" t="s">
        <v>253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247</v>
      </c>
      <c r="AQ267" s="141" t="s">
        <v>247</v>
      </c>
      <c r="AR267" s="141" t="s">
        <v>253</v>
      </c>
      <c r="AS267" s="141" t="s">
        <v>601</v>
      </c>
      <c r="AT267" s="141" t="s">
        <v>601</v>
      </c>
      <c r="AU267" s="141" t="s">
        <v>258</v>
      </c>
      <c r="AV267" s="122" t="s">
        <v>259</v>
      </c>
      <c r="AW267" s="122" t="s">
        <v>260</v>
      </c>
      <c r="AX267" s="141" t="s">
        <v>4120</v>
      </c>
      <c r="AY267" s="141" t="s">
        <v>442</v>
      </c>
      <c r="AZ267" s="122" t="s">
        <v>4136</v>
      </c>
      <c r="BA267" s="122" t="s">
        <v>262</v>
      </c>
      <c r="BB267" s="122" t="s">
        <v>4136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41</v>
      </c>
      <c r="BJ267" s="123">
        <v>42225</v>
      </c>
      <c r="BK267" s="139" t="s">
        <v>264</v>
      </c>
      <c r="BL267" s="140">
        <v>292.06</v>
      </c>
      <c r="BM267" s="122">
        <v>32</v>
      </c>
    </row>
    <row r="268" spans="1:65" x14ac:dyDescent="0.25">
      <c r="A268" s="122" t="s">
        <v>888</v>
      </c>
      <c r="B268" s="122" t="s">
        <v>4137</v>
      </c>
      <c r="C268" s="122" t="s">
        <v>4138</v>
      </c>
      <c r="D268" s="122" t="s">
        <v>4139</v>
      </c>
      <c r="E268" s="123">
        <v>42219</v>
      </c>
      <c r="F268" s="122" t="s">
        <v>4140</v>
      </c>
      <c r="G268" s="122" t="s">
        <v>235</v>
      </c>
      <c r="H268" s="122" t="s">
        <v>4141</v>
      </c>
      <c r="I268" s="122" t="s">
        <v>4142</v>
      </c>
      <c r="J268" s="122" t="s">
        <v>1560</v>
      </c>
      <c r="K268" s="122" t="s">
        <v>3385</v>
      </c>
      <c r="L268" s="122" t="s">
        <v>3386</v>
      </c>
      <c r="M268" s="122" t="s">
        <v>3486</v>
      </c>
      <c r="O268" s="141" t="s">
        <v>299</v>
      </c>
      <c r="P268" s="141" t="s">
        <v>4143</v>
      </c>
      <c r="Q268" s="122" t="s">
        <v>3389</v>
      </c>
      <c r="R268" s="142">
        <v>42</v>
      </c>
      <c r="S268" s="122" t="s">
        <v>4144</v>
      </c>
      <c r="U268" s="122" t="s">
        <v>3538</v>
      </c>
      <c r="W268" s="122" t="s">
        <v>246</v>
      </c>
      <c r="X268" s="122" t="s">
        <v>433</v>
      </c>
      <c r="Y268" s="141" t="s">
        <v>1039</v>
      </c>
      <c r="Z268" s="122" t="s">
        <v>4145</v>
      </c>
      <c r="AA268" s="141" t="s">
        <v>672</v>
      </c>
      <c r="AB268" s="122" t="s">
        <v>355</v>
      </c>
      <c r="AC268" s="141" t="s">
        <v>1116</v>
      </c>
      <c r="AD268" s="122" t="s">
        <v>305</v>
      </c>
      <c r="AE268" s="122" t="s">
        <v>235</v>
      </c>
      <c r="AF268" s="122" t="s">
        <v>4146</v>
      </c>
      <c r="AG268" s="122" t="s">
        <v>537</v>
      </c>
      <c r="AH268" s="122" t="s">
        <v>253</v>
      </c>
      <c r="AI268" s="122" t="s">
        <v>4147</v>
      </c>
      <c r="AJ268" s="122" t="s">
        <v>4148</v>
      </c>
      <c r="AK268" s="122" t="s">
        <v>253</v>
      </c>
      <c r="AL268" s="122" t="s">
        <v>253</v>
      </c>
      <c r="AM268" s="122" t="s">
        <v>4149</v>
      </c>
      <c r="AN268" s="122" t="s">
        <v>253</v>
      </c>
      <c r="AO268" s="141" t="s">
        <v>247</v>
      </c>
      <c r="AP268" s="141" t="s">
        <v>247</v>
      </c>
      <c r="AQ268" s="141" t="s">
        <v>247</v>
      </c>
      <c r="AR268" s="141" t="s">
        <v>253</v>
      </c>
      <c r="AS268" s="141" t="s">
        <v>601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X268" s="141" t="s">
        <v>4015</v>
      </c>
      <c r="AY268" s="141" t="s">
        <v>247</v>
      </c>
      <c r="AZ268" s="122" t="s">
        <v>4150</v>
      </c>
      <c r="BA268" s="122" t="s">
        <v>262</v>
      </c>
      <c r="BB268" s="122" t="s">
        <v>4151</v>
      </c>
      <c r="BC268" s="141" t="s">
        <v>312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42</v>
      </c>
      <c r="BJ268" s="123">
        <v>42233</v>
      </c>
      <c r="BK268" s="139" t="s">
        <v>606</v>
      </c>
      <c r="BM268" s="122">
        <v>34</v>
      </c>
    </row>
    <row r="269" spans="1:65" x14ac:dyDescent="0.25">
      <c r="A269" s="122" t="s">
        <v>888</v>
      </c>
      <c r="B269" s="122" t="s">
        <v>4152</v>
      </c>
      <c r="C269" s="122" t="s">
        <v>4153</v>
      </c>
      <c r="D269" s="122" t="s">
        <v>4154</v>
      </c>
      <c r="E269" s="123">
        <v>42219</v>
      </c>
      <c r="F269" s="122" t="s">
        <v>3720</v>
      </c>
      <c r="G269" s="122" t="s">
        <v>235</v>
      </c>
      <c r="H269" s="122" t="s">
        <v>4155</v>
      </c>
      <c r="I269" s="122" t="s">
        <v>4156</v>
      </c>
      <c r="J269" s="122" t="s">
        <v>4157</v>
      </c>
      <c r="K269" s="122" t="s">
        <v>3452</v>
      </c>
      <c r="L269" s="122" t="s">
        <v>3453</v>
      </c>
      <c r="M269" s="122" t="s">
        <v>3454</v>
      </c>
      <c r="O269" s="141" t="s">
        <v>2559</v>
      </c>
      <c r="P269" s="141" t="s">
        <v>4158</v>
      </c>
      <c r="Q269" s="122" t="s">
        <v>3389</v>
      </c>
      <c r="R269" s="142">
        <v>43</v>
      </c>
      <c r="S269" s="122" t="s">
        <v>4159</v>
      </c>
      <c r="U269" s="122" t="s">
        <v>3538</v>
      </c>
      <c r="W269" s="122" t="s">
        <v>246</v>
      </c>
      <c r="X269" s="122" t="s">
        <v>739</v>
      </c>
      <c r="Y269" s="141" t="s">
        <v>457</v>
      </c>
      <c r="Z269" s="122" t="s">
        <v>4160</v>
      </c>
      <c r="AA269" s="141" t="s">
        <v>2701</v>
      </c>
      <c r="AB269" s="122" t="s">
        <v>4161</v>
      </c>
      <c r="AC269" s="141" t="s">
        <v>2250</v>
      </c>
      <c r="AD269" s="122" t="s">
        <v>4161</v>
      </c>
      <c r="AE269" s="122" t="s">
        <v>235</v>
      </c>
      <c r="AF269" s="122" t="s">
        <v>4162</v>
      </c>
      <c r="AG269" s="122" t="s">
        <v>537</v>
      </c>
      <c r="AH269" s="122" t="s">
        <v>253</v>
      </c>
      <c r="AI269" s="122" t="s">
        <v>3606</v>
      </c>
      <c r="AJ269" s="122" t="s">
        <v>4163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253</v>
      </c>
      <c r="AS269" s="141" t="s">
        <v>601</v>
      </c>
      <c r="AT269" s="141" t="s">
        <v>601</v>
      </c>
      <c r="AU269" s="141" t="s">
        <v>258</v>
      </c>
      <c r="AV269" s="122" t="s">
        <v>259</v>
      </c>
      <c r="AW269" s="122" t="s">
        <v>260</v>
      </c>
      <c r="AY269" s="141" t="s">
        <v>253</v>
      </c>
      <c r="AZ269" s="122" t="s">
        <v>4164</v>
      </c>
      <c r="BA269" s="122" t="s">
        <v>262</v>
      </c>
      <c r="BB269" s="122" t="s">
        <v>262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43</v>
      </c>
      <c r="BJ269" s="123">
        <v>42231</v>
      </c>
      <c r="BK269" s="139" t="s">
        <v>2891</v>
      </c>
      <c r="BM269" s="122">
        <v>33</v>
      </c>
    </row>
    <row r="270" spans="1:65" x14ac:dyDescent="0.25">
      <c r="A270" s="122" t="s">
        <v>888</v>
      </c>
      <c r="B270" s="122" t="s">
        <v>4165</v>
      </c>
      <c r="C270" s="122" t="s">
        <v>4166</v>
      </c>
      <c r="D270" s="122" t="s">
        <v>4167</v>
      </c>
      <c r="E270" s="123">
        <v>42219</v>
      </c>
      <c r="F270" s="122" t="s">
        <v>4168</v>
      </c>
      <c r="G270" s="122" t="s">
        <v>235</v>
      </c>
      <c r="H270" s="122" t="s">
        <v>4169</v>
      </c>
      <c r="I270" s="122" t="s">
        <v>4170</v>
      </c>
      <c r="K270" s="122" t="s">
        <v>3533</v>
      </c>
      <c r="L270" s="122" t="s">
        <v>3534</v>
      </c>
      <c r="M270" s="122" t="s">
        <v>3535</v>
      </c>
      <c r="O270" s="141" t="s">
        <v>1921</v>
      </c>
      <c r="P270" s="141" t="s">
        <v>4171</v>
      </c>
      <c r="Q270" s="122" t="s">
        <v>3369</v>
      </c>
      <c r="R270" s="142">
        <v>44</v>
      </c>
      <c r="S270" s="122" t="s">
        <v>4172</v>
      </c>
      <c r="U270" s="122" t="s">
        <v>3538</v>
      </c>
      <c r="W270" s="122" t="s">
        <v>246</v>
      </c>
      <c r="X270" s="122" t="s">
        <v>247</v>
      </c>
      <c r="Y270" s="141" t="s">
        <v>722</v>
      </c>
      <c r="Z270" s="122" t="s">
        <v>4173</v>
      </c>
      <c r="AA270" s="141" t="s">
        <v>1698</v>
      </c>
      <c r="AB270" s="122" t="s">
        <v>4174</v>
      </c>
      <c r="AC270" s="141" t="s">
        <v>3664</v>
      </c>
      <c r="AD270" s="122" t="s">
        <v>4175</v>
      </c>
      <c r="AE270" s="122" t="s">
        <v>235</v>
      </c>
      <c r="AF270" s="122" t="s">
        <v>4176</v>
      </c>
      <c r="AG270" s="122" t="s">
        <v>253</v>
      </c>
      <c r="AH270" s="122" t="s">
        <v>253</v>
      </c>
      <c r="AI270" s="122" t="s">
        <v>4177</v>
      </c>
      <c r="AJ270" s="122" t="s">
        <v>4178</v>
      </c>
      <c r="AK270" s="122" t="s">
        <v>4179</v>
      </c>
      <c r="AL270" s="122" t="s">
        <v>253</v>
      </c>
      <c r="AM270" s="122" t="s">
        <v>253</v>
      </c>
      <c r="AN270" s="122" t="s">
        <v>253</v>
      </c>
      <c r="AO270" s="141" t="s">
        <v>253</v>
      </c>
      <c r="AP270" s="141" t="s">
        <v>253</v>
      </c>
      <c r="AQ270" s="141" t="s">
        <v>247</v>
      </c>
      <c r="AR270" s="141" t="s">
        <v>247</v>
      </c>
      <c r="AS270" s="141" t="s">
        <v>361</v>
      </c>
      <c r="AT270" s="141" t="s">
        <v>601</v>
      </c>
      <c r="AU270" s="141" t="s">
        <v>601</v>
      </c>
      <c r="AV270" s="122" t="s">
        <v>259</v>
      </c>
      <c r="AW270" s="122" t="s">
        <v>260</v>
      </c>
      <c r="AY270" s="141" t="s">
        <v>253</v>
      </c>
      <c r="AZ270" s="122" t="s">
        <v>4180</v>
      </c>
      <c r="BA270" s="122" t="s">
        <v>4181</v>
      </c>
      <c r="BB270" s="122" t="s">
        <v>262</v>
      </c>
      <c r="BC270" s="141" t="s">
        <v>312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44</v>
      </c>
      <c r="BJ270" s="123">
        <v>42233</v>
      </c>
      <c r="BK270" s="139" t="s">
        <v>606</v>
      </c>
      <c r="BM270" s="122">
        <v>34</v>
      </c>
    </row>
    <row r="271" spans="1:65" x14ac:dyDescent="0.25">
      <c r="A271" s="122" t="s">
        <v>888</v>
      </c>
      <c r="B271" s="122" t="s">
        <v>4182</v>
      </c>
      <c r="C271" s="122" t="s">
        <v>4183</v>
      </c>
      <c r="D271" s="122" t="s">
        <v>4184</v>
      </c>
      <c r="E271" s="123">
        <v>42219</v>
      </c>
      <c r="F271" s="122" t="s">
        <v>4185</v>
      </c>
      <c r="G271" s="122" t="s">
        <v>235</v>
      </c>
      <c r="H271" s="122" t="s">
        <v>4186</v>
      </c>
      <c r="I271" s="122" t="s">
        <v>4187</v>
      </c>
      <c r="J271" s="122" t="s">
        <v>4188</v>
      </c>
      <c r="K271" s="122" t="s">
        <v>3533</v>
      </c>
      <c r="L271" s="122" t="s">
        <v>3534</v>
      </c>
      <c r="M271" s="122" t="s">
        <v>3535</v>
      </c>
      <c r="O271" s="141" t="s">
        <v>1055</v>
      </c>
      <c r="P271" s="141" t="s">
        <v>4189</v>
      </c>
      <c r="Q271" s="122" t="s">
        <v>3369</v>
      </c>
      <c r="R271" s="142">
        <v>45</v>
      </c>
      <c r="S271" s="122" t="s">
        <v>4190</v>
      </c>
      <c r="U271" s="122" t="s">
        <v>3538</v>
      </c>
      <c r="W271" s="122" t="s">
        <v>246</v>
      </c>
      <c r="X271" s="122" t="s">
        <v>1643</v>
      </c>
      <c r="Y271" s="141" t="s">
        <v>570</v>
      </c>
      <c r="Z271" s="122" t="s">
        <v>4191</v>
      </c>
      <c r="AA271" s="141" t="s">
        <v>901</v>
      </c>
      <c r="AB271" s="122" t="s">
        <v>4192</v>
      </c>
      <c r="AC271" s="141" t="s">
        <v>2429</v>
      </c>
      <c r="AD271" s="122" t="s">
        <v>4191</v>
      </c>
      <c r="AE271" s="122" t="s">
        <v>235</v>
      </c>
      <c r="AF271" s="122" t="s">
        <v>1181</v>
      </c>
      <c r="AG271" s="122" t="s">
        <v>537</v>
      </c>
      <c r="AH271" s="122" t="s">
        <v>253</v>
      </c>
      <c r="AI271" s="122" t="s">
        <v>2473</v>
      </c>
      <c r="AJ271" s="122" t="s">
        <v>4193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253</v>
      </c>
      <c r="AP271" s="141" t="s">
        <v>253</v>
      </c>
      <c r="AQ271" s="141" t="s">
        <v>247</v>
      </c>
      <c r="AR271" s="141" t="s">
        <v>253</v>
      </c>
      <c r="AS271" s="141" t="s">
        <v>361</v>
      </c>
      <c r="AT271" s="141" t="s">
        <v>601</v>
      </c>
      <c r="AU271" s="141" t="s">
        <v>258</v>
      </c>
      <c r="AV271" s="122" t="s">
        <v>259</v>
      </c>
      <c r="AW271" s="122" t="s">
        <v>260</v>
      </c>
      <c r="AY271" s="141" t="s">
        <v>253</v>
      </c>
      <c r="AZ271" s="122" t="s">
        <v>4194</v>
      </c>
      <c r="BA271" s="122" t="s">
        <v>262</v>
      </c>
      <c r="BB271" s="122" t="s">
        <v>262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45</v>
      </c>
      <c r="BJ271" s="123">
        <v>42233</v>
      </c>
      <c r="BK271" s="139" t="s">
        <v>606</v>
      </c>
      <c r="BM271" s="122">
        <v>34</v>
      </c>
    </row>
    <row r="272" spans="1:65" x14ac:dyDescent="0.25">
      <c r="A272" s="122" t="s">
        <v>888</v>
      </c>
      <c r="B272" s="122" t="s">
        <v>4195</v>
      </c>
      <c r="C272" s="122" t="s">
        <v>4196</v>
      </c>
      <c r="D272" s="122" t="s">
        <v>4197</v>
      </c>
      <c r="E272" s="123">
        <v>42219</v>
      </c>
      <c r="F272" s="122" t="s">
        <v>447</v>
      </c>
      <c r="G272" s="122" t="s">
        <v>235</v>
      </c>
      <c r="H272" s="122" t="s">
        <v>4198</v>
      </c>
      <c r="I272" s="122" t="s">
        <v>4199</v>
      </c>
      <c r="J272" s="122" t="s">
        <v>4200</v>
      </c>
      <c r="K272" s="122" t="s">
        <v>3385</v>
      </c>
      <c r="L272" s="122" t="s">
        <v>3554</v>
      </c>
      <c r="M272" s="122" t="s">
        <v>3846</v>
      </c>
      <c r="O272" s="141" t="s">
        <v>1055</v>
      </c>
      <c r="P272" s="141" t="s">
        <v>4201</v>
      </c>
      <c r="Q272" s="122" t="s">
        <v>3389</v>
      </c>
      <c r="R272" s="142">
        <v>46</v>
      </c>
      <c r="S272" s="122" t="s">
        <v>4202</v>
      </c>
      <c r="U272" s="122" t="s">
        <v>3538</v>
      </c>
      <c r="W272" s="122" t="s">
        <v>246</v>
      </c>
      <c r="X272" s="122" t="s">
        <v>454</v>
      </c>
      <c r="Y272" s="141" t="s">
        <v>740</v>
      </c>
      <c r="Z272" s="122" t="s">
        <v>4203</v>
      </c>
      <c r="AA272" s="141" t="s">
        <v>784</v>
      </c>
      <c r="AB272" s="122" t="s">
        <v>355</v>
      </c>
      <c r="AC272" s="141" t="s">
        <v>234</v>
      </c>
      <c r="AD272" s="122" t="s">
        <v>518</v>
      </c>
      <c r="AE272" s="122" t="s">
        <v>235</v>
      </c>
      <c r="AF272" s="122" t="s">
        <v>4204</v>
      </c>
      <c r="AG272" s="122" t="s">
        <v>4205</v>
      </c>
      <c r="AH272" s="122" t="s">
        <v>253</v>
      </c>
      <c r="AI272" s="122" t="s">
        <v>4206</v>
      </c>
      <c r="AJ272" s="122" t="s">
        <v>4207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41" t="s">
        <v>253</v>
      </c>
      <c r="AZ272" s="122" t="s">
        <v>4208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46</v>
      </c>
      <c r="BJ272" s="123">
        <v>42233</v>
      </c>
      <c r="BK272" s="139" t="s">
        <v>606</v>
      </c>
      <c r="BM272" s="122">
        <v>34</v>
      </c>
    </row>
    <row r="273" spans="1:65" x14ac:dyDescent="0.25">
      <c r="A273" s="122" t="s">
        <v>888</v>
      </c>
      <c r="B273" s="122" t="s">
        <v>4209</v>
      </c>
      <c r="C273" s="122" t="s">
        <v>4210</v>
      </c>
      <c r="D273" s="122" t="s">
        <v>4211</v>
      </c>
      <c r="E273" s="123">
        <v>42219</v>
      </c>
      <c r="F273" s="122" t="s">
        <v>2884</v>
      </c>
      <c r="G273" s="122" t="s">
        <v>235</v>
      </c>
      <c r="H273" s="122" t="s">
        <v>4212</v>
      </c>
      <c r="I273" s="122" t="s">
        <v>4213</v>
      </c>
      <c r="K273" s="122" t="s">
        <v>3452</v>
      </c>
      <c r="L273" s="122" t="s">
        <v>3453</v>
      </c>
      <c r="M273" s="122" t="s">
        <v>3454</v>
      </c>
      <c r="O273" s="141" t="s">
        <v>2442</v>
      </c>
      <c r="P273" s="141" t="s">
        <v>4214</v>
      </c>
      <c r="Q273" s="122" t="s">
        <v>3389</v>
      </c>
      <c r="R273" s="142">
        <v>47</v>
      </c>
      <c r="S273" s="122" t="s">
        <v>4215</v>
      </c>
      <c r="U273" s="122" t="s">
        <v>3538</v>
      </c>
      <c r="W273" s="122" t="s">
        <v>246</v>
      </c>
      <c r="X273" s="122" t="s">
        <v>454</v>
      </c>
      <c r="Y273" s="141" t="s">
        <v>740</v>
      </c>
      <c r="Z273" s="122" t="s">
        <v>4216</v>
      </c>
      <c r="AA273" s="141" t="s">
        <v>834</v>
      </c>
      <c r="AB273" s="122" t="s">
        <v>4216</v>
      </c>
      <c r="AC273" s="141" t="s">
        <v>330</v>
      </c>
      <c r="AD273" s="122" t="s">
        <v>4216</v>
      </c>
      <c r="AE273" s="122" t="s">
        <v>235</v>
      </c>
      <c r="AF273" s="122" t="s">
        <v>4217</v>
      </c>
      <c r="AG273" s="122" t="s">
        <v>638</v>
      </c>
      <c r="AH273" s="122" t="s">
        <v>253</v>
      </c>
      <c r="AI273" s="122" t="s">
        <v>4218</v>
      </c>
      <c r="AJ273" s="122" t="s">
        <v>4219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253</v>
      </c>
      <c r="AQ273" s="141" t="s">
        <v>247</v>
      </c>
      <c r="AR273" s="141" t="s">
        <v>253</v>
      </c>
      <c r="AS273" s="141" t="s">
        <v>601</v>
      </c>
      <c r="AT273" s="141" t="s">
        <v>601</v>
      </c>
      <c r="AU273" s="141" t="s">
        <v>258</v>
      </c>
      <c r="AV273" s="122" t="s">
        <v>259</v>
      </c>
      <c r="AW273" s="122" t="s">
        <v>260</v>
      </c>
      <c r="AY273" s="141" t="s">
        <v>253</v>
      </c>
      <c r="AZ273" s="122" t="s">
        <v>4220</v>
      </c>
      <c r="BA273" s="122" t="s">
        <v>262</v>
      </c>
      <c r="BB273" s="122" t="s">
        <v>4221</v>
      </c>
      <c r="BC273" s="141" t="s">
        <v>312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47</v>
      </c>
      <c r="BJ273" s="123">
        <v>42225</v>
      </c>
      <c r="BK273" s="139" t="s">
        <v>264</v>
      </c>
      <c r="BL273" s="140">
        <v>97.24</v>
      </c>
      <c r="BM273" s="122">
        <v>32</v>
      </c>
    </row>
    <row r="274" spans="1:65" x14ac:dyDescent="0.25">
      <c r="A274" s="122" t="s">
        <v>404</v>
      </c>
      <c r="B274" s="122" t="s">
        <v>4222</v>
      </c>
      <c r="C274" s="122" t="s">
        <v>4223</v>
      </c>
      <c r="D274" s="122" t="s">
        <v>4224</v>
      </c>
      <c r="E274" s="123">
        <v>42219</v>
      </c>
      <c r="F274" s="122" t="s">
        <v>2235</v>
      </c>
      <c r="G274" s="122" t="s">
        <v>235</v>
      </c>
      <c r="H274" s="122" t="s">
        <v>4225</v>
      </c>
      <c r="I274" s="122" t="s">
        <v>4226</v>
      </c>
      <c r="K274" s="122" t="s">
        <v>3385</v>
      </c>
      <c r="L274" s="122" t="s">
        <v>3554</v>
      </c>
      <c r="M274" s="122" t="s">
        <v>3846</v>
      </c>
      <c r="O274" s="141" t="s">
        <v>451</v>
      </c>
      <c r="P274" s="141" t="s">
        <v>4227</v>
      </c>
      <c r="Q274" s="122" t="s">
        <v>3389</v>
      </c>
      <c r="R274" s="142">
        <v>48</v>
      </c>
      <c r="S274" s="122" t="s">
        <v>4228</v>
      </c>
      <c r="U274" s="122" t="s">
        <v>3538</v>
      </c>
      <c r="W274" s="122" t="s">
        <v>246</v>
      </c>
      <c r="X274" s="122" t="s">
        <v>433</v>
      </c>
      <c r="Y274" s="141" t="s">
        <v>4229</v>
      </c>
      <c r="Z274" s="122" t="s">
        <v>415</v>
      </c>
      <c r="AA274" s="141" t="s">
        <v>4229</v>
      </c>
      <c r="AB274" s="122" t="s">
        <v>4230</v>
      </c>
      <c r="AC274" s="141" t="s">
        <v>595</v>
      </c>
      <c r="AD274" s="122" t="s">
        <v>669</v>
      </c>
      <c r="AE274" s="122" t="s">
        <v>235</v>
      </c>
      <c r="AF274" s="122" t="s">
        <v>4231</v>
      </c>
      <c r="AG274" s="122" t="s">
        <v>1225</v>
      </c>
      <c r="AH274" s="122" t="s">
        <v>253</v>
      </c>
      <c r="AI274" s="122" t="s">
        <v>4232</v>
      </c>
      <c r="AJ274" s="122" t="s">
        <v>4233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247</v>
      </c>
      <c r="AP274" s="141" t="s">
        <v>247</v>
      </c>
      <c r="AQ274" s="141" t="s">
        <v>247</v>
      </c>
      <c r="AR274" s="141" t="s">
        <v>247</v>
      </c>
      <c r="AS274" s="141" t="s">
        <v>601</v>
      </c>
      <c r="AT274" s="141" t="s">
        <v>601</v>
      </c>
      <c r="AU274" s="141" t="s">
        <v>601</v>
      </c>
      <c r="AV274" s="122" t="s">
        <v>259</v>
      </c>
      <c r="AW274" s="122" t="s">
        <v>260</v>
      </c>
      <c r="AX274" s="141" t="s">
        <v>2029</v>
      </c>
      <c r="AY274" s="141" t="s">
        <v>603</v>
      </c>
      <c r="AZ274" s="122" t="s">
        <v>4234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48</v>
      </c>
      <c r="BJ274" s="123">
        <v>42233</v>
      </c>
      <c r="BK274" s="139" t="s">
        <v>606</v>
      </c>
      <c r="BM274" s="122">
        <v>34</v>
      </c>
    </row>
    <row r="275" spans="1:65" x14ac:dyDescent="0.25">
      <c r="A275" s="122" t="s">
        <v>404</v>
      </c>
      <c r="B275" s="122" t="s">
        <v>4235</v>
      </c>
      <c r="C275" s="122" t="s">
        <v>4236</v>
      </c>
      <c r="D275" s="122" t="s">
        <v>4237</v>
      </c>
      <c r="E275" s="123">
        <v>42219</v>
      </c>
      <c r="F275" s="122" t="s">
        <v>4238</v>
      </c>
      <c r="G275" s="122" t="s">
        <v>235</v>
      </c>
      <c r="H275" s="122" t="s">
        <v>4239</v>
      </c>
      <c r="I275" s="122" t="s">
        <v>4240</v>
      </c>
      <c r="K275" s="122" t="s">
        <v>3385</v>
      </c>
      <c r="L275" s="122" t="s">
        <v>3554</v>
      </c>
      <c r="M275" s="122" t="s">
        <v>3555</v>
      </c>
      <c r="O275" s="141" t="s">
        <v>373</v>
      </c>
      <c r="P275" s="141" t="s">
        <v>4241</v>
      </c>
      <c r="Q275" s="122" t="s">
        <v>3389</v>
      </c>
      <c r="R275" s="142">
        <v>49</v>
      </c>
      <c r="S275" s="122" t="s">
        <v>4242</v>
      </c>
      <c r="U275" s="122" t="s">
        <v>3538</v>
      </c>
      <c r="W275" s="122" t="s">
        <v>246</v>
      </c>
      <c r="X275" s="122" t="s">
        <v>1324</v>
      </c>
      <c r="Y275" s="141" t="s">
        <v>973</v>
      </c>
      <c r="Z275" s="122" t="s">
        <v>669</v>
      </c>
      <c r="AA275" s="141" t="s">
        <v>1258</v>
      </c>
      <c r="AB275" s="122" t="s">
        <v>4243</v>
      </c>
      <c r="AC275" s="141" t="s">
        <v>1423</v>
      </c>
      <c r="AD275" s="122" t="s">
        <v>4244</v>
      </c>
      <c r="AE275" s="122" t="s">
        <v>235</v>
      </c>
      <c r="AF275" s="122" t="s">
        <v>4245</v>
      </c>
      <c r="AG275" s="122" t="s">
        <v>253</v>
      </c>
      <c r="AH275" s="122" t="s">
        <v>253</v>
      </c>
      <c r="AI275" s="122" t="s">
        <v>4246</v>
      </c>
      <c r="AJ275" s="122" t="s">
        <v>4247</v>
      </c>
      <c r="AK275" s="122" t="s">
        <v>4248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247</v>
      </c>
      <c r="AQ275" s="141" t="s">
        <v>247</v>
      </c>
      <c r="AR275" s="141" t="s">
        <v>253</v>
      </c>
      <c r="AS275" s="141" t="s">
        <v>601</v>
      </c>
      <c r="AT275" s="141" t="s">
        <v>601</v>
      </c>
      <c r="AU275" s="141" t="s">
        <v>258</v>
      </c>
      <c r="AV275" s="122" t="s">
        <v>259</v>
      </c>
      <c r="AW275" s="122" t="s">
        <v>260</v>
      </c>
      <c r="AX275" s="141" t="s">
        <v>980</v>
      </c>
      <c r="AY275" s="141" t="s">
        <v>247</v>
      </c>
      <c r="AZ275" s="122" t="s">
        <v>4249</v>
      </c>
      <c r="BA275" s="122" t="s">
        <v>262</v>
      </c>
      <c r="BB275" s="122" t="s">
        <v>262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49</v>
      </c>
      <c r="BJ275" s="123">
        <v>42223</v>
      </c>
      <c r="BK275" s="139" t="s">
        <v>264</v>
      </c>
      <c r="BL275" s="140">
        <v>284</v>
      </c>
      <c r="BM275" s="122">
        <v>32</v>
      </c>
    </row>
    <row r="276" spans="1:65" x14ac:dyDescent="0.25">
      <c r="A276" s="122" t="s">
        <v>404</v>
      </c>
      <c r="B276" s="122" t="s">
        <v>4250</v>
      </c>
      <c r="C276" s="122" t="s">
        <v>4251</v>
      </c>
      <c r="D276" s="122" t="s">
        <v>4252</v>
      </c>
      <c r="E276" s="123">
        <v>42219</v>
      </c>
      <c r="F276" s="122" t="s">
        <v>819</v>
      </c>
      <c r="G276" s="122" t="s">
        <v>235</v>
      </c>
      <c r="H276" s="122" t="s">
        <v>4253</v>
      </c>
      <c r="I276" s="122" t="s">
        <v>4254</v>
      </c>
      <c r="K276" s="122" t="s">
        <v>3385</v>
      </c>
      <c r="L276" s="122" t="s">
        <v>3554</v>
      </c>
      <c r="M276" s="122" t="s">
        <v>3555</v>
      </c>
      <c r="O276" s="141" t="s">
        <v>373</v>
      </c>
      <c r="P276" s="141" t="s">
        <v>4255</v>
      </c>
      <c r="Q276" s="122" t="s">
        <v>3389</v>
      </c>
      <c r="R276" s="142">
        <v>50</v>
      </c>
      <c r="S276" s="122" t="s">
        <v>4256</v>
      </c>
      <c r="U276" s="122" t="s">
        <v>3538</v>
      </c>
      <c r="W276" s="122" t="s">
        <v>246</v>
      </c>
      <c r="X276" s="122" t="s">
        <v>631</v>
      </c>
      <c r="Y276" s="141" t="s">
        <v>498</v>
      </c>
      <c r="Z276" s="122" t="s">
        <v>4257</v>
      </c>
      <c r="AA276" s="141" t="s">
        <v>248</v>
      </c>
      <c r="AB276" s="122" t="s">
        <v>355</v>
      </c>
      <c r="AD276" s="122" t="s">
        <v>250</v>
      </c>
      <c r="AE276" s="122" t="s">
        <v>235</v>
      </c>
      <c r="AF276" s="122" t="s">
        <v>4258</v>
      </c>
      <c r="AG276" s="122" t="s">
        <v>537</v>
      </c>
      <c r="AH276" s="122" t="s">
        <v>253</v>
      </c>
      <c r="AI276" s="122" t="s">
        <v>4259</v>
      </c>
      <c r="AJ276" s="122" t="s">
        <v>4260</v>
      </c>
      <c r="AK276" s="122" t="s">
        <v>4261</v>
      </c>
      <c r="AL276" s="122" t="s">
        <v>253</v>
      </c>
      <c r="AM276" s="122" t="s">
        <v>253</v>
      </c>
      <c r="AN276" s="122" t="s">
        <v>253</v>
      </c>
      <c r="AO276" s="141" t="s">
        <v>247</v>
      </c>
      <c r="AP276" s="141" t="s">
        <v>247</v>
      </c>
      <c r="AQ276" s="141" t="s">
        <v>247</v>
      </c>
      <c r="AR276" s="141" t="s">
        <v>253</v>
      </c>
      <c r="AS276" s="141" t="s">
        <v>601</v>
      </c>
      <c r="AT276" s="141" t="s">
        <v>601</v>
      </c>
      <c r="AU276" s="141" t="s">
        <v>258</v>
      </c>
      <c r="AV276" s="122" t="s">
        <v>259</v>
      </c>
      <c r="AW276" s="122" t="s">
        <v>260</v>
      </c>
      <c r="AY276" s="141" t="s">
        <v>253</v>
      </c>
      <c r="AZ276" s="122" t="s">
        <v>4262</v>
      </c>
      <c r="BA276" s="122" t="s">
        <v>262</v>
      </c>
      <c r="BB276" s="122" t="s">
        <v>262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50</v>
      </c>
      <c r="BJ276" s="123">
        <v>42233</v>
      </c>
      <c r="BK276" s="139" t="s">
        <v>606</v>
      </c>
      <c r="BM276" s="122">
        <v>34</v>
      </c>
    </row>
    <row r="277" spans="1:65" x14ac:dyDescent="0.25">
      <c r="A277" s="122" t="s">
        <v>404</v>
      </c>
      <c r="B277" s="122" t="s">
        <v>4263</v>
      </c>
      <c r="C277" s="122" t="s">
        <v>4264</v>
      </c>
      <c r="D277" s="122" t="s">
        <v>4265</v>
      </c>
      <c r="E277" s="123">
        <v>42219</v>
      </c>
      <c r="F277" s="122" t="s">
        <v>4266</v>
      </c>
      <c r="G277" s="122" t="s">
        <v>235</v>
      </c>
      <c r="H277" s="122" t="s">
        <v>4267</v>
      </c>
      <c r="I277" s="122" t="s">
        <v>4268</v>
      </c>
      <c r="K277" s="122" t="s">
        <v>3452</v>
      </c>
      <c r="L277" s="122" t="s">
        <v>3453</v>
      </c>
      <c r="M277" s="122" t="s">
        <v>3776</v>
      </c>
      <c r="O277" s="141" t="s">
        <v>4269</v>
      </c>
      <c r="P277" s="141" t="s">
        <v>4270</v>
      </c>
      <c r="Q277" s="122" t="s">
        <v>3389</v>
      </c>
      <c r="R277" s="142">
        <v>51</v>
      </c>
      <c r="S277" s="122" t="s">
        <v>4271</v>
      </c>
      <c r="U277" s="122" t="s">
        <v>3538</v>
      </c>
      <c r="W277" s="122" t="s">
        <v>246</v>
      </c>
      <c r="X277" s="122" t="s">
        <v>442</v>
      </c>
      <c r="Y277" s="141" t="s">
        <v>744</v>
      </c>
      <c r="Z277" s="122" t="s">
        <v>4272</v>
      </c>
      <c r="AA277" s="141" t="s">
        <v>1698</v>
      </c>
      <c r="AB277" s="122" t="s">
        <v>4273</v>
      </c>
      <c r="AC277" s="141" t="s">
        <v>3689</v>
      </c>
      <c r="AD277" s="122" t="s">
        <v>4274</v>
      </c>
      <c r="AE277" s="122" t="s">
        <v>235</v>
      </c>
      <c r="AF277" s="122" t="s">
        <v>4275</v>
      </c>
      <c r="AG277" s="122" t="s">
        <v>253</v>
      </c>
      <c r="AH277" s="122" t="s">
        <v>253</v>
      </c>
      <c r="AI277" s="122" t="s">
        <v>4276</v>
      </c>
      <c r="AJ277" s="122" t="s">
        <v>4277</v>
      </c>
      <c r="AK277" s="122" t="s">
        <v>4278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253</v>
      </c>
      <c r="AQ277" s="141" t="s">
        <v>247</v>
      </c>
      <c r="AR277" s="141" t="s">
        <v>253</v>
      </c>
      <c r="AS277" s="141" t="s">
        <v>601</v>
      </c>
      <c r="AT277" s="141" t="s">
        <v>601</v>
      </c>
      <c r="AU277" s="141" t="s">
        <v>258</v>
      </c>
      <c r="AV277" s="122" t="s">
        <v>259</v>
      </c>
      <c r="AW277" s="122" t="s">
        <v>260</v>
      </c>
      <c r="AY277" s="141" t="s">
        <v>253</v>
      </c>
      <c r="AZ277" s="122" t="s">
        <v>4279</v>
      </c>
      <c r="BA277" s="122" t="s">
        <v>262</v>
      </c>
      <c r="BB277" s="122" t="s">
        <v>4280</v>
      </c>
      <c r="BC277" s="141" t="s">
        <v>312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51</v>
      </c>
      <c r="BJ277" s="123">
        <v>42233</v>
      </c>
      <c r="BK277" s="139" t="s">
        <v>606</v>
      </c>
      <c r="BM277" s="122">
        <v>34</v>
      </c>
    </row>
    <row r="278" spans="1:65" x14ac:dyDescent="0.25">
      <c r="A278" s="122" t="s">
        <v>404</v>
      </c>
      <c r="B278" s="122" t="s">
        <v>4281</v>
      </c>
      <c r="C278" s="122" t="s">
        <v>4282</v>
      </c>
      <c r="D278" s="122" t="s">
        <v>4283</v>
      </c>
      <c r="E278" s="123">
        <v>42219</v>
      </c>
      <c r="F278" s="122" t="s">
        <v>248</v>
      </c>
      <c r="G278" s="122" t="s">
        <v>235</v>
      </c>
      <c r="H278" s="122" t="s">
        <v>4284</v>
      </c>
      <c r="I278" s="122" t="s">
        <v>4285</v>
      </c>
      <c r="J278" s="122" t="s">
        <v>564</v>
      </c>
      <c r="K278" s="122" t="s">
        <v>3385</v>
      </c>
      <c r="L278" s="122" t="s">
        <v>3386</v>
      </c>
      <c r="M278" s="122" t="s">
        <v>3486</v>
      </c>
      <c r="Q278" s="122" t="s">
        <v>3389</v>
      </c>
      <c r="R278" s="142">
        <v>52</v>
      </c>
      <c r="S278" s="122" t="s">
        <v>4286</v>
      </c>
      <c r="U278" s="122" t="s">
        <v>3538</v>
      </c>
      <c r="W278" s="122" t="s">
        <v>246</v>
      </c>
      <c r="X278" s="122" t="s">
        <v>302</v>
      </c>
      <c r="Z278" s="122" t="s">
        <v>250</v>
      </c>
      <c r="AB278" s="122" t="s">
        <v>250</v>
      </c>
      <c r="AD278" s="122" t="s">
        <v>250</v>
      </c>
      <c r="AE278" s="122" t="s">
        <v>235</v>
      </c>
      <c r="AF278" s="122" t="s">
        <v>4287</v>
      </c>
      <c r="AG278" s="122" t="s">
        <v>537</v>
      </c>
      <c r="AH278" s="122" t="s">
        <v>253</v>
      </c>
      <c r="AI278" s="122" t="s">
        <v>4288</v>
      </c>
      <c r="AJ278" s="122" t="s">
        <v>4289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247</v>
      </c>
      <c r="AP278" s="141" t="s">
        <v>253</v>
      </c>
      <c r="AQ278" s="141" t="s">
        <v>253</v>
      </c>
      <c r="AR278" s="141" t="s">
        <v>253</v>
      </c>
      <c r="AS278" s="141" t="s">
        <v>601</v>
      </c>
      <c r="AT278" s="141" t="s">
        <v>258</v>
      </c>
      <c r="AU278" s="141" t="s">
        <v>258</v>
      </c>
      <c r="AV278" s="122" t="s">
        <v>259</v>
      </c>
      <c r="AW278" s="122" t="s">
        <v>260</v>
      </c>
      <c r="AY278" s="141" t="s">
        <v>253</v>
      </c>
      <c r="AZ278" s="122" t="s">
        <v>4290</v>
      </c>
      <c r="BA278" s="122" t="s">
        <v>262</v>
      </c>
      <c r="BB278" s="122" t="s">
        <v>4290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52</v>
      </c>
      <c r="BJ278" s="123">
        <v>42233</v>
      </c>
      <c r="BK278" s="139" t="s">
        <v>606</v>
      </c>
      <c r="BM278" s="122">
        <v>34</v>
      </c>
    </row>
    <row r="279" spans="1:65" x14ac:dyDescent="0.25">
      <c r="A279" s="122" t="s">
        <v>422</v>
      </c>
      <c r="B279" s="122" t="s">
        <v>4291</v>
      </c>
      <c r="C279" s="122" t="s">
        <v>4292</v>
      </c>
      <c r="D279" s="122" t="s">
        <v>4293</v>
      </c>
      <c r="E279" s="123">
        <v>42219</v>
      </c>
      <c r="F279" s="122" t="s">
        <v>4294</v>
      </c>
      <c r="G279" s="122" t="s">
        <v>235</v>
      </c>
      <c r="H279" s="122" t="s">
        <v>4295</v>
      </c>
      <c r="I279" s="122" t="s">
        <v>4296</v>
      </c>
      <c r="K279" s="122" t="s">
        <v>3385</v>
      </c>
      <c r="L279" s="122" t="s">
        <v>3386</v>
      </c>
      <c r="M279" s="122" t="s">
        <v>3405</v>
      </c>
      <c r="O279" s="141" t="s">
        <v>299</v>
      </c>
      <c r="P279" s="141" t="s">
        <v>4297</v>
      </c>
      <c r="Q279" s="122" t="s">
        <v>3389</v>
      </c>
      <c r="R279" s="142">
        <v>53</v>
      </c>
      <c r="S279" s="122" t="s">
        <v>4298</v>
      </c>
      <c r="U279" s="122" t="s">
        <v>3538</v>
      </c>
      <c r="W279" s="122" t="s">
        <v>246</v>
      </c>
      <c r="X279" s="122" t="s">
        <v>1324</v>
      </c>
      <c r="Y279" s="141" t="s">
        <v>1528</v>
      </c>
      <c r="Z279" s="122" t="s">
        <v>4299</v>
      </c>
      <c r="AA279" s="141" t="s">
        <v>457</v>
      </c>
      <c r="AB279" s="122" t="s">
        <v>4300</v>
      </c>
      <c r="AC279" s="141" t="s">
        <v>1398</v>
      </c>
      <c r="AD279" s="122" t="s">
        <v>4301</v>
      </c>
      <c r="AE279" s="122" t="s">
        <v>235</v>
      </c>
      <c r="AF279" s="122" t="s">
        <v>4302</v>
      </c>
      <c r="AG279" s="122" t="s">
        <v>253</v>
      </c>
      <c r="AH279" s="122" t="s">
        <v>253</v>
      </c>
      <c r="AI279" s="122" t="s">
        <v>4303</v>
      </c>
      <c r="AJ279" s="122" t="s">
        <v>4304</v>
      </c>
      <c r="AK279" s="122" t="s">
        <v>4305</v>
      </c>
      <c r="AL279" s="122" t="s">
        <v>253</v>
      </c>
      <c r="AM279" s="122" t="s">
        <v>253</v>
      </c>
      <c r="AN279" s="122" t="s">
        <v>253</v>
      </c>
      <c r="AO279" s="141" t="s">
        <v>247</v>
      </c>
      <c r="AP279" s="141" t="s">
        <v>247</v>
      </c>
      <c r="AQ279" s="141" t="s">
        <v>247</v>
      </c>
      <c r="AR279" s="141" t="s">
        <v>253</v>
      </c>
      <c r="AS279" s="141" t="s">
        <v>601</v>
      </c>
      <c r="AT279" s="141" t="s">
        <v>601</v>
      </c>
      <c r="AU279" s="141" t="s">
        <v>258</v>
      </c>
      <c r="AV279" s="122" t="s">
        <v>259</v>
      </c>
      <c r="AW279" s="122" t="s">
        <v>260</v>
      </c>
      <c r="AX279" s="141" t="s">
        <v>1046</v>
      </c>
      <c r="AY279" s="141" t="s">
        <v>603</v>
      </c>
      <c r="AZ279" s="122" t="s">
        <v>4306</v>
      </c>
      <c r="BA279" s="122" t="s">
        <v>262</v>
      </c>
      <c r="BB279" s="122" t="s">
        <v>262</v>
      </c>
      <c r="BC279" s="141" t="s">
        <v>312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53</v>
      </c>
      <c r="BJ279" s="123">
        <v>42233</v>
      </c>
      <c r="BK279" s="139" t="s">
        <v>606</v>
      </c>
      <c r="BM279" s="122">
        <v>34</v>
      </c>
    </row>
    <row r="280" spans="1:65" x14ac:dyDescent="0.25">
      <c r="A280" s="122" t="s">
        <v>422</v>
      </c>
      <c r="B280" s="122" t="s">
        <v>4307</v>
      </c>
      <c r="C280" s="122" t="s">
        <v>4308</v>
      </c>
      <c r="D280" s="122" t="s">
        <v>4309</v>
      </c>
      <c r="E280" s="123">
        <v>42219</v>
      </c>
      <c r="F280" s="122" t="s">
        <v>744</v>
      </c>
      <c r="G280" s="122" t="s">
        <v>235</v>
      </c>
      <c r="H280" s="122" t="s">
        <v>4310</v>
      </c>
      <c r="I280" s="122" t="s">
        <v>4311</v>
      </c>
      <c r="J280" s="122" t="s">
        <v>4312</v>
      </c>
      <c r="K280" s="122" t="s">
        <v>3385</v>
      </c>
      <c r="L280" s="122" t="s">
        <v>3554</v>
      </c>
      <c r="M280" s="122" t="s">
        <v>3555</v>
      </c>
      <c r="O280" s="141" t="s">
        <v>2055</v>
      </c>
      <c r="P280" s="141" t="s">
        <v>4313</v>
      </c>
      <c r="Q280" s="122" t="s">
        <v>3389</v>
      </c>
      <c r="R280" s="142">
        <v>54</v>
      </c>
      <c r="S280" s="122" t="s">
        <v>4314</v>
      </c>
      <c r="U280" s="122" t="s">
        <v>3538</v>
      </c>
      <c r="W280" s="122" t="s">
        <v>246</v>
      </c>
      <c r="X280" s="122" t="s">
        <v>1643</v>
      </c>
      <c r="Y280" s="141" t="s">
        <v>784</v>
      </c>
      <c r="Z280" s="122" t="s">
        <v>4315</v>
      </c>
      <c r="AA280" s="141" t="s">
        <v>744</v>
      </c>
      <c r="AB280" s="122" t="s">
        <v>4316</v>
      </c>
      <c r="AC280" s="141" t="s">
        <v>4317</v>
      </c>
      <c r="AD280" s="122" t="s">
        <v>4318</v>
      </c>
      <c r="AE280" s="122" t="s">
        <v>235</v>
      </c>
      <c r="AF280" s="122" t="s">
        <v>4319</v>
      </c>
      <c r="AG280" s="122" t="s">
        <v>537</v>
      </c>
      <c r="AH280" s="122" t="s">
        <v>253</v>
      </c>
      <c r="AI280" s="122" t="s">
        <v>4320</v>
      </c>
      <c r="AJ280" s="122" t="s">
        <v>4321</v>
      </c>
      <c r="AK280" s="122" t="s">
        <v>4322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253</v>
      </c>
      <c r="AR280" s="141" t="s">
        <v>253</v>
      </c>
      <c r="AS280" s="141" t="s">
        <v>601</v>
      </c>
      <c r="AT280" s="141" t="s">
        <v>258</v>
      </c>
      <c r="AU280" s="141" t="s">
        <v>258</v>
      </c>
      <c r="AV280" s="122" t="s">
        <v>259</v>
      </c>
      <c r="AW280" s="122" t="s">
        <v>260</v>
      </c>
      <c r="AY280" s="141" t="s">
        <v>253</v>
      </c>
      <c r="AZ280" s="122" t="s">
        <v>4323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54</v>
      </c>
      <c r="BJ280" s="123">
        <v>42233</v>
      </c>
      <c r="BK280" s="139" t="s">
        <v>606</v>
      </c>
      <c r="BM280" s="122">
        <v>34</v>
      </c>
    </row>
    <row r="281" spans="1:65" x14ac:dyDescent="0.25">
      <c r="A281" s="122" t="s">
        <v>422</v>
      </c>
      <c r="B281" s="122" t="s">
        <v>4324</v>
      </c>
      <c r="C281" s="122" t="s">
        <v>4325</v>
      </c>
      <c r="D281" s="122" t="s">
        <v>4326</v>
      </c>
      <c r="E281" s="123">
        <v>42219</v>
      </c>
      <c r="F281" s="122" t="s">
        <v>4327</v>
      </c>
      <c r="G281" s="122" t="s">
        <v>235</v>
      </c>
      <c r="H281" s="122" t="s">
        <v>4328</v>
      </c>
      <c r="I281" s="122" t="s">
        <v>4329</v>
      </c>
      <c r="K281" s="122" t="s">
        <v>3385</v>
      </c>
      <c r="L281" s="122" t="s">
        <v>3386</v>
      </c>
      <c r="M281" s="122" t="s">
        <v>3405</v>
      </c>
      <c r="O281" s="141" t="s">
        <v>299</v>
      </c>
      <c r="P281" s="141" t="s">
        <v>4330</v>
      </c>
      <c r="Q281" s="122" t="s">
        <v>3389</v>
      </c>
      <c r="R281" s="142">
        <v>55</v>
      </c>
      <c r="S281" s="122" t="s">
        <v>4331</v>
      </c>
      <c r="U281" s="122" t="s">
        <v>3538</v>
      </c>
      <c r="W281" s="122" t="s">
        <v>246</v>
      </c>
      <c r="X281" s="122" t="s">
        <v>278</v>
      </c>
      <c r="Y281" s="141" t="s">
        <v>2257</v>
      </c>
      <c r="Z281" s="122" t="s">
        <v>4332</v>
      </c>
      <c r="AA281" s="141" t="s">
        <v>234</v>
      </c>
      <c r="AB281" s="122" t="s">
        <v>355</v>
      </c>
      <c r="AC281" s="141" t="s">
        <v>901</v>
      </c>
      <c r="AD281" s="122" t="s">
        <v>4333</v>
      </c>
      <c r="AE281" s="122" t="s">
        <v>235</v>
      </c>
      <c r="AF281" s="122" t="s">
        <v>4334</v>
      </c>
      <c r="AG281" s="122" t="s">
        <v>253</v>
      </c>
      <c r="AH281" s="122" t="s">
        <v>253</v>
      </c>
      <c r="AI281" s="122" t="s">
        <v>4335</v>
      </c>
      <c r="AJ281" s="122" t="s">
        <v>4336</v>
      </c>
      <c r="AK281" s="122" t="s">
        <v>253</v>
      </c>
      <c r="AL281" s="122" t="s">
        <v>4337</v>
      </c>
      <c r="AM281" s="122" t="s">
        <v>253</v>
      </c>
      <c r="AN281" s="122" t="s">
        <v>253</v>
      </c>
      <c r="AO281" s="141" t="s">
        <v>247</v>
      </c>
      <c r="AP281" s="141" t="s">
        <v>247</v>
      </c>
      <c r="AQ281" s="141" t="s">
        <v>247</v>
      </c>
      <c r="AR281" s="141" t="s">
        <v>247</v>
      </c>
      <c r="AS281" s="141" t="s">
        <v>601</v>
      </c>
      <c r="AT281" s="141" t="s">
        <v>601</v>
      </c>
      <c r="AU281" s="141" t="s">
        <v>601</v>
      </c>
      <c r="AV281" s="122" t="s">
        <v>259</v>
      </c>
      <c r="AW281" s="122" t="s">
        <v>260</v>
      </c>
      <c r="AX281" s="141" t="s">
        <v>1046</v>
      </c>
      <c r="AY281" s="141" t="s">
        <v>247</v>
      </c>
      <c r="AZ281" s="122" t="s">
        <v>4338</v>
      </c>
      <c r="BA281" s="122" t="s">
        <v>262</v>
      </c>
      <c r="BB281" s="122" t="s">
        <v>262</v>
      </c>
      <c r="BC281" s="141" t="s">
        <v>312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55</v>
      </c>
      <c r="BJ281" s="123">
        <v>42233</v>
      </c>
      <c r="BK281" s="139" t="s">
        <v>606</v>
      </c>
      <c r="BM281" s="122">
        <v>34</v>
      </c>
    </row>
    <row r="282" spans="1:65" x14ac:dyDescent="0.25">
      <c r="A282" s="122" t="s">
        <v>422</v>
      </c>
      <c r="B282" s="122" t="s">
        <v>4339</v>
      </c>
      <c r="C282" s="122" t="s">
        <v>4340</v>
      </c>
      <c r="D282" s="122" t="s">
        <v>4341</v>
      </c>
      <c r="E282" s="123">
        <v>42219</v>
      </c>
      <c r="F282" s="122" t="s">
        <v>1612</v>
      </c>
      <c r="G282" s="122" t="s">
        <v>235</v>
      </c>
      <c r="H282" s="122" t="s">
        <v>448</v>
      </c>
      <c r="I282" s="122" t="s">
        <v>4342</v>
      </c>
      <c r="J282" s="122" t="s">
        <v>4343</v>
      </c>
      <c r="K282" s="122" t="s">
        <v>3385</v>
      </c>
      <c r="L282" s="122" t="s">
        <v>3386</v>
      </c>
      <c r="M282" s="122" t="s">
        <v>3486</v>
      </c>
      <c r="O282" s="141" t="s">
        <v>451</v>
      </c>
      <c r="P282" s="141" t="s">
        <v>4344</v>
      </c>
      <c r="Q282" s="122" t="s">
        <v>3389</v>
      </c>
      <c r="R282" s="142">
        <v>56</v>
      </c>
      <c r="S282" s="122" t="s">
        <v>4345</v>
      </c>
      <c r="U282" s="122" t="s">
        <v>3538</v>
      </c>
      <c r="W282" s="122" t="s">
        <v>246</v>
      </c>
      <c r="X282" s="122" t="s">
        <v>442</v>
      </c>
      <c r="Z282" s="122" t="s">
        <v>250</v>
      </c>
      <c r="AB282" s="122" t="s">
        <v>250</v>
      </c>
      <c r="AD282" s="122" t="s">
        <v>250</v>
      </c>
      <c r="AE282" s="122" t="s">
        <v>235</v>
      </c>
      <c r="AF282" s="122" t="s">
        <v>4346</v>
      </c>
      <c r="AG282" s="122" t="s">
        <v>253</v>
      </c>
      <c r="AH282" s="122" t="s">
        <v>253</v>
      </c>
      <c r="AI282" s="122" t="s">
        <v>4347</v>
      </c>
      <c r="AJ282" s="122" t="s">
        <v>4348</v>
      </c>
      <c r="AK282" s="122" t="s">
        <v>4349</v>
      </c>
      <c r="AL282" s="122" t="s">
        <v>253</v>
      </c>
      <c r="AM282" s="122" t="s">
        <v>253</v>
      </c>
      <c r="AN282" s="122" t="s">
        <v>253</v>
      </c>
      <c r="AO282" s="141" t="s">
        <v>247</v>
      </c>
      <c r="AP282" s="141" t="s">
        <v>253</v>
      </c>
      <c r="AQ282" s="141" t="s">
        <v>247</v>
      </c>
      <c r="AR282" s="141" t="s">
        <v>247</v>
      </c>
      <c r="AS282" s="141" t="s">
        <v>601</v>
      </c>
      <c r="AT282" s="141" t="s">
        <v>601</v>
      </c>
      <c r="AU282" s="141" t="s">
        <v>257</v>
      </c>
      <c r="AV282" s="122" t="s">
        <v>259</v>
      </c>
      <c r="AW282" s="122" t="s">
        <v>260</v>
      </c>
      <c r="AY282" s="141" t="s">
        <v>253</v>
      </c>
      <c r="AZ282" s="122" t="s">
        <v>262</v>
      </c>
      <c r="BA282" s="122" t="s">
        <v>262</v>
      </c>
      <c r="BB282" s="122" t="s">
        <v>4350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56</v>
      </c>
      <c r="BJ282" s="123">
        <v>42234</v>
      </c>
      <c r="BK282" s="139" t="s">
        <v>606</v>
      </c>
      <c r="BM282" s="122">
        <v>34</v>
      </c>
    </row>
    <row r="283" spans="1:65" x14ac:dyDescent="0.25">
      <c r="A283" s="122" t="s">
        <v>422</v>
      </c>
      <c r="B283" s="122" t="s">
        <v>4351</v>
      </c>
      <c r="C283" s="122" t="s">
        <v>4352</v>
      </c>
      <c r="D283" s="122" t="s">
        <v>4353</v>
      </c>
      <c r="E283" s="123">
        <v>42219</v>
      </c>
      <c r="F283" s="122" t="s">
        <v>4354</v>
      </c>
      <c r="G283" s="122" t="s">
        <v>235</v>
      </c>
      <c r="H283" s="122" t="s">
        <v>4355</v>
      </c>
      <c r="I283" s="122" t="s">
        <v>4356</v>
      </c>
      <c r="J283" s="122" t="s">
        <v>4357</v>
      </c>
      <c r="K283" s="122" t="s">
        <v>3364</v>
      </c>
      <c r="L283" s="122" t="s">
        <v>3365</v>
      </c>
      <c r="M283" s="122" t="s">
        <v>3366</v>
      </c>
      <c r="O283" s="141" t="s">
        <v>649</v>
      </c>
      <c r="P283" s="141" t="s">
        <v>4358</v>
      </c>
      <c r="Q283" s="122" t="s">
        <v>3369</v>
      </c>
      <c r="R283" s="142">
        <v>57</v>
      </c>
      <c r="S283" s="122" t="s">
        <v>4359</v>
      </c>
      <c r="U283" s="122" t="s">
        <v>3538</v>
      </c>
      <c r="V283" s="122" t="s">
        <v>351</v>
      </c>
      <c r="W283" s="122" t="s">
        <v>246</v>
      </c>
      <c r="X283" s="122" t="s">
        <v>442</v>
      </c>
      <c r="Y283" s="141" t="s">
        <v>722</v>
      </c>
      <c r="Z283" s="122" t="s">
        <v>4360</v>
      </c>
      <c r="AA283" s="141" t="s">
        <v>2701</v>
      </c>
      <c r="AB283" s="122" t="s">
        <v>4360</v>
      </c>
      <c r="AC283" s="141" t="s">
        <v>1116</v>
      </c>
      <c r="AD283" s="122" t="s">
        <v>4360</v>
      </c>
      <c r="AE283" s="122" t="s">
        <v>235</v>
      </c>
      <c r="AF283" s="122" t="s">
        <v>4361</v>
      </c>
      <c r="AG283" s="122" t="s">
        <v>253</v>
      </c>
      <c r="AH283" s="122" t="s">
        <v>253</v>
      </c>
      <c r="AI283" s="122" t="s">
        <v>4362</v>
      </c>
      <c r="AJ283" s="122" t="s">
        <v>4363</v>
      </c>
      <c r="AK283" s="122" t="s">
        <v>4364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247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41" t="s">
        <v>253</v>
      </c>
      <c r="AZ283" s="122" t="s">
        <v>4365</v>
      </c>
      <c r="BA283" s="122" t="s">
        <v>262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57</v>
      </c>
      <c r="BJ283" s="123">
        <v>42233</v>
      </c>
      <c r="BK283" s="139" t="s">
        <v>2891</v>
      </c>
      <c r="BM283" s="122">
        <v>34</v>
      </c>
    </row>
    <row r="284" spans="1:65" x14ac:dyDescent="0.25">
      <c r="A284" s="122" t="s">
        <v>422</v>
      </c>
      <c r="B284" s="122" t="s">
        <v>4366</v>
      </c>
      <c r="C284" s="122" t="s">
        <v>4367</v>
      </c>
      <c r="D284" s="122" t="s">
        <v>4368</v>
      </c>
      <c r="E284" s="123">
        <v>42219</v>
      </c>
      <c r="F284" s="122" t="s">
        <v>4369</v>
      </c>
      <c r="G284" s="122" t="s">
        <v>235</v>
      </c>
      <c r="H284" s="122" t="s">
        <v>4370</v>
      </c>
      <c r="I284" s="122" t="s">
        <v>4371</v>
      </c>
      <c r="J284" s="122" t="s">
        <v>1239</v>
      </c>
      <c r="K284" s="122" t="s">
        <v>3385</v>
      </c>
      <c r="L284" s="122" t="s">
        <v>3554</v>
      </c>
      <c r="M284" s="122" t="s">
        <v>3555</v>
      </c>
      <c r="O284" s="141" t="s">
        <v>241</v>
      </c>
      <c r="P284" s="141" t="s">
        <v>4372</v>
      </c>
      <c r="Q284" s="122" t="s">
        <v>3389</v>
      </c>
      <c r="R284" s="142">
        <v>58</v>
      </c>
      <c r="S284" s="122" t="s">
        <v>4373</v>
      </c>
      <c r="U284" s="122" t="s">
        <v>3538</v>
      </c>
      <c r="W284" s="122" t="s">
        <v>246</v>
      </c>
      <c r="X284" s="122" t="s">
        <v>454</v>
      </c>
      <c r="Y284" s="141" t="s">
        <v>535</v>
      </c>
      <c r="Z284" s="122" t="s">
        <v>355</v>
      </c>
      <c r="AA284" s="141" t="s">
        <v>742</v>
      </c>
      <c r="AB284" s="122" t="s">
        <v>533</v>
      </c>
      <c r="AC284" s="141" t="s">
        <v>1981</v>
      </c>
      <c r="AD284" s="122" t="s">
        <v>305</v>
      </c>
      <c r="AE284" s="122" t="s">
        <v>235</v>
      </c>
      <c r="AF284" s="122" t="s">
        <v>4374</v>
      </c>
      <c r="AG284" s="122" t="s">
        <v>537</v>
      </c>
      <c r="AH284" s="122" t="s">
        <v>253</v>
      </c>
      <c r="AI284" s="122" t="s">
        <v>3796</v>
      </c>
      <c r="AJ284" s="122" t="s">
        <v>4375</v>
      </c>
      <c r="AK284" s="122" t="s">
        <v>253</v>
      </c>
      <c r="AL284" s="122" t="s">
        <v>253</v>
      </c>
      <c r="AM284" s="122" t="s">
        <v>253</v>
      </c>
      <c r="AN284" s="122" t="s">
        <v>253</v>
      </c>
      <c r="AO284" s="141" t="s">
        <v>253</v>
      </c>
      <c r="AP284" s="141" t="s">
        <v>253</v>
      </c>
      <c r="AQ284" s="141" t="s">
        <v>247</v>
      </c>
      <c r="AR284" s="141" t="s">
        <v>253</v>
      </c>
      <c r="AS284" s="141" t="s">
        <v>361</v>
      </c>
      <c r="AT284" s="141" t="s">
        <v>601</v>
      </c>
      <c r="AU284" s="141" t="s">
        <v>258</v>
      </c>
      <c r="AV284" s="122" t="s">
        <v>259</v>
      </c>
      <c r="AW284" s="122" t="s">
        <v>260</v>
      </c>
      <c r="AY284" s="141" t="s">
        <v>253</v>
      </c>
      <c r="AZ284" s="122" t="s">
        <v>4376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58</v>
      </c>
      <c r="BJ284" s="123">
        <v>42230</v>
      </c>
      <c r="BK284" s="139" t="s">
        <v>264</v>
      </c>
      <c r="BL284" s="140">
        <v>70</v>
      </c>
      <c r="BM284" s="122">
        <v>33</v>
      </c>
    </row>
    <row r="285" spans="1:65" x14ac:dyDescent="0.25">
      <c r="A285" s="122" t="s">
        <v>422</v>
      </c>
      <c r="B285" s="122" t="s">
        <v>4377</v>
      </c>
      <c r="C285" s="122" t="s">
        <v>4378</v>
      </c>
      <c r="D285" s="122" t="s">
        <v>4379</v>
      </c>
      <c r="E285" s="123">
        <v>42219</v>
      </c>
      <c r="F285" s="122" t="s">
        <v>668</v>
      </c>
      <c r="G285" s="122" t="s">
        <v>235</v>
      </c>
      <c r="H285" s="122" t="s">
        <v>448</v>
      </c>
      <c r="I285" s="122" t="s">
        <v>4380</v>
      </c>
      <c r="J285" s="122" t="s">
        <v>4381</v>
      </c>
      <c r="K285" s="122" t="s">
        <v>3364</v>
      </c>
      <c r="L285" s="122" t="s">
        <v>3365</v>
      </c>
      <c r="M285" s="122" t="s">
        <v>3366</v>
      </c>
      <c r="O285" s="141" t="s">
        <v>916</v>
      </c>
      <c r="P285" s="141" t="s">
        <v>4382</v>
      </c>
      <c r="Q285" s="122" t="s">
        <v>3369</v>
      </c>
      <c r="R285" s="142">
        <v>59</v>
      </c>
      <c r="S285" s="122" t="s">
        <v>4383</v>
      </c>
      <c r="U285" s="122" t="s">
        <v>3538</v>
      </c>
      <c r="V285" s="122" t="s">
        <v>351</v>
      </c>
      <c r="W285" s="122" t="s">
        <v>246</v>
      </c>
      <c r="X285" s="122" t="s">
        <v>433</v>
      </c>
      <c r="Y285" s="141" t="s">
        <v>958</v>
      </c>
      <c r="Z285" s="122" t="s">
        <v>4384</v>
      </c>
      <c r="AB285" s="122" t="s">
        <v>250</v>
      </c>
      <c r="AD285" s="122" t="s">
        <v>250</v>
      </c>
      <c r="AE285" s="122" t="s">
        <v>235</v>
      </c>
      <c r="AF285" s="122" t="s">
        <v>4385</v>
      </c>
      <c r="AG285" s="122" t="s">
        <v>537</v>
      </c>
      <c r="AH285" s="122" t="s">
        <v>253</v>
      </c>
      <c r="AI285" s="122" t="s">
        <v>4386</v>
      </c>
      <c r="AJ285" s="122" t="s">
        <v>4387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247</v>
      </c>
      <c r="AR285" s="141" t="s">
        <v>253</v>
      </c>
      <c r="AS285" s="141" t="s">
        <v>601</v>
      </c>
      <c r="AT285" s="141" t="s">
        <v>601</v>
      </c>
      <c r="AU285" s="141" t="s">
        <v>258</v>
      </c>
      <c r="AV285" s="122" t="s">
        <v>259</v>
      </c>
      <c r="AW285" s="122" t="s">
        <v>260</v>
      </c>
      <c r="AY285" s="141" t="s">
        <v>253</v>
      </c>
      <c r="AZ285" s="122" t="s">
        <v>262</v>
      </c>
      <c r="BA285" s="122" t="s">
        <v>262</v>
      </c>
      <c r="BB285" s="122" t="s">
        <v>4388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59</v>
      </c>
      <c r="BJ285" s="123">
        <v>42233</v>
      </c>
      <c r="BK285" s="139" t="s">
        <v>2891</v>
      </c>
      <c r="BM285" s="122">
        <v>34</v>
      </c>
    </row>
    <row r="286" spans="1:65" x14ac:dyDescent="0.25">
      <c r="A286" s="122" t="s">
        <v>422</v>
      </c>
      <c r="B286" s="122" t="s">
        <v>4389</v>
      </c>
      <c r="C286" s="122" t="s">
        <v>4390</v>
      </c>
      <c r="D286" s="122" t="s">
        <v>4391</v>
      </c>
      <c r="E286" s="123">
        <v>42219</v>
      </c>
      <c r="F286" s="122" t="s">
        <v>4392</v>
      </c>
      <c r="G286" s="122" t="s">
        <v>235</v>
      </c>
      <c r="H286" s="122" t="s">
        <v>4393</v>
      </c>
      <c r="I286" s="122" t="s">
        <v>3976</v>
      </c>
      <c r="J286" s="122" t="s">
        <v>1358</v>
      </c>
      <c r="K286" s="122" t="s">
        <v>3533</v>
      </c>
      <c r="L286" s="122" t="s">
        <v>3534</v>
      </c>
      <c r="M286" s="122" t="s">
        <v>3535</v>
      </c>
      <c r="O286" s="141" t="s">
        <v>373</v>
      </c>
      <c r="P286" s="141" t="s">
        <v>4394</v>
      </c>
      <c r="Q286" s="122" t="s">
        <v>3369</v>
      </c>
      <c r="R286" s="142">
        <v>60</v>
      </c>
      <c r="S286" s="122" t="s">
        <v>4395</v>
      </c>
      <c r="U286" s="122" t="s">
        <v>3538</v>
      </c>
      <c r="W286" s="122" t="s">
        <v>246</v>
      </c>
      <c r="X286" s="122" t="s">
        <v>260</v>
      </c>
      <c r="Y286" s="141" t="s">
        <v>356</v>
      </c>
      <c r="Z286" s="122" t="s">
        <v>4396</v>
      </c>
      <c r="AA286" s="141" t="s">
        <v>635</v>
      </c>
      <c r="AB286" s="122" t="s">
        <v>4396</v>
      </c>
      <c r="AC286" s="141" t="s">
        <v>879</v>
      </c>
      <c r="AD286" s="122" t="s">
        <v>4396</v>
      </c>
      <c r="AE286" s="122" t="s">
        <v>235</v>
      </c>
      <c r="AF286" s="122" t="s">
        <v>4397</v>
      </c>
      <c r="AG286" s="122" t="s">
        <v>253</v>
      </c>
      <c r="AH286" s="122" t="s">
        <v>253</v>
      </c>
      <c r="AI286" s="122" t="s">
        <v>4398</v>
      </c>
      <c r="AJ286" s="122" t="s">
        <v>2309</v>
      </c>
      <c r="AK286" s="122" t="s">
        <v>4399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247</v>
      </c>
      <c r="AR286" s="141" t="s">
        <v>253</v>
      </c>
      <c r="AS286" s="141" t="s">
        <v>361</v>
      </c>
      <c r="AT286" s="141" t="s">
        <v>601</v>
      </c>
      <c r="AU286" s="141" t="s">
        <v>258</v>
      </c>
      <c r="AV286" s="122" t="s">
        <v>259</v>
      </c>
      <c r="AW286" s="122" t="s">
        <v>260</v>
      </c>
      <c r="AY286" s="141" t="s">
        <v>253</v>
      </c>
      <c r="AZ286" s="122" t="s">
        <v>4400</v>
      </c>
      <c r="BA286" s="122" t="s">
        <v>262</v>
      </c>
      <c r="BB286" s="122" t="s">
        <v>262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60</v>
      </c>
      <c r="BJ286" s="123">
        <v>42233</v>
      </c>
      <c r="BK286" s="139" t="s">
        <v>606</v>
      </c>
      <c r="BM286" s="122">
        <v>34</v>
      </c>
    </row>
    <row r="287" spans="1:65" x14ac:dyDescent="0.25">
      <c r="A287" s="122" t="s">
        <v>422</v>
      </c>
      <c r="B287" s="122" t="s">
        <v>4401</v>
      </c>
      <c r="C287" s="122" t="s">
        <v>4402</v>
      </c>
      <c r="D287" s="122" t="s">
        <v>4403</v>
      </c>
      <c r="E287" s="123">
        <v>42219</v>
      </c>
      <c r="F287" s="122" t="s">
        <v>2701</v>
      </c>
      <c r="G287" s="122" t="s">
        <v>235</v>
      </c>
      <c r="H287" s="122" t="s">
        <v>4404</v>
      </c>
      <c r="I287" s="122" t="s">
        <v>4405</v>
      </c>
      <c r="K287" s="122" t="s">
        <v>3385</v>
      </c>
      <c r="L287" s="122" t="s">
        <v>3554</v>
      </c>
      <c r="M287" s="122" t="s">
        <v>3570</v>
      </c>
      <c r="O287" s="141" t="s">
        <v>451</v>
      </c>
      <c r="P287" s="141" t="s">
        <v>4406</v>
      </c>
      <c r="Q287" s="122" t="s">
        <v>3389</v>
      </c>
      <c r="R287" s="142">
        <v>61</v>
      </c>
      <c r="S287" s="122" t="s">
        <v>4407</v>
      </c>
      <c r="T287" s="122" t="s">
        <v>4408</v>
      </c>
      <c r="U287" s="122" t="s">
        <v>3538</v>
      </c>
      <c r="W287" s="122" t="s">
        <v>246</v>
      </c>
      <c r="X287" s="122" t="s">
        <v>4409</v>
      </c>
      <c r="Y287" s="141" t="s">
        <v>2257</v>
      </c>
      <c r="Z287" s="122" t="s">
        <v>4410</v>
      </c>
      <c r="AB287" s="122" t="s">
        <v>250</v>
      </c>
      <c r="AD287" s="122" t="s">
        <v>250</v>
      </c>
      <c r="AE287" s="122" t="s">
        <v>235</v>
      </c>
      <c r="AF287" s="122" t="s">
        <v>4411</v>
      </c>
      <c r="AG287" s="122" t="s">
        <v>253</v>
      </c>
      <c r="AH287" s="122" t="s">
        <v>253</v>
      </c>
      <c r="AI287" s="122" t="s">
        <v>4412</v>
      </c>
      <c r="AJ287" s="122" t="s">
        <v>4413</v>
      </c>
      <c r="AK287" s="122" t="s">
        <v>253</v>
      </c>
      <c r="AL287" s="122" t="s">
        <v>4414</v>
      </c>
      <c r="AM287" s="122" t="s">
        <v>253</v>
      </c>
      <c r="AN287" s="122" t="s">
        <v>253</v>
      </c>
      <c r="AO287" s="141" t="s">
        <v>247</v>
      </c>
      <c r="AP287" s="141" t="s">
        <v>247</v>
      </c>
      <c r="AQ287" s="141" t="s">
        <v>247</v>
      </c>
      <c r="AR287" s="141" t="s">
        <v>247</v>
      </c>
      <c r="AS287" s="141" t="s">
        <v>601</v>
      </c>
      <c r="AT287" s="141" t="s">
        <v>601</v>
      </c>
      <c r="AU287" s="141" t="s">
        <v>601</v>
      </c>
      <c r="AV287" s="122" t="s">
        <v>259</v>
      </c>
      <c r="AW287" s="122" t="s">
        <v>260</v>
      </c>
      <c r="AX287" s="141" t="s">
        <v>1046</v>
      </c>
      <c r="AY287" s="141" t="s">
        <v>247</v>
      </c>
      <c r="AZ287" s="122" t="s">
        <v>4415</v>
      </c>
      <c r="BA287" s="122" t="s">
        <v>262</v>
      </c>
      <c r="BB287" s="122" t="s">
        <v>4416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61</v>
      </c>
      <c r="BJ287" s="123">
        <v>42233</v>
      </c>
      <c r="BK287" s="139" t="s">
        <v>606</v>
      </c>
      <c r="BM287" s="122">
        <v>34</v>
      </c>
    </row>
    <row r="288" spans="1:65" x14ac:dyDescent="0.25">
      <c r="A288" s="122" t="s">
        <v>485</v>
      </c>
      <c r="B288" s="122" t="s">
        <v>4417</v>
      </c>
      <c r="C288" s="122" t="s">
        <v>4418</v>
      </c>
      <c r="D288" s="122" t="s">
        <v>4419</v>
      </c>
      <c r="E288" s="123">
        <v>42219</v>
      </c>
      <c r="F288" s="122" t="s">
        <v>457</v>
      </c>
      <c r="G288" s="122" t="s">
        <v>235</v>
      </c>
      <c r="H288" s="122" t="s">
        <v>4420</v>
      </c>
      <c r="I288" s="122" t="s">
        <v>4421</v>
      </c>
      <c r="J288" s="122" t="s">
        <v>4422</v>
      </c>
      <c r="K288" s="122" t="s">
        <v>3364</v>
      </c>
      <c r="L288" s="122" t="s">
        <v>3365</v>
      </c>
      <c r="M288" s="122" t="s">
        <v>3366</v>
      </c>
      <c r="O288" s="141" t="s">
        <v>373</v>
      </c>
      <c r="P288" s="141" t="s">
        <v>4423</v>
      </c>
      <c r="Q288" s="122" t="s">
        <v>3369</v>
      </c>
      <c r="R288" s="142">
        <v>62</v>
      </c>
      <c r="S288" s="122" t="s">
        <v>4424</v>
      </c>
      <c r="U288" s="122" t="s">
        <v>3538</v>
      </c>
      <c r="V288" s="122" t="s">
        <v>351</v>
      </c>
      <c r="W288" s="122" t="s">
        <v>246</v>
      </c>
      <c r="X288" s="122" t="s">
        <v>260</v>
      </c>
      <c r="Z288" s="122" t="s">
        <v>250</v>
      </c>
      <c r="AB288" s="122" t="s">
        <v>250</v>
      </c>
      <c r="AD288" s="122" t="s">
        <v>250</v>
      </c>
      <c r="AE288" s="122" t="s">
        <v>235</v>
      </c>
      <c r="AF288" s="122" t="s">
        <v>4425</v>
      </c>
      <c r="AG288" s="122" t="s">
        <v>253</v>
      </c>
      <c r="AH288" s="122" t="s">
        <v>253</v>
      </c>
      <c r="AI288" s="122" t="s">
        <v>4426</v>
      </c>
      <c r="AJ288" s="122" t="s">
        <v>4427</v>
      </c>
      <c r="AK288" s="122" t="s">
        <v>4428</v>
      </c>
      <c r="AL288" s="122" t="s">
        <v>253</v>
      </c>
      <c r="AM288" s="122" t="s">
        <v>253</v>
      </c>
      <c r="AN288" s="122" t="s">
        <v>253</v>
      </c>
      <c r="AO288" s="141" t="s">
        <v>253</v>
      </c>
      <c r="AP288" s="141" t="s">
        <v>253</v>
      </c>
      <c r="AQ288" s="141" t="s">
        <v>247</v>
      </c>
      <c r="AR288" s="141" t="s">
        <v>253</v>
      </c>
      <c r="AS288" s="141" t="s">
        <v>361</v>
      </c>
      <c r="AT288" s="141" t="s">
        <v>601</v>
      </c>
      <c r="AU288" s="141" t="s">
        <v>258</v>
      </c>
      <c r="AV288" s="122" t="s">
        <v>259</v>
      </c>
      <c r="AW288" s="122" t="s">
        <v>260</v>
      </c>
      <c r="AY288" s="141" t="s">
        <v>253</v>
      </c>
      <c r="AZ288" s="122" t="s">
        <v>4429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62</v>
      </c>
      <c r="BJ288" s="123">
        <v>42233</v>
      </c>
      <c r="BK288" s="139" t="s">
        <v>2891</v>
      </c>
      <c r="BM288" s="122">
        <v>34</v>
      </c>
    </row>
    <row r="289" spans="1:65" x14ac:dyDescent="0.25">
      <c r="A289" s="122" t="s">
        <v>485</v>
      </c>
      <c r="B289" s="122" t="s">
        <v>4430</v>
      </c>
      <c r="C289" s="122" t="s">
        <v>4431</v>
      </c>
      <c r="D289" s="122" t="s">
        <v>4432</v>
      </c>
      <c r="E289" s="123">
        <v>42219</v>
      </c>
      <c r="F289" s="122" t="s">
        <v>1421</v>
      </c>
      <c r="G289" s="122" t="s">
        <v>235</v>
      </c>
      <c r="H289" s="122" t="s">
        <v>4433</v>
      </c>
      <c r="I289" s="122" t="s">
        <v>4434</v>
      </c>
      <c r="J289" s="122" t="s">
        <v>4435</v>
      </c>
      <c r="K289" s="122" t="s">
        <v>3364</v>
      </c>
      <c r="L289" s="122" t="s">
        <v>3365</v>
      </c>
      <c r="M289" s="122" t="s">
        <v>3366</v>
      </c>
      <c r="O289" s="141" t="s">
        <v>241</v>
      </c>
      <c r="P289" s="141" t="s">
        <v>4436</v>
      </c>
      <c r="Q289" s="122" t="s">
        <v>3369</v>
      </c>
      <c r="R289" s="142">
        <v>63</v>
      </c>
      <c r="S289" s="122" t="s">
        <v>4437</v>
      </c>
      <c r="U289" s="122" t="s">
        <v>3538</v>
      </c>
      <c r="V289" s="122" t="s">
        <v>351</v>
      </c>
      <c r="W289" s="122" t="s">
        <v>246</v>
      </c>
      <c r="X289" s="122" t="s">
        <v>721</v>
      </c>
      <c r="Z289" s="122" t="s">
        <v>250</v>
      </c>
      <c r="AB289" s="122" t="s">
        <v>250</v>
      </c>
      <c r="AD289" s="122" t="s">
        <v>250</v>
      </c>
      <c r="AE289" s="122" t="s">
        <v>235</v>
      </c>
      <c r="AF289" s="122" t="s">
        <v>4438</v>
      </c>
      <c r="AG289" s="122" t="s">
        <v>537</v>
      </c>
      <c r="AH289" s="122" t="s">
        <v>253</v>
      </c>
      <c r="AI289" s="122" t="s">
        <v>2579</v>
      </c>
      <c r="AJ289" s="122" t="s">
        <v>4439</v>
      </c>
      <c r="AK289" s="122" t="s">
        <v>253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253</v>
      </c>
      <c r="AQ289" s="141" t="s">
        <v>247</v>
      </c>
      <c r="AR289" s="141" t="s">
        <v>253</v>
      </c>
      <c r="AS289" s="141" t="s">
        <v>601</v>
      </c>
      <c r="AT289" s="141" t="s">
        <v>601</v>
      </c>
      <c r="AU289" s="141" t="s">
        <v>258</v>
      </c>
      <c r="AV289" s="122" t="s">
        <v>259</v>
      </c>
      <c r="AW289" s="122" t="s">
        <v>260</v>
      </c>
      <c r="AY289" s="141" t="s">
        <v>253</v>
      </c>
      <c r="AZ289" s="122" t="s">
        <v>4440</v>
      </c>
      <c r="BA289" s="122" t="s">
        <v>262</v>
      </c>
      <c r="BB289" s="122" t="s">
        <v>262</v>
      </c>
      <c r="BC289" s="141" t="s">
        <v>312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63</v>
      </c>
      <c r="BJ289" s="123">
        <v>42222</v>
      </c>
      <c r="BK289" s="139" t="s">
        <v>264</v>
      </c>
      <c r="BL289" s="140">
        <v>116.12</v>
      </c>
      <c r="BM289" s="122">
        <v>32</v>
      </c>
    </row>
    <row r="290" spans="1:65" x14ac:dyDescent="0.25">
      <c r="A290" s="122" t="s">
        <v>485</v>
      </c>
      <c r="B290" s="122" t="s">
        <v>4441</v>
      </c>
      <c r="C290" s="122" t="s">
        <v>4442</v>
      </c>
      <c r="D290" s="122" t="s">
        <v>4443</v>
      </c>
      <c r="E290" s="123">
        <v>42219</v>
      </c>
      <c r="F290" s="122" t="s">
        <v>4444</v>
      </c>
      <c r="G290" s="122" t="s">
        <v>235</v>
      </c>
      <c r="H290" s="122" t="s">
        <v>4267</v>
      </c>
      <c r="I290" s="122" t="s">
        <v>4445</v>
      </c>
      <c r="J290" s="122" t="s">
        <v>4446</v>
      </c>
      <c r="K290" s="122" t="s">
        <v>3385</v>
      </c>
      <c r="L290" s="122" t="s">
        <v>3386</v>
      </c>
      <c r="M290" s="122" t="s">
        <v>3405</v>
      </c>
      <c r="O290" s="141" t="s">
        <v>273</v>
      </c>
      <c r="P290" s="141" t="s">
        <v>4447</v>
      </c>
      <c r="Q290" s="122" t="s">
        <v>3389</v>
      </c>
      <c r="R290" s="142">
        <v>64</v>
      </c>
      <c r="S290" s="122" t="s">
        <v>4448</v>
      </c>
      <c r="U290" s="122" t="s">
        <v>3538</v>
      </c>
      <c r="W290" s="122" t="s">
        <v>246</v>
      </c>
      <c r="X290" s="122" t="s">
        <v>551</v>
      </c>
      <c r="Y290" s="141" t="s">
        <v>3230</v>
      </c>
      <c r="Z290" s="122" t="s">
        <v>4449</v>
      </c>
      <c r="AA290" s="141" t="s">
        <v>2804</v>
      </c>
      <c r="AB290" s="122" t="s">
        <v>4450</v>
      </c>
      <c r="AC290" s="141" t="s">
        <v>1325</v>
      </c>
      <c r="AD290" s="122" t="s">
        <v>4451</v>
      </c>
      <c r="AE290" s="122" t="s">
        <v>235</v>
      </c>
      <c r="AF290" s="122" t="s">
        <v>4452</v>
      </c>
      <c r="AG290" s="122" t="s">
        <v>253</v>
      </c>
      <c r="AH290" s="122" t="s">
        <v>253</v>
      </c>
      <c r="AI290" s="122" t="s">
        <v>4453</v>
      </c>
      <c r="AJ290" s="122" t="s">
        <v>4454</v>
      </c>
      <c r="AK290" s="122" t="s">
        <v>4455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247</v>
      </c>
      <c r="AR290" s="141" t="s">
        <v>247</v>
      </c>
      <c r="AS290" s="141" t="s">
        <v>601</v>
      </c>
      <c r="AT290" s="141" t="s">
        <v>601</v>
      </c>
      <c r="AU290" s="141" t="s">
        <v>601</v>
      </c>
      <c r="AV290" s="122" t="s">
        <v>259</v>
      </c>
      <c r="AW290" s="122" t="s">
        <v>260</v>
      </c>
      <c r="AX290" s="141" t="s">
        <v>1130</v>
      </c>
      <c r="AY290" s="141" t="s">
        <v>603</v>
      </c>
      <c r="AZ290" s="122" t="s">
        <v>4279</v>
      </c>
      <c r="BA290" s="122" t="s">
        <v>262</v>
      </c>
      <c r="BB290" s="122" t="s">
        <v>4456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64</v>
      </c>
      <c r="BJ290" s="123">
        <v>42233</v>
      </c>
      <c r="BK290" s="139" t="s">
        <v>606</v>
      </c>
      <c r="BM290" s="122">
        <v>34</v>
      </c>
    </row>
    <row r="291" spans="1:65" x14ac:dyDescent="0.25">
      <c r="A291" s="122" t="s">
        <v>485</v>
      </c>
      <c r="B291" s="122" t="s">
        <v>4457</v>
      </c>
      <c r="C291" s="122" t="s">
        <v>4458</v>
      </c>
      <c r="D291" s="122" t="s">
        <v>4459</v>
      </c>
      <c r="E291" s="123">
        <v>42219</v>
      </c>
      <c r="F291" s="122" t="s">
        <v>1402</v>
      </c>
      <c r="G291" s="122" t="s">
        <v>235</v>
      </c>
      <c r="H291" s="122" t="s">
        <v>4460</v>
      </c>
      <c r="I291" s="122" t="s">
        <v>4461</v>
      </c>
      <c r="K291" s="122" t="s">
        <v>3385</v>
      </c>
      <c r="L291" s="122" t="s">
        <v>3386</v>
      </c>
      <c r="M291" s="122" t="s">
        <v>3405</v>
      </c>
      <c r="O291" s="141" t="s">
        <v>548</v>
      </c>
      <c r="P291" s="141" t="s">
        <v>4462</v>
      </c>
      <c r="Q291" s="122" t="s">
        <v>3389</v>
      </c>
      <c r="R291" s="142">
        <v>65</v>
      </c>
      <c r="S291" s="122" t="s">
        <v>4463</v>
      </c>
      <c r="T291" s="122" t="s">
        <v>4464</v>
      </c>
      <c r="U291" s="122" t="s">
        <v>3538</v>
      </c>
      <c r="W291" s="122" t="s">
        <v>246</v>
      </c>
      <c r="X291" s="122" t="s">
        <v>497</v>
      </c>
      <c r="Y291" s="141" t="s">
        <v>956</v>
      </c>
      <c r="Z291" s="122" t="s">
        <v>1746</v>
      </c>
      <c r="AA291" s="141" t="s">
        <v>500</v>
      </c>
      <c r="AB291" s="122" t="s">
        <v>4465</v>
      </c>
      <c r="AC291" s="141" t="s">
        <v>1629</v>
      </c>
      <c r="AD291" s="122" t="s">
        <v>4466</v>
      </c>
      <c r="AE291" s="122" t="s">
        <v>235</v>
      </c>
      <c r="AF291" s="122" t="s">
        <v>4467</v>
      </c>
      <c r="AG291" s="122" t="s">
        <v>537</v>
      </c>
      <c r="AH291" s="122" t="s">
        <v>253</v>
      </c>
      <c r="AI291" s="122" t="s">
        <v>4468</v>
      </c>
      <c r="AJ291" s="122" t="s">
        <v>4469</v>
      </c>
      <c r="AK291" s="122" t="s">
        <v>253</v>
      </c>
      <c r="AL291" s="122" t="s">
        <v>253</v>
      </c>
      <c r="AM291" s="122" t="s">
        <v>253</v>
      </c>
      <c r="AN291" s="122" t="s">
        <v>253</v>
      </c>
      <c r="AO291" s="141" t="s">
        <v>247</v>
      </c>
      <c r="AP291" s="141" t="s">
        <v>247</v>
      </c>
      <c r="AQ291" s="141" t="s">
        <v>247</v>
      </c>
      <c r="AR291" s="141" t="s">
        <v>247</v>
      </c>
      <c r="AS291" s="141" t="s">
        <v>601</v>
      </c>
      <c r="AT291" s="141" t="s">
        <v>601</v>
      </c>
      <c r="AU291" s="141" t="s">
        <v>257</v>
      </c>
      <c r="AV291" s="122" t="s">
        <v>259</v>
      </c>
      <c r="AW291" s="122" t="s">
        <v>260</v>
      </c>
      <c r="AY291" s="141" t="s">
        <v>253</v>
      </c>
      <c r="AZ291" s="122" t="s">
        <v>4470</v>
      </c>
      <c r="BA291" s="122" t="s">
        <v>262</v>
      </c>
      <c r="BB291" s="122" t="s">
        <v>262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65</v>
      </c>
      <c r="BJ291" s="123">
        <v>42226</v>
      </c>
      <c r="BK291" s="139" t="s">
        <v>264</v>
      </c>
      <c r="BL291" s="140">
        <v>200</v>
      </c>
      <c r="BM291" s="122">
        <v>33</v>
      </c>
    </row>
    <row r="292" spans="1:65" x14ac:dyDescent="0.25">
      <c r="A292" s="122" t="s">
        <v>485</v>
      </c>
      <c r="B292" s="122" t="s">
        <v>4471</v>
      </c>
      <c r="C292" s="122" t="s">
        <v>4472</v>
      </c>
      <c r="D292" s="122" t="s">
        <v>4473</v>
      </c>
      <c r="E292" s="123">
        <v>42219</v>
      </c>
      <c r="F292" s="122" t="s">
        <v>4474</v>
      </c>
      <c r="G292" s="122" t="s">
        <v>235</v>
      </c>
      <c r="H292" s="122" t="s">
        <v>4475</v>
      </c>
      <c r="I292" s="122" t="s">
        <v>4476</v>
      </c>
      <c r="K292" s="122" t="s">
        <v>3385</v>
      </c>
      <c r="L292" s="122" t="s">
        <v>3554</v>
      </c>
      <c r="M292" s="122" t="s">
        <v>3555</v>
      </c>
      <c r="O292" s="141" t="s">
        <v>613</v>
      </c>
      <c r="P292" s="141" t="s">
        <v>4477</v>
      </c>
      <c r="Q292" s="122" t="s">
        <v>3389</v>
      </c>
      <c r="R292" s="142">
        <v>66</v>
      </c>
      <c r="S292" s="122" t="s">
        <v>4478</v>
      </c>
      <c r="U292" s="122" t="s">
        <v>3538</v>
      </c>
      <c r="W292" s="122" t="s">
        <v>246</v>
      </c>
      <c r="X292" s="122" t="s">
        <v>497</v>
      </c>
      <c r="Y292" s="141" t="s">
        <v>1209</v>
      </c>
      <c r="Z292" s="122" t="s">
        <v>4479</v>
      </c>
      <c r="AA292" s="141" t="s">
        <v>670</v>
      </c>
      <c r="AB292" s="122" t="s">
        <v>4480</v>
      </c>
      <c r="AC292" s="141" t="s">
        <v>2259</v>
      </c>
      <c r="AD292" s="122" t="s">
        <v>4481</v>
      </c>
      <c r="AE292" s="122" t="s">
        <v>235</v>
      </c>
      <c r="AF292" s="122" t="s">
        <v>4482</v>
      </c>
      <c r="AG292" s="122" t="s">
        <v>537</v>
      </c>
      <c r="AH292" s="122" t="s">
        <v>253</v>
      </c>
      <c r="AI292" s="122" t="s">
        <v>4483</v>
      </c>
      <c r="AJ292" s="122" t="s">
        <v>4484</v>
      </c>
      <c r="AK292" s="122" t="s">
        <v>253</v>
      </c>
      <c r="AL292" s="122" t="s">
        <v>253</v>
      </c>
      <c r="AM292" s="122" t="s">
        <v>253</v>
      </c>
      <c r="AN292" s="122" t="s">
        <v>253</v>
      </c>
      <c r="AO292" s="141" t="s">
        <v>253</v>
      </c>
      <c r="AP292" s="141" t="s">
        <v>253</v>
      </c>
      <c r="AQ292" s="141" t="s">
        <v>247</v>
      </c>
      <c r="AR292" s="141" t="s">
        <v>253</v>
      </c>
      <c r="AS292" s="141" t="s">
        <v>361</v>
      </c>
      <c r="AT292" s="141" t="s">
        <v>601</v>
      </c>
      <c r="AU292" s="141" t="s">
        <v>258</v>
      </c>
      <c r="AV292" s="122" t="s">
        <v>259</v>
      </c>
      <c r="AW292" s="122" t="s">
        <v>260</v>
      </c>
      <c r="AX292" s="141" t="s">
        <v>362</v>
      </c>
      <c r="AY292" s="141" t="s">
        <v>247</v>
      </c>
      <c r="AZ292" s="122" t="s">
        <v>4485</v>
      </c>
      <c r="BA292" s="122" t="s">
        <v>262</v>
      </c>
      <c r="BB292" s="122" t="s">
        <v>262</v>
      </c>
      <c r="BC292" s="141" t="s">
        <v>312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66</v>
      </c>
      <c r="BJ292" s="123">
        <v>42233</v>
      </c>
      <c r="BK292" s="139" t="s">
        <v>606</v>
      </c>
      <c r="BM292" s="122">
        <v>34</v>
      </c>
    </row>
    <row r="293" spans="1:65" x14ac:dyDescent="0.25">
      <c r="A293" s="122" t="s">
        <v>485</v>
      </c>
      <c r="B293" s="122" t="s">
        <v>4486</v>
      </c>
      <c r="C293" s="122" t="s">
        <v>4487</v>
      </c>
      <c r="D293" s="122" t="s">
        <v>4488</v>
      </c>
      <c r="E293" s="123">
        <v>42219</v>
      </c>
      <c r="F293" s="122" t="s">
        <v>4489</v>
      </c>
      <c r="G293" s="122" t="s">
        <v>235</v>
      </c>
      <c r="H293" s="122" t="s">
        <v>4490</v>
      </c>
      <c r="I293" s="122" t="s">
        <v>4491</v>
      </c>
      <c r="K293" s="122" t="s">
        <v>3452</v>
      </c>
      <c r="L293" s="122" t="s">
        <v>3453</v>
      </c>
      <c r="M293" s="122" t="s">
        <v>3776</v>
      </c>
      <c r="O293" s="141" t="s">
        <v>299</v>
      </c>
      <c r="P293" s="141" t="s">
        <v>4492</v>
      </c>
      <c r="Q293" s="122" t="s">
        <v>3389</v>
      </c>
      <c r="R293" s="142">
        <v>67</v>
      </c>
      <c r="S293" s="122" t="s">
        <v>4493</v>
      </c>
      <c r="U293" s="122" t="s">
        <v>3538</v>
      </c>
      <c r="W293" s="122" t="s">
        <v>246</v>
      </c>
      <c r="X293" s="122" t="s">
        <v>302</v>
      </c>
      <c r="Y293" s="141" t="s">
        <v>784</v>
      </c>
      <c r="Z293" s="122" t="s">
        <v>1401</v>
      </c>
      <c r="AA293" s="141" t="s">
        <v>670</v>
      </c>
      <c r="AB293" s="122" t="s">
        <v>1401</v>
      </c>
      <c r="AC293" s="141" t="s">
        <v>920</v>
      </c>
      <c r="AD293" s="122" t="s">
        <v>1401</v>
      </c>
      <c r="AE293" s="122" t="s">
        <v>235</v>
      </c>
      <c r="AF293" s="122" t="s">
        <v>4494</v>
      </c>
      <c r="AG293" s="122" t="s">
        <v>537</v>
      </c>
      <c r="AH293" s="122" t="s">
        <v>253</v>
      </c>
      <c r="AI293" s="122" t="s">
        <v>3812</v>
      </c>
      <c r="AJ293" s="122" t="s">
        <v>3812</v>
      </c>
      <c r="AK293" s="122" t="s">
        <v>253</v>
      </c>
      <c r="AL293" s="122" t="s">
        <v>253</v>
      </c>
      <c r="AM293" s="122" t="s">
        <v>253</v>
      </c>
      <c r="AN293" s="122" t="s">
        <v>253</v>
      </c>
      <c r="AO293" s="141" t="s">
        <v>253</v>
      </c>
      <c r="AP293" s="141" t="s">
        <v>253</v>
      </c>
      <c r="AQ293" s="141" t="s">
        <v>247</v>
      </c>
      <c r="AR293" s="141" t="s">
        <v>253</v>
      </c>
      <c r="AS293" s="141" t="s">
        <v>361</v>
      </c>
      <c r="AT293" s="141" t="s">
        <v>601</v>
      </c>
      <c r="AU293" s="141" t="s">
        <v>258</v>
      </c>
      <c r="AV293" s="122" t="s">
        <v>259</v>
      </c>
      <c r="AW293" s="122" t="s">
        <v>260</v>
      </c>
      <c r="AY293" s="141" t="s">
        <v>253</v>
      </c>
      <c r="AZ293" s="122" t="s">
        <v>4495</v>
      </c>
      <c r="BA293" s="122" t="s">
        <v>262</v>
      </c>
      <c r="BB293" s="122" t="s">
        <v>262</v>
      </c>
      <c r="BC293" s="141" t="s">
        <v>312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67</v>
      </c>
      <c r="BJ293" s="123">
        <v>42223</v>
      </c>
      <c r="BK293" s="139" t="s">
        <v>264</v>
      </c>
      <c r="BL293" s="140">
        <v>56.98</v>
      </c>
      <c r="BM293" s="122">
        <v>32</v>
      </c>
    </row>
    <row r="294" spans="1:65" x14ac:dyDescent="0.25">
      <c r="A294" s="122" t="s">
        <v>485</v>
      </c>
      <c r="B294" s="122" t="s">
        <v>4496</v>
      </c>
      <c r="C294" s="122" t="s">
        <v>4497</v>
      </c>
      <c r="D294" s="122" t="s">
        <v>4498</v>
      </c>
      <c r="E294" s="123">
        <v>42219</v>
      </c>
      <c r="F294" s="122" t="s">
        <v>1421</v>
      </c>
      <c r="G294" s="122" t="s">
        <v>235</v>
      </c>
      <c r="H294" s="122" t="s">
        <v>4499</v>
      </c>
      <c r="I294" s="122" t="s">
        <v>4500</v>
      </c>
      <c r="J294" s="122" t="s">
        <v>2116</v>
      </c>
      <c r="K294" s="122" t="s">
        <v>3385</v>
      </c>
      <c r="L294" s="122" t="s">
        <v>3554</v>
      </c>
      <c r="M294" s="122" t="s">
        <v>3736</v>
      </c>
      <c r="O294" s="141" t="s">
        <v>2378</v>
      </c>
      <c r="P294" s="141" t="s">
        <v>4501</v>
      </c>
      <c r="Q294" s="122" t="s">
        <v>3389</v>
      </c>
      <c r="R294" s="142">
        <v>68</v>
      </c>
      <c r="S294" s="122" t="s">
        <v>4502</v>
      </c>
      <c r="U294" s="122" t="s">
        <v>3538</v>
      </c>
      <c r="W294" s="122" t="s">
        <v>246</v>
      </c>
      <c r="X294" s="122" t="s">
        <v>325</v>
      </c>
      <c r="Z294" s="122" t="s">
        <v>250</v>
      </c>
      <c r="AB294" s="122" t="s">
        <v>250</v>
      </c>
      <c r="AD294" s="122" t="s">
        <v>250</v>
      </c>
      <c r="AE294" s="122" t="s">
        <v>235</v>
      </c>
      <c r="AF294" s="122" t="s">
        <v>4503</v>
      </c>
      <c r="AG294" s="122" t="s">
        <v>537</v>
      </c>
      <c r="AH294" s="122" t="s">
        <v>253</v>
      </c>
      <c r="AI294" s="122" t="s">
        <v>4427</v>
      </c>
      <c r="AJ294" s="122" t="s">
        <v>4428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253</v>
      </c>
      <c r="AP294" s="141" t="s">
        <v>253</v>
      </c>
      <c r="AQ294" s="141" t="s">
        <v>247</v>
      </c>
      <c r="AR294" s="141" t="s">
        <v>253</v>
      </c>
      <c r="AS294" s="141" t="s">
        <v>361</v>
      </c>
      <c r="AT294" s="141" t="s">
        <v>601</v>
      </c>
      <c r="AU294" s="141" t="s">
        <v>258</v>
      </c>
      <c r="AV294" s="122" t="s">
        <v>259</v>
      </c>
      <c r="AW294" s="122" t="s">
        <v>260</v>
      </c>
      <c r="AY294" s="141" t="s">
        <v>253</v>
      </c>
      <c r="AZ294" s="122" t="s">
        <v>4504</v>
      </c>
      <c r="BA294" s="122" t="s">
        <v>262</v>
      </c>
      <c r="BB294" s="122" t="s">
        <v>262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68</v>
      </c>
      <c r="BJ294" s="123">
        <v>42233</v>
      </c>
      <c r="BK294" s="139" t="s">
        <v>606</v>
      </c>
      <c r="BM294" s="122">
        <v>34</v>
      </c>
    </row>
    <row r="295" spans="1:65" x14ac:dyDescent="0.25">
      <c r="A295" s="122" t="s">
        <v>485</v>
      </c>
      <c r="B295" s="122" t="s">
        <v>4505</v>
      </c>
      <c r="C295" s="122" t="s">
        <v>4506</v>
      </c>
      <c r="D295" s="122" t="s">
        <v>4507</v>
      </c>
      <c r="E295" s="123">
        <v>42219</v>
      </c>
      <c r="F295" s="122" t="s">
        <v>4508</v>
      </c>
      <c r="G295" s="122" t="s">
        <v>235</v>
      </c>
      <c r="H295" s="122" t="s">
        <v>4509</v>
      </c>
      <c r="I295" s="122" t="s">
        <v>4510</v>
      </c>
      <c r="K295" s="122" t="s">
        <v>3385</v>
      </c>
      <c r="L295" s="122" t="s">
        <v>3386</v>
      </c>
      <c r="M295" s="122" t="s">
        <v>3486</v>
      </c>
      <c r="O295" s="141" t="s">
        <v>566</v>
      </c>
      <c r="P295" s="141" t="s">
        <v>4511</v>
      </c>
      <c r="Q295" s="122" t="s">
        <v>3389</v>
      </c>
      <c r="R295" s="142">
        <v>69</v>
      </c>
      <c r="S295" s="122" t="s">
        <v>4512</v>
      </c>
      <c r="U295" s="122" t="s">
        <v>3538</v>
      </c>
      <c r="W295" s="122" t="s">
        <v>246</v>
      </c>
      <c r="X295" s="122" t="s">
        <v>497</v>
      </c>
      <c r="Y295" s="141" t="s">
        <v>378</v>
      </c>
      <c r="Z295" s="122" t="s">
        <v>4513</v>
      </c>
      <c r="AA295" s="141" t="s">
        <v>457</v>
      </c>
      <c r="AB295" s="122" t="s">
        <v>4514</v>
      </c>
      <c r="AC295" s="141" t="s">
        <v>672</v>
      </c>
      <c r="AD295" s="122" t="s">
        <v>2967</v>
      </c>
      <c r="AE295" s="122" t="s">
        <v>235</v>
      </c>
      <c r="AF295" s="122" t="s">
        <v>4515</v>
      </c>
      <c r="AG295" s="122" t="s">
        <v>537</v>
      </c>
      <c r="AH295" s="122" t="s">
        <v>253</v>
      </c>
      <c r="AI295" s="122" t="s">
        <v>4516</v>
      </c>
      <c r="AJ295" s="122" t="s">
        <v>555</v>
      </c>
      <c r="AK295" s="122" t="s">
        <v>253</v>
      </c>
      <c r="AL295" s="122" t="s">
        <v>253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253</v>
      </c>
      <c r="AR295" s="141" t="s">
        <v>253</v>
      </c>
      <c r="AS295" s="141" t="s">
        <v>601</v>
      </c>
      <c r="AT295" s="141" t="s">
        <v>258</v>
      </c>
      <c r="AU295" s="141" t="s">
        <v>258</v>
      </c>
      <c r="AV295" s="122" t="s">
        <v>259</v>
      </c>
      <c r="AW295" s="122" t="s">
        <v>260</v>
      </c>
      <c r="AY295" s="141" t="s">
        <v>253</v>
      </c>
      <c r="AZ295" s="122" t="s">
        <v>4517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69</v>
      </c>
      <c r="BJ295" s="123">
        <v>42229</v>
      </c>
      <c r="BK295" s="139" t="s">
        <v>264</v>
      </c>
      <c r="BL295" s="140">
        <v>99.88</v>
      </c>
      <c r="BM295" s="122">
        <v>33</v>
      </c>
    </row>
    <row r="296" spans="1:65" x14ac:dyDescent="0.25">
      <c r="A296" s="122" t="s">
        <v>485</v>
      </c>
      <c r="B296" s="122" t="s">
        <v>4518</v>
      </c>
      <c r="C296" s="122" t="s">
        <v>4519</v>
      </c>
      <c r="D296" s="122" t="s">
        <v>4520</v>
      </c>
      <c r="E296" s="123">
        <v>42219</v>
      </c>
      <c r="F296" s="122" t="s">
        <v>4521</v>
      </c>
      <c r="G296" s="122" t="s">
        <v>235</v>
      </c>
      <c r="H296" s="122" t="s">
        <v>4522</v>
      </c>
      <c r="I296" s="122" t="s">
        <v>4523</v>
      </c>
      <c r="J296" s="122" t="s">
        <v>1018</v>
      </c>
      <c r="K296" s="122" t="s">
        <v>3385</v>
      </c>
      <c r="L296" s="122" t="s">
        <v>3554</v>
      </c>
      <c r="M296" s="122" t="s">
        <v>3570</v>
      </c>
      <c r="O296" s="141" t="s">
        <v>494</v>
      </c>
      <c r="P296" s="141" t="s">
        <v>4524</v>
      </c>
      <c r="Q296" s="122" t="s">
        <v>3389</v>
      </c>
      <c r="R296" s="142">
        <v>70</v>
      </c>
      <c r="S296" s="122" t="s">
        <v>4525</v>
      </c>
      <c r="U296" s="122" t="s">
        <v>3538</v>
      </c>
      <c r="W296" s="122" t="s">
        <v>246</v>
      </c>
      <c r="X296" s="122" t="s">
        <v>590</v>
      </c>
      <c r="Y296" s="141" t="s">
        <v>1528</v>
      </c>
      <c r="Z296" s="122" t="s">
        <v>4526</v>
      </c>
      <c r="AA296" s="141" t="s">
        <v>457</v>
      </c>
      <c r="AB296" s="122" t="s">
        <v>4526</v>
      </c>
      <c r="AC296" s="141" t="s">
        <v>367</v>
      </c>
      <c r="AD296" s="122" t="s">
        <v>4526</v>
      </c>
      <c r="AE296" s="122" t="s">
        <v>235</v>
      </c>
      <c r="AF296" s="122" t="s">
        <v>4527</v>
      </c>
      <c r="AG296" s="122" t="s">
        <v>537</v>
      </c>
      <c r="AH296" s="122" t="s">
        <v>253</v>
      </c>
      <c r="AI296" s="122" t="s">
        <v>4528</v>
      </c>
      <c r="AJ296" s="122" t="s">
        <v>4529</v>
      </c>
      <c r="AK296" s="122" t="s">
        <v>253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253</v>
      </c>
      <c r="AQ296" s="141" t="s">
        <v>253</v>
      </c>
      <c r="AR296" s="141" t="s">
        <v>247</v>
      </c>
      <c r="AS296" s="141" t="s">
        <v>601</v>
      </c>
      <c r="AT296" s="141" t="s">
        <v>258</v>
      </c>
      <c r="AU296" s="141" t="s">
        <v>601</v>
      </c>
      <c r="AV296" s="122" t="s">
        <v>259</v>
      </c>
      <c r="AW296" s="122" t="s">
        <v>260</v>
      </c>
      <c r="AX296" s="141" t="s">
        <v>790</v>
      </c>
      <c r="AY296" s="141" t="s">
        <v>247</v>
      </c>
      <c r="AZ296" s="122" t="s">
        <v>4530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70</v>
      </c>
      <c r="BJ296" s="123">
        <v>42233</v>
      </c>
      <c r="BK296" s="139" t="s">
        <v>606</v>
      </c>
      <c r="BM296" s="122">
        <v>34</v>
      </c>
    </row>
    <row r="297" spans="1:65" x14ac:dyDescent="0.25">
      <c r="A297" s="122" t="s">
        <v>485</v>
      </c>
      <c r="B297" s="122" t="s">
        <v>4531</v>
      </c>
      <c r="C297" s="122" t="s">
        <v>4532</v>
      </c>
      <c r="D297" s="122" t="s">
        <v>4533</v>
      </c>
      <c r="E297" s="123">
        <v>42219</v>
      </c>
      <c r="F297" s="122" t="s">
        <v>4534</v>
      </c>
      <c r="G297" s="122" t="s">
        <v>235</v>
      </c>
      <c r="H297" s="122" t="s">
        <v>4535</v>
      </c>
      <c r="I297" s="122" t="s">
        <v>4536</v>
      </c>
      <c r="K297" s="122" t="s">
        <v>3385</v>
      </c>
      <c r="L297" s="122" t="s">
        <v>3554</v>
      </c>
      <c r="M297" s="122" t="s">
        <v>3555</v>
      </c>
      <c r="O297" s="141" t="s">
        <v>273</v>
      </c>
      <c r="P297" s="141" t="s">
        <v>4537</v>
      </c>
      <c r="Q297" s="122" t="s">
        <v>3389</v>
      </c>
      <c r="R297" s="142">
        <v>71</v>
      </c>
      <c r="S297" s="122" t="s">
        <v>4538</v>
      </c>
      <c r="U297" s="122" t="s">
        <v>3538</v>
      </c>
      <c r="W297" s="122" t="s">
        <v>246</v>
      </c>
      <c r="X297" s="122" t="s">
        <v>4409</v>
      </c>
      <c r="Y297" s="141" t="s">
        <v>1256</v>
      </c>
      <c r="Z297" s="122" t="s">
        <v>4539</v>
      </c>
      <c r="AA297" s="141" t="s">
        <v>417</v>
      </c>
      <c r="AB297" s="122" t="s">
        <v>4540</v>
      </c>
      <c r="AC297" s="141" t="s">
        <v>985</v>
      </c>
      <c r="AD297" s="122" t="s">
        <v>4541</v>
      </c>
      <c r="AE297" s="122" t="s">
        <v>235</v>
      </c>
      <c r="AF297" s="122" t="s">
        <v>4542</v>
      </c>
      <c r="AG297" s="122" t="s">
        <v>253</v>
      </c>
      <c r="AH297" s="122" t="s">
        <v>253</v>
      </c>
      <c r="AI297" s="122" t="s">
        <v>4543</v>
      </c>
      <c r="AJ297" s="122" t="s">
        <v>4544</v>
      </c>
      <c r="AK297" s="122" t="s">
        <v>253</v>
      </c>
      <c r="AL297" s="122" t="s">
        <v>4545</v>
      </c>
      <c r="AM297" s="122" t="s">
        <v>253</v>
      </c>
      <c r="AN297" s="122" t="s">
        <v>253</v>
      </c>
      <c r="AO297" s="141" t="s">
        <v>247</v>
      </c>
      <c r="AP297" s="141" t="s">
        <v>247</v>
      </c>
      <c r="AQ297" s="141" t="s">
        <v>253</v>
      </c>
      <c r="AR297" s="141" t="s">
        <v>253</v>
      </c>
      <c r="AS297" s="141" t="s">
        <v>601</v>
      </c>
      <c r="AT297" s="141" t="s">
        <v>258</v>
      </c>
      <c r="AU297" s="141" t="s">
        <v>258</v>
      </c>
      <c r="AV297" s="122" t="s">
        <v>259</v>
      </c>
      <c r="AW297" s="122" t="s">
        <v>260</v>
      </c>
      <c r="AX297" s="141" t="s">
        <v>1130</v>
      </c>
      <c r="AY297" s="141" t="s">
        <v>603</v>
      </c>
      <c r="AZ297" s="122" t="s">
        <v>4546</v>
      </c>
      <c r="BA297" s="122" t="s">
        <v>262</v>
      </c>
      <c r="BB297" s="122" t="s">
        <v>262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71</v>
      </c>
      <c r="BJ297" s="123">
        <v>42233</v>
      </c>
      <c r="BK297" s="139" t="s">
        <v>606</v>
      </c>
      <c r="BM297" s="122">
        <v>34</v>
      </c>
    </row>
    <row r="298" spans="1:65" x14ac:dyDescent="0.25">
      <c r="A298" s="122" t="s">
        <v>485</v>
      </c>
      <c r="B298" s="122" t="s">
        <v>4547</v>
      </c>
      <c r="C298" s="122" t="s">
        <v>4548</v>
      </c>
      <c r="D298" s="122" t="s">
        <v>4549</v>
      </c>
      <c r="E298" s="123">
        <v>42219</v>
      </c>
      <c r="F298" s="122" t="s">
        <v>901</v>
      </c>
      <c r="G298" s="122" t="s">
        <v>235</v>
      </c>
      <c r="H298" s="122" t="s">
        <v>448</v>
      </c>
      <c r="I298" s="122" t="s">
        <v>4550</v>
      </c>
      <c r="K298" s="122" t="s">
        <v>3385</v>
      </c>
      <c r="L298" s="122" t="s">
        <v>3554</v>
      </c>
      <c r="M298" s="122" t="s">
        <v>3846</v>
      </c>
      <c r="O298" s="141" t="s">
        <v>451</v>
      </c>
      <c r="P298" s="141" t="s">
        <v>4551</v>
      </c>
      <c r="Q298" s="122" t="s">
        <v>3389</v>
      </c>
      <c r="R298" s="142">
        <v>72</v>
      </c>
      <c r="S298" s="122" t="s">
        <v>4552</v>
      </c>
      <c r="U298" s="122" t="s">
        <v>3538</v>
      </c>
      <c r="W298" s="122" t="s">
        <v>246</v>
      </c>
      <c r="X298" s="122" t="s">
        <v>1057</v>
      </c>
      <c r="Y298" s="141" t="s">
        <v>1162</v>
      </c>
      <c r="Z298" s="122" t="s">
        <v>4553</v>
      </c>
      <c r="AA298" s="141" t="s">
        <v>455</v>
      </c>
      <c r="AB298" s="122" t="s">
        <v>4554</v>
      </c>
      <c r="AC298" s="141" t="s">
        <v>595</v>
      </c>
      <c r="AD298" s="122" t="s">
        <v>1326</v>
      </c>
      <c r="AE298" s="122" t="s">
        <v>235</v>
      </c>
      <c r="AF298" s="122" t="s">
        <v>4555</v>
      </c>
      <c r="AG298" s="122" t="s">
        <v>747</v>
      </c>
      <c r="AH298" s="122" t="s">
        <v>253</v>
      </c>
      <c r="AI298" s="122" t="s">
        <v>4556</v>
      </c>
      <c r="AJ298" s="122" t="s">
        <v>3099</v>
      </c>
      <c r="AK298" s="122" t="s">
        <v>4557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247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601</v>
      </c>
      <c r="AV298" s="122" t="s">
        <v>259</v>
      </c>
      <c r="AW298" s="122" t="s">
        <v>260</v>
      </c>
      <c r="AX298" s="141" t="s">
        <v>1130</v>
      </c>
      <c r="AY298" s="141" t="s">
        <v>603</v>
      </c>
      <c r="AZ298" s="122" t="s">
        <v>262</v>
      </c>
      <c r="BA298" s="122" t="s">
        <v>262</v>
      </c>
      <c r="BB298" s="122" t="s">
        <v>4558</v>
      </c>
      <c r="BD298" s="122" t="s">
        <v>247</v>
      </c>
      <c r="BE298" s="122" t="s">
        <v>263</v>
      </c>
      <c r="BF298" s="122" t="s">
        <v>3547</v>
      </c>
      <c r="BH298" s="122" t="s">
        <v>3538</v>
      </c>
      <c r="BI298" s="142">
        <v>72</v>
      </c>
      <c r="BJ298" s="123">
        <v>42233</v>
      </c>
      <c r="BK298" s="139" t="s">
        <v>606</v>
      </c>
      <c r="BM298" s="122">
        <v>34</v>
      </c>
    </row>
    <row r="299" spans="1:65" x14ac:dyDescent="0.25">
      <c r="A299" s="122" t="s">
        <v>578</v>
      </c>
      <c r="B299" s="122" t="s">
        <v>4559</v>
      </c>
      <c r="C299" s="122" t="s">
        <v>4560</v>
      </c>
      <c r="D299" s="122" t="s">
        <v>4561</v>
      </c>
      <c r="E299" s="123">
        <v>42219</v>
      </c>
      <c r="F299" s="122" t="s">
        <v>1325</v>
      </c>
      <c r="G299" s="122" t="s">
        <v>235</v>
      </c>
      <c r="H299" s="122" t="s">
        <v>4562</v>
      </c>
      <c r="I299" s="122" t="s">
        <v>4563</v>
      </c>
      <c r="J299" s="122" t="s">
        <v>4564</v>
      </c>
      <c r="K299" s="122" t="s">
        <v>3364</v>
      </c>
      <c r="L299" s="122" t="s">
        <v>3365</v>
      </c>
      <c r="M299" s="122" t="s">
        <v>3366</v>
      </c>
      <c r="O299" s="141" t="s">
        <v>548</v>
      </c>
      <c r="P299" s="141" t="s">
        <v>4565</v>
      </c>
      <c r="Q299" s="122" t="s">
        <v>3369</v>
      </c>
      <c r="R299" s="142">
        <v>73</v>
      </c>
      <c r="S299" s="122" t="s">
        <v>4566</v>
      </c>
      <c r="U299" s="122" t="s">
        <v>3538</v>
      </c>
      <c r="W299" s="122" t="s">
        <v>246</v>
      </c>
      <c r="X299" s="122" t="s">
        <v>1057</v>
      </c>
      <c r="Y299" s="141" t="s">
        <v>455</v>
      </c>
      <c r="Z299" s="122" t="s">
        <v>4567</v>
      </c>
      <c r="AB299" s="122" t="s">
        <v>250</v>
      </c>
      <c r="AD299" s="122" t="s">
        <v>250</v>
      </c>
      <c r="AE299" s="122" t="s">
        <v>235</v>
      </c>
      <c r="AF299" s="122" t="s">
        <v>4568</v>
      </c>
      <c r="AG299" s="122" t="s">
        <v>537</v>
      </c>
      <c r="AH299" s="122" t="s">
        <v>253</v>
      </c>
      <c r="AI299" s="122" t="s">
        <v>4569</v>
      </c>
      <c r="AJ299" s="122" t="s">
        <v>4570</v>
      </c>
      <c r="AK299" s="122" t="s">
        <v>4571</v>
      </c>
      <c r="AL299" s="122" t="s">
        <v>253</v>
      </c>
      <c r="AM299" s="122" t="s">
        <v>253</v>
      </c>
      <c r="AN299" s="122" t="s">
        <v>253</v>
      </c>
      <c r="AO299" s="141" t="s">
        <v>247</v>
      </c>
      <c r="AP299" s="141" t="s">
        <v>247</v>
      </c>
      <c r="AQ299" s="141" t="s">
        <v>247</v>
      </c>
      <c r="AR299" s="141" t="s">
        <v>247</v>
      </c>
      <c r="AS299" s="141" t="s">
        <v>601</v>
      </c>
      <c r="AT299" s="141" t="s">
        <v>601</v>
      </c>
      <c r="AU299" s="141" t="s">
        <v>601</v>
      </c>
      <c r="AV299" s="122" t="s">
        <v>259</v>
      </c>
      <c r="AW299" s="122" t="s">
        <v>556</v>
      </c>
      <c r="AX299" s="141" t="s">
        <v>790</v>
      </c>
      <c r="AY299" s="141" t="s">
        <v>247</v>
      </c>
      <c r="AZ299" s="122" t="s">
        <v>4572</v>
      </c>
      <c r="BA299" s="122" t="s">
        <v>262</v>
      </c>
      <c r="BB299" s="122" t="s">
        <v>262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73</v>
      </c>
      <c r="BK299" s="139" t="s">
        <v>558</v>
      </c>
    </row>
    <row r="300" spans="1:65" x14ac:dyDescent="0.25">
      <c r="A300" s="122" t="s">
        <v>578</v>
      </c>
      <c r="B300" s="122" t="s">
        <v>4573</v>
      </c>
      <c r="C300" s="122" t="s">
        <v>4574</v>
      </c>
      <c r="D300" s="122" t="s">
        <v>4575</v>
      </c>
      <c r="E300" s="123">
        <v>42219</v>
      </c>
      <c r="F300" s="122" t="s">
        <v>1567</v>
      </c>
      <c r="G300" s="122" t="s">
        <v>235</v>
      </c>
      <c r="H300" s="122" t="s">
        <v>4576</v>
      </c>
      <c r="I300" s="122" t="s">
        <v>4577</v>
      </c>
      <c r="K300" s="122" t="s">
        <v>3452</v>
      </c>
      <c r="L300" s="122" t="s">
        <v>3453</v>
      </c>
      <c r="M300" s="122" t="s">
        <v>3454</v>
      </c>
      <c r="O300" s="141" t="s">
        <v>1240</v>
      </c>
      <c r="P300" s="141" t="s">
        <v>4578</v>
      </c>
      <c r="Q300" s="122" t="s">
        <v>3389</v>
      </c>
      <c r="R300" s="142">
        <v>74</v>
      </c>
      <c r="S300" s="122" t="s">
        <v>4579</v>
      </c>
      <c r="U300" s="122" t="s">
        <v>3538</v>
      </c>
      <c r="W300" s="122" t="s">
        <v>246</v>
      </c>
      <c r="X300" s="122" t="s">
        <v>260</v>
      </c>
      <c r="Y300" s="141" t="s">
        <v>591</v>
      </c>
      <c r="Z300" s="122" t="s">
        <v>355</v>
      </c>
      <c r="AA300" s="141" t="s">
        <v>1876</v>
      </c>
      <c r="AB300" s="122" t="s">
        <v>4580</v>
      </c>
      <c r="AC300" s="141" t="s">
        <v>635</v>
      </c>
      <c r="AD300" s="122" t="s">
        <v>4581</v>
      </c>
      <c r="AE300" s="122" t="s">
        <v>235</v>
      </c>
      <c r="AF300" s="122" t="s">
        <v>4582</v>
      </c>
      <c r="AG300" s="122" t="s">
        <v>253</v>
      </c>
      <c r="AH300" s="122" t="s">
        <v>253</v>
      </c>
      <c r="AI300" s="122" t="s">
        <v>4583</v>
      </c>
      <c r="AJ300" s="122" t="s">
        <v>4584</v>
      </c>
      <c r="AK300" s="122" t="s">
        <v>4585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253</v>
      </c>
      <c r="AR300" s="141" t="s">
        <v>247</v>
      </c>
      <c r="AS300" s="141" t="s">
        <v>361</v>
      </c>
      <c r="AT300" s="141" t="s">
        <v>258</v>
      </c>
      <c r="AU300" s="141" t="s">
        <v>601</v>
      </c>
      <c r="AV300" s="122" t="s">
        <v>259</v>
      </c>
      <c r="AW300" s="122" t="s">
        <v>556</v>
      </c>
      <c r="AY300" s="141" t="s">
        <v>253</v>
      </c>
      <c r="AZ300" s="122" t="s">
        <v>4586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74</v>
      </c>
      <c r="BJ300" s="123">
        <v>42232</v>
      </c>
      <c r="BK300" s="139" t="s">
        <v>264</v>
      </c>
      <c r="BL300" s="140">
        <v>397.51</v>
      </c>
      <c r="BM300" s="122">
        <v>33</v>
      </c>
    </row>
    <row r="301" spans="1:65" x14ac:dyDescent="0.25">
      <c r="A301" s="122" t="s">
        <v>578</v>
      </c>
      <c r="B301" s="122" t="s">
        <v>4587</v>
      </c>
      <c r="C301" s="122" t="s">
        <v>4588</v>
      </c>
      <c r="D301" s="122" t="s">
        <v>4589</v>
      </c>
      <c r="E301" s="123">
        <v>42219</v>
      </c>
      <c r="F301" s="122" t="s">
        <v>899</v>
      </c>
      <c r="G301" s="122" t="s">
        <v>235</v>
      </c>
      <c r="H301" s="122" t="s">
        <v>4590</v>
      </c>
      <c r="I301" s="122" t="s">
        <v>4591</v>
      </c>
      <c r="J301" s="122" t="s">
        <v>1239</v>
      </c>
      <c r="K301" s="122" t="s">
        <v>3385</v>
      </c>
      <c r="L301" s="122" t="s">
        <v>3554</v>
      </c>
      <c r="M301" s="122" t="s">
        <v>3570</v>
      </c>
      <c r="O301" s="141" t="s">
        <v>4592</v>
      </c>
      <c r="P301" s="141" t="s">
        <v>4593</v>
      </c>
      <c r="Q301" s="122" t="s">
        <v>3389</v>
      </c>
      <c r="R301" s="142">
        <v>75</v>
      </c>
      <c r="S301" s="122" t="s">
        <v>4594</v>
      </c>
      <c r="U301" s="122" t="s">
        <v>3538</v>
      </c>
      <c r="W301" s="122" t="s">
        <v>246</v>
      </c>
      <c r="X301" s="122" t="s">
        <v>1324</v>
      </c>
      <c r="Y301" s="141" t="s">
        <v>1256</v>
      </c>
      <c r="Z301" s="122" t="s">
        <v>4595</v>
      </c>
      <c r="AA301" s="141" t="s">
        <v>2072</v>
      </c>
      <c r="AB301" s="122" t="s">
        <v>4596</v>
      </c>
      <c r="AC301" s="141" t="s">
        <v>2701</v>
      </c>
      <c r="AD301" s="122" t="s">
        <v>4597</v>
      </c>
      <c r="AE301" s="122" t="s">
        <v>235</v>
      </c>
      <c r="AF301" s="122" t="s">
        <v>4598</v>
      </c>
      <c r="AG301" s="122" t="s">
        <v>253</v>
      </c>
      <c r="AH301" s="122" t="s">
        <v>253</v>
      </c>
      <c r="AI301" s="122" t="s">
        <v>4599</v>
      </c>
      <c r="AJ301" s="122" t="s">
        <v>253</v>
      </c>
      <c r="AK301" s="122" t="s">
        <v>253</v>
      </c>
      <c r="AL301" s="122" t="s">
        <v>4600</v>
      </c>
      <c r="AM301" s="122" t="s">
        <v>253</v>
      </c>
      <c r="AN301" s="122" t="s">
        <v>253</v>
      </c>
      <c r="AO301" s="141" t="s">
        <v>247</v>
      </c>
      <c r="AP301" s="141" t="s">
        <v>247</v>
      </c>
      <c r="AQ301" s="141" t="s">
        <v>247</v>
      </c>
      <c r="AR301" s="141" t="s">
        <v>247</v>
      </c>
      <c r="AS301" s="141" t="s">
        <v>601</v>
      </c>
      <c r="AT301" s="141" t="s">
        <v>601</v>
      </c>
      <c r="AU301" s="141" t="s">
        <v>601</v>
      </c>
      <c r="AV301" s="122" t="s">
        <v>259</v>
      </c>
      <c r="AW301" s="122" t="s">
        <v>556</v>
      </c>
      <c r="AX301" s="141" t="s">
        <v>980</v>
      </c>
      <c r="AY301" s="141" t="s">
        <v>603</v>
      </c>
      <c r="AZ301" s="122" t="s">
        <v>4601</v>
      </c>
      <c r="BA301" s="122" t="s">
        <v>262</v>
      </c>
      <c r="BB301" s="122" t="s">
        <v>262</v>
      </c>
      <c r="BC301" s="141" t="s">
        <v>312</v>
      </c>
      <c r="BD301" s="122" t="s">
        <v>253</v>
      </c>
      <c r="BE301" s="122" t="s">
        <v>263</v>
      </c>
      <c r="BF301" s="122" t="s">
        <v>3547</v>
      </c>
      <c r="BH301" s="122" t="s">
        <v>3538</v>
      </c>
      <c r="BI301" s="142">
        <v>75</v>
      </c>
      <c r="BK301" s="139" t="s">
        <v>558</v>
      </c>
    </row>
    <row r="302" spans="1:65" x14ac:dyDescent="0.25">
      <c r="A302" s="122" t="s">
        <v>541</v>
      </c>
      <c r="B302" s="122" t="s">
        <v>4602</v>
      </c>
      <c r="C302" s="122" t="s">
        <v>4603</v>
      </c>
      <c r="D302" s="122" t="s">
        <v>4604</v>
      </c>
      <c r="E302" s="123">
        <v>42219</v>
      </c>
      <c r="F302" s="122" t="s">
        <v>4605</v>
      </c>
      <c r="G302" s="122" t="s">
        <v>235</v>
      </c>
      <c r="H302" s="122" t="s">
        <v>4606</v>
      </c>
      <c r="I302" s="122" t="s">
        <v>4607</v>
      </c>
      <c r="K302" s="122" t="s">
        <v>3385</v>
      </c>
      <c r="L302" s="122" t="s">
        <v>3386</v>
      </c>
      <c r="M302" s="122" t="s">
        <v>3486</v>
      </c>
      <c r="O302" s="141" t="s">
        <v>451</v>
      </c>
      <c r="P302" s="141" t="s">
        <v>4608</v>
      </c>
      <c r="Q302" s="122" t="s">
        <v>3389</v>
      </c>
      <c r="R302" s="142">
        <v>76</v>
      </c>
      <c r="S302" s="122" t="s">
        <v>4609</v>
      </c>
      <c r="U302" s="122" t="s">
        <v>3538</v>
      </c>
      <c r="W302" s="122" t="s">
        <v>246</v>
      </c>
      <c r="X302" s="122" t="s">
        <v>442</v>
      </c>
      <c r="Y302" s="141" t="s">
        <v>668</v>
      </c>
      <c r="Z302" s="122" t="s">
        <v>4610</v>
      </c>
      <c r="AA302" s="141" t="s">
        <v>595</v>
      </c>
      <c r="AB302" s="122" t="s">
        <v>249</v>
      </c>
      <c r="AC302" s="141" t="s">
        <v>2259</v>
      </c>
      <c r="AD302" s="122" t="s">
        <v>249</v>
      </c>
      <c r="AE302" s="122" t="s">
        <v>235</v>
      </c>
      <c r="AF302" s="122" t="s">
        <v>4611</v>
      </c>
      <c r="AG302" s="122" t="s">
        <v>253</v>
      </c>
      <c r="AH302" s="122" t="s">
        <v>253</v>
      </c>
      <c r="AI302" s="122" t="s">
        <v>4612</v>
      </c>
      <c r="AJ302" s="122" t="s">
        <v>4613</v>
      </c>
      <c r="AK302" s="122" t="s">
        <v>4614</v>
      </c>
      <c r="AL302" s="122" t="s">
        <v>253</v>
      </c>
      <c r="AM302" s="122" t="s">
        <v>253</v>
      </c>
      <c r="AN302" s="122" t="s">
        <v>253</v>
      </c>
      <c r="AO302" s="141" t="s">
        <v>247</v>
      </c>
      <c r="AP302" s="141" t="s">
        <v>247</v>
      </c>
      <c r="AQ302" s="141" t="s">
        <v>247</v>
      </c>
      <c r="AR302" s="141" t="s">
        <v>247</v>
      </c>
      <c r="AS302" s="141" t="s">
        <v>601</v>
      </c>
      <c r="AT302" s="141" t="s">
        <v>601</v>
      </c>
      <c r="AU302" s="141" t="s">
        <v>601</v>
      </c>
      <c r="AV302" s="122" t="s">
        <v>259</v>
      </c>
      <c r="AW302" s="122" t="s">
        <v>556</v>
      </c>
      <c r="AY302" s="141" t="s">
        <v>253</v>
      </c>
      <c r="AZ302" s="122" t="s">
        <v>4615</v>
      </c>
      <c r="BA302" s="122" t="s">
        <v>262</v>
      </c>
      <c r="BB302" s="122" t="s">
        <v>262</v>
      </c>
      <c r="BD302" s="122" t="s">
        <v>253</v>
      </c>
      <c r="BE302" s="122" t="s">
        <v>263</v>
      </c>
      <c r="BF302" s="122" t="s">
        <v>3547</v>
      </c>
      <c r="BH302" s="122" t="s">
        <v>3538</v>
      </c>
      <c r="BI302" s="142">
        <v>76</v>
      </c>
      <c r="BK302" s="139" t="s">
        <v>558</v>
      </c>
    </row>
    <row r="303" spans="1:65" x14ac:dyDescent="0.25">
      <c r="A303" s="122" t="s">
        <v>230</v>
      </c>
      <c r="B303" s="122" t="s">
        <v>4616</v>
      </c>
      <c r="C303" s="122" t="s">
        <v>3565</v>
      </c>
      <c r="D303" s="122" t="s">
        <v>3566</v>
      </c>
      <c r="E303" s="123">
        <v>42219</v>
      </c>
      <c r="F303" s="122" t="s">
        <v>3567</v>
      </c>
      <c r="G303" s="122" t="s">
        <v>235</v>
      </c>
      <c r="H303" s="122" t="s">
        <v>3568</v>
      </c>
      <c r="I303" s="122" t="s">
        <v>3569</v>
      </c>
      <c r="K303" s="122" t="s">
        <v>3385</v>
      </c>
      <c r="L303" s="122" t="s">
        <v>3554</v>
      </c>
      <c r="M303" s="122" t="s">
        <v>3570</v>
      </c>
      <c r="O303" s="141" t="s">
        <v>494</v>
      </c>
      <c r="P303" s="141" t="s">
        <v>3571</v>
      </c>
      <c r="Q303" s="122" t="s">
        <v>3389</v>
      </c>
      <c r="R303" s="142">
        <v>77</v>
      </c>
      <c r="S303" s="122" t="s">
        <v>3572</v>
      </c>
      <c r="U303" s="122" t="s">
        <v>3538</v>
      </c>
      <c r="W303" s="122" t="s">
        <v>246</v>
      </c>
      <c r="X303" s="122" t="s">
        <v>302</v>
      </c>
      <c r="Y303" s="141" t="s">
        <v>958</v>
      </c>
      <c r="Z303" s="122" t="s">
        <v>3573</v>
      </c>
      <c r="AA303" s="141" t="s">
        <v>3574</v>
      </c>
      <c r="AB303" s="122" t="s">
        <v>3575</v>
      </c>
      <c r="AC303" s="141" t="s">
        <v>672</v>
      </c>
      <c r="AD303" s="122" t="s">
        <v>3576</v>
      </c>
      <c r="AE303" s="122" t="s">
        <v>235</v>
      </c>
      <c r="AF303" s="122" t="s">
        <v>3577</v>
      </c>
      <c r="AG303" s="122" t="s">
        <v>537</v>
      </c>
      <c r="AH303" s="122" t="s">
        <v>253</v>
      </c>
      <c r="AI303" s="122" t="s">
        <v>3578</v>
      </c>
      <c r="AJ303" s="122" t="s">
        <v>3579</v>
      </c>
      <c r="AK303" s="122" t="s">
        <v>253</v>
      </c>
      <c r="AL303" s="122" t="s">
        <v>253</v>
      </c>
      <c r="AM303" s="122" t="s">
        <v>253</v>
      </c>
      <c r="AN303" s="122" t="s">
        <v>253</v>
      </c>
      <c r="AO303" s="141" t="s">
        <v>247</v>
      </c>
      <c r="AP303" s="141" t="s">
        <v>253</v>
      </c>
      <c r="AQ303" s="141" t="s">
        <v>247</v>
      </c>
      <c r="AR303" s="141" t="s">
        <v>247</v>
      </c>
      <c r="AS303" s="141" t="s">
        <v>601</v>
      </c>
      <c r="AT303" s="141" t="s">
        <v>601</v>
      </c>
      <c r="AU303" s="141" t="s">
        <v>601</v>
      </c>
      <c r="AV303" s="122" t="s">
        <v>259</v>
      </c>
      <c r="AW303" s="122" t="s">
        <v>556</v>
      </c>
      <c r="AX303" s="141" t="s">
        <v>3580</v>
      </c>
      <c r="AY303" s="141" t="s">
        <v>247</v>
      </c>
      <c r="AZ303" s="122" t="s">
        <v>3581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3547</v>
      </c>
      <c r="BH303" s="122" t="s">
        <v>3538</v>
      </c>
      <c r="BI303" s="142">
        <v>77</v>
      </c>
      <c r="BK303" s="139" t="s">
        <v>558</v>
      </c>
    </row>
    <row r="304" spans="1:65" x14ac:dyDescent="0.25">
      <c r="A304" s="122" t="s">
        <v>230</v>
      </c>
      <c r="B304" s="122" t="s">
        <v>4617</v>
      </c>
      <c r="C304" s="122" t="s">
        <v>3703</v>
      </c>
      <c r="D304" s="122" t="s">
        <v>3704</v>
      </c>
      <c r="E304" s="123">
        <v>42219</v>
      </c>
      <c r="F304" s="122" t="s">
        <v>3705</v>
      </c>
      <c r="G304" s="122" t="s">
        <v>235</v>
      </c>
      <c r="H304" s="122" t="s">
        <v>3706</v>
      </c>
      <c r="I304" s="122" t="s">
        <v>3707</v>
      </c>
      <c r="J304" s="122" t="s">
        <v>2158</v>
      </c>
      <c r="K304" s="122" t="s">
        <v>3385</v>
      </c>
      <c r="L304" s="122" t="s">
        <v>3386</v>
      </c>
      <c r="M304" s="122" t="s">
        <v>3405</v>
      </c>
      <c r="O304" s="141" t="s">
        <v>451</v>
      </c>
      <c r="P304" s="141" t="s">
        <v>3708</v>
      </c>
      <c r="Q304" s="122" t="s">
        <v>3389</v>
      </c>
      <c r="R304" s="142">
        <v>78</v>
      </c>
      <c r="S304" s="122" t="s">
        <v>3709</v>
      </c>
      <c r="U304" s="122" t="s">
        <v>3538</v>
      </c>
      <c r="W304" s="122" t="s">
        <v>246</v>
      </c>
      <c r="X304" s="122" t="s">
        <v>1072</v>
      </c>
      <c r="Y304" s="141" t="s">
        <v>1896</v>
      </c>
      <c r="Z304" s="122" t="s">
        <v>355</v>
      </c>
      <c r="AA304" s="141" t="s">
        <v>1423</v>
      </c>
      <c r="AB304" s="122" t="s">
        <v>3710</v>
      </c>
      <c r="AC304" s="141" t="s">
        <v>901</v>
      </c>
      <c r="AD304" s="122" t="s">
        <v>3711</v>
      </c>
      <c r="AE304" s="122" t="s">
        <v>235</v>
      </c>
      <c r="AF304" s="122" t="s">
        <v>3712</v>
      </c>
      <c r="AG304" s="122" t="s">
        <v>253</v>
      </c>
      <c r="AH304" s="122" t="s">
        <v>253</v>
      </c>
      <c r="AI304" s="122" t="s">
        <v>3713</v>
      </c>
      <c r="AJ304" s="122" t="s">
        <v>3714</v>
      </c>
      <c r="AK304" s="122" t="s">
        <v>3715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247</v>
      </c>
      <c r="AQ304" s="141" t="s">
        <v>247</v>
      </c>
      <c r="AR304" s="141" t="s">
        <v>247</v>
      </c>
      <c r="AS304" s="141" t="s">
        <v>601</v>
      </c>
      <c r="AT304" s="141" t="s">
        <v>601</v>
      </c>
      <c r="AU304" s="141" t="s">
        <v>601</v>
      </c>
      <c r="AV304" s="122" t="s">
        <v>259</v>
      </c>
      <c r="AW304" s="122" t="s">
        <v>556</v>
      </c>
      <c r="AY304" s="141" t="s">
        <v>253</v>
      </c>
      <c r="AZ304" s="122" t="s">
        <v>3716</v>
      </c>
      <c r="BA304" s="122" t="s">
        <v>262</v>
      </c>
      <c r="BB304" s="122" t="s">
        <v>262</v>
      </c>
      <c r="BD304" s="122" t="s">
        <v>253</v>
      </c>
      <c r="BE304" s="122" t="s">
        <v>263</v>
      </c>
      <c r="BF304" s="122" t="s">
        <v>3547</v>
      </c>
      <c r="BH304" s="122" t="s">
        <v>3538</v>
      </c>
      <c r="BI304" s="142">
        <v>78</v>
      </c>
      <c r="BK304" s="139" t="s">
        <v>558</v>
      </c>
    </row>
    <row r="305" spans="1:65" x14ac:dyDescent="0.25">
      <c r="A305" s="122" t="s">
        <v>888</v>
      </c>
      <c r="B305" s="122" t="s">
        <v>4618</v>
      </c>
      <c r="C305" s="122" t="s">
        <v>4619</v>
      </c>
      <c r="D305" s="122" t="s">
        <v>4620</v>
      </c>
      <c r="E305" s="123">
        <v>42219</v>
      </c>
      <c r="F305" s="122" t="s">
        <v>3590</v>
      </c>
      <c r="G305" s="122" t="s">
        <v>235</v>
      </c>
      <c r="H305" s="122" t="s">
        <v>4621</v>
      </c>
      <c r="I305" s="122" t="s">
        <v>4622</v>
      </c>
      <c r="K305" s="122" t="s">
        <v>3364</v>
      </c>
      <c r="L305" s="122" t="s">
        <v>3365</v>
      </c>
      <c r="M305" s="122" t="s">
        <v>3366</v>
      </c>
      <c r="O305" s="141" t="s">
        <v>451</v>
      </c>
      <c r="P305" s="141" t="s">
        <v>4623</v>
      </c>
      <c r="Q305" s="122" t="s">
        <v>3369</v>
      </c>
      <c r="R305" s="142">
        <v>79</v>
      </c>
      <c r="S305" s="122" t="s">
        <v>4624</v>
      </c>
      <c r="U305" s="122" t="s">
        <v>3538</v>
      </c>
      <c r="W305" s="122" t="s">
        <v>246</v>
      </c>
      <c r="X305" s="122" t="s">
        <v>302</v>
      </c>
      <c r="Y305" s="141" t="s">
        <v>2051</v>
      </c>
      <c r="Z305" s="122" t="s">
        <v>4625</v>
      </c>
      <c r="AA305" s="141" t="s">
        <v>1567</v>
      </c>
      <c r="AB305" s="122" t="s">
        <v>4626</v>
      </c>
      <c r="AD305" s="122" t="s">
        <v>250</v>
      </c>
      <c r="AE305" s="122" t="s">
        <v>235</v>
      </c>
      <c r="AF305" s="122" t="s">
        <v>4627</v>
      </c>
      <c r="AG305" s="122" t="s">
        <v>537</v>
      </c>
      <c r="AH305" s="122" t="s">
        <v>4628</v>
      </c>
      <c r="AI305" s="122" t="s">
        <v>4629</v>
      </c>
      <c r="AJ305" s="122" t="s">
        <v>4630</v>
      </c>
      <c r="AK305" s="122" t="s">
        <v>1332</v>
      </c>
      <c r="AL305" s="122" t="s">
        <v>4631</v>
      </c>
      <c r="AM305" s="122" t="s">
        <v>253</v>
      </c>
      <c r="AN305" s="122" t="s">
        <v>253</v>
      </c>
      <c r="AO305" s="141" t="s">
        <v>253</v>
      </c>
      <c r="AP305" s="141" t="s">
        <v>253</v>
      </c>
      <c r="AQ305" s="141" t="s">
        <v>253</v>
      </c>
      <c r="AR305" s="141" t="s">
        <v>247</v>
      </c>
      <c r="AS305" s="141" t="s">
        <v>361</v>
      </c>
      <c r="AT305" s="141" t="s">
        <v>258</v>
      </c>
      <c r="AU305" s="141" t="s">
        <v>601</v>
      </c>
      <c r="AV305" s="122" t="s">
        <v>259</v>
      </c>
      <c r="AW305" s="122" t="s">
        <v>556</v>
      </c>
      <c r="AY305" s="141" t="s">
        <v>253</v>
      </c>
      <c r="AZ305" s="122" t="s">
        <v>4632</v>
      </c>
      <c r="BA305" s="122" t="s">
        <v>262</v>
      </c>
      <c r="BB305" s="122" t="s">
        <v>262</v>
      </c>
      <c r="BD305" s="122" t="s">
        <v>253</v>
      </c>
      <c r="BE305" s="122" t="s">
        <v>263</v>
      </c>
      <c r="BF305" s="122" t="s">
        <v>3547</v>
      </c>
      <c r="BH305" s="122" t="s">
        <v>3538</v>
      </c>
      <c r="BI305" s="142">
        <v>79</v>
      </c>
      <c r="BJ305" s="123">
        <v>42233</v>
      </c>
      <c r="BK305" s="139" t="s">
        <v>606</v>
      </c>
      <c r="BM305" s="122">
        <v>34</v>
      </c>
    </row>
    <row r="306" spans="1:65" x14ac:dyDescent="0.25">
      <c r="A306" s="122" t="s">
        <v>404</v>
      </c>
      <c r="B306" s="122" t="s">
        <v>4633</v>
      </c>
      <c r="C306" s="122" t="s">
        <v>4634</v>
      </c>
      <c r="D306" s="122" t="s">
        <v>4635</v>
      </c>
      <c r="E306" s="123">
        <v>42219</v>
      </c>
      <c r="F306" s="122" t="s">
        <v>3705</v>
      </c>
      <c r="G306" s="122" t="s">
        <v>235</v>
      </c>
      <c r="H306" s="122" t="s">
        <v>448</v>
      </c>
      <c r="I306" s="122" t="s">
        <v>4636</v>
      </c>
      <c r="J306" s="122" t="s">
        <v>4637</v>
      </c>
      <c r="K306" s="122" t="s">
        <v>3385</v>
      </c>
      <c r="L306" s="122" t="s">
        <v>3554</v>
      </c>
      <c r="M306" s="122" t="s">
        <v>3555</v>
      </c>
      <c r="Q306" s="122" t="s">
        <v>3389</v>
      </c>
      <c r="R306" s="142">
        <v>80</v>
      </c>
      <c r="S306" s="122" t="s">
        <v>4638</v>
      </c>
      <c r="U306" s="122" t="s">
        <v>3538</v>
      </c>
      <c r="W306" s="122" t="s">
        <v>246</v>
      </c>
      <c r="X306" s="122" t="s">
        <v>1072</v>
      </c>
      <c r="Y306" s="141" t="s">
        <v>367</v>
      </c>
      <c r="Z306" s="122" t="s">
        <v>355</v>
      </c>
      <c r="AA306" s="141" t="s">
        <v>672</v>
      </c>
      <c r="AB306" s="122" t="s">
        <v>4639</v>
      </c>
      <c r="AC306" s="141" t="s">
        <v>985</v>
      </c>
      <c r="AD306" s="122" t="s">
        <v>518</v>
      </c>
      <c r="AE306" s="122" t="s">
        <v>235</v>
      </c>
      <c r="AF306" s="122" t="s">
        <v>4640</v>
      </c>
      <c r="AG306" s="122" t="s">
        <v>253</v>
      </c>
      <c r="AH306" s="122" t="s">
        <v>253</v>
      </c>
      <c r="AI306" s="122" t="s">
        <v>4641</v>
      </c>
      <c r="AJ306" s="122" t="s">
        <v>4642</v>
      </c>
      <c r="AK306" s="122" t="s">
        <v>4643</v>
      </c>
      <c r="AL306" s="122" t="s">
        <v>4644</v>
      </c>
      <c r="AM306" s="122" t="s">
        <v>253</v>
      </c>
      <c r="AN306" s="122" t="s">
        <v>253</v>
      </c>
      <c r="AO306" s="141" t="s">
        <v>253</v>
      </c>
      <c r="AP306" s="141" t="s">
        <v>253</v>
      </c>
      <c r="AQ306" s="141" t="s">
        <v>253</v>
      </c>
      <c r="AR306" s="141" t="s">
        <v>247</v>
      </c>
      <c r="AS306" s="141" t="s">
        <v>361</v>
      </c>
      <c r="AT306" s="141" t="s">
        <v>258</v>
      </c>
      <c r="AU306" s="141" t="s">
        <v>601</v>
      </c>
      <c r="AV306" s="122" t="s">
        <v>259</v>
      </c>
      <c r="AW306" s="122" t="s">
        <v>556</v>
      </c>
      <c r="AY306" s="141" t="s">
        <v>253</v>
      </c>
      <c r="AZ306" s="122" t="s">
        <v>262</v>
      </c>
      <c r="BA306" s="122" t="s">
        <v>262</v>
      </c>
      <c r="BB306" s="122" t="s">
        <v>4645</v>
      </c>
      <c r="BD306" s="122" t="s">
        <v>253</v>
      </c>
      <c r="BE306" s="122" t="s">
        <v>263</v>
      </c>
      <c r="BF306" s="122" t="s">
        <v>3547</v>
      </c>
      <c r="BH306" s="122" t="s">
        <v>3538</v>
      </c>
      <c r="BI306" s="142">
        <v>80</v>
      </c>
      <c r="BJ306" s="123">
        <v>42233</v>
      </c>
      <c r="BK306" s="139" t="s">
        <v>606</v>
      </c>
      <c r="BM306" s="122">
        <v>34</v>
      </c>
    </row>
    <row r="307" spans="1:65" x14ac:dyDescent="0.25">
      <c r="A307" s="122" t="s">
        <v>422</v>
      </c>
      <c r="B307" s="122" t="s">
        <v>4646</v>
      </c>
      <c r="C307" s="122" t="s">
        <v>4064</v>
      </c>
      <c r="D307" s="122" t="s">
        <v>4065</v>
      </c>
      <c r="E307" s="123">
        <v>42219</v>
      </c>
      <c r="F307" s="122" t="s">
        <v>2235</v>
      </c>
      <c r="G307" s="122" t="s">
        <v>235</v>
      </c>
      <c r="H307" s="122" t="s">
        <v>4066</v>
      </c>
      <c r="I307" s="122" t="s">
        <v>4067</v>
      </c>
      <c r="K307" s="122" t="s">
        <v>3385</v>
      </c>
      <c r="L307" s="122" t="s">
        <v>3554</v>
      </c>
      <c r="M307" s="122" t="s">
        <v>3570</v>
      </c>
      <c r="O307" s="141" t="s">
        <v>613</v>
      </c>
      <c r="P307" s="141" t="s">
        <v>4068</v>
      </c>
      <c r="Q307" s="122" t="s">
        <v>3389</v>
      </c>
      <c r="R307" s="142">
        <v>81</v>
      </c>
      <c r="S307" s="122" t="s">
        <v>4069</v>
      </c>
      <c r="U307" s="122" t="s">
        <v>3538</v>
      </c>
      <c r="W307" s="122" t="s">
        <v>246</v>
      </c>
      <c r="X307" s="122" t="s">
        <v>442</v>
      </c>
      <c r="Y307" s="141" t="s">
        <v>328</v>
      </c>
      <c r="Z307" s="122" t="s">
        <v>766</v>
      </c>
      <c r="AA307" s="141" t="s">
        <v>1926</v>
      </c>
      <c r="AB307" s="122" t="s">
        <v>4070</v>
      </c>
      <c r="AC307" s="141" t="s">
        <v>901</v>
      </c>
      <c r="AD307" s="122" t="s">
        <v>4071</v>
      </c>
      <c r="AE307" s="122" t="s">
        <v>235</v>
      </c>
      <c r="AF307" s="122" t="s">
        <v>4072</v>
      </c>
      <c r="AG307" s="122" t="s">
        <v>253</v>
      </c>
      <c r="AH307" s="122" t="s">
        <v>253</v>
      </c>
      <c r="AI307" s="122" t="s">
        <v>4073</v>
      </c>
      <c r="AJ307" s="122" t="s">
        <v>4074</v>
      </c>
      <c r="AK307" s="122" t="s">
        <v>4075</v>
      </c>
      <c r="AL307" s="122" t="s">
        <v>253</v>
      </c>
      <c r="AM307" s="122" t="s">
        <v>253</v>
      </c>
      <c r="AN307" s="122" t="s">
        <v>253</v>
      </c>
      <c r="AO307" s="141" t="s">
        <v>247</v>
      </c>
      <c r="AP307" s="141" t="s">
        <v>247</v>
      </c>
      <c r="AQ307" s="141" t="s">
        <v>247</v>
      </c>
      <c r="AR307" s="141" t="s">
        <v>247</v>
      </c>
      <c r="AS307" s="141" t="s">
        <v>601</v>
      </c>
      <c r="AT307" s="141" t="s">
        <v>601</v>
      </c>
      <c r="AU307" s="141" t="s">
        <v>601</v>
      </c>
      <c r="AV307" s="122" t="s">
        <v>259</v>
      </c>
      <c r="AW307" s="122" t="s">
        <v>556</v>
      </c>
      <c r="AX307" s="141" t="s">
        <v>4076</v>
      </c>
      <c r="AY307" s="141" t="s">
        <v>325</v>
      </c>
      <c r="AZ307" s="122" t="s">
        <v>4077</v>
      </c>
      <c r="BA307" s="122" t="s">
        <v>262</v>
      </c>
      <c r="BB307" s="122" t="s">
        <v>4078</v>
      </c>
      <c r="BC307" s="141" t="s">
        <v>312</v>
      </c>
      <c r="BD307" s="122" t="s">
        <v>253</v>
      </c>
      <c r="BE307" s="122" t="s">
        <v>263</v>
      </c>
      <c r="BF307" s="122" t="s">
        <v>3547</v>
      </c>
      <c r="BH307" s="122" t="s">
        <v>3538</v>
      </c>
      <c r="BI307" s="142">
        <v>81</v>
      </c>
      <c r="BK307" s="139" t="s">
        <v>558</v>
      </c>
    </row>
    <row r="308" spans="1:65" x14ac:dyDescent="0.25">
      <c r="A308" s="122" t="s">
        <v>422</v>
      </c>
      <c r="B308" s="122" t="s">
        <v>4647</v>
      </c>
      <c r="C308" s="122" t="s">
        <v>4093</v>
      </c>
      <c r="D308" s="122" t="s">
        <v>4094</v>
      </c>
      <c r="E308" s="123">
        <v>42219</v>
      </c>
      <c r="F308" s="122" t="s">
        <v>868</v>
      </c>
      <c r="G308" s="122" t="s">
        <v>235</v>
      </c>
      <c r="H308" s="122" t="s">
        <v>4095</v>
      </c>
      <c r="I308" s="122" t="s">
        <v>4096</v>
      </c>
      <c r="K308" s="122" t="s">
        <v>3385</v>
      </c>
      <c r="L308" s="122" t="s">
        <v>3386</v>
      </c>
      <c r="M308" s="122" t="s">
        <v>3405</v>
      </c>
      <c r="O308" s="141" t="s">
        <v>2055</v>
      </c>
      <c r="P308" s="141" t="s">
        <v>4097</v>
      </c>
      <c r="Q308" s="122" t="s">
        <v>3389</v>
      </c>
      <c r="R308" s="142">
        <v>82</v>
      </c>
      <c r="S308" s="122" t="s">
        <v>4098</v>
      </c>
      <c r="U308" s="122" t="s">
        <v>3538</v>
      </c>
      <c r="W308" s="122" t="s">
        <v>246</v>
      </c>
      <c r="X308" s="122" t="s">
        <v>247</v>
      </c>
      <c r="Y308" s="141" t="s">
        <v>2133</v>
      </c>
      <c r="Z308" s="122" t="s">
        <v>4099</v>
      </c>
      <c r="AA308" s="141" t="s">
        <v>1291</v>
      </c>
      <c r="AB308" s="122" t="s">
        <v>4100</v>
      </c>
      <c r="AC308" s="141" t="s">
        <v>2363</v>
      </c>
      <c r="AD308" s="122" t="s">
        <v>4101</v>
      </c>
      <c r="AE308" s="122" t="s">
        <v>235</v>
      </c>
      <c r="AF308" s="122" t="s">
        <v>4102</v>
      </c>
      <c r="AG308" s="122" t="s">
        <v>253</v>
      </c>
      <c r="AH308" s="122" t="s">
        <v>253</v>
      </c>
      <c r="AI308" s="122" t="s">
        <v>4103</v>
      </c>
      <c r="AJ308" s="122" t="s">
        <v>4104</v>
      </c>
      <c r="AK308" s="122" t="s">
        <v>4105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247</v>
      </c>
      <c r="AS308" s="141" t="s">
        <v>601</v>
      </c>
      <c r="AT308" s="141" t="s">
        <v>601</v>
      </c>
      <c r="AU308" s="141" t="s">
        <v>601</v>
      </c>
      <c r="AV308" s="122" t="s">
        <v>259</v>
      </c>
      <c r="AW308" s="122" t="s">
        <v>556</v>
      </c>
      <c r="AY308" s="141" t="s">
        <v>253</v>
      </c>
      <c r="AZ308" s="122" t="s">
        <v>4106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3547</v>
      </c>
      <c r="BH308" s="122" t="s">
        <v>3538</v>
      </c>
      <c r="BI308" s="142">
        <v>82</v>
      </c>
      <c r="BK308" s="139" t="s">
        <v>558</v>
      </c>
    </row>
    <row r="309" spans="1:65" x14ac:dyDescent="0.25">
      <c r="A309" s="122" t="s">
        <v>422</v>
      </c>
      <c r="B309" s="122" t="s">
        <v>4648</v>
      </c>
      <c r="C309" s="122" t="s">
        <v>4649</v>
      </c>
      <c r="D309" s="122" t="s">
        <v>4650</v>
      </c>
      <c r="E309" s="123">
        <v>42219</v>
      </c>
      <c r="F309" s="122" t="s">
        <v>4651</v>
      </c>
      <c r="G309" s="122" t="s">
        <v>235</v>
      </c>
      <c r="H309" s="122" t="s">
        <v>4652</v>
      </c>
      <c r="I309" s="122" t="s">
        <v>4653</v>
      </c>
      <c r="K309" s="122" t="s">
        <v>3452</v>
      </c>
      <c r="L309" s="122" t="s">
        <v>3453</v>
      </c>
      <c r="M309" s="122" t="s">
        <v>3776</v>
      </c>
      <c r="O309" s="141" t="s">
        <v>1921</v>
      </c>
      <c r="P309" s="141" t="s">
        <v>4654</v>
      </c>
      <c r="Q309" s="122" t="s">
        <v>3389</v>
      </c>
      <c r="R309" s="142">
        <v>83</v>
      </c>
      <c r="S309" s="122" t="s">
        <v>4655</v>
      </c>
      <c r="U309" s="122" t="s">
        <v>3538</v>
      </c>
      <c r="W309" s="122" t="s">
        <v>246</v>
      </c>
      <c r="X309" s="122" t="s">
        <v>247</v>
      </c>
      <c r="Y309" s="141" t="s">
        <v>1421</v>
      </c>
      <c r="Z309" s="122" t="s">
        <v>4656</v>
      </c>
      <c r="AA309" s="141" t="s">
        <v>1498</v>
      </c>
      <c r="AB309" s="122" t="s">
        <v>4657</v>
      </c>
      <c r="AC309" s="141" t="s">
        <v>1116</v>
      </c>
      <c r="AD309" s="122" t="s">
        <v>4658</v>
      </c>
      <c r="AE309" s="122" t="s">
        <v>235</v>
      </c>
      <c r="AF309" s="122" t="s">
        <v>4659</v>
      </c>
      <c r="AG309" s="122" t="s">
        <v>253</v>
      </c>
      <c r="AH309" s="122" t="s">
        <v>253</v>
      </c>
      <c r="AI309" s="122" t="s">
        <v>4660</v>
      </c>
      <c r="AJ309" s="122" t="s">
        <v>4661</v>
      </c>
      <c r="AK309" s="122" t="s">
        <v>4662</v>
      </c>
      <c r="AL309" s="122" t="s">
        <v>253</v>
      </c>
      <c r="AM309" s="122" t="s">
        <v>253</v>
      </c>
      <c r="AN309" s="122" t="s">
        <v>253</v>
      </c>
      <c r="AO309" s="141" t="s">
        <v>247</v>
      </c>
      <c r="AP309" s="141" t="s">
        <v>253</v>
      </c>
      <c r="AQ309" s="141" t="s">
        <v>247</v>
      </c>
      <c r="AR309" s="141" t="s">
        <v>247</v>
      </c>
      <c r="AS309" s="141" t="s">
        <v>257</v>
      </c>
      <c r="AT309" s="141" t="s">
        <v>257</v>
      </c>
      <c r="AU309" s="141" t="s">
        <v>601</v>
      </c>
      <c r="AV309" s="122" t="s">
        <v>259</v>
      </c>
      <c r="AW309" s="122" t="s">
        <v>556</v>
      </c>
      <c r="AY309" s="141" t="s">
        <v>253</v>
      </c>
      <c r="AZ309" s="122" t="s">
        <v>4663</v>
      </c>
      <c r="BA309" s="122" t="s">
        <v>262</v>
      </c>
      <c r="BB309" s="122" t="s">
        <v>262</v>
      </c>
      <c r="BC309" s="141" t="s">
        <v>312</v>
      </c>
      <c r="BD309" s="122" t="s">
        <v>253</v>
      </c>
      <c r="BE309" s="122" t="s">
        <v>263</v>
      </c>
      <c r="BF309" s="122" t="s">
        <v>3547</v>
      </c>
      <c r="BH309" s="122" t="s">
        <v>3538</v>
      </c>
      <c r="BI309" s="142">
        <v>83</v>
      </c>
      <c r="BJ309" s="123">
        <v>42232</v>
      </c>
      <c r="BK309" s="139" t="s">
        <v>2891</v>
      </c>
      <c r="BM309" s="122">
        <v>33</v>
      </c>
    </row>
    <row r="310" spans="1:65" x14ac:dyDescent="0.25">
      <c r="A310" s="122" t="s">
        <v>422</v>
      </c>
      <c r="B310" s="122" t="s">
        <v>4664</v>
      </c>
      <c r="C310" s="122" t="s">
        <v>4166</v>
      </c>
      <c r="D310" s="122" t="s">
        <v>4167</v>
      </c>
      <c r="E310" s="123">
        <v>42219</v>
      </c>
      <c r="F310" s="122" t="s">
        <v>4168</v>
      </c>
      <c r="G310" s="122" t="s">
        <v>235</v>
      </c>
      <c r="H310" s="122" t="s">
        <v>4169</v>
      </c>
      <c r="I310" s="122" t="s">
        <v>4170</v>
      </c>
      <c r="K310" s="122" t="s">
        <v>3533</v>
      </c>
      <c r="L310" s="122" t="s">
        <v>3534</v>
      </c>
      <c r="M310" s="122" t="s">
        <v>3535</v>
      </c>
      <c r="O310" s="141" t="s">
        <v>1921</v>
      </c>
      <c r="P310" s="141" t="s">
        <v>4171</v>
      </c>
      <c r="Q310" s="122" t="s">
        <v>3369</v>
      </c>
      <c r="R310" s="142">
        <v>84</v>
      </c>
      <c r="S310" s="122" t="s">
        <v>4172</v>
      </c>
      <c r="U310" s="122" t="s">
        <v>3538</v>
      </c>
      <c r="W310" s="122" t="s">
        <v>246</v>
      </c>
      <c r="X310" s="122" t="s">
        <v>247</v>
      </c>
      <c r="Y310" s="141" t="s">
        <v>722</v>
      </c>
      <c r="Z310" s="122" t="s">
        <v>4173</v>
      </c>
      <c r="AA310" s="141" t="s">
        <v>1698</v>
      </c>
      <c r="AB310" s="122" t="s">
        <v>4174</v>
      </c>
      <c r="AC310" s="141" t="s">
        <v>3664</v>
      </c>
      <c r="AD310" s="122" t="s">
        <v>4175</v>
      </c>
      <c r="AE310" s="122" t="s">
        <v>235</v>
      </c>
      <c r="AF310" s="122" t="s">
        <v>4176</v>
      </c>
      <c r="AG310" s="122" t="s">
        <v>253</v>
      </c>
      <c r="AH310" s="122" t="s">
        <v>253</v>
      </c>
      <c r="AI310" s="122" t="s">
        <v>4177</v>
      </c>
      <c r="AJ310" s="122" t="s">
        <v>4178</v>
      </c>
      <c r="AK310" s="122" t="s">
        <v>4179</v>
      </c>
      <c r="AL310" s="122" t="s">
        <v>253</v>
      </c>
      <c r="AM310" s="122" t="s">
        <v>253</v>
      </c>
      <c r="AN310" s="122" t="s">
        <v>253</v>
      </c>
      <c r="AO310" s="141" t="s">
        <v>253</v>
      </c>
      <c r="AP310" s="141" t="s">
        <v>253</v>
      </c>
      <c r="AQ310" s="141" t="s">
        <v>247</v>
      </c>
      <c r="AR310" s="141" t="s">
        <v>247</v>
      </c>
      <c r="AS310" s="141" t="s">
        <v>361</v>
      </c>
      <c r="AT310" s="141" t="s">
        <v>601</v>
      </c>
      <c r="AU310" s="141" t="s">
        <v>601</v>
      </c>
      <c r="AV310" s="122" t="s">
        <v>259</v>
      </c>
      <c r="AW310" s="122" t="s">
        <v>556</v>
      </c>
      <c r="AY310" s="141" t="s">
        <v>253</v>
      </c>
      <c r="AZ310" s="122" t="s">
        <v>4180</v>
      </c>
      <c r="BA310" s="122" t="s">
        <v>4181</v>
      </c>
      <c r="BB310" s="122" t="s">
        <v>262</v>
      </c>
      <c r="BC310" s="141" t="s">
        <v>312</v>
      </c>
      <c r="BD310" s="122" t="s">
        <v>253</v>
      </c>
      <c r="BE310" s="122" t="s">
        <v>263</v>
      </c>
      <c r="BF310" s="122" t="s">
        <v>3547</v>
      </c>
      <c r="BH310" s="122" t="s">
        <v>3538</v>
      </c>
      <c r="BI310" s="142">
        <v>84</v>
      </c>
      <c r="BK310" s="139" t="s">
        <v>558</v>
      </c>
    </row>
    <row r="311" spans="1:65" x14ac:dyDescent="0.25">
      <c r="A311" s="122" t="s">
        <v>485</v>
      </c>
      <c r="B311" s="122" t="s">
        <v>4665</v>
      </c>
      <c r="C311" s="122" t="s">
        <v>4223</v>
      </c>
      <c r="D311" s="122" t="s">
        <v>4224</v>
      </c>
      <c r="E311" s="123">
        <v>42219</v>
      </c>
      <c r="F311" s="122" t="s">
        <v>2235</v>
      </c>
      <c r="G311" s="122" t="s">
        <v>235</v>
      </c>
      <c r="H311" s="122" t="s">
        <v>4225</v>
      </c>
      <c r="I311" s="122" t="s">
        <v>4226</v>
      </c>
      <c r="K311" s="122" t="s">
        <v>3385</v>
      </c>
      <c r="L311" s="122" t="s">
        <v>3554</v>
      </c>
      <c r="M311" s="122" t="s">
        <v>3846</v>
      </c>
      <c r="O311" s="141" t="s">
        <v>451</v>
      </c>
      <c r="P311" s="141" t="s">
        <v>4227</v>
      </c>
      <c r="Q311" s="122" t="s">
        <v>3389</v>
      </c>
      <c r="R311" s="142">
        <v>85</v>
      </c>
      <c r="S311" s="122" t="s">
        <v>4228</v>
      </c>
      <c r="U311" s="122" t="s">
        <v>3538</v>
      </c>
      <c r="W311" s="122" t="s">
        <v>246</v>
      </c>
      <c r="X311" s="122" t="s">
        <v>433</v>
      </c>
      <c r="Y311" s="141" t="s">
        <v>4229</v>
      </c>
      <c r="Z311" s="122" t="s">
        <v>415</v>
      </c>
      <c r="AA311" s="141" t="s">
        <v>4229</v>
      </c>
      <c r="AB311" s="122" t="s">
        <v>4230</v>
      </c>
      <c r="AC311" s="141" t="s">
        <v>595</v>
      </c>
      <c r="AD311" s="122" t="s">
        <v>669</v>
      </c>
      <c r="AE311" s="122" t="s">
        <v>235</v>
      </c>
      <c r="AF311" s="122" t="s">
        <v>4231</v>
      </c>
      <c r="AG311" s="122" t="s">
        <v>1225</v>
      </c>
      <c r="AH311" s="122" t="s">
        <v>253</v>
      </c>
      <c r="AI311" s="122" t="s">
        <v>4232</v>
      </c>
      <c r="AJ311" s="122" t="s">
        <v>4233</v>
      </c>
      <c r="AK311" s="122" t="s">
        <v>253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247</v>
      </c>
      <c r="AS311" s="141" t="s">
        <v>601</v>
      </c>
      <c r="AT311" s="141" t="s">
        <v>601</v>
      </c>
      <c r="AU311" s="141" t="s">
        <v>601</v>
      </c>
      <c r="AV311" s="122" t="s">
        <v>259</v>
      </c>
      <c r="AW311" s="122" t="s">
        <v>556</v>
      </c>
      <c r="AX311" s="141" t="s">
        <v>2029</v>
      </c>
      <c r="AY311" s="141" t="s">
        <v>603</v>
      </c>
      <c r="AZ311" s="122" t="s">
        <v>4234</v>
      </c>
      <c r="BA311" s="122" t="s">
        <v>262</v>
      </c>
      <c r="BB311" s="122" t="s">
        <v>262</v>
      </c>
      <c r="BD311" s="122" t="s">
        <v>253</v>
      </c>
      <c r="BE311" s="122" t="s">
        <v>263</v>
      </c>
      <c r="BF311" s="122" t="s">
        <v>3547</v>
      </c>
      <c r="BH311" s="122" t="s">
        <v>3538</v>
      </c>
      <c r="BI311" s="142">
        <v>85</v>
      </c>
      <c r="BK311" s="139" t="s">
        <v>558</v>
      </c>
    </row>
    <row r="312" spans="1:65" x14ac:dyDescent="0.25">
      <c r="A312" s="122" t="s">
        <v>485</v>
      </c>
      <c r="B312" s="122" t="s">
        <v>4666</v>
      </c>
      <c r="C312" s="122" t="s">
        <v>4667</v>
      </c>
      <c r="D312" s="122" t="s">
        <v>4668</v>
      </c>
      <c r="E312" s="123">
        <v>42219</v>
      </c>
      <c r="F312" s="122" t="s">
        <v>4669</v>
      </c>
      <c r="G312" s="122" t="s">
        <v>2885</v>
      </c>
      <c r="H312" s="122" t="s">
        <v>448</v>
      </c>
      <c r="I312" s="122" t="s">
        <v>4670</v>
      </c>
      <c r="K312" s="122" t="s">
        <v>3385</v>
      </c>
      <c r="L312" s="122" t="s">
        <v>3386</v>
      </c>
      <c r="M312" s="122" t="s">
        <v>3405</v>
      </c>
      <c r="Q312" s="122" t="s">
        <v>3389</v>
      </c>
      <c r="R312" s="142">
        <v>86</v>
      </c>
      <c r="U312" s="122" t="s">
        <v>3538</v>
      </c>
      <c r="X312" s="122" t="s">
        <v>247</v>
      </c>
      <c r="Z312" s="122" t="s">
        <v>250</v>
      </c>
      <c r="AB312" s="122" t="s">
        <v>250</v>
      </c>
      <c r="AD312" s="122" t="s">
        <v>250</v>
      </c>
      <c r="AE312" s="122" t="s">
        <v>2885</v>
      </c>
      <c r="AF312" s="122" t="s">
        <v>253</v>
      </c>
      <c r="AG312" s="122" t="s">
        <v>253</v>
      </c>
      <c r="AH312" s="122" t="s">
        <v>253</v>
      </c>
      <c r="AI312" s="122" t="s">
        <v>253</v>
      </c>
      <c r="AJ312" s="122" t="s">
        <v>253</v>
      </c>
      <c r="AK312" s="122" t="s">
        <v>253</v>
      </c>
      <c r="AL312" s="122" t="s">
        <v>253</v>
      </c>
      <c r="AM312" s="122" t="s">
        <v>253</v>
      </c>
      <c r="AN312" s="122" t="s">
        <v>253</v>
      </c>
      <c r="AO312" s="141" t="s">
        <v>253</v>
      </c>
      <c r="AP312" s="141" t="s">
        <v>253</v>
      </c>
      <c r="AQ312" s="141" t="s">
        <v>253</v>
      </c>
      <c r="AR312" s="141" t="s">
        <v>253</v>
      </c>
      <c r="AS312" s="141" t="s">
        <v>361</v>
      </c>
      <c r="AT312" s="141" t="s">
        <v>258</v>
      </c>
      <c r="AU312" s="141" t="s">
        <v>601</v>
      </c>
      <c r="AV312" s="122" t="s">
        <v>259</v>
      </c>
      <c r="AW312" s="122" t="s">
        <v>556</v>
      </c>
      <c r="AZ312" s="122" t="s">
        <v>262</v>
      </c>
      <c r="BA312" s="122" t="s">
        <v>4671</v>
      </c>
      <c r="BB312" s="122" t="s">
        <v>262</v>
      </c>
      <c r="BD312" s="122" t="s">
        <v>253</v>
      </c>
      <c r="BE312" s="122" t="s">
        <v>263</v>
      </c>
      <c r="BF312" s="122" t="s">
        <v>3547</v>
      </c>
      <c r="BH312" s="122" t="s">
        <v>3538</v>
      </c>
      <c r="BI312" s="142">
        <v>86</v>
      </c>
      <c r="BJ312" s="123">
        <v>42232</v>
      </c>
      <c r="BK312" s="139" t="s">
        <v>606</v>
      </c>
      <c r="BM312" s="122">
        <v>33</v>
      </c>
    </row>
    <row r="313" spans="1:65" x14ac:dyDescent="0.25">
      <c r="A313" s="122" t="s">
        <v>578</v>
      </c>
      <c r="B313" s="122" t="s">
        <v>4672</v>
      </c>
      <c r="C313" s="122" t="s">
        <v>4673</v>
      </c>
      <c r="D313" s="122" t="s">
        <v>4674</v>
      </c>
      <c r="E313" s="123">
        <v>42219</v>
      </c>
      <c r="F313" s="122" t="s">
        <v>707</v>
      </c>
      <c r="G313" s="122" t="s">
        <v>235</v>
      </c>
      <c r="H313" s="122" t="s">
        <v>4675</v>
      </c>
      <c r="I313" s="122" t="s">
        <v>4676</v>
      </c>
      <c r="K313" s="122" t="s">
        <v>238</v>
      </c>
      <c r="L313" s="122" t="s">
        <v>371</v>
      </c>
      <c r="M313" s="122" t="s">
        <v>4677</v>
      </c>
      <c r="N313" s="122" t="s">
        <v>4678</v>
      </c>
      <c r="O313" s="141" t="s">
        <v>548</v>
      </c>
      <c r="P313" s="141" t="s">
        <v>4679</v>
      </c>
      <c r="Q313" s="122" t="s">
        <v>243</v>
      </c>
      <c r="R313" s="142">
        <v>3</v>
      </c>
      <c r="S313" s="122" t="s">
        <v>4680</v>
      </c>
      <c r="U313" s="122" t="s">
        <v>4681</v>
      </c>
      <c r="W313" s="122" t="s">
        <v>246</v>
      </c>
      <c r="X313" s="122" t="s">
        <v>302</v>
      </c>
      <c r="Y313" s="141" t="s">
        <v>834</v>
      </c>
      <c r="Z313" s="122" t="s">
        <v>4682</v>
      </c>
      <c r="AA313" s="141" t="s">
        <v>834</v>
      </c>
      <c r="AB313" s="122" t="s">
        <v>4683</v>
      </c>
      <c r="AC313" s="141" t="s">
        <v>1398</v>
      </c>
      <c r="AD313" s="122" t="s">
        <v>4684</v>
      </c>
      <c r="AE313" s="122" t="s">
        <v>235</v>
      </c>
      <c r="AF313" s="122" t="s">
        <v>4685</v>
      </c>
      <c r="AG313" s="122" t="s">
        <v>537</v>
      </c>
      <c r="AH313" s="122" t="s">
        <v>253</v>
      </c>
      <c r="AI313" s="122" t="s">
        <v>1808</v>
      </c>
      <c r="AJ313" s="122" t="s">
        <v>4686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247</v>
      </c>
      <c r="AR313" s="141" t="s">
        <v>247</v>
      </c>
      <c r="AS313" s="141" t="s">
        <v>601</v>
      </c>
      <c r="AT313" s="141" t="s">
        <v>601</v>
      </c>
      <c r="AU313" s="141" t="s">
        <v>601</v>
      </c>
      <c r="AV313" s="122" t="s">
        <v>259</v>
      </c>
      <c r="AW313" s="122" t="s">
        <v>260</v>
      </c>
      <c r="AY313" s="141" t="s">
        <v>253</v>
      </c>
      <c r="AZ313" s="122" t="s">
        <v>4687</v>
      </c>
      <c r="BA313" s="122" t="s">
        <v>262</v>
      </c>
      <c r="BB313" s="122" t="s">
        <v>4687</v>
      </c>
      <c r="BD313" s="122" t="s">
        <v>253</v>
      </c>
      <c r="BE313" s="122" t="s">
        <v>263</v>
      </c>
      <c r="BF313" s="122" t="s">
        <v>4688</v>
      </c>
      <c r="BH313" s="122" t="s">
        <v>4681</v>
      </c>
      <c r="BI313" s="142">
        <v>3</v>
      </c>
      <c r="BJ313" s="123">
        <v>42231</v>
      </c>
      <c r="BK313" s="139" t="s">
        <v>606</v>
      </c>
      <c r="BM313" s="122">
        <v>33</v>
      </c>
    </row>
    <row r="314" spans="1:65" x14ac:dyDescent="0.25">
      <c r="A314" s="122" t="s">
        <v>578</v>
      </c>
      <c r="B314" s="122" t="s">
        <v>4689</v>
      </c>
      <c r="C314" s="122" t="s">
        <v>4690</v>
      </c>
      <c r="D314" s="122" t="s">
        <v>4691</v>
      </c>
      <c r="E314" s="123">
        <v>42219</v>
      </c>
      <c r="F314" s="122" t="s">
        <v>500</v>
      </c>
      <c r="G314" s="122" t="s">
        <v>235</v>
      </c>
      <c r="H314" s="122" t="s">
        <v>4692</v>
      </c>
      <c r="I314" s="122" t="s">
        <v>4693</v>
      </c>
      <c r="J314" s="122" t="s">
        <v>370</v>
      </c>
      <c r="K314" s="122" t="s">
        <v>238</v>
      </c>
      <c r="L314" s="122" t="s">
        <v>371</v>
      </c>
      <c r="M314" s="122" t="s">
        <v>372</v>
      </c>
      <c r="N314" s="122" t="s">
        <v>4694</v>
      </c>
      <c r="O314" s="141" t="s">
        <v>273</v>
      </c>
      <c r="P314" s="141" t="s">
        <v>4695</v>
      </c>
      <c r="Q314" s="122" t="s">
        <v>243</v>
      </c>
      <c r="R314" s="142">
        <v>4</v>
      </c>
      <c r="S314" s="122" t="s">
        <v>4696</v>
      </c>
      <c r="U314" s="122" t="s">
        <v>4681</v>
      </c>
      <c r="W314" s="122" t="s">
        <v>246</v>
      </c>
      <c r="X314" s="122" t="s">
        <v>972</v>
      </c>
      <c r="Z314" s="122" t="s">
        <v>250</v>
      </c>
      <c r="AB314" s="122" t="s">
        <v>250</v>
      </c>
      <c r="AD314" s="122" t="s">
        <v>250</v>
      </c>
      <c r="AE314" s="122" t="s">
        <v>235</v>
      </c>
      <c r="AF314" s="122" t="s">
        <v>4697</v>
      </c>
      <c r="AG314" s="122" t="s">
        <v>253</v>
      </c>
      <c r="AH314" s="122" t="s">
        <v>253</v>
      </c>
      <c r="AI314" s="122" t="s">
        <v>4698</v>
      </c>
      <c r="AJ314" s="122" t="s">
        <v>4699</v>
      </c>
      <c r="AK314" s="122" t="s">
        <v>4700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247</v>
      </c>
      <c r="AR314" s="141" t="s">
        <v>253</v>
      </c>
      <c r="AS314" s="141" t="s">
        <v>601</v>
      </c>
      <c r="AT314" s="141" t="s">
        <v>601</v>
      </c>
      <c r="AU314" s="141" t="s">
        <v>258</v>
      </c>
      <c r="AV314" s="122" t="s">
        <v>259</v>
      </c>
      <c r="AW314" s="122" t="s">
        <v>260</v>
      </c>
      <c r="AY314" s="141" t="s">
        <v>253</v>
      </c>
      <c r="AZ314" s="122" t="s">
        <v>4701</v>
      </c>
      <c r="BA314" s="122" t="s">
        <v>262</v>
      </c>
      <c r="BB314" s="122" t="s">
        <v>262</v>
      </c>
      <c r="BD314" s="122" t="s">
        <v>253</v>
      </c>
      <c r="BE314" s="122" t="s">
        <v>263</v>
      </c>
      <c r="BF314" s="122" t="s">
        <v>4688</v>
      </c>
      <c r="BH314" s="122" t="s">
        <v>4681</v>
      </c>
      <c r="BI314" s="142">
        <v>4</v>
      </c>
      <c r="BJ314" s="123">
        <v>42231</v>
      </c>
      <c r="BK314" s="139" t="s">
        <v>606</v>
      </c>
      <c r="BM314" s="122">
        <v>33</v>
      </c>
    </row>
    <row r="315" spans="1:65" x14ac:dyDescent="0.25">
      <c r="A315" s="122" t="s">
        <v>578</v>
      </c>
      <c r="B315" s="122" t="s">
        <v>4702</v>
      </c>
      <c r="C315" s="122" t="s">
        <v>4703</v>
      </c>
      <c r="D315" s="122" t="s">
        <v>4704</v>
      </c>
      <c r="E315" s="123">
        <v>42219</v>
      </c>
      <c r="F315" s="122" t="s">
        <v>4705</v>
      </c>
      <c r="G315" s="122" t="s">
        <v>235</v>
      </c>
      <c r="H315" s="122" t="s">
        <v>4706</v>
      </c>
      <c r="I315" s="122" t="s">
        <v>4707</v>
      </c>
      <c r="K315" s="122" t="s">
        <v>238</v>
      </c>
      <c r="L315" s="122" t="s">
        <v>530</v>
      </c>
      <c r="M315" s="122" t="s">
        <v>4708</v>
      </c>
      <c r="O315" s="141" t="s">
        <v>4709</v>
      </c>
      <c r="P315" s="141" t="s">
        <v>4710</v>
      </c>
      <c r="Q315" s="122" t="s">
        <v>243</v>
      </c>
      <c r="R315" s="142">
        <v>5</v>
      </c>
      <c r="S315" s="122" t="s">
        <v>4711</v>
      </c>
      <c r="U315" s="122" t="s">
        <v>4681</v>
      </c>
      <c r="W315" s="122" t="s">
        <v>246</v>
      </c>
      <c r="X315" s="122" t="s">
        <v>2657</v>
      </c>
      <c r="Y315" s="141" t="s">
        <v>1023</v>
      </c>
      <c r="Z315" s="122" t="s">
        <v>4712</v>
      </c>
      <c r="AA315" s="141" t="s">
        <v>1629</v>
      </c>
      <c r="AB315" s="122" t="s">
        <v>4712</v>
      </c>
      <c r="AC315" s="141" t="s">
        <v>1567</v>
      </c>
      <c r="AD315" s="122" t="s">
        <v>4712</v>
      </c>
      <c r="AE315" s="122" t="s">
        <v>235</v>
      </c>
      <c r="AF315" s="122" t="s">
        <v>4713</v>
      </c>
      <c r="AG315" s="122" t="s">
        <v>253</v>
      </c>
      <c r="AH315" s="122" t="s">
        <v>253</v>
      </c>
      <c r="AI315" s="122" t="s">
        <v>4714</v>
      </c>
      <c r="AJ315" s="122" t="s">
        <v>4715</v>
      </c>
      <c r="AK315" s="122" t="s">
        <v>4716</v>
      </c>
      <c r="AL315" s="122" t="s">
        <v>253</v>
      </c>
      <c r="AM315" s="122" t="s">
        <v>253</v>
      </c>
      <c r="AN315" s="122" t="s">
        <v>253</v>
      </c>
      <c r="AO315" s="141" t="s">
        <v>247</v>
      </c>
      <c r="AP315" s="141" t="s">
        <v>247</v>
      </c>
      <c r="AQ315" s="141" t="s">
        <v>247</v>
      </c>
      <c r="AR315" s="141" t="s">
        <v>253</v>
      </c>
      <c r="AS315" s="141" t="s">
        <v>601</v>
      </c>
      <c r="AT315" s="141" t="s">
        <v>601</v>
      </c>
      <c r="AU315" s="141" t="s">
        <v>258</v>
      </c>
      <c r="AV315" s="122" t="s">
        <v>259</v>
      </c>
      <c r="AW315" s="122" t="s">
        <v>260</v>
      </c>
      <c r="AY315" s="141" t="s">
        <v>253</v>
      </c>
      <c r="AZ315" s="122" t="s">
        <v>4717</v>
      </c>
      <c r="BA315" s="122" t="s">
        <v>262</v>
      </c>
      <c r="BB315" s="122" t="s">
        <v>262</v>
      </c>
      <c r="BC315" s="141" t="s">
        <v>312</v>
      </c>
      <c r="BD315" s="122" t="s">
        <v>253</v>
      </c>
      <c r="BE315" s="122" t="s">
        <v>263</v>
      </c>
      <c r="BF315" s="122" t="s">
        <v>4688</v>
      </c>
      <c r="BH315" s="122" t="s">
        <v>4681</v>
      </c>
      <c r="BI315" s="142">
        <v>5</v>
      </c>
      <c r="BJ315" s="123">
        <v>42233</v>
      </c>
      <c r="BK315" s="139" t="s">
        <v>606</v>
      </c>
      <c r="BM315" s="122">
        <v>34</v>
      </c>
    </row>
    <row r="316" spans="1:65" x14ac:dyDescent="0.25">
      <c r="A316" s="122" t="s">
        <v>578</v>
      </c>
      <c r="B316" s="122" t="s">
        <v>4718</v>
      </c>
      <c r="C316" s="122" t="s">
        <v>4719</v>
      </c>
      <c r="D316" s="122" t="s">
        <v>4720</v>
      </c>
      <c r="E316" s="123">
        <v>42219</v>
      </c>
      <c r="F316" s="122" t="s">
        <v>1484</v>
      </c>
      <c r="G316" s="122" t="s">
        <v>235</v>
      </c>
      <c r="H316" s="122" t="s">
        <v>448</v>
      </c>
      <c r="I316" s="122" t="s">
        <v>4721</v>
      </c>
      <c r="K316" s="122" t="s">
        <v>238</v>
      </c>
      <c r="L316" s="122" t="s">
        <v>371</v>
      </c>
      <c r="M316" s="122" t="s">
        <v>4722</v>
      </c>
      <c r="O316" s="141" t="s">
        <v>780</v>
      </c>
      <c r="P316" s="141" t="s">
        <v>4723</v>
      </c>
      <c r="Q316" s="122" t="s">
        <v>243</v>
      </c>
      <c r="R316" s="142">
        <v>6</v>
      </c>
      <c r="S316" s="122" t="s">
        <v>4724</v>
      </c>
      <c r="U316" s="122" t="s">
        <v>4681</v>
      </c>
      <c r="W316" s="122" t="s">
        <v>246</v>
      </c>
      <c r="X316" s="122" t="s">
        <v>302</v>
      </c>
      <c r="Y316" s="141" t="s">
        <v>958</v>
      </c>
      <c r="Z316" s="122" t="s">
        <v>4725</v>
      </c>
      <c r="AA316" s="141" t="s">
        <v>2133</v>
      </c>
      <c r="AB316" s="122" t="s">
        <v>4726</v>
      </c>
      <c r="AC316" s="141" t="s">
        <v>1762</v>
      </c>
      <c r="AD316" s="122" t="s">
        <v>3489</v>
      </c>
      <c r="AE316" s="122" t="s">
        <v>235</v>
      </c>
      <c r="AF316" s="122" t="s">
        <v>4727</v>
      </c>
      <c r="AG316" s="122" t="s">
        <v>537</v>
      </c>
      <c r="AH316" s="122" t="s">
        <v>253</v>
      </c>
      <c r="AI316" s="122" t="s">
        <v>4728</v>
      </c>
      <c r="AJ316" s="122" t="s">
        <v>4729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247</v>
      </c>
      <c r="AQ316" s="141" t="s">
        <v>247</v>
      </c>
      <c r="AR316" s="141" t="s">
        <v>247</v>
      </c>
      <c r="AS316" s="141" t="s">
        <v>601</v>
      </c>
      <c r="AT316" s="141" t="s">
        <v>601</v>
      </c>
      <c r="AU316" s="141" t="s">
        <v>601</v>
      </c>
      <c r="AV316" s="122" t="s">
        <v>259</v>
      </c>
      <c r="AW316" s="122" t="s">
        <v>260</v>
      </c>
      <c r="AY316" s="141" t="s">
        <v>253</v>
      </c>
      <c r="AZ316" s="122" t="s">
        <v>262</v>
      </c>
      <c r="BA316" s="122" t="s">
        <v>262</v>
      </c>
      <c r="BB316" s="122" t="s">
        <v>4730</v>
      </c>
      <c r="BD316" s="122" t="s">
        <v>253</v>
      </c>
      <c r="BE316" s="122" t="s">
        <v>263</v>
      </c>
      <c r="BF316" s="122" t="s">
        <v>4688</v>
      </c>
      <c r="BH316" s="122" t="s">
        <v>4681</v>
      </c>
      <c r="BI316" s="142">
        <v>6</v>
      </c>
      <c r="BJ316" s="123">
        <v>42231</v>
      </c>
      <c r="BK316" s="139" t="s">
        <v>264</v>
      </c>
      <c r="BL316" s="140">
        <v>404.05</v>
      </c>
      <c r="BM316" s="122">
        <v>33</v>
      </c>
    </row>
    <row r="317" spans="1:65" x14ac:dyDescent="0.25">
      <c r="A317" s="122" t="s">
        <v>578</v>
      </c>
      <c r="B317" s="122" t="s">
        <v>4731</v>
      </c>
      <c r="C317" s="122" t="s">
        <v>4732</v>
      </c>
      <c r="D317" s="122" t="s">
        <v>4733</v>
      </c>
      <c r="E317" s="123">
        <v>42219</v>
      </c>
      <c r="F317" s="122" t="s">
        <v>4734</v>
      </c>
      <c r="G317" s="122" t="s">
        <v>235</v>
      </c>
      <c r="H317" s="122" t="s">
        <v>4735</v>
      </c>
      <c r="I317" s="122" t="s">
        <v>4736</v>
      </c>
      <c r="J317" s="122" t="s">
        <v>2667</v>
      </c>
      <c r="K317" s="122" t="s">
        <v>238</v>
      </c>
      <c r="L317" s="122" t="s">
        <v>530</v>
      </c>
      <c r="M317" s="122" t="s">
        <v>2830</v>
      </c>
      <c r="O317" s="141" t="s">
        <v>241</v>
      </c>
      <c r="P317" s="141" t="s">
        <v>4737</v>
      </c>
      <c r="Q317" s="122" t="s">
        <v>243</v>
      </c>
      <c r="R317" s="142">
        <v>7</v>
      </c>
      <c r="S317" s="122" t="s">
        <v>4738</v>
      </c>
      <c r="U317" s="122" t="s">
        <v>4681</v>
      </c>
      <c r="W317" s="122" t="s">
        <v>246</v>
      </c>
      <c r="X317" s="122" t="s">
        <v>739</v>
      </c>
      <c r="Y317" s="141" t="s">
        <v>455</v>
      </c>
      <c r="Z317" s="122" t="s">
        <v>4739</v>
      </c>
      <c r="AA317" s="141" t="s">
        <v>457</v>
      </c>
      <c r="AB317" s="122" t="s">
        <v>4739</v>
      </c>
      <c r="AC317" s="141" t="s">
        <v>1023</v>
      </c>
      <c r="AD317" s="122" t="s">
        <v>4739</v>
      </c>
      <c r="AE317" s="122" t="s">
        <v>235</v>
      </c>
      <c r="AF317" s="122" t="s">
        <v>4740</v>
      </c>
      <c r="AG317" s="122" t="s">
        <v>537</v>
      </c>
      <c r="AH317" s="122" t="s">
        <v>253</v>
      </c>
      <c r="AI317" s="122" t="s">
        <v>4741</v>
      </c>
      <c r="AJ317" s="122" t="s">
        <v>4742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253</v>
      </c>
      <c r="AP317" s="141" t="s">
        <v>253</v>
      </c>
      <c r="AQ317" s="141" t="s">
        <v>247</v>
      </c>
      <c r="AR317" s="141" t="s">
        <v>253</v>
      </c>
      <c r="AS317" s="141" t="s">
        <v>361</v>
      </c>
      <c r="AT317" s="141" t="s">
        <v>601</v>
      </c>
      <c r="AU317" s="141" t="s">
        <v>258</v>
      </c>
      <c r="AV317" s="122" t="s">
        <v>259</v>
      </c>
      <c r="AW317" s="122" t="s">
        <v>260</v>
      </c>
      <c r="AX317" s="141" t="s">
        <v>790</v>
      </c>
      <c r="AY317" s="141" t="s">
        <v>247</v>
      </c>
      <c r="AZ317" s="122" t="s">
        <v>4743</v>
      </c>
      <c r="BA317" s="122" t="s">
        <v>262</v>
      </c>
      <c r="BB317" s="122" t="s">
        <v>262</v>
      </c>
      <c r="BC317" s="141" t="s">
        <v>312</v>
      </c>
      <c r="BD317" s="122" t="s">
        <v>253</v>
      </c>
      <c r="BE317" s="122" t="s">
        <v>263</v>
      </c>
      <c r="BF317" s="122" t="s">
        <v>4688</v>
      </c>
      <c r="BH317" s="122" t="s">
        <v>4681</v>
      </c>
      <c r="BI317" s="142">
        <v>7</v>
      </c>
      <c r="BJ317" s="123">
        <v>42221</v>
      </c>
      <c r="BK317" s="139" t="s">
        <v>264</v>
      </c>
      <c r="BL317" s="140">
        <v>82.73</v>
      </c>
      <c r="BM317" s="122">
        <v>32</v>
      </c>
    </row>
    <row r="318" spans="1:65" x14ac:dyDescent="0.25">
      <c r="A318" s="122" t="s">
        <v>541</v>
      </c>
      <c r="B318" s="122" t="s">
        <v>4744</v>
      </c>
      <c r="C318" s="122" t="s">
        <v>4745</v>
      </c>
      <c r="D318" s="122" t="s">
        <v>4746</v>
      </c>
      <c r="E318" s="123">
        <v>42219</v>
      </c>
      <c r="F318" s="122" t="s">
        <v>1638</v>
      </c>
      <c r="G318" s="122" t="s">
        <v>235</v>
      </c>
      <c r="H318" s="122" t="s">
        <v>448</v>
      </c>
      <c r="I318" s="122" t="s">
        <v>4747</v>
      </c>
      <c r="K318" s="122" t="s">
        <v>238</v>
      </c>
      <c r="L318" s="122" t="s">
        <v>371</v>
      </c>
      <c r="M318" s="122" t="s">
        <v>4722</v>
      </c>
      <c r="N318" s="122" t="s">
        <v>4748</v>
      </c>
      <c r="O318" s="141" t="s">
        <v>916</v>
      </c>
      <c r="P318" s="141" t="s">
        <v>4749</v>
      </c>
      <c r="Q318" s="122" t="s">
        <v>243</v>
      </c>
      <c r="R318" s="142">
        <v>8</v>
      </c>
      <c r="S318" s="122" t="s">
        <v>4750</v>
      </c>
      <c r="U318" s="122" t="s">
        <v>4681</v>
      </c>
      <c r="W318" s="122" t="s">
        <v>246</v>
      </c>
      <c r="X318" s="122" t="s">
        <v>1643</v>
      </c>
      <c r="Y318" s="141" t="s">
        <v>478</v>
      </c>
      <c r="Z318" s="122" t="s">
        <v>4751</v>
      </c>
      <c r="AA318" s="141" t="s">
        <v>281</v>
      </c>
      <c r="AB318" s="122" t="s">
        <v>4752</v>
      </c>
      <c r="AC318" s="141" t="s">
        <v>2363</v>
      </c>
      <c r="AD318" s="122" t="s">
        <v>4753</v>
      </c>
      <c r="AE318" s="122" t="s">
        <v>235</v>
      </c>
      <c r="AF318" s="122" t="s">
        <v>4754</v>
      </c>
      <c r="AG318" s="122" t="s">
        <v>537</v>
      </c>
      <c r="AH318" s="122" t="s">
        <v>253</v>
      </c>
      <c r="AI318" s="122" t="s">
        <v>4755</v>
      </c>
      <c r="AJ318" s="122" t="s">
        <v>4756</v>
      </c>
      <c r="AK318" s="122" t="s">
        <v>253</v>
      </c>
      <c r="AL318" s="122" t="s">
        <v>253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253</v>
      </c>
      <c r="AS318" s="141" t="s">
        <v>601</v>
      </c>
      <c r="AT318" s="141" t="s">
        <v>601</v>
      </c>
      <c r="AU318" s="141" t="s">
        <v>258</v>
      </c>
      <c r="AV318" s="122" t="s">
        <v>259</v>
      </c>
      <c r="AW318" s="122" t="s">
        <v>260</v>
      </c>
      <c r="AY318" s="141" t="s">
        <v>253</v>
      </c>
      <c r="AZ318" s="122" t="s">
        <v>262</v>
      </c>
      <c r="BA318" s="122" t="s">
        <v>262</v>
      </c>
      <c r="BB318" s="122" t="s">
        <v>262</v>
      </c>
      <c r="BD318" s="122" t="s">
        <v>253</v>
      </c>
      <c r="BE318" s="122" t="s">
        <v>263</v>
      </c>
      <c r="BF318" s="122" t="s">
        <v>4688</v>
      </c>
      <c r="BH318" s="122" t="s">
        <v>4681</v>
      </c>
      <c r="BI318" s="142">
        <v>8</v>
      </c>
      <c r="BJ318" s="123">
        <v>42231</v>
      </c>
      <c r="BK318" s="139" t="s">
        <v>606</v>
      </c>
      <c r="BM318" s="122">
        <v>33</v>
      </c>
    </row>
    <row r="319" spans="1:65" x14ac:dyDescent="0.25">
      <c r="A319" s="122" t="s">
        <v>541</v>
      </c>
      <c r="B319" s="122" t="s">
        <v>4757</v>
      </c>
      <c r="C319" s="122" t="s">
        <v>4758</v>
      </c>
      <c r="D319" s="122" t="s">
        <v>4759</v>
      </c>
      <c r="E319" s="123">
        <v>42219</v>
      </c>
      <c r="F319" s="122" t="s">
        <v>4760</v>
      </c>
      <c r="G319" s="122" t="s">
        <v>235</v>
      </c>
      <c r="H319" s="122" t="s">
        <v>4761</v>
      </c>
      <c r="I319" s="122" t="s">
        <v>4762</v>
      </c>
      <c r="K319" s="122" t="s">
        <v>238</v>
      </c>
      <c r="L319" s="122" t="s">
        <v>371</v>
      </c>
      <c r="M319" s="122" t="s">
        <v>4763</v>
      </c>
      <c r="O319" s="141" t="s">
        <v>4764</v>
      </c>
      <c r="P319" s="141" t="s">
        <v>4765</v>
      </c>
      <c r="Q319" s="122" t="s">
        <v>243</v>
      </c>
      <c r="R319" s="142">
        <v>9</v>
      </c>
      <c r="S319" s="122" t="s">
        <v>4766</v>
      </c>
      <c r="U319" s="122" t="s">
        <v>4681</v>
      </c>
      <c r="W319" s="122" t="s">
        <v>246</v>
      </c>
      <c r="X319" s="122" t="s">
        <v>721</v>
      </c>
      <c r="Y319" s="141" t="s">
        <v>1209</v>
      </c>
      <c r="Z319" s="122" t="s">
        <v>355</v>
      </c>
      <c r="AA319" s="141" t="s">
        <v>670</v>
      </c>
      <c r="AB319" s="122" t="s">
        <v>4767</v>
      </c>
      <c r="AC319" s="141" t="s">
        <v>4768</v>
      </c>
      <c r="AD319" s="122" t="s">
        <v>4769</v>
      </c>
      <c r="AE319" s="122" t="s">
        <v>235</v>
      </c>
      <c r="AF319" s="122" t="s">
        <v>4770</v>
      </c>
      <c r="AG319" s="122" t="s">
        <v>537</v>
      </c>
      <c r="AH319" s="122" t="s">
        <v>253</v>
      </c>
      <c r="AI319" s="122" t="s">
        <v>2431</v>
      </c>
      <c r="AJ319" s="122" t="s">
        <v>4771</v>
      </c>
      <c r="AK319" s="122" t="s">
        <v>253</v>
      </c>
      <c r="AL319" s="122" t="s">
        <v>253</v>
      </c>
      <c r="AM319" s="122" t="s">
        <v>253</v>
      </c>
      <c r="AN319" s="122" t="s">
        <v>253</v>
      </c>
      <c r="AO319" s="141" t="s">
        <v>247</v>
      </c>
      <c r="AP319" s="141" t="s">
        <v>253</v>
      </c>
      <c r="AQ319" s="141" t="s">
        <v>247</v>
      </c>
      <c r="AR319" s="141" t="s">
        <v>253</v>
      </c>
      <c r="AS319" s="141" t="s">
        <v>601</v>
      </c>
      <c r="AT319" s="141" t="s">
        <v>601</v>
      </c>
      <c r="AU319" s="141" t="s">
        <v>258</v>
      </c>
      <c r="AV319" s="122" t="s">
        <v>259</v>
      </c>
      <c r="AW319" s="122" t="s">
        <v>260</v>
      </c>
      <c r="AY319" s="141" t="s">
        <v>253</v>
      </c>
      <c r="AZ319" s="122" t="s">
        <v>4772</v>
      </c>
      <c r="BA319" s="122" t="s">
        <v>262</v>
      </c>
      <c r="BB319" s="122" t="s">
        <v>262</v>
      </c>
      <c r="BC319" s="141" t="s">
        <v>312</v>
      </c>
      <c r="BD319" s="122" t="s">
        <v>253</v>
      </c>
      <c r="BE319" s="122" t="s">
        <v>263</v>
      </c>
      <c r="BF319" s="122" t="s">
        <v>4688</v>
      </c>
      <c r="BH319" s="122" t="s">
        <v>4681</v>
      </c>
      <c r="BI319" s="142">
        <v>9</v>
      </c>
      <c r="BJ319" s="123">
        <v>42231</v>
      </c>
      <c r="BK319" s="139" t="s">
        <v>606</v>
      </c>
      <c r="BM319" s="122">
        <v>33</v>
      </c>
    </row>
    <row r="320" spans="1:65" x14ac:dyDescent="0.25">
      <c r="A320" s="122" t="s">
        <v>541</v>
      </c>
      <c r="B320" s="122" t="s">
        <v>4773</v>
      </c>
      <c r="C320" s="122" t="s">
        <v>4774</v>
      </c>
      <c r="D320" s="122" t="s">
        <v>4775</v>
      </c>
      <c r="E320" s="123">
        <v>42219</v>
      </c>
      <c r="F320" s="122" t="s">
        <v>4776</v>
      </c>
      <c r="G320" s="122" t="s">
        <v>235</v>
      </c>
      <c r="H320" s="122" t="s">
        <v>4777</v>
      </c>
      <c r="I320" s="122" t="s">
        <v>4778</v>
      </c>
      <c r="J320" s="122" t="s">
        <v>4779</v>
      </c>
      <c r="K320" s="122" t="s">
        <v>238</v>
      </c>
      <c r="L320" s="122" t="s">
        <v>530</v>
      </c>
      <c r="M320" s="122" t="s">
        <v>4780</v>
      </c>
      <c r="O320" s="141" t="s">
        <v>2055</v>
      </c>
      <c r="P320" s="141" t="s">
        <v>4781</v>
      </c>
      <c r="Q320" s="122" t="s">
        <v>243</v>
      </c>
      <c r="R320" s="142">
        <v>10</v>
      </c>
      <c r="S320" s="122" t="s">
        <v>4782</v>
      </c>
      <c r="U320" s="122" t="s">
        <v>4681</v>
      </c>
      <c r="W320" s="122" t="s">
        <v>246</v>
      </c>
      <c r="X320" s="122" t="s">
        <v>1377</v>
      </c>
      <c r="Y320" s="141" t="s">
        <v>4229</v>
      </c>
      <c r="Z320" s="122" t="s">
        <v>4783</v>
      </c>
      <c r="AA320" s="141" t="s">
        <v>595</v>
      </c>
      <c r="AB320" s="122" t="s">
        <v>4784</v>
      </c>
      <c r="AC320" s="141" t="s">
        <v>670</v>
      </c>
      <c r="AD320" s="122" t="s">
        <v>4785</v>
      </c>
      <c r="AE320" s="122" t="s">
        <v>235</v>
      </c>
      <c r="AF320" s="122" t="s">
        <v>4786</v>
      </c>
      <c r="AG320" s="122" t="s">
        <v>253</v>
      </c>
      <c r="AH320" s="122" t="s">
        <v>253</v>
      </c>
      <c r="AI320" s="122" t="s">
        <v>4787</v>
      </c>
      <c r="AJ320" s="122" t="s">
        <v>253</v>
      </c>
      <c r="AK320" s="122" t="s">
        <v>4788</v>
      </c>
      <c r="AL320" s="122" t="s">
        <v>253</v>
      </c>
      <c r="AM320" s="122" t="s">
        <v>253</v>
      </c>
      <c r="AN320" s="122" t="s">
        <v>253</v>
      </c>
      <c r="AO320" s="141" t="s">
        <v>247</v>
      </c>
      <c r="AP320" s="141" t="s">
        <v>247</v>
      </c>
      <c r="AQ320" s="141" t="s">
        <v>247</v>
      </c>
      <c r="AR320" s="141" t="s">
        <v>253</v>
      </c>
      <c r="AS320" s="141" t="s">
        <v>601</v>
      </c>
      <c r="AT320" s="141" t="s">
        <v>601</v>
      </c>
      <c r="AU320" s="141" t="s">
        <v>258</v>
      </c>
      <c r="AV320" s="122" t="s">
        <v>259</v>
      </c>
      <c r="AW320" s="122" t="s">
        <v>260</v>
      </c>
      <c r="AX320" s="141" t="s">
        <v>2905</v>
      </c>
      <c r="AY320" s="141" t="s">
        <v>442</v>
      </c>
      <c r="AZ320" s="122" t="s">
        <v>4789</v>
      </c>
      <c r="BA320" s="122" t="s">
        <v>262</v>
      </c>
      <c r="BB320" s="122" t="s">
        <v>262</v>
      </c>
      <c r="BD320" s="122" t="s">
        <v>253</v>
      </c>
      <c r="BE320" s="122" t="s">
        <v>263</v>
      </c>
      <c r="BF320" s="122" t="s">
        <v>4688</v>
      </c>
      <c r="BH320" s="122" t="s">
        <v>4681</v>
      </c>
      <c r="BI320" s="142">
        <v>10</v>
      </c>
      <c r="BJ320" s="123">
        <v>42233</v>
      </c>
      <c r="BK320" s="139" t="s">
        <v>606</v>
      </c>
      <c r="BM320" s="122">
        <v>34</v>
      </c>
    </row>
    <row r="321" spans="1:66" x14ac:dyDescent="0.25">
      <c r="A321" s="122" t="s">
        <v>230</v>
      </c>
      <c r="B321" s="122" t="s">
        <v>4790</v>
      </c>
      <c r="C321" s="122" t="s">
        <v>4791</v>
      </c>
      <c r="D321" s="122" t="s">
        <v>4792</v>
      </c>
      <c r="E321" s="123">
        <v>42219</v>
      </c>
      <c r="F321" s="122" t="s">
        <v>2405</v>
      </c>
      <c r="G321" s="122" t="s">
        <v>235</v>
      </c>
      <c r="H321" s="122" t="s">
        <v>4793</v>
      </c>
      <c r="I321" s="122" t="s">
        <v>4794</v>
      </c>
      <c r="J321" s="122" t="s">
        <v>1053</v>
      </c>
      <c r="K321" s="122" t="s">
        <v>238</v>
      </c>
      <c r="L321" s="122" t="s">
        <v>530</v>
      </c>
      <c r="M321" s="122" t="s">
        <v>4795</v>
      </c>
      <c r="N321" s="122" t="s">
        <v>4796</v>
      </c>
      <c r="O321" s="141" t="s">
        <v>873</v>
      </c>
      <c r="P321" s="141" t="s">
        <v>4797</v>
      </c>
      <c r="Q321" s="122" t="s">
        <v>243</v>
      </c>
      <c r="R321" s="142">
        <v>11</v>
      </c>
      <c r="S321" s="122" t="s">
        <v>4798</v>
      </c>
      <c r="U321" s="122" t="s">
        <v>4681</v>
      </c>
      <c r="W321" s="122" t="s">
        <v>246</v>
      </c>
      <c r="X321" s="122" t="s">
        <v>260</v>
      </c>
      <c r="Y321" s="141" t="s">
        <v>722</v>
      </c>
      <c r="Z321" s="122" t="s">
        <v>4799</v>
      </c>
      <c r="AA321" s="141" t="s">
        <v>985</v>
      </c>
      <c r="AB321" s="122" t="s">
        <v>4800</v>
      </c>
      <c r="AC321" s="141" t="s">
        <v>855</v>
      </c>
      <c r="AD321" s="122" t="s">
        <v>4801</v>
      </c>
      <c r="AE321" s="122" t="s">
        <v>235</v>
      </c>
      <c r="AF321" s="122" t="s">
        <v>4802</v>
      </c>
      <c r="AG321" s="122" t="s">
        <v>253</v>
      </c>
      <c r="AH321" s="122" t="s">
        <v>253</v>
      </c>
      <c r="AI321" s="122" t="s">
        <v>4803</v>
      </c>
      <c r="AJ321" s="122" t="s">
        <v>4804</v>
      </c>
      <c r="AK321" s="122" t="s">
        <v>4805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247</v>
      </c>
      <c r="AQ321" s="141" t="s">
        <v>253</v>
      </c>
      <c r="AR321" s="141" t="s">
        <v>247</v>
      </c>
      <c r="AS321" s="141" t="s">
        <v>601</v>
      </c>
      <c r="AT321" s="141" t="s">
        <v>258</v>
      </c>
      <c r="AU321" s="141" t="s">
        <v>601</v>
      </c>
      <c r="AV321" s="122" t="s">
        <v>259</v>
      </c>
      <c r="AW321" s="122" t="s">
        <v>260</v>
      </c>
      <c r="AY321" s="141" t="s">
        <v>253</v>
      </c>
      <c r="AZ321" s="122" t="s">
        <v>4806</v>
      </c>
      <c r="BA321" s="122" t="s">
        <v>262</v>
      </c>
      <c r="BB321" s="122" t="s">
        <v>4806</v>
      </c>
      <c r="BD321" s="122" t="s">
        <v>253</v>
      </c>
      <c r="BE321" s="122" t="s">
        <v>263</v>
      </c>
      <c r="BF321" s="122" t="s">
        <v>4688</v>
      </c>
      <c r="BH321" s="122" t="s">
        <v>4681</v>
      </c>
      <c r="BI321" s="142">
        <v>11</v>
      </c>
      <c r="BJ321" s="123">
        <v>42233</v>
      </c>
      <c r="BK321" s="139" t="s">
        <v>606</v>
      </c>
      <c r="BM321" s="122">
        <v>34</v>
      </c>
    </row>
    <row r="322" spans="1:66" x14ac:dyDescent="0.25">
      <c r="A322" s="122" t="s">
        <v>230</v>
      </c>
      <c r="B322" s="122" t="s">
        <v>4807</v>
      </c>
      <c r="C322" s="122" t="s">
        <v>4808</v>
      </c>
      <c r="D322" s="122" t="s">
        <v>4809</v>
      </c>
      <c r="E322" s="123">
        <v>42219</v>
      </c>
      <c r="F322" s="122" t="s">
        <v>4810</v>
      </c>
      <c r="G322" s="122" t="s">
        <v>235</v>
      </c>
      <c r="H322" s="122" t="s">
        <v>4811</v>
      </c>
      <c r="I322" s="122" t="s">
        <v>4812</v>
      </c>
      <c r="K322" s="122" t="s">
        <v>238</v>
      </c>
      <c r="L322" s="122" t="s">
        <v>530</v>
      </c>
      <c r="M322" s="122" t="s">
        <v>4708</v>
      </c>
      <c r="Q322" s="122" t="s">
        <v>243</v>
      </c>
      <c r="R322" s="142">
        <v>12</v>
      </c>
      <c r="S322" s="122" t="s">
        <v>4813</v>
      </c>
      <c r="U322" s="122" t="s">
        <v>4681</v>
      </c>
      <c r="W322" s="122" t="s">
        <v>246</v>
      </c>
      <c r="X322" s="122" t="s">
        <v>247</v>
      </c>
      <c r="Y322" s="141" t="s">
        <v>2105</v>
      </c>
      <c r="Z322" s="122" t="s">
        <v>2929</v>
      </c>
      <c r="AA322" s="141" t="s">
        <v>1143</v>
      </c>
      <c r="AB322" s="122" t="s">
        <v>2929</v>
      </c>
      <c r="AC322" s="141" t="s">
        <v>1075</v>
      </c>
      <c r="AD322" s="122" t="s">
        <v>2929</v>
      </c>
      <c r="AE322" s="122" t="s">
        <v>235</v>
      </c>
      <c r="AF322" s="122" t="s">
        <v>2930</v>
      </c>
      <c r="AG322" s="122" t="s">
        <v>253</v>
      </c>
      <c r="AH322" s="122" t="s">
        <v>253</v>
      </c>
      <c r="AI322" s="122" t="s">
        <v>1714</v>
      </c>
      <c r="AJ322" s="122" t="s">
        <v>1715</v>
      </c>
      <c r="AK322" s="122" t="s">
        <v>2931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253</v>
      </c>
      <c r="AQ322" s="141" t="s">
        <v>253</v>
      </c>
      <c r="AR322" s="141" t="s">
        <v>253</v>
      </c>
      <c r="AS322" s="141" t="s">
        <v>601</v>
      </c>
      <c r="AT322" s="141" t="s">
        <v>258</v>
      </c>
      <c r="AU322" s="141" t="s">
        <v>258</v>
      </c>
      <c r="AV322" s="122" t="s">
        <v>259</v>
      </c>
      <c r="AW322" s="122" t="s">
        <v>260</v>
      </c>
      <c r="AY322" s="141" t="s">
        <v>253</v>
      </c>
      <c r="AZ322" s="122" t="s">
        <v>4814</v>
      </c>
      <c r="BA322" s="122" t="s">
        <v>262</v>
      </c>
      <c r="BB322" s="122" t="s">
        <v>262</v>
      </c>
      <c r="BD322" s="122" t="s">
        <v>253</v>
      </c>
      <c r="BE322" s="122" t="s">
        <v>263</v>
      </c>
      <c r="BF322" s="122" t="s">
        <v>4688</v>
      </c>
      <c r="BH322" s="122" t="s">
        <v>4681</v>
      </c>
      <c r="BI322" s="142">
        <v>12</v>
      </c>
      <c r="BJ322" s="123">
        <v>42233</v>
      </c>
      <c r="BK322" s="139" t="s">
        <v>606</v>
      </c>
      <c r="BM322" s="122">
        <v>34</v>
      </c>
    </row>
    <row r="323" spans="1:66" x14ac:dyDescent="0.25">
      <c r="A323" s="122" t="s">
        <v>230</v>
      </c>
      <c r="B323" s="122" t="s">
        <v>4815</v>
      </c>
      <c r="C323" s="122" t="s">
        <v>4816</v>
      </c>
      <c r="D323" s="122" t="s">
        <v>4817</v>
      </c>
      <c r="E323" s="123">
        <v>42219</v>
      </c>
      <c r="F323" s="122" t="s">
        <v>1484</v>
      </c>
      <c r="G323" s="122" t="s">
        <v>235</v>
      </c>
      <c r="H323" s="122" t="s">
        <v>4818</v>
      </c>
      <c r="I323" s="122" t="s">
        <v>4819</v>
      </c>
      <c r="K323" s="122" t="s">
        <v>238</v>
      </c>
      <c r="L323" s="122" t="s">
        <v>530</v>
      </c>
      <c r="M323" s="122" t="s">
        <v>4820</v>
      </c>
      <c r="O323" s="141" t="s">
        <v>780</v>
      </c>
      <c r="P323" s="141" t="s">
        <v>4821</v>
      </c>
      <c r="Q323" s="122" t="s">
        <v>243</v>
      </c>
      <c r="R323" s="142">
        <v>13</v>
      </c>
      <c r="S323" s="122" t="s">
        <v>4822</v>
      </c>
      <c r="U323" s="122" t="s">
        <v>4681</v>
      </c>
      <c r="W323" s="122" t="s">
        <v>246</v>
      </c>
      <c r="X323" s="122" t="s">
        <v>302</v>
      </c>
      <c r="Y323" s="141" t="s">
        <v>833</v>
      </c>
      <c r="Z323" s="122" t="s">
        <v>4823</v>
      </c>
      <c r="AA323" s="141" t="s">
        <v>595</v>
      </c>
      <c r="AB323" s="122" t="s">
        <v>4824</v>
      </c>
      <c r="AC323" s="141" t="s">
        <v>834</v>
      </c>
      <c r="AD323" s="122" t="s">
        <v>1777</v>
      </c>
      <c r="AE323" s="122" t="s">
        <v>235</v>
      </c>
      <c r="AF323" s="122" t="s">
        <v>4825</v>
      </c>
      <c r="AG323" s="122" t="s">
        <v>537</v>
      </c>
      <c r="AH323" s="122" t="s">
        <v>253</v>
      </c>
      <c r="AI323" s="122" t="s">
        <v>1782</v>
      </c>
      <c r="AJ323" s="122" t="s">
        <v>4826</v>
      </c>
      <c r="AK323" s="122" t="s">
        <v>253</v>
      </c>
      <c r="AL323" s="122" t="s">
        <v>253</v>
      </c>
      <c r="AM323" s="122" t="s">
        <v>253</v>
      </c>
      <c r="AN323" s="122" t="s">
        <v>253</v>
      </c>
      <c r="AO323" s="141" t="s">
        <v>253</v>
      </c>
      <c r="AP323" s="141" t="s">
        <v>253</v>
      </c>
      <c r="AQ323" s="141" t="s">
        <v>247</v>
      </c>
      <c r="AR323" s="141" t="s">
        <v>253</v>
      </c>
      <c r="AS323" s="141" t="s">
        <v>361</v>
      </c>
      <c r="AT323" s="141" t="s">
        <v>601</v>
      </c>
      <c r="AU323" s="141" t="s">
        <v>258</v>
      </c>
      <c r="AV323" s="122" t="s">
        <v>259</v>
      </c>
      <c r="AW323" s="122" t="s">
        <v>260</v>
      </c>
      <c r="AY323" s="141" t="s">
        <v>253</v>
      </c>
      <c r="AZ323" s="122" t="s">
        <v>4827</v>
      </c>
      <c r="BA323" s="122" t="s">
        <v>262</v>
      </c>
      <c r="BB323" s="122" t="s">
        <v>262</v>
      </c>
      <c r="BD323" s="122" t="s">
        <v>253</v>
      </c>
      <c r="BE323" s="122" t="s">
        <v>263</v>
      </c>
      <c r="BF323" s="122" t="s">
        <v>4688</v>
      </c>
      <c r="BH323" s="122" t="s">
        <v>4681</v>
      </c>
      <c r="BI323" s="142">
        <v>13</v>
      </c>
      <c r="BJ323" s="123">
        <v>42233</v>
      </c>
      <c r="BK323" s="139" t="s">
        <v>264</v>
      </c>
      <c r="BL323" s="140">
        <v>132.97999999999999</v>
      </c>
      <c r="BM323" s="122">
        <v>34</v>
      </c>
    </row>
    <row r="324" spans="1:66" x14ac:dyDescent="0.25">
      <c r="A324" s="122" t="s">
        <v>230</v>
      </c>
      <c r="B324" s="122" t="s">
        <v>4828</v>
      </c>
      <c r="C324" s="122" t="s">
        <v>4829</v>
      </c>
      <c r="D324" s="122" t="s">
        <v>4830</v>
      </c>
      <c r="E324" s="123">
        <v>42219</v>
      </c>
      <c r="F324" s="122" t="s">
        <v>3689</v>
      </c>
      <c r="G324" s="122" t="s">
        <v>235</v>
      </c>
      <c r="H324" s="122" t="s">
        <v>4831</v>
      </c>
      <c r="I324" s="122" t="s">
        <v>4832</v>
      </c>
      <c r="K324" s="122" t="s">
        <v>238</v>
      </c>
      <c r="L324" s="122" t="s">
        <v>371</v>
      </c>
      <c r="M324" s="122" t="s">
        <v>4833</v>
      </c>
      <c r="O324" s="141" t="s">
        <v>451</v>
      </c>
      <c r="P324" s="141" t="s">
        <v>4834</v>
      </c>
      <c r="Q324" s="122" t="s">
        <v>243</v>
      </c>
      <c r="R324" s="142">
        <v>14</v>
      </c>
      <c r="S324" s="122" t="s">
        <v>4835</v>
      </c>
      <c r="U324" s="122" t="s">
        <v>4681</v>
      </c>
      <c r="W324" s="122" t="s">
        <v>246</v>
      </c>
      <c r="X324" s="122" t="s">
        <v>376</v>
      </c>
      <c r="Y324" s="141" t="s">
        <v>248</v>
      </c>
      <c r="Z324" s="122" t="s">
        <v>959</v>
      </c>
      <c r="AA324" s="141" t="s">
        <v>2105</v>
      </c>
      <c r="AB324" s="122" t="s">
        <v>4836</v>
      </c>
      <c r="AC324" s="141" t="s">
        <v>2105</v>
      </c>
      <c r="AD324" s="122" t="s">
        <v>800</v>
      </c>
      <c r="AE324" s="122" t="s">
        <v>235</v>
      </c>
      <c r="AF324" s="122" t="s">
        <v>4837</v>
      </c>
      <c r="AG324" s="122" t="s">
        <v>4838</v>
      </c>
      <c r="AH324" s="122" t="s">
        <v>253</v>
      </c>
      <c r="AI324" s="122" t="s">
        <v>4839</v>
      </c>
      <c r="AJ324" s="122" t="s">
        <v>4840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260</v>
      </c>
      <c r="AY324" s="141" t="s">
        <v>253</v>
      </c>
      <c r="AZ324" s="122" t="s">
        <v>4841</v>
      </c>
      <c r="BA324" s="122" t="s">
        <v>4842</v>
      </c>
      <c r="BB324" s="122" t="s">
        <v>262</v>
      </c>
      <c r="BD324" s="122" t="s">
        <v>253</v>
      </c>
      <c r="BE324" s="122" t="s">
        <v>263</v>
      </c>
      <c r="BF324" s="122" t="s">
        <v>4688</v>
      </c>
      <c r="BH324" s="122" t="s">
        <v>4681</v>
      </c>
      <c r="BI324" s="142">
        <v>14</v>
      </c>
      <c r="BJ324" s="123">
        <v>42231</v>
      </c>
      <c r="BK324" s="139" t="s">
        <v>264</v>
      </c>
      <c r="BL324" s="140">
        <v>852.73</v>
      </c>
      <c r="BM324" s="122">
        <v>33</v>
      </c>
    </row>
    <row r="325" spans="1:66" x14ac:dyDescent="0.25">
      <c r="A325" s="122" t="s">
        <v>230</v>
      </c>
      <c r="B325" s="122" t="s">
        <v>4843</v>
      </c>
      <c r="C325" s="122" t="s">
        <v>4844</v>
      </c>
      <c r="D325" s="122" t="s">
        <v>4845</v>
      </c>
      <c r="E325" s="123">
        <v>42219</v>
      </c>
      <c r="F325" s="122" t="s">
        <v>3598</v>
      </c>
      <c r="G325" s="122" t="s">
        <v>235</v>
      </c>
      <c r="H325" s="122" t="s">
        <v>448</v>
      </c>
      <c r="I325" s="122" t="s">
        <v>4846</v>
      </c>
      <c r="K325" s="122" t="s">
        <v>238</v>
      </c>
      <c r="L325" s="122" t="s">
        <v>530</v>
      </c>
      <c r="M325" s="122" t="s">
        <v>4847</v>
      </c>
      <c r="O325" s="141" t="s">
        <v>4848</v>
      </c>
      <c r="P325" s="141" t="s">
        <v>4849</v>
      </c>
      <c r="Q325" s="122" t="s">
        <v>243</v>
      </c>
      <c r="R325" s="142">
        <v>15</v>
      </c>
      <c r="S325" s="122" t="s">
        <v>4850</v>
      </c>
      <c r="U325" s="122" t="s">
        <v>4681</v>
      </c>
      <c r="W325" s="122" t="s">
        <v>246</v>
      </c>
      <c r="X325" s="122" t="s">
        <v>302</v>
      </c>
      <c r="Y325" s="141" t="s">
        <v>2804</v>
      </c>
      <c r="Z325" s="122" t="s">
        <v>4851</v>
      </c>
      <c r="AA325" s="141" t="s">
        <v>901</v>
      </c>
      <c r="AB325" s="122" t="s">
        <v>4852</v>
      </c>
      <c r="AC325" s="141" t="s">
        <v>921</v>
      </c>
      <c r="AD325" s="122" t="s">
        <v>4853</v>
      </c>
      <c r="AE325" s="122" t="s">
        <v>235</v>
      </c>
      <c r="AF325" s="122" t="s">
        <v>4854</v>
      </c>
      <c r="AG325" s="122" t="s">
        <v>537</v>
      </c>
      <c r="AH325" s="122" t="s">
        <v>253</v>
      </c>
      <c r="AI325" s="122" t="s">
        <v>4855</v>
      </c>
      <c r="AJ325" s="122" t="s">
        <v>4856</v>
      </c>
      <c r="AK325" s="122" t="s">
        <v>253</v>
      </c>
      <c r="AL325" s="122" t="s">
        <v>253</v>
      </c>
      <c r="AM325" s="122" t="s">
        <v>253</v>
      </c>
      <c r="AN325" s="122" t="s">
        <v>253</v>
      </c>
      <c r="AO325" s="141" t="s">
        <v>247</v>
      </c>
      <c r="AP325" s="141" t="s">
        <v>247</v>
      </c>
      <c r="AQ325" s="141" t="s">
        <v>247</v>
      </c>
      <c r="AR325" s="141" t="s">
        <v>247</v>
      </c>
      <c r="AS325" s="141" t="s">
        <v>601</v>
      </c>
      <c r="AT325" s="141" t="s">
        <v>601</v>
      </c>
      <c r="AU325" s="141" t="s">
        <v>601</v>
      </c>
      <c r="AV325" s="122" t="s">
        <v>259</v>
      </c>
      <c r="AW325" s="122" t="s">
        <v>260</v>
      </c>
      <c r="AY325" s="141" t="s">
        <v>253</v>
      </c>
      <c r="AZ325" s="122" t="s">
        <v>262</v>
      </c>
      <c r="BA325" s="122" t="s">
        <v>262</v>
      </c>
      <c r="BB325" s="122" t="s">
        <v>4857</v>
      </c>
      <c r="BC325" s="141" t="s">
        <v>312</v>
      </c>
      <c r="BD325" s="122" t="s">
        <v>253</v>
      </c>
      <c r="BE325" s="122" t="s">
        <v>263</v>
      </c>
      <c r="BF325" s="122" t="s">
        <v>4688</v>
      </c>
      <c r="BH325" s="122" t="s">
        <v>4681</v>
      </c>
      <c r="BI325" s="142">
        <v>15</v>
      </c>
      <c r="BJ325" s="123">
        <v>42227</v>
      </c>
      <c r="BK325" s="139" t="s">
        <v>264</v>
      </c>
      <c r="BL325" s="140">
        <v>209.86</v>
      </c>
      <c r="BM325" s="122">
        <v>33</v>
      </c>
    </row>
    <row r="326" spans="1:66" x14ac:dyDescent="0.25">
      <c r="A326" s="122" t="s">
        <v>230</v>
      </c>
      <c r="B326" s="122" t="s">
        <v>4858</v>
      </c>
      <c r="C326" s="122" t="s">
        <v>4859</v>
      </c>
      <c r="D326" s="122" t="s">
        <v>4860</v>
      </c>
      <c r="E326" s="123">
        <v>42219</v>
      </c>
      <c r="F326" s="122" t="s">
        <v>4861</v>
      </c>
      <c r="G326" s="122" t="s">
        <v>235</v>
      </c>
      <c r="H326" s="122" t="s">
        <v>4862</v>
      </c>
      <c r="I326" s="122" t="s">
        <v>4863</v>
      </c>
      <c r="K326" s="122" t="s">
        <v>238</v>
      </c>
      <c r="L326" s="122" t="s">
        <v>530</v>
      </c>
      <c r="M326" s="122" t="s">
        <v>4795</v>
      </c>
      <c r="O326" s="141" t="s">
        <v>613</v>
      </c>
      <c r="P326" s="141" t="s">
        <v>4864</v>
      </c>
      <c r="Q326" s="122" t="s">
        <v>243</v>
      </c>
      <c r="R326" s="142">
        <v>16</v>
      </c>
      <c r="S326" s="122" t="s">
        <v>4865</v>
      </c>
      <c r="U326" s="122" t="s">
        <v>4681</v>
      </c>
      <c r="W326" s="122" t="s">
        <v>246</v>
      </c>
      <c r="X326" s="122" t="s">
        <v>376</v>
      </c>
      <c r="Y326" s="141" t="s">
        <v>500</v>
      </c>
      <c r="Z326" s="122" t="s">
        <v>4866</v>
      </c>
      <c r="AA326" s="141" t="s">
        <v>2051</v>
      </c>
      <c r="AB326" s="122" t="s">
        <v>4867</v>
      </c>
      <c r="AC326" s="141" t="s">
        <v>2720</v>
      </c>
      <c r="AD326" s="122" t="s">
        <v>4868</v>
      </c>
      <c r="AE326" s="122" t="s">
        <v>235</v>
      </c>
      <c r="AF326" s="122" t="s">
        <v>4869</v>
      </c>
      <c r="AG326" s="122" t="s">
        <v>537</v>
      </c>
      <c r="AH326" s="122" t="s">
        <v>253</v>
      </c>
      <c r="AI326" s="122" t="s">
        <v>4870</v>
      </c>
      <c r="AJ326" s="122" t="s">
        <v>4871</v>
      </c>
      <c r="AK326" s="122" t="s">
        <v>253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253</v>
      </c>
      <c r="AS326" s="141" t="s">
        <v>601</v>
      </c>
      <c r="AT326" s="141" t="s">
        <v>601</v>
      </c>
      <c r="AU326" s="141" t="s">
        <v>258</v>
      </c>
      <c r="AV326" s="122" t="s">
        <v>259</v>
      </c>
      <c r="AW326" s="122" t="s">
        <v>260</v>
      </c>
      <c r="AX326" s="141" t="s">
        <v>4872</v>
      </c>
      <c r="AY326" s="141" t="s">
        <v>603</v>
      </c>
      <c r="AZ326" s="122" t="s">
        <v>4873</v>
      </c>
      <c r="BA326" s="122" t="s">
        <v>4874</v>
      </c>
      <c r="BB326" s="122" t="s">
        <v>262</v>
      </c>
      <c r="BC326" s="141" t="s">
        <v>312</v>
      </c>
      <c r="BD326" s="122" t="s">
        <v>253</v>
      </c>
      <c r="BE326" s="122" t="s">
        <v>263</v>
      </c>
      <c r="BF326" s="122" t="s">
        <v>4688</v>
      </c>
      <c r="BH326" s="122" t="s">
        <v>4681</v>
      </c>
      <c r="BI326" s="142">
        <v>16</v>
      </c>
      <c r="BJ326" s="123">
        <v>42233</v>
      </c>
      <c r="BK326" s="139" t="s">
        <v>264</v>
      </c>
      <c r="BL326" s="140">
        <v>459.03</v>
      </c>
      <c r="BM326" s="122">
        <v>34</v>
      </c>
    </row>
    <row r="327" spans="1:66" x14ac:dyDescent="0.25">
      <c r="A327" s="122" t="s">
        <v>230</v>
      </c>
      <c r="B327" s="122" t="s">
        <v>4875</v>
      </c>
      <c r="C327" s="122" t="s">
        <v>4876</v>
      </c>
      <c r="D327" s="122" t="s">
        <v>4877</v>
      </c>
      <c r="E327" s="123">
        <v>42219</v>
      </c>
      <c r="F327" s="122" t="s">
        <v>1085</v>
      </c>
      <c r="G327" s="122" t="s">
        <v>235</v>
      </c>
      <c r="H327" s="122" t="s">
        <v>4878</v>
      </c>
      <c r="I327" s="122" t="s">
        <v>4879</v>
      </c>
      <c r="J327" s="122" t="s">
        <v>2271</v>
      </c>
      <c r="K327" s="122" t="s">
        <v>238</v>
      </c>
      <c r="L327" s="122" t="s">
        <v>371</v>
      </c>
      <c r="M327" s="122" t="s">
        <v>4880</v>
      </c>
      <c r="O327" s="141" t="s">
        <v>1253</v>
      </c>
      <c r="P327" s="141" t="s">
        <v>4881</v>
      </c>
      <c r="Q327" s="122" t="s">
        <v>243</v>
      </c>
      <c r="R327" s="142">
        <v>17</v>
      </c>
      <c r="S327" s="122" t="s">
        <v>4882</v>
      </c>
      <c r="U327" s="122" t="s">
        <v>4681</v>
      </c>
      <c r="W327" s="122" t="s">
        <v>246</v>
      </c>
      <c r="X327" s="122" t="s">
        <v>454</v>
      </c>
      <c r="Y327" s="141" t="s">
        <v>1926</v>
      </c>
      <c r="Z327" s="122" t="s">
        <v>355</v>
      </c>
      <c r="AA327" s="141" t="s">
        <v>1291</v>
      </c>
      <c r="AB327" s="122" t="s">
        <v>818</v>
      </c>
      <c r="AC327" s="141" t="s">
        <v>1015</v>
      </c>
      <c r="AD327" s="122" t="s">
        <v>249</v>
      </c>
      <c r="AE327" s="122" t="s">
        <v>235</v>
      </c>
      <c r="AF327" s="122" t="s">
        <v>4883</v>
      </c>
      <c r="AG327" s="122" t="s">
        <v>537</v>
      </c>
      <c r="AH327" s="122" t="s">
        <v>253</v>
      </c>
      <c r="AI327" s="122" t="s">
        <v>4884</v>
      </c>
      <c r="AJ327" s="122" t="s">
        <v>4885</v>
      </c>
      <c r="AK327" s="122" t="s">
        <v>4886</v>
      </c>
      <c r="AL327" s="122" t="s">
        <v>4887</v>
      </c>
      <c r="AM327" s="122" t="s">
        <v>253</v>
      </c>
      <c r="AN327" s="122" t="s">
        <v>253</v>
      </c>
      <c r="AO327" s="141" t="s">
        <v>247</v>
      </c>
      <c r="AP327" s="141" t="s">
        <v>247</v>
      </c>
      <c r="AQ327" s="141" t="s">
        <v>247</v>
      </c>
      <c r="AR327" s="141" t="s">
        <v>253</v>
      </c>
      <c r="AS327" s="141" t="s">
        <v>601</v>
      </c>
      <c r="AT327" s="141" t="s">
        <v>601</v>
      </c>
      <c r="AU327" s="141" t="s">
        <v>258</v>
      </c>
      <c r="AV327" s="122" t="s">
        <v>259</v>
      </c>
      <c r="AW327" s="122" t="s">
        <v>260</v>
      </c>
      <c r="AX327" s="141" t="s">
        <v>362</v>
      </c>
      <c r="AY327" s="141" t="s">
        <v>247</v>
      </c>
      <c r="AZ327" s="122" t="s">
        <v>4888</v>
      </c>
      <c r="BA327" s="122" t="s">
        <v>262</v>
      </c>
      <c r="BB327" s="122" t="s">
        <v>4888</v>
      </c>
      <c r="BD327" s="122" t="s">
        <v>253</v>
      </c>
      <c r="BE327" s="122" t="s">
        <v>263</v>
      </c>
      <c r="BF327" s="122" t="s">
        <v>4688</v>
      </c>
      <c r="BH327" s="122" t="s">
        <v>4681</v>
      </c>
      <c r="BI327" s="142">
        <v>17</v>
      </c>
      <c r="BJ327" s="123">
        <v>42231</v>
      </c>
      <c r="BK327" s="139" t="s">
        <v>606</v>
      </c>
      <c r="BM327" s="122">
        <v>33</v>
      </c>
    </row>
    <row r="328" spans="1:66" x14ac:dyDescent="0.25">
      <c r="A328" s="122" t="s">
        <v>230</v>
      </c>
      <c r="B328" s="122" t="s">
        <v>4889</v>
      </c>
      <c r="C328" s="122" t="s">
        <v>4890</v>
      </c>
      <c r="D328" s="122" t="s">
        <v>4891</v>
      </c>
      <c r="E328" s="123">
        <v>42219</v>
      </c>
      <c r="F328" s="122" t="s">
        <v>4892</v>
      </c>
      <c r="G328" s="122" t="s">
        <v>235</v>
      </c>
      <c r="H328" s="122" t="s">
        <v>4893</v>
      </c>
      <c r="I328" s="122" t="s">
        <v>4894</v>
      </c>
      <c r="J328" s="122" t="s">
        <v>4895</v>
      </c>
      <c r="K328" s="122" t="s">
        <v>238</v>
      </c>
      <c r="L328" s="122" t="s">
        <v>530</v>
      </c>
      <c r="M328" s="122" t="s">
        <v>4763</v>
      </c>
      <c r="O328" s="141" t="s">
        <v>390</v>
      </c>
      <c r="P328" s="141" t="s">
        <v>4896</v>
      </c>
      <c r="Q328" s="122" t="s">
        <v>243</v>
      </c>
      <c r="R328" s="142">
        <v>18</v>
      </c>
      <c r="S328" s="122" t="s">
        <v>4897</v>
      </c>
      <c r="U328" s="122" t="s">
        <v>4681</v>
      </c>
      <c r="W328" s="122" t="s">
        <v>246</v>
      </c>
      <c r="X328" s="122" t="s">
        <v>302</v>
      </c>
      <c r="Y328" s="141" t="s">
        <v>668</v>
      </c>
      <c r="Z328" s="122" t="s">
        <v>3793</v>
      </c>
      <c r="AA328" s="141" t="s">
        <v>304</v>
      </c>
      <c r="AB328" s="122" t="s">
        <v>4898</v>
      </c>
      <c r="AC328" s="141" t="s">
        <v>901</v>
      </c>
      <c r="AD328" s="122" t="s">
        <v>4899</v>
      </c>
      <c r="AE328" s="122" t="s">
        <v>235</v>
      </c>
      <c r="AF328" s="122" t="s">
        <v>4900</v>
      </c>
      <c r="AG328" s="122" t="s">
        <v>537</v>
      </c>
      <c r="AH328" s="122" t="s">
        <v>253</v>
      </c>
      <c r="AI328" s="122" t="s">
        <v>4901</v>
      </c>
      <c r="AJ328" s="122" t="s">
        <v>4902</v>
      </c>
      <c r="AK328" s="122" t="s">
        <v>4903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253</v>
      </c>
      <c r="AQ328" s="141" t="s">
        <v>253</v>
      </c>
      <c r="AR328" s="141" t="s">
        <v>247</v>
      </c>
      <c r="AS328" s="141" t="s">
        <v>601</v>
      </c>
      <c r="AT328" s="141" t="s">
        <v>258</v>
      </c>
      <c r="AU328" s="141" t="s">
        <v>601</v>
      </c>
      <c r="AV328" s="122" t="s">
        <v>259</v>
      </c>
      <c r="AW328" s="122" t="s">
        <v>260</v>
      </c>
      <c r="AY328" s="141" t="s">
        <v>253</v>
      </c>
      <c r="AZ328" s="122" t="s">
        <v>4904</v>
      </c>
      <c r="BA328" s="122" t="s">
        <v>262</v>
      </c>
      <c r="BB328" s="122" t="s">
        <v>4905</v>
      </c>
      <c r="BD328" s="122" t="s">
        <v>253</v>
      </c>
      <c r="BE328" s="122" t="s">
        <v>263</v>
      </c>
      <c r="BF328" s="122" t="s">
        <v>4688</v>
      </c>
      <c r="BH328" s="122" t="s">
        <v>4681</v>
      </c>
      <c r="BI328" s="142">
        <v>18</v>
      </c>
      <c r="BJ328" s="123">
        <v>42233</v>
      </c>
      <c r="BK328" s="139" t="s">
        <v>606</v>
      </c>
      <c r="BM328" s="122">
        <v>34</v>
      </c>
    </row>
    <row r="329" spans="1:66" x14ac:dyDescent="0.25">
      <c r="A329" s="122" t="s">
        <v>230</v>
      </c>
      <c r="B329" s="122" t="s">
        <v>4906</v>
      </c>
      <c r="C329" s="122" t="s">
        <v>4907</v>
      </c>
      <c r="D329" s="122" t="s">
        <v>4908</v>
      </c>
      <c r="E329" s="123">
        <v>42219</v>
      </c>
      <c r="F329" s="122" t="s">
        <v>985</v>
      </c>
      <c r="G329" s="122" t="s">
        <v>235</v>
      </c>
      <c r="H329" s="122" t="s">
        <v>4909</v>
      </c>
      <c r="I329" s="122" t="s">
        <v>4910</v>
      </c>
      <c r="J329" s="122" t="s">
        <v>4911</v>
      </c>
      <c r="K329" s="122" t="s">
        <v>238</v>
      </c>
      <c r="L329" s="122" t="s">
        <v>530</v>
      </c>
      <c r="M329" s="122" t="s">
        <v>4763</v>
      </c>
      <c r="N329" s="122" t="s">
        <v>4912</v>
      </c>
      <c r="O329" s="141" t="s">
        <v>1467</v>
      </c>
      <c r="P329" s="141" t="s">
        <v>4913</v>
      </c>
      <c r="Q329" s="122" t="s">
        <v>243</v>
      </c>
      <c r="R329" s="142">
        <v>19</v>
      </c>
      <c r="S329" s="122" t="s">
        <v>4914</v>
      </c>
      <c r="U329" s="122" t="s">
        <v>4681</v>
      </c>
      <c r="W329" s="122" t="s">
        <v>246</v>
      </c>
      <c r="X329" s="122" t="s">
        <v>302</v>
      </c>
      <c r="Y329" s="141" t="s">
        <v>833</v>
      </c>
      <c r="Z329" s="122" t="s">
        <v>4915</v>
      </c>
      <c r="AA329" s="141" t="s">
        <v>328</v>
      </c>
      <c r="AB329" s="122" t="s">
        <v>4916</v>
      </c>
      <c r="AC329" s="141" t="s">
        <v>1398</v>
      </c>
      <c r="AD329" s="122" t="s">
        <v>518</v>
      </c>
      <c r="AE329" s="122" t="s">
        <v>235</v>
      </c>
      <c r="AF329" s="122" t="s">
        <v>4917</v>
      </c>
      <c r="AG329" s="122" t="s">
        <v>537</v>
      </c>
      <c r="AH329" s="122" t="s">
        <v>253</v>
      </c>
      <c r="AI329" s="122" t="s">
        <v>4918</v>
      </c>
      <c r="AJ329" s="122" t="s">
        <v>4919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247</v>
      </c>
      <c r="AP329" s="141" t="s">
        <v>247</v>
      </c>
      <c r="AQ329" s="141" t="s">
        <v>253</v>
      </c>
      <c r="AR329" s="141" t="s">
        <v>253</v>
      </c>
      <c r="AS329" s="141" t="s">
        <v>601</v>
      </c>
      <c r="AT329" s="141" t="s">
        <v>258</v>
      </c>
      <c r="AU329" s="141" t="s">
        <v>258</v>
      </c>
      <c r="AV329" s="122" t="s">
        <v>259</v>
      </c>
      <c r="AW329" s="122" t="s">
        <v>260</v>
      </c>
      <c r="AY329" s="141" t="s">
        <v>253</v>
      </c>
      <c r="AZ329" s="122" t="s">
        <v>4920</v>
      </c>
      <c r="BA329" s="122" t="s">
        <v>262</v>
      </c>
      <c r="BB329" s="122" t="s">
        <v>262</v>
      </c>
      <c r="BD329" s="122" t="s">
        <v>253</v>
      </c>
      <c r="BE329" s="122" t="s">
        <v>263</v>
      </c>
      <c r="BF329" s="122" t="s">
        <v>4688</v>
      </c>
      <c r="BH329" s="122" t="s">
        <v>4681</v>
      </c>
      <c r="BI329" s="142">
        <v>19</v>
      </c>
      <c r="BJ329" s="123">
        <v>42233</v>
      </c>
      <c r="BK329" s="139" t="s">
        <v>606</v>
      </c>
      <c r="BM329" s="122">
        <v>34</v>
      </c>
    </row>
    <row r="330" spans="1:66" x14ac:dyDescent="0.25">
      <c r="A330" s="122" t="s">
        <v>888</v>
      </c>
      <c r="B330" s="122" t="s">
        <v>4921</v>
      </c>
      <c r="C330" s="122" t="s">
        <v>4922</v>
      </c>
      <c r="D330" s="122" t="s">
        <v>4923</v>
      </c>
      <c r="E330" s="123">
        <v>42219</v>
      </c>
      <c r="F330" s="122" t="s">
        <v>4924</v>
      </c>
      <c r="G330" s="122" t="s">
        <v>235</v>
      </c>
      <c r="H330" s="122" t="s">
        <v>4925</v>
      </c>
      <c r="I330" s="122" t="s">
        <v>4926</v>
      </c>
      <c r="J330" s="122" t="s">
        <v>4927</v>
      </c>
      <c r="K330" s="122" t="s">
        <v>238</v>
      </c>
      <c r="L330" s="122" t="s">
        <v>530</v>
      </c>
      <c r="M330" s="122" t="s">
        <v>4928</v>
      </c>
      <c r="O330" s="141" t="s">
        <v>916</v>
      </c>
      <c r="P330" s="141" t="s">
        <v>4929</v>
      </c>
      <c r="Q330" s="122" t="s">
        <v>243</v>
      </c>
      <c r="R330" s="142">
        <v>20</v>
      </c>
      <c r="S330" s="122" t="s">
        <v>4930</v>
      </c>
      <c r="U330" s="122" t="s">
        <v>4681</v>
      </c>
      <c r="W330" s="122" t="s">
        <v>246</v>
      </c>
      <c r="X330" s="122" t="s">
        <v>739</v>
      </c>
      <c r="Y330" s="141" t="s">
        <v>707</v>
      </c>
      <c r="Z330" s="122" t="s">
        <v>4931</v>
      </c>
      <c r="AA330" s="141" t="s">
        <v>801</v>
      </c>
      <c r="AB330" s="122" t="s">
        <v>4932</v>
      </c>
      <c r="AC330" s="141" t="s">
        <v>880</v>
      </c>
      <c r="AD330" s="122" t="s">
        <v>2411</v>
      </c>
      <c r="AE330" s="122" t="s">
        <v>235</v>
      </c>
      <c r="AF330" s="122" t="s">
        <v>4933</v>
      </c>
      <c r="AG330" s="122" t="s">
        <v>537</v>
      </c>
      <c r="AH330" s="122" t="s">
        <v>253</v>
      </c>
      <c r="AI330" s="122" t="s">
        <v>4934</v>
      </c>
      <c r="AJ330" s="122" t="s">
        <v>4935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247</v>
      </c>
      <c r="AP330" s="141" t="s">
        <v>247</v>
      </c>
      <c r="AQ330" s="141" t="s">
        <v>247</v>
      </c>
      <c r="AR330" s="141" t="s">
        <v>247</v>
      </c>
      <c r="AS330" s="141" t="s">
        <v>601</v>
      </c>
      <c r="AT330" s="141" t="s">
        <v>601</v>
      </c>
      <c r="AU330" s="141" t="s">
        <v>601</v>
      </c>
      <c r="AV330" s="122" t="s">
        <v>259</v>
      </c>
      <c r="AW330" s="122" t="s">
        <v>260</v>
      </c>
      <c r="AY330" s="141" t="s">
        <v>253</v>
      </c>
      <c r="AZ330" s="122" t="s">
        <v>4936</v>
      </c>
      <c r="BA330" s="122" t="s">
        <v>262</v>
      </c>
      <c r="BB330" s="122" t="s">
        <v>262</v>
      </c>
      <c r="BD330" s="122" t="s">
        <v>253</v>
      </c>
      <c r="BE330" s="122" t="s">
        <v>263</v>
      </c>
      <c r="BF330" s="122" t="s">
        <v>4688</v>
      </c>
      <c r="BH330" s="122" t="s">
        <v>4681</v>
      </c>
      <c r="BI330" s="142">
        <v>20</v>
      </c>
      <c r="BJ330" s="123">
        <v>42233</v>
      </c>
      <c r="BK330" s="139" t="s">
        <v>606</v>
      </c>
      <c r="BM330" s="122">
        <v>34</v>
      </c>
    </row>
    <row r="331" spans="1:66" x14ac:dyDescent="0.25">
      <c r="A331" s="122" t="s">
        <v>888</v>
      </c>
      <c r="B331" s="122" t="s">
        <v>4937</v>
      </c>
      <c r="C331" s="122" t="s">
        <v>4938</v>
      </c>
      <c r="D331" s="122" t="s">
        <v>4939</v>
      </c>
      <c r="E331" s="123">
        <v>42219</v>
      </c>
      <c r="F331" s="122" t="s">
        <v>367</v>
      </c>
      <c r="G331" s="122" t="s">
        <v>235</v>
      </c>
      <c r="H331" s="122" t="s">
        <v>4940</v>
      </c>
      <c r="I331" s="122" t="s">
        <v>4941</v>
      </c>
      <c r="K331" s="122" t="s">
        <v>238</v>
      </c>
      <c r="L331" s="122" t="s">
        <v>530</v>
      </c>
      <c r="M331" s="122" t="s">
        <v>4942</v>
      </c>
      <c r="O331" s="141" t="s">
        <v>780</v>
      </c>
      <c r="P331" s="141" t="s">
        <v>4943</v>
      </c>
      <c r="Q331" s="122" t="s">
        <v>243</v>
      </c>
      <c r="R331" s="142">
        <v>21</v>
      </c>
      <c r="S331" s="122" t="s">
        <v>4944</v>
      </c>
      <c r="U331" s="122" t="s">
        <v>4681</v>
      </c>
      <c r="W331" s="122" t="s">
        <v>246</v>
      </c>
      <c r="X331" s="122" t="s">
        <v>376</v>
      </c>
      <c r="Z331" s="122" t="s">
        <v>250</v>
      </c>
      <c r="AB331" s="122" t="s">
        <v>250</v>
      </c>
      <c r="AD331" s="122" t="s">
        <v>250</v>
      </c>
      <c r="AE331" s="122" t="s">
        <v>235</v>
      </c>
      <c r="AF331" s="122" t="s">
        <v>4945</v>
      </c>
      <c r="AG331" s="122" t="s">
        <v>537</v>
      </c>
      <c r="AH331" s="122" t="s">
        <v>253</v>
      </c>
      <c r="AI331" s="122" t="s">
        <v>4946</v>
      </c>
      <c r="AJ331" s="122" t="s">
        <v>4947</v>
      </c>
      <c r="AK331" s="122" t="s">
        <v>4948</v>
      </c>
      <c r="AL331" s="122" t="s">
        <v>253</v>
      </c>
      <c r="AM331" s="122" t="s">
        <v>253</v>
      </c>
      <c r="AN331" s="122" t="s">
        <v>253</v>
      </c>
      <c r="AO331" s="141" t="s">
        <v>253</v>
      </c>
      <c r="AP331" s="141" t="s">
        <v>253</v>
      </c>
      <c r="AQ331" s="141" t="s">
        <v>247</v>
      </c>
      <c r="AR331" s="141" t="s">
        <v>253</v>
      </c>
      <c r="AS331" s="141" t="s">
        <v>361</v>
      </c>
      <c r="AT331" s="141" t="s">
        <v>601</v>
      </c>
      <c r="AU331" s="141" t="s">
        <v>258</v>
      </c>
      <c r="AV331" s="122" t="s">
        <v>259</v>
      </c>
      <c r="AW331" s="122" t="s">
        <v>260</v>
      </c>
      <c r="AY331" s="141" t="s">
        <v>253</v>
      </c>
      <c r="AZ331" s="122" t="s">
        <v>4949</v>
      </c>
      <c r="BA331" s="122" t="s">
        <v>262</v>
      </c>
      <c r="BB331" s="122" t="s">
        <v>4949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21</v>
      </c>
      <c r="BK331" s="139" t="s">
        <v>1029</v>
      </c>
      <c r="BN331" s="122" t="s">
        <v>4950</v>
      </c>
    </row>
    <row r="332" spans="1:66" x14ac:dyDescent="0.25">
      <c r="A332" s="122" t="s">
        <v>888</v>
      </c>
      <c r="B332" s="122" t="s">
        <v>4951</v>
      </c>
      <c r="C332" s="122" t="s">
        <v>4952</v>
      </c>
      <c r="D332" s="122" t="s">
        <v>4953</v>
      </c>
      <c r="E332" s="123">
        <v>42219</v>
      </c>
      <c r="F332" s="122" t="s">
        <v>1258</v>
      </c>
      <c r="G332" s="122" t="s">
        <v>235</v>
      </c>
      <c r="H332" s="122" t="s">
        <v>4954</v>
      </c>
      <c r="I332" s="122" t="s">
        <v>4955</v>
      </c>
      <c r="J332" s="122" t="s">
        <v>1358</v>
      </c>
      <c r="K332" s="122" t="s">
        <v>238</v>
      </c>
      <c r="L332" s="122" t="s">
        <v>530</v>
      </c>
      <c r="M332" s="122" t="s">
        <v>4956</v>
      </c>
      <c r="O332" s="141" t="s">
        <v>451</v>
      </c>
      <c r="P332" s="141" t="s">
        <v>4957</v>
      </c>
      <c r="Q332" s="122" t="s">
        <v>243</v>
      </c>
      <c r="R332" s="142">
        <v>22</v>
      </c>
      <c r="S332" s="122" t="s">
        <v>4958</v>
      </c>
      <c r="U332" s="122" t="s">
        <v>4681</v>
      </c>
      <c r="W332" s="122" t="s">
        <v>246</v>
      </c>
      <c r="X332" s="122" t="s">
        <v>603</v>
      </c>
      <c r="Z332" s="122" t="s">
        <v>250</v>
      </c>
      <c r="AB332" s="122" t="s">
        <v>250</v>
      </c>
      <c r="AD332" s="122" t="s">
        <v>250</v>
      </c>
      <c r="AE332" s="122" t="s">
        <v>235</v>
      </c>
      <c r="AF332" s="122" t="s">
        <v>4959</v>
      </c>
      <c r="AG332" s="122" t="s">
        <v>253</v>
      </c>
      <c r="AH332" s="122" t="s">
        <v>253</v>
      </c>
      <c r="AI332" s="122" t="s">
        <v>4960</v>
      </c>
      <c r="AJ332" s="122" t="s">
        <v>4961</v>
      </c>
      <c r="AK332" s="122" t="s">
        <v>4962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247</v>
      </c>
      <c r="AR332" s="141" t="s">
        <v>247</v>
      </c>
      <c r="AS332" s="141" t="s">
        <v>601</v>
      </c>
      <c r="AT332" s="141" t="s">
        <v>601</v>
      </c>
      <c r="AU332" s="141" t="s">
        <v>601</v>
      </c>
      <c r="AV332" s="122" t="s">
        <v>259</v>
      </c>
      <c r="AW332" s="122" t="s">
        <v>260</v>
      </c>
      <c r="AY332" s="141" t="s">
        <v>253</v>
      </c>
      <c r="AZ332" s="122" t="s">
        <v>4963</v>
      </c>
      <c r="BA332" s="122" t="s">
        <v>262</v>
      </c>
      <c r="BB332" s="122" t="s">
        <v>262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22</v>
      </c>
      <c r="BJ332" s="123">
        <v>42233</v>
      </c>
      <c r="BK332" s="139" t="s">
        <v>606</v>
      </c>
      <c r="BM332" s="122">
        <v>34</v>
      </c>
    </row>
    <row r="333" spans="1:66" x14ac:dyDescent="0.25">
      <c r="A333" s="122" t="s">
        <v>888</v>
      </c>
      <c r="B333" s="122" t="s">
        <v>4964</v>
      </c>
      <c r="C333" s="122" t="s">
        <v>4965</v>
      </c>
      <c r="D333" s="122" t="s">
        <v>4966</v>
      </c>
      <c r="E333" s="123">
        <v>42219</v>
      </c>
      <c r="F333" s="122" t="s">
        <v>1398</v>
      </c>
      <c r="G333" s="122" t="s">
        <v>235</v>
      </c>
      <c r="H333" s="122" t="s">
        <v>4967</v>
      </c>
      <c r="I333" s="122" t="s">
        <v>4968</v>
      </c>
      <c r="K333" s="122" t="s">
        <v>238</v>
      </c>
      <c r="L333" s="122" t="s">
        <v>530</v>
      </c>
      <c r="M333" s="122" t="s">
        <v>4969</v>
      </c>
      <c r="O333" s="141" t="s">
        <v>2378</v>
      </c>
      <c r="P333" s="141" t="s">
        <v>4970</v>
      </c>
      <c r="Q333" s="122" t="s">
        <v>243</v>
      </c>
      <c r="R333" s="142">
        <v>23</v>
      </c>
      <c r="S333" s="122" t="s">
        <v>4971</v>
      </c>
      <c r="U333" s="122" t="s">
        <v>4681</v>
      </c>
      <c r="W333" s="122" t="s">
        <v>246</v>
      </c>
      <c r="X333" s="122" t="s">
        <v>1643</v>
      </c>
      <c r="Y333" s="141" t="s">
        <v>722</v>
      </c>
      <c r="Z333" s="122" t="s">
        <v>4972</v>
      </c>
      <c r="AA333" s="141" t="s">
        <v>819</v>
      </c>
      <c r="AB333" s="122" t="s">
        <v>4973</v>
      </c>
      <c r="AD333" s="122" t="s">
        <v>250</v>
      </c>
      <c r="AE333" s="122" t="s">
        <v>235</v>
      </c>
      <c r="AF333" s="122" t="s">
        <v>1148</v>
      </c>
      <c r="AG333" s="122" t="s">
        <v>537</v>
      </c>
      <c r="AH333" s="122" t="s">
        <v>253</v>
      </c>
      <c r="AI333" s="122" t="s">
        <v>4974</v>
      </c>
      <c r="AJ333" s="122" t="s">
        <v>4975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253</v>
      </c>
      <c r="AP333" s="141" t="s">
        <v>253</v>
      </c>
      <c r="AQ333" s="141" t="s">
        <v>247</v>
      </c>
      <c r="AR333" s="141" t="s">
        <v>253</v>
      </c>
      <c r="AS333" s="141" t="s">
        <v>361</v>
      </c>
      <c r="AT333" s="141" t="s">
        <v>601</v>
      </c>
      <c r="AU333" s="141" t="s">
        <v>258</v>
      </c>
      <c r="AV333" s="122" t="s">
        <v>259</v>
      </c>
      <c r="AW333" s="122" t="s">
        <v>260</v>
      </c>
      <c r="AY333" s="141" t="s">
        <v>253</v>
      </c>
      <c r="AZ333" s="122" t="s">
        <v>4976</v>
      </c>
      <c r="BA333" s="122" t="s">
        <v>262</v>
      </c>
      <c r="BB333" s="122" t="s">
        <v>262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23</v>
      </c>
      <c r="BJ333" s="123">
        <v>42221</v>
      </c>
      <c r="BK333" s="139" t="s">
        <v>264</v>
      </c>
      <c r="BL333" s="140">
        <v>90.73</v>
      </c>
      <c r="BM333" s="122">
        <v>32</v>
      </c>
    </row>
    <row r="334" spans="1:66" x14ac:dyDescent="0.25">
      <c r="A334" s="122" t="s">
        <v>888</v>
      </c>
      <c r="B334" s="122" t="s">
        <v>4977</v>
      </c>
      <c r="C334" s="122" t="s">
        <v>4978</v>
      </c>
      <c r="D334" s="122" t="s">
        <v>4979</v>
      </c>
      <c r="E334" s="123">
        <v>42219</v>
      </c>
      <c r="F334" s="122" t="s">
        <v>707</v>
      </c>
      <c r="G334" s="122" t="s">
        <v>235</v>
      </c>
      <c r="H334" s="122" t="s">
        <v>448</v>
      </c>
      <c r="I334" s="122" t="s">
        <v>4980</v>
      </c>
      <c r="J334" s="122" t="s">
        <v>4981</v>
      </c>
      <c r="K334" s="122" t="s">
        <v>238</v>
      </c>
      <c r="L334" s="122" t="s">
        <v>530</v>
      </c>
      <c r="M334" s="122" t="s">
        <v>4820</v>
      </c>
      <c r="O334" s="141" t="s">
        <v>566</v>
      </c>
      <c r="P334" s="141" t="s">
        <v>4982</v>
      </c>
      <c r="Q334" s="122" t="s">
        <v>243</v>
      </c>
      <c r="R334" s="142">
        <v>24</v>
      </c>
      <c r="S334" s="122" t="s">
        <v>4983</v>
      </c>
      <c r="T334" s="122" t="s">
        <v>4984</v>
      </c>
      <c r="U334" s="122" t="s">
        <v>4681</v>
      </c>
      <c r="W334" s="122" t="s">
        <v>246</v>
      </c>
      <c r="X334" s="122" t="s">
        <v>247</v>
      </c>
      <c r="Z334" s="122" t="s">
        <v>250</v>
      </c>
      <c r="AB334" s="122" t="s">
        <v>250</v>
      </c>
      <c r="AD334" s="122" t="s">
        <v>250</v>
      </c>
      <c r="AE334" s="122" t="s">
        <v>235</v>
      </c>
      <c r="AF334" s="122" t="s">
        <v>4985</v>
      </c>
      <c r="AG334" s="122" t="s">
        <v>253</v>
      </c>
      <c r="AH334" s="122" t="s">
        <v>253</v>
      </c>
      <c r="AI334" s="122" t="s">
        <v>4986</v>
      </c>
      <c r="AJ334" s="122" t="s">
        <v>2074</v>
      </c>
      <c r="AK334" s="122" t="s">
        <v>4987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253</v>
      </c>
      <c r="AQ334" s="141" t="s">
        <v>253</v>
      </c>
      <c r="AR334" s="141" t="s">
        <v>253</v>
      </c>
      <c r="AS334" s="141" t="s">
        <v>601</v>
      </c>
      <c r="AT334" s="141" t="s">
        <v>258</v>
      </c>
      <c r="AU334" s="141" t="s">
        <v>258</v>
      </c>
      <c r="AV334" s="122" t="s">
        <v>259</v>
      </c>
      <c r="AW334" s="122" t="s">
        <v>260</v>
      </c>
      <c r="AY334" s="141" t="s">
        <v>253</v>
      </c>
      <c r="AZ334" s="122" t="s">
        <v>262</v>
      </c>
      <c r="BA334" s="122" t="s">
        <v>262</v>
      </c>
      <c r="BB334" s="122" t="s">
        <v>4988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24</v>
      </c>
      <c r="BJ334" s="123">
        <v>42233</v>
      </c>
      <c r="BK334" s="139" t="s">
        <v>606</v>
      </c>
      <c r="BM334" s="122">
        <v>34</v>
      </c>
    </row>
    <row r="335" spans="1:66" x14ac:dyDescent="0.25">
      <c r="A335" s="122" t="s">
        <v>888</v>
      </c>
      <c r="B335" s="122" t="s">
        <v>4989</v>
      </c>
      <c r="C335" s="122" t="s">
        <v>4990</v>
      </c>
      <c r="D335" s="122" t="s">
        <v>4991</v>
      </c>
      <c r="E335" s="123">
        <v>42219</v>
      </c>
      <c r="F335" s="122" t="s">
        <v>3247</v>
      </c>
      <c r="G335" s="122" t="s">
        <v>235</v>
      </c>
      <c r="H335" s="122" t="s">
        <v>4992</v>
      </c>
      <c r="I335" s="122" t="s">
        <v>4993</v>
      </c>
      <c r="K335" s="122" t="s">
        <v>238</v>
      </c>
      <c r="L335" s="122" t="s">
        <v>530</v>
      </c>
      <c r="M335" s="122" t="s">
        <v>4994</v>
      </c>
      <c r="O335" s="141" t="s">
        <v>273</v>
      </c>
      <c r="P335" s="141" t="s">
        <v>4995</v>
      </c>
      <c r="Q335" s="122" t="s">
        <v>243</v>
      </c>
      <c r="R335" s="142">
        <v>25</v>
      </c>
      <c r="S335" s="122" t="s">
        <v>4996</v>
      </c>
      <c r="T335" s="122" t="s">
        <v>4997</v>
      </c>
      <c r="U335" s="122" t="s">
        <v>4681</v>
      </c>
      <c r="W335" s="122" t="s">
        <v>246</v>
      </c>
      <c r="X335" s="122" t="s">
        <v>376</v>
      </c>
      <c r="Y335" s="141" t="s">
        <v>1440</v>
      </c>
      <c r="Z335" s="122" t="s">
        <v>4998</v>
      </c>
      <c r="AA335" s="141" t="s">
        <v>3520</v>
      </c>
      <c r="AB335" s="122" t="s">
        <v>395</v>
      </c>
      <c r="AC335" s="141" t="s">
        <v>1258</v>
      </c>
      <c r="AD335" s="122" t="s">
        <v>4300</v>
      </c>
      <c r="AE335" s="122" t="s">
        <v>235</v>
      </c>
      <c r="AF335" s="122" t="s">
        <v>4999</v>
      </c>
      <c r="AG335" s="122" t="s">
        <v>5000</v>
      </c>
      <c r="AH335" s="122" t="s">
        <v>253</v>
      </c>
      <c r="AI335" s="122" t="s">
        <v>5001</v>
      </c>
      <c r="AJ335" s="122" t="s">
        <v>5002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253</v>
      </c>
      <c r="AS335" s="141" t="s">
        <v>601</v>
      </c>
      <c r="AT335" s="141" t="s">
        <v>601</v>
      </c>
      <c r="AU335" s="141" t="s">
        <v>258</v>
      </c>
      <c r="AV335" s="122" t="s">
        <v>259</v>
      </c>
      <c r="AW335" s="122" t="s">
        <v>260</v>
      </c>
      <c r="AX335" s="141" t="s">
        <v>5003</v>
      </c>
      <c r="AY335" s="141" t="s">
        <v>247</v>
      </c>
      <c r="AZ335" s="122" t="s">
        <v>5004</v>
      </c>
      <c r="BA335" s="122" t="s">
        <v>262</v>
      </c>
      <c r="BB335" s="122" t="s">
        <v>262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25</v>
      </c>
      <c r="BJ335" s="123">
        <v>42233</v>
      </c>
      <c r="BK335" s="139" t="s">
        <v>606</v>
      </c>
      <c r="BM335" s="122">
        <v>34</v>
      </c>
    </row>
    <row r="336" spans="1:66" x14ac:dyDescent="0.25">
      <c r="A336" s="122" t="s">
        <v>888</v>
      </c>
      <c r="B336" s="122" t="s">
        <v>5005</v>
      </c>
      <c r="C336" s="122" t="s">
        <v>5006</v>
      </c>
      <c r="D336" s="122" t="s">
        <v>5007</v>
      </c>
      <c r="E336" s="123">
        <v>42219</v>
      </c>
      <c r="F336" s="122" t="s">
        <v>3590</v>
      </c>
      <c r="G336" s="122" t="s">
        <v>235</v>
      </c>
      <c r="H336" s="122" t="s">
        <v>448</v>
      </c>
      <c r="I336" s="122" t="s">
        <v>5008</v>
      </c>
      <c r="K336" s="122" t="s">
        <v>238</v>
      </c>
      <c r="L336" s="122" t="s">
        <v>530</v>
      </c>
      <c r="M336" s="122" t="s">
        <v>5009</v>
      </c>
      <c r="O336" s="141" t="s">
        <v>566</v>
      </c>
      <c r="P336" s="141" t="s">
        <v>5010</v>
      </c>
      <c r="Q336" s="122" t="s">
        <v>243</v>
      </c>
      <c r="R336" s="142">
        <v>26</v>
      </c>
      <c r="S336" s="122" t="s">
        <v>5011</v>
      </c>
      <c r="U336" s="122" t="s">
        <v>4681</v>
      </c>
      <c r="W336" s="122" t="s">
        <v>246</v>
      </c>
      <c r="X336" s="122" t="s">
        <v>302</v>
      </c>
      <c r="Y336" s="141" t="s">
        <v>685</v>
      </c>
      <c r="Z336" s="122" t="s">
        <v>5012</v>
      </c>
      <c r="AA336" s="141" t="s">
        <v>304</v>
      </c>
      <c r="AB336" s="122" t="s">
        <v>5013</v>
      </c>
      <c r="AC336" s="141" t="s">
        <v>1423</v>
      </c>
      <c r="AD336" s="122" t="s">
        <v>5014</v>
      </c>
      <c r="AE336" s="122" t="s">
        <v>235</v>
      </c>
      <c r="AF336" s="122" t="s">
        <v>5015</v>
      </c>
      <c r="AG336" s="122" t="s">
        <v>537</v>
      </c>
      <c r="AH336" s="122" t="s">
        <v>253</v>
      </c>
      <c r="AI336" s="122" t="s">
        <v>5016</v>
      </c>
      <c r="AJ336" s="122" t="s">
        <v>5017</v>
      </c>
      <c r="AK336" s="122" t="s">
        <v>253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247</v>
      </c>
      <c r="AS336" s="141" t="s">
        <v>601</v>
      </c>
      <c r="AT336" s="141" t="s">
        <v>601</v>
      </c>
      <c r="AU336" s="141" t="s">
        <v>257</v>
      </c>
      <c r="AV336" s="122" t="s">
        <v>259</v>
      </c>
      <c r="AW336" s="122" t="s">
        <v>260</v>
      </c>
      <c r="AX336" s="141" t="s">
        <v>5018</v>
      </c>
      <c r="AY336" s="141" t="s">
        <v>247</v>
      </c>
      <c r="AZ336" s="122" t="s">
        <v>262</v>
      </c>
      <c r="BA336" s="122" t="s">
        <v>262</v>
      </c>
      <c r="BB336" s="122" t="s">
        <v>5019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26</v>
      </c>
      <c r="BJ336" s="123">
        <v>42229</v>
      </c>
      <c r="BK336" s="139" t="s">
        <v>264</v>
      </c>
      <c r="BL336" s="140">
        <v>538.99</v>
      </c>
      <c r="BM336" s="122">
        <v>33</v>
      </c>
    </row>
    <row r="337" spans="1:66" x14ac:dyDescent="0.25">
      <c r="A337" s="122" t="s">
        <v>888</v>
      </c>
      <c r="B337" s="122" t="s">
        <v>5020</v>
      </c>
      <c r="C337" s="122" t="s">
        <v>5021</v>
      </c>
      <c r="D337" s="122" t="s">
        <v>5022</v>
      </c>
      <c r="E337" s="123">
        <v>42219</v>
      </c>
      <c r="F337" s="122" t="s">
        <v>921</v>
      </c>
      <c r="G337" s="122" t="s">
        <v>235</v>
      </c>
      <c r="H337" s="122" t="s">
        <v>5023</v>
      </c>
      <c r="I337" s="122" t="s">
        <v>5024</v>
      </c>
      <c r="K337" s="122" t="s">
        <v>238</v>
      </c>
      <c r="L337" s="122" t="s">
        <v>371</v>
      </c>
      <c r="M337" s="122" t="s">
        <v>4677</v>
      </c>
      <c r="O337" s="141" t="s">
        <v>5025</v>
      </c>
      <c r="P337" s="141" t="s">
        <v>5026</v>
      </c>
      <c r="Q337" s="122" t="s">
        <v>243</v>
      </c>
      <c r="R337" s="142">
        <v>27</v>
      </c>
      <c r="S337" s="122" t="s">
        <v>5027</v>
      </c>
      <c r="U337" s="122" t="s">
        <v>4681</v>
      </c>
      <c r="W337" s="122" t="s">
        <v>246</v>
      </c>
      <c r="X337" s="122" t="s">
        <v>1643</v>
      </c>
      <c r="Y337" s="141" t="s">
        <v>3039</v>
      </c>
      <c r="Z337" s="122" t="s">
        <v>5028</v>
      </c>
      <c r="AA337" s="141" t="s">
        <v>234</v>
      </c>
      <c r="AB337" s="122" t="s">
        <v>5029</v>
      </c>
      <c r="AC337" s="141" t="s">
        <v>3863</v>
      </c>
      <c r="AD337" s="122" t="s">
        <v>5030</v>
      </c>
      <c r="AE337" s="122" t="s">
        <v>235</v>
      </c>
      <c r="AF337" s="122" t="s">
        <v>5031</v>
      </c>
      <c r="AG337" s="122" t="s">
        <v>537</v>
      </c>
      <c r="AH337" s="122" t="s">
        <v>253</v>
      </c>
      <c r="AI337" s="122" t="s">
        <v>5032</v>
      </c>
      <c r="AJ337" s="122" t="s">
        <v>5033</v>
      </c>
      <c r="AK337" s="122" t="s">
        <v>253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247</v>
      </c>
      <c r="AQ337" s="141" t="s">
        <v>247</v>
      </c>
      <c r="AR337" s="141" t="s">
        <v>253</v>
      </c>
      <c r="AS337" s="141" t="s">
        <v>601</v>
      </c>
      <c r="AT337" s="141" t="s">
        <v>601</v>
      </c>
      <c r="AU337" s="141" t="s">
        <v>258</v>
      </c>
      <c r="AV337" s="122" t="s">
        <v>259</v>
      </c>
      <c r="AW337" s="122" t="s">
        <v>260</v>
      </c>
      <c r="AY337" s="141" t="s">
        <v>253</v>
      </c>
      <c r="AZ337" s="122" t="s">
        <v>5034</v>
      </c>
      <c r="BA337" s="122" t="s">
        <v>262</v>
      </c>
      <c r="BB337" s="122" t="s">
        <v>5035</v>
      </c>
      <c r="BC337" s="141" t="s">
        <v>312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27</v>
      </c>
      <c r="BJ337" s="123">
        <v>42231</v>
      </c>
      <c r="BK337" s="139" t="s">
        <v>606</v>
      </c>
      <c r="BM337" s="122">
        <v>33</v>
      </c>
    </row>
    <row r="338" spans="1:66" x14ac:dyDescent="0.25">
      <c r="A338" s="122" t="s">
        <v>888</v>
      </c>
      <c r="B338" s="122" t="s">
        <v>5036</v>
      </c>
      <c r="C338" s="122" t="s">
        <v>5037</v>
      </c>
      <c r="D338" s="122" t="s">
        <v>5038</v>
      </c>
      <c r="E338" s="123">
        <v>42219</v>
      </c>
      <c r="F338" s="122" t="s">
        <v>3720</v>
      </c>
      <c r="G338" s="122" t="s">
        <v>235</v>
      </c>
      <c r="H338" s="122" t="s">
        <v>5039</v>
      </c>
      <c r="I338" s="122" t="s">
        <v>5040</v>
      </c>
      <c r="K338" s="122" t="s">
        <v>238</v>
      </c>
      <c r="L338" s="122" t="s">
        <v>371</v>
      </c>
      <c r="M338" s="122" t="s">
        <v>5041</v>
      </c>
      <c r="N338" s="122" t="s">
        <v>5042</v>
      </c>
      <c r="O338" s="141" t="s">
        <v>1240</v>
      </c>
      <c r="P338" s="141" t="s">
        <v>5043</v>
      </c>
      <c r="Q338" s="122" t="s">
        <v>243</v>
      </c>
      <c r="R338" s="142">
        <v>28</v>
      </c>
      <c r="S338" s="122" t="s">
        <v>5044</v>
      </c>
      <c r="U338" s="122" t="s">
        <v>4681</v>
      </c>
      <c r="W338" s="122" t="s">
        <v>246</v>
      </c>
      <c r="X338" s="122" t="s">
        <v>739</v>
      </c>
      <c r="Y338" s="141" t="s">
        <v>2717</v>
      </c>
      <c r="Z338" s="122" t="s">
        <v>355</v>
      </c>
      <c r="AA338" s="141" t="s">
        <v>500</v>
      </c>
      <c r="AB338" s="122" t="s">
        <v>1746</v>
      </c>
      <c r="AC338" s="141" t="s">
        <v>4768</v>
      </c>
      <c r="AD338" s="122" t="s">
        <v>5045</v>
      </c>
      <c r="AE338" s="122" t="s">
        <v>235</v>
      </c>
      <c r="AF338" s="122" t="s">
        <v>5046</v>
      </c>
      <c r="AG338" s="122" t="s">
        <v>537</v>
      </c>
      <c r="AH338" s="122" t="s">
        <v>253</v>
      </c>
      <c r="AI338" s="122" t="s">
        <v>5047</v>
      </c>
      <c r="AJ338" s="122" t="s">
        <v>5048</v>
      </c>
      <c r="AK338" s="122" t="s">
        <v>253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247</v>
      </c>
      <c r="AQ338" s="141" t="s">
        <v>247</v>
      </c>
      <c r="AR338" s="141" t="s">
        <v>247</v>
      </c>
      <c r="AS338" s="141" t="s">
        <v>601</v>
      </c>
      <c r="AT338" s="141" t="s">
        <v>601</v>
      </c>
      <c r="AU338" s="141" t="s">
        <v>601</v>
      </c>
      <c r="AV338" s="122" t="s">
        <v>259</v>
      </c>
      <c r="AW338" s="122" t="s">
        <v>260</v>
      </c>
      <c r="AY338" s="141" t="s">
        <v>253</v>
      </c>
      <c r="AZ338" s="122" t="s">
        <v>5049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28</v>
      </c>
      <c r="BJ338" s="123">
        <v>42231</v>
      </c>
      <c r="BK338" s="139" t="s">
        <v>606</v>
      </c>
      <c r="BM338" s="122">
        <v>33</v>
      </c>
    </row>
    <row r="339" spans="1:66" x14ac:dyDescent="0.25">
      <c r="A339" s="122" t="s">
        <v>888</v>
      </c>
      <c r="B339" s="122" t="s">
        <v>5050</v>
      </c>
      <c r="C339" s="122" t="s">
        <v>5051</v>
      </c>
      <c r="D339" s="122" t="s">
        <v>5052</v>
      </c>
      <c r="E339" s="123">
        <v>42219</v>
      </c>
      <c r="F339" s="122" t="s">
        <v>5053</v>
      </c>
      <c r="G339" s="122" t="s">
        <v>235</v>
      </c>
      <c r="H339" s="122" t="s">
        <v>5054</v>
      </c>
      <c r="I339" s="122" t="s">
        <v>5055</v>
      </c>
      <c r="K339" s="122" t="s">
        <v>238</v>
      </c>
      <c r="L339" s="122" t="s">
        <v>371</v>
      </c>
      <c r="M339" s="122" t="s">
        <v>5056</v>
      </c>
      <c r="O339" s="141" t="s">
        <v>850</v>
      </c>
      <c r="P339" s="141" t="s">
        <v>5057</v>
      </c>
      <c r="Q339" s="122" t="s">
        <v>243</v>
      </c>
      <c r="R339" s="142">
        <v>29</v>
      </c>
      <c r="S339" s="122" t="s">
        <v>5058</v>
      </c>
      <c r="U339" s="122" t="s">
        <v>4681</v>
      </c>
      <c r="W339" s="122" t="s">
        <v>246</v>
      </c>
      <c r="X339" s="122" t="s">
        <v>603</v>
      </c>
      <c r="Y339" s="141" t="s">
        <v>1612</v>
      </c>
      <c r="Z339" s="122" t="s">
        <v>706</v>
      </c>
      <c r="AA339" s="141" t="s">
        <v>330</v>
      </c>
      <c r="AB339" s="122" t="s">
        <v>706</v>
      </c>
      <c r="AC339" s="141" t="s">
        <v>1179</v>
      </c>
      <c r="AD339" s="122" t="s">
        <v>706</v>
      </c>
      <c r="AE339" s="122" t="s">
        <v>235</v>
      </c>
      <c r="AF339" s="122" t="s">
        <v>5059</v>
      </c>
      <c r="AG339" s="122" t="s">
        <v>253</v>
      </c>
      <c r="AH339" s="122" t="s">
        <v>253</v>
      </c>
      <c r="AI339" s="122" t="s">
        <v>3811</v>
      </c>
      <c r="AJ339" s="122" t="s">
        <v>3812</v>
      </c>
      <c r="AK339" s="122" t="s">
        <v>710</v>
      </c>
      <c r="AL339" s="122" t="s">
        <v>253</v>
      </c>
      <c r="AM339" s="122" t="s">
        <v>253</v>
      </c>
      <c r="AN339" s="122" t="s">
        <v>253</v>
      </c>
      <c r="AO339" s="141" t="s">
        <v>253</v>
      </c>
      <c r="AP339" s="141" t="s">
        <v>253</v>
      </c>
      <c r="AQ339" s="141" t="s">
        <v>247</v>
      </c>
      <c r="AR339" s="141" t="s">
        <v>253</v>
      </c>
      <c r="AS339" s="141" t="s">
        <v>361</v>
      </c>
      <c r="AT339" s="141" t="s">
        <v>601</v>
      </c>
      <c r="AU339" s="141" t="s">
        <v>258</v>
      </c>
      <c r="AV339" s="122" t="s">
        <v>259</v>
      </c>
      <c r="AW339" s="122" t="s">
        <v>260</v>
      </c>
      <c r="AY339" s="141" t="s">
        <v>253</v>
      </c>
      <c r="AZ339" s="122" t="s">
        <v>5060</v>
      </c>
      <c r="BA339" s="122" t="s">
        <v>262</v>
      </c>
      <c r="BB339" s="122" t="s">
        <v>262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29</v>
      </c>
      <c r="BK339" s="139" t="s">
        <v>1029</v>
      </c>
      <c r="BN339" s="122" t="s">
        <v>5061</v>
      </c>
    </row>
    <row r="340" spans="1:66" x14ac:dyDescent="0.25">
      <c r="A340" s="122" t="s">
        <v>888</v>
      </c>
      <c r="B340" s="122" t="s">
        <v>5062</v>
      </c>
      <c r="C340" s="122" t="s">
        <v>5063</v>
      </c>
      <c r="D340" s="122" t="s">
        <v>5064</v>
      </c>
      <c r="E340" s="123">
        <v>42219</v>
      </c>
      <c r="F340" s="122" t="s">
        <v>3247</v>
      </c>
      <c r="G340" s="122" t="s">
        <v>235</v>
      </c>
      <c r="H340" s="122" t="s">
        <v>5065</v>
      </c>
      <c r="I340" s="122" t="s">
        <v>5066</v>
      </c>
      <c r="K340" s="122" t="s">
        <v>238</v>
      </c>
      <c r="L340" s="122" t="s">
        <v>530</v>
      </c>
      <c r="M340" s="122" t="s">
        <v>4994</v>
      </c>
      <c r="O340" s="141" t="s">
        <v>273</v>
      </c>
      <c r="P340" s="141" t="s">
        <v>5067</v>
      </c>
      <c r="Q340" s="122" t="s">
        <v>243</v>
      </c>
      <c r="R340" s="142">
        <v>30</v>
      </c>
      <c r="S340" s="122" t="s">
        <v>5068</v>
      </c>
      <c r="U340" s="122" t="s">
        <v>4681</v>
      </c>
      <c r="W340" s="122" t="s">
        <v>246</v>
      </c>
      <c r="X340" s="122" t="s">
        <v>454</v>
      </c>
      <c r="Y340" s="141" t="s">
        <v>888</v>
      </c>
      <c r="Z340" s="122" t="s">
        <v>1545</v>
      </c>
      <c r="AA340" s="141" t="s">
        <v>535</v>
      </c>
      <c r="AB340" s="122" t="s">
        <v>5069</v>
      </c>
      <c r="AC340" s="141" t="s">
        <v>356</v>
      </c>
      <c r="AD340" s="122" t="s">
        <v>5070</v>
      </c>
      <c r="AE340" s="122" t="s">
        <v>235</v>
      </c>
      <c r="AF340" s="122" t="s">
        <v>5071</v>
      </c>
      <c r="AG340" s="122" t="s">
        <v>537</v>
      </c>
      <c r="AH340" s="122" t="s">
        <v>253</v>
      </c>
      <c r="AI340" s="122" t="s">
        <v>5072</v>
      </c>
      <c r="AJ340" s="122" t="s">
        <v>5073</v>
      </c>
      <c r="AK340" s="122" t="s">
        <v>253</v>
      </c>
      <c r="AL340" s="122" t="s">
        <v>253</v>
      </c>
      <c r="AM340" s="122" t="s">
        <v>253</v>
      </c>
      <c r="AN340" s="122" t="s">
        <v>253</v>
      </c>
      <c r="AO340" s="141" t="s">
        <v>247</v>
      </c>
      <c r="AP340" s="141" t="s">
        <v>247</v>
      </c>
      <c r="AQ340" s="141" t="s">
        <v>247</v>
      </c>
      <c r="AR340" s="141" t="s">
        <v>253</v>
      </c>
      <c r="AS340" s="141" t="s">
        <v>601</v>
      </c>
      <c r="AT340" s="141" t="s">
        <v>601</v>
      </c>
      <c r="AU340" s="141" t="s">
        <v>258</v>
      </c>
      <c r="AV340" s="122" t="s">
        <v>259</v>
      </c>
      <c r="AW340" s="122" t="s">
        <v>260</v>
      </c>
      <c r="AX340" s="141" t="s">
        <v>5074</v>
      </c>
      <c r="AY340" s="141" t="s">
        <v>603</v>
      </c>
      <c r="AZ340" s="122" t="s">
        <v>5075</v>
      </c>
      <c r="BA340" s="122" t="s">
        <v>5076</v>
      </c>
      <c r="BB340" s="122" t="s">
        <v>5075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30</v>
      </c>
      <c r="BJ340" s="123">
        <v>42233</v>
      </c>
      <c r="BK340" s="139" t="s">
        <v>606</v>
      </c>
      <c r="BM340" s="122">
        <v>34</v>
      </c>
    </row>
    <row r="341" spans="1:66" x14ac:dyDescent="0.25">
      <c r="A341" s="122" t="s">
        <v>888</v>
      </c>
      <c r="B341" s="122" t="s">
        <v>5077</v>
      </c>
      <c r="C341" s="122" t="s">
        <v>5078</v>
      </c>
      <c r="D341" s="122" t="s">
        <v>5079</v>
      </c>
      <c r="E341" s="123">
        <v>42219</v>
      </c>
      <c r="F341" s="122" t="s">
        <v>1738</v>
      </c>
      <c r="G341" s="122" t="s">
        <v>235</v>
      </c>
      <c r="H341" s="122" t="s">
        <v>5080</v>
      </c>
      <c r="I341" s="122" t="s">
        <v>5081</v>
      </c>
      <c r="K341" s="122" t="s">
        <v>238</v>
      </c>
      <c r="L341" s="122" t="s">
        <v>530</v>
      </c>
      <c r="M341" s="122" t="s">
        <v>2913</v>
      </c>
      <c r="O341" s="141" t="s">
        <v>273</v>
      </c>
      <c r="P341" s="141" t="s">
        <v>5082</v>
      </c>
      <c r="Q341" s="122" t="s">
        <v>243</v>
      </c>
      <c r="R341" s="142">
        <v>31</v>
      </c>
      <c r="S341" s="122" t="s">
        <v>5083</v>
      </c>
      <c r="U341" s="122" t="s">
        <v>4681</v>
      </c>
      <c r="W341" s="122" t="s">
        <v>246</v>
      </c>
      <c r="X341" s="122" t="s">
        <v>631</v>
      </c>
      <c r="Y341" s="141" t="s">
        <v>1440</v>
      </c>
      <c r="Z341" s="122" t="s">
        <v>5084</v>
      </c>
      <c r="AA341" s="141" t="s">
        <v>500</v>
      </c>
      <c r="AB341" s="122" t="s">
        <v>5085</v>
      </c>
      <c r="AC341" s="141" t="s">
        <v>1896</v>
      </c>
      <c r="AD341" s="122" t="s">
        <v>800</v>
      </c>
      <c r="AE341" s="122" t="s">
        <v>235</v>
      </c>
      <c r="AF341" s="122" t="s">
        <v>5086</v>
      </c>
      <c r="AG341" s="122" t="s">
        <v>747</v>
      </c>
      <c r="AH341" s="122" t="s">
        <v>253</v>
      </c>
      <c r="AI341" s="122" t="s">
        <v>5087</v>
      </c>
      <c r="AJ341" s="122" t="s">
        <v>5088</v>
      </c>
      <c r="AK341" s="122" t="s">
        <v>253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247</v>
      </c>
      <c r="AQ341" s="141" t="s">
        <v>247</v>
      </c>
      <c r="AR341" s="141" t="s">
        <v>253</v>
      </c>
      <c r="AS341" s="141" t="s">
        <v>601</v>
      </c>
      <c r="AT341" s="141" t="s">
        <v>601</v>
      </c>
      <c r="AU341" s="141" t="s">
        <v>258</v>
      </c>
      <c r="AV341" s="122" t="s">
        <v>259</v>
      </c>
      <c r="AW341" s="122" t="s">
        <v>260</v>
      </c>
      <c r="AX341" s="141" t="s">
        <v>4015</v>
      </c>
      <c r="AY341" s="141" t="s">
        <v>247</v>
      </c>
      <c r="AZ341" s="122" t="s">
        <v>5089</v>
      </c>
      <c r="BA341" s="122" t="s">
        <v>262</v>
      </c>
      <c r="BB341" s="122" t="s">
        <v>5090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31</v>
      </c>
      <c r="BJ341" s="123">
        <v>42233</v>
      </c>
      <c r="BK341" s="139" t="s">
        <v>606</v>
      </c>
      <c r="BM341" s="122">
        <v>34</v>
      </c>
    </row>
    <row r="342" spans="1:66" x14ac:dyDescent="0.25">
      <c r="A342" s="122" t="s">
        <v>888</v>
      </c>
      <c r="B342" s="122" t="s">
        <v>5091</v>
      </c>
      <c r="C342" s="122" t="s">
        <v>5092</v>
      </c>
      <c r="D342" s="122" t="s">
        <v>5093</v>
      </c>
      <c r="E342" s="123">
        <v>42219</v>
      </c>
      <c r="F342" s="122" t="s">
        <v>1820</v>
      </c>
      <c r="G342" s="122" t="s">
        <v>235</v>
      </c>
      <c r="H342" s="122" t="s">
        <v>5094</v>
      </c>
      <c r="I342" s="122" t="s">
        <v>5095</v>
      </c>
      <c r="K342" s="122" t="s">
        <v>238</v>
      </c>
      <c r="L342" s="122" t="s">
        <v>530</v>
      </c>
      <c r="M342" s="122" t="s">
        <v>4708</v>
      </c>
      <c r="O342" s="141" t="s">
        <v>373</v>
      </c>
      <c r="P342" s="141" t="s">
        <v>5096</v>
      </c>
      <c r="Q342" s="122" t="s">
        <v>243</v>
      </c>
      <c r="R342" s="142">
        <v>32</v>
      </c>
      <c r="S342" s="122" t="s">
        <v>5097</v>
      </c>
      <c r="U342" s="122" t="s">
        <v>4681</v>
      </c>
      <c r="W342" s="122" t="s">
        <v>246</v>
      </c>
      <c r="X342" s="122" t="s">
        <v>739</v>
      </c>
      <c r="Y342" s="141" t="s">
        <v>2072</v>
      </c>
      <c r="Z342" s="122" t="s">
        <v>5098</v>
      </c>
      <c r="AA342" s="141" t="s">
        <v>763</v>
      </c>
      <c r="AB342" s="122" t="s">
        <v>1746</v>
      </c>
      <c r="AC342" s="141" t="s">
        <v>2250</v>
      </c>
      <c r="AD342" s="122" t="s">
        <v>2362</v>
      </c>
      <c r="AE342" s="122" t="s">
        <v>235</v>
      </c>
      <c r="AF342" s="122" t="s">
        <v>5099</v>
      </c>
      <c r="AG342" s="122" t="s">
        <v>537</v>
      </c>
      <c r="AH342" s="122" t="s">
        <v>253</v>
      </c>
      <c r="AI342" s="122" t="s">
        <v>5100</v>
      </c>
      <c r="AJ342" s="122" t="s">
        <v>5101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253</v>
      </c>
      <c r="AP342" s="141" t="s">
        <v>253</v>
      </c>
      <c r="AQ342" s="141" t="s">
        <v>247</v>
      </c>
      <c r="AR342" s="141" t="s">
        <v>253</v>
      </c>
      <c r="AS342" s="141" t="s">
        <v>361</v>
      </c>
      <c r="AT342" s="141" t="s">
        <v>601</v>
      </c>
      <c r="AU342" s="141" t="s">
        <v>258</v>
      </c>
      <c r="AV342" s="122" t="s">
        <v>259</v>
      </c>
      <c r="AW342" s="122" t="s">
        <v>260</v>
      </c>
      <c r="AY342" s="141" t="s">
        <v>253</v>
      </c>
      <c r="AZ342" s="122" t="s">
        <v>5102</v>
      </c>
      <c r="BA342" s="122" t="s">
        <v>262</v>
      </c>
      <c r="BB342" s="122" t="s">
        <v>5103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32</v>
      </c>
      <c r="BJ342" s="123">
        <v>42233</v>
      </c>
      <c r="BK342" s="139" t="s">
        <v>606</v>
      </c>
      <c r="BM342" s="122">
        <v>34</v>
      </c>
    </row>
    <row r="343" spans="1:66" x14ac:dyDescent="0.25">
      <c r="A343" s="122" t="s">
        <v>888</v>
      </c>
      <c r="B343" s="122" t="s">
        <v>5104</v>
      </c>
      <c r="C343" s="122" t="s">
        <v>5105</v>
      </c>
      <c r="D343" s="122" t="s">
        <v>5106</v>
      </c>
      <c r="E343" s="123">
        <v>42219</v>
      </c>
      <c r="F343" s="122" t="s">
        <v>1762</v>
      </c>
      <c r="G343" s="122" t="s">
        <v>235</v>
      </c>
      <c r="H343" s="122" t="s">
        <v>5107</v>
      </c>
      <c r="I343" s="122" t="s">
        <v>5108</v>
      </c>
      <c r="J343" s="122" t="s">
        <v>2220</v>
      </c>
      <c r="K343" s="122" t="s">
        <v>238</v>
      </c>
      <c r="L343" s="122" t="s">
        <v>371</v>
      </c>
      <c r="M343" s="122" t="s">
        <v>4763</v>
      </c>
      <c r="O343" s="141" t="s">
        <v>566</v>
      </c>
      <c r="P343" s="141" t="s">
        <v>5109</v>
      </c>
      <c r="Q343" s="122" t="s">
        <v>243</v>
      </c>
      <c r="R343" s="142">
        <v>33</v>
      </c>
      <c r="S343" s="122" t="s">
        <v>5110</v>
      </c>
      <c r="U343" s="122" t="s">
        <v>4681</v>
      </c>
      <c r="W343" s="122" t="s">
        <v>246</v>
      </c>
      <c r="X343" s="122" t="s">
        <v>569</v>
      </c>
      <c r="Y343" s="141" t="s">
        <v>535</v>
      </c>
      <c r="Z343" s="122" t="s">
        <v>355</v>
      </c>
      <c r="AA343" s="141" t="s">
        <v>304</v>
      </c>
      <c r="AB343" s="122" t="s">
        <v>5111</v>
      </c>
      <c r="AD343" s="122" t="s">
        <v>250</v>
      </c>
      <c r="AE343" s="122" t="s">
        <v>235</v>
      </c>
      <c r="AF343" s="122" t="s">
        <v>5112</v>
      </c>
      <c r="AG343" s="122" t="s">
        <v>253</v>
      </c>
      <c r="AH343" s="122" t="s">
        <v>253</v>
      </c>
      <c r="AI343" s="122" t="s">
        <v>5113</v>
      </c>
      <c r="AJ343" s="122" t="s">
        <v>5114</v>
      </c>
      <c r="AK343" s="122" t="s">
        <v>5115</v>
      </c>
      <c r="AL343" s="122" t="s">
        <v>253</v>
      </c>
      <c r="AM343" s="122" t="s">
        <v>253</v>
      </c>
      <c r="AN343" s="122" t="s">
        <v>253</v>
      </c>
      <c r="AO343" s="141" t="s">
        <v>247</v>
      </c>
      <c r="AP343" s="141" t="s">
        <v>247</v>
      </c>
      <c r="AQ343" s="141" t="s">
        <v>247</v>
      </c>
      <c r="AR343" s="141" t="s">
        <v>253</v>
      </c>
      <c r="AS343" s="141" t="s">
        <v>601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X343" s="141" t="s">
        <v>711</v>
      </c>
      <c r="AY343" s="141" t="s">
        <v>247</v>
      </c>
      <c r="AZ343" s="122" t="s">
        <v>5116</v>
      </c>
      <c r="BA343" s="122" t="s">
        <v>262</v>
      </c>
      <c r="BB343" s="122" t="s">
        <v>262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33</v>
      </c>
      <c r="BJ343" s="123">
        <v>42229</v>
      </c>
      <c r="BK343" s="139" t="s">
        <v>264</v>
      </c>
      <c r="BL343" s="140">
        <v>428.42</v>
      </c>
      <c r="BM343" s="122">
        <v>33</v>
      </c>
    </row>
    <row r="344" spans="1:66" x14ac:dyDescent="0.25">
      <c r="A344" s="122" t="s">
        <v>888</v>
      </c>
      <c r="B344" s="122" t="s">
        <v>5117</v>
      </c>
      <c r="C344" s="122" t="s">
        <v>5118</v>
      </c>
      <c r="D344" s="122" t="s">
        <v>5119</v>
      </c>
      <c r="E344" s="123">
        <v>42219</v>
      </c>
      <c r="F344" s="122" t="s">
        <v>687</v>
      </c>
      <c r="G344" s="122" t="s">
        <v>235</v>
      </c>
      <c r="H344" s="122" t="s">
        <v>448</v>
      </c>
      <c r="I344" s="122" t="s">
        <v>5120</v>
      </c>
      <c r="J344" s="122" t="s">
        <v>5121</v>
      </c>
      <c r="K344" s="122" t="s">
        <v>238</v>
      </c>
      <c r="L344" s="122" t="s">
        <v>530</v>
      </c>
      <c r="M344" s="122" t="s">
        <v>4780</v>
      </c>
      <c r="O344" s="141" t="s">
        <v>566</v>
      </c>
      <c r="P344" s="141" t="s">
        <v>5122</v>
      </c>
      <c r="Q344" s="122" t="s">
        <v>243</v>
      </c>
      <c r="R344" s="142">
        <v>34</v>
      </c>
      <c r="S344" s="122" t="s">
        <v>5123</v>
      </c>
      <c r="U344" s="122" t="s">
        <v>4681</v>
      </c>
      <c r="W344" s="122" t="s">
        <v>246</v>
      </c>
      <c r="X344" s="122" t="s">
        <v>739</v>
      </c>
      <c r="Y344" s="141" t="s">
        <v>498</v>
      </c>
      <c r="Z344" s="122" t="s">
        <v>5124</v>
      </c>
      <c r="AA344" s="141" t="s">
        <v>670</v>
      </c>
      <c r="AB344" s="122" t="s">
        <v>5124</v>
      </c>
      <c r="AC344" s="141" t="s">
        <v>920</v>
      </c>
      <c r="AD344" s="122" t="s">
        <v>5124</v>
      </c>
      <c r="AE344" s="122" t="s">
        <v>235</v>
      </c>
      <c r="AF344" s="122" t="s">
        <v>5125</v>
      </c>
      <c r="AG344" s="122" t="s">
        <v>537</v>
      </c>
      <c r="AH344" s="122" t="s">
        <v>253</v>
      </c>
      <c r="AI344" s="122" t="s">
        <v>5126</v>
      </c>
      <c r="AJ344" s="122" t="s">
        <v>5127</v>
      </c>
      <c r="AK344" s="122" t="s">
        <v>253</v>
      </c>
      <c r="AL344" s="122" t="s">
        <v>253</v>
      </c>
      <c r="AM344" s="122" t="s">
        <v>253</v>
      </c>
      <c r="AN344" s="122" t="s">
        <v>253</v>
      </c>
      <c r="AO344" s="141" t="s">
        <v>247</v>
      </c>
      <c r="AP344" s="141" t="s">
        <v>247</v>
      </c>
      <c r="AQ344" s="141" t="s">
        <v>247</v>
      </c>
      <c r="AR344" s="141" t="s">
        <v>253</v>
      </c>
      <c r="AS344" s="141" t="s">
        <v>601</v>
      </c>
      <c r="AT344" s="141" t="s">
        <v>601</v>
      </c>
      <c r="AU344" s="141" t="s">
        <v>258</v>
      </c>
      <c r="AV344" s="122" t="s">
        <v>259</v>
      </c>
      <c r="AW344" s="122" t="s">
        <v>260</v>
      </c>
      <c r="AY344" s="141" t="s">
        <v>253</v>
      </c>
      <c r="AZ344" s="122" t="s">
        <v>262</v>
      </c>
      <c r="BA344" s="122" t="s">
        <v>262</v>
      </c>
      <c r="BB344" s="122" t="s">
        <v>5128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34</v>
      </c>
      <c r="BJ344" s="123">
        <v>42233</v>
      </c>
      <c r="BK344" s="139" t="s">
        <v>606</v>
      </c>
      <c r="BM344" s="122">
        <v>34</v>
      </c>
    </row>
    <row r="345" spans="1:66" x14ac:dyDescent="0.25">
      <c r="A345" s="122" t="s">
        <v>404</v>
      </c>
      <c r="B345" s="122" t="s">
        <v>5129</v>
      </c>
      <c r="C345" s="122" t="s">
        <v>5130</v>
      </c>
      <c r="D345" s="122" t="s">
        <v>5131</v>
      </c>
      <c r="E345" s="123">
        <v>42219</v>
      </c>
      <c r="F345" s="122" t="s">
        <v>5132</v>
      </c>
      <c r="G345" s="122" t="s">
        <v>235</v>
      </c>
      <c r="H345" s="122" t="s">
        <v>5133</v>
      </c>
      <c r="I345" s="122" t="s">
        <v>5134</v>
      </c>
      <c r="K345" s="122" t="s">
        <v>238</v>
      </c>
      <c r="L345" s="122" t="s">
        <v>371</v>
      </c>
      <c r="M345" s="122" t="s">
        <v>5135</v>
      </c>
      <c r="O345" s="141" t="s">
        <v>566</v>
      </c>
      <c r="P345" s="141" t="s">
        <v>5136</v>
      </c>
      <c r="Q345" s="122" t="s">
        <v>243</v>
      </c>
      <c r="R345" s="142">
        <v>35</v>
      </c>
      <c r="S345" s="122" t="s">
        <v>5137</v>
      </c>
      <c r="U345" s="122" t="s">
        <v>4681</v>
      </c>
      <c r="W345" s="122" t="s">
        <v>246</v>
      </c>
      <c r="X345" s="122" t="s">
        <v>631</v>
      </c>
      <c r="Y345" s="141" t="s">
        <v>1440</v>
      </c>
      <c r="Z345" s="122" t="s">
        <v>5138</v>
      </c>
      <c r="AA345" s="141" t="s">
        <v>763</v>
      </c>
      <c r="AB345" s="122" t="s">
        <v>5139</v>
      </c>
      <c r="AC345" s="141" t="s">
        <v>480</v>
      </c>
      <c r="AD345" s="122" t="s">
        <v>5140</v>
      </c>
      <c r="AE345" s="122" t="s">
        <v>235</v>
      </c>
      <c r="AF345" s="122" t="s">
        <v>5141</v>
      </c>
      <c r="AG345" s="122" t="s">
        <v>537</v>
      </c>
      <c r="AH345" s="122" t="s">
        <v>253</v>
      </c>
      <c r="AI345" s="122" t="s">
        <v>4468</v>
      </c>
      <c r="AJ345" s="122" t="s">
        <v>5142</v>
      </c>
      <c r="AK345" s="122" t="s">
        <v>253</v>
      </c>
      <c r="AL345" s="122" t="s">
        <v>253</v>
      </c>
      <c r="AM345" s="122" t="s">
        <v>253</v>
      </c>
      <c r="AN345" s="122" t="s">
        <v>253</v>
      </c>
      <c r="AO345" s="141" t="s">
        <v>247</v>
      </c>
      <c r="AP345" s="141" t="s">
        <v>247</v>
      </c>
      <c r="AQ345" s="141" t="s">
        <v>247</v>
      </c>
      <c r="AR345" s="141" t="s">
        <v>253</v>
      </c>
      <c r="AS345" s="141" t="s">
        <v>601</v>
      </c>
      <c r="AT345" s="141" t="s">
        <v>601</v>
      </c>
      <c r="AU345" s="141" t="s">
        <v>258</v>
      </c>
      <c r="AV345" s="122" t="s">
        <v>259</v>
      </c>
      <c r="AW345" s="122" t="s">
        <v>260</v>
      </c>
      <c r="AY345" s="141" t="s">
        <v>253</v>
      </c>
      <c r="AZ345" s="122" t="s">
        <v>5143</v>
      </c>
      <c r="BA345" s="122" t="s">
        <v>262</v>
      </c>
      <c r="BB345" s="122" t="s">
        <v>262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35</v>
      </c>
      <c r="BJ345" s="123">
        <v>42232</v>
      </c>
      <c r="BK345" s="139" t="s">
        <v>264</v>
      </c>
      <c r="BL345" s="140">
        <v>219.38</v>
      </c>
      <c r="BM345" s="122">
        <v>33</v>
      </c>
    </row>
    <row r="346" spans="1:66" x14ac:dyDescent="0.25">
      <c r="A346" s="122" t="s">
        <v>404</v>
      </c>
      <c r="B346" s="122" t="s">
        <v>5144</v>
      </c>
      <c r="C346" s="122" t="s">
        <v>5145</v>
      </c>
      <c r="D346" s="122" t="s">
        <v>3950</v>
      </c>
      <c r="E346" s="123">
        <v>42219</v>
      </c>
      <c r="F346" s="122" t="s">
        <v>5146</v>
      </c>
      <c r="G346" s="122" t="s">
        <v>235</v>
      </c>
      <c r="H346" s="122" t="s">
        <v>448</v>
      </c>
      <c r="I346" s="122" t="s">
        <v>5147</v>
      </c>
      <c r="J346" s="122" t="s">
        <v>5148</v>
      </c>
      <c r="K346" s="122" t="s">
        <v>238</v>
      </c>
      <c r="L346" s="122" t="s">
        <v>371</v>
      </c>
      <c r="M346" s="122" t="s">
        <v>5149</v>
      </c>
      <c r="O346" s="141" t="s">
        <v>299</v>
      </c>
      <c r="P346" s="141" t="s">
        <v>5150</v>
      </c>
      <c r="Q346" s="122" t="s">
        <v>243</v>
      </c>
      <c r="R346" s="142">
        <v>36</v>
      </c>
      <c r="S346" s="122" t="s">
        <v>5151</v>
      </c>
      <c r="U346" s="122" t="s">
        <v>4681</v>
      </c>
      <c r="V346" s="122" t="s">
        <v>351</v>
      </c>
      <c r="W346" s="122" t="s">
        <v>246</v>
      </c>
      <c r="X346" s="122" t="s">
        <v>302</v>
      </c>
      <c r="Z346" s="122" t="s">
        <v>250</v>
      </c>
      <c r="AB346" s="122" t="s">
        <v>250</v>
      </c>
      <c r="AD346" s="122" t="s">
        <v>250</v>
      </c>
      <c r="AE346" s="122" t="s">
        <v>235</v>
      </c>
      <c r="AF346" s="122" t="s">
        <v>5152</v>
      </c>
      <c r="AG346" s="122" t="s">
        <v>537</v>
      </c>
      <c r="AH346" s="122" t="s">
        <v>253</v>
      </c>
      <c r="AI346" s="122" t="s">
        <v>5153</v>
      </c>
      <c r="AJ346" s="122" t="s">
        <v>252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247</v>
      </c>
      <c r="AP346" s="141" t="s">
        <v>253</v>
      </c>
      <c r="AQ346" s="141" t="s">
        <v>247</v>
      </c>
      <c r="AR346" s="141" t="s">
        <v>253</v>
      </c>
      <c r="AS346" s="141" t="s">
        <v>601</v>
      </c>
      <c r="AT346" s="141" t="s">
        <v>601</v>
      </c>
      <c r="AU346" s="141" t="s">
        <v>258</v>
      </c>
      <c r="AV346" s="122" t="s">
        <v>259</v>
      </c>
      <c r="AW346" s="122" t="s">
        <v>260</v>
      </c>
      <c r="AY346" s="141" t="s">
        <v>253</v>
      </c>
      <c r="AZ346" s="122" t="s">
        <v>262</v>
      </c>
      <c r="BA346" s="122" t="s">
        <v>262</v>
      </c>
      <c r="BB346" s="122" t="s">
        <v>262</v>
      </c>
      <c r="BC346" s="141" t="s">
        <v>312</v>
      </c>
      <c r="BD346" s="122" t="s">
        <v>253</v>
      </c>
      <c r="BE346" s="122" t="s">
        <v>263</v>
      </c>
      <c r="BF346" s="122" t="s">
        <v>4688</v>
      </c>
      <c r="BH346" s="122" t="s">
        <v>4681</v>
      </c>
      <c r="BI346" s="142">
        <v>36</v>
      </c>
      <c r="BJ346" s="123">
        <v>42221</v>
      </c>
      <c r="BK346" s="139" t="s">
        <v>5154</v>
      </c>
      <c r="BM346" s="122">
        <v>32</v>
      </c>
    </row>
    <row r="347" spans="1:66" x14ac:dyDescent="0.25">
      <c r="A347" s="122" t="s">
        <v>404</v>
      </c>
      <c r="B347" s="122" t="s">
        <v>5155</v>
      </c>
      <c r="C347" s="122" t="s">
        <v>5156</v>
      </c>
      <c r="D347" s="122" t="s">
        <v>5157</v>
      </c>
      <c r="E347" s="123">
        <v>42219</v>
      </c>
      <c r="F347" s="122" t="s">
        <v>921</v>
      </c>
      <c r="G347" s="122" t="s">
        <v>235</v>
      </c>
      <c r="H347" s="122" t="s">
        <v>5158</v>
      </c>
      <c r="I347" s="122" t="s">
        <v>5159</v>
      </c>
      <c r="K347" s="122" t="s">
        <v>238</v>
      </c>
      <c r="L347" s="122" t="s">
        <v>371</v>
      </c>
      <c r="M347" s="122" t="s">
        <v>5160</v>
      </c>
      <c r="O347" s="141" t="s">
        <v>273</v>
      </c>
      <c r="P347" s="141" t="s">
        <v>5161</v>
      </c>
      <c r="Q347" s="122" t="s">
        <v>243</v>
      </c>
      <c r="R347" s="142">
        <v>37</v>
      </c>
      <c r="S347" s="122" t="s">
        <v>5162</v>
      </c>
      <c r="U347" s="122" t="s">
        <v>4681</v>
      </c>
      <c r="W347" s="122" t="s">
        <v>246</v>
      </c>
      <c r="X347" s="122" t="s">
        <v>551</v>
      </c>
      <c r="Y347" s="141" t="s">
        <v>1256</v>
      </c>
      <c r="Z347" s="122" t="s">
        <v>5163</v>
      </c>
      <c r="AA347" s="141" t="s">
        <v>234</v>
      </c>
      <c r="AB347" s="122" t="s">
        <v>5164</v>
      </c>
      <c r="AC347" s="141" t="s">
        <v>795</v>
      </c>
      <c r="AD347" s="122" t="s">
        <v>518</v>
      </c>
      <c r="AE347" s="122" t="s">
        <v>235</v>
      </c>
      <c r="AF347" s="122" t="s">
        <v>5165</v>
      </c>
      <c r="AG347" s="122" t="s">
        <v>253</v>
      </c>
      <c r="AH347" s="122" t="s">
        <v>253</v>
      </c>
      <c r="AI347" s="122" t="s">
        <v>5166</v>
      </c>
      <c r="AJ347" s="122" t="s">
        <v>5167</v>
      </c>
      <c r="AK347" s="122" t="s">
        <v>253</v>
      </c>
      <c r="AL347" s="122" t="s">
        <v>5168</v>
      </c>
      <c r="AM347" s="122" t="s">
        <v>253</v>
      </c>
      <c r="AN347" s="122" t="s">
        <v>253</v>
      </c>
      <c r="AO347" s="141" t="s">
        <v>247</v>
      </c>
      <c r="AP347" s="141" t="s">
        <v>247</v>
      </c>
      <c r="AQ347" s="141" t="s">
        <v>253</v>
      </c>
      <c r="AR347" s="141" t="s">
        <v>253</v>
      </c>
      <c r="AS347" s="141" t="s">
        <v>601</v>
      </c>
      <c r="AT347" s="141" t="s">
        <v>258</v>
      </c>
      <c r="AU347" s="141" t="s">
        <v>258</v>
      </c>
      <c r="AV347" s="122" t="s">
        <v>259</v>
      </c>
      <c r="AW347" s="122" t="s">
        <v>260</v>
      </c>
      <c r="AX347" s="141" t="s">
        <v>980</v>
      </c>
      <c r="AY347" s="141" t="s">
        <v>247</v>
      </c>
      <c r="AZ347" s="122" t="s">
        <v>5169</v>
      </c>
      <c r="BA347" s="122" t="s">
        <v>262</v>
      </c>
      <c r="BB347" s="122" t="s">
        <v>262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37</v>
      </c>
      <c r="BJ347" s="123">
        <v>42231</v>
      </c>
      <c r="BK347" s="139" t="s">
        <v>606</v>
      </c>
      <c r="BM347" s="122">
        <v>33</v>
      </c>
    </row>
    <row r="348" spans="1:66" x14ac:dyDescent="0.25">
      <c r="A348" s="122" t="s">
        <v>404</v>
      </c>
      <c r="B348" s="122" t="s">
        <v>5170</v>
      </c>
      <c r="C348" s="122" t="s">
        <v>5171</v>
      </c>
      <c r="D348" s="122" t="s">
        <v>5172</v>
      </c>
      <c r="E348" s="123">
        <v>42219</v>
      </c>
      <c r="F348" s="122" t="s">
        <v>2259</v>
      </c>
      <c r="G348" s="122" t="s">
        <v>235</v>
      </c>
      <c r="H348" s="122" t="s">
        <v>448</v>
      </c>
      <c r="I348" s="122" t="s">
        <v>5173</v>
      </c>
      <c r="J348" s="122" t="s">
        <v>5174</v>
      </c>
      <c r="K348" s="122" t="s">
        <v>238</v>
      </c>
      <c r="L348" s="122" t="s">
        <v>530</v>
      </c>
      <c r="M348" s="122" t="s">
        <v>5175</v>
      </c>
      <c r="N348" s="122" t="s">
        <v>5176</v>
      </c>
      <c r="O348" s="141" t="s">
        <v>1240</v>
      </c>
      <c r="P348" s="141" t="s">
        <v>5177</v>
      </c>
      <c r="Q348" s="122" t="s">
        <v>243</v>
      </c>
      <c r="R348" s="142">
        <v>38</v>
      </c>
      <c r="S348" s="122" t="s">
        <v>5178</v>
      </c>
      <c r="U348" s="122" t="s">
        <v>4681</v>
      </c>
      <c r="W348" s="122" t="s">
        <v>246</v>
      </c>
      <c r="X348" s="122" t="s">
        <v>442</v>
      </c>
      <c r="Y348" s="141" t="s">
        <v>354</v>
      </c>
      <c r="Z348" s="122" t="s">
        <v>800</v>
      </c>
      <c r="AA348" s="141" t="s">
        <v>417</v>
      </c>
      <c r="AB348" s="122" t="s">
        <v>395</v>
      </c>
      <c r="AC348" s="141" t="s">
        <v>1778</v>
      </c>
      <c r="AD348" s="122" t="s">
        <v>5179</v>
      </c>
      <c r="AE348" s="122" t="s">
        <v>235</v>
      </c>
      <c r="AF348" s="122" t="s">
        <v>5180</v>
      </c>
      <c r="AG348" s="122" t="s">
        <v>253</v>
      </c>
      <c r="AH348" s="122" t="s">
        <v>5181</v>
      </c>
      <c r="AI348" s="122" t="s">
        <v>5182</v>
      </c>
      <c r="AJ348" s="122" t="s">
        <v>5183</v>
      </c>
      <c r="AK348" s="122" t="s">
        <v>5184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247</v>
      </c>
      <c r="AR348" s="141" t="s">
        <v>247</v>
      </c>
      <c r="AS348" s="141" t="s">
        <v>601</v>
      </c>
      <c r="AT348" s="141" t="s">
        <v>601</v>
      </c>
      <c r="AU348" s="141" t="s">
        <v>257</v>
      </c>
      <c r="AV348" s="122" t="s">
        <v>259</v>
      </c>
      <c r="AW348" s="122" t="s">
        <v>260</v>
      </c>
      <c r="AY348" s="141" t="s">
        <v>253</v>
      </c>
      <c r="AZ348" s="122" t="s">
        <v>262</v>
      </c>
      <c r="BA348" s="122" t="s">
        <v>262</v>
      </c>
      <c r="BB348" s="122" t="s">
        <v>5185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38</v>
      </c>
      <c r="BJ348" s="123">
        <v>42233</v>
      </c>
      <c r="BK348" s="139" t="s">
        <v>606</v>
      </c>
      <c r="BM348" s="122">
        <v>34</v>
      </c>
    </row>
    <row r="349" spans="1:66" x14ac:dyDescent="0.25">
      <c r="A349" s="122" t="s">
        <v>404</v>
      </c>
      <c r="B349" s="122" t="s">
        <v>5186</v>
      </c>
      <c r="C349" s="122" t="s">
        <v>5187</v>
      </c>
      <c r="D349" s="122" t="s">
        <v>5188</v>
      </c>
      <c r="E349" s="123">
        <v>42219</v>
      </c>
      <c r="F349" s="122" t="s">
        <v>5189</v>
      </c>
      <c r="G349" s="122" t="s">
        <v>235</v>
      </c>
      <c r="H349" s="122" t="s">
        <v>5190</v>
      </c>
      <c r="I349" s="122" t="s">
        <v>5191</v>
      </c>
      <c r="K349" s="122" t="s">
        <v>238</v>
      </c>
      <c r="L349" s="122" t="s">
        <v>371</v>
      </c>
      <c r="M349" s="122" t="s">
        <v>5056</v>
      </c>
      <c r="O349" s="141" t="s">
        <v>850</v>
      </c>
      <c r="P349" s="141" t="s">
        <v>5192</v>
      </c>
      <c r="Q349" s="122" t="s">
        <v>243</v>
      </c>
      <c r="R349" s="142">
        <v>39</v>
      </c>
      <c r="S349" s="122" t="s">
        <v>5193</v>
      </c>
      <c r="U349" s="122" t="s">
        <v>4681</v>
      </c>
      <c r="W349" s="122" t="s">
        <v>246</v>
      </c>
      <c r="X349" s="122" t="s">
        <v>325</v>
      </c>
      <c r="Y349" s="141" t="s">
        <v>3039</v>
      </c>
      <c r="Z349" s="122" t="s">
        <v>1792</v>
      </c>
      <c r="AA349" s="141" t="s">
        <v>1896</v>
      </c>
      <c r="AB349" s="122" t="s">
        <v>669</v>
      </c>
      <c r="AC349" s="141" t="s">
        <v>2306</v>
      </c>
      <c r="AD349" s="122" t="s">
        <v>5194</v>
      </c>
      <c r="AE349" s="122" t="s">
        <v>235</v>
      </c>
      <c r="AF349" s="122" t="s">
        <v>5195</v>
      </c>
      <c r="AG349" s="122" t="s">
        <v>537</v>
      </c>
      <c r="AH349" s="122" t="s">
        <v>253</v>
      </c>
      <c r="AI349" s="122" t="s">
        <v>5196</v>
      </c>
      <c r="AJ349" s="122" t="s">
        <v>5197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253</v>
      </c>
      <c r="AS349" s="141" t="s">
        <v>601</v>
      </c>
      <c r="AT349" s="141" t="s">
        <v>601</v>
      </c>
      <c r="AU349" s="141" t="s">
        <v>258</v>
      </c>
      <c r="AV349" s="122" t="s">
        <v>259</v>
      </c>
      <c r="AW349" s="122" t="s">
        <v>260</v>
      </c>
      <c r="AY349" s="141" t="s">
        <v>253</v>
      </c>
      <c r="AZ349" s="122" t="s">
        <v>5198</v>
      </c>
      <c r="BA349" s="122" t="s">
        <v>262</v>
      </c>
      <c r="BB349" s="122" t="s">
        <v>262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39</v>
      </c>
      <c r="BJ349" s="123">
        <v>42226</v>
      </c>
      <c r="BK349" s="139" t="s">
        <v>264</v>
      </c>
      <c r="BL349" s="140">
        <v>131.02000000000001</v>
      </c>
      <c r="BM349" s="122">
        <v>33</v>
      </c>
    </row>
    <row r="350" spans="1:66" x14ac:dyDescent="0.25">
      <c r="A350" s="122" t="s">
        <v>404</v>
      </c>
      <c r="B350" s="122" t="s">
        <v>5199</v>
      </c>
      <c r="C350" s="122" t="s">
        <v>5200</v>
      </c>
      <c r="D350" s="122" t="s">
        <v>5201</v>
      </c>
      <c r="E350" s="123">
        <v>42219</v>
      </c>
      <c r="F350" s="122" t="s">
        <v>1421</v>
      </c>
      <c r="G350" s="122" t="s">
        <v>235</v>
      </c>
      <c r="H350" s="122" t="s">
        <v>5202</v>
      </c>
      <c r="I350" s="122" t="s">
        <v>5203</v>
      </c>
      <c r="J350" s="122" t="s">
        <v>5204</v>
      </c>
      <c r="K350" s="122" t="s">
        <v>238</v>
      </c>
      <c r="L350" s="122" t="s">
        <v>530</v>
      </c>
      <c r="M350" s="122" t="s">
        <v>4795</v>
      </c>
      <c r="O350" s="141" t="s">
        <v>566</v>
      </c>
      <c r="P350" s="141" t="s">
        <v>5205</v>
      </c>
      <c r="Q350" s="122" t="s">
        <v>243</v>
      </c>
      <c r="R350" s="142">
        <v>40</v>
      </c>
      <c r="S350" s="122" t="s">
        <v>5206</v>
      </c>
      <c r="T350" s="122" t="s">
        <v>5207</v>
      </c>
      <c r="U350" s="122" t="s">
        <v>4681</v>
      </c>
      <c r="W350" s="122" t="s">
        <v>246</v>
      </c>
      <c r="X350" s="122" t="s">
        <v>325</v>
      </c>
      <c r="Y350" s="141" t="s">
        <v>2010</v>
      </c>
      <c r="Z350" s="122" t="s">
        <v>518</v>
      </c>
      <c r="AB350" s="122" t="s">
        <v>250</v>
      </c>
      <c r="AD350" s="122" t="s">
        <v>250</v>
      </c>
      <c r="AE350" s="122" t="s">
        <v>235</v>
      </c>
      <c r="AF350" s="122" t="s">
        <v>5208</v>
      </c>
      <c r="AG350" s="122" t="s">
        <v>537</v>
      </c>
      <c r="AH350" s="122" t="s">
        <v>253</v>
      </c>
      <c r="AI350" s="122" t="s">
        <v>5209</v>
      </c>
      <c r="AJ350" s="122" t="s">
        <v>5210</v>
      </c>
      <c r="AK350" s="122" t="s">
        <v>253</v>
      </c>
      <c r="AL350" s="122" t="s">
        <v>253</v>
      </c>
      <c r="AM350" s="122" t="s">
        <v>253</v>
      </c>
      <c r="AN350" s="122" t="s">
        <v>253</v>
      </c>
      <c r="AO350" s="141" t="s">
        <v>247</v>
      </c>
      <c r="AP350" s="141" t="s">
        <v>247</v>
      </c>
      <c r="AQ350" s="141" t="s">
        <v>253</v>
      </c>
      <c r="AR350" s="141" t="s">
        <v>253</v>
      </c>
      <c r="AS350" s="141" t="s">
        <v>601</v>
      </c>
      <c r="AT350" s="141" t="s">
        <v>258</v>
      </c>
      <c r="AU350" s="141" t="s">
        <v>258</v>
      </c>
      <c r="AV350" s="122" t="s">
        <v>259</v>
      </c>
      <c r="AW350" s="122" t="s">
        <v>260</v>
      </c>
      <c r="AY350" s="141" t="s">
        <v>253</v>
      </c>
      <c r="AZ350" s="122" t="s">
        <v>5211</v>
      </c>
      <c r="BA350" s="122" t="s">
        <v>262</v>
      </c>
      <c r="BB350" s="122" t="s">
        <v>262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40</v>
      </c>
      <c r="BJ350" s="123">
        <v>42233</v>
      </c>
      <c r="BK350" s="139" t="s">
        <v>606</v>
      </c>
      <c r="BM350" s="122">
        <v>34</v>
      </c>
    </row>
    <row r="351" spans="1:66" x14ac:dyDescent="0.25">
      <c r="A351" s="122" t="s">
        <v>404</v>
      </c>
      <c r="B351" s="122" t="s">
        <v>5212</v>
      </c>
      <c r="C351" s="122" t="s">
        <v>5213</v>
      </c>
      <c r="D351" s="122" t="s">
        <v>5214</v>
      </c>
      <c r="E351" s="123">
        <v>42219</v>
      </c>
      <c r="F351" s="122" t="s">
        <v>1015</v>
      </c>
      <c r="G351" s="122" t="s">
        <v>235</v>
      </c>
      <c r="H351" s="122" t="s">
        <v>5215</v>
      </c>
      <c r="I351" s="122" t="s">
        <v>5108</v>
      </c>
      <c r="J351" s="122" t="s">
        <v>5216</v>
      </c>
      <c r="K351" s="122" t="s">
        <v>238</v>
      </c>
      <c r="L351" s="122" t="s">
        <v>371</v>
      </c>
      <c r="M351" s="122" t="s">
        <v>4763</v>
      </c>
      <c r="O351" s="141" t="s">
        <v>273</v>
      </c>
      <c r="P351" s="141" t="s">
        <v>5217</v>
      </c>
      <c r="Q351" s="122" t="s">
        <v>243</v>
      </c>
      <c r="R351" s="142">
        <v>41</v>
      </c>
      <c r="S351" s="122" t="s">
        <v>5218</v>
      </c>
      <c r="T351" s="122" t="s">
        <v>5219</v>
      </c>
      <c r="U351" s="122" t="s">
        <v>4681</v>
      </c>
      <c r="W351" s="122" t="s">
        <v>246</v>
      </c>
      <c r="X351" s="122" t="s">
        <v>325</v>
      </c>
      <c r="Y351" s="141" t="s">
        <v>956</v>
      </c>
      <c r="Z351" s="122" t="s">
        <v>5220</v>
      </c>
      <c r="AA351" s="141" t="s">
        <v>500</v>
      </c>
      <c r="AB351" s="122" t="s">
        <v>5221</v>
      </c>
      <c r="AC351" s="141" t="s">
        <v>283</v>
      </c>
      <c r="AD351" s="122" t="s">
        <v>518</v>
      </c>
      <c r="AE351" s="122" t="s">
        <v>235</v>
      </c>
      <c r="AF351" s="122" t="s">
        <v>5222</v>
      </c>
      <c r="AG351" s="122" t="s">
        <v>537</v>
      </c>
      <c r="AH351" s="122" t="s">
        <v>253</v>
      </c>
      <c r="AI351" s="122" t="s">
        <v>5223</v>
      </c>
      <c r="AJ351" s="122" t="s">
        <v>5224</v>
      </c>
      <c r="AK351" s="122" t="s">
        <v>253</v>
      </c>
      <c r="AL351" s="122" t="s">
        <v>253</v>
      </c>
      <c r="AM351" s="122" t="s">
        <v>253</v>
      </c>
      <c r="AN351" s="122" t="s">
        <v>253</v>
      </c>
      <c r="AO351" s="141" t="s">
        <v>247</v>
      </c>
      <c r="AP351" s="141" t="s">
        <v>247</v>
      </c>
      <c r="AQ351" s="141" t="s">
        <v>247</v>
      </c>
      <c r="AR351" s="141" t="s">
        <v>253</v>
      </c>
      <c r="AS351" s="141" t="s">
        <v>601</v>
      </c>
      <c r="AT351" s="141" t="s">
        <v>601</v>
      </c>
      <c r="AU351" s="141" t="s">
        <v>258</v>
      </c>
      <c r="AV351" s="122" t="s">
        <v>259</v>
      </c>
      <c r="AW351" s="122" t="s">
        <v>260</v>
      </c>
      <c r="AY351" s="141" t="s">
        <v>253</v>
      </c>
      <c r="AZ351" s="122" t="s">
        <v>5225</v>
      </c>
      <c r="BA351" s="122" t="s">
        <v>262</v>
      </c>
      <c r="BB351" s="122" t="s">
        <v>262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41</v>
      </c>
      <c r="BJ351" s="123">
        <v>42231</v>
      </c>
      <c r="BK351" s="139" t="s">
        <v>606</v>
      </c>
      <c r="BM351" s="122">
        <v>33</v>
      </c>
    </row>
    <row r="352" spans="1:66" x14ac:dyDescent="0.25">
      <c r="A352" s="122" t="s">
        <v>422</v>
      </c>
      <c r="B352" s="122" t="s">
        <v>5226</v>
      </c>
      <c r="C352" s="122" t="s">
        <v>5227</v>
      </c>
      <c r="D352" s="122" t="s">
        <v>5228</v>
      </c>
      <c r="E352" s="123">
        <v>42219</v>
      </c>
      <c r="F352" s="122" t="s">
        <v>2735</v>
      </c>
      <c r="G352" s="122" t="s">
        <v>235</v>
      </c>
      <c r="H352" s="122" t="s">
        <v>448</v>
      </c>
      <c r="I352" s="122" t="s">
        <v>5229</v>
      </c>
      <c r="J352" s="122" t="s">
        <v>1018</v>
      </c>
      <c r="K352" s="122" t="s">
        <v>238</v>
      </c>
      <c r="L352" s="122" t="s">
        <v>530</v>
      </c>
      <c r="M352" s="122" t="s">
        <v>4780</v>
      </c>
      <c r="O352" s="141" t="s">
        <v>1055</v>
      </c>
      <c r="P352" s="141" t="s">
        <v>5230</v>
      </c>
      <c r="Q352" s="122" t="s">
        <v>243</v>
      </c>
      <c r="R352" s="142">
        <v>42</v>
      </c>
      <c r="S352" s="122" t="s">
        <v>5231</v>
      </c>
      <c r="U352" s="122" t="s">
        <v>4681</v>
      </c>
      <c r="W352" s="122" t="s">
        <v>246</v>
      </c>
      <c r="X352" s="122" t="s">
        <v>497</v>
      </c>
      <c r="Y352" s="141" t="s">
        <v>1162</v>
      </c>
      <c r="Z352" s="122" t="s">
        <v>5232</v>
      </c>
      <c r="AA352" s="141" t="s">
        <v>1209</v>
      </c>
      <c r="AB352" s="122" t="s">
        <v>5233</v>
      </c>
      <c r="AC352" s="141" t="s">
        <v>707</v>
      </c>
      <c r="AD352" s="122" t="s">
        <v>5234</v>
      </c>
      <c r="AE352" s="122" t="s">
        <v>235</v>
      </c>
      <c r="AF352" s="122" t="s">
        <v>5235</v>
      </c>
      <c r="AG352" s="122" t="s">
        <v>5236</v>
      </c>
      <c r="AH352" s="122" t="s">
        <v>253</v>
      </c>
      <c r="AI352" s="122" t="s">
        <v>5237</v>
      </c>
      <c r="AJ352" s="122" t="s">
        <v>253</v>
      </c>
      <c r="AK352" s="122" t="s">
        <v>5238</v>
      </c>
      <c r="AL352" s="122" t="s">
        <v>253</v>
      </c>
      <c r="AM352" s="122" t="s">
        <v>253</v>
      </c>
      <c r="AN352" s="122" t="s">
        <v>253</v>
      </c>
      <c r="AO352" s="141" t="s">
        <v>247</v>
      </c>
      <c r="AP352" s="141" t="s">
        <v>247</v>
      </c>
      <c r="AQ352" s="141" t="s">
        <v>247</v>
      </c>
      <c r="AR352" s="141" t="s">
        <v>253</v>
      </c>
      <c r="AS352" s="141" t="s">
        <v>601</v>
      </c>
      <c r="AT352" s="141" t="s">
        <v>601</v>
      </c>
      <c r="AU352" s="141" t="s">
        <v>258</v>
      </c>
      <c r="AV352" s="122" t="s">
        <v>259</v>
      </c>
      <c r="AW352" s="122" t="s">
        <v>260</v>
      </c>
      <c r="AX352" s="141" t="s">
        <v>5239</v>
      </c>
      <c r="AY352" s="141" t="s">
        <v>603</v>
      </c>
      <c r="AZ352" s="122" t="s">
        <v>262</v>
      </c>
      <c r="BA352" s="122" t="s">
        <v>262</v>
      </c>
      <c r="BB352" s="122" t="s">
        <v>5240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42</v>
      </c>
      <c r="BJ352" s="123">
        <v>42233</v>
      </c>
      <c r="BK352" s="139" t="s">
        <v>606</v>
      </c>
      <c r="BM352" s="122">
        <v>34</v>
      </c>
    </row>
    <row r="353" spans="1:65" x14ac:dyDescent="0.25">
      <c r="A353" s="122" t="s">
        <v>422</v>
      </c>
      <c r="B353" s="122" t="s">
        <v>5241</v>
      </c>
      <c r="C353" s="122" t="s">
        <v>5242</v>
      </c>
      <c r="D353" s="122" t="s">
        <v>5243</v>
      </c>
      <c r="E353" s="123">
        <v>42219</v>
      </c>
      <c r="F353" s="122" t="s">
        <v>1927</v>
      </c>
      <c r="G353" s="122" t="s">
        <v>235</v>
      </c>
      <c r="H353" s="122" t="s">
        <v>5244</v>
      </c>
      <c r="I353" s="122" t="s">
        <v>5245</v>
      </c>
      <c r="K353" s="122" t="s">
        <v>238</v>
      </c>
      <c r="L353" s="122" t="s">
        <v>371</v>
      </c>
      <c r="M353" s="122" t="s">
        <v>5056</v>
      </c>
      <c r="N353" s="122" t="s">
        <v>5246</v>
      </c>
      <c r="O353" s="141" t="s">
        <v>566</v>
      </c>
      <c r="P353" s="141" t="s">
        <v>5247</v>
      </c>
      <c r="Q353" s="122" t="s">
        <v>243</v>
      </c>
      <c r="R353" s="142">
        <v>43</v>
      </c>
      <c r="S353" s="122" t="s">
        <v>5248</v>
      </c>
      <c r="U353" s="122" t="s">
        <v>4681</v>
      </c>
      <c r="W353" s="122" t="s">
        <v>246</v>
      </c>
      <c r="X353" s="122" t="s">
        <v>454</v>
      </c>
      <c r="Y353" s="141" t="s">
        <v>2804</v>
      </c>
      <c r="Z353" s="122" t="s">
        <v>5249</v>
      </c>
      <c r="AA353" s="141" t="s">
        <v>707</v>
      </c>
      <c r="AB353" s="122" t="s">
        <v>5250</v>
      </c>
      <c r="AD353" s="122" t="s">
        <v>250</v>
      </c>
      <c r="AE353" s="122" t="s">
        <v>235</v>
      </c>
      <c r="AF353" s="122" t="s">
        <v>5251</v>
      </c>
      <c r="AG353" s="122" t="s">
        <v>537</v>
      </c>
      <c r="AH353" s="122" t="s">
        <v>253</v>
      </c>
      <c r="AI353" s="122" t="s">
        <v>5252</v>
      </c>
      <c r="AJ353" s="122" t="s">
        <v>5253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247</v>
      </c>
      <c r="AQ353" s="141" t="s">
        <v>247</v>
      </c>
      <c r="AR353" s="141" t="s">
        <v>253</v>
      </c>
      <c r="AS353" s="141" t="s">
        <v>601</v>
      </c>
      <c r="AT353" s="141" t="s">
        <v>601</v>
      </c>
      <c r="AU353" s="141" t="s">
        <v>258</v>
      </c>
      <c r="AV353" s="122" t="s">
        <v>259</v>
      </c>
      <c r="AW353" s="122" t="s">
        <v>260</v>
      </c>
      <c r="AY353" s="141" t="s">
        <v>253</v>
      </c>
      <c r="AZ353" s="122" t="s">
        <v>5254</v>
      </c>
      <c r="BA353" s="122" t="s">
        <v>262</v>
      </c>
      <c r="BB353" s="122" t="s">
        <v>262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43</v>
      </c>
      <c r="BJ353" s="123">
        <v>42231</v>
      </c>
      <c r="BK353" s="139" t="s">
        <v>606</v>
      </c>
      <c r="BM353" s="122">
        <v>33</v>
      </c>
    </row>
    <row r="354" spans="1:65" x14ac:dyDescent="0.25">
      <c r="A354" s="122" t="s">
        <v>422</v>
      </c>
      <c r="B354" s="122" t="s">
        <v>5255</v>
      </c>
      <c r="C354" s="122" t="s">
        <v>5256</v>
      </c>
      <c r="D354" s="122" t="s">
        <v>5257</v>
      </c>
      <c r="E354" s="123">
        <v>42219</v>
      </c>
      <c r="F354" s="122" t="s">
        <v>2098</v>
      </c>
      <c r="G354" s="122" t="s">
        <v>235</v>
      </c>
      <c r="H354" s="122" t="s">
        <v>5258</v>
      </c>
      <c r="I354" s="122" t="s">
        <v>5259</v>
      </c>
      <c r="K354" s="122" t="s">
        <v>238</v>
      </c>
      <c r="L354" s="122" t="s">
        <v>371</v>
      </c>
      <c r="M354" s="122" t="s">
        <v>5260</v>
      </c>
      <c r="O354" s="141" t="s">
        <v>2442</v>
      </c>
      <c r="P354" s="141" t="s">
        <v>5261</v>
      </c>
      <c r="Q354" s="122" t="s">
        <v>243</v>
      </c>
      <c r="R354" s="142">
        <v>44</v>
      </c>
      <c r="S354" s="122" t="s">
        <v>5262</v>
      </c>
      <c r="U354" s="122" t="s">
        <v>4681</v>
      </c>
      <c r="W354" s="122" t="s">
        <v>246</v>
      </c>
      <c r="X354" s="122" t="s">
        <v>1377</v>
      </c>
      <c r="Y354" s="141" t="s">
        <v>2979</v>
      </c>
      <c r="Z354" s="122" t="s">
        <v>5263</v>
      </c>
      <c r="AA354" s="141" t="s">
        <v>784</v>
      </c>
      <c r="AB354" s="122" t="s">
        <v>4333</v>
      </c>
      <c r="AC354" s="141" t="s">
        <v>635</v>
      </c>
      <c r="AD354" s="122" t="s">
        <v>5264</v>
      </c>
      <c r="AE354" s="122" t="s">
        <v>235</v>
      </c>
      <c r="AF354" s="122" t="s">
        <v>5265</v>
      </c>
      <c r="AG354" s="122" t="s">
        <v>253</v>
      </c>
      <c r="AH354" s="122" t="s">
        <v>253</v>
      </c>
      <c r="AI354" s="122" t="s">
        <v>3011</v>
      </c>
      <c r="AJ354" s="122" t="s">
        <v>5266</v>
      </c>
      <c r="AK354" s="122" t="s">
        <v>253</v>
      </c>
      <c r="AL354" s="122" t="s">
        <v>5267</v>
      </c>
      <c r="AM354" s="122" t="s">
        <v>253</v>
      </c>
      <c r="AN354" s="122" t="s">
        <v>253</v>
      </c>
      <c r="AO354" s="141" t="s">
        <v>247</v>
      </c>
      <c r="AP354" s="141" t="s">
        <v>247</v>
      </c>
      <c r="AQ354" s="141" t="s">
        <v>247</v>
      </c>
      <c r="AR354" s="141" t="s">
        <v>247</v>
      </c>
      <c r="AS354" s="141" t="s">
        <v>601</v>
      </c>
      <c r="AT354" s="141" t="s">
        <v>601</v>
      </c>
      <c r="AU354" s="141" t="s">
        <v>601</v>
      </c>
      <c r="AV354" s="122" t="s">
        <v>259</v>
      </c>
      <c r="AW354" s="122" t="s">
        <v>260</v>
      </c>
      <c r="AX354" s="141" t="s">
        <v>5239</v>
      </c>
      <c r="AY354" s="141" t="s">
        <v>603</v>
      </c>
      <c r="AZ354" s="122" t="s">
        <v>5268</v>
      </c>
      <c r="BA354" s="122" t="s">
        <v>262</v>
      </c>
      <c r="BB354" s="122" t="s">
        <v>5269</v>
      </c>
      <c r="BC354" s="141" t="s">
        <v>312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44</v>
      </c>
      <c r="BJ354" s="123">
        <v>42231</v>
      </c>
      <c r="BK354" s="139" t="s">
        <v>606</v>
      </c>
      <c r="BM354" s="122">
        <v>33</v>
      </c>
    </row>
    <row r="355" spans="1:65" x14ac:dyDescent="0.25">
      <c r="A355" s="122" t="s">
        <v>422</v>
      </c>
      <c r="B355" s="122" t="s">
        <v>5270</v>
      </c>
      <c r="C355" s="122" t="s">
        <v>5271</v>
      </c>
      <c r="D355" s="122" t="s">
        <v>5272</v>
      </c>
      <c r="E355" s="123">
        <v>42219</v>
      </c>
      <c r="F355" s="122" t="s">
        <v>5273</v>
      </c>
      <c r="G355" s="122" t="s">
        <v>235</v>
      </c>
      <c r="H355" s="122" t="s">
        <v>5274</v>
      </c>
      <c r="I355" s="122" t="s">
        <v>5275</v>
      </c>
      <c r="K355" s="122" t="s">
        <v>238</v>
      </c>
      <c r="L355" s="122" t="s">
        <v>371</v>
      </c>
      <c r="M355" s="122" t="s">
        <v>5276</v>
      </c>
      <c r="N355" s="122" t="s">
        <v>5277</v>
      </c>
      <c r="O355" s="141" t="s">
        <v>373</v>
      </c>
      <c r="P355" s="141" t="s">
        <v>5278</v>
      </c>
      <c r="Q355" s="122" t="s">
        <v>243</v>
      </c>
      <c r="R355" s="142">
        <v>45</v>
      </c>
      <c r="S355" s="122" t="s">
        <v>5279</v>
      </c>
      <c r="U355" s="122" t="s">
        <v>4681</v>
      </c>
      <c r="W355" s="122" t="s">
        <v>246</v>
      </c>
      <c r="X355" s="122" t="s">
        <v>433</v>
      </c>
      <c r="Y355" s="141" t="s">
        <v>956</v>
      </c>
      <c r="Z355" s="122" t="s">
        <v>5280</v>
      </c>
      <c r="AA355" s="141" t="s">
        <v>633</v>
      </c>
      <c r="AB355" s="122" t="s">
        <v>5281</v>
      </c>
      <c r="AC355" s="141" t="s">
        <v>1762</v>
      </c>
      <c r="AD355" s="122" t="s">
        <v>5282</v>
      </c>
      <c r="AE355" s="122" t="s">
        <v>235</v>
      </c>
      <c r="AF355" s="122" t="s">
        <v>5283</v>
      </c>
      <c r="AG355" s="122" t="s">
        <v>537</v>
      </c>
      <c r="AH355" s="122" t="s">
        <v>253</v>
      </c>
      <c r="AI355" s="122" t="s">
        <v>5284</v>
      </c>
      <c r="AJ355" s="122" t="s">
        <v>5285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247</v>
      </c>
      <c r="AP355" s="141" t="s">
        <v>247</v>
      </c>
      <c r="AQ355" s="141" t="s">
        <v>247</v>
      </c>
      <c r="AR355" s="141" t="s">
        <v>253</v>
      </c>
      <c r="AS355" s="141" t="s">
        <v>601</v>
      </c>
      <c r="AT355" s="141" t="s">
        <v>601</v>
      </c>
      <c r="AU355" s="141" t="s">
        <v>258</v>
      </c>
      <c r="AV355" s="122" t="s">
        <v>259</v>
      </c>
      <c r="AW355" s="122" t="s">
        <v>260</v>
      </c>
      <c r="AX355" s="141" t="s">
        <v>5286</v>
      </c>
      <c r="AY355" s="141" t="s">
        <v>247</v>
      </c>
      <c r="AZ355" s="122" t="s">
        <v>5287</v>
      </c>
      <c r="BA355" s="122" t="s">
        <v>262</v>
      </c>
      <c r="BB355" s="122" t="s">
        <v>262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45</v>
      </c>
      <c r="BJ355" s="123">
        <v>42227</v>
      </c>
      <c r="BK355" s="139" t="s">
        <v>264</v>
      </c>
      <c r="BL355" s="140">
        <v>168.31</v>
      </c>
      <c r="BM355" s="122">
        <v>33</v>
      </c>
    </row>
    <row r="356" spans="1:65" x14ac:dyDescent="0.25">
      <c r="A356" s="122" t="s">
        <v>422</v>
      </c>
      <c r="B356" s="122" t="s">
        <v>5288</v>
      </c>
      <c r="C356" s="122" t="s">
        <v>5289</v>
      </c>
      <c r="D356" s="122" t="s">
        <v>5290</v>
      </c>
      <c r="E356" s="123">
        <v>42219</v>
      </c>
      <c r="F356" s="122" t="s">
        <v>5291</v>
      </c>
      <c r="G356" s="122" t="s">
        <v>235</v>
      </c>
      <c r="H356" s="122" t="s">
        <v>5292</v>
      </c>
      <c r="I356" s="122" t="s">
        <v>5293</v>
      </c>
      <c r="J356" s="122" t="s">
        <v>4343</v>
      </c>
      <c r="K356" s="122" t="s">
        <v>238</v>
      </c>
      <c r="L356" s="122" t="s">
        <v>530</v>
      </c>
      <c r="M356" s="122" t="s">
        <v>531</v>
      </c>
      <c r="O356" s="141" t="s">
        <v>373</v>
      </c>
      <c r="P356" s="141" t="s">
        <v>5294</v>
      </c>
      <c r="Q356" s="122" t="s">
        <v>243</v>
      </c>
      <c r="R356" s="142">
        <v>46</v>
      </c>
      <c r="S356" s="122" t="s">
        <v>5295</v>
      </c>
      <c r="U356" s="122" t="s">
        <v>4681</v>
      </c>
      <c r="W356" s="122" t="s">
        <v>246</v>
      </c>
      <c r="X356" s="122" t="s">
        <v>433</v>
      </c>
      <c r="Y356" s="141" t="s">
        <v>591</v>
      </c>
      <c r="Z356" s="122" t="s">
        <v>1568</v>
      </c>
      <c r="AA356" s="141" t="s">
        <v>500</v>
      </c>
      <c r="AB356" s="122" t="s">
        <v>5296</v>
      </c>
      <c r="AC356" s="141" t="s">
        <v>1762</v>
      </c>
      <c r="AD356" s="122" t="s">
        <v>5297</v>
      </c>
      <c r="AE356" s="122" t="s">
        <v>235</v>
      </c>
      <c r="AF356" s="122" t="s">
        <v>5298</v>
      </c>
      <c r="AG356" s="122" t="s">
        <v>537</v>
      </c>
      <c r="AH356" s="122" t="s">
        <v>253</v>
      </c>
      <c r="AI356" s="122" t="s">
        <v>5299</v>
      </c>
      <c r="AJ356" s="122" t="s">
        <v>5300</v>
      </c>
      <c r="AK356" s="122" t="s">
        <v>253</v>
      </c>
      <c r="AL356" s="122" t="s">
        <v>253</v>
      </c>
      <c r="AM356" s="122" t="s">
        <v>253</v>
      </c>
      <c r="AN356" s="122" t="s">
        <v>253</v>
      </c>
      <c r="AO356" s="141" t="s">
        <v>253</v>
      </c>
      <c r="AP356" s="141" t="s">
        <v>253</v>
      </c>
      <c r="AQ356" s="141" t="s">
        <v>247</v>
      </c>
      <c r="AR356" s="141" t="s">
        <v>253</v>
      </c>
      <c r="AS356" s="141" t="s">
        <v>361</v>
      </c>
      <c r="AT356" s="141" t="s">
        <v>601</v>
      </c>
      <c r="AU356" s="141" t="s">
        <v>258</v>
      </c>
      <c r="AV356" s="122" t="s">
        <v>259</v>
      </c>
      <c r="AW356" s="122" t="s">
        <v>260</v>
      </c>
      <c r="AY356" s="141" t="s">
        <v>253</v>
      </c>
      <c r="AZ356" s="122" t="s">
        <v>5301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46</v>
      </c>
      <c r="BJ356" s="123">
        <v>42233</v>
      </c>
      <c r="BK356" s="139" t="s">
        <v>264</v>
      </c>
      <c r="BL356" s="140">
        <v>177.95</v>
      </c>
      <c r="BM356" s="122">
        <v>34</v>
      </c>
    </row>
    <row r="357" spans="1:65" x14ac:dyDescent="0.25">
      <c r="A357" s="122" t="s">
        <v>485</v>
      </c>
      <c r="B357" s="122" t="s">
        <v>5302</v>
      </c>
      <c r="C357" s="122" t="s">
        <v>5303</v>
      </c>
      <c r="D357" s="122" t="s">
        <v>5304</v>
      </c>
      <c r="E357" s="123">
        <v>42219</v>
      </c>
      <c r="F357" s="122" t="s">
        <v>457</v>
      </c>
      <c r="G357" s="122" t="s">
        <v>235</v>
      </c>
      <c r="H357" s="122" t="s">
        <v>5305</v>
      </c>
      <c r="I357" s="122" t="s">
        <v>5306</v>
      </c>
      <c r="K357" s="122" t="s">
        <v>238</v>
      </c>
      <c r="L357" s="122" t="s">
        <v>371</v>
      </c>
      <c r="M357" s="122" t="s">
        <v>4833</v>
      </c>
      <c r="O357" s="141" t="s">
        <v>451</v>
      </c>
      <c r="P357" s="141" t="s">
        <v>5307</v>
      </c>
      <c r="Q357" s="122" t="s">
        <v>243</v>
      </c>
      <c r="R357" s="142">
        <v>47</v>
      </c>
      <c r="S357" s="122" t="s">
        <v>5308</v>
      </c>
      <c r="U357" s="122" t="s">
        <v>4681</v>
      </c>
      <c r="W357" s="122" t="s">
        <v>246</v>
      </c>
      <c r="X357" s="122" t="s">
        <v>260</v>
      </c>
      <c r="Y357" s="141" t="s">
        <v>500</v>
      </c>
      <c r="Z357" s="122" t="s">
        <v>571</v>
      </c>
      <c r="AB357" s="122" t="s">
        <v>250</v>
      </c>
      <c r="AD357" s="122" t="s">
        <v>250</v>
      </c>
      <c r="AE357" s="122" t="s">
        <v>235</v>
      </c>
      <c r="AF357" s="122" t="s">
        <v>5309</v>
      </c>
      <c r="AG357" s="122" t="s">
        <v>2163</v>
      </c>
      <c r="AH357" s="122" t="s">
        <v>253</v>
      </c>
      <c r="AI357" s="122" t="s">
        <v>5310</v>
      </c>
      <c r="AJ357" s="122" t="s">
        <v>5311</v>
      </c>
      <c r="AK357" s="122" t="s">
        <v>5312</v>
      </c>
      <c r="AL357" s="122" t="s">
        <v>253</v>
      </c>
      <c r="AM357" s="122" t="s">
        <v>253</v>
      </c>
      <c r="AN357" s="122" t="s">
        <v>253</v>
      </c>
      <c r="AO357" s="141" t="s">
        <v>247</v>
      </c>
      <c r="AP357" s="141" t="s">
        <v>247</v>
      </c>
      <c r="AQ357" s="141" t="s">
        <v>247</v>
      </c>
      <c r="AR357" s="141" t="s">
        <v>247</v>
      </c>
      <c r="AS357" s="141" t="s">
        <v>601</v>
      </c>
      <c r="AT357" s="141" t="s">
        <v>601</v>
      </c>
      <c r="AU357" s="141" t="s">
        <v>601</v>
      </c>
      <c r="AV357" s="122" t="s">
        <v>259</v>
      </c>
      <c r="AW357" s="122" t="s">
        <v>260</v>
      </c>
      <c r="AY357" s="141" t="s">
        <v>253</v>
      </c>
      <c r="AZ357" s="122" t="s">
        <v>5313</v>
      </c>
      <c r="BA357" s="122" t="s">
        <v>262</v>
      </c>
      <c r="BB357" s="122" t="s">
        <v>262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47</v>
      </c>
      <c r="BJ357" s="123">
        <v>42231</v>
      </c>
      <c r="BK357" s="139" t="s">
        <v>606</v>
      </c>
      <c r="BM357" s="122">
        <v>33</v>
      </c>
    </row>
    <row r="358" spans="1:65" x14ac:dyDescent="0.25">
      <c r="A358" s="122" t="s">
        <v>485</v>
      </c>
      <c r="B358" s="122" t="s">
        <v>5314</v>
      </c>
      <c r="C358" s="122" t="s">
        <v>5315</v>
      </c>
      <c r="D358" s="122" t="s">
        <v>5316</v>
      </c>
      <c r="E358" s="123">
        <v>42219</v>
      </c>
      <c r="F358" s="122" t="s">
        <v>5317</v>
      </c>
      <c r="G358" s="122" t="s">
        <v>235</v>
      </c>
      <c r="H358" s="122" t="s">
        <v>5318</v>
      </c>
      <c r="I358" s="122" t="s">
        <v>5319</v>
      </c>
      <c r="J358" s="122" t="s">
        <v>1710</v>
      </c>
      <c r="K358" s="122" t="s">
        <v>238</v>
      </c>
      <c r="L358" s="122" t="s">
        <v>371</v>
      </c>
      <c r="M358" s="122" t="s">
        <v>5320</v>
      </c>
      <c r="N358" s="122" t="s">
        <v>5321</v>
      </c>
      <c r="O358" s="141" t="s">
        <v>3777</v>
      </c>
      <c r="P358" s="141" t="s">
        <v>5322</v>
      </c>
      <c r="Q358" s="122" t="s">
        <v>243</v>
      </c>
      <c r="R358" s="142">
        <v>48</v>
      </c>
      <c r="S358" s="122" t="s">
        <v>5323</v>
      </c>
      <c r="U358" s="122" t="s">
        <v>4681</v>
      </c>
      <c r="W358" s="122" t="s">
        <v>246</v>
      </c>
      <c r="X358" s="122" t="s">
        <v>325</v>
      </c>
      <c r="Y358" s="141" t="s">
        <v>1161</v>
      </c>
      <c r="Z358" s="122" t="s">
        <v>5324</v>
      </c>
      <c r="AA358" s="141" t="s">
        <v>740</v>
      </c>
      <c r="AB358" s="122" t="s">
        <v>5325</v>
      </c>
      <c r="AC358" s="141" t="s">
        <v>595</v>
      </c>
      <c r="AD358" s="122" t="s">
        <v>3205</v>
      </c>
      <c r="AE358" s="122" t="s">
        <v>235</v>
      </c>
      <c r="AF358" s="122" t="s">
        <v>5326</v>
      </c>
      <c r="AG358" s="122" t="s">
        <v>537</v>
      </c>
      <c r="AH358" s="122" t="s">
        <v>253</v>
      </c>
      <c r="AI358" s="122" t="s">
        <v>3796</v>
      </c>
      <c r="AJ358" s="122" t="s">
        <v>1166</v>
      </c>
      <c r="AK358" s="122" t="s">
        <v>253</v>
      </c>
      <c r="AL358" s="122" t="s">
        <v>253</v>
      </c>
      <c r="AM358" s="122" t="s">
        <v>253</v>
      </c>
      <c r="AN358" s="122" t="s">
        <v>253</v>
      </c>
      <c r="AO358" s="141" t="s">
        <v>253</v>
      </c>
      <c r="AP358" s="141" t="s">
        <v>253</v>
      </c>
      <c r="AQ358" s="141" t="s">
        <v>247</v>
      </c>
      <c r="AR358" s="141" t="s">
        <v>253</v>
      </c>
      <c r="AS358" s="141" t="s">
        <v>361</v>
      </c>
      <c r="AT358" s="141" t="s">
        <v>601</v>
      </c>
      <c r="AU358" s="141" t="s">
        <v>258</v>
      </c>
      <c r="AV358" s="122" t="s">
        <v>259</v>
      </c>
      <c r="AW358" s="122" t="s">
        <v>260</v>
      </c>
      <c r="AX358" s="141" t="s">
        <v>5327</v>
      </c>
      <c r="AY358" s="141" t="s">
        <v>603</v>
      </c>
      <c r="AZ358" s="122" t="s">
        <v>5328</v>
      </c>
      <c r="BA358" s="122" t="s">
        <v>262</v>
      </c>
      <c r="BB358" s="122" t="s">
        <v>262</v>
      </c>
      <c r="BC358" s="141" t="s">
        <v>312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48</v>
      </c>
      <c r="BJ358" s="123">
        <v>42223</v>
      </c>
      <c r="BK358" s="139" t="s">
        <v>264</v>
      </c>
      <c r="BL358" s="140">
        <v>48.99</v>
      </c>
      <c r="BM358" s="122">
        <v>32</v>
      </c>
    </row>
    <row r="359" spans="1:65" x14ac:dyDescent="0.25">
      <c r="A359" s="122" t="s">
        <v>485</v>
      </c>
      <c r="B359" s="122" t="s">
        <v>5329</v>
      </c>
      <c r="C359" s="122" t="s">
        <v>5330</v>
      </c>
      <c r="D359" s="122" t="s">
        <v>5331</v>
      </c>
      <c r="E359" s="123">
        <v>42219</v>
      </c>
      <c r="F359" s="122" t="s">
        <v>457</v>
      </c>
      <c r="G359" s="122" t="s">
        <v>235</v>
      </c>
      <c r="H359" s="122" t="s">
        <v>448</v>
      </c>
      <c r="I359" s="122" t="s">
        <v>5332</v>
      </c>
      <c r="K359" s="122" t="s">
        <v>238</v>
      </c>
      <c r="L359" s="122" t="s">
        <v>530</v>
      </c>
      <c r="M359" s="122" t="s">
        <v>4956</v>
      </c>
      <c r="O359" s="141" t="s">
        <v>548</v>
      </c>
      <c r="P359" s="141" t="s">
        <v>5333</v>
      </c>
      <c r="Q359" s="122" t="s">
        <v>243</v>
      </c>
      <c r="R359" s="142">
        <v>49</v>
      </c>
      <c r="S359" s="122" t="s">
        <v>5334</v>
      </c>
      <c r="U359" s="122" t="s">
        <v>4681</v>
      </c>
      <c r="W359" s="122" t="s">
        <v>246</v>
      </c>
      <c r="X359" s="122" t="s">
        <v>260</v>
      </c>
      <c r="Z359" s="122" t="s">
        <v>250</v>
      </c>
      <c r="AB359" s="122" t="s">
        <v>250</v>
      </c>
      <c r="AD359" s="122" t="s">
        <v>250</v>
      </c>
      <c r="AE359" s="122" t="s">
        <v>235</v>
      </c>
      <c r="AF359" s="122" t="s">
        <v>5335</v>
      </c>
      <c r="AG359" s="122" t="s">
        <v>253</v>
      </c>
      <c r="AH359" s="122" t="s">
        <v>253</v>
      </c>
      <c r="AI359" s="122" t="s">
        <v>5336</v>
      </c>
      <c r="AJ359" s="122" t="s">
        <v>5337</v>
      </c>
      <c r="AK359" s="122" t="s">
        <v>5338</v>
      </c>
      <c r="AL359" s="122" t="s">
        <v>253</v>
      </c>
      <c r="AM359" s="122" t="s">
        <v>253</v>
      </c>
      <c r="AN359" s="122" t="s">
        <v>253</v>
      </c>
      <c r="AO359" s="141" t="s">
        <v>247</v>
      </c>
      <c r="AP359" s="141" t="s">
        <v>247</v>
      </c>
      <c r="AQ359" s="141" t="s">
        <v>253</v>
      </c>
      <c r="AR359" s="141" t="s">
        <v>253</v>
      </c>
      <c r="AS359" s="141" t="s">
        <v>601</v>
      </c>
      <c r="AT359" s="141" t="s">
        <v>258</v>
      </c>
      <c r="AU359" s="141" t="s">
        <v>258</v>
      </c>
      <c r="AV359" s="122" t="s">
        <v>259</v>
      </c>
      <c r="AW359" s="122" t="s">
        <v>260</v>
      </c>
      <c r="AY359" s="141" t="s">
        <v>253</v>
      </c>
      <c r="AZ359" s="122" t="s">
        <v>262</v>
      </c>
      <c r="BA359" s="122" t="s">
        <v>262</v>
      </c>
      <c r="BB359" s="122" t="s">
        <v>262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49</v>
      </c>
      <c r="BJ359" s="123">
        <v>42233</v>
      </c>
      <c r="BK359" s="139" t="s">
        <v>606</v>
      </c>
      <c r="BM359" s="122">
        <v>34</v>
      </c>
    </row>
    <row r="360" spans="1:65" x14ac:dyDescent="0.25">
      <c r="A360" s="122" t="s">
        <v>485</v>
      </c>
      <c r="B360" s="122" t="s">
        <v>5339</v>
      </c>
      <c r="C360" s="122" t="s">
        <v>5340</v>
      </c>
      <c r="D360" s="122" t="s">
        <v>5341</v>
      </c>
      <c r="E360" s="123">
        <v>42219</v>
      </c>
      <c r="F360" s="122" t="s">
        <v>457</v>
      </c>
      <c r="G360" s="122" t="s">
        <v>235</v>
      </c>
      <c r="H360" s="122" t="s">
        <v>5342</v>
      </c>
      <c r="I360" s="122" t="s">
        <v>5343</v>
      </c>
      <c r="J360" s="122" t="s">
        <v>2005</v>
      </c>
      <c r="K360" s="122" t="s">
        <v>238</v>
      </c>
      <c r="L360" s="122" t="s">
        <v>530</v>
      </c>
      <c r="M360" s="122" t="s">
        <v>4708</v>
      </c>
      <c r="O360" s="141" t="s">
        <v>566</v>
      </c>
      <c r="P360" s="141" t="s">
        <v>5344</v>
      </c>
      <c r="Q360" s="122" t="s">
        <v>243</v>
      </c>
      <c r="R360" s="142">
        <v>50</v>
      </c>
      <c r="S360" s="122" t="s">
        <v>5345</v>
      </c>
      <c r="U360" s="122" t="s">
        <v>4681</v>
      </c>
      <c r="W360" s="122" t="s">
        <v>246</v>
      </c>
      <c r="X360" s="122" t="s">
        <v>260</v>
      </c>
      <c r="Z360" s="122" t="s">
        <v>250</v>
      </c>
      <c r="AB360" s="122" t="s">
        <v>250</v>
      </c>
      <c r="AD360" s="122" t="s">
        <v>250</v>
      </c>
      <c r="AE360" s="122" t="s">
        <v>235</v>
      </c>
      <c r="AF360" s="122" t="s">
        <v>5346</v>
      </c>
      <c r="AG360" s="122" t="s">
        <v>253</v>
      </c>
      <c r="AH360" s="122" t="s">
        <v>253</v>
      </c>
      <c r="AI360" s="122" t="s">
        <v>5347</v>
      </c>
      <c r="AJ360" s="122" t="s">
        <v>5348</v>
      </c>
      <c r="AK360" s="122" t="s">
        <v>5349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247</v>
      </c>
      <c r="AS360" s="141" t="s">
        <v>601</v>
      </c>
      <c r="AT360" s="141" t="s">
        <v>601</v>
      </c>
      <c r="AU360" s="141" t="s">
        <v>601</v>
      </c>
      <c r="AV360" s="122" t="s">
        <v>259</v>
      </c>
      <c r="AW360" s="122" t="s">
        <v>260</v>
      </c>
      <c r="AY360" s="141" t="s">
        <v>253</v>
      </c>
      <c r="AZ360" s="122" t="s">
        <v>5350</v>
      </c>
      <c r="BA360" s="122" t="s">
        <v>262</v>
      </c>
      <c r="BB360" s="122" t="s">
        <v>262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50</v>
      </c>
      <c r="BJ360" s="123">
        <v>42233</v>
      </c>
      <c r="BK360" s="139" t="s">
        <v>606</v>
      </c>
      <c r="BM360" s="122">
        <v>34</v>
      </c>
    </row>
    <row r="361" spans="1:65" x14ac:dyDescent="0.25">
      <c r="A361" s="122" t="s">
        <v>485</v>
      </c>
      <c r="B361" s="122" t="s">
        <v>5351</v>
      </c>
      <c r="C361" s="122" t="s">
        <v>5352</v>
      </c>
      <c r="D361" s="122" t="s">
        <v>5353</v>
      </c>
      <c r="E361" s="123">
        <v>42219</v>
      </c>
      <c r="F361" s="122" t="s">
        <v>511</v>
      </c>
      <c r="G361" s="122" t="s">
        <v>235</v>
      </c>
      <c r="H361" s="122" t="s">
        <v>5354</v>
      </c>
      <c r="I361" s="122" t="s">
        <v>5120</v>
      </c>
      <c r="J361" s="122" t="s">
        <v>5355</v>
      </c>
      <c r="K361" s="122" t="s">
        <v>238</v>
      </c>
      <c r="L361" s="122" t="s">
        <v>530</v>
      </c>
      <c r="M361" s="122" t="s">
        <v>4780</v>
      </c>
      <c r="Q361" s="122" t="s">
        <v>243</v>
      </c>
      <c r="R361" s="142">
        <v>51</v>
      </c>
      <c r="S361" s="122" t="s">
        <v>5356</v>
      </c>
      <c r="U361" s="122" t="s">
        <v>4681</v>
      </c>
      <c r="W361" s="122" t="s">
        <v>246</v>
      </c>
      <c r="X361" s="122" t="s">
        <v>376</v>
      </c>
      <c r="Y361" s="141" t="s">
        <v>1440</v>
      </c>
      <c r="Z361" s="122" t="s">
        <v>5357</v>
      </c>
      <c r="AB361" s="122" t="s">
        <v>250</v>
      </c>
      <c r="AD361" s="122" t="s">
        <v>250</v>
      </c>
      <c r="AE361" s="122" t="s">
        <v>235</v>
      </c>
      <c r="AF361" s="122" t="s">
        <v>5358</v>
      </c>
      <c r="AG361" s="122" t="s">
        <v>537</v>
      </c>
      <c r="AH361" s="122" t="s">
        <v>253</v>
      </c>
      <c r="AI361" s="122" t="s">
        <v>1715</v>
      </c>
      <c r="AJ361" s="122" t="s">
        <v>3147</v>
      </c>
      <c r="AK361" s="122" t="s">
        <v>253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253</v>
      </c>
      <c r="AR361" s="141" t="s">
        <v>253</v>
      </c>
      <c r="AS361" s="141" t="s">
        <v>601</v>
      </c>
      <c r="AT361" s="141" t="s">
        <v>258</v>
      </c>
      <c r="AU361" s="141" t="s">
        <v>258</v>
      </c>
      <c r="AV361" s="122" t="s">
        <v>259</v>
      </c>
      <c r="AW361" s="122" t="s">
        <v>260</v>
      </c>
      <c r="AY361" s="141" t="s">
        <v>253</v>
      </c>
      <c r="AZ361" s="122" t="s">
        <v>5359</v>
      </c>
      <c r="BA361" s="122" t="s">
        <v>262</v>
      </c>
      <c r="BB361" s="122" t="s">
        <v>262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51</v>
      </c>
      <c r="BJ361" s="123">
        <v>42226</v>
      </c>
      <c r="BK361" s="139" t="s">
        <v>264</v>
      </c>
      <c r="BL361" s="140">
        <v>120</v>
      </c>
      <c r="BM361" s="122">
        <v>33</v>
      </c>
    </row>
    <row r="362" spans="1:65" x14ac:dyDescent="0.25">
      <c r="A362" s="122" t="s">
        <v>485</v>
      </c>
      <c r="B362" s="122" t="s">
        <v>5360</v>
      </c>
      <c r="C362" s="122" t="s">
        <v>5361</v>
      </c>
      <c r="D362" s="122" t="s">
        <v>5362</v>
      </c>
      <c r="E362" s="123">
        <v>42219</v>
      </c>
      <c r="F362" s="122" t="s">
        <v>511</v>
      </c>
      <c r="G362" s="122" t="s">
        <v>235</v>
      </c>
      <c r="H362" s="122" t="s">
        <v>5363</v>
      </c>
      <c r="I362" s="122" t="s">
        <v>5364</v>
      </c>
      <c r="J362" s="122" t="s">
        <v>2393</v>
      </c>
      <c r="K362" s="122" t="s">
        <v>238</v>
      </c>
      <c r="L362" s="122" t="s">
        <v>371</v>
      </c>
      <c r="M362" s="122" t="s">
        <v>5365</v>
      </c>
      <c r="O362" s="141" t="s">
        <v>5366</v>
      </c>
      <c r="P362" s="141" t="s">
        <v>5367</v>
      </c>
      <c r="Q362" s="122" t="s">
        <v>243</v>
      </c>
      <c r="R362" s="142">
        <v>52</v>
      </c>
      <c r="S362" s="122" t="s">
        <v>5368</v>
      </c>
      <c r="U362" s="122" t="s">
        <v>4681</v>
      </c>
      <c r="W362" s="122" t="s">
        <v>246</v>
      </c>
      <c r="X362" s="122" t="s">
        <v>376</v>
      </c>
      <c r="Z362" s="122" t="s">
        <v>250</v>
      </c>
      <c r="AB362" s="122" t="s">
        <v>250</v>
      </c>
      <c r="AD362" s="122" t="s">
        <v>250</v>
      </c>
      <c r="AE362" s="122" t="s">
        <v>235</v>
      </c>
      <c r="AF362" s="122" t="s">
        <v>5369</v>
      </c>
      <c r="AG362" s="122" t="s">
        <v>537</v>
      </c>
      <c r="AH362" s="122" t="s">
        <v>253</v>
      </c>
      <c r="AI362" s="122" t="s">
        <v>5370</v>
      </c>
      <c r="AJ362" s="122" t="s">
        <v>5371</v>
      </c>
      <c r="AK362" s="122" t="s">
        <v>253</v>
      </c>
      <c r="AL362" s="122" t="s">
        <v>253</v>
      </c>
      <c r="AM362" s="122" t="s">
        <v>253</v>
      </c>
      <c r="AN362" s="122" t="s">
        <v>253</v>
      </c>
      <c r="AO362" s="141" t="s">
        <v>247</v>
      </c>
      <c r="AP362" s="141" t="s">
        <v>253</v>
      </c>
      <c r="AQ362" s="141" t="s">
        <v>247</v>
      </c>
      <c r="AR362" s="141" t="s">
        <v>253</v>
      </c>
      <c r="AS362" s="141" t="s">
        <v>601</v>
      </c>
      <c r="AT362" s="141" t="s">
        <v>601</v>
      </c>
      <c r="AU362" s="141" t="s">
        <v>258</v>
      </c>
      <c r="AV362" s="122" t="s">
        <v>259</v>
      </c>
      <c r="AW362" s="122" t="s">
        <v>260</v>
      </c>
      <c r="AY362" s="141" t="s">
        <v>253</v>
      </c>
      <c r="AZ362" s="122" t="s">
        <v>5372</v>
      </c>
      <c r="BA362" s="122" t="s">
        <v>262</v>
      </c>
      <c r="BB362" s="122" t="s">
        <v>5373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52</v>
      </c>
      <c r="BJ362" s="123">
        <v>42221</v>
      </c>
      <c r="BK362" s="139" t="s">
        <v>264</v>
      </c>
      <c r="BL362" s="140">
        <v>311.83</v>
      </c>
      <c r="BM362" s="122">
        <v>32</v>
      </c>
    </row>
    <row r="363" spans="1:65" x14ac:dyDescent="0.25">
      <c r="A363" s="122" t="s">
        <v>578</v>
      </c>
      <c r="B363" s="122" t="s">
        <v>5374</v>
      </c>
      <c r="C363" s="122" t="s">
        <v>5375</v>
      </c>
      <c r="D363" s="122" t="s">
        <v>5376</v>
      </c>
      <c r="E363" s="123">
        <v>42219</v>
      </c>
      <c r="F363" s="122" t="s">
        <v>5377</v>
      </c>
      <c r="G363" s="122" t="s">
        <v>235</v>
      </c>
      <c r="H363" s="122" t="s">
        <v>5378</v>
      </c>
      <c r="I363" s="122" t="s">
        <v>5379</v>
      </c>
      <c r="J363" s="122" t="s">
        <v>5380</v>
      </c>
      <c r="K363" s="122" t="s">
        <v>238</v>
      </c>
      <c r="L363" s="122" t="s">
        <v>530</v>
      </c>
      <c r="M363" s="122" t="s">
        <v>5009</v>
      </c>
      <c r="O363" s="141" t="s">
        <v>451</v>
      </c>
      <c r="P363" s="141" t="s">
        <v>5381</v>
      </c>
      <c r="Q363" s="122" t="s">
        <v>243</v>
      </c>
      <c r="R363" s="142">
        <v>53</v>
      </c>
      <c r="S363" s="122" t="s">
        <v>5382</v>
      </c>
      <c r="U363" s="122" t="s">
        <v>4681</v>
      </c>
      <c r="W363" s="122" t="s">
        <v>246</v>
      </c>
      <c r="X363" s="122" t="s">
        <v>853</v>
      </c>
      <c r="Y363" s="141" t="s">
        <v>1256</v>
      </c>
      <c r="Z363" s="122" t="s">
        <v>5383</v>
      </c>
      <c r="AA363" s="141" t="s">
        <v>500</v>
      </c>
      <c r="AB363" s="122" t="s">
        <v>249</v>
      </c>
      <c r="AC363" s="141" t="s">
        <v>367</v>
      </c>
      <c r="AD363" s="122" t="s">
        <v>1545</v>
      </c>
      <c r="AE363" s="122" t="s">
        <v>235</v>
      </c>
      <c r="AF363" s="122" t="s">
        <v>5384</v>
      </c>
      <c r="AG363" s="122" t="s">
        <v>537</v>
      </c>
      <c r="AH363" s="122" t="s">
        <v>253</v>
      </c>
      <c r="AI363" s="122" t="s">
        <v>5385</v>
      </c>
      <c r="AJ363" s="122" t="s">
        <v>253</v>
      </c>
      <c r="AK363" s="122" t="s">
        <v>253</v>
      </c>
      <c r="AL363" s="122" t="s">
        <v>5386</v>
      </c>
      <c r="AM363" s="122" t="s">
        <v>253</v>
      </c>
      <c r="AN363" s="122" t="s">
        <v>253</v>
      </c>
      <c r="AO363" s="141" t="s">
        <v>247</v>
      </c>
      <c r="AP363" s="141" t="s">
        <v>247</v>
      </c>
      <c r="AQ363" s="141" t="s">
        <v>247</v>
      </c>
      <c r="AR363" s="141" t="s">
        <v>247</v>
      </c>
      <c r="AS363" s="141" t="s">
        <v>601</v>
      </c>
      <c r="AT363" s="141" t="s">
        <v>601</v>
      </c>
      <c r="AU363" s="141" t="s">
        <v>601</v>
      </c>
      <c r="AV363" s="122" t="s">
        <v>259</v>
      </c>
      <c r="AW363" s="122" t="s">
        <v>556</v>
      </c>
      <c r="AX363" s="141" t="s">
        <v>980</v>
      </c>
      <c r="AY363" s="141" t="s">
        <v>603</v>
      </c>
      <c r="AZ363" s="122" t="s">
        <v>5387</v>
      </c>
      <c r="BA363" s="122" t="s">
        <v>262</v>
      </c>
      <c r="BB363" s="122" t="s">
        <v>262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53</v>
      </c>
      <c r="BK363" s="139" t="s">
        <v>558</v>
      </c>
    </row>
    <row r="364" spans="1:65" x14ac:dyDescent="0.25">
      <c r="A364" s="122" t="s">
        <v>578</v>
      </c>
      <c r="B364" s="122" t="s">
        <v>5388</v>
      </c>
      <c r="C364" s="122" t="s">
        <v>5389</v>
      </c>
      <c r="D364" s="122" t="s">
        <v>5390</v>
      </c>
      <c r="E364" s="123">
        <v>42219</v>
      </c>
      <c r="F364" s="122" t="s">
        <v>417</v>
      </c>
      <c r="G364" s="122" t="s">
        <v>235</v>
      </c>
      <c r="H364" s="122" t="s">
        <v>5391</v>
      </c>
      <c r="I364" s="122" t="s">
        <v>5392</v>
      </c>
      <c r="K364" s="122" t="s">
        <v>238</v>
      </c>
      <c r="L364" s="122" t="s">
        <v>371</v>
      </c>
      <c r="M364" s="122" t="s">
        <v>5160</v>
      </c>
      <c r="O364" s="141" t="s">
        <v>566</v>
      </c>
      <c r="P364" s="141" t="s">
        <v>5393</v>
      </c>
      <c r="Q364" s="122" t="s">
        <v>243</v>
      </c>
      <c r="R364" s="142">
        <v>54</v>
      </c>
      <c r="S364" s="122" t="s">
        <v>5394</v>
      </c>
      <c r="U364" s="122" t="s">
        <v>4681</v>
      </c>
      <c r="W364" s="122" t="s">
        <v>246</v>
      </c>
      <c r="X364" s="122" t="s">
        <v>376</v>
      </c>
      <c r="Z364" s="122" t="s">
        <v>250</v>
      </c>
      <c r="AB364" s="122" t="s">
        <v>250</v>
      </c>
      <c r="AD364" s="122" t="s">
        <v>250</v>
      </c>
      <c r="AE364" s="122" t="s">
        <v>235</v>
      </c>
      <c r="AF364" s="122" t="s">
        <v>5395</v>
      </c>
      <c r="AG364" s="122" t="s">
        <v>537</v>
      </c>
      <c r="AH364" s="122" t="s">
        <v>253</v>
      </c>
      <c r="AI364" s="122" t="s">
        <v>5396</v>
      </c>
      <c r="AJ364" s="122" t="s">
        <v>5397</v>
      </c>
      <c r="AK364" s="122" t="s">
        <v>253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556</v>
      </c>
      <c r="AY364" s="141" t="s">
        <v>253</v>
      </c>
      <c r="AZ364" s="122" t="s">
        <v>5398</v>
      </c>
      <c r="BA364" s="122" t="s">
        <v>262</v>
      </c>
      <c r="BB364" s="122" t="s">
        <v>262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54</v>
      </c>
      <c r="BK364" s="139" t="s">
        <v>558</v>
      </c>
    </row>
    <row r="365" spans="1:65" x14ac:dyDescent="0.25">
      <c r="A365" s="122" t="s">
        <v>578</v>
      </c>
      <c r="B365" s="122" t="s">
        <v>5399</v>
      </c>
      <c r="C365" s="122" t="s">
        <v>5400</v>
      </c>
      <c r="D365" s="122" t="s">
        <v>5401</v>
      </c>
      <c r="E365" s="123">
        <v>42219</v>
      </c>
      <c r="F365" s="122" t="s">
        <v>5402</v>
      </c>
      <c r="G365" s="122" t="s">
        <v>235</v>
      </c>
      <c r="H365" s="122" t="s">
        <v>5403</v>
      </c>
      <c r="I365" s="122" t="s">
        <v>5404</v>
      </c>
      <c r="K365" s="122" t="s">
        <v>238</v>
      </c>
      <c r="L365" s="122" t="s">
        <v>530</v>
      </c>
      <c r="M365" s="122" t="s">
        <v>4795</v>
      </c>
      <c r="O365" s="141" t="s">
        <v>451</v>
      </c>
      <c r="P365" s="141" t="s">
        <v>5405</v>
      </c>
      <c r="Q365" s="122" t="s">
        <v>243</v>
      </c>
      <c r="R365" s="142">
        <v>55</v>
      </c>
      <c r="S365" s="122" t="s">
        <v>5406</v>
      </c>
      <c r="U365" s="122" t="s">
        <v>4681</v>
      </c>
      <c r="W365" s="122" t="s">
        <v>246</v>
      </c>
      <c r="X365" s="122" t="s">
        <v>631</v>
      </c>
      <c r="Y365" s="141" t="s">
        <v>668</v>
      </c>
      <c r="Z365" s="122" t="s">
        <v>5407</v>
      </c>
      <c r="AA365" s="141" t="s">
        <v>633</v>
      </c>
      <c r="AB365" s="122" t="s">
        <v>5408</v>
      </c>
      <c r="AC365" s="141" t="s">
        <v>672</v>
      </c>
      <c r="AD365" s="122" t="s">
        <v>5409</v>
      </c>
      <c r="AE365" s="122" t="s">
        <v>235</v>
      </c>
      <c r="AF365" s="122" t="s">
        <v>5410</v>
      </c>
      <c r="AG365" s="122" t="s">
        <v>537</v>
      </c>
      <c r="AH365" s="122" t="s">
        <v>253</v>
      </c>
      <c r="AI365" s="122" t="s">
        <v>5411</v>
      </c>
      <c r="AJ365" s="122" t="s">
        <v>5412</v>
      </c>
      <c r="AK365" s="122" t="s">
        <v>253</v>
      </c>
      <c r="AL365" s="122" t="s">
        <v>253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247</v>
      </c>
      <c r="AS365" s="141" t="s">
        <v>601</v>
      </c>
      <c r="AT365" s="141" t="s">
        <v>601</v>
      </c>
      <c r="AU365" s="141" t="s">
        <v>601</v>
      </c>
      <c r="AV365" s="122" t="s">
        <v>259</v>
      </c>
      <c r="AW365" s="122" t="s">
        <v>556</v>
      </c>
      <c r="AY365" s="141" t="s">
        <v>253</v>
      </c>
      <c r="AZ365" s="122" t="s">
        <v>5413</v>
      </c>
      <c r="BA365" s="122" t="s">
        <v>262</v>
      </c>
      <c r="BB365" s="122" t="s">
        <v>262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55</v>
      </c>
      <c r="BK365" s="139" t="s">
        <v>558</v>
      </c>
    </row>
    <row r="366" spans="1:65" x14ac:dyDescent="0.25">
      <c r="A366" s="122" t="s">
        <v>541</v>
      </c>
      <c r="B366" s="122" t="s">
        <v>5414</v>
      </c>
      <c r="C366" s="122" t="s">
        <v>5415</v>
      </c>
      <c r="D366" s="122" t="s">
        <v>5416</v>
      </c>
      <c r="E366" s="123">
        <v>42219</v>
      </c>
      <c r="F366" s="122" t="s">
        <v>5417</v>
      </c>
      <c r="G366" s="122" t="s">
        <v>235</v>
      </c>
      <c r="H366" s="122" t="s">
        <v>5418</v>
      </c>
      <c r="I366" s="122" t="s">
        <v>5419</v>
      </c>
      <c r="K366" s="122" t="s">
        <v>238</v>
      </c>
      <c r="L366" s="122" t="s">
        <v>371</v>
      </c>
      <c r="M366" s="122" t="s">
        <v>5056</v>
      </c>
      <c r="O366" s="141" t="s">
        <v>5420</v>
      </c>
      <c r="P366" s="141" t="s">
        <v>5421</v>
      </c>
      <c r="Q366" s="122" t="s">
        <v>243</v>
      </c>
      <c r="R366" s="142">
        <v>56</v>
      </c>
      <c r="S366" s="122" t="s">
        <v>5422</v>
      </c>
      <c r="U366" s="122" t="s">
        <v>4681</v>
      </c>
      <c r="W366" s="122" t="s">
        <v>246</v>
      </c>
      <c r="X366" s="122" t="s">
        <v>1643</v>
      </c>
      <c r="Y366" s="141" t="s">
        <v>2979</v>
      </c>
      <c r="Z366" s="122" t="s">
        <v>5423</v>
      </c>
      <c r="AA366" s="141" t="s">
        <v>707</v>
      </c>
      <c r="AB366" s="122" t="s">
        <v>5424</v>
      </c>
      <c r="AC366" s="141" t="s">
        <v>1498</v>
      </c>
      <c r="AD366" s="122" t="s">
        <v>5425</v>
      </c>
      <c r="AE366" s="122" t="s">
        <v>235</v>
      </c>
      <c r="AF366" s="122" t="s">
        <v>5426</v>
      </c>
      <c r="AG366" s="122" t="s">
        <v>747</v>
      </c>
      <c r="AH366" s="122" t="s">
        <v>253</v>
      </c>
      <c r="AI366" s="122" t="s">
        <v>5427</v>
      </c>
      <c r="AJ366" s="122" t="s">
        <v>5428</v>
      </c>
      <c r="AK366" s="122" t="s">
        <v>5429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247</v>
      </c>
      <c r="AR366" s="141" t="s">
        <v>247</v>
      </c>
      <c r="AS366" s="141" t="s">
        <v>601</v>
      </c>
      <c r="AT366" s="141" t="s">
        <v>601</v>
      </c>
      <c r="AU366" s="141" t="s">
        <v>601</v>
      </c>
      <c r="AV366" s="122" t="s">
        <v>259</v>
      </c>
      <c r="AW366" s="122" t="s">
        <v>556</v>
      </c>
      <c r="AX366" s="141" t="s">
        <v>2986</v>
      </c>
      <c r="AY366" s="141" t="s">
        <v>442</v>
      </c>
      <c r="AZ366" s="122" t="s">
        <v>5430</v>
      </c>
      <c r="BA366" s="122" t="s">
        <v>262</v>
      </c>
      <c r="BB366" s="122" t="s">
        <v>5431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56</v>
      </c>
      <c r="BK366" s="139" t="s">
        <v>558</v>
      </c>
    </row>
    <row r="367" spans="1:65" x14ac:dyDescent="0.25">
      <c r="A367" s="122" t="s">
        <v>541</v>
      </c>
      <c r="B367" s="122" t="s">
        <v>5432</v>
      </c>
      <c r="C367" s="122" t="s">
        <v>5433</v>
      </c>
      <c r="D367" s="122" t="s">
        <v>5434</v>
      </c>
      <c r="E367" s="123">
        <v>42219</v>
      </c>
      <c r="F367" s="122" t="s">
        <v>5435</v>
      </c>
      <c r="G367" s="122" t="s">
        <v>235</v>
      </c>
      <c r="H367" s="122" t="s">
        <v>5436</v>
      </c>
      <c r="I367" s="122" t="s">
        <v>5437</v>
      </c>
      <c r="J367" s="122" t="s">
        <v>5438</v>
      </c>
      <c r="K367" s="122" t="s">
        <v>238</v>
      </c>
      <c r="L367" s="122" t="s">
        <v>530</v>
      </c>
      <c r="M367" s="122" t="s">
        <v>5439</v>
      </c>
      <c r="O367" s="141" t="s">
        <v>566</v>
      </c>
      <c r="P367" s="141" t="s">
        <v>5440</v>
      </c>
      <c r="Q367" s="122" t="s">
        <v>243</v>
      </c>
      <c r="R367" s="142">
        <v>57</v>
      </c>
      <c r="S367" s="122" t="s">
        <v>5441</v>
      </c>
      <c r="T367" s="122" t="s">
        <v>5442</v>
      </c>
      <c r="U367" s="122" t="s">
        <v>4681</v>
      </c>
      <c r="W367" s="122" t="s">
        <v>246</v>
      </c>
      <c r="X367" s="122" t="s">
        <v>247</v>
      </c>
      <c r="Y367" s="141" t="s">
        <v>784</v>
      </c>
      <c r="Z367" s="122" t="s">
        <v>5443</v>
      </c>
      <c r="AA367" s="141" t="s">
        <v>1090</v>
      </c>
      <c r="AB367" s="122" t="s">
        <v>5444</v>
      </c>
      <c r="AC367" s="141" t="s">
        <v>367</v>
      </c>
      <c r="AD367" s="122" t="s">
        <v>5445</v>
      </c>
      <c r="AE367" s="122" t="s">
        <v>235</v>
      </c>
      <c r="AF367" s="122" t="s">
        <v>5446</v>
      </c>
      <c r="AG367" s="122" t="s">
        <v>253</v>
      </c>
      <c r="AH367" s="122" t="s">
        <v>253</v>
      </c>
      <c r="AI367" s="122" t="s">
        <v>5447</v>
      </c>
      <c r="AJ367" s="122" t="s">
        <v>5448</v>
      </c>
      <c r="AK367" s="122" t="s">
        <v>5449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247</v>
      </c>
      <c r="AR367" s="141" t="s">
        <v>247</v>
      </c>
      <c r="AS367" s="141" t="s">
        <v>601</v>
      </c>
      <c r="AT367" s="141" t="s">
        <v>601</v>
      </c>
      <c r="AU367" s="141" t="s">
        <v>601</v>
      </c>
      <c r="AV367" s="122" t="s">
        <v>259</v>
      </c>
      <c r="AW367" s="122" t="s">
        <v>556</v>
      </c>
      <c r="AX367" s="141" t="s">
        <v>5450</v>
      </c>
      <c r="AY367" s="141" t="s">
        <v>603</v>
      </c>
      <c r="AZ367" s="122" t="s">
        <v>5451</v>
      </c>
      <c r="BA367" s="122" t="s">
        <v>262</v>
      </c>
      <c r="BB367" s="122" t="s">
        <v>5452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57</v>
      </c>
      <c r="BK367" s="139" t="s">
        <v>558</v>
      </c>
    </row>
    <row r="368" spans="1:65" x14ac:dyDescent="0.25">
      <c r="A368" s="122" t="s">
        <v>230</v>
      </c>
      <c r="B368" s="122" t="s">
        <v>5453</v>
      </c>
      <c r="C368" s="122" t="s">
        <v>4673</v>
      </c>
      <c r="D368" s="122" t="s">
        <v>4674</v>
      </c>
      <c r="E368" s="123">
        <v>42219</v>
      </c>
      <c r="F368" s="122" t="s">
        <v>707</v>
      </c>
      <c r="G368" s="122" t="s">
        <v>235</v>
      </c>
      <c r="H368" s="122" t="s">
        <v>4675</v>
      </c>
      <c r="I368" s="122" t="s">
        <v>4676</v>
      </c>
      <c r="K368" s="122" t="s">
        <v>238</v>
      </c>
      <c r="L368" s="122" t="s">
        <v>371</v>
      </c>
      <c r="M368" s="122" t="s">
        <v>4677</v>
      </c>
      <c r="N368" s="122" t="s">
        <v>4678</v>
      </c>
      <c r="O368" s="141" t="s">
        <v>548</v>
      </c>
      <c r="P368" s="141" t="s">
        <v>4679</v>
      </c>
      <c r="Q368" s="122" t="s">
        <v>243</v>
      </c>
      <c r="R368" s="142">
        <v>58</v>
      </c>
      <c r="S368" s="122" t="s">
        <v>4680</v>
      </c>
      <c r="U368" s="122" t="s">
        <v>4681</v>
      </c>
      <c r="W368" s="122" t="s">
        <v>246</v>
      </c>
      <c r="X368" s="122" t="s">
        <v>302</v>
      </c>
      <c r="Y368" s="141" t="s">
        <v>834</v>
      </c>
      <c r="Z368" s="122" t="s">
        <v>4682</v>
      </c>
      <c r="AA368" s="141" t="s">
        <v>834</v>
      </c>
      <c r="AB368" s="122" t="s">
        <v>4683</v>
      </c>
      <c r="AC368" s="141" t="s">
        <v>1398</v>
      </c>
      <c r="AD368" s="122" t="s">
        <v>4684</v>
      </c>
      <c r="AE368" s="122" t="s">
        <v>235</v>
      </c>
      <c r="AF368" s="122" t="s">
        <v>4685</v>
      </c>
      <c r="AG368" s="122" t="s">
        <v>537</v>
      </c>
      <c r="AH368" s="122" t="s">
        <v>253</v>
      </c>
      <c r="AI368" s="122" t="s">
        <v>1808</v>
      </c>
      <c r="AJ368" s="122" t="s">
        <v>4686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247</v>
      </c>
      <c r="AP368" s="141" t="s">
        <v>247</v>
      </c>
      <c r="AQ368" s="141" t="s">
        <v>247</v>
      </c>
      <c r="AR368" s="141" t="s">
        <v>247</v>
      </c>
      <c r="AS368" s="141" t="s">
        <v>601</v>
      </c>
      <c r="AT368" s="141" t="s">
        <v>601</v>
      </c>
      <c r="AU368" s="141" t="s">
        <v>601</v>
      </c>
      <c r="AV368" s="122" t="s">
        <v>259</v>
      </c>
      <c r="AW368" s="122" t="s">
        <v>556</v>
      </c>
      <c r="AY368" s="141" t="s">
        <v>253</v>
      </c>
      <c r="AZ368" s="122" t="s">
        <v>4687</v>
      </c>
      <c r="BA368" s="122" t="s">
        <v>262</v>
      </c>
      <c r="BB368" s="122" t="s">
        <v>4687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58</v>
      </c>
      <c r="BK368" s="139" t="s">
        <v>558</v>
      </c>
    </row>
    <row r="369" spans="1:65" x14ac:dyDescent="0.25">
      <c r="A369" s="122" t="s">
        <v>230</v>
      </c>
      <c r="B369" s="122" t="s">
        <v>5454</v>
      </c>
      <c r="C369" s="122" t="s">
        <v>5455</v>
      </c>
      <c r="D369" s="122" t="s">
        <v>5456</v>
      </c>
      <c r="E369" s="123">
        <v>42219</v>
      </c>
      <c r="F369" s="122" t="s">
        <v>3574</v>
      </c>
      <c r="G369" s="122" t="s">
        <v>235</v>
      </c>
      <c r="H369" s="122" t="s">
        <v>448</v>
      </c>
      <c r="I369" s="122" t="s">
        <v>5457</v>
      </c>
      <c r="K369" s="122" t="s">
        <v>238</v>
      </c>
      <c r="L369" s="122" t="s">
        <v>371</v>
      </c>
      <c r="M369" s="122" t="s">
        <v>5276</v>
      </c>
      <c r="Q369" s="122" t="s">
        <v>243</v>
      </c>
      <c r="R369" s="142">
        <v>59</v>
      </c>
      <c r="S369" s="122" t="s">
        <v>5458</v>
      </c>
      <c r="U369" s="122" t="s">
        <v>4681</v>
      </c>
      <c r="W369" s="122" t="s">
        <v>246</v>
      </c>
      <c r="X369" s="122" t="s">
        <v>260</v>
      </c>
      <c r="Y369" s="141" t="s">
        <v>328</v>
      </c>
      <c r="Z369" s="122" t="s">
        <v>5459</v>
      </c>
      <c r="AB369" s="122" t="s">
        <v>250</v>
      </c>
      <c r="AD369" s="122" t="s">
        <v>250</v>
      </c>
      <c r="AE369" s="122" t="s">
        <v>235</v>
      </c>
      <c r="AF369" s="122" t="s">
        <v>5460</v>
      </c>
      <c r="AG369" s="122" t="s">
        <v>253</v>
      </c>
      <c r="AH369" s="122" t="s">
        <v>253</v>
      </c>
      <c r="AI369" s="122" t="s">
        <v>5461</v>
      </c>
      <c r="AJ369" s="122" t="s">
        <v>5462</v>
      </c>
      <c r="AK369" s="122" t="s">
        <v>5463</v>
      </c>
      <c r="AL369" s="122" t="s">
        <v>5464</v>
      </c>
      <c r="AM369" s="122" t="s">
        <v>253</v>
      </c>
      <c r="AN369" s="122" t="s">
        <v>253</v>
      </c>
      <c r="AO369" s="141" t="s">
        <v>253</v>
      </c>
      <c r="AP369" s="141" t="s">
        <v>253</v>
      </c>
      <c r="AQ369" s="141" t="s">
        <v>253</v>
      </c>
      <c r="AR369" s="141" t="s">
        <v>247</v>
      </c>
      <c r="AS369" s="141" t="s">
        <v>361</v>
      </c>
      <c r="AT369" s="141" t="s">
        <v>258</v>
      </c>
      <c r="AU369" s="141" t="s">
        <v>601</v>
      </c>
      <c r="AV369" s="122" t="s">
        <v>259</v>
      </c>
      <c r="AW369" s="122" t="s">
        <v>556</v>
      </c>
      <c r="AY369" s="141" t="s">
        <v>253</v>
      </c>
      <c r="AZ369" s="122" t="s">
        <v>262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59</v>
      </c>
      <c r="BJ369" s="123">
        <v>42231</v>
      </c>
      <c r="BK369" s="139" t="s">
        <v>606</v>
      </c>
      <c r="BM369" s="122">
        <v>33</v>
      </c>
    </row>
    <row r="370" spans="1:65" x14ac:dyDescent="0.25">
      <c r="A370" s="122" t="s">
        <v>230</v>
      </c>
      <c r="B370" s="122" t="s">
        <v>5465</v>
      </c>
      <c r="C370" s="122" t="s">
        <v>4719</v>
      </c>
      <c r="D370" s="122" t="s">
        <v>4720</v>
      </c>
      <c r="E370" s="123">
        <v>42219</v>
      </c>
      <c r="F370" s="122" t="s">
        <v>1484</v>
      </c>
      <c r="G370" s="122" t="s">
        <v>235</v>
      </c>
      <c r="H370" s="122" t="s">
        <v>448</v>
      </c>
      <c r="I370" s="122" t="s">
        <v>4721</v>
      </c>
      <c r="K370" s="122" t="s">
        <v>238</v>
      </c>
      <c r="L370" s="122" t="s">
        <v>371</v>
      </c>
      <c r="M370" s="122" t="s">
        <v>4722</v>
      </c>
      <c r="O370" s="141" t="s">
        <v>780</v>
      </c>
      <c r="P370" s="141" t="s">
        <v>4723</v>
      </c>
      <c r="Q370" s="122" t="s">
        <v>243</v>
      </c>
      <c r="R370" s="142">
        <v>60</v>
      </c>
      <c r="S370" s="122" t="s">
        <v>4724</v>
      </c>
      <c r="U370" s="122" t="s">
        <v>4681</v>
      </c>
      <c r="W370" s="122" t="s">
        <v>246</v>
      </c>
      <c r="X370" s="122" t="s">
        <v>302</v>
      </c>
      <c r="Y370" s="141" t="s">
        <v>958</v>
      </c>
      <c r="Z370" s="122" t="s">
        <v>4725</v>
      </c>
      <c r="AA370" s="141" t="s">
        <v>2133</v>
      </c>
      <c r="AB370" s="122" t="s">
        <v>4726</v>
      </c>
      <c r="AC370" s="141" t="s">
        <v>1762</v>
      </c>
      <c r="AD370" s="122" t="s">
        <v>3489</v>
      </c>
      <c r="AE370" s="122" t="s">
        <v>235</v>
      </c>
      <c r="AF370" s="122" t="s">
        <v>4727</v>
      </c>
      <c r="AG370" s="122" t="s">
        <v>537</v>
      </c>
      <c r="AH370" s="122" t="s">
        <v>253</v>
      </c>
      <c r="AI370" s="122" t="s">
        <v>4728</v>
      </c>
      <c r="AJ370" s="122" t="s">
        <v>4729</v>
      </c>
      <c r="AK370" s="122" t="s">
        <v>253</v>
      </c>
      <c r="AL370" s="122" t="s">
        <v>253</v>
      </c>
      <c r="AM370" s="122" t="s">
        <v>253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556</v>
      </c>
      <c r="AY370" s="141" t="s">
        <v>253</v>
      </c>
      <c r="AZ370" s="122" t="s">
        <v>262</v>
      </c>
      <c r="BA370" s="122" t="s">
        <v>262</v>
      </c>
      <c r="BB370" s="122" t="s">
        <v>4730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60</v>
      </c>
      <c r="BK370" s="139" t="s">
        <v>558</v>
      </c>
    </row>
    <row r="371" spans="1:65" x14ac:dyDescent="0.25">
      <c r="A371" s="122" t="s">
        <v>404</v>
      </c>
      <c r="B371" s="122" t="s">
        <v>5466</v>
      </c>
      <c r="C371" s="122" t="s">
        <v>4791</v>
      </c>
      <c r="D371" s="122" t="s">
        <v>4792</v>
      </c>
      <c r="E371" s="123">
        <v>42219</v>
      </c>
      <c r="F371" s="122" t="s">
        <v>2405</v>
      </c>
      <c r="G371" s="122" t="s">
        <v>235</v>
      </c>
      <c r="H371" s="122" t="s">
        <v>4793</v>
      </c>
      <c r="I371" s="122" t="s">
        <v>4794</v>
      </c>
      <c r="J371" s="122" t="s">
        <v>1053</v>
      </c>
      <c r="K371" s="122" t="s">
        <v>238</v>
      </c>
      <c r="L371" s="122" t="s">
        <v>530</v>
      </c>
      <c r="M371" s="122" t="s">
        <v>4795</v>
      </c>
      <c r="N371" s="122" t="s">
        <v>4796</v>
      </c>
      <c r="O371" s="141" t="s">
        <v>873</v>
      </c>
      <c r="P371" s="141" t="s">
        <v>4797</v>
      </c>
      <c r="Q371" s="122" t="s">
        <v>243</v>
      </c>
      <c r="R371" s="142">
        <v>61</v>
      </c>
      <c r="S371" s="122" t="s">
        <v>4798</v>
      </c>
      <c r="U371" s="122" t="s">
        <v>4681</v>
      </c>
      <c r="W371" s="122" t="s">
        <v>246</v>
      </c>
      <c r="X371" s="122" t="s">
        <v>260</v>
      </c>
      <c r="Y371" s="141" t="s">
        <v>722</v>
      </c>
      <c r="Z371" s="122" t="s">
        <v>4799</v>
      </c>
      <c r="AA371" s="141" t="s">
        <v>985</v>
      </c>
      <c r="AB371" s="122" t="s">
        <v>4800</v>
      </c>
      <c r="AC371" s="141" t="s">
        <v>855</v>
      </c>
      <c r="AD371" s="122" t="s">
        <v>4801</v>
      </c>
      <c r="AE371" s="122" t="s">
        <v>235</v>
      </c>
      <c r="AF371" s="122" t="s">
        <v>4802</v>
      </c>
      <c r="AG371" s="122" t="s">
        <v>253</v>
      </c>
      <c r="AH371" s="122" t="s">
        <v>253</v>
      </c>
      <c r="AI371" s="122" t="s">
        <v>4803</v>
      </c>
      <c r="AJ371" s="122" t="s">
        <v>4804</v>
      </c>
      <c r="AK371" s="122" t="s">
        <v>4805</v>
      </c>
      <c r="AL371" s="122" t="s">
        <v>253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253</v>
      </c>
      <c r="AR371" s="141" t="s">
        <v>247</v>
      </c>
      <c r="AS371" s="141" t="s">
        <v>601</v>
      </c>
      <c r="AT371" s="141" t="s">
        <v>258</v>
      </c>
      <c r="AU371" s="141" t="s">
        <v>601</v>
      </c>
      <c r="AV371" s="122" t="s">
        <v>259</v>
      </c>
      <c r="AW371" s="122" t="s">
        <v>556</v>
      </c>
      <c r="AY371" s="141" t="s">
        <v>253</v>
      </c>
      <c r="AZ371" s="122" t="s">
        <v>4806</v>
      </c>
      <c r="BA371" s="122" t="s">
        <v>262</v>
      </c>
      <c r="BB371" s="122" t="s">
        <v>4806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61</v>
      </c>
      <c r="BK371" s="139" t="s">
        <v>558</v>
      </c>
    </row>
    <row r="372" spans="1:65" x14ac:dyDescent="0.25">
      <c r="A372" s="122" t="s">
        <v>404</v>
      </c>
      <c r="B372" s="122" t="s">
        <v>5467</v>
      </c>
      <c r="C372" s="122" t="s">
        <v>4829</v>
      </c>
      <c r="D372" s="122" t="s">
        <v>4830</v>
      </c>
      <c r="E372" s="123">
        <v>42219</v>
      </c>
      <c r="F372" s="122" t="s">
        <v>3689</v>
      </c>
      <c r="G372" s="122" t="s">
        <v>235</v>
      </c>
      <c r="H372" s="122" t="s">
        <v>4831</v>
      </c>
      <c r="I372" s="122" t="s">
        <v>4832</v>
      </c>
      <c r="K372" s="122" t="s">
        <v>238</v>
      </c>
      <c r="L372" s="122" t="s">
        <v>371</v>
      </c>
      <c r="M372" s="122" t="s">
        <v>4833</v>
      </c>
      <c r="O372" s="141" t="s">
        <v>451</v>
      </c>
      <c r="P372" s="141" t="s">
        <v>4834</v>
      </c>
      <c r="Q372" s="122" t="s">
        <v>243</v>
      </c>
      <c r="R372" s="142">
        <v>62</v>
      </c>
      <c r="S372" s="122" t="s">
        <v>4835</v>
      </c>
      <c r="U372" s="122" t="s">
        <v>4681</v>
      </c>
      <c r="W372" s="122" t="s">
        <v>246</v>
      </c>
      <c r="X372" s="122" t="s">
        <v>376</v>
      </c>
      <c r="Y372" s="141" t="s">
        <v>248</v>
      </c>
      <c r="Z372" s="122" t="s">
        <v>959</v>
      </c>
      <c r="AA372" s="141" t="s">
        <v>2105</v>
      </c>
      <c r="AB372" s="122" t="s">
        <v>4836</v>
      </c>
      <c r="AC372" s="141" t="s">
        <v>2105</v>
      </c>
      <c r="AD372" s="122" t="s">
        <v>800</v>
      </c>
      <c r="AE372" s="122" t="s">
        <v>235</v>
      </c>
      <c r="AF372" s="122" t="s">
        <v>4837</v>
      </c>
      <c r="AG372" s="122" t="s">
        <v>4838</v>
      </c>
      <c r="AH372" s="122" t="s">
        <v>253</v>
      </c>
      <c r="AI372" s="122" t="s">
        <v>4839</v>
      </c>
      <c r="AJ372" s="122" t="s">
        <v>4840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247</v>
      </c>
      <c r="AP372" s="141" t="s">
        <v>247</v>
      </c>
      <c r="AQ372" s="141" t="s">
        <v>247</v>
      </c>
      <c r="AR372" s="141" t="s">
        <v>247</v>
      </c>
      <c r="AS372" s="141" t="s">
        <v>601</v>
      </c>
      <c r="AT372" s="141" t="s">
        <v>601</v>
      </c>
      <c r="AU372" s="141" t="s">
        <v>601</v>
      </c>
      <c r="AV372" s="122" t="s">
        <v>259</v>
      </c>
      <c r="AW372" s="122" t="s">
        <v>556</v>
      </c>
      <c r="AY372" s="141" t="s">
        <v>253</v>
      </c>
      <c r="AZ372" s="122" t="s">
        <v>4841</v>
      </c>
      <c r="BA372" s="122" t="s">
        <v>4842</v>
      </c>
      <c r="BB372" s="122" t="s">
        <v>262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62</v>
      </c>
      <c r="BK372" s="139" t="s">
        <v>558</v>
      </c>
    </row>
    <row r="373" spans="1:65" x14ac:dyDescent="0.25">
      <c r="A373" s="122" t="s">
        <v>404</v>
      </c>
      <c r="B373" s="122" t="s">
        <v>5468</v>
      </c>
      <c r="C373" s="122" t="s">
        <v>4844</v>
      </c>
      <c r="D373" s="122" t="s">
        <v>4845</v>
      </c>
      <c r="E373" s="123">
        <v>42219</v>
      </c>
      <c r="F373" s="122" t="s">
        <v>3598</v>
      </c>
      <c r="G373" s="122" t="s">
        <v>235</v>
      </c>
      <c r="H373" s="122" t="s">
        <v>448</v>
      </c>
      <c r="I373" s="122" t="s">
        <v>4846</v>
      </c>
      <c r="K373" s="122" t="s">
        <v>238</v>
      </c>
      <c r="L373" s="122" t="s">
        <v>530</v>
      </c>
      <c r="M373" s="122" t="s">
        <v>4847</v>
      </c>
      <c r="O373" s="141" t="s">
        <v>4848</v>
      </c>
      <c r="P373" s="141" t="s">
        <v>4849</v>
      </c>
      <c r="Q373" s="122" t="s">
        <v>243</v>
      </c>
      <c r="R373" s="142">
        <v>63</v>
      </c>
      <c r="S373" s="122" t="s">
        <v>4850</v>
      </c>
      <c r="U373" s="122" t="s">
        <v>4681</v>
      </c>
      <c r="W373" s="122" t="s">
        <v>246</v>
      </c>
      <c r="X373" s="122" t="s">
        <v>302</v>
      </c>
      <c r="Y373" s="141" t="s">
        <v>2804</v>
      </c>
      <c r="Z373" s="122" t="s">
        <v>4851</v>
      </c>
      <c r="AA373" s="141" t="s">
        <v>901</v>
      </c>
      <c r="AB373" s="122" t="s">
        <v>4852</v>
      </c>
      <c r="AC373" s="141" t="s">
        <v>921</v>
      </c>
      <c r="AD373" s="122" t="s">
        <v>4853</v>
      </c>
      <c r="AE373" s="122" t="s">
        <v>235</v>
      </c>
      <c r="AF373" s="122" t="s">
        <v>4854</v>
      </c>
      <c r="AG373" s="122" t="s">
        <v>537</v>
      </c>
      <c r="AH373" s="122" t="s">
        <v>253</v>
      </c>
      <c r="AI373" s="122" t="s">
        <v>4855</v>
      </c>
      <c r="AJ373" s="122" t="s">
        <v>4856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556</v>
      </c>
      <c r="AY373" s="141" t="s">
        <v>253</v>
      </c>
      <c r="AZ373" s="122" t="s">
        <v>262</v>
      </c>
      <c r="BA373" s="122" t="s">
        <v>262</v>
      </c>
      <c r="BB373" s="122" t="s">
        <v>4857</v>
      </c>
      <c r="BC373" s="141" t="s">
        <v>312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63</v>
      </c>
      <c r="BK373" s="139" t="s">
        <v>558</v>
      </c>
    </row>
    <row r="374" spans="1:65" x14ac:dyDescent="0.25">
      <c r="A374" s="122" t="s">
        <v>404</v>
      </c>
      <c r="B374" s="122" t="s">
        <v>5469</v>
      </c>
      <c r="C374" s="122" t="s">
        <v>4890</v>
      </c>
      <c r="D374" s="122" t="s">
        <v>4891</v>
      </c>
      <c r="E374" s="123">
        <v>42219</v>
      </c>
      <c r="F374" s="122" t="s">
        <v>4892</v>
      </c>
      <c r="G374" s="122" t="s">
        <v>235</v>
      </c>
      <c r="H374" s="122" t="s">
        <v>4893</v>
      </c>
      <c r="I374" s="122" t="s">
        <v>4894</v>
      </c>
      <c r="J374" s="122" t="s">
        <v>4895</v>
      </c>
      <c r="K374" s="122" t="s">
        <v>238</v>
      </c>
      <c r="L374" s="122" t="s">
        <v>530</v>
      </c>
      <c r="M374" s="122" t="s">
        <v>4763</v>
      </c>
      <c r="O374" s="141" t="s">
        <v>390</v>
      </c>
      <c r="P374" s="141" t="s">
        <v>4896</v>
      </c>
      <c r="Q374" s="122" t="s">
        <v>243</v>
      </c>
      <c r="R374" s="142">
        <v>64</v>
      </c>
      <c r="S374" s="122" t="s">
        <v>4897</v>
      </c>
      <c r="U374" s="122" t="s">
        <v>4681</v>
      </c>
      <c r="W374" s="122" t="s">
        <v>246</v>
      </c>
      <c r="X374" s="122" t="s">
        <v>302</v>
      </c>
      <c r="Y374" s="141" t="s">
        <v>668</v>
      </c>
      <c r="Z374" s="122" t="s">
        <v>3793</v>
      </c>
      <c r="AA374" s="141" t="s">
        <v>304</v>
      </c>
      <c r="AB374" s="122" t="s">
        <v>4898</v>
      </c>
      <c r="AC374" s="141" t="s">
        <v>901</v>
      </c>
      <c r="AD374" s="122" t="s">
        <v>4899</v>
      </c>
      <c r="AE374" s="122" t="s">
        <v>235</v>
      </c>
      <c r="AF374" s="122" t="s">
        <v>4900</v>
      </c>
      <c r="AG374" s="122" t="s">
        <v>537</v>
      </c>
      <c r="AH374" s="122" t="s">
        <v>253</v>
      </c>
      <c r="AI374" s="122" t="s">
        <v>4901</v>
      </c>
      <c r="AJ374" s="122" t="s">
        <v>4902</v>
      </c>
      <c r="AK374" s="122" t="s">
        <v>4903</v>
      </c>
      <c r="AL374" s="122" t="s">
        <v>253</v>
      </c>
      <c r="AM374" s="122" t="s">
        <v>253</v>
      </c>
      <c r="AN374" s="122" t="s">
        <v>253</v>
      </c>
      <c r="AO374" s="141" t="s">
        <v>247</v>
      </c>
      <c r="AP374" s="141" t="s">
        <v>253</v>
      </c>
      <c r="AQ374" s="141" t="s">
        <v>253</v>
      </c>
      <c r="AR374" s="141" t="s">
        <v>247</v>
      </c>
      <c r="AS374" s="141" t="s">
        <v>601</v>
      </c>
      <c r="AT374" s="141" t="s">
        <v>258</v>
      </c>
      <c r="AU374" s="141" t="s">
        <v>601</v>
      </c>
      <c r="AV374" s="122" t="s">
        <v>259</v>
      </c>
      <c r="AW374" s="122" t="s">
        <v>556</v>
      </c>
      <c r="AY374" s="141" t="s">
        <v>253</v>
      </c>
      <c r="AZ374" s="122" t="s">
        <v>4904</v>
      </c>
      <c r="BA374" s="122" t="s">
        <v>262</v>
      </c>
      <c r="BB374" s="122" t="s">
        <v>4905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64</v>
      </c>
      <c r="BK374" s="139" t="s">
        <v>558</v>
      </c>
    </row>
    <row r="375" spans="1:65" x14ac:dyDescent="0.25">
      <c r="A375" s="122" t="s">
        <v>404</v>
      </c>
      <c r="B375" s="122" t="s">
        <v>5470</v>
      </c>
      <c r="C375" s="122" t="s">
        <v>5471</v>
      </c>
      <c r="D375" s="122" t="s">
        <v>5472</v>
      </c>
      <c r="E375" s="123">
        <v>42219</v>
      </c>
      <c r="F375" s="122" t="s">
        <v>5473</v>
      </c>
      <c r="G375" s="122" t="s">
        <v>235</v>
      </c>
      <c r="H375" s="122" t="s">
        <v>5474</v>
      </c>
      <c r="I375" s="122" t="s">
        <v>5475</v>
      </c>
      <c r="K375" s="122" t="s">
        <v>238</v>
      </c>
      <c r="L375" s="122" t="s">
        <v>530</v>
      </c>
      <c r="M375" s="122" t="s">
        <v>5175</v>
      </c>
      <c r="N375" s="122" t="s">
        <v>5476</v>
      </c>
      <c r="O375" s="141" t="s">
        <v>649</v>
      </c>
      <c r="P375" s="141" t="s">
        <v>5477</v>
      </c>
      <c r="Q375" s="122" t="s">
        <v>243</v>
      </c>
      <c r="R375" s="142">
        <v>65</v>
      </c>
      <c r="S375" s="122" t="s">
        <v>5478</v>
      </c>
      <c r="U375" s="122" t="s">
        <v>4681</v>
      </c>
      <c r="W375" s="122" t="s">
        <v>246</v>
      </c>
      <c r="X375" s="122" t="s">
        <v>247</v>
      </c>
      <c r="Y375" s="141" t="s">
        <v>1090</v>
      </c>
      <c r="Z375" s="122" t="s">
        <v>355</v>
      </c>
      <c r="AA375" s="141" t="s">
        <v>1291</v>
      </c>
      <c r="AB375" s="122" t="s">
        <v>5479</v>
      </c>
      <c r="AC375" s="141" t="s">
        <v>1361</v>
      </c>
      <c r="AD375" s="122" t="s">
        <v>5480</v>
      </c>
      <c r="AE375" s="122" t="s">
        <v>235</v>
      </c>
      <c r="AF375" s="122" t="s">
        <v>5481</v>
      </c>
      <c r="AG375" s="122" t="s">
        <v>253</v>
      </c>
      <c r="AH375" s="122" t="s">
        <v>253</v>
      </c>
      <c r="AI375" s="122" t="s">
        <v>1383</v>
      </c>
      <c r="AJ375" s="122" t="s">
        <v>5482</v>
      </c>
      <c r="AK375" s="122" t="s">
        <v>5483</v>
      </c>
      <c r="AL375" s="122" t="s">
        <v>5484</v>
      </c>
      <c r="AM375" s="122" t="s">
        <v>253</v>
      </c>
      <c r="AN375" s="122" t="s">
        <v>253</v>
      </c>
      <c r="AO375" s="141" t="s">
        <v>253</v>
      </c>
      <c r="AP375" s="141" t="s">
        <v>253</v>
      </c>
      <c r="AQ375" s="141" t="s">
        <v>253</v>
      </c>
      <c r="AR375" s="141" t="s">
        <v>247</v>
      </c>
      <c r="AS375" s="141" t="s">
        <v>361</v>
      </c>
      <c r="AT375" s="141" t="s">
        <v>258</v>
      </c>
      <c r="AU375" s="141" t="s">
        <v>601</v>
      </c>
      <c r="AV375" s="122" t="s">
        <v>259</v>
      </c>
      <c r="AW375" s="122" t="s">
        <v>556</v>
      </c>
      <c r="AX375" s="141" t="s">
        <v>362</v>
      </c>
      <c r="AY375" s="141" t="s">
        <v>442</v>
      </c>
      <c r="AZ375" s="122" t="s">
        <v>5485</v>
      </c>
      <c r="BA375" s="122" t="s">
        <v>262</v>
      </c>
      <c r="BB375" s="122" t="s">
        <v>5486</v>
      </c>
      <c r="BC375" s="141" t="s">
        <v>312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65</v>
      </c>
      <c r="BJ375" s="123">
        <v>42233</v>
      </c>
      <c r="BK375" s="139" t="s">
        <v>606</v>
      </c>
      <c r="BM375" s="122">
        <v>34</v>
      </c>
    </row>
    <row r="376" spans="1:65" x14ac:dyDescent="0.25">
      <c r="A376" s="122" t="s">
        <v>404</v>
      </c>
      <c r="B376" s="122" t="s">
        <v>5487</v>
      </c>
      <c r="C376" s="122" t="s">
        <v>5488</v>
      </c>
      <c r="D376" s="122" t="s">
        <v>5489</v>
      </c>
      <c r="E376" s="123">
        <v>42219</v>
      </c>
      <c r="F376" s="122" t="s">
        <v>2098</v>
      </c>
      <c r="G376" s="122" t="s">
        <v>235</v>
      </c>
      <c r="H376" s="122" t="s">
        <v>5490</v>
      </c>
      <c r="I376" s="122" t="s">
        <v>5491</v>
      </c>
      <c r="J376" s="122" t="s">
        <v>2158</v>
      </c>
      <c r="K376" s="122" t="s">
        <v>238</v>
      </c>
      <c r="L376" s="122" t="s">
        <v>530</v>
      </c>
      <c r="M376" s="122" t="s">
        <v>5009</v>
      </c>
      <c r="O376" s="141" t="s">
        <v>451</v>
      </c>
      <c r="P376" s="141" t="s">
        <v>5492</v>
      </c>
      <c r="Q376" s="122" t="s">
        <v>243</v>
      </c>
      <c r="R376" s="142">
        <v>66</v>
      </c>
      <c r="S376" s="122" t="s">
        <v>5493</v>
      </c>
      <c r="U376" s="122" t="s">
        <v>4681</v>
      </c>
      <c r="W376" s="122" t="s">
        <v>246</v>
      </c>
      <c r="X376" s="122" t="s">
        <v>497</v>
      </c>
      <c r="Y376" s="141" t="s">
        <v>1778</v>
      </c>
      <c r="Z376" s="122" t="s">
        <v>5494</v>
      </c>
      <c r="AA376" s="141" t="s">
        <v>1762</v>
      </c>
      <c r="AB376" s="122" t="s">
        <v>5495</v>
      </c>
      <c r="AC376" s="141" t="s">
        <v>2235</v>
      </c>
      <c r="AD376" s="122" t="s">
        <v>571</v>
      </c>
      <c r="AE376" s="122" t="s">
        <v>235</v>
      </c>
      <c r="AF376" s="122" t="s">
        <v>5496</v>
      </c>
      <c r="AG376" s="122" t="s">
        <v>537</v>
      </c>
      <c r="AH376" s="122" t="s">
        <v>253</v>
      </c>
      <c r="AI376" s="122" t="s">
        <v>5497</v>
      </c>
      <c r="AJ376" s="122" t="s">
        <v>5498</v>
      </c>
      <c r="AK376" s="122" t="s">
        <v>5499</v>
      </c>
      <c r="AL376" s="122" t="s">
        <v>5500</v>
      </c>
      <c r="AM376" s="122" t="s">
        <v>5501</v>
      </c>
      <c r="AN376" s="122" t="s">
        <v>253</v>
      </c>
      <c r="AO376" s="141" t="s">
        <v>253</v>
      </c>
      <c r="AP376" s="141" t="s">
        <v>253</v>
      </c>
      <c r="AQ376" s="141" t="s">
        <v>253</v>
      </c>
      <c r="AR376" s="141" t="s">
        <v>247</v>
      </c>
      <c r="AS376" s="141" t="s">
        <v>361</v>
      </c>
      <c r="AT376" s="141" t="s">
        <v>258</v>
      </c>
      <c r="AU376" s="141" t="s">
        <v>601</v>
      </c>
      <c r="AV376" s="122" t="s">
        <v>259</v>
      </c>
      <c r="AW376" s="122" t="s">
        <v>556</v>
      </c>
      <c r="AX376" s="141" t="s">
        <v>5450</v>
      </c>
      <c r="AY376" s="141" t="s">
        <v>603</v>
      </c>
      <c r="AZ376" s="122" t="s">
        <v>5502</v>
      </c>
      <c r="BA376" s="122" t="s">
        <v>262</v>
      </c>
      <c r="BB376" s="122" t="s">
        <v>262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66</v>
      </c>
      <c r="BJ376" s="123">
        <v>42233</v>
      </c>
      <c r="BK376" s="139" t="s">
        <v>606</v>
      </c>
      <c r="BM376" s="122">
        <v>34</v>
      </c>
    </row>
    <row r="377" spans="1:65" x14ac:dyDescent="0.25">
      <c r="A377" s="122" t="s">
        <v>404</v>
      </c>
      <c r="B377" s="122" t="s">
        <v>5503</v>
      </c>
      <c r="C377" s="122" t="s">
        <v>5504</v>
      </c>
      <c r="D377" s="122" t="s">
        <v>5505</v>
      </c>
      <c r="E377" s="123">
        <v>42219</v>
      </c>
      <c r="F377" s="122" t="s">
        <v>5506</v>
      </c>
      <c r="G377" s="122" t="s">
        <v>235</v>
      </c>
      <c r="H377" s="122" t="s">
        <v>5507</v>
      </c>
      <c r="I377" s="122" t="s">
        <v>5508</v>
      </c>
      <c r="J377" s="122" t="s">
        <v>2116</v>
      </c>
      <c r="K377" s="122" t="s">
        <v>238</v>
      </c>
      <c r="L377" s="122" t="s">
        <v>371</v>
      </c>
      <c r="M377" s="122" t="s">
        <v>4880</v>
      </c>
      <c r="O377" s="141" t="s">
        <v>850</v>
      </c>
      <c r="P377" s="141" t="s">
        <v>5509</v>
      </c>
      <c r="Q377" s="122" t="s">
        <v>243</v>
      </c>
      <c r="R377" s="142">
        <v>67</v>
      </c>
      <c r="S377" s="122" t="s">
        <v>5510</v>
      </c>
      <c r="U377" s="122" t="s">
        <v>4681</v>
      </c>
      <c r="W377" s="122" t="s">
        <v>246</v>
      </c>
      <c r="X377" s="122" t="s">
        <v>260</v>
      </c>
      <c r="Y377" s="141" t="s">
        <v>1116</v>
      </c>
      <c r="Z377" s="122" t="s">
        <v>3023</v>
      </c>
      <c r="AA377" s="141" t="s">
        <v>2735</v>
      </c>
      <c r="AB377" s="122" t="s">
        <v>305</v>
      </c>
      <c r="AC377" s="141" t="s">
        <v>5511</v>
      </c>
      <c r="AD377" s="122" t="s">
        <v>5512</v>
      </c>
      <c r="AE377" s="122" t="s">
        <v>235</v>
      </c>
      <c r="AF377" s="122" t="s">
        <v>5513</v>
      </c>
      <c r="AG377" s="122" t="s">
        <v>253</v>
      </c>
      <c r="AH377" s="122" t="s">
        <v>253</v>
      </c>
      <c r="AI377" s="122" t="s">
        <v>1383</v>
      </c>
      <c r="AJ377" s="122" t="s">
        <v>1383</v>
      </c>
      <c r="AK377" s="122" t="s">
        <v>5514</v>
      </c>
      <c r="AL377" s="122" t="s">
        <v>5515</v>
      </c>
      <c r="AM377" s="122" t="s">
        <v>253</v>
      </c>
      <c r="AN377" s="122" t="s">
        <v>253</v>
      </c>
      <c r="AO377" s="141" t="s">
        <v>253</v>
      </c>
      <c r="AP377" s="141" t="s">
        <v>253</v>
      </c>
      <c r="AQ377" s="141" t="s">
        <v>253</v>
      </c>
      <c r="AR377" s="141" t="s">
        <v>247</v>
      </c>
      <c r="AS377" s="141" t="s">
        <v>361</v>
      </c>
      <c r="AT377" s="141" t="s">
        <v>258</v>
      </c>
      <c r="AU377" s="141" t="s">
        <v>601</v>
      </c>
      <c r="AV377" s="122" t="s">
        <v>259</v>
      </c>
      <c r="AW377" s="122" t="s">
        <v>556</v>
      </c>
      <c r="AY377" s="141" t="s">
        <v>253</v>
      </c>
      <c r="AZ377" s="122" t="s">
        <v>5516</v>
      </c>
      <c r="BA377" s="122" t="s">
        <v>262</v>
      </c>
      <c r="BB377" s="122" t="s">
        <v>262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67</v>
      </c>
      <c r="BJ377" s="123">
        <v>42231</v>
      </c>
      <c r="BK377" s="139" t="s">
        <v>606</v>
      </c>
      <c r="BM377" s="122">
        <v>33</v>
      </c>
    </row>
    <row r="378" spans="1:65" x14ac:dyDescent="0.25">
      <c r="A378" s="122" t="s">
        <v>422</v>
      </c>
      <c r="B378" s="122" t="s">
        <v>5517</v>
      </c>
      <c r="C378" s="122" t="s">
        <v>4922</v>
      </c>
      <c r="D378" s="122" t="s">
        <v>4923</v>
      </c>
      <c r="E378" s="123">
        <v>42219</v>
      </c>
      <c r="F378" s="122" t="s">
        <v>4924</v>
      </c>
      <c r="G378" s="122" t="s">
        <v>235</v>
      </c>
      <c r="H378" s="122" t="s">
        <v>4925</v>
      </c>
      <c r="I378" s="122" t="s">
        <v>4926</v>
      </c>
      <c r="J378" s="122" t="s">
        <v>4927</v>
      </c>
      <c r="K378" s="122" t="s">
        <v>238</v>
      </c>
      <c r="L378" s="122" t="s">
        <v>530</v>
      </c>
      <c r="M378" s="122" t="s">
        <v>4928</v>
      </c>
      <c r="O378" s="141" t="s">
        <v>916</v>
      </c>
      <c r="P378" s="141" t="s">
        <v>4929</v>
      </c>
      <c r="Q378" s="122" t="s">
        <v>243</v>
      </c>
      <c r="R378" s="142">
        <v>68</v>
      </c>
      <c r="S378" s="122" t="s">
        <v>4930</v>
      </c>
      <c r="U378" s="122" t="s">
        <v>4681</v>
      </c>
      <c r="W378" s="122" t="s">
        <v>246</v>
      </c>
      <c r="X378" s="122" t="s">
        <v>739</v>
      </c>
      <c r="Y378" s="141" t="s">
        <v>707</v>
      </c>
      <c r="Z378" s="122" t="s">
        <v>4931</v>
      </c>
      <c r="AA378" s="141" t="s">
        <v>801</v>
      </c>
      <c r="AB378" s="122" t="s">
        <v>4932</v>
      </c>
      <c r="AC378" s="141" t="s">
        <v>880</v>
      </c>
      <c r="AD378" s="122" t="s">
        <v>2411</v>
      </c>
      <c r="AE378" s="122" t="s">
        <v>235</v>
      </c>
      <c r="AF378" s="122" t="s">
        <v>4933</v>
      </c>
      <c r="AG378" s="122" t="s">
        <v>537</v>
      </c>
      <c r="AH378" s="122" t="s">
        <v>253</v>
      </c>
      <c r="AI378" s="122" t="s">
        <v>4934</v>
      </c>
      <c r="AJ378" s="122" t="s">
        <v>4935</v>
      </c>
      <c r="AK378" s="122" t="s">
        <v>253</v>
      </c>
      <c r="AL378" s="122" t="s">
        <v>253</v>
      </c>
      <c r="AM378" s="122" t="s">
        <v>253</v>
      </c>
      <c r="AN378" s="122" t="s">
        <v>253</v>
      </c>
      <c r="AO378" s="141" t="s">
        <v>247</v>
      </c>
      <c r="AP378" s="141" t="s">
        <v>247</v>
      </c>
      <c r="AQ378" s="141" t="s">
        <v>247</v>
      </c>
      <c r="AR378" s="141" t="s">
        <v>247</v>
      </c>
      <c r="AS378" s="141" t="s">
        <v>601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41" t="s">
        <v>253</v>
      </c>
      <c r="AZ378" s="122" t="s">
        <v>4936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68</v>
      </c>
      <c r="BK378" s="139" t="s">
        <v>558</v>
      </c>
    </row>
    <row r="379" spans="1:65" x14ac:dyDescent="0.25">
      <c r="A379" s="122" t="s">
        <v>422</v>
      </c>
      <c r="B379" s="122" t="s">
        <v>5518</v>
      </c>
      <c r="C379" s="122" t="s">
        <v>4952</v>
      </c>
      <c r="D379" s="122" t="s">
        <v>4953</v>
      </c>
      <c r="E379" s="123">
        <v>42219</v>
      </c>
      <c r="F379" s="122" t="s">
        <v>1258</v>
      </c>
      <c r="G379" s="122" t="s">
        <v>235</v>
      </c>
      <c r="H379" s="122" t="s">
        <v>4954</v>
      </c>
      <c r="I379" s="122" t="s">
        <v>4955</v>
      </c>
      <c r="J379" s="122" t="s">
        <v>1358</v>
      </c>
      <c r="K379" s="122" t="s">
        <v>238</v>
      </c>
      <c r="L379" s="122" t="s">
        <v>530</v>
      </c>
      <c r="M379" s="122" t="s">
        <v>4956</v>
      </c>
      <c r="O379" s="141" t="s">
        <v>451</v>
      </c>
      <c r="P379" s="141" t="s">
        <v>4957</v>
      </c>
      <c r="Q379" s="122" t="s">
        <v>243</v>
      </c>
      <c r="R379" s="142">
        <v>69</v>
      </c>
      <c r="S379" s="122" t="s">
        <v>4958</v>
      </c>
      <c r="U379" s="122" t="s">
        <v>4681</v>
      </c>
      <c r="W379" s="122" t="s">
        <v>246</v>
      </c>
      <c r="X379" s="122" t="s">
        <v>603</v>
      </c>
      <c r="Z379" s="122" t="s">
        <v>250</v>
      </c>
      <c r="AB379" s="122" t="s">
        <v>250</v>
      </c>
      <c r="AD379" s="122" t="s">
        <v>250</v>
      </c>
      <c r="AE379" s="122" t="s">
        <v>235</v>
      </c>
      <c r="AF379" s="122" t="s">
        <v>4959</v>
      </c>
      <c r="AG379" s="122" t="s">
        <v>253</v>
      </c>
      <c r="AH379" s="122" t="s">
        <v>253</v>
      </c>
      <c r="AI379" s="122" t="s">
        <v>4960</v>
      </c>
      <c r="AJ379" s="122" t="s">
        <v>4961</v>
      </c>
      <c r="AK379" s="122" t="s">
        <v>4962</v>
      </c>
      <c r="AL379" s="122" t="s">
        <v>253</v>
      </c>
      <c r="AM379" s="122" t="s">
        <v>253</v>
      </c>
      <c r="AN379" s="122" t="s">
        <v>253</v>
      </c>
      <c r="AO379" s="141" t="s">
        <v>247</v>
      </c>
      <c r="AP379" s="141" t="s">
        <v>247</v>
      </c>
      <c r="AQ379" s="141" t="s">
        <v>247</v>
      </c>
      <c r="AR379" s="141" t="s">
        <v>247</v>
      </c>
      <c r="AS379" s="141" t="s">
        <v>601</v>
      </c>
      <c r="AT379" s="141" t="s">
        <v>601</v>
      </c>
      <c r="AU379" s="141" t="s">
        <v>601</v>
      </c>
      <c r="AV379" s="122" t="s">
        <v>259</v>
      </c>
      <c r="AW379" s="122" t="s">
        <v>556</v>
      </c>
      <c r="AY379" s="141" t="s">
        <v>253</v>
      </c>
      <c r="AZ379" s="122" t="s">
        <v>4963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69</v>
      </c>
      <c r="BK379" s="139" t="s">
        <v>558</v>
      </c>
    </row>
    <row r="380" spans="1:65" x14ac:dyDescent="0.25">
      <c r="A380" s="122" t="s">
        <v>422</v>
      </c>
      <c r="B380" s="122" t="s">
        <v>5519</v>
      </c>
      <c r="C380" s="122" t="s">
        <v>5037</v>
      </c>
      <c r="D380" s="122" t="s">
        <v>5038</v>
      </c>
      <c r="E380" s="123">
        <v>42219</v>
      </c>
      <c r="F380" s="122" t="s">
        <v>3720</v>
      </c>
      <c r="G380" s="122" t="s">
        <v>235</v>
      </c>
      <c r="H380" s="122" t="s">
        <v>5039</v>
      </c>
      <c r="I380" s="122" t="s">
        <v>5040</v>
      </c>
      <c r="K380" s="122" t="s">
        <v>238</v>
      </c>
      <c r="L380" s="122" t="s">
        <v>371</v>
      </c>
      <c r="M380" s="122" t="s">
        <v>5041</v>
      </c>
      <c r="N380" s="122" t="s">
        <v>5042</v>
      </c>
      <c r="O380" s="141" t="s">
        <v>1240</v>
      </c>
      <c r="P380" s="141" t="s">
        <v>5043</v>
      </c>
      <c r="Q380" s="122" t="s">
        <v>243</v>
      </c>
      <c r="R380" s="142">
        <v>70</v>
      </c>
      <c r="S380" s="122" t="s">
        <v>5044</v>
      </c>
      <c r="U380" s="122" t="s">
        <v>4681</v>
      </c>
      <c r="W380" s="122" t="s">
        <v>246</v>
      </c>
      <c r="X380" s="122" t="s">
        <v>739</v>
      </c>
      <c r="Y380" s="141" t="s">
        <v>2717</v>
      </c>
      <c r="Z380" s="122" t="s">
        <v>355</v>
      </c>
      <c r="AA380" s="141" t="s">
        <v>500</v>
      </c>
      <c r="AB380" s="122" t="s">
        <v>1746</v>
      </c>
      <c r="AC380" s="141" t="s">
        <v>4768</v>
      </c>
      <c r="AD380" s="122" t="s">
        <v>5045</v>
      </c>
      <c r="AE380" s="122" t="s">
        <v>235</v>
      </c>
      <c r="AF380" s="122" t="s">
        <v>5046</v>
      </c>
      <c r="AG380" s="122" t="s">
        <v>537</v>
      </c>
      <c r="AH380" s="122" t="s">
        <v>253</v>
      </c>
      <c r="AI380" s="122" t="s">
        <v>5047</v>
      </c>
      <c r="AJ380" s="122" t="s">
        <v>5048</v>
      </c>
      <c r="AK380" s="122" t="s">
        <v>253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41" t="s">
        <v>253</v>
      </c>
      <c r="AZ380" s="122" t="s">
        <v>5049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70</v>
      </c>
      <c r="BK380" s="139" t="s">
        <v>558</v>
      </c>
    </row>
    <row r="381" spans="1:65" x14ac:dyDescent="0.25">
      <c r="A381" s="122" t="s">
        <v>578</v>
      </c>
      <c r="B381" s="122" t="s">
        <v>5520</v>
      </c>
      <c r="C381" s="122" t="s">
        <v>5521</v>
      </c>
      <c r="D381" s="122" t="s">
        <v>5522</v>
      </c>
      <c r="E381" s="123">
        <v>42219</v>
      </c>
      <c r="F381" s="122" t="s">
        <v>5523</v>
      </c>
      <c r="G381" s="122" t="s">
        <v>235</v>
      </c>
      <c r="H381" s="122" t="s">
        <v>5524</v>
      </c>
      <c r="I381" s="122" t="s">
        <v>5525</v>
      </c>
      <c r="K381" s="122" t="s">
        <v>3419</v>
      </c>
      <c r="L381" s="122" t="s">
        <v>3420</v>
      </c>
      <c r="M381" s="122" t="s">
        <v>3421</v>
      </c>
      <c r="O381" s="141" t="s">
        <v>566</v>
      </c>
      <c r="P381" s="141" t="s">
        <v>5526</v>
      </c>
      <c r="Q381" s="122" t="s">
        <v>3424</v>
      </c>
      <c r="R381" s="142">
        <v>72</v>
      </c>
      <c r="S381" s="122" t="s">
        <v>5527</v>
      </c>
      <c r="U381" s="122" t="s">
        <v>4681</v>
      </c>
      <c r="W381" s="122" t="s">
        <v>246</v>
      </c>
      <c r="X381" s="122" t="s">
        <v>3147</v>
      </c>
      <c r="Y381" s="141" t="s">
        <v>591</v>
      </c>
      <c r="Z381" s="122" t="s">
        <v>5528</v>
      </c>
      <c r="AA381" s="141" t="s">
        <v>2259</v>
      </c>
      <c r="AB381" s="122" t="s">
        <v>5529</v>
      </c>
      <c r="AC381" s="141" t="s">
        <v>765</v>
      </c>
      <c r="AD381" s="122" t="s">
        <v>5530</v>
      </c>
      <c r="AE381" s="122" t="s">
        <v>235</v>
      </c>
      <c r="AF381" s="122" t="s">
        <v>5531</v>
      </c>
      <c r="AG381" s="122" t="s">
        <v>537</v>
      </c>
      <c r="AH381" s="122" t="s">
        <v>253</v>
      </c>
      <c r="AI381" s="122" t="s">
        <v>5532</v>
      </c>
      <c r="AJ381" s="122" t="s">
        <v>253</v>
      </c>
      <c r="AK381" s="122" t="s">
        <v>253</v>
      </c>
      <c r="AL381" s="122" t="s">
        <v>5533</v>
      </c>
      <c r="AM381" s="122" t="s">
        <v>253</v>
      </c>
      <c r="AN381" s="122" t="s">
        <v>253</v>
      </c>
      <c r="AO381" s="141" t="s">
        <v>247</v>
      </c>
      <c r="AP381" s="141" t="s">
        <v>247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260</v>
      </c>
      <c r="AX381" s="141" t="s">
        <v>5534</v>
      </c>
      <c r="AY381" s="141" t="s">
        <v>247</v>
      </c>
      <c r="AZ381" s="122" t="s">
        <v>5535</v>
      </c>
      <c r="BA381" s="122" t="s">
        <v>262</v>
      </c>
      <c r="BB381" s="122" t="s">
        <v>262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72</v>
      </c>
      <c r="BJ381" s="123">
        <v>42230</v>
      </c>
      <c r="BK381" s="139" t="s">
        <v>264</v>
      </c>
      <c r="BL381" s="140">
        <v>690.21</v>
      </c>
      <c r="BM381" s="122">
        <v>33</v>
      </c>
    </row>
    <row r="382" spans="1:65" x14ac:dyDescent="0.25">
      <c r="A382" s="122" t="s">
        <v>578</v>
      </c>
      <c r="B382" s="122" t="s">
        <v>5536</v>
      </c>
      <c r="C382" s="122" t="s">
        <v>5537</v>
      </c>
      <c r="D382" s="122" t="s">
        <v>5538</v>
      </c>
      <c r="E382" s="123">
        <v>42219</v>
      </c>
      <c r="F382" s="122" t="s">
        <v>5539</v>
      </c>
      <c r="G382" s="122" t="s">
        <v>235</v>
      </c>
      <c r="H382" s="122" t="s">
        <v>5540</v>
      </c>
      <c r="I382" s="122" t="s">
        <v>5541</v>
      </c>
      <c r="K382" s="122" t="s">
        <v>3419</v>
      </c>
      <c r="L382" s="122" t="s">
        <v>3503</v>
      </c>
      <c r="M382" s="122" t="s">
        <v>3504</v>
      </c>
      <c r="O382" s="141" t="s">
        <v>373</v>
      </c>
      <c r="P382" s="141" t="s">
        <v>5542</v>
      </c>
      <c r="Q382" s="122" t="s">
        <v>3424</v>
      </c>
      <c r="R382" s="142">
        <v>73</v>
      </c>
      <c r="S382" s="122" t="s">
        <v>5543</v>
      </c>
      <c r="U382" s="122" t="s">
        <v>4681</v>
      </c>
      <c r="W382" s="122" t="s">
        <v>246</v>
      </c>
      <c r="X382" s="122" t="s">
        <v>721</v>
      </c>
      <c r="Y382" s="141" t="s">
        <v>784</v>
      </c>
      <c r="Z382" s="122" t="s">
        <v>3895</v>
      </c>
      <c r="AA382" s="141" t="s">
        <v>1325</v>
      </c>
      <c r="AB382" s="122" t="s">
        <v>353</v>
      </c>
      <c r="AC382" s="141" t="s">
        <v>877</v>
      </c>
      <c r="AD382" s="122" t="s">
        <v>5544</v>
      </c>
      <c r="AE382" s="122" t="s">
        <v>235</v>
      </c>
      <c r="AF382" s="122" t="s">
        <v>5545</v>
      </c>
      <c r="AG382" s="122" t="s">
        <v>537</v>
      </c>
      <c r="AH382" s="122" t="s">
        <v>253</v>
      </c>
      <c r="AI382" s="122" t="s">
        <v>5546</v>
      </c>
      <c r="AJ382" s="122" t="s">
        <v>5547</v>
      </c>
      <c r="AK382" s="122" t="s">
        <v>253</v>
      </c>
      <c r="AL382" s="122" t="s">
        <v>253</v>
      </c>
      <c r="AM382" s="122" t="s">
        <v>253</v>
      </c>
      <c r="AN382" s="122" t="s">
        <v>253</v>
      </c>
      <c r="AO382" s="141" t="s">
        <v>247</v>
      </c>
      <c r="AP382" s="141" t="s">
        <v>247</v>
      </c>
      <c r="AQ382" s="141" t="s">
        <v>247</v>
      </c>
      <c r="AR382" s="141" t="s">
        <v>253</v>
      </c>
      <c r="AS382" s="141" t="s">
        <v>601</v>
      </c>
      <c r="AT382" s="141" t="s">
        <v>601</v>
      </c>
      <c r="AU382" s="141" t="s">
        <v>258</v>
      </c>
      <c r="AV382" s="122" t="s">
        <v>259</v>
      </c>
      <c r="AW382" s="122" t="s">
        <v>260</v>
      </c>
      <c r="AY382" s="141" t="s">
        <v>253</v>
      </c>
      <c r="AZ382" s="122" t="s">
        <v>5548</v>
      </c>
      <c r="BA382" s="122" t="s">
        <v>262</v>
      </c>
      <c r="BB382" s="122" t="s">
        <v>262</v>
      </c>
      <c r="BC382" s="141" t="s">
        <v>312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73</v>
      </c>
      <c r="BJ382" s="123">
        <v>42230</v>
      </c>
      <c r="BK382" s="139" t="s">
        <v>606</v>
      </c>
      <c r="BM382" s="122">
        <v>33</v>
      </c>
    </row>
    <row r="383" spans="1:65" x14ac:dyDescent="0.25">
      <c r="A383" s="122" t="s">
        <v>578</v>
      </c>
      <c r="B383" s="122" t="s">
        <v>5549</v>
      </c>
      <c r="C383" s="122" t="s">
        <v>5550</v>
      </c>
      <c r="D383" s="122" t="s">
        <v>5551</v>
      </c>
      <c r="E383" s="123">
        <v>42219</v>
      </c>
      <c r="F383" s="122" t="s">
        <v>500</v>
      </c>
      <c r="G383" s="122" t="s">
        <v>235</v>
      </c>
      <c r="H383" s="122" t="s">
        <v>5552</v>
      </c>
      <c r="I383" s="122" t="s">
        <v>5553</v>
      </c>
      <c r="K383" s="122" t="s">
        <v>3419</v>
      </c>
      <c r="L383" s="122" t="s">
        <v>3503</v>
      </c>
      <c r="M383" s="122" t="s">
        <v>3421</v>
      </c>
      <c r="O383" s="141" t="s">
        <v>451</v>
      </c>
      <c r="P383" s="141" t="s">
        <v>5554</v>
      </c>
      <c r="Q383" s="122" t="s">
        <v>3424</v>
      </c>
      <c r="R383" s="142">
        <v>74</v>
      </c>
      <c r="S383" s="122" t="s">
        <v>5555</v>
      </c>
      <c r="U383" s="122" t="s">
        <v>4681</v>
      </c>
      <c r="W383" s="122" t="s">
        <v>246</v>
      </c>
      <c r="X383" s="122" t="s">
        <v>972</v>
      </c>
      <c r="Z383" s="122" t="s">
        <v>250</v>
      </c>
      <c r="AB383" s="122" t="s">
        <v>250</v>
      </c>
      <c r="AD383" s="122" t="s">
        <v>250</v>
      </c>
      <c r="AE383" s="122" t="s">
        <v>235</v>
      </c>
      <c r="AF383" s="122" t="s">
        <v>5556</v>
      </c>
      <c r="AG383" s="122" t="s">
        <v>253</v>
      </c>
      <c r="AH383" s="122" t="s">
        <v>253</v>
      </c>
      <c r="AI383" s="122" t="s">
        <v>5557</v>
      </c>
      <c r="AJ383" s="122" t="s">
        <v>5558</v>
      </c>
      <c r="AK383" s="122" t="s">
        <v>3250</v>
      </c>
      <c r="AL383" s="122" t="s">
        <v>253</v>
      </c>
      <c r="AM383" s="122" t="s">
        <v>253</v>
      </c>
      <c r="AN383" s="122" t="s">
        <v>253</v>
      </c>
      <c r="AO383" s="141" t="s">
        <v>247</v>
      </c>
      <c r="AP383" s="141" t="s">
        <v>247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257</v>
      </c>
      <c r="AV383" s="122" t="s">
        <v>259</v>
      </c>
      <c r="AW383" s="122" t="s">
        <v>260</v>
      </c>
      <c r="AY383" s="141" t="s">
        <v>253</v>
      </c>
      <c r="AZ383" s="122" t="s">
        <v>5559</v>
      </c>
      <c r="BA383" s="122" t="s">
        <v>262</v>
      </c>
      <c r="BB383" s="122" t="s">
        <v>262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74</v>
      </c>
      <c r="BJ383" s="123">
        <v>42230</v>
      </c>
      <c r="BK383" s="139" t="s">
        <v>606</v>
      </c>
      <c r="BM383" s="122">
        <v>33</v>
      </c>
    </row>
    <row r="384" spans="1:65" x14ac:dyDescent="0.25">
      <c r="A384" s="122" t="s">
        <v>578</v>
      </c>
      <c r="B384" s="122" t="s">
        <v>5560</v>
      </c>
      <c r="C384" s="122" t="s">
        <v>5561</v>
      </c>
      <c r="D384" s="122" t="s">
        <v>5562</v>
      </c>
      <c r="E384" s="123">
        <v>42219</v>
      </c>
      <c r="F384" s="122" t="s">
        <v>795</v>
      </c>
      <c r="G384" s="122" t="s">
        <v>235</v>
      </c>
      <c r="H384" s="122" t="s">
        <v>5563</v>
      </c>
      <c r="I384" s="122" t="s">
        <v>5564</v>
      </c>
      <c r="J384" s="122" t="s">
        <v>1939</v>
      </c>
      <c r="K384" s="122" t="s">
        <v>5565</v>
      </c>
      <c r="L384" s="122" t="s">
        <v>5566</v>
      </c>
      <c r="M384" s="122" t="s">
        <v>5567</v>
      </c>
      <c r="O384" s="141" t="s">
        <v>5025</v>
      </c>
      <c r="P384" s="141" t="s">
        <v>5568</v>
      </c>
      <c r="Q384" s="122" t="s">
        <v>3389</v>
      </c>
      <c r="R384" s="142">
        <v>75</v>
      </c>
      <c r="S384" s="122" t="s">
        <v>5569</v>
      </c>
      <c r="U384" s="122" t="s">
        <v>4681</v>
      </c>
      <c r="W384" s="122" t="s">
        <v>246</v>
      </c>
      <c r="X384" s="122" t="s">
        <v>302</v>
      </c>
      <c r="Y384" s="141" t="s">
        <v>455</v>
      </c>
      <c r="Z384" s="122" t="s">
        <v>5570</v>
      </c>
      <c r="AA384" s="141" t="s">
        <v>1325</v>
      </c>
      <c r="AB384" s="122" t="s">
        <v>5571</v>
      </c>
      <c r="AC384" s="141" t="s">
        <v>1762</v>
      </c>
      <c r="AD384" s="122" t="s">
        <v>5572</v>
      </c>
      <c r="AE384" s="122" t="s">
        <v>235</v>
      </c>
      <c r="AF384" s="122" t="s">
        <v>5573</v>
      </c>
      <c r="AG384" s="122" t="s">
        <v>537</v>
      </c>
      <c r="AH384" s="122" t="s">
        <v>253</v>
      </c>
      <c r="AI384" s="122" t="s">
        <v>5574</v>
      </c>
      <c r="AJ384" s="122" t="s">
        <v>4494</v>
      </c>
      <c r="AK384" s="122" t="s">
        <v>5575</v>
      </c>
      <c r="AL384" s="122" t="s">
        <v>253</v>
      </c>
      <c r="AM384" s="122" t="s">
        <v>253</v>
      </c>
      <c r="AN384" s="122" t="s">
        <v>253</v>
      </c>
      <c r="AO384" s="141" t="s">
        <v>247</v>
      </c>
      <c r="AP384" s="141" t="s">
        <v>247</v>
      </c>
      <c r="AQ384" s="141" t="s">
        <v>247</v>
      </c>
      <c r="AR384" s="141" t="s">
        <v>247</v>
      </c>
      <c r="AS384" s="141" t="s">
        <v>601</v>
      </c>
      <c r="AT384" s="141" t="s">
        <v>601</v>
      </c>
      <c r="AU384" s="141" t="s">
        <v>257</v>
      </c>
      <c r="AV384" s="122" t="s">
        <v>259</v>
      </c>
      <c r="AW384" s="122" t="s">
        <v>260</v>
      </c>
      <c r="AY384" s="141" t="s">
        <v>253</v>
      </c>
      <c r="AZ384" s="122" t="s">
        <v>5576</v>
      </c>
      <c r="BA384" s="122" t="s">
        <v>262</v>
      </c>
      <c r="BB384" s="122" t="s">
        <v>262</v>
      </c>
      <c r="BC384" s="141" t="s">
        <v>312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75</v>
      </c>
      <c r="BJ384" s="123">
        <v>42222</v>
      </c>
      <c r="BK384" s="139" t="s">
        <v>264</v>
      </c>
      <c r="BL384" s="140">
        <v>124.26</v>
      </c>
      <c r="BM384" s="122">
        <v>32</v>
      </c>
    </row>
    <row r="385" spans="1:65" x14ac:dyDescent="0.25">
      <c r="A385" s="122" t="s">
        <v>578</v>
      </c>
      <c r="B385" s="122" t="s">
        <v>5577</v>
      </c>
      <c r="C385" s="122" t="s">
        <v>5578</v>
      </c>
      <c r="D385" s="122" t="s">
        <v>5579</v>
      </c>
      <c r="E385" s="123">
        <v>42219</v>
      </c>
      <c r="F385" s="122" t="s">
        <v>1778</v>
      </c>
      <c r="G385" s="122" t="s">
        <v>235</v>
      </c>
      <c r="H385" s="122" t="s">
        <v>5580</v>
      </c>
      <c r="I385" s="122" t="s">
        <v>5581</v>
      </c>
      <c r="K385" s="122" t="s">
        <v>3419</v>
      </c>
      <c r="L385" s="122" t="s">
        <v>3503</v>
      </c>
      <c r="M385" s="122" t="s">
        <v>3504</v>
      </c>
      <c r="O385" s="141" t="s">
        <v>566</v>
      </c>
      <c r="P385" s="141" t="s">
        <v>5582</v>
      </c>
      <c r="Q385" s="122" t="s">
        <v>3424</v>
      </c>
      <c r="R385" s="142">
        <v>76</v>
      </c>
      <c r="S385" s="122" t="s">
        <v>5583</v>
      </c>
      <c r="U385" s="122" t="s">
        <v>4681</v>
      </c>
      <c r="W385" s="122" t="s">
        <v>246</v>
      </c>
      <c r="X385" s="122" t="s">
        <v>739</v>
      </c>
      <c r="Y385" s="141" t="s">
        <v>1141</v>
      </c>
      <c r="Z385" s="122" t="s">
        <v>5584</v>
      </c>
      <c r="AA385" s="141" t="s">
        <v>593</v>
      </c>
      <c r="AB385" s="122" t="s">
        <v>5585</v>
      </c>
      <c r="AD385" s="122" t="s">
        <v>250</v>
      </c>
      <c r="AE385" s="122" t="s">
        <v>235</v>
      </c>
      <c r="AF385" s="122" t="s">
        <v>5586</v>
      </c>
      <c r="AG385" s="122" t="s">
        <v>5587</v>
      </c>
      <c r="AH385" s="122" t="s">
        <v>253</v>
      </c>
      <c r="AI385" s="122" t="s">
        <v>5588</v>
      </c>
      <c r="AJ385" s="122" t="s">
        <v>253</v>
      </c>
      <c r="AK385" s="122" t="s">
        <v>5589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247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260</v>
      </c>
      <c r="AX385" s="141" t="s">
        <v>1149</v>
      </c>
      <c r="AY385" s="141" t="s">
        <v>603</v>
      </c>
      <c r="AZ385" s="122" t="s">
        <v>5590</v>
      </c>
      <c r="BA385" s="122" t="s">
        <v>262</v>
      </c>
      <c r="BB385" s="122" t="s">
        <v>5591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76</v>
      </c>
      <c r="BJ385" s="123">
        <v>42232</v>
      </c>
      <c r="BK385" s="139" t="s">
        <v>606</v>
      </c>
      <c r="BM385" s="122">
        <v>33</v>
      </c>
    </row>
    <row r="386" spans="1:65" x14ac:dyDescent="0.25">
      <c r="A386" s="122" t="s">
        <v>541</v>
      </c>
      <c r="B386" s="122" t="s">
        <v>5592</v>
      </c>
      <c r="C386" s="122" t="s">
        <v>5593</v>
      </c>
      <c r="D386" s="122" t="s">
        <v>5594</v>
      </c>
      <c r="E386" s="123">
        <v>42219</v>
      </c>
      <c r="F386" s="122" t="s">
        <v>5595</v>
      </c>
      <c r="G386" s="122" t="s">
        <v>235</v>
      </c>
      <c r="H386" s="122" t="s">
        <v>5596</v>
      </c>
      <c r="I386" s="122" t="s">
        <v>5597</v>
      </c>
      <c r="K386" s="122" t="s">
        <v>3419</v>
      </c>
      <c r="L386" s="122" t="s">
        <v>3420</v>
      </c>
      <c r="M386" s="122" t="s">
        <v>3421</v>
      </c>
      <c r="O386" s="141" t="s">
        <v>5598</v>
      </c>
      <c r="P386" s="141" t="s">
        <v>5599</v>
      </c>
      <c r="Q386" s="122" t="s">
        <v>3424</v>
      </c>
      <c r="R386" s="142">
        <v>77</v>
      </c>
      <c r="S386" s="122" t="s">
        <v>5600</v>
      </c>
      <c r="U386" s="122" t="s">
        <v>4681</v>
      </c>
      <c r="W386" s="122" t="s">
        <v>246</v>
      </c>
      <c r="X386" s="122" t="s">
        <v>739</v>
      </c>
      <c r="Y386" s="141" t="s">
        <v>593</v>
      </c>
      <c r="Z386" s="122" t="s">
        <v>5601</v>
      </c>
      <c r="AA386" s="141" t="s">
        <v>511</v>
      </c>
      <c r="AB386" s="122" t="s">
        <v>5602</v>
      </c>
      <c r="AC386" s="141" t="s">
        <v>1927</v>
      </c>
      <c r="AD386" s="122" t="s">
        <v>5603</v>
      </c>
      <c r="AE386" s="122" t="s">
        <v>235</v>
      </c>
      <c r="AF386" s="122" t="s">
        <v>5604</v>
      </c>
      <c r="AG386" s="122" t="s">
        <v>537</v>
      </c>
      <c r="AH386" s="122" t="s">
        <v>253</v>
      </c>
      <c r="AI386" s="122" t="s">
        <v>5605</v>
      </c>
      <c r="AJ386" s="122" t="s">
        <v>5606</v>
      </c>
      <c r="AK386" s="122" t="s">
        <v>253</v>
      </c>
      <c r="AL386" s="122" t="s">
        <v>253</v>
      </c>
      <c r="AM386" s="122" t="s">
        <v>253</v>
      </c>
      <c r="AN386" s="122" t="s">
        <v>253</v>
      </c>
      <c r="AO386" s="141" t="s">
        <v>247</v>
      </c>
      <c r="AP386" s="141" t="s">
        <v>253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257</v>
      </c>
      <c r="AV386" s="122" t="s">
        <v>259</v>
      </c>
      <c r="AW386" s="122" t="s">
        <v>260</v>
      </c>
      <c r="AY386" s="141" t="s">
        <v>253</v>
      </c>
      <c r="AZ386" s="122" t="s">
        <v>5607</v>
      </c>
      <c r="BA386" s="122" t="s">
        <v>262</v>
      </c>
      <c r="BB386" s="122" t="s">
        <v>262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77</v>
      </c>
      <c r="BJ386" s="123">
        <v>42222</v>
      </c>
      <c r="BK386" s="139" t="s">
        <v>264</v>
      </c>
      <c r="BL386" s="140">
        <v>181</v>
      </c>
      <c r="BM386" s="122">
        <v>32</v>
      </c>
    </row>
    <row r="387" spans="1:65" x14ac:dyDescent="0.25">
      <c r="A387" s="122" t="s">
        <v>541</v>
      </c>
      <c r="B387" s="122" t="s">
        <v>5608</v>
      </c>
      <c r="C387" s="122" t="s">
        <v>5609</v>
      </c>
      <c r="D387" s="122" t="s">
        <v>5610</v>
      </c>
      <c r="E387" s="123">
        <v>42219</v>
      </c>
      <c r="F387" s="122" t="s">
        <v>5611</v>
      </c>
      <c r="G387" s="122" t="s">
        <v>235</v>
      </c>
      <c r="H387" s="122" t="s">
        <v>5612</v>
      </c>
      <c r="I387" s="122" t="s">
        <v>5613</v>
      </c>
      <c r="K387" s="122" t="s">
        <v>5565</v>
      </c>
      <c r="L387" s="122" t="s">
        <v>5566</v>
      </c>
      <c r="M387" s="122" t="s">
        <v>5614</v>
      </c>
      <c r="Q387" s="122" t="s">
        <v>3389</v>
      </c>
      <c r="R387" s="142">
        <v>78</v>
      </c>
      <c r="S387" s="122" t="s">
        <v>5615</v>
      </c>
      <c r="U387" s="122" t="s">
        <v>4681</v>
      </c>
      <c r="W387" s="122" t="s">
        <v>246</v>
      </c>
      <c r="X387" s="122" t="s">
        <v>739</v>
      </c>
      <c r="Y387" s="141" t="s">
        <v>1256</v>
      </c>
      <c r="Z387" s="122" t="s">
        <v>5616</v>
      </c>
      <c r="AA387" s="141" t="s">
        <v>457</v>
      </c>
      <c r="AB387" s="122" t="s">
        <v>5616</v>
      </c>
      <c r="AC387" s="141" t="s">
        <v>1260</v>
      </c>
      <c r="AD387" s="122" t="s">
        <v>5616</v>
      </c>
      <c r="AE387" s="122" t="s">
        <v>235</v>
      </c>
      <c r="AF387" s="122" t="s">
        <v>5617</v>
      </c>
      <c r="AG387" s="122" t="s">
        <v>537</v>
      </c>
      <c r="AH387" s="122" t="s">
        <v>253</v>
      </c>
      <c r="AI387" s="122" t="s">
        <v>5618</v>
      </c>
      <c r="AJ387" s="122" t="s">
        <v>5619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253</v>
      </c>
      <c r="AQ387" s="141" t="s">
        <v>253</v>
      </c>
      <c r="AR387" s="141" t="s">
        <v>253</v>
      </c>
      <c r="AS387" s="141" t="s">
        <v>601</v>
      </c>
      <c r="AT387" s="141" t="s">
        <v>258</v>
      </c>
      <c r="AU387" s="141" t="s">
        <v>258</v>
      </c>
      <c r="AV387" s="122" t="s">
        <v>259</v>
      </c>
      <c r="AW387" s="122" t="s">
        <v>260</v>
      </c>
      <c r="AY387" s="141" t="s">
        <v>253</v>
      </c>
      <c r="AZ387" s="122" t="s">
        <v>5620</v>
      </c>
      <c r="BA387" s="122" t="s">
        <v>5621</v>
      </c>
      <c r="BB387" s="122" t="s">
        <v>262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78</v>
      </c>
      <c r="BJ387" s="123">
        <v>42233</v>
      </c>
      <c r="BK387" s="139" t="s">
        <v>606</v>
      </c>
      <c r="BM387" s="122">
        <v>34</v>
      </c>
    </row>
    <row r="388" spans="1:65" x14ac:dyDescent="0.25">
      <c r="A388" s="122" t="s">
        <v>541</v>
      </c>
      <c r="B388" s="122" t="s">
        <v>5622</v>
      </c>
      <c r="C388" s="122" t="s">
        <v>5623</v>
      </c>
      <c r="D388" s="122" t="s">
        <v>5624</v>
      </c>
      <c r="E388" s="123">
        <v>42219</v>
      </c>
      <c r="F388" s="122" t="s">
        <v>2735</v>
      </c>
      <c r="G388" s="122" t="s">
        <v>235</v>
      </c>
      <c r="H388" s="122" t="s">
        <v>5625</v>
      </c>
      <c r="I388" s="122" t="s">
        <v>5626</v>
      </c>
      <c r="J388" s="122" t="s">
        <v>5627</v>
      </c>
      <c r="K388" s="122" t="s">
        <v>3419</v>
      </c>
      <c r="L388" s="122" t="s">
        <v>3420</v>
      </c>
      <c r="M388" s="122" t="s">
        <v>3504</v>
      </c>
      <c r="O388" s="141" t="s">
        <v>613</v>
      </c>
      <c r="P388" s="141" t="s">
        <v>5628</v>
      </c>
      <c r="Q388" s="122" t="s">
        <v>3424</v>
      </c>
      <c r="R388" s="142">
        <v>79</v>
      </c>
      <c r="S388" s="122" t="s">
        <v>5629</v>
      </c>
      <c r="U388" s="122" t="s">
        <v>4681</v>
      </c>
      <c r="W388" s="122" t="s">
        <v>246</v>
      </c>
      <c r="X388" s="122" t="s">
        <v>442</v>
      </c>
      <c r="Y388" s="141" t="s">
        <v>248</v>
      </c>
      <c r="Z388" s="122" t="s">
        <v>5630</v>
      </c>
      <c r="AA388" s="141" t="s">
        <v>1289</v>
      </c>
      <c r="AB388" s="122" t="s">
        <v>5631</v>
      </c>
      <c r="AC388" s="141" t="s">
        <v>502</v>
      </c>
      <c r="AD388" s="122" t="s">
        <v>5632</v>
      </c>
      <c r="AE388" s="122" t="s">
        <v>235</v>
      </c>
      <c r="AF388" s="122" t="s">
        <v>5633</v>
      </c>
      <c r="AG388" s="122" t="s">
        <v>253</v>
      </c>
      <c r="AH388" s="122" t="s">
        <v>253</v>
      </c>
      <c r="AI388" s="122" t="s">
        <v>5634</v>
      </c>
      <c r="AJ388" s="122" t="s">
        <v>5635</v>
      </c>
      <c r="AK388" s="122" t="s">
        <v>5636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253</v>
      </c>
      <c r="AS388" s="141" t="s">
        <v>601</v>
      </c>
      <c r="AT388" s="141" t="s">
        <v>601</v>
      </c>
      <c r="AU388" s="141" t="s">
        <v>258</v>
      </c>
      <c r="AV388" s="122" t="s">
        <v>259</v>
      </c>
      <c r="AW388" s="122" t="s">
        <v>260</v>
      </c>
      <c r="AY388" s="141" t="s">
        <v>253</v>
      </c>
      <c r="AZ388" s="122" t="s">
        <v>5637</v>
      </c>
      <c r="BA388" s="122" t="s">
        <v>262</v>
      </c>
      <c r="BB388" s="122" t="s">
        <v>262</v>
      </c>
      <c r="BC388" s="141" t="s">
        <v>312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79</v>
      </c>
      <c r="BJ388" s="123">
        <v>42232</v>
      </c>
      <c r="BK388" s="139" t="s">
        <v>606</v>
      </c>
      <c r="BM388" s="122">
        <v>33</v>
      </c>
    </row>
    <row r="389" spans="1:65" x14ac:dyDescent="0.25">
      <c r="A389" s="122" t="s">
        <v>541</v>
      </c>
      <c r="B389" s="122" t="s">
        <v>5638</v>
      </c>
      <c r="C389" s="122" t="s">
        <v>5639</v>
      </c>
      <c r="D389" s="122" t="s">
        <v>5640</v>
      </c>
      <c r="E389" s="123">
        <v>42219</v>
      </c>
      <c r="F389" s="122" t="s">
        <v>5641</v>
      </c>
      <c r="G389" s="122" t="s">
        <v>235</v>
      </c>
      <c r="H389" s="122" t="s">
        <v>5642</v>
      </c>
      <c r="I389" s="122" t="s">
        <v>5643</v>
      </c>
      <c r="K389" s="122" t="s">
        <v>3419</v>
      </c>
      <c r="L389" s="122" t="s">
        <v>3420</v>
      </c>
      <c r="M389" s="122" t="s">
        <v>3421</v>
      </c>
      <c r="O389" s="141" t="s">
        <v>5644</v>
      </c>
      <c r="P389" s="141" t="s">
        <v>5645</v>
      </c>
      <c r="Q389" s="122" t="s">
        <v>3424</v>
      </c>
      <c r="R389" s="142">
        <v>80</v>
      </c>
      <c r="S389" s="122" t="s">
        <v>5646</v>
      </c>
      <c r="U389" s="122" t="s">
        <v>4681</v>
      </c>
      <c r="W389" s="122" t="s">
        <v>246</v>
      </c>
      <c r="X389" s="122" t="s">
        <v>442</v>
      </c>
      <c r="Y389" s="141" t="s">
        <v>328</v>
      </c>
      <c r="Z389" s="122" t="s">
        <v>2011</v>
      </c>
      <c r="AA389" s="141" t="s">
        <v>1498</v>
      </c>
      <c r="AB389" s="122" t="s">
        <v>5647</v>
      </c>
      <c r="AC389" s="141" t="s">
        <v>1015</v>
      </c>
      <c r="AD389" s="122" t="s">
        <v>5648</v>
      </c>
      <c r="AE389" s="122" t="s">
        <v>235</v>
      </c>
      <c r="AF389" s="122" t="s">
        <v>5649</v>
      </c>
      <c r="AG389" s="122" t="s">
        <v>253</v>
      </c>
      <c r="AH389" s="122" t="s">
        <v>253</v>
      </c>
      <c r="AI389" s="122" t="s">
        <v>5650</v>
      </c>
      <c r="AJ389" s="122" t="s">
        <v>5651</v>
      </c>
      <c r="AK389" s="122" t="s">
        <v>5652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247</v>
      </c>
      <c r="AQ389" s="141" t="s">
        <v>247</v>
      </c>
      <c r="AR389" s="141" t="s">
        <v>253</v>
      </c>
      <c r="AS389" s="141" t="s">
        <v>601</v>
      </c>
      <c r="AT389" s="141" t="s">
        <v>601</v>
      </c>
      <c r="AU389" s="141" t="s">
        <v>258</v>
      </c>
      <c r="AV389" s="122" t="s">
        <v>259</v>
      </c>
      <c r="AW389" s="122" t="s">
        <v>260</v>
      </c>
      <c r="AY389" s="141" t="s">
        <v>253</v>
      </c>
      <c r="AZ389" s="122" t="s">
        <v>5653</v>
      </c>
      <c r="BA389" s="122" t="s">
        <v>262</v>
      </c>
      <c r="BB389" s="122" t="s">
        <v>5654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80</v>
      </c>
      <c r="BJ389" s="123">
        <v>42232</v>
      </c>
      <c r="BK389" s="139" t="s">
        <v>606</v>
      </c>
      <c r="BM389" s="122">
        <v>33</v>
      </c>
    </row>
    <row r="390" spans="1:65" x14ac:dyDescent="0.25">
      <c r="A390" s="122" t="s">
        <v>541</v>
      </c>
      <c r="B390" s="122" t="s">
        <v>5655</v>
      </c>
      <c r="C390" s="122" t="s">
        <v>5656</v>
      </c>
      <c r="D390" s="122" t="s">
        <v>5657</v>
      </c>
      <c r="E390" s="123">
        <v>42219</v>
      </c>
      <c r="F390" s="122" t="s">
        <v>5658</v>
      </c>
      <c r="G390" s="122" t="s">
        <v>235</v>
      </c>
      <c r="H390" s="122" t="s">
        <v>5659</v>
      </c>
      <c r="I390" s="122" t="s">
        <v>5660</v>
      </c>
      <c r="K390" s="122" t="s">
        <v>3419</v>
      </c>
      <c r="L390" s="122" t="s">
        <v>3420</v>
      </c>
      <c r="M390" s="122" t="s">
        <v>3421</v>
      </c>
      <c r="Q390" s="122" t="s">
        <v>3424</v>
      </c>
      <c r="R390" s="142">
        <v>81</v>
      </c>
      <c r="S390" s="122" t="s">
        <v>5661</v>
      </c>
      <c r="T390" s="122" t="s">
        <v>5662</v>
      </c>
      <c r="U390" s="122" t="s">
        <v>4681</v>
      </c>
      <c r="W390" s="122" t="s">
        <v>246</v>
      </c>
      <c r="X390" s="122" t="s">
        <v>721</v>
      </c>
      <c r="Y390" s="141" t="s">
        <v>534</v>
      </c>
      <c r="Z390" s="122" t="s">
        <v>5663</v>
      </c>
      <c r="AA390" s="141" t="s">
        <v>1090</v>
      </c>
      <c r="AB390" s="122" t="s">
        <v>5663</v>
      </c>
      <c r="AC390" s="141" t="s">
        <v>1327</v>
      </c>
      <c r="AD390" s="122" t="s">
        <v>5663</v>
      </c>
      <c r="AE390" s="122" t="s">
        <v>235</v>
      </c>
      <c r="AF390" s="122" t="s">
        <v>5664</v>
      </c>
      <c r="AG390" s="122" t="s">
        <v>537</v>
      </c>
      <c r="AH390" s="122" t="s">
        <v>253</v>
      </c>
      <c r="AI390" s="122" t="s">
        <v>5665</v>
      </c>
      <c r="AJ390" s="122" t="s">
        <v>5666</v>
      </c>
      <c r="AK390" s="122" t="s">
        <v>253</v>
      </c>
      <c r="AL390" s="122" t="s">
        <v>253</v>
      </c>
      <c r="AM390" s="122" t="s">
        <v>253</v>
      </c>
      <c r="AN390" s="122" t="s">
        <v>253</v>
      </c>
      <c r="AO390" s="141" t="s">
        <v>247</v>
      </c>
      <c r="AP390" s="141" t="s">
        <v>253</v>
      </c>
      <c r="AQ390" s="141" t="s">
        <v>253</v>
      </c>
      <c r="AR390" s="141" t="s">
        <v>253</v>
      </c>
      <c r="AS390" s="141" t="s">
        <v>601</v>
      </c>
      <c r="AT390" s="141" t="s">
        <v>258</v>
      </c>
      <c r="AU390" s="141" t="s">
        <v>258</v>
      </c>
      <c r="AV390" s="122" t="s">
        <v>259</v>
      </c>
      <c r="AW390" s="122" t="s">
        <v>260</v>
      </c>
      <c r="AY390" s="141" t="s">
        <v>253</v>
      </c>
      <c r="AZ390" s="122" t="s">
        <v>5667</v>
      </c>
      <c r="BA390" s="122" t="s">
        <v>262</v>
      </c>
      <c r="BB390" s="122" t="s">
        <v>262</v>
      </c>
      <c r="BD390" s="122" t="s">
        <v>253</v>
      </c>
      <c r="BE390" s="122" t="s">
        <v>263</v>
      </c>
      <c r="BF390" s="122" t="s">
        <v>4688</v>
      </c>
      <c r="BH390" s="122" t="s">
        <v>4681</v>
      </c>
      <c r="BI390" s="142">
        <v>81</v>
      </c>
      <c r="BJ390" s="123">
        <v>42232</v>
      </c>
      <c r="BK390" s="139" t="s">
        <v>264</v>
      </c>
      <c r="BL390" s="140">
        <v>112.45</v>
      </c>
      <c r="BM390" s="122">
        <v>33</v>
      </c>
    </row>
    <row r="391" spans="1:65" x14ac:dyDescent="0.25">
      <c r="A391" s="122" t="s">
        <v>541</v>
      </c>
      <c r="B391" s="122" t="s">
        <v>5668</v>
      </c>
      <c r="C391" s="122" t="s">
        <v>5669</v>
      </c>
      <c r="D391" s="122" t="s">
        <v>5670</v>
      </c>
      <c r="E391" s="123">
        <v>42219</v>
      </c>
      <c r="F391" s="122" t="s">
        <v>2186</v>
      </c>
      <c r="G391" s="122" t="s">
        <v>235</v>
      </c>
      <c r="H391" s="122" t="s">
        <v>5671</v>
      </c>
      <c r="I391" s="122" t="s">
        <v>5672</v>
      </c>
      <c r="K391" s="122" t="s">
        <v>5673</v>
      </c>
      <c r="L391" s="122" t="s">
        <v>5674</v>
      </c>
      <c r="M391" s="122" t="s">
        <v>5675</v>
      </c>
      <c r="O391" s="141" t="s">
        <v>548</v>
      </c>
      <c r="P391" s="141" t="s">
        <v>5676</v>
      </c>
      <c r="Q391" s="122" t="s">
        <v>5677</v>
      </c>
      <c r="R391" s="142">
        <v>82</v>
      </c>
      <c r="S391" s="122" t="s">
        <v>5678</v>
      </c>
      <c r="U391" s="122" t="s">
        <v>4681</v>
      </c>
      <c r="W391" s="122" t="s">
        <v>246</v>
      </c>
      <c r="X391" s="122" t="s">
        <v>1643</v>
      </c>
      <c r="Y391" s="141" t="s">
        <v>328</v>
      </c>
      <c r="Z391" s="122" t="s">
        <v>5679</v>
      </c>
      <c r="AA391" s="141" t="s">
        <v>1778</v>
      </c>
      <c r="AB391" s="122" t="s">
        <v>355</v>
      </c>
      <c r="AC391" s="141" t="s">
        <v>1192</v>
      </c>
      <c r="AD391" s="122" t="s">
        <v>5680</v>
      </c>
      <c r="AE391" s="122" t="s">
        <v>235</v>
      </c>
      <c r="AF391" s="122" t="s">
        <v>5681</v>
      </c>
      <c r="AG391" s="122" t="s">
        <v>537</v>
      </c>
      <c r="AH391" s="122" t="s">
        <v>253</v>
      </c>
      <c r="AI391" s="122" t="s">
        <v>5682</v>
      </c>
      <c r="AJ391" s="122" t="s">
        <v>5683</v>
      </c>
      <c r="AK391" s="122" t="s">
        <v>253</v>
      </c>
      <c r="AL391" s="122" t="s">
        <v>253</v>
      </c>
      <c r="AM391" s="122" t="s">
        <v>253</v>
      </c>
      <c r="AN391" s="122" t="s">
        <v>253</v>
      </c>
      <c r="AO391" s="141" t="s">
        <v>247</v>
      </c>
      <c r="AP391" s="141" t="s">
        <v>247</v>
      </c>
      <c r="AQ391" s="141" t="s">
        <v>247</v>
      </c>
      <c r="AR391" s="141" t="s">
        <v>247</v>
      </c>
      <c r="AS391" s="141" t="s">
        <v>601</v>
      </c>
      <c r="AT391" s="141" t="s">
        <v>601</v>
      </c>
      <c r="AU391" s="141" t="s">
        <v>257</v>
      </c>
      <c r="AV391" s="122" t="s">
        <v>259</v>
      </c>
      <c r="AW391" s="122" t="s">
        <v>260</v>
      </c>
      <c r="AX391" s="141" t="s">
        <v>5684</v>
      </c>
      <c r="AY391" s="141" t="s">
        <v>260</v>
      </c>
      <c r="AZ391" s="122" t="s">
        <v>5685</v>
      </c>
      <c r="BA391" s="122" t="s">
        <v>262</v>
      </c>
      <c r="BB391" s="122" t="s">
        <v>5686</v>
      </c>
      <c r="BD391" s="122" t="s">
        <v>253</v>
      </c>
      <c r="BE391" s="122" t="s">
        <v>263</v>
      </c>
      <c r="BF391" s="122" t="s">
        <v>4688</v>
      </c>
      <c r="BH391" s="122" t="s">
        <v>4681</v>
      </c>
      <c r="BI391" s="142">
        <v>82</v>
      </c>
      <c r="BJ391" s="123">
        <v>42233</v>
      </c>
      <c r="BK391" s="139" t="s">
        <v>606</v>
      </c>
      <c r="BM391" s="122">
        <v>34</v>
      </c>
    </row>
    <row r="392" spans="1:65" x14ac:dyDescent="0.25">
      <c r="A392" s="122" t="s">
        <v>541</v>
      </c>
      <c r="B392" s="122" t="s">
        <v>5687</v>
      </c>
      <c r="C392" s="122" t="s">
        <v>5688</v>
      </c>
      <c r="D392" s="122" t="s">
        <v>5689</v>
      </c>
      <c r="E392" s="123">
        <v>42219</v>
      </c>
      <c r="F392" s="122" t="s">
        <v>5690</v>
      </c>
      <c r="G392" s="122" t="s">
        <v>235</v>
      </c>
      <c r="H392" s="122" t="s">
        <v>5691</v>
      </c>
      <c r="I392" s="122" t="s">
        <v>5692</v>
      </c>
      <c r="K392" s="122" t="s">
        <v>5673</v>
      </c>
      <c r="L392" s="122" t="s">
        <v>5674</v>
      </c>
      <c r="M392" s="122" t="s">
        <v>5675</v>
      </c>
      <c r="O392" s="141" t="s">
        <v>2559</v>
      </c>
      <c r="P392" s="141" t="s">
        <v>5693</v>
      </c>
      <c r="Q392" s="122" t="s">
        <v>5677</v>
      </c>
      <c r="R392" s="142">
        <v>83</v>
      </c>
      <c r="S392" s="122" t="s">
        <v>5694</v>
      </c>
      <c r="U392" s="122" t="s">
        <v>4681</v>
      </c>
      <c r="W392" s="122" t="s">
        <v>246</v>
      </c>
      <c r="X392" s="122" t="s">
        <v>1643</v>
      </c>
      <c r="Y392" s="141" t="s">
        <v>1896</v>
      </c>
      <c r="Z392" s="122" t="s">
        <v>4824</v>
      </c>
      <c r="AA392" s="141" t="s">
        <v>330</v>
      </c>
      <c r="AB392" s="122" t="s">
        <v>3793</v>
      </c>
      <c r="AC392" s="141" t="s">
        <v>855</v>
      </c>
      <c r="AD392" s="122" t="s">
        <v>533</v>
      </c>
      <c r="AE392" s="122" t="s">
        <v>235</v>
      </c>
      <c r="AF392" s="122" t="s">
        <v>5695</v>
      </c>
      <c r="AG392" s="122" t="s">
        <v>537</v>
      </c>
      <c r="AH392" s="122" t="s">
        <v>253</v>
      </c>
      <c r="AI392" s="122" t="s">
        <v>1971</v>
      </c>
      <c r="AJ392" s="122" t="s">
        <v>5696</v>
      </c>
      <c r="AK392" s="122" t="s">
        <v>253</v>
      </c>
      <c r="AL392" s="122" t="s">
        <v>253</v>
      </c>
      <c r="AM392" s="122" t="s">
        <v>253</v>
      </c>
      <c r="AN392" s="122" t="s">
        <v>253</v>
      </c>
      <c r="AO392" s="141" t="s">
        <v>253</v>
      </c>
      <c r="AP392" s="141" t="s">
        <v>253</v>
      </c>
      <c r="AQ392" s="141" t="s">
        <v>247</v>
      </c>
      <c r="AR392" s="141" t="s">
        <v>253</v>
      </c>
      <c r="AS392" s="141" t="s">
        <v>361</v>
      </c>
      <c r="AT392" s="141" t="s">
        <v>601</v>
      </c>
      <c r="AU392" s="141" t="s">
        <v>258</v>
      </c>
      <c r="AV392" s="122" t="s">
        <v>259</v>
      </c>
      <c r="AW392" s="122" t="s">
        <v>260</v>
      </c>
      <c r="AY392" s="141" t="s">
        <v>253</v>
      </c>
      <c r="AZ392" s="122" t="s">
        <v>5697</v>
      </c>
      <c r="BA392" s="122" t="s">
        <v>262</v>
      </c>
      <c r="BB392" s="122" t="s">
        <v>262</v>
      </c>
      <c r="BC392" s="141" t="s">
        <v>312</v>
      </c>
      <c r="BD392" s="122" t="s">
        <v>253</v>
      </c>
      <c r="BE392" s="122" t="s">
        <v>263</v>
      </c>
      <c r="BF392" s="122" t="s">
        <v>4688</v>
      </c>
      <c r="BH392" s="122" t="s">
        <v>4681</v>
      </c>
      <c r="BI392" s="142">
        <v>83</v>
      </c>
      <c r="BJ392" s="123">
        <v>42233</v>
      </c>
      <c r="BK392" s="139" t="s">
        <v>606</v>
      </c>
      <c r="BM392" s="122">
        <v>34</v>
      </c>
    </row>
    <row r="393" spans="1:65" x14ac:dyDescent="0.25">
      <c r="A393" s="122" t="s">
        <v>541</v>
      </c>
      <c r="B393" s="122" t="s">
        <v>5698</v>
      </c>
      <c r="C393" s="122" t="s">
        <v>5699</v>
      </c>
      <c r="D393" s="122" t="s">
        <v>5700</v>
      </c>
      <c r="E393" s="123">
        <v>42219</v>
      </c>
      <c r="F393" s="122" t="s">
        <v>5701</v>
      </c>
      <c r="G393" s="122" t="s">
        <v>235</v>
      </c>
      <c r="H393" s="122" t="s">
        <v>5702</v>
      </c>
      <c r="I393" s="122" t="s">
        <v>5703</v>
      </c>
      <c r="K393" s="122" t="s">
        <v>5673</v>
      </c>
      <c r="L393" s="122" t="s">
        <v>5674</v>
      </c>
      <c r="M393" s="122" t="s">
        <v>5675</v>
      </c>
      <c r="N393" s="122" t="s">
        <v>5704</v>
      </c>
      <c r="O393" s="141" t="s">
        <v>548</v>
      </c>
      <c r="P393" s="141" t="s">
        <v>5705</v>
      </c>
      <c r="Q393" s="122" t="s">
        <v>5677</v>
      </c>
      <c r="R393" s="142">
        <v>84</v>
      </c>
      <c r="S393" s="122" t="s">
        <v>5706</v>
      </c>
      <c r="U393" s="122" t="s">
        <v>4681</v>
      </c>
      <c r="W393" s="122" t="s">
        <v>246</v>
      </c>
      <c r="X393" s="122" t="s">
        <v>739</v>
      </c>
      <c r="Y393" s="141" t="s">
        <v>2804</v>
      </c>
      <c r="Z393" s="122" t="s">
        <v>5707</v>
      </c>
      <c r="AA393" s="141" t="s">
        <v>920</v>
      </c>
      <c r="AB393" s="122" t="s">
        <v>5708</v>
      </c>
      <c r="AC393" s="141" t="s">
        <v>1679</v>
      </c>
      <c r="AD393" s="122" t="s">
        <v>5709</v>
      </c>
      <c r="AE393" s="122" t="s">
        <v>235</v>
      </c>
      <c r="AF393" s="122" t="s">
        <v>5710</v>
      </c>
      <c r="AG393" s="122" t="s">
        <v>537</v>
      </c>
      <c r="AH393" s="122" t="s">
        <v>253</v>
      </c>
      <c r="AI393" s="122" t="s">
        <v>5711</v>
      </c>
      <c r="AJ393" s="122" t="s">
        <v>5712</v>
      </c>
      <c r="AK393" s="122" t="s">
        <v>253</v>
      </c>
      <c r="AL393" s="122" t="s">
        <v>253</v>
      </c>
      <c r="AM393" s="122" t="s">
        <v>253</v>
      </c>
      <c r="AN393" s="122" t="s">
        <v>253</v>
      </c>
      <c r="AO393" s="141" t="s">
        <v>247</v>
      </c>
      <c r="AP393" s="141" t="s">
        <v>247</v>
      </c>
      <c r="AQ393" s="141" t="s">
        <v>247</v>
      </c>
      <c r="AR393" s="141" t="s">
        <v>247</v>
      </c>
      <c r="AS393" s="141" t="s">
        <v>601</v>
      </c>
      <c r="AT393" s="141" t="s">
        <v>601</v>
      </c>
      <c r="AU393" s="141" t="s">
        <v>601</v>
      </c>
      <c r="AV393" s="122" t="s">
        <v>259</v>
      </c>
      <c r="AW393" s="122" t="s">
        <v>260</v>
      </c>
      <c r="AY393" s="141" t="s">
        <v>253</v>
      </c>
      <c r="AZ393" s="122" t="s">
        <v>5713</v>
      </c>
      <c r="BA393" s="122" t="s">
        <v>262</v>
      </c>
      <c r="BB393" s="122" t="s">
        <v>262</v>
      </c>
      <c r="BD393" s="122" t="s">
        <v>253</v>
      </c>
      <c r="BE393" s="122" t="s">
        <v>263</v>
      </c>
      <c r="BF393" s="122" t="s">
        <v>4688</v>
      </c>
      <c r="BH393" s="122" t="s">
        <v>4681</v>
      </c>
      <c r="BI393" s="142">
        <v>84</v>
      </c>
      <c r="BJ393" s="123">
        <v>42233</v>
      </c>
      <c r="BK393" s="139" t="s">
        <v>606</v>
      </c>
      <c r="BM393" s="122">
        <v>34</v>
      </c>
    </row>
    <row r="394" spans="1:65" x14ac:dyDescent="0.25">
      <c r="A394" s="122" t="s">
        <v>230</v>
      </c>
      <c r="B394" s="122" t="s">
        <v>5714</v>
      </c>
      <c r="C394" s="122" t="s">
        <v>5715</v>
      </c>
      <c r="D394" s="122" t="s">
        <v>5716</v>
      </c>
      <c r="E394" s="123">
        <v>42219</v>
      </c>
      <c r="F394" s="122" t="s">
        <v>5717</v>
      </c>
      <c r="G394" s="122" t="s">
        <v>235</v>
      </c>
      <c r="H394" s="122" t="s">
        <v>5718</v>
      </c>
      <c r="I394" s="122" t="s">
        <v>5719</v>
      </c>
      <c r="K394" s="122" t="s">
        <v>3419</v>
      </c>
      <c r="L394" s="122" t="s">
        <v>3420</v>
      </c>
      <c r="M394" s="122" t="s">
        <v>3421</v>
      </c>
      <c r="O394" s="141" t="s">
        <v>299</v>
      </c>
      <c r="P394" s="141" t="s">
        <v>5720</v>
      </c>
      <c r="Q394" s="122" t="s">
        <v>3424</v>
      </c>
      <c r="R394" s="142">
        <v>85</v>
      </c>
      <c r="S394" s="122" t="s">
        <v>5721</v>
      </c>
      <c r="U394" s="122" t="s">
        <v>4681</v>
      </c>
      <c r="W394" s="122" t="s">
        <v>246</v>
      </c>
      <c r="X394" s="122" t="s">
        <v>260</v>
      </c>
      <c r="Y394" s="141" t="s">
        <v>3574</v>
      </c>
      <c r="Z394" s="122" t="s">
        <v>1326</v>
      </c>
      <c r="AA394" s="141" t="s">
        <v>899</v>
      </c>
      <c r="AB394" s="122" t="s">
        <v>4597</v>
      </c>
      <c r="AC394" s="141" t="s">
        <v>855</v>
      </c>
      <c r="AD394" s="122" t="s">
        <v>4056</v>
      </c>
      <c r="AE394" s="122" t="s">
        <v>235</v>
      </c>
      <c r="AF394" s="122" t="s">
        <v>5722</v>
      </c>
      <c r="AG394" s="122" t="s">
        <v>253</v>
      </c>
      <c r="AH394" s="122" t="s">
        <v>253</v>
      </c>
      <c r="AI394" s="122" t="s">
        <v>5723</v>
      </c>
      <c r="AJ394" s="122" t="s">
        <v>3913</v>
      </c>
      <c r="AK394" s="122" t="s">
        <v>5724</v>
      </c>
      <c r="AL394" s="122" t="s">
        <v>253</v>
      </c>
      <c r="AM394" s="122" t="s">
        <v>253</v>
      </c>
      <c r="AN394" s="122" t="s">
        <v>253</v>
      </c>
      <c r="AO394" s="141" t="s">
        <v>253</v>
      </c>
      <c r="AP394" s="141" t="s">
        <v>253</v>
      </c>
      <c r="AQ394" s="141" t="s">
        <v>247</v>
      </c>
      <c r="AR394" s="141" t="s">
        <v>253</v>
      </c>
      <c r="AS394" s="141" t="s">
        <v>361</v>
      </c>
      <c r="AT394" s="141" t="s">
        <v>601</v>
      </c>
      <c r="AU394" s="141" t="s">
        <v>258</v>
      </c>
      <c r="AV394" s="122" t="s">
        <v>259</v>
      </c>
      <c r="AW394" s="122" t="s">
        <v>260</v>
      </c>
      <c r="AY394" s="141" t="s">
        <v>253</v>
      </c>
      <c r="AZ394" s="122" t="s">
        <v>5725</v>
      </c>
      <c r="BA394" s="122" t="s">
        <v>262</v>
      </c>
      <c r="BB394" s="122" t="s">
        <v>262</v>
      </c>
      <c r="BC394" s="141" t="s">
        <v>312</v>
      </c>
      <c r="BD394" s="122" t="s">
        <v>253</v>
      </c>
      <c r="BE394" s="122" t="s">
        <v>263</v>
      </c>
      <c r="BF394" s="122" t="s">
        <v>4688</v>
      </c>
      <c r="BH394" s="122" t="s">
        <v>4681</v>
      </c>
      <c r="BI394" s="142">
        <v>85</v>
      </c>
      <c r="BJ394" s="123">
        <v>42230</v>
      </c>
      <c r="BK394" s="139" t="s">
        <v>606</v>
      </c>
      <c r="BM394" s="122">
        <v>33</v>
      </c>
    </row>
    <row r="395" spans="1:65" x14ac:dyDescent="0.25">
      <c r="A395" s="122" t="s">
        <v>230</v>
      </c>
      <c r="B395" s="122" t="s">
        <v>5726</v>
      </c>
      <c r="C395" s="122" t="s">
        <v>5727</v>
      </c>
      <c r="D395" s="122" t="s">
        <v>5728</v>
      </c>
      <c r="E395" s="123">
        <v>42219</v>
      </c>
      <c r="F395" s="122" t="s">
        <v>3483</v>
      </c>
      <c r="G395" s="122" t="s">
        <v>235</v>
      </c>
      <c r="H395" s="122" t="s">
        <v>5729</v>
      </c>
      <c r="I395" s="122" t="s">
        <v>5730</v>
      </c>
      <c r="K395" s="122" t="s">
        <v>3419</v>
      </c>
      <c r="L395" s="122" t="s">
        <v>3420</v>
      </c>
      <c r="M395" s="122" t="s">
        <v>3421</v>
      </c>
      <c r="Q395" s="122" t="s">
        <v>3424</v>
      </c>
      <c r="R395" s="142">
        <v>86</v>
      </c>
      <c r="S395" s="122" t="s">
        <v>5731</v>
      </c>
      <c r="U395" s="122" t="s">
        <v>4681</v>
      </c>
      <c r="W395" s="122" t="s">
        <v>246</v>
      </c>
      <c r="X395" s="122" t="s">
        <v>302</v>
      </c>
      <c r="Y395" s="141" t="s">
        <v>1876</v>
      </c>
      <c r="Z395" s="122" t="s">
        <v>5732</v>
      </c>
      <c r="AA395" s="141" t="s">
        <v>1612</v>
      </c>
      <c r="AB395" s="122" t="s">
        <v>1792</v>
      </c>
      <c r="AC395" s="141" t="s">
        <v>3881</v>
      </c>
      <c r="AD395" s="122" t="s">
        <v>669</v>
      </c>
      <c r="AE395" s="122" t="s">
        <v>235</v>
      </c>
      <c r="AF395" s="122" t="s">
        <v>5733</v>
      </c>
      <c r="AG395" s="122" t="s">
        <v>537</v>
      </c>
      <c r="AH395" s="122" t="s">
        <v>253</v>
      </c>
      <c r="AI395" s="122" t="s">
        <v>5734</v>
      </c>
      <c r="AJ395" s="122" t="s">
        <v>5735</v>
      </c>
      <c r="AK395" s="122" t="s">
        <v>253</v>
      </c>
      <c r="AL395" s="122" t="s">
        <v>253</v>
      </c>
      <c r="AM395" s="122" t="s">
        <v>253</v>
      </c>
      <c r="AN395" s="122" t="s">
        <v>253</v>
      </c>
      <c r="AO395" s="141" t="s">
        <v>247</v>
      </c>
      <c r="AP395" s="141" t="s">
        <v>247</v>
      </c>
      <c r="AQ395" s="141" t="s">
        <v>247</v>
      </c>
      <c r="AR395" s="141" t="s">
        <v>253</v>
      </c>
      <c r="AS395" s="141" t="s">
        <v>601</v>
      </c>
      <c r="AT395" s="141" t="s">
        <v>601</v>
      </c>
      <c r="AU395" s="141" t="s">
        <v>258</v>
      </c>
      <c r="AV395" s="122" t="s">
        <v>259</v>
      </c>
      <c r="AW395" s="122" t="s">
        <v>260</v>
      </c>
      <c r="AY395" s="141" t="s">
        <v>253</v>
      </c>
      <c r="AZ395" s="122" t="s">
        <v>5736</v>
      </c>
      <c r="BA395" s="122" t="s">
        <v>262</v>
      </c>
      <c r="BB395" s="122" t="s">
        <v>262</v>
      </c>
      <c r="BD395" s="122" t="s">
        <v>253</v>
      </c>
      <c r="BE395" s="122" t="s">
        <v>263</v>
      </c>
      <c r="BF395" s="122" t="s">
        <v>4688</v>
      </c>
      <c r="BH395" s="122" t="s">
        <v>4681</v>
      </c>
      <c r="BI395" s="142">
        <v>86</v>
      </c>
      <c r="BJ395" s="123">
        <v>42232</v>
      </c>
      <c r="BK395" s="139" t="s">
        <v>606</v>
      </c>
      <c r="BM395" s="122">
        <v>33</v>
      </c>
    </row>
    <row r="396" spans="1:65" x14ac:dyDescent="0.25">
      <c r="A396" s="122" t="s">
        <v>230</v>
      </c>
      <c r="B396" s="122" t="s">
        <v>5737</v>
      </c>
      <c r="C396" s="122" t="s">
        <v>5738</v>
      </c>
      <c r="D396" s="122" t="s">
        <v>5739</v>
      </c>
      <c r="E396" s="123">
        <v>42219</v>
      </c>
      <c r="F396" s="122" t="s">
        <v>1721</v>
      </c>
      <c r="G396" s="122" t="s">
        <v>235</v>
      </c>
      <c r="H396" s="122" t="s">
        <v>5740</v>
      </c>
      <c r="I396" s="122" t="s">
        <v>5741</v>
      </c>
      <c r="K396" s="122" t="s">
        <v>3419</v>
      </c>
      <c r="L396" s="122" t="s">
        <v>3503</v>
      </c>
      <c r="M396" s="122" t="s">
        <v>3504</v>
      </c>
      <c r="O396" s="141" t="s">
        <v>613</v>
      </c>
      <c r="P396" s="141" t="s">
        <v>5742</v>
      </c>
      <c r="Q396" s="122" t="s">
        <v>3424</v>
      </c>
      <c r="R396" s="142">
        <v>87</v>
      </c>
      <c r="S396" s="122" t="s">
        <v>5743</v>
      </c>
      <c r="T396" s="122" t="s">
        <v>5744</v>
      </c>
      <c r="U396" s="122" t="s">
        <v>4681</v>
      </c>
      <c r="W396" s="122" t="s">
        <v>246</v>
      </c>
      <c r="X396" s="122" t="s">
        <v>631</v>
      </c>
      <c r="Y396" s="141" t="s">
        <v>1596</v>
      </c>
      <c r="Z396" s="122" t="s">
        <v>5745</v>
      </c>
      <c r="AA396" s="141" t="s">
        <v>1547</v>
      </c>
      <c r="AB396" s="122" t="s">
        <v>5746</v>
      </c>
      <c r="AC396" s="141" t="s">
        <v>2365</v>
      </c>
      <c r="AD396" s="122" t="s">
        <v>5747</v>
      </c>
      <c r="AE396" s="122" t="s">
        <v>235</v>
      </c>
      <c r="AF396" s="122" t="s">
        <v>5748</v>
      </c>
      <c r="AG396" s="122" t="s">
        <v>537</v>
      </c>
      <c r="AH396" s="122" t="s">
        <v>253</v>
      </c>
      <c r="AI396" s="122" t="s">
        <v>5749</v>
      </c>
      <c r="AJ396" s="122" t="s">
        <v>5750</v>
      </c>
      <c r="AK396" s="122" t="s">
        <v>253</v>
      </c>
      <c r="AL396" s="122" t="s">
        <v>253</v>
      </c>
      <c r="AM396" s="122" t="s">
        <v>253</v>
      </c>
      <c r="AN396" s="122" t="s">
        <v>253</v>
      </c>
      <c r="AO396" s="141" t="s">
        <v>247</v>
      </c>
      <c r="AP396" s="141" t="s">
        <v>253</v>
      </c>
      <c r="AQ396" s="141" t="s">
        <v>247</v>
      </c>
      <c r="AR396" s="141" t="s">
        <v>253</v>
      </c>
      <c r="AS396" s="141" t="s">
        <v>601</v>
      </c>
      <c r="AT396" s="141" t="s">
        <v>601</v>
      </c>
      <c r="AU396" s="141" t="s">
        <v>258</v>
      </c>
      <c r="AV396" s="122" t="s">
        <v>259</v>
      </c>
      <c r="AW396" s="122" t="s">
        <v>260</v>
      </c>
      <c r="AY396" s="141" t="s">
        <v>253</v>
      </c>
      <c r="AZ396" s="122" t="s">
        <v>5751</v>
      </c>
      <c r="BA396" s="122" t="s">
        <v>262</v>
      </c>
      <c r="BB396" s="122" t="s">
        <v>262</v>
      </c>
      <c r="BC396" s="141" t="s">
        <v>312</v>
      </c>
      <c r="BD396" s="122" t="s">
        <v>253</v>
      </c>
      <c r="BE396" s="122" t="s">
        <v>263</v>
      </c>
      <c r="BF396" s="122" t="s">
        <v>4688</v>
      </c>
      <c r="BH396" s="122" t="s">
        <v>4681</v>
      </c>
      <c r="BI396" s="142">
        <v>87</v>
      </c>
      <c r="BJ396" s="123">
        <v>42230</v>
      </c>
      <c r="BK396" s="139" t="s">
        <v>264</v>
      </c>
      <c r="BL396" s="140">
        <v>228.56</v>
      </c>
      <c r="BM396" s="122">
        <v>33</v>
      </c>
    </row>
    <row r="397" spans="1:65" x14ac:dyDescent="0.25">
      <c r="A397" s="122" t="s">
        <v>230</v>
      </c>
      <c r="B397" s="122" t="s">
        <v>5752</v>
      </c>
      <c r="C397" s="122" t="s">
        <v>5753</v>
      </c>
      <c r="D397" s="122" t="s">
        <v>5754</v>
      </c>
      <c r="E397" s="123">
        <v>42219</v>
      </c>
      <c r="F397" s="122" t="s">
        <v>1179</v>
      </c>
      <c r="G397" s="122" t="s">
        <v>235</v>
      </c>
      <c r="H397" s="122" t="s">
        <v>5755</v>
      </c>
      <c r="I397" s="122" t="s">
        <v>5756</v>
      </c>
      <c r="J397" s="122" t="s">
        <v>1560</v>
      </c>
      <c r="K397" s="122" t="s">
        <v>5673</v>
      </c>
      <c r="L397" s="122" t="s">
        <v>5674</v>
      </c>
      <c r="M397" s="122" t="s">
        <v>5757</v>
      </c>
      <c r="O397" s="141" t="s">
        <v>566</v>
      </c>
      <c r="P397" s="141" t="s">
        <v>5758</v>
      </c>
      <c r="Q397" s="122" t="s">
        <v>5677</v>
      </c>
      <c r="R397" s="142">
        <v>88</v>
      </c>
      <c r="S397" s="122" t="s">
        <v>5759</v>
      </c>
      <c r="U397" s="122" t="s">
        <v>4681</v>
      </c>
      <c r="W397" s="122" t="s">
        <v>246</v>
      </c>
      <c r="X397" s="122" t="s">
        <v>247</v>
      </c>
      <c r="Y397" s="141" t="s">
        <v>707</v>
      </c>
      <c r="Z397" s="122" t="s">
        <v>5760</v>
      </c>
      <c r="AA397" s="141" t="s">
        <v>1179</v>
      </c>
      <c r="AB397" s="122" t="s">
        <v>5761</v>
      </c>
      <c r="AC397" s="141" t="s">
        <v>5762</v>
      </c>
      <c r="AD397" s="122" t="s">
        <v>355</v>
      </c>
      <c r="AE397" s="122" t="s">
        <v>235</v>
      </c>
      <c r="AF397" s="122" t="s">
        <v>5763</v>
      </c>
      <c r="AG397" s="122" t="s">
        <v>253</v>
      </c>
      <c r="AH397" s="122" t="s">
        <v>253</v>
      </c>
      <c r="AI397" s="122" t="s">
        <v>5764</v>
      </c>
      <c r="AJ397" s="122" t="s">
        <v>4805</v>
      </c>
      <c r="AK397" s="122" t="s">
        <v>5765</v>
      </c>
      <c r="AL397" s="122" t="s">
        <v>253</v>
      </c>
      <c r="AM397" s="122" t="s">
        <v>253</v>
      </c>
      <c r="AN397" s="122" t="s">
        <v>253</v>
      </c>
      <c r="AO397" s="141" t="s">
        <v>247</v>
      </c>
      <c r="AP397" s="141" t="s">
        <v>247</v>
      </c>
      <c r="AQ397" s="141" t="s">
        <v>253</v>
      </c>
      <c r="AR397" s="141" t="s">
        <v>253</v>
      </c>
      <c r="AS397" s="141" t="s">
        <v>601</v>
      </c>
      <c r="AT397" s="141" t="s">
        <v>258</v>
      </c>
      <c r="AU397" s="141" t="s">
        <v>258</v>
      </c>
      <c r="AV397" s="122" t="s">
        <v>259</v>
      </c>
      <c r="AW397" s="122" t="s">
        <v>260</v>
      </c>
      <c r="AY397" s="141" t="s">
        <v>253</v>
      </c>
      <c r="AZ397" s="122" t="s">
        <v>5766</v>
      </c>
      <c r="BA397" s="122" t="s">
        <v>262</v>
      </c>
      <c r="BB397" s="122" t="s">
        <v>262</v>
      </c>
      <c r="BD397" s="122" t="s">
        <v>253</v>
      </c>
      <c r="BE397" s="122" t="s">
        <v>263</v>
      </c>
      <c r="BF397" s="122" t="s">
        <v>4688</v>
      </c>
      <c r="BH397" s="122" t="s">
        <v>4681</v>
      </c>
      <c r="BI397" s="142">
        <v>88</v>
      </c>
      <c r="BJ397" s="123">
        <v>42233</v>
      </c>
      <c r="BK397" s="139" t="s">
        <v>606</v>
      </c>
      <c r="BM397" s="122">
        <v>34</v>
      </c>
    </row>
    <row r="398" spans="1:65" x14ac:dyDescent="0.25">
      <c r="A398" s="122" t="s">
        <v>230</v>
      </c>
      <c r="B398" s="122" t="s">
        <v>5767</v>
      </c>
      <c r="C398" s="122" t="s">
        <v>5768</v>
      </c>
      <c r="D398" s="122" t="s">
        <v>5769</v>
      </c>
      <c r="E398" s="123">
        <v>42219</v>
      </c>
      <c r="F398" s="122" t="s">
        <v>810</v>
      </c>
      <c r="G398" s="122" t="s">
        <v>235</v>
      </c>
      <c r="H398" s="122" t="s">
        <v>5770</v>
      </c>
      <c r="I398" s="122" t="s">
        <v>5771</v>
      </c>
      <c r="J398" s="122" t="s">
        <v>5772</v>
      </c>
      <c r="K398" s="122" t="s">
        <v>5565</v>
      </c>
      <c r="L398" s="122" t="s">
        <v>5566</v>
      </c>
      <c r="M398" s="122" t="s">
        <v>5567</v>
      </c>
      <c r="O398" s="141" t="s">
        <v>548</v>
      </c>
      <c r="P398" s="141" t="s">
        <v>5773</v>
      </c>
      <c r="Q398" s="122" t="s">
        <v>3389</v>
      </c>
      <c r="R398" s="142">
        <v>89</v>
      </c>
      <c r="S398" s="122" t="s">
        <v>5774</v>
      </c>
      <c r="U398" s="122" t="s">
        <v>4681</v>
      </c>
      <c r="W398" s="122" t="s">
        <v>246</v>
      </c>
      <c r="X398" s="122" t="s">
        <v>325</v>
      </c>
      <c r="Y398" s="141" t="s">
        <v>378</v>
      </c>
      <c r="Z398" s="122" t="s">
        <v>975</v>
      </c>
      <c r="AA398" s="141" t="s">
        <v>306</v>
      </c>
      <c r="AB398" s="122" t="s">
        <v>5775</v>
      </c>
      <c r="AC398" s="141" t="s">
        <v>1015</v>
      </c>
      <c r="AD398" s="122" t="s">
        <v>5776</v>
      </c>
      <c r="AE398" s="122" t="s">
        <v>235</v>
      </c>
      <c r="AF398" s="122" t="s">
        <v>5777</v>
      </c>
      <c r="AG398" s="122" t="s">
        <v>537</v>
      </c>
      <c r="AH398" s="122" t="s">
        <v>253</v>
      </c>
      <c r="AI398" s="122" t="s">
        <v>5778</v>
      </c>
      <c r="AJ398" s="122" t="s">
        <v>5619</v>
      </c>
      <c r="AK398" s="122" t="s">
        <v>253</v>
      </c>
      <c r="AL398" s="122" t="s">
        <v>253</v>
      </c>
      <c r="AM398" s="122" t="s">
        <v>253</v>
      </c>
      <c r="AN398" s="122" t="s">
        <v>253</v>
      </c>
      <c r="AO398" s="141" t="s">
        <v>247</v>
      </c>
      <c r="AP398" s="141" t="s">
        <v>247</v>
      </c>
      <c r="AQ398" s="141" t="s">
        <v>247</v>
      </c>
      <c r="AR398" s="141" t="s">
        <v>247</v>
      </c>
      <c r="AS398" s="141" t="s">
        <v>601</v>
      </c>
      <c r="AT398" s="141" t="s">
        <v>601</v>
      </c>
      <c r="AU398" s="141" t="s">
        <v>257</v>
      </c>
      <c r="AV398" s="122" t="s">
        <v>259</v>
      </c>
      <c r="AW398" s="122" t="s">
        <v>260</v>
      </c>
      <c r="AY398" s="141" t="s">
        <v>253</v>
      </c>
      <c r="AZ398" s="122" t="s">
        <v>5779</v>
      </c>
      <c r="BA398" s="122" t="s">
        <v>262</v>
      </c>
      <c r="BB398" s="122" t="s">
        <v>262</v>
      </c>
      <c r="BD398" s="122" t="s">
        <v>253</v>
      </c>
      <c r="BE398" s="122" t="s">
        <v>263</v>
      </c>
      <c r="BF398" s="122" t="s">
        <v>4688</v>
      </c>
      <c r="BH398" s="122" t="s">
        <v>4681</v>
      </c>
      <c r="BI398" s="142">
        <v>89</v>
      </c>
      <c r="BJ398" s="123">
        <v>42232</v>
      </c>
      <c r="BK398" s="139" t="s">
        <v>606</v>
      </c>
      <c r="BM398" s="122">
        <v>33</v>
      </c>
    </row>
    <row r="399" spans="1:65" x14ac:dyDescent="0.25">
      <c r="A399" s="122" t="s">
        <v>230</v>
      </c>
      <c r="B399" s="122" t="s">
        <v>5780</v>
      </c>
      <c r="C399" s="122" t="s">
        <v>5781</v>
      </c>
      <c r="D399" s="122" t="s">
        <v>5782</v>
      </c>
      <c r="E399" s="123">
        <v>42219</v>
      </c>
      <c r="F399" s="122" t="s">
        <v>5783</v>
      </c>
      <c r="G399" s="122" t="s">
        <v>235</v>
      </c>
      <c r="H399" s="122" t="s">
        <v>5784</v>
      </c>
      <c r="I399" s="122" t="s">
        <v>5785</v>
      </c>
      <c r="K399" s="122" t="s">
        <v>5565</v>
      </c>
      <c r="L399" s="122" t="s">
        <v>5566</v>
      </c>
      <c r="M399" s="122" t="s">
        <v>5567</v>
      </c>
      <c r="O399" s="141" t="s">
        <v>613</v>
      </c>
      <c r="P399" s="141" t="s">
        <v>5786</v>
      </c>
      <c r="Q399" s="122" t="s">
        <v>3389</v>
      </c>
      <c r="R399" s="142">
        <v>90</v>
      </c>
      <c r="S399" s="122" t="s">
        <v>5787</v>
      </c>
      <c r="U399" s="122" t="s">
        <v>4681</v>
      </c>
      <c r="W399" s="122" t="s">
        <v>246</v>
      </c>
      <c r="X399" s="122" t="s">
        <v>325</v>
      </c>
      <c r="Y399" s="141" t="s">
        <v>511</v>
      </c>
      <c r="Z399" s="122" t="s">
        <v>5788</v>
      </c>
      <c r="AA399" s="141" t="s">
        <v>1762</v>
      </c>
      <c r="AB399" s="122" t="s">
        <v>5789</v>
      </c>
      <c r="AC399" s="141" t="s">
        <v>1179</v>
      </c>
      <c r="AD399" s="122" t="s">
        <v>1792</v>
      </c>
      <c r="AE399" s="122" t="s">
        <v>235</v>
      </c>
      <c r="AF399" s="122" t="s">
        <v>5790</v>
      </c>
      <c r="AG399" s="122" t="s">
        <v>537</v>
      </c>
      <c r="AH399" s="122" t="s">
        <v>253</v>
      </c>
      <c r="AI399" s="122" t="s">
        <v>5791</v>
      </c>
      <c r="AJ399" s="122" t="s">
        <v>5792</v>
      </c>
      <c r="AK399" s="122" t="s">
        <v>253</v>
      </c>
      <c r="AL399" s="122" t="s">
        <v>253</v>
      </c>
      <c r="AM399" s="122" t="s">
        <v>253</v>
      </c>
      <c r="AN399" s="122" t="s">
        <v>253</v>
      </c>
      <c r="AO399" s="141" t="s">
        <v>247</v>
      </c>
      <c r="AP399" s="141" t="s">
        <v>247</v>
      </c>
      <c r="AQ399" s="141" t="s">
        <v>247</v>
      </c>
      <c r="AR399" s="141" t="s">
        <v>253</v>
      </c>
      <c r="AS399" s="141" t="s">
        <v>601</v>
      </c>
      <c r="AT399" s="141" t="s">
        <v>601</v>
      </c>
      <c r="AU399" s="141" t="s">
        <v>258</v>
      </c>
      <c r="AV399" s="122" t="s">
        <v>259</v>
      </c>
      <c r="AW399" s="122" t="s">
        <v>260</v>
      </c>
      <c r="AY399" s="141" t="s">
        <v>253</v>
      </c>
      <c r="AZ399" s="122" t="s">
        <v>5793</v>
      </c>
      <c r="BA399" s="122" t="s">
        <v>262</v>
      </c>
      <c r="BB399" s="122" t="s">
        <v>262</v>
      </c>
      <c r="BC399" s="141" t="s">
        <v>312</v>
      </c>
      <c r="BD399" s="122" t="s">
        <v>253</v>
      </c>
      <c r="BE399" s="122" t="s">
        <v>263</v>
      </c>
      <c r="BF399" s="122" t="s">
        <v>4688</v>
      </c>
      <c r="BH399" s="122" t="s">
        <v>4681</v>
      </c>
      <c r="BI399" s="142">
        <v>90</v>
      </c>
      <c r="BJ399" s="123">
        <v>42233</v>
      </c>
      <c r="BK399" s="139" t="s">
        <v>606</v>
      </c>
      <c r="BM399" s="122">
        <v>34</v>
      </c>
    </row>
    <row r="400" spans="1:65" x14ac:dyDescent="0.25">
      <c r="A400" s="122" t="s">
        <v>230</v>
      </c>
      <c r="B400" s="122" t="s">
        <v>5794</v>
      </c>
      <c r="C400" s="122" t="s">
        <v>5795</v>
      </c>
      <c r="D400" s="122" t="s">
        <v>5796</v>
      </c>
      <c r="E400" s="123">
        <v>42219</v>
      </c>
      <c r="F400" s="122" t="s">
        <v>5797</v>
      </c>
      <c r="G400" s="122" t="s">
        <v>235</v>
      </c>
      <c r="H400" s="122" t="s">
        <v>5798</v>
      </c>
      <c r="I400" s="122" t="s">
        <v>5799</v>
      </c>
      <c r="K400" s="122" t="s">
        <v>5800</v>
      </c>
      <c r="L400" s="122" t="s">
        <v>5801</v>
      </c>
      <c r="M400" s="122" t="s">
        <v>5802</v>
      </c>
      <c r="O400" s="141" t="s">
        <v>5803</v>
      </c>
      <c r="P400" s="141" t="s">
        <v>5804</v>
      </c>
      <c r="Q400" s="122" t="s">
        <v>5805</v>
      </c>
      <c r="R400" s="142">
        <v>91</v>
      </c>
      <c r="S400" s="122" t="s">
        <v>5806</v>
      </c>
      <c r="U400" s="122" t="s">
        <v>4681</v>
      </c>
      <c r="W400" s="122" t="s">
        <v>246</v>
      </c>
      <c r="X400" s="122" t="s">
        <v>454</v>
      </c>
      <c r="Y400" s="141" t="s">
        <v>378</v>
      </c>
      <c r="Z400" s="122" t="s">
        <v>5807</v>
      </c>
      <c r="AA400" s="141" t="s">
        <v>2133</v>
      </c>
      <c r="AB400" s="122" t="s">
        <v>5807</v>
      </c>
      <c r="AC400" s="141" t="s">
        <v>1023</v>
      </c>
      <c r="AD400" s="122" t="s">
        <v>5807</v>
      </c>
      <c r="AE400" s="122" t="s">
        <v>235</v>
      </c>
      <c r="AF400" s="122" t="s">
        <v>5808</v>
      </c>
      <c r="AG400" s="122" t="s">
        <v>537</v>
      </c>
      <c r="AH400" s="122" t="s">
        <v>253</v>
      </c>
      <c r="AI400" s="122" t="s">
        <v>5809</v>
      </c>
      <c r="AJ400" s="122" t="s">
        <v>5810</v>
      </c>
      <c r="AK400" s="122" t="s">
        <v>253</v>
      </c>
      <c r="AL400" s="122" t="s">
        <v>253</v>
      </c>
      <c r="AM400" s="122" t="s">
        <v>253</v>
      </c>
      <c r="AN400" s="122" t="s">
        <v>253</v>
      </c>
      <c r="AO400" s="141" t="s">
        <v>247</v>
      </c>
      <c r="AP400" s="141" t="s">
        <v>253</v>
      </c>
      <c r="AQ400" s="141" t="s">
        <v>247</v>
      </c>
      <c r="AR400" s="141" t="s">
        <v>253</v>
      </c>
      <c r="AS400" s="141" t="s">
        <v>601</v>
      </c>
      <c r="AT400" s="141" t="s">
        <v>601</v>
      </c>
      <c r="AU400" s="141" t="s">
        <v>258</v>
      </c>
      <c r="AV400" s="122" t="s">
        <v>259</v>
      </c>
      <c r="AW400" s="122" t="s">
        <v>260</v>
      </c>
      <c r="AX400" s="141" t="s">
        <v>602</v>
      </c>
      <c r="AY400" s="141" t="s">
        <v>247</v>
      </c>
      <c r="AZ400" s="122" t="s">
        <v>5811</v>
      </c>
      <c r="BA400" s="122" t="s">
        <v>5812</v>
      </c>
      <c r="BB400" s="122" t="s">
        <v>262</v>
      </c>
      <c r="BC400" s="141" t="s">
        <v>312</v>
      </c>
      <c r="BD400" s="122" t="s">
        <v>253</v>
      </c>
      <c r="BE400" s="122" t="s">
        <v>263</v>
      </c>
      <c r="BF400" s="122" t="s">
        <v>4688</v>
      </c>
      <c r="BH400" s="122" t="s">
        <v>4681</v>
      </c>
      <c r="BI400" s="142">
        <v>91</v>
      </c>
      <c r="BJ400" s="123">
        <v>42233</v>
      </c>
      <c r="BK400" s="139" t="s">
        <v>606</v>
      </c>
      <c r="BM400" s="122">
        <v>34</v>
      </c>
    </row>
    <row r="401" spans="1:66" x14ac:dyDescent="0.25">
      <c r="A401" s="122" t="s">
        <v>230</v>
      </c>
      <c r="B401" s="122" t="s">
        <v>5813</v>
      </c>
      <c r="C401" s="122" t="s">
        <v>5814</v>
      </c>
      <c r="D401" s="122" t="s">
        <v>5815</v>
      </c>
      <c r="E401" s="123">
        <v>42219</v>
      </c>
      <c r="F401" s="122" t="s">
        <v>1557</v>
      </c>
      <c r="G401" s="122" t="s">
        <v>235</v>
      </c>
      <c r="H401" s="122" t="s">
        <v>5816</v>
      </c>
      <c r="I401" s="122" t="s">
        <v>5817</v>
      </c>
      <c r="K401" s="122" t="s">
        <v>5800</v>
      </c>
      <c r="L401" s="122" t="s">
        <v>5801</v>
      </c>
      <c r="M401" s="122" t="s">
        <v>5802</v>
      </c>
      <c r="O401" s="141" t="s">
        <v>390</v>
      </c>
      <c r="P401" s="141" t="s">
        <v>5818</v>
      </c>
      <c r="Q401" s="122" t="s">
        <v>5805</v>
      </c>
      <c r="R401" s="142">
        <v>92</v>
      </c>
      <c r="S401" s="122" t="s">
        <v>5819</v>
      </c>
      <c r="U401" s="122" t="s">
        <v>4681</v>
      </c>
      <c r="W401" s="122" t="s">
        <v>246</v>
      </c>
      <c r="X401" s="122" t="s">
        <v>325</v>
      </c>
      <c r="Y401" s="141" t="s">
        <v>1125</v>
      </c>
      <c r="Z401" s="122" t="s">
        <v>5820</v>
      </c>
      <c r="AA401" s="141" t="s">
        <v>2306</v>
      </c>
      <c r="AB401" s="122" t="s">
        <v>5820</v>
      </c>
      <c r="AC401" s="141" t="s">
        <v>857</v>
      </c>
      <c r="AD401" s="122" t="s">
        <v>5821</v>
      </c>
      <c r="AE401" s="122" t="s">
        <v>235</v>
      </c>
      <c r="AF401" s="122" t="s">
        <v>5822</v>
      </c>
      <c r="AG401" s="122" t="s">
        <v>537</v>
      </c>
      <c r="AH401" s="122" t="s">
        <v>253</v>
      </c>
      <c r="AI401" s="122" t="s">
        <v>5823</v>
      </c>
      <c r="AJ401" s="122" t="s">
        <v>5824</v>
      </c>
      <c r="AK401" s="122" t="s">
        <v>253</v>
      </c>
      <c r="AL401" s="122" t="s">
        <v>253</v>
      </c>
      <c r="AM401" s="122" t="s">
        <v>253</v>
      </c>
      <c r="AN401" s="122" t="s">
        <v>253</v>
      </c>
      <c r="AO401" s="141" t="s">
        <v>253</v>
      </c>
      <c r="AP401" s="141" t="s">
        <v>253</v>
      </c>
      <c r="AQ401" s="141" t="s">
        <v>247</v>
      </c>
      <c r="AR401" s="141" t="s">
        <v>253</v>
      </c>
      <c r="AS401" s="141" t="s">
        <v>361</v>
      </c>
      <c r="AT401" s="141" t="s">
        <v>601</v>
      </c>
      <c r="AU401" s="141" t="s">
        <v>258</v>
      </c>
      <c r="AV401" s="122" t="s">
        <v>259</v>
      </c>
      <c r="AW401" s="122" t="s">
        <v>260</v>
      </c>
      <c r="AY401" s="141" t="s">
        <v>253</v>
      </c>
      <c r="AZ401" s="122" t="s">
        <v>5825</v>
      </c>
      <c r="BA401" s="122" t="s">
        <v>262</v>
      </c>
      <c r="BB401" s="122" t="s">
        <v>262</v>
      </c>
      <c r="BD401" s="122" t="s">
        <v>253</v>
      </c>
      <c r="BE401" s="122" t="s">
        <v>263</v>
      </c>
      <c r="BF401" s="122" t="s">
        <v>4688</v>
      </c>
      <c r="BH401" s="122" t="s">
        <v>4681</v>
      </c>
      <c r="BI401" s="142">
        <v>92</v>
      </c>
      <c r="BJ401" s="123">
        <v>42223</v>
      </c>
      <c r="BK401" s="139" t="s">
        <v>264</v>
      </c>
      <c r="BL401" s="140">
        <v>270</v>
      </c>
      <c r="BM401" s="122">
        <v>32</v>
      </c>
    </row>
    <row r="402" spans="1:66" x14ac:dyDescent="0.25">
      <c r="A402" s="122" t="s">
        <v>230</v>
      </c>
      <c r="B402" s="122" t="s">
        <v>5826</v>
      </c>
      <c r="C402" s="122" t="s">
        <v>5827</v>
      </c>
      <c r="D402" s="122" t="s">
        <v>5828</v>
      </c>
      <c r="E402" s="123">
        <v>42219</v>
      </c>
      <c r="F402" s="122" t="s">
        <v>5511</v>
      </c>
      <c r="G402" s="122" t="s">
        <v>235</v>
      </c>
      <c r="H402" s="122" t="s">
        <v>5829</v>
      </c>
      <c r="I402" s="122" t="s">
        <v>5830</v>
      </c>
      <c r="K402" s="122" t="s">
        <v>5800</v>
      </c>
      <c r="L402" s="122" t="s">
        <v>5801</v>
      </c>
      <c r="M402" s="122" t="s">
        <v>5802</v>
      </c>
      <c r="O402" s="141" t="s">
        <v>566</v>
      </c>
      <c r="P402" s="141" t="s">
        <v>5831</v>
      </c>
      <c r="Q402" s="122" t="s">
        <v>5805</v>
      </c>
      <c r="R402" s="142">
        <v>93</v>
      </c>
      <c r="S402" s="122" t="s">
        <v>5832</v>
      </c>
      <c r="U402" s="122" t="s">
        <v>4681</v>
      </c>
      <c r="W402" s="122" t="s">
        <v>246</v>
      </c>
      <c r="X402" s="122" t="s">
        <v>376</v>
      </c>
      <c r="Y402" s="141" t="s">
        <v>1398</v>
      </c>
      <c r="Z402" s="122" t="s">
        <v>5833</v>
      </c>
      <c r="AA402" s="141" t="s">
        <v>1398</v>
      </c>
      <c r="AB402" s="122" t="s">
        <v>5834</v>
      </c>
      <c r="AC402" s="141" t="s">
        <v>5291</v>
      </c>
      <c r="AD402" s="122" t="s">
        <v>355</v>
      </c>
      <c r="AE402" s="122" t="s">
        <v>235</v>
      </c>
      <c r="AF402" s="122" t="s">
        <v>5835</v>
      </c>
      <c r="AG402" s="122" t="s">
        <v>537</v>
      </c>
      <c r="AH402" s="122" t="s">
        <v>253</v>
      </c>
      <c r="AI402" s="122" t="s">
        <v>5836</v>
      </c>
      <c r="AJ402" s="122" t="s">
        <v>5837</v>
      </c>
      <c r="AK402" s="122" t="s">
        <v>253</v>
      </c>
      <c r="AL402" s="122" t="s">
        <v>253</v>
      </c>
      <c r="AM402" s="122" t="s">
        <v>253</v>
      </c>
      <c r="AN402" s="122" t="s">
        <v>253</v>
      </c>
      <c r="AO402" s="141" t="s">
        <v>247</v>
      </c>
      <c r="AP402" s="141" t="s">
        <v>253</v>
      </c>
      <c r="AQ402" s="141" t="s">
        <v>253</v>
      </c>
      <c r="AR402" s="141" t="s">
        <v>253</v>
      </c>
      <c r="AS402" s="141" t="s">
        <v>601</v>
      </c>
      <c r="AT402" s="141" t="s">
        <v>258</v>
      </c>
      <c r="AU402" s="141" t="s">
        <v>258</v>
      </c>
      <c r="AV402" s="122" t="s">
        <v>259</v>
      </c>
      <c r="AW402" s="122" t="s">
        <v>260</v>
      </c>
      <c r="AY402" s="141" t="s">
        <v>253</v>
      </c>
      <c r="AZ402" s="122" t="s">
        <v>5838</v>
      </c>
      <c r="BA402" s="122" t="s">
        <v>262</v>
      </c>
      <c r="BB402" s="122" t="s">
        <v>262</v>
      </c>
      <c r="BD402" s="122" t="s">
        <v>253</v>
      </c>
      <c r="BE402" s="122" t="s">
        <v>263</v>
      </c>
      <c r="BF402" s="122" t="s">
        <v>4688</v>
      </c>
      <c r="BH402" s="122" t="s">
        <v>4681</v>
      </c>
      <c r="BI402" s="142">
        <v>93</v>
      </c>
      <c r="BJ402" s="123">
        <v>42233</v>
      </c>
      <c r="BK402" s="139" t="s">
        <v>606</v>
      </c>
      <c r="BM402" s="122">
        <v>34</v>
      </c>
    </row>
    <row r="403" spans="1:66" x14ac:dyDescent="0.25">
      <c r="A403" s="122" t="s">
        <v>230</v>
      </c>
      <c r="B403" s="122" t="s">
        <v>5839</v>
      </c>
      <c r="C403" s="122" t="s">
        <v>5840</v>
      </c>
      <c r="D403" s="122" t="s">
        <v>5841</v>
      </c>
      <c r="E403" s="123">
        <v>42219</v>
      </c>
      <c r="F403" s="122" t="s">
        <v>1557</v>
      </c>
      <c r="G403" s="122" t="s">
        <v>235</v>
      </c>
      <c r="H403" s="122" t="s">
        <v>5842</v>
      </c>
      <c r="I403" s="122" t="s">
        <v>5843</v>
      </c>
      <c r="J403" s="122" t="s">
        <v>1239</v>
      </c>
      <c r="K403" s="122" t="s">
        <v>3419</v>
      </c>
      <c r="L403" s="122" t="s">
        <v>3503</v>
      </c>
      <c r="M403" s="122" t="s">
        <v>3504</v>
      </c>
      <c r="O403" s="141" t="s">
        <v>548</v>
      </c>
      <c r="P403" s="141" t="s">
        <v>5844</v>
      </c>
      <c r="Q403" s="122" t="s">
        <v>3424</v>
      </c>
      <c r="R403" s="142">
        <v>94</v>
      </c>
      <c r="S403" s="122" t="s">
        <v>5845</v>
      </c>
      <c r="U403" s="122" t="s">
        <v>4681</v>
      </c>
      <c r="W403" s="122" t="s">
        <v>246</v>
      </c>
      <c r="X403" s="122" t="s">
        <v>325</v>
      </c>
      <c r="Y403" s="141" t="s">
        <v>1161</v>
      </c>
      <c r="Z403" s="122" t="s">
        <v>533</v>
      </c>
      <c r="AA403" s="141" t="s">
        <v>1876</v>
      </c>
      <c r="AB403" s="122" t="s">
        <v>533</v>
      </c>
      <c r="AC403" s="141" t="s">
        <v>2072</v>
      </c>
      <c r="AD403" s="122" t="s">
        <v>518</v>
      </c>
      <c r="AE403" s="122" t="s">
        <v>235</v>
      </c>
      <c r="AF403" s="122" t="s">
        <v>5846</v>
      </c>
      <c r="AG403" s="122" t="s">
        <v>5847</v>
      </c>
      <c r="AH403" s="122" t="s">
        <v>253</v>
      </c>
      <c r="AI403" s="122" t="s">
        <v>5848</v>
      </c>
      <c r="AJ403" s="122" t="s">
        <v>5849</v>
      </c>
      <c r="AK403" s="122" t="s">
        <v>253</v>
      </c>
      <c r="AL403" s="122" t="s">
        <v>253</v>
      </c>
      <c r="AM403" s="122" t="s">
        <v>253</v>
      </c>
      <c r="AN403" s="122" t="s">
        <v>253</v>
      </c>
      <c r="AO403" s="141" t="s">
        <v>247</v>
      </c>
      <c r="AP403" s="141" t="s">
        <v>247</v>
      </c>
      <c r="AQ403" s="141" t="s">
        <v>253</v>
      </c>
      <c r="AR403" s="141" t="s">
        <v>253</v>
      </c>
      <c r="AS403" s="141" t="s">
        <v>601</v>
      </c>
      <c r="AT403" s="141" t="s">
        <v>258</v>
      </c>
      <c r="AU403" s="141" t="s">
        <v>258</v>
      </c>
      <c r="AV403" s="122" t="s">
        <v>259</v>
      </c>
      <c r="AW403" s="122" t="s">
        <v>260</v>
      </c>
      <c r="AY403" s="141" t="s">
        <v>253</v>
      </c>
      <c r="AZ403" s="122" t="s">
        <v>5850</v>
      </c>
      <c r="BA403" s="122" t="s">
        <v>262</v>
      </c>
      <c r="BB403" s="122" t="s">
        <v>262</v>
      </c>
      <c r="BD403" s="122" t="s">
        <v>253</v>
      </c>
      <c r="BE403" s="122" t="s">
        <v>263</v>
      </c>
      <c r="BF403" s="122" t="s">
        <v>4688</v>
      </c>
      <c r="BH403" s="122" t="s">
        <v>4681</v>
      </c>
      <c r="BI403" s="142">
        <v>94</v>
      </c>
      <c r="BJ403" s="123">
        <v>42221</v>
      </c>
      <c r="BK403" s="139" t="s">
        <v>264</v>
      </c>
      <c r="BL403" s="140">
        <v>30</v>
      </c>
      <c r="BM403" s="122">
        <v>32</v>
      </c>
    </row>
    <row r="404" spans="1:66" x14ac:dyDescent="0.25">
      <c r="A404" s="122" t="s">
        <v>230</v>
      </c>
      <c r="B404" s="122" t="s">
        <v>5851</v>
      </c>
      <c r="C404" s="122" t="s">
        <v>5852</v>
      </c>
      <c r="D404" s="122" t="s">
        <v>5853</v>
      </c>
      <c r="E404" s="123">
        <v>42219</v>
      </c>
      <c r="F404" s="122" t="s">
        <v>985</v>
      </c>
      <c r="G404" s="122" t="s">
        <v>235</v>
      </c>
      <c r="H404" s="122" t="s">
        <v>5854</v>
      </c>
      <c r="I404" s="122" t="s">
        <v>5855</v>
      </c>
      <c r="K404" s="122" t="s">
        <v>3419</v>
      </c>
      <c r="L404" s="122" t="s">
        <v>3420</v>
      </c>
      <c r="M404" s="122" t="s">
        <v>3421</v>
      </c>
      <c r="O404" s="141" t="s">
        <v>373</v>
      </c>
      <c r="P404" s="141" t="s">
        <v>5856</v>
      </c>
      <c r="Q404" s="122" t="s">
        <v>3424</v>
      </c>
      <c r="R404" s="142">
        <v>95</v>
      </c>
      <c r="S404" s="122" t="s">
        <v>5857</v>
      </c>
      <c r="U404" s="122" t="s">
        <v>4681</v>
      </c>
      <c r="W404" s="122" t="s">
        <v>246</v>
      </c>
      <c r="X404" s="122" t="s">
        <v>302</v>
      </c>
      <c r="Y404" s="141" t="s">
        <v>833</v>
      </c>
      <c r="Z404" s="122" t="s">
        <v>5858</v>
      </c>
      <c r="AA404" s="141" t="s">
        <v>1289</v>
      </c>
      <c r="AB404" s="122" t="s">
        <v>5859</v>
      </c>
      <c r="AC404" s="141" t="s">
        <v>1327</v>
      </c>
      <c r="AD404" s="122" t="s">
        <v>518</v>
      </c>
      <c r="AE404" s="122" t="s">
        <v>235</v>
      </c>
      <c r="AF404" s="122" t="s">
        <v>5860</v>
      </c>
      <c r="AG404" s="122" t="s">
        <v>537</v>
      </c>
      <c r="AH404" s="122" t="s">
        <v>253</v>
      </c>
      <c r="AI404" s="122" t="s">
        <v>5861</v>
      </c>
      <c r="AJ404" s="122" t="s">
        <v>5862</v>
      </c>
      <c r="AK404" s="122" t="s">
        <v>253</v>
      </c>
      <c r="AL404" s="122" t="s">
        <v>253</v>
      </c>
      <c r="AM404" s="122" t="s">
        <v>253</v>
      </c>
      <c r="AN404" s="122" t="s">
        <v>253</v>
      </c>
      <c r="AO404" s="141" t="s">
        <v>247</v>
      </c>
      <c r="AP404" s="141" t="s">
        <v>247</v>
      </c>
      <c r="AQ404" s="141" t="s">
        <v>247</v>
      </c>
      <c r="AR404" s="141" t="s">
        <v>253</v>
      </c>
      <c r="AS404" s="141" t="s">
        <v>601</v>
      </c>
      <c r="AT404" s="141" t="s">
        <v>601</v>
      </c>
      <c r="AU404" s="141" t="s">
        <v>258</v>
      </c>
      <c r="AV404" s="122" t="s">
        <v>259</v>
      </c>
      <c r="AW404" s="122" t="s">
        <v>260</v>
      </c>
      <c r="AY404" s="141" t="s">
        <v>253</v>
      </c>
      <c r="AZ404" s="122" t="s">
        <v>5863</v>
      </c>
      <c r="BA404" s="122" t="s">
        <v>262</v>
      </c>
      <c r="BB404" s="122" t="s">
        <v>262</v>
      </c>
      <c r="BD404" s="122" t="s">
        <v>253</v>
      </c>
      <c r="BE404" s="122" t="s">
        <v>263</v>
      </c>
      <c r="BF404" s="122" t="s">
        <v>4688</v>
      </c>
      <c r="BH404" s="122" t="s">
        <v>4681</v>
      </c>
      <c r="BI404" s="142">
        <v>95</v>
      </c>
      <c r="BJ404" s="123">
        <v>42230</v>
      </c>
      <c r="BK404" s="139" t="s">
        <v>606</v>
      </c>
      <c r="BM404" s="122">
        <v>33</v>
      </c>
    </row>
    <row r="405" spans="1:66" x14ac:dyDescent="0.25">
      <c r="A405" s="122" t="s">
        <v>230</v>
      </c>
      <c r="B405" s="122" t="s">
        <v>5864</v>
      </c>
      <c r="C405" s="122" t="s">
        <v>5865</v>
      </c>
      <c r="D405" s="122" t="s">
        <v>5866</v>
      </c>
      <c r="E405" s="123">
        <v>42219</v>
      </c>
      <c r="F405" s="122" t="s">
        <v>1557</v>
      </c>
      <c r="G405" s="122" t="s">
        <v>235</v>
      </c>
      <c r="H405" s="122" t="s">
        <v>448</v>
      </c>
      <c r="I405" s="122" t="s">
        <v>5867</v>
      </c>
      <c r="J405" s="122" t="s">
        <v>5868</v>
      </c>
      <c r="K405" s="122" t="s">
        <v>3419</v>
      </c>
      <c r="L405" s="122" t="s">
        <v>3503</v>
      </c>
      <c r="M405" s="122" t="s">
        <v>3504</v>
      </c>
      <c r="Q405" s="122" t="s">
        <v>3424</v>
      </c>
      <c r="R405" s="142">
        <v>96</v>
      </c>
      <c r="S405" s="122" t="s">
        <v>5869</v>
      </c>
      <c r="U405" s="122" t="s">
        <v>4681</v>
      </c>
      <c r="W405" s="122" t="s">
        <v>246</v>
      </c>
      <c r="X405" s="122" t="s">
        <v>325</v>
      </c>
      <c r="Y405" s="141" t="s">
        <v>378</v>
      </c>
      <c r="Z405" s="122" t="s">
        <v>5870</v>
      </c>
      <c r="AA405" s="141" t="s">
        <v>570</v>
      </c>
      <c r="AB405" s="122" t="s">
        <v>5871</v>
      </c>
      <c r="AC405" s="141" t="s">
        <v>356</v>
      </c>
      <c r="AD405" s="122" t="s">
        <v>5871</v>
      </c>
      <c r="AE405" s="122" t="s">
        <v>235</v>
      </c>
      <c r="AF405" s="122" t="s">
        <v>5872</v>
      </c>
      <c r="AG405" s="122" t="s">
        <v>537</v>
      </c>
      <c r="AH405" s="122" t="s">
        <v>253</v>
      </c>
      <c r="AI405" s="122" t="s">
        <v>5500</v>
      </c>
      <c r="AJ405" s="122" t="s">
        <v>5873</v>
      </c>
      <c r="AK405" s="122" t="s">
        <v>253</v>
      </c>
      <c r="AL405" s="122" t="s">
        <v>253</v>
      </c>
      <c r="AM405" s="122" t="s">
        <v>253</v>
      </c>
      <c r="AN405" s="122" t="s">
        <v>253</v>
      </c>
      <c r="AO405" s="141" t="s">
        <v>247</v>
      </c>
      <c r="AP405" s="141" t="s">
        <v>247</v>
      </c>
      <c r="AQ405" s="141" t="s">
        <v>247</v>
      </c>
      <c r="AR405" s="141" t="s">
        <v>247</v>
      </c>
      <c r="AS405" s="141" t="s">
        <v>601</v>
      </c>
      <c r="AT405" s="141" t="s">
        <v>601</v>
      </c>
      <c r="AU405" s="141" t="s">
        <v>257</v>
      </c>
      <c r="AV405" s="122" t="s">
        <v>259</v>
      </c>
      <c r="AW405" s="122" t="s">
        <v>260</v>
      </c>
      <c r="AX405" s="141" t="s">
        <v>5074</v>
      </c>
      <c r="AY405" s="141" t="s">
        <v>247</v>
      </c>
      <c r="AZ405" s="122" t="s">
        <v>262</v>
      </c>
      <c r="BA405" s="122" t="s">
        <v>262</v>
      </c>
      <c r="BB405" s="122" t="s">
        <v>262</v>
      </c>
      <c r="BD405" s="122" t="s">
        <v>253</v>
      </c>
      <c r="BE405" s="122" t="s">
        <v>263</v>
      </c>
      <c r="BF405" s="122" t="s">
        <v>4688</v>
      </c>
      <c r="BH405" s="122" t="s">
        <v>4681</v>
      </c>
      <c r="BI405" s="142">
        <v>96</v>
      </c>
      <c r="BJ405" s="123">
        <v>42230</v>
      </c>
      <c r="BK405" s="139" t="s">
        <v>606</v>
      </c>
      <c r="BM405" s="122">
        <v>33</v>
      </c>
    </row>
    <row r="406" spans="1:66" x14ac:dyDescent="0.25">
      <c r="A406" s="122" t="s">
        <v>230</v>
      </c>
      <c r="B406" s="122" t="s">
        <v>5874</v>
      </c>
      <c r="C406" s="122" t="s">
        <v>5875</v>
      </c>
      <c r="D406" s="122" t="s">
        <v>5876</v>
      </c>
      <c r="E406" s="123">
        <v>42219</v>
      </c>
      <c r="F406" s="122" t="s">
        <v>1090</v>
      </c>
      <c r="G406" s="122" t="s">
        <v>235</v>
      </c>
      <c r="H406" s="122" t="s">
        <v>5877</v>
      </c>
      <c r="I406" s="122" t="s">
        <v>5878</v>
      </c>
      <c r="K406" s="122" t="s">
        <v>5879</v>
      </c>
      <c r="L406" s="122" t="s">
        <v>5880</v>
      </c>
      <c r="M406" s="122" t="s">
        <v>5881</v>
      </c>
      <c r="O406" s="141" t="s">
        <v>916</v>
      </c>
      <c r="P406" s="141" t="s">
        <v>5882</v>
      </c>
      <c r="Q406" s="122" t="s">
        <v>5883</v>
      </c>
      <c r="R406" s="142">
        <v>97</v>
      </c>
      <c r="S406" s="122" t="s">
        <v>5884</v>
      </c>
      <c r="U406" s="122" t="s">
        <v>4681</v>
      </c>
      <c r="W406" s="122" t="s">
        <v>246</v>
      </c>
      <c r="X406" s="122" t="s">
        <v>631</v>
      </c>
      <c r="Y406" s="141" t="s">
        <v>500</v>
      </c>
      <c r="Z406" s="122" t="s">
        <v>5885</v>
      </c>
      <c r="AB406" s="122" t="s">
        <v>250</v>
      </c>
      <c r="AD406" s="122" t="s">
        <v>250</v>
      </c>
      <c r="AE406" s="122" t="s">
        <v>235</v>
      </c>
      <c r="AF406" s="122" t="s">
        <v>5886</v>
      </c>
      <c r="AG406" s="122" t="s">
        <v>537</v>
      </c>
      <c r="AH406" s="122" t="s">
        <v>253</v>
      </c>
      <c r="AI406" s="122" t="s">
        <v>5887</v>
      </c>
      <c r="AJ406" s="122" t="s">
        <v>5888</v>
      </c>
      <c r="AK406" s="122" t="s">
        <v>253</v>
      </c>
      <c r="AL406" s="122" t="s">
        <v>253</v>
      </c>
      <c r="AM406" s="122" t="s">
        <v>253</v>
      </c>
      <c r="AN406" s="122" t="s">
        <v>253</v>
      </c>
      <c r="AO406" s="141" t="s">
        <v>247</v>
      </c>
      <c r="AP406" s="141" t="s">
        <v>247</v>
      </c>
      <c r="AQ406" s="141" t="s">
        <v>247</v>
      </c>
      <c r="AR406" s="141" t="s">
        <v>253</v>
      </c>
      <c r="AS406" s="141" t="s">
        <v>601</v>
      </c>
      <c r="AT406" s="141" t="s">
        <v>601</v>
      </c>
      <c r="AU406" s="141" t="s">
        <v>258</v>
      </c>
      <c r="AV406" s="122" t="s">
        <v>259</v>
      </c>
      <c r="AW406" s="122" t="s">
        <v>260</v>
      </c>
      <c r="AY406" s="141" t="s">
        <v>253</v>
      </c>
      <c r="AZ406" s="122" t="s">
        <v>5889</v>
      </c>
      <c r="BA406" s="122" t="s">
        <v>262</v>
      </c>
      <c r="BB406" s="122" t="s">
        <v>5890</v>
      </c>
      <c r="BD406" s="122" t="s">
        <v>253</v>
      </c>
      <c r="BE406" s="122" t="s">
        <v>263</v>
      </c>
      <c r="BF406" s="122" t="s">
        <v>4688</v>
      </c>
      <c r="BH406" s="122" t="s">
        <v>4681</v>
      </c>
      <c r="BI406" s="142">
        <v>97</v>
      </c>
      <c r="BK406" s="139" t="s">
        <v>1029</v>
      </c>
      <c r="BN406" s="122" t="s">
        <v>5891</v>
      </c>
    </row>
    <row r="407" spans="1:66" x14ac:dyDescent="0.25">
      <c r="A407" s="122" t="s">
        <v>888</v>
      </c>
      <c r="B407" s="122" t="s">
        <v>5892</v>
      </c>
      <c r="C407" s="122" t="s">
        <v>5893</v>
      </c>
      <c r="D407" s="122" t="s">
        <v>5894</v>
      </c>
      <c r="E407" s="123">
        <v>42219</v>
      </c>
      <c r="F407" s="122" t="s">
        <v>1258</v>
      </c>
      <c r="G407" s="122" t="s">
        <v>235</v>
      </c>
      <c r="H407" s="122" t="s">
        <v>5895</v>
      </c>
      <c r="I407" s="122" t="s">
        <v>5896</v>
      </c>
      <c r="K407" s="122" t="s">
        <v>3419</v>
      </c>
      <c r="L407" s="122" t="s">
        <v>3420</v>
      </c>
      <c r="M407" s="122" t="s">
        <v>3504</v>
      </c>
      <c r="O407" s="141" t="s">
        <v>548</v>
      </c>
      <c r="P407" s="141" t="s">
        <v>5897</v>
      </c>
      <c r="Q407" s="122" t="s">
        <v>3424</v>
      </c>
      <c r="R407" s="142">
        <v>98</v>
      </c>
      <c r="S407" s="122" t="s">
        <v>5898</v>
      </c>
      <c r="U407" s="122" t="s">
        <v>4681</v>
      </c>
      <c r="W407" s="122" t="s">
        <v>246</v>
      </c>
      <c r="X407" s="122" t="s">
        <v>603</v>
      </c>
      <c r="Z407" s="122" t="s">
        <v>250</v>
      </c>
      <c r="AB407" s="122" t="s">
        <v>250</v>
      </c>
      <c r="AD407" s="122" t="s">
        <v>250</v>
      </c>
      <c r="AE407" s="122" t="s">
        <v>235</v>
      </c>
      <c r="AF407" s="122" t="s">
        <v>5899</v>
      </c>
      <c r="AG407" s="122" t="s">
        <v>253</v>
      </c>
      <c r="AH407" s="122" t="s">
        <v>253</v>
      </c>
      <c r="AI407" s="122" t="s">
        <v>5900</v>
      </c>
      <c r="AJ407" s="122" t="s">
        <v>5901</v>
      </c>
      <c r="AK407" s="122" t="s">
        <v>5902</v>
      </c>
      <c r="AL407" s="122" t="s">
        <v>253</v>
      </c>
      <c r="AM407" s="122" t="s">
        <v>253</v>
      </c>
      <c r="AN407" s="122" t="s">
        <v>253</v>
      </c>
      <c r="AO407" s="141" t="s">
        <v>247</v>
      </c>
      <c r="AP407" s="141" t="s">
        <v>247</v>
      </c>
      <c r="AQ407" s="141" t="s">
        <v>247</v>
      </c>
      <c r="AR407" s="141" t="s">
        <v>247</v>
      </c>
      <c r="AS407" s="141" t="s">
        <v>601</v>
      </c>
      <c r="AT407" s="141" t="s">
        <v>601</v>
      </c>
      <c r="AU407" s="141" t="s">
        <v>601</v>
      </c>
      <c r="AV407" s="122" t="s">
        <v>259</v>
      </c>
      <c r="AW407" s="122" t="s">
        <v>260</v>
      </c>
      <c r="AY407" s="141" t="s">
        <v>253</v>
      </c>
      <c r="AZ407" s="122" t="s">
        <v>5903</v>
      </c>
      <c r="BA407" s="122" t="s">
        <v>262</v>
      </c>
      <c r="BB407" s="122" t="s">
        <v>5904</v>
      </c>
      <c r="BD407" s="122" t="s">
        <v>253</v>
      </c>
      <c r="BE407" s="122" t="s">
        <v>263</v>
      </c>
      <c r="BF407" s="122" t="s">
        <v>4688</v>
      </c>
      <c r="BH407" s="122" t="s">
        <v>4681</v>
      </c>
      <c r="BI407" s="142">
        <v>98</v>
      </c>
      <c r="BJ407" s="123">
        <v>42232</v>
      </c>
      <c r="BK407" s="139" t="s">
        <v>606</v>
      </c>
      <c r="BM407" s="122">
        <v>33</v>
      </c>
    </row>
    <row r="408" spans="1:66" x14ac:dyDescent="0.25">
      <c r="A408" s="122" t="s">
        <v>888</v>
      </c>
      <c r="B408" s="122" t="s">
        <v>5905</v>
      </c>
      <c r="C408" s="122" t="s">
        <v>5906</v>
      </c>
      <c r="D408" s="122" t="s">
        <v>5907</v>
      </c>
      <c r="E408" s="123">
        <v>42219</v>
      </c>
      <c r="F408" s="122" t="s">
        <v>2133</v>
      </c>
      <c r="G408" s="122" t="s">
        <v>235</v>
      </c>
      <c r="H408" s="122" t="s">
        <v>5908</v>
      </c>
      <c r="I408" s="122" t="s">
        <v>5909</v>
      </c>
      <c r="K408" s="122" t="s">
        <v>3419</v>
      </c>
      <c r="L408" s="122" t="s">
        <v>3503</v>
      </c>
      <c r="M408" s="122" t="s">
        <v>3504</v>
      </c>
      <c r="O408" s="141" t="s">
        <v>566</v>
      </c>
      <c r="P408" s="141" t="s">
        <v>5910</v>
      </c>
      <c r="Q408" s="122" t="s">
        <v>3424</v>
      </c>
      <c r="R408" s="142">
        <v>99</v>
      </c>
      <c r="S408" s="122" t="s">
        <v>5911</v>
      </c>
      <c r="U408" s="122" t="s">
        <v>4681</v>
      </c>
      <c r="V408" s="122" t="s">
        <v>351</v>
      </c>
      <c r="W408" s="122" t="s">
        <v>246</v>
      </c>
      <c r="X408" s="122" t="s">
        <v>247</v>
      </c>
      <c r="Z408" s="122" t="s">
        <v>250</v>
      </c>
      <c r="AB408" s="122" t="s">
        <v>250</v>
      </c>
      <c r="AD408" s="122" t="s">
        <v>250</v>
      </c>
      <c r="AE408" s="122" t="s">
        <v>235</v>
      </c>
      <c r="AF408" s="122" t="s">
        <v>5912</v>
      </c>
      <c r="AG408" s="122" t="s">
        <v>253</v>
      </c>
      <c r="AH408" s="122" t="s">
        <v>5913</v>
      </c>
      <c r="AI408" s="122" t="s">
        <v>3700</v>
      </c>
      <c r="AJ408" s="122" t="s">
        <v>5914</v>
      </c>
      <c r="AK408" s="122" t="s">
        <v>5915</v>
      </c>
      <c r="AL408" s="122" t="s">
        <v>253</v>
      </c>
      <c r="AM408" s="122" t="s">
        <v>253</v>
      </c>
      <c r="AN408" s="122" t="s">
        <v>253</v>
      </c>
      <c r="AO408" s="141" t="s">
        <v>247</v>
      </c>
      <c r="AP408" s="141" t="s">
        <v>247</v>
      </c>
      <c r="AQ408" s="141" t="s">
        <v>247</v>
      </c>
      <c r="AR408" s="141" t="s">
        <v>253</v>
      </c>
      <c r="AS408" s="141" t="s">
        <v>601</v>
      </c>
      <c r="AT408" s="141" t="s">
        <v>601</v>
      </c>
      <c r="AU408" s="141" t="s">
        <v>258</v>
      </c>
      <c r="AV408" s="122" t="s">
        <v>259</v>
      </c>
      <c r="AW408" s="122" t="s">
        <v>260</v>
      </c>
      <c r="AY408" s="141" t="s">
        <v>253</v>
      </c>
      <c r="AZ408" s="122" t="s">
        <v>5916</v>
      </c>
      <c r="BA408" s="122" t="s">
        <v>262</v>
      </c>
      <c r="BB408" s="122" t="s">
        <v>262</v>
      </c>
      <c r="BD408" s="122" t="s">
        <v>253</v>
      </c>
      <c r="BE408" s="122" t="s">
        <v>263</v>
      </c>
      <c r="BF408" s="122" t="s">
        <v>4688</v>
      </c>
      <c r="BH408" s="122" t="s">
        <v>4681</v>
      </c>
      <c r="BI408" s="142">
        <v>99</v>
      </c>
      <c r="BJ408" s="123">
        <v>42230</v>
      </c>
      <c r="BK408" s="139" t="s">
        <v>606</v>
      </c>
      <c r="BM408" s="122">
        <v>33</v>
      </c>
    </row>
    <row r="409" spans="1:66" x14ac:dyDescent="0.25">
      <c r="A409" s="122" t="s">
        <v>888</v>
      </c>
      <c r="B409" s="122" t="s">
        <v>5917</v>
      </c>
      <c r="C409" s="122" t="s">
        <v>5918</v>
      </c>
      <c r="D409" s="122" t="s">
        <v>5919</v>
      </c>
      <c r="E409" s="123">
        <v>42219</v>
      </c>
      <c r="F409" s="122" t="s">
        <v>1023</v>
      </c>
      <c r="G409" s="122" t="s">
        <v>235</v>
      </c>
      <c r="H409" s="122" t="s">
        <v>5920</v>
      </c>
      <c r="I409" s="122" t="s">
        <v>5921</v>
      </c>
      <c r="J409" s="122" t="s">
        <v>5922</v>
      </c>
      <c r="K409" s="122" t="s">
        <v>3419</v>
      </c>
      <c r="L409" s="122" t="s">
        <v>3503</v>
      </c>
      <c r="M409" s="122" t="s">
        <v>3504</v>
      </c>
      <c r="O409" s="141" t="s">
        <v>299</v>
      </c>
      <c r="P409" s="141" t="s">
        <v>5923</v>
      </c>
      <c r="Q409" s="122" t="s">
        <v>3424</v>
      </c>
      <c r="R409" s="142">
        <v>100</v>
      </c>
      <c r="U409" s="122" t="s">
        <v>4681</v>
      </c>
      <c r="V409" s="122" t="s">
        <v>351</v>
      </c>
      <c r="W409" s="122" t="s">
        <v>246</v>
      </c>
      <c r="X409" s="122" t="s">
        <v>603</v>
      </c>
      <c r="Z409" s="122" t="s">
        <v>250</v>
      </c>
      <c r="AB409" s="122" t="s">
        <v>250</v>
      </c>
      <c r="AD409" s="122" t="s">
        <v>250</v>
      </c>
      <c r="AE409" s="122" t="s">
        <v>235</v>
      </c>
      <c r="AF409" s="122" t="s">
        <v>5924</v>
      </c>
      <c r="AG409" s="122" t="s">
        <v>253</v>
      </c>
      <c r="AH409" s="122" t="s">
        <v>253</v>
      </c>
      <c r="AI409" s="122" t="s">
        <v>5925</v>
      </c>
      <c r="AJ409" s="122" t="s">
        <v>5925</v>
      </c>
      <c r="AK409" s="122" t="s">
        <v>5926</v>
      </c>
      <c r="AL409" s="122" t="s">
        <v>5927</v>
      </c>
      <c r="AM409" s="122" t="s">
        <v>253</v>
      </c>
      <c r="AN409" s="122" t="s">
        <v>253</v>
      </c>
      <c r="AO409" s="141" t="s">
        <v>247</v>
      </c>
      <c r="AP409" s="141" t="s">
        <v>247</v>
      </c>
      <c r="AQ409" s="141" t="s">
        <v>247</v>
      </c>
      <c r="AR409" s="141" t="s">
        <v>253</v>
      </c>
      <c r="AS409" s="141" t="s">
        <v>601</v>
      </c>
      <c r="AT409" s="141" t="s">
        <v>601</v>
      </c>
      <c r="AU409" s="141" t="s">
        <v>258</v>
      </c>
      <c r="AV409" s="122" t="s">
        <v>259</v>
      </c>
      <c r="AW409" s="122" t="s">
        <v>260</v>
      </c>
      <c r="AY409" s="141" t="s">
        <v>253</v>
      </c>
      <c r="AZ409" s="122" t="s">
        <v>5928</v>
      </c>
      <c r="BA409" s="122" t="s">
        <v>262</v>
      </c>
      <c r="BB409" s="122" t="s">
        <v>262</v>
      </c>
      <c r="BC409" s="141" t="s">
        <v>312</v>
      </c>
      <c r="BD409" s="122" t="s">
        <v>253</v>
      </c>
      <c r="BE409" s="122" t="s">
        <v>263</v>
      </c>
      <c r="BF409" s="122" t="s">
        <v>4688</v>
      </c>
      <c r="BH409" s="122" t="s">
        <v>4681</v>
      </c>
      <c r="BI409" s="142">
        <v>100</v>
      </c>
      <c r="BJ409" s="123">
        <v>42230</v>
      </c>
      <c r="BK409" s="139" t="s">
        <v>606</v>
      </c>
      <c r="BM409" s="122">
        <v>33</v>
      </c>
    </row>
    <row r="410" spans="1:66" x14ac:dyDescent="0.25">
      <c r="A410" s="122" t="s">
        <v>888</v>
      </c>
      <c r="B410" s="122" t="s">
        <v>5929</v>
      </c>
      <c r="C410" s="122" t="s">
        <v>5930</v>
      </c>
      <c r="D410" s="122" t="s">
        <v>5931</v>
      </c>
      <c r="E410" s="123">
        <v>42219</v>
      </c>
      <c r="F410" s="122" t="s">
        <v>3941</v>
      </c>
      <c r="G410" s="122" t="s">
        <v>235</v>
      </c>
      <c r="H410" s="122" t="s">
        <v>5932</v>
      </c>
      <c r="I410" s="122" t="s">
        <v>5933</v>
      </c>
      <c r="J410" s="122" t="s">
        <v>5934</v>
      </c>
      <c r="K410" s="122" t="s">
        <v>5879</v>
      </c>
      <c r="L410" s="122" t="s">
        <v>5880</v>
      </c>
      <c r="M410" s="122" t="s">
        <v>5935</v>
      </c>
      <c r="O410" s="141" t="s">
        <v>373</v>
      </c>
      <c r="P410" s="141" t="s">
        <v>5936</v>
      </c>
      <c r="Q410" s="122" t="s">
        <v>3424</v>
      </c>
      <c r="R410" s="142">
        <v>101</v>
      </c>
      <c r="S410" s="122" t="s">
        <v>5937</v>
      </c>
      <c r="U410" s="122" t="s">
        <v>4681</v>
      </c>
      <c r="X410" s="122" t="s">
        <v>739</v>
      </c>
      <c r="Y410" s="141" t="s">
        <v>2700</v>
      </c>
      <c r="Z410" s="122" t="s">
        <v>5938</v>
      </c>
      <c r="AA410" s="141" t="s">
        <v>1547</v>
      </c>
      <c r="AB410" s="122" t="s">
        <v>5939</v>
      </c>
      <c r="AC410" s="141" t="s">
        <v>3863</v>
      </c>
      <c r="AD410" s="122" t="s">
        <v>5938</v>
      </c>
      <c r="AE410" s="122" t="s">
        <v>235</v>
      </c>
      <c r="AF410" s="122" t="s">
        <v>5940</v>
      </c>
      <c r="AG410" s="122" t="s">
        <v>537</v>
      </c>
      <c r="AH410" s="122" t="s">
        <v>253</v>
      </c>
      <c r="AI410" s="122" t="s">
        <v>5941</v>
      </c>
      <c r="AJ410" s="122" t="s">
        <v>5942</v>
      </c>
      <c r="AK410" s="122" t="s">
        <v>253</v>
      </c>
      <c r="AL410" s="122" t="s">
        <v>253</v>
      </c>
      <c r="AM410" s="122" t="s">
        <v>253</v>
      </c>
      <c r="AN410" s="122" t="s">
        <v>253</v>
      </c>
      <c r="AO410" s="141" t="s">
        <v>253</v>
      </c>
      <c r="AP410" s="141" t="s">
        <v>253</v>
      </c>
      <c r="AQ410" s="141" t="s">
        <v>247</v>
      </c>
      <c r="AR410" s="141" t="s">
        <v>253</v>
      </c>
      <c r="AS410" s="141" t="s">
        <v>361</v>
      </c>
      <c r="AT410" s="141" t="s">
        <v>601</v>
      </c>
      <c r="AU410" s="141" t="s">
        <v>258</v>
      </c>
      <c r="AV410" s="122" t="s">
        <v>259</v>
      </c>
      <c r="AW410" s="122" t="s">
        <v>260</v>
      </c>
      <c r="AY410" s="141" t="s">
        <v>253</v>
      </c>
      <c r="AZ410" s="122" t="s">
        <v>5943</v>
      </c>
      <c r="BA410" s="122" t="s">
        <v>262</v>
      </c>
      <c r="BB410" s="122" t="s">
        <v>5944</v>
      </c>
      <c r="BD410" s="122" t="s">
        <v>253</v>
      </c>
      <c r="BE410" s="122" t="s">
        <v>263</v>
      </c>
      <c r="BF410" s="122" t="s">
        <v>4688</v>
      </c>
      <c r="BH410" s="122" t="s">
        <v>4681</v>
      </c>
      <c r="BI410" s="142">
        <v>101</v>
      </c>
      <c r="BJ410" s="123">
        <v>42230</v>
      </c>
      <c r="BK410" s="139" t="s">
        <v>264</v>
      </c>
      <c r="BL410" s="140">
        <v>291.39999999999998</v>
      </c>
      <c r="BM410" s="122">
        <v>33</v>
      </c>
    </row>
    <row r="411" spans="1:66" x14ac:dyDescent="0.25">
      <c r="A411" s="122" t="s">
        <v>888</v>
      </c>
      <c r="B411" s="122" t="s">
        <v>5945</v>
      </c>
      <c r="C411" s="122" t="s">
        <v>5946</v>
      </c>
      <c r="D411" s="122" t="s">
        <v>5947</v>
      </c>
      <c r="E411" s="123">
        <v>42219</v>
      </c>
      <c r="F411" s="122" t="s">
        <v>5948</v>
      </c>
      <c r="G411" s="122" t="s">
        <v>235</v>
      </c>
      <c r="H411" s="122" t="s">
        <v>5949</v>
      </c>
      <c r="I411" s="122" t="s">
        <v>5950</v>
      </c>
      <c r="K411" s="122" t="s">
        <v>5800</v>
      </c>
      <c r="L411" s="122" t="s">
        <v>5801</v>
      </c>
      <c r="M411" s="122" t="s">
        <v>5802</v>
      </c>
      <c r="O411" s="141" t="s">
        <v>373</v>
      </c>
      <c r="P411" s="141" t="s">
        <v>5951</v>
      </c>
      <c r="Q411" s="122" t="s">
        <v>5805</v>
      </c>
      <c r="R411" s="142">
        <v>102</v>
      </c>
      <c r="S411" s="122" t="s">
        <v>5952</v>
      </c>
      <c r="U411" s="122" t="s">
        <v>4681</v>
      </c>
      <c r="W411" s="122" t="s">
        <v>246</v>
      </c>
      <c r="X411" s="122" t="s">
        <v>454</v>
      </c>
      <c r="Y411" s="141" t="s">
        <v>1440</v>
      </c>
      <c r="Z411" s="122" t="s">
        <v>3631</v>
      </c>
      <c r="AA411" s="141" t="s">
        <v>328</v>
      </c>
      <c r="AB411" s="122" t="s">
        <v>5953</v>
      </c>
      <c r="AC411" s="141" t="s">
        <v>1698</v>
      </c>
      <c r="AD411" s="122" t="s">
        <v>3631</v>
      </c>
      <c r="AE411" s="122" t="s">
        <v>235</v>
      </c>
      <c r="AF411" s="122" t="s">
        <v>5954</v>
      </c>
      <c r="AG411" s="122" t="s">
        <v>537</v>
      </c>
      <c r="AH411" s="122" t="s">
        <v>253</v>
      </c>
      <c r="AI411" s="122" t="s">
        <v>5955</v>
      </c>
      <c r="AJ411" s="122" t="s">
        <v>5956</v>
      </c>
      <c r="AK411" s="122" t="s">
        <v>253</v>
      </c>
      <c r="AL411" s="122" t="s">
        <v>253</v>
      </c>
      <c r="AM411" s="122" t="s">
        <v>253</v>
      </c>
      <c r="AN411" s="122" t="s">
        <v>253</v>
      </c>
      <c r="AO411" s="141" t="s">
        <v>253</v>
      </c>
      <c r="AP411" s="141" t="s">
        <v>253</v>
      </c>
      <c r="AQ411" s="141" t="s">
        <v>247</v>
      </c>
      <c r="AR411" s="141" t="s">
        <v>253</v>
      </c>
      <c r="AS411" s="141" t="s">
        <v>361</v>
      </c>
      <c r="AT411" s="141" t="s">
        <v>601</v>
      </c>
      <c r="AU411" s="141" t="s">
        <v>258</v>
      </c>
      <c r="AV411" s="122" t="s">
        <v>259</v>
      </c>
      <c r="AW411" s="122" t="s">
        <v>260</v>
      </c>
      <c r="AY411" s="141" t="s">
        <v>253</v>
      </c>
      <c r="AZ411" s="122" t="s">
        <v>5957</v>
      </c>
      <c r="BA411" s="122" t="s">
        <v>262</v>
      </c>
      <c r="BB411" s="122" t="s">
        <v>5958</v>
      </c>
      <c r="BD411" s="122" t="s">
        <v>253</v>
      </c>
      <c r="BE411" s="122" t="s">
        <v>263</v>
      </c>
      <c r="BF411" s="122" t="s">
        <v>4688</v>
      </c>
      <c r="BH411" s="122" t="s">
        <v>4681</v>
      </c>
      <c r="BI411" s="142">
        <v>102</v>
      </c>
      <c r="BJ411" s="123">
        <v>42233</v>
      </c>
      <c r="BK411" s="139" t="s">
        <v>606</v>
      </c>
      <c r="BM411" s="122">
        <v>34</v>
      </c>
    </row>
    <row r="412" spans="1:66" x14ac:dyDescent="0.25">
      <c r="A412" s="122" t="s">
        <v>888</v>
      </c>
      <c r="B412" s="122" t="s">
        <v>5959</v>
      </c>
      <c r="C412" s="122" t="s">
        <v>5960</v>
      </c>
      <c r="D412" s="122" t="s">
        <v>5961</v>
      </c>
      <c r="E412" s="123">
        <v>42219</v>
      </c>
      <c r="F412" s="122" t="s">
        <v>1762</v>
      </c>
      <c r="G412" s="122" t="s">
        <v>235</v>
      </c>
      <c r="H412" s="122" t="s">
        <v>5962</v>
      </c>
      <c r="I412" s="122" t="s">
        <v>5963</v>
      </c>
      <c r="J412" s="122" t="s">
        <v>370</v>
      </c>
      <c r="K412" s="122" t="s">
        <v>3419</v>
      </c>
      <c r="L412" s="122" t="s">
        <v>3420</v>
      </c>
      <c r="M412" s="122" t="s">
        <v>3504</v>
      </c>
      <c r="O412" s="141" t="s">
        <v>2559</v>
      </c>
      <c r="P412" s="141" t="s">
        <v>5964</v>
      </c>
      <c r="Q412" s="122" t="s">
        <v>3424</v>
      </c>
      <c r="R412" s="142">
        <v>103</v>
      </c>
      <c r="S412" s="122" t="s">
        <v>5965</v>
      </c>
      <c r="T412" s="122" t="s">
        <v>5966</v>
      </c>
      <c r="U412" s="122" t="s">
        <v>4681</v>
      </c>
      <c r="W412" s="122" t="s">
        <v>246</v>
      </c>
      <c r="X412" s="122" t="s">
        <v>454</v>
      </c>
      <c r="Y412" s="141" t="s">
        <v>1125</v>
      </c>
      <c r="Z412" s="122" t="s">
        <v>5967</v>
      </c>
      <c r="AA412" s="141" t="s">
        <v>330</v>
      </c>
      <c r="AB412" s="122" t="s">
        <v>1678</v>
      </c>
      <c r="AC412" s="141" t="s">
        <v>2098</v>
      </c>
      <c r="AD412" s="122" t="s">
        <v>3086</v>
      </c>
      <c r="AE412" s="122" t="s">
        <v>235</v>
      </c>
      <c r="AF412" s="122" t="s">
        <v>5968</v>
      </c>
      <c r="AG412" s="122" t="s">
        <v>537</v>
      </c>
      <c r="AH412" s="122" t="s">
        <v>253</v>
      </c>
      <c r="AI412" s="122" t="s">
        <v>5969</v>
      </c>
      <c r="AJ412" s="122" t="s">
        <v>5970</v>
      </c>
      <c r="AK412" s="122" t="s">
        <v>253</v>
      </c>
      <c r="AL412" s="122" t="s">
        <v>253</v>
      </c>
      <c r="AM412" s="122" t="s">
        <v>253</v>
      </c>
      <c r="AN412" s="122" t="s">
        <v>253</v>
      </c>
      <c r="AO412" s="141" t="s">
        <v>247</v>
      </c>
      <c r="AP412" s="141" t="s">
        <v>247</v>
      </c>
      <c r="AQ412" s="141" t="s">
        <v>247</v>
      </c>
      <c r="AR412" s="141" t="s">
        <v>253</v>
      </c>
      <c r="AS412" s="141" t="s">
        <v>601</v>
      </c>
      <c r="AT412" s="141" t="s">
        <v>601</v>
      </c>
      <c r="AU412" s="141" t="s">
        <v>258</v>
      </c>
      <c r="AV412" s="122" t="s">
        <v>259</v>
      </c>
      <c r="AW412" s="122" t="s">
        <v>260</v>
      </c>
      <c r="AY412" s="141" t="s">
        <v>253</v>
      </c>
      <c r="AZ412" s="122" t="s">
        <v>5971</v>
      </c>
      <c r="BA412" s="122" t="s">
        <v>262</v>
      </c>
      <c r="BB412" s="122" t="s">
        <v>262</v>
      </c>
      <c r="BC412" s="141" t="s">
        <v>312</v>
      </c>
      <c r="BD412" s="122" t="s">
        <v>253</v>
      </c>
      <c r="BE412" s="122" t="s">
        <v>263</v>
      </c>
      <c r="BF412" s="122" t="s">
        <v>4688</v>
      </c>
      <c r="BH412" s="122" t="s">
        <v>4681</v>
      </c>
      <c r="BI412" s="142">
        <v>103</v>
      </c>
      <c r="BJ412" s="123">
        <v>42232</v>
      </c>
      <c r="BK412" s="139" t="s">
        <v>606</v>
      </c>
      <c r="BM412" s="122">
        <v>33</v>
      </c>
    </row>
    <row r="413" spans="1:66" x14ac:dyDescent="0.25">
      <c r="A413" s="122" t="s">
        <v>888</v>
      </c>
      <c r="B413" s="122" t="s">
        <v>5972</v>
      </c>
      <c r="C413" s="122" t="s">
        <v>5973</v>
      </c>
      <c r="D413" s="122" t="s">
        <v>5974</v>
      </c>
      <c r="E413" s="123">
        <v>42219</v>
      </c>
      <c r="F413" s="122" t="s">
        <v>1344</v>
      </c>
      <c r="G413" s="122" t="s">
        <v>235</v>
      </c>
      <c r="H413" s="122" t="s">
        <v>5975</v>
      </c>
      <c r="I413" s="122" t="s">
        <v>5976</v>
      </c>
      <c r="K413" s="122" t="s">
        <v>3419</v>
      </c>
      <c r="L413" s="122" t="s">
        <v>3420</v>
      </c>
      <c r="M413" s="122" t="s">
        <v>3421</v>
      </c>
      <c r="O413" s="141" t="s">
        <v>1240</v>
      </c>
      <c r="P413" s="141" t="s">
        <v>5977</v>
      </c>
      <c r="Q413" s="122" t="s">
        <v>3424</v>
      </c>
      <c r="R413" s="142">
        <v>104</v>
      </c>
      <c r="S413" s="122" t="s">
        <v>5978</v>
      </c>
      <c r="U413" s="122" t="s">
        <v>4681</v>
      </c>
      <c r="W413" s="122" t="s">
        <v>246</v>
      </c>
      <c r="X413" s="122" t="s">
        <v>4409</v>
      </c>
      <c r="Y413" s="141" t="s">
        <v>740</v>
      </c>
      <c r="Z413" s="122" t="s">
        <v>5979</v>
      </c>
      <c r="AA413" s="141" t="s">
        <v>1325</v>
      </c>
      <c r="AB413" s="122" t="s">
        <v>5980</v>
      </c>
      <c r="AC413" s="141" t="s">
        <v>5981</v>
      </c>
      <c r="AD413" s="122" t="s">
        <v>5982</v>
      </c>
      <c r="AE413" s="122" t="s">
        <v>235</v>
      </c>
      <c r="AF413" s="122" t="s">
        <v>5983</v>
      </c>
      <c r="AG413" s="122" t="s">
        <v>253</v>
      </c>
      <c r="AH413" s="122" t="s">
        <v>253</v>
      </c>
      <c r="AI413" s="122" t="s">
        <v>5984</v>
      </c>
      <c r="AJ413" s="122" t="s">
        <v>5985</v>
      </c>
      <c r="AK413" s="122" t="s">
        <v>253</v>
      </c>
      <c r="AL413" s="122" t="s">
        <v>5986</v>
      </c>
      <c r="AM413" s="122" t="s">
        <v>253</v>
      </c>
      <c r="AN413" s="122" t="s">
        <v>253</v>
      </c>
      <c r="AO413" s="141" t="s">
        <v>247</v>
      </c>
      <c r="AP413" s="141" t="s">
        <v>247</v>
      </c>
      <c r="AQ413" s="141" t="s">
        <v>247</v>
      </c>
      <c r="AR413" s="141" t="s">
        <v>247</v>
      </c>
      <c r="AS413" s="141" t="s">
        <v>601</v>
      </c>
      <c r="AT413" s="141" t="s">
        <v>601</v>
      </c>
      <c r="AU413" s="141" t="s">
        <v>601</v>
      </c>
      <c r="AV413" s="122" t="s">
        <v>259</v>
      </c>
      <c r="AW413" s="122" t="s">
        <v>260</v>
      </c>
      <c r="AX413" s="141" t="s">
        <v>4015</v>
      </c>
      <c r="AY413" s="141" t="s">
        <v>247</v>
      </c>
      <c r="AZ413" s="122" t="s">
        <v>5987</v>
      </c>
      <c r="BA413" s="122" t="s">
        <v>262</v>
      </c>
      <c r="BB413" s="122" t="s">
        <v>262</v>
      </c>
      <c r="BD413" s="122" t="s">
        <v>253</v>
      </c>
      <c r="BE413" s="122" t="s">
        <v>263</v>
      </c>
      <c r="BF413" s="122" t="s">
        <v>4688</v>
      </c>
      <c r="BH413" s="122" t="s">
        <v>4681</v>
      </c>
      <c r="BI413" s="142">
        <v>104</v>
      </c>
      <c r="BJ413" s="123">
        <v>42232</v>
      </c>
      <c r="BK413" s="139" t="s">
        <v>264</v>
      </c>
      <c r="BL413" s="140">
        <v>783.61</v>
      </c>
      <c r="BM413" s="122">
        <v>33</v>
      </c>
    </row>
    <row r="414" spans="1:66" x14ac:dyDescent="0.25">
      <c r="A414" s="122" t="s">
        <v>888</v>
      </c>
      <c r="B414" s="122" t="s">
        <v>5988</v>
      </c>
      <c r="C414" s="122" t="s">
        <v>5989</v>
      </c>
      <c r="D414" s="122" t="s">
        <v>5990</v>
      </c>
      <c r="E414" s="123">
        <v>42219</v>
      </c>
      <c r="F414" s="122" t="s">
        <v>5991</v>
      </c>
      <c r="G414" s="122" t="s">
        <v>235</v>
      </c>
      <c r="H414" s="122" t="s">
        <v>5992</v>
      </c>
      <c r="I414" s="122" t="s">
        <v>5993</v>
      </c>
      <c r="K414" s="122" t="s">
        <v>3419</v>
      </c>
      <c r="L414" s="122" t="s">
        <v>3503</v>
      </c>
      <c r="M414" s="122" t="s">
        <v>3504</v>
      </c>
      <c r="O414" s="141" t="s">
        <v>566</v>
      </c>
      <c r="P414" s="141" t="s">
        <v>5994</v>
      </c>
      <c r="Q414" s="122" t="s">
        <v>3424</v>
      </c>
      <c r="R414" s="142">
        <v>105</v>
      </c>
      <c r="S414" s="122" t="s">
        <v>5995</v>
      </c>
      <c r="U414" s="122" t="s">
        <v>4681</v>
      </c>
      <c r="W414" s="122" t="s">
        <v>246</v>
      </c>
      <c r="X414" s="122" t="s">
        <v>1643</v>
      </c>
      <c r="Y414" s="141" t="s">
        <v>784</v>
      </c>
      <c r="Z414" s="122" t="s">
        <v>5996</v>
      </c>
      <c r="AA414" s="141" t="s">
        <v>1023</v>
      </c>
      <c r="AB414" s="122" t="s">
        <v>5997</v>
      </c>
      <c r="AC414" s="141" t="s">
        <v>2225</v>
      </c>
      <c r="AD414" s="122" t="s">
        <v>5997</v>
      </c>
      <c r="AE414" s="122" t="s">
        <v>235</v>
      </c>
      <c r="AF414" s="122" t="s">
        <v>5998</v>
      </c>
      <c r="AG414" s="122" t="s">
        <v>537</v>
      </c>
      <c r="AH414" s="122" t="s">
        <v>253</v>
      </c>
      <c r="AI414" s="122" t="s">
        <v>5999</v>
      </c>
      <c r="AJ414" s="122" t="s">
        <v>4427</v>
      </c>
      <c r="AK414" s="122" t="s">
        <v>253</v>
      </c>
      <c r="AL414" s="122" t="s">
        <v>253</v>
      </c>
      <c r="AM414" s="122" t="s">
        <v>253</v>
      </c>
      <c r="AN414" s="122" t="s">
        <v>253</v>
      </c>
      <c r="AO414" s="141" t="s">
        <v>247</v>
      </c>
      <c r="AP414" s="141" t="s">
        <v>247</v>
      </c>
      <c r="AQ414" s="141" t="s">
        <v>253</v>
      </c>
      <c r="AR414" s="141" t="s">
        <v>253</v>
      </c>
      <c r="AS414" s="141" t="s">
        <v>601</v>
      </c>
      <c r="AT414" s="141" t="s">
        <v>258</v>
      </c>
      <c r="AU414" s="141" t="s">
        <v>258</v>
      </c>
      <c r="AV414" s="122" t="s">
        <v>259</v>
      </c>
      <c r="AW414" s="122" t="s">
        <v>260</v>
      </c>
      <c r="AY414" s="141" t="s">
        <v>253</v>
      </c>
      <c r="AZ414" s="122" t="s">
        <v>6000</v>
      </c>
      <c r="BA414" s="122" t="s">
        <v>262</v>
      </c>
      <c r="BB414" s="122" t="s">
        <v>262</v>
      </c>
      <c r="BD414" s="122" t="s">
        <v>253</v>
      </c>
      <c r="BE414" s="122" t="s">
        <v>263</v>
      </c>
      <c r="BF414" s="122" t="s">
        <v>4688</v>
      </c>
      <c r="BH414" s="122" t="s">
        <v>4681</v>
      </c>
      <c r="BI414" s="142">
        <v>105</v>
      </c>
      <c r="BJ414" s="123">
        <v>42232</v>
      </c>
      <c r="BK414" s="139" t="s">
        <v>606</v>
      </c>
      <c r="BM414" s="122">
        <v>33</v>
      </c>
    </row>
    <row r="415" spans="1:66" x14ac:dyDescent="0.25">
      <c r="A415" s="122" t="s">
        <v>404</v>
      </c>
      <c r="B415" s="122" t="s">
        <v>6001</v>
      </c>
      <c r="C415" s="122" t="s">
        <v>6002</v>
      </c>
      <c r="D415" s="122" t="s">
        <v>6003</v>
      </c>
      <c r="E415" s="123">
        <v>42219</v>
      </c>
      <c r="F415" s="122" t="s">
        <v>6004</v>
      </c>
      <c r="G415" s="122" t="s">
        <v>235</v>
      </c>
      <c r="H415" s="122" t="s">
        <v>6005</v>
      </c>
      <c r="I415" s="122" t="s">
        <v>6006</v>
      </c>
      <c r="K415" s="122" t="s">
        <v>5800</v>
      </c>
      <c r="L415" s="122" t="s">
        <v>5801</v>
      </c>
      <c r="M415" s="122" t="s">
        <v>5802</v>
      </c>
      <c r="O415" s="141" t="s">
        <v>348</v>
      </c>
      <c r="P415" s="141" t="s">
        <v>6007</v>
      </c>
      <c r="Q415" s="122" t="s">
        <v>5805</v>
      </c>
      <c r="R415" s="142">
        <v>106</v>
      </c>
      <c r="S415" s="122" t="s">
        <v>6008</v>
      </c>
      <c r="U415" s="122" t="s">
        <v>4681</v>
      </c>
      <c r="W415" s="122" t="s">
        <v>246</v>
      </c>
      <c r="X415" s="122" t="s">
        <v>302</v>
      </c>
      <c r="Y415" s="141" t="s">
        <v>593</v>
      </c>
      <c r="Z415" s="122" t="s">
        <v>6009</v>
      </c>
      <c r="AA415" s="141" t="s">
        <v>330</v>
      </c>
      <c r="AB415" s="122" t="s">
        <v>6010</v>
      </c>
      <c r="AC415" s="141" t="s">
        <v>2735</v>
      </c>
      <c r="AD415" s="122" t="s">
        <v>6011</v>
      </c>
      <c r="AE415" s="122" t="s">
        <v>235</v>
      </c>
      <c r="AF415" s="122" t="s">
        <v>6012</v>
      </c>
      <c r="AG415" s="122" t="s">
        <v>537</v>
      </c>
      <c r="AH415" s="122" t="s">
        <v>253</v>
      </c>
      <c r="AI415" s="122" t="s">
        <v>6013</v>
      </c>
      <c r="AJ415" s="122" t="s">
        <v>6014</v>
      </c>
      <c r="AK415" s="122" t="s">
        <v>253</v>
      </c>
      <c r="AL415" s="122" t="s">
        <v>253</v>
      </c>
      <c r="AM415" s="122" t="s">
        <v>253</v>
      </c>
      <c r="AN415" s="122" t="s">
        <v>253</v>
      </c>
      <c r="AO415" s="141" t="s">
        <v>247</v>
      </c>
      <c r="AP415" s="141" t="s">
        <v>253</v>
      </c>
      <c r="AQ415" s="141" t="s">
        <v>247</v>
      </c>
      <c r="AR415" s="141" t="s">
        <v>253</v>
      </c>
      <c r="AS415" s="141" t="s">
        <v>601</v>
      </c>
      <c r="AT415" s="141" t="s">
        <v>601</v>
      </c>
      <c r="AU415" s="141" t="s">
        <v>258</v>
      </c>
      <c r="AV415" s="122" t="s">
        <v>259</v>
      </c>
      <c r="AW415" s="122" t="s">
        <v>260</v>
      </c>
      <c r="AY415" s="141" t="s">
        <v>253</v>
      </c>
      <c r="AZ415" s="122" t="s">
        <v>6015</v>
      </c>
      <c r="BA415" s="122" t="s">
        <v>262</v>
      </c>
      <c r="BB415" s="122" t="s">
        <v>6016</v>
      </c>
      <c r="BD415" s="122" t="s">
        <v>253</v>
      </c>
      <c r="BE415" s="122" t="s">
        <v>263</v>
      </c>
      <c r="BF415" s="122" t="s">
        <v>4688</v>
      </c>
      <c r="BH415" s="122" t="s">
        <v>4681</v>
      </c>
      <c r="BI415" s="142">
        <v>106</v>
      </c>
      <c r="BJ415" s="123">
        <v>42221</v>
      </c>
      <c r="BK415" s="139" t="s">
        <v>264</v>
      </c>
      <c r="BL415" s="140">
        <v>267.66000000000003</v>
      </c>
      <c r="BM415" s="122">
        <v>32</v>
      </c>
    </row>
    <row r="416" spans="1:66" x14ac:dyDescent="0.25">
      <c r="A416" s="122" t="s">
        <v>404</v>
      </c>
      <c r="B416" s="122" t="s">
        <v>6017</v>
      </c>
      <c r="C416" s="122" t="s">
        <v>6018</v>
      </c>
      <c r="D416" s="122" t="s">
        <v>6019</v>
      </c>
      <c r="E416" s="123">
        <v>42219</v>
      </c>
      <c r="F416" s="122" t="s">
        <v>3808</v>
      </c>
      <c r="G416" s="122" t="s">
        <v>235</v>
      </c>
      <c r="H416" s="122" t="s">
        <v>448</v>
      </c>
      <c r="I416" s="122" t="s">
        <v>6020</v>
      </c>
      <c r="K416" s="122" t="s">
        <v>3419</v>
      </c>
      <c r="L416" s="122" t="s">
        <v>3503</v>
      </c>
      <c r="M416" s="122" t="s">
        <v>3504</v>
      </c>
      <c r="Q416" s="122" t="s">
        <v>3424</v>
      </c>
      <c r="R416" s="142">
        <v>107</v>
      </c>
      <c r="S416" s="122" t="s">
        <v>6021</v>
      </c>
      <c r="U416" s="122" t="s">
        <v>4681</v>
      </c>
      <c r="V416" s="122" t="s">
        <v>351</v>
      </c>
      <c r="W416" s="122" t="s">
        <v>246</v>
      </c>
      <c r="X416" s="122" t="s">
        <v>302</v>
      </c>
      <c r="Y416" s="141" t="s">
        <v>500</v>
      </c>
      <c r="Z416" s="122" t="s">
        <v>6022</v>
      </c>
      <c r="AA416" s="141" t="s">
        <v>899</v>
      </c>
      <c r="AB416" s="122" t="s">
        <v>6023</v>
      </c>
      <c r="AC416" s="141" t="s">
        <v>921</v>
      </c>
      <c r="AD416" s="122" t="s">
        <v>6024</v>
      </c>
      <c r="AE416" s="122" t="s">
        <v>235</v>
      </c>
      <c r="AF416" s="122" t="s">
        <v>6025</v>
      </c>
      <c r="AG416" s="122" t="s">
        <v>537</v>
      </c>
      <c r="AH416" s="122" t="s">
        <v>253</v>
      </c>
      <c r="AI416" s="122" t="s">
        <v>6026</v>
      </c>
      <c r="AJ416" s="122" t="s">
        <v>6027</v>
      </c>
      <c r="AK416" s="122" t="s">
        <v>253</v>
      </c>
      <c r="AL416" s="122" t="s">
        <v>253</v>
      </c>
      <c r="AM416" s="122" t="s">
        <v>253</v>
      </c>
      <c r="AN416" s="122" t="s">
        <v>253</v>
      </c>
      <c r="AO416" s="141" t="s">
        <v>247</v>
      </c>
      <c r="AP416" s="141" t="s">
        <v>247</v>
      </c>
      <c r="AQ416" s="141" t="s">
        <v>247</v>
      </c>
      <c r="AR416" s="141" t="s">
        <v>253</v>
      </c>
      <c r="AS416" s="141" t="s">
        <v>601</v>
      </c>
      <c r="AT416" s="141" t="s">
        <v>601</v>
      </c>
      <c r="AU416" s="141" t="s">
        <v>258</v>
      </c>
      <c r="AV416" s="122" t="s">
        <v>259</v>
      </c>
      <c r="AW416" s="122" t="s">
        <v>260</v>
      </c>
      <c r="AY416" s="141" t="s">
        <v>253</v>
      </c>
      <c r="AZ416" s="122" t="s">
        <v>262</v>
      </c>
      <c r="BA416" s="122" t="s">
        <v>262</v>
      </c>
      <c r="BB416" s="122" t="s">
        <v>6028</v>
      </c>
      <c r="BD416" s="122" t="s">
        <v>253</v>
      </c>
      <c r="BE416" s="122" t="s">
        <v>263</v>
      </c>
      <c r="BF416" s="122" t="s">
        <v>4688</v>
      </c>
      <c r="BH416" s="122" t="s">
        <v>4681</v>
      </c>
      <c r="BI416" s="142">
        <v>107</v>
      </c>
      <c r="BJ416" s="123">
        <v>42230</v>
      </c>
      <c r="BK416" s="139" t="s">
        <v>606</v>
      </c>
      <c r="BM416" s="122">
        <v>33</v>
      </c>
    </row>
    <row r="417" spans="1:65" x14ac:dyDescent="0.25">
      <c r="A417" s="122" t="s">
        <v>404</v>
      </c>
      <c r="B417" s="122" t="s">
        <v>6029</v>
      </c>
      <c r="C417" s="122" t="s">
        <v>6030</v>
      </c>
      <c r="D417" s="122" t="s">
        <v>6031</v>
      </c>
      <c r="E417" s="123">
        <v>42219</v>
      </c>
      <c r="F417" s="122" t="s">
        <v>328</v>
      </c>
      <c r="G417" s="122" t="s">
        <v>235</v>
      </c>
      <c r="H417" s="122" t="s">
        <v>6032</v>
      </c>
      <c r="I417" s="122" t="s">
        <v>6033</v>
      </c>
      <c r="J417" s="122" t="s">
        <v>370</v>
      </c>
      <c r="K417" s="122" t="s">
        <v>3419</v>
      </c>
      <c r="L417" s="122" t="s">
        <v>3503</v>
      </c>
      <c r="M417" s="122" t="s">
        <v>3421</v>
      </c>
      <c r="O417" s="141" t="s">
        <v>566</v>
      </c>
      <c r="P417" s="141" t="s">
        <v>6034</v>
      </c>
      <c r="Q417" s="122" t="s">
        <v>3424</v>
      </c>
      <c r="R417" s="142">
        <v>108</v>
      </c>
      <c r="S417" s="122" t="s">
        <v>6035</v>
      </c>
      <c r="U417" s="122" t="s">
        <v>4681</v>
      </c>
      <c r="W417" s="122" t="s">
        <v>246</v>
      </c>
      <c r="X417" s="122" t="s">
        <v>325</v>
      </c>
      <c r="Y417" s="141" t="s">
        <v>1122</v>
      </c>
      <c r="Z417" s="122" t="s">
        <v>6036</v>
      </c>
      <c r="AB417" s="122" t="s">
        <v>250</v>
      </c>
      <c r="AD417" s="122" t="s">
        <v>250</v>
      </c>
      <c r="AE417" s="122" t="s">
        <v>235</v>
      </c>
      <c r="AF417" s="122" t="s">
        <v>6037</v>
      </c>
      <c r="AG417" s="122" t="s">
        <v>537</v>
      </c>
      <c r="AH417" s="122" t="s">
        <v>253</v>
      </c>
      <c r="AI417" s="122" t="s">
        <v>6038</v>
      </c>
      <c r="AJ417" s="122" t="s">
        <v>6039</v>
      </c>
      <c r="AK417" s="122" t="s">
        <v>253</v>
      </c>
      <c r="AL417" s="122" t="s">
        <v>253</v>
      </c>
      <c r="AM417" s="122" t="s">
        <v>253</v>
      </c>
      <c r="AN417" s="122" t="s">
        <v>253</v>
      </c>
      <c r="AO417" s="141" t="s">
        <v>247</v>
      </c>
      <c r="AP417" s="141" t="s">
        <v>247</v>
      </c>
      <c r="AQ417" s="141" t="s">
        <v>253</v>
      </c>
      <c r="AR417" s="141" t="s">
        <v>253</v>
      </c>
      <c r="AS417" s="141" t="s">
        <v>601</v>
      </c>
      <c r="AT417" s="141" t="s">
        <v>258</v>
      </c>
      <c r="AU417" s="141" t="s">
        <v>258</v>
      </c>
      <c r="AV417" s="122" t="s">
        <v>259</v>
      </c>
      <c r="AW417" s="122" t="s">
        <v>260</v>
      </c>
      <c r="AY417" s="141" t="s">
        <v>253</v>
      </c>
      <c r="AZ417" s="122" t="s">
        <v>6040</v>
      </c>
      <c r="BA417" s="122" t="s">
        <v>262</v>
      </c>
      <c r="BB417" s="122" t="s">
        <v>262</v>
      </c>
      <c r="BD417" s="122" t="s">
        <v>253</v>
      </c>
      <c r="BE417" s="122" t="s">
        <v>263</v>
      </c>
      <c r="BF417" s="122" t="s">
        <v>4688</v>
      </c>
      <c r="BH417" s="122" t="s">
        <v>4681</v>
      </c>
      <c r="BI417" s="142">
        <v>108</v>
      </c>
      <c r="BJ417" s="123">
        <v>42230</v>
      </c>
      <c r="BK417" s="139" t="s">
        <v>606</v>
      </c>
      <c r="BM417" s="122">
        <v>33</v>
      </c>
    </row>
    <row r="418" spans="1:65" x14ac:dyDescent="0.25">
      <c r="A418" s="122" t="s">
        <v>404</v>
      </c>
      <c r="B418" s="122" t="s">
        <v>6041</v>
      </c>
      <c r="C418" s="122" t="s">
        <v>6042</v>
      </c>
      <c r="D418" s="122" t="s">
        <v>6043</v>
      </c>
      <c r="E418" s="123">
        <v>42219</v>
      </c>
      <c r="F418" s="122" t="s">
        <v>985</v>
      </c>
      <c r="G418" s="122" t="s">
        <v>235</v>
      </c>
      <c r="H418" s="122" t="s">
        <v>6044</v>
      </c>
      <c r="I418" s="122" t="s">
        <v>6045</v>
      </c>
      <c r="K418" s="122" t="s">
        <v>3419</v>
      </c>
      <c r="L418" s="122" t="s">
        <v>3503</v>
      </c>
      <c r="M418" s="122" t="s">
        <v>3504</v>
      </c>
      <c r="O418" s="141" t="s">
        <v>373</v>
      </c>
      <c r="P418" s="141" t="s">
        <v>6046</v>
      </c>
      <c r="Q418" s="122" t="s">
        <v>3424</v>
      </c>
      <c r="R418" s="142">
        <v>109</v>
      </c>
      <c r="S418" s="122" t="s">
        <v>6047</v>
      </c>
      <c r="U418" s="122" t="s">
        <v>4681</v>
      </c>
      <c r="W418" s="122" t="s">
        <v>246</v>
      </c>
      <c r="X418" s="122" t="s">
        <v>302</v>
      </c>
      <c r="Y418" s="141" t="s">
        <v>742</v>
      </c>
      <c r="Z418" s="122" t="s">
        <v>6048</v>
      </c>
      <c r="AB418" s="122" t="s">
        <v>250</v>
      </c>
      <c r="AD418" s="122" t="s">
        <v>250</v>
      </c>
      <c r="AE418" s="122" t="s">
        <v>235</v>
      </c>
      <c r="AF418" s="122" t="s">
        <v>6049</v>
      </c>
      <c r="AG418" s="122" t="s">
        <v>537</v>
      </c>
      <c r="AH418" s="122" t="s">
        <v>253</v>
      </c>
      <c r="AI418" s="122" t="s">
        <v>6050</v>
      </c>
      <c r="AJ418" s="122" t="s">
        <v>6051</v>
      </c>
      <c r="AK418" s="122" t="s">
        <v>253</v>
      </c>
      <c r="AL418" s="122" t="s">
        <v>253</v>
      </c>
      <c r="AM418" s="122" t="s">
        <v>253</v>
      </c>
      <c r="AN418" s="122" t="s">
        <v>253</v>
      </c>
      <c r="AO418" s="141" t="s">
        <v>253</v>
      </c>
      <c r="AP418" s="141" t="s">
        <v>253</v>
      </c>
      <c r="AQ418" s="141" t="s">
        <v>247</v>
      </c>
      <c r="AR418" s="141" t="s">
        <v>253</v>
      </c>
      <c r="AS418" s="141" t="s">
        <v>361</v>
      </c>
      <c r="AT418" s="141" t="s">
        <v>601</v>
      </c>
      <c r="AU418" s="141" t="s">
        <v>258</v>
      </c>
      <c r="AV418" s="122" t="s">
        <v>259</v>
      </c>
      <c r="AW418" s="122" t="s">
        <v>260</v>
      </c>
      <c r="AY418" s="141" t="s">
        <v>253</v>
      </c>
      <c r="AZ418" s="122" t="s">
        <v>6052</v>
      </c>
      <c r="BA418" s="122" t="s">
        <v>262</v>
      </c>
      <c r="BB418" s="122" t="s">
        <v>262</v>
      </c>
      <c r="BD418" s="122" t="s">
        <v>253</v>
      </c>
      <c r="BE418" s="122" t="s">
        <v>263</v>
      </c>
      <c r="BF418" s="122" t="s">
        <v>4688</v>
      </c>
      <c r="BH418" s="122" t="s">
        <v>4681</v>
      </c>
      <c r="BI418" s="142">
        <v>109</v>
      </c>
      <c r="BJ418" s="123">
        <v>42230</v>
      </c>
      <c r="BK418" s="139" t="s">
        <v>606</v>
      </c>
      <c r="BM418" s="122">
        <v>33</v>
      </c>
    </row>
    <row r="419" spans="1:65" x14ac:dyDescent="0.25">
      <c r="A419" s="122" t="s">
        <v>404</v>
      </c>
      <c r="B419" s="122" t="s">
        <v>6053</v>
      </c>
      <c r="C419" s="122" t="s">
        <v>6054</v>
      </c>
      <c r="D419" s="122" t="s">
        <v>6031</v>
      </c>
      <c r="E419" s="123">
        <v>42219</v>
      </c>
      <c r="F419" s="122" t="s">
        <v>5981</v>
      </c>
      <c r="G419" s="122" t="s">
        <v>235</v>
      </c>
      <c r="H419" s="122" t="s">
        <v>6055</v>
      </c>
      <c r="I419" s="122" t="s">
        <v>6056</v>
      </c>
      <c r="K419" s="122" t="s">
        <v>3419</v>
      </c>
      <c r="L419" s="122" t="s">
        <v>3503</v>
      </c>
      <c r="M419" s="122" t="s">
        <v>3504</v>
      </c>
      <c r="O419" s="141" t="s">
        <v>2378</v>
      </c>
      <c r="P419" s="141" t="s">
        <v>6057</v>
      </c>
      <c r="Q419" s="122" t="s">
        <v>3424</v>
      </c>
      <c r="R419" s="142">
        <v>110</v>
      </c>
      <c r="S419" s="122" t="s">
        <v>6058</v>
      </c>
      <c r="U419" s="122" t="s">
        <v>4681</v>
      </c>
      <c r="W419" s="122" t="s">
        <v>246</v>
      </c>
      <c r="X419" s="122" t="s">
        <v>325</v>
      </c>
      <c r="Y419" s="141" t="s">
        <v>6059</v>
      </c>
      <c r="Z419" s="122" t="s">
        <v>1792</v>
      </c>
      <c r="AA419" s="141" t="s">
        <v>498</v>
      </c>
      <c r="AB419" s="122" t="s">
        <v>6060</v>
      </c>
      <c r="AC419" s="141" t="s">
        <v>1926</v>
      </c>
      <c r="AD419" s="122" t="s">
        <v>395</v>
      </c>
      <c r="AE419" s="122" t="s">
        <v>235</v>
      </c>
      <c r="AF419" s="122" t="s">
        <v>6061</v>
      </c>
      <c r="AG419" s="122" t="s">
        <v>537</v>
      </c>
      <c r="AH419" s="122" t="s">
        <v>253</v>
      </c>
      <c r="AI419" s="122" t="s">
        <v>6062</v>
      </c>
      <c r="AJ419" s="122" t="s">
        <v>6063</v>
      </c>
      <c r="AK419" s="122" t="s">
        <v>253</v>
      </c>
      <c r="AL419" s="122" t="s">
        <v>253</v>
      </c>
      <c r="AM419" s="122" t="s">
        <v>253</v>
      </c>
      <c r="AN419" s="122" t="s">
        <v>253</v>
      </c>
      <c r="AO419" s="141" t="s">
        <v>247</v>
      </c>
      <c r="AP419" s="141" t="s">
        <v>247</v>
      </c>
      <c r="AQ419" s="141" t="s">
        <v>247</v>
      </c>
      <c r="AR419" s="141" t="s">
        <v>253</v>
      </c>
      <c r="AS419" s="141" t="s">
        <v>601</v>
      </c>
      <c r="AT419" s="141" t="s">
        <v>601</v>
      </c>
      <c r="AU419" s="141" t="s">
        <v>258</v>
      </c>
      <c r="AV419" s="122" t="s">
        <v>259</v>
      </c>
      <c r="AW419" s="122" t="s">
        <v>260</v>
      </c>
      <c r="AY419" s="141" t="s">
        <v>253</v>
      </c>
      <c r="AZ419" s="122" t="s">
        <v>6064</v>
      </c>
      <c r="BA419" s="122" t="s">
        <v>262</v>
      </c>
      <c r="BB419" s="122" t="s">
        <v>262</v>
      </c>
      <c r="BC419" s="141" t="s">
        <v>312</v>
      </c>
      <c r="BD419" s="122" t="s">
        <v>253</v>
      </c>
      <c r="BE419" s="122" t="s">
        <v>263</v>
      </c>
      <c r="BF419" s="122" t="s">
        <v>4688</v>
      </c>
      <c r="BH419" s="122" t="s">
        <v>4681</v>
      </c>
      <c r="BI419" s="142">
        <v>110</v>
      </c>
      <c r="BJ419" s="123">
        <v>42230</v>
      </c>
      <c r="BK419" s="139" t="s">
        <v>606</v>
      </c>
      <c r="BM419" s="122">
        <v>33</v>
      </c>
    </row>
    <row r="420" spans="1:65" x14ac:dyDescent="0.25">
      <c r="A420" s="122" t="s">
        <v>422</v>
      </c>
      <c r="B420" s="122" t="s">
        <v>6065</v>
      </c>
      <c r="C420" s="122" t="s">
        <v>6066</v>
      </c>
      <c r="D420" s="122" t="s">
        <v>6067</v>
      </c>
      <c r="E420" s="123">
        <v>42219</v>
      </c>
      <c r="F420" s="122" t="s">
        <v>6068</v>
      </c>
      <c r="G420" s="122" t="s">
        <v>235</v>
      </c>
      <c r="H420" s="122" t="s">
        <v>6069</v>
      </c>
      <c r="I420" s="122" t="s">
        <v>6070</v>
      </c>
      <c r="J420" s="122" t="s">
        <v>6071</v>
      </c>
      <c r="K420" s="122" t="s">
        <v>5565</v>
      </c>
      <c r="L420" s="122" t="s">
        <v>5566</v>
      </c>
      <c r="M420" s="122" t="s">
        <v>5567</v>
      </c>
      <c r="O420" s="141" t="s">
        <v>1240</v>
      </c>
      <c r="P420" s="141" t="s">
        <v>6072</v>
      </c>
      <c r="Q420" s="122" t="s">
        <v>3389</v>
      </c>
      <c r="R420" s="142">
        <v>111</v>
      </c>
      <c r="S420" s="122" t="s">
        <v>6073</v>
      </c>
      <c r="U420" s="122" t="s">
        <v>4681</v>
      </c>
      <c r="W420" s="122" t="s">
        <v>246</v>
      </c>
      <c r="X420" s="122" t="s">
        <v>603</v>
      </c>
      <c r="Y420" s="141" t="s">
        <v>1141</v>
      </c>
      <c r="Z420" s="122" t="s">
        <v>6074</v>
      </c>
      <c r="AA420" s="141" t="s">
        <v>1325</v>
      </c>
      <c r="AB420" s="122" t="s">
        <v>6075</v>
      </c>
      <c r="AC420" s="141" t="s">
        <v>1023</v>
      </c>
      <c r="AD420" s="122" t="s">
        <v>6076</v>
      </c>
      <c r="AE420" s="122" t="s">
        <v>235</v>
      </c>
      <c r="AF420" s="122" t="s">
        <v>6077</v>
      </c>
      <c r="AG420" s="122" t="s">
        <v>253</v>
      </c>
      <c r="AH420" s="122" t="s">
        <v>253</v>
      </c>
      <c r="AI420" s="122" t="s">
        <v>6078</v>
      </c>
      <c r="AJ420" s="122" t="s">
        <v>6079</v>
      </c>
      <c r="AK420" s="122" t="s">
        <v>253</v>
      </c>
      <c r="AL420" s="122" t="s">
        <v>6080</v>
      </c>
      <c r="AM420" s="122" t="s">
        <v>253</v>
      </c>
      <c r="AN420" s="122" t="s">
        <v>253</v>
      </c>
      <c r="AO420" s="141" t="s">
        <v>247</v>
      </c>
      <c r="AP420" s="141" t="s">
        <v>247</v>
      </c>
      <c r="AQ420" s="141" t="s">
        <v>247</v>
      </c>
      <c r="AR420" s="141" t="s">
        <v>247</v>
      </c>
      <c r="AS420" s="141" t="s">
        <v>601</v>
      </c>
      <c r="AT420" s="141" t="s">
        <v>601</v>
      </c>
      <c r="AU420" s="141" t="s">
        <v>601</v>
      </c>
      <c r="AV420" s="122" t="s">
        <v>259</v>
      </c>
      <c r="AW420" s="122" t="s">
        <v>260</v>
      </c>
      <c r="AX420" s="141" t="s">
        <v>1046</v>
      </c>
      <c r="AY420" s="141" t="s">
        <v>442</v>
      </c>
      <c r="AZ420" s="122" t="s">
        <v>6081</v>
      </c>
      <c r="BA420" s="122" t="s">
        <v>262</v>
      </c>
      <c r="BB420" s="122" t="s">
        <v>262</v>
      </c>
      <c r="BD420" s="122" t="s">
        <v>253</v>
      </c>
      <c r="BE420" s="122" t="s">
        <v>263</v>
      </c>
      <c r="BF420" s="122" t="s">
        <v>4688</v>
      </c>
      <c r="BH420" s="122" t="s">
        <v>4681</v>
      </c>
      <c r="BI420" s="142">
        <v>111</v>
      </c>
      <c r="BJ420" s="123">
        <v>42229</v>
      </c>
      <c r="BK420" s="139" t="s">
        <v>264</v>
      </c>
      <c r="BL420" s="140">
        <v>879.05</v>
      </c>
      <c r="BM420" s="122">
        <v>33</v>
      </c>
    </row>
    <row r="421" spans="1:65" x14ac:dyDescent="0.25">
      <c r="A421" s="122" t="s">
        <v>422</v>
      </c>
      <c r="B421" s="122" t="s">
        <v>6082</v>
      </c>
      <c r="C421" s="122" t="s">
        <v>6083</v>
      </c>
      <c r="D421" s="122" t="s">
        <v>6084</v>
      </c>
      <c r="E421" s="123">
        <v>42219</v>
      </c>
      <c r="F421" s="122" t="s">
        <v>1421</v>
      </c>
      <c r="G421" s="122" t="s">
        <v>235</v>
      </c>
      <c r="H421" s="122" t="s">
        <v>6085</v>
      </c>
      <c r="I421" s="122" t="s">
        <v>6086</v>
      </c>
      <c r="J421" s="122" t="s">
        <v>370</v>
      </c>
      <c r="K421" s="122" t="s">
        <v>3419</v>
      </c>
      <c r="L421" s="122" t="s">
        <v>3503</v>
      </c>
      <c r="M421" s="122" t="s">
        <v>3421</v>
      </c>
      <c r="O421" s="141" t="s">
        <v>548</v>
      </c>
      <c r="P421" s="141" t="s">
        <v>6087</v>
      </c>
      <c r="Q421" s="122" t="s">
        <v>3424</v>
      </c>
      <c r="R421" s="142">
        <v>112</v>
      </c>
      <c r="S421" s="122" t="s">
        <v>6088</v>
      </c>
      <c r="U421" s="122" t="s">
        <v>4681</v>
      </c>
      <c r="W421" s="122" t="s">
        <v>246</v>
      </c>
      <c r="X421" s="122" t="s">
        <v>1324</v>
      </c>
      <c r="Y421" s="141" t="s">
        <v>784</v>
      </c>
      <c r="Z421" s="122" t="s">
        <v>6089</v>
      </c>
      <c r="AA421" s="141" t="s">
        <v>234</v>
      </c>
      <c r="AB421" s="122" t="s">
        <v>6090</v>
      </c>
      <c r="AC421" s="141" t="s">
        <v>763</v>
      </c>
      <c r="AD421" s="122" t="s">
        <v>6091</v>
      </c>
      <c r="AE421" s="122" t="s">
        <v>235</v>
      </c>
      <c r="AF421" s="122" t="s">
        <v>6092</v>
      </c>
      <c r="AG421" s="122" t="s">
        <v>253</v>
      </c>
      <c r="AH421" s="122" t="s">
        <v>253</v>
      </c>
      <c r="AI421" s="122" t="s">
        <v>6093</v>
      </c>
      <c r="AJ421" s="122" t="s">
        <v>6094</v>
      </c>
      <c r="AK421" s="122" t="s">
        <v>253</v>
      </c>
      <c r="AL421" s="122" t="s">
        <v>253</v>
      </c>
      <c r="AM421" s="122" t="s">
        <v>253</v>
      </c>
      <c r="AN421" s="122" t="s">
        <v>253</v>
      </c>
      <c r="AO421" s="141" t="s">
        <v>247</v>
      </c>
      <c r="AP421" s="141" t="s">
        <v>247</v>
      </c>
      <c r="AQ421" s="141" t="s">
        <v>247</v>
      </c>
      <c r="AR421" s="141" t="s">
        <v>253</v>
      </c>
      <c r="AS421" s="141" t="s">
        <v>601</v>
      </c>
      <c r="AT421" s="141" t="s">
        <v>601</v>
      </c>
      <c r="AU421" s="141" t="s">
        <v>258</v>
      </c>
      <c r="AV421" s="122" t="s">
        <v>259</v>
      </c>
      <c r="AW421" s="122" t="s">
        <v>260</v>
      </c>
      <c r="AX421" s="141" t="s">
        <v>6095</v>
      </c>
      <c r="AY421" s="141" t="s">
        <v>603</v>
      </c>
      <c r="AZ421" s="122" t="s">
        <v>6096</v>
      </c>
      <c r="BA421" s="122" t="s">
        <v>262</v>
      </c>
      <c r="BB421" s="122" t="s">
        <v>6097</v>
      </c>
      <c r="BD421" s="122" t="s">
        <v>253</v>
      </c>
      <c r="BE421" s="122" t="s">
        <v>263</v>
      </c>
      <c r="BF421" s="122" t="s">
        <v>4688</v>
      </c>
      <c r="BH421" s="122" t="s">
        <v>4681</v>
      </c>
      <c r="BI421" s="142">
        <v>112</v>
      </c>
      <c r="BJ421" s="123">
        <v>42230</v>
      </c>
      <c r="BK421" s="139" t="s">
        <v>606</v>
      </c>
      <c r="BM421" s="122">
        <v>33</v>
      </c>
    </row>
    <row r="422" spans="1:65" x14ac:dyDescent="0.25">
      <c r="A422" s="122" t="s">
        <v>422</v>
      </c>
      <c r="B422" s="122" t="s">
        <v>6098</v>
      </c>
      <c r="C422" s="122" t="s">
        <v>6099</v>
      </c>
      <c r="D422" s="122" t="s">
        <v>6100</v>
      </c>
      <c r="E422" s="123">
        <v>42219</v>
      </c>
      <c r="F422" s="122" t="s">
        <v>6101</v>
      </c>
      <c r="G422" s="122" t="s">
        <v>235</v>
      </c>
      <c r="H422" s="122" t="s">
        <v>6102</v>
      </c>
      <c r="I422" s="122" t="s">
        <v>6103</v>
      </c>
      <c r="K422" s="122" t="s">
        <v>3419</v>
      </c>
      <c r="L422" s="122" t="s">
        <v>3420</v>
      </c>
      <c r="M422" s="122" t="s">
        <v>3504</v>
      </c>
      <c r="O422" s="141" t="s">
        <v>566</v>
      </c>
      <c r="P422" s="141" t="s">
        <v>6104</v>
      </c>
      <c r="Q422" s="122" t="s">
        <v>3424</v>
      </c>
      <c r="R422" s="142">
        <v>113</v>
      </c>
      <c r="S422" s="122" t="s">
        <v>6105</v>
      </c>
      <c r="U422" s="122" t="s">
        <v>4681</v>
      </c>
      <c r="W422" s="122" t="s">
        <v>246</v>
      </c>
      <c r="X422" s="122" t="s">
        <v>569</v>
      </c>
      <c r="Y422" s="141" t="s">
        <v>1141</v>
      </c>
      <c r="Z422" s="122" t="s">
        <v>6106</v>
      </c>
      <c r="AA422" s="141" t="s">
        <v>1896</v>
      </c>
      <c r="AB422" s="122" t="s">
        <v>6107</v>
      </c>
      <c r="AC422" s="141" t="s">
        <v>672</v>
      </c>
      <c r="AD422" s="122" t="s">
        <v>355</v>
      </c>
      <c r="AE422" s="122" t="s">
        <v>235</v>
      </c>
      <c r="AF422" s="122" t="s">
        <v>6108</v>
      </c>
      <c r="AG422" s="122" t="s">
        <v>253</v>
      </c>
      <c r="AH422" s="122" t="s">
        <v>253</v>
      </c>
      <c r="AI422" s="122" t="s">
        <v>6109</v>
      </c>
      <c r="AJ422" s="122" t="s">
        <v>6110</v>
      </c>
      <c r="AK422" s="122" t="s">
        <v>253</v>
      </c>
      <c r="AL422" s="122" t="s">
        <v>6111</v>
      </c>
      <c r="AM422" s="122" t="s">
        <v>253</v>
      </c>
      <c r="AN422" s="122" t="s">
        <v>253</v>
      </c>
      <c r="AO422" s="141" t="s">
        <v>247</v>
      </c>
      <c r="AP422" s="141" t="s">
        <v>247</v>
      </c>
      <c r="AQ422" s="141" t="s">
        <v>247</v>
      </c>
      <c r="AR422" s="141" t="s">
        <v>247</v>
      </c>
      <c r="AS422" s="141" t="s">
        <v>601</v>
      </c>
      <c r="AT422" s="141" t="s">
        <v>601</v>
      </c>
      <c r="AU422" s="141" t="s">
        <v>601</v>
      </c>
      <c r="AV422" s="122" t="s">
        <v>259</v>
      </c>
      <c r="AW422" s="122" t="s">
        <v>260</v>
      </c>
      <c r="AX422" s="141" t="s">
        <v>1046</v>
      </c>
      <c r="AY422" s="141" t="s">
        <v>247</v>
      </c>
      <c r="AZ422" s="122" t="s">
        <v>6112</v>
      </c>
      <c r="BA422" s="122" t="s">
        <v>6113</v>
      </c>
      <c r="BB422" s="122" t="s">
        <v>6114</v>
      </c>
      <c r="BD422" s="122" t="s">
        <v>253</v>
      </c>
      <c r="BE422" s="122" t="s">
        <v>263</v>
      </c>
      <c r="BF422" s="122" t="s">
        <v>4688</v>
      </c>
      <c r="BH422" s="122" t="s">
        <v>4681</v>
      </c>
      <c r="BI422" s="142">
        <v>113</v>
      </c>
      <c r="BJ422" s="123">
        <v>42232</v>
      </c>
      <c r="BK422" s="139" t="s">
        <v>264</v>
      </c>
      <c r="BL422" s="140">
        <v>813.91</v>
      </c>
      <c r="BM422" s="122">
        <v>33</v>
      </c>
    </row>
    <row r="423" spans="1:65" x14ac:dyDescent="0.25">
      <c r="A423" s="122" t="s">
        <v>422</v>
      </c>
      <c r="B423" s="122" t="s">
        <v>6115</v>
      </c>
      <c r="C423" s="122" t="s">
        <v>6116</v>
      </c>
      <c r="D423" s="122" t="s">
        <v>6117</v>
      </c>
      <c r="E423" s="123">
        <v>42219</v>
      </c>
      <c r="F423" s="122" t="s">
        <v>985</v>
      </c>
      <c r="G423" s="122" t="s">
        <v>235</v>
      </c>
      <c r="H423" s="122" t="s">
        <v>6118</v>
      </c>
      <c r="I423" s="122" t="s">
        <v>6119</v>
      </c>
      <c r="K423" s="122" t="s">
        <v>3419</v>
      </c>
      <c r="L423" s="122" t="s">
        <v>3503</v>
      </c>
      <c r="M423" s="122" t="s">
        <v>3504</v>
      </c>
      <c r="O423" s="141" t="s">
        <v>390</v>
      </c>
      <c r="P423" s="141" t="s">
        <v>6120</v>
      </c>
      <c r="Q423" s="122" t="s">
        <v>3424</v>
      </c>
      <c r="R423" s="142">
        <v>114</v>
      </c>
      <c r="S423" s="122" t="s">
        <v>6121</v>
      </c>
      <c r="U423" s="122" t="s">
        <v>4681</v>
      </c>
      <c r="W423" s="122" t="s">
        <v>246</v>
      </c>
      <c r="X423" s="122" t="s">
        <v>1377</v>
      </c>
      <c r="Y423" s="141" t="s">
        <v>1141</v>
      </c>
      <c r="Z423" s="122" t="s">
        <v>6122</v>
      </c>
      <c r="AB423" s="122" t="s">
        <v>250</v>
      </c>
      <c r="AD423" s="122" t="s">
        <v>250</v>
      </c>
      <c r="AE423" s="122" t="s">
        <v>235</v>
      </c>
      <c r="AF423" s="122" t="s">
        <v>6123</v>
      </c>
      <c r="AG423" s="122" t="s">
        <v>253</v>
      </c>
      <c r="AH423" s="122" t="s">
        <v>253</v>
      </c>
      <c r="AI423" s="122" t="s">
        <v>6124</v>
      </c>
      <c r="AJ423" s="122" t="s">
        <v>6125</v>
      </c>
      <c r="AK423" s="122" t="s">
        <v>253</v>
      </c>
      <c r="AL423" s="122" t="s">
        <v>6126</v>
      </c>
      <c r="AM423" s="122" t="s">
        <v>253</v>
      </c>
      <c r="AN423" s="122" t="s">
        <v>253</v>
      </c>
      <c r="AO423" s="141" t="s">
        <v>247</v>
      </c>
      <c r="AP423" s="141" t="s">
        <v>247</v>
      </c>
      <c r="AQ423" s="141" t="s">
        <v>247</v>
      </c>
      <c r="AR423" s="141" t="s">
        <v>247</v>
      </c>
      <c r="AS423" s="141" t="s">
        <v>601</v>
      </c>
      <c r="AT423" s="141" t="s">
        <v>601</v>
      </c>
      <c r="AU423" s="141" t="s">
        <v>601</v>
      </c>
      <c r="AV423" s="122" t="s">
        <v>259</v>
      </c>
      <c r="AW423" s="122" t="s">
        <v>260</v>
      </c>
      <c r="AX423" s="141" t="s">
        <v>1046</v>
      </c>
      <c r="AY423" s="141" t="s">
        <v>247</v>
      </c>
      <c r="AZ423" s="122" t="s">
        <v>6127</v>
      </c>
      <c r="BA423" s="122" t="s">
        <v>262</v>
      </c>
      <c r="BB423" s="122" t="s">
        <v>6128</v>
      </c>
      <c r="BD423" s="122" t="s">
        <v>253</v>
      </c>
      <c r="BE423" s="122" t="s">
        <v>263</v>
      </c>
      <c r="BF423" s="122" t="s">
        <v>4688</v>
      </c>
      <c r="BH423" s="122" t="s">
        <v>4681</v>
      </c>
      <c r="BI423" s="142">
        <v>114</v>
      </c>
      <c r="BJ423" s="123">
        <v>42230</v>
      </c>
      <c r="BK423" s="139" t="s">
        <v>606</v>
      </c>
      <c r="BM423" s="122">
        <v>33</v>
      </c>
    </row>
    <row r="424" spans="1:65" x14ac:dyDescent="0.25">
      <c r="A424" s="122" t="s">
        <v>422</v>
      </c>
      <c r="B424" s="122" t="s">
        <v>6129</v>
      </c>
      <c r="C424" s="122" t="s">
        <v>6130</v>
      </c>
      <c r="D424" s="122" t="s">
        <v>6131</v>
      </c>
      <c r="E424" s="123">
        <v>42219</v>
      </c>
      <c r="F424" s="122" t="s">
        <v>1721</v>
      </c>
      <c r="G424" s="122" t="s">
        <v>235</v>
      </c>
      <c r="H424" s="122" t="s">
        <v>6132</v>
      </c>
      <c r="I424" s="122" t="s">
        <v>5771</v>
      </c>
      <c r="J424" s="122" t="s">
        <v>6133</v>
      </c>
      <c r="K424" s="122" t="s">
        <v>5565</v>
      </c>
      <c r="L424" s="122" t="s">
        <v>5566</v>
      </c>
      <c r="M424" s="122" t="s">
        <v>5567</v>
      </c>
      <c r="O424" s="141" t="s">
        <v>273</v>
      </c>
      <c r="P424" s="141" t="s">
        <v>6134</v>
      </c>
      <c r="Q424" s="122" t="s">
        <v>3389</v>
      </c>
      <c r="R424" s="142">
        <v>115</v>
      </c>
      <c r="S424" s="122" t="s">
        <v>6135</v>
      </c>
      <c r="U424" s="122" t="s">
        <v>4681</v>
      </c>
      <c r="W424" s="122" t="s">
        <v>246</v>
      </c>
      <c r="X424" s="122" t="s">
        <v>433</v>
      </c>
      <c r="Y424" s="141" t="s">
        <v>455</v>
      </c>
      <c r="Z424" s="122" t="s">
        <v>395</v>
      </c>
      <c r="AA424" s="141" t="s">
        <v>593</v>
      </c>
      <c r="AB424" s="122" t="s">
        <v>818</v>
      </c>
      <c r="AC424" s="141" t="s">
        <v>685</v>
      </c>
      <c r="AD424" s="122" t="s">
        <v>6136</v>
      </c>
      <c r="AE424" s="122" t="s">
        <v>235</v>
      </c>
      <c r="AF424" s="122" t="s">
        <v>6137</v>
      </c>
      <c r="AG424" s="122" t="s">
        <v>537</v>
      </c>
      <c r="AH424" s="122" t="s">
        <v>253</v>
      </c>
      <c r="AI424" s="122" t="s">
        <v>6138</v>
      </c>
      <c r="AJ424" s="122" t="s">
        <v>6139</v>
      </c>
      <c r="AK424" s="122" t="s">
        <v>253</v>
      </c>
      <c r="AL424" s="122" t="s">
        <v>253</v>
      </c>
      <c r="AM424" s="122" t="s">
        <v>253</v>
      </c>
      <c r="AN424" s="122" t="s">
        <v>253</v>
      </c>
      <c r="AO424" s="141" t="s">
        <v>247</v>
      </c>
      <c r="AP424" s="141" t="s">
        <v>247</v>
      </c>
      <c r="AQ424" s="141" t="s">
        <v>253</v>
      </c>
      <c r="AR424" s="141" t="s">
        <v>247</v>
      </c>
      <c r="AS424" s="141" t="s">
        <v>601</v>
      </c>
      <c r="AT424" s="141" t="s">
        <v>258</v>
      </c>
      <c r="AU424" s="141" t="s">
        <v>601</v>
      </c>
      <c r="AV424" s="122" t="s">
        <v>259</v>
      </c>
      <c r="AW424" s="122" t="s">
        <v>260</v>
      </c>
      <c r="AY424" s="141" t="s">
        <v>253</v>
      </c>
      <c r="AZ424" s="122" t="s">
        <v>6140</v>
      </c>
      <c r="BA424" s="122" t="s">
        <v>262</v>
      </c>
      <c r="BB424" s="122" t="s">
        <v>262</v>
      </c>
      <c r="BD424" s="122" t="s">
        <v>253</v>
      </c>
      <c r="BE424" s="122" t="s">
        <v>263</v>
      </c>
      <c r="BF424" s="122" t="s">
        <v>4688</v>
      </c>
      <c r="BH424" s="122" t="s">
        <v>4681</v>
      </c>
      <c r="BI424" s="142">
        <v>115</v>
      </c>
      <c r="BJ424" s="123">
        <v>42222</v>
      </c>
      <c r="BK424" s="139" t="s">
        <v>264</v>
      </c>
      <c r="BL424" s="140">
        <v>80</v>
      </c>
      <c r="BM424" s="122">
        <v>32</v>
      </c>
    </row>
    <row r="425" spans="1:65" x14ac:dyDescent="0.25">
      <c r="A425" s="122" t="s">
        <v>422</v>
      </c>
      <c r="B425" s="122" t="s">
        <v>6141</v>
      </c>
      <c r="C425" s="122" t="s">
        <v>6142</v>
      </c>
      <c r="D425" s="122" t="s">
        <v>6143</v>
      </c>
      <c r="E425" s="123">
        <v>42219</v>
      </c>
      <c r="F425" s="122" t="s">
        <v>6144</v>
      </c>
      <c r="G425" s="122" t="s">
        <v>235</v>
      </c>
      <c r="H425" s="122" t="s">
        <v>448</v>
      </c>
      <c r="I425" s="122" t="s">
        <v>6145</v>
      </c>
      <c r="K425" s="122" t="s">
        <v>5800</v>
      </c>
      <c r="L425" s="122" t="s">
        <v>5801</v>
      </c>
      <c r="M425" s="122" t="s">
        <v>6146</v>
      </c>
      <c r="O425" s="141" t="s">
        <v>1921</v>
      </c>
      <c r="P425" s="141" t="s">
        <v>6147</v>
      </c>
      <c r="Q425" s="122" t="s">
        <v>5805</v>
      </c>
      <c r="R425" s="142">
        <v>116</v>
      </c>
      <c r="S425" s="122" t="s">
        <v>6148</v>
      </c>
      <c r="U425" s="122" t="s">
        <v>4681</v>
      </c>
      <c r="W425" s="122" t="s">
        <v>246</v>
      </c>
      <c r="X425" s="122" t="s">
        <v>433</v>
      </c>
      <c r="Y425" s="141" t="s">
        <v>1596</v>
      </c>
      <c r="Z425" s="122" t="s">
        <v>6149</v>
      </c>
      <c r="AA425" s="141" t="s">
        <v>722</v>
      </c>
      <c r="AB425" s="122" t="s">
        <v>6150</v>
      </c>
      <c r="AC425" s="141" t="s">
        <v>879</v>
      </c>
      <c r="AD425" s="122" t="s">
        <v>6151</v>
      </c>
      <c r="AE425" s="122" t="s">
        <v>235</v>
      </c>
      <c r="AF425" s="122" t="s">
        <v>6152</v>
      </c>
      <c r="AG425" s="122" t="s">
        <v>537</v>
      </c>
      <c r="AH425" s="122" t="s">
        <v>253</v>
      </c>
      <c r="AI425" s="122" t="s">
        <v>6153</v>
      </c>
      <c r="AJ425" s="122" t="s">
        <v>6154</v>
      </c>
      <c r="AK425" s="122" t="s">
        <v>253</v>
      </c>
      <c r="AL425" s="122" t="s">
        <v>253</v>
      </c>
      <c r="AM425" s="122" t="s">
        <v>253</v>
      </c>
      <c r="AN425" s="122" t="s">
        <v>253</v>
      </c>
      <c r="AO425" s="141" t="s">
        <v>253</v>
      </c>
      <c r="AP425" s="141" t="s">
        <v>253</v>
      </c>
      <c r="AQ425" s="141" t="s">
        <v>247</v>
      </c>
      <c r="AR425" s="141" t="s">
        <v>253</v>
      </c>
      <c r="AS425" s="141" t="s">
        <v>361</v>
      </c>
      <c r="AT425" s="141" t="s">
        <v>601</v>
      </c>
      <c r="AU425" s="141" t="s">
        <v>258</v>
      </c>
      <c r="AV425" s="122" t="s">
        <v>259</v>
      </c>
      <c r="AW425" s="122" t="s">
        <v>260</v>
      </c>
      <c r="AY425" s="141" t="s">
        <v>253</v>
      </c>
      <c r="AZ425" s="122" t="s">
        <v>262</v>
      </c>
      <c r="BA425" s="122" t="s">
        <v>262</v>
      </c>
      <c r="BB425" s="122" t="s">
        <v>6155</v>
      </c>
      <c r="BD425" s="122" t="s">
        <v>253</v>
      </c>
      <c r="BE425" s="122" t="s">
        <v>263</v>
      </c>
      <c r="BF425" s="122" t="s">
        <v>4688</v>
      </c>
      <c r="BH425" s="122" t="s">
        <v>4681</v>
      </c>
      <c r="BI425" s="142">
        <v>116</v>
      </c>
      <c r="BJ425" s="123">
        <v>42233</v>
      </c>
      <c r="BK425" s="139" t="s">
        <v>606</v>
      </c>
      <c r="BM425" s="122">
        <v>34</v>
      </c>
    </row>
    <row r="426" spans="1:65" x14ac:dyDescent="0.25">
      <c r="A426" s="122" t="s">
        <v>422</v>
      </c>
      <c r="B426" s="122" t="s">
        <v>6156</v>
      </c>
      <c r="C426" s="122" t="s">
        <v>6157</v>
      </c>
      <c r="D426" s="122" t="s">
        <v>6158</v>
      </c>
      <c r="E426" s="123">
        <v>42219</v>
      </c>
      <c r="F426" s="122" t="s">
        <v>892</v>
      </c>
      <c r="G426" s="122" t="s">
        <v>235</v>
      </c>
      <c r="H426" s="122" t="s">
        <v>6159</v>
      </c>
      <c r="I426" s="122" t="s">
        <v>6160</v>
      </c>
      <c r="K426" s="122" t="s">
        <v>3419</v>
      </c>
      <c r="L426" s="122" t="s">
        <v>3503</v>
      </c>
      <c r="M426" s="122" t="s">
        <v>3504</v>
      </c>
      <c r="O426" s="141" t="s">
        <v>566</v>
      </c>
      <c r="P426" s="141" t="s">
        <v>6161</v>
      </c>
      <c r="Q426" s="122" t="s">
        <v>3424</v>
      </c>
      <c r="R426" s="142">
        <v>117</v>
      </c>
      <c r="S426" s="122" t="s">
        <v>6162</v>
      </c>
      <c r="U426" s="122" t="s">
        <v>4681</v>
      </c>
      <c r="W426" s="122" t="s">
        <v>246</v>
      </c>
      <c r="X426" s="122" t="s">
        <v>739</v>
      </c>
      <c r="Y426" s="141" t="s">
        <v>1209</v>
      </c>
      <c r="Z426" s="122" t="s">
        <v>6163</v>
      </c>
      <c r="AA426" s="141" t="s">
        <v>1926</v>
      </c>
      <c r="AB426" s="122" t="s">
        <v>6164</v>
      </c>
      <c r="AC426" s="141" t="s">
        <v>1629</v>
      </c>
      <c r="AD426" s="122" t="s">
        <v>6165</v>
      </c>
      <c r="AE426" s="122" t="s">
        <v>235</v>
      </c>
      <c r="AF426" s="122" t="s">
        <v>6166</v>
      </c>
      <c r="AG426" s="122" t="s">
        <v>537</v>
      </c>
      <c r="AH426" s="122" t="s">
        <v>253</v>
      </c>
      <c r="AI426" s="122" t="s">
        <v>6167</v>
      </c>
      <c r="AJ426" s="122" t="s">
        <v>6168</v>
      </c>
      <c r="AK426" s="122" t="s">
        <v>253</v>
      </c>
      <c r="AL426" s="122" t="s">
        <v>253</v>
      </c>
      <c r="AM426" s="122" t="s">
        <v>253</v>
      </c>
      <c r="AN426" s="122" t="s">
        <v>253</v>
      </c>
      <c r="AO426" s="141" t="s">
        <v>247</v>
      </c>
      <c r="AP426" s="141" t="s">
        <v>247</v>
      </c>
      <c r="AQ426" s="141" t="s">
        <v>247</v>
      </c>
      <c r="AR426" s="141" t="s">
        <v>253</v>
      </c>
      <c r="AS426" s="141" t="s">
        <v>601</v>
      </c>
      <c r="AT426" s="141" t="s">
        <v>601</v>
      </c>
      <c r="AU426" s="141" t="s">
        <v>258</v>
      </c>
      <c r="AV426" s="122" t="s">
        <v>259</v>
      </c>
      <c r="AW426" s="122" t="s">
        <v>260</v>
      </c>
      <c r="AY426" s="141" t="s">
        <v>253</v>
      </c>
      <c r="AZ426" s="122" t="s">
        <v>6169</v>
      </c>
      <c r="BA426" s="122" t="s">
        <v>262</v>
      </c>
      <c r="BB426" s="122" t="s">
        <v>262</v>
      </c>
      <c r="BD426" s="122" t="s">
        <v>253</v>
      </c>
      <c r="BE426" s="122" t="s">
        <v>263</v>
      </c>
      <c r="BF426" s="122" t="s">
        <v>4688</v>
      </c>
      <c r="BH426" s="122" t="s">
        <v>4681</v>
      </c>
      <c r="BI426" s="142">
        <v>117</v>
      </c>
      <c r="BJ426" s="123">
        <v>42230</v>
      </c>
      <c r="BK426" s="139" t="s">
        <v>606</v>
      </c>
      <c r="BM426" s="122">
        <v>33</v>
      </c>
    </row>
    <row r="427" spans="1:65" x14ac:dyDescent="0.25">
      <c r="A427" s="122" t="s">
        <v>422</v>
      </c>
      <c r="B427" s="122" t="s">
        <v>6170</v>
      </c>
      <c r="C427" s="122" t="s">
        <v>6171</v>
      </c>
      <c r="D427" s="122" t="s">
        <v>6172</v>
      </c>
      <c r="E427" s="123">
        <v>42219</v>
      </c>
      <c r="F427" s="122" t="s">
        <v>6173</v>
      </c>
      <c r="G427" s="122" t="s">
        <v>235</v>
      </c>
      <c r="H427" s="122" t="s">
        <v>6174</v>
      </c>
      <c r="I427" s="122" t="s">
        <v>6175</v>
      </c>
      <c r="K427" s="122" t="s">
        <v>3419</v>
      </c>
      <c r="L427" s="122" t="s">
        <v>3503</v>
      </c>
      <c r="M427" s="122" t="s">
        <v>3504</v>
      </c>
      <c r="O427" s="141" t="s">
        <v>1240</v>
      </c>
      <c r="P427" s="141" t="s">
        <v>6176</v>
      </c>
      <c r="Q427" s="122" t="s">
        <v>3424</v>
      </c>
      <c r="R427" s="142">
        <v>118</v>
      </c>
      <c r="S427" s="122" t="s">
        <v>6177</v>
      </c>
      <c r="U427" s="122" t="s">
        <v>4681</v>
      </c>
      <c r="W427" s="122" t="s">
        <v>246</v>
      </c>
      <c r="X427" s="122" t="s">
        <v>454</v>
      </c>
      <c r="Y427" s="141" t="s">
        <v>705</v>
      </c>
      <c r="Z427" s="122" t="s">
        <v>6178</v>
      </c>
      <c r="AA427" s="141" t="s">
        <v>1023</v>
      </c>
      <c r="AB427" s="122" t="s">
        <v>6179</v>
      </c>
      <c r="AC427" s="141" t="s">
        <v>1023</v>
      </c>
      <c r="AD427" s="122" t="s">
        <v>1091</v>
      </c>
      <c r="AE427" s="122" t="s">
        <v>235</v>
      </c>
      <c r="AF427" s="122" t="s">
        <v>6180</v>
      </c>
      <c r="AG427" s="122" t="s">
        <v>6181</v>
      </c>
      <c r="AH427" s="122" t="s">
        <v>253</v>
      </c>
      <c r="AI427" s="122" t="s">
        <v>6182</v>
      </c>
      <c r="AJ427" s="122" t="s">
        <v>6183</v>
      </c>
      <c r="AK427" s="122" t="s">
        <v>253</v>
      </c>
      <c r="AL427" s="122" t="s">
        <v>253</v>
      </c>
      <c r="AM427" s="122" t="s">
        <v>253</v>
      </c>
      <c r="AN427" s="122" t="s">
        <v>253</v>
      </c>
      <c r="AO427" s="141" t="s">
        <v>247</v>
      </c>
      <c r="AP427" s="141" t="s">
        <v>247</v>
      </c>
      <c r="AQ427" s="141" t="s">
        <v>247</v>
      </c>
      <c r="AR427" s="141" t="s">
        <v>247</v>
      </c>
      <c r="AS427" s="141" t="s">
        <v>601</v>
      </c>
      <c r="AT427" s="141" t="s">
        <v>601</v>
      </c>
      <c r="AU427" s="141" t="s">
        <v>257</v>
      </c>
      <c r="AV427" s="122" t="s">
        <v>259</v>
      </c>
      <c r="AW427" s="122" t="s">
        <v>260</v>
      </c>
      <c r="AX427" s="141" t="s">
        <v>1046</v>
      </c>
      <c r="AY427" s="141" t="s">
        <v>247</v>
      </c>
      <c r="AZ427" s="122" t="s">
        <v>6184</v>
      </c>
      <c r="BA427" s="122" t="s">
        <v>262</v>
      </c>
      <c r="BB427" s="122" t="s">
        <v>262</v>
      </c>
      <c r="BD427" s="122" t="s">
        <v>253</v>
      </c>
      <c r="BE427" s="122" t="s">
        <v>263</v>
      </c>
      <c r="BF427" s="122" t="s">
        <v>4688</v>
      </c>
      <c r="BH427" s="122" t="s">
        <v>4681</v>
      </c>
      <c r="BI427" s="142">
        <v>118</v>
      </c>
      <c r="BJ427" s="123">
        <v>42230</v>
      </c>
      <c r="BK427" s="139" t="s">
        <v>606</v>
      </c>
      <c r="BM427" s="122">
        <v>33</v>
      </c>
    </row>
    <row r="428" spans="1:65" x14ac:dyDescent="0.25">
      <c r="A428" s="122" t="s">
        <v>422</v>
      </c>
      <c r="B428" s="122" t="s">
        <v>6185</v>
      </c>
      <c r="C428" s="122" t="s">
        <v>6186</v>
      </c>
      <c r="D428" s="122" t="s">
        <v>6187</v>
      </c>
      <c r="E428" s="123">
        <v>42219</v>
      </c>
      <c r="F428" s="122" t="s">
        <v>784</v>
      </c>
      <c r="G428" s="122" t="s">
        <v>235</v>
      </c>
      <c r="H428" s="122" t="s">
        <v>6188</v>
      </c>
      <c r="I428" s="122" t="s">
        <v>6189</v>
      </c>
      <c r="J428" s="122" t="s">
        <v>1053</v>
      </c>
      <c r="K428" s="122" t="s">
        <v>3419</v>
      </c>
      <c r="L428" s="122" t="s">
        <v>3420</v>
      </c>
      <c r="M428" s="122" t="s">
        <v>3504</v>
      </c>
      <c r="O428" s="141" t="s">
        <v>373</v>
      </c>
      <c r="P428" s="141" t="s">
        <v>6190</v>
      </c>
      <c r="Q428" s="122" t="s">
        <v>3424</v>
      </c>
      <c r="R428" s="142">
        <v>119</v>
      </c>
      <c r="S428" s="122" t="s">
        <v>6191</v>
      </c>
      <c r="U428" s="122" t="s">
        <v>4681</v>
      </c>
      <c r="W428" s="122" t="s">
        <v>246</v>
      </c>
      <c r="X428" s="122" t="s">
        <v>454</v>
      </c>
      <c r="Z428" s="122" t="s">
        <v>250</v>
      </c>
      <c r="AB428" s="122" t="s">
        <v>250</v>
      </c>
      <c r="AD428" s="122" t="s">
        <v>250</v>
      </c>
      <c r="AE428" s="122" t="s">
        <v>235</v>
      </c>
      <c r="AF428" s="122" t="s">
        <v>6192</v>
      </c>
      <c r="AG428" s="122" t="s">
        <v>537</v>
      </c>
      <c r="AH428" s="122" t="s">
        <v>253</v>
      </c>
      <c r="AI428" s="122" t="s">
        <v>4427</v>
      </c>
      <c r="AJ428" s="122" t="s">
        <v>6193</v>
      </c>
      <c r="AK428" s="122" t="s">
        <v>253</v>
      </c>
      <c r="AL428" s="122" t="s">
        <v>253</v>
      </c>
      <c r="AM428" s="122" t="s">
        <v>253</v>
      </c>
      <c r="AN428" s="122" t="s">
        <v>253</v>
      </c>
      <c r="AO428" s="141" t="s">
        <v>253</v>
      </c>
      <c r="AP428" s="141" t="s">
        <v>253</v>
      </c>
      <c r="AQ428" s="141" t="s">
        <v>247</v>
      </c>
      <c r="AR428" s="141" t="s">
        <v>253</v>
      </c>
      <c r="AS428" s="141" t="s">
        <v>361</v>
      </c>
      <c r="AT428" s="141" t="s">
        <v>601</v>
      </c>
      <c r="AU428" s="141" t="s">
        <v>258</v>
      </c>
      <c r="AV428" s="122" t="s">
        <v>259</v>
      </c>
      <c r="AW428" s="122" t="s">
        <v>260</v>
      </c>
      <c r="AY428" s="141" t="s">
        <v>253</v>
      </c>
      <c r="AZ428" s="122" t="s">
        <v>6194</v>
      </c>
      <c r="BA428" s="122" t="s">
        <v>262</v>
      </c>
      <c r="BB428" s="122" t="s">
        <v>262</v>
      </c>
      <c r="BD428" s="122" t="s">
        <v>253</v>
      </c>
      <c r="BE428" s="122" t="s">
        <v>263</v>
      </c>
      <c r="BF428" s="122" t="s">
        <v>4688</v>
      </c>
      <c r="BH428" s="122" t="s">
        <v>4681</v>
      </c>
      <c r="BI428" s="142">
        <v>119</v>
      </c>
      <c r="BJ428" s="123">
        <v>42232</v>
      </c>
      <c r="BK428" s="139" t="s">
        <v>606</v>
      </c>
      <c r="BM428" s="122">
        <v>33</v>
      </c>
    </row>
    <row r="429" spans="1:65" x14ac:dyDescent="0.25">
      <c r="A429" s="122" t="s">
        <v>422</v>
      </c>
      <c r="B429" s="122" t="s">
        <v>6195</v>
      </c>
      <c r="C429" s="122" t="s">
        <v>6196</v>
      </c>
      <c r="D429" s="122" t="s">
        <v>6197</v>
      </c>
      <c r="E429" s="123">
        <v>42219</v>
      </c>
      <c r="F429" s="122" t="s">
        <v>6198</v>
      </c>
      <c r="G429" s="122" t="s">
        <v>235</v>
      </c>
      <c r="H429" s="122" t="s">
        <v>6199</v>
      </c>
      <c r="I429" s="122" t="s">
        <v>6200</v>
      </c>
      <c r="K429" s="122" t="s">
        <v>3419</v>
      </c>
      <c r="L429" s="122" t="s">
        <v>3420</v>
      </c>
      <c r="M429" s="122" t="s">
        <v>3504</v>
      </c>
      <c r="O429" s="141" t="s">
        <v>2055</v>
      </c>
      <c r="P429" s="141" t="s">
        <v>6201</v>
      </c>
      <c r="Q429" s="122" t="s">
        <v>3424</v>
      </c>
      <c r="R429" s="142">
        <v>120</v>
      </c>
      <c r="S429" s="122" t="s">
        <v>6202</v>
      </c>
      <c r="U429" s="122" t="s">
        <v>4681</v>
      </c>
      <c r="W429" s="122" t="s">
        <v>246</v>
      </c>
      <c r="X429" s="122" t="s">
        <v>433</v>
      </c>
      <c r="Y429" s="141" t="s">
        <v>956</v>
      </c>
      <c r="Z429" s="122" t="s">
        <v>6203</v>
      </c>
      <c r="AA429" s="141" t="s">
        <v>3574</v>
      </c>
      <c r="AB429" s="122" t="s">
        <v>6204</v>
      </c>
      <c r="AC429" s="141" t="s">
        <v>879</v>
      </c>
      <c r="AD429" s="122" t="s">
        <v>6205</v>
      </c>
      <c r="AE429" s="122" t="s">
        <v>235</v>
      </c>
      <c r="AF429" s="122" t="s">
        <v>6206</v>
      </c>
      <c r="AG429" s="122" t="s">
        <v>537</v>
      </c>
      <c r="AH429" s="122" t="s">
        <v>253</v>
      </c>
      <c r="AI429" s="122" t="s">
        <v>6207</v>
      </c>
      <c r="AJ429" s="122" t="s">
        <v>6208</v>
      </c>
      <c r="AK429" s="122" t="s">
        <v>253</v>
      </c>
      <c r="AL429" s="122" t="s">
        <v>253</v>
      </c>
      <c r="AM429" s="122" t="s">
        <v>253</v>
      </c>
      <c r="AN429" s="122" t="s">
        <v>253</v>
      </c>
      <c r="AO429" s="141" t="s">
        <v>247</v>
      </c>
      <c r="AP429" s="141" t="s">
        <v>253</v>
      </c>
      <c r="AQ429" s="141" t="s">
        <v>247</v>
      </c>
      <c r="AR429" s="141" t="s">
        <v>253</v>
      </c>
      <c r="AS429" s="141" t="s">
        <v>601</v>
      </c>
      <c r="AT429" s="141" t="s">
        <v>601</v>
      </c>
      <c r="AU429" s="141" t="s">
        <v>258</v>
      </c>
      <c r="AV429" s="122" t="s">
        <v>259</v>
      </c>
      <c r="AW429" s="122" t="s">
        <v>260</v>
      </c>
      <c r="AY429" s="141" t="s">
        <v>253</v>
      </c>
      <c r="AZ429" s="122" t="s">
        <v>6209</v>
      </c>
      <c r="BA429" s="122" t="s">
        <v>262</v>
      </c>
      <c r="BB429" s="122" t="s">
        <v>262</v>
      </c>
      <c r="BD429" s="122" t="s">
        <v>253</v>
      </c>
      <c r="BE429" s="122" t="s">
        <v>263</v>
      </c>
      <c r="BF429" s="122" t="s">
        <v>4688</v>
      </c>
      <c r="BH429" s="122" t="s">
        <v>4681</v>
      </c>
      <c r="BI429" s="142">
        <v>120</v>
      </c>
      <c r="BJ429" s="123">
        <v>42230</v>
      </c>
      <c r="BK429" s="139" t="s">
        <v>606</v>
      </c>
      <c r="BM429" s="122">
        <v>33</v>
      </c>
    </row>
    <row r="430" spans="1:65" x14ac:dyDescent="0.25">
      <c r="A430" s="122" t="s">
        <v>422</v>
      </c>
      <c r="B430" s="122" t="s">
        <v>6210</v>
      </c>
      <c r="C430" s="122" t="s">
        <v>6211</v>
      </c>
      <c r="D430" s="122" t="s">
        <v>6212</v>
      </c>
      <c r="E430" s="123">
        <v>42219</v>
      </c>
      <c r="F430" s="122" t="s">
        <v>6213</v>
      </c>
      <c r="G430" s="122" t="s">
        <v>235</v>
      </c>
      <c r="H430" s="122" t="s">
        <v>448</v>
      </c>
      <c r="I430" s="122" t="s">
        <v>6214</v>
      </c>
      <c r="K430" s="122" t="s">
        <v>3419</v>
      </c>
      <c r="L430" s="122" t="s">
        <v>3420</v>
      </c>
      <c r="M430" s="122" t="s">
        <v>3421</v>
      </c>
      <c r="O430" s="141" t="s">
        <v>273</v>
      </c>
      <c r="P430" s="141" t="s">
        <v>6215</v>
      </c>
      <c r="Q430" s="122" t="s">
        <v>3424</v>
      </c>
      <c r="R430" s="142">
        <v>121</v>
      </c>
      <c r="S430" s="122" t="s">
        <v>6216</v>
      </c>
      <c r="U430" s="122" t="s">
        <v>4681</v>
      </c>
      <c r="W430" s="122" t="s">
        <v>246</v>
      </c>
      <c r="X430" s="122" t="s">
        <v>442</v>
      </c>
      <c r="Y430" s="141" t="s">
        <v>417</v>
      </c>
      <c r="Z430" s="122" t="s">
        <v>6217</v>
      </c>
      <c r="AA430" s="141" t="s">
        <v>330</v>
      </c>
      <c r="AB430" s="122" t="s">
        <v>6218</v>
      </c>
      <c r="AC430" s="141" t="s">
        <v>5523</v>
      </c>
      <c r="AD430" s="122" t="s">
        <v>6218</v>
      </c>
      <c r="AE430" s="122" t="s">
        <v>235</v>
      </c>
      <c r="AF430" s="122" t="s">
        <v>6219</v>
      </c>
      <c r="AG430" s="122" t="s">
        <v>253</v>
      </c>
      <c r="AH430" s="122" t="s">
        <v>253</v>
      </c>
      <c r="AI430" s="122" t="s">
        <v>6220</v>
      </c>
      <c r="AJ430" s="122" t="s">
        <v>6221</v>
      </c>
      <c r="AK430" s="122" t="s">
        <v>6222</v>
      </c>
      <c r="AL430" s="122" t="s">
        <v>253</v>
      </c>
      <c r="AM430" s="122" t="s">
        <v>253</v>
      </c>
      <c r="AN430" s="122" t="s">
        <v>253</v>
      </c>
      <c r="AO430" s="141" t="s">
        <v>247</v>
      </c>
      <c r="AP430" s="141" t="s">
        <v>247</v>
      </c>
      <c r="AQ430" s="141" t="s">
        <v>247</v>
      </c>
      <c r="AR430" s="141" t="s">
        <v>253</v>
      </c>
      <c r="AS430" s="141" t="s">
        <v>601</v>
      </c>
      <c r="AT430" s="141" t="s">
        <v>601</v>
      </c>
      <c r="AU430" s="141" t="s">
        <v>258</v>
      </c>
      <c r="AV430" s="122" t="s">
        <v>259</v>
      </c>
      <c r="AW430" s="122" t="s">
        <v>260</v>
      </c>
      <c r="AY430" s="141" t="s">
        <v>253</v>
      </c>
      <c r="AZ430" s="122" t="s">
        <v>262</v>
      </c>
      <c r="BA430" s="122" t="s">
        <v>262</v>
      </c>
      <c r="BB430" s="122" t="s">
        <v>262</v>
      </c>
      <c r="BD430" s="122" t="s">
        <v>253</v>
      </c>
      <c r="BE430" s="122" t="s">
        <v>263</v>
      </c>
      <c r="BF430" s="122" t="s">
        <v>4688</v>
      </c>
      <c r="BH430" s="122" t="s">
        <v>4681</v>
      </c>
      <c r="BI430" s="142">
        <v>121</v>
      </c>
      <c r="BJ430" s="123">
        <v>42232</v>
      </c>
      <c r="BK430" s="139" t="s">
        <v>264</v>
      </c>
      <c r="BL430" s="140">
        <v>312.61</v>
      </c>
      <c r="BM430" s="122">
        <v>33</v>
      </c>
    </row>
    <row r="431" spans="1:65" x14ac:dyDescent="0.25">
      <c r="A431" s="122" t="s">
        <v>422</v>
      </c>
      <c r="B431" s="122" t="s">
        <v>6223</v>
      </c>
      <c r="C431" s="122" t="s">
        <v>6224</v>
      </c>
      <c r="D431" s="122" t="s">
        <v>6225</v>
      </c>
      <c r="E431" s="123">
        <v>42219</v>
      </c>
      <c r="F431" s="122" t="s">
        <v>6226</v>
      </c>
      <c r="G431" s="122" t="s">
        <v>235</v>
      </c>
      <c r="H431" s="122" t="s">
        <v>6227</v>
      </c>
      <c r="I431" s="122" t="s">
        <v>6228</v>
      </c>
      <c r="K431" s="122" t="s">
        <v>3419</v>
      </c>
      <c r="L431" s="122" t="s">
        <v>3503</v>
      </c>
      <c r="M431" s="122" t="s">
        <v>3421</v>
      </c>
      <c r="O431" s="141" t="s">
        <v>6229</v>
      </c>
      <c r="P431" s="141" t="s">
        <v>6230</v>
      </c>
      <c r="Q431" s="122" t="s">
        <v>3424</v>
      </c>
      <c r="R431" s="142">
        <v>122</v>
      </c>
      <c r="S431" s="122" t="s">
        <v>6231</v>
      </c>
      <c r="U431" s="122" t="s">
        <v>4681</v>
      </c>
      <c r="W431" s="122" t="s">
        <v>246</v>
      </c>
      <c r="X431" s="122" t="s">
        <v>433</v>
      </c>
      <c r="Y431" s="141" t="s">
        <v>4229</v>
      </c>
      <c r="Z431" s="122" t="s">
        <v>6232</v>
      </c>
      <c r="AA431" s="141" t="s">
        <v>328</v>
      </c>
      <c r="AB431" s="122" t="s">
        <v>6233</v>
      </c>
      <c r="AC431" s="141" t="s">
        <v>330</v>
      </c>
      <c r="AD431" s="122" t="s">
        <v>6234</v>
      </c>
      <c r="AE431" s="122" t="s">
        <v>235</v>
      </c>
      <c r="AF431" s="122" t="s">
        <v>6235</v>
      </c>
      <c r="AG431" s="122" t="s">
        <v>638</v>
      </c>
      <c r="AH431" s="122" t="s">
        <v>253</v>
      </c>
      <c r="AI431" s="122" t="s">
        <v>6236</v>
      </c>
      <c r="AJ431" s="122" t="s">
        <v>6237</v>
      </c>
      <c r="AK431" s="122" t="s">
        <v>253</v>
      </c>
      <c r="AL431" s="122" t="s">
        <v>253</v>
      </c>
      <c r="AM431" s="122" t="s">
        <v>253</v>
      </c>
      <c r="AN431" s="122" t="s">
        <v>253</v>
      </c>
      <c r="AO431" s="141" t="s">
        <v>253</v>
      </c>
      <c r="AP431" s="141" t="s">
        <v>253</v>
      </c>
      <c r="AQ431" s="141" t="s">
        <v>247</v>
      </c>
      <c r="AR431" s="141" t="s">
        <v>253</v>
      </c>
      <c r="AS431" s="141" t="s">
        <v>361</v>
      </c>
      <c r="AT431" s="141" t="s">
        <v>601</v>
      </c>
      <c r="AU431" s="141" t="s">
        <v>258</v>
      </c>
      <c r="AV431" s="122" t="s">
        <v>259</v>
      </c>
      <c r="AW431" s="122" t="s">
        <v>260</v>
      </c>
      <c r="AX431" s="141" t="s">
        <v>6238</v>
      </c>
      <c r="AY431" s="141" t="s">
        <v>247</v>
      </c>
      <c r="AZ431" s="122" t="s">
        <v>6239</v>
      </c>
      <c r="BA431" s="122" t="s">
        <v>262</v>
      </c>
      <c r="BB431" s="122" t="s">
        <v>262</v>
      </c>
      <c r="BC431" s="141" t="s">
        <v>312</v>
      </c>
      <c r="BD431" s="122" t="s">
        <v>253</v>
      </c>
      <c r="BE431" s="122" t="s">
        <v>263</v>
      </c>
      <c r="BF431" s="122" t="s">
        <v>4688</v>
      </c>
      <c r="BH431" s="122" t="s">
        <v>4681</v>
      </c>
      <c r="BI431" s="142">
        <v>122</v>
      </c>
      <c r="BJ431" s="123">
        <v>42223</v>
      </c>
      <c r="BK431" s="139" t="s">
        <v>264</v>
      </c>
      <c r="BL431" s="140">
        <v>57.78</v>
      </c>
      <c r="BM431" s="122">
        <v>32</v>
      </c>
    </row>
    <row r="432" spans="1:65" x14ac:dyDescent="0.25">
      <c r="A432" s="122" t="s">
        <v>485</v>
      </c>
      <c r="B432" s="122" t="s">
        <v>6240</v>
      </c>
      <c r="C432" s="122" t="s">
        <v>6241</v>
      </c>
      <c r="D432" s="122" t="s">
        <v>6242</v>
      </c>
      <c r="E432" s="123">
        <v>42219</v>
      </c>
      <c r="F432" s="122" t="s">
        <v>457</v>
      </c>
      <c r="G432" s="122" t="s">
        <v>235</v>
      </c>
      <c r="H432" s="122" t="s">
        <v>6243</v>
      </c>
      <c r="I432" s="122" t="s">
        <v>6244</v>
      </c>
      <c r="K432" s="122" t="s">
        <v>3419</v>
      </c>
      <c r="L432" s="122" t="s">
        <v>3420</v>
      </c>
      <c r="M432" s="122" t="s">
        <v>3421</v>
      </c>
      <c r="O432" s="141" t="s">
        <v>273</v>
      </c>
      <c r="P432" s="141" t="s">
        <v>6245</v>
      </c>
      <c r="Q432" s="122" t="s">
        <v>3424</v>
      </c>
      <c r="R432" s="142">
        <v>123</v>
      </c>
      <c r="S432" s="122" t="s">
        <v>6246</v>
      </c>
      <c r="U432" s="122" t="s">
        <v>4681</v>
      </c>
      <c r="W432" s="122" t="s">
        <v>246</v>
      </c>
      <c r="X432" s="122" t="s">
        <v>260</v>
      </c>
      <c r="Z432" s="122" t="s">
        <v>250</v>
      </c>
      <c r="AB432" s="122" t="s">
        <v>250</v>
      </c>
      <c r="AD432" s="122" t="s">
        <v>250</v>
      </c>
      <c r="AE432" s="122" t="s">
        <v>235</v>
      </c>
      <c r="AF432" s="122" t="s">
        <v>6247</v>
      </c>
      <c r="AG432" s="122" t="s">
        <v>253</v>
      </c>
      <c r="AH432" s="122" t="s">
        <v>253</v>
      </c>
      <c r="AI432" s="122" t="s">
        <v>6248</v>
      </c>
      <c r="AJ432" s="122" t="s">
        <v>6249</v>
      </c>
      <c r="AK432" s="122" t="s">
        <v>6250</v>
      </c>
      <c r="AL432" s="122" t="s">
        <v>253</v>
      </c>
      <c r="AM432" s="122" t="s">
        <v>253</v>
      </c>
      <c r="AN432" s="122" t="s">
        <v>253</v>
      </c>
      <c r="AO432" s="141" t="s">
        <v>247</v>
      </c>
      <c r="AP432" s="141" t="s">
        <v>247</v>
      </c>
      <c r="AQ432" s="141" t="s">
        <v>253</v>
      </c>
      <c r="AR432" s="141" t="s">
        <v>253</v>
      </c>
      <c r="AS432" s="141" t="s">
        <v>601</v>
      </c>
      <c r="AT432" s="141" t="s">
        <v>258</v>
      </c>
      <c r="AU432" s="141" t="s">
        <v>258</v>
      </c>
      <c r="AV432" s="122" t="s">
        <v>259</v>
      </c>
      <c r="AW432" s="122" t="s">
        <v>260</v>
      </c>
      <c r="AY432" s="141" t="s">
        <v>253</v>
      </c>
      <c r="AZ432" s="122" t="s">
        <v>6251</v>
      </c>
      <c r="BA432" s="122" t="s">
        <v>262</v>
      </c>
      <c r="BB432" s="122" t="s">
        <v>262</v>
      </c>
      <c r="BD432" s="122" t="s">
        <v>253</v>
      </c>
      <c r="BE432" s="122" t="s">
        <v>263</v>
      </c>
      <c r="BF432" s="122" t="s">
        <v>4688</v>
      </c>
      <c r="BH432" s="122" t="s">
        <v>4681</v>
      </c>
      <c r="BI432" s="142">
        <v>123</v>
      </c>
      <c r="BJ432" s="123">
        <v>42232</v>
      </c>
      <c r="BK432" s="139" t="s">
        <v>606</v>
      </c>
      <c r="BM432" s="122">
        <v>33</v>
      </c>
    </row>
    <row r="433" spans="1:65" x14ac:dyDescent="0.25">
      <c r="A433" s="122" t="s">
        <v>485</v>
      </c>
      <c r="B433" s="122" t="s">
        <v>6252</v>
      </c>
      <c r="C433" s="122" t="s">
        <v>6253</v>
      </c>
      <c r="D433" s="122" t="s">
        <v>6254</v>
      </c>
      <c r="E433" s="123">
        <v>42219</v>
      </c>
      <c r="F433" s="122" t="s">
        <v>855</v>
      </c>
      <c r="G433" s="122" t="s">
        <v>235</v>
      </c>
      <c r="H433" s="122" t="s">
        <v>6255</v>
      </c>
      <c r="I433" s="122" t="s">
        <v>6256</v>
      </c>
      <c r="K433" s="122" t="s">
        <v>3419</v>
      </c>
      <c r="L433" s="122" t="s">
        <v>3503</v>
      </c>
      <c r="M433" s="122" t="s">
        <v>3421</v>
      </c>
      <c r="O433" s="141" t="s">
        <v>2559</v>
      </c>
      <c r="P433" s="141" t="s">
        <v>6257</v>
      </c>
      <c r="Q433" s="122" t="s">
        <v>3424</v>
      </c>
      <c r="R433" s="142">
        <v>124</v>
      </c>
      <c r="S433" s="122" t="s">
        <v>6258</v>
      </c>
      <c r="U433" s="122" t="s">
        <v>4681</v>
      </c>
      <c r="W433" s="122" t="s">
        <v>246</v>
      </c>
      <c r="X433" s="122" t="s">
        <v>497</v>
      </c>
      <c r="Y433" s="141" t="s">
        <v>2257</v>
      </c>
      <c r="Z433" s="122" t="s">
        <v>6259</v>
      </c>
      <c r="AA433" s="141" t="s">
        <v>1421</v>
      </c>
      <c r="AB433" s="122" t="s">
        <v>3911</v>
      </c>
      <c r="AC433" s="141" t="s">
        <v>2105</v>
      </c>
      <c r="AD433" s="122" t="s">
        <v>6260</v>
      </c>
      <c r="AE433" s="122" t="s">
        <v>235</v>
      </c>
      <c r="AF433" s="122" t="s">
        <v>6261</v>
      </c>
      <c r="AG433" s="122" t="s">
        <v>537</v>
      </c>
      <c r="AH433" s="122" t="s">
        <v>253</v>
      </c>
      <c r="AI433" s="122" t="s">
        <v>6262</v>
      </c>
      <c r="AJ433" s="122" t="s">
        <v>6263</v>
      </c>
      <c r="AK433" s="122" t="s">
        <v>253</v>
      </c>
      <c r="AL433" s="122" t="s">
        <v>253</v>
      </c>
      <c r="AM433" s="122" t="s">
        <v>253</v>
      </c>
      <c r="AN433" s="122" t="s">
        <v>253</v>
      </c>
      <c r="AO433" s="141" t="s">
        <v>253</v>
      </c>
      <c r="AP433" s="141" t="s">
        <v>253</v>
      </c>
      <c r="AQ433" s="141" t="s">
        <v>247</v>
      </c>
      <c r="AR433" s="141" t="s">
        <v>253</v>
      </c>
      <c r="AS433" s="141" t="s">
        <v>361</v>
      </c>
      <c r="AT433" s="141" t="s">
        <v>601</v>
      </c>
      <c r="AU433" s="141" t="s">
        <v>258</v>
      </c>
      <c r="AV433" s="122" t="s">
        <v>259</v>
      </c>
      <c r="AW433" s="122" t="s">
        <v>260</v>
      </c>
      <c r="AY433" s="141" t="s">
        <v>253</v>
      </c>
      <c r="AZ433" s="122" t="s">
        <v>6264</v>
      </c>
      <c r="BA433" s="122" t="s">
        <v>262</v>
      </c>
      <c r="BB433" s="122" t="s">
        <v>262</v>
      </c>
      <c r="BD433" s="122" t="s">
        <v>253</v>
      </c>
      <c r="BE433" s="122" t="s">
        <v>263</v>
      </c>
      <c r="BF433" s="122" t="s">
        <v>4688</v>
      </c>
      <c r="BH433" s="122" t="s">
        <v>4681</v>
      </c>
      <c r="BI433" s="142">
        <v>124</v>
      </c>
      <c r="BJ433" s="123">
        <v>42229</v>
      </c>
      <c r="BK433" s="139" t="s">
        <v>264</v>
      </c>
      <c r="BL433" s="140">
        <v>68.08</v>
      </c>
      <c r="BM433" s="122">
        <v>33</v>
      </c>
    </row>
    <row r="434" spans="1:65" x14ac:dyDescent="0.25">
      <c r="A434" s="122" t="s">
        <v>485</v>
      </c>
      <c r="B434" s="122" t="s">
        <v>6265</v>
      </c>
      <c r="C434" s="122" t="s">
        <v>6266</v>
      </c>
      <c r="D434" s="122" t="s">
        <v>6267</v>
      </c>
      <c r="E434" s="123">
        <v>42219</v>
      </c>
      <c r="F434" s="122" t="s">
        <v>6268</v>
      </c>
      <c r="G434" s="122" t="s">
        <v>235</v>
      </c>
      <c r="H434" s="122" t="s">
        <v>448</v>
      </c>
      <c r="I434" s="122" t="s">
        <v>6269</v>
      </c>
      <c r="K434" s="122" t="s">
        <v>5673</v>
      </c>
      <c r="L434" s="122" t="s">
        <v>5674</v>
      </c>
      <c r="M434" s="122" t="s">
        <v>5675</v>
      </c>
      <c r="O434" s="141" t="s">
        <v>241</v>
      </c>
      <c r="P434" s="141" t="s">
        <v>6270</v>
      </c>
      <c r="Q434" s="122" t="s">
        <v>5677</v>
      </c>
      <c r="R434" s="142">
        <v>125</v>
      </c>
      <c r="S434" s="122" t="s">
        <v>6271</v>
      </c>
      <c r="U434" s="122" t="s">
        <v>4681</v>
      </c>
      <c r="W434" s="122" t="s">
        <v>246</v>
      </c>
      <c r="X434" s="122" t="s">
        <v>497</v>
      </c>
      <c r="Y434" s="141" t="s">
        <v>500</v>
      </c>
      <c r="Z434" s="122" t="s">
        <v>6272</v>
      </c>
      <c r="AA434" s="141" t="s">
        <v>1969</v>
      </c>
      <c r="AB434" s="122" t="s">
        <v>706</v>
      </c>
      <c r="AC434" s="141" t="s">
        <v>1361</v>
      </c>
      <c r="AD434" s="122" t="s">
        <v>6273</v>
      </c>
      <c r="AE434" s="122" t="s">
        <v>235</v>
      </c>
      <c r="AF434" s="122" t="s">
        <v>6274</v>
      </c>
      <c r="AG434" s="122" t="s">
        <v>537</v>
      </c>
      <c r="AH434" s="122" t="s">
        <v>253</v>
      </c>
      <c r="AI434" s="122" t="s">
        <v>3812</v>
      </c>
      <c r="AJ434" s="122" t="s">
        <v>6275</v>
      </c>
      <c r="AK434" s="122" t="s">
        <v>253</v>
      </c>
      <c r="AL434" s="122" t="s">
        <v>253</v>
      </c>
      <c r="AM434" s="122" t="s">
        <v>253</v>
      </c>
      <c r="AN434" s="122" t="s">
        <v>253</v>
      </c>
      <c r="AO434" s="141" t="s">
        <v>253</v>
      </c>
      <c r="AP434" s="141" t="s">
        <v>253</v>
      </c>
      <c r="AQ434" s="141" t="s">
        <v>247</v>
      </c>
      <c r="AR434" s="141" t="s">
        <v>253</v>
      </c>
      <c r="AS434" s="141" t="s">
        <v>361</v>
      </c>
      <c r="AT434" s="141" t="s">
        <v>601</v>
      </c>
      <c r="AU434" s="141" t="s">
        <v>258</v>
      </c>
      <c r="AV434" s="122" t="s">
        <v>259</v>
      </c>
      <c r="AW434" s="122" t="s">
        <v>260</v>
      </c>
      <c r="AX434" s="141" t="s">
        <v>6276</v>
      </c>
      <c r="AY434" s="141" t="s">
        <v>442</v>
      </c>
      <c r="AZ434" s="122" t="s">
        <v>262</v>
      </c>
      <c r="BA434" s="122" t="s">
        <v>262</v>
      </c>
      <c r="BB434" s="122" t="s">
        <v>6277</v>
      </c>
      <c r="BC434" s="141" t="s">
        <v>312</v>
      </c>
      <c r="BD434" s="122" t="s">
        <v>253</v>
      </c>
      <c r="BE434" s="122" t="s">
        <v>263</v>
      </c>
      <c r="BF434" s="122" t="s">
        <v>4688</v>
      </c>
      <c r="BH434" s="122" t="s">
        <v>4681</v>
      </c>
      <c r="BI434" s="142">
        <v>125</v>
      </c>
      <c r="BJ434" s="123">
        <v>42230</v>
      </c>
      <c r="BK434" s="139" t="s">
        <v>264</v>
      </c>
      <c r="BL434" s="140">
        <v>74.489999999999995</v>
      </c>
      <c r="BM434" s="122">
        <v>33</v>
      </c>
    </row>
    <row r="435" spans="1:65" x14ac:dyDescent="0.25">
      <c r="A435" s="122" t="s">
        <v>485</v>
      </c>
      <c r="B435" s="122" t="s">
        <v>6278</v>
      </c>
      <c r="C435" s="122" t="s">
        <v>6279</v>
      </c>
      <c r="D435" s="122" t="s">
        <v>6280</v>
      </c>
      <c r="E435" s="123">
        <v>42219</v>
      </c>
      <c r="F435" s="122" t="s">
        <v>1498</v>
      </c>
      <c r="G435" s="122" t="s">
        <v>235</v>
      </c>
      <c r="H435" s="122" t="s">
        <v>6281</v>
      </c>
      <c r="I435" s="122" t="s">
        <v>6282</v>
      </c>
      <c r="K435" s="122" t="s">
        <v>3419</v>
      </c>
      <c r="L435" s="122" t="s">
        <v>3503</v>
      </c>
      <c r="M435" s="122" t="s">
        <v>3504</v>
      </c>
      <c r="O435" s="141" t="s">
        <v>373</v>
      </c>
      <c r="P435" s="141" t="s">
        <v>6283</v>
      </c>
      <c r="Q435" s="122" t="s">
        <v>3424</v>
      </c>
      <c r="R435" s="142">
        <v>126</v>
      </c>
      <c r="S435" s="122" t="s">
        <v>6284</v>
      </c>
      <c r="U435" s="122" t="s">
        <v>4681</v>
      </c>
      <c r="V435" s="122" t="s">
        <v>351</v>
      </c>
      <c r="W435" s="122" t="s">
        <v>246</v>
      </c>
      <c r="X435" s="122" t="s">
        <v>260</v>
      </c>
      <c r="Y435" s="141" t="s">
        <v>511</v>
      </c>
      <c r="Z435" s="122" t="s">
        <v>6285</v>
      </c>
      <c r="AA435" s="141" t="s">
        <v>1498</v>
      </c>
      <c r="AB435" s="122" t="s">
        <v>6286</v>
      </c>
      <c r="AD435" s="122" t="s">
        <v>250</v>
      </c>
      <c r="AE435" s="122" t="s">
        <v>235</v>
      </c>
      <c r="AF435" s="122" t="s">
        <v>6287</v>
      </c>
      <c r="AG435" s="122" t="s">
        <v>253</v>
      </c>
      <c r="AH435" s="122" t="s">
        <v>253</v>
      </c>
      <c r="AI435" s="122" t="s">
        <v>4426</v>
      </c>
      <c r="AJ435" s="122" t="s">
        <v>4427</v>
      </c>
      <c r="AK435" s="122" t="s">
        <v>4427</v>
      </c>
      <c r="AL435" s="122" t="s">
        <v>253</v>
      </c>
      <c r="AM435" s="122" t="s">
        <v>253</v>
      </c>
      <c r="AN435" s="122" t="s">
        <v>253</v>
      </c>
      <c r="AO435" s="141" t="s">
        <v>253</v>
      </c>
      <c r="AP435" s="141" t="s">
        <v>253</v>
      </c>
      <c r="AQ435" s="141" t="s">
        <v>247</v>
      </c>
      <c r="AR435" s="141" t="s">
        <v>253</v>
      </c>
      <c r="AS435" s="141" t="s">
        <v>361</v>
      </c>
      <c r="AT435" s="141" t="s">
        <v>601</v>
      </c>
      <c r="AU435" s="141" t="s">
        <v>258</v>
      </c>
      <c r="AV435" s="122" t="s">
        <v>259</v>
      </c>
      <c r="AW435" s="122" t="s">
        <v>260</v>
      </c>
      <c r="AY435" s="141" t="s">
        <v>253</v>
      </c>
      <c r="AZ435" s="122" t="s">
        <v>6288</v>
      </c>
      <c r="BA435" s="122" t="s">
        <v>262</v>
      </c>
      <c r="BB435" s="122" t="s">
        <v>262</v>
      </c>
      <c r="BD435" s="122" t="s">
        <v>253</v>
      </c>
      <c r="BE435" s="122" t="s">
        <v>263</v>
      </c>
      <c r="BF435" s="122" t="s">
        <v>4688</v>
      </c>
      <c r="BH435" s="122" t="s">
        <v>4681</v>
      </c>
      <c r="BI435" s="142">
        <v>126</v>
      </c>
      <c r="BJ435" s="123">
        <v>42230</v>
      </c>
      <c r="BK435" s="139" t="s">
        <v>606</v>
      </c>
      <c r="BM435" s="122">
        <v>33</v>
      </c>
    </row>
    <row r="436" spans="1:65" x14ac:dyDescent="0.25">
      <c r="A436" s="122" t="s">
        <v>485</v>
      </c>
      <c r="B436" s="122" t="s">
        <v>6289</v>
      </c>
      <c r="C436" s="122" t="s">
        <v>6290</v>
      </c>
      <c r="D436" s="122" t="s">
        <v>6291</v>
      </c>
      <c r="E436" s="123">
        <v>42219</v>
      </c>
      <c r="F436" s="122" t="s">
        <v>511</v>
      </c>
      <c r="G436" s="122" t="s">
        <v>235</v>
      </c>
      <c r="H436" s="122" t="s">
        <v>6292</v>
      </c>
      <c r="I436" s="122" t="s">
        <v>5771</v>
      </c>
      <c r="J436" s="122" t="s">
        <v>6293</v>
      </c>
      <c r="K436" s="122" t="s">
        <v>5565</v>
      </c>
      <c r="L436" s="122" t="s">
        <v>5566</v>
      </c>
      <c r="M436" s="122" t="s">
        <v>5567</v>
      </c>
      <c r="O436" s="141" t="s">
        <v>548</v>
      </c>
      <c r="P436" s="141" t="s">
        <v>6294</v>
      </c>
      <c r="Q436" s="122" t="s">
        <v>3389</v>
      </c>
      <c r="R436" s="142">
        <v>127</v>
      </c>
      <c r="S436" s="122" t="s">
        <v>6295</v>
      </c>
      <c r="U436" s="122" t="s">
        <v>4681</v>
      </c>
      <c r="W436" s="122" t="s">
        <v>246</v>
      </c>
      <c r="X436" s="122" t="s">
        <v>376</v>
      </c>
      <c r="Y436" s="141" t="s">
        <v>2133</v>
      </c>
      <c r="Z436" s="122" t="s">
        <v>518</v>
      </c>
      <c r="AB436" s="122" t="s">
        <v>250</v>
      </c>
      <c r="AD436" s="122" t="s">
        <v>250</v>
      </c>
      <c r="AE436" s="122" t="s">
        <v>235</v>
      </c>
      <c r="AF436" s="122" t="s">
        <v>6296</v>
      </c>
      <c r="AG436" s="122" t="s">
        <v>537</v>
      </c>
      <c r="AH436" s="122" t="s">
        <v>253</v>
      </c>
      <c r="AI436" s="122" t="s">
        <v>6297</v>
      </c>
      <c r="AJ436" s="122" t="s">
        <v>6298</v>
      </c>
      <c r="AK436" s="122" t="s">
        <v>253</v>
      </c>
      <c r="AL436" s="122" t="s">
        <v>253</v>
      </c>
      <c r="AM436" s="122" t="s">
        <v>253</v>
      </c>
      <c r="AN436" s="122" t="s">
        <v>253</v>
      </c>
      <c r="AO436" s="141" t="s">
        <v>247</v>
      </c>
      <c r="AP436" s="141" t="s">
        <v>247</v>
      </c>
      <c r="AQ436" s="141" t="s">
        <v>247</v>
      </c>
      <c r="AR436" s="141" t="s">
        <v>253</v>
      </c>
      <c r="AS436" s="141" t="s">
        <v>601</v>
      </c>
      <c r="AT436" s="141" t="s">
        <v>601</v>
      </c>
      <c r="AU436" s="141" t="s">
        <v>258</v>
      </c>
      <c r="AV436" s="122" t="s">
        <v>259</v>
      </c>
      <c r="AW436" s="122" t="s">
        <v>260</v>
      </c>
      <c r="AY436" s="141" t="s">
        <v>253</v>
      </c>
      <c r="AZ436" s="122" t="s">
        <v>6299</v>
      </c>
      <c r="BA436" s="122" t="s">
        <v>262</v>
      </c>
      <c r="BB436" s="122" t="s">
        <v>262</v>
      </c>
      <c r="BD436" s="122" t="s">
        <v>253</v>
      </c>
      <c r="BE436" s="122" t="s">
        <v>263</v>
      </c>
      <c r="BF436" s="122" t="s">
        <v>4688</v>
      </c>
      <c r="BH436" s="122" t="s">
        <v>4681</v>
      </c>
      <c r="BI436" s="142">
        <v>127</v>
      </c>
      <c r="BJ436" s="123">
        <v>42232</v>
      </c>
      <c r="BK436" s="139" t="s">
        <v>606</v>
      </c>
      <c r="BM436" s="122">
        <v>33</v>
      </c>
    </row>
    <row r="437" spans="1:65" x14ac:dyDescent="0.25">
      <c r="A437" s="122" t="s">
        <v>485</v>
      </c>
      <c r="B437" s="122" t="s">
        <v>6300</v>
      </c>
      <c r="C437" s="122" t="s">
        <v>6301</v>
      </c>
      <c r="D437" s="122" t="s">
        <v>6302</v>
      </c>
      <c r="E437" s="123">
        <v>42219</v>
      </c>
      <c r="F437" s="122" t="s">
        <v>1498</v>
      </c>
      <c r="G437" s="122" t="s">
        <v>235</v>
      </c>
      <c r="H437" s="122" t="s">
        <v>6303</v>
      </c>
      <c r="I437" s="122" t="s">
        <v>6304</v>
      </c>
      <c r="J437" s="122" t="s">
        <v>1560</v>
      </c>
      <c r="K437" s="122" t="s">
        <v>5800</v>
      </c>
      <c r="L437" s="122" t="s">
        <v>5801</v>
      </c>
      <c r="M437" s="122" t="s">
        <v>5802</v>
      </c>
      <c r="O437" s="141" t="s">
        <v>373</v>
      </c>
      <c r="P437" s="141" t="s">
        <v>6305</v>
      </c>
      <c r="Q437" s="122" t="s">
        <v>5805</v>
      </c>
      <c r="R437" s="142">
        <v>128</v>
      </c>
      <c r="S437" s="122" t="s">
        <v>6306</v>
      </c>
      <c r="U437" s="122" t="s">
        <v>4681</v>
      </c>
      <c r="W437" s="122" t="s">
        <v>246</v>
      </c>
      <c r="X437" s="122" t="s">
        <v>260</v>
      </c>
      <c r="Y437" s="141" t="s">
        <v>1440</v>
      </c>
      <c r="Z437" s="122" t="s">
        <v>249</v>
      </c>
      <c r="AB437" s="122" t="s">
        <v>250</v>
      </c>
      <c r="AD437" s="122" t="s">
        <v>250</v>
      </c>
      <c r="AE437" s="122" t="s">
        <v>235</v>
      </c>
      <c r="AF437" s="122" t="s">
        <v>6307</v>
      </c>
      <c r="AG437" s="122" t="s">
        <v>253</v>
      </c>
      <c r="AH437" s="122" t="s">
        <v>253</v>
      </c>
      <c r="AI437" s="122" t="s">
        <v>6308</v>
      </c>
      <c r="AJ437" s="122" t="s">
        <v>6308</v>
      </c>
      <c r="AK437" s="122" t="s">
        <v>6309</v>
      </c>
      <c r="AL437" s="122" t="s">
        <v>6310</v>
      </c>
      <c r="AM437" s="122" t="s">
        <v>253</v>
      </c>
      <c r="AN437" s="122" t="s">
        <v>253</v>
      </c>
      <c r="AO437" s="141" t="s">
        <v>247</v>
      </c>
      <c r="AP437" s="141" t="s">
        <v>247</v>
      </c>
      <c r="AQ437" s="141" t="s">
        <v>247</v>
      </c>
      <c r="AR437" s="141" t="s">
        <v>253</v>
      </c>
      <c r="AS437" s="141" t="s">
        <v>601</v>
      </c>
      <c r="AT437" s="141" t="s">
        <v>601</v>
      </c>
      <c r="AU437" s="141" t="s">
        <v>258</v>
      </c>
      <c r="AV437" s="122" t="s">
        <v>259</v>
      </c>
      <c r="AW437" s="122" t="s">
        <v>260</v>
      </c>
      <c r="AY437" s="141" t="s">
        <v>253</v>
      </c>
      <c r="AZ437" s="122" t="s">
        <v>6311</v>
      </c>
      <c r="BA437" s="122" t="s">
        <v>262</v>
      </c>
      <c r="BB437" s="122" t="s">
        <v>262</v>
      </c>
      <c r="BD437" s="122" t="s">
        <v>253</v>
      </c>
      <c r="BE437" s="122" t="s">
        <v>263</v>
      </c>
      <c r="BF437" s="122" t="s">
        <v>4688</v>
      </c>
      <c r="BH437" s="122" t="s">
        <v>4681</v>
      </c>
      <c r="BI437" s="142">
        <v>128</v>
      </c>
      <c r="BJ437" s="123">
        <v>42232</v>
      </c>
      <c r="BK437" s="139" t="s">
        <v>606</v>
      </c>
      <c r="BM437" s="122">
        <v>33</v>
      </c>
    </row>
    <row r="438" spans="1:65" x14ac:dyDescent="0.25">
      <c r="A438" s="122" t="s">
        <v>485</v>
      </c>
      <c r="B438" s="122" t="s">
        <v>6312</v>
      </c>
      <c r="C438" s="122" t="s">
        <v>6313</v>
      </c>
      <c r="D438" s="122" t="s">
        <v>6314</v>
      </c>
      <c r="E438" s="123">
        <v>42219</v>
      </c>
      <c r="F438" s="122" t="s">
        <v>6144</v>
      </c>
      <c r="G438" s="122" t="s">
        <v>235</v>
      </c>
      <c r="H438" s="122" t="s">
        <v>6315</v>
      </c>
      <c r="I438" s="122" t="s">
        <v>6316</v>
      </c>
      <c r="K438" s="122" t="s">
        <v>5879</v>
      </c>
      <c r="L438" s="122" t="s">
        <v>5880</v>
      </c>
      <c r="M438" s="122" t="s">
        <v>6317</v>
      </c>
      <c r="O438" s="141" t="s">
        <v>373</v>
      </c>
      <c r="P438" s="141" t="s">
        <v>6318</v>
      </c>
      <c r="Q438" s="122" t="s">
        <v>5883</v>
      </c>
      <c r="R438" s="142">
        <v>129</v>
      </c>
      <c r="S438" s="122" t="s">
        <v>6319</v>
      </c>
      <c r="U438" s="122" t="s">
        <v>4681</v>
      </c>
      <c r="W438" s="122" t="s">
        <v>246</v>
      </c>
      <c r="X438" s="122" t="s">
        <v>853</v>
      </c>
      <c r="Y438" s="141" t="s">
        <v>1162</v>
      </c>
      <c r="Z438" s="122" t="s">
        <v>6320</v>
      </c>
      <c r="AA438" s="141" t="s">
        <v>591</v>
      </c>
      <c r="AB438" s="122" t="s">
        <v>835</v>
      </c>
      <c r="AC438" s="141" t="s">
        <v>1421</v>
      </c>
      <c r="AD438" s="122" t="s">
        <v>6321</v>
      </c>
      <c r="AE438" s="122" t="s">
        <v>235</v>
      </c>
      <c r="AF438" s="122" t="s">
        <v>6322</v>
      </c>
      <c r="AG438" s="122" t="s">
        <v>747</v>
      </c>
      <c r="AH438" s="122" t="s">
        <v>253</v>
      </c>
      <c r="AI438" s="122" t="s">
        <v>6323</v>
      </c>
      <c r="AJ438" s="122" t="s">
        <v>6324</v>
      </c>
      <c r="AK438" s="122" t="s">
        <v>6325</v>
      </c>
      <c r="AL438" s="122" t="s">
        <v>253</v>
      </c>
      <c r="AM438" s="122" t="s">
        <v>253</v>
      </c>
      <c r="AN438" s="122" t="s">
        <v>253</v>
      </c>
      <c r="AO438" s="141" t="s">
        <v>247</v>
      </c>
      <c r="AP438" s="141" t="s">
        <v>247</v>
      </c>
      <c r="AQ438" s="141" t="s">
        <v>247</v>
      </c>
      <c r="AR438" s="141" t="s">
        <v>253</v>
      </c>
      <c r="AS438" s="141" t="s">
        <v>601</v>
      </c>
      <c r="AT438" s="141" t="s">
        <v>601</v>
      </c>
      <c r="AU438" s="141" t="s">
        <v>258</v>
      </c>
      <c r="AV438" s="122" t="s">
        <v>259</v>
      </c>
      <c r="AW438" s="122" t="s">
        <v>260</v>
      </c>
      <c r="AX438" s="141" t="s">
        <v>1130</v>
      </c>
      <c r="AY438" s="141" t="s">
        <v>442</v>
      </c>
      <c r="AZ438" s="122" t="s">
        <v>6326</v>
      </c>
      <c r="BA438" s="122" t="s">
        <v>262</v>
      </c>
      <c r="BB438" s="122" t="s">
        <v>262</v>
      </c>
      <c r="BD438" s="122" t="s">
        <v>253</v>
      </c>
      <c r="BE438" s="122" t="s">
        <v>263</v>
      </c>
      <c r="BF438" s="122" t="s">
        <v>4688</v>
      </c>
      <c r="BH438" s="122" t="s">
        <v>4681</v>
      </c>
      <c r="BI438" s="142">
        <v>129</v>
      </c>
      <c r="BJ438" s="123">
        <v>42231</v>
      </c>
      <c r="BK438" s="139" t="s">
        <v>606</v>
      </c>
      <c r="BM438" s="122">
        <v>33</v>
      </c>
    </row>
    <row r="439" spans="1:65" x14ac:dyDescent="0.25">
      <c r="A439" s="122" t="s">
        <v>485</v>
      </c>
      <c r="B439" s="122" t="s">
        <v>6327</v>
      </c>
      <c r="C439" s="122" t="s">
        <v>6328</v>
      </c>
      <c r="D439" s="122" t="s">
        <v>6329</v>
      </c>
      <c r="E439" s="123">
        <v>42219</v>
      </c>
      <c r="F439" s="122" t="s">
        <v>6330</v>
      </c>
      <c r="G439" s="122" t="s">
        <v>235</v>
      </c>
      <c r="H439" s="122" t="s">
        <v>6331</v>
      </c>
      <c r="I439" s="122" t="s">
        <v>6332</v>
      </c>
      <c r="K439" s="122" t="s">
        <v>3419</v>
      </c>
      <c r="L439" s="122" t="s">
        <v>3503</v>
      </c>
      <c r="M439" s="122" t="s">
        <v>3421</v>
      </c>
      <c r="O439" s="141" t="s">
        <v>548</v>
      </c>
      <c r="P439" s="141" t="s">
        <v>6333</v>
      </c>
      <c r="Q439" s="122" t="s">
        <v>3424</v>
      </c>
      <c r="R439" s="142">
        <v>130</v>
      </c>
      <c r="S439" s="122" t="s">
        <v>6334</v>
      </c>
      <c r="U439" s="122" t="s">
        <v>4681</v>
      </c>
      <c r="W439" s="122" t="s">
        <v>246</v>
      </c>
      <c r="X439" s="122" t="s">
        <v>1324</v>
      </c>
      <c r="Y439" s="141" t="s">
        <v>705</v>
      </c>
      <c r="Z439" s="122" t="s">
        <v>6335</v>
      </c>
      <c r="AA439" s="141" t="s">
        <v>500</v>
      </c>
      <c r="AB439" s="122" t="s">
        <v>6336</v>
      </c>
      <c r="AC439" s="141" t="s">
        <v>901</v>
      </c>
      <c r="AD439" s="122" t="s">
        <v>6337</v>
      </c>
      <c r="AE439" s="122" t="s">
        <v>235</v>
      </c>
      <c r="AF439" s="122" t="s">
        <v>5710</v>
      </c>
      <c r="AG439" s="122" t="s">
        <v>253</v>
      </c>
      <c r="AH439" s="122" t="s">
        <v>253</v>
      </c>
      <c r="AI439" s="122" t="s">
        <v>6338</v>
      </c>
      <c r="AJ439" s="122" t="s">
        <v>6339</v>
      </c>
      <c r="AK439" s="122" t="s">
        <v>6339</v>
      </c>
      <c r="AL439" s="122" t="s">
        <v>253</v>
      </c>
      <c r="AM439" s="122" t="s">
        <v>253</v>
      </c>
      <c r="AN439" s="122" t="s">
        <v>253</v>
      </c>
      <c r="AO439" s="141" t="s">
        <v>247</v>
      </c>
      <c r="AP439" s="141" t="s">
        <v>247</v>
      </c>
      <c r="AQ439" s="141" t="s">
        <v>247</v>
      </c>
      <c r="AR439" s="141" t="s">
        <v>253</v>
      </c>
      <c r="AS439" s="141" t="s">
        <v>601</v>
      </c>
      <c r="AT439" s="141" t="s">
        <v>601</v>
      </c>
      <c r="AU439" s="141" t="s">
        <v>258</v>
      </c>
      <c r="AV439" s="122" t="s">
        <v>259</v>
      </c>
      <c r="AW439" s="122" t="s">
        <v>260</v>
      </c>
      <c r="AX439" s="141" t="s">
        <v>1149</v>
      </c>
      <c r="AY439" s="141" t="s">
        <v>247</v>
      </c>
      <c r="AZ439" s="122" t="s">
        <v>6340</v>
      </c>
      <c r="BA439" s="122" t="s">
        <v>262</v>
      </c>
      <c r="BB439" s="122" t="s">
        <v>262</v>
      </c>
      <c r="BD439" s="122" t="s">
        <v>253</v>
      </c>
      <c r="BE439" s="122" t="s">
        <v>263</v>
      </c>
      <c r="BF439" s="122" t="s">
        <v>4688</v>
      </c>
      <c r="BH439" s="122" t="s">
        <v>4681</v>
      </c>
      <c r="BI439" s="142">
        <v>130</v>
      </c>
      <c r="BJ439" s="123">
        <v>42232</v>
      </c>
      <c r="BK439" s="139" t="s">
        <v>606</v>
      </c>
      <c r="BM439" s="122">
        <v>33</v>
      </c>
    </row>
    <row r="440" spans="1:65" x14ac:dyDescent="0.25">
      <c r="A440" s="122" t="s">
        <v>578</v>
      </c>
      <c r="B440" s="122" t="s">
        <v>6341</v>
      </c>
      <c r="C440" s="122" t="s">
        <v>6342</v>
      </c>
      <c r="D440" s="122" t="s">
        <v>6343</v>
      </c>
      <c r="E440" s="123">
        <v>42219</v>
      </c>
      <c r="F440" s="122" t="s">
        <v>6344</v>
      </c>
      <c r="G440" s="122" t="s">
        <v>235</v>
      </c>
      <c r="H440" s="122" t="s">
        <v>6345</v>
      </c>
      <c r="I440" s="122" t="s">
        <v>6346</v>
      </c>
      <c r="K440" s="122" t="s">
        <v>3419</v>
      </c>
      <c r="L440" s="122" t="s">
        <v>3503</v>
      </c>
      <c r="M440" s="122" t="s">
        <v>3421</v>
      </c>
      <c r="O440" s="141" t="s">
        <v>3977</v>
      </c>
      <c r="P440" s="141" t="s">
        <v>6347</v>
      </c>
      <c r="Q440" s="122" t="s">
        <v>3424</v>
      </c>
      <c r="R440" s="142">
        <v>131</v>
      </c>
      <c r="S440" s="122" t="s">
        <v>6348</v>
      </c>
      <c r="U440" s="122" t="s">
        <v>4681</v>
      </c>
      <c r="W440" s="122" t="s">
        <v>246</v>
      </c>
      <c r="X440" s="122" t="s">
        <v>325</v>
      </c>
      <c r="Y440" s="141" t="s">
        <v>593</v>
      </c>
      <c r="Z440" s="122" t="s">
        <v>6349</v>
      </c>
      <c r="AA440" s="141" t="s">
        <v>1291</v>
      </c>
      <c r="AB440" s="122" t="s">
        <v>6350</v>
      </c>
      <c r="AC440" s="141" t="s">
        <v>880</v>
      </c>
      <c r="AD440" s="122" t="s">
        <v>6351</v>
      </c>
      <c r="AE440" s="122" t="s">
        <v>235</v>
      </c>
      <c r="AF440" s="122" t="s">
        <v>6352</v>
      </c>
      <c r="AG440" s="122" t="s">
        <v>537</v>
      </c>
      <c r="AH440" s="122" t="s">
        <v>253</v>
      </c>
      <c r="AI440" s="122" t="s">
        <v>6353</v>
      </c>
      <c r="AJ440" s="122" t="s">
        <v>253</v>
      </c>
      <c r="AK440" s="122" t="s">
        <v>6354</v>
      </c>
      <c r="AL440" s="122" t="s">
        <v>253</v>
      </c>
      <c r="AM440" s="122" t="s">
        <v>253</v>
      </c>
      <c r="AN440" s="122" t="s">
        <v>253</v>
      </c>
      <c r="AO440" s="141" t="s">
        <v>247</v>
      </c>
      <c r="AP440" s="141" t="s">
        <v>247</v>
      </c>
      <c r="AQ440" s="141" t="s">
        <v>247</v>
      </c>
      <c r="AR440" s="141" t="s">
        <v>247</v>
      </c>
      <c r="AS440" s="141" t="s">
        <v>601</v>
      </c>
      <c r="AT440" s="141" t="s">
        <v>601</v>
      </c>
      <c r="AU440" s="141" t="s">
        <v>601</v>
      </c>
      <c r="AV440" s="122" t="s">
        <v>259</v>
      </c>
      <c r="AW440" s="122" t="s">
        <v>556</v>
      </c>
      <c r="AX440" s="141" t="s">
        <v>790</v>
      </c>
      <c r="AY440" s="141" t="s">
        <v>1643</v>
      </c>
      <c r="AZ440" s="122" t="s">
        <v>6355</v>
      </c>
      <c r="BA440" s="122" t="s">
        <v>262</v>
      </c>
      <c r="BB440" s="122" t="s">
        <v>6356</v>
      </c>
      <c r="BD440" s="122" t="s">
        <v>253</v>
      </c>
      <c r="BE440" s="122" t="s">
        <v>263</v>
      </c>
      <c r="BF440" s="122" t="s">
        <v>4688</v>
      </c>
      <c r="BH440" s="122" t="s">
        <v>4681</v>
      </c>
      <c r="BI440" s="142">
        <v>131</v>
      </c>
      <c r="BK440" s="139" t="s">
        <v>558</v>
      </c>
    </row>
    <row r="441" spans="1:65" x14ac:dyDescent="0.25">
      <c r="A441" s="122" t="s">
        <v>578</v>
      </c>
      <c r="B441" s="122" t="s">
        <v>6357</v>
      </c>
      <c r="C441" s="122" t="s">
        <v>6358</v>
      </c>
      <c r="D441" s="122" t="s">
        <v>6359</v>
      </c>
      <c r="E441" s="123">
        <v>42219</v>
      </c>
      <c r="F441" s="122" t="s">
        <v>5511</v>
      </c>
      <c r="G441" s="122" t="s">
        <v>235</v>
      </c>
      <c r="H441" s="122" t="s">
        <v>6360</v>
      </c>
      <c r="I441" s="122" t="s">
        <v>6361</v>
      </c>
      <c r="K441" s="122" t="s">
        <v>5800</v>
      </c>
      <c r="L441" s="122" t="s">
        <v>5801</v>
      </c>
      <c r="M441" s="122" t="s">
        <v>5802</v>
      </c>
      <c r="Q441" s="122" t="s">
        <v>5805</v>
      </c>
      <c r="R441" s="142">
        <v>132</v>
      </c>
      <c r="S441" s="122" t="s">
        <v>6362</v>
      </c>
      <c r="U441" s="122" t="s">
        <v>4681</v>
      </c>
      <c r="W441" s="122" t="s">
        <v>246</v>
      </c>
      <c r="X441" s="122" t="s">
        <v>376</v>
      </c>
      <c r="Y441" s="141" t="s">
        <v>685</v>
      </c>
      <c r="Z441" s="122" t="s">
        <v>6363</v>
      </c>
      <c r="AA441" s="141" t="s">
        <v>356</v>
      </c>
      <c r="AB441" s="122" t="s">
        <v>6364</v>
      </c>
      <c r="AC441" s="141" t="s">
        <v>283</v>
      </c>
      <c r="AD441" s="122" t="s">
        <v>355</v>
      </c>
      <c r="AE441" s="122" t="s">
        <v>235</v>
      </c>
      <c r="AF441" s="122" t="s">
        <v>6365</v>
      </c>
      <c r="AG441" s="122" t="s">
        <v>537</v>
      </c>
      <c r="AH441" s="122" t="s">
        <v>253</v>
      </c>
      <c r="AI441" s="122" t="s">
        <v>6366</v>
      </c>
      <c r="AJ441" s="122" t="s">
        <v>6367</v>
      </c>
      <c r="AK441" s="122" t="s">
        <v>253</v>
      </c>
      <c r="AL441" s="122" t="s">
        <v>253</v>
      </c>
      <c r="AM441" s="122" t="s">
        <v>253</v>
      </c>
      <c r="AN441" s="122" t="s">
        <v>253</v>
      </c>
      <c r="AO441" s="141" t="s">
        <v>253</v>
      </c>
      <c r="AP441" s="141" t="s">
        <v>253</v>
      </c>
      <c r="AQ441" s="141" t="s">
        <v>247</v>
      </c>
      <c r="AR441" s="141" t="s">
        <v>247</v>
      </c>
      <c r="AS441" s="141" t="s">
        <v>361</v>
      </c>
      <c r="AT441" s="141" t="s">
        <v>601</v>
      </c>
      <c r="AU441" s="141" t="s">
        <v>601</v>
      </c>
      <c r="AV441" s="122" t="s">
        <v>259</v>
      </c>
      <c r="AW441" s="122" t="s">
        <v>556</v>
      </c>
      <c r="AY441" s="141" t="s">
        <v>253</v>
      </c>
      <c r="AZ441" s="122" t="s">
        <v>6368</v>
      </c>
      <c r="BA441" s="122" t="s">
        <v>262</v>
      </c>
      <c r="BB441" s="122" t="s">
        <v>262</v>
      </c>
      <c r="BD441" s="122" t="s">
        <v>253</v>
      </c>
      <c r="BE441" s="122" t="s">
        <v>263</v>
      </c>
      <c r="BF441" s="122" t="s">
        <v>4688</v>
      </c>
      <c r="BH441" s="122" t="s">
        <v>4681</v>
      </c>
      <c r="BI441" s="142">
        <v>132</v>
      </c>
      <c r="BK441" s="139" t="s">
        <v>558</v>
      </c>
    </row>
    <row r="442" spans="1:65" x14ac:dyDescent="0.25">
      <c r="A442" s="122" t="s">
        <v>541</v>
      </c>
      <c r="B442" s="122" t="s">
        <v>6369</v>
      </c>
      <c r="C442" s="122" t="s">
        <v>6370</v>
      </c>
      <c r="D442" s="122" t="s">
        <v>6371</v>
      </c>
      <c r="E442" s="123">
        <v>42219</v>
      </c>
      <c r="F442" s="122" t="s">
        <v>328</v>
      </c>
      <c r="G442" s="122" t="s">
        <v>235</v>
      </c>
      <c r="H442" s="122" t="s">
        <v>448</v>
      </c>
      <c r="I442" s="122" t="s">
        <v>5626</v>
      </c>
      <c r="J442" s="122" t="s">
        <v>6372</v>
      </c>
      <c r="K442" s="122" t="s">
        <v>3419</v>
      </c>
      <c r="L442" s="122" t="s">
        <v>3420</v>
      </c>
      <c r="M442" s="122" t="s">
        <v>3504</v>
      </c>
      <c r="O442" s="141" t="s">
        <v>566</v>
      </c>
      <c r="P442" s="141" t="s">
        <v>6373</v>
      </c>
      <c r="Q442" s="122" t="s">
        <v>3424</v>
      </c>
      <c r="R442" s="142">
        <v>133</v>
      </c>
      <c r="S442" s="122" t="s">
        <v>6374</v>
      </c>
      <c r="U442" s="122" t="s">
        <v>4681</v>
      </c>
      <c r="W442" s="122" t="s">
        <v>246</v>
      </c>
      <c r="X442" s="122" t="s">
        <v>569</v>
      </c>
      <c r="Z442" s="122" t="s">
        <v>250</v>
      </c>
      <c r="AB442" s="122" t="s">
        <v>250</v>
      </c>
      <c r="AD442" s="122" t="s">
        <v>250</v>
      </c>
      <c r="AE442" s="122" t="s">
        <v>235</v>
      </c>
      <c r="AF442" s="122" t="s">
        <v>6375</v>
      </c>
      <c r="AG442" s="122" t="s">
        <v>253</v>
      </c>
      <c r="AH442" s="122" t="s">
        <v>253</v>
      </c>
      <c r="AI442" s="122" t="s">
        <v>6376</v>
      </c>
      <c r="AJ442" s="122" t="s">
        <v>6377</v>
      </c>
      <c r="AK442" s="122" t="s">
        <v>6378</v>
      </c>
      <c r="AL442" s="122" t="s">
        <v>253</v>
      </c>
      <c r="AM442" s="122" t="s">
        <v>253</v>
      </c>
      <c r="AN442" s="122" t="s">
        <v>253</v>
      </c>
      <c r="AO442" s="141" t="s">
        <v>247</v>
      </c>
      <c r="AP442" s="141" t="s">
        <v>247</v>
      </c>
      <c r="AQ442" s="141" t="s">
        <v>247</v>
      </c>
      <c r="AR442" s="141" t="s">
        <v>247</v>
      </c>
      <c r="AS442" s="141" t="s">
        <v>601</v>
      </c>
      <c r="AT442" s="141" t="s">
        <v>601</v>
      </c>
      <c r="AU442" s="141" t="s">
        <v>601</v>
      </c>
      <c r="AV442" s="122" t="s">
        <v>259</v>
      </c>
      <c r="AW442" s="122" t="s">
        <v>556</v>
      </c>
      <c r="AY442" s="141" t="s">
        <v>253</v>
      </c>
      <c r="AZ442" s="122" t="s">
        <v>262</v>
      </c>
      <c r="BA442" s="122" t="s">
        <v>262</v>
      </c>
      <c r="BB442" s="122" t="s">
        <v>262</v>
      </c>
      <c r="BD442" s="122" t="s">
        <v>253</v>
      </c>
      <c r="BE442" s="122" t="s">
        <v>263</v>
      </c>
      <c r="BF442" s="122" t="s">
        <v>4688</v>
      </c>
      <c r="BH442" s="122" t="s">
        <v>4681</v>
      </c>
      <c r="BI442" s="142">
        <v>133</v>
      </c>
      <c r="BK442" s="139" t="s">
        <v>558</v>
      </c>
    </row>
    <row r="443" spans="1:65" x14ac:dyDescent="0.25">
      <c r="A443" s="122" t="s">
        <v>230</v>
      </c>
      <c r="B443" s="122" t="s">
        <v>6379</v>
      </c>
      <c r="C443" s="122" t="s">
        <v>5521</v>
      </c>
      <c r="D443" s="122" t="s">
        <v>5522</v>
      </c>
      <c r="E443" s="123">
        <v>42219</v>
      </c>
      <c r="F443" s="122" t="s">
        <v>5523</v>
      </c>
      <c r="G443" s="122" t="s">
        <v>235</v>
      </c>
      <c r="H443" s="122" t="s">
        <v>5524</v>
      </c>
      <c r="I443" s="122" t="s">
        <v>5525</v>
      </c>
      <c r="K443" s="122" t="s">
        <v>3419</v>
      </c>
      <c r="L443" s="122" t="s">
        <v>3420</v>
      </c>
      <c r="M443" s="122" t="s">
        <v>3421</v>
      </c>
      <c r="O443" s="141" t="s">
        <v>566</v>
      </c>
      <c r="P443" s="141" t="s">
        <v>5526</v>
      </c>
      <c r="Q443" s="122" t="s">
        <v>3424</v>
      </c>
      <c r="R443" s="142">
        <v>134</v>
      </c>
      <c r="S443" s="122" t="s">
        <v>5527</v>
      </c>
      <c r="U443" s="122" t="s">
        <v>4681</v>
      </c>
      <c r="W443" s="122" t="s">
        <v>246</v>
      </c>
      <c r="X443" s="122" t="s">
        <v>3147</v>
      </c>
      <c r="Y443" s="141" t="s">
        <v>591</v>
      </c>
      <c r="Z443" s="122" t="s">
        <v>5528</v>
      </c>
      <c r="AA443" s="141" t="s">
        <v>2259</v>
      </c>
      <c r="AB443" s="122" t="s">
        <v>5529</v>
      </c>
      <c r="AC443" s="141" t="s">
        <v>765</v>
      </c>
      <c r="AD443" s="122" t="s">
        <v>5530</v>
      </c>
      <c r="AE443" s="122" t="s">
        <v>235</v>
      </c>
      <c r="AF443" s="122" t="s">
        <v>5531</v>
      </c>
      <c r="AG443" s="122" t="s">
        <v>537</v>
      </c>
      <c r="AH443" s="122" t="s">
        <v>253</v>
      </c>
      <c r="AI443" s="122" t="s">
        <v>5532</v>
      </c>
      <c r="AJ443" s="122" t="s">
        <v>253</v>
      </c>
      <c r="AK443" s="122" t="s">
        <v>253</v>
      </c>
      <c r="AL443" s="122" t="s">
        <v>5533</v>
      </c>
      <c r="AM443" s="122" t="s">
        <v>253</v>
      </c>
      <c r="AN443" s="122" t="s">
        <v>253</v>
      </c>
      <c r="AO443" s="141" t="s">
        <v>247</v>
      </c>
      <c r="AP443" s="141" t="s">
        <v>247</v>
      </c>
      <c r="AQ443" s="141" t="s">
        <v>247</v>
      </c>
      <c r="AR443" s="141" t="s">
        <v>247</v>
      </c>
      <c r="AS443" s="141" t="s">
        <v>601</v>
      </c>
      <c r="AT443" s="141" t="s">
        <v>601</v>
      </c>
      <c r="AU443" s="141" t="s">
        <v>601</v>
      </c>
      <c r="AV443" s="122" t="s">
        <v>259</v>
      </c>
      <c r="AW443" s="122" t="s">
        <v>556</v>
      </c>
      <c r="AX443" s="141" t="s">
        <v>5534</v>
      </c>
      <c r="AY443" s="141" t="s">
        <v>247</v>
      </c>
      <c r="AZ443" s="122" t="s">
        <v>5535</v>
      </c>
      <c r="BA443" s="122" t="s">
        <v>262</v>
      </c>
      <c r="BB443" s="122" t="s">
        <v>262</v>
      </c>
      <c r="BD443" s="122" t="s">
        <v>253</v>
      </c>
      <c r="BE443" s="122" t="s">
        <v>263</v>
      </c>
      <c r="BF443" s="122" t="s">
        <v>4688</v>
      </c>
      <c r="BH443" s="122" t="s">
        <v>4681</v>
      </c>
      <c r="BI443" s="142">
        <v>134</v>
      </c>
      <c r="BK443" s="139" t="s">
        <v>558</v>
      </c>
    </row>
    <row r="444" spans="1:65" x14ac:dyDescent="0.25">
      <c r="A444" s="122" t="s">
        <v>230</v>
      </c>
      <c r="B444" s="122" t="s">
        <v>6380</v>
      </c>
      <c r="C444" s="122" t="s">
        <v>6381</v>
      </c>
      <c r="D444" s="122" t="s">
        <v>6382</v>
      </c>
      <c r="E444" s="123">
        <v>42219</v>
      </c>
      <c r="F444" s="122" t="s">
        <v>716</v>
      </c>
      <c r="G444" s="122" t="s">
        <v>235</v>
      </c>
      <c r="H444" s="122" t="s">
        <v>6383</v>
      </c>
      <c r="I444" s="122" t="s">
        <v>6384</v>
      </c>
      <c r="K444" s="122" t="s">
        <v>3419</v>
      </c>
      <c r="L444" s="122" t="s">
        <v>3503</v>
      </c>
      <c r="M444" s="122" t="s">
        <v>3504</v>
      </c>
      <c r="O444" s="141" t="s">
        <v>2055</v>
      </c>
      <c r="P444" s="141" t="s">
        <v>6385</v>
      </c>
      <c r="Q444" s="122" t="s">
        <v>3424</v>
      </c>
      <c r="R444" s="142">
        <v>135</v>
      </c>
      <c r="S444" s="122" t="s">
        <v>6386</v>
      </c>
      <c r="U444" s="122" t="s">
        <v>4681</v>
      </c>
      <c r="W444" s="122" t="s">
        <v>246</v>
      </c>
      <c r="X444" s="122" t="s">
        <v>721</v>
      </c>
      <c r="Y444" s="141" t="s">
        <v>578</v>
      </c>
      <c r="Z444" s="122" t="s">
        <v>835</v>
      </c>
      <c r="AA444" s="141" t="s">
        <v>956</v>
      </c>
      <c r="AB444" s="122" t="s">
        <v>959</v>
      </c>
      <c r="AC444" s="141" t="s">
        <v>500</v>
      </c>
      <c r="AD444" s="122" t="s">
        <v>6387</v>
      </c>
      <c r="AE444" s="122" t="s">
        <v>235</v>
      </c>
      <c r="AF444" s="122" t="s">
        <v>6388</v>
      </c>
      <c r="AG444" s="122" t="s">
        <v>6389</v>
      </c>
      <c r="AH444" s="122" t="s">
        <v>253</v>
      </c>
      <c r="AI444" s="122" t="s">
        <v>6390</v>
      </c>
      <c r="AJ444" s="122" t="s">
        <v>6391</v>
      </c>
      <c r="AK444" s="122" t="s">
        <v>253</v>
      </c>
      <c r="AL444" s="122" t="s">
        <v>253</v>
      </c>
      <c r="AM444" s="122" t="s">
        <v>253</v>
      </c>
      <c r="AN444" s="122" t="s">
        <v>253</v>
      </c>
      <c r="AO444" s="141" t="s">
        <v>247</v>
      </c>
      <c r="AP444" s="141" t="s">
        <v>247</v>
      </c>
      <c r="AQ444" s="141" t="s">
        <v>247</v>
      </c>
      <c r="AR444" s="141" t="s">
        <v>247</v>
      </c>
      <c r="AS444" s="141" t="s">
        <v>257</v>
      </c>
      <c r="AT444" s="141" t="s">
        <v>257</v>
      </c>
      <c r="AU444" s="141" t="s">
        <v>601</v>
      </c>
      <c r="AV444" s="122" t="s">
        <v>259</v>
      </c>
      <c r="AW444" s="122" t="s">
        <v>556</v>
      </c>
      <c r="AX444" s="141" t="s">
        <v>711</v>
      </c>
      <c r="AY444" s="141" t="s">
        <v>247</v>
      </c>
      <c r="AZ444" s="122" t="s">
        <v>6392</v>
      </c>
      <c r="BA444" s="122" t="s">
        <v>262</v>
      </c>
      <c r="BB444" s="122" t="s">
        <v>262</v>
      </c>
      <c r="BD444" s="122" t="s">
        <v>253</v>
      </c>
      <c r="BE444" s="122" t="s">
        <v>263</v>
      </c>
      <c r="BF444" s="122" t="s">
        <v>4688</v>
      </c>
      <c r="BH444" s="122" t="s">
        <v>4681</v>
      </c>
      <c r="BI444" s="142">
        <v>135</v>
      </c>
      <c r="BJ444" s="123">
        <v>42229</v>
      </c>
      <c r="BK444" s="139" t="s">
        <v>264</v>
      </c>
      <c r="BL444" s="140">
        <v>488.62</v>
      </c>
      <c r="BM444" s="122">
        <v>33</v>
      </c>
    </row>
    <row r="445" spans="1:65" x14ac:dyDescent="0.25">
      <c r="A445" s="122" t="s">
        <v>230</v>
      </c>
      <c r="B445" s="122" t="s">
        <v>6393</v>
      </c>
      <c r="C445" s="122" t="s">
        <v>5578</v>
      </c>
      <c r="D445" s="122" t="s">
        <v>5579</v>
      </c>
      <c r="E445" s="123">
        <v>42219</v>
      </c>
      <c r="F445" s="122" t="s">
        <v>1778</v>
      </c>
      <c r="G445" s="122" t="s">
        <v>235</v>
      </c>
      <c r="H445" s="122" t="s">
        <v>5580</v>
      </c>
      <c r="I445" s="122" t="s">
        <v>5581</v>
      </c>
      <c r="K445" s="122" t="s">
        <v>3419</v>
      </c>
      <c r="L445" s="122" t="s">
        <v>3503</v>
      </c>
      <c r="M445" s="122" t="s">
        <v>3504</v>
      </c>
      <c r="O445" s="141" t="s">
        <v>566</v>
      </c>
      <c r="P445" s="141" t="s">
        <v>5582</v>
      </c>
      <c r="Q445" s="122" t="s">
        <v>3424</v>
      </c>
      <c r="R445" s="142">
        <v>136</v>
      </c>
      <c r="S445" s="122" t="s">
        <v>5583</v>
      </c>
      <c r="U445" s="122" t="s">
        <v>4681</v>
      </c>
      <c r="W445" s="122" t="s">
        <v>246</v>
      </c>
      <c r="X445" s="122" t="s">
        <v>739</v>
      </c>
      <c r="Y445" s="141" t="s">
        <v>1141</v>
      </c>
      <c r="Z445" s="122" t="s">
        <v>5584</v>
      </c>
      <c r="AA445" s="141" t="s">
        <v>593</v>
      </c>
      <c r="AB445" s="122" t="s">
        <v>5585</v>
      </c>
      <c r="AD445" s="122" t="s">
        <v>250</v>
      </c>
      <c r="AE445" s="122" t="s">
        <v>235</v>
      </c>
      <c r="AF445" s="122" t="s">
        <v>5586</v>
      </c>
      <c r="AG445" s="122" t="s">
        <v>5587</v>
      </c>
      <c r="AH445" s="122" t="s">
        <v>253</v>
      </c>
      <c r="AI445" s="122" t="s">
        <v>5588</v>
      </c>
      <c r="AJ445" s="122" t="s">
        <v>253</v>
      </c>
      <c r="AK445" s="122" t="s">
        <v>5589</v>
      </c>
      <c r="AL445" s="122" t="s">
        <v>253</v>
      </c>
      <c r="AM445" s="122" t="s">
        <v>253</v>
      </c>
      <c r="AN445" s="122" t="s">
        <v>253</v>
      </c>
      <c r="AO445" s="141" t="s">
        <v>247</v>
      </c>
      <c r="AP445" s="141" t="s">
        <v>247</v>
      </c>
      <c r="AQ445" s="141" t="s">
        <v>247</v>
      </c>
      <c r="AR445" s="141" t="s">
        <v>247</v>
      </c>
      <c r="AS445" s="141" t="s">
        <v>601</v>
      </c>
      <c r="AT445" s="141" t="s">
        <v>601</v>
      </c>
      <c r="AU445" s="141" t="s">
        <v>601</v>
      </c>
      <c r="AV445" s="122" t="s">
        <v>259</v>
      </c>
      <c r="AW445" s="122" t="s">
        <v>556</v>
      </c>
      <c r="AX445" s="141" t="s">
        <v>1149</v>
      </c>
      <c r="AY445" s="141" t="s">
        <v>603</v>
      </c>
      <c r="AZ445" s="122" t="s">
        <v>5590</v>
      </c>
      <c r="BA445" s="122" t="s">
        <v>262</v>
      </c>
      <c r="BB445" s="122" t="s">
        <v>5591</v>
      </c>
      <c r="BD445" s="122" t="s">
        <v>253</v>
      </c>
      <c r="BE445" s="122" t="s">
        <v>263</v>
      </c>
      <c r="BF445" s="122" t="s">
        <v>4688</v>
      </c>
      <c r="BH445" s="122" t="s">
        <v>4681</v>
      </c>
      <c r="BI445" s="142">
        <v>136</v>
      </c>
      <c r="BK445" s="139" t="s">
        <v>558</v>
      </c>
    </row>
    <row r="446" spans="1:65" x14ac:dyDescent="0.25">
      <c r="A446" s="122" t="s">
        <v>888</v>
      </c>
      <c r="B446" s="122" t="s">
        <v>6394</v>
      </c>
      <c r="C446" s="122" t="s">
        <v>6395</v>
      </c>
      <c r="D446" s="122" t="s">
        <v>6396</v>
      </c>
      <c r="E446" s="123">
        <v>42219</v>
      </c>
      <c r="F446" s="122" t="s">
        <v>6397</v>
      </c>
      <c r="G446" s="122" t="s">
        <v>235</v>
      </c>
      <c r="H446" s="122" t="s">
        <v>6398</v>
      </c>
      <c r="I446" s="122" t="s">
        <v>6399</v>
      </c>
      <c r="K446" s="122" t="s">
        <v>3419</v>
      </c>
      <c r="L446" s="122" t="s">
        <v>3503</v>
      </c>
      <c r="M446" s="122" t="s">
        <v>3421</v>
      </c>
      <c r="O446" s="141" t="s">
        <v>273</v>
      </c>
      <c r="P446" s="141" t="s">
        <v>6400</v>
      </c>
      <c r="Q446" s="122" t="s">
        <v>3424</v>
      </c>
      <c r="R446" s="142">
        <v>137</v>
      </c>
      <c r="S446" s="122" t="s">
        <v>6401</v>
      </c>
      <c r="U446" s="122" t="s">
        <v>4681</v>
      </c>
      <c r="W446" s="122" t="s">
        <v>246</v>
      </c>
      <c r="X446" s="122" t="s">
        <v>853</v>
      </c>
      <c r="Y446" s="141" t="s">
        <v>834</v>
      </c>
      <c r="Z446" s="122" t="s">
        <v>959</v>
      </c>
      <c r="AA446" s="141" t="s">
        <v>985</v>
      </c>
      <c r="AB446" s="122" t="s">
        <v>919</v>
      </c>
      <c r="AC446" s="141" t="s">
        <v>1679</v>
      </c>
      <c r="AD446" s="122" t="s">
        <v>6402</v>
      </c>
      <c r="AE446" s="122" t="s">
        <v>235</v>
      </c>
      <c r="AF446" s="122" t="s">
        <v>6403</v>
      </c>
      <c r="AG446" s="122" t="s">
        <v>537</v>
      </c>
      <c r="AH446" s="122" t="s">
        <v>253</v>
      </c>
      <c r="AI446" s="122" t="s">
        <v>6404</v>
      </c>
      <c r="AJ446" s="122" t="s">
        <v>6405</v>
      </c>
      <c r="AK446" s="122" t="s">
        <v>6406</v>
      </c>
      <c r="AL446" s="122" t="s">
        <v>6407</v>
      </c>
      <c r="AM446" s="122" t="s">
        <v>253</v>
      </c>
      <c r="AN446" s="122" t="s">
        <v>253</v>
      </c>
      <c r="AO446" s="141" t="s">
        <v>253</v>
      </c>
      <c r="AP446" s="141" t="s">
        <v>253</v>
      </c>
      <c r="AQ446" s="141" t="s">
        <v>253</v>
      </c>
      <c r="AR446" s="141" t="s">
        <v>247</v>
      </c>
      <c r="AS446" s="141" t="s">
        <v>361</v>
      </c>
      <c r="AT446" s="141" t="s">
        <v>258</v>
      </c>
      <c r="AU446" s="141" t="s">
        <v>601</v>
      </c>
      <c r="AV446" s="122" t="s">
        <v>259</v>
      </c>
      <c r="AW446" s="122" t="s">
        <v>556</v>
      </c>
      <c r="AX446" s="141" t="s">
        <v>6408</v>
      </c>
      <c r="AY446" s="141" t="s">
        <v>603</v>
      </c>
      <c r="AZ446" s="122" t="s">
        <v>6409</v>
      </c>
      <c r="BA446" s="122" t="s">
        <v>262</v>
      </c>
      <c r="BB446" s="122" t="s">
        <v>262</v>
      </c>
      <c r="BD446" s="122" t="s">
        <v>253</v>
      </c>
      <c r="BE446" s="122" t="s">
        <v>263</v>
      </c>
      <c r="BF446" s="122" t="s">
        <v>4688</v>
      </c>
      <c r="BH446" s="122" t="s">
        <v>4681</v>
      </c>
      <c r="BI446" s="142">
        <v>137</v>
      </c>
      <c r="BJ446" s="123">
        <v>42232</v>
      </c>
      <c r="BK446" s="139" t="s">
        <v>606</v>
      </c>
      <c r="BM446" s="122">
        <v>33</v>
      </c>
    </row>
    <row r="447" spans="1:65" x14ac:dyDescent="0.25">
      <c r="A447" s="122" t="s">
        <v>888</v>
      </c>
      <c r="B447" s="122" t="s">
        <v>6410</v>
      </c>
      <c r="C447" s="122" t="s">
        <v>6411</v>
      </c>
      <c r="D447" s="122" t="s">
        <v>6412</v>
      </c>
      <c r="E447" s="123">
        <v>42219</v>
      </c>
      <c r="F447" s="122" t="s">
        <v>6413</v>
      </c>
      <c r="G447" s="122" t="s">
        <v>235</v>
      </c>
      <c r="H447" s="122" t="s">
        <v>6414</v>
      </c>
      <c r="I447" s="122" t="s">
        <v>6415</v>
      </c>
      <c r="K447" s="122" t="s">
        <v>5800</v>
      </c>
      <c r="L447" s="122" t="s">
        <v>5801</v>
      </c>
      <c r="M447" s="122" t="s">
        <v>5802</v>
      </c>
      <c r="N447" s="122" t="s">
        <v>6416</v>
      </c>
      <c r="O447" s="141" t="s">
        <v>1174</v>
      </c>
      <c r="P447" s="141" t="s">
        <v>6417</v>
      </c>
      <c r="Q447" s="122" t="s">
        <v>5805</v>
      </c>
      <c r="R447" s="142">
        <v>138</v>
      </c>
      <c r="S447" s="122" t="s">
        <v>6418</v>
      </c>
      <c r="U447" s="122" t="s">
        <v>4681</v>
      </c>
      <c r="W447" s="122" t="s">
        <v>246</v>
      </c>
      <c r="X447" s="122" t="s">
        <v>972</v>
      </c>
      <c r="Y447" s="141" t="s">
        <v>2700</v>
      </c>
      <c r="Z447" s="122" t="s">
        <v>6419</v>
      </c>
      <c r="AA447" s="141" t="s">
        <v>3664</v>
      </c>
      <c r="AB447" s="122" t="s">
        <v>6420</v>
      </c>
      <c r="AC447" s="141" t="s">
        <v>1344</v>
      </c>
      <c r="AD447" s="122" t="s">
        <v>6421</v>
      </c>
      <c r="AE447" s="122" t="s">
        <v>235</v>
      </c>
      <c r="AF447" s="122" t="s">
        <v>6422</v>
      </c>
      <c r="AG447" s="122" t="s">
        <v>253</v>
      </c>
      <c r="AH447" s="122" t="s">
        <v>253</v>
      </c>
      <c r="AI447" s="122" t="s">
        <v>6423</v>
      </c>
      <c r="AJ447" s="122" t="s">
        <v>6424</v>
      </c>
      <c r="AK447" s="122" t="s">
        <v>6425</v>
      </c>
      <c r="AL447" s="122" t="s">
        <v>253</v>
      </c>
      <c r="AM447" s="122" t="s">
        <v>253</v>
      </c>
      <c r="AN447" s="122" t="s">
        <v>253</v>
      </c>
      <c r="AO447" s="141" t="s">
        <v>253</v>
      </c>
      <c r="AP447" s="141" t="s">
        <v>253</v>
      </c>
      <c r="AQ447" s="141" t="s">
        <v>253</v>
      </c>
      <c r="AR447" s="141" t="s">
        <v>247</v>
      </c>
      <c r="AS447" s="141" t="s">
        <v>361</v>
      </c>
      <c r="AT447" s="141" t="s">
        <v>258</v>
      </c>
      <c r="AU447" s="141" t="s">
        <v>601</v>
      </c>
      <c r="AV447" s="122" t="s">
        <v>259</v>
      </c>
      <c r="AW447" s="122" t="s">
        <v>556</v>
      </c>
      <c r="AY447" s="141" t="s">
        <v>253</v>
      </c>
      <c r="AZ447" s="122" t="s">
        <v>6426</v>
      </c>
      <c r="BA447" s="122" t="s">
        <v>262</v>
      </c>
      <c r="BB447" s="122" t="s">
        <v>262</v>
      </c>
      <c r="BC447" s="141" t="s">
        <v>312</v>
      </c>
      <c r="BD447" s="122" t="s">
        <v>253</v>
      </c>
      <c r="BE447" s="122" t="s">
        <v>263</v>
      </c>
      <c r="BF447" s="122" t="s">
        <v>4688</v>
      </c>
      <c r="BH447" s="122" t="s">
        <v>4681</v>
      </c>
      <c r="BI447" s="142">
        <v>138</v>
      </c>
      <c r="BJ447" s="123">
        <v>42233</v>
      </c>
      <c r="BK447" s="139" t="s">
        <v>606</v>
      </c>
      <c r="BM447" s="122">
        <v>34</v>
      </c>
    </row>
    <row r="448" spans="1:65" x14ac:dyDescent="0.25">
      <c r="A448" s="122" t="s">
        <v>404</v>
      </c>
      <c r="B448" s="122" t="s">
        <v>6427</v>
      </c>
      <c r="C448" s="122" t="s">
        <v>6428</v>
      </c>
      <c r="D448" s="122" t="s">
        <v>6429</v>
      </c>
      <c r="E448" s="123">
        <v>42219</v>
      </c>
      <c r="F448" s="122" t="s">
        <v>6430</v>
      </c>
      <c r="G448" s="122" t="s">
        <v>235</v>
      </c>
      <c r="H448" s="122" t="s">
        <v>6431</v>
      </c>
      <c r="I448" s="122" t="s">
        <v>5921</v>
      </c>
      <c r="J448" s="122" t="s">
        <v>6432</v>
      </c>
      <c r="K448" s="122" t="s">
        <v>3419</v>
      </c>
      <c r="L448" s="122" t="s">
        <v>3503</v>
      </c>
      <c r="M448" s="122" t="s">
        <v>3504</v>
      </c>
      <c r="O448" s="141" t="s">
        <v>548</v>
      </c>
      <c r="P448" s="141" t="s">
        <v>6433</v>
      </c>
      <c r="Q448" s="122" t="s">
        <v>3424</v>
      </c>
      <c r="R448" s="142">
        <v>139</v>
      </c>
      <c r="S448" s="122" t="s">
        <v>6434</v>
      </c>
      <c r="U448" s="122" t="s">
        <v>4681</v>
      </c>
      <c r="V448" s="122" t="s">
        <v>351</v>
      </c>
      <c r="W448" s="122" t="s">
        <v>246</v>
      </c>
      <c r="X448" s="122" t="s">
        <v>302</v>
      </c>
      <c r="Y448" s="141" t="s">
        <v>958</v>
      </c>
      <c r="Z448" s="122" t="s">
        <v>6435</v>
      </c>
      <c r="AA448" s="141" t="s">
        <v>899</v>
      </c>
      <c r="AB448" s="122" t="s">
        <v>6436</v>
      </c>
      <c r="AC448" s="141" t="s">
        <v>2766</v>
      </c>
      <c r="AD448" s="122" t="s">
        <v>6437</v>
      </c>
      <c r="AE448" s="122" t="s">
        <v>235</v>
      </c>
      <c r="AF448" s="122" t="s">
        <v>6438</v>
      </c>
      <c r="AG448" s="122" t="s">
        <v>537</v>
      </c>
      <c r="AH448" s="122" t="s">
        <v>253</v>
      </c>
      <c r="AI448" s="122" t="s">
        <v>6439</v>
      </c>
      <c r="AJ448" s="122" t="s">
        <v>6440</v>
      </c>
      <c r="AK448" s="122" t="s">
        <v>253</v>
      </c>
      <c r="AL448" s="122" t="s">
        <v>253</v>
      </c>
      <c r="AM448" s="122" t="s">
        <v>253</v>
      </c>
      <c r="AN448" s="122" t="s">
        <v>253</v>
      </c>
      <c r="AO448" s="141" t="s">
        <v>247</v>
      </c>
      <c r="AP448" s="141" t="s">
        <v>247</v>
      </c>
      <c r="AQ448" s="141" t="s">
        <v>247</v>
      </c>
      <c r="AR448" s="141" t="s">
        <v>247</v>
      </c>
      <c r="AS448" s="141" t="s">
        <v>257</v>
      </c>
      <c r="AT448" s="141" t="s">
        <v>257</v>
      </c>
      <c r="AU448" s="141" t="s">
        <v>601</v>
      </c>
      <c r="AV448" s="122" t="s">
        <v>259</v>
      </c>
      <c r="AW448" s="122" t="s">
        <v>556</v>
      </c>
      <c r="AY448" s="141" t="s">
        <v>253</v>
      </c>
      <c r="AZ448" s="122" t="s">
        <v>6441</v>
      </c>
      <c r="BA448" s="122" t="s">
        <v>262</v>
      </c>
      <c r="BB448" s="122" t="s">
        <v>262</v>
      </c>
      <c r="BD448" s="122" t="s">
        <v>253</v>
      </c>
      <c r="BE448" s="122" t="s">
        <v>263</v>
      </c>
      <c r="BF448" s="122" t="s">
        <v>4688</v>
      </c>
      <c r="BH448" s="122" t="s">
        <v>4681</v>
      </c>
      <c r="BI448" s="142">
        <v>139</v>
      </c>
      <c r="BJ448" s="123">
        <v>42233</v>
      </c>
      <c r="BK448" s="139" t="s">
        <v>606</v>
      </c>
      <c r="BM448" s="122">
        <v>34</v>
      </c>
    </row>
    <row r="449" spans="1:64" x14ac:dyDescent="0.25">
      <c r="A449" s="122" t="s">
        <v>422</v>
      </c>
      <c r="B449" s="122" t="s">
        <v>6442</v>
      </c>
      <c r="C449" s="122" t="s">
        <v>5893</v>
      </c>
      <c r="D449" s="122" t="s">
        <v>5894</v>
      </c>
      <c r="E449" s="123">
        <v>42219</v>
      </c>
      <c r="F449" s="122" t="s">
        <v>1258</v>
      </c>
      <c r="G449" s="122" t="s">
        <v>235</v>
      </c>
      <c r="H449" s="122" t="s">
        <v>5895</v>
      </c>
      <c r="I449" s="122" t="s">
        <v>5896</v>
      </c>
      <c r="K449" s="122" t="s">
        <v>3419</v>
      </c>
      <c r="L449" s="122" t="s">
        <v>3420</v>
      </c>
      <c r="M449" s="122" t="s">
        <v>3504</v>
      </c>
      <c r="O449" s="141" t="s">
        <v>548</v>
      </c>
      <c r="P449" s="141" t="s">
        <v>5897</v>
      </c>
      <c r="Q449" s="122" t="s">
        <v>3424</v>
      </c>
      <c r="R449" s="142">
        <v>140</v>
      </c>
      <c r="S449" s="122" t="s">
        <v>5898</v>
      </c>
      <c r="U449" s="122" t="s">
        <v>4681</v>
      </c>
      <c r="W449" s="122" t="s">
        <v>246</v>
      </c>
      <c r="X449" s="122" t="s">
        <v>603</v>
      </c>
      <c r="Z449" s="122" t="s">
        <v>250</v>
      </c>
      <c r="AB449" s="122" t="s">
        <v>250</v>
      </c>
      <c r="AD449" s="122" t="s">
        <v>250</v>
      </c>
      <c r="AE449" s="122" t="s">
        <v>235</v>
      </c>
      <c r="AF449" s="122" t="s">
        <v>5899</v>
      </c>
      <c r="AG449" s="122" t="s">
        <v>253</v>
      </c>
      <c r="AH449" s="122" t="s">
        <v>253</v>
      </c>
      <c r="AI449" s="122" t="s">
        <v>5900</v>
      </c>
      <c r="AJ449" s="122" t="s">
        <v>5901</v>
      </c>
      <c r="AK449" s="122" t="s">
        <v>5902</v>
      </c>
      <c r="AL449" s="122" t="s">
        <v>253</v>
      </c>
      <c r="AM449" s="122" t="s">
        <v>253</v>
      </c>
      <c r="AN449" s="122" t="s">
        <v>253</v>
      </c>
      <c r="AO449" s="141" t="s">
        <v>247</v>
      </c>
      <c r="AP449" s="141" t="s">
        <v>247</v>
      </c>
      <c r="AQ449" s="141" t="s">
        <v>247</v>
      </c>
      <c r="AR449" s="141" t="s">
        <v>247</v>
      </c>
      <c r="AS449" s="141" t="s">
        <v>601</v>
      </c>
      <c r="AT449" s="141" t="s">
        <v>601</v>
      </c>
      <c r="AU449" s="141" t="s">
        <v>601</v>
      </c>
      <c r="AV449" s="122" t="s">
        <v>259</v>
      </c>
      <c r="AW449" s="122" t="s">
        <v>556</v>
      </c>
      <c r="AY449" s="141" t="s">
        <v>253</v>
      </c>
      <c r="AZ449" s="122" t="s">
        <v>5903</v>
      </c>
      <c r="BA449" s="122" t="s">
        <v>262</v>
      </c>
      <c r="BB449" s="122" t="s">
        <v>5904</v>
      </c>
      <c r="BD449" s="122" t="s">
        <v>253</v>
      </c>
      <c r="BE449" s="122" t="s">
        <v>263</v>
      </c>
      <c r="BF449" s="122" t="s">
        <v>4688</v>
      </c>
      <c r="BH449" s="122" t="s">
        <v>4681</v>
      </c>
      <c r="BI449" s="142">
        <v>140</v>
      </c>
      <c r="BK449" s="139" t="s">
        <v>558</v>
      </c>
    </row>
    <row r="450" spans="1:64" x14ac:dyDescent="0.25">
      <c r="A450" s="122" t="s">
        <v>422</v>
      </c>
      <c r="B450" s="122" t="s">
        <v>6443</v>
      </c>
      <c r="C450" s="122" t="s">
        <v>5973</v>
      </c>
      <c r="D450" s="122" t="s">
        <v>5974</v>
      </c>
      <c r="E450" s="123">
        <v>42219</v>
      </c>
      <c r="F450" s="122" t="s">
        <v>1344</v>
      </c>
      <c r="G450" s="122" t="s">
        <v>235</v>
      </c>
      <c r="H450" s="122" t="s">
        <v>5975</v>
      </c>
      <c r="I450" s="122" t="s">
        <v>5976</v>
      </c>
      <c r="K450" s="122" t="s">
        <v>3419</v>
      </c>
      <c r="L450" s="122" t="s">
        <v>3420</v>
      </c>
      <c r="M450" s="122" t="s">
        <v>3421</v>
      </c>
      <c r="O450" s="141" t="s">
        <v>1240</v>
      </c>
      <c r="P450" s="141" t="s">
        <v>5977</v>
      </c>
      <c r="Q450" s="122" t="s">
        <v>3424</v>
      </c>
      <c r="R450" s="142">
        <v>141</v>
      </c>
      <c r="S450" s="122" t="s">
        <v>5978</v>
      </c>
      <c r="U450" s="122" t="s">
        <v>4681</v>
      </c>
      <c r="W450" s="122" t="s">
        <v>246</v>
      </c>
      <c r="X450" s="122" t="s">
        <v>4409</v>
      </c>
      <c r="Y450" s="141" t="s">
        <v>740</v>
      </c>
      <c r="Z450" s="122" t="s">
        <v>5979</v>
      </c>
      <c r="AA450" s="141" t="s">
        <v>1325</v>
      </c>
      <c r="AB450" s="122" t="s">
        <v>5980</v>
      </c>
      <c r="AC450" s="141" t="s">
        <v>5981</v>
      </c>
      <c r="AD450" s="122" t="s">
        <v>5982</v>
      </c>
      <c r="AE450" s="122" t="s">
        <v>235</v>
      </c>
      <c r="AF450" s="122" t="s">
        <v>5983</v>
      </c>
      <c r="AG450" s="122" t="s">
        <v>253</v>
      </c>
      <c r="AH450" s="122" t="s">
        <v>253</v>
      </c>
      <c r="AI450" s="122" t="s">
        <v>5984</v>
      </c>
      <c r="AJ450" s="122" t="s">
        <v>5985</v>
      </c>
      <c r="AK450" s="122" t="s">
        <v>253</v>
      </c>
      <c r="AL450" s="122" t="s">
        <v>5986</v>
      </c>
      <c r="AM450" s="122" t="s">
        <v>253</v>
      </c>
      <c r="AN450" s="122" t="s">
        <v>253</v>
      </c>
      <c r="AO450" s="141" t="s">
        <v>247</v>
      </c>
      <c r="AP450" s="141" t="s">
        <v>247</v>
      </c>
      <c r="AQ450" s="141" t="s">
        <v>247</v>
      </c>
      <c r="AR450" s="141" t="s">
        <v>247</v>
      </c>
      <c r="AS450" s="141" t="s">
        <v>601</v>
      </c>
      <c r="AT450" s="141" t="s">
        <v>601</v>
      </c>
      <c r="AU450" s="141" t="s">
        <v>601</v>
      </c>
      <c r="AV450" s="122" t="s">
        <v>259</v>
      </c>
      <c r="AW450" s="122" t="s">
        <v>556</v>
      </c>
      <c r="AX450" s="141" t="s">
        <v>4015</v>
      </c>
      <c r="AY450" s="141" t="s">
        <v>247</v>
      </c>
      <c r="AZ450" s="122" t="s">
        <v>5987</v>
      </c>
      <c r="BA450" s="122" t="s">
        <v>262</v>
      </c>
      <c r="BB450" s="122" t="s">
        <v>262</v>
      </c>
      <c r="BD450" s="122" t="s">
        <v>253</v>
      </c>
      <c r="BE450" s="122" t="s">
        <v>263</v>
      </c>
      <c r="BF450" s="122" t="s">
        <v>4688</v>
      </c>
      <c r="BH450" s="122" t="s">
        <v>4681</v>
      </c>
      <c r="BI450" s="142">
        <v>141</v>
      </c>
      <c r="BK450" s="139" t="s">
        <v>558</v>
      </c>
    </row>
    <row r="451" spans="1:64" x14ac:dyDescent="0.25">
      <c r="BJ451" s="122"/>
      <c r="BK451" s="122"/>
      <c r="BL451" s="122"/>
    </row>
    <row r="452" spans="1:64" x14ac:dyDescent="0.25">
      <c r="BJ452" s="122"/>
      <c r="BK452" s="122"/>
      <c r="BL452" s="122"/>
    </row>
    <row r="453" spans="1:64" x14ac:dyDescent="0.25">
      <c r="BJ453" s="122"/>
      <c r="BK453" s="122"/>
      <c r="BL453" s="122"/>
    </row>
    <row r="454" spans="1:64" x14ac:dyDescent="0.25">
      <c r="BJ454" s="122"/>
      <c r="BK454" s="122"/>
      <c r="BL454" s="122"/>
    </row>
    <row r="455" spans="1:64" x14ac:dyDescent="0.25">
      <c r="BJ455" s="122"/>
      <c r="BK455" s="122"/>
      <c r="BL455" s="122"/>
    </row>
    <row r="456" spans="1:64" x14ac:dyDescent="0.25">
      <c r="BJ456" s="122"/>
      <c r="BK456" s="122"/>
      <c r="BL456" s="122"/>
    </row>
    <row r="457" spans="1:64" x14ac:dyDescent="0.25">
      <c r="BJ457" s="122"/>
      <c r="BK457" s="122"/>
      <c r="BL457" s="122"/>
    </row>
    <row r="458" spans="1:64" x14ac:dyDescent="0.25">
      <c r="BJ458" s="122"/>
      <c r="BK458" s="122"/>
      <c r="BL458" s="122"/>
    </row>
    <row r="459" spans="1:64" x14ac:dyDescent="0.25">
      <c r="BJ459" s="122"/>
      <c r="BK459" s="122"/>
      <c r="BL459" s="122"/>
    </row>
    <row r="460" spans="1:64" x14ac:dyDescent="0.25">
      <c r="BJ460" s="122"/>
      <c r="BK460" s="122"/>
      <c r="BL460" s="122"/>
    </row>
    <row r="461" spans="1:64" x14ac:dyDescent="0.25">
      <c r="BJ461" s="122"/>
      <c r="BK461" s="122"/>
      <c r="BL461" s="122"/>
    </row>
    <row r="462" spans="1:64" x14ac:dyDescent="0.25">
      <c r="BJ462" s="122"/>
      <c r="BK462" s="122"/>
      <c r="BL462" s="122"/>
    </row>
    <row r="463" spans="1:64" x14ac:dyDescent="0.25">
      <c r="BJ463" s="122"/>
      <c r="BK463" s="122"/>
      <c r="BL463" s="122"/>
    </row>
    <row r="464" spans="1:64" x14ac:dyDescent="0.25">
      <c r="BJ464" s="122"/>
      <c r="BK464" s="122"/>
      <c r="BL464" s="122"/>
    </row>
    <row r="465" s="122" customFormat="1" x14ac:dyDescent="0.25"/>
    <row r="466" s="122" customFormat="1" x14ac:dyDescent="0.25"/>
    <row r="467" s="122" customFormat="1" x14ac:dyDescent="0.25"/>
    <row r="468" s="122" customFormat="1" x14ac:dyDescent="0.25"/>
    <row r="469" s="122" customFormat="1" x14ac:dyDescent="0.25"/>
    <row r="470" s="122" customFormat="1" x14ac:dyDescent="0.25"/>
    <row r="471" s="122" customFormat="1" x14ac:dyDescent="0.25"/>
    <row r="472" s="122" customFormat="1" x14ac:dyDescent="0.25"/>
    <row r="473" s="122" customFormat="1" x14ac:dyDescent="0.25"/>
    <row r="474" s="122" customFormat="1" x14ac:dyDescent="0.25"/>
    <row r="475" s="122" customFormat="1" x14ac:dyDescent="0.25"/>
    <row r="476" s="122" customFormat="1" x14ac:dyDescent="0.25"/>
    <row r="477" s="122" customFormat="1" x14ac:dyDescent="0.25"/>
    <row r="478" s="122" customFormat="1" x14ac:dyDescent="0.25"/>
    <row r="479" s="122" customFormat="1" x14ac:dyDescent="0.25"/>
    <row r="480" s="122" customFormat="1" x14ac:dyDescent="0.25"/>
    <row r="481" s="122" customFormat="1" x14ac:dyDescent="0.25"/>
    <row r="482" s="122" customFormat="1" x14ac:dyDescent="0.25"/>
    <row r="483" s="122" customFormat="1" x14ac:dyDescent="0.25"/>
    <row r="484" s="122" customFormat="1" x14ac:dyDescent="0.25"/>
    <row r="485" s="122" customFormat="1" x14ac:dyDescent="0.25"/>
    <row r="486" s="122" customFormat="1" x14ac:dyDescent="0.25"/>
    <row r="487" s="122" customFormat="1" x14ac:dyDescent="0.25"/>
    <row r="488" s="122" customFormat="1" x14ac:dyDescent="0.25"/>
    <row r="489" s="122" customFormat="1" x14ac:dyDescent="0.25"/>
    <row r="490" s="122" customFormat="1" x14ac:dyDescent="0.25"/>
    <row r="491" s="122" customFormat="1" x14ac:dyDescent="0.25"/>
    <row r="492" s="122" customFormat="1" x14ac:dyDescent="0.25"/>
    <row r="493" s="122" customFormat="1" x14ac:dyDescent="0.25"/>
    <row r="494" s="122" customFormat="1" x14ac:dyDescent="0.25"/>
    <row r="495" s="122" customFormat="1" x14ac:dyDescent="0.25"/>
    <row r="496" s="122" customFormat="1" x14ac:dyDescent="0.25"/>
    <row r="497" s="122" customFormat="1" x14ac:dyDescent="0.25"/>
    <row r="498" s="122" customFormat="1" x14ac:dyDescent="0.25"/>
    <row r="499" s="122" customFormat="1" x14ac:dyDescent="0.25"/>
    <row r="500" s="122" customFormat="1" x14ac:dyDescent="0.25"/>
    <row r="501" s="122" customFormat="1" x14ac:dyDescent="0.25"/>
    <row r="502" s="122" customFormat="1" x14ac:dyDescent="0.25"/>
    <row r="503" s="122" customFormat="1" x14ac:dyDescent="0.25"/>
    <row r="504" s="122" customFormat="1" x14ac:dyDescent="0.25"/>
    <row r="505" s="122" customFormat="1" x14ac:dyDescent="0.25"/>
    <row r="506" s="122" customFormat="1" x14ac:dyDescent="0.25"/>
    <row r="507" s="122" customFormat="1" x14ac:dyDescent="0.25"/>
    <row r="508" s="122" customFormat="1" x14ac:dyDescent="0.25"/>
    <row r="509" s="122" customFormat="1" x14ac:dyDescent="0.25"/>
    <row r="510" s="122" customFormat="1" x14ac:dyDescent="0.25"/>
    <row r="511" s="122" customFormat="1" x14ac:dyDescent="0.25"/>
    <row r="512" s="122" customFormat="1" x14ac:dyDescent="0.25"/>
    <row r="513" s="122" customFormat="1" x14ac:dyDescent="0.25"/>
    <row r="514" s="122" customFormat="1" x14ac:dyDescent="0.25"/>
    <row r="515" s="122" customFormat="1" x14ac:dyDescent="0.25"/>
    <row r="516" s="122" customFormat="1" x14ac:dyDescent="0.25"/>
    <row r="517" s="122" customFormat="1" x14ac:dyDescent="0.25"/>
    <row r="518" s="122" customFormat="1" x14ac:dyDescent="0.25"/>
    <row r="519" s="122" customFormat="1" x14ac:dyDescent="0.25"/>
    <row r="520" s="122" customFormat="1" x14ac:dyDescent="0.25"/>
    <row r="521" s="122" customFormat="1" x14ac:dyDescent="0.25"/>
    <row r="522" s="122" customFormat="1" x14ac:dyDescent="0.25"/>
    <row r="523" s="122" customFormat="1" x14ac:dyDescent="0.25"/>
    <row r="524" s="122" customFormat="1" x14ac:dyDescent="0.25"/>
    <row r="525" s="122" customFormat="1" x14ac:dyDescent="0.25"/>
    <row r="526" s="122" customFormat="1" x14ac:dyDescent="0.25"/>
    <row r="527" s="122" customFormat="1" x14ac:dyDescent="0.25"/>
    <row r="528" s="122" customFormat="1" x14ac:dyDescent="0.25"/>
    <row r="529" s="122" customFormat="1" x14ac:dyDescent="0.25"/>
    <row r="530" s="122" customFormat="1" x14ac:dyDescent="0.25"/>
    <row r="531" s="122" customFormat="1" x14ac:dyDescent="0.25"/>
    <row r="532" s="122" customFormat="1" x14ac:dyDescent="0.25"/>
    <row r="533" s="122" customFormat="1" x14ac:dyDescent="0.25"/>
    <row r="534" s="122" customFormat="1" x14ac:dyDescent="0.25"/>
    <row r="535" s="122" customFormat="1" x14ac:dyDescent="0.25"/>
    <row r="536" s="122" customFormat="1" x14ac:dyDescent="0.25"/>
    <row r="537" s="122" customFormat="1" x14ac:dyDescent="0.25"/>
    <row r="538" s="122" customFormat="1" x14ac:dyDescent="0.25"/>
    <row r="539" s="122" customFormat="1" x14ac:dyDescent="0.25"/>
    <row r="540" s="122" customFormat="1" x14ac:dyDescent="0.25"/>
    <row r="541" s="122" customFormat="1" x14ac:dyDescent="0.25"/>
    <row r="542" s="122" customFormat="1" x14ac:dyDescent="0.25"/>
    <row r="543" s="122" customFormat="1" x14ac:dyDescent="0.25"/>
    <row r="544" s="122" customFormat="1" x14ac:dyDescent="0.25"/>
    <row r="545" s="122" customFormat="1" x14ac:dyDescent="0.25"/>
    <row r="546" s="122" customFormat="1" x14ac:dyDescent="0.25"/>
    <row r="547" s="122" customFormat="1" x14ac:dyDescent="0.25"/>
    <row r="548" s="122" customFormat="1" x14ac:dyDescent="0.25"/>
    <row r="549" s="122" customFormat="1" x14ac:dyDescent="0.25"/>
    <row r="550" s="122" customFormat="1" x14ac:dyDescent="0.25"/>
    <row r="551" s="122" customFormat="1" x14ac:dyDescent="0.25"/>
    <row r="552" s="122" customFormat="1" x14ac:dyDescent="0.25"/>
    <row r="553" s="122" customFormat="1" x14ac:dyDescent="0.25"/>
    <row r="554" s="122" customFormat="1" x14ac:dyDescent="0.25"/>
    <row r="555" s="122" customFormat="1" x14ac:dyDescent="0.25"/>
    <row r="556" s="122" customFormat="1" x14ac:dyDescent="0.25"/>
    <row r="557" s="122" customFormat="1" x14ac:dyDescent="0.25"/>
    <row r="558" s="122" customFormat="1" x14ac:dyDescent="0.25"/>
    <row r="559" s="122" customFormat="1" x14ac:dyDescent="0.25"/>
    <row r="560" s="122" customFormat="1" x14ac:dyDescent="0.25"/>
    <row r="561" s="122" customFormat="1" x14ac:dyDescent="0.25"/>
    <row r="562" s="122" customFormat="1" x14ac:dyDescent="0.25"/>
    <row r="563" s="122" customFormat="1" x14ac:dyDescent="0.25"/>
    <row r="564" s="122" customFormat="1" x14ac:dyDescent="0.25"/>
    <row r="565" s="122" customFormat="1" x14ac:dyDescent="0.25"/>
    <row r="566" s="122" customFormat="1" x14ac:dyDescent="0.25"/>
    <row r="567" s="122" customFormat="1" x14ac:dyDescent="0.25"/>
    <row r="568" s="122" customFormat="1" x14ac:dyDescent="0.25"/>
    <row r="569" s="122" customFormat="1" x14ac:dyDescent="0.25"/>
    <row r="570" s="122" customFormat="1" x14ac:dyDescent="0.25"/>
    <row r="571" s="122" customFormat="1" x14ac:dyDescent="0.25"/>
    <row r="572" s="122" customFormat="1" x14ac:dyDescent="0.25"/>
    <row r="573" s="122" customFormat="1" x14ac:dyDescent="0.25"/>
    <row r="574" s="122" customFormat="1" x14ac:dyDescent="0.25"/>
    <row r="575" s="122" customFormat="1" x14ac:dyDescent="0.25"/>
    <row r="576" s="122" customFormat="1" x14ac:dyDescent="0.25"/>
    <row r="577" s="122" customFormat="1" x14ac:dyDescent="0.25"/>
    <row r="578" s="122" customFormat="1" x14ac:dyDescent="0.25"/>
    <row r="579" s="122" customFormat="1" x14ac:dyDescent="0.25"/>
    <row r="580" s="122" customFormat="1" x14ac:dyDescent="0.25"/>
    <row r="581" s="122" customFormat="1" x14ac:dyDescent="0.25"/>
    <row r="582" s="122" customFormat="1" x14ac:dyDescent="0.25"/>
    <row r="583" s="122" customFormat="1" x14ac:dyDescent="0.25"/>
    <row r="584" s="122" customFormat="1" x14ac:dyDescent="0.25"/>
    <row r="585" s="122" customFormat="1" x14ac:dyDescent="0.25"/>
    <row r="586" s="122" customFormat="1" x14ac:dyDescent="0.25"/>
    <row r="587" s="122" customFormat="1" x14ac:dyDescent="0.25"/>
    <row r="588" s="122" customFormat="1" x14ac:dyDescent="0.25"/>
    <row r="589" s="122" customFormat="1" x14ac:dyDescent="0.25"/>
    <row r="590" s="122" customFormat="1" x14ac:dyDescent="0.25"/>
    <row r="591" s="122" customFormat="1" x14ac:dyDescent="0.25"/>
    <row r="592" s="122" customFormat="1" x14ac:dyDescent="0.25"/>
    <row r="593" s="122" customFormat="1" x14ac:dyDescent="0.25"/>
    <row r="594" s="122" customFormat="1" x14ac:dyDescent="0.25"/>
    <row r="595" s="122" customFormat="1" x14ac:dyDescent="0.25"/>
    <row r="596" s="122" customFormat="1" x14ac:dyDescent="0.25"/>
    <row r="597" s="122" customFormat="1" x14ac:dyDescent="0.25"/>
    <row r="598" s="122" customFormat="1" x14ac:dyDescent="0.25"/>
    <row r="599" s="122" customFormat="1" x14ac:dyDescent="0.25"/>
    <row r="600" s="122" customFormat="1" x14ac:dyDescent="0.25"/>
    <row r="601" s="122" customFormat="1" x14ac:dyDescent="0.25"/>
    <row r="602" s="122" customFormat="1" x14ac:dyDescent="0.25"/>
    <row r="603" s="122" customFormat="1" x14ac:dyDescent="0.25"/>
    <row r="604" s="122" customFormat="1" x14ac:dyDescent="0.25"/>
    <row r="605" s="122" customFormat="1" x14ac:dyDescent="0.25"/>
    <row r="606" s="122" customFormat="1" x14ac:dyDescent="0.25"/>
    <row r="607" s="122" customFormat="1" x14ac:dyDescent="0.25"/>
    <row r="608" s="122" customFormat="1" x14ac:dyDescent="0.25"/>
    <row r="609" s="122" customFormat="1" x14ac:dyDescent="0.25"/>
    <row r="610" s="122" customFormat="1" x14ac:dyDescent="0.25"/>
    <row r="611" s="122" customFormat="1" x14ac:dyDescent="0.25"/>
    <row r="612" s="122" customFormat="1" x14ac:dyDescent="0.25"/>
    <row r="613" s="122" customFormat="1" x14ac:dyDescent="0.25"/>
    <row r="614" s="122" customFormat="1" x14ac:dyDescent="0.25"/>
    <row r="615" s="122" customFormat="1" x14ac:dyDescent="0.25"/>
    <row r="616" s="122" customFormat="1" x14ac:dyDescent="0.25"/>
    <row r="617" s="122" customFormat="1" x14ac:dyDescent="0.25"/>
    <row r="618" s="122" customFormat="1" x14ac:dyDescent="0.25"/>
    <row r="619" s="122" customFormat="1" x14ac:dyDescent="0.25"/>
    <row r="620" s="122" customFormat="1" x14ac:dyDescent="0.25"/>
    <row r="621" s="122" customFormat="1" x14ac:dyDescent="0.25"/>
    <row r="622" s="122" customFormat="1" x14ac:dyDescent="0.25"/>
    <row r="623" s="122" customFormat="1" x14ac:dyDescent="0.25"/>
    <row r="624" s="122" customFormat="1" x14ac:dyDescent="0.25"/>
    <row r="625" s="122" customFormat="1" x14ac:dyDescent="0.25"/>
    <row r="626" s="122" customFormat="1" x14ac:dyDescent="0.25"/>
    <row r="627" s="122" customFormat="1" x14ac:dyDescent="0.25"/>
    <row r="628" s="122" customFormat="1" x14ac:dyDescent="0.25"/>
    <row r="629" s="122" customFormat="1" x14ac:dyDescent="0.25"/>
    <row r="630" s="122" customFormat="1" x14ac:dyDescent="0.25"/>
    <row r="631" s="122" customFormat="1" x14ac:dyDescent="0.25"/>
    <row r="632" s="122" customFormat="1" x14ac:dyDescent="0.25"/>
    <row r="633" s="122" customFormat="1" x14ac:dyDescent="0.25"/>
    <row r="634" s="122" customFormat="1" x14ac:dyDescent="0.25"/>
    <row r="635" s="122" customFormat="1" x14ac:dyDescent="0.25"/>
    <row r="636" s="122" customFormat="1" x14ac:dyDescent="0.25"/>
    <row r="637" s="122" customFormat="1" x14ac:dyDescent="0.25"/>
    <row r="638" s="122" customFormat="1" x14ac:dyDescent="0.25"/>
    <row r="639" s="122" customFormat="1" x14ac:dyDescent="0.25"/>
    <row r="640" s="122" customFormat="1" x14ac:dyDescent="0.25"/>
    <row r="641" s="122" customFormat="1" x14ac:dyDescent="0.25"/>
    <row r="642" s="122" customFormat="1" x14ac:dyDescent="0.25"/>
    <row r="643" s="122" customFormat="1" x14ac:dyDescent="0.25"/>
    <row r="644" s="122" customFormat="1" x14ac:dyDescent="0.25"/>
    <row r="645" s="122" customFormat="1" x14ac:dyDescent="0.25"/>
    <row r="646" s="122" customFormat="1" x14ac:dyDescent="0.25"/>
    <row r="647" s="122" customFormat="1" x14ac:dyDescent="0.25"/>
    <row r="648" s="122" customFormat="1" x14ac:dyDescent="0.25"/>
    <row r="649" s="122" customFormat="1" x14ac:dyDescent="0.25"/>
    <row r="650" s="122" customFormat="1" x14ac:dyDescent="0.25"/>
    <row r="651" s="122" customFormat="1" x14ac:dyDescent="0.25"/>
    <row r="652" s="122" customFormat="1" x14ac:dyDescent="0.25"/>
    <row r="653" s="122" customFormat="1" x14ac:dyDescent="0.25"/>
    <row r="654" s="122" customFormat="1" x14ac:dyDescent="0.25"/>
    <row r="655" s="122" customFormat="1" x14ac:dyDescent="0.25"/>
    <row r="656" s="122" customFormat="1" x14ac:dyDescent="0.25"/>
    <row r="657" s="122" customFormat="1" x14ac:dyDescent="0.25"/>
    <row r="658" s="122" customFormat="1" x14ac:dyDescent="0.25"/>
    <row r="659" s="122" customFormat="1" x14ac:dyDescent="0.25"/>
    <row r="660" s="122" customFormat="1" x14ac:dyDescent="0.25"/>
    <row r="661" s="122" customFormat="1" x14ac:dyDescent="0.25"/>
    <row r="662" s="122" customFormat="1" x14ac:dyDescent="0.25"/>
    <row r="663" s="122" customFormat="1" x14ac:dyDescent="0.25"/>
    <row r="664" s="122" customFormat="1" x14ac:dyDescent="0.25"/>
    <row r="665" s="122" customFormat="1" x14ac:dyDescent="0.25"/>
    <row r="666" s="122" customFormat="1" x14ac:dyDescent="0.25"/>
    <row r="667" s="122" customFormat="1" x14ac:dyDescent="0.25"/>
    <row r="668" s="122" customFormat="1" x14ac:dyDescent="0.25"/>
    <row r="669" s="122" customFormat="1" x14ac:dyDescent="0.25"/>
    <row r="670" s="122" customFormat="1" x14ac:dyDescent="0.25"/>
    <row r="671" s="122" customFormat="1" x14ac:dyDescent="0.25"/>
    <row r="672" s="122" customFormat="1" x14ac:dyDescent="0.25"/>
    <row r="673" s="122" customFormat="1" x14ac:dyDescent="0.25"/>
    <row r="674" s="122" customFormat="1" x14ac:dyDescent="0.25"/>
    <row r="675" s="122" customFormat="1" x14ac:dyDescent="0.25"/>
    <row r="676" s="122" customFormat="1" x14ac:dyDescent="0.25"/>
    <row r="677" s="122" customFormat="1" x14ac:dyDescent="0.25"/>
    <row r="678" s="122" customFormat="1" x14ac:dyDescent="0.25"/>
    <row r="679" s="122" customFormat="1" x14ac:dyDescent="0.25"/>
    <row r="680" s="122" customFormat="1" x14ac:dyDescent="0.25"/>
    <row r="681" s="122" customFormat="1" x14ac:dyDescent="0.25"/>
    <row r="682" s="122" customFormat="1" x14ac:dyDescent="0.25"/>
    <row r="683" s="122" customFormat="1" x14ac:dyDescent="0.25"/>
    <row r="684" s="122" customFormat="1" x14ac:dyDescent="0.25"/>
    <row r="685" s="122" customFormat="1" x14ac:dyDescent="0.25"/>
    <row r="686" s="122" customFormat="1" x14ac:dyDescent="0.25"/>
    <row r="687" s="122" customFormat="1" x14ac:dyDescent="0.25"/>
    <row r="688" s="122" customFormat="1" x14ac:dyDescent="0.25"/>
    <row r="689" s="122" customFormat="1" x14ac:dyDescent="0.25"/>
    <row r="690" s="122" customFormat="1" x14ac:dyDescent="0.25"/>
    <row r="691" s="122" customFormat="1" x14ac:dyDescent="0.25"/>
    <row r="692" s="122" customFormat="1" x14ac:dyDescent="0.25"/>
    <row r="693" s="122" customFormat="1" x14ac:dyDescent="0.25"/>
    <row r="694" s="122" customFormat="1" x14ac:dyDescent="0.25"/>
    <row r="695" s="122" customFormat="1" x14ac:dyDescent="0.25"/>
    <row r="696" s="122" customFormat="1" x14ac:dyDescent="0.25"/>
    <row r="697" s="122" customFormat="1" x14ac:dyDescent="0.25"/>
    <row r="698" s="122" customFormat="1" x14ac:dyDescent="0.25"/>
    <row r="699" s="122" customFormat="1" x14ac:dyDescent="0.25"/>
    <row r="700" s="122" customFormat="1" x14ac:dyDescent="0.25"/>
    <row r="701" s="122" customFormat="1" x14ac:dyDescent="0.25"/>
    <row r="702" s="122" customFormat="1" x14ac:dyDescent="0.25"/>
    <row r="703" s="122" customFormat="1" x14ac:dyDescent="0.25"/>
    <row r="704" s="122" customFormat="1" x14ac:dyDescent="0.25"/>
    <row r="705" s="122" customFormat="1" x14ac:dyDescent="0.25"/>
    <row r="706" s="122" customFormat="1" x14ac:dyDescent="0.25"/>
    <row r="707" s="122" customFormat="1" x14ac:dyDescent="0.25"/>
    <row r="708" s="122" customFormat="1" x14ac:dyDescent="0.25"/>
    <row r="709" s="122" customFormat="1" x14ac:dyDescent="0.25"/>
    <row r="710" s="122" customFormat="1" x14ac:dyDescent="0.25"/>
    <row r="711" s="122" customFormat="1" x14ac:dyDescent="0.25"/>
    <row r="712" s="122" customFormat="1" x14ac:dyDescent="0.25"/>
    <row r="713" s="122" customFormat="1" x14ac:dyDescent="0.25"/>
    <row r="714" s="122" customFormat="1" x14ac:dyDescent="0.25"/>
    <row r="715" s="122" customFormat="1" x14ac:dyDescent="0.25"/>
    <row r="716" s="122" customFormat="1" x14ac:dyDescent="0.25"/>
    <row r="717" s="122" customFormat="1" x14ac:dyDescent="0.25"/>
    <row r="718" s="122" customFormat="1" x14ac:dyDescent="0.25"/>
    <row r="719" s="122" customFormat="1" x14ac:dyDescent="0.25"/>
    <row r="720" s="122" customFormat="1" x14ac:dyDescent="0.25"/>
    <row r="721" s="122" customFormat="1" x14ac:dyDescent="0.25"/>
    <row r="722" s="122" customFormat="1" x14ac:dyDescent="0.25"/>
    <row r="723" s="122" customFormat="1" x14ac:dyDescent="0.25"/>
    <row r="724" s="122" customFormat="1" x14ac:dyDescent="0.25"/>
    <row r="725" s="122" customFormat="1" x14ac:dyDescent="0.25"/>
    <row r="726" s="122" customFormat="1" x14ac:dyDescent="0.25"/>
    <row r="727" s="122" customFormat="1" x14ac:dyDescent="0.25"/>
    <row r="728" s="122" customFormat="1" x14ac:dyDescent="0.25"/>
    <row r="729" s="122" customFormat="1" x14ac:dyDescent="0.25"/>
    <row r="730" s="122" customFormat="1" x14ac:dyDescent="0.25"/>
    <row r="731" s="122" customFormat="1" x14ac:dyDescent="0.25"/>
    <row r="732" s="122" customFormat="1" x14ac:dyDescent="0.25"/>
    <row r="733" s="122" customFormat="1" x14ac:dyDescent="0.25"/>
    <row r="734" s="122" customFormat="1" x14ac:dyDescent="0.25"/>
    <row r="735" s="122" customFormat="1" x14ac:dyDescent="0.25"/>
    <row r="736" s="122" customFormat="1" x14ac:dyDescent="0.25"/>
    <row r="737" s="122" customFormat="1" x14ac:dyDescent="0.25"/>
    <row r="738" s="122" customFormat="1" x14ac:dyDescent="0.25"/>
    <row r="739" s="122" customFormat="1" x14ac:dyDescent="0.25"/>
    <row r="740" s="122" customFormat="1" x14ac:dyDescent="0.25"/>
    <row r="741" s="122" customFormat="1" x14ac:dyDescent="0.25"/>
    <row r="742" s="122" customFormat="1" x14ac:dyDescent="0.25"/>
    <row r="743" s="122" customFormat="1" x14ac:dyDescent="0.25"/>
    <row r="744" s="122" customFormat="1" x14ac:dyDescent="0.25"/>
    <row r="745" s="122" customFormat="1" x14ac:dyDescent="0.25"/>
    <row r="746" s="122" customFormat="1" x14ac:dyDescent="0.25"/>
    <row r="747" s="122" customFormat="1" x14ac:dyDescent="0.25"/>
    <row r="748" s="122" customFormat="1" x14ac:dyDescent="0.25"/>
    <row r="749" s="122" customFormat="1" x14ac:dyDescent="0.25"/>
    <row r="750" s="122" customFormat="1" x14ac:dyDescent="0.25"/>
    <row r="751" s="122" customFormat="1" x14ac:dyDescent="0.25"/>
    <row r="752" s="122" customFormat="1" x14ac:dyDescent="0.25"/>
    <row r="753" s="122" customFormat="1" x14ac:dyDescent="0.25"/>
    <row r="754" s="122" customFormat="1" x14ac:dyDescent="0.25"/>
    <row r="755" s="122" customFormat="1" x14ac:dyDescent="0.25"/>
    <row r="756" s="122" customFormat="1" x14ac:dyDescent="0.25"/>
    <row r="757" s="122" customFormat="1" x14ac:dyDescent="0.25"/>
    <row r="758" s="122" customFormat="1" x14ac:dyDescent="0.25"/>
    <row r="759" s="122" customFormat="1" x14ac:dyDescent="0.25"/>
    <row r="760" s="122" customFormat="1" x14ac:dyDescent="0.25"/>
    <row r="761" s="122" customFormat="1" x14ac:dyDescent="0.25"/>
    <row r="762" s="122" customFormat="1" x14ac:dyDescent="0.25"/>
    <row r="763" s="122" customFormat="1" x14ac:dyDescent="0.25"/>
    <row r="764" s="122" customFormat="1" x14ac:dyDescent="0.25"/>
    <row r="765" s="122" customFormat="1" x14ac:dyDescent="0.25"/>
    <row r="766" s="122" customFormat="1" x14ac:dyDescent="0.25"/>
    <row r="767" s="122" customFormat="1" x14ac:dyDescent="0.25"/>
    <row r="768" s="122" customFormat="1" x14ac:dyDescent="0.25"/>
    <row r="769" s="122" customFormat="1" x14ac:dyDescent="0.25"/>
    <row r="770" s="122" customFormat="1" x14ac:dyDescent="0.25"/>
    <row r="771" s="122" customFormat="1" x14ac:dyDescent="0.25"/>
    <row r="772" s="122" customFormat="1" x14ac:dyDescent="0.25"/>
    <row r="773" s="122" customFormat="1" x14ac:dyDescent="0.25"/>
    <row r="774" s="122" customFormat="1" x14ac:dyDescent="0.25"/>
    <row r="775" s="122" customFormat="1" x14ac:dyDescent="0.25"/>
    <row r="776" s="122" customFormat="1" x14ac:dyDescent="0.25"/>
    <row r="777" s="122" customFormat="1" x14ac:dyDescent="0.25"/>
    <row r="778" s="122" customFormat="1" x14ac:dyDescent="0.25"/>
    <row r="779" s="122" customFormat="1" x14ac:dyDescent="0.25"/>
    <row r="780" s="122" customFormat="1" x14ac:dyDescent="0.25"/>
    <row r="781" s="122" customFormat="1" x14ac:dyDescent="0.25"/>
    <row r="782" s="122" customFormat="1" x14ac:dyDescent="0.25"/>
    <row r="783" s="122" customFormat="1" x14ac:dyDescent="0.25"/>
    <row r="784" s="122" customFormat="1" x14ac:dyDescent="0.25"/>
    <row r="785" s="122" customFormat="1" x14ac:dyDescent="0.25"/>
    <row r="786" s="122" customFormat="1" x14ac:dyDescent="0.25"/>
    <row r="787" s="122" customFormat="1" x14ac:dyDescent="0.25"/>
    <row r="788" s="122" customFormat="1" x14ac:dyDescent="0.25"/>
    <row r="789" s="122" customFormat="1" x14ac:dyDescent="0.25"/>
    <row r="790" s="122" customFormat="1" x14ac:dyDescent="0.25"/>
    <row r="791" s="122" customFormat="1" x14ac:dyDescent="0.25"/>
    <row r="792" s="122" customFormat="1" x14ac:dyDescent="0.25"/>
    <row r="793" s="122" customFormat="1" x14ac:dyDescent="0.25"/>
    <row r="794" s="122" customFormat="1" x14ac:dyDescent="0.25"/>
    <row r="795" s="122" customFormat="1" x14ac:dyDescent="0.25"/>
    <row r="796" s="122" customFormat="1" x14ac:dyDescent="0.25"/>
    <row r="797" s="122" customFormat="1" x14ac:dyDescent="0.25"/>
    <row r="798" s="122" customFormat="1" x14ac:dyDescent="0.25"/>
    <row r="799" s="122" customFormat="1" x14ac:dyDescent="0.25"/>
    <row r="800" s="122" customFormat="1" x14ac:dyDescent="0.25"/>
    <row r="801" s="122" customFormat="1" x14ac:dyDescent="0.25"/>
    <row r="802" s="122" customFormat="1" x14ac:dyDescent="0.25"/>
    <row r="803" s="122" customFormat="1" x14ac:dyDescent="0.25"/>
    <row r="804" s="122" customFormat="1" x14ac:dyDescent="0.25"/>
    <row r="805" s="122" customFormat="1" x14ac:dyDescent="0.25"/>
    <row r="806" s="122" customFormat="1" x14ac:dyDescent="0.25"/>
    <row r="807" s="122" customFormat="1" x14ac:dyDescent="0.25"/>
    <row r="808" s="122" customFormat="1" x14ac:dyDescent="0.25"/>
    <row r="809" s="122" customFormat="1" x14ac:dyDescent="0.25"/>
    <row r="810" s="122" customFormat="1" x14ac:dyDescent="0.25"/>
    <row r="811" s="122" customFormat="1" x14ac:dyDescent="0.25"/>
    <row r="812" s="122" customFormat="1" x14ac:dyDescent="0.25"/>
    <row r="813" s="122" customFormat="1" x14ac:dyDescent="0.25"/>
    <row r="814" s="122" customFormat="1" x14ac:dyDescent="0.25"/>
    <row r="815" s="122" customFormat="1" x14ac:dyDescent="0.25"/>
    <row r="816" s="122" customFormat="1" x14ac:dyDescent="0.25"/>
    <row r="817" s="122" customFormat="1" x14ac:dyDescent="0.25"/>
    <row r="818" s="122" customFormat="1" x14ac:dyDescent="0.25"/>
    <row r="819" s="122" customFormat="1" x14ac:dyDescent="0.25"/>
    <row r="820" s="122" customFormat="1" x14ac:dyDescent="0.25"/>
    <row r="821" s="122" customFormat="1" x14ac:dyDescent="0.25"/>
    <row r="822" s="122" customFormat="1" x14ac:dyDescent="0.25"/>
    <row r="823" s="122" customFormat="1" x14ac:dyDescent="0.25"/>
    <row r="824" s="122" customFormat="1" x14ac:dyDescent="0.25"/>
    <row r="825" s="122" customFormat="1" x14ac:dyDescent="0.25"/>
    <row r="826" s="122" customFormat="1" x14ac:dyDescent="0.25"/>
    <row r="827" s="122" customFormat="1" x14ac:dyDescent="0.25"/>
    <row r="828" s="122" customFormat="1" x14ac:dyDescent="0.25"/>
    <row r="829" s="122" customFormat="1" x14ac:dyDescent="0.25"/>
    <row r="830" s="122" customFormat="1" x14ac:dyDescent="0.25"/>
    <row r="831" s="122" customFormat="1" x14ac:dyDescent="0.25"/>
    <row r="832" s="122" customFormat="1" x14ac:dyDescent="0.25"/>
    <row r="833" s="122" customFormat="1" x14ac:dyDescent="0.25"/>
    <row r="834" s="122" customFormat="1" x14ac:dyDescent="0.25"/>
    <row r="835" s="122" customFormat="1" x14ac:dyDescent="0.25"/>
    <row r="836" s="122" customFormat="1" x14ac:dyDescent="0.25"/>
    <row r="837" s="122" customFormat="1" x14ac:dyDescent="0.25"/>
    <row r="838" s="122" customFormat="1" x14ac:dyDescent="0.25"/>
    <row r="839" s="122" customFormat="1" x14ac:dyDescent="0.25"/>
    <row r="840" s="122" customFormat="1" x14ac:dyDescent="0.25"/>
    <row r="841" s="122" customFormat="1" x14ac:dyDescent="0.25"/>
    <row r="842" s="122" customFormat="1" x14ac:dyDescent="0.25"/>
    <row r="843" s="122" customFormat="1" x14ac:dyDescent="0.25"/>
    <row r="844" s="122" customFormat="1" x14ac:dyDescent="0.25"/>
    <row r="845" s="122" customFormat="1" x14ac:dyDescent="0.25"/>
    <row r="846" s="122" customFormat="1" x14ac:dyDescent="0.25"/>
    <row r="847" s="122" customFormat="1" x14ac:dyDescent="0.25"/>
    <row r="848" s="122" customFormat="1" x14ac:dyDescent="0.25"/>
    <row r="849" s="122" customFormat="1" x14ac:dyDescent="0.25"/>
    <row r="850" s="122" customFormat="1" x14ac:dyDescent="0.25"/>
    <row r="851" s="122" customFormat="1" x14ac:dyDescent="0.25"/>
    <row r="852" s="122" customFormat="1" x14ac:dyDescent="0.25"/>
    <row r="853" s="122" customFormat="1" x14ac:dyDescent="0.25"/>
    <row r="854" s="122" customFormat="1" x14ac:dyDescent="0.25"/>
    <row r="855" s="122" customFormat="1" x14ac:dyDescent="0.25"/>
    <row r="856" s="122" customFormat="1" x14ac:dyDescent="0.25"/>
    <row r="857" s="122" customFormat="1" x14ac:dyDescent="0.25"/>
    <row r="858" s="122" customFormat="1" x14ac:dyDescent="0.25"/>
    <row r="859" s="122" customFormat="1" x14ac:dyDescent="0.25"/>
    <row r="860" s="122" customFormat="1" x14ac:dyDescent="0.25"/>
    <row r="861" s="122" customFormat="1" x14ac:dyDescent="0.25"/>
    <row r="862" s="122" customFormat="1" x14ac:dyDescent="0.25"/>
    <row r="863" s="122" customFormat="1" x14ac:dyDescent="0.25"/>
    <row r="864" s="122" customFormat="1" x14ac:dyDescent="0.25"/>
    <row r="865" s="122" customFormat="1" x14ac:dyDescent="0.25"/>
    <row r="866" s="122" customFormat="1" x14ac:dyDescent="0.25"/>
    <row r="867" s="122" customFormat="1" x14ac:dyDescent="0.25"/>
    <row r="868" s="122" customFormat="1" x14ac:dyDescent="0.25"/>
    <row r="869" s="122" customFormat="1" x14ac:dyDescent="0.25"/>
    <row r="870" s="122" customFormat="1" x14ac:dyDescent="0.25"/>
    <row r="871" s="122" customFormat="1" x14ac:dyDescent="0.25"/>
    <row r="872" s="122" customFormat="1" x14ac:dyDescent="0.25"/>
    <row r="873" s="122" customFormat="1" x14ac:dyDescent="0.25"/>
    <row r="874" s="122" customFormat="1" x14ac:dyDescent="0.25"/>
    <row r="875" s="122" customFormat="1" x14ac:dyDescent="0.25"/>
    <row r="876" s="122" customFormat="1" x14ac:dyDescent="0.25"/>
    <row r="877" s="122" customFormat="1" x14ac:dyDescent="0.25"/>
    <row r="878" s="122" customFormat="1" x14ac:dyDescent="0.25"/>
    <row r="879" s="122" customFormat="1" x14ac:dyDescent="0.25"/>
    <row r="880" s="122" customFormat="1" x14ac:dyDescent="0.25"/>
    <row r="881" s="122" customFormat="1" x14ac:dyDescent="0.25"/>
    <row r="882" s="122" customFormat="1" x14ac:dyDescent="0.25"/>
    <row r="883" s="122" customFormat="1" x14ac:dyDescent="0.25"/>
    <row r="884" s="122" customFormat="1" x14ac:dyDescent="0.25"/>
    <row r="885" s="122" customFormat="1" x14ac:dyDescent="0.25"/>
    <row r="886" s="122" customFormat="1" x14ac:dyDescent="0.25"/>
    <row r="887" s="122" customFormat="1" x14ac:dyDescent="0.25"/>
    <row r="888" s="122" customFormat="1" x14ac:dyDescent="0.25"/>
    <row r="889" s="122" customFormat="1" x14ac:dyDescent="0.25"/>
    <row r="890" s="122" customFormat="1" x14ac:dyDescent="0.25"/>
    <row r="891" s="122" customFormat="1" x14ac:dyDescent="0.25"/>
    <row r="892" s="122" customFormat="1" x14ac:dyDescent="0.25"/>
    <row r="893" s="122" customFormat="1" x14ac:dyDescent="0.25"/>
    <row r="894" s="122" customFormat="1" x14ac:dyDescent="0.25"/>
    <row r="895" s="122" customFormat="1" x14ac:dyDescent="0.25"/>
    <row r="896" s="122" customFormat="1" x14ac:dyDescent="0.25"/>
    <row r="897" s="122" customFormat="1" x14ac:dyDescent="0.25"/>
    <row r="898" s="122" customFormat="1" x14ac:dyDescent="0.25"/>
    <row r="899" s="122" customFormat="1" x14ac:dyDescent="0.25"/>
    <row r="900" s="122" customFormat="1" x14ac:dyDescent="0.25"/>
    <row r="901" s="122" customFormat="1" x14ac:dyDescent="0.25"/>
    <row r="902" s="122" customFormat="1" x14ac:dyDescent="0.25"/>
    <row r="903" s="122" customFormat="1" x14ac:dyDescent="0.25"/>
    <row r="904" s="122" customFormat="1" x14ac:dyDescent="0.25"/>
    <row r="905" s="122" customFormat="1" x14ac:dyDescent="0.25"/>
    <row r="906" s="122" customFormat="1" x14ac:dyDescent="0.25"/>
    <row r="907" s="122" customFormat="1" x14ac:dyDescent="0.25"/>
    <row r="908" s="122" customFormat="1" x14ac:dyDescent="0.25"/>
    <row r="909" s="122" customFormat="1" x14ac:dyDescent="0.25"/>
    <row r="910" s="122" customFormat="1" x14ac:dyDescent="0.25"/>
    <row r="911" s="122" customFormat="1" x14ac:dyDescent="0.25"/>
    <row r="912" s="122" customFormat="1" x14ac:dyDescent="0.25"/>
    <row r="913" s="122" customFormat="1" x14ac:dyDescent="0.25"/>
    <row r="914" s="122" customFormat="1" x14ac:dyDescent="0.25"/>
    <row r="915" s="122" customFormat="1" x14ac:dyDescent="0.25"/>
    <row r="916" s="122" customFormat="1" x14ac:dyDescent="0.25"/>
    <row r="917" s="122" customFormat="1" x14ac:dyDescent="0.25"/>
    <row r="918" s="122" customFormat="1" x14ac:dyDescent="0.25"/>
    <row r="919" s="122" customFormat="1" x14ac:dyDescent="0.25"/>
    <row r="920" s="122" customFormat="1" x14ac:dyDescent="0.25"/>
    <row r="921" s="122" customFormat="1" x14ac:dyDescent="0.25"/>
    <row r="922" s="122" customFormat="1" x14ac:dyDescent="0.25"/>
    <row r="923" s="122" customFormat="1" x14ac:dyDescent="0.25"/>
    <row r="924" s="122" customFormat="1" x14ac:dyDescent="0.25"/>
    <row r="925" s="122" customFormat="1" x14ac:dyDescent="0.25"/>
    <row r="926" s="122" customFormat="1" x14ac:dyDescent="0.25"/>
    <row r="927" s="122" customFormat="1" x14ac:dyDescent="0.25"/>
    <row r="928" s="122" customFormat="1" x14ac:dyDescent="0.25"/>
    <row r="929" s="122" customFormat="1" x14ac:dyDescent="0.25"/>
    <row r="930" s="122" customFormat="1" x14ac:dyDescent="0.25"/>
    <row r="931" s="122" customFormat="1" x14ac:dyDescent="0.25"/>
    <row r="932" s="122" customFormat="1" x14ac:dyDescent="0.25"/>
    <row r="933" s="122" customFormat="1" x14ac:dyDescent="0.25"/>
    <row r="934" s="122" customFormat="1" x14ac:dyDescent="0.25"/>
    <row r="935" s="122" customFormat="1" x14ac:dyDescent="0.25"/>
    <row r="936" s="122" customFormat="1" x14ac:dyDescent="0.25"/>
    <row r="937" s="122" customFormat="1" x14ac:dyDescent="0.25"/>
    <row r="938" s="122" customFormat="1" x14ac:dyDescent="0.25"/>
    <row r="939" s="122" customFormat="1" x14ac:dyDescent="0.25"/>
    <row r="940" s="122" customFormat="1" x14ac:dyDescent="0.25"/>
    <row r="941" s="122" customFormat="1" x14ac:dyDescent="0.25"/>
    <row r="942" s="122" customFormat="1" x14ac:dyDescent="0.25"/>
    <row r="943" s="122" customFormat="1" x14ac:dyDescent="0.25"/>
    <row r="944" s="122" customFormat="1" x14ac:dyDescent="0.25"/>
    <row r="945" s="122" customFormat="1" x14ac:dyDescent="0.25"/>
    <row r="946" s="122" customFormat="1" x14ac:dyDescent="0.25"/>
    <row r="947" s="122" customFormat="1" x14ac:dyDescent="0.25"/>
    <row r="948" s="122" customFormat="1" x14ac:dyDescent="0.25"/>
    <row r="949" s="122" customFormat="1" x14ac:dyDescent="0.25"/>
    <row r="950" s="122" customFormat="1" x14ac:dyDescent="0.25"/>
    <row r="951" s="122" customFormat="1" x14ac:dyDescent="0.25"/>
    <row r="952" s="122" customFormat="1" x14ac:dyDescent="0.25"/>
    <row r="953" s="122" customFormat="1" x14ac:dyDescent="0.25"/>
    <row r="954" s="122" customFormat="1" x14ac:dyDescent="0.25"/>
    <row r="955" s="122" customFormat="1" x14ac:dyDescent="0.25"/>
    <row r="956" s="122" customFormat="1" x14ac:dyDescent="0.25"/>
    <row r="957" s="122" customFormat="1" x14ac:dyDescent="0.25"/>
    <row r="958" s="122" customFormat="1" x14ac:dyDescent="0.25"/>
    <row r="959" s="122" customFormat="1" x14ac:dyDescent="0.25"/>
    <row r="960" s="122" customFormat="1" x14ac:dyDescent="0.25"/>
    <row r="961" s="122" customFormat="1" x14ac:dyDescent="0.25"/>
    <row r="962" s="122" customFormat="1" x14ac:dyDescent="0.25"/>
    <row r="963" s="122" customFormat="1" x14ac:dyDescent="0.25"/>
    <row r="964" s="122" customFormat="1" x14ac:dyDescent="0.25"/>
    <row r="965" s="122" customFormat="1" x14ac:dyDescent="0.25"/>
    <row r="966" s="122" customFormat="1" x14ac:dyDescent="0.25"/>
    <row r="967" s="122" customFormat="1" x14ac:dyDescent="0.25"/>
    <row r="968" s="122" customFormat="1" x14ac:dyDescent="0.25"/>
    <row r="969" s="122" customFormat="1" x14ac:dyDescent="0.25"/>
    <row r="970" s="122" customFormat="1" x14ac:dyDescent="0.25"/>
    <row r="971" s="122" customFormat="1" x14ac:dyDescent="0.25"/>
    <row r="972" s="122" customFormat="1" x14ac:dyDescent="0.25"/>
    <row r="973" s="122" customFormat="1" x14ac:dyDescent="0.25"/>
    <row r="974" s="122" customFormat="1" x14ac:dyDescent="0.25"/>
    <row r="975" s="122" customFormat="1" x14ac:dyDescent="0.25"/>
    <row r="976" s="122" customFormat="1" x14ac:dyDescent="0.25"/>
    <row r="977" s="122" customFormat="1" x14ac:dyDescent="0.25"/>
    <row r="978" s="122" customFormat="1" x14ac:dyDescent="0.25"/>
    <row r="979" s="122" customFormat="1" x14ac:dyDescent="0.25"/>
    <row r="980" s="122" customFormat="1" x14ac:dyDescent="0.25"/>
    <row r="981" s="122" customFormat="1" x14ac:dyDescent="0.25"/>
    <row r="982" s="122" customFormat="1" x14ac:dyDescent="0.25"/>
    <row r="983" s="122" customFormat="1" x14ac:dyDescent="0.25"/>
    <row r="984" s="122" customFormat="1" x14ac:dyDescent="0.25"/>
    <row r="985" s="122" customFormat="1" x14ac:dyDescent="0.25"/>
    <row r="986" s="122" customFormat="1" x14ac:dyDescent="0.25"/>
    <row r="987" s="122" customFormat="1" x14ac:dyDescent="0.25"/>
    <row r="988" s="122" customFormat="1" x14ac:dyDescent="0.25"/>
    <row r="989" s="122" customFormat="1" x14ac:dyDescent="0.25"/>
    <row r="990" s="122" customFormat="1" x14ac:dyDescent="0.25"/>
    <row r="991" s="122" customFormat="1" x14ac:dyDescent="0.25"/>
    <row r="992" s="122" customFormat="1" x14ac:dyDescent="0.25"/>
    <row r="993" s="122" customFormat="1" x14ac:dyDescent="0.25"/>
    <row r="994" s="122" customFormat="1" x14ac:dyDescent="0.25"/>
    <row r="995" s="122" customFormat="1" x14ac:dyDescent="0.25"/>
    <row r="996" s="122" customFormat="1" x14ac:dyDescent="0.25"/>
    <row r="997" s="122" customFormat="1" x14ac:dyDescent="0.25"/>
    <row r="998" s="122" customFormat="1" x14ac:dyDescent="0.25"/>
    <row r="999" s="122" customFormat="1" x14ac:dyDescent="0.25"/>
    <row r="1000" s="122" customFormat="1" x14ac:dyDescent="0.25"/>
    <row r="1001" s="122" customFormat="1" x14ac:dyDescent="0.25"/>
    <row r="1002" s="122" customFormat="1" x14ac:dyDescent="0.25"/>
    <row r="1003" s="122" customFormat="1" x14ac:dyDescent="0.25"/>
    <row r="1004" s="122" customFormat="1" x14ac:dyDescent="0.25"/>
    <row r="1005" s="122" customFormat="1" x14ac:dyDescent="0.25"/>
    <row r="1006" s="122" customFormat="1" x14ac:dyDescent="0.25"/>
    <row r="1007" s="122" customFormat="1" x14ac:dyDescent="0.25"/>
    <row r="1008" s="122" customFormat="1" x14ac:dyDescent="0.25"/>
    <row r="1009" s="122" customFormat="1" x14ac:dyDescent="0.25"/>
    <row r="1010" s="122" customFormat="1" x14ac:dyDescent="0.25"/>
    <row r="1011" s="122" customFormat="1" x14ac:dyDescent="0.25"/>
    <row r="1012" s="122" customFormat="1" x14ac:dyDescent="0.25"/>
    <row r="1013" s="122" customFormat="1" x14ac:dyDescent="0.25"/>
    <row r="1014" s="122" customFormat="1" x14ac:dyDescent="0.25"/>
    <row r="1015" s="122" customFormat="1" x14ac:dyDescent="0.25"/>
    <row r="1016" s="122" customFormat="1" x14ac:dyDescent="0.25"/>
    <row r="1017" s="122" customFormat="1" x14ac:dyDescent="0.25"/>
    <row r="1018" s="122" customFormat="1" x14ac:dyDescent="0.25"/>
    <row r="1019" s="122" customFormat="1" x14ac:dyDescent="0.25"/>
    <row r="1020" s="122" customFormat="1" x14ac:dyDescent="0.25"/>
    <row r="1021" s="122" customFormat="1" x14ac:dyDescent="0.25"/>
    <row r="1022" s="122" customFormat="1" x14ac:dyDescent="0.25"/>
    <row r="1023" s="122" customFormat="1" x14ac:dyDescent="0.25"/>
    <row r="1024" s="122" customFormat="1" x14ac:dyDescent="0.25"/>
    <row r="1025" s="122" customFormat="1" x14ac:dyDescent="0.25"/>
    <row r="1026" s="122" customFormat="1" x14ac:dyDescent="0.25"/>
    <row r="1027" s="122" customFormat="1" x14ac:dyDescent="0.25"/>
    <row r="1028" s="122" customFormat="1" x14ac:dyDescent="0.25"/>
    <row r="1029" s="122" customFormat="1" x14ac:dyDescent="0.25"/>
    <row r="1030" s="122" customFormat="1" x14ac:dyDescent="0.25"/>
    <row r="1031" s="122" customFormat="1" x14ac:dyDescent="0.25"/>
    <row r="1032" s="122" customFormat="1" x14ac:dyDescent="0.25"/>
    <row r="1033" s="122" customFormat="1" x14ac:dyDescent="0.25"/>
    <row r="1034" s="122" customFormat="1" x14ac:dyDescent="0.25"/>
    <row r="1035" s="122" customFormat="1" x14ac:dyDescent="0.25"/>
    <row r="1036" s="122" customFormat="1" x14ac:dyDescent="0.25"/>
    <row r="1037" s="122" customFormat="1" x14ac:dyDescent="0.25"/>
    <row r="1038" s="122" customFormat="1" x14ac:dyDescent="0.25"/>
    <row r="1039" s="122" customFormat="1" x14ac:dyDescent="0.25"/>
    <row r="1040" s="122" customFormat="1" x14ac:dyDescent="0.25"/>
    <row r="1041" s="122" customFormat="1" x14ac:dyDescent="0.25"/>
    <row r="1042" s="122" customFormat="1" x14ac:dyDescent="0.25"/>
    <row r="1043" s="122" customFormat="1" x14ac:dyDescent="0.25"/>
    <row r="1044" s="122" customFormat="1" x14ac:dyDescent="0.25"/>
    <row r="1045" s="122" customFormat="1" x14ac:dyDescent="0.25"/>
    <row r="1046" s="122" customFormat="1" x14ac:dyDescent="0.25"/>
    <row r="1047" s="122" customFormat="1" x14ac:dyDescent="0.25"/>
    <row r="1048" s="122" customFormat="1" x14ac:dyDescent="0.25"/>
    <row r="1049" s="122" customFormat="1" x14ac:dyDescent="0.25"/>
    <row r="1050" s="122" customFormat="1" x14ac:dyDescent="0.25"/>
    <row r="1051" s="122" customFormat="1" x14ac:dyDescent="0.25"/>
    <row r="1052" s="122" customFormat="1" x14ac:dyDescent="0.25"/>
    <row r="1053" s="122" customFormat="1" x14ac:dyDescent="0.25"/>
    <row r="1054" s="122" customFormat="1" x14ac:dyDescent="0.25"/>
    <row r="1055" s="122" customFormat="1" x14ac:dyDescent="0.25"/>
    <row r="1056" s="122" customFormat="1" x14ac:dyDescent="0.25"/>
    <row r="1057" s="122" customFormat="1" x14ac:dyDescent="0.25"/>
    <row r="1058" s="122" customFormat="1" x14ac:dyDescent="0.25"/>
    <row r="1059" s="122" customFormat="1" x14ac:dyDescent="0.25"/>
    <row r="1060" s="122" customFormat="1" x14ac:dyDescent="0.25"/>
    <row r="1061" s="122" customFormat="1" x14ac:dyDescent="0.25"/>
    <row r="1062" s="122" customFormat="1" x14ac:dyDescent="0.25"/>
    <row r="1063" s="122" customFormat="1" x14ac:dyDescent="0.25"/>
    <row r="1064" s="122" customFormat="1" x14ac:dyDescent="0.25"/>
    <row r="1065" s="122" customFormat="1" x14ac:dyDescent="0.25"/>
    <row r="1066" s="122" customFormat="1" x14ac:dyDescent="0.25"/>
    <row r="1067" s="122" customFormat="1" x14ac:dyDescent="0.25"/>
    <row r="1068" s="122" customFormat="1" x14ac:dyDescent="0.25"/>
    <row r="1069" s="122" customFormat="1" x14ac:dyDescent="0.25"/>
    <row r="1070" s="122" customFormat="1" x14ac:dyDescent="0.25"/>
    <row r="1071" s="122" customFormat="1" x14ac:dyDescent="0.25"/>
    <row r="1072" s="122" customFormat="1" x14ac:dyDescent="0.25"/>
    <row r="1073" s="122" customFormat="1" x14ac:dyDescent="0.25"/>
    <row r="1074" s="122" customFormat="1" x14ac:dyDescent="0.25"/>
    <row r="1075" s="122" customFormat="1" x14ac:dyDescent="0.25"/>
    <row r="1076" s="122" customFormat="1" x14ac:dyDescent="0.25"/>
    <row r="1077" s="122" customFormat="1" x14ac:dyDescent="0.25"/>
    <row r="1078" s="122" customFormat="1" x14ac:dyDescent="0.25"/>
    <row r="1079" s="122" customFormat="1" x14ac:dyDescent="0.25"/>
    <row r="1080" s="122" customFormat="1" x14ac:dyDescent="0.25"/>
    <row r="1081" s="122" customFormat="1" x14ac:dyDescent="0.25"/>
    <row r="1082" s="122" customFormat="1" x14ac:dyDescent="0.25"/>
    <row r="1083" s="122" customFormat="1" x14ac:dyDescent="0.25"/>
    <row r="1084" s="122" customFormat="1" x14ac:dyDescent="0.25"/>
    <row r="1085" s="122" customFormat="1" x14ac:dyDescent="0.25"/>
    <row r="1086" s="122" customFormat="1" x14ac:dyDescent="0.25"/>
    <row r="1087" s="122" customFormat="1" x14ac:dyDescent="0.25"/>
    <row r="1088" s="122" customFormat="1" x14ac:dyDescent="0.25"/>
    <row r="1089" s="122" customFormat="1" x14ac:dyDescent="0.25"/>
    <row r="1090" s="122" customFormat="1" x14ac:dyDescent="0.25"/>
    <row r="1091" s="122" customFormat="1" x14ac:dyDescent="0.25"/>
    <row r="1092" s="122" customFormat="1" x14ac:dyDescent="0.25"/>
    <row r="1093" s="122" customFormat="1" x14ac:dyDescent="0.25"/>
    <row r="1094" s="122" customFormat="1" x14ac:dyDescent="0.25"/>
    <row r="1095" s="122" customFormat="1" x14ac:dyDescent="0.25"/>
    <row r="1096" s="122" customFormat="1" x14ac:dyDescent="0.25"/>
    <row r="1097" s="122" customFormat="1" x14ac:dyDescent="0.25"/>
    <row r="1098" s="122" customFormat="1" x14ac:dyDescent="0.25"/>
    <row r="1099" s="122" customFormat="1" x14ac:dyDescent="0.25"/>
    <row r="1100" s="122" customFormat="1" x14ac:dyDescent="0.25"/>
    <row r="1101" s="122" customFormat="1" x14ac:dyDescent="0.25"/>
    <row r="1102" s="122" customFormat="1" x14ac:dyDescent="0.25"/>
    <row r="1103" s="122" customFormat="1" x14ac:dyDescent="0.25"/>
    <row r="1104" s="122" customFormat="1" x14ac:dyDescent="0.25"/>
    <row r="1105" s="122" customFormat="1" x14ac:dyDescent="0.25"/>
    <row r="1106" s="122" customFormat="1" x14ac:dyDescent="0.25"/>
    <row r="1107" s="122" customFormat="1" x14ac:dyDescent="0.25"/>
    <row r="1108" s="122" customFormat="1" x14ac:dyDescent="0.25"/>
    <row r="1109" s="122" customFormat="1" x14ac:dyDescent="0.25"/>
    <row r="1110" s="122" customFormat="1" x14ac:dyDescent="0.25"/>
    <row r="1111" s="122" customFormat="1" x14ac:dyDescent="0.25"/>
    <row r="1112" s="122" customFormat="1" x14ac:dyDescent="0.25"/>
    <row r="1113" s="122" customFormat="1" x14ac:dyDescent="0.25"/>
    <row r="1114" s="122" customFormat="1" x14ac:dyDescent="0.25"/>
    <row r="1115" s="122" customFormat="1" x14ac:dyDescent="0.25"/>
    <row r="1116" s="122" customFormat="1" x14ac:dyDescent="0.25"/>
    <row r="1117" s="122" customFormat="1" x14ac:dyDescent="0.25"/>
    <row r="1118" s="122" customFormat="1" x14ac:dyDescent="0.25"/>
    <row r="1119" s="122" customFormat="1" x14ac:dyDescent="0.25"/>
    <row r="1120" s="122" customFormat="1" x14ac:dyDescent="0.25"/>
    <row r="1121" s="122" customFormat="1" x14ac:dyDescent="0.25"/>
    <row r="1122" s="122" customFormat="1" x14ac:dyDescent="0.25"/>
    <row r="1123" s="122" customFormat="1" x14ac:dyDescent="0.25"/>
    <row r="1124" s="122" customFormat="1" x14ac:dyDescent="0.25"/>
    <row r="1125" s="122" customFormat="1" x14ac:dyDescent="0.25"/>
    <row r="1126" s="122" customFormat="1" x14ac:dyDescent="0.25"/>
    <row r="1127" s="122" customFormat="1" x14ac:dyDescent="0.25"/>
    <row r="1128" s="122" customFormat="1" x14ac:dyDescent="0.25"/>
    <row r="1129" s="122" customFormat="1" x14ac:dyDescent="0.25"/>
    <row r="1130" s="122" customFormat="1" x14ac:dyDescent="0.25"/>
    <row r="1131" s="122" customFormat="1" x14ac:dyDescent="0.25"/>
    <row r="1132" s="122" customFormat="1" x14ac:dyDescent="0.25"/>
    <row r="1133" s="122" customFormat="1" x14ac:dyDescent="0.25"/>
    <row r="1134" s="122" customFormat="1" x14ac:dyDescent="0.25"/>
    <row r="1135" s="122" customFormat="1" x14ac:dyDescent="0.25"/>
    <row r="1136" s="122" customFormat="1" x14ac:dyDescent="0.25"/>
    <row r="1137" s="122" customFormat="1" x14ac:dyDescent="0.25"/>
    <row r="1138" s="122" customFormat="1" x14ac:dyDescent="0.25"/>
    <row r="1139" s="122" customFormat="1" x14ac:dyDescent="0.25"/>
    <row r="1140" s="122" customFormat="1" x14ac:dyDescent="0.25"/>
    <row r="1141" s="122" customFormat="1" x14ac:dyDescent="0.25"/>
    <row r="1142" s="122" customFormat="1" x14ac:dyDescent="0.25"/>
    <row r="1143" s="122" customFormat="1" x14ac:dyDescent="0.25"/>
    <row r="1144" s="122" customFormat="1" x14ac:dyDescent="0.25"/>
    <row r="1145" s="122" customFormat="1" x14ac:dyDescent="0.25"/>
    <row r="1146" s="122" customFormat="1" x14ac:dyDescent="0.25"/>
    <row r="1147" s="122" customFormat="1" x14ac:dyDescent="0.25"/>
    <row r="1148" s="122" customFormat="1" x14ac:dyDescent="0.25"/>
    <row r="1149" s="122" customFormat="1" x14ac:dyDescent="0.25"/>
    <row r="1150" s="122" customFormat="1" x14ac:dyDescent="0.25"/>
    <row r="1151" s="122" customFormat="1" x14ac:dyDescent="0.25"/>
    <row r="1152" s="122" customFormat="1" x14ac:dyDescent="0.25"/>
    <row r="1153" s="122" customFormat="1" x14ac:dyDescent="0.25"/>
    <row r="1154" s="122" customFormat="1" x14ac:dyDescent="0.25"/>
    <row r="1155" s="122" customFormat="1" x14ac:dyDescent="0.25"/>
    <row r="1156" s="122" customFormat="1" x14ac:dyDescent="0.25"/>
    <row r="1157" s="122" customFormat="1" x14ac:dyDescent="0.25"/>
    <row r="1158" s="122" customFormat="1" x14ac:dyDescent="0.25"/>
    <row r="1159" s="122" customFormat="1" x14ac:dyDescent="0.25"/>
    <row r="1160" s="122" customFormat="1" x14ac:dyDescent="0.25"/>
    <row r="1161" s="122" customFormat="1" x14ac:dyDescent="0.25"/>
    <row r="1162" s="122" customFormat="1" x14ac:dyDescent="0.25"/>
    <row r="1163" s="122" customFormat="1" x14ac:dyDescent="0.25"/>
    <row r="1164" s="122" customFormat="1" x14ac:dyDescent="0.25"/>
    <row r="1165" s="122" customFormat="1" x14ac:dyDescent="0.25"/>
    <row r="1166" s="122" customFormat="1" x14ac:dyDescent="0.25"/>
    <row r="1167" s="122" customFormat="1" x14ac:dyDescent="0.25"/>
    <row r="1168" s="122" customFormat="1" x14ac:dyDescent="0.25"/>
    <row r="1169" s="122" customFormat="1" x14ac:dyDescent="0.25"/>
    <row r="1170" s="122" customFormat="1" x14ac:dyDescent="0.25"/>
    <row r="1171" s="122" customFormat="1" x14ac:dyDescent="0.25"/>
    <row r="1172" s="122" customFormat="1" x14ac:dyDescent="0.25"/>
    <row r="1173" s="122" customFormat="1" x14ac:dyDescent="0.25"/>
    <row r="1174" s="122" customFormat="1" x14ac:dyDescent="0.25"/>
    <row r="1175" s="122" customFormat="1" x14ac:dyDescent="0.25"/>
    <row r="1176" s="122" customFormat="1" x14ac:dyDescent="0.25"/>
    <row r="1177" s="122" customFormat="1" x14ac:dyDescent="0.25"/>
    <row r="1178" s="122" customFormat="1" x14ac:dyDescent="0.25"/>
    <row r="1179" s="122" customFormat="1" x14ac:dyDescent="0.25"/>
    <row r="1180" s="122" customFormat="1" x14ac:dyDescent="0.25"/>
    <row r="1181" s="122" customFormat="1" x14ac:dyDescent="0.25"/>
    <row r="1182" s="122" customFormat="1" x14ac:dyDescent="0.25"/>
    <row r="1183" s="122" customFormat="1" x14ac:dyDescent="0.25"/>
    <row r="1184" s="122" customFormat="1" x14ac:dyDescent="0.25"/>
    <row r="1185" s="122" customFormat="1" x14ac:dyDescent="0.25"/>
    <row r="1186" s="122" customFormat="1" x14ac:dyDescent="0.25"/>
    <row r="1187" s="122" customFormat="1" x14ac:dyDescent="0.25"/>
    <row r="1188" s="122" customFormat="1" x14ac:dyDescent="0.25"/>
    <row r="1189" s="122" customFormat="1" x14ac:dyDescent="0.25"/>
    <row r="1190" s="122" customFormat="1" x14ac:dyDescent="0.25"/>
    <row r="1191" s="122" customFormat="1" x14ac:dyDescent="0.25"/>
    <row r="1192" s="122" customFormat="1" x14ac:dyDescent="0.25"/>
    <row r="1193" s="122" customFormat="1" x14ac:dyDescent="0.25"/>
    <row r="1194" s="122" customFormat="1" x14ac:dyDescent="0.25"/>
    <row r="1195" s="122" customFormat="1" x14ac:dyDescent="0.25"/>
    <row r="1196" s="122" customFormat="1" x14ac:dyDescent="0.25"/>
    <row r="1197" s="122" customFormat="1" x14ac:dyDescent="0.25"/>
    <row r="1198" s="122" customFormat="1" x14ac:dyDescent="0.25"/>
    <row r="1199" s="122" customFormat="1" x14ac:dyDescent="0.25"/>
    <row r="1200" s="122" customFormat="1" x14ac:dyDescent="0.25"/>
    <row r="1201" s="122" customFormat="1" x14ac:dyDescent="0.25"/>
    <row r="1202" s="122" customFormat="1" x14ac:dyDescent="0.25"/>
    <row r="1203" s="122" customFormat="1" x14ac:dyDescent="0.25"/>
    <row r="1204" s="122" customFormat="1" x14ac:dyDescent="0.25"/>
    <row r="1205" s="122" customFormat="1" x14ac:dyDescent="0.25"/>
    <row r="1206" s="122" customFormat="1" x14ac:dyDescent="0.25"/>
    <row r="1207" s="122" customFormat="1" x14ac:dyDescent="0.25"/>
    <row r="1208" s="122" customFormat="1" x14ac:dyDescent="0.25"/>
    <row r="1209" s="122" customFormat="1" x14ac:dyDescent="0.25"/>
    <row r="1210" s="122" customFormat="1" x14ac:dyDescent="0.25"/>
    <row r="1211" s="122" customFormat="1" x14ac:dyDescent="0.25"/>
    <row r="1212" s="122" customFormat="1" x14ac:dyDescent="0.25"/>
    <row r="1213" s="122" customFormat="1" x14ac:dyDescent="0.25"/>
    <row r="1214" s="122" customFormat="1" x14ac:dyDescent="0.25"/>
    <row r="1215" s="122" customFormat="1" x14ac:dyDescent="0.25"/>
    <row r="1216" s="122" customFormat="1" x14ac:dyDescent="0.25"/>
    <row r="1217" s="122" customFormat="1" x14ac:dyDescent="0.25"/>
    <row r="1218" s="122" customFormat="1" x14ac:dyDescent="0.25"/>
    <row r="1219" s="122" customFormat="1" x14ac:dyDescent="0.25"/>
    <row r="1220" s="122" customFormat="1" x14ac:dyDescent="0.25"/>
    <row r="1221" s="122" customFormat="1" x14ac:dyDescent="0.25"/>
    <row r="1222" s="122" customFormat="1" x14ac:dyDescent="0.25"/>
    <row r="1223" s="122" customFormat="1" x14ac:dyDescent="0.25"/>
    <row r="1224" s="122" customFormat="1" x14ac:dyDescent="0.25"/>
    <row r="1225" s="122" customFormat="1" x14ac:dyDescent="0.25"/>
    <row r="1226" s="122" customFormat="1" x14ac:dyDescent="0.25"/>
    <row r="1227" s="122" customFormat="1" x14ac:dyDescent="0.25"/>
    <row r="1228" s="122" customFormat="1" x14ac:dyDescent="0.25"/>
    <row r="1229" s="122" customFormat="1" x14ac:dyDescent="0.25"/>
    <row r="1230" s="122" customFormat="1" x14ac:dyDescent="0.25"/>
    <row r="1231" s="122" customFormat="1" x14ac:dyDescent="0.25"/>
    <row r="1232" s="122" customFormat="1" x14ac:dyDescent="0.25"/>
    <row r="1233" s="122" customFormat="1" x14ac:dyDescent="0.25"/>
    <row r="1234" s="122" customFormat="1" x14ac:dyDescent="0.25"/>
    <row r="1235" s="122" customFormat="1" x14ac:dyDescent="0.25"/>
    <row r="1236" s="122" customFormat="1" x14ac:dyDescent="0.25"/>
    <row r="1237" s="122" customFormat="1" x14ac:dyDescent="0.25"/>
    <row r="1238" s="122" customFormat="1" x14ac:dyDescent="0.25"/>
    <row r="1239" s="122" customFormat="1" x14ac:dyDescent="0.25"/>
    <row r="1240" s="122" customFormat="1" x14ac:dyDescent="0.25"/>
    <row r="1241" s="122" customFormat="1" x14ac:dyDescent="0.25"/>
    <row r="1242" s="122" customFormat="1" x14ac:dyDescent="0.25"/>
    <row r="1243" s="122" customFormat="1" x14ac:dyDescent="0.25"/>
    <row r="1244" s="122" customFormat="1" x14ac:dyDescent="0.25"/>
    <row r="1245" s="122" customFormat="1" x14ac:dyDescent="0.25"/>
    <row r="1246" s="122" customFormat="1" x14ac:dyDescent="0.25"/>
    <row r="1247" s="122" customFormat="1" x14ac:dyDescent="0.25"/>
    <row r="1248" s="122" customFormat="1" x14ac:dyDescent="0.25"/>
    <row r="1249" s="122" customFormat="1" x14ac:dyDescent="0.25"/>
    <row r="1250" s="122" customFormat="1" x14ac:dyDescent="0.25"/>
    <row r="1251" s="122" customFormat="1" x14ac:dyDescent="0.25"/>
    <row r="1252" s="122" customFormat="1" x14ac:dyDescent="0.25"/>
    <row r="1253" s="122" customFormat="1" x14ac:dyDescent="0.25"/>
    <row r="1254" s="122" customFormat="1" x14ac:dyDescent="0.25"/>
    <row r="1255" s="122" customFormat="1" x14ac:dyDescent="0.25"/>
    <row r="1256" s="122" customFormat="1" x14ac:dyDescent="0.25"/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0" spans="62:64" x14ac:dyDescent="0.25">
      <c r="BJ1290" s="122"/>
      <c r="BK1290" s="122"/>
      <c r="BL1290" s="122"/>
    </row>
    <row r="1291" spans="62:64" x14ac:dyDescent="0.25">
      <c r="BJ1291" s="122"/>
      <c r="BK1291" s="122"/>
      <c r="BL1291" s="122"/>
    </row>
    <row r="1292" spans="62:64" x14ac:dyDescent="0.25">
      <c r="BJ1292" s="122"/>
      <c r="BK1292" s="122"/>
      <c r="BL1292" s="122"/>
    </row>
    <row r="1293" spans="62:64" x14ac:dyDescent="0.25">
      <c r="BJ1293" s="122"/>
      <c r="BK1293" s="122"/>
      <c r="BL1293" s="122"/>
    </row>
    <row r="1294" spans="62:64" x14ac:dyDescent="0.25">
      <c r="BJ1294" s="122"/>
      <c r="BK1294" s="122"/>
      <c r="BL1294" s="122"/>
    </row>
    <row r="1295" spans="62:64" x14ac:dyDescent="0.25">
      <c r="BJ1295" s="122"/>
      <c r="BK1295" s="122"/>
      <c r="BL1295" s="122"/>
    </row>
    <row r="1296" spans="62:64" x14ac:dyDescent="0.25">
      <c r="BJ1296" s="122"/>
      <c r="BK1296" s="122"/>
      <c r="BL1296" s="122"/>
    </row>
    <row r="1297" s="122" customFormat="1" x14ac:dyDescent="0.25"/>
    <row r="1298" s="122" customFormat="1" x14ac:dyDescent="0.25"/>
    <row r="1299" s="122" customFormat="1" x14ac:dyDescent="0.25"/>
    <row r="1300" s="122" customFormat="1" x14ac:dyDescent="0.25"/>
    <row r="1301" s="122" customFormat="1" x14ac:dyDescent="0.25"/>
    <row r="1302" s="122" customFormat="1" x14ac:dyDescent="0.25"/>
    <row r="1303" s="122" customFormat="1" x14ac:dyDescent="0.25"/>
    <row r="1304" s="122" customFormat="1" x14ac:dyDescent="0.25"/>
    <row r="1305" s="122" customFormat="1" x14ac:dyDescent="0.25"/>
    <row r="1306" s="122" customFormat="1" x14ac:dyDescent="0.25"/>
    <row r="1307" s="122" customFormat="1" x14ac:dyDescent="0.25"/>
    <row r="1308" s="122" customFormat="1" x14ac:dyDescent="0.25"/>
    <row r="1309" s="122" customFormat="1" x14ac:dyDescent="0.25"/>
    <row r="1310" s="122" customFormat="1" x14ac:dyDescent="0.25"/>
    <row r="1311" s="122" customFormat="1" x14ac:dyDescent="0.25"/>
    <row r="1312" s="122" customFormat="1" x14ac:dyDescent="0.25"/>
    <row r="1313" s="122" customFormat="1" x14ac:dyDescent="0.25"/>
    <row r="1314" s="122" customFormat="1" x14ac:dyDescent="0.25"/>
    <row r="1315" s="122" customFormat="1" x14ac:dyDescent="0.25"/>
    <row r="1316" s="122" customFormat="1" x14ac:dyDescent="0.25"/>
    <row r="1317" s="122" customFormat="1" x14ac:dyDescent="0.25"/>
    <row r="1318" s="122" customFormat="1" x14ac:dyDescent="0.25"/>
    <row r="1319" s="122" customFormat="1" x14ac:dyDescent="0.25"/>
    <row r="1320" s="122" customFormat="1" x14ac:dyDescent="0.25"/>
    <row r="1321" s="122" customFormat="1" x14ac:dyDescent="0.25"/>
    <row r="1322" s="122" customFormat="1" x14ac:dyDescent="0.25"/>
    <row r="1323" s="122" customFormat="1" x14ac:dyDescent="0.25"/>
    <row r="1324" s="122" customFormat="1" x14ac:dyDescent="0.25"/>
    <row r="1325" s="122" customFormat="1" x14ac:dyDescent="0.25"/>
    <row r="1326" s="122" customFormat="1" x14ac:dyDescent="0.25"/>
    <row r="1327" s="122" customFormat="1" x14ac:dyDescent="0.25"/>
    <row r="1328" s="122" customFormat="1" x14ac:dyDescent="0.25"/>
    <row r="1329" s="122" customFormat="1" x14ac:dyDescent="0.25"/>
    <row r="1330" s="122" customFormat="1" x14ac:dyDescent="0.25"/>
    <row r="1331" s="122" customFormat="1" x14ac:dyDescent="0.25"/>
    <row r="1332" s="122" customFormat="1" x14ac:dyDescent="0.25"/>
    <row r="1333" s="122" customFormat="1" x14ac:dyDescent="0.25"/>
    <row r="1334" s="122" customFormat="1" x14ac:dyDescent="0.25"/>
    <row r="1335" s="122" customFormat="1" x14ac:dyDescent="0.25"/>
    <row r="1336" s="122" customFormat="1" x14ac:dyDescent="0.25"/>
    <row r="1337" s="122" customFormat="1" x14ac:dyDescent="0.25"/>
    <row r="1338" s="122" customFormat="1" x14ac:dyDescent="0.25"/>
    <row r="1339" s="122" customFormat="1" x14ac:dyDescent="0.25"/>
    <row r="1340" s="122" customFormat="1" x14ac:dyDescent="0.25"/>
    <row r="1341" s="122" customFormat="1" x14ac:dyDescent="0.25"/>
    <row r="1342" s="122" customFormat="1" x14ac:dyDescent="0.25"/>
    <row r="1343" s="122" customFormat="1" x14ac:dyDescent="0.25"/>
    <row r="1344" s="122" customFormat="1" x14ac:dyDescent="0.25"/>
    <row r="1345" s="122" customFormat="1" x14ac:dyDescent="0.25"/>
    <row r="1346" s="122" customFormat="1" x14ac:dyDescent="0.25"/>
    <row r="1347" s="122" customFormat="1" x14ac:dyDescent="0.25"/>
    <row r="1348" s="122" customFormat="1" x14ac:dyDescent="0.25"/>
    <row r="1349" s="122" customFormat="1" x14ac:dyDescent="0.25"/>
    <row r="1350" s="122" customFormat="1" x14ac:dyDescent="0.25"/>
    <row r="1351" s="122" customFormat="1" x14ac:dyDescent="0.25"/>
    <row r="1352" s="122" customFormat="1" x14ac:dyDescent="0.25"/>
    <row r="1353" s="122" customFormat="1" x14ac:dyDescent="0.25"/>
    <row r="1354" s="122" customFormat="1" x14ac:dyDescent="0.25"/>
    <row r="1355" s="122" customFormat="1" x14ac:dyDescent="0.25"/>
    <row r="1356" s="122" customFormat="1" x14ac:dyDescent="0.25"/>
    <row r="1357" s="122" customFormat="1" x14ac:dyDescent="0.25"/>
    <row r="1358" s="122" customFormat="1" x14ac:dyDescent="0.25"/>
    <row r="1359" s="122" customFormat="1" x14ac:dyDescent="0.25"/>
    <row r="1360" s="122" customFormat="1" x14ac:dyDescent="0.25"/>
    <row r="1361" s="122" customFormat="1" x14ac:dyDescent="0.25"/>
    <row r="1362" s="122" customFormat="1" x14ac:dyDescent="0.25"/>
    <row r="1363" s="122" customFormat="1" x14ac:dyDescent="0.25"/>
    <row r="1364" s="122" customFormat="1" x14ac:dyDescent="0.25"/>
    <row r="1365" s="122" customFormat="1" x14ac:dyDescent="0.25"/>
    <row r="1366" s="122" customFormat="1" x14ac:dyDescent="0.25"/>
    <row r="1367" s="122" customFormat="1" x14ac:dyDescent="0.25"/>
    <row r="1368" s="122" customFormat="1" x14ac:dyDescent="0.25"/>
    <row r="1369" s="122" customFormat="1" x14ac:dyDescent="0.25"/>
    <row r="1370" s="122" customFormat="1" x14ac:dyDescent="0.25"/>
    <row r="1371" s="122" customFormat="1" x14ac:dyDescent="0.25"/>
    <row r="1372" s="122" customFormat="1" x14ac:dyDescent="0.25"/>
    <row r="1373" s="122" customFormat="1" x14ac:dyDescent="0.25"/>
    <row r="1374" s="122" customFormat="1" x14ac:dyDescent="0.25"/>
    <row r="1375" s="122" customFormat="1" x14ac:dyDescent="0.25"/>
    <row r="1376" s="122" customFormat="1" x14ac:dyDescent="0.25"/>
    <row r="1377" s="122" customFormat="1" x14ac:dyDescent="0.25"/>
    <row r="1378" s="122" customFormat="1" x14ac:dyDescent="0.25"/>
    <row r="1379" s="122" customFormat="1" x14ac:dyDescent="0.25"/>
    <row r="1380" s="122" customFormat="1" x14ac:dyDescent="0.25"/>
    <row r="1381" s="122" customFormat="1" x14ac:dyDescent="0.25"/>
    <row r="1382" s="122" customFormat="1" x14ac:dyDescent="0.25"/>
    <row r="1383" s="122" customFormat="1" x14ac:dyDescent="0.25"/>
    <row r="1384" s="122" customFormat="1" x14ac:dyDescent="0.25"/>
    <row r="1385" s="122" customFormat="1" x14ac:dyDescent="0.25"/>
    <row r="1386" s="122" customFormat="1" x14ac:dyDescent="0.25"/>
    <row r="1387" s="122" customFormat="1" x14ac:dyDescent="0.25"/>
    <row r="1388" s="122" customFormat="1" x14ac:dyDescent="0.25"/>
    <row r="1389" s="122" customFormat="1" x14ac:dyDescent="0.25"/>
    <row r="1390" s="122" customFormat="1" x14ac:dyDescent="0.25"/>
    <row r="1391" s="122" customFormat="1" x14ac:dyDescent="0.25"/>
    <row r="1392" s="122" customFormat="1" x14ac:dyDescent="0.25"/>
    <row r="1393" s="122" customFormat="1" x14ac:dyDescent="0.25"/>
    <row r="1394" s="122" customFormat="1" x14ac:dyDescent="0.25"/>
    <row r="1395" s="122" customFormat="1" x14ac:dyDescent="0.25"/>
    <row r="1396" s="122" customFormat="1" x14ac:dyDescent="0.25"/>
    <row r="1397" s="122" customFormat="1" x14ac:dyDescent="0.25"/>
    <row r="1398" s="122" customFormat="1" x14ac:dyDescent="0.25"/>
    <row r="1399" s="122" customFormat="1" x14ac:dyDescent="0.25"/>
    <row r="1400" s="122" customFormat="1" x14ac:dyDescent="0.25"/>
    <row r="1401" s="122" customFormat="1" x14ac:dyDescent="0.25"/>
    <row r="1402" s="122" customFormat="1" x14ac:dyDescent="0.25"/>
    <row r="1403" s="122" customFormat="1" x14ac:dyDescent="0.25"/>
    <row r="1404" s="122" customFormat="1" x14ac:dyDescent="0.25"/>
    <row r="1405" s="122" customFormat="1" x14ac:dyDescent="0.25"/>
    <row r="1406" s="122" customFormat="1" x14ac:dyDescent="0.25"/>
    <row r="1407" s="122" customFormat="1" x14ac:dyDescent="0.25"/>
    <row r="1408" s="122" customFormat="1" x14ac:dyDescent="0.25"/>
    <row r="1409" s="122" customFormat="1" x14ac:dyDescent="0.25"/>
    <row r="1410" s="122" customFormat="1" x14ac:dyDescent="0.25"/>
    <row r="1411" s="122" customFormat="1" x14ac:dyDescent="0.25"/>
    <row r="1412" s="122" customFormat="1" x14ac:dyDescent="0.25"/>
    <row r="1413" s="122" customFormat="1" x14ac:dyDescent="0.25"/>
    <row r="1414" s="122" customFormat="1" x14ac:dyDescent="0.25"/>
    <row r="1415" s="122" customFormat="1" x14ac:dyDescent="0.25"/>
    <row r="1416" s="122" customFormat="1" x14ac:dyDescent="0.25"/>
    <row r="1417" s="122" customFormat="1" x14ac:dyDescent="0.25"/>
    <row r="1418" s="122" customFormat="1" x14ac:dyDescent="0.25"/>
    <row r="1419" s="122" customFormat="1" x14ac:dyDescent="0.25"/>
    <row r="1420" s="122" customFormat="1" x14ac:dyDescent="0.25"/>
    <row r="1421" s="122" customFormat="1" x14ac:dyDescent="0.25"/>
    <row r="1422" s="122" customFormat="1" x14ac:dyDescent="0.25"/>
    <row r="1423" s="122" customFormat="1" x14ac:dyDescent="0.25"/>
    <row r="1424" s="122" customFormat="1" x14ac:dyDescent="0.25"/>
    <row r="1425" s="122" customFormat="1" x14ac:dyDescent="0.25"/>
    <row r="1426" s="122" customFormat="1" x14ac:dyDescent="0.25"/>
    <row r="1427" s="122" customFormat="1" x14ac:dyDescent="0.25"/>
    <row r="1428" s="122" customFormat="1" x14ac:dyDescent="0.25"/>
    <row r="1429" s="122" customFormat="1" x14ac:dyDescent="0.25"/>
    <row r="1430" s="122" customFormat="1" x14ac:dyDescent="0.25"/>
    <row r="1431" s="122" customFormat="1" x14ac:dyDescent="0.25"/>
    <row r="1432" s="122" customFormat="1" x14ac:dyDescent="0.25"/>
    <row r="1433" s="122" customFormat="1" x14ac:dyDescent="0.25"/>
    <row r="1434" s="122" customFormat="1" x14ac:dyDescent="0.25"/>
    <row r="1435" s="122" customFormat="1" x14ac:dyDescent="0.25"/>
    <row r="1436" s="122" customFormat="1" x14ac:dyDescent="0.25"/>
    <row r="1437" s="122" customFormat="1" x14ac:dyDescent="0.25"/>
    <row r="1438" s="122" customFormat="1" x14ac:dyDescent="0.25"/>
    <row r="1439" s="122" customFormat="1" x14ac:dyDescent="0.25"/>
    <row r="1440" s="122" customFormat="1" x14ac:dyDescent="0.25"/>
    <row r="1441" s="122" customFormat="1" x14ac:dyDescent="0.25"/>
    <row r="1442" s="122" customFormat="1" x14ac:dyDescent="0.25"/>
    <row r="1443" s="122" customFormat="1" x14ac:dyDescent="0.25"/>
    <row r="1444" s="122" customFormat="1" x14ac:dyDescent="0.25"/>
    <row r="1445" s="122" customFormat="1" x14ac:dyDescent="0.25"/>
    <row r="1446" s="122" customFormat="1" x14ac:dyDescent="0.25"/>
    <row r="1447" s="122" customFormat="1" x14ac:dyDescent="0.25"/>
    <row r="1448" s="122" customFormat="1" x14ac:dyDescent="0.25"/>
    <row r="1449" s="122" customFormat="1" x14ac:dyDescent="0.25"/>
    <row r="1450" s="122" customFormat="1" x14ac:dyDescent="0.25"/>
    <row r="1451" s="122" customFormat="1" x14ac:dyDescent="0.25"/>
    <row r="1452" s="122" customFormat="1" x14ac:dyDescent="0.25"/>
    <row r="1453" s="122" customFormat="1" x14ac:dyDescent="0.25"/>
    <row r="1454" s="122" customFormat="1" x14ac:dyDescent="0.25"/>
    <row r="1455" s="122" customFormat="1" x14ac:dyDescent="0.25"/>
    <row r="1456" s="122" customFormat="1" x14ac:dyDescent="0.25"/>
    <row r="1457" s="122" customFormat="1" x14ac:dyDescent="0.25"/>
    <row r="1458" s="122" customFormat="1" x14ac:dyDescent="0.25"/>
    <row r="1459" s="122" customFormat="1" x14ac:dyDescent="0.25"/>
    <row r="1460" s="122" customFormat="1" x14ac:dyDescent="0.25"/>
    <row r="1461" s="122" customFormat="1" x14ac:dyDescent="0.25"/>
    <row r="1462" s="122" customFormat="1" x14ac:dyDescent="0.25"/>
    <row r="1463" s="122" customFormat="1" x14ac:dyDescent="0.25"/>
    <row r="1464" s="122" customFormat="1" x14ac:dyDescent="0.25"/>
    <row r="1465" s="122" customFormat="1" x14ac:dyDescent="0.25"/>
    <row r="1466" s="122" customFormat="1" x14ac:dyDescent="0.25"/>
    <row r="1467" s="122" customFormat="1" x14ac:dyDescent="0.25"/>
    <row r="1468" s="122" customFormat="1" x14ac:dyDescent="0.25"/>
    <row r="1469" s="122" customFormat="1" x14ac:dyDescent="0.25"/>
    <row r="1470" s="122" customFormat="1" x14ac:dyDescent="0.25"/>
    <row r="1471" s="122" customFormat="1" x14ac:dyDescent="0.25"/>
    <row r="1472" s="122" customFormat="1" x14ac:dyDescent="0.25"/>
    <row r="1473" s="122" customFormat="1" x14ac:dyDescent="0.25"/>
    <row r="1474" s="122" customFormat="1" x14ac:dyDescent="0.25"/>
    <row r="1475" s="122" customFormat="1" x14ac:dyDescent="0.25"/>
    <row r="1476" s="122" customFormat="1" x14ac:dyDescent="0.25"/>
    <row r="1477" s="122" customFormat="1" x14ac:dyDescent="0.25"/>
    <row r="1478" s="122" customFormat="1" x14ac:dyDescent="0.25"/>
    <row r="1479" s="122" customFormat="1" x14ac:dyDescent="0.25"/>
    <row r="1480" s="122" customFormat="1" x14ac:dyDescent="0.25"/>
    <row r="1481" s="122" customFormat="1" x14ac:dyDescent="0.25"/>
    <row r="1482" s="122" customFormat="1" x14ac:dyDescent="0.25"/>
    <row r="1483" s="122" customFormat="1" x14ac:dyDescent="0.25"/>
    <row r="1484" s="122" customFormat="1" x14ac:dyDescent="0.25"/>
    <row r="1485" s="122" customFormat="1" x14ac:dyDescent="0.25"/>
    <row r="1486" s="122" customFormat="1" x14ac:dyDescent="0.25"/>
    <row r="1487" s="122" customFormat="1" x14ac:dyDescent="0.25"/>
    <row r="1488" s="122" customFormat="1" x14ac:dyDescent="0.25"/>
    <row r="1489" s="122" customFormat="1" x14ac:dyDescent="0.25"/>
    <row r="1490" s="122" customFormat="1" x14ac:dyDescent="0.25"/>
    <row r="1491" s="122" customFormat="1" x14ac:dyDescent="0.25"/>
    <row r="1492" s="122" customFormat="1" x14ac:dyDescent="0.25"/>
    <row r="1493" s="122" customFormat="1" x14ac:dyDescent="0.25"/>
    <row r="1494" s="122" customFormat="1" x14ac:dyDescent="0.25"/>
    <row r="1495" s="122" customFormat="1" x14ac:dyDescent="0.25"/>
    <row r="1496" s="122" customFormat="1" x14ac:dyDescent="0.25"/>
    <row r="1497" s="122" customFormat="1" x14ac:dyDescent="0.25"/>
    <row r="1498" s="122" customFormat="1" x14ac:dyDescent="0.25"/>
    <row r="1499" s="122" customFormat="1" x14ac:dyDescent="0.25"/>
    <row r="1500" s="122" customFormat="1" x14ac:dyDescent="0.25"/>
    <row r="1501" s="122" customFormat="1" x14ac:dyDescent="0.25"/>
    <row r="1502" s="122" customForma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1301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3.5703125" style="122" bestFit="1" customWidth="1"/>
    <col min="5" max="5" width="12.7109375" style="122" bestFit="1" customWidth="1"/>
    <col min="6" max="8" width="0" style="122" hidden="1" customWidth="1"/>
    <col min="9" max="9" width="25.710937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65" width="9.140625" style="122"/>
    <col min="66" max="66" width="21.85546875" style="122" bestFit="1" customWidth="1"/>
    <col min="67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1161</v>
      </c>
      <c r="B2" s="122" t="s">
        <v>6444</v>
      </c>
      <c r="C2" s="122" t="s">
        <v>6445</v>
      </c>
      <c r="D2" s="122" t="s">
        <v>6446</v>
      </c>
      <c r="E2" s="123">
        <v>42226</v>
      </c>
      <c r="F2" s="122" t="s">
        <v>6447</v>
      </c>
      <c r="G2" s="122" t="s">
        <v>235</v>
      </c>
      <c r="H2" s="122" t="s">
        <v>6448</v>
      </c>
      <c r="I2" s="122" t="s">
        <v>6449</v>
      </c>
      <c r="J2" s="122" t="s">
        <v>6133</v>
      </c>
      <c r="K2" s="122" t="s">
        <v>238</v>
      </c>
      <c r="L2" s="122" t="s">
        <v>239</v>
      </c>
      <c r="M2" s="122" t="s">
        <v>6450</v>
      </c>
      <c r="O2" s="141" t="s">
        <v>273</v>
      </c>
      <c r="P2" s="141" t="s">
        <v>6451</v>
      </c>
      <c r="Q2" s="122" t="s">
        <v>243</v>
      </c>
      <c r="R2" s="142">
        <v>43</v>
      </c>
      <c r="S2" s="122" t="s">
        <v>6452</v>
      </c>
      <c r="U2" s="122" t="s">
        <v>245</v>
      </c>
      <c r="V2" s="122" t="s">
        <v>351</v>
      </c>
      <c r="W2" s="122" t="s">
        <v>277</v>
      </c>
      <c r="X2" s="122" t="s">
        <v>1057</v>
      </c>
      <c r="Y2" s="141" t="s">
        <v>593</v>
      </c>
      <c r="Z2" s="122" t="s">
        <v>800</v>
      </c>
      <c r="AA2" s="141" t="s">
        <v>1258</v>
      </c>
      <c r="AB2" s="122" t="s">
        <v>355</v>
      </c>
      <c r="AC2" s="141" t="s">
        <v>1423</v>
      </c>
      <c r="AD2" s="122" t="s">
        <v>6453</v>
      </c>
      <c r="AE2" s="122" t="s">
        <v>235</v>
      </c>
      <c r="AF2" s="122" t="s">
        <v>6454</v>
      </c>
      <c r="AG2" s="122" t="s">
        <v>252</v>
      </c>
      <c r="AH2" s="122" t="s">
        <v>253</v>
      </c>
      <c r="AI2" s="122" t="s">
        <v>6455</v>
      </c>
      <c r="AJ2" s="122" t="s">
        <v>6456</v>
      </c>
      <c r="AK2" s="122" t="s">
        <v>253</v>
      </c>
      <c r="AL2" s="122" t="s">
        <v>253</v>
      </c>
      <c r="AM2" s="122" t="s">
        <v>253</v>
      </c>
      <c r="AN2" s="122" t="s">
        <v>253</v>
      </c>
      <c r="AO2" s="141" t="s">
        <v>247</v>
      </c>
      <c r="AP2" s="141" t="s">
        <v>247</v>
      </c>
      <c r="AQ2" s="141" t="s">
        <v>247</v>
      </c>
      <c r="AR2" s="141" t="s">
        <v>253</v>
      </c>
      <c r="AS2" s="141" t="s">
        <v>257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41" t="s">
        <v>253</v>
      </c>
      <c r="AZ2" s="122" t="s">
        <v>6457</v>
      </c>
      <c r="BA2" s="122" t="s">
        <v>262</v>
      </c>
      <c r="BB2" s="122" t="s">
        <v>262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43</v>
      </c>
      <c r="BJ2" s="123">
        <v>42226</v>
      </c>
      <c r="BK2" s="139" t="s">
        <v>264</v>
      </c>
      <c r="BL2" s="140">
        <v>175</v>
      </c>
      <c r="BM2" s="122">
        <v>33</v>
      </c>
    </row>
    <row r="3" spans="1:66" x14ac:dyDescent="0.25">
      <c r="A3" s="122" t="s">
        <v>6059</v>
      </c>
      <c r="B3" s="122" t="s">
        <v>6458</v>
      </c>
      <c r="C3" s="122" t="s">
        <v>6459</v>
      </c>
      <c r="D3" s="122" t="s">
        <v>6460</v>
      </c>
      <c r="E3" s="123">
        <v>42226</v>
      </c>
      <c r="F3" s="122" t="s">
        <v>6461</v>
      </c>
      <c r="G3" s="122" t="s">
        <v>235</v>
      </c>
      <c r="H3" s="122" t="s">
        <v>6462</v>
      </c>
      <c r="I3" s="122" t="s">
        <v>6463</v>
      </c>
      <c r="K3" s="122" t="s">
        <v>238</v>
      </c>
      <c r="L3" s="122" t="s">
        <v>297</v>
      </c>
      <c r="M3" s="122" t="s">
        <v>2006</v>
      </c>
      <c r="O3" s="141" t="s">
        <v>566</v>
      </c>
      <c r="P3" s="141" t="s">
        <v>6464</v>
      </c>
      <c r="Q3" s="122" t="s">
        <v>243</v>
      </c>
      <c r="R3" s="142">
        <v>54</v>
      </c>
      <c r="S3" s="122" t="s">
        <v>6465</v>
      </c>
      <c r="U3" s="122" t="s">
        <v>245</v>
      </c>
      <c r="V3" s="122" t="s">
        <v>276</v>
      </c>
      <c r="W3" s="122" t="s">
        <v>277</v>
      </c>
      <c r="X3" s="122" t="s">
        <v>497</v>
      </c>
      <c r="Y3" s="141" t="s">
        <v>6466</v>
      </c>
      <c r="Z3" s="122" t="s">
        <v>6467</v>
      </c>
      <c r="AA3" s="141" t="s">
        <v>593</v>
      </c>
      <c r="AB3" s="122" t="s">
        <v>6468</v>
      </c>
      <c r="AC3" s="141" t="s">
        <v>834</v>
      </c>
      <c r="AD3" s="122" t="s">
        <v>6469</v>
      </c>
      <c r="AE3" s="122" t="s">
        <v>235</v>
      </c>
      <c r="AF3" s="122" t="s">
        <v>6470</v>
      </c>
      <c r="AG3" s="122" t="s">
        <v>252</v>
      </c>
      <c r="AH3" s="122" t="s">
        <v>253</v>
      </c>
      <c r="AI3" s="122" t="s">
        <v>6471</v>
      </c>
      <c r="AJ3" s="122" t="s">
        <v>253</v>
      </c>
      <c r="AK3" s="122" t="s">
        <v>253</v>
      </c>
      <c r="AL3" s="122" t="s">
        <v>253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253</v>
      </c>
      <c r="AS3" s="141" t="s">
        <v>257</v>
      </c>
      <c r="AT3" s="141" t="s">
        <v>257</v>
      </c>
      <c r="AU3" s="141" t="s">
        <v>258</v>
      </c>
      <c r="AV3" s="122" t="s">
        <v>259</v>
      </c>
      <c r="AW3" s="122" t="s">
        <v>260</v>
      </c>
      <c r="AY3" s="141" t="s">
        <v>253</v>
      </c>
      <c r="AZ3" s="122" t="s">
        <v>6472</v>
      </c>
      <c r="BA3" s="122" t="s">
        <v>262</v>
      </c>
      <c r="BB3" s="122" t="s">
        <v>262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54</v>
      </c>
      <c r="BJ3" s="123">
        <v>42226</v>
      </c>
      <c r="BK3" s="139" t="s">
        <v>264</v>
      </c>
      <c r="BL3" s="140">
        <v>150.07</v>
      </c>
      <c r="BM3" s="122">
        <v>33</v>
      </c>
    </row>
    <row r="4" spans="1:66" x14ac:dyDescent="0.25">
      <c r="A4" s="122" t="s">
        <v>6059</v>
      </c>
      <c r="B4" s="122" t="s">
        <v>6473</v>
      </c>
      <c r="C4" s="122" t="s">
        <v>6474</v>
      </c>
      <c r="D4" s="122" t="s">
        <v>6475</v>
      </c>
      <c r="E4" s="123">
        <v>42226</v>
      </c>
      <c r="F4" s="122" t="s">
        <v>6476</v>
      </c>
      <c r="G4" s="122" t="s">
        <v>235</v>
      </c>
      <c r="H4" s="122" t="s">
        <v>6477</v>
      </c>
      <c r="I4" s="122" t="s">
        <v>6478</v>
      </c>
      <c r="K4" s="122" t="s">
        <v>238</v>
      </c>
      <c r="L4" s="122" t="s">
        <v>371</v>
      </c>
      <c r="M4" s="122" t="s">
        <v>6479</v>
      </c>
      <c r="O4" s="141" t="s">
        <v>1158</v>
      </c>
      <c r="P4" s="141" t="s">
        <v>6480</v>
      </c>
      <c r="Q4" s="122" t="s">
        <v>243</v>
      </c>
      <c r="R4" s="142">
        <v>55</v>
      </c>
      <c r="S4" s="122" t="s">
        <v>6481</v>
      </c>
      <c r="U4" s="122" t="s">
        <v>245</v>
      </c>
      <c r="V4" s="122" t="s">
        <v>276</v>
      </c>
      <c r="W4" s="122" t="s">
        <v>277</v>
      </c>
      <c r="X4" s="122" t="s">
        <v>2624</v>
      </c>
      <c r="Y4" s="141" t="s">
        <v>593</v>
      </c>
      <c r="Z4" s="122" t="s">
        <v>1422</v>
      </c>
      <c r="AA4" s="141" t="s">
        <v>819</v>
      </c>
      <c r="AB4" s="122" t="s">
        <v>6482</v>
      </c>
      <c r="AC4" s="141" t="s">
        <v>447</v>
      </c>
      <c r="AD4" s="122" t="s">
        <v>6483</v>
      </c>
      <c r="AE4" s="122" t="s">
        <v>235</v>
      </c>
      <c r="AF4" s="122" t="s">
        <v>6484</v>
      </c>
      <c r="AG4" s="122" t="s">
        <v>359</v>
      </c>
      <c r="AH4" s="122" t="s">
        <v>253</v>
      </c>
      <c r="AI4" s="122" t="s">
        <v>6485</v>
      </c>
      <c r="AJ4" s="122" t="s">
        <v>6486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253</v>
      </c>
      <c r="AP4" s="141" t="s">
        <v>253</v>
      </c>
      <c r="AQ4" s="141" t="s">
        <v>247</v>
      </c>
      <c r="AR4" s="141" t="s">
        <v>247</v>
      </c>
      <c r="AS4" s="141" t="s">
        <v>361</v>
      </c>
      <c r="AT4" s="141" t="s">
        <v>257</v>
      </c>
      <c r="AU4" s="141" t="s">
        <v>257</v>
      </c>
      <c r="AV4" s="122" t="s">
        <v>259</v>
      </c>
      <c r="AW4" s="122" t="s">
        <v>260</v>
      </c>
      <c r="AY4" s="141" t="s">
        <v>253</v>
      </c>
      <c r="AZ4" s="122" t="s">
        <v>6487</v>
      </c>
      <c r="BA4" s="122" t="s">
        <v>6488</v>
      </c>
      <c r="BB4" s="122" t="s">
        <v>6488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55</v>
      </c>
      <c r="BJ4" s="123">
        <v>42226</v>
      </c>
      <c r="BK4" s="139" t="s">
        <v>264</v>
      </c>
      <c r="BL4" s="140">
        <v>274.70999999999998</v>
      </c>
      <c r="BM4" s="122">
        <v>33</v>
      </c>
    </row>
    <row r="5" spans="1:66" x14ac:dyDescent="0.25">
      <c r="A5" s="122" t="s">
        <v>6489</v>
      </c>
      <c r="B5" s="122" t="s">
        <v>6490</v>
      </c>
      <c r="C5" s="122" t="s">
        <v>6491</v>
      </c>
      <c r="D5" s="122" t="s">
        <v>6492</v>
      </c>
      <c r="E5" s="123">
        <v>42226</v>
      </c>
      <c r="F5" s="122" t="s">
        <v>795</v>
      </c>
      <c r="G5" s="122" t="s">
        <v>235</v>
      </c>
      <c r="H5" s="122" t="s">
        <v>448</v>
      </c>
      <c r="I5" s="122" t="s">
        <v>6493</v>
      </c>
      <c r="K5" s="122" t="s">
        <v>238</v>
      </c>
      <c r="L5" s="122" t="s">
        <v>297</v>
      </c>
      <c r="M5" s="122" t="s">
        <v>1479</v>
      </c>
      <c r="O5" s="141" t="s">
        <v>665</v>
      </c>
      <c r="P5" s="141" t="s">
        <v>6494</v>
      </c>
      <c r="Q5" s="122" t="s">
        <v>243</v>
      </c>
      <c r="R5" s="142">
        <v>119</v>
      </c>
      <c r="S5" s="122" t="s">
        <v>6495</v>
      </c>
      <c r="U5" s="122" t="s">
        <v>245</v>
      </c>
      <c r="W5" s="122" t="s">
        <v>246</v>
      </c>
      <c r="X5" s="122" t="s">
        <v>302</v>
      </c>
      <c r="Y5" s="141" t="s">
        <v>4229</v>
      </c>
      <c r="Z5" s="122" t="s">
        <v>6496</v>
      </c>
      <c r="AA5" s="141" t="s">
        <v>705</v>
      </c>
      <c r="AB5" s="122" t="s">
        <v>6497</v>
      </c>
      <c r="AC5" s="141" t="s">
        <v>668</v>
      </c>
      <c r="AD5" s="122" t="s">
        <v>669</v>
      </c>
      <c r="AE5" s="122" t="s">
        <v>235</v>
      </c>
      <c r="AF5" s="122" t="s">
        <v>6498</v>
      </c>
      <c r="AG5" s="122" t="s">
        <v>253</v>
      </c>
      <c r="AH5" s="122" t="s">
        <v>253</v>
      </c>
      <c r="AI5" s="122" t="s">
        <v>6499</v>
      </c>
      <c r="AJ5" s="122" t="s">
        <v>253</v>
      </c>
      <c r="AK5" s="122" t="s">
        <v>253</v>
      </c>
      <c r="AL5" s="122" t="s">
        <v>253</v>
      </c>
      <c r="AM5" s="122" t="s">
        <v>6500</v>
      </c>
      <c r="AN5" s="122" t="s">
        <v>253</v>
      </c>
      <c r="AO5" s="141" t="s">
        <v>247</v>
      </c>
      <c r="AP5" s="141" t="s">
        <v>247</v>
      </c>
      <c r="AQ5" s="141" t="s">
        <v>247</v>
      </c>
      <c r="AR5" s="141" t="s">
        <v>253</v>
      </c>
      <c r="AS5" s="141" t="s">
        <v>257</v>
      </c>
      <c r="AT5" s="141" t="s">
        <v>257</v>
      </c>
      <c r="AU5" s="141" t="s">
        <v>258</v>
      </c>
      <c r="AV5" s="122" t="s">
        <v>259</v>
      </c>
      <c r="AW5" s="122" t="s">
        <v>260</v>
      </c>
      <c r="AX5" s="141" t="s">
        <v>3027</v>
      </c>
      <c r="AY5" s="141" t="s">
        <v>603</v>
      </c>
      <c r="AZ5" s="122" t="s">
        <v>262</v>
      </c>
      <c r="BA5" s="122" t="s">
        <v>262</v>
      </c>
      <c r="BB5" s="122" t="s">
        <v>262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119</v>
      </c>
      <c r="BJ5" s="123">
        <v>42227</v>
      </c>
      <c r="BK5" s="139" t="s">
        <v>264</v>
      </c>
      <c r="BL5" s="140">
        <v>317.12</v>
      </c>
      <c r="BM5" s="122">
        <v>33</v>
      </c>
    </row>
    <row r="6" spans="1:66" x14ac:dyDescent="0.25">
      <c r="A6" s="122" t="s">
        <v>6489</v>
      </c>
      <c r="B6" s="122" t="s">
        <v>6501</v>
      </c>
      <c r="C6" s="122" t="s">
        <v>6502</v>
      </c>
      <c r="D6" s="122" t="s">
        <v>6503</v>
      </c>
      <c r="E6" s="123">
        <v>42226</v>
      </c>
      <c r="F6" s="122" t="s">
        <v>2634</v>
      </c>
      <c r="G6" s="122" t="s">
        <v>235</v>
      </c>
      <c r="H6" s="122" t="s">
        <v>6504</v>
      </c>
      <c r="I6" s="122" t="s">
        <v>1918</v>
      </c>
      <c r="J6" s="122" t="s">
        <v>6505</v>
      </c>
      <c r="K6" s="122" t="s">
        <v>238</v>
      </c>
      <c r="L6" s="122" t="s">
        <v>297</v>
      </c>
      <c r="M6" s="122" t="s">
        <v>1920</v>
      </c>
      <c r="O6" s="141" t="s">
        <v>1240</v>
      </c>
      <c r="P6" s="141" t="s">
        <v>6506</v>
      </c>
      <c r="Q6" s="122" t="s">
        <v>243</v>
      </c>
      <c r="R6" s="142">
        <v>141</v>
      </c>
      <c r="S6" s="122" t="s">
        <v>6507</v>
      </c>
      <c r="U6" s="122" t="s">
        <v>245</v>
      </c>
      <c r="V6" s="122" t="s">
        <v>276</v>
      </c>
      <c r="W6" s="122" t="s">
        <v>277</v>
      </c>
      <c r="X6" s="122" t="s">
        <v>853</v>
      </c>
      <c r="Y6" s="141" t="s">
        <v>973</v>
      </c>
      <c r="Z6" s="122" t="s">
        <v>571</v>
      </c>
      <c r="AA6" s="141" t="s">
        <v>784</v>
      </c>
      <c r="AB6" s="122" t="s">
        <v>355</v>
      </c>
      <c r="AC6" s="141" t="s">
        <v>570</v>
      </c>
      <c r="AD6" s="122" t="s">
        <v>355</v>
      </c>
      <c r="AE6" s="122" t="s">
        <v>235</v>
      </c>
      <c r="AF6" s="122" t="s">
        <v>6508</v>
      </c>
      <c r="AG6" s="122" t="s">
        <v>6509</v>
      </c>
      <c r="AH6" s="122" t="s">
        <v>253</v>
      </c>
      <c r="AI6" s="122" t="s">
        <v>6510</v>
      </c>
      <c r="AJ6" s="122" t="s">
        <v>6511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247</v>
      </c>
      <c r="AP6" s="141" t="s">
        <v>253</v>
      </c>
      <c r="AQ6" s="141" t="s">
        <v>247</v>
      </c>
      <c r="AR6" s="141" t="s">
        <v>247</v>
      </c>
      <c r="AS6" s="141" t="s">
        <v>257</v>
      </c>
      <c r="AT6" s="141" t="s">
        <v>257</v>
      </c>
      <c r="AU6" s="141" t="s">
        <v>257</v>
      </c>
      <c r="AV6" s="122" t="s">
        <v>259</v>
      </c>
      <c r="AW6" s="122" t="s">
        <v>260</v>
      </c>
      <c r="AY6" s="141" t="s">
        <v>253</v>
      </c>
      <c r="AZ6" s="122" t="s">
        <v>6512</v>
      </c>
      <c r="BA6" s="122" t="s">
        <v>262</v>
      </c>
      <c r="BB6" s="122" t="s">
        <v>262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141</v>
      </c>
      <c r="BJ6" s="123">
        <v>42226</v>
      </c>
      <c r="BK6" s="139" t="s">
        <v>264</v>
      </c>
      <c r="BL6" s="140">
        <v>175</v>
      </c>
      <c r="BM6" s="122">
        <v>33</v>
      </c>
    </row>
    <row r="7" spans="1:66" x14ac:dyDescent="0.25">
      <c r="A7" s="122" t="s">
        <v>6513</v>
      </c>
      <c r="B7" s="122" t="s">
        <v>6514</v>
      </c>
      <c r="C7" s="122" t="s">
        <v>6515</v>
      </c>
      <c r="D7" s="122" t="s">
        <v>6516</v>
      </c>
      <c r="E7" s="123">
        <v>42226</v>
      </c>
      <c r="F7" s="122" t="s">
        <v>1629</v>
      </c>
      <c r="G7" s="122" t="s">
        <v>235</v>
      </c>
      <c r="H7" s="122" t="s">
        <v>6517</v>
      </c>
      <c r="I7" s="122" t="s">
        <v>6518</v>
      </c>
      <c r="K7" s="122" t="s">
        <v>238</v>
      </c>
      <c r="L7" s="122" t="s">
        <v>346</v>
      </c>
      <c r="M7" s="122" t="s">
        <v>1054</v>
      </c>
      <c r="O7" s="141" t="s">
        <v>273</v>
      </c>
      <c r="P7" s="141" t="s">
        <v>6519</v>
      </c>
      <c r="Q7" s="122" t="s">
        <v>243</v>
      </c>
      <c r="R7" s="142">
        <v>159</v>
      </c>
      <c r="S7" s="122" t="s">
        <v>6520</v>
      </c>
      <c r="T7" s="122" t="s">
        <v>6521</v>
      </c>
      <c r="U7" s="122" t="s">
        <v>245</v>
      </c>
      <c r="V7" s="122" t="s">
        <v>276</v>
      </c>
      <c r="W7" s="122" t="s">
        <v>277</v>
      </c>
      <c r="X7" s="122" t="s">
        <v>1324</v>
      </c>
      <c r="Y7" s="141" t="s">
        <v>1440</v>
      </c>
      <c r="Z7" s="122" t="s">
        <v>249</v>
      </c>
      <c r="AA7" s="141" t="s">
        <v>1896</v>
      </c>
      <c r="AB7" s="122" t="s">
        <v>6522</v>
      </c>
      <c r="AC7" s="141" t="s">
        <v>1629</v>
      </c>
      <c r="AD7" s="122" t="s">
        <v>6523</v>
      </c>
      <c r="AE7" s="122" t="s">
        <v>235</v>
      </c>
      <c r="AF7" s="122" t="s">
        <v>6524</v>
      </c>
      <c r="AG7" s="122" t="s">
        <v>252</v>
      </c>
      <c r="AH7" s="122" t="s">
        <v>253</v>
      </c>
      <c r="AI7" s="122" t="s">
        <v>6525</v>
      </c>
      <c r="AJ7" s="122" t="s">
        <v>6526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247</v>
      </c>
      <c r="AQ7" s="141" t="s">
        <v>253</v>
      </c>
      <c r="AR7" s="141" t="s">
        <v>253</v>
      </c>
      <c r="AS7" s="141" t="s">
        <v>257</v>
      </c>
      <c r="AT7" s="141" t="s">
        <v>258</v>
      </c>
      <c r="AU7" s="141" t="s">
        <v>258</v>
      </c>
      <c r="AV7" s="122" t="s">
        <v>259</v>
      </c>
      <c r="AW7" s="122" t="s">
        <v>260</v>
      </c>
      <c r="AY7" s="141" t="s">
        <v>253</v>
      </c>
      <c r="AZ7" s="122" t="s">
        <v>6527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159</v>
      </c>
      <c r="BJ7" s="123">
        <v>42226</v>
      </c>
      <c r="BK7" s="139" t="s">
        <v>264</v>
      </c>
      <c r="BL7" s="140">
        <v>60</v>
      </c>
      <c r="BM7" s="122">
        <v>33</v>
      </c>
    </row>
    <row r="8" spans="1:66" x14ac:dyDescent="0.25">
      <c r="A8" s="122" t="s">
        <v>6513</v>
      </c>
      <c r="B8" s="122" t="s">
        <v>6528</v>
      </c>
      <c r="C8" s="122" t="s">
        <v>6529</v>
      </c>
      <c r="D8" s="122" t="s">
        <v>6530</v>
      </c>
      <c r="E8" s="123">
        <v>42226</v>
      </c>
      <c r="F8" s="122" t="s">
        <v>2717</v>
      </c>
      <c r="G8" s="122" t="s">
        <v>235</v>
      </c>
      <c r="H8" s="122" t="s">
        <v>6531</v>
      </c>
      <c r="I8" s="122" t="s">
        <v>6532</v>
      </c>
      <c r="J8" s="122" t="s">
        <v>6533</v>
      </c>
      <c r="K8" s="122" t="s">
        <v>238</v>
      </c>
      <c r="L8" s="122" t="s">
        <v>271</v>
      </c>
      <c r="M8" s="122" t="s">
        <v>2069</v>
      </c>
      <c r="O8" s="141" t="s">
        <v>451</v>
      </c>
      <c r="P8" s="141" t="s">
        <v>6534</v>
      </c>
      <c r="Q8" s="122" t="s">
        <v>243</v>
      </c>
      <c r="R8" s="142">
        <v>165</v>
      </c>
      <c r="S8" s="122" t="s">
        <v>6535</v>
      </c>
      <c r="U8" s="122" t="s">
        <v>245</v>
      </c>
      <c r="W8" s="122" t="s">
        <v>246</v>
      </c>
      <c r="X8" s="122" t="s">
        <v>1057</v>
      </c>
      <c r="Y8" s="141" t="s">
        <v>6536</v>
      </c>
      <c r="Z8" s="122" t="s">
        <v>766</v>
      </c>
      <c r="AA8" s="141" t="s">
        <v>833</v>
      </c>
      <c r="AB8" s="122" t="s">
        <v>2135</v>
      </c>
      <c r="AD8" s="122" t="s">
        <v>250</v>
      </c>
      <c r="AE8" s="122" t="s">
        <v>235</v>
      </c>
      <c r="AF8" s="122" t="s">
        <v>6537</v>
      </c>
      <c r="AG8" s="122" t="s">
        <v>6538</v>
      </c>
      <c r="AH8" s="122" t="s">
        <v>6539</v>
      </c>
      <c r="AI8" s="122" t="s">
        <v>6540</v>
      </c>
      <c r="AJ8" s="122" t="s">
        <v>6541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247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6542</v>
      </c>
      <c r="BA8" s="122" t="s">
        <v>262</v>
      </c>
      <c r="BB8" s="122" t="s">
        <v>262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165</v>
      </c>
      <c r="BJ8" s="123">
        <v>42227</v>
      </c>
      <c r="BK8" s="139" t="s">
        <v>264</v>
      </c>
      <c r="BL8" s="140">
        <v>165.74</v>
      </c>
      <c r="BM8" s="122">
        <v>33</v>
      </c>
    </row>
    <row r="9" spans="1:66" x14ac:dyDescent="0.25">
      <c r="A9" s="122" t="s">
        <v>6513</v>
      </c>
      <c r="B9" s="122" t="s">
        <v>6543</v>
      </c>
      <c r="C9" s="122" t="s">
        <v>6544</v>
      </c>
      <c r="D9" s="122" t="s">
        <v>6545</v>
      </c>
      <c r="E9" s="123">
        <v>42226</v>
      </c>
      <c r="F9" s="122" t="s">
        <v>6546</v>
      </c>
      <c r="G9" s="122" t="s">
        <v>235</v>
      </c>
      <c r="H9" s="122" t="s">
        <v>6547</v>
      </c>
      <c r="I9" s="122" t="s">
        <v>6548</v>
      </c>
      <c r="K9" s="122" t="s">
        <v>238</v>
      </c>
      <c r="L9" s="122" t="s">
        <v>371</v>
      </c>
      <c r="M9" s="122" t="s">
        <v>5160</v>
      </c>
      <c r="O9" s="141" t="s">
        <v>5598</v>
      </c>
      <c r="P9" s="141" t="s">
        <v>6549</v>
      </c>
      <c r="Q9" s="122" t="s">
        <v>243</v>
      </c>
      <c r="R9" s="142">
        <v>166</v>
      </c>
      <c r="S9" s="122" t="s">
        <v>6550</v>
      </c>
      <c r="U9" s="122" t="s">
        <v>245</v>
      </c>
      <c r="V9" s="122" t="s">
        <v>276</v>
      </c>
      <c r="W9" s="122" t="s">
        <v>277</v>
      </c>
      <c r="X9" s="122" t="s">
        <v>1324</v>
      </c>
      <c r="Y9" s="141" t="s">
        <v>6551</v>
      </c>
      <c r="Z9" s="122" t="s">
        <v>1545</v>
      </c>
      <c r="AA9" s="141" t="s">
        <v>833</v>
      </c>
      <c r="AB9" s="122" t="s">
        <v>355</v>
      </c>
      <c r="AC9" s="141" t="s">
        <v>834</v>
      </c>
      <c r="AD9" s="122" t="s">
        <v>355</v>
      </c>
      <c r="AE9" s="122" t="s">
        <v>235</v>
      </c>
      <c r="AF9" s="122" t="s">
        <v>6552</v>
      </c>
      <c r="AG9" s="122" t="s">
        <v>6553</v>
      </c>
      <c r="AH9" s="122" t="s">
        <v>253</v>
      </c>
      <c r="AI9" s="122" t="s">
        <v>6554</v>
      </c>
      <c r="AJ9" s="122" t="s">
        <v>6555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41" t="s">
        <v>253</v>
      </c>
      <c r="AZ9" s="122" t="s">
        <v>6556</v>
      </c>
      <c r="BA9" s="122" t="s">
        <v>262</v>
      </c>
      <c r="BB9" s="122" t="s">
        <v>6557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166</v>
      </c>
      <c r="BJ9" s="123">
        <v>42226</v>
      </c>
      <c r="BK9" s="139" t="s">
        <v>264</v>
      </c>
      <c r="BL9" s="140">
        <v>200</v>
      </c>
      <c r="BM9" s="122">
        <v>33</v>
      </c>
    </row>
    <row r="10" spans="1:66" x14ac:dyDescent="0.25">
      <c r="A10" s="122" t="s">
        <v>6513</v>
      </c>
      <c r="B10" s="122" t="s">
        <v>6558</v>
      </c>
      <c r="C10" s="122" t="s">
        <v>6559</v>
      </c>
      <c r="D10" s="122" t="s">
        <v>6560</v>
      </c>
      <c r="E10" s="123">
        <v>42226</v>
      </c>
      <c r="F10" s="122" t="s">
        <v>2306</v>
      </c>
      <c r="G10" s="122" t="s">
        <v>235</v>
      </c>
      <c r="H10" s="122" t="s">
        <v>6561</v>
      </c>
      <c r="I10" s="122" t="s">
        <v>6562</v>
      </c>
      <c r="J10" s="122" t="s">
        <v>6563</v>
      </c>
      <c r="K10" s="122" t="s">
        <v>238</v>
      </c>
      <c r="L10" s="122" t="s">
        <v>271</v>
      </c>
      <c r="M10" s="122" t="s">
        <v>849</v>
      </c>
      <c r="O10" s="141" t="s">
        <v>649</v>
      </c>
      <c r="P10" s="141" t="s">
        <v>6564</v>
      </c>
      <c r="Q10" s="122" t="s">
        <v>243</v>
      </c>
      <c r="R10" s="142">
        <v>174</v>
      </c>
      <c r="S10" s="122" t="s">
        <v>6565</v>
      </c>
      <c r="U10" s="122" t="s">
        <v>245</v>
      </c>
      <c r="V10" s="122" t="s">
        <v>276</v>
      </c>
      <c r="W10" s="122" t="s">
        <v>277</v>
      </c>
      <c r="X10" s="122" t="s">
        <v>1121</v>
      </c>
      <c r="Y10" s="141" t="s">
        <v>2257</v>
      </c>
      <c r="Z10" s="122" t="s">
        <v>6566</v>
      </c>
      <c r="AA10" s="141" t="s">
        <v>2010</v>
      </c>
      <c r="AB10" s="122" t="s">
        <v>6567</v>
      </c>
      <c r="AD10" s="122" t="s">
        <v>250</v>
      </c>
      <c r="AE10" s="122" t="s">
        <v>235</v>
      </c>
      <c r="AF10" s="122" t="s">
        <v>6568</v>
      </c>
      <c r="AG10" s="122" t="s">
        <v>252</v>
      </c>
      <c r="AH10" s="122" t="s">
        <v>253</v>
      </c>
      <c r="AI10" s="122" t="s">
        <v>6569</v>
      </c>
      <c r="AJ10" s="122" t="s">
        <v>6570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253</v>
      </c>
      <c r="AP10" s="141" t="s">
        <v>253</v>
      </c>
      <c r="AQ10" s="141" t="s">
        <v>247</v>
      </c>
      <c r="AR10" s="141" t="s">
        <v>253</v>
      </c>
      <c r="AS10" s="141" t="s">
        <v>361</v>
      </c>
      <c r="AT10" s="141" t="s">
        <v>257</v>
      </c>
      <c r="AU10" s="141" t="s">
        <v>258</v>
      </c>
      <c r="AV10" s="122" t="s">
        <v>259</v>
      </c>
      <c r="AW10" s="122" t="s">
        <v>260</v>
      </c>
      <c r="AY10" s="141" t="s">
        <v>253</v>
      </c>
      <c r="AZ10" s="122" t="s">
        <v>6571</v>
      </c>
      <c r="BA10" s="122" t="s">
        <v>262</v>
      </c>
      <c r="BB10" s="122" t="s">
        <v>262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174</v>
      </c>
      <c r="BJ10" s="123">
        <v>42226</v>
      </c>
      <c r="BK10" s="139" t="s">
        <v>264</v>
      </c>
      <c r="BL10" s="140">
        <v>67.47</v>
      </c>
      <c r="BM10" s="122">
        <v>33</v>
      </c>
    </row>
    <row r="11" spans="1:66" x14ac:dyDescent="0.25">
      <c r="A11" s="122" t="s">
        <v>6489</v>
      </c>
      <c r="B11" s="122" t="s">
        <v>6572</v>
      </c>
      <c r="C11" s="122" t="s">
        <v>6474</v>
      </c>
      <c r="D11" s="122" t="s">
        <v>6475</v>
      </c>
      <c r="E11" s="123">
        <v>42226</v>
      </c>
      <c r="F11" s="122" t="s">
        <v>6476</v>
      </c>
      <c r="G11" s="122" t="s">
        <v>235</v>
      </c>
      <c r="H11" s="122" t="s">
        <v>6477</v>
      </c>
      <c r="I11" s="122" t="s">
        <v>6478</v>
      </c>
      <c r="K11" s="122" t="s">
        <v>238</v>
      </c>
      <c r="L11" s="122" t="s">
        <v>371</v>
      </c>
      <c r="M11" s="122" t="s">
        <v>6479</v>
      </c>
      <c r="O11" s="141" t="s">
        <v>1158</v>
      </c>
      <c r="P11" s="141" t="s">
        <v>6480</v>
      </c>
      <c r="Q11" s="122" t="s">
        <v>243</v>
      </c>
      <c r="R11" s="142">
        <v>273</v>
      </c>
      <c r="S11" s="122" t="s">
        <v>6481</v>
      </c>
      <c r="U11" s="122" t="s">
        <v>245</v>
      </c>
      <c r="V11" s="122" t="s">
        <v>276</v>
      </c>
      <c r="W11" s="122" t="s">
        <v>277</v>
      </c>
      <c r="X11" s="122" t="s">
        <v>2624</v>
      </c>
      <c r="Y11" s="141" t="s">
        <v>593</v>
      </c>
      <c r="Z11" s="122" t="s">
        <v>1422</v>
      </c>
      <c r="AA11" s="141" t="s">
        <v>819</v>
      </c>
      <c r="AB11" s="122" t="s">
        <v>6482</v>
      </c>
      <c r="AC11" s="141" t="s">
        <v>447</v>
      </c>
      <c r="AD11" s="122" t="s">
        <v>6483</v>
      </c>
      <c r="AE11" s="122" t="s">
        <v>235</v>
      </c>
      <c r="AF11" s="122" t="s">
        <v>6484</v>
      </c>
      <c r="AG11" s="122" t="s">
        <v>359</v>
      </c>
      <c r="AH11" s="122" t="s">
        <v>253</v>
      </c>
      <c r="AI11" s="122" t="s">
        <v>6485</v>
      </c>
      <c r="AJ11" s="122" t="s">
        <v>6486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253</v>
      </c>
      <c r="AP11" s="141" t="s">
        <v>253</v>
      </c>
      <c r="AQ11" s="141" t="s">
        <v>247</v>
      </c>
      <c r="AR11" s="141" t="s">
        <v>247</v>
      </c>
      <c r="AS11" s="141" t="s">
        <v>361</v>
      </c>
      <c r="AT11" s="141" t="s">
        <v>257</v>
      </c>
      <c r="AU11" s="141" t="s">
        <v>257</v>
      </c>
      <c r="AV11" s="122" t="s">
        <v>259</v>
      </c>
      <c r="AW11" s="122" t="s">
        <v>556</v>
      </c>
      <c r="AY11" s="141" t="s">
        <v>253</v>
      </c>
      <c r="AZ11" s="122" t="s">
        <v>6487</v>
      </c>
      <c r="BA11" s="122" t="s">
        <v>6488</v>
      </c>
      <c r="BB11" s="122" t="s">
        <v>6488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273</v>
      </c>
      <c r="BK11" s="139" t="s">
        <v>558</v>
      </c>
    </row>
    <row r="12" spans="1:66" x14ac:dyDescent="0.25">
      <c r="A12" s="122" t="s">
        <v>352</v>
      </c>
      <c r="B12" s="122" t="s">
        <v>6573</v>
      </c>
      <c r="C12" s="122" t="s">
        <v>6502</v>
      </c>
      <c r="D12" s="122" t="s">
        <v>6503</v>
      </c>
      <c r="E12" s="123">
        <v>42226</v>
      </c>
      <c r="F12" s="122" t="s">
        <v>2634</v>
      </c>
      <c r="G12" s="122" t="s">
        <v>235</v>
      </c>
      <c r="H12" s="122" t="s">
        <v>6504</v>
      </c>
      <c r="I12" s="122" t="s">
        <v>1918</v>
      </c>
      <c r="J12" s="122" t="s">
        <v>6505</v>
      </c>
      <c r="K12" s="122" t="s">
        <v>238</v>
      </c>
      <c r="L12" s="122" t="s">
        <v>297</v>
      </c>
      <c r="M12" s="122" t="s">
        <v>1920</v>
      </c>
      <c r="O12" s="141" t="s">
        <v>1240</v>
      </c>
      <c r="P12" s="141" t="s">
        <v>6506</v>
      </c>
      <c r="Q12" s="122" t="s">
        <v>243</v>
      </c>
      <c r="R12" s="142">
        <v>299</v>
      </c>
      <c r="S12" s="122" t="s">
        <v>6507</v>
      </c>
      <c r="U12" s="122" t="s">
        <v>245</v>
      </c>
      <c r="V12" s="122" t="s">
        <v>276</v>
      </c>
      <c r="W12" s="122" t="s">
        <v>277</v>
      </c>
      <c r="X12" s="122" t="s">
        <v>853</v>
      </c>
      <c r="Y12" s="141" t="s">
        <v>973</v>
      </c>
      <c r="Z12" s="122" t="s">
        <v>571</v>
      </c>
      <c r="AA12" s="141" t="s">
        <v>784</v>
      </c>
      <c r="AB12" s="122" t="s">
        <v>355</v>
      </c>
      <c r="AC12" s="141" t="s">
        <v>570</v>
      </c>
      <c r="AD12" s="122" t="s">
        <v>355</v>
      </c>
      <c r="AE12" s="122" t="s">
        <v>235</v>
      </c>
      <c r="AF12" s="122" t="s">
        <v>6508</v>
      </c>
      <c r="AG12" s="122" t="s">
        <v>6509</v>
      </c>
      <c r="AH12" s="122" t="s">
        <v>253</v>
      </c>
      <c r="AI12" s="122" t="s">
        <v>6510</v>
      </c>
      <c r="AJ12" s="122" t="s">
        <v>6511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253</v>
      </c>
      <c r="AQ12" s="141" t="s">
        <v>247</v>
      </c>
      <c r="AR12" s="141" t="s">
        <v>247</v>
      </c>
      <c r="AS12" s="141" t="s">
        <v>257</v>
      </c>
      <c r="AT12" s="141" t="s">
        <v>257</v>
      </c>
      <c r="AU12" s="141" t="s">
        <v>257</v>
      </c>
      <c r="AV12" s="122" t="s">
        <v>259</v>
      </c>
      <c r="AW12" s="122" t="s">
        <v>556</v>
      </c>
      <c r="AY12" s="141" t="s">
        <v>253</v>
      </c>
      <c r="AZ12" s="122" t="s">
        <v>6512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299</v>
      </c>
      <c r="BK12" s="139" t="s">
        <v>558</v>
      </c>
    </row>
    <row r="13" spans="1:66" x14ac:dyDescent="0.25">
      <c r="A13" s="122" t="s">
        <v>3037</v>
      </c>
      <c r="B13" s="122" t="s">
        <v>6574</v>
      </c>
      <c r="C13" s="122" t="s">
        <v>6575</v>
      </c>
      <c r="D13" s="122" t="s">
        <v>6576</v>
      </c>
      <c r="E13" s="123">
        <v>42226</v>
      </c>
      <c r="F13" s="122" t="s">
        <v>6577</v>
      </c>
      <c r="G13" s="122" t="s">
        <v>235</v>
      </c>
      <c r="H13" s="122" t="s">
        <v>6578</v>
      </c>
      <c r="I13" s="122" t="s">
        <v>663</v>
      </c>
      <c r="J13" s="122" t="s">
        <v>6579</v>
      </c>
      <c r="K13" s="122" t="s">
        <v>238</v>
      </c>
      <c r="L13" s="122" t="s">
        <v>239</v>
      </c>
      <c r="M13" s="122" t="s">
        <v>935</v>
      </c>
      <c r="O13" s="141" t="s">
        <v>916</v>
      </c>
      <c r="P13" s="141" t="s">
        <v>6580</v>
      </c>
      <c r="Q13" s="122" t="s">
        <v>243</v>
      </c>
      <c r="R13" s="142">
        <v>1</v>
      </c>
      <c r="S13" s="122" t="s">
        <v>6581</v>
      </c>
      <c r="U13" s="122" t="s">
        <v>589</v>
      </c>
      <c r="W13" s="122" t="s">
        <v>246</v>
      </c>
      <c r="X13" s="122" t="s">
        <v>260</v>
      </c>
      <c r="Y13" s="141" t="s">
        <v>593</v>
      </c>
      <c r="Z13" s="122" t="s">
        <v>6582</v>
      </c>
      <c r="AA13" s="141" t="s">
        <v>742</v>
      </c>
      <c r="AB13" s="122" t="s">
        <v>3023</v>
      </c>
      <c r="AC13" s="141" t="s">
        <v>2259</v>
      </c>
      <c r="AD13" s="122" t="s">
        <v>6583</v>
      </c>
      <c r="AE13" s="122" t="s">
        <v>235</v>
      </c>
      <c r="AF13" s="122" t="s">
        <v>6584</v>
      </c>
      <c r="AG13" s="122" t="s">
        <v>253</v>
      </c>
      <c r="AH13" s="122" t="s">
        <v>253</v>
      </c>
      <c r="AI13" s="122" t="s">
        <v>6585</v>
      </c>
      <c r="AJ13" s="122" t="s">
        <v>6586</v>
      </c>
      <c r="AK13" s="122" t="s">
        <v>6587</v>
      </c>
      <c r="AL13" s="122" t="s">
        <v>253</v>
      </c>
      <c r="AM13" s="122" t="s">
        <v>253</v>
      </c>
      <c r="AN13" s="122" t="s">
        <v>253</v>
      </c>
      <c r="AO13" s="141" t="s">
        <v>247</v>
      </c>
      <c r="AP13" s="141" t="s">
        <v>247</v>
      </c>
      <c r="AQ13" s="141" t="s">
        <v>247</v>
      </c>
      <c r="AR13" s="141" t="s">
        <v>247</v>
      </c>
      <c r="AS13" s="141" t="s">
        <v>601</v>
      </c>
      <c r="AT13" s="141" t="s">
        <v>601</v>
      </c>
      <c r="AU13" s="141" t="s">
        <v>601</v>
      </c>
      <c r="AV13" s="122" t="s">
        <v>259</v>
      </c>
      <c r="AW13" s="122" t="s">
        <v>260</v>
      </c>
      <c r="AX13" s="141" t="s">
        <v>2905</v>
      </c>
      <c r="AY13" s="141" t="s">
        <v>442</v>
      </c>
      <c r="AZ13" s="122" t="s">
        <v>6588</v>
      </c>
      <c r="BA13" s="122" t="s">
        <v>262</v>
      </c>
      <c r="BB13" s="122" t="s">
        <v>262</v>
      </c>
      <c r="BD13" s="122" t="s">
        <v>253</v>
      </c>
      <c r="BE13" s="122" t="s">
        <v>263</v>
      </c>
      <c r="BF13" s="122" t="s">
        <v>605</v>
      </c>
      <c r="BH13" s="122" t="s">
        <v>589</v>
      </c>
      <c r="BI13" s="142">
        <v>1</v>
      </c>
    </row>
    <row r="14" spans="1:66" x14ac:dyDescent="0.25">
      <c r="A14" s="122" t="s">
        <v>3037</v>
      </c>
      <c r="B14" s="122" t="s">
        <v>6589</v>
      </c>
      <c r="C14" s="122" t="s">
        <v>6590</v>
      </c>
      <c r="D14" s="122" t="s">
        <v>6591</v>
      </c>
      <c r="E14" s="123">
        <v>42226</v>
      </c>
      <c r="F14" s="122" t="s">
        <v>480</v>
      </c>
      <c r="G14" s="122" t="s">
        <v>235</v>
      </c>
      <c r="H14" s="122" t="s">
        <v>448</v>
      </c>
      <c r="I14" s="122" t="s">
        <v>6592</v>
      </c>
      <c r="K14" s="122" t="s">
        <v>238</v>
      </c>
      <c r="L14" s="122" t="s">
        <v>320</v>
      </c>
      <c r="M14" s="122" t="s">
        <v>585</v>
      </c>
      <c r="N14" s="122" t="s">
        <v>6593</v>
      </c>
      <c r="O14" s="141" t="s">
        <v>566</v>
      </c>
      <c r="P14" s="141" t="s">
        <v>6594</v>
      </c>
      <c r="Q14" s="122" t="s">
        <v>243</v>
      </c>
      <c r="R14" s="142">
        <v>2</v>
      </c>
      <c r="S14" s="122" t="s">
        <v>6595</v>
      </c>
      <c r="U14" s="122" t="s">
        <v>589</v>
      </c>
      <c r="W14" s="122" t="s">
        <v>246</v>
      </c>
      <c r="X14" s="122" t="s">
        <v>853</v>
      </c>
      <c r="Y14" s="141" t="s">
        <v>4229</v>
      </c>
      <c r="Z14" s="122" t="s">
        <v>6596</v>
      </c>
      <c r="AA14" s="141" t="s">
        <v>1896</v>
      </c>
      <c r="AB14" s="122" t="s">
        <v>6596</v>
      </c>
      <c r="AC14" s="141" t="s">
        <v>2306</v>
      </c>
      <c r="AD14" s="122" t="s">
        <v>6597</v>
      </c>
      <c r="AE14" s="122" t="s">
        <v>235</v>
      </c>
      <c r="AF14" s="122" t="s">
        <v>6598</v>
      </c>
      <c r="AG14" s="122" t="s">
        <v>537</v>
      </c>
      <c r="AH14" s="122" t="s">
        <v>253</v>
      </c>
      <c r="AI14" s="122" t="s">
        <v>6599</v>
      </c>
      <c r="AJ14" s="122" t="s">
        <v>6600</v>
      </c>
      <c r="AK14" s="122" t="s">
        <v>6601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253</v>
      </c>
      <c r="AR14" s="141" t="s">
        <v>253</v>
      </c>
      <c r="AS14" s="141" t="s">
        <v>601</v>
      </c>
      <c r="AT14" s="141" t="s">
        <v>258</v>
      </c>
      <c r="AU14" s="141" t="s">
        <v>258</v>
      </c>
      <c r="AV14" s="122" t="s">
        <v>259</v>
      </c>
      <c r="AW14" s="122" t="s">
        <v>260</v>
      </c>
      <c r="AX14" s="141" t="s">
        <v>2905</v>
      </c>
      <c r="AY14" s="141" t="s">
        <v>247</v>
      </c>
      <c r="AZ14" s="122" t="s">
        <v>262</v>
      </c>
      <c r="BA14" s="122" t="s">
        <v>262</v>
      </c>
      <c r="BB14" s="122" t="s">
        <v>6602</v>
      </c>
      <c r="BD14" s="122" t="s">
        <v>253</v>
      </c>
      <c r="BE14" s="122" t="s">
        <v>263</v>
      </c>
      <c r="BF14" s="122" t="s">
        <v>605</v>
      </c>
      <c r="BH14" s="122" t="s">
        <v>589</v>
      </c>
      <c r="BI14" s="142">
        <v>2</v>
      </c>
    </row>
    <row r="15" spans="1:66" x14ac:dyDescent="0.25">
      <c r="A15" s="122" t="s">
        <v>3037</v>
      </c>
      <c r="B15" s="122" t="s">
        <v>6603</v>
      </c>
      <c r="C15" s="122" t="s">
        <v>6604</v>
      </c>
      <c r="D15" s="122" t="s">
        <v>6605</v>
      </c>
      <c r="E15" s="123">
        <v>42226</v>
      </c>
      <c r="F15" s="122" t="s">
        <v>705</v>
      </c>
      <c r="G15" s="122" t="s">
        <v>235</v>
      </c>
      <c r="H15" s="122" t="s">
        <v>6606</v>
      </c>
      <c r="I15" s="122" t="s">
        <v>6607</v>
      </c>
      <c r="K15" s="122" t="s">
        <v>238</v>
      </c>
      <c r="L15" s="122" t="s">
        <v>320</v>
      </c>
      <c r="M15" s="122" t="s">
        <v>411</v>
      </c>
      <c r="O15" s="141" t="s">
        <v>241</v>
      </c>
      <c r="P15" s="141" t="s">
        <v>6608</v>
      </c>
      <c r="Q15" s="122" t="s">
        <v>243</v>
      </c>
      <c r="R15" s="142">
        <v>3</v>
      </c>
      <c r="S15" s="122" t="s">
        <v>6609</v>
      </c>
      <c r="U15" s="122" t="s">
        <v>589</v>
      </c>
      <c r="W15" s="122" t="s">
        <v>246</v>
      </c>
      <c r="X15" s="122" t="s">
        <v>4409</v>
      </c>
      <c r="Y15" s="141" t="s">
        <v>888</v>
      </c>
      <c r="Z15" s="122" t="s">
        <v>6610</v>
      </c>
      <c r="AA15" s="141" t="s">
        <v>378</v>
      </c>
      <c r="AB15" s="122" t="s">
        <v>6611</v>
      </c>
      <c r="AC15" s="141" t="s">
        <v>328</v>
      </c>
      <c r="AD15" s="122" t="s">
        <v>6612</v>
      </c>
      <c r="AE15" s="122" t="s">
        <v>235</v>
      </c>
      <c r="AF15" s="122" t="s">
        <v>6613</v>
      </c>
      <c r="AG15" s="122" t="s">
        <v>537</v>
      </c>
      <c r="AH15" s="122" t="s">
        <v>253</v>
      </c>
      <c r="AI15" s="122" t="s">
        <v>6614</v>
      </c>
      <c r="AJ15" s="122" t="s">
        <v>6615</v>
      </c>
      <c r="AK15" s="122" t="s">
        <v>253</v>
      </c>
      <c r="AL15" s="122" t="s">
        <v>253</v>
      </c>
      <c r="AM15" s="122" t="s">
        <v>6616</v>
      </c>
      <c r="AN15" s="122" t="s">
        <v>253</v>
      </c>
      <c r="AO15" s="141" t="s">
        <v>247</v>
      </c>
      <c r="AP15" s="141" t="s">
        <v>253</v>
      </c>
      <c r="AQ15" s="141" t="s">
        <v>253</v>
      </c>
      <c r="AR15" s="141" t="s">
        <v>253</v>
      </c>
      <c r="AS15" s="141" t="s">
        <v>601</v>
      </c>
      <c r="AT15" s="141" t="s">
        <v>258</v>
      </c>
      <c r="AU15" s="141" t="s">
        <v>258</v>
      </c>
      <c r="AV15" s="122" t="s">
        <v>259</v>
      </c>
      <c r="AW15" s="122" t="s">
        <v>260</v>
      </c>
      <c r="AX15" s="141" t="s">
        <v>2905</v>
      </c>
      <c r="AY15" s="141" t="s">
        <v>603</v>
      </c>
      <c r="AZ15" s="122" t="s">
        <v>6617</v>
      </c>
      <c r="BA15" s="122" t="s">
        <v>262</v>
      </c>
      <c r="BB15" s="122" t="s">
        <v>6617</v>
      </c>
      <c r="BC15" s="141" t="s">
        <v>312</v>
      </c>
      <c r="BD15" s="122" t="s">
        <v>253</v>
      </c>
      <c r="BE15" s="122" t="s">
        <v>263</v>
      </c>
      <c r="BF15" s="122" t="s">
        <v>605</v>
      </c>
      <c r="BH15" s="122" t="s">
        <v>589</v>
      </c>
      <c r="BI15" s="142">
        <v>3</v>
      </c>
      <c r="BJ15" s="123">
        <v>42237</v>
      </c>
      <c r="BK15" s="139" t="s">
        <v>264</v>
      </c>
      <c r="BL15" s="140">
        <v>250.48</v>
      </c>
      <c r="BM15" s="122">
        <v>34</v>
      </c>
    </row>
    <row r="16" spans="1:66" x14ac:dyDescent="0.25">
      <c r="A16" s="122" t="s">
        <v>3037</v>
      </c>
      <c r="B16" s="122" t="s">
        <v>6618</v>
      </c>
      <c r="C16" s="122" t="s">
        <v>6619</v>
      </c>
      <c r="D16" s="122" t="s">
        <v>6620</v>
      </c>
      <c r="E16" s="123">
        <v>42226</v>
      </c>
      <c r="F16" s="122" t="s">
        <v>6621</v>
      </c>
      <c r="G16" s="122" t="s">
        <v>235</v>
      </c>
      <c r="H16" s="122" t="s">
        <v>6622</v>
      </c>
      <c r="I16" s="122" t="s">
        <v>6623</v>
      </c>
      <c r="K16" s="122" t="s">
        <v>238</v>
      </c>
      <c r="L16" s="122" t="s">
        <v>239</v>
      </c>
      <c r="M16" s="122" t="s">
        <v>1157</v>
      </c>
      <c r="Q16" s="122" t="s">
        <v>243</v>
      </c>
      <c r="R16" s="142">
        <v>4</v>
      </c>
      <c r="S16" s="122" t="s">
        <v>6624</v>
      </c>
      <c r="U16" s="122" t="s">
        <v>589</v>
      </c>
      <c r="W16" s="122" t="s">
        <v>246</v>
      </c>
      <c r="X16" s="122" t="s">
        <v>433</v>
      </c>
      <c r="Y16" s="141" t="s">
        <v>3039</v>
      </c>
      <c r="Z16" s="122" t="s">
        <v>6625</v>
      </c>
      <c r="AA16" s="141" t="s">
        <v>511</v>
      </c>
      <c r="AB16" s="122" t="s">
        <v>6626</v>
      </c>
      <c r="AC16" s="141" t="s">
        <v>1143</v>
      </c>
      <c r="AD16" s="122" t="s">
        <v>6627</v>
      </c>
      <c r="AE16" s="122" t="s">
        <v>235</v>
      </c>
      <c r="AF16" s="122" t="s">
        <v>6628</v>
      </c>
      <c r="AG16" s="122" t="s">
        <v>537</v>
      </c>
      <c r="AH16" s="122" t="s">
        <v>253</v>
      </c>
      <c r="AI16" s="122" t="s">
        <v>6629</v>
      </c>
      <c r="AJ16" s="122" t="s">
        <v>6630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247</v>
      </c>
      <c r="AQ16" s="141" t="s">
        <v>247</v>
      </c>
      <c r="AR16" s="141" t="s">
        <v>247</v>
      </c>
      <c r="AS16" s="141" t="s">
        <v>601</v>
      </c>
      <c r="AT16" s="141" t="s">
        <v>601</v>
      </c>
      <c r="AU16" s="141" t="s">
        <v>601</v>
      </c>
      <c r="AV16" s="122" t="s">
        <v>259</v>
      </c>
      <c r="AW16" s="122" t="s">
        <v>260</v>
      </c>
      <c r="AY16" s="141" t="s">
        <v>253</v>
      </c>
      <c r="AZ16" s="122" t="s">
        <v>6631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605</v>
      </c>
      <c r="BH16" s="122" t="s">
        <v>589</v>
      </c>
      <c r="BI16" s="142">
        <v>4</v>
      </c>
      <c r="BJ16" s="123">
        <v>42239</v>
      </c>
      <c r="BK16" s="139" t="s">
        <v>606</v>
      </c>
      <c r="BM16" s="122">
        <v>34</v>
      </c>
    </row>
    <row r="17" spans="1:65" x14ac:dyDescent="0.25">
      <c r="A17" s="122" t="s">
        <v>3037</v>
      </c>
      <c r="B17" s="122" t="s">
        <v>6632</v>
      </c>
      <c r="C17" s="122" t="s">
        <v>6633</v>
      </c>
      <c r="D17" s="122" t="s">
        <v>6634</v>
      </c>
      <c r="E17" s="123">
        <v>42226</v>
      </c>
      <c r="F17" s="122" t="s">
        <v>3873</v>
      </c>
      <c r="G17" s="122" t="s">
        <v>235</v>
      </c>
      <c r="H17" s="122" t="s">
        <v>6635</v>
      </c>
      <c r="I17" s="122" t="s">
        <v>6636</v>
      </c>
      <c r="K17" s="122" t="s">
        <v>238</v>
      </c>
      <c r="L17" s="122" t="s">
        <v>239</v>
      </c>
      <c r="M17" s="122" t="s">
        <v>6637</v>
      </c>
      <c r="O17" s="141" t="s">
        <v>6638</v>
      </c>
      <c r="P17" s="141" t="s">
        <v>6639</v>
      </c>
      <c r="Q17" s="122" t="s">
        <v>243</v>
      </c>
      <c r="R17" s="142">
        <v>5</v>
      </c>
      <c r="S17" s="122" t="s">
        <v>6640</v>
      </c>
      <c r="U17" s="122" t="s">
        <v>589</v>
      </c>
      <c r="W17" s="122" t="s">
        <v>246</v>
      </c>
      <c r="X17" s="122" t="s">
        <v>590</v>
      </c>
      <c r="Y17" s="141" t="s">
        <v>511</v>
      </c>
      <c r="Z17" s="122" t="s">
        <v>6641</v>
      </c>
      <c r="AA17" s="141" t="s">
        <v>763</v>
      </c>
      <c r="AB17" s="122" t="s">
        <v>6642</v>
      </c>
      <c r="AC17" s="141" t="s">
        <v>2735</v>
      </c>
      <c r="AD17" s="122" t="s">
        <v>249</v>
      </c>
      <c r="AE17" s="122" t="s">
        <v>235</v>
      </c>
      <c r="AF17" s="122" t="s">
        <v>6643</v>
      </c>
      <c r="AG17" s="122" t="s">
        <v>537</v>
      </c>
      <c r="AH17" s="122" t="s">
        <v>253</v>
      </c>
      <c r="AI17" s="122" t="s">
        <v>6644</v>
      </c>
      <c r="AJ17" s="122" t="s">
        <v>6645</v>
      </c>
      <c r="AK17" s="122" t="s">
        <v>253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253</v>
      </c>
      <c r="AR17" s="141" t="s">
        <v>253</v>
      </c>
      <c r="AS17" s="141" t="s">
        <v>601</v>
      </c>
      <c r="AT17" s="141" t="s">
        <v>258</v>
      </c>
      <c r="AU17" s="141" t="s">
        <v>258</v>
      </c>
      <c r="AV17" s="122" t="s">
        <v>259</v>
      </c>
      <c r="AW17" s="122" t="s">
        <v>260</v>
      </c>
      <c r="AY17" s="141" t="s">
        <v>253</v>
      </c>
      <c r="AZ17" s="122" t="s">
        <v>6646</v>
      </c>
      <c r="BA17" s="122" t="s">
        <v>262</v>
      </c>
      <c r="BB17" s="122" t="s">
        <v>6646</v>
      </c>
      <c r="BD17" s="122" t="s">
        <v>253</v>
      </c>
      <c r="BE17" s="122" t="s">
        <v>263</v>
      </c>
      <c r="BF17" s="122" t="s">
        <v>605</v>
      </c>
      <c r="BH17" s="122" t="s">
        <v>589</v>
      </c>
      <c r="BI17" s="142">
        <v>5</v>
      </c>
      <c r="BJ17" s="123">
        <v>42239</v>
      </c>
      <c r="BK17" s="139" t="s">
        <v>264</v>
      </c>
      <c r="BL17" s="140">
        <v>130</v>
      </c>
      <c r="BM17" s="122">
        <v>34</v>
      </c>
    </row>
    <row r="18" spans="1:65" x14ac:dyDescent="0.25">
      <c r="A18" s="122" t="s">
        <v>3037</v>
      </c>
      <c r="B18" s="122" t="s">
        <v>6647</v>
      </c>
      <c r="C18" s="122" t="s">
        <v>6648</v>
      </c>
      <c r="D18" s="122" t="s">
        <v>6649</v>
      </c>
      <c r="E18" s="123">
        <v>42226</v>
      </c>
      <c r="F18" s="122" t="s">
        <v>6650</v>
      </c>
      <c r="G18" s="122" t="s">
        <v>235</v>
      </c>
      <c r="H18" s="122" t="s">
        <v>6651</v>
      </c>
      <c r="I18" s="122" t="s">
        <v>6652</v>
      </c>
      <c r="K18" s="122" t="s">
        <v>238</v>
      </c>
      <c r="L18" s="122" t="s">
        <v>388</v>
      </c>
      <c r="M18" s="122" t="s">
        <v>389</v>
      </c>
      <c r="O18" s="141" t="s">
        <v>273</v>
      </c>
      <c r="P18" s="141" t="s">
        <v>6653</v>
      </c>
      <c r="Q18" s="122" t="s">
        <v>243</v>
      </c>
      <c r="R18" s="142">
        <v>6</v>
      </c>
      <c r="S18" s="122" t="s">
        <v>6654</v>
      </c>
      <c r="U18" s="122" t="s">
        <v>589</v>
      </c>
      <c r="W18" s="122" t="s">
        <v>246</v>
      </c>
      <c r="X18" s="122" t="s">
        <v>590</v>
      </c>
      <c r="Y18" s="141" t="s">
        <v>1162</v>
      </c>
      <c r="Z18" s="122" t="s">
        <v>305</v>
      </c>
      <c r="AA18" s="141" t="s">
        <v>2804</v>
      </c>
      <c r="AB18" s="122" t="s">
        <v>6655</v>
      </c>
      <c r="AC18" s="141" t="s">
        <v>2804</v>
      </c>
      <c r="AD18" s="122" t="s">
        <v>3023</v>
      </c>
      <c r="AE18" s="122" t="s">
        <v>235</v>
      </c>
      <c r="AF18" s="122" t="s">
        <v>6656</v>
      </c>
      <c r="AG18" s="122" t="s">
        <v>537</v>
      </c>
      <c r="AH18" s="122" t="s">
        <v>253</v>
      </c>
      <c r="AI18" s="122" t="s">
        <v>6657</v>
      </c>
      <c r="AJ18" s="122" t="s">
        <v>6658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247</v>
      </c>
      <c r="AP18" s="141" t="s">
        <v>247</v>
      </c>
      <c r="AQ18" s="141" t="s">
        <v>247</v>
      </c>
      <c r="AR18" s="141" t="s">
        <v>253</v>
      </c>
      <c r="AS18" s="141" t="s">
        <v>601</v>
      </c>
      <c r="AT18" s="141" t="s">
        <v>601</v>
      </c>
      <c r="AU18" s="141" t="s">
        <v>258</v>
      </c>
      <c r="AV18" s="122" t="s">
        <v>259</v>
      </c>
      <c r="AW18" s="122" t="s">
        <v>260</v>
      </c>
      <c r="AY18" s="141" t="s">
        <v>253</v>
      </c>
      <c r="AZ18" s="122" t="s">
        <v>6659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605</v>
      </c>
      <c r="BH18" s="122" t="s">
        <v>589</v>
      </c>
      <c r="BI18" s="142">
        <v>6</v>
      </c>
      <c r="BJ18" s="123">
        <v>42239</v>
      </c>
      <c r="BK18" s="139" t="s">
        <v>606</v>
      </c>
      <c r="BM18" s="122">
        <v>34</v>
      </c>
    </row>
    <row r="19" spans="1:65" x14ac:dyDescent="0.25">
      <c r="A19" s="122" t="s">
        <v>1161</v>
      </c>
      <c r="B19" s="122" t="s">
        <v>6660</v>
      </c>
      <c r="C19" s="122" t="s">
        <v>6661</v>
      </c>
      <c r="D19" s="122" t="s">
        <v>6662</v>
      </c>
      <c r="E19" s="123">
        <v>42226</v>
      </c>
      <c r="F19" s="122" t="s">
        <v>819</v>
      </c>
      <c r="G19" s="122" t="s">
        <v>235</v>
      </c>
      <c r="H19" s="122" t="s">
        <v>448</v>
      </c>
      <c r="I19" s="122" t="s">
        <v>625</v>
      </c>
      <c r="J19" s="122" t="s">
        <v>6663</v>
      </c>
      <c r="K19" s="122" t="s">
        <v>238</v>
      </c>
      <c r="L19" s="122" t="s">
        <v>239</v>
      </c>
      <c r="M19" s="122" t="s">
        <v>627</v>
      </c>
      <c r="O19" s="141" t="s">
        <v>451</v>
      </c>
      <c r="P19" s="141" t="s">
        <v>6664</v>
      </c>
      <c r="Q19" s="122" t="s">
        <v>243</v>
      </c>
      <c r="R19" s="142">
        <v>7</v>
      </c>
      <c r="S19" s="122" t="s">
        <v>6665</v>
      </c>
      <c r="U19" s="122" t="s">
        <v>589</v>
      </c>
      <c r="W19" s="122" t="s">
        <v>246</v>
      </c>
      <c r="X19" s="122" t="s">
        <v>631</v>
      </c>
      <c r="Y19" s="141" t="s">
        <v>328</v>
      </c>
      <c r="Z19" s="122" t="s">
        <v>6666</v>
      </c>
      <c r="AB19" s="122" t="s">
        <v>250</v>
      </c>
      <c r="AD19" s="122" t="s">
        <v>250</v>
      </c>
      <c r="AE19" s="122" t="s">
        <v>235</v>
      </c>
      <c r="AF19" s="122" t="s">
        <v>6667</v>
      </c>
      <c r="AG19" s="122" t="s">
        <v>253</v>
      </c>
      <c r="AH19" s="122" t="s">
        <v>253</v>
      </c>
      <c r="AI19" s="122" t="s">
        <v>6668</v>
      </c>
      <c r="AJ19" s="122" t="s">
        <v>6669</v>
      </c>
      <c r="AK19" s="122" t="s">
        <v>6670</v>
      </c>
      <c r="AL19" s="122" t="s">
        <v>253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247</v>
      </c>
      <c r="AS19" s="141" t="s">
        <v>601</v>
      </c>
      <c r="AT19" s="141" t="s">
        <v>601</v>
      </c>
      <c r="AU19" s="141" t="s">
        <v>601</v>
      </c>
      <c r="AV19" s="122" t="s">
        <v>259</v>
      </c>
      <c r="AW19" s="122" t="s">
        <v>260</v>
      </c>
      <c r="AY19" s="141" t="s">
        <v>253</v>
      </c>
      <c r="AZ19" s="122" t="s">
        <v>262</v>
      </c>
      <c r="BA19" s="122" t="s">
        <v>262</v>
      </c>
      <c r="BB19" s="122" t="s">
        <v>6671</v>
      </c>
      <c r="BD19" s="122" t="s">
        <v>253</v>
      </c>
      <c r="BE19" s="122" t="s">
        <v>263</v>
      </c>
      <c r="BF19" s="122" t="s">
        <v>605</v>
      </c>
      <c r="BH19" s="122" t="s">
        <v>589</v>
      </c>
      <c r="BI19" s="142">
        <v>7</v>
      </c>
      <c r="BJ19" s="123">
        <v>42239</v>
      </c>
      <c r="BK19" s="139" t="s">
        <v>606</v>
      </c>
      <c r="BM19" s="122">
        <v>34</v>
      </c>
    </row>
    <row r="20" spans="1:65" x14ac:dyDescent="0.25">
      <c r="A20" s="122" t="s">
        <v>6059</v>
      </c>
      <c r="B20" s="122" t="s">
        <v>6672</v>
      </c>
      <c r="C20" s="122" t="s">
        <v>6673</v>
      </c>
      <c r="D20" s="122" t="s">
        <v>6674</v>
      </c>
      <c r="E20" s="123">
        <v>42226</v>
      </c>
      <c r="F20" s="122" t="s">
        <v>6675</v>
      </c>
      <c r="G20" s="122" t="s">
        <v>235</v>
      </c>
      <c r="H20" s="122" t="s">
        <v>448</v>
      </c>
      <c r="I20" s="122" t="s">
        <v>6676</v>
      </c>
      <c r="K20" s="122" t="s">
        <v>238</v>
      </c>
      <c r="L20" s="122" t="s">
        <v>239</v>
      </c>
      <c r="M20" s="122" t="s">
        <v>6637</v>
      </c>
      <c r="O20" s="141" t="s">
        <v>5420</v>
      </c>
      <c r="P20" s="141" t="s">
        <v>6677</v>
      </c>
      <c r="Q20" s="122" t="s">
        <v>243</v>
      </c>
      <c r="R20" s="142">
        <v>8</v>
      </c>
      <c r="S20" s="122" t="s">
        <v>6678</v>
      </c>
      <c r="U20" s="122" t="s">
        <v>589</v>
      </c>
      <c r="W20" s="122" t="s">
        <v>246</v>
      </c>
      <c r="X20" s="122" t="s">
        <v>603</v>
      </c>
      <c r="Y20" s="141" t="s">
        <v>511</v>
      </c>
      <c r="Z20" s="122" t="s">
        <v>6679</v>
      </c>
      <c r="AA20" s="141" t="s">
        <v>459</v>
      </c>
      <c r="AB20" s="122" t="s">
        <v>6680</v>
      </c>
      <c r="AC20" s="141" t="s">
        <v>5991</v>
      </c>
      <c r="AD20" s="122" t="s">
        <v>6681</v>
      </c>
      <c r="AE20" s="122" t="s">
        <v>235</v>
      </c>
      <c r="AF20" s="122" t="s">
        <v>6682</v>
      </c>
      <c r="AG20" s="122" t="s">
        <v>253</v>
      </c>
      <c r="AH20" s="122" t="s">
        <v>253</v>
      </c>
      <c r="AI20" s="122" t="s">
        <v>6683</v>
      </c>
      <c r="AJ20" s="122" t="s">
        <v>6684</v>
      </c>
      <c r="AK20" s="122" t="s">
        <v>6685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247</v>
      </c>
      <c r="AQ20" s="141" t="s">
        <v>247</v>
      </c>
      <c r="AR20" s="141" t="s">
        <v>253</v>
      </c>
      <c r="AS20" s="141" t="s">
        <v>601</v>
      </c>
      <c r="AT20" s="141" t="s">
        <v>601</v>
      </c>
      <c r="AU20" s="141" t="s">
        <v>258</v>
      </c>
      <c r="AV20" s="122" t="s">
        <v>259</v>
      </c>
      <c r="AW20" s="122" t="s">
        <v>260</v>
      </c>
      <c r="AX20" s="141" t="s">
        <v>6686</v>
      </c>
      <c r="AY20" s="141" t="s">
        <v>247</v>
      </c>
      <c r="AZ20" s="122" t="s">
        <v>262</v>
      </c>
      <c r="BA20" s="122" t="s">
        <v>262</v>
      </c>
      <c r="BB20" s="122" t="s">
        <v>6687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8</v>
      </c>
    </row>
    <row r="21" spans="1:65" x14ac:dyDescent="0.25">
      <c r="A21" s="122" t="s">
        <v>6059</v>
      </c>
      <c r="B21" s="122" t="s">
        <v>6688</v>
      </c>
      <c r="C21" s="122" t="s">
        <v>6689</v>
      </c>
      <c r="D21" s="122" t="s">
        <v>6690</v>
      </c>
      <c r="E21" s="123">
        <v>42226</v>
      </c>
      <c r="F21" s="122" t="s">
        <v>6691</v>
      </c>
      <c r="G21" s="122" t="s">
        <v>235</v>
      </c>
      <c r="H21" s="122" t="s">
        <v>448</v>
      </c>
      <c r="I21" s="122" t="s">
        <v>6692</v>
      </c>
      <c r="K21" s="122" t="s">
        <v>238</v>
      </c>
      <c r="L21" s="122" t="s">
        <v>388</v>
      </c>
      <c r="M21" s="122" t="s">
        <v>389</v>
      </c>
      <c r="O21" s="141" t="s">
        <v>451</v>
      </c>
      <c r="P21" s="141" t="s">
        <v>6693</v>
      </c>
      <c r="Q21" s="122" t="s">
        <v>243</v>
      </c>
      <c r="R21" s="142">
        <v>9</v>
      </c>
      <c r="S21" s="122" t="s">
        <v>6694</v>
      </c>
      <c r="U21" s="122" t="s">
        <v>589</v>
      </c>
      <c r="W21" s="122" t="s">
        <v>246</v>
      </c>
      <c r="X21" s="122" t="s">
        <v>590</v>
      </c>
      <c r="Y21" s="141" t="s">
        <v>2804</v>
      </c>
      <c r="Z21" s="122" t="s">
        <v>6695</v>
      </c>
      <c r="AA21" s="141" t="s">
        <v>1192</v>
      </c>
      <c r="AB21" s="122" t="s">
        <v>6696</v>
      </c>
      <c r="AC21" s="141" t="s">
        <v>2250</v>
      </c>
      <c r="AD21" s="122" t="s">
        <v>571</v>
      </c>
      <c r="AE21" s="122" t="s">
        <v>235</v>
      </c>
      <c r="AF21" s="122" t="s">
        <v>6697</v>
      </c>
      <c r="AG21" s="122" t="s">
        <v>537</v>
      </c>
      <c r="AH21" s="122" t="s">
        <v>253</v>
      </c>
      <c r="AI21" s="122" t="s">
        <v>6698</v>
      </c>
      <c r="AJ21" s="122" t="s">
        <v>6699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247</v>
      </c>
      <c r="AR21" s="141" t="s">
        <v>247</v>
      </c>
      <c r="AS21" s="141" t="s">
        <v>601</v>
      </c>
      <c r="AT21" s="141" t="s">
        <v>601</v>
      </c>
      <c r="AU21" s="141" t="s">
        <v>257</v>
      </c>
      <c r="AV21" s="122" t="s">
        <v>259</v>
      </c>
      <c r="AW21" s="122" t="s">
        <v>260</v>
      </c>
      <c r="AY21" s="141" t="s">
        <v>253</v>
      </c>
      <c r="AZ21" s="122" t="s">
        <v>262</v>
      </c>
      <c r="BA21" s="122" t="s">
        <v>262</v>
      </c>
      <c r="BB21" s="122" t="s">
        <v>6700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9</v>
      </c>
      <c r="BJ21" s="123">
        <v>42239</v>
      </c>
      <c r="BK21" s="139" t="s">
        <v>606</v>
      </c>
      <c r="BM21" s="122">
        <v>34</v>
      </c>
    </row>
    <row r="22" spans="1:65" x14ac:dyDescent="0.25">
      <c r="A22" s="122" t="s">
        <v>6059</v>
      </c>
      <c r="B22" s="122" t="s">
        <v>6701</v>
      </c>
      <c r="C22" s="122" t="s">
        <v>6702</v>
      </c>
      <c r="D22" s="122" t="s">
        <v>6703</v>
      </c>
      <c r="E22" s="123">
        <v>42226</v>
      </c>
      <c r="F22" s="122" t="s">
        <v>3705</v>
      </c>
      <c r="G22" s="122" t="s">
        <v>235</v>
      </c>
      <c r="H22" s="122" t="s">
        <v>6704</v>
      </c>
      <c r="I22" s="122" t="s">
        <v>6705</v>
      </c>
      <c r="J22" s="122" t="s">
        <v>370</v>
      </c>
      <c r="K22" s="122" t="s">
        <v>238</v>
      </c>
      <c r="L22" s="122" t="s">
        <v>239</v>
      </c>
      <c r="M22" s="122" t="s">
        <v>240</v>
      </c>
      <c r="O22" s="141" t="s">
        <v>566</v>
      </c>
      <c r="P22" s="141" t="s">
        <v>6706</v>
      </c>
      <c r="Q22" s="122" t="s">
        <v>243</v>
      </c>
      <c r="R22" s="142">
        <v>10</v>
      </c>
      <c r="S22" s="122" t="s">
        <v>6707</v>
      </c>
      <c r="U22" s="122" t="s">
        <v>589</v>
      </c>
      <c r="W22" s="122" t="s">
        <v>246</v>
      </c>
      <c r="X22" s="122" t="s">
        <v>1072</v>
      </c>
      <c r="Y22" s="141" t="s">
        <v>1698</v>
      </c>
      <c r="Z22" s="122" t="s">
        <v>6708</v>
      </c>
      <c r="AA22" s="141" t="s">
        <v>2720</v>
      </c>
      <c r="AB22" s="122" t="s">
        <v>6709</v>
      </c>
      <c r="AC22" s="141" t="s">
        <v>3344</v>
      </c>
      <c r="AD22" s="122" t="s">
        <v>6710</v>
      </c>
      <c r="AE22" s="122" t="s">
        <v>235</v>
      </c>
      <c r="AF22" s="122" t="s">
        <v>6711</v>
      </c>
      <c r="AG22" s="122" t="s">
        <v>6712</v>
      </c>
      <c r="AH22" s="122" t="s">
        <v>253</v>
      </c>
      <c r="AI22" s="122" t="s">
        <v>6713</v>
      </c>
      <c r="AJ22" s="122" t="s">
        <v>6714</v>
      </c>
      <c r="AK22" s="122" t="s">
        <v>6714</v>
      </c>
      <c r="AL22" s="122" t="s">
        <v>6715</v>
      </c>
      <c r="AM22" s="122" t="s">
        <v>6714</v>
      </c>
      <c r="AN22" s="122" t="s">
        <v>253</v>
      </c>
      <c r="AO22" s="141" t="s">
        <v>247</v>
      </c>
      <c r="AP22" s="141" t="s">
        <v>247</v>
      </c>
      <c r="AQ22" s="141" t="s">
        <v>253</v>
      </c>
      <c r="AR22" s="141" t="s">
        <v>253</v>
      </c>
      <c r="AS22" s="141" t="s">
        <v>601</v>
      </c>
      <c r="AT22" s="141" t="s">
        <v>258</v>
      </c>
      <c r="AU22" s="141" t="s">
        <v>258</v>
      </c>
      <c r="AV22" s="122" t="s">
        <v>259</v>
      </c>
      <c r="AW22" s="122" t="s">
        <v>260</v>
      </c>
      <c r="AY22" s="141" t="s">
        <v>253</v>
      </c>
      <c r="AZ22" s="122" t="s">
        <v>6716</v>
      </c>
      <c r="BA22" s="122" t="s">
        <v>262</v>
      </c>
      <c r="BB22" s="122" t="s">
        <v>262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10</v>
      </c>
    </row>
    <row r="23" spans="1:65" x14ac:dyDescent="0.25">
      <c r="A23" s="122" t="s">
        <v>6059</v>
      </c>
      <c r="B23" s="122" t="s">
        <v>6717</v>
      </c>
      <c r="C23" s="122" t="s">
        <v>6718</v>
      </c>
      <c r="D23" s="122" t="s">
        <v>6719</v>
      </c>
      <c r="E23" s="123">
        <v>42226</v>
      </c>
      <c r="F23" s="122" t="s">
        <v>6720</v>
      </c>
      <c r="G23" s="122" t="s">
        <v>235</v>
      </c>
      <c r="H23" s="122" t="s">
        <v>6721</v>
      </c>
      <c r="I23" s="122" t="s">
        <v>6722</v>
      </c>
      <c r="K23" s="122" t="s">
        <v>238</v>
      </c>
      <c r="L23" s="122" t="s">
        <v>320</v>
      </c>
      <c r="M23" s="122" t="s">
        <v>6450</v>
      </c>
      <c r="N23" s="122" t="s">
        <v>6723</v>
      </c>
      <c r="O23" s="141" t="s">
        <v>390</v>
      </c>
      <c r="P23" s="141" t="s">
        <v>6724</v>
      </c>
      <c r="Q23" s="122" t="s">
        <v>243</v>
      </c>
      <c r="R23" s="142">
        <v>11</v>
      </c>
      <c r="S23" s="122" t="s">
        <v>6725</v>
      </c>
      <c r="U23" s="122" t="s">
        <v>589</v>
      </c>
      <c r="W23" s="122" t="s">
        <v>246</v>
      </c>
      <c r="X23" s="122" t="s">
        <v>2624</v>
      </c>
      <c r="Y23" s="141" t="s">
        <v>1039</v>
      </c>
      <c r="Z23" s="122" t="s">
        <v>6726</v>
      </c>
      <c r="AA23" s="141" t="s">
        <v>1023</v>
      </c>
      <c r="AB23" s="122" t="s">
        <v>6727</v>
      </c>
      <c r="AC23" s="141" t="s">
        <v>1075</v>
      </c>
      <c r="AD23" s="122" t="s">
        <v>6728</v>
      </c>
      <c r="AE23" s="122" t="s">
        <v>235</v>
      </c>
      <c r="AF23" s="122" t="s">
        <v>6729</v>
      </c>
      <c r="AG23" s="122" t="s">
        <v>537</v>
      </c>
      <c r="AH23" s="122" t="s">
        <v>253</v>
      </c>
      <c r="AI23" s="122" t="s">
        <v>6730</v>
      </c>
      <c r="AJ23" s="122" t="s">
        <v>6731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253</v>
      </c>
      <c r="AP23" s="141" t="s">
        <v>253</v>
      </c>
      <c r="AQ23" s="141" t="s">
        <v>247</v>
      </c>
      <c r="AR23" s="141" t="s">
        <v>253</v>
      </c>
      <c r="AS23" s="141" t="s">
        <v>361</v>
      </c>
      <c r="AT23" s="141" t="s">
        <v>601</v>
      </c>
      <c r="AU23" s="141" t="s">
        <v>258</v>
      </c>
      <c r="AV23" s="122" t="s">
        <v>259</v>
      </c>
      <c r="AW23" s="122" t="s">
        <v>260</v>
      </c>
      <c r="AX23" s="141" t="s">
        <v>6732</v>
      </c>
      <c r="AY23" s="141" t="s">
        <v>247</v>
      </c>
      <c r="AZ23" s="122" t="s">
        <v>6733</v>
      </c>
      <c r="BA23" s="122" t="s">
        <v>6734</v>
      </c>
      <c r="BB23" s="122" t="s">
        <v>262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11</v>
      </c>
    </row>
    <row r="24" spans="1:65" x14ac:dyDescent="0.25">
      <c r="A24" s="122" t="s">
        <v>6735</v>
      </c>
      <c r="B24" s="122" t="s">
        <v>6736</v>
      </c>
      <c r="C24" s="122" t="s">
        <v>6737</v>
      </c>
      <c r="D24" s="122" t="s">
        <v>6738</v>
      </c>
      <c r="E24" s="123">
        <v>42226</v>
      </c>
      <c r="F24" s="122" t="s">
        <v>6739</v>
      </c>
      <c r="G24" s="122" t="s">
        <v>235</v>
      </c>
      <c r="H24" s="122" t="s">
        <v>6740</v>
      </c>
      <c r="I24" s="122" t="s">
        <v>6741</v>
      </c>
      <c r="J24" s="122" t="s">
        <v>6742</v>
      </c>
      <c r="K24" s="122" t="s">
        <v>238</v>
      </c>
      <c r="L24" s="122" t="s">
        <v>239</v>
      </c>
      <c r="M24" s="122" t="s">
        <v>1157</v>
      </c>
      <c r="O24" s="141" t="s">
        <v>548</v>
      </c>
      <c r="P24" s="141" t="s">
        <v>6743</v>
      </c>
      <c r="Q24" s="122" t="s">
        <v>243</v>
      </c>
      <c r="R24" s="142">
        <v>12</v>
      </c>
      <c r="S24" s="122" t="s">
        <v>6744</v>
      </c>
      <c r="U24" s="122" t="s">
        <v>589</v>
      </c>
      <c r="W24" s="122" t="s">
        <v>246</v>
      </c>
      <c r="X24" s="122" t="s">
        <v>1121</v>
      </c>
      <c r="Y24" s="141" t="s">
        <v>1256</v>
      </c>
      <c r="Z24" s="122" t="s">
        <v>6745</v>
      </c>
      <c r="AA24" s="141" t="s">
        <v>833</v>
      </c>
      <c r="AB24" s="122" t="s">
        <v>6746</v>
      </c>
      <c r="AC24" s="141" t="s">
        <v>356</v>
      </c>
      <c r="AD24" s="122" t="s">
        <v>355</v>
      </c>
      <c r="AE24" s="122" t="s">
        <v>235</v>
      </c>
      <c r="AF24" s="122" t="s">
        <v>6747</v>
      </c>
      <c r="AG24" s="122" t="s">
        <v>537</v>
      </c>
      <c r="AH24" s="122" t="s">
        <v>253</v>
      </c>
      <c r="AI24" s="122" t="s">
        <v>6748</v>
      </c>
      <c r="AJ24" s="122" t="s">
        <v>6749</v>
      </c>
      <c r="AK24" s="122" t="s">
        <v>253</v>
      </c>
      <c r="AL24" s="122" t="s">
        <v>253</v>
      </c>
      <c r="AM24" s="122" t="s">
        <v>253</v>
      </c>
      <c r="AN24" s="122" t="s">
        <v>253</v>
      </c>
      <c r="AO24" s="141" t="s">
        <v>247</v>
      </c>
      <c r="AP24" s="141" t="s">
        <v>247</v>
      </c>
      <c r="AQ24" s="141" t="s">
        <v>253</v>
      </c>
      <c r="AR24" s="141" t="s">
        <v>247</v>
      </c>
      <c r="AS24" s="141" t="s">
        <v>601</v>
      </c>
      <c r="AT24" s="141" t="s">
        <v>258</v>
      </c>
      <c r="AU24" s="141" t="s">
        <v>257</v>
      </c>
      <c r="AV24" s="122" t="s">
        <v>259</v>
      </c>
      <c r="AW24" s="122" t="s">
        <v>260</v>
      </c>
      <c r="AX24" s="141" t="s">
        <v>6750</v>
      </c>
      <c r="AY24" s="141" t="s">
        <v>247</v>
      </c>
      <c r="AZ24" s="122" t="s">
        <v>6751</v>
      </c>
      <c r="BA24" s="122" t="s">
        <v>262</v>
      </c>
      <c r="BB24" s="122" t="s">
        <v>6751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12</v>
      </c>
    </row>
    <row r="25" spans="1:65" x14ac:dyDescent="0.25">
      <c r="A25" s="122" t="s">
        <v>6735</v>
      </c>
      <c r="B25" s="122" t="s">
        <v>6752</v>
      </c>
      <c r="C25" s="122" t="s">
        <v>6753</v>
      </c>
      <c r="D25" s="122" t="s">
        <v>6754</v>
      </c>
      <c r="E25" s="123">
        <v>42226</v>
      </c>
      <c r="F25" s="122" t="s">
        <v>6755</v>
      </c>
      <c r="G25" s="122" t="s">
        <v>235</v>
      </c>
      <c r="H25" s="122" t="s">
        <v>6756</v>
      </c>
      <c r="I25" s="122" t="s">
        <v>812</v>
      </c>
      <c r="J25" s="122" t="s">
        <v>6757</v>
      </c>
      <c r="K25" s="122" t="s">
        <v>238</v>
      </c>
      <c r="L25" s="122" t="s">
        <v>239</v>
      </c>
      <c r="M25" s="122" t="s">
        <v>814</v>
      </c>
      <c r="O25" s="141" t="s">
        <v>5420</v>
      </c>
      <c r="P25" s="141" t="s">
        <v>6758</v>
      </c>
      <c r="Q25" s="122" t="s">
        <v>243</v>
      </c>
      <c r="R25" s="142">
        <v>13</v>
      </c>
      <c r="S25" s="122" t="s">
        <v>6759</v>
      </c>
      <c r="U25" s="122" t="s">
        <v>589</v>
      </c>
      <c r="W25" s="122" t="s">
        <v>246</v>
      </c>
      <c r="X25" s="122" t="s">
        <v>247</v>
      </c>
      <c r="Y25" s="141" t="s">
        <v>5981</v>
      </c>
      <c r="Z25" s="122" t="s">
        <v>3489</v>
      </c>
      <c r="AA25" s="141" t="s">
        <v>6760</v>
      </c>
      <c r="AB25" s="122" t="s">
        <v>533</v>
      </c>
      <c r="AC25" s="141" t="s">
        <v>6755</v>
      </c>
      <c r="AD25" s="122" t="s">
        <v>6761</v>
      </c>
      <c r="AE25" s="122" t="s">
        <v>235</v>
      </c>
      <c r="AF25" s="122" t="s">
        <v>6762</v>
      </c>
      <c r="AG25" s="122" t="s">
        <v>253</v>
      </c>
      <c r="AH25" s="122" t="s">
        <v>253</v>
      </c>
      <c r="AI25" s="122" t="s">
        <v>6763</v>
      </c>
      <c r="AJ25" s="122" t="s">
        <v>6764</v>
      </c>
      <c r="AK25" s="122" t="s">
        <v>6765</v>
      </c>
      <c r="AL25" s="122" t="s">
        <v>253</v>
      </c>
      <c r="AM25" s="122" t="s">
        <v>253</v>
      </c>
      <c r="AN25" s="122" t="s">
        <v>253</v>
      </c>
      <c r="AO25" s="141" t="s">
        <v>247</v>
      </c>
      <c r="AP25" s="141" t="s">
        <v>247</v>
      </c>
      <c r="AQ25" s="141" t="s">
        <v>247</v>
      </c>
      <c r="AR25" s="141" t="s">
        <v>247</v>
      </c>
      <c r="AS25" s="141" t="s">
        <v>601</v>
      </c>
      <c r="AT25" s="141" t="s">
        <v>601</v>
      </c>
      <c r="AU25" s="141" t="s">
        <v>601</v>
      </c>
      <c r="AV25" s="122" t="s">
        <v>259</v>
      </c>
      <c r="AW25" s="122" t="s">
        <v>260</v>
      </c>
      <c r="AX25" s="141" t="s">
        <v>6766</v>
      </c>
      <c r="AY25" s="141" t="s">
        <v>603</v>
      </c>
      <c r="AZ25" s="122" t="s">
        <v>6767</v>
      </c>
      <c r="BA25" s="122" t="s">
        <v>6768</v>
      </c>
      <c r="BB25" s="122" t="s">
        <v>6768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13</v>
      </c>
      <c r="BJ25" s="123">
        <v>42237</v>
      </c>
      <c r="BK25" s="139" t="s">
        <v>264</v>
      </c>
      <c r="BL25" s="140">
        <v>165.76</v>
      </c>
      <c r="BM25" s="122">
        <v>34</v>
      </c>
    </row>
    <row r="26" spans="1:65" x14ac:dyDescent="0.25">
      <c r="A26" s="122" t="s">
        <v>6735</v>
      </c>
      <c r="B26" s="122" t="s">
        <v>6769</v>
      </c>
      <c r="C26" s="122" t="s">
        <v>6770</v>
      </c>
      <c r="D26" s="122" t="s">
        <v>6771</v>
      </c>
      <c r="E26" s="123">
        <v>42226</v>
      </c>
      <c r="F26" s="122" t="s">
        <v>6772</v>
      </c>
      <c r="G26" s="122" t="s">
        <v>235</v>
      </c>
      <c r="H26" s="122" t="s">
        <v>6773</v>
      </c>
      <c r="I26" s="122" t="s">
        <v>6774</v>
      </c>
      <c r="K26" s="122" t="s">
        <v>238</v>
      </c>
      <c r="L26" s="122" t="s">
        <v>320</v>
      </c>
      <c r="M26" s="122" t="s">
        <v>779</v>
      </c>
      <c r="O26" s="141" t="s">
        <v>649</v>
      </c>
      <c r="P26" s="141" t="s">
        <v>6775</v>
      </c>
      <c r="Q26" s="122" t="s">
        <v>243</v>
      </c>
      <c r="R26" s="142">
        <v>14</v>
      </c>
      <c r="S26" s="122" t="s">
        <v>6776</v>
      </c>
      <c r="U26" s="122" t="s">
        <v>589</v>
      </c>
      <c r="W26" s="122" t="s">
        <v>246</v>
      </c>
      <c r="X26" s="122" t="s">
        <v>1121</v>
      </c>
      <c r="Y26" s="141" t="s">
        <v>591</v>
      </c>
      <c r="Z26" s="122" t="s">
        <v>6777</v>
      </c>
      <c r="AA26" s="141" t="s">
        <v>2717</v>
      </c>
      <c r="AB26" s="122" t="s">
        <v>6778</v>
      </c>
      <c r="AC26" s="141" t="s">
        <v>1762</v>
      </c>
      <c r="AD26" s="122" t="s">
        <v>1777</v>
      </c>
      <c r="AE26" s="122" t="s">
        <v>235</v>
      </c>
      <c r="AF26" s="122" t="s">
        <v>6779</v>
      </c>
      <c r="AG26" s="122" t="s">
        <v>537</v>
      </c>
      <c r="AH26" s="122" t="s">
        <v>253</v>
      </c>
      <c r="AI26" s="122" t="s">
        <v>6780</v>
      </c>
      <c r="AJ26" s="122" t="s">
        <v>6781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253</v>
      </c>
      <c r="AP26" s="141" t="s">
        <v>253</v>
      </c>
      <c r="AQ26" s="141" t="s">
        <v>247</v>
      </c>
      <c r="AR26" s="141" t="s">
        <v>253</v>
      </c>
      <c r="AS26" s="141" t="s">
        <v>361</v>
      </c>
      <c r="AT26" s="141" t="s">
        <v>601</v>
      </c>
      <c r="AU26" s="141" t="s">
        <v>258</v>
      </c>
      <c r="AV26" s="122" t="s">
        <v>259</v>
      </c>
      <c r="AW26" s="122" t="s">
        <v>260</v>
      </c>
      <c r="AY26" s="141" t="s">
        <v>253</v>
      </c>
      <c r="AZ26" s="122" t="s">
        <v>6782</v>
      </c>
      <c r="BA26" s="122" t="s">
        <v>262</v>
      </c>
      <c r="BB26" s="122" t="s">
        <v>262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14</v>
      </c>
      <c r="BJ26" s="123">
        <v>42239</v>
      </c>
      <c r="BK26" s="139" t="s">
        <v>264</v>
      </c>
      <c r="BL26" s="140">
        <v>150</v>
      </c>
      <c r="BM26" s="122">
        <v>34</v>
      </c>
    </row>
    <row r="27" spans="1:65" x14ac:dyDescent="0.25">
      <c r="A27" s="122" t="s">
        <v>6735</v>
      </c>
      <c r="B27" s="122" t="s">
        <v>6783</v>
      </c>
      <c r="C27" s="122" t="s">
        <v>6784</v>
      </c>
      <c r="D27" s="122" t="s">
        <v>6785</v>
      </c>
      <c r="E27" s="123">
        <v>42226</v>
      </c>
      <c r="F27" s="122" t="s">
        <v>3574</v>
      </c>
      <c r="G27" s="122" t="s">
        <v>235</v>
      </c>
      <c r="H27" s="122" t="s">
        <v>6786</v>
      </c>
      <c r="I27" s="122" t="s">
        <v>6787</v>
      </c>
      <c r="J27" s="122" t="s">
        <v>6788</v>
      </c>
      <c r="K27" s="122" t="s">
        <v>238</v>
      </c>
      <c r="L27" s="122" t="s">
        <v>320</v>
      </c>
      <c r="M27" s="122" t="s">
        <v>6789</v>
      </c>
      <c r="O27" s="141" t="s">
        <v>451</v>
      </c>
      <c r="P27" s="141" t="s">
        <v>6790</v>
      </c>
      <c r="Q27" s="122" t="s">
        <v>243</v>
      </c>
      <c r="R27" s="142">
        <v>15</v>
      </c>
      <c r="S27" s="122" t="s">
        <v>6791</v>
      </c>
      <c r="U27" s="122" t="s">
        <v>589</v>
      </c>
      <c r="W27" s="122" t="s">
        <v>246</v>
      </c>
      <c r="X27" s="122" t="s">
        <v>497</v>
      </c>
      <c r="Y27" s="141" t="s">
        <v>670</v>
      </c>
      <c r="Z27" s="122" t="s">
        <v>6792</v>
      </c>
      <c r="AB27" s="122" t="s">
        <v>250</v>
      </c>
      <c r="AD27" s="122" t="s">
        <v>250</v>
      </c>
      <c r="AE27" s="122" t="s">
        <v>235</v>
      </c>
      <c r="AF27" s="122" t="s">
        <v>6793</v>
      </c>
      <c r="AG27" s="122" t="s">
        <v>537</v>
      </c>
      <c r="AH27" s="122" t="s">
        <v>253</v>
      </c>
      <c r="AI27" s="122" t="s">
        <v>6794</v>
      </c>
      <c r="AJ27" s="122" t="s">
        <v>6795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253</v>
      </c>
      <c r="AP27" s="141" t="s">
        <v>253</v>
      </c>
      <c r="AQ27" s="141" t="s">
        <v>247</v>
      </c>
      <c r="AR27" s="141" t="s">
        <v>247</v>
      </c>
      <c r="AS27" s="141" t="s">
        <v>361</v>
      </c>
      <c r="AT27" s="141" t="s">
        <v>601</v>
      </c>
      <c r="AU27" s="141" t="s">
        <v>601</v>
      </c>
      <c r="AV27" s="122" t="s">
        <v>259</v>
      </c>
      <c r="AW27" s="122" t="s">
        <v>260</v>
      </c>
      <c r="AY27" s="141" t="s">
        <v>253</v>
      </c>
      <c r="AZ27" s="122" t="s">
        <v>6796</v>
      </c>
      <c r="BA27" s="122" t="s">
        <v>262</v>
      </c>
      <c r="BB27" s="122" t="s">
        <v>262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15</v>
      </c>
      <c r="BJ27" s="123">
        <v>42239</v>
      </c>
      <c r="BK27" s="139" t="s">
        <v>606</v>
      </c>
      <c r="BM27" s="122">
        <v>34</v>
      </c>
    </row>
    <row r="28" spans="1:65" x14ac:dyDescent="0.25">
      <c r="A28" s="122" t="s">
        <v>6489</v>
      </c>
      <c r="B28" s="122" t="s">
        <v>6797</v>
      </c>
      <c r="C28" s="122" t="s">
        <v>6798</v>
      </c>
      <c r="D28" s="122" t="s">
        <v>6799</v>
      </c>
      <c r="E28" s="123">
        <v>42226</v>
      </c>
      <c r="F28" s="122" t="s">
        <v>4768</v>
      </c>
      <c r="G28" s="122" t="s">
        <v>235</v>
      </c>
      <c r="H28" s="122" t="s">
        <v>6800</v>
      </c>
      <c r="I28" s="122" t="s">
        <v>6801</v>
      </c>
      <c r="J28" s="122" t="s">
        <v>370</v>
      </c>
      <c r="K28" s="122" t="s">
        <v>238</v>
      </c>
      <c r="L28" s="122" t="s">
        <v>1872</v>
      </c>
      <c r="M28" s="122" t="s">
        <v>1979</v>
      </c>
      <c r="O28" s="141" t="s">
        <v>873</v>
      </c>
      <c r="P28" s="141" t="s">
        <v>6802</v>
      </c>
      <c r="Q28" s="122" t="s">
        <v>243</v>
      </c>
      <c r="R28" s="142">
        <v>16</v>
      </c>
      <c r="S28" s="122" t="s">
        <v>6803</v>
      </c>
      <c r="U28" s="122" t="s">
        <v>589</v>
      </c>
      <c r="W28" s="122" t="s">
        <v>246</v>
      </c>
      <c r="X28" s="122" t="s">
        <v>2624</v>
      </c>
      <c r="Y28" s="141" t="s">
        <v>1256</v>
      </c>
      <c r="Z28" s="122" t="s">
        <v>6804</v>
      </c>
      <c r="AB28" s="122" t="s">
        <v>250</v>
      </c>
      <c r="AD28" s="122" t="s">
        <v>250</v>
      </c>
      <c r="AE28" s="122" t="s">
        <v>235</v>
      </c>
      <c r="AF28" s="122" t="s">
        <v>6805</v>
      </c>
      <c r="AG28" s="122" t="s">
        <v>537</v>
      </c>
      <c r="AH28" s="122" t="s">
        <v>253</v>
      </c>
      <c r="AI28" s="122" t="s">
        <v>6806</v>
      </c>
      <c r="AJ28" s="122" t="s">
        <v>6807</v>
      </c>
      <c r="AK28" s="122" t="s">
        <v>253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Y28" s="141" t="s">
        <v>253</v>
      </c>
      <c r="AZ28" s="122" t="s">
        <v>6808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16</v>
      </c>
    </row>
    <row r="29" spans="1:65" x14ac:dyDescent="0.25">
      <c r="A29" s="122" t="s">
        <v>6489</v>
      </c>
      <c r="B29" s="122" t="s">
        <v>6809</v>
      </c>
      <c r="C29" s="122" t="s">
        <v>6810</v>
      </c>
      <c r="D29" s="122" t="s">
        <v>6811</v>
      </c>
      <c r="E29" s="123">
        <v>42226</v>
      </c>
      <c r="F29" s="122" t="s">
        <v>6812</v>
      </c>
      <c r="G29" s="122" t="s">
        <v>235</v>
      </c>
      <c r="H29" s="122" t="s">
        <v>6813</v>
      </c>
      <c r="I29" s="122" t="s">
        <v>6814</v>
      </c>
      <c r="J29" s="122" t="s">
        <v>564</v>
      </c>
      <c r="K29" s="122" t="s">
        <v>238</v>
      </c>
      <c r="L29" s="122" t="s">
        <v>388</v>
      </c>
      <c r="M29" s="122" t="s">
        <v>2749</v>
      </c>
      <c r="N29" s="122" t="s">
        <v>6815</v>
      </c>
      <c r="Q29" s="122" t="s">
        <v>243</v>
      </c>
      <c r="R29" s="142">
        <v>17</v>
      </c>
      <c r="S29" s="122" t="s">
        <v>6816</v>
      </c>
      <c r="U29" s="122" t="s">
        <v>589</v>
      </c>
      <c r="W29" s="122" t="s">
        <v>246</v>
      </c>
      <c r="X29" s="122" t="s">
        <v>590</v>
      </c>
      <c r="Y29" s="141" t="s">
        <v>591</v>
      </c>
      <c r="Z29" s="122" t="s">
        <v>2318</v>
      </c>
      <c r="AA29" s="141" t="s">
        <v>3574</v>
      </c>
      <c r="AB29" s="122" t="s">
        <v>6817</v>
      </c>
      <c r="AC29" s="141" t="s">
        <v>920</v>
      </c>
      <c r="AD29" s="122" t="s">
        <v>6818</v>
      </c>
      <c r="AE29" s="122" t="s">
        <v>235</v>
      </c>
      <c r="AF29" s="122" t="s">
        <v>3264</v>
      </c>
      <c r="AG29" s="122" t="s">
        <v>537</v>
      </c>
      <c r="AH29" s="122" t="s">
        <v>253</v>
      </c>
      <c r="AI29" s="122" t="s">
        <v>942</v>
      </c>
      <c r="AJ29" s="122" t="s">
        <v>6819</v>
      </c>
      <c r="AK29" s="122" t="s">
        <v>253</v>
      </c>
      <c r="AL29" s="122" t="s">
        <v>253</v>
      </c>
      <c r="AM29" s="122" t="s">
        <v>253</v>
      </c>
      <c r="AN29" s="122" t="s">
        <v>253</v>
      </c>
      <c r="AO29" s="141" t="s">
        <v>247</v>
      </c>
      <c r="AP29" s="141" t="s">
        <v>253</v>
      </c>
      <c r="AQ29" s="141" t="s">
        <v>253</v>
      </c>
      <c r="AR29" s="141" t="s">
        <v>253</v>
      </c>
      <c r="AS29" s="141" t="s">
        <v>601</v>
      </c>
      <c r="AT29" s="141" t="s">
        <v>258</v>
      </c>
      <c r="AU29" s="141" t="s">
        <v>258</v>
      </c>
      <c r="AV29" s="122" t="s">
        <v>259</v>
      </c>
      <c r="AW29" s="122" t="s">
        <v>260</v>
      </c>
      <c r="AY29" s="141" t="s">
        <v>253</v>
      </c>
      <c r="AZ29" s="122" t="s">
        <v>6820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17</v>
      </c>
      <c r="BJ29" s="123">
        <v>42231</v>
      </c>
      <c r="BK29" s="139" t="s">
        <v>264</v>
      </c>
      <c r="BL29" s="140">
        <v>78.53</v>
      </c>
      <c r="BM29" s="122">
        <v>33</v>
      </c>
    </row>
    <row r="30" spans="1:65" x14ac:dyDescent="0.25">
      <c r="A30" s="122" t="s">
        <v>6489</v>
      </c>
      <c r="B30" s="122" t="s">
        <v>6821</v>
      </c>
      <c r="C30" s="122" t="s">
        <v>6822</v>
      </c>
      <c r="D30" s="122" t="s">
        <v>6823</v>
      </c>
      <c r="E30" s="123">
        <v>42226</v>
      </c>
      <c r="F30" s="122" t="s">
        <v>6824</v>
      </c>
      <c r="G30" s="122" t="s">
        <v>235</v>
      </c>
      <c r="H30" s="122" t="s">
        <v>6825</v>
      </c>
      <c r="I30" s="122" t="s">
        <v>913</v>
      </c>
      <c r="J30" s="122" t="s">
        <v>6826</v>
      </c>
      <c r="K30" s="122" t="s">
        <v>238</v>
      </c>
      <c r="L30" s="122" t="s">
        <v>320</v>
      </c>
      <c r="M30" s="122" t="s">
        <v>915</v>
      </c>
      <c r="O30" s="141" t="s">
        <v>548</v>
      </c>
      <c r="P30" s="141" t="s">
        <v>6827</v>
      </c>
      <c r="Q30" s="122" t="s">
        <v>243</v>
      </c>
      <c r="R30" s="142">
        <v>18</v>
      </c>
      <c r="S30" s="122" t="s">
        <v>6828</v>
      </c>
      <c r="U30" s="122" t="s">
        <v>589</v>
      </c>
      <c r="W30" s="122" t="s">
        <v>246</v>
      </c>
      <c r="X30" s="122" t="s">
        <v>2624</v>
      </c>
      <c r="Y30" s="141" t="s">
        <v>6735</v>
      </c>
      <c r="Z30" s="122" t="s">
        <v>975</v>
      </c>
      <c r="AA30" s="141" t="s">
        <v>705</v>
      </c>
      <c r="AB30" s="122" t="s">
        <v>766</v>
      </c>
      <c r="AC30" s="141" t="s">
        <v>595</v>
      </c>
      <c r="AD30" s="122" t="s">
        <v>766</v>
      </c>
      <c r="AE30" s="122" t="s">
        <v>235</v>
      </c>
      <c r="AF30" s="122" t="s">
        <v>1310</v>
      </c>
      <c r="AG30" s="122" t="s">
        <v>537</v>
      </c>
      <c r="AH30" s="122" t="s">
        <v>253</v>
      </c>
      <c r="AI30" s="122" t="s">
        <v>6829</v>
      </c>
      <c r="AJ30" s="122" t="s">
        <v>6830</v>
      </c>
      <c r="AK30" s="122" t="s">
        <v>253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247</v>
      </c>
      <c r="AQ30" s="141" t="s">
        <v>247</v>
      </c>
      <c r="AR30" s="141" t="s">
        <v>247</v>
      </c>
      <c r="AS30" s="141" t="s">
        <v>601</v>
      </c>
      <c r="AT30" s="141" t="s">
        <v>601</v>
      </c>
      <c r="AU30" s="141" t="s">
        <v>257</v>
      </c>
      <c r="AV30" s="122" t="s">
        <v>259</v>
      </c>
      <c r="AW30" s="122" t="s">
        <v>260</v>
      </c>
      <c r="AY30" s="141" t="s">
        <v>253</v>
      </c>
      <c r="AZ30" s="122" t="s">
        <v>6831</v>
      </c>
      <c r="BA30" s="122" t="s">
        <v>262</v>
      </c>
      <c r="BB30" s="122" t="s">
        <v>262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18</v>
      </c>
      <c r="BJ30" s="123">
        <v>42237</v>
      </c>
      <c r="BK30" s="139" t="s">
        <v>264</v>
      </c>
      <c r="BL30" s="140">
        <v>217.85</v>
      </c>
      <c r="BM30" s="122">
        <v>34</v>
      </c>
    </row>
    <row r="31" spans="1:65" x14ac:dyDescent="0.25">
      <c r="A31" s="122" t="s">
        <v>6489</v>
      </c>
      <c r="B31" s="122" t="s">
        <v>6832</v>
      </c>
      <c r="C31" s="122" t="s">
        <v>6833</v>
      </c>
      <c r="D31" s="122" t="s">
        <v>6834</v>
      </c>
      <c r="E31" s="123">
        <v>42226</v>
      </c>
      <c r="F31" s="122" t="s">
        <v>4474</v>
      </c>
      <c r="G31" s="122" t="s">
        <v>235</v>
      </c>
      <c r="H31" s="122" t="s">
        <v>6835</v>
      </c>
      <c r="I31" s="122" t="s">
        <v>6836</v>
      </c>
      <c r="K31" s="122" t="s">
        <v>238</v>
      </c>
      <c r="L31" s="122" t="s">
        <v>320</v>
      </c>
      <c r="M31" s="122" t="s">
        <v>779</v>
      </c>
      <c r="O31" s="141" t="s">
        <v>2175</v>
      </c>
      <c r="P31" s="141" t="s">
        <v>6837</v>
      </c>
      <c r="Q31" s="122" t="s">
        <v>243</v>
      </c>
      <c r="R31" s="142">
        <v>19</v>
      </c>
      <c r="S31" s="122" t="s">
        <v>6838</v>
      </c>
      <c r="U31" s="122" t="s">
        <v>589</v>
      </c>
      <c r="W31" s="122" t="s">
        <v>246</v>
      </c>
      <c r="X31" s="122" t="s">
        <v>3147</v>
      </c>
      <c r="Y31" s="141" t="s">
        <v>973</v>
      </c>
      <c r="Z31" s="122" t="s">
        <v>1678</v>
      </c>
      <c r="AA31" s="141" t="s">
        <v>2804</v>
      </c>
      <c r="AB31" s="122" t="s">
        <v>6839</v>
      </c>
      <c r="AC31" s="141" t="s">
        <v>2804</v>
      </c>
      <c r="AD31" s="122" t="s">
        <v>249</v>
      </c>
      <c r="AE31" s="122" t="s">
        <v>235</v>
      </c>
      <c r="AF31" s="122" t="s">
        <v>6840</v>
      </c>
      <c r="AG31" s="122" t="s">
        <v>537</v>
      </c>
      <c r="AH31" s="122" t="s">
        <v>253</v>
      </c>
      <c r="AI31" s="122" t="s">
        <v>6841</v>
      </c>
      <c r="AJ31" s="122" t="s">
        <v>6842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247</v>
      </c>
      <c r="AQ31" s="141" t="s">
        <v>247</v>
      </c>
      <c r="AR31" s="141" t="s">
        <v>253</v>
      </c>
      <c r="AS31" s="141" t="s">
        <v>601</v>
      </c>
      <c r="AT31" s="141" t="s">
        <v>601</v>
      </c>
      <c r="AU31" s="141" t="s">
        <v>258</v>
      </c>
      <c r="AV31" s="122" t="s">
        <v>259</v>
      </c>
      <c r="AW31" s="122" t="s">
        <v>260</v>
      </c>
      <c r="AY31" s="141" t="s">
        <v>253</v>
      </c>
      <c r="AZ31" s="122" t="s">
        <v>6843</v>
      </c>
      <c r="BA31" s="122" t="s">
        <v>262</v>
      </c>
      <c r="BB31" s="122" t="s">
        <v>262</v>
      </c>
      <c r="BC31" s="141" t="s">
        <v>312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19</v>
      </c>
      <c r="BJ31" s="123">
        <v>42237</v>
      </c>
      <c r="BK31" s="139" t="s">
        <v>264</v>
      </c>
      <c r="BL31" s="140">
        <v>198.91</v>
      </c>
      <c r="BM31" s="122">
        <v>34</v>
      </c>
    </row>
    <row r="32" spans="1:65" x14ac:dyDescent="0.25">
      <c r="A32" s="122" t="s">
        <v>6489</v>
      </c>
      <c r="B32" s="122" t="s">
        <v>6844</v>
      </c>
      <c r="C32" s="122" t="s">
        <v>6845</v>
      </c>
      <c r="D32" s="122" t="s">
        <v>6846</v>
      </c>
      <c r="E32" s="123">
        <v>42226</v>
      </c>
      <c r="F32" s="122" t="s">
        <v>3910</v>
      </c>
      <c r="G32" s="122" t="s">
        <v>235</v>
      </c>
      <c r="H32" s="122" t="s">
        <v>6847</v>
      </c>
      <c r="I32" s="122" t="s">
        <v>6848</v>
      </c>
      <c r="K32" s="122" t="s">
        <v>238</v>
      </c>
      <c r="L32" s="122" t="s">
        <v>1872</v>
      </c>
      <c r="M32" s="122" t="s">
        <v>2377</v>
      </c>
      <c r="O32" s="141" t="s">
        <v>1240</v>
      </c>
      <c r="P32" s="141" t="s">
        <v>6849</v>
      </c>
      <c r="Q32" s="122" t="s">
        <v>243</v>
      </c>
      <c r="R32" s="142">
        <v>20</v>
      </c>
      <c r="S32" s="122" t="s">
        <v>6850</v>
      </c>
      <c r="U32" s="122" t="s">
        <v>589</v>
      </c>
      <c r="W32" s="122" t="s">
        <v>246</v>
      </c>
      <c r="X32" s="122" t="s">
        <v>2624</v>
      </c>
      <c r="Y32" s="141" t="s">
        <v>570</v>
      </c>
      <c r="Z32" s="122" t="s">
        <v>6851</v>
      </c>
      <c r="AA32" s="141" t="s">
        <v>2225</v>
      </c>
      <c r="AB32" s="122" t="s">
        <v>6852</v>
      </c>
      <c r="AC32" s="141" t="s">
        <v>5523</v>
      </c>
      <c r="AD32" s="122" t="s">
        <v>6853</v>
      </c>
      <c r="AE32" s="122" t="s">
        <v>235</v>
      </c>
      <c r="AF32" s="122" t="s">
        <v>6854</v>
      </c>
      <c r="AG32" s="122" t="s">
        <v>537</v>
      </c>
      <c r="AH32" s="122" t="s">
        <v>253</v>
      </c>
      <c r="AI32" s="122" t="s">
        <v>6855</v>
      </c>
      <c r="AJ32" s="122" t="s">
        <v>6856</v>
      </c>
      <c r="AK32" s="122" t="s">
        <v>253</v>
      </c>
      <c r="AL32" s="122" t="s">
        <v>253</v>
      </c>
      <c r="AM32" s="122" t="s">
        <v>253</v>
      </c>
      <c r="AN32" s="122" t="s">
        <v>253</v>
      </c>
      <c r="AO32" s="141" t="s">
        <v>253</v>
      </c>
      <c r="AP32" s="141" t="s">
        <v>253</v>
      </c>
      <c r="AQ32" s="141" t="s">
        <v>247</v>
      </c>
      <c r="AR32" s="141" t="s">
        <v>247</v>
      </c>
      <c r="AS32" s="141" t="s">
        <v>361</v>
      </c>
      <c r="AT32" s="141" t="s">
        <v>601</v>
      </c>
      <c r="AU32" s="141" t="s">
        <v>601</v>
      </c>
      <c r="AV32" s="122" t="s">
        <v>259</v>
      </c>
      <c r="AW32" s="122" t="s">
        <v>260</v>
      </c>
      <c r="AY32" s="141" t="s">
        <v>253</v>
      </c>
      <c r="AZ32" s="122" t="s">
        <v>6857</v>
      </c>
      <c r="BA32" s="122" t="s">
        <v>262</v>
      </c>
      <c r="BB32" s="122" t="s">
        <v>262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20</v>
      </c>
    </row>
    <row r="33" spans="1:65" x14ac:dyDescent="0.25">
      <c r="A33" s="122" t="s">
        <v>6489</v>
      </c>
      <c r="B33" s="122" t="s">
        <v>6858</v>
      </c>
      <c r="C33" s="122" t="s">
        <v>6859</v>
      </c>
      <c r="D33" s="122" t="s">
        <v>6860</v>
      </c>
      <c r="E33" s="123">
        <v>42226</v>
      </c>
      <c r="F33" s="122" t="s">
        <v>6861</v>
      </c>
      <c r="G33" s="122" t="s">
        <v>235</v>
      </c>
      <c r="H33" s="122" t="s">
        <v>6862</v>
      </c>
      <c r="I33" s="122" t="s">
        <v>6863</v>
      </c>
      <c r="J33" s="122" t="s">
        <v>2116</v>
      </c>
      <c r="K33" s="122" t="s">
        <v>238</v>
      </c>
      <c r="L33" s="122" t="s">
        <v>388</v>
      </c>
      <c r="M33" s="122" t="s">
        <v>2329</v>
      </c>
      <c r="O33" s="141" t="s">
        <v>566</v>
      </c>
      <c r="P33" s="141" t="s">
        <v>6864</v>
      </c>
      <c r="Q33" s="122" t="s">
        <v>243</v>
      </c>
      <c r="R33" s="142">
        <v>21</v>
      </c>
      <c r="S33" s="122" t="s">
        <v>6865</v>
      </c>
      <c r="U33" s="122" t="s">
        <v>589</v>
      </c>
      <c r="W33" s="122" t="s">
        <v>246</v>
      </c>
      <c r="X33" s="122" t="s">
        <v>3147</v>
      </c>
      <c r="Y33" s="141" t="s">
        <v>248</v>
      </c>
      <c r="Z33" s="122" t="s">
        <v>6866</v>
      </c>
      <c r="AA33" s="141" t="s">
        <v>1927</v>
      </c>
      <c r="AB33" s="122" t="s">
        <v>355</v>
      </c>
      <c r="AC33" s="141" t="s">
        <v>6691</v>
      </c>
      <c r="AD33" s="122" t="s">
        <v>6867</v>
      </c>
      <c r="AE33" s="122" t="s">
        <v>235</v>
      </c>
      <c r="AF33" s="122" t="s">
        <v>6868</v>
      </c>
      <c r="AG33" s="122" t="s">
        <v>537</v>
      </c>
      <c r="AH33" s="122" t="s">
        <v>253</v>
      </c>
      <c r="AI33" s="122" t="s">
        <v>6869</v>
      </c>
      <c r="AJ33" s="122" t="s">
        <v>6870</v>
      </c>
      <c r="AK33" s="122" t="s">
        <v>1166</v>
      </c>
      <c r="AL33" s="122" t="s">
        <v>253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247</v>
      </c>
      <c r="AS33" s="141" t="s">
        <v>601</v>
      </c>
      <c r="AT33" s="141" t="s">
        <v>601</v>
      </c>
      <c r="AU33" s="141" t="s">
        <v>257</v>
      </c>
      <c r="AV33" s="122" t="s">
        <v>259</v>
      </c>
      <c r="AW33" s="122" t="s">
        <v>260</v>
      </c>
      <c r="AY33" s="141" t="s">
        <v>253</v>
      </c>
      <c r="AZ33" s="122" t="s">
        <v>6871</v>
      </c>
      <c r="BA33" s="122" t="s">
        <v>262</v>
      </c>
      <c r="BB33" s="122" t="s">
        <v>6871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21</v>
      </c>
    </row>
    <row r="34" spans="1:65" x14ac:dyDescent="0.25">
      <c r="A34" s="122" t="s">
        <v>6489</v>
      </c>
      <c r="B34" s="122" t="s">
        <v>6872</v>
      </c>
      <c r="C34" s="122" t="s">
        <v>6873</v>
      </c>
      <c r="D34" s="122" t="s">
        <v>6874</v>
      </c>
      <c r="E34" s="123">
        <v>42226</v>
      </c>
      <c r="F34" s="122" t="s">
        <v>724</v>
      </c>
      <c r="G34" s="122" t="s">
        <v>235</v>
      </c>
      <c r="H34" s="122" t="s">
        <v>6875</v>
      </c>
      <c r="I34" s="122" t="s">
        <v>6876</v>
      </c>
      <c r="K34" s="122" t="s">
        <v>238</v>
      </c>
      <c r="L34" s="122" t="s">
        <v>388</v>
      </c>
      <c r="M34" s="122" t="s">
        <v>988</v>
      </c>
      <c r="O34" s="141" t="s">
        <v>665</v>
      </c>
      <c r="P34" s="141" t="s">
        <v>6877</v>
      </c>
      <c r="Q34" s="122" t="s">
        <v>243</v>
      </c>
      <c r="R34" s="142">
        <v>22</v>
      </c>
      <c r="S34" s="122" t="s">
        <v>6878</v>
      </c>
      <c r="U34" s="122" t="s">
        <v>589</v>
      </c>
      <c r="W34" s="122" t="s">
        <v>246</v>
      </c>
      <c r="X34" s="122" t="s">
        <v>603</v>
      </c>
      <c r="Y34" s="141" t="s">
        <v>230</v>
      </c>
      <c r="Z34" s="122" t="s">
        <v>6879</v>
      </c>
      <c r="AA34" s="141" t="s">
        <v>2072</v>
      </c>
      <c r="AB34" s="122" t="s">
        <v>6880</v>
      </c>
      <c r="AD34" s="122" t="s">
        <v>250</v>
      </c>
      <c r="AE34" s="122" t="s">
        <v>235</v>
      </c>
      <c r="AF34" s="122" t="s">
        <v>6881</v>
      </c>
      <c r="AG34" s="122" t="s">
        <v>253</v>
      </c>
      <c r="AH34" s="122" t="s">
        <v>253</v>
      </c>
      <c r="AI34" s="122" t="s">
        <v>6882</v>
      </c>
      <c r="AJ34" s="122" t="s">
        <v>253</v>
      </c>
      <c r="AK34" s="122" t="s">
        <v>253</v>
      </c>
      <c r="AL34" s="122" t="s">
        <v>253</v>
      </c>
      <c r="AM34" s="122" t="s">
        <v>6883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247</v>
      </c>
      <c r="AS34" s="141" t="s">
        <v>601</v>
      </c>
      <c r="AT34" s="141" t="s">
        <v>601</v>
      </c>
      <c r="AU34" s="141" t="s">
        <v>601</v>
      </c>
      <c r="AV34" s="122" t="s">
        <v>259</v>
      </c>
      <c r="AW34" s="122" t="s">
        <v>260</v>
      </c>
      <c r="AX34" s="141" t="s">
        <v>3027</v>
      </c>
      <c r="AY34" s="141" t="s">
        <v>603</v>
      </c>
      <c r="AZ34" s="122" t="s">
        <v>6884</v>
      </c>
      <c r="BA34" s="122" t="s">
        <v>262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22</v>
      </c>
    </row>
    <row r="35" spans="1:65" x14ac:dyDescent="0.25">
      <c r="A35" s="122" t="s">
        <v>6489</v>
      </c>
      <c r="B35" s="122" t="s">
        <v>6885</v>
      </c>
      <c r="C35" s="122" t="s">
        <v>6886</v>
      </c>
      <c r="D35" s="122" t="s">
        <v>6887</v>
      </c>
      <c r="E35" s="123">
        <v>42226</v>
      </c>
      <c r="F35" s="122" t="s">
        <v>2804</v>
      </c>
      <c r="G35" s="122" t="s">
        <v>235</v>
      </c>
      <c r="H35" s="122" t="s">
        <v>448</v>
      </c>
      <c r="I35" s="122" t="s">
        <v>6888</v>
      </c>
      <c r="K35" s="122" t="s">
        <v>238</v>
      </c>
      <c r="L35" s="122" t="s">
        <v>388</v>
      </c>
      <c r="M35" s="122" t="s">
        <v>389</v>
      </c>
      <c r="O35" s="141" t="s">
        <v>390</v>
      </c>
      <c r="P35" s="141" t="s">
        <v>6889</v>
      </c>
      <c r="Q35" s="122" t="s">
        <v>243</v>
      </c>
      <c r="R35" s="142">
        <v>23</v>
      </c>
      <c r="S35" s="122" t="s">
        <v>6890</v>
      </c>
      <c r="T35" s="122" t="s">
        <v>6891</v>
      </c>
      <c r="U35" s="122" t="s">
        <v>589</v>
      </c>
      <c r="W35" s="122" t="s">
        <v>246</v>
      </c>
      <c r="X35" s="122" t="s">
        <v>497</v>
      </c>
      <c r="Y35" s="141" t="s">
        <v>1141</v>
      </c>
      <c r="Z35" s="122" t="s">
        <v>395</v>
      </c>
      <c r="AB35" s="122" t="s">
        <v>250</v>
      </c>
      <c r="AD35" s="122" t="s">
        <v>250</v>
      </c>
      <c r="AE35" s="122" t="s">
        <v>235</v>
      </c>
      <c r="AF35" s="122" t="s">
        <v>6892</v>
      </c>
      <c r="AG35" s="122" t="s">
        <v>537</v>
      </c>
      <c r="AH35" s="122" t="s">
        <v>253</v>
      </c>
      <c r="AI35" s="122" t="s">
        <v>6893</v>
      </c>
      <c r="AJ35" s="122" t="s">
        <v>6138</v>
      </c>
      <c r="AK35" s="122" t="s">
        <v>253</v>
      </c>
      <c r="AL35" s="122" t="s">
        <v>253</v>
      </c>
      <c r="AM35" s="122" t="s">
        <v>253</v>
      </c>
      <c r="AN35" s="122" t="s">
        <v>253</v>
      </c>
      <c r="AO35" s="141" t="s">
        <v>253</v>
      </c>
      <c r="AP35" s="141" t="s">
        <v>253</v>
      </c>
      <c r="AQ35" s="141" t="s">
        <v>247</v>
      </c>
      <c r="AR35" s="141" t="s">
        <v>247</v>
      </c>
      <c r="AS35" s="141" t="s">
        <v>361</v>
      </c>
      <c r="AT35" s="141" t="s">
        <v>601</v>
      </c>
      <c r="AU35" s="141" t="s">
        <v>257</v>
      </c>
      <c r="AV35" s="122" t="s">
        <v>259</v>
      </c>
      <c r="AW35" s="122" t="s">
        <v>260</v>
      </c>
      <c r="AY35" s="141" t="s">
        <v>253</v>
      </c>
      <c r="AZ35" s="122" t="s">
        <v>262</v>
      </c>
      <c r="BA35" s="122" t="s">
        <v>262</v>
      </c>
      <c r="BB35" s="122" t="s">
        <v>6894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23</v>
      </c>
    </row>
    <row r="36" spans="1:65" x14ac:dyDescent="0.25">
      <c r="A36" s="122" t="s">
        <v>6489</v>
      </c>
      <c r="B36" s="122" t="s">
        <v>6895</v>
      </c>
      <c r="C36" s="122" t="s">
        <v>6896</v>
      </c>
      <c r="D36" s="122" t="s">
        <v>6897</v>
      </c>
      <c r="E36" s="123">
        <v>42226</v>
      </c>
      <c r="F36" s="122" t="s">
        <v>1192</v>
      </c>
      <c r="G36" s="122" t="s">
        <v>235</v>
      </c>
      <c r="H36" s="122" t="s">
        <v>6898</v>
      </c>
      <c r="I36" s="122" t="s">
        <v>6899</v>
      </c>
      <c r="K36" s="122" t="s">
        <v>238</v>
      </c>
      <c r="L36" s="122" t="s">
        <v>239</v>
      </c>
      <c r="M36" s="122" t="s">
        <v>6637</v>
      </c>
      <c r="O36" s="141" t="s">
        <v>665</v>
      </c>
      <c r="P36" s="141" t="s">
        <v>6900</v>
      </c>
      <c r="Q36" s="122" t="s">
        <v>243</v>
      </c>
      <c r="R36" s="142">
        <v>24</v>
      </c>
      <c r="S36" s="122" t="s">
        <v>6901</v>
      </c>
      <c r="U36" s="122" t="s">
        <v>589</v>
      </c>
      <c r="W36" s="122" t="s">
        <v>246</v>
      </c>
      <c r="X36" s="122" t="s">
        <v>590</v>
      </c>
      <c r="Y36" s="141" t="s">
        <v>593</v>
      </c>
      <c r="Z36" s="122" t="s">
        <v>6902</v>
      </c>
      <c r="AA36" s="141" t="s">
        <v>2717</v>
      </c>
      <c r="AB36" s="122" t="s">
        <v>6902</v>
      </c>
      <c r="AC36" s="141" t="s">
        <v>1896</v>
      </c>
      <c r="AD36" s="122" t="s">
        <v>6903</v>
      </c>
      <c r="AE36" s="122" t="s">
        <v>235</v>
      </c>
      <c r="AF36" s="122" t="s">
        <v>6904</v>
      </c>
      <c r="AG36" s="122" t="s">
        <v>6905</v>
      </c>
      <c r="AH36" s="122" t="s">
        <v>253</v>
      </c>
      <c r="AI36" s="122" t="s">
        <v>6906</v>
      </c>
      <c r="AJ36" s="122" t="s">
        <v>6907</v>
      </c>
      <c r="AK36" s="122" t="s">
        <v>253</v>
      </c>
      <c r="AL36" s="122" t="s">
        <v>253</v>
      </c>
      <c r="AM36" s="122" t="s">
        <v>253</v>
      </c>
      <c r="AN36" s="122" t="s">
        <v>253</v>
      </c>
      <c r="AO36" s="141" t="s">
        <v>247</v>
      </c>
      <c r="AP36" s="141" t="s">
        <v>247</v>
      </c>
      <c r="AQ36" s="141" t="s">
        <v>247</v>
      </c>
      <c r="AR36" s="141" t="s">
        <v>247</v>
      </c>
      <c r="AS36" s="141" t="s">
        <v>601</v>
      </c>
      <c r="AT36" s="141" t="s">
        <v>601</v>
      </c>
      <c r="AU36" s="141" t="s">
        <v>257</v>
      </c>
      <c r="AV36" s="122" t="s">
        <v>259</v>
      </c>
      <c r="AW36" s="122" t="s">
        <v>260</v>
      </c>
      <c r="AX36" s="141" t="s">
        <v>6908</v>
      </c>
      <c r="AY36" s="141" t="s">
        <v>247</v>
      </c>
      <c r="AZ36" s="122" t="s">
        <v>6909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24</v>
      </c>
      <c r="BJ36" s="123">
        <v>42239</v>
      </c>
      <c r="BK36" s="139" t="s">
        <v>264</v>
      </c>
      <c r="BL36" s="140">
        <v>558.83000000000004</v>
      </c>
      <c r="BM36" s="122">
        <v>34</v>
      </c>
    </row>
    <row r="37" spans="1:65" x14ac:dyDescent="0.25">
      <c r="A37" s="122" t="s">
        <v>6513</v>
      </c>
      <c r="B37" s="122" t="s">
        <v>6910</v>
      </c>
      <c r="C37" s="122" t="s">
        <v>6911</v>
      </c>
      <c r="D37" s="122" t="s">
        <v>6912</v>
      </c>
      <c r="E37" s="123">
        <v>42226</v>
      </c>
      <c r="F37" s="122" t="s">
        <v>765</v>
      </c>
      <c r="G37" s="122" t="s">
        <v>235</v>
      </c>
      <c r="H37" s="122" t="s">
        <v>6913</v>
      </c>
      <c r="I37" s="122" t="s">
        <v>6914</v>
      </c>
      <c r="J37" s="122" t="s">
        <v>2393</v>
      </c>
      <c r="K37" s="122" t="s">
        <v>238</v>
      </c>
      <c r="L37" s="122" t="s">
        <v>239</v>
      </c>
      <c r="M37" s="122" t="s">
        <v>6915</v>
      </c>
      <c r="O37" s="141" t="s">
        <v>2378</v>
      </c>
      <c r="P37" s="141" t="s">
        <v>6916</v>
      </c>
      <c r="Q37" s="122" t="s">
        <v>243</v>
      </c>
      <c r="R37" s="142">
        <v>25</v>
      </c>
      <c r="S37" s="122" t="s">
        <v>6917</v>
      </c>
      <c r="U37" s="122" t="s">
        <v>589</v>
      </c>
      <c r="W37" s="122" t="s">
        <v>246</v>
      </c>
      <c r="X37" s="122" t="s">
        <v>497</v>
      </c>
      <c r="Y37" s="141" t="s">
        <v>1256</v>
      </c>
      <c r="Z37" s="122" t="s">
        <v>6918</v>
      </c>
      <c r="AA37" s="141" t="s">
        <v>1421</v>
      </c>
      <c r="AB37" s="122" t="s">
        <v>1441</v>
      </c>
      <c r="AC37" s="141" t="s">
        <v>2225</v>
      </c>
      <c r="AD37" s="122" t="s">
        <v>6919</v>
      </c>
      <c r="AE37" s="122" t="s">
        <v>235</v>
      </c>
      <c r="AF37" s="122" t="s">
        <v>6920</v>
      </c>
      <c r="AG37" s="122" t="s">
        <v>747</v>
      </c>
      <c r="AH37" s="122" t="s">
        <v>253</v>
      </c>
      <c r="AI37" s="122" t="s">
        <v>6921</v>
      </c>
      <c r="AJ37" s="122" t="s">
        <v>6922</v>
      </c>
      <c r="AK37" s="122" t="s">
        <v>253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253</v>
      </c>
      <c r="AQ37" s="141" t="s">
        <v>247</v>
      </c>
      <c r="AR37" s="141" t="s">
        <v>253</v>
      </c>
      <c r="AS37" s="141" t="s">
        <v>601</v>
      </c>
      <c r="AT37" s="141" t="s">
        <v>601</v>
      </c>
      <c r="AU37" s="141" t="s">
        <v>258</v>
      </c>
      <c r="AV37" s="122" t="s">
        <v>259</v>
      </c>
      <c r="AW37" s="122" t="s">
        <v>260</v>
      </c>
      <c r="AX37" s="141" t="s">
        <v>1130</v>
      </c>
      <c r="AY37" s="141" t="s">
        <v>247</v>
      </c>
      <c r="AZ37" s="122" t="s">
        <v>6923</v>
      </c>
      <c r="BA37" s="122" t="s">
        <v>262</v>
      </c>
      <c r="BB37" s="122" t="s">
        <v>262</v>
      </c>
      <c r="BC37" s="141" t="s">
        <v>312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25</v>
      </c>
      <c r="BJ37" s="123">
        <v>42239</v>
      </c>
      <c r="BK37" s="139" t="s">
        <v>606</v>
      </c>
      <c r="BM37" s="122">
        <v>34</v>
      </c>
    </row>
    <row r="38" spans="1:65" x14ac:dyDescent="0.25">
      <c r="A38" s="122" t="s">
        <v>6513</v>
      </c>
      <c r="B38" s="122" t="s">
        <v>6924</v>
      </c>
      <c r="C38" s="122" t="s">
        <v>6925</v>
      </c>
      <c r="D38" s="122" t="s">
        <v>6926</v>
      </c>
      <c r="E38" s="123">
        <v>42226</v>
      </c>
      <c r="F38" s="122" t="s">
        <v>1318</v>
      </c>
      <c r="G38" s="122" t="s">
        <v>235</v>
      </c>
      <c r="H38" s="122" t="s">
        <v>6927</v>
      </c>
      <c r="I38" s="122" t="s">
        <v>6928</v>
      </c>
      <c r="K38" s="122" t="s">
        <v>238</v>
      </c>
      <c r="L38" s="122" t="s">
        <v>239</v>
      </c>
      <c r="M38" s="122" t="s">
        <v>935</v>
      </c>
      <c r="O38" s="141" t="s">
        <v>373</v>
      </c>
      <c r="P38" s="141" t="s">
        <v>6929</v>
      </c>
      <c r="Q38" s="122" t="s">
        <v>243</v>
      </c>
      <c r="R38" s="142">
        <v>26</v>
      </c>
      <c r="S38" s="122" t="s">
        <v>6930</v>
      </c>
      <c r="U38" s="122" t="s">
        <v>589</v>
      </c>
      <c r="W38" s="122" t="s">
        <v>246</v>
      </c>
      <c r="X38" s="122" t="s">
        <v>1324</v>
      </c>
      <c r="Y38" s="141" t="s">
        <v>1209</v>
      </c>
      <c r="Z38" s="122" t="s">
        <v>6931</v>
      </c>
      <c r="AA38" s="141" t="s">
        <v>478</v>
      </c>
      <c r="AB38" s="122" t="s">
        <v>518</v>
      </c>
      <c r="AC38" s="141" t="s">
        <v>2133</v>
      </c>
      <c r="AD38" s="122" t="s">
        <v>2307</v>
      </c>
      <c r="AE38" s="122" t="s">
        <v>235</v>
      </c>
      <c r="AF38" s="122" t="s">
        <v>6932</v>
      </c>
      <c r="AG38" s="122" t="s">
        <v>537</v>
      </c>
      <c r="AH38" s="122" t="s">
        <v>253</v>
      </c>
      <c r="AI38" s="122" t="s">
        <v>2309</v>
      </c>
      <c r="AJ38" s="122" t="s">
        <v>2309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253</v>
      </c>
      <c r="AP38" s="141" t="s">
        <v>253</v>
      </c>
      <c r="AQ38" s="141" t="s">
        <v>247</v>
      </c>
      <c r="AR38" s="141" t="s">
        <v>253</v>
      </c>
      <c r="AS38" s="141" t="s">
        <v>361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Y38" s="141" t="s">
        <v>253</v>
      </c>
      <c r="AZ38" s="122" t="s">
        <v>6933</v>
      </c>
      <c r="BA38" s="122" t="s">
        <v>262</v>
      </c>
      <c r="BB38" s="122" t="s">
        <v>6934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26</v>
      </c>
    </row>
    <row r="39" spans="1:65" x14ac:dyDescent="0.25">
      <c r="A39" s="122" t="s">
        <v>6513</v>
      </c>
      <c r="B39" s="122" t="s">
        <v>6935</v>
      </c>
      <c r="C39" s="122" t="s">
        <v>6936</v>
      </c>
      <c r="D39" s="122" t="s">
        <v>6937</v>
      </c>
      <c r="E39" s="123">
        <v>42226</v>
      </c>
      <c r="F39" s="122" t="s">
        <v>6938</v>
      </c>
      <c r="G39" s="122" t="s">
        <v>235</v>
      </c>
      <c r="H39" s="122" t="s">
        <v>6939</v>
      </c>
      <c r="I39" s="122" t="s">
        <v>6940</v>
      </c>
      <c r="K39" s="122" t="s">
        <v>238</v>
      </c>
      <c r="L39" s="122" t="s">
        <v>1872</v>
      </c>
      <c r="M39" s="122" t="s">
        <v>2377</v>
      </c>
      <c r="O39" s="141" t="s">
        <v>6941</v>
      </c>
      <c r="P39" s="141" t="s">
        <v>6942</v>
      </c>
      <c r="Q39" s="122" t="s">
        <v>243</v>
      </c>
      <c r="R39" s="142">
        <v>27</v>
      </c>
      <c r="S39" s="122" t="s">
        <v>6943</v>
      </c>
      <c r="U39" s="122" t="s">
        <v>589</v>
      </c>
      <c r="W39" s="122" t="s">
        <v>246</v>
      </c>
      <c r="X39" s="122" t="s">
        <v>497</v>
      </c>
      <c r="Y39" s="141" t="s">
        <v>595</v>
      </c>
      <c r="Z39" s="122" t="s">
        <v>6944</v>
      </c>
      <c r="AA39" s="141" t="s">
        <v>367</v>
      </c>
      <c r="AB39" s="122" t="s">
        <v>6945</v>
      </c>
      <c r="AC39" s="141" t="s">
        <v>1398</v>
      </c>
      <c r="AD39" s="122" t="s">
        <v>6946</v>
      </c>
      <c r="AE39" s="122" t="s">
        <v>235</v>
      </c>
      <c r="AF39" s="122" t="s">
        <v>6947</v>
      </c>
      <c r="AG39" s="122" t="s">
        <v>537</v>
      </c>
      <c r="AH39" s="122" t="s">
        <v>253</v>
      </c>
      <c r="AI39" s="122" t="s">
        <v>6948</v>
      </c>
      <c r="AJ39" s="122" t="s">
        <v>6949</v>
      </c>
      <c r="AK39" s="122" t="s">
        <v>253</v>
      </c>
      <c r="AL39" s="122" t="s">
        <v>253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253</v>
      </c>
      <c r="AS39" s="141" t="s">
        <v>601</v>
      </c>
      <c r="AT39" s="141" t="s">
        <v>601</v>
      </c>
      <c r="AU39" s="141" t="s">
        <v>258</v>
      </c>
      <c r="AV39" s="122" t="s">
        <v>259</v>
      </c>
      <c r="AW39" s="122" t="s">
        <v>260</v>
      </c>
      <c r="AY39" s="141" t="s">
        <v>253</v>
      </c>
      <c r="AZ39" s="122" t="s">
        <v>6950</v>
      </c>
      <c r="BA39" s="122" t="s">
        <v>262</v>
      </c>
      <c r="BB39" s="122" t="s">
        <v>262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27</v>
      </c>
    </row>
    <row r="40" spans="1:65" x14ac:dyDescent="0.25">
      <c r="A40" s="122" t="s">
        <v>6513</v>
      </c>
      <c r="B40" s="122" t="s">
        <v>6951</v>
      </c>
      <c r="C40" s="122" t="s">
        <v>6952</v>
      </c>
      <c r="D40" s="122" t="s">
        <v>6953</v>
      </c>
      <c r="E40" s="123">
        <v>42226</v>
      </c>
      <c r="F40" s="122" t="s">
        <v>6954</v>
      </c>
      <c r="G40" s="122" t="s">
        <v>235</v>
      </c>
      <c r="H40" s="122" t="s">
        <v>6955</v>
      </c>
      <c r="I40" s="122" t="s">
        <v>6956</v>
      </c>
      <c r="K40" s="122" t="s">
        <v>238</v>
      </c>
      <c r="L40" s="122" t="s">
        <v>320</v>
      </c>
      <c r="M40" s="122" t="s">
        <v>585</v>
      </c>
      <c r="O40" s="141" t="s">
        <v>613</v>
      </c>
      <c r="P40" s="141" t="s">
        <v>6957</v>
      </c>
      <c r="Q40" s="122" t="s">
        <v>243</v>
      </c>
      <c r="R40" s="142">
        <v>28</v>
      </c>
      <c r="S40" s="122" t="s">
        <v>6958</v>
      </c>
      <c r="U40" s="122" t="s">
        <v>589</v>
      </c>
      <c r="W40" s="122" t="s">
        <v>246</v>
      </c>
      <c r="X40" s="122" t="s">
        <v>278</v>
      </c>
      <c r="Y40" s="141" t="s">
        <v>973</v>
      </c>
      <c r="Z40" s="122" t="s">
        <v>6959</v>
      </c>
      <c r="AA40" s="141" t="s">
        <v>763</v>
      </c>
      <c r="AB40" s="122" t="s">
        <v>6960</v>
      </c>
      <c r="AC40" s="141" t="s">
        <v>1075</v>
      </c>
      <c r="AD40" s="122" t="s">
        <v>6960</v>
      </c>
      <c r="AE40" s="122" t="s">
        <v>235</v>
      </c>
      <c r="AF40" s="122" t="s">
        <v>6961</v>
      </c>
      <c r="AG40" s="122" t="s">
        <v>537</v>
      </c>
      <c r="AH40" s="122" t="s">
        <v>253</v>
      </c>
      <c r="AI40" s="122" t="s">
        <v>6962</v>
      </c>
      <c r="AJ40" s="122" t="s">
        <v>6963</v>
      </c>
      <c r="AK40" s="122" t="s">
        <v>6964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247</v>
      </c>
      <c r="AQ40" s="141" t="s">
        <v>253</v>
      </c>
      <c r="AR40" s="141" t="s">
        <v>253</v>
      </c>
      <c r="AS40" s="141" t="s">
        <v>601</v>
      </c>
      <c r="AT40" s="141" t="s">
        <v>258</v>
      </c>
      <c r="AU40" s="141" t="s">
        <v>258</v>
      </c>
      <c r="AV40" s="122" t="s">
        <v>259</v>
      </c>
      <c r="AW40" s="122" t="s">
        <v>260</v>
      </c>
      <c r="AX40" s="141" t="s">
        <v>1130</v>
      </c>
      <c r="AY40" s="141" t="s">
        <v>247</v>
      </c>
      <c r="AZ40" s="122" t="s">
        <v>6965</v>
      </c>
      <c r="BA40" s="122" t="s">
        <v>262</v>
      </c>
      <c r="BB40" s="122" t="s">
        <v>6965</v>
      </c>
      <c r="BC40" s="141" t="s">
        <v>312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28</v>
      </c>
    </row>
    <row r="41" spans="1:65" x14ac:dyDescent="0.25">
      <c r="A41" s="122" t="s">
        <v>6513</v>
      </c>
      <c r="B41" s="122" t="s">
        <v>6966</v>
      </c>
      <c r="C41" s="122" t="s">
        <v>6967</v>
      </c>
      <c r="D41" s="122" t="s">
        <v>6968</v>
      </c>
      <c r="E41" s="123">
        <v>42226</v>
      </c>
      <c r="F41" s="122" t="s">
        <v>6969</v>
      </c>
      <c r="G41" s="122" t="s">
        <v>235</v>
      </c>
      <c r="H41" s="122" t="s">
        <v>6970</v>
      </c>
      <c r="I41" s="122" t="s">
        <v>6971</v>
      </c>
      <c r="K41" s="122" t="s">
        <v>238</v>
      </c>
      <c r="L41" s="122" t="s">
        <v>1872</v>
      </c>
      <c r="M41" s="122" t="s">
        <v>1979</v>
      </c>
      <c r="O41" s="141" t="s">
        <v>548</v>
      </c>
      <c r="P41" s="141" t="s">
        <v>6972</v>
      </c>
      <c r="Q41" s="122" t="s">
        <v>243</v>
      </c>
      <c r="R41" s="142">
        <v>29</v>
      </c>
      <c r="S41" s="122" t="s">
        <v>6973</v>
      </c>
      <c r="U41" s="122" t="s">
        <v>589</v>
      </c>
      <c r="W41" s="122" t="s">
        <v>246</v>
      </c>
      <c r="X41" s="122" t="s">
        <v>1057</v>
      </c>
      <c r="Y41" s="141" t="s">
        <v>455</v>
      </c>
      <c r="Z41" s="122" t="s">
        <v>818</v>
      </c>
      <c r="AA41" s="141" t="s">
        <v>6974</v>
      </c>
      <c r="AB41" s="122" t="s">
        <v>249</v>
      </c>
      <c r="AC41" s="141" t="s">
        <v>6413</v>
      </c>
      <c r="AD41" s="122" t="s">
        <v>249</v>
      </c>
      <c r="AE41" s="122" t="s">
        <v>235</v>
      </c>
      <c r="AF41" s="122" t="s">
        <v>6975</v>
      </c>
      <c r="AG41" s="122" t="s">
        <v>537</v>
      </c>
      <c r="AH41" s="122" t="s">
        <v>253</v>
      </c>
      <c r="AI41" s="122" t="s">
        <v>6976</v>
      </c>
      <c r="AJ41" s="122" t="s">
        <v>6977</v>
      </c>
      <c r="AK41" s="122" t="s">
        <v>253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247</v>
      </c>
      <c r="AQ41" s="141" t="s">
        <v>253</v>
      </c>
      <c r="AR41" s="141" t="s">
        <v>253</v>
      </c>
      <c r="AS41" s="141" t="s">
        <v>601</v>
      </c>
      <c r="AT41" s="141" t="s">
        <v>258</v>
      </c>
      <c r="AU41" s="141" t="s">
        <v>258</v>
      </c>
      <c r="AV41" s="122" t="s">
        <v>259</v>
      </c>
      <c r="AW41" s="122" t="s">
        <v>260</v>
      </c>
      <c r="AY41" s="141" t="s">
        <v>253</v>
      </c>
      <c r="AZ41" s="122" t="s">
        <v>6978</v>
      </c>
      <c r="BA41" s="122" t="s">
        <v>262</v>
      </c>
      <c r="BB41" s="122" t="s">
        <v>262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29</v>
      </c>
      <c r="BJ41" s="123">
        <v>42239</v>
      </c>
      <c r="BK41" s="139" t="s">
        <v>264</v>
      </c>
      <c r="BL41" s="140">
        <v>180.57</v>
      </c>
      <c r="BM41" s="122">
        <v>34</v>
      </c>
    </row>
    <row r="42" spans="1:65" x14ac:dyDescent="0.25">
      <c r="A42" s="122" t="s">
        <v>6513</v>
      </c>
      <c r="B42" s="122" t="s">
        <v>6979</v>
      </c>
      <c r="C42" s="122" t="s">
        <v>6980</v>
      </c>
      <c r="D42" s="122" t="s">
        <v>6981</v>
      </c>
      <c r="E42" s="123">
        <v>42226</v>
      </c>
      <c r="F42" s="122" t="s">
        <v>6982</v>
      </c>
      <c r="G42" s="122" t="s">
        <v>235</v>
      </c>
      <c r="H42" s="122" t="s">
        <v>6983</v>
      </c>
      <c r="I42" s="122" t="s">
        <v>6984</v>
      </c>
      <c r="K42" s="122" t="s">
        <v>238</v>
      </c>
      <c r="L42" s="122" t="s">
        <v>388</v>
      </c>
      <c r="M42" s="122" t="s">
        <v>2749</v>
      </c>
      <c r="N42" s="122" t="s">
        <v>6985</v>
      </c>
      <c r="O42" s="141" t="s">
        <v>6638</v>
      </c>
      <c r="P42" s="141" t="s">
        <v>6986</v>
      </c>
      <c r="Q42" s="122" t="s">
        <v>243</v>
      </c>
      <c r="R42" s="142">
        <v>30</v>
      </c>
      <c r="S42" s="122" t="s">
        <v>6987</v>
      </c>
      <c r="U42" s="122" t="s">
        <v>589</v>
      </c>
      <c r="W42" s="122" t="s">
        <v>246</v>
      </c>
      <c r="X42" s="122" t="s">
        <v>1121</v>
      </c>
      <c r="Y42" s="141" t="s">
        <v>740</v>
      </c>
      <c r="Z42" s="122" t="s">
        <v>6988</v>
      </c>
      <c r="AA42" s="141" t="s">
        <v>356</v>
      </c>
      <c r="AB42" s="122" t="s">
        <v>6989</v>
      </c>
      <c r="AC42" s="141" t="s">
        <v>1969</v>
      </c>
      <c r="AD42" s="122" t="s">
        <v>6990</v>
      </c>
      <c r="AE42" s="122" t="s">
        <v>235</v>
      </c>
      <c r="AF42" s="122" t="s">
        <v>6991</v>
      </c>
      <c r="AG42" s="122" t="s">
        <v>6992</v>
      </c>
      <c r="AH42" s="122" t="s">
        <v>253</v>
      </c>
      <c r="AI42" s="122" t="s">
        <v>6993</v>
      </c>
      <c r="AJ42" s="122" t="s">
        <v>6994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253</v>
      </c>
      <c r="AR42" s="141" t="s">
        <v>253</v>
      </c>
      <c r="AS42" s="141" t="s">
        <v>601</v>
      </c>
      <c r="AT42" s="141" t="s">
        <v>258</v>
      </c>
      <c r="AU42" s="141" t="s">
        <v>258</v>
      </c>
      <c r="AV42" s="122" t="s">
        <v>259</v>
      </c>
      <c r="AW42" s="122" t="s">
        <v>260</v>
      </c>
      <c r="AY42" s="141" t="s">
        <v>253</v>
      </c>
      <c r="AZ42" s="122" t="s">
        <v>6995</v>
      </c>
      <c r="BA42" s="122" t="s">
        <v>262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30</v>
      </c>
      <c r="BJ42" s="123">
        <v>42238</v>
      </c>
      <c r="BK42" s="139" t="s">
        <v>264</v>
      </c>
      <c r="BL42" s="140">
        <v>473</v>
      </c>
      <c r="BM42" s="122">
        <v>34</v>
      </c>
    </row>
    <row r="43" spans="1:65" x14ac:dyDescent="0.25">
      <c r="A43" s="122" t="s">
        <v>6513</v>
      </c>
      <c r="B43" s="122" t="s">
        <v>6996</v>
      </c>
      <c r="C43" s="122" t="s">
        <v>6997</v>
      </c>
      <c r="D43" s="122" t="s">
        <v>6998</v>
      </c>
      <c r="E43" s="123">
        <v>42226</v>
      </c>
      <c r="F43" s="122" t="s">
        <v>1421</v>
      </c>
      <c r="G43" s="122" t="s">
        <v>235</v>
      </c>
      <c r="H43" s="122" t="s">
        <v>6999</v>
      </c>
      <c r="I43" s="122" t="s">
        <v>7000</v>
      </c>
      <c r="K43" s="122" t="s">
        <v>238</v>
      </c>
      <c r="L43" s="122" t="s">
        <v>320</v>
      </c>
      <c r="M43" s="122" t="s">
        <v>779</v>
      </c>
      <c r="O43" s="141" t="s">
        <v>548</v>
      </c>
      <c r="P43" s="141" t="s">
        <v>7001</v>
      </c>
      <c r="Q43" s="122" t="s">
        <v>243</v>
      </c>
      <c r="R43" s="142">
        <v>31</v>
      </c>
      <c r="S43" s="122" t="s">
        <v>7002</v>
      </c>
      <c r="U43" s="122" t="s">
        <v>589</v>
      </c>
      <c r="W43" s="122" t="s">
        <v>246</v>
      </c>
      <c r="X43" s="122" t="s">
        <v>325</v>
      </c>
      <c r="Z43" s="122" t="s">
        <v>250</v>
      </c>
      <c r="AB43" s="122" t="s">
        <v>250</v>
      </c>
      <c r="AD43" s="122" t="s">
        <v>250</v>
      </c>
      <c r="AE43" s="122" t="s">
        <v>235</v>
      </c>
      <c r="AF43" s="122" t="s">
        <v>7003</v>
      </c>
      <c r="AG43" s="122" t="s">
        <v>537</v>
      </c>
      <c r="AH43" s="122" t="s">
        <v>253</v>
      </c>
      <c r="AI43" s="122" t="s">
        <v>7004</v>
      </c>
      <c r="AJ43" s="122" t="s">
        <v>7005</v>
      </c>
      <c r="AK43" s="122" t="s">
        <v>253</v>
      </c>
      <c r="AL43" s="122" t="s">
        <v>253</v>
      </c>
      <c r="AM43" s="122" t="s">
        <v>253</v>
      </c>
      <c r="AN43" s="122" t="s">
        <v>253</v>
      </c>
      <c r="AO43" s="141" t="s">
        <v>247</v>
      </c>
      <c r="AP43" s="141" t="s">
        <v>247</v>
      </c>
      <c r="AQ43" s="141" t="s">
        <v>247</v>
      </c>
      <c r="AR43" s="141" t="s">
        <v>247</v>
      </c>
      <c r="AS43" s="141" t="s">
        <v>601</v>
      </c>
      <c r="AT43" s="141" t="s">
        <v>601</v>
      </c>
      <c r="AU43" s="141" t="s">
        <v>601</v>
      </c>
      <c r="AV43" s="122" t="s">
        <v>259</v>
      </c>
      <c r="AW43" s="122" t="s">
        <v>260</v>
      </c>
      <c r="AY43" s="141" t="s">
        <v>253</v>
      </c>
      <c r="AZ43" s="122" t="s">
        <v>7006</v>
      </c>
      <c r="BA43" s="122" t="s">
        <v>262</v>
      </c>
      <c r="BB43" s="122" t="s">
        <v>262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31</v>
      </c>
    </row>
    <row r="44" spans="1:65" x14ac:dyDescent="0.25">
      <c r="A44" s="122" t="s">
        <v>6513</v>
      </c>
      <c r="B44" s="122" t="s">
        <v>7007</v>
      </c>
      <c r="C44" s="122" t="s">
        <v>7008</v>
      </c>
      <c r="D44" s="122" t="s">
        <v>7009</v>
      </c>
      <c r="E44" s="123">
        <v>42226</v>
      </c>
      <c r="F44" s="122" t="s">
        <v>7010</v>
      </c>
      <c r="G44" s="122" t="s">
        <v>235</v>
      </c>
      <c r="H44" s="122" t="s">
        <v>7011</v>
      </c>
      <c r="I44" s="122" t="s">
        <v>7012</v>
      </c>
      <c r="J44" s="122" t="s">
        <v>7013</v>
      </c>
      <c r="K44" s="122" t="s">
        <v>238</v>
      </c>
      <c r="L44" s="122" t="s">
        <v>239</v>
      </c>
      <c r="M44" s="122" t="s">
        <v>849</v>
      </c>
      <c r="O44" s="141" t="s">
        <v>665</v>
      </c>
      <c r="P44" s="141" t="s">
        <v>7014</v>
      </c>
      <c r="Q44" s="122" t="s">
        <v>243</v>
      </c>
      <c r="R44" s="142">
        <v>32</v>
      </c>
      <c r="S44" s="122" t="s">
        <v>7015</v>
      </c>
      <c r="U44" s="122" t="s">
        <v>589</v>
      </c>
      <c r="W44" s="122" t="s">
        <v>246</v>
      </c>
      <c r="X44" s="122" t="s">
        <v>1377</v>
      </c>
      <c r="Y44" s="141" t="s">
        <v>973</v>
      </c>
      <c r="Z44" s="122" t="s">
        <v>7016</v>
      </c>
      <c r="AA44" s="141" t="s">
        <v>784</v>
      </c>
      <c r="AB44" s="122" t="s">
        <v>7017</v>
      </c>
      <c r="AC44" s="141" t="s">
        <v>281</v>
      </c>
      <c r="AD44" s="122" t="s">
        <v>7018</v>
      </c>
      <c r="AE44" s="122" t="s">
        <v>235</v>
      </c>
      <c r="AF44" s="122" t="s">
        <v>7019</v>
      </c>
      <c r="AG44" s="122" t="s">
        <v>537</v>
      </c>
      <c r="AH44" s="122" t="s">
        <v>253</v>
      </c>
      <c r="AI44" s="122" t="s">
        <v>7020</v>
      </c>
      <c r="AJ44" s="122" t="s">
        <v>7021</v>
      </c>
      <c r="AK44" s="122" t="s">
        <v>7022</v>
      </c>
      <c r="AL44" s="122" t="s">
        <v>253</v>
      </c>
      <c r="AM44" s="122" t="s">
        <v>253</v>
      </c>
      <c r="AN44" s="122" t="s">
        <v>253</v>
      </c>
      <c r="AO44" s="141" t="s">
        <v>247</v>
      </c>
      <c r="AP44" s="141" t="s">
        <v>247</v>
      </c>
      <c r="AQ44" s="141" t="s">
        <v>247</v>
      </c>
      <c r="AR44" s="141" t="s">
        <v>247</v>
      </c>
      <c r="AS44" s="141" t="s">
        <v>601</v>
      </c>
      <c r="AT44" s="141" t="s">
        <v>601</v>
      </c>
      <c r="AU44" s="141" t="s">
        <v>601</v>
      </c>
      <c r="AV44" s="122" t="s">
        <v>259</v>
      </c>
      <c r="AW44" s="122" t="s">
        <v>260</v>
      </c>
      <c r="AX44" s="141" t="s">
        <v>1130</v>
      </c>
      <c r="AY44" s="141" t="s">
        <v>247</v>
      </c>
      <c r="AZ44" s="122" t="s">
        <v>7023</v>
      </c>
      <c r="BA44" s="122" t="s">
        <v>262</v>
      </c>
      <c r="BB44" s="122" t="s">
        <v>262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32</v>
      </c>
      <c r="BJ44" s="123">
        <v>42239</v>
      </c>
      <c r="BK44" s="139" t="s">
        <v>606</v>
      </c>
      <c r="BM44" s="122">
        <v>34</v>
      </c>
    </row>
    <row r="45" spans="1:65" x14ac:dyDescent="0.25">
      <c r="A45" s="122" t="s">
        <v>6513</v>
      </c>
      <c r="B45" s="122" t="s">
        <v>7024</v>
      </c>
      <c r="C45" s="122" t="s">
        <v>7025</v>
      </c>
      <c r="D45" s="122" t="s">
        <v>7026</v>
      </c>
      <c r="E45" s="123">
        <v>42226</v>
      </c>
      <c r="F45" s="122" t="s">
        <v>2717</v>
      </c>
      <c r="G45" s="122" t="s">
        <v>235</v>
      </c>
      <c r="H45" s="122" t="s">
        <v>7027</v>
      </c>
      <c r="I45" s="122" t="s">
        <v>7028</v>
      </c>
      <c r="J45" s="122" t="s">
        <v>7029</v>
      </c>
      <c r="K45" s="122" t="s">
        <v>238</v>
      </c>
      <c r="L45" s="122" t="s">
        <v>320</v>
      </c>
      <c r="M45" s="122" t="s">
        <v>612</v>
      </c>
      <c r="Q45" s="122" t="s">
        <v>243</v>
      </c>
      <c r="R45" s="142">
        <v>33</v>
      </c>
      <c r="S45" s="122" t="s">
        <v>7030</v>
      </c>
      <c r="U45" s="122" t="s">
        <v>589</v>
      </c>
      <c r="W45" s="122" t="s">
        <v>246</v>
      </c>
      <c r="X45" s="122" t="s">
        <v>1057</v>
      </c>
      <c r="Z45" s="122" t="s">
        <v>250</v>
      </c>
      <c r="AB45" s="122" t="s">
        <v>250</v>
      </c>
      <c r="AD45" s="122" t="s">
        <v>250</v>
      </c>
      <c r="AE45" s="122" t="s">
        <v>235</v>
      </c>
      <c r="AF45" s="122" t="s">
        <v>7031</v>
      </c>
      <c r="AG45" s="122" t="s">
        <v>537</v>
      </c>
      <c r="AH45" s="122" t="s">
        <v>253</v>
      </c>
      <c r="AI45" s="122" t="s">
        <v>619</v>
      </c>
      <c r="AJ45" s="122" t="s">
        <v>1616</v>
      </c>
      <c r="AK45" s="122" t="s">
        <v>253</v>
      </c>
      <c r="AL45" s="122" t="s">
        <v>253</v>
      </c>
      <c r="AM45" s="122" t="s">
        <v>253</v>
      </c>
      <c r="AN45" s="122" t="s">
        <v>253</v>
      </c>
      <c r="AO45" s="141" t="s">
        <v>247</v>
      </c>
      <c r="AP45" s="141" t="s">
        <v>253</v>
      </c>
      <c r="AQ45" s="141" t="s">
        <v>253</v>
      </c>
      <c r="AR45" s="141" t="s">
        <v>253</v>
      </c>
      <c r="AS45" s="141" t="s">
        <v>601</v>
      </c>
      <c r="AT45" s="141" t="s">
        <v>258</v>
      </c>
      <c r="AU45" s="141" t="s">
        <v>258</v>
      </c>
      <c r="AV45" s="122" t="s">
        <v>259</v>
      </c>
      <c r="AW45" s="122" t="s">
        <v>260</v>
      </c>
      <c r="AY45" s="141" t="s">
        <v>253</v>
      </c>
      <c r="AZ45" s="122" t="s">
        <v>7032</v>
      </c>
      <c r="BA45" s="122" t="s">
        <v>262</v>
      </c>
      <c r="BB45" s="122" t="s">
        <v>262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33</v>
      </c>
    </row>
    <row r="46" spans="1:65" x14ac:dyDescent="0.25">
      <c r="A46" s="122" t="s">
        <v>352</v>
      </c>
      <c r="B46" s="122" t="s">
        <v>7033</v>
      </c>
      <c r="C46" s="122" t="s">
        <v>7034</v>
      </c>
      <c r="D46" s="122" t="s">
        <v>7035</v>
      </c>
      <c r="E46" s="123">
        <v>42226</v>
      </c>
      <c r="F46" s="122" t="s">
        <v>7036</v>
      </c>
      <c r="G46" s="122" t="s">
        <v>235</v>
      </c>
      <c r="H46" s="122" t="s">
        <v>7037</v>
      </c>
      <c r="I46" s="122" t="s">
        <v>7038</v>
      </c>
      <c r="K46" s="122" t="s">
        <v>238</v>
      </c>
      <c r="L46" s="122" t="s">
        <v>388</v>
      </c>
      <c r="M46" s="122" t="s">
        <v>1624</v>
      </c>
      <c r="N46" s="122" t="s">
        <v>7039</v>
      </c>
      <c r="O46" s="141" t="s">
        <v>273</v>
      </c>
      <c r="P46" s="141" t="s">
        <v>7040</v>
      </c>
      <c r="Q46" s="122" t="s">
        <v>243</v>
      </c>
      <c r="R46" s="142">
        <v>34</v>
      </c>
      <c r="S46" s="122" t="s">
        <v>7041</v>
      </c>
      <c r="U46" s="122" t="s">
        <v>589</v>
      </c>
      <c r="W46" s="122" t="s">
        <v>246</v>
      </c>
      <c r="X46" s="122" t="s">
        <v>454</v>
      </c>
      <c r="Y46" s="141" t="s">
        <v>378</v>
      </c>
      <c r="Z46" s="122" t="s">
        <v>800</v>
      </c>
      <c r="AA46" s="141" t="s">
        <v>457</v>
      </c>
      <c r="AB46" s="122" t="s">
        <v>7042</v>
      </c>
      <c r="AC46" s="141" t="s">
        <v>1023</v>
      </c>
      <c r="AD46" s="122" t="s">
        <v>7043</v>
      </c>
      <c r="AE46" s="122" t="s">
        <v>235</v>
      </c>
      <c r="AF46" s="122" t="s">
        <v>7044</v>
      </c>
      <c r="AG46" s="122" t="s">
        <v>1881</v>
      </c>
      <c r="AH46" s="122" t="s">
        <v>253</v>
      </c>
      <c r="AI46" s="122" t="s">
        <v>7045</v>
      </c>
      <c r="AJ46" s="122" t="s">
        <v>7046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247</v>
      </c>
      <c r="AP46" s="141" t="s">
        <v>247</v>
      </c>
      <c r="AQ46" s="141" t="s">
        <v>253</v>
      </c>
      <c r="AR46" s="141" t="s">
        <v>253</v>
      </c>
      <c r="AS46" s="141" t="s">
        <v>601</v>
      </c>
      <c r="AT46" s="141" t="s">
        <v>258</v>
      </c>
      <c r="AU46" s="141" t="s">
        <v>258</v>
      </c>
      <c r="AV46" s="122" t="s">
        <v>259</v>
      </c>
      <c r="AW46" s="122" t="s">
        <v>260</v>
      </c>
      <c r="AY46" s="141" t="s">
        <v>253</v>
      </c>
      <c r="AZ46" s="122" t="s">
        <v>7047</v>
      </c>
      <c r="BA46" s="122" t="s">
        <v>262</v>
      </c>
      <c r="BB46" s="122" t="s">
        <v>262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34</v>
      </c>
    </row>
    <row r="47" spans="1:65" x14ac:dyDescent="0.25">
      <c r="A47" s="122" t="s">
        <v>352</v>
      </c>
      <c r="B47" s="122" t="s">
        <v>7048</v>
      </c>
      <c r="C47" s="122" t="s">
        <v>7049</v>
      </c>
      <c r="D47" s="122" t="s">
        <v>7050</v>
      </c>
      <c r="E47" s="123">
        <v>42226</v>
      </c>
      <c r="F47" s="122" t="s">
        <v>3910</v>
      </c>
      <c r="G47" s="122" t="s">
        <v>235</v>
      </c>
      <c r="H47" s="122" t="s">
        <v>448</v>
      </c>
      <c r="I47" s="122" t="s">
        <v>7051</v>
      </c>
      <c r="K47" s="122" t="s">
        <v>238</v>
      </c>
      <c r="L47" s="122" t="s">
        <v>388</v>
      </c>
      <c r="M47" s="122" t="s">
        <v>2329</v>
      </c>
      <c r="O47" s="141" t="s">
        <v>649</v>
      </c>
      <c r="P47" s="141" t="s">
        <v>7052</v>
      </c>
      <c r="Q47" s="122" t="s">
        <v>243</v>
      </c>
      <c r="R47" s="142">
        <v>35</v>
      </c>
      <c r="S47" s="122" t="s">
        <v>7053</v>
      </c>
      <c r="U47" s="122" t="s">
        <v>589</v>
      </c>
      <c r="W47" s="122" t="s">
        <v>246</v>
      </c>
      <c r="X47" s="122" t="s">
        <v>2624</v>
      </c>
      <c r="Y47" s="141" t="s">
        <v>1258</v>
      </c>
      <c r="Z47" s="122" t="s">
        <v>7054</v>
      </c>
      <c r="AA47" s="141" t="s">
        <v>281</v>
      </c>
      <c r="AB47" s="122" t="s">
        <v>7055</v>
      </c>
      <c r="AC47" s="141" t="s">
        <v>2429</v>
      </c>
      <c r="AD47" s="122" t="s">
        <v>7056</v>
      </c>
      <c r="AE47" s="122" t="s">
        <v>235</v>
      </c>
      <c r="AF47" s="122" t="s">
        <v>7057</v>
      </c>
      <c r="AG47" s="122" t="s">
        <v>537</v>
      </c>
      <c r="AH47" s="122" t="s">
        <v>253</v>
      </c>
      <c r="AI47" s="122" t="s">
        <v>7058</v>
      </c>
      <c r="AJ47" s="122" t="s">
        <v>7059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247</v>
      </c>
      <c r="AQ47" s="141" t="s">
        <v>247</v>
      </c>
      <c r="AR47" s="141" t="s">
        <v>253</v>
      </c>
      <c r="AS47" s="141" t="s">
        <v>601</v>
      </c>
      <c r="AT47" s="141" t="s">
        <v>601</v>
      </c>
      <c r="AU47" s="141" t="s">
        <v>258</v>
      </c>
      <c r="AV47" s="122" t="s">
        <v>259</v>
      </c>
      <c r="AW47" s="122" t="s">
        <v>260</v>
      </c>
      <c r="AY47" s="141" t="s">
        <v>253</v>
      </c>
      <c r="AZ47" s="122" t="s">
        <v>262</v>
      </c>
      <c r="BA47" s="122" t="s">
        <v>262</v>
      </c>
      <c r="BB47" s="122" t="s">
        <v>7060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35</v>
      </c>
      <c r="BJ47" s="123">
        <v>42233</v>
      </c>
      <c r="BK47" s="139" t="s">
        <v>264</v>
      </c>
      <c r="BL47" s="140">
        <v>273.81</v>
      </c>
      <c r="BM47" s="122">
        <v>34</v>
      </c>
    </row>
    <row r="48" spans="1:65" x14ac:dyDescent="0.25">
      <c r="A48" s="122" t="s">
        <v>352</v>
      </c>
      <c r="B48" s="122" t="s">
        <v>7061</v>
      </c>
      <c r="C48" s="122" t="s">
        <v>7062</v>
      </c>
      <c r="D48" s="122" t="s">
        <v>7063</v>
      </c>
      <c r="E48" s="123">
        <v>42226</v>
      </c>
      <c r="F48" s="122" t="s">
        <v>7064</v>
      </c>
      <c r="G48" s="122" t="s">
        <v>235</v>
      </c>
      <c r="H48" s="122" t="s">
        <v>7065</v>
      </c>
      <c r="I48" s="122" t="s">
        <v>7066</v>
      </c>
      <c r="K48" s="122" t="s">
        <v>238</v>
      </c>
      <c r="L48" s="122" t="s">
        <v>239</v>
      </c>
      <c r="M48" s="122" t="s">
        <v>6637</v>
      </c>
      <c r="O48" s="141" t="s">
        <v>412</v>
      </c>
      <c r="P48" s="141" t="s">
        <v>7067</v>
      </c>
      <c r="Q48" s="122" t="s">
        <v>243</v>
      </c>
      <c r="R48" s="142">
        <v>36</v>
      </c>
      <c r="S48" s="122" t="s">
        <v>7068</v>
      </c>
      <c r="U48" s="122" t="s">
        <v>589</v>
      </c>
      <c r="W48" s="122" t="s">
        <v>246</v>
      </c>
      <c r="X48" s="122" t="s">
        <v>4409</v>
      </c>
      <c r="Y48" s="141" t="s">
        <v>973</v>
      </c>
      <c r="Z48" s="122" t="s">
        <v>3084</v>
      </c>
      <c r="AA48" s="141" t="s">
        <v>1421</v>
      </c>
      <c r="AB48" s="122" t="s">
        <v>7069</v>
      </c>
      <c r="AC48" s="141" t="s">
        <v>234</v>
      </c>
      <c r="AD48" s="122" t="s">
        <v>1545</v>
      </c>
      <c r="AE48" s="122" t="s">
        <v>235</v>
      </c>
      <c r="AF48" s="122" t="s">
        <v>7070</v>
      </c>
      <c r="AG48" s="122" t="s">
        <v>537</v>
      </c>
      <c r="AH48" s="122" t="s">
        <v>253</v>
      </c>
      <c r="AI48" s="122" t="s">
        <v>7071</v>
      </c>
      <c r="AJ48" s="122" t="s">
        <v>7072</v>
      </c>
      <c r="AK48" s="122" t="s">
        <v>253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253</v>
      </c>
      <c r="AS48" s="141" t="s">
        <v>601</v>
      </c>
      <c r="AT48" s="141" t="s">
        <v>601</v>
      </c>
      <c r="AU48" s="141" t="s">
        <v>258</v>
      </c>
      <c r="AV48" s="122" t="s">
        <v>259</v>
      </c>
      <c r="AW48" s="122" t="s">
        <v>260</v>
      </c>
      <c r="AX48" s="141" t="s">
        <v>7073</v>
      </c>
      <c r="AY48" s="141" t="s">
        <v>247</v>
      </c>
      <c r="AZ48" s="122" t="s">
        <v>7074</v>
      </c>
      <c r="BA48" s="122" t="s">
        <v>262</v>
      </c>
      <c r="BB48" s="122" t="s">
        <v>7074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36</v>
      </c>
      <c r="BJ48" s="123">
        <v>42238</v>
      </c>
      <c r="BK48" s="139" t="s">
        <v>264</v>
      </c>
      <c r="BL48" s="140">
        <v>368.83</v>
      </c>
      <c r="BM48" s="122">
        <v>34</v>
      </c>
    </row>
    <row r="49" spans="1:65" x14ac:dyDescent="0.25">
      <c r="A49" s="122" t="s">
        <v>352</v>
      </c>
      <c r="B49" s="122" t="s">
        <v>7075</v>
      </c>
      <c r="C49" s="122" t="s">
        <v>7076</v>
      </c>
      <c r="D49" s="122" t="s">
        <v>7077</v>
      </c>
      <c r="E49" s="123">
        <v>42226</v>
      </c>
      <c r="F49" s="122" t="s">
        <v>1876</v>
      </c>
      <c r="G49" s="122" t="s">
        <v>235</v>
      </c>
      <c r="H49" s="122" t="s">
        <v>7078</v>
      </c>
      <c r="I49" s="122" t="s">
        <v>7079</v>
      </c>
      <c r="K49" s="122" t="s">
        <v>238</v>
      </c>
      <c r="L49" s="122" t="s">
        <v>388</v>
      </c>
      <c r="M49" s="122" t="s">
        <v>1891</v>
      </c>
      <c r="N49" s="122" t="s">
        <v>7080</v>
      </c>
      <c r="Q49" s="122" t="s">
        <v>243</v>
      </c>
      <c r="R49" s="142">
        <v>37</v>
      </c>
      <c r="S49" s="122" t="s">
        <v>7081</v>
      </c>
      <c r="T49" s="122" t="s">
        <v>7082</v>
      </c>
      <c r="U49" s="122" t="s">
        <v>589</v>
      </c>
      <c r="W49" s="122" t="s">
        <v>246</v>
      </c>
      <c r="X49" s="122" t="s">
        <v>4409</v>
      </c>
      <c r="Y49" s="141" t="s">
        <v>879</v>
      </c>
      <c r="Z49" s="122" t="s">
        <v>7083</v>
      </c>
      <c r="AA49" s="141" t="s">
        <v>2235</v>
      </c>
      <c r="AB49" s="122" t="s">
        <v>7084</v>
      </c>
      <c r="AD49" s="122" t="s">
        <v>250</v>
      </c>
      <c r="AE49" s="122" t="s">
        <v>235</v>
      </c>
      <c r="AF49" s="122" t="s">
        <v>7085</v>
      </c>
      <c r="AG49" s="122" t="s">
        <v>537</v>
      </c>
      <c r="AH49" s="122" t="s">
        <v>253</v>
      </c>
      <c r="AI49" s="122" t="s">
        <v>7086</v>
      </c>
      <c r="AJ49" s="122" t="s">
        <v>7087</v>
      </c>
      <c r="AK49" s="122" t="s">
        <v>253</v>
      </c>
      <c r="AL49" s="122" t="s">
        <v>253</v>
      </c>
      <c r="AM49" s="122" t="s">
        <v>253</v>
      </c>
      <c r="AN49" s="122" t="s">
        <v>253</v>
      </c>
      <c r="AO49" s="141" t="s">
        <v>247</v>
      </c>
      <c r="AP49" s="141" t="s">
        <v>253</v>
      </c>
      <c r="AQ49" s="141" t="s">
        <v>253</v>
      </c>
      <c r="AR49" s="141" t="s">
        <v>253</v>
      </c>
      <c r="AS49" s="141" t="s">
        <v>601</v>
      </c>
      <c r="AT49" s="141" t="s">
        <v>258</v>
      </c>
      <c r="AU49" s="141" t="s">
        <v>258</v>
      </c>
      <c r="AV49" s="122" t="s">
        <v>259</v>
      </c>
      <c r="AW49" s="122" t="s">
        <v>260</v>
      </c>
      <c r="AY49" s="141" t="s">
        <v>253</v>
      </c>
      <c r="AZ49" s="122" t="s">
        <v>7088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37</v>
      </c>
    </row>
    <row r="50" spans="1:65" x14ac:dyDescent="0.25">
      <c r="A50" s="122" t="s">
        <v>352</v>
      </c>
      <c r="B50" s="122" t="s">
        <v>7089</v>
      </c>
      <c r="C50" s="122" t="s">
        <v>7090</v>
      </c>
      <c r="D50" s="122" t="s">
        <v>7091</v>
      </c>
      <c r="E50" s="123">
        <v>42226</v>
      </c>
      <c r="F50" s="122" t="s">
        <v>328</v>
      </c>
      <c r="G50" s="122" t="s">
        <v>235</v>
      </c>
      <c r="H50" s="122" t="s">
        <v>7092</v>
      </c>
      <c r="I50" s="122" t="s">
        <v>7093</v>
      </c>
      <c r="K50" s="122" t="s">
        <v>238</v>
      </c>
      <c r="L50" s="122" t="s">
        <v>388</v>
      </c>
      <c r="M50" s="122" t="s">
        <v>389</v>
      </c>
      <c r="O50" s="141" t="s">
        <v>566</v>
      </c>
      <c r="P50" s="141" t="s">
        <v>7094</v>
      </c>
      <c r="Q50" s="122" t="s">
        <v>243</v>
      </c>
      <c r="R50" s="142">
        <v>38</v>
      </c>
      <c r="S50" s="122" t="s">
        <v>7095</v>
      </c>
      <c r="U50" s="122" t="s">
        <v>589</v>
      </c>
      <c r="W50" s="122" t="s">
        <v>246</v>
      </c>
      <c r="X50" s="122" t="s">
        <v>4409</v>
      </c>
      <c r="Y50" s="141" t="s">
        <v>1162</v>
      </c>
      <c r="Z50" s="122" t="s">
        <v>7096</v>
      </c>
      <c r="AA50" s="141" t="s">
        <v>356</v>
      </c>
      <c r="AB50" s="122" t="s">
        <v>7097</v>
      </c>
      <c r="AC50" s="141" t="s">
        <v>1015</v>
      </c>
      <c r="AD50" s="122" t="s">
        <v>249</v>
      </c>
      <c r="AE50" s="122" t="s">
        <v>235</v>
      </c>
      <c r="AF50" s="122" t="s">
        <v>7098</v>
      </c>
      <c r="AG50" s="122" t="s">
        <v>537</v>
      </c>
      <c r="AH50" s="122" t="s">
        <v>253</v>
      </c>
      <c r="AI50" s="122" t="s">
        <v>7099</v>
      </c>
      <c r="AJ50" s="122" t="s">
        <v>7100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253</v>
      </c>
      <c r="AS50" s="141" t="s">
        <v>601</v>
      </c>
      <c r="AT50" s="141" t="s">
        <v>601</v>
      </c>
      <c r="AU50" s="141" t="s">
        <v>258</v>
      </c>
      <c r="AV50" s="122" t="s">
        <v>259</v>
      </c>
      <c r="AW50" s="122" t="s">
        <v>260</v>
      </c>
      <c r="AY50" s="141" t="s">
        <v>253</v>
      </c>
      <c r="AZ50" s="122" t="s">
        <v>7101</v>
      </c>
      <c r="BA50" s="122" t="s">
        <v>262</v>
      </c>
      <c r="BB50" s="122" t="s">
        <v>262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38</v>
      </c>
    </row>
    <row r="51" spans="1:65" x14ac:dyDescent="0.25">
      <c r="A51" s="122" t="s">
        <v>352</v>
      </c>
      <c r="B51" s="122" t="s">
        <v>7102</v>
      </c>
      <c r="C51" s="122" t="s">
        <v>7103</v>
      </c>
      <c r="D51" s="122" t="s">
        <v>7104</v>
      </c>
      <c r="E51" s="123">
        <v>42226</v>
      </c>
      <c r="F51" s="122" t="s">
        <v>480</v>
      </c>
      <c r="G51" s="122" t="s">
        <v>235</v>
      </c>
      <c r="H51" s="122" t="s">
        <v>7105</v>
      </c>
      <c r="I51" s="122" t="s">
        <v>7106</v>
      </c>
      <c r="J51" s="122" t="s">
        <v>7107</v>
      </c>
      <c r="K51" s="122" t="s">
        <v>238</v>
      </c>
      <c r="L51" s="122" t="s">
        <v>320</v>
      </c>
      <c r="M51" s="122" t="s">
        <v>1003</v>
      </c>
      <c r="N51" s="122" t="s">
        <v>7108</v>
      </c>
      <c r="O51" s="141" t="s">
        <v>566</v>
      </c>
      <c r="P51" s="141" t="s">
        <v>7109</v>
      </c>
      <c r="Q51" s="122" t="s">
        <v>243</v>
      </c>
      <c r="R51" s="142">
        <v>39</v>
      </c>
      <c r="S51" s="122" t="s">
        <v>7110</v>
      </c>
      <c r="U51" s="122" t="s">
        <v>589</v>
      </c>
      <c r="W51" s="122" t="s">
        <v>246</v>
      </c>
      <c r="X51" s="122" t="s">
        <v>853</v>
      </c>
      <c r="Y51" s="141" t="s">
        <v>455</v>
      </c>
      <c r="Z51" s="122" t="s">
        <v>7111</v>
      </c>
      <c r="AA51" s="141" t="s">
        <v>1423</v>
      </c>
      <c r="AB51" s="122" t="s">
        <v>7112</v>
      </c>
      <c r="AC51" s="141" t="s">
        <v>1698</v>
      </c>
      <c r="AD51" s="122" t="s">
        <v>7113</v>
      </c>
      <c r="AE51" s="122" t="s">
        <v>235</v>
      </c>
      <c r="AF51" s="122" t="s">
        <v>7114</v>
      </c>
      <c r="AG51" s="122" t="s">
        <v>537</v>
      </c>
      <c r="AH51" s="122" t="s">
        <v>253</v>
      </c>
      <c r="AI51" s="122" t="s">
        <v>7115</v>
      </c>
      <c r="AJ51" s="122" t="s">
        <v>7116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247</v>
      </c>
      <c r="AP51" s="141" t="s">
        <v>247</v>
      </c>
      <c r="AQ51" s="141" t="s">
        <v>247</v>
      </c>
      <c r="AR51" s="141" t="s">
        <v>253</v>
      </c>
      <c r="AS51" s="141" t="s">
        <v>601</v>
      </c>
      <c r="AT51" s="141" t="s">
        <v>601</v>
      </c>
      <c r="AU51" s="141" t="s">
        <v>258</v>
      </c>
      <c r="AV51" s="122" t="s">
        <v>259</v>
      </c>
      <c r="AW51" s="122" t="s">
        <v>260</v>
      </c>
      <c r="AY51" s="141" t="s">
        <v>253</v>
      </c>
      <c r="AZ51" s="122" t="s">
        <v>7117</v>
      </c>
      <c r="BA51" s="122" t="s">
        <v>262</v>
      </c>
      <c r="BB51" s="122" t="s">
        <v>262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39</v>
      </c>
    </row>
    <row r="52" spans="1:65" x14ac:dyDescent="0.25">
      <c r="A52" s="122" t="s">
        <v>352</v>
      </c>
      <c r="B52" s="122" t="s">
        <v>7118</v>
      </c>
      <c r="C52" s="122" t="s">
        <v>7119</v>
      </c>
      <c r="D52" s="122" t="s">
        <v>7120</v>
      </c>
      <c r="E52" s="123">
        <v>42226</v>
      </c>
      <c r="F52" s="122" t="s">
        <v>6974</v>
      </c>
      <c r="G52" s="122" t="s">
        <v>235</v>
      </c>
      <c r="H52" s="122" t="s">
        <v>7121</v>
      </c>
      <c r="I52" s="122" t="s">
        <v>7122</v>
      </c>
      <c r="K52" s="122" t="s">
        <v>238</v>
      </c>
      <c r="L52" s="122" t="s">
        <v>388</v>
      </c>
      <c r="M52" s="122" t="s">
        <v>411</v>
      </c>
      <c r="O52" s="141" t="s">
        <v>548</v>
      </c>
      <c r="P52" s="141" t="s">
        <v>7123</v>
      </c>
      <c r="Q52" s="122" t="s">
        <v>243</v>
      </c>
      <c r="R52" s="142">
        <v>40</v>
      </c>
      <c r="S52" s="122" t="s">
        <v>7124</v>
      </c>
      <c r="T52" s="122" t="s">
        <v>7125</v>
      </c>
      <c r="U52" s="122" t="s">
        <v>589</v>
      </c>
      <c r="W52" s="122" t="s">
        <v>246</v>
      </c>
      <c r="X52" s="122" t="s">
        <v>325</v>
      </c>
      <c r="Y52" s="141" t="s">
        <v>378</v>
      </c>
      <c r="Z52" s="122" t="s">
        <v>4318</v>
      </c>
      <c r="AA52" s="141" t="s">
        <v>457</v>
      </c>
      <c r="AB52" s="122" t="s">
        <v>3740</v>
      </c>
      <c r="AC52" s="141" t="s">
        <v>234</v>
      </c>
      <c r="AD52" s="122" t="s">
        <v>7126</v>
      </c>
      <c r="AE52" s="122" t="s">
        <v>235</v>
      </c>
      <c r="AF52" s="122" t="s">
        <v>7127</v>
      </c>
      <c r="AG52" s="122" t="s">
        <v>7128</v>
      </c>
      <c r="AH52" s="122" t="s">
        <v>253</v>
      </c>
      <c r="AI52" s="122" t="s">
        <v>7129</v>
      </c>
      <c r="AJ52" s="122" t="s">
        <v>7130</v>
      </c>
      <c r="AK52" s="122" t="s">
        <v>253</v>
      </c>
      <c r="AL52" s="122" t="s">
        <v>253</v>
      </c>
      <c r="AM52" s="122" t="s">
        <v>253</v>
      </c>
      <c r="AN52" s="122" t="s">
        <v>253</v>
      </c>
      <c r="AO52" s="141" t="s">
        <v>247</v>
      </c>
      <c r="AP52" s="141" t="s">
        <v>247</v>
      </c>
      <c r="AQ52" s="141" t="s">
        <v>247</v>
      </c>
      <c r="AR52" s="141" t="s">
        <v>247</v>
      </c>
      <c r="AS52" s="141" t="s">
        <v>601</v>
      </c>
      <c r="AT52" s="141" t="s">
        <v>601</v>
      </c>
      <c r="AU52" s="141" t="s">
        <v>601</v>
      </c>
      <c r="AV52" s="122" t="s">
        <v>259</v>
      </c>
      <c r="AW52" s="122" t="s">
        <v>260</v>
      </c>
      <c r="AY52" s="141" t="s">
        <v>253</v>
      </c>
      <c r="AZ52" s="122" t="s">
        <v>7131</v>
      </c>
      <c r="BA52" s="122" t="s">
        <v>262</v>
      </c>
      <c r="BB52" s="122" t="s">
        <v>262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40</v>
      </c>
    </row>
    <row r="53" spans="1:65" x14ac:dyDescent="0.25">
      <c r="A53" s="122" t="s">
        <v>352</v>
      </c>
      <c r="B53" s="122" t="s">
        <v>7132</v>
      </c>
      <c r="C53" s="122" t="s">
        <v>7133</v>
      </c>
      <c r="D53" s="122" t="s">
        <v>7134</v>
      </c>
      <c r="E53" s="123">
        <v>42226</v>
      </c>
      <c r="F53" s="122" t="s">
        <v>1916</v>
      </c>
      <c r="G53" s="122" t="s">
        <v>235</v>
      </c>
      <c r="H53" s="122" t="s">
        <v>7135</v>
      </c>
      <c r="I53" s="122" t="s">
        <v>7136</v>
      </c>
      <c r="K53" s="122" t="s">
        <v>238</v>
      </c>
      <c r="L53" s="122" t="s">
        <v>239</v>
      </c>
      <c r="M53" s="122" t="s">
        <v>814</v>
      </c>
      <c r="O53" s="141" t="s">
        <v>3777</v>
      </c>
      <c r="P53" s="141" t="s">
        <v>7137</v>
      </c>
      <c r="Q53" s="122" t="s">
        <v>243</v>
      </c>
      <c r="R53" s="142">
        <v>41</v>
      </c>
      <c r="S53" s="122" t="s">
        <v>7138</v>
      </c>
      <c r="U53" s="122" t="s">
        <v>589</v>
      </c>
      <c r="W53" s="122" t="s">
        <v>246</v>
      </c>
      <c r="X53" s="122" t="s">
        <v>853</v>
      </c>
      <c r="Y53" s="141" t="s">
        <v>593</v>
      </c>
      <c r="Z53" s="122" t="s">
        <v>7139</v>
      </c>
      <c r="AA53" s="141" t="s">
        <v>1423</v>
      </c>
      <c r="AB53" s="122" t="s">
        <v>7140</v>
      </c>
      <c r="AC53" s="141" t="s">
        <v>1179</v>
      </c>
      <c r="AD53" s="122" t="s">
        <v>7141</v>
      </c>
      <c r="AE53" s="122" t="s">
        <v>235</v>
      </c>
      <c r="AF53" s="122" t="s">
        <v>7142</v>
      </c>
      <c r="AG53" s="122" t="s">
        <v>537</v>
      </c>
      <c r="AH53" s="122" t="s">
        <v>253</v>
      </c>
      <c r="AI53" s="122" t="s">
        <v>7143</v>
      </c>
      <c r="AJ53" s="122" t="s">
        <v>3768</v>
      </c>
      <c r="AK53" s="122" t="s">
        <v>253</v>
      </c>
      <c r="AL53" s="122" t="s">
        <v>253</v>
      </c>
      <c r="AM53" s="122" t="s">
        <v>253</v>
      </c>
      <c r="AN53" s="122" t="s">
        <v>253</v>
      </c>
      <c r="AO53" s="141" t="s">
        <v>247</v>
      </c>
      <c r="AP53" s="141" t="s">
        <v>247</v>
      </c>
      <c r="AQ53" s="141" t="s">
        <v>247</v>
      </c>
      <c r="AR53" s="141" t="s">
        <v>253</v>
      </c>
      <c r="AS53" s="141" t="s">
        <v>601</v>
      </c>
      <c r="AT53" s="141" t="s">
        <v>601</v>
      </c>
      <c r="AU53" s="141" t="s">
        <v>258</v>
      </c>
      <c r="AV53" s="122" t="s">
        <v>259</v>
      </c>
      <c r="AW53" s="122" t="s">
        <v>260</v>
      </c>
      <c r="AY53" s="141" t="s">
        <v>253</v>
      </c>
      <c r="AZ53" s="122" t="s">
        <v>7144</v>
      </c>
      <c r="BA53" s="122" t="s">
        <v>262</v>
      </c>
      <c r="BB53" s="122" t="s">
        <v>262</v>
      </c>
      <c r="BC53" s="141" t="s">
        <v>312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41</v>
      </c>
      <c r="BJ53" s="123">
        <v>42229</v>
      </c>
      <c r="BK53" s="139" t="s">
        <v>264</v>
      </c>
      <c r="BL53" s="140">
        <v>117.36</v>
      </c>
      <c r="BM53" s="122">
        <v>33</v>
      </c>
    </row>
    <row r="54" spans="1:65" x14ac:dyDescent="0.25">
      <c r="A54" s="122" t="s">
        <v>352</v>
      </c>
      <c r="B54" s="122" t="s">
        <v>7145</v>
      </c>
      <c r="C54" s="122" t="s">
        <v>7146</v>
      </c>
      <c r="D54" s="122" t="s">
        <v>7147</v>
      </c>
      <c r="E54" s="123">
        <v>42226</v>
      </c>
      <c r="F54" s="122" t="s">
        <v>7148</v>
      </c>
      <c r="G54" s="122" t="s">
        <v>235</v>
      </c>
      <c r="H54" s="122" t="s">
        <v>448</v>
      </c>
      <c r="I54" s="122" t="s">
        <v>913</v>
      </c>
      <c r="J54" s="122" t="s">
        <v>7149</v>
      </c>
      <c r="K54" s="122" t="s">
        <v>238</v>
      </c>
      <c r="L54" s="122" t="s">
        <v>320</v>
      </c>
      <c r="M54" s="122" t="s">
        <v>915</v>
      </c>
      <c r="Q54" s="122" t="s">
        <v>243</v>
      </c>
      <c r="R54" s="142">
        <v>42</v>
      </c>
      <c r="S54" s="122" t="s">
        <v>7150</v>
      </c>
      <c r="U54" s="122" t="s">
        <v>589</v>
      </c>
      <c r="W54" s="122" t="s">
        <v>246</v>
      </c>
      <c r="X54" s="122" t="s">
        <v>3147</v>
      </c>
      <c r="Y54" s="141" t="s">
        <v>511</v>
      </c>
      <c r="Z54" s="122" t="s">
        <v>7151</v>
      </c>
      <c r="AA54" s="141" t="s">
        <v>1423</v>
      </c>
      <c r="AB54" s="122" t="s">
        <v>7152</v>
      </c>
      <c r="AC54" s="141" t="s">
        <v>5981</v>
      </c>
      <c r="AD54" s="122" t="s">
        <v>7153</v>
      </c>
      <c r="AE54" s="122" t="s">
        <v>235</v>
      </c>
      <c r="AF54" s="122" t="s">
        <v>2280</v>
      </c>
      <c r="AG54" s="122" t="s">
        <v>537</v>
      </c>
      <c r="AH54" s="122" t="s">
        <v>253</v>
      </c>
      <c r="AI54" s="122" t="s">
        <v>619</v>
      </c>
      <c r="AJ54" s="122" t="s">
        <v>7154</v>
      </c>
      <c r="AK54" s="122" t="s">
        <v>253</v>
      </c>
      <c r="AL54" s="122" t="s">
        <v>253</v>
      </c>
      <c r="AM54" s="122" t="s">
        <v>253</v>
      </c>
      <c r="AN54" s="122" t="s">
        <v>253</v>
      </c>
      <c r="AO54" s="141" t="s">
        <v>247</v>
      </c>
      <c r="AP54" s="141" t="s">
        <v>253</v>
      </c>
      <c r="AQ54" s="141" t="s">
        <v>253</v>
      </c>
      <c r="AR54" s="141" t="s">
        <v>253</v>
      </c>
      <c r="AS54" s="141" t="s">
        <v>601</v>
      </c>
      <c r="AT54" s="141" t="s">
        <v>258</v>
      </c>
      <c r="AU54" s="141" t="s">
        <v>258</v>
      </c>
      <c r="AV54" s="122" t="s">
        <v>259</v>
      </c>
      <c r="AW54" s="122" t="s">
        <v>260</v>
      </c>
      <c r="AY54" s="141" t="s">
        <v>253</v>
      </c>
      <c r="AZ54" s="122" t="s">
        <v>262</v>
      </c>
      <c r="BA54" s="122" t="s">
        <v>262</v>
      </c>
      <c r="BB54" s="122" t="s">
        <v>7155</v>
      </c>
      <c r="BD54" s="122" t="s">
        <v>253</v>
      </c>
      <c r="BE54" s="122" t="s">
        <v>263</v>
      </c>
      <c r="BF54" s="122" t="s">
        <v>605</v>
      </c>
      <c r="BH54" s="122" t="s">
        <v>589</v>
      </c>
      <c r="BI54" s="142">
        <v>42</v>
      </c>
      <c r="BJ54" s="123">
        <v>42239</v>
      </c>
      <c r="BK54" s="139" t="s">
        <v>606</v>
      </c>
      <c r="BM54" s="122">
        <v>34</v>
      </c>
    </row>
    <row r="55" spans="1:65" x14ac:dyDescent="0.25">
      <c r="A55" s="122" t="s">
        <v>352</v>
      </c>
      <c r="B55" s="122" t="s">
        <v>7156</v>
      </c>
      <c r="C55" s="122" t="s">
        <v>7157</v>
      </c>
      <c r="D55" s="122" t="s">
        <v>6530</v>
      </c>
      <c r="E55" s="123">
        <v>42226</v>
      </c>
      <c r="F55" s="122" t="s">
        <v>7158</v>
      </c>
      <c r="G55" s="122" t="s">
        <v>235</v>
      </c>
      <c r="H55" s="122" t="s">
        <v>7159</v>
      </c>
      <c r="I55" s="122" t="s">
        <v>7160</v>
      </c>
      <c r="J55" s="122" t="s">
        <v>370</v>
      </c>
      <c r="K55" s="122" t="s">
        <v>238</v>
      </c>
      <c r="L55" s="122" t="s">
        <v>388</v>
      </c>
      <c r="M55" s="122" t="s">
        <v>7161</v>
      </c>
      <c r="O55" s="141" t="s">
        <v>373</v>
      </c>
      <c r="P55" s="141" t="s">
        <v>7162</v>
      </c>
      <c r="Q55" s="122" t="s">
        <v>243</v>
      </c>
      <c r="R55" s="142">
        <v>43</v>
      </c>
      <c r="S55" s="122" t="s">
        <v>7163</v>
      </c>
      <c r="U55" s="122" t="s">
        <v>589</v>
      </c>
      <c r="W55" s="122" t="s">
        <v>246</v>
      </c>
      <c r="X55" s="122" t="s">
        <v>4409</v>
      </c>
      <c r="Y55" s="141" t="s">
        <v>593</v>
      </c>
      <c r="Z55" s="122" t="s">
        <v>7164</v>
      </c>
      <c r="AA55" s="141" t="s">
        <v>593</v>
      </c>
      <c r="AB55" s="122" t="s">
        <v>6286</v>
      </c>
      <c r="AC55" s="141" t="s">
        <v>457</v>
      </c>
      <c r="AD55" s="122" t="s">
        <v>7165</v>
      </c>
      <c r="AE55" s="122" t="s">
        <v>235</v>
      </c>
      <c r="AF55" s="122" t="s">
        <v>7166</v>
      </c>
      <c r="AG55" s="122" t="s">
        <v>537</v>
      </c>
      <c r="AH55" s="122" t="s">
        <v>253</v>
      </c>
      <c r="AI55" s="122" t="s">
        <v>7167</v>
      </c>
      <c r="AJ55" s="122" t="s">
        <v>7167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253</v>
      </c>
      <c r="AP55" s="141" t="s">
        <v>253</v>
      </c>
      <c r="AQ55" s="141" t="s">
        <v>247</v>
      </c>
      <c r="AR55" s="141" t="s">
        <v>253</v>
      </c>
      <c r="AS55" s="141" t="s">
        <v>361</v>
      </c>
      <c r="AT55" s="141" t="s">
        <v>601</v>
      </c>
      <c r="AU55" s="141" t="s">
        <v>258</v>
      </c>
      <c r="AV55" s="122" t="s">
        <v>259</v>
      </c>
      <c r="AW55" s="122" t="s">
        <v>260</v>
      </c>
      <c r="AY55" s="141" t="s">
        <v>253</v>
      </c>
      <c r="AZ55" s="122" t="s">
        <v>7168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605</v>
      </c>
      <c r="BH55" s="122" t="s">
        <v>589</v>
      </c>
      <c r="BI55" s="142">
        <v>43</v>
      </c>
    </row>
    <row r="56" spans="1:65" x14ac:dyDescent="0.25">
      <c r="A56" s="122" t="s">
        <v>352</v>
      </c>
      <c r="B56" s="122" t="s">
        <v>7169</v>
      </c>
      <c r="C56" s="122" t="s">
        <v>7170</v>
      </c>
      <c r="D56" s="122" t="s">
        <v>7171</v>
      </c>
      <c r="E56" s="123">
        <v>42226</v>
      </c>
      <c r="F56" s="122" t="s">
        <v>2720</v>
      </c>
      <c r="G56" s="122" t="s">
        <v>235</v>
      </c>
      <c r="H56" s="122" t="s">
        <v>7172</v>
      </c>
      <c r="I56" s="122" t="s">
        <v>7173</v>
      </c>
      <c r="J56" s="122" t="s">
        <v>7174</v>
      </c>
      <c r="K56" s="122" t="s">
        <v>238</v>
      </c>
      <c r="L56" s="122" t="s">
        <v>388</v>
      </c>
      <c r="M56" s="122" t="s">
        <v>988</v>
      </c>
      <c r="O56" s="141" t="s">
        <v>373</v>
      </c>
      <c r="P56" s="141" t="s">
        <v>7175</v>
      </c>
      <c r="Q56" s="122" t="s">
        <v>243</v>
      </c>
      <c r="R56" s="142">
        <v>44</v>
      </c>
      <c r="S56" s="122" t="s">
        <v>7176</v>
      </c>
      <c r="U56" s="122" t="s">
        <v>589</v>
      </c>
      <c r="W56" s="122" t="s">
        <v>246</v>
      </c>
      <c r="X56" s="122" t="s">
        <v>590</v>
      </c>
      <c r="Y56" s="141" t="s">
        <v>2899</v>
      </c>
      <c r="Z56" s="122" t="s">
        <v>7177</v>
      </c>
      <c r="AA56" s="141" t="s">
        <v>670</v>
      </c>
      <c r="AB56" s="122" t="s">
        <v>7178</v>
      </c>
      <c r="AD56" s="122" t="s">
        <v>250</v>
      </c>
      <c r="AE56" s="122" t="s">
        <v>235</v>
      </c>
      <c r="AF56" s="122" t="s">
        <v>7179</v>
      </c>
      <c r="AG56" s="122" t="s">
        <v>252</v>
      </c>
      <c r="AH56" s="122" t="s">
        <v>253</v>
      </c>
      <c r="AI56" s="122" t="s">
        <v>7180</v>
      </c>
      <c r="AJ56" s="122" t="s">
        <v>7181</v>
      </c>
      <c r="AK56" s="122" t="s">
        <v>253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253</v>
      </c>
      <c r="AQ56" s="141" t="s">
        <v>247</v>
      </c>
      <c r="AR56" s="141" t="s">
        <v>253</v>
      </c>
      <c r="AS56" s="141" t="s">
        <v>257</v>
      </c>
      <c r="AT56" s="141" t="s">
        <v>257</v>
      </c>
      <c r="AU56" s="141" t="s">
        <v>258</v>
      </c>
      <c r="AV56" s="122" t="s">
        <v>259</v>
      </c>
      <c r="AW56" s="122" t="s">
        <v>260</v>
      </c>
      <c r="AY56" s="141" t="s">
        <v>253</v>
      </c>
      <c r="AZ56" s="122" t="s">
        <v>7182</v>
      </c>
      <c r="BA56" s="122" t="s">
        <v>262</v>
      </c>
      <c r="BB56" s="122" t="s">
        <v>7182</v>
      </c>
      <c r="BD56" s="122" t="s">
        <v>253</v>
      </c>
      <c r="BE56" s="122" t="s">
        <v>263</v>
      </c>
      <c r="BF56" s="122" t="s">
        <v>605</v>
      </c>
      <c r="BH56" s="122" t="s">
        <v>589</v>
      </c>
      <c r="BI56" s="142">
        <v>44</v>
      </c>
      <c r="BJ56" s="123">
        <v>42227</v>
      </c>
      <c r="BK56" s="139" t="s">
        <v>264</v>
      </c>
      <c r="BL56" s="140">
        <v>50.31</v>
      </c>
      <c r="BM56" s="122">
        <v>33</v>
      </c>
    </row>
    <row r="57" spans="1:65" x14ac:dyDescent="0.25">
      <c r="A57" s="122" t="s">
        <v>352</v>
      </c>
      <c r="B57" s="122" t="s">
        <v>7183</v>
      </c>
      <c r="C57" s="122" t="s">
        <v>7184</v>
      </c>
      <c r="D57" s="122" t="s">
        <v>7185</v>
      </c>
      <c r="E57" s="123">
        <v>42226</v>
      </c>
      <c r="F57" s="122" t="s">
        <v>7186</v>
      </c>
      <c r="G57" s="122" t="s">
        <v>235</v>
      </c>
      <c r="H57" s="122" t="s">
        <v>7187</v>
      </c>
      <c r="I57" s="122" t="s">
        <v>7188</v>
      </c>
      <c r="K57" s="122" t="s">
        <v>238</v>
      </c>
      <c r="L57" s="122" t="s">
        <v>320</v>
      </c>
      <c r="M57" s="122" t="s">
        <v>648</v>
      </c>
      <c r="O57" s="141" t="s">
        <v>613</v>
      </c>
      <c r="P57" s="141" t="s">
        <v>7189</v>
      </c>
      <c r="Q57" s="122" t="s">
        <v>243</v>
      </c>
      <c r="R57" s="142">
        <v>45</v>
      </c>
      <c r="S57" s="122" t="s">
        <v>7190</v>
      </c>
      <c r="U57" s="122" t="s">
        <v>589</v>
      </c>
      <c r="W57" s="122" t="s">
        <v>246</v>
      </c>
      <c r="X57" s="122" t="s">
        <v>4409</v>
      </c>
      <c r="Y57" s="141" t="s">
        <v>248</v>
      </c>
      <c r="Z57" s="122" t="s">
        <v>723</v>
      </c>
      <c r="AA57" s="141" t="s">
        <v>744</v>
      </c>
      <c r="AB57" s="122" t="s">
        <v>723</v>
      </c>
      <c r="AC57" s="141" t="s">
        <v>2720</v>
      </c>
      <c r="AD57" s="122" t="s">
        <v>7191</v>
      </c>
      <c r="AE57" s="122" t="s">
        <v>235</v>
      </c>
      <c r="AF57" s="122" t="s">
        <v>7192</v>
      </c>
      <c r="AG57" s="122" t="s">
        <v>537</v>
      </c>
      <c r="AH57" s="122" t="s">
        <v>253</v>
      </c>
      <c r="AI57" s="122" t="s">
        <v>619</v>
      </c>
      <c r="AJ57" s="122" t="s">
        <v>1984</v>
      </c>
      <c r="AK57" s="122" t="s">
        <v>253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253</v>
      </c>
      <c r="AQ57" s="141" t="s">
        <v>253</v>
      </c>
      <c r="AR57" s="141" t="s">
        <v>253</v>
      </c>
      <c r="AS57" s="141" t="s">
        <v>601</v>
      </c>
      <c r="AT57" s="141" t="s">
        <v>258</v>
      </c>
      <c r="AU57" s="141" t="s">
        <v>258</v>
      </c>
      <c r="AV57" s="122" t="s">
        <v>259</v>
      </c>
      <c r="AW57" s="122" t="s">
        <v>260</v>
      </c>
      <c r="AX57" s="141" t="s">
        <v>7193</v>
      </c>
      <c r="AY57" s="141" t="s">
        <v>260</v>
      </c>
      <c r="AZ57" s="122" t="s">
        <v>7194</v>
      </c>
      <c r="BA57" s="122" t="s">
        <v>262</v>
      </c>
      <c r="BB57" s="122" t="s">
        <v>7194</v>
      </c>
      <c r="BC57" s="141" t="s">
        <v>312</v>
      </c>
      <c r="BD57" s="122" t="s">
        <v>253</v>
      </c>
      <c r="BE57" s="122" t="s">
        <v>263</v>
      </c>
      <c r="BF57" s="122" t="s">
        <v>605</v>
      </c>
      <c r="BH57" s="122" t="s">
        <v>589</v>
      </c>
      <c r="BI57" s="142">
        <v>45</v>
      </c>
    </row>
    <row r="58" spans="1:65" x14ac:dyDescent="0.25">
      <c r="A58" s="122" t="s">
        <v>3037</v>
      </c>
      <c r="B58" s="122" t="s">
        <v>7195</v>
      </c>
      <c r="C58" s="122" t="s">
        <v>2312</v>
      </c>
      <c r="D58" s="122" t="s">
        <v>2313</v>
      </c>
      <c r="E58" s="123">
        <v>42226</v>
      </c>
      <c r="F58" s="122" t="s">
        <v>2259</v>
      </c>
      <c r="G58" s="122" t="s">
        <v>235</v>
      </c>
      <c r="H58" s="122" t="s">
        <v>2314</v>
      </c>
      <c r="I58" s="122" t="s">
        <v>2315</v>
      </c>
      <c r="K58" s="122" t="s">
        <v>238</v>
      </c>
      <c r="L58" s="122" t="s">
        <v>388</v>
      </c>
      <c r="M58" s="122" t="s">
        <v>1891</v>
      </c>
      <c r="O58" s="141" t="s">
        <v>390</v>
      </c>
      <c r="P58" s="141" t="s">
        <v>2316</v>
      </c>
      <c r="Q58" s="122" t="s">
        <v>243</v>
      </c>
      <c r="R58" s="142">
        <v>46</v>
      </c>
      <c r="S58" s="122" t="s">
        <v>2317</v>
      </c>
      <c r="U58" s="122" t="s">
        <v>589</v>
      </c>
      <c r="W58" s="122" t="s">
        <v>246</v>
      </c>
      <c r="X58" s="122" t="s">
        <v>442</v>
      </c>
      <c r="Y58" s="141" t="s">
        <v>833</v>
      </c>
      <c r="Z58" s="122" t="s">
        <v>2318</v>
      </c>
      <c r="AB58" s="122" t="s">
        <v>250</v>
      </c>
      <c r="AD58" s="122" t="s">
        <v>250</v>
      </c>
      <c r="AE58" s="122" t="s">
        <v>235</v>
      </c>
      <c r="AF58" s="122" t="s">
        <v>2319</v>
      </c>
      <c r="AG58" s="122" t="s">
        <v>253</v>
      </c>
      <c r="AH58" s="122" t="s">
        <v>253</v>
      </c>
      <c r="AI58" s="122" t="s">
        <v>2320</v>
      </c>
      <c r="AJ58" s="122" t="s">
        <v>2321</v>
      </c>
      <c r="AK58" s="122" t="s">
        <v>2322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253</v>
      </c>
      <c r="AQ58" s="141" t="s">
        <v>253</v>
      </c>
      <c r="AR58" s="141" t="s">
        <v>247</v>
      </c>
      <c r="AS58" s="141" t="s">
        <v>601</v>
      </c>
      <c r="AT58" s="141" t="s">
        <v>258</v>
      </c>
      <c r="AU58" s="141" t="s">
        <v>601</v>
      </c>
      <c r="AV58" s="122" t="s">
        <v>259</v>
      </c>
      <c r="AW58" s="122" t="s">
        <v>556</v>
      </c>
      <c r="AY58" s="141" t="s">
        <v>253</v>
      </c>
      <c r="AZ58" s="122" t="s">
        <v>2323</v>
      </c>
      <c r="BA58" s="122" t="s">
        <v>262</v>
      </c>
      <c r="BB58" s="122" t="s">
        <v>262</v>
      </c>
      <c r="BD58" s="122" t="s">
        <v>253</v>
      </c>
      <c r="BE58" s="122" t="s">
        <v>263</v>
      </c>
      <c r="BF58" s="122" t="s">
        <v>605</v>
      </c>
      <c r="BH58" s="122" t="s">
        <v>589</v>
      </c>
      <c r="BI58" s="142">
        <v>46</v>
      </c>
      <c r="BK58" s="139" t="s">
        <v>558</v>
      </c>
    </row>
    <row r="59" spans="1:65" x14ac:dyDescent="0.25">
      <c r="A59" s="122" t="s">
        <v>3037</v>
      </c>
      <c r="B59" s="122" t="s">
        <v>7196</v>
      </c>
      <c r="C59" s="122" t="s">
        <v>7197</v>
      </c>
      <c r="D59" s="122" t="s">
        <v>7198</v>
      </c>
      <c r="E59" s="123">
        <v>42226</v>
      </c>
      <c r="F59" s="122" t="s">
        <v>819</v>
      </c>
      <c r="G59" s="122" t="s">
        <v>235</v>
      </c>
      <c r="H59" s="122" t="s">
        <v>448</v>
      </c>
      <c r="I59" s="122" t="s">
        <v>7199</v>
      </c>
      <c r="K59" s="122" t="s">
        <v>238</v>
      </c>
      <c r="L59" s="122" t="s">
        <v>239</v>
      </c>
      <c r="M59" s="122" t="s">
        <v>6450</v>
      </c>
      <c r="O59" s="141" t="s">
        <v>566</v>
      </c>
      <c r="P59" s="141" t="s">
        <v>7200</v>
      </c>
      <c r="Q59" s="122" t="s">
        <v>243</v>
      </c>
      <c r="R59" s="142">
        <v>47</v>
      </c>
      <c r="S59" s="122" t="s">
        <v>7201</v>
      </c>
      <c r="U59" s="122" t="s">
        <v>589</v>
      </c>
      <c r="W59" s="122" t="s">
        <v>246</v>
      </c>
      <c r="X59" s="122" t="s">
        <v>631</v>
      </c>
      <c r="Z59" s="122" t="s">
        <v>250</v>
      </c>
      <c r="AB59" s="122" t="s">
        <v>250</v>
      </c>
      <c r="AD59" s="122" t="s">
        <v>250</v>
      </c>
      <c r="AE59" s="122" t="s">
        <v>235</v>
      </c>
      <c r="AF59" s="122" t="s">
        <v>7202</v>
      </c>
      <c r="AG59" s="122" t="s">
        <v>253</v>
      </c>
      <c r="AH59" s="122" t="s">
        <v>253</v>
      </c>
      <c r="AI59" s="122" t="s">
        <v>7203</v>
      </c>
      <c r="AJ59" s="122" t="s">
        <v>7204</v>
      </c>
      <c r="AK59" s="122" t="s">
        <v>7205</v>
      </c>
      <c r="AL59" s="122" t="s">
        <v>253</v>
      </c>
      <c r="AM59" s="122" t="s">
        <v>253</v>
      </c>
      <c r="AN59" s="122" t="s">
        <v>253</v>
      </c>
      <c r="AO59" s="141" t="s">
        <v>253</v>
      </c>
      <c r="AP59" s="141" t="s">
        <v>253</v>
      </c>
      <c r="AQ59" s="141" t="s">
        <v>253</v>
      </c>
      <c r="AR59" s="141" t="s">
        <v>247</v>
      </c>
      <c r="AS59" s="141" t="s">
        <v>361</v>
      </c>
      <c r="AT59" s="141" t="s">
        <v>258</v>
      </c>
      <c r="AU59" s="141" t="s">
        <v>601</v>
      </c>
      <c r="AV59" s="122" t="s">
        <v>259</v>
      </c>
      <c r="AW59" s="122" t="s">
        <v>556</v>
      </c>
      <c r="AY59" s="141" t="s">
        <v>253</v>
      </c>
      <c r="AZ59" s="122" t="s">
        <v>262</v>
      </c>
      <c r="BA59" s="122" t="s">
        <v>262</v>
      </c>
      <c r="BB59" s="122" t="s">
        <v>7206</v>
      </c>
      <c r="BD59" s="122" t="s">
        <v>253</v>
      </c>
      <c r="BE59" s="122" t="s">
        <v>263</v>
      </c>
      <c r="BF59" s="122" t="s">
        <v>605</v>
      </c>
      <c r="BH59" s="122" t="s">
        <v>589</v>
      </c>
      <c r="BI59" s="142">
        <v>47</v>
      </c>
      <c r="BJ59" s="123">
        <v>42239</v>
      </c>
      <c r="BK59" s="139" t="s">
        <v>606</v>
      </c>
      <c r="BM59" s="122">
        <v>34</v>
      </c>
    </row>
    <row r="60" spans="1:65" x14ac:dyDescent="0.25">
      <c r="A60" s="122" t="s">
        <v>1161</v>
      </c>
      <c r="B60" s="122" t="s">
        <v>7207</v>
      </c>
      <c r="C60" s="122" t="s">
        <v>1114</v>
      </c>
      <c r="D60" s="122" t="s">
        <v>1115</v>
      </c>
      <c r="E60" s="123">
        <v>42226</v>
      </c>
      <c r="F60" s="122" t="s">
        <v>1116</v>
      </c>
      <c r="G60" s="122" t="s">
        <v>235</v>
      </c>
      <c r="H60" s="122" t="s">
        <v>1117</v>
      </c>
      <c r="I60" s="122" t="s">
        <v>913</v>
      </c>
      <c r="J60" s="122" t="s">
        <v>1118</v>
      </c>
      <c r="K60" s="122" t="s">
        <v>238</v>
      </c>
      <c r="L60" s="122" t="s">
        <v>320</v>
      </c>
      <c r="M60" s="122" t="s">
        <v>915</v>
      </c>
      <c r="O60" s="141" t="s">
        <v>566</v>
      </c>
      <c r="P60" s="141" t="s">
        <v>1119</v>
      </c>
      <c r="Q60" s="122" t="s">
        <v>243</v>
      </c>
      <c r="R60" s="142">
        <v>48</v>
      </c>
      <c r="S60" s="122" t="s">
        <v>1120</v>
      </c>
      <c r="U60" s="122" t="s">
        <v>589</v>
      </c>
      <c r="W60" s="122" t="s">
        <v>246</v>
      </c>
      <c r="X60" s="122" t="s">
        <v>1121</v>
      </c>
      <c r="Y60" s="141" t="s">
        <v>1122</v>
      </c>
      <c r="Z60" s="122" t="s">
        <v>1123</v>
      </c>
      <c r="AA60" s="141" t="s">
        <v>534</v>
      </c>
      <c r="AB60" s="122" t="s">
        <v>1124</v>
      </c>
      <c r="AC60" s="141" t="s">
        <v>1125</v>
      </c>
      <c r="AD60" s="122" t="s">
        <v>355</v>
      </c>
      <c r="AE60" s="122" t="s">
        <v>235</v>
      </c>
      <c r="AF60" s="122" t="s">
        <v>1126</v>
      </c>
      <c r="AG60" s="122" t="s">
        <v>1127</v>
      </c>
      <c r="AH60" s="122" t="s">
        <v>253</v>
      </c>
      <c r="AI60" s="122" t="s">
        <v>1128</v>
      </c>
      <c r="AJ60" s="122" t="s">
        <v>253</v>
      </c>
      <c r="AK60" s="122" t="s">
        <v>1129</v>
      </c>
      <c r="AL60" s="122" t="s">
        <v>253</v>
      </c>
      <c r="AM60" s="122" t="s">
        <v>253</v>
      </c>
      <c r="AN60" s="122" t="s">
        <v>253</v>
      </c>
      <c r="AO60" s="141" t="s">
        <v>247</v>
      </c>
      <c r="AP60" s="141" t="s">
        <v>247</v>
      </c>
      <c r="AQ60" s="141" t="s">
        <v>247</v>
      </c>
      <c r="AR60" s="141" t="s">
        <v>247</v>
      </c>
      <c r="AS60" s="141" t="s">
        <v>601</v>
      </c>
      <c r="AT60" s="141" t="s">
        <v>601</v>
      </c>
      <c r="AU60" s="141" t="s">
        <v>601</v>
      </c>
      <c r="AV60" s="122" t="s">
        <v>259</v>
      </c>
      <c r="AW60" s="122" t="s">
        <v>556</v>
      </c>
      <c r="AX60" s="141" t="s">
        <v>1130</v>
      </c>
      <c r="AY60" s="141" t="s">
        <v>603</v>
      </c>
      <c r="AZ60" s="122" t="s">
        <v>1131</v>
      </c>
      <c r="BA60" s="122" t="s">
        <v>262</v>
      </c>
      <c r="BB60" s="122" t="s">
        <v>262</v>
      </c>
      <c r="BD60" s="122" t="s">
        <v>253</v>
      </c>
      <c r="BE60" s="122" t="s">
        <v>263</v>
      </c>
      <c r="BF60" s="122" t="s">
        <v>605</v>
      </c>
      <c r="BH60" s="122" t="s">
        <v>589</v>
      </c>
      <c r="BI60" s="142">
        <v>48</v>
      </c>
      <c r="BK60" s="139" t="s">
        <v>558</v>
      </c>
    </row>
    <row r="61" spans="1:65" x14ac:dyDescent="0.25">
      <c r="A61" s="122" t="s">
        <v>1161</v>
      </c>
      <c r="B61" s="122" t="s">
        <v>7208</v>
      </c>
      <c r="C61" s="122" t="s">
        <v>7209</v>
      </c>
      <c r="D61" s="122" t="s">
        <v>7210</v>
      </c>
      <c r="E61" s="123">
        <v>42226</v>
      </c>
      <c r="F61" s="122" t="s">
        <v>367</v>
      </c>
      <c r="G61" s="122" t="s">
        <v>235</v>
      </c>
      <c r="H61" s="122" t="s">
        <v>448</v>
      </c>
      <c r="I61" s="122" t="s">
        <v>7211</v>
      </c>
      <c r="K61" s="122" t="s">
        <v>238</v>
      </c>
      <c r="L61" s="122" t="s">
        <v>239</v>
      </c>
      <c r="M61" s="122" t="s">
        <v>240</v>
      </c>
      <c r="O61" s="141" t="s">
        <v>548</v>
      </c>
      <c r="P61" s="141" t="s">
        <v>7212</v>
      </c>
      <c r="Q61" s="122" t="s">
        <v>243</v>
      </c>
      <c r="R61" s="142">
        <v>49</v>
      </c>
      <c r="S61" s="122" t="s">
        <v>7213</v>
      </c>
      <c r="U61" s="122" t="s">
        <v>589</v>
      </c>
      <c r="W61" s="122" t="s">
        <v>246</v>
      </c>
      <c r="X61" s="122" t="s">
        <v>376</v>
      </c>
      <c r="Z61" s="122" t="s">
        <v>250</v>
      </c>
      <c r="AB61" s="122" t="s">
        <v>250</v>
      </c>
      <c r="AD61" s="122" t="s">
        <v>250</v>
      </c>
      <c r="AE61" s="122" t="s">
        <v>235</v>
      </c>
      <c r="AF61" s="122" t="s">
        <v>7214</v>
      </c>
      <c r="AG61" s="122" t="s">
        <v>253</v>
      </c>
      <c r="AH61" s="122" t="s">
        <v>253</v>
      </c>
      <c r="AI61" s="122" t="s">
        <v>7215</v>
      </c>
      <c r="AJ61" s="122" t="s">
        <v>7216</v>
      </c>
      <c r="AK61" s="122" t="s">
        <v>7217</v>
      </c>
      <c r="AL61" s="122" t="s">
        <v>253</v>
      </c>
      <c r="AM61" s="122" t="s">
        <v>253</v>
      </c>
      <c r="AN61" s="122" t="s">
        <v>253</v>
      </c>
      <c r="AO61" s="141" t="s">
        <v>253</v>
      </c>
      <c r="AP61" s="141" t="s">
        <v>253</v>
      </c>
      <c r="AQ61" s="141" t="s">
        <v>253</v>
      </c>
      <c r="AR61" s="141" t="s">
        <v>247</v>
      </c>
      <c r="AS61" s="141" t="s">
        <v>361</v>
      </c>
      <c r="AT61" s="141" t="s">
        <v>258</v>
      </c>
      <c r="AU61" s="141" t="s">
        <v>601</v>
      </c>
      <c r="AV61" s="122" t="s">
        <v>259</v>
      </c>
      <c r="AW61" s="122" t="s">
        <v>556</v>
      </c>
      <c r="AY61" s="141" t="s">
        <v>253</v>
      </c>
      <c r="AZ61" s="122" t="s">
        <v>262</v>
      </c>
      <c r="BA61" s="122" t="s">
        <v>262</v>
      </c>
      <c r="BB61" s="122" t="s">
        <v>7218</v>
      </c>
      <c r="BD61" s="122" t="s">
        <v>253</v>
      </c>
      <c r="BE61" s="122" t="s">
        <v>263</v>
      </c>
      <c r="BF61" s="122" t="s">
        <v>605</v>
      </c>
      <c r="BH61" s="122" t="s">
        <v>589</v>
      </c>
      <c r="BI61" s="142">
        <v>49</v>
      </c>
    </row>
    <row r="62" spans="1:65" x14ac:dyDescent="0.25">
      <c r="A62" s="122" t="s">
        <v>1161</v>
      </c>
      <c r="B62" s="122" t="s">
        <v>7219</v>
      </c>
      <c r="C62" s="122" t="s">
        <v>1218</v>
      </c>
      <c r="D62" s="122" t="s">
        <v>1219</v>
      </c>
      <c r="E62" s="123">
        <v>42226</v>
      </c>
      <c r="F62" s="122" t="s">
        <v>1220</v>
      </c>
      <c r="G62" s="122" t="s">
        <v>235</v>
      </c>
      <c r="H62" s="122" t="s">
        <v>1221</v>
      </c>
      <c r="I62" s="122" t="s">
        <v>1222</v>
      </c>
      <c r="K62" s="122" t="s">
        <v>238</v>
      </c>
      <c r="L62" s="122" t="s">
        <v>239</v>
      </c>
      <c r="M62" s="122" t="s">
        <v>935</v>
      </c>
      <c r="O62" s="141" t="s">
        <v>548</v>
      </c>
      <c r="P62" s="141" t="s">
        <v>1223</v>
      </c>
      <c r="Q62" s="122" t="s">
        <v>243</v>
      </c>
      <c r="R62" s="142">
        <v>50</v>
      </c>
      <c r="S62" s="122" t="s">
        <v>1224</v>
      </c>
      <c r="U62" s="122" t="s">
        <v>589</v>
      </c>
      <c r="W62" s="122" t="s">
        <v>246</v>
      </c>
      <c r="X62" s="122" t="s">
        <v>1225</v>
      </c>
      <c r="Y62" s="141" t="s">
        <v>888</v>
      </c>
      <c r="Z62" s="122" t="s">
        <v>1226</v>
      </c>
      <c r="AA62" s="141" t="s">
        <v>973</v>
      </c>
      <c r="AB62" s="122" t="s">
        <v>1227</v>
      </c>
      <c r="AC62" s="141" t="s">
        <v>722</v>
      </c>
      <c r="AD62" s="122" t="s">
        <v>669</v>
      </c>
      <c r="AE62" s="122" t="s">
        <v>235</v>
      </c>
      <c r="AF62" s="122" t="s">
        <v>7220</v>
      </c>
      <c r="AG62" s="122" t="s">
        <v>747</v>
      </c>
      <c r="AH62" s="122" t="s">
        <v>253</v>
      </c>
      <c r="AI62" s="122" t="s">
        <v>1229</v>
      </c>
      <c r="AJ62" s="122" t="s">
        <v>1230</v>
      </c>
      <c r="AK62" s="122" t="s">
        <v>1231</v>
      </c>
      <c r="AL62" s="122" t="s">
        <v>7221</v>
      </c>
      <c r="AM62" s="122" t="s">
        <v>253</v>
      </c>
      <c r="AN62" s="122" t="s">
        <v>253</v>
      </c>
      <c r="AO62" s="141" t="s">
        <v>247</v>
      </c>
      <c r="AP62" s="141" t="s">
        <v>247</v>
      </c>
      <c r="AQ62" s="141" t="s">
        <v>247</v>
      </c>
      <c r="AR62" s="141" t="s">
        <v>247</v>
      </c>
      <c r="AS62" s="141" t="s">
        <v>601</v>
      </c>
      <c r="AT62" s="141" t="s">
        <v>601</v>
      </c>
      <c r="AU62" s="141" t="s">
        <v>601</v>
      </c>
      <c r="AV62" s="122" t="s">
        <v>259</v>
      </c>
      <c r="AW62" s="122" t="s">
        <v>556</v>
      </c>
      <c r="AX62" s="141" t="s">
        <v>7222</v>
      </c>
      <c r="AY62" s="141" t="s">
        <v>442</v>
      </c>
      <c r="AZ62" s="122" t="s">
        <v>1233</v>
      </c>
      <c r="BA62" s="122" t="s">
        <v>262</v>
      </c>
      <c r="BB62" s="122" t="s">
        <v>262</v>
      </c>
      <c r="BD62" s="122" t="s">
        <v>253</v>
      </c>
      <c r="BE62" s="122" t="s">
        <v>263</v>
      </c>
      <c r="BF62" s="122" t="s">
        <v>605</v>
      </c>
      <c r="BH62" s="122" t="s">
        <v>589</v>
      </c>
      <c r="BI62" s="142">
        <v>50</v>
      </c>
      <c r="BK62" s="139" t="s">
        <v>558</v>
      </c>
    </row>
    <row r="63" spans="1:65" x14ac:dyDescent="0.25">
      <c r="A63" s="122" t="s">
        <v>1161</v>
      </c>
      <c r="B63" s="122" t="s">
        <v>7223</v>
      </c>
      <c r="C63" s="122" t="s">
        <v>1235</v>
      </c>
      <c r="D63" s="122" t="s">
        <v>1236</v>
      </c>
      <c r="E63" s="123">
        <v>42226</v>
      </c>
      <c r="F63" s="122" t="s">
        <v>511</v>
      </c>
      <c r="G63" s="122" t="s">
        <v>235</v>
      </c>
      <c r="H63" s="122" t="s">
        <v>1237</v>
      </c>
      <c r="I63" s="122" t="s">
        <v>1238</v>
      </c>
      <c r="J63" s="122" t="s">
        <v>1239</v>
      </c>
      <c r="K63" s="122" t="s">
        <v>238</v>
      </c>
      <c r="L63" s="122" t="s">
        <v>239</v>
      </c>
      <c r="M63" s="122" t="s">
        <v>935</v>
      </c>
      <c r="O63" s="141" t="s">
        <v>1240</v>
      </c>
      <c r="P63" s="141" t="s">
        <v>1241</v>
      </c>
      <c r="Q63" s="122" t="s">
        <v>243</v>
      </c>
      <c r="R63" s="142">
        <v>51</v>
      </c>
      <c r="S63" s="122" t="s">
        <v>1242</v>
      </c>
      <c r="U63" s="122" t="s">
        <v>589</v>
      </c>
      <c r="W63" s="122" t="s">
        <v>246</v>
      </c>
      <c r="X63" s="122" t="s">
        <v>376</v>
      </c>
      <c r="Z63" s="122" t="s">
        <v>250</v>
      </c>
      <c r="AB63" s="122" t="s">
        <v>250</v>
      </c>
      <c r="AD63" s="122" t="s">
        <v>250</v>
      </c>
      <c r="AE63" s="122" t="s">
        <v>235</v>
      </c>
      <c r="AF63" s="122" t="s">
        <v>7224</v>
      </c>
      <c r="AG63" s="122" t="s">
        <v>253</v>
      </c>
      <c r="AH63" s="122" t="s">
        <v>253</v>
      </c>
      <c r="AI63" s="122" t="s">
        <v>7225</v>
      </c>
      <c r="AJ63" s="122" t="s">
        <v>1244</v>
      </c>
      <c r="AK63" s="122" t="s">
        <v>1245</v>
      </c>
      <c r="AL63" s="122" t="s">
        <v>253</v>
      </c>
      <c r="AM63" s="122" t="s">
        <v>253</v>
      </c>
      <c r="AN63" s="122" t="s">
        <v>253</v>
      </c>
      <c r="AO63" s="141" t="s">
        <v>247</v>
      </c>
      <c r="AP63" s="141" t="s">
        <v>247</v>
      </c>
      <c r="AQ63" s="141" t="s">
        <v>247</v>
      </c>
      <c r="AR63" s="141" t="s">
        <v>247</v>
      </c>
      <c r="AS63" s="141" t="s">
        <v>601</v>
      </c>
      <c r="AT63" s="141" t="s">
        <v>601</v>
      </c>
      <c r="AU63" s="141" t="s">
        <v>601</v>
      </c>
      <c r="AV63" s="122" t="s">
        <v>259</v>
      </c>
      <c r="AW63" s="122" t="s">
        <v>556</v>
      </c>
      <c r="AY63" s="141" t="s">
        <v>253</v>
      </c>
      <c r="AZ63" s="122" t="s">
        <v>1246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605</v>
      </c>
      <c r="BH63" s="122" t="s">
        <v>589</v>
      </c>
      <c r="BI63" s="142">
        <v>51</v>
      </c>
      <c r="BK63" s="139" t="s">
        <v>558</v>
      </c>
    </row>
    <row r="64" spans="1:65" x14ac:dyDescent="0.25">
      <c r="A64" s="122" t="s">
        <v>1161</v>
      </c>
      <c r="B64" s="122" t="s">
        <v>7226</v>
      </c>
      <c r="C64" s="122" t="s">
        <v>1248</v>
      </c>
      <c r="D64" s="122" t="s">
        <v>1249</v>
      </c>
      <c r="E64" s="123">
        <v>42226</v>
      </c>
      <c r="F64" s="122" t="s">
        <v>1250</v>
      </c>
      <c r="G64" s="122" t="s">
        <v>235</v>
      </c>
      <c r="H64" s="122" t="s">
        <v>1251</v>
      </c>
      <c r="I64" s="122" t="s">
        <v>1252</v>
      </c>
      <c r="J64" s="122" t="s">
        <v>370</v>
      </c>
      <c r="K64" s="122" t="s">
        <v>238</v>
      </c>
      <c r="L64" s="122" t="s">
        <v>320</v>
      </c>
      <c r="M64" s="122" t="s">
        <v>1019</v>
      </c>
      <c r="O64" s="141" t="s">
        <v>1253</v>
      </c>
      <c r="P64" s="141" t="s">
        <v>1254</v>
      </c>
      <c r="Q64" s="122" t="s">
        <v>243</v>
      </c>
      <c r="R64" s="142">
        <v>52</v>
      </c>
      <c r="S64" s="122" t="s">
        <v>1255</v>
      </c>
      <c r="U64" s="122" t="s">
        <v>589</v>
      </c>
      <c r="W64" s="122" t="s">
        <v>246</v>
      </c>
      <c r="X64" s="122" t="s">
        <v>497</v>
      </c>
      <c r="Y64" s="141" t="s">
        <v>1256</v>
      </c>
      <c r="Z64" s="122" t="s">
        <v>1257</v>
      </c>
      <c r="AA64" s="141" t="s">
        <v>1258</v>
      </c>
      <c r="AB64" s="122" t="s">
        <v>1259</v>
      </c>
      <c r="AC64" s="141" t="s">
        <v>1260</v>
      </c>
      <c r="AD64" s="122" t="s">
        <v>1261</v>
      </c>
      <c r="AE64" s="122" t="s">
        <v>235</v>
      </c>
      <c r="AF64" s="122" t="s">
        <v>1262</v>
      </c>
      <c r="AG64" s="122" t="s">
        <v>537</v>
      </c>
      <c r="AH64" s="122" t="s">
        <v>253</v>
      </c>
      <c r="AI64" s="122" t="s">
        <v>1263</v>
      </c>
      <c r="AJ64" s="122" t="s">
        <v>1264</v>
      </c>
      <c r="AK64" s="122" t="s">
        <v>253</v>
      </c>
      <c r="AL64" s="122" t="s">
        <v>253</v>
      </c>
      <c r="AM64" s="122" t="s">
        <v>253</v>
      </c>
      <c r="AN64" s="122" t="s">
        <v>253</v>
      </c>
      <c r="AO64" s="141" t="s">
        <v>247</v>
      </c>
      <c r="AP64" s="141" t="s">
        <v>247</v>
      </c>
      <c r="AQ64" s="141" t="s">
        <v>247</v>
      </c>
      <c r="AR64" s="141" t="s">
        <v>247</v>
      </c>
      <c r="AS64" s="141" t="s">
        <v>601</v>
      </c>
      <c r="AT64" s="141" t="s">
        <v>601</v>
      </c>
      <c r="AU64" s="141" t="s">
        <v>601</v>
      </c>
      <c r="AV64" s="122" t="s">
        <v>259</v>
      </c>
      <c r="AW64" s="122" t="s">
        <v>556</v>
      </c>
      <c r="AY64" s="141" t="s">
        <v>253</v>
      </c>
      <c r="AZ64" s="122" t="s">
        <v>1265</v>
      </c>
      <c r="BA64" s="122" t="s">
        <v>262</v>
      </c>
      <c r="BB64" s="122" t="s">
        <v>262</v>
      </c>
      <c r="BC64" s="141" t="s">
        <v>312</v>
      </c>
      <c r="BD64" s="122" t="s">
        <v>253</v>
      </c>
      <c r="BE64" s="122" t="s">
        <v>263</v>
      </c>
      <c r="BF64" s="122" t="s">
        <v>605</v>
      </c>
      <c r="BH64" s="122" t="s">
        <v>589</v>
      </c>
      <c r="BI64" s="142">
        <v>52</v>
      </c>
      <c r="BK64" s="139" t="s">
        <v>558</v>
      </c>
    </row>
    <row r="65" spans="1:65" x14ac:dyDescent="0.25">
      <c r="A65" s="122" t="s">
        <v>6059</v>
      </c>
      <c r="B65" s="122" t="s">
        <v>7227</v>
      </c>
      <c r="C65" s="122" t="s">
        <v>6619</v>
      </c>
      <c r="D65" s="122" t="s">
        <v>6620</v>
      </c>
      <c r="E65" s="123">
        <v>42226</v>
      </c>
      <c r="F65" s="122" t="s">
        <v>6621</v>
      </c>
      <c r="G65" s="122" t="s">
        <v>235</v>
      </c>
      <c r="H65" s="122" t="s">
        <v>6622</v>
      </c>
      <c r="I65" s="122" t="s">
        <v>6623</v>
      </c>
      <c r="K65" s="122" t="s">
        <v>238</v>
      </c>
      <c r="L65" s="122" t="s">
        <v>239</v>
      </c>
      <c r="M65" s="122" t="s">
        <v>1157</v>
      </c>
      <c r="Q65" s="122" t="s">
        <v>243</v>
      </c>
      <c r="R65" s="142">
        <v>53</v>
      </c>
      <c r="S65" s="122" t="s">
        <v>6624</v>
      </c>
      <c r="U65" s="122" t="s">
        <v>589</v>
      </c>
      <c r="W65" s="122" t="s">
        <v>246</v>
      </c>
      <c r="X65" s="122" t="s">
        <v>433</v>
      </c>
      <c r="Y65" s="141" t="s">
        <v>3039</v>
      </c>
      <c r="Z65" s="122" t="s">
        <v>6625</v>
      </c>
      <c r="AA65" s="141" t="s">
        <v>511</v>
      </c>
      <c r="AB65" s="122" t="s">
        <v>6626</v>
      </c>
      <c r="AC65" s="141" t="s">
        <v>1143</v>
      </c>
      <c r="AD65" s="122" t="s">
        <v>6627</v>
      </c>
      <c r="AE65" s="122" t="s">
        <v>235</v>
      </c>
      <c r="AF65" s="122" t="s">
        <v>6628</v>
      </c>
      <c r="AG65" s="122" t="s">
        <v>537</v>
      </c>
      <c r="AH65" s="122" t="s">
        <v>253</v>
      </c>
      <c r="AI65" s="122" t="s">
        <v>6629</v>
      </c>
      <c r="AJ65" s="122" t="s">
        <v>6630</v>
      </c>
      <c r="AK65" s="122" t="s">
        <v>253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556</v>
      </c>
      <c r="AY65" s="141" t="s">
        <v>253</v>
      </c>
      <c r="AZ65" s="122" t="s">
        <v>6631</v>
      </c>
      <c r="BA65" s="122" t="s">
        <v>262</v>
      </c>
      <c r="BB65" s="122" t="s">
        <v>262</v>
      </c>
      <c r="BD65" s="122" t="s">
        <v>253</v>
      </c>
      <c r="BE65" s="122" t="s">
        <v>263</v>
      </c>
      <c r="BF65" s="122" t="s">
        <v>605</v>
      </c>
      <c r="BH65" s="122" t="s">
        <v>589</v>
      </c>
      <c r="BI65" s="142">
        <v>53</v>
      </c>
      <c r="BK65" s="139" t="s">
        <v>558</v>
      </c>
    </row>
    <row r="66" spans="1:65" x14ac:dyDescent="0.25">
      <c r="A66" s="122" t="s">
        <v>6059</v>
      </c>
      <c r="B66" s="122" t="s">
        <v>7228</v>
      </c>
      <c r="C66" s="122" t="s">
        <v>6575</v>
      </c>
      <c r="D66" s="122" t="s">
        <v>6576</v>
      </c>
      <c r="E66" s="123">
        <v>42226</v>
      </c>
      <c r="F66" s="122" t="s">
        <v>6577</v>
      </c>
      <c r="G66" s="122" t="s">
        <v>235</v>
      </c>
      <c r="H66" s="122" t="s">
        <v>6578</v>
      </c>
      <c r="I66" s="122" t="s">
        <v>663</v>
      </c>
      <c r="J66" s="122" t="s">
        <v>6579</v>
      </c>
      <c r="K66" s="122" t="s">
        <v>238</v>
      </c>
      <c r="L66" s="122" t="s">
        <v>239</v>
      </c>
      <c r="M66" s="122" t="s">
        <v>935</v>
      </c>
      <c r="O66" s="141" t="s">
        <v>916</v>
      </c>
      <c r="P66" s="141" t="s">
        <v>6580</v>
      </c>
      <c r="Q66" s="122" t="s">
        <v>243</v>
      </c>
      <c r="R66" s="142">
        <v>54</v>
      </c>
      <c r="S66" s="122" t="s">
        <v>6581</v>
      </c>
      <c r="U66" s="122" t="s">
        <v>589</v>
      </c>
      <c r="W66" s="122" t="s">
        <v>246</v>
      </c>
      <c r="X66" s="122" t="s">
        <v>260</v>
      </c>
      <c r="Y66" s="141" t="s">
        <v>593</v>
      </c>
      <c r="Z66" s="122" t="s">
        <v>6582</v>
      </c>
      <c r="AA66" s="141" t="s">
        <v>742</v>
      </c>
      <c r="AB66" s="122" t="s">
        <v>3023</v>
      </c>
      <c r="AC66" s="141" t="s">
        <v>2259</v>
      </c>
      <c r="AD66" s="122" t="s">
        <v>6583</v>
      </c>
      <c r="AE66" s="122" t="s">
        <v>235</v>
      </c>
      <c r="AF66" s="122" t="s">
        <v>6584</v>
      </c>
      <c r="AG66" s="122" t="s">
        <v>253</v>
      </c>
      <c r="AH66" s="122" t="s">
        <v>253</v>
      </c>
      <c r="AI66" s="122" t="s">
        <v>6585</v>
      </c>
      <c r="AJ66" s="122" t="s">
        <v>6586</v>
      </c>
      <c r="AK66" s="122" t="s">
        <v>6587</v>
      </c>
      <c r="AL66" s="122" t="s">
        <v>253</v>
      </c>
      <c r="AM66" s="122" t="s">
        <v>253</v>
      </c>
      <c r="AN66" s="122" t="s">
        <v>253</v>
      </c>
      <c r="AO66" s="141" t="s">
        <v>247</v>
      </c>
      <c r="AP66" s="141" t="s">
        <v>247</v>
      </c>
      <c r="AQ66" s="141" t="s">
        <v>247</v>
      </c>
      <c r="AR66" s="141" t="s">
        <v>247</v>
      </c>
      <c r="AS66" s="141" t="s">
        <v>601</v>
      </c>
      <c r="AT66" s="141" t="s">
        <v>601</v>
      </c>
      <c r="AU66" s="141" t="s">
        <v>601</v>
      </c>
      <c r="AV66" s="122" t="s">
        <v>259</v>
      </c>
      <c r="AW66" s="122" t="s">
        <v>556</v>
      </c>
      <c r="AX66" s="141" t="s">
        <v>2905</v>
      </c>
      <c r="AY66" s="141" t="s">
        <v>442</v>
      </c>
      <c r="AZ66" s="122" t="s">
        <v>6588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605</v>
      </c>
      <c r="BH66" s="122" t="s">
        <v>589</v>
      </c>
      <c r="BI66" s="142">
        <v>54</v>
      </c>
      <c r="BK66" s="139" t="s">
        <v>558</v>
      </c>
    </row>
    <row r="67" spans="1:65" x14ac:dyDescent="0.25">
      <c r="A67" s="122" t="s">
        <v>6735</v>
      </c>
      <c r="B67" s="122" t="s">
        <v>7229</v>
      </c>
      <c r="C67" s="122" t="s">
        <v>7230</v>
      </c>
      <c r="D67" s="122" t="s">
        <v>7231</v>
      </c>
      <c r="E67" s="123">
        <v>42226</v>
      </c>
      <c r="F67" s="122" t="s">
        <v>879</v>
      </c>
      <c r="G67" s="122" t="s">
        <v>235</v>
      </c>
      <c r="H67" s="122" t="s">
        <v>448</v>
      </c>
      <c r="I67" s="122" t="s">
        <v>7232</v>
      </c>
      <c r="K67" s="122" t="s">
        <v>238</v>
      </c>
      <c r="L67" s="122" t="s">
        <v>388</v>
      </c>
      <c r="M67" s="122" t="s">
        <v>1891</v>
      </c>
      <c r="O67" s="141" t="s">
        <v>566</v>
      </c>
      <c r="P67" s="141" t="s">
        <v>7233</v>
      </c>
      <c r="Q67" s="122" t="s">
        <v>243</v>
      </c>
      <c r="R67" s="142">
        <v>55</v>
      </c>
      <c r="S67" s="122" t="s">
        <v>7234</v>
      </c>
      <c r="U67" s="122" t="s">
        <v>589</v>
      </c>
      <c r="W67" s="122" t="s">
        <v>246</v>
      </c>
      <c r="X67" s="122" t="s">
        <v>590</v>
      </c>
      <c r="Y67" s="141" t="s">
        <v>1327</v>
      </c>
      <c r="Z67" s="122" t="s">
        <v>7235</v>
      </c>
      <c r="AB67" s="122" t="s">
        <v>250</v>
      </c>
      <c r="AD67" s="122" t="s">
        <v>250</v>
      </c>
      <c r="AE67" s="122" t="s">
        <v>235</v>
      </c>
      <c r="AF67" s="122" t="s">
        <v>7236</v>
      </c>
      <c r="AG67" s="122" t="s">
        <v>537</v>
      </c>
      <c r="AH67" s="122" t="s">
        <v>253</v>
      </c>
      <c r="AI67" s="122" t="s">
        <v>7237</v>
      </c>
      <c r="AJ67" s="122" t="s">
        <v>7238</v>
      </c>
      <c r="AK67" s="122" t="s">
        <v>7239</v>
      </c>
      <c r="AL67" s="122" t="s">
        <v>7240</v>
      </c>
      <c r="AM67" s="122" t="s">
        <v>253</v>
      </c>
      <c r="AN67" s="122" t="s">
        <v>253</v>
      </c>
      <c r="AO67" s="141" t="s">
        <v>253</v>
      </c>
      <c r="AP67" s="141" t="s">
        <v>253</v>
      </c>
      <c r="AQ67" s="141" t="s">
        <v>253</v>
      </c>
      <c r="AR67" s="141" t="s">
        <v>247</v>
      </c>
      <c r="AS67" s="141" t="s">
        <v>361</v>
      </c>
      <c r="AT67" s="141" t="s">
        <v>258</v>
      </c>
      <c r="AU67" s="141" t="s">
        <v>601</v>
      </c>
      <c r="AV67" s="122" t="s">
        <v>259</v>
      </c>
      <c r="AW67" s="122" t="s">
        <v>556</v>
      </c>
      <c r="AY67" s="141" t="s">
        <v>253</v>
      </c>
      <c r="AZ67" s="122" t="s">
        <v>262</v>
      </c>
      <c r="BA67" s="122" t="s">
        <v>262</v>
      </c>
      <c r="BB67" s="122" t="s">
        <v>262</v>
      </c>
      <c r="BD67" s="122" t="s">
        <v>253</v>
      </c>
      <c r="BE67" s="122" t="s">
        <v>263</v>
      </c>
      <c r="BF67" s="122" t="s">
        <v>605</v>
      </c>
      <c r="BH67" s="122" t="s">
        <v>589</v>
      </c>
      <c r="BI67" s="142">
        <v>55</v>
      </c>
    </row>
    <row r="68" spans="1:65" x14ac:dyDescent="0.25">
      <c r="A68" s="122" t="s">
        <v>6735</v>
      </c>
      <c r="B68" s="122" t="s">
        <v>7241</v>
      </c>
      <c r="C68" s="122" t="s">
        <v>6661</v>
      </c>
      <c r="D68" s="122" t="s">
        <v>6662</v>
      </c>
      <c r="E68" s="123">
        <v>42226</v>
      </c>
      <c r="F68" s="122" t="s">
        <v>819</v>
      </c>
      <c r="G68" s="122" t="s">
        <v>235</v>
      </c>
      <c r="H68" s="122" t="s">
        <v>448</v>
      </c>
      <c r="I68" s="122" t="s">
        <v>625</v>
      </c>
      <c r="J68" s="122" t="s">
        <v>6663</v>
      </c>
      <c r="K68" s="122" t="s">
        <v>238</v>
      </c>
      <c r="L68" s="122" t="s">
        <v>239</v>
      </c>
      <c r="M68" s="122" t="s">
        <v>627</v>
      </c>
      <c r="O68" s="141" t="s">
        <v>451</v>
      </c>
      <c r="P68" s="141" t="s">
        <v>6664</v>
      </c>
      <c r="Q68" s="122" t="s">
        <v>243</v>
      </c>
      <c r="R68" s="142">
        <v>56</v>
      </c>
      <c r="S68" s="122" t="s">
        <v>6665</v>
      </c>
      <c r="U68" s="122" t="s">
        <v>589</v>
      </c>
      <c r="W68" s="122" t="s">
        <v>246</v>
      </c>
      <c r="X68" s="122" t="s">
        <v>631</v>
      </c>
      <c r="Y68" s="141" t="s">
        <v>328</v>
      </c>
      <c r="Z68" s="122" t="s">
        <v>6666</v>
      </c>
      <c r="AB68" s="122" t="s">
        <v>250</v>
      </c>
      <c r="AD68" s="122" t="s">
        <v>250</v>
      </c>
      <c r="AE68" s="122" t="s">
        <v>235</v>
      </c>
      <c r="AF68" s="122" t="s">
        <v>6667</v>
      </c>
      <c r="AG68" s="122" t="s">
        <v>253</v>
      </c>
      <c r="AH68" s="122" t="s">
        <v>253</v>
      </c>
      <c r="AI68" s="122" t="s">
        <v>6668</v>
      </c>
      <c r="AJ68" s="122" t="s">
        <v>6669</v>
      </c>
      <c r="AK68" s="122" t="s">
        <v>6670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247</v>
      </c>
      <c r="AS68" s="141" t="s">
        <v>601</v>
      </c>
      <c r="AT68" s="141" t="s">
        <v>601</v>
      </c>
      <c r="AU68" s="141" t="s">
        <v>601</v>
      </c>
      <c r="AV68" s="122" t="s">
        <v>259</v>
      </c>
      <c r="AW68" s="122" t="s">
        <v>556</v>
      </c>
      <c r="AY68" s="141" t="s">
        <v>253</v>
      </c>
      <c r="AZ68" s="122" t="s">
        <v>262</v>
      </c>
      <c r="BA68" s="122" t="s">
        <v>262</v>
      </c>
      <c r="BB68" s="122" t="s">
        <v>6671</v>
      </c>
      <c r="BD68" s="122" t="s">
        <v>253</v>
      </c>
      <c r="BE68" s="122" t="s">
        <v>263</v>
      </c>
      <c r="BF68" s="122" t="s">
        <v>605</v>
      </c>
      <c r="BH68" s="122" t="s">
        <v>589</v>
      </c>
      <c r="BI68" s="142">
        <v>56</v>
      </c>
      <c r="BK68" s="139" t="s">
        <v>558</v>
      </c>
    </row>
    <row r="69" spans="1:65" x14ac:dyDescent="0.25">
      <c r="A69" s="122" t="s">
        <v>6489</v>
      </c>
      <c r="B69" s="122" t="s">
        <v>7242</v>
      </c>
      <c r="C69" s="122" t="s">
        <v>7243</v>
      </c>
      <c r="D69" s="122" t="s">
        <v>7244</v>
      </c>
      <c r="E69" s="123">
        <v>42226</v>
      </c>
      <c r="F69" s="122" t="s">
        <v>7245</v>
      </c>
      <c r="G69" s="122" t="s">
        <v>235</v>
      </c>
      <c r="H69" s="122" t="s">
        <v>7246</v>
      </c>
      <c r="I69" s="122" t="s">
        <v>7247</v>
      </c>
      <c r="K69" s="122" t="s">
        <v>238</v>
      </c>
      <c r="L69" s="122" t="s">
        <v>320</v>
      </c>
      <c r="M69" s="122" t="s">
        <v>612</v>
      </c>
      <c r="O69" s="141" t="s">
        <v>2799</v>
      </c>
      <c r="P69" s="141" t="s">
        <v>7248</v>
      </c>
      <c r="Q69" s="122" t="s">
        <v>243</v>
      </c>
      <c r="R69" s="142">
        <v>57</v>
      </c>
      <c r="S69" s="122" t="s">
        <v>7249</v>
      </c>
      <c r="U69" s="122" t="s">
        <v>589</v>
      </c>
      <c r="W69" s="122" t="s">
        <v>246</v>
      </c>
      <c r="X69" s="122" t="s">
        <v>853</v>
      </c>
      <c r="Y69" s="141" t="s">
        <v>2072</v>
      </c>
      <c r="Z69" s="122" t="s">
        <v>7250</v>
      </c>
      <c r="AA69" s="141" t="s">
        <v>1423</v>
      </c>
      <c r="AB69" s="122" t="s">
        <v>7251</v>
      </c>
      <c r="AC69" s="141" t="s">
        <v>1698</v>
      </c>
      <c r="AD69" s="122" t="s">
        <v>7252</v>
      </c>
      <c r="AE69" s="122" t="s">
        <v>235</v>
      </c>
      <c r="AF69" s="122" t="s">
        <v>7253</v>
      </c>
      <c r="AG69" s="122" t="s">
        <v>537</v>
      </c>
      <c r="AH69" s="122" t="s">
        <v>253</v>
      </c>
      <c r="AI69" s="122" t="s">
        <v>7254</v>
      </c>
      <c r="AJ69" s="122" t="s">
        <v>7255</v>
      </c>
      <c r="AK69" s="122" t="s">
        <v>253</v>
      </c>
      <c r="AL69" s="122" t="s">
        <v>253</v>
      </c>
      <c r="AM69" s="122" t="s">
        <v>253</v>
      </c>
      <c r="AN69" s="122" t="s">
        <v>253</v>
      </c>
      <c r="AO69" s="141" t="s">
        <v>253</v>
      </c>
      <c r="AP69" s="141" t="s">
        <v>253</v>
      </c>
      <c r="AQ69" s="141" t="s">
        <v>253</v>
      </c>
      <c r="AR69" s="141" t="s">
        <v>247</v>
      </c>
      <c r="AS69" s="141" t="s">
        <v>361</v>
      </c>
      <c r="AT69" s="141" t="s">
        <v>258</v>
      </c>
      <c r="AU69" s="141" t="s">
        <v>601</v>
      </c>
      <c r="AV69" s="122" t="s">
        <v>259</v>
      </c>
      <c r="AW69" s="122" t="s">
        <v>556</v>
      </c>
      <c r="AY69" s="141" t="s">
        <v>253</v>
      </c>
      <c r="AZ69" s="122" t="s">
        <v>7256</v>
      </c>
      <c r="BA69" s="122" t="s">
        <v>262</v>
      </c>
      <c r="BB69" s="122" t="s">
        <v>262</v>
      </c>
      <c r="BC69" s="141" t="s">
        <v>312</v>
      </c>
      <c r="BD69" s="122" t="s">
        <v>253</v>
      </c>
      <c r="BE69" s="122" t="s">
        <v>263</v>
      </c>
      <c r="BF69" s="122" t="s">
        <v>605</v>
      </c>
      <c r="BH69" s="122" t="s">
        <v>589</v>
      </c>
      <c r="BI69" s="142">
        <v>57</v>
      </c>
    </row>
    <row r="70" spans="1:65" x14ac:dyDescent="0.25">
      <c r="A70" s="122" t="s">
        <v>6513</v>
      </c>
      <c r="B70" s="122" t="s">
        <v>7257</v>
      </c>
      <c r="C70" s="122" t="s">
        <v>6753</v>
      </c>
      <c r="D70" s="122" t="s">
        <v>6754</v>
      </c>
      <c r="E70" s="123">
        <v>42226</v>
      </c>
      <c r="F70" s="122" t="s">
        <v>6755</v>
      </c>
      <c r="G70" s="122" t="s">
        <v>235</v>
      </c>
      <c r="H70" s="122" t="s">
        <v>6756</v>
      </c>
      <c r="I70" s="122" t="s">
        <v>812</v>
      </c>
      <c r="J70" s="122" t="s">
        <v>6757</v>
      </c>
      <c r="K70" s="122" t="s">
        <v>238</v>
      </c>
      <c r="L70" s="122" t="s">
        <v>239</v>
      </c>
      <c r="M70" s="122" t="s">
        <v>814</v>
      </c>
      <c r="O70" s="141" t="s">
        <v>5420</v>
      </c>
      <c r="P70" s="141" t="s">
        <v>6758</v>
      </c>
      <c r="Q70" s="122" t="s">
        <v>243</v>
      </c>
      <c r="R70" s="142">
        <v>58</v>
      </c>
      <c r="S70" s="122" t="s">
        <v>6759</v>
      </c>
      <c r="U70" s="122" t="s">
        <v>589</v>
      </c>
      <c r="W70" s="122" t="s">
        <v>246</v>
      </c>
      <c r="X70" s="122" t="s">
        <v>247</v>
      </c>
      <c r="Y70" s="141" t="s">
        <v>5981</v>
      </c>
      <c r="Z70" s="122" t="s">
        <v>3489</v>
      </c>
      <c r="AA70" s="141" t="s">
        <v>6760</v>
      </c>
      <c r="AB70" s="122" t="s">
        <v>533</v>
      </c>
      <c r="AC70" s="141" t="s">
        <v>6755</v>
      </c>
      <c r="AD70" s="122" t="s">
        <v>6761</v>
      </c>
      <c r="AE70" s="122" t="s">
        <v>235</v>
      </c>
      <c r="AF70" s="122" t="s">
        <v>6762</v>
      </c>
      <c r="AG70" s="122" t="s">
        <v>253</v>
      </c>
      <c r="AH70" s="122" t="s">
        <v>253</v>
      </c>
      <c r="AI70" s="122" t="s">
        <v>6763</v>
      </c>
      <c r="AJ70" s="122" t="s">
        <v>6764</v>
      </c>
      <c r="AK70" s="122" t="s">
        <v>6765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556</v>
      </c>
      <c r="AX70" s="141" t="s">
        <v>6766</v>
      </c>
      <c r="AY70" s="141" t="s">
        <v>603</v>
      </c>
      <c r="AZ70" s="122" t="s">
        <v>6767</v>
      </c>
      <c r="BA70" s="122" t="s">
        <v>6768</v>
      </c>
      <c r="BB70" s="122" t="s">
        <v>6768</v>
      </c>
      <c r="BD70" s="122" t="s">
        <v>253</v>
      </c>
      <c r="BE70" s="122" t="s">
        <v>263</v>
      </c>
      <c r="BF70" s="122" t="s">
        <v>605</v>
      </c>
      <c r="BH70" s="122" t="s">
        <v>589</v>
      </c>
      <c r="BI70" s="142">
        <v>58</v>
      </c>
      <c r="BK70" s="139" t="s">
        <v>558</v>
      </c>
    </row>
    <row r="71" spans="1:65" x14ac:dyDescent="0.25">
      <c r="A71" s="122" t="s">
        <v>6513</v>
      </c>
      <c r="B71" s="122" t="s">
        <v>7258</v>
      </c>
      <c r="C71" s="122" t="s">
        <v>6784</v>
      </c>
      <c r="D71" s="122" t="s">
        <v>6785</v>
      </c>
      <c r="E71" s="123">
        <v>42226</v>
      </c>
      <c r="F71" s="122" t="s">
        <v>3574</v>
      </c>
      <c r="G71" s="122" t="s">
        <v>235</v>
      </c>
      <c r="H71" s="122" t="s">
        <v>6786</v>
      </c>
      <c r="I71" s="122" t="s">
        <v>6787</v>
      </c>
      <c r="J71" s="122" t="s">
        <v>6788</v>
      </c>
      <c r="K71" s="122" t="s">
        <v>238</v>
      </c>
      <c r="L71" s="122" t="s">
        <v>320</v>
      </c>
      <c r="M71" s="122" t="s">
        <v>6789</v>
      </c>
      <c r="O71" s="141" t="s">
        <v>451</v>
      </c>
      <c r="P71" s="141" t="s">
        <v>6790</v>
      </c>
      <c r="Q71" s="122" t="s">
        <v>243</v>
      </c>
      <c r="R71" s="142">
        <v>59</v>
      </c>
      <c r="S71" s="122" t="s">
        <v>6791</v>
      </c>
      <c r="U71" s="122" t="s">
        <v>589</v>
      </c>
      <c r="W71" s="122" t="s">
        <v>246</v>
      </c>
      <c r="X71" s="122" t="s">
        <v>497</v>
      </c>
      <c r="Y71" s="141" t="s">
        <v>670</v>
      </c>
      <c r="Z71" s="122" t="s">
        <v>6792</v>
      </c>
      <c r="AB71" s="122" t="s">
        <v>250</v>
      </c>
      <c r="AD71" s="122" t="s">
        <v>250</v>
      </c>
      <c r="AE71" s="122" t="s">
        <v>235</v>
      </c>
      <c r="AF71" s="122" t="s">
        <v>6793</v>
      </c>
      <c r="AG71" s="122" t="s">
        <v>537</v>
      </c>
      <c r="AH71" s="122" t="s">
        <v>253</v>
      </c>
      <c r="AI71" s="122" t="s">
        <v>6794</v>
      </c>
      <c r="AJ71" s="122" t="s">
        <v>6795</v>
      </c>
      <c r="AK71" s="122" t="s">
        <v>253</v>
      </c>
      <c r="AL71" s="122" t="s">
        <v>253</v>
      </c>
      <c r="AM71" s="122" t="s">
        <v>253</v>
      </c>
      <c r="AN71" s="122" t="s">
        <v>253</v>
      </c>
      <c r="AO71" s="141" t="s">
        <v>253</v>
      </c>
      <c r="AP71" s="141" t="s">
        <v>253</v>
      </c>
      <c r="AQ71" s="141" t="s">
        <v>247</v>
      </c>
      <c r="AR71" s="141" t="s">
        <v>247</v>
      </c>
      <c r="AS71" s="141" t="s">
        <v>361</v>
      </c>
      <c r="AT71" s="141" t="s">
        <v>601</v>
      </c>
      <c r="AU71" s="141" t="s">
        <v>601</v>
      </c>
      <c r="AV71" s="122" t="s">
        <v>259</v>
      </c>
      <c r="AW71" s="122" t="s">
        <v>556</v>
      </c>
      <c r="AY71" s="141" t="s">
        <v>253</v>
      </c>
      <c r="AZ71" s="122" t="s">
        <v>6796</v>
      </c>
      <c r="BA71" s="122" t="s">
        <v>262</v>
      </c>
      <c r="BB71" s="122" t="s">
        <v>262</v>
      </c>
      <c r="BD71" s="122" t="s">
        <v>253</v>
      </c>
      <c r="BE71" s="122" t="s">
        <v>263</v>
      </c>
      <c r="BF71" s="122" t="s">
        <v>605</v>
      </c>
      <c r="BH71" s="122" t="s">
        <v>589</v>
      </c>
      <c r="BI71" s="142">
        <v>59</v>
      </c>
      <c r="BK71" s="139" t="s">
        <v>558</v>
      </c>
    </row>
    <row r="72" spans="1:65" x14ac:dyDescent="0.25">
      <c r="A72" s="122" t="s">
        <v>6513</v>
      </c>
      <c r="B72" s="122" t="s">
        <v>7259</v>
      </c>
      <c r="C72" s="122" t="s">
        <v>7260</v>
      </c>
      <c r="D72" s="122" t="s">
        <v>7261</v>
      </c>
      <c r="E72" s="123">
        <v>42226</v>
      </c>
      <c r="F72" s="122" t="s">
        <v>7262</v>
      </c>
      <c r="G72" s="122" t="s">
        <v>235</v>
      </c>
      <c r="H72" s="122" t="s">
        <v>7263</v>
      </c>
      <c r="I72" s="122" t="s">
        <v>7264</v>
      </c>
      <c r="K72" s="122" t="s">
        <v>238</v>
      </c>
      <c r="L72" s="122" t="s">
        <v>239</v>
      </c>
      <c r="M72" s="122" t="s">
        <v>240</v>
      </c>
      <c r="O72" s="141" t="s">
        <v>451</v>
      </c>
      <c r="P72" s="141" t="s">
        <v>7265</v>
      </c>
      <c r="Q72" s="122" t="s">
        <v>243</v>
      </c>
      <c r="R72" s="142">
        <v>60</v>
      </c>
      <c r="S72" s="122" t="s">
        <v>7266</v>
      </c>
      <c r="U72" s="122" t="s">
        <v>589</v>
      </c>
      <c r="W72" s="122" t="s">
        <v>246</v>
      </c>
      <c r="X72" s="122" t="s">
        <v>2624</v>
      </c>
      <c r="Y72" s="141" t="s">
        <v>1023</v>
      </c>
      <c r="Z72" s="122" t="s">
        <v>7267</v>
      </c>
      <c r="AA72" s="141" t="s">
        <v>1400</v>
      </c>
      <c r="AB72" s="122" t="s">
        <v>7267</v>
      </c>
      <c r="AC72" s="141" t="s">
        <v>7268</v>
      </c>
      <c r="AD72" s="122" t="s">
        <v>7269</v>
      </c>
      <c r="AE72" s="122" t="s">
        <v>235</v>
      </c>
      <c r="AF72" s="122" t="s">
        <v>7270</v>
      </c>
      <c r="AG72" s="122" t="s">
        <v>537</v>
      </c>
      <c r="AH72" s="122" t="s">
        <v>253</v>
      </c>
      <c r="AI72" s="122" t="s">
        <v>7271</v>
      </c>
      <c r="AJ72" s="122" t="s">
        <v>7272</v>
      </c>
      <c r="AK72" s="122" t="s">
        <v>7273</v>
      </c>
      <c r="AL72" s="122" t="s">
        <v>7274</v>
      </c>
      <c r="AM72" s="122" t="s">
        <v>253</v>
      </c>
      <c r="AN72" s="122" t="s">
        <v>253</v>
      </c>
      <c r="AO72" s="141" t="s">
        <v>253</v>
      </c>
      <c r="AP72" s="141" t="s">
        <v>253</v>
      </c>
      <c r="AQ72" s="141" t="s">
        <v>253</v>
      </c>
      <c r="AR72" s="141" t="s">
        <v>247</v>
      </c>
      <c r="AS72" s="141" t="s">
        <v>361</v>
      </c>
      <c r="AT72" s="141" t="s">
        <v>258</v>
      </c>
      <c r="AU72" s="141" t="s">
        <v>601</v>
      </c>
      <c r="AV72" s="122" t="s">
        <v>259</v>
      </c>
      <c r="AW72" s="122" t="s">
        <v>556</v>
      </c>
      <c r="AY72" s="141" t="s">
        <v>253</v>
      </c>
      <c r="AZ72" s="122" t="s">
        <v>7275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605</v>
      </c>
      <c r="BH72" s="122" t="s">
        <v>589</v>
      </c>
      <c r="BI72" s="142">
        <v>60</v>
      </c>
      <c r="BJ72" s="123">
        <v>42239</v>
      </c>
      <c r="BK72" s="139" t="s">
        <v>606</v>
      </c>
      <c r="BM72" s="122">
        <v>34</v>
      </c>
    </row>
    <row r="73" spans="1:65" x14ac:dyDescent="0.25">
      <c r="A73" s="122" t="s">
        <v>352</v>
      </c>
      <c r="B73" s="122" t="s">
        <v>7276</v>
      </c>
      <c r="C73" s="122" t="s">
        <v>7277</v>
      </c>
      <c r="D73" s="122" t="s">
        <v>7278</v>
      </c>
      <c r="E73" s="123">
        <v>42226</v>
      </c>
      <c r="F73" s="122" t="s">
        <v>6447</v>
      </c>
      <c r="G73" s="122" t="s">
        <v>235</v>
      </c>
      <c r="H73" s="122" t="s">
        <v>7279</v>
      </c>
      <c r="I73" s="122" t="s">
        <v>7280</v>
      </c>
      <c r="J73" s="122" t="s">
        <v>7281</v>
      </c>
      <c r="K73" s="122" t="s">
        <v>238</v>
      </c>
      <c r="L73" s="122" t="s">
        <v>239</v>
      </c>
      <c r="M73" s="122" t="s">
        <v>6637</v>
      </c>
      <c r="O73" s="141" t="s">
        <v>451</v>
      </c>
      <c r="P73" s="141" t="s">
        <v>7282</v>
      </c>
      <c r="Q73" s="122" t="s">
        <v>243</v>
      </c>
      <c r="R73" s="142">
        <v>61</v>
      </c>
      <c r="S73" s="122" t="s">
        <v>7283</v>
      </c>
      <c r="U73" s="122" t="s">
        <v>589</v>
      </c>
      <c r="W73" s="122" t="s">
        <v>246</v>
      </c>
      <c r="X73" s="122" t="s">
        <v>739</v>
      </c>
      <c r="Y73" s="141" t="s">
        <v>740</v>
      </c>
      <c r="Z73" s="122" t="s">
        <v>741</v>
      </c>
      <c r="AA73" s="141" t="s">
        <v>304</v>
      </c>
      <c r="AB73" s="122" t="s">
        <v>7284</v>
      </c>
      <c r="AC73" s="141" t="s">
        <v>234</v>
      </c>
      <c r="AD73" s="122" t="s">
        <v>7285</v>
      </c>
      <c r="AE73" s="122" t="s">
        <v>235</v>
      </c>
      <c r="AF73" s="122" t="s">
        <v>7286</v>
      </c>
      <c r="AG73" s="122" t="s">
        <v>7287</v>
      </c>
      <c r="AH73" s="122" t="s">
        <v>253</v>
      </c>
      <c r="AI73" s="122" t="s">
        <v>7288</v>
      </c>
      <c r="AJ73" s="122" t="s">
        <v>7289</v>
      </c>
      <c r="AK73" s="122" t="s">
        <v>253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247</v>
      </c>
      <c r="AQ73" s="141" t="s">
        <v>247</v>
      </c>
      <c r="AR73" s="141" t="s">
        <v>247</v>
      </c>
      <c r="AS73" s="141" t="s">
        <v>601</v>
      </c>
      <c r="AT73" s="141" t="s">
        <v>601</v>
      </c>
      <c r="AU73" s="141" t="s">
        <v>601</v>
      </c>
      <c r="AV73" s="122" t="s">
        <v>259</v>
      </c>
      <c r="AW73" s="122" t="s">
        <v>556</v>
      </c>
      <c r="AX73" s="141" t="s">
        <v>2029</v>
      </c>
      <c r="AY73" s="141" t="s">
        <v>603</v>
      </c>
      <c r="AZ73" s="122" t="s">
        <v>7290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605</v>
      </c>
      <c r="BH73" s="122" t="s">
        <v>589</v>
      </c>
      <c r="BI73" s="142">
        <v>61</v>
      </c>
      <c r="BJ73" s="123">
        <v>42239</v>
      </c>
      <c r="BK73" s="139" t="s">
        <v>606</v>
      </c>
      <c r="BM73" s="122">
        <v>34</v>
      </c>
    </row>
    <row r="74" spans="1:65" x14ac:dyDescent="0.25">
      <c r="A74" s="122" t="s">
        <v>352</v>
      </c>
      <c r="B74" s="122" t="s">
        <v>7291</v>
      </c>
      <c r="C74" s="122" t="s">
        <v>6845</v>
      </c>
      <c r="D74" s="122" t="s">
        <v>6846</v>
      </c>
      <c r="E74" s="123">
        <v>42226</v>
      </c>
      <c r="F74" s="122" t="s">
        <v>3910</v>
      </c>
      <c r="G74" s="122" t="s">
        <v>235</v>
      </c>
      <c r="H74" s="122" t="s">
        <v>6847</v>
      </c>
      <c r="I74" s="122" t="s">
        <v>6848</v>
      </c>
      <c r="K74" s="122" t="s">
        <v>238</v>
      </c>
      <c r="L74" s="122" t="s">
        <v>1872</v>
      </c>
      <c r="M74" s="122" t="s">
        <v>2377</v>
      </c>
      <c r="O74" s="141" t="s">
        <v>1240</v>
      </c>
      <c r="P74" s="141" t="s">
        <v>6849</v>
      </c>
      <c r="Q74" s="122" t="s">
        <v>243</v>
      </c>
      <c r="R74" s="142">
        <v>62</v>
      </c>
      <c r="S74" s="122" t="s">
        <v>6850</v>
      </c>
      <c r="U74" s="122" t="s">
        <v>589</v>
      </c>
      <c r="W74" s="122" t="s">
        <v>246</v>
      </c>
      <c r="X74" s="122" t="s">
        <v>2624</v>
      </c>
      <c r="Y74" s="141" t="s">
        <v>570</v>
      </c>
      <c r="Z74" s="122" t="s">
        <v>6851</v>
      </c>
      <c r="AA74" s="141" t="s">
        <v>2225</v>
      </c>
      <c r="AB74" s="122" t="s">
        <v>6852</v>
      </c>
      <c r="AC74" s="141" t="s">
        <v>5523</v>
      </c>
      <c r="AD74" s="122" t="s">
        <v>6853</v>
      </c>
      <c r="AE74" s="122" t="s">
        <v>235</v>
      </c>
      <c r="AF74" s="122" t="s">
        <v>6854</v>
      </c>
      <c r="AG74" s="122" t="s">
        <v>537</v>
      </c>
      <c r="AH74" s="122" t="s">
        <v>253</v>
      </c>
      <c r="AI74" s="122" t="s">
        <v>6855</v>
      </c>
      <c r="AJ74" s="122" t="s">
        <v>6856</v>
      </c>
      <c r="AK74" s="122" t="s">
        <v>253</v>
      </c>
      <c r="AL74" s="122" t="s">
        <v>253</v>
      </c>
      <c r="AM74" s="122" t="s">
        <v>253</v>
      </c>
      <c r="AN74" s="122" t="s">
        <v>253</v>
      </c>
      <c r="AO74" s="141" t="s">
        <v>253</v>
      </c>
      <c r="AP74" s="141" t="s">
        <v>253</v>
      </c>
      <c r="AQ74" s="141" t="s">
        <v>247</v>
      </c>
      <c r="AR74" s="141" t="s">
        <v>247</v>
      </c>
      <c r="AS74" s="141" t="s">
        <v>361</v>
      </c>
      <c r="AT74" s="141" t="s">
        <v>601</v>
      </c>
      <c r="AU74" s="141" t="s">
        <v>601</v>
      </c>
      <c r="AV74" s="122" t="s">
        <v>259</v>
      </c>
      <c r="AW74" s="122" t="s">
        <v>556</v>
      </c>
      <c r="AY74" s="141" t="s">
        <v>253</v>
      </c>
      <c r="AZ74" s="122" t="s">
        <v>6857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605</v>
      </c>
      <c r="BH74" s="122" t="s">
        <v>589</v>
      </c>
      <c r="BI74" s="142">
        <v>62</v>
      </c>
      <c r="BK74" s="139" t="s">
        <v>558</v>
      </c>
    </row>
    <row r="75" spans="1:65" x14ac:dyDescent="0.25">
      <c r="A75" s="122" t="s">
        <v>352</v>
      </c>
      <c r="B75" s="122" t="s">
        <v>7292</v>
      </c>
      <c r="C75" s="122" t="s">
        <v>6873</v>
      </c>
      <c r="D75" s="122" t="s">
        <v>6874</v>
      </c>
      <c r="E75" s="123">
        <v>42226</v>
      </c>
      <c r="F75" s="122" t="s">
        <v>724</v>
      </c>
      <c r="G75" s="122" t="s">
        <v>235</v>
      </c>
      <c r="H75" s="122" t="s">
        <v>6875</v>
      </c>
      <c r="I75" s="122" t="s">
        <v>6876</v>
      </c>
      <c r="K75" s="122" t="s">
        <v>238</v>
      </c>
      <c r="L75" s="122" t="s">
        <v>388</v>
      </c>
      <c r="M75" s="122" t="s">
        <v>988</v>
      </c>
      <c r="O75" s="141" t="s">
        <v>665</v>
      </c>
      <c r="P75" s="141" t="s">
        <v>6877</v>
      </c>
      <c r="Q75" s="122" t="s">
        <v>243</v>
      </c>
      <c r="R75" s="142">
        <v>63</v>
      </c>
      <c r="S75" s="122" t="s">
        <v>6878</v>
      </c>
      <c r="U75" s="122" t="s">
        <v>589</v>
      </c>
      <c r="W75" s="122" t="s">
        <v>246</v>
      </c>
      <c r="X75" s="122" t="s">
        <v>603</v>
      </c>
      <c r="Y75" s="141" t="s">
        <v>230</v>
      </c>
      <c r="Z75" s="122" t="s">
        <v>6879</v>
      </c>
      <c r="AA75" s="141" t="s">
        <v>2072</v>
      </c>
      <c r="AB75" s="122" t="s">
        <v>6880</v>
      </c>
      <c r="AD75" s="122" t="s">
        <v>250</v>
      </c>
      <c r="AE75" s="122" t="s">
        <v>235</v>
      </c>
      <c r="AF75" s="122" t="s">
        <v>6881</v>
      </c>
      <c r="AG75" s="122" t="s">
        <v>253</v>
      </c>
      <c r="AH75" s="122" t="s">
        <v>253</v>
      </c>
      <c r="AI75" s="122" t="s">
        <v>6882</v>
      </c>
      <c r="AJ75" s="122" t="s">
        <v>253</v>
      </c>
      <c r="AK75" s="122" t="s">
        <v>253</v>
      </c>
      <c r="AL75" s="122" t="s">
        <v>253</v>
      </c>
      <c r="AM75" s="122" t="s">
        <v>6883</v>
      </c>
      <c r="AN75" s="122" t="s">
        <v>253</v>
      </c>
      <c r="AO75" s="141" t="s">
        <v>247</v>
      </c>
      <c r="AP75" s="141" t="s">
        <v>247</v>
      </c>
      <c r="AQ75" s="141" t="s">
        <v>247</v>
      </c>
      <c r="AR75" s="141" t="s">
        <v>247</v>
      </c>
      <c r="AS75" s="141" t="s">
        <v>601</v>
      </c>
      <c r="AT75" s="141" t="s">
        <v>601</v>
      </c>
      <c r="AU75" s="141" t="s">
        <v>601</v>
      </c>
      <c r="AV75" s="122" t="s">
        <v>259</v>
      </c>
      <c r="AW75" s="122" t="s">
        <v>556</v>
      </c>
      <c r="AX75" s="141" t="s">
        <v>3027</v>
      </c>
      <c r="AY75" s="141" t="s">
        <v>603</v>
      </c>
      <c r="AZ75" s="122" t="s">
        <v>6884</v>
      </c>
      <c r="BA75" s="122" t="s">
        <v>262</v>
      </c>
      <c r="BB75" s="122" t="s">
        <v>262</v>
      </c>
      <c r="BD75" s="122" t="s">
        <v>253</v>
      </c>
      <c r="BE75" s="122" t="s">
        <v>263</v>
      </c>
      <c r="BF75" s="122" t="s">
        <v>605</v>
      </c>
      <c r="BH75" s="122" t="s">
        <v>589</v>
      </c>
      <c r="BI75" s="142">
        <v>63</v>
      </c>
      <c r="BK75" s="139" t="s">
        <v>558</v>
      </c>
    </row>
    <row r="76" spans="1:65" x14ac:dyDescent="0.25">
      <c r="A76" s="122" t="s">
        <v>3037</v>
      </c>
      <c r="B76" s="122" t="s">
        <v>7293</v>
      </c>
      <c r="C76" s="122" t="s">
        <v>7294</v>
      </c>
      <c r="D76" s="122" t="s">
        <v>7295</v>
      </c>
      <c r="E76" s="123">
        <v>42226</v>
      </c>
      <c r="F76" s="122" t="s">
        <v>2072</v>
      </c>
      <c r="G76" s="122" t="s">
        <v>235</v>
      </c>
      <c r="H76" s="122" t="s">
        <v>448</v>
      </c>
      <c r="I76" s="122" t="s">
        <v>7296</v>
      </c>
      <c r="K76" s="122" t="s">
        <v>238</v>
      </c>
      <c r="L76" s="122" t="s">
        <v>271</v>
      </c>
      <c r="M76" s="122" t="s">
        <v>1509</v>
      </c>
      <c r="O76" s="141" t="s">
        <v>373</v>
      </c>
      <c r="P76" s="141" t="s">
        <v>7297</v>
      </c>
      <c r="Q76" s="122" t="s">
        <v>243</v>
      </c>
      <c r="R76" s="142">
        <v>5</v>
      </c>
      <c r="S76" s="122" t="s">
        <v>7298</v>
      </c>
      <c r="U76" s="122" t="s">
        <v>1420</v>
      </c>
      <c r="W76" s="122" t="s">
        <v>246</v>
      </c>
      <c r="X76" s="122" t="s">
        <v>454</v>
      </c>
      <c r="Z76" s="122" t="s">
        <v>250</v>
      </c>
      <c r="AB76" s="122" t="s">
        <v>250</v>
      </c>
      <c r="AD76" s="122" t="s">
        <v>250</v>
      </c>
      <c r="AE76" s="122" t="s">
        <v>235</v>
      </c>
      <c r="AF76" s="122" t="s">
        <v>7299</v>
      </c>
      <c r="AG76" s="122" t="s">
        <v>537</v>
      </c>
      <c r="AH76" s="122" t="s">
        <v>253</v>
      </c>
      <c r="AI76" s="122" t="s">
        <v>7300</v>
      </c>
      <c r="AJ76" s="122" t="s">
        <v>7301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247</v>
      </c>
      <c r="AP76" s="141" t="s">
        <v>247</v>
      </c>
      <c r="AQ76" s="141" t="s">
        <v>247</v>
      </c>
      <c r="AR76" s="141" t="s">
        <v>253</v>
      </c>
      <c r="AS76" s="141" t="s">
        <v>601</v>
      </c>
      <c r="AT76" s="141" t="s">
        <v>601</v>
      </c>
      <c r="AU76" s="141" t="s">
        <v>258</v>
      </c>
      <c r="AV76" s="122" t="s">
        <v>259</v>
      </c>
      <c r="AW76" s="122" t="s">
        <v>260</v>
      </c>
      <c r="AY76" s="141" t="s">
        <v>253</v>
      </c>
      <c r="AZ76" s="122" t="s">
        <v>262</v>
      </c>
      <c r="BA76" s="122" t="s">
        <v>262</v>
      </c>
      <c r="BB76" s="122" t="s">
        <v>7302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5</v>
      </c>
      <c r="BJ76" s="123">
        <v>42237</v>
      </c>
      <c r="BK76" s="139" t="s">
        <v>606</v>
      </c>
      <c r="BM76" s="122">
        <v>34</v>
      </c>
    </row>
    <row r="77" spans="1:65" x14ac:dyDescent="0.25">
      <c r="A77" s="122" t="s">
        <v>3037</v>
      </c>
      <c r="B77" s="122" t="s">
        <v>7303</v>
      </c>
      <c r="C77" s="122" t="s">
        <v>7304</v>
      </c>
      <c r="D77" s="122" t="s">
        <v>7305</v>
      </c>
      <c r="E77" s="123">
        <v>42226</v>
      </c>
      <c r="F77" s="122" t="s">
        <v>819</v>
      </c>
      <c r="G77" s="122" t="s">
        <v>235</v>
      </c>
      <c r="H77" s="122" t="s">
        <v>7306</v>
      </c>
      <c r="I77" s="122" t="s">
        <v>7307</v>
      </c>
      <c r="K77" s="122" t="s">
        <v>238</v>
      </c>
      <c r="L77" s="122" t="s">
        <v>271</v>
      </c>
      <c r="M77" s="122" t="s">
        <v>1561</v>
      </c>
      <c r="O77" s="141" t="s">
        <v>566</v>
      </c>
      <c r="P77" s="141" t="s">
        <v>7308</v>
      </c>
      <c r="Q77" s="122" t="s">
        <v>243</v>
      </c>
      <c r="R77" s="142">
        <v>6</v>
      </c>
      <c r="S77" s="122" t="s">
        <v>7309</v>
      </c>
      <c r="U77" s="122" t="s">
        <v>1420</v>
      </c>
      <c r="W77" s="122" t="s">
        <v>246</v>
      </c>
      <c r="X77" s="122" t="s">
        <v>631</v>
      </c>
      <c r="Y77" s="141" t="s">
        <v>833</v>
      </c>
      <c r="Z77" s="122" t="s">
        <v>7310</v>
      </c>
      <c r="AA77" s="141" t="s">
        <v>328</v>
      </c>
      <c r="AB77" s="122" t="s">
        <v>2485</v>
      </c>
      <c r="AD77" s="122" t="s">
        <v>250</v>
      </c>
      <c r="AE77" s="122" t="s">
        <v>235</v>
      </c>
      <c r="AF77" s="122" t="s">
        <v>7311</v>
      </c>
      <c r="AG77" s="122" t="s">
        <v>253</v>
      </c>
      <c r="AH77" s="122" t="s">
        <v>253</v>
      </c>
      <c r="AI77" s="122" t="s">
        <v>7312</v>
      </c>
      <c r="AJ77" s="122" t="s">
        <v>5634</v>
      </c>
      <c r="AK77" s="122" t="s">
        <v>7313</v>
      </c>
      <c r="AL77" s="122" t="s">
        <v>253</v>
      </c>
      <c r="AM77" s="122" t="s">
        <v>253</v>
      </c>
      <c r="AN77" s="122" t="s">
        <v>253</v>
      </c>
      <c r="AO77" s="141" t="s">
        <v>247</v>
      </c>
      <c r="AP77" s="141" t="s">
        <v>247</v>
      </c>
      <c r="AQ77" s="141" t="s">
        <v>247</v>
      </c>
      <c r="AR77" s="141" t="s">
        <v>253</v>
      </c>
      <c r="AS77" s="141" t="s">
        <v>601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Y77" s="141" t="s">
        <v>253</v>
      </c>
      <c r="AZ77" s="122" t="s">
        <v>7314</v>
      </c>
      <c r="BA77" s="122" t="s">
        <v>262</v>
      </c>
      <c r="BB77" s="122" t="s">
        <v>262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6</v>
      </c>
      <c r="BJ77" s="123">
        <v>42237</v>
      </c>
      <c r="BK77" s="139" t="s">
        <v>264</v>
      </c>
      <c r="BL77" s="140">
        <v>271.64999999999998</v>
      </c>
      <c r="BM77" s="122">
        <v>34</v>
      </c>
    </row>
    <row r="78" spans="1:65" x14ac:dyDescent="0.25">
      <c r="A78" s="122" t="s">
        <v>3037</v>
      </c>
      <c r="B78" s="122" t="s">
        <v>7315</v>
      </c>
      <c r="C78" s="122" t="s">
        <v>7316</v>
      </c>
      <c r="D78" s="122" t="s">
        <v>7317</v>
      </c>
      <c r="E78" s="123">
        <v>42226</v>
      </c>
      <c r="F78" s="122" t="s">
        <v>7318</v>
      </c>
      <c r="G78" s="122" t="s">
        <v>235</v>
      </c>
      <c r="H78" s="122" t="s">
        <v>7319</v>
      </c>
      <c r="I78" s="122" t="s">
        <v>7320</v>
      </c>
      <c r="K78" s="122" t="s">
        <v>238</v>
      </c>
      <c r="L78" s="122" t="s">
        <v>429</v>
      </c>
      <c r="M78" s="122" t="s">
        <v>565</v>
      </c>
      <c r="O78" s="141" t="s">
        <v>2442</v>
      </c>
      <c r="P78" s="141" t="s">
        <v>7321</v>
      </c>
      <c r="Q78" s="122" t="s">
        <v>243</v>
      </c>
      <c r="R78" s="142">
        <v>7</v>
      </c>
      <c r="S78" s="122" t="s">
        <v>7322</v>
      </c>
      <c r="U78" s="122" t="s">
        <v>1420</v>
      </c>
      <c r="W78" s="122" t="s">
        <v>246</v>
      </c>
      <c r="X78" s="122" t="s">
        <v>590</v>
      </c>
      <c r="Y78" s="141" t="s">
        <v>498</v>
      </c>
      <c r="Z78" s="122" t="s">
        <v>2305</v>
      </c>
      <c r="AA78" s="141" t="s">
        <v>500</v>
      </c>
      <c r="AB78" s="122" t="s">
        <v>7323</v>
      </c>
      <c r="AC78" s="141" t="s">
        <v>1969</v>
      </c>
      <c r="AD78" s="122" t="s">
        <v>2307</v>
      </c>
      <c r="AE78" s="122" t="s">
        <v>235</v>
      </c>
      <c r="AF78" s="122" t="s">
        <v>7324</v>
      </c>
      <c r="AG78" s="122" t="s">
        <v>537</v>
      </c>
      <c r="AH78" s="122" t="s">
        <v>253</v>
      </c>
      <c r="AI78" s="122" t="s">
        <v>1214</v>
      </c>
      <c r="AJ78" s="122" t="s">
        <v>7325</v>
      </c>
      <c r="AK78" s="122" t="s">
        <v>253</v>
      </c>
      <c r="AL78" s="122" t="s">
        <v>253</v>
      </c>
      <c r="AM78" s="122" t="s">
        <v>253</v>
      </c>
      <c r="AN78" s="122" t="s">
        <v>253</v>
      </c>
      <c r="AO78" s="141" t="s">
        <v>253</v>
      </c>
      <c r="AP78" s="141" t="s">
        <v>253</v>
      </c>
      <c r="AQ78" s="141" t="s">
        <v>247</v>
      </c>
      <c r="AR78" s="141" t="s">
        <v>253</v>
      </c>
      <c r="AS78" s="141" t="s">
        <v>361</v>
      </c>
      <c r="AT78" s="141" t="s">
        <v>601</v>
      </c>
      <c r="AU78" s="141" t="s">
        <v>258</v>
      </c>
      <c r="AV78" s="122" t="s">
        <v>259</v>
      </c>
      <c r="AW78" s="122" t="s">
        <v>260</v>
      </c>
      <c r="AY78" s="141" t="s">
        <v>253</v>
      </c>
      <c r="AZ78" s="122" t="s">
        <v>7326</v>
      </c>
      <c r="BA78" s="122" t="s">
        <v>262</v>
      </c>
      <c r="BB78" s="122" t="s">
        <v>7326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7</v>
      </c>
      <c r="BJ78" s="123">
        <v>42230</v>
      </c>
      <c r="BK78" s="139" t="s">
        <v>264</v>
      </c>
      <c r="BL78" s="140">
        <v>73.510000000000005</v>
      </c>
      <c r="BM78" s="122">
        <v>33</v>
      </c>
    </row>
    <row r="79" spans="1:65" x14ac:dyDescent="0.25">
      <c r="A79" s="122" t="s">
        <v>3037</v>
      </c>
      <c r="B79" s="122" t="s">
        <v>7327</v>
      </c>
      <c r="C79" s="122" t="s">
        <v>7328</v>
      </c>
      <c r="D79" s="122" t="s">
        <v>7329</v>
      </c>
      <c r="E79" s="123">
        <v>42226</v>
      </c>
      <c r="F79" s="122" t="s">
        <v>2556</v>
      </c>
      <c r="G79" s="122" t="s">
        <v>235</v>
      </c>
      <c r="H79" s="122" t="s">
        <v>7330</v>
      </c>
      <c r="I79" s="122" t="s">
        <v>7331</v>
      </c>
      <c r="K79" s="122" t="s">
        <v>238</v>
      </c>
      <c r="L79" s="122" t="s">
        <v>429</v>
      </c>
      <c r="M79" s="122" t="s">
        <v>430</v>
      </c>
      <c r="O79" s="141" t="s">
        <v>1991</v>
      </c>
      <c r="P79" s="141" t="s">
        <v>7332</v>
      </c>
      <c r="Q79" s="122" t="s">
        <v>243</v>
      </c>
      <c r="R79" s="142">
        <v>8</v>
      </c>
      <c r="S79" s="122" t="s">
        <v>7333</v>
      </c>
      <c r="U79" s="122" t="s">
        <v>1420</v>
      </c>
      <c r="W79" s="122" t="s">
        <v>246</v>
      </c>
      <c r="X79" s="122" t="s">
        <v>433</v>
      </c>
      <c r="Y79" s="141" t="s">
        <v>958</v>
      </c>
      <c r="Z79" s="122" t="s">
        <v>7334</v>
      </c>
      <c r="AA79" s="141" t="s">
        <v>1926</v>
      </c>
      <c r="AB79" s="122" t="s">
        <v>1485</v>
      </c>
      <c r="AC79" s="141" t="s">
        <v>2701</v>
      </c>
      <c r="AD79" s="122" t="s">
        <v>7335</v>
      </c>
      <c r="AE79" s="122" t="s">
        <v>235</v>
      </c>
      <c r="AF79" s="122" t="s">
        <v>7336</v>
      </c>
      <c r="AG79" s="122" t="s">
        <v>537</v>
      </c>
      <c r="AH79" s="122" t="s">
        <v>253</v>
      </c>
      <c r="AI79" s="122" t="s">
        <v>1585</v>
      </c>
      <c r="AJ79" s="122" t="s">
        <v>7337</v>
      </c>
      <c r="AK79" s="122" t="s">
        <v>253</v>
      </c>
      <c r="AL79" s="122" t="s">
        <v>253</v>
      </c>
      <c r="AM79" s="122" t="s">
        <v>253</v>
      </c>
      <c r="AN79" s="122" t="s">
        <v>253</v>
      </c>
      <c r="AO79" s="141" t="s">
        <v>253</v>
      </c>
      <c r="AP79" s="141" t="s">
        <v>253</v>
      </c>
      <c r="AQ79" s="141" t="s">
        <v>247</v>
      </c>
      <c r="AR79" s="141" t="s">
        <v>253</v>
      </c>
      <c r="AS79" s="141" t="s">
        <v>361</v>
      </c>
      <c r="AT79" s="141" t="s">
        <v>601</v>
      </c>
      <c r="AU79" s="141" t="s">
        <v>258</v>
      </c>
      <c r="AV79" s="122" t="s">
        <v>259</v>
      </c>
      <c r="AW79" s="122" t="s">
        <v>260</v>
      </c>
      <c r="AY79" s="141" t="s">
        <v>253</v>
      </c>
      <c r="AZ79" s="122" t="s">
        <v>7338</v>
      </c>
      <c r="BA79" s="122" t="s">
        <v>262</v>
      </c>
      <c r="BB79" s="122" t="s">
        <v>7338</v>
      </c>
      <c r="BD79" s="122" t="s">
        <v>253</v>
      </c>
      <c r="BE79" s="122" t="s">
        <v>263</v>
      </c>
      <c r="BF79" s="122" t="s">
        <v>1430</v>
      </c>
      <c r="BH79" s="122" t="s">
        <v>1420</v>
      </c>
      <c r="BI79" s="142">
        <v>8</v>
      </c>
      <c r="BJ79" s="123">
        <v>42236</v>
      </c>
      <c r="BK79" s="139" t="s">
        <v>606</v>
      </c>
      <c r="BM79" s="122">
        <v>34</v>
      </c>
    </row>
    <row r="80" spans="1:65" x14ac:dyDescent="0.25">
      <c r="A80" s="122" t="s">
        <v>3037</v>
      </c>
      <c r="B80" s="122" t="s">
        <v>7339</v>
      </c>
      <c r="C80" s="122" t="s">
        <v>7340</v>
      </c>
      <c r="D80" s="122" t="s">
        <v>7341</v>
      </c>
      <c r="E80" s="123">
        <v>42226</v>
      </c>
      <c r="F80" s="122" t="s">
        <v>570</v>
      </c>
      <c r="G80" s="122" t="s">
        <v>235</v>
      </c>
      <c r="H80" s="122" t="s">
        <v>7342</v>
      </c>
      <c r="I80" s="122" t="s">
        <v>7343</v>
      </c>
      <c r="J80" s="122" t="s">
        <v>7344</v>
      </c>
      <c r="K80" s="122" t="s">
        <v>238</v>
      </c>
      <c r="L80" s="122" t="s">
        <v>271</v>
      </c>
      <c r="M80" s="122" t="s">
        <v>7345</v>
      </c>
      <c r="O80" s="141" t="s">
        <v>1055</v>
      </c>
      <c r="P80" s="141" t="s">
        <v>7346</v>
      </c>
      <c r="Q80" s="122" t="s">
        <v>243</v>
      </c>
      <c r="R80" s="142">
        <v>9</v>
      </c>
      <c r="S80" s="122" t="s">
        <v>7347</v>
      </c>
      <c r="U80" s="122" t="s">
        <v>1420</v>
      </c>
      <c r="W80" s="122" t="s">
        <v>246</v>
      </c>
      <c r="X80" s="122" t="s">
        <v>721</v>
      </c>
      <c r="Z80" s="122" t="s">
        <v>250</v>
      </c>
      <c r="AB80" s="122" t="s">
        <v>250</v>
      </c>
      <c r="AD80" s="122" t="s">
        <v>250</v>
      </c>
      <c r="AE80" s="122" t="s">
        <v>235</v>
      </c>
      <c r="AF80" s="122" t="s">
        <v>7348</v>
      </c>
      <c r="AG80" s="122" t="s">
        <v>253</v>
      </c>
      <c r="AH80" s="122" t="s">
        <v>253</v>
      </c>
      <c r="AI80" s="122" t="s">
        <v>7349</v>
      </c>
      <c r="AJ80" s="122" t="s">
        <v>7350</v>
      </c>
      <c r="AK80" s="122" t="s">
        <v>7351</v>
      </c>
      <c r="AL80" s="122" t="s">
        <v>253</v>
      </c>
      <c r="AM80" s="122" t="s">
        <v>253</v>
      </c>
      <c r="AN80" s="122" t="s">
        <v>253</v>
      </c>
      <c r="AO80" s="141" t="s">
        <v>247</v>
      </c>
      <c r="AP80" s="141" t="s">
        <v>247</v>
      </c>
      <c r="AQ80" s="141" t="s">
        <v>247</v>
      </c>
      <c r="AR80" s="141" t="s">
        <v>253</v>
      </c>
      <c r="AS80" s="141" t="s">
        <v>601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41" t="s">
        <v>253</v>
      </c>
      <c r="AZ80" s="122" t="s">
        <v>7352</v>
      </c>
      <c r="BA80" s="122" t="s">
        <v>262</v>
      </c>
      <c r="BB80" s="122" t="s">
        <v>262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9</v>
      </c>
      <c r="BJ80" s="123">
        <v>42238</v>
      </c>
      <c r="BK80" s="139" t="s">
        <v>606</v>
      </c>
      <c r="BM80" s="122">
        <v>34</v>
      </c>
    </row>
    <row r="81" spans="1:65" x14ac:dyDescent="0.25">
      <c r="A81" s="122" t="s">
        <v>3037</v>
      </c>
      <c r="B81" s="122" t="s">
        <v>7353</v>
      </c>
      <c r="C81" s="122" t="s">
        <v>7354</v>
      </c>
      <c r="D81" s="122" t="s">
        <v>7355</v>
      </c>
      <c r="E81" s="123">
        <v>42226</v>
      </c>
      <c r="F81" s="122" t="s">
        <v>7356</v>
      </c>
      <c r="G81" s="122" t="s">
        <v>235</v>
      </c>
      <c r="H81" s="122" t="s">
        <v>7357</v>
      </c>
      <c r="I81" s="122" t="s">
        <v>7358</v>
      </c>
      <c r="K81" s="122" t="s">
        <v>238</v>
      </c>
      <c r="L81" s="122" t="s">
        <v>271</v>
      </c>
      <c r="M81" s="122" t="s">
        <v>2221</v>
      </c>
      <c r="N81" s="122" t="s">
        <v>7359</v>
      </c>
      <c r="O81" s="141" t="s">
        <v>850</v>
      </c>
      <c r="P81" s="141" t="s">
        <v>7360</v>
      </c>
      <c r="Q81" s="122" t="s">
        <v>243</v>
      </c>
      <c r="R81" s="142">
        <v>10</v>
      </c>
      <c r="S81" s="122" t="s">
        <v>7361</v>
      </c>
      <c r="U81" s="122" t="s">
        <v>1420</v>
      </c>
      <c r="W81" s="122" t="s">
        <v>246</v>
      </c>
      <c r="X81" s="122" t="s">
        <v>590</v>
      </c>
      <c r="Y81" s="141" t="s">
        <v>498</v>
      </c>
      <c r="Z81" s="122" t="s">
        <v>7362</v>
      </c>
      <c r="AA81" s="141" t="s">
        <v>834</v>
      </c>
      <c r="AB81" s="122" t="s">
        <v>7362</v>
      </c>
      <c r="AC81" s="141" t="s">
        <v>2306</v>
      </c>
      <c r="AD81" s="122" t="s">
        <v>7362</v>
      </c>
      <c r="AE81" s="122" t="s">
        <v>235</v>
      </c>
      <c r="AF81" s="122" t="s">
        <v>7363</v>
      </c>
      <c r="AG81" s="122" t="s">
        <v>537</v>
      </c>
      <c r="AH81" s="122" t="s">
        <v>253</v>
      </c>
      <c r="AI81" s="122" t="s">
        <v>5100</v>
      </c>
      <c r="AJ81" s="122" t="s">
        <v>5100</v>
      </c>
      <c r="AK81" s="122" t="s">
        <v>253</v>
      </c>
      <c r="AL81" s="122" t="s">
        <v>253</v>
      </c>
      <c r="AM81" s="122" t="s">
        <v>253</v>
      </c>
      <c r="AN81" s="122" t="s">
        <v>253</v>
      </c>
      <c r="AO81" s="141" t="s">
        <v>253</v>
      </c>
      <c r="AP81" s="141" t="s">
        <v>253</v>
      </c>
      <c r="AQ81" s="141" t="s">
        <v>247</v>
      </c>
      <c r="AR81" s="141" t="s">
        <v>253</v>
      </c>
      <c r="AS81" s="141" t="s">
        <v>361</v>
      </c>
      <c r="AT81" s="141" t="s">
        <v>601</v>
      </c>
      <c r="AU81" s="141" t="s">
        <v>258</v>
      </c>
      <c r="AV81" s="122" t="s">
        <v>259</v>
      </c>
      <c r="AW81" s="122" t="s">
        <v>260</v>
      </c>
      <c r="AY81" s="141" t="s">
        <v>253</v>
      </c>
      <c r="AZ81" s="122" t="s">
        <v>7364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10</v>
      </c>
      <c r="BJ81" s="123">
        <v>42230</v>
      </c>
      <c r="BK81" s="139" t="s">
        <v>264</v>
      </c>
      <c r="BL81" s="140">
        <v>89.49</v>
      </c>
      <c r="BM81" s="122">
        <v>33</v>
      </c>
    </row>
    <row r="82" spans="1:65" x14ac:dyDescent="0.25">
      <c r="A82" s="122" t="s">
        <v>3037</v>
      </c>
      <c r="B82" s="122" t="s">
        <v>7365</v>
      </c>
      <c r="C82" s="122" t="s">
        <v>7366</v>
      </c>
      <c r="D82" s="122" t="s">
        <v>7367</v>
      </c>
      <c r="E82" s="123">
        <v>42226</v>
      </c>
      <c r="F82" s="122" t="s">
        <v>2105</v>
      </c>
      <c r="G82" s="122" t="s">
        <v>235</v>
      </c>
      <c r="H82" s="122" t="s">
        <v>7368</v>
      </c>
      <c r="I82" s="122" t="s">
        <v>7369</v>
      </c>
      <c r="K82" s="122" t="s">
        <v>472</v>
      </c>
      <c r="L82" s="122" t="s">
        <v>473</v>
      </c>
      <c r="M82" s="122" t="s">
        <v>1774</v>
      </c>
      <c r="O82" s="141" t="s">
        <v>548</v>
      </c>
      <c r="P82" s="141" t="s">
        <v>7370</v>
      </c>
      <c r="Q82" s="122" t="s">
        <v>243</v>
      </c>
      <c r="R82" s="142">
        <v>11</v>
      </c>
      <c r="S82" s="122" t="s">
        <v>7371</v>
      </c>
      <c r="U82" s="122" t="s">
        <v>1420</v>
      </c>
      <c r="W82" s="122" t="s">
        <v>246</v>
      </c>
      <c r="X82" s="122" t="s">
        <v>497</v>
      </c>
      <c r="Y82" s="141" t="s">
        <v>595</v>
      </c>
      <c r="Z82" s="122" t="s">
        <v>7372</v>
      </c>
      <c r="AB82" s="122" t="s">
        <v>250</v>
      </c>
      <c r="AD82" s="122" t="s">
        <v>250</v>
      </c>
      <c r="AE82" s="122" t="s">
        <v>235</v>
      </c>
      <c r="AF82" s="122" t="s">
        <v>7373</v>
      </c>
      <c r="AG82" s="122" t="s">
        <v>537</v>
      </c>
      <c r="AH82" s="122" t="s">
        <v>253</v>
      </c>
      <c r="AI82" s="122" t="s">
        <v>7374</v>
      </c>
      <c r="AJ82" s="122" t="s">
        <v>7375</v>
      </c>
      <c r="AK82" s="122" t="s">
        <v>253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247</v>
      </c>
      <c r="AR82" s="141" t="s">
        <v>253</v>
      </c>
      <c r="AS82" s="141" t="s">
        <v>601</v>
      </c>
      <c r="AT82" s="141" t="s">
        <v>601</v>
      </c>
      <c r="AU82" s="141" t="s">
        <v>258</v>
      </c>
      <c r="AV82" s="122" t="s">
        <v>259</v>
      </c>
      <c r="AW82" s="122" t="s">
        <v>260</v>
      </c>
      <c r="AX82" s="141" t="s">
        <v>7376</v>
      </c>
      <c r="AY82" s="141" t="s">
        <v>247</v>
      </c>
      <c r="AZ82" s="122" t="s">
        <v>7377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11</v>
      </c>
      <c r="BJ82" s="123">
        <v>42234</v>
      </c>
      <c r="BK82" s="139" t="s">
        <v>606</v>
      </c>
      <c r="BM82" s="122">
        <v>34</v>
      </c>
    </row>
    <row r="83" spans="1:65" x14ac:dyDescent="0.25">
      <c r="A83" s="122" t="s">
        <v>3037</v>
      </c>
      <c r="B83" s="122" t="s">
        <v>7378</v>
      </c>
      <c r="C83" s="122" t="s">
        <v>7379</v>
      </c>
      <c r="D83" s="122" t="s">
        <v>7380</v>
      </c>
      <c r="E83" s="123">
        <v>42226</v>
      </c>
      <c r="F83" s="122" t="s">
        <v>304</v>
      </c>
      <c r="G83" s="122" t="s">
        <v>235</v>
      </c>
      <c r="H83" s="122" t="s">
        <v>448</v>
      </c>
      <c r="I83" s="122" t="s">
        <v>7381</v>
      </c>
      <c r="J83" s="122" t="s">
        <v>7382</v>
      </c>
      <c r="K83" s="122" t="s">
        <v>238</v>
      </c>
      <c r="L83" s="122" t="s">
        <v>297</v>
      </c>
      <c r="M83" s="122" t="s">
        <v>2481</v>
      </c>
      <c r="Q83" s="122" t="s">
        <v>243</v>
      </c>
      <c r="R83" s="142">
        <v>12</v>
      </c>
      <c r="S83" s="122" t="s">
        <v>7383</v>
      </c>
      <c r="U83" s="122" t="s">
        <v>1420</v>
      </c>
      <c r="V83" s="122" t="s">
        <v>351</v>
      </c>
      <c r="W83" s="122" t="s">
        <v>246</v>
      </c>
      <c r="X83" s="122" t="s">
        <v>721</v>
      </c>
      <c r="Z83" s="122" t="s">
        <v>250</v>
      </c>
      <c r="AB83" s="122" t="s">
        <v>250</v>
      </c>
      <c r="AD83" s="122" t="s">
        <v>250</v>
      </c>
      <c r="AE83" s="122" t="s">
        <v>235</v>
      </c>
      <c r="AF83" s="122" t="s">
        <v>7384</v>
      </c>
      <c r="AG83" s="122" t="s">
        <v>253</v>
      </c>
      <c r="AH83" s="122" t="s">
        <v>5913</v>
      </c>
      <c r="AI83" s="122" t="s">
        <v>1911</v>
      </c>
      <c r="AJ83" s="122" t="s">
        <v>7385</v>
      </c>
      <c r="AK83" s="122" t="s">
        <v>7386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253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41" t="s">
        <v>253</v>
      </c>
      <c r="AZ83" s="122" t="s">
        <v>262</v>
      </c>
      <c r="BA83" s="122" t="s">
        <v>262</v>
      </c>
      <c r="BB83" s="122" t="s">
        <v>7387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12</v>
      </c>
      <c r="BJ83" s="123">
        <v>42236</v>
      </c>
      <c r="BK83" s="139" t="s">
        <v>606</v>
      </c>
      <c r="BM83" s="122">
        <v>34</v>
      </c>
    </row>
    <row r="84" spans="1:65" x14ac:dyDescent="0.25">
      <c r="A84" s="122" t="s">
        <v>3037</v>
      </c>
      <c r="B84" s="122" t="s">
        <v>7388</v>
      </c>
      <c r="C84" s="122" t="s">
        <v>7389</v>
      </c>
      <c r="D84" s="122" t="s">
        <v>7390</v>
      </c>
      <c r="E84" s="123">
        <v>42226</v>
      </c>
      <c r="F84" s="122" t="s">
        <v>570</v>
      </c>
      <c r="G84" s="122" t="s">
        <v>235</v>
      </c>
      <c r="H84" s="122" t="s">
        <v>7391</v>
      </c>
      <c r="I84" s="122" t="s">
        <v>7392</v>
      </c>
      <c r="J84" s="122" t="s">
        <v>7393</v>
      </c>
      <c r="K84" s="122" t="s">
        <v>238</v>
      </c>
      <c r="L84" s="122" t="s">
        <v>429</v>
      </c>
      <c r="M84" s="122" t="s">
        <v>1774</v>
      </c>
      <c r="O84" s="141" t="s">
        <v>5366</v>
      </c>
      <c r="P84" s="141" t="s">
        <v>7394</v>
      </c>
      <c r="Q84" s="122" t="s">
        <v>243</v>
      </c>
      <c r="R84" s="142">
        <v>13</v>
      </c>
      <c r="S84" s="122" t="s">
        <v>7395</v>
      </c>
      <c r="U84" s="122" t="s">
        <v>1420</v>
      </c>
      <c r="W84" s="122" t="s">
        <v>246</v>
      </c>
      <c r="X84" s="122" t="s">
        <v>721</v>
      </c>
      <c r="Y84" s="141" t="s">
        <v>457</v>
      </c>
      <c r="Z84" s="122" t="s">
        <v>818</v>
      </c>
      <c r="AB84" s="122" t="s">
        <v>250</v>
      </c>
      <c r="AD84" s="122" t="s">
        <v>250</v>
      </c>
      <c r="AE84" s="122" t="s">
        <v>235</v>
      </c>
      <c r="AF84" s="122" t="s">
        <v>7396</v>
      </c>
      <c r="AG84" s="122" t="s">
        <v>253</v>
      </c>
      <c r="AH84" s="122" t="s">
        <v>253</v>
      </c>
      <c r="AI84" s="122" t="s">
        <v>7397</v>
      </c>
      <c r="AJ84" s="122" t="s">
        <v>2956</v>
      </c>
      <c r="AK84" s="122" t="s">
        <v>7398</v>
      </c>
      <c r="AL84" s="122" t="s">
        <v>253</v>
      </c>
      <c r="AM84" s="122" t="s">
        <v>253</v>
      </c>
      <c r="AN84" s="122" t="s">
        <v>253</v>
      </c>
      <c r="AO84" s="141" t="s">
        <v>253</v>
      </c>
      <c r="AP84" s="141" t="s">
        <v>253</v>
      </c>
      <c r="AQ84" s="141" t="s">
        <v>247</v>
      </c>
      <c r="AR84" s="141" t="s">
        <v>253</v>
      </c>
      <c r="AS84" s="141" t="s">
        <v>361</v>
      </c>
      <c r="AT84" s="141" t="s">
        <v>601</v>
      </c>
      <c r="AU84" s="141" t="s">
        <v>258</v>
      </c>
      <c r="AV84" s="122" t="s">
        <v>259</v>
      </c>
      <c r="AW84" s="122" t="s">
        <v>260</v>
      </c>
      <c r="AY84" s="141" t="s">
        <v>253</v>
      </c>
      <c r="AZ84" s="122" t="s">
        <v>7399</v>
      </c>
      <c r="BA84" s="122" t="s">
        <v>262</v>
      </c>
      <c r="BB84" s="122" t="s">
        <v>262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13</v>
      </c>
      <c r="BJ84" s="123">
        <v>42236</v>
      </c>
      <c r="BK84" s="139" t="s">
        <v>606</v>
      </c>
      <c r="BM84" s="122">
        <v>34</v>
      </c>
    </row>
    <row r="85" spans="1:65" x14ac:dyDescent="0.25">
      <c r="A85" s="122" t="s">
        <v>3037</v>
      </c>
      <c r="B85" s="122" t="s">
        <v>7400</v>
      </c>
      <c r="C85" s="122" t="s">
        <v>7401</v>
      </c>
      <c r="D85" s="122" t="s">
        <v>3950</v>
      </c>
      <c r="E85" s="123">
        <v>42226</v>
      </c>
      <c r="F85" s="122" t="s">
        <v>7402</v>
      </c>
      <c r="G85" s="122" t="s">
        <v>235</v>
      </c>
      <c r="H85" s="122" t="s">
        <v>448</v>
      </c>
      <c r="I85" s="122" t="s">
        <v>7403</v>
      </c>
      <c r="J85" s="122" t="s">
        <v>7404</v>
      </c>
      <c r="K85" s="122" t="s">
        <v>238</v>
      </c>
      <c r="L85" s="122" t="s">
        <v>271</v>
      </c>
      <c r="O85" s="141" t="s">
        <v>7405</v>
      </c>
      <c r="P85" s="141" t="s">
        <v>7406</v>
      </c>
      <c r="R85" s="142">
        <v>14</v>
      </c>
      <c r="U85" s="122" t="s">
        <v>1420</v>
      </c>
      <c r="W85" s="122" t="s">
        <v>246</v>
      </c>
      <c r="X85" s="122" t="s">
        <v>454</v>
      </c>
      <c r="Z85" s="122" t="s">
        <v>250</v>
      </c>
      <c r="AB85" s="122" t="s">
        <v>250</v>
      </c>
      <c r="AD85" s="122" t="s">
        <v>250</v>
      </c>
      <c r="AE85" s="122" t="s">
        <v>235</v>
      </c>
      <c r="AF85" s="122" t="s">
        <v>7407</v>
      </c>
      <c r="AG85" s="122" t="s">
        <v>537</v>
      </c>
      <c r="AH85" s="122" t="s">
        <v>253</v>
      </c>
      <c r="AI85" s="122" t="s">
        <v>7408</v>
      </c>
      <c r="AJ85" s="122" t="s">
        <v>7409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253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41" t="s">
        <v>253</v>
      </c>
      <c r="AZ85" s="122" t="s">
        <v>262</v>
      </c>
      <c r="BA85" s="122" t="s">
        <v>262</v>
      </c>
      <c r="BB85" s="122" t="s">
        <v>262</v>
      </c>
      <c r="BC85" s="141" t="s">
        <v>312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14</v>
      </c>
      <c r="BJ85" s="123">
        <v>42237</v>
      </c>
      <c r="BK85" s="139" t="s">
        <v>606</v>
      </c>
      <c r="BM85" s="122">
        <v>34</v>
      </c>
    </row>
    <row r="86" spans="1:65" x14ac:dyDescent="0.25">
      <c r="A86" s="122" t="s">
        <v>3037</v>
      </c>
      <c r="B86" s="122" t="s">
        <v>7410</v>
      </c>
      <c r="C86" s="122" t="s">
        <v>7411</v>
      </c>
      <c r="D86" s="122" t="s">
        <v>7412</v>
      </c>
      <c r="E86" s="123">
        <v>42226</v>
      </c>
      <c r="F86" s="122" t="s">
        <v>2235</v>
      </c>
      <c r="G86" s="122" t="s">
        <v>235</v>
      </c>
      <c r="H86" s="122" t="s">
        <v>448</v>
      </c>
      <c r="I86" s="122" t="s">
        <v>7413</v>
      </c>
      <c r="K86" s="122" t="s">
        <v>238</v>
      </c>
      <c r="L86" s="122" t="s">
        <v>429</v>
      </c>
      <c r="M86" s="122" t="s">
        <v>7414</v>
      </c>
      <c r="N86" s="122" t="s">
        <v>2085</v>
      </c>
      <c r="O86" s="141" t="s">
        <v>1240</v>
      </c>
      <c r="P86" s="141" t="s">
        <v>7415</v>
      </c>
      <c r="Q86" s="122" t="s">
        <v>243</v>
      </c>
      <c r="R86" s="142">
        <v>15</v>
      </c>
      <c r="S86" s="122" t="s">
        <v>7416</v>
      </c>
      <c r="U86" s="122" t="s">
        <v>1420</v>
      </c>
      <c r="W86" s="122" t="s">
        <v>246</v>
      </c>
      <c r="X86" s="122" t="s">
        <v>433</v>
      </c>
      <c r="Y86" s="141" t="s">
        <v>1876</v>
      </c>
      <c r="Z86" s="122" t="s">
        <v>7417</v>
      </c>
      <c r="AA86" s="141" t="s">
        <v>1090</v>
      </c>
      <c r="AB86" s="122" t="s">
        <v>7418</v>
      </c>
      <c r="AC86" s="141" t="s">
        <v>1547</v>
      </c>
      <c r="AD86" s="122" t="s">
        <v>460</v>
      </c>
      <c r="AE86" s="122" t="s">
        <v>235</v>
      </c>
      <c r="AF86" s="122" t="s">
        <v>7419</v>
      </c>
      <c r="AG86" s="122" t="s">
        <v>537</v>
      </c>
      <c r="AH86" s="122" t="s">
        <v>253</v>
      </c>
      <c r="AI86" s="122" t="s">
        <v>7420</v>
      </c>
      <c r="AJ86" s="122" t="s">
        <v>7421</v>
      </c>
      <c r="AK86" s="122" t="s">
        <v>253</v>
      </c>
      <c r="AL86" s="122" t="s">
        <v>253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247</v>
      </c>
      <c r="AR86" s="141" t="s">
        <v>247</v>
      </c>
      <c r="AS86" s="141" t="s">
        <v>601</v>
      </c>
      <c r="AT86" s="141" t="s">
        <v>601</v>
      </c>
      <c r="AU86" s="141" t="s">
        <v>601</v>
      </c>
      <c r="AV86" s="122" t="s">
        <v>259</v>
      </c>
      <c r="AW86" s="122" t="s">
        <v>260</v>
      </c>
      <c r="AY86" s="141" t="s">
        <v>253</v>
      </c>
      <c r="AZ86" s="122" t="s">
        <v>262</v>
      </c>
      <c r="BA86" s="122" t="s">
        <v>262</v>
      </c>
      <c r="BB86" s="122" t="s">
        <v>262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15</v>
      </c>
      <c r="BJ86" s="123">
        <v>42234</v>
      </c>
      <c r="BK86" s="139" t="s">
        <v>606</v>
      </c>
      <c r="BM86" s="122">
        <v>34</v>
      </c>
    </row>
    <row r="87" spans="1:65" x14ac:dyDescent="0.25">
      <c r="A87" s="122" t="s">
        <v>1161</v>
      </c>
      <c r="B87" s="122" t="s">
        <v>7422</v>
      </c>
      <c r="C87" s="122" t="s">
        <v>7423</v>
      </c>
      <c r="D87" s="122" t="s">
        <v>7424</v>
      </c>
      <c r="E87" s="123">
        <v>42226</v>
      </c>
      <c r="F87" s="122" t="s">
        <v>724</v>
      </c>
      <c r="G87" s="122" t="s">
        <v>235</v>
      </c>
      <c r="H87" s="122" t="s">
        <v>7425</v>
      </c>
      <c r="I87" s="122" t="s">
        <v>7426</v>
      </c>
      <c r="K87" s="122" t="s">
        <v>238</v>
      </c>
      <c r="L87" s="122" t="s">
        <v>271</v>
      </c>
      <c r="M87" s="122" t="s">
        <v>1803</v>
      </c>
      <c r="O87" s="141" t="s">
        <v>613</v>
      </c>
      <c r="P87" s="141" t="s">
        <v>7427</v>
      </c>
      <c r="Q87" s="122" t="s">
        <v>243</v>
      </c>
      <c r="R87" s="142">
        <v>16</v>
      </c>
      <c r="S87" s="122" t="s">
        <v>7428</v>
      </c>
      <c r="T87" s="122" t="s">
        <v>7429</v>
      </c>
      <c r="U87" s="122" t="s">
        <v>1420</v>
      </c>
      <c r="W87" s="122" t="s">
        <v>246</v>
      </c>
      <c r="X87" s="122" t="s">
        <v>1057</v>
      </c>
      <c r="Y87" s="141" t="s">
        <v>593</v>
      </c>
      <c r="Z87" s="122" t="s">
        <v>3204</v>
      </c>
      <c r="AA87" s="141" t="s">
        <v>328</v>
      </c>
      <c r="AB87" s="122" t="s">
        <v>7430</v>
      </c>
      <c r="AC87" s="141" t="s">
        <v>1679</v>
      </c>
      <c r="AD87" s="122" t="s">
        <v>7431</v>
      </c>
      <c r="AE87" s="122" t="s">
        <v>235</v>
      </c>
      <c r="AF87" s="122" t="s">
        <v>7432</v>
      </c>
      <c r="AG87" s="122" t="s">
        <v>537</v>
      </c>
      <c r="AH87" s="122" t="s">
        <v>253</v>
      </c>
      <c r="AI87" s="122" t="s">
        <v>3207</v>
      </c>
      <c r="AJ87" s="122" t="s">
        <v>7433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253</v>
      </c>
      <c r="AP87" s="141" t="s">
        <v>253</v>
      </c>
      <c r="AQ87" s="141" t="s">
        <v>247</v>
      </c>
      <c r="AR87" s="141" t="s">
        <v>253</v>
      </c>
      <c r="AS87" s="141" t="s">
        <v>361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Y87" s="141" t="s">
        <v>253</v>
      </c>
      <c r="AZ87" s="122" t="s">
        <v>7434</v>
      </c>
      <c r="BA87" s="122" t="s">
        <v>262</v>
      </c>
      <c r="BB87" s="122" t="s">
        <v>262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16</v>
      </c>
      <c r="BJ87" s="123">
        <v>42228</v>
      </c>
      <c r="BK87" s="139" t="s">
        <v>264</v>
      </c>
      <c r="BL87" s="140">
        <v>100</v>
      </c>
      <c r="BM87" s="122">
        <v>33</v>
      </c>
    </row>
    <row r="88" spans="1:65" x14ac:dyDescent="0.25">
      <c r="A88" s="122" t="s">
        <v>1161</v>
      </c>
      <c r="B88" s="122" t="s">
        <v>7435</v>
      </c>
      <c r="C88" s="122" t="s">
        <v>7436</v>
      </c>
      <c r="D88" s="122" t="s">
        <v>7437</v>
      </c>
      <c r="E88" s="123">
        <v>42226</v>
      </c>
      <c r="F88" s="122" t="s">
        <v>901</v>
      </c>
      <c r="G88" s="122" t="s">
        <v>235</v>
      </c>
      <c r="H88" s="122" t="s">
        <v>7438</v>
      </c>
      <c r="I88" s="122" t="s">
        <v>2219</v>
      </c>
      <c r="J88" s="122" t="s">
        <v>7393</v>
      </c>
      <c r="K88" s="122" t="s">
        <v>238</v>
      </c>
      <c r="L88" s="122" t="s">
        <v>271</v>
      </c>
      <c r="M88" s="122" t="s">
        <v>2221</v>
      </c>
      <c r="O88" s="141" t="s">
        <v>566</v>
      </c>
      <c r="P88" s="141" t="s">
        <v>7439</v>
      </c>
      <c r="Q88" s="122" t="s">
        <v>243</v>
      </c>
      <c r="R88" s="142">
        <v>17</v>
      </c>
      <c r="S88" s="122" t="s">
        <v>7440</v>
      </c>
      <c r="U88" s="122" t="s">
        <v>1420</v>
      </c>
      <c r="W88" s="122" t="s">
        <v>246</v>
      </c>
      <c r="X88" s="122" t="s">
        <v>1057</v>
      </c>
      <c r="Y88" s="141" t="s">
        <v>4229</v>
      </c>
      <c r="Z88" s="122" t="s">
        <v>7441</v>
      </c>
      <c r="AA88" s="141" t="s">
        <v>705</v>
      </c>
      <c r="AB88" s="122" t="s">
        <v>7442</v>
      </c>
      <c r="AC88" s="141" t="s">
        <v>1258</v>
      </c>
      <c r="AD88" s="122" t="s">
        <v>518</v>
      </c>
      <c r="AE88" s="122" t="s">
        <v>235</v>
      </c>
      <c r="AF88" s="122" t="s">
        <v>7443</v>
      </c>
      <c r="AG88" s="122" t="s">
        <v>747</v>
      </c>
      <c r="AH88" s="122" t="s">
        <v>253</v>
      </c>
      <c r="AI88" s="122" t="s">
        <v>7444</v>
      </c>
      <c r="AJ88" s="122" t="s">
        <v>7445</v>
      </c>
      <c r="AK88" s="122" t="s">
        <v>253</v>
      </c>
      <c r="AL88" s="122" t="s">
        <v>253</v>
      </c>
      <c r="AM88" s="122" t="s">
        <v>253</v>
      </c>
      <c r="AN88" s="122" t="s">
        <v>253</v>
      </c>
      <c r="AO88" s="141" t="s">
        <v>247</v>
      </c>
      <c r="AP88" s="141" t="s">
        <v>247</v>
      </c>
      <c r="AQ88" s="141" t="s">
        <v>247</v>
      </c>
      <c r="AR88" s="141" t="s">
        <v>253</v>
      </c>
      <c r="AS88" s="141" t="s">
        <v>601</v>
      </c>
      <c r="AT88" s="141" t="s">
        <v>601</v>
      </c>
      <c r="AU88" s="141" t="s">
        <v>258</v>
      </c>
      <c r="AV88" s="122" t="s">
        <v>259</v>
      </c>
      <c r="AW88" s="122" t="s">
        <v>260</v>
      </c>
      <c r="AX88" s="141" t="s">
        <v>7446</v>
      </c>
      <c r="AY88" s="141" t="s">
        <v>247</v>
      </c>
      <c r="AZ88" s="122" t="s">
        <v>7447</v>
      </c>
      <c r="BA88" s="122" t="s">
        <v>262</v>
      </c>
      <c r="BB88" s="122" t="s">
        <v>262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17</v>
      </c>
      <c r="BJ88" s="123">
        <v>42237</v>
      </c>
      <c r="BK88" s="139" t="s">
        <v>606</v>
      </c>
      <c r="BM88" s="122">
        <v>34</v>
      </c>
    </row>
    <row r="89" spans="1:65" x14ac:dyDescent="0.25">
      <c r="A89" s="122" t="s">
        <v>1161</v>
      </c>
      <c r="B89" s="122" t="s">
        <v>7448</v>
      </c>
      <c r="C89" s="122" t="s">
        <v>7449</v>
      </c>
      <c r="D89" s="122" t="s">
        <v>7450</v>
      </c>
      <c r="E89" s="123">
        <v>42226</v>
      </c>
      <c r="F89" s="122" t="s">
        <v>3574</v>
      </c>
      <c r="G89" s="122" t="s">
        <v>235</v>
      </c>
      <c r="H89" s="122" t="s">
        <v>448</v>
      </c>
      <c r="I89" s="122" t="s">
        <v>7451</v>
      </c>
      <c r="J89" s="122" t="s">
        <v>7452</v>
      </c>
      <c r="K89" s="122" t="s">
        <v>238</v>
      </c>
      <c r="L89" s="122" t="s">
        <v>271</v>
      </c>
      <c r="M89" s="122" t="s">
        <v>2441</v>
      </c>
      <c r="O89" s="141" t="s">
        <v>548</v>
      </c>
      <c r="P89" s="141" t="s">
        <v>7453</v>
      </c>
      <c r="Q89" s="122" t="s">
        <v>243</v>
      </c>
      <c r="R89" s="142">
        <v>18</v>
      </c>
      <c r="S89" s="122" t="s">
        <v>7454</v>
      </c>
      <c r="U89" s="122" t="s">
        <v>1420</v>
      </c>
      <c r="W89" s="122" t="s">
        <v>246</v>
      </c>
      <c r="X89" s="122" t="s">
        <v>497</v>
      </c>
      <c r="Y89" s="141" t="s">
        <v>535</v>
      </c>
      <c r="Z89" s="122" t="s">
        <v>7455</v>
      </c>
      <c r="AB89" s="122" t="s">
        <v>250</v>
      </c>
      <c r="AD89" s="122" t="s">
        <v>250</v>
      </c>
      <c r="AE89" s="122" t="s">
        <v>235</v>
      </c>
      <c r="AF89" s="122" t="s">
        <v>7456</v>
      </c>
      <c r="AG89" s="122" t="s">
        <v>537</v>
      </c>
      <c r="AH89" s="122" t="s">
        <v>253</v>
      </c>
      <c r="AI89" s="122" t="s">
        <v>7457</v>
      </c>
      <c r="AJ89" s="122" t="s">
        <v>7458</v>
      </c>
      <c r="AK89" s="122" t="s">
        <v>253</v>
      </c>
      <c r="AL89" s="122" t="s">
        <v>253</v>
      </c>
      <c r="AM89" s="122" t="s">
        <v>253</v>
      </c>
      <c r="AN89" s="122" t="s">
        <v>253</v>
      </c>
      <c r="AO89" s="141" t="s">
        <v>247</v>
      </c>
      <c r="AP89" s="141" t="s">
        <v>247</v>
      </c>
      <c r="AQ89" s="141" t="s">
        <v>247</v>
      </c>
      <c r="AR89" s="141" t="s">
        <v>253</v>
      </c>
      <c r="AS89" s="141" t="s">
        <v>601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41" t="s">
        <v>253</v>
      </c>
      <c r="AZ89" s="122" t="s">
        <v>262</v>
      </c>
      <c r="BA89" s="122" t="s">
        <v>262</v>
      </c>
      <c r="BB89" s="122" t="s">
        <v>7459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18</v>
      </c>
      <c r="BJ89" s="123">
        <v>42238</v>
      </c>
      <c r="BK89" s="139" t="s">
        <v>606</v>
      </c>
      <c r="BM89" s="122">
        <v>34</v>
      </c>
    </row>
    <row r="90" spans="1:65" x14ac:dyDescent="0.25">
      <c r="A90" s="122" t="s">
        <v>1161</v>
      </c>
      <c r="B90" s="122" t="s">
        <v>7460</v>
      </c>
      <c r="C90" s="122" t="s">
        <v>7461</v>
      </c>
      <c r="D90" s="122" t="s">
        <v>7462</v>
      </c>
      <c r="E90" s="123">
        <v>42226</v>
      </c>
      <c r="F90" s="122" t="s">
        <v>765</v>
      </c>
      <c r="G90" s="122" t="s">
        <v>235</v>
      </c>
      <c r="H90" s="122" t="s">
        <v>448</v>
      </c>
      <c r="I90" s="122" t="s">
        <v>7463</v>
      </c>
      <c r="J90" s="122" t="s">
        <v>7464</v>
      </c>
      <c r="K90" s="122" t="s">
        <v>238</v>
      </c>
      <c r="L90" s="122" t="s">
        <v>297</v>
      </c>
      <c r="M90" s="122" t="s">
        <v>2496</v>
      </c>
      <c r="O90" s="141" t="s">
        <v>548</v>
      </c>
      <c r="P90" s="141" t="s">
        <v>7465</v>
      </c>
      <c r="Q90" s="122" t="s">
        <v>243</v>
      </c>
      <c r="R90" s="142">
        <v>19</v>
      </c>
      <c r="S90" s="122" t="s">
        <v>7466</v>
      </c>
      <c r="U90" s="122" t="s">
        <v>1420</v>
      </c>
      <c r="W90" s="122" t="s">
        <v>246</v>
      </c>
      <c r="X90" s="122" t="s">
        <v>497</v>
      </c>
      <c r="Y90" s="141" t="s">
        <v>2133</v>
      </c>
      <c r="Z90" s="122" t="s">
        <v>7467</v>
      </c>
      <c r="AA90" s="141" t="s">
        <v>1698</v>
      </c>
      <c r="AB90" s="122" t="s">
        <v>7468</v>
      </c>
      <c r="AC90" s="141" t="s">
        <v>1629</v>
      </c>
      <c r="AD90" s="122" t="s">
        <v>1326</v>
      </c>
      <c r="AE90" s="122" t="s">
        <v>235</v>
      </c>
      <c r="AF90" s="122" t="s">
        <v>7469</v>
      </c>
      <c r="AG90" s="122" t="s">
        <v>537</v>
      </c>
      <c r="AH90" s="122" t="s">
        <v>253</v>
      </c>
      <c r="AI90" s="122" t="s">
        <v>7470</v>
      </c>
      <c r="AJ90" s="122" t="s">
        <v>7471</v>
      </c>
      <c r="AK90" s="122" t="s">
        <v>253</v>
      </c>
      <c r="AL90" s="122" t="s">
        <v>253</v>
      </c>
      <c r="AM90" s="122" t="s">
        <v>253</v>
      </c>
      <c r="AN90" s="122" t="s">
        <v>253</v>
      </c>
      <c r="AO90" s="141" t="s">
        <v>253</v>
      </c>
      <c r="AP90" s="141" t="s">
        <v>253</v>
      </c>
      <c r="AQ90" s="141" t="s">
        <v>247</v>
      </c>
      <c r="AR90" s="141" t="s">
        <v>253</v>
      </c>
      <c r="AS90" s="141" t="s">
        <v>361</v>
      </c>
      <c r="AT90" s="141" t="s">
        <v>601</v>
      </c>
      <c r="AU90" s="141" t="s">
        <v>258</v>
      </c>
      <c r="AV90" s="122" t="s">
        <v>259</v>
      </c>
      <c r="AW90" s="122" t="s">
        <v>260</v>
      </c>
      <c r="AX90" s="141" t="s">
        <v>7472</v>
      </c>
      <c r="AY90" s="141" t="s">
        <v>247</v>
      </c>
      <c r="AZ90" s="122" t="s">
        <v>262</v>
      </c>
      <c r="BA90" s="122" t="s">
        <v>262</v>
      </c>
      <c r="BB90" s="122" t="s">
        <v>7473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19</v>
      </c>
    </row>
    <row r="91" spans="1:65" x14ac:dyDescent="0.25">
      <c r="A91" s="122" t="s">
        <v>6059</v>
      </c>
      <c r="B91" s="122" t="s">
        <v>7474</v>
      </c>
      <c r="C91" s="122" t="s">
        <v>7475</v>
      </c>
      <c r="D91" s="122" t="s">
        <v>7476</v>
      </c>
      <c r="E91" s="123">
        <v>42226</v>
      </c>
      <c r="F91" s="122" t="s">
        <v>3079</v>
      </c>
      <c r="G91" s="122" t="s">
        <v>235</v>
      </c>
      <c r="H91" s="122" t="s">
        <v>7477</v>
      </c>
      <c r="I91" s="122" t="s">
        <v>7478</v>
      </c>
      <c r="J91" s="122" t="s">
        <v>7479</v>
      </c>
      <c r="K91" s="122" t="s">
        <v>238</v>
      </c>
      <c r="L91" s="122" t="s">
        <v>271</v>
      </c>
      <c r="M91" s="122" t="s">
        <v>7345</v>
      </c>
      <c r="O91" s="141" t="s">
        <v>273</v>
      </c>
      <c r="P91" s="141" t="s">
        <v>7480</v>
      </c>
      <c r="Q91" s="122" t="s">
        <v>243</v>
      </c>
      <c r="R91" s="142">
        <v>20</v>
      </c>
      <c r="S91" s="122" t="s">
        <v>7481</v>
      </c>
      <c r="U91" s="122" t="s">
        <v>1420</v>
      </c>
      <c r="W91" s="122" t="s">
        <v>246</v>
      </c>
      <c r="X91" s="122" t="s">
        <v>454</v>
      </c>
      <c r="Y91" s="141" t="s">
        <v>668</v>
      </c>
      <c r="Z91" s="122" t="s">
        <v>7482</v>
      </c>
      <c r="AA91" s="141" t="s">
        <v>367</v>
      </c>
      <c r="AB91" s="122" t="s">
        <v>7482</v>
      </c>
      <c r="AC91" s="141" t="s">
        <v>7483</v>
      </c>
      <c r="AD91" s="122" t="s">
        <v>7484</v>
      </c>
      <c r="AE91" s="122" t="s">
        <v>235</v>
      </c>
      <c r="AF91" s="122" t="s">
        <v>7485</v>
      </c>
      <c r="AG91" s="122" t="s">
        <v>537</v>
      </c>
      <c r="AH91" s="122" t="s">
        <v>253</v>
      </c>
      <c r="AI91" s="122" t="s">
        <v>7486</v>
      </c>
      <c r="AJ91" s="122" t="s">
        <v>7487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247</v>
      </c>
      <c r="AP91" s="141" t="s">
        <v>247</v>
      </c>
      <c r="AQ91" s="141" t="s">
        <v>247</v>
      </c>
      <c r="AR91" s="141" t="s">
        <v>247</v>
      </c>
      <c r="AS91" s="141" t="s">
        <v>601</v>
      </c>
      <c r="AT91" s="141" t="s">
        <v>601</v>
      </c>
      <c r="AU91" s="141" t="s">
        <v>601</v>
      </c>
      <c r="AV91" s="122" t="s">
        <v>259</v>
      </c>
      <c r="AW91" s="122" t="s">
        <v>260</v>
      </c>
      <c r="AY91" s="141" t="s">
        <v>253</v>
      </c>
      <c r="AZ91" s="122" t="s">
        <v>7488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20</v>
      </c>
      <c r="BJ91" s="123">
        <v>42238</v>
      </c>
      <c r="BK91" s="139" t="s">
        <v>606</v>
      </c>
      <c r="BM91" s="122">
        <v>34</v>
      </c>
    </row>
    <row r="92" spans="1:65" x14ac:dyDescent="0.25">
      <c r="A92" s="122" t="s">
        <v>6059</v>
      </c>
      <c r="B92" s="122" t="s">
        <v>7489</v>
      </c>
      <c r="C92" s="122" t="s">
        <v>7490</v>
      </c>
      <c r="D92" s="122" t="s">
        <v>7491</v>
      </c>
      <c r="E92" s="123">
        <v>42226</v>
      </c>
      <c r="F92" s="122" t="s">
        <v>7492</v>
      </c>
      <c r="G92" s="122" t="s">
        <v>235</v>
      </c>
      <c r="H92" s="122" t="s">
        <v>7493</v>
      </c>
      <c r="I92" s="122" t="s">
        <v>7494</v>
      </c>
      <c r="K92" s="122" t="s">
        <v>238</v>
      </c>
      <c r="L92" s="122" t="s">
        <v>429</v>
      </c>
      <c r="M92" s="122" t="s">
        <v>430</v>
      </c>
      <c r="O92" s="141" t="s">
        <v>916</v>
      </c>
      <c r="P92" s="141" t="s">
        <v>7495</v>
      </c>
      <c r="Q92" s="122" t="s">
        <v>243</v>
      </c>
      <c r="R92" s="142">
        <v>21</v>
      </c>
      <c r="S92" s="122" t="s">
        <v>7496</v>
      </c>
      <c r="U92" s="122" t="s">
        <v>1420</v>
      </c>
      <c r="W92" s="122" t="s">
        <v>246</v>
      </c>
      <c r="X92" s="122" t="s">
        <v>853</v>
      </c>
      <c r="Y92" s="141" t="s">
        <v>1162</v>
      </c>
      <c r="Z92" s="122" t="s">
        <v>7497</v>
      </c>
      <c r="AA92" s="141" t="s">
        <v>500</v>
      </c>
      <c r="AB92" s="122" t="s">
        <v>7498</v>
      </c>
      <c r="AC92" s="141" t="s">
        <v>500</v>
      </c>
      <c r="AD92" s="122" t="s">
        <v>7499</v>
      </c>
      <c r="AE92" s="122" t="s">
        <v>235</v>
      </c>
      <c r="AF92" s="122" t="s">
        <v>7500</v>
      </c>
      <c r="AG92" s="122" t="s">
        <v>638</v>
      </c>
      <c r="AH92" s="122" t="s">
        <v>253</v>
      </c>
      <c r="AI92" s="122" t="s">
        <v>7501</v>
      </c>
      <c r="AJ92" s="122" t="s">
        <v>7502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247</v>
      </c>
      <c r="AP92" s="141" t="s">
        <v>247</v>
      </c>
      <c r="AQ92" s="141" t="s">
        <v>247</v>
      </c>
      <c r="AR92" s="141" t="s">
        <v>247</v>
      </c>
      <c r="AS92" s="141" t="s">
        <v>601</v>
      </c>
      <c r="AT92" s="141" t="s">
        <v>601</v>
      </c>
      <c r="AU92" s="141" t="s">
        <v>257</v>
      </c>
      <c r="AV92" s="122" t="s">
        <v>259</v>
      </c>
      <c r="AW92" s="122" t="s">
        <v>260</v>
      </c>
      <c r="AY92" s="141" t="s">
        <v>253</v>
      </c>
      <c r="AZ92" s="122" t="s">
        <v>7503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21</v>
      </c>
      <c r="BJ92" s="123">
        <v>42236</v>
      </c>
      <c r="BK92" s="139" t="s">
        <v>264</v>
      </c>
      <c r="BL92" s="140">
        <v>305.38</v>
      </c>
      <c r="BM92" s="122">
        <v>34</v>
      </c>
    </row>
    <row r="93" spans="1:65" x14ac:dyDescent="0.25">
      <c r="A93" s="122" t="s">
        <v>6059</v>
      </c>
      <c r="B93" s="122" t="s">
        <v>7504</v>
      </c>
      <c r="C93" s="122" t="s">
        <v>7505</v>
      </c>
      <c r="D93" s="122" t="s">
        <v>7506</v>
      </c>
      <c r="E93" s="123">
        <v>42226</v>
      </c>
      <c r="F93" s="122" t="s">
        <v>7507</v>
      </c>
      <c r="G93" s="122" t="s">
        <v>235</v>
      </c>
      <c r="H93" s="122" t="s">
        <v>7508</v>
      </c>
      <c r="I93" s="122" t="s">
        <v>7509</v>
      </c>
      <c r="K93" s="122" t="s">
        <v>238</v>
      </c>
      <c r="L93" s="122" t="s">
        <v>271</v>
      </c>
      <c r="M93" s="122" t="s">
        <v>1803</v>
      </c>
      <c r="O93" s="141" t="s">
        <v>299</v>
      </c>
      <c r="P93" s="141" t="s">
        <v>7510</v>
      </c>
      <c r="Q93" s="122" t="s">
        <v>243</v>
      </c>
      <c r="R93" s="142">
        <v>22</v>
      </c>
      <c r="S93" s="122" t="s">
        <v>7511</v>
      </c>
      <c r="U93" s="122" t="s">
        <v>1420</v>
      </c>
      <c r="W93" s="122" t="s">
        <v>246</v>
      </c>
      <c r="X93" s="122" t="s">
        <v>2624</v>
      </c>
      <c r="Y93" s="141" t="s">
        <v>3039</v>
      </c>
      <c r="Z93" s="122" t="s">
        <v>7512</v>
      </c>
      <c r="AA93" s="141" t="s">
        <v>2133</v>
      </c>
      <c r="AB93" s="122" t="s">
        <v>7512</v>
      </c>
      <c r="AC93" s="141" t="s">
        <v>2259</v>
      </c>
      <c r="AD93" s="122" t="s">
        <v>7513</v>
      </c>
      <c r="AE93" s="122" t="s">
        <v>235</v>
      </c>
      <c r="AF93" s="122" t="s">
        <v>7514</v>
      </c>
      <c r="AG93" s="122" t="s">
        <v>537</v>
      </c>
      <c r="AH93" s="122" t="s">
        <v>253</v>
      </c>
      <c r="AI93" s="122" t="s">
        <v>7515</v>
      </c>
      <c r="AJ93" s="122" t="s">
        <v>7516</v>
      </c>
      <c r="AK93" s="122" t="s">
        <v>253</v>
      </c>
      <c r="AL93" s="122" t="s">
        <v>253</v>
      </c>
      <c r="AM93" s="122" t="s">
        <v>253</v>
      </c>
      <c r="AN93" s="122" t="s">
        <v>253</v>
      </c>
      <c r="AO93" s="141" t="s">
        <v>247</v>
      </c>
      <c r="AP93" s="141" t="s">
        <v>247</v>
      </c>
      <c r="AQ93" s="141" t="s">
        <v>247</v>
      </c>
      <c r="AR93" s="141" t="s">
        <v>253</v>
      </c>
      <c r="AS93" s="141" t="s">
        <v>601</v>
      </c>
      <c r="AT93" s="141" t="s">
        <v>601</v>
      </c>
      <c r="AU93" s="141" t="s">
        <v>258</v>
      </c>
      <c r="AV93" s="122" t="s">
        <v>259</v>
      </c>
      <c r="AW93" s="122" t="s">
        <v>260</v>
      </c>
      <c r="AY93" s="141" t="s">
        <v>253</v>
      </c>
      <c r="AZ93" s="122" t="s">
        <v>7517</v>
      </c>
      <c r="BA93" s="122" t="s">
        <v>262</v>
      </c>
      <c r="BB93" s="122" t="s">
        <v>262</v>
      </c>
      <c r="BC93" s="141" t="s">
        <v>312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22</v>
      </c>
      <c r="BJ93" s="123">
        <v>42230</v>
      </c>
      <c r="BK93" s="139" t="s">
        <v>264</v>
      </c>
      <c r="BL93" s="140">
        <v>334.16</v>
      </c>
      <c r="BM93" s="122">
        <v>33</v>
      </c>
    </row>
    <row r="94" spans="1:65" x14ac:dyDescent="0.25">
      <c r="A94" s="122" t="s">
        <v>6059</v>
      </c>
      <c r="B94" s="122" t="s">
        <v>7518</v>
      </c>
      <c r="C94" s="122" t="s">
        <v>7519</v>
      </c>
      <c r="D94" s="122" t="s">
        <v>7520</v>
      </c>
      <c r="E94" s="123">
        <v>42226</v>
      </c>
      <c r="F94" s="122" t="s">
        <v>2105</v>
      </c>
      <c r="G94" s="122" t="s">
        <v>235</v>
      </c>
      <c r="H94" s="122" t="s">
        <v>7521</v>
      </c>
      <c r="I94" s="122" t="s">
        <v>7522</v>
      </c>
      <c r="J94" s="122" t="s">
        <v>2393</v>
      </c>
      <c r="K94" s="122" t="s">
        <v>238</v>
      </c>
      <c r="L94" s="122" t="s">
        <v>271</v>
      </c>
      <c r="M94" s="122" t="s">
        <v>1561</v>
      </c>
      <c r="O94" s="141" t="s">
        <v>273</v>
      </c>
      <c r="P94" s="141" t="s">
        <v>7523</v>
      </c>
      <c r="Q94" s="122" t="s">
        <v>243</v>
      </c>
      <c r="R94" s="142">
        <v>23</v>
      </c>
      <c r="S94" s="122" t="s">
        <v>7524</v>
      </c>
      <c r="U94" s="122" t="s">
        <v>1420</v>
      </c>
      <c r="W94" s="122" t="s">
        <v>246</v>
      </c>
      <c r="X94" s="122" t="s">
        <v>433</v>
      </c>
      <c r="Y94" s="141" t="s">
        <v>1926</v>
      </c>
      <c r="Z94" s="122" t="s">
        <v>7525</v>
      </c>
      <c r="AB94" s="122" t="s">
        <v>250</v>
      </c>
      <c r="AD94" s="122" t="s">
        <v>250</v>
      </c>
      <c r="AE94" s="122" t="s">
        <v>235</v>
      </c>
      <c r="AF94" s="122" t="s">
        <v>2955</v>
      </c>
      <c r="AG94" s="122" t="s">
        <v>537</v>
      </c>
      <c r="AH94" s="122" t="s">
        <v>253</v>
      </c>
      <c r="AI94" s="122" t="s">
        <v>2074</v>
      </c>
      <c r="AJ94" s="122" t="s">
        <v>2956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247</v>
      </c>
      <c r="AP94" s="141" t="s">
        <v>247</v>
      </c>
      <c r="AQ94" s="141" t="s">
        <v>253</v>
      </c>
      <c r="AR94" s="141" t="s">
        <v>253</v>
      </c>
      <c r="AS94" s="141" t="s">
        <v>601</v>
      </c>
      <c r="AT94" s="141" t="s">
        <v>258</v>
      </c>
      <c r="AU94" s="141" t="s">
        <v>258</v>
      </c>
      <c r="AV94" s="122" t="s">
        <v>259</v>
      </c>
      <c r="AW94" s="122" t="s">
        <v>260</v>
      </c>
      <c r="AY94" s="141" t="s">
        <v>253</v>
      </c>
      <c r="AZ94" s="122" t="s">
        <v>7526</v>
      </c>
      <c r="BA94" s="122" t="s">
        <v>262</v>
      </c>
      <c r="BB94" s="122" t="s">
        <v>262</v>
      </c>
      <c r="BD94" s="122" t="s">
        <v>247</v>
      </c>
      <c r="BE94" s="122" t="s">
        <v>263</v>
      </c>
      <c r="BF94" s="122" t="s">
        <v>1430</v>
      </c>
      <c r="BH94" s="122" t="s">
        <v>1420</v>
      </c>
      <c r="BI94" s="142">
        <v>23</v>
      </c>
      <c r="BJ94" s="123">
        <v>42229</v>
      </c>
      <c r="BK94" s="139" t="s">
        <v>606</v>
      </c>
      <c r="BM94" s="122">
        <v>33</v>
      </c>
    </row>
    <row r="95" spans="1:65" x14ac:dyDescent="0.25">
      <c r="A95" s="122" t="s">
        <v>6059</v>
      </c>
      <c r="B95" s="122" t="s">
        <v>7527</v>
      </c>
      <c r="C95" s="122" t="s">
        <v>7528</v>
      </c>
      <c r="D95" s="122" t="s">
        <v>7529</v>
      </c>
      <c r="E95" s="123">
        <v>42226</v>
      </c>
      <c r="F95" s="122" t="s">
        <v>3247</v>
      </c>
      <c r="G95" s="122" t="s">
        <v>235</v>
      </c>
      <c r="H95" s="122" t="s">
        <v>7530</v>
      </c>
      <c r="I95" s="122" t="s">
        <v>7531</v>
      </c>
      <c r="K95" s="122" t="s">
        <v>472</v>
      </c>
      <c r="L95" s="122" t="s">
        <v>473</v>
      </c>
      <c r="M95" s="122" t="s">
        <v>1774</v>
      </c>
      <c r="O95" s="141" t="s">
        <v>566</v>
      </c>
      <c r="P95" s="141" t="s">
        <v>7532</v>
      </c>
      <c r="Q95" s="122" t="s">
        <v>243</v>
      </c>
      <c r="R95" s="142">
        <v>24</v>
      </c>
      <c r="S95" s="122" t="s">
        <v>7533</v>
      </c>
      <c r="U95" s="122" t="s">
        <v>1420</v>
      </c>
      <c r="W95" s="122" t="s">
        <v>246</v>
      </c>
      <c r="X95" s="122" t="s">
        <v>454</v>
      </c>
      <c r="Y95" s="141" t="s">
        <v>1440</v>
      </c>
      <c r="Z95" s="122" t="s">
        <v>7534</v>
      </c>
      <c r="AA95" s="141" t="s">
        <v>1258</v>
      </c>
      <c r="AB95" s="122" t="s">
        <v>7535</v>
      </c>
      <c r="AC95" s="141" t="s">
        <v>724</v>
      </c>
      <c r="AD95" s="122" t="s">
        <v>7536</v>
      </c>
      <c r="AE95" s="122" t="s">
        <v>235</v>
      </c>
      <c r="AF95" s="122" t="s">
        <v>7537</v>
      </c>
      <c r="AG95" s="122" t="s">
        <v>537</v>
      </c>
      <c r="AH95" s="122" t="s">
        <v>253</v>
      </c>
      <c r="AI95" s="122" t="s">
        <v>2386</v>
      </c>
      <c r="AJ95" s="122" t="s">
        <v>7538</v>
      </c>
      <c r="AK95" s="122" t="s">
        <v>253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247</v>
      </c>
      <c r="AQ95" s="141" t="s">
        <v>247</v>
      </c>
      <c r="AR95" s="141" t="s">
        <v>247</v>
      </c>
      <c r="AS95" s="141" t="s">
        <v>601</v>
      </c>
      <c r="AT95" s="141" t="s">
        <v>601</v>
      </c>
      <c r="AU95" s="141" t="s">
        <v>601</v>
      </c>
      <c r="AV95" s="122" t="s">
        <v>259</v>
      </c>
      <c r="AW95" s="122" t="s">
        <v>260</v>
      </c>
      <c r="AY95" s="141" t="s">
        <v>253</v>
      </c>
      <c r="AZ95" s="122" t="s">
        <v>7539</v>
      </c>
      <c r="BA95" s="122" t="s">
        <v>262</v>
      </c>
      <c r="BB95" s="122" t="s">
        <v>262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24</v>
      </c>
      <c r="BJ95" s="123">
        <v>42234</v>
      </c>
      <c r="BK95" s="139" t="s">
        <v>264</v>
      </c>
      <c r="BL95" s="140">
        <v>220.36</v>
      </c>
      <c r="BM95" s="122">
        <v>34</v>
      </c>
    </row>
    <row r="96" spans="1:65" x14ac:dyDescent="0.25">
      <c r="A96" s="122" t="s">
        <v>6059</v>
      </c>
      <c r="B96" s="122" t="s">
        <v>7540</v>
      </c>
      <c r="C96" s="122" t="s">
        <v>7541</v>
      </c>
      <c r="D96" s="122" t="s">
        <v>7542</v>
      </c>
      <c r="E96" s="123">
        <v>42226</v>
      </c>
      <c r="F96" s="122" t="s">
        <v>1989</v>
      </c>
      <c r="G96" s="122" t="s">
        <v>235</v>
      </c>
      <c r="H96" s="122" t="s">
        <v>7543</v>
      </c>
      <c r="I96" s="122" t="s">
        <v>7544</v>
      </c>
      <c r="K96" s="122" t="s">
        <v>472</v>
      </c>
      <c r="L96" s="122" t="s">
        <v>473</v>
      </c>
      <c r="M96" s="122" t="s">
        <v>1846</v>
      </c>
      <c r="O96" s="141" t="s">
        <v>7545</v>
      </c>
      <c r="P96" s="141" t="s">
        <v>7546</v>
      </c>
      <c r="Q96" s="122" t="s">
        <v>243</v>
      </c>
      <c r="R96" s="142">
        <v>25</v>
      </c>
      <c r="S96" s="122" t="s">
        <v>7547</v>
      </c>
      <c r="U96" s="122" t="s">
        <v>1420</v>
      </c>
      <c r="W96" s="122" t="s">
        <v>246</v>
      </c>
      <c r="X96" s="122" t="s">
        <v>454</v>
      </c>
      <c r="Y96" s="141" t="s">
        <v>378</v>
      </c>
      <c r="Z96" s="122" t="s">
        <v>7548</v>
      </c>
      <c r="AA96" s="141" t="s">
        <v>2133</v>
      </c>
      <c r="AB96" s="122" t="s">
        <v>355</v>
      </c>
      <c r="AC96" s="141" t="s">
        <v>2133</v>
      </c>
      <c r="AD96" s="122" t="s">
        <v>7549</v>
      </c>
      <c r="AE96" s="122" t="s">
        <v>235</v>
      </c>
      <c r="AF96" s="122" t="s">
        <v>7550</v>
      </c>
      <c r="AG96" s="122" t="s">
        <v>537</v>
      </c>
      <c r="AH96" s="122" t="s">
        <v>253</v>
      </c>
      <c r="AI96" s="122" t="s">
        <v>7551</v>
      </c>
      <c r="AJ96" s="122" t="s">
        <v>7552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247</v>
      </c>
      <c r="AP96" s="141" t="s">
        <v>247</v>
      </c>
      <c r="AQ96" s="141" t="s">
        <v>247</v>
      </c>
      <c r="AR96" s="141" t="s">
        <v>253</v>
      </c>
      <c r="AS96" s="141" t="s">
        <v>601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41" t="s">
        <v>253</v>
      </c>
      <c r="AZ96" s="122" t="s">
        <v>7553</v>
      </c>
      <c r="BA96" s="122" t="s">
        <v>262</v>
      </c>
      <c r="BB96" s="122" t="s">
        <v>262</v>
      </c>
      <c r="BC96" s="141" t="s">
        <v>312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25</v>
      </c>
      <c r="BJ96" s="123">
        <v>42234</v>
      </c>
      <c r="BK96" s="139" t="s">
        <v>606</v>
      </c>
      <c r="BM96" s="122">
        <v>34</v>
      </c>
    </row>
    <row r="97" spans="1:65" x14ac:dyDescent="0.25">
      <c r="A97" s="122" t="s">
        <v>6059</v>
      </c>
      <c r="B97" s="122" t="s">
        <v>7554</v>
      </c>
      <c r="C97" s="122" t="s">
        <v>7555</v>
      </c>
      <c r="D97" s="122" t="s">
        <v>7556</v>
      </c>
      <c r="E97" s="123">
        <v>42226</v>
      </c>
      <c r="F97" s="122" t="s">
        <v>7557</v>
      </c>
      <c r="G97" s="122" t="s">
        <v>235</v>
      </c>
      <c r="H97" s="122" t="s">
        <v>7558</v>
      </c>
      <c r="I97" s="122" t="s">
        <v>7559</v>
      </c>
      <c r="K97" s="122" t="s">
        <v>238</v>
      </c>
      <c r="L97" s="122" t="s">
        <v>429</v>
      </c>
      <c r="M97" s="122" t="s">
        <v>7414</v>
      </c>
      <c r="O97" s="141" t="s">
        <v>916</v>
      </c>
      <c r="P97" s="141" t="s">
        <v>7560</v>
      </c>
      <c r="Q97" s="122" t="s">
        <v>243</v>
      </c>
      <c r="R97" s="142">
        <v>26</v>
      </c>
      <c r="S97" s="122" t="s">
        <v>7561</v>
      </c>
      <c r="U97" s="122" t="s">
        <v>1420</v>
      </c>
      <c r="W97" s="122" t="s">
        <v>246</v>
      </c>
      <c r="X97" s="122" t="s">
        <v>247</v>
      </c>
      <c r="Y97" s="141" t="s">
        <v>833</v>
      </c>
      <c r="Z97" s="122" t="s">
        <v>3793</v>
      </c>
      <c r="AA97" s="141" t="s">
        <v>834</v>
      </c>
      <c r="AB97" s="122" t="s">
        <v>7562</v>
      </c>
      <c r="AC97" s="141" t="s">
        <v>2701</v>
      </c>
      <c r="AD97" s="122" t="s">
        <v>7563</v>
      </c>
      <c r="AE97" s="122" t="s">
        <v>235</v>
      </c>
      <c r="AF97" s="122" t="s">
        <v>7564</v>
      </c>
      <c r="AG97" s="122" t="s">
        <v>253</v>
      </c>
      <c r="AH97" s="122" t="s">
        <v>253</v>
      </c>
      <c r="AI97" s="122" t="s">
        <v>7565</v>
      </c>
      <c r="AJ97" s="122" t="s">
        <v>7566</v>
      </c>
      <c r="AK97" s="122" t="s">
        <v>7552</v>
      </c>
      <c r="AL97" s="122" t="s">
        <v>253</v>
      </c>
      <c r="AM97" s="122" t="s">
        <v>253</v>
      </c>
      <c r="AN97" s="122" t="s">
        <v>253</v>
      </c>
      <c r="AO97" s="141" t="s">
        <v>247</v>
      </c>
      <c r="AP97" s="141" t="s">
        <v>247</v>
      </c>
      <c r="AQ97" s="141" t="s">
        <v>253</v>
      </c>
      <c r="AR97" s="141" t="s">
        <v>253</v>
      </c>
      <c r="AS97" s="141" t="s">
        <v>601</v>
      </c>
      <c r="AT97" s="141" t="s">
        <v>258</v>
      </c>
      <c r="AU97" s="141" t="s">
        <v>258</v>
      </c>
      <c r="AV97" s="122" t="s">
        <v>259</v>
      </c>
      <c r="AW97" s="122" t="s">
        <v>260</v>
      </c>
      <c r="AY97" s="141" t="s">
        <v>253</v>
      </c>
      <c r="AZ97" s="122" t="s">
        <v>7567</v>
      </c>
      <c r="BA97" s="122" t="s">
        <v>262</v>
      </c>
      <c r="BB97" s="122" t="s">
        <v>262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26</v>
      </c>
      <c r="BJ97" s="123">
        <v>42238</v>
      </c>
      <c r="BK97" s="139" t="s">
        <v>606</v>
      </c>
      <c r="BM97" s="122">
        <v>34</v>
      </c>
    </row>
    <row r="98" spans="1:65" x14ac:dyDescent="0.25">
      <c r="A98" s="122" t="s">
        <v>6059</v>
      </c>
      <c r="B98" s="122" t="s">
        <v>7568</v>
      </c>
      <c r="C98" s="122" t="s">
        <v>7569</v>
      </c>
      <c r="D98" s="122" t="s">
        <v>7570</v>
      </c>
      <c r="E98" s="123">
        <v>42226</v>
      </c>
      <c r="F98" s="122" t="s">
        <v>1896</v>
      </c>
      <c r="G98" s="122" t="s">
        <v>235</v>
      </c>
      <c r="H98" s="122" t="s">
        <v>7571</v>
      </c>
      <c r="I98" s="122" t="s">
        <v>7572</v>
      </c>
      <c r="J98" s="122" t="s">
        <v>6372</v>
      </c>
      <c r="K98" s="122" t="s">
        <v>238</v>
      </c>
      <c r="L98" s="122" t="s">
        <v>297</v>
      </c>
      <c r="M98" s="122" t="s">
        <v>1479</v>
      </c>
      <c r="N98" s="122" t="s">
        <v>7573</v>
      </c>
      <c r="O98" s="141" t="s">
        <v>3777</v>
      </c>
      <c r="P98" s="141" t="s">
        <v>7574</v>
      </c>
      <c r="Q98" s="122" t="s">
        <v>243</v>
      </c>
      <c r="R98" s="142">
        <v>27</v>
      </c>
      <c r="S98" s="122" t="s">
        <v>7575</v>
      </c>
      <c r="U98" s="122" t="s">
        <v>1420</v>
      </c>
      <c r="W98" s="122" t="s">
        <v>246</v>
      </c>
      <c r="X98" s="122" t="s">
        <v>853</v>
      </c>
      <c r="Y98" s="141" t="s">
        <v>1896</v>
      </c>
      <c r="Z98" s="122" t="s">
        <v>2135</v>
      </c>
      <c r="AA98" s="141" t="s">
        <v>672</v>
      </c>
      <c r="AB98" s="122" t="s">
        <v>7576</v>
      </c>
      <c r="AD98" s="122" t="s">
        <v>250</v>
      </c>
      <c r="AE98" s="122" t="s">
        <v>235</v>
      </c>
      <c r="AF98" s="122" t="s">
        <v>7577</v>
      </c>
      <c r="AG98" s="122" t="s">
        <v>537</v>
      </c>
      <c r="AH98" s="122" t="s">
        <v>7578</v>
      </c>
      <c r="AI98" s="122" t="s">
        <v>7579</v>
      </c>
      <c r="AJ98" s="122" t="s">
        <v>7580</v>
      </c>
      <c r="AK98" s="122" t="s">
        <v>253</v>
      </c>
      <c r="AL98" s="122" t="s">
        <v>253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247</v>
      </c>
      <c r="AS98" s="141" t="s">
        <v>601</v>
      </c>
      <c r="AT98" s="141" t="s">
        <v>601</v>
      </c>
      <c r="AU98" s="141" t="s">
        <v>601</v>
      </c>
      <c r="AV98" s="122" t="s">
        <v>259</v>
      </c>
      <c r="AW98" s="122" t="s">
        <v>260</v>
      </c>
      <c r="AY98" s="141" t="s">
        <v>253</v>
      </c>
      <c r="AZ98" s="122" t="s">
        <v>7581</v>
      </c>
      <c r="BA98" s="122" t="s">
        <v>262</v>
      </c>
      <c r="BB98" s="122" t="s">
        <v>262</v>
      </c>
      <c r="BC98" s="141" t="s">
        <v>312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27</v>
      </c>
    </row>
    <row r="99" spans="1:65" x14ac:dyDescent="0.25">
      <c r="A99" s="122" t="s">
        <v>6059</v>
      </c>
      <c r="B99" s="122" t="s">
        <v>7582</v>
      </c>
      <c r="C99" s="122" t="s">
        <v>7583</v>
      </c>
      <c r="D99" s="122" t="s">
        <v>7584</v>
      </c>
      <c r="E99" s="123">
        <v>42226</v>
      </c>
      <c r="F99" s="122" t="s">
        <v>7585</v>
      </c>
      <c r="G99" s="122" t="s">
        <v>235</v>
      </c>
      <c r="H99" s="122" t="s">
        <v>7586</v>
      </c>
      <c r="I99" s="122" t="s">
        <v>7587</v>
      </c>
      <c r="J99" s="122" t="s">
        <v>370</v>
      </c>
      <c r="K99" s="122" t="s">
        <v>238</v>
      </c>
      <c r="L99" s="122" t="s">
        <v>271</v>
      </c>
      <c r="M99" s="122" t="s">
        <v>1561</v>
      </c>
      <c r="N99" s="122" t="s">
        <v>7588</v>
      </c>
      <c r="O99" s="141" t="s">
        <v>566</v>
      </c>
      <c r="P99" s="141" t="s">
        <v>7589</v>
      </c>
      <c r="Q99" s="122" t="s">
        <v>243</v>
      </c>
      <c r="R99" s="142">
        <v>28</v>
      </c>
      <c r="S99" s="122" t="s">
        <v>7590</v>
      </c>
      <c r="U99" s="122" t="s">
        <v>1420</v>
      </c>
      <c r="W99" s="122" t="s">
        <v>246</v>
      </c>
      <c r="X99" s="122" t="s">
        <v>376</v>
      </c>
      <c r="Y99" s="141" t="s">
        <v>455</v>
      </c>
      <c r="Z99" s="122" t="s">
        <v>7591</v>
      </c>
      <c r="AA99" s="141" t="s">
        <v>234</v>
      </c>
      <c r="AB99" s="122" t="s">
        <v>7592</v>
      </c>
      <c r="AC99" s="141" t="s">
        <v>502</v>
      </c>
      <c r="AD99" s="122" t="s">
        <v>7593</v>
      </c>
      <c r="AE99" s="122" t="s">
        <v>235</v>
      </c>
      <c r="AF99" s="122" t="s">
        <v>7594</v>
      </c>
      <c r="AG99" s="122" t="s">
        <v>253</v>
      </c>
      <c r="AH99" s="122" t="s">
        <v>253</v>
      </c>
      <c r="AI99" s="122" t="s">
        <v>7595</v>
      </c>
      <c r="AJ99" s="122" t="s">
        <v>7596</v>
      </c>
      <c r="AK99" s="122" t="s">
        <v>7597</v>
      </c>
      <c r="AL99" s="122" t="s">
        <v>253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247</v>
      </c>
      <c r="AR99" s="141" t="s">
        <v>253</v>
      </c>
      <c r="AS99" s="141" t="s">
        <v>601</v>
      </c>
      <c r="AT99" s="141" t="s">
        <v>601</v>
      </c>
      <c r="AU99" s="141" t="s">
        <v>258</v>
      </c>
      <c r="AV99" s="122" t="s">
        <v>259</v>
      </c>
      <c r="AW99" s="122" t="s">
        <v>260</v>
      </c>
      <c r="AX99" s="141" t="s">
        <v>980</v>
      </c>
      <c r="AY99" s="141" t="s">
        <v>247</v>
      </c>
      <c r="AZ99" s="122" t="s">
        <v>7598</v>
      </c>
      <c r="BA99" s="122" t="s">
        <v>262</v>
      </c>
      <c r="BB99" s="122" t="s">
        <v>262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28</v>
      </c>
      <c r="BJ99" s="123">
        <v>42238</v>
      </c>
      <c r="BK99" s="139" t="s">
        <v>606</v>
      </c>
      <c r="BM99" s="122">
        <v>34</v>
      </c>
    </row>
    <row r="100" spans="1:65" x14ac:dyDescent="0.25">
      <c r="A100" s="122" t="s">
        <v>6059</v>
      </c>
      <c r="B100" s="122" t="s">
        <v>7599</v>
      </c>
      <c r="C100" s="122" t="s">
        <v>7600</v>
      </c>
      <c r="D100" s="122" t="s">
        <v>7601</v>
      </c>
      <c r="E100" s="123">
        <v>42226</v>
      </c>
      <c r="F100" s="122" t="s">
        <v>2235</v>
      </c>
      <c r="G100" s="122" t="s">
        <v>235</v>
      </c>
      <c r="H100" s="122" t="s">
        <v>7602</v>
      </c>
      <c r="I100" s="122" t="s">
        <v>7603</v>
      </c>
      <c r="J100" s="122" t="s">
        <v>1053</v>
      </c>
      <c r="K100" s="122" t="s">
        <v>238</v>
      </c>
      <c r="L100" s="122" t="s">
        <v>271</v>
      </c>
      <c r="M100" s="122" t="s">
        <v>1803</v>
      </c>
      <c r="O100" s="141" t="s">
        <v>1055</v>
      </c>
      <c r="P100" s="141" t="s">
        <v>7604</v>
      </c>
      <c r="Q100" s="122" t="s">
        <v>243</v>
      </c>
      <c r="R100" s="142">
        <v>29</v>
      </c>
      <c r="S100" s="122" t="s">
        <v>7605</v>
      </c>
      <c r="U100" s="122" t="s">
        <v>1420</v>
      </c>
      <c r="W100" s="122" t="s">
        <v>246</v>
      </c>
      <c r="X100" s="122" t="s">
        <v>433</v>
      </c>
      <c r="Y100" s="141" t="s">
        <v>535</v>
      </c>
      <c r="Z100" s="122" t="s">
        <v>7606</v>
      </c>
      <c r="AA100" s="141" t="s">
        <v>834</v>
      </c>
      <c r="AB100" s="122" t="s">
        <v>7607</v>
      </c>
      <c r="AC100" s="141" t="s">
        <v>899</v>
      </c>
      <c r="AD100" s="122" t="s">
        <v>686</v>
      </c>
      <c r="AE100" s="122" t="s">
        <v>235</v>
      </c>
      <c r="AF100" s="122" t="s">
        <v>1781</v>
      </c>
      <c r="AG100" s="122" t="s">
        <v>537</v>
      </c>
      <c r="AH100" s="122" t="s">
        <v>253</v>
      </c>
      <c r="AI100" s="122" t="s">
        <v>1782</v>
      </c>
      <c r="AJ100" s="122" t="s">
        <v>1782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253</v>
      </c>
      <c r="AP100" s="141" t="s">
        <v>253</v>
      </c>
      <c r="AQ100" s="141" t="s">
        <v>247</v>
      </c>
      <c r="AR100" s="141" t="s">
        <v>253</v>
      </c>
      <c r="AS100" s="141" t="s">
        <v>361</v>
      </c>
      <c r="AT100" s="141" t="s">
        <v>601</v>
      </c>
      <c r="AU100" s="141" t="s">
        <v>258</v>
      </c>
      <c r="AV100" s="122" t="s">
        <v>259</v>
      </c>
      <c r="AW100" s="122" t="s">
        <v>260</v>
      </c>
      <c r="AY100" s="141" t="s">
        <v>253</v>
      </c>
      <c r="AZ100" s="122" t="s">
        <v>7608</v>
      </c>
      <c r="BA100" s="122" t="s">
        <v>262</v>
      </c>
      <c r="BB100" s="122" t="s">
        <v>7608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29</v>
      </c>
      <c r="BJ100" s="123">
        <v>42233</v>
      </c>
      <c r="BK100" s="139" t="s">
        <v>264</v>
      </c>
      <c r="BL100" s="140">
        <v>122.98</v>
      </c>
      <c r="BM100" s="122">
        <v>34</v>
      </c>
    </row>
    <row r="101" spans="1:65" x14ac:dyDescent="0.25">
      <c r="A101" s="122" t="s">
        <v>6059</v>
      </c>
      <c r="B101" s="122" t="s">
        <v>7609</v>
      </c>
      <c r="C101" s="122" t="s">
        <v>7610</v>
      </c>
      <c r="D101" s="122" t="s">
        <v>7611</v>
      </c>
      <c r="E101" s="123">
        <v>42226</v>
      </c>
      <c r="F101" s="122" t="s">
        <v>892</v>
      </c>
      <c r="G101" s="122" t="s">
        <v>235</v>
      </c>
      <c r="H101" s="122" t="s">
        <v>7612</v>
      </c>
      <c r="I101" s="122" t="s">
        <v>7613</v>
      </c>
      <c r="K101" s="122" t="s">
        <v>238</v>
      </c>
      <c r="L101" s="122" t="s">
        <v>429</v>
      </c>
      <c r="M101" s="122" t="s">
        <v>7614</v>
      </c>
      <c r="O101" s="141" t="s">
        <v>613</v>
      </c>
      <c r="P101" s="141" t="s">
        <v>7615</v>
      </c>
      <c r="Q101" s="122" t="s">
        <v>243</v>
      </c>
      <c r="R101" s="142">
        <v>30</v>
      </c>
      <c r="S101" s="122" t="s">
        <v>7616</v>
      </c>
      <c r="T101" s="122" t="s">
        <v>7617</v>
      </c>
      <c r="U101" s="122" t="s">
        <v>1420</v>
      </c>
      <c r="W101" s="122" t="s">
        <v>246</v>
      </c>
      <c r="X101" s="122" t="s">
        <v>853</v>
      </c>
      <c r="Y101" s="141" t="s">
        <v>1528</v>
      </c>
      <c r="Z101" s="122" t="s">
        <v>7618</v>
      </c>
      <c r="AA101" s="141" t="s">
        <v>306</v>
      </c>
      <c r="AB101" s="122" t="s">
        <v>7619</v>
      </c>
      <c r="AC101" s="141" t="s">
        <v>1629</v>
      </c>
      <c r="AD101" s="122" t="s">
        <v>7620</v>
      </c>
      <c r="AE101" s="122" t="s">
        <v>235</v>
      </c>
      <c r="AF101" s="122" t="s">
        <v>7621</v>
      </c>
      <c r="AG101" s="122" t="s">
        <v>537</v>
      </c>
      <c r="AH101" s="122" t="s">
        <v>253</v>
      </c>
      <c r="AI101" s="122" t="s">
        <v>7622</v>
      </c>
      <c r="AJ101" s="122" t="s">
        <v>7623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253</v>
      </c>
      <c r="AS101" s="141" t="s">
        <v>601</v>
      </c>
      <c r="AT101" s="141" t="s">
        <v>601</v>
      </c>
      <c r="AU101" s="141" t="s">
        <v>258</v>
      </c>
      <c r="AV101" s="122" t="s">
        <v>259</v>
      </c>
      <c r="AW101" s="122" t="s">
        <v>260</v>
      </c>
      <c r="AY101" s="141" t="s">
        <v>253</v>
      </c>
      <c r="AZ101" s="122" t="s">
        <v>7624</v>
      </c>
      <c r="BA101" s="122" t="s">
        <v>7625</v>
      </c>
      <c r="BB101" s="122" t="s">
        <v>262</v>
      </c>
      <c r="BC101" s="141" t="s">
        <v>312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30</v>
      </c>
      <c r="BJ101" s="123">
        <v>42236</v>
      </c>
      <c r="BK101" s="139" t="s">
        <v>606</v>
      </c>
      <c r="BM101" s="122">
        <v>34</v>
      </c>
    </row>
    <row r="102" spans="1:65" x14ac:dyDescent="0.25">
      <c r="A102" s="122" t="s">
        <v>6059</v>
      </c>
      <c r="B102" s="122" t="s">
        <v>7626</v>
      </c>
      <c r="C102" s="122" t="s">
        <v>7627</v>
      </c>
      <c r="D102" s="122" t="s">
        <v>7628</v>
      </c>
      <c r="E102" s="123">
        <v>42226</v>
      </c>
      <c r="F102" s="122" t="s">
        <v>7629</v>
      </c>
      <c r="G102" s="122" t="s">
        <v>235</v>
      </c>
      <c r="H102" s="122" t="s">
        <v>7630</v>
      </c>
      <c r="I102" s="122" t="s">
        <v>7631</v>
      </c>
      <c r="K102" s="122" t="s">
        <v>238</v>
      </c>
      <c r="L102" s="122" t="s">
        <v>297</v>
      </c>
      <c r="M102" s="122" t="s">
        <v>430</v>
      </c>
      <c r="O102" s="141" t="s">
        <v>1158</v>
      </c>
      <c r="P102" s="141" t="s">
        <v>7632</v>
      </c>
      <c r="Q102" s="122" t="s">
        <v>243</v>
      </c>
      <c r="R102" s="142">
        <v>31</v>
      </c>
      <c r="S102" s="122" t="s">
        <v>7633</v>
      </c>
      <c r="U102" s="122" t="s">
        <v>1420</v>
      </c>
      <c r="W102" s="122" t="s">
        <v>246</v>
      </c>
      <c r="X102" s="122" t="s">
        <v>1643</v>
      </c>
      <c r="Y102" s="141" t="s">
        <v>595</v>
      </c>
      <c r="Z102" s="122" t="s">
        <v>7634</v>
      </c>
      <c r="AA102" s="141" t="s">
        <v>2259</v>
      </c>
      <c r="AB102" s="122" t="s">
        <v>7635</v>
      </c>
      <c r="AC102" s="141" t="s">
        <v>502</v>
      </c>
      <c r="AD102" s="122" t="s">
        <v>7636</v>
      </c>
      <c r="AE102" s="122" t="s">
        <v>235</v>
      </c>
      <c r="AF102" s="122" t="s">
        <v>7637</v>
      </c>
      <c r="AG102" s="122" t="s">
        <v>253</v>
      </c>
      <c r="AH102" s="122" t="s">
        <v>253</v>
      </c>
      <c r="AI102" s="122" t="s">
        <v>7638</v>
      </c>
      <c r="AJ102" s="122" t="s">
        <v>7639</v>
      </c>
      <c r="AK102" s="122" t="s">
        <v>7640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247</v>
      </c>
      <c r="AQ102" s="141" t="s">
        <v>247</v>
      </c>
      <c r="AR102" s="141" t="s">
        <v>247</v>
      </c>
      <c r="AS102" s="141" t="s">
        <v>601</v>
      </c>
      <c r="AT102" s="141" t="s">
        <v>601</v>
      </c>
      <c r="AU102" s="141" t="s">
        <v>601</v>
      </c>
      <c r="AV102" s="122" t="s">
        <v>259</v>
      </c>
      <c r="AW102" s="122" t="s">
        <v>260</v>
      </c>
      <c r="AY102" s="141" t="s">
        <v>253</v>
      </c>
      <c r="AZ102" s="122" t="s">
        <v>7641</v>
      </c>
      <c r="BA102" s="122" t="s">
        <v>262</v>
      </c>
      <c r="BB102" s="122" t="s">
        <v>262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31</v>
      </c>
    </row>
    <row r="103" spans="1:65" x14ac:dyDescent="0.25">
      <c r="A103" s="122" t="s">
        <v>6735</v>
      </c>
      <c r="B103" s="122" t="s">
        <v>7642</v>
      </c>
      <c r="C103" s="122" t="s">
        <v>7643</v>
      </c>
      <c r="D103" s="122" t="s">
        <v>7644</v>
      </c>
      <c r="E103" s="123">
        <v>42226</v>
      </c>
      <c r="F103" s="122" t="s">
        <v>7645</v>
      </c>
      <c r="G103" s="122" t="s">
        <v>235</v>
      </c>
      <c r="H103" s="122" t="s">
        <v>448</v>
      </c>
      <c r="I103" s="122" t="s">
        <v>7646</v>
      </c>
      <c r="K103" s="122" t="s">
        <v>472</v>
      </c>
      <c r="L103" s="122" t="s">
        <v>473</v>
      </c>
      <c r="M103" s="122" t="s">
        <v>492</v>
      </c>
      <c r="N103" s="122" t="s">
        <v>7647</v>
      </c>
      <c r="O103" s="141" t="s">
        <v>3455</v>
      </c>
      <c r="P103" s="141" t="s">
        <v>7648</v>
      </c>
      <c r="Q103" s="122" t="s">
        <v>243</v>
      </c>
      <c r="R103" s="142">
        <v>32</v>
      </c>
      <c r="S103" s="122" t="s">
        <v>7649</v>
      </c>
      <c r="U103" s="122" t="s">
        <v>1420</v>
      </c>
      <c r="W103" s="122" t="s">
        <v>246</v>
      </c>
      <c r="X103" s="122" t="s">
        <v>1057</v>
      </c>
      <c r="Y103" s="141" t="s">
        <v>1596</v>
      </c>
      <c r="Z103" s="122" t="s">
        <v>7650</v>
      </c>
      <c r="AA103" s="141" t="s">
        <v>2720</v>
      </c>
      <c r="AB103" s="122" t="s">
        <v>7650</v>
      </c>
      <c r="AC103" s="141" t="s">
        <v>3247</v>
      </c>
      <c r="AD103" s="122" t="s">
        <v>1779</v>
      </c>
      <c r="AE103" s="122" t="s">
        <v>235</v>
      </c>
      <c r="AF103" s="122" t="s">
        <v>7651</v>
      </c>
      <c r="AG103" s="122" t="s">
        <v>537</v>
      </c>
      <c r="AH103" s="122" t="s">
        <v>253</v>
      </c>
      <c r="AI103" s="122" t="s">
        <v>2309</v>
      </c>
      <c r="AJ103" s="122" t="s">
        <v>7652</v>
      </c>
      <c r="AK103" s="122" t="s">
        <v>253</v>
      </c>
      <c r="AL103" s="122" t="s">
        <v>253</v>
      </c>
      <c r="AM103" s="122" t="s">
        <v>253</v>
      </c>
      <c r="AN103" s="122" t="s">
        <v>253</v>
      </c>
      <c r="AO103" s="141" t="s">
        <v>253</v>
      </c>
      <c r="AP103" s="141" t="s">
        <v>253</v>
      </c>
      <c r="AQ103" s="141" t="s">
        <v>247</v>
      </c>
      <c r="AR103" s="141" t="s">
        <v>253</v>
      </c>
      <c r="AS103" s="141" t="s">
        <v>361</v>
      </c>
      <c r="AT103" s="141" t="s">
        <v>601</v>
      </c>
      <c r="AU103" s="141" t="s">
        <v>258</v>
      </c>
      <c r="AV103" s="122" t="s">
        <v>259</v>
      </c>
      <c r="AW103" s="122" t="s">
        <v>260</v>
      </c>
      <c r="AX103" s="141" t="s">
        <v>7653</v>
      </c>
      <c r="AY103" s="141" t="s">
        <v>603</v>
      </c>
      <c r="AZ103" s="122" t="s">
        <v>262</v>
      </c>
      <c r="BA103" s="122" t="s">
        <v>7654</v>
      </c>
      <c r="BB103" s="122" t="s">
        <v>7655</v>
      </c>
      <c r="BC103" s="141" t="s">
        <v>312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32</v>
      </c>
      <c r="BJ103" s="123">
        <v>42234</v>
      </c>
      <c r="BK103" s="139" t="s">
        <v>606</v>
      </c>
      <c r="BM103" s="122">
        <v>34</v>
      </c>
    </row>
    <row r="104" spans="1:65" x14ac:dyDescent="0.25">
      <c r="A104" s="122" t="s">
        <v>6735</v>
      </c>
      <c r="B104" s="122" t="s">
        <v>7656</v>
      </c>
      <c r="C104" s="122" t="s">
        <v>7657</v>
      </c>
      <c r="D104" s="122" t="s">
        <v>7658</v>
      </c>
      <c r="E104" s="123">
        <v>42226</v>
      </c>
      <c r="F104" s="122" t="s">
        <v>2235</v>
      </c>
      <c r="G104" s="122" t="s">
        <v>235</v>
      </c>
      <c r="H104" s="122" t="s">
        <v>7659</v>
      </c>
      <c r="I104" s="122" t="s">
        <v>7660</v>
      </c>
      <c r="K104" s="122" t="s">
        <v>238</v>
      </c>
      <c r="L104" s="122" t="s">
        <v>429</v>
      </c>
      <c r="M104" s="122" t="s">
        <v>430</v>
      </c>
      <c r="O104" s="141" t="s">
        <v>566</v>
      </c>
      <c r="P104" s="141" t="s">
        <v>7661</v>
      </c>
      <c r="Q104" s="122" t="s">
        <v>243</v>
      </c>
      <c r="R104" s="142">
        <v>33</v>
      </c>
      <c r="S104" s="122" t="s">
        <v>7662</v>
      </c>
      <c r="U104" s="122" t="s">
        <v>1420</v>
      </c>
      <c r="W104" s="122" t="s">
        <v>246</v>
      </c>
      <c r="X104" s="122" t="s">
        <v>433</v>
      </c>
      <c r="Y104" s="141" t="s">
        <v>593</v>
      </c>
      <c r="Z104" s="122" t="s">
        <v>7663</v>
      </c>
      <c r="AA104" s="141" t="s">
        <v>417</v>
      </c>
      <c r="AB104" s="122" t="s">
        <v>7664</v>
      </c>
      <c r="AC104" s="141" t="s">
        <v>283</v>
      </c>
      <c r="AD104" s="122" t="s">
        <v>249</v>
      </c>
      <c r="AE104" s="122" t="s">
        <v>235</v>
      </c>
      <c r="AF104" s="122" t="s">
        <v>7665</v>
      </c>
      <c r="AG104" s="122" t="s">
        <v>747</v>
      </c>
      <c r="AH104" s="122" t="s">
        <v>253</v>
      </c>
      <c r="AI104" s="122" t="s">
        <v>7666</v>
      </c>
      <c r="AJ104" s="122" t="s">
        <v>7667</v>
      </c>
      <c r="AK104" s="122" t="s">
        <v>253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247</v>
      </c>
      <c r="AS104" s="141" t="s">
        <v>601</v>
      </c>
      <c r="AT104" s="141" t="s">
        <v>601</v>
      </c>
      <c r="AU104" s="141" t="s">
        <v>601</v>
      </c>
      <c r="AV104" s="122" t="s">
        <v>259</v>
      </c>
      <c r="AW104" s="122" t="s">
        <v>260</v>
      </c>
      <c r="AX104" s="141" t="s">
        <v>2029</v>
      </c>
      <c r="AY104" s="141" t="s">
        <v>247</v>
      </c>
      <c r="AZ104" s="122" t="s">
        <v>7668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33</v>
      </c>
      <c r="BJ104" s="123">
        <v>42230</v>
      </c>
      <c r="BK104" s="139" t="s">
        <v>264</v>
      </c>
      <c r="BL104" s="140">
        <v>463.61</v>
      </c>
      <c r="BM104" s="122">
        <v>33</v>
      </c>
    </row>
    <row r="105" spans="1:65" x14ac:dyDescent="0.25">
      <c r="A105" s="122" t="s">
        <v>6735</v>
      </c>
      <c r="B105" s="122" t="s">
        <v>7669</v>
      </c>
      <c r="C105" s="122" t="s">
        <v>7670</v>
      </c>
      <c r="D105" s="122" t="s">
        <v>7671</v>
      </c>
      <c r="E105" s="123">
        <v>42226</v>
      </c>
      <c r="F105" s="122" t="s">
        <v>7672</v>
      </c>
      <c r="G105" s="122" t="s">
        <v>235</v>
      </c>
      <c r="H105" s="122" t="s">
        <v>448</v>
      </c>
      <c r="I105" s="122" t="s">
        <v>7673</v>
      </c>
      <c r="K105" s="122" t="s">
        <v>238</v>
      </c>
      <c r="L105" s="122" t="s">
        <v>429</v>
      </c>
      <c r="M105" s="122" t="s">
        <v>1525</v>
      </c>
      <c r="O105" s="141" t="s">
        <v>1921</v>
      </c>
      <c r="P105" s="141" t="s">
        <v>7674</v>
      </c>
      <c r="Q105" s="122" t="s">
        <v>243</v>
      </c>
      <c r="R105" s="142">
        <v>34</v>
      </c>
      <c r="S105" s="122" t="s">
        <v>7675</v>
      </c>
      <c r="U105" s="122" t="s">
        <v>1420</v>
      </c>
      <c r="W105" s="122" t="s">
        <v>246</v>
      </c>
      <c r="X105" s="122" t="s">
        <v>4409</v>
      </c>
      <c r="Y105" s="141" t="s">
        <v>534</v>
      </c>
      <c r="Z105" s="122" t="s">
        <v>7676</v>
      </c>
      <c r="AA105" s="141" t="s">
        <v>985</v>
      </c>
      <c r="AB105" s="122" t="s">
        <v>7677</v>
      </c>
      <c r="AC105" s="141" t="s">
        <v>1116</v>
      </c>
      <c r="AD105" s="122" t="s">
        <v>7678</v>
      </c>
      <c r="AE105" s="122" t="s">
        <v>235</v>
      </c>
      <c r="AF105" s="122" t="s">
        <v>7679</v>
      </c>
      <c r="AG105" s="122" t="s">
        <v>537</v>
      </c>
      <c r="AH105" s="122" t="s">
        <v>253</v>
      </c>
      <c r="AI105" s="122" t="s">
        <v>3727</v>
      </c>
      <c r="AJ105" s="122" t="s">
        <v>7680</v>
      </c>
      <c r="AK105" s="122" t="s">
        <v>253</v>
      </c>
      <c r="AL105" s="122" t="s">
        <v>7681</v>
      </c>
      <c r="AM105" s="122" t="s">
        <v>253</v>
      </c>
      <c r="AN105" s="122" t="s">
        <v>253</v>
      </c>
      <c r="AO105" s="141" t="s">
        <v>247</v>
      </c>
      <c r="AP105" s="141" t="s">
        <v>253</v>
      </c>
      <c r="AQ105" s="141" t="s">
        <v>247</v>
      </c>
      <c r="AR105" s="141" t="s">
        <v>253</v>
      </c>
      <c r="AS105" s="141" t="s">
        <v>601</v>
      </c>
      <c r="AT105" s="141" t="s">
        <v>601</v>
      </c>
      <c r="AU105" s="141" t="s">
        <v>258</v>
      </c>
      <c r="AV105" s="122" t="s">
        <v>259</v>
      </c>
      <c r="AW105" s="122" t="s">
        <v>260</v>
      </c>
      <c r="AX105" s="141" t="s">
        <v>2029</v>
      </c>
      <c r="AY105" s="141" t="s">
        <v>247</v>
      </c>
      <c r="AZ105" s="122" t="s">
        <v>262</v>
      </c>
      <c r="BA105" s="122" t="s">
        <v>262</v>
      </c>
      <c r="BB105" s="122" t="s">
        <v>7682</v>
      </c>
      <c r="BC105" s="141" t="s">
        <v>312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34</v>
      </c>
      <c r="BJ105" s="123">
        <v>42236</v>
      </c>
      <c r="BK105" s="139" t="s">
        <v>606</v>
      </c>
      <c r="BM105" s="122">
        <v>34</v>
      </c>
    </row>
    <row r="106" spans="1:65" x14ac:dyDescent="0.25">
      <c r="A106" s="122" t="s">
        <v>6735</v>
      </c>
      <c r="B106" s="122" t="s">
        <v>7683</v>
      </c>
      <c r="C106" s="122" t="s">
        <v>7684</v>
      </c>
      <c r="D106" s="122" t="s">
        <v>7685</v>
      </c>
      <c r="E106" s="123">
        <v>42226</v>
      </c>
      <c r="F106" s="122" t="s">
        <v>7686</v>
      </c>
      <c r="G106" s="122" t="s">
        <v>235</v>
      </c>
      <c r="H106" s="122" t="s">
        <v>7687</v>
      </c>
      <c r="I106" s="122" t="s">
        <v>7688</v>
      </c>
      <c r="K106" s="122" t="s">
        <v>238</v>
      </c>
      <c r="L106" s="122" t="s">
        <v>271</v>
      </c>
      <c r="M106" s="122" t="s">
        <v>1509</v>
      </c>
      <c r="O106" s="141" t="s">
        <v>299</v>
      </c>
      <c r="P106" s="141" t="s">
        <v>7689</v>
      </c>
      <c r="Q106" s="122" t="s">
        <v>243</v>
      </c>
      <c r="R106" s="142">
        <v>35</v>
      </c>
      <c r="S106" s="122" t="s">
        <v>7690</v>
      </c>
      <c r="U106" s="122" t="s">
        <v>1420</v>
      </c>
      <c r="W106" s="122" t="s">
        <v>246</v>
      </c>
      <c r="X106" s="122" t="s">
        <v>1121</v>
      </c>
      <c r="Y106" s="141" t="s">
        <v>593</v>
      </c>
      <c r="Z106" s="122" t="s">
        <v>7691</v>
      </c>
      <c r="AA106" s="141" t="s">
        <v>500</v>
      </c>
      <c r="AB106" s="122" t="s">
        <v>7692</v>
      </c>
      <c r="AC106" s="141" t="s">
        <v>367</v>
      </c>
      <c r="AD106" s="122" t="s">
        <v>7693</v>
      </c>
      <c r="AE106" s="122" t="s">
        <v>235</v>
      </c>
      <c r="AF106" s="122" t="s">
        <v>7694</v>
      </c>
      <c r="AG106" s="122" t="s">
        <v>537</v>
      </c>
      <c r="AH106" s="122" t="s">
        <v>253</v>
      </c>
      <c r="AI106" s="122" t="s">
        <v>7695</v>
      </c>
      <c r="AJ106" s="122" t="s">
        <v>7696</v>
      </c>
      <c r="AK106" s="122" t="s">
        <v>253</v>
      </c>
      <c r="AL106" s="122" t="s">
        <v>253</v>
      </c>
      <c r="AM106" s="122" t="s">
        <v>253</v>
      </c>
      <c r="AN106" s="122" t="s">
        <v>253</v>
      </c>
      <c r="AO106" s="141" t="s">
        <v>247</v>
      </c>
      <c r="AP106" s="141" t="s">
        <v>247</v>
      </c>
      <c r="AQ106" s="141" t="s">
        <v>247</v>
      </c>
      <c r="AR106" s="141" t="s">
        <v>253</v>
      </c>
      <c r="AS106" s="141" t="s">
        <v>601</v>
      </c>
      <c r="AT106" s="141" t="s">
        <v>601</v>
      </c>
      <c r="AU106" s="141" t="s">
        <v>258</v>
      </c>
      <c r="AV106" s="122" t="s">
        <v>259</v>
      </c>
      <c r="AW106" s="122" t="s">
        <v>260</v>
      </c>
      <c r="AY106" s="141" t="s">
        <v>253</v>
      </c>
      <c r="AZ106" s="122" t="s">
        <v>7697</v>
      </c>
      <c r="BA106" s="122" t="s">
        <v>262</v>
      </c>
      <c r="BB106" s="122" t="s">
        <v>262</v>
      </c>
      <c r="BC106" s="141" t="s">
        <v>312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35</v>
      </c>
      <c r="BJ106" s="123">
        <v>42230</v>
      </c>
      <c r="BK106" s="139" t="s">
        <v>264</v>
      </c>
      <c r="BL106" s="140">
        <v>250</v>
      </c>
      <c r="BM106" s="122">
        <v>33</v>
      </c>
    </row>
    <row r="107" spans="1:65" x14ac:dyDescent="0.25">
      <c r="A107" s="122" t="s">
        <v>6735</v>
      </c>
      <c r="B107" s="122" t="s">
        <v>7698</v>
      </c>
      <c r="C107" s="122" t="s">
        <v>7699</v>
      </c>
      <c r="D107" s="122" t="s">
        <v>7700</v>
      </c>
      <c r="E107" s="123">
        <v>42226</v>
      </c>
      <c r="F107" s="122" t="s">
        <v>7701</v>
      </c>
      <c r="G107" s="122" t="s">
        <v>235</v>
      </c>
      <c r="H107" s="122" t="s">
        <v>7702</v>
      </c>
      <c r="I107" s="122" t="s">
        <v>7703</v>
      </c>
      <c r="K107" s="122" t="s">
        <v>238</v>
      </c>
      <c r="L107" s="122" t="s">
        <v>297</v>
      </c>
      <c r="M107" s="122" t="s">
        <v>298</v>
      </c>
      <c r="O107" s="141" t="s">
        <v>1240</v>
      </c>
      <c r="P107" s="141" t="s">
        <v>7704</v>
      </c>
      <c r="Q107" s="122" t="s">
        <v>243</v>
      </c>
      <c r="R107" s="142">
        <v>36</v>
      </c>
      <c r="S107" s="122" t="s">
        <v>7705</v>
      </c>
      <c r="U107" s="122" t="s">
        <v>1420</v>
      </c>
      <c r="W107" s="122" t="s">
        <v>246</v>
      </c>
      <c r="X107" s="122" t="s">
        <v>433</v>
      </c>
      <c r="Y107" s="141" t="s">
        <v>593</v>
      </c>
      <c r="Z107" s="122" t="s">
        <v>7706</v>
      </c>
      <c r="AA107" s="141" t="s">
        <v>234</v>
      </c>
      <c r="AB107" s="122" t="s">
        <v>7707</v>
      </c>
      <c r="AC107" s="141" t="s">
        <v>1327</v>
      </c>
      <c r="AD107" s="122" t="s">
        <v>7708</v>
      </c>
      <c r="AE107" s="122" t="s">
        <v>235</v>
      </c>
      <c r="AF107" s="122" t="s">
        <v>7709</v>
      </c>
      <c r="AG107" s="122" t="s">
        <v>747</v>
      </c>
      <c r="AH107" s="122" t="s">
        <v>253</v>
      </c>
      <c r="AI107" s="122" t="s">
        <v>7710</v>
      </c>
      <c r="AJ107" s="122" t="s">
        <v>7711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253</v>
      </c>
      <c r="AQ107" s="141" t="s">
        <v>247</v>
      </c>
      <c r="AR107" s="141" t="s">
        <v>247</v>
      </c>
      <c r="AS107" s="141" t="s">
        <v>601</v>
      </c>
      <c r="AT107" s="141" t="s">
        <v>601</v>
      </c>
      <c r="AU107" s="141" t="s">
        <v>601</v>
      </c>
      <c r="AV107" s="122" t="s">
        <v>259</v>
      </c>
      <c r="AW107" s="122" t="s">
        <v>260</v>
      </c>
      <c r="AX107" s="141" t="s">
        <v>2029</v>
      </c>
      <c r="AY107" s="141" t="s">
        <v>247</v>
      </c>
      <c r="AZ107" s="122" t="s">
        <v>7712</v>
      </c>
      <c r="BA107" s="122" t="s">
        <v>262</v>
      </c>
      <c r="BB107" s="122" t="s">
        <v>262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36</v>
      </c>
    </row>
    <row r="108" spans="1:65" x14ac:dyDescent="0.25">
      <c r="A108" s="122" t="s">
        <v>6735</v>
      </c>
      <c r="B108" s="122" t="s">
        <v>7713</v>
      </c>
      <c r="C108" s="122" t="s">
        <v>7714</v>
      </c>
      <c r="D108" s="122" t="s">
        <v>7715</v>
      </c>
      <c r="E108" s="123">
        <v>42226</v>
      </c>
      <c r="F108" s="122" t="s">
        <v>3574</v>
      </c>
      <c r="G108" s="122" t="s">
        <v>235</v>
      </c>
      <c r="H108" s="122" t="s">
        <v>448</v>
      </c>
      <c r="I108" s="122" t="s">
        <v>7451</v>
      </c>
      <c r="J108" s="122" t="s">
        <v>7716</v>
      </c>
      <c r="K108" s="122" t="s">
        <v>238</v>
      </c>
      <c r="L108" s="122" t="s">
        <v>271</v>
      </c>
      <c r="M108" s="122" t="s">
        <v>2441</v>
      </c>
      <c r="O108" s="141" t="s">
        <v>566</v>
      </c>
      <c r="P108" s="141" t="s">
        <v>7717</v>
      </c>
      <c r="Q108" s="122" t="s">
        <v>243</v>
      </c>
      <c r="R108" s="142">
        <v>37</v>
      </c>
      <c r="S108" s="122" t="s">
        <v>7718</v>
      </c>
      <c r="U108" s="122" t="s">
        <v>1420</v>
      </c>
      <c r="W108" s="122" t="s">
        <v>246</v>
      </c>
      <c r="X108" s="122" t="s">
        <v>497</v>
      </c>
      <c r="Y108" s="141" t="s">
        <v>417</v>
      </c>
      <c r="Z108" s="122" t="s">
        <v>7719</v>
      </c>
      <c r="AB108" s="122" t="s">
        <v>250</v>
      </c>
      <c r="AD108" s="122" t="s">
        <v>250</v>
      </c>
      <c r="AE108" s="122" t="s">
        <v>235</v>
      </c>
      <c r="AF108" s="122" t="s">
        <v>7720</v>
      </c>
      <c r="AG108" s="122" t="s">
        <v>537</v>
      </c>
      <c r="AH108" s="122" t="s">
        <v>253</v>
      </c>
      <c r="AI108" s="122" t="s">
        <v>7721</v>
      </c>
      <c r="AJ108" s="122" t="s">
        <v>7722</v>
      </c>
      <c r="AK108" s="122" t="s">
        <v>253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247</v>
      </c>
      <c r="AQ108" s="141" t="s">
        <v>247</v>
      </c>
      <c r="AR108" s="141" t="s">
        <v>253</v>
      </c>
      <c r="AS108" s="141" t="s">
        <v>601</v>
      </c>
      <c r="AT108" s="141" t="s">
        <v>601</v>
      </c>
      <c r="AU108" s="141" t="s">
        <v>258</v>
      </c>
      <c r="AV108" s="122" t="s">
        <v>259</v>
      </c>
      <c r="AW108" s="122" t="s">
        <v>260</v>
      </c>
      <c r="AY108" s="141" t="s">
        <v>253</v>
      </c>
      <c r="AZ108" s="122" t="s">
        <v>262</v>
      </c>
      <c r="BA108" s="122" t="s">
        <v>262</v>
      </c>
      <c r="BB108" s="122" t="s">
        <v>7723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37</v>
      </c>
      <c r="BJ108" s="123">
        <v>42238</v>
      </c>
      <c r="BK108" s="139" t="s">
        <v>606</v>
      </c>
      <c r="BM108" s="122">
        <v>34</v>
      </c>
    </row>
    <row r="109" spans="1:65" x14ac:dyDescent="0.25">
      <c r="A109" s="122" t="s">
        <v>6735</v>
      </c>
      <c r="B109" s="122" t="s">
        <v>7724</v>
      </c>
      <c r="C109" s="122" t="s">
        <v>7725</v>
      </c>
      <c r="D109" s="122" t="s">
        <v>7726</v>
      </c>
      <c r="E109" s="123">
        <v>42226</v>
      </c>
      <c r="F109" s="122" t="s">
        <v>685</v>
      </c>
      <c r="G109" s="122" t="s">
        <v>235</v>
      </c>
      <c r="H109" s="122" t="s">
        <v>7727</v>
      </c>
      <c r="I109" s="122" t="s">
        <v>7728</v>
      </c>
      <c r="K109" s="122" t="s">
        <v>238</v>
      </c>
      <c r="L109" s="122" t="s">
        <v>271</v>
      </c>
      <c r="M109" s="122" t="s">
        <v>2441</v>
      </c>
      <c r="O109" s="141" t="s">
        <v>780</v>
      </c>
      <c r="P109" s="141" t="s">
        <v>7729</v>
      </c>
      <c r="Q109" s="122" t="s">
        <v>243</v>
      </c>
      <c r="R109" s="142">
        <v>38</v>
      </c>
      <c r="S109" s="122" t="s">
        <v>7730</v>
      </c>
      <c r="U109" s="122" t="s">
        <v>1420</v>
      </c>
      <c r="W109" s="122" t="s">
        <v>246</v>
      </c>
      <c r="X109" s="122" t="s">
        <v>302</v>
      </c>
      <c r="Z109" s="122" t="s">
        <v>250</v>
      </c>
      <c r="AB109" s="122" t="s">
        <v>250</v>
      </c>
      <c r="AD109" s="122" t="s">
        <v>250</v>
      </c>
      <c r="AE109" s="122" t="s">
        <v>235</v>
      </c>
      <c r="AF109" s="122" t="s">
        <v>7731</v>
      </c>
      <c r="AG109" s="122" t="s">
        <v>253</v>
      </c>
      <c r="AH109" s="122" t="s">
        <v>253</v>
      </c>
      <c r="AI109" s="122" t="s">
        <v>7732</v>
      </c>
      <c r="AJ109" s="122" t="s">
        <v>7733</v>
      </c>
      <c r="AK109" s="122" t="s">
        <v>7734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253</v>
      </c>
      <c r="AS109" s="141" t="s">
        <v>601</v>
      </c>
      <c r="AT109" s="141" t="s">
        <v>601</v>
      </c>
      <c r="AU109" s="141" t="s">
        <v>258</v>
      </c>
      <c r="AV109" s="122" t="s">
        <v>259</v>
      </c>
      <c r="AW109" s="122" t="s">
        <v>260</v>
      </c>
      <c r="AY109" s="141" t="s">
        <v>253</v>
      </c>
      <c r="AZ109" s="122" t="s">
        <v>7735</v>
      </c>
      <c r="BA109" s="122" t="s">
        <v>262</v>
      </c>
      <c r="BB109" s="122" t="s">
        <v>262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38</v>
      </c>
      <c r="BJ109" s="123">
        <v>42238</v>
      </c>
      <c r="BK109" s="139" t="s">
        <v>264</v>
      </c>
      <c r="BL109" s="140">
        <v>287.3</v>
      </c>
      <c r="BM109" s="122">
        <v>34</v>
      </c>
    </row>
    <row r="110" spans="1:65" x14ac:dyDescent="0.25">
      <c r="A110" s="122" t="s">
        <v>6735</v>
      </c>
      <c r="B110" s="122" t="s">
        <v>7736</v>
      </c>
      <c r="C110" s="122" t="s">
        <v>7737</v>
      </c>
      <c r="D110" s="122" t="s">
        <v>7738</v>
      </c>
      <c r="E110" s="123">
        <v>42226</v>
      </c>
      <c r="F110" s="122" t="s">
        <v>7739</v>
      </c>
      <c r="G110" s="122" t="s">
        <v>235</v>
      </c>
      <c r="H110" s="122" t="s">
        <v>7740</v>
      </c>
      <c r="I110" s="122" t="s">
        <v>7741</v>
      </c>
      <c r="K110" s="122" t="s">
        <v>472</v>
      </c>
      <c r="L110" s="122" t="s">
        <v>473</v>
      </c>
      <c r="M110" s="122" t="s">
        <v>1774</v>
      </c>
      <c r="O110" s="141" t="s">
        <v>241</v>
      </c>
      <c r="P110" s="141" t="s">
        <v>7742</v>
      </c>
      <c r="Q110" s="122" t="s">
        <v>243</v>
      </c>
      <c r="R110" s="142">
        <v>39</v>
      </c>
      <c r="S110" s="122" t="s">
        <v>7743</v>
      </c>
      <c r="U110" s="122" t="s">
        <v>1420</v>
      </c>
      <c r="W110" s="122" t="s">
        <v>246</v>
      </c>
      <c r="X110" s="122" t="s">
        <v>1057</v>
      </c>
      <c r="Y110" s="141" t="s">
        <v>973</v>
      </c>
      <c r="Z110" s="122" t="s">
        <v>7744</v>
      </c>
      <c r="AA110" s="141" t="s">
        <v>356</v>
      </c>
      <c r="AB110" s="122" t="s">
        <v>7744</v>
      </c>
      <c r="AC110" s="141" t="s">
        <v>234</v>
      </c>
      <c r="AD110" s="122" t="s">
        <v>7744</v>
      </c>
      <c r="AE110" s="122" t="s">
        <v>235</v>
      </c>
      <c r="AF110" s="122" t="s">
        <v>7745</v>
      </c>
      <c r="AG110" s="122" t="s">
        <v>537</v>
      </c>
      <c r="AH110" s="122" t="s">
        <v>253</v>
      </c>
      <c r="AI110" s="122" t="s">
        <v>7746</v>
      </c>
      <c r="AJ110" s="122" t="s">
        <v>7747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253</v>
      </c>
      <c r="AP110" s="141" t="s">
        <v>253</v>
      </c>
      <c r="AQ110" s="141" t="s">
        <v>247</v>
      </c>
      <c r="AR110" s="141" t="s">
        <v>253</v>
      </c>
      <c r="AS110" s="141" t="s">
        <v>361</v>
      </c>
      <c r="AT110" s="141" t="s">
        <v>601</v>
      </c>
      <c r="AU110" s="141" t="s">
        <v>258</v>
      </c>
      <c r="AV110" s="122" t="s">
        <v>259</v>
      </c>
      <c r="AW110" s="122" t="s">
        <v>260</v>
      </c>
      <c r="AY110" s="141" t="s">
        <v>253</v>
      </c>
      <c r="AZ110" s="122" t="s">
        <v>7748</v>
      </c>
      <c r="BA110" s="122" t="s">
        <v>262</v>
      </c>
      <c r="BB110" s="122" t="s">
        <v>262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39</v>
      </c>
      <c r="BJ110" s="123">
        <v>42234</v>
      </c>
      <c r="BK110" s="139" t="s">
        <v>264</v>
      </c>
      <c r="BL110" s="140">
        <v>137.27000000000001</v>
      </c>
      <c r="BM110" s="122">
        <v>34</v>
      </c>
    </row>
    <row r="111" spans="1:65" x14ac:dyDescent="0.25">
      <c r="A111" s="122" t="s">
        <v>6735</v>
      </c>
      <c r="B111" s="122" t="s">
        <v>7749</v>
      </c>
      <c r="C111" s="122" t="s">
        <v>7750</v>
      </c>
      <c r="D111" s="122" t="s">
        <v>7751</v>
      </c>
      <c r="E111" s="123">
        <v>42226</v>
      </c>
      <c r="F111" s="122" t="s">
        <v>2585</v>
      </c>
      <c r="G111" s="122" t="s">
        <v>235</v>
      </c>
      <c r="H111" s="122" t="s">
        <v>448</v>
      </c>
      <c r="I111" s="122" t="s">
        <v>1709</v>
      </c>
      <c r="J111" s="122" t="s">
        <v>7752</v>
      </c>
      <c r="K111" s="122" t="s">
        <v>238</v>
      </c>
      <c r="L111" s="122" t="s">
        <v>271</v>
      </c>
      <c r="M111" s="122" t="s">
        <v>1711</v>
      </c>
      <c r="Q111" s="122" t="s">
        <v>243</v>
      </c>
      <c r="R111" s="142">
        <v>40</v>
      </c>
      <c r="S111" s="122" t="s">
        <v>7753</v>
      </c>
      <c r="U111" s="122" t="s">
        <v>1420</v>
      </c>
      <c r="W111" s="122" t="s">
        <v>246</v>
      </c>
      <c r="X111" s="122" t="s">
        <v>497</v>
      </c>
      <c r="Z111" s="122" t="s">
        <v>250</v>
      </c>
      <c r="AB111" s="122" t="s">
        <v>250</v>
      </c>
      <c r="AD111" s="122" t="s">
        <v>250</v>
      </c>
      <c r="AE111" s="122" t="s">
        <v>235</v>
      </c>
      <c r="AF111" s="122" t="s">
        <v>7754</v>
      </c>
      <c r="AG111" s="122" t="s">
        <v>537</v>
      </c>
      <c r="AH111" s="122" t="s">
        <v>253</v>
      </c>
      <c r="AI111" s="122" t="s">
        <v>1715</v>
      </c>
      <c r="AJ111" s="122" t="s">
        <v>7755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247</v>
      </c>
      <c r="AP111" s="141" t="s">
        <v>253</v>
      </c>
      <c r="AQ111" s="141" t="s">
        <v>253</v>
      </c>
      <c r="AR111" s="141" t="s">
        <v>253</v>
      </c>
      <c r="AS111" s="141" t="s">
        <v>601</v>
      </c>
      <c r="AT111" s="141" t="s">
        <v>258</v>
      </c>
      <c r="AU111" s="141" t="s">
        <v>258</v>
      </c>
      <c r="AV111" s="122" t="s">
        <v>259</v>
      </c>
      <c r="AW111" s="122" t="s">
        <v>260</v>
      </c>
      <c r="AY111" s="141" t="s">
        <v>253</v>
      </c>
      <c r="AZ111" s="122" t="s">
        <v>262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40</v>
      </c>
      <c r="BJ111" s="123">
        <v>42237</v>
      </c>
      <c r="BK111" s="139" t="s">
        <v>606</v>
      </c>
      <c r="BM111" s="122">
        <v>34</v>
      </c>
    </row>
    <row r="112" spans="1:65" x14ac:dyDescent="0.25">
      <c r="A112" s="122" t="s">
        <v>6735</v>
      </c>
      <c r="B112" s="122" t="s">
        <v>7756</v>
      </c>
      <c r="C112" s="122" t="s">
        <v>7757</v>
      </c>
      <c r="D112" s="122" t="s">
        <v>7758</v>
      </c>
      <c r="E112" s="123">
        <v>42226</v>
      </c>
      <c r="F112" s="122" t="s">
        <v>7759</v>
      </c>
      <c r="G112" s="122" t="s">
        <v>235</v>
      </c>
      <c r="H112" s="122" t="s">
        <v>7760</v>
      </c>
      <c r="I112" s="122" t="s">
        <v>7381</v>
      </c>
      <c r="J112" s="122" t="s">
        <v>7761</v>
      </c>
      <c r="K112" s="122" t="s">
        <v>238</v>
      </c>
      <c r="L112" s="122" t="s">
        <v>297</v>
      </c>
      <c r="M112" s="122" t="s">
        <v>2481</v>
      </c>
      <c r="O112" s="141" t="s">
        <v>7762</v>
      </c>
      <c r="P112" s="141" t="s">
        <v>7763</v>
      </c>
      <c r="Q112" s="122" t="s">
        <v>243</v>
      </c>
      <c r="R112" s="142">
        <v>41</v>
      </c>
      <c r="S112" s="122" t="s">
        <v>7764</v>
      </c>
      <c r="U112" s="122" t="s">
        <v>1420</v>
      </c>
      <c r="V112" s="122" t="s">
        <v>351</v>
      </c>
      <c r="W112" s="122" t="s">
        <v>246</v>
      </c>
      <c r="X112" s="122" t="s">
        <v>1057</v>
      </c>
      <c r="Y112" s="141" t="s">
        <v>1528</v>
      </c>
      <c r="Z112" s="122" t="s">
        <v>7765</v>
      </c>
      <c r="AA112" s="141" t="s">
        <v>3039</v>
      </c>
      <c r="AB112" s="122" t="s">
        <v>1792</v>
      </c>
      <c r="AC112" s="141" t="s">
        <v>670</v>
      </c>
      <c r="AD112" s="122" t="s">
        <v>7766</v>
      </c>
      <c r="AE112" s="122" t="s">
        <v>235</v>
      </c>
      <c r="AF112" s="122" t="s">
        <v>7767</v>
      </c>
      <c r="AG112" s="122" t="s">
        <v>537</v>
      </c>
      <c r="AH112" s="122" t="s">
        <v>253</v>
      </c>
      <c r="AI112" s="122" t="s">
        <v>7768</v>
      </c>
      <c r="AJ112" s="122" t="s">
        <v>7769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247</v>
      </c>
      <c r="AP112" s="141" t="s">
        <v>247</v>
      </c>
      <c r="AQ112" s="141" t="s">
        <v>247</v>
      </c>
      <c r="AR112" s="141" t="s">
        <v>253</v>
      </c>
      <c r="AS112" s="141" t="s">
        <v>601</v>
      </c>
      <c r="AT112" s="141" t="s">
        <v>601</v>
      </c>
      <c r="AU112" s="141" t="s">
        <v>258</v>
      </c>
      <c r="AV112" s="122" t="s">
        <v>259</v>
      </c>
      <c r="AW112" s="122" t="s">
        <v>260</v>
      </c>
      <c r="AY112" s="141" t="s">
        <v>253</v>
      </c>
      <c r="AZ112" s="122" t="s">
        <v>7770</v>
      </c>
      <c r="BA112" s="122" t="s">
        <v>262</v>
      </c>
      <c r="BB112" s="122" t="s">
        <v>262</v>
      </c>
      <c r="BC112" s="141" t="s">
        <v>312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41</v>
      </c>
      <c r="BJ112" s="123">
        <v>42236</v>
      </c>
      <c r="BK112" s="139" t="s">
        <v>606</v>
      </c>
      <c r="BM112" s="122">
        <v>34</v>
      </c>
    </row>
    <row r="113" spans="1:65" x14ac:dyDescent="0.25">
      <c r="A113" s="122" t="s">
        <v>6735</v>
      </c>
      <c r="B113" s="122" t="s">
        <v>7771</v>
      </c>
      <c r="C113" s="122" t="s">
        <v>7772</v>
      </c>
      <c r="D113" s="122" t="s">
        <v>7773</v>
      </c>
      <c r="E113" s="123">
        <v>42226</v>
      </c>
      <c r="F113" s="122" t="s">
        <v>7774</v>
      </c>
      <c r="G113" s="122" t="s">
        <v>235</v>
      </c>
      <c r="H113" s="122" t="s">
        <v>7775</v>
      </c>
      <c r="I113" s="122" t="s">
        <v>7381</v>
      </c>
      <c r="J113" s="122" t="s">
        <v>7776</v>
      </c>
      <c r="K113" s="122" t="s">
        <v>238</v>
      </c>
      <c r="L113" s="122" t="s">
        <v>297</v>
      </c>
      <c r="M113" s="122" t="s">
        <v>2481</v>
      </c>
      <c r="O113" s="141" t="s">
        <v>566</v>
      </c>
      <c r="P113" s="141" t="s">
        <v>7777</v>
      </c>
      <c r="Q113" s="122" t="s">
        <v>243</v>
      </c>
      <c r="R113" s="142">
        <v>42</v>
      </c>
      <c r="S113" s="122" t="s">
        <v>7778</v>
      </c>
      <c r="U113" s="122" t="s">
        <v>1420</v>
      </c>
      <c r="V113" s="122" t="s">
        <v>351</v>
      </c>
      <c r="W113" s="122" t="s">
        <v>246</v>
      </c>
      <c r="X113" s="122" t="s">
        <v>853</v>
      </c>
      <c r="Y113" s="141" t="s">
        <v>534</v>
      </c>
      <c r="Z113" s="122" t="s">
        <v>7441</v>
      </c>
      <c r="AA113" s="141" t="s">
        <v>457</v>
      </c>
      <c r="AB113" s="122" t="s">
        <v>7779</v>
      </c>
      <c r="AC113" s="141" t="s">
        <v>1498</v>
      </c>
      <c r="AD113" s="122" t="s">
        <v>7780</v>
      </c>
      <c r="AE113" s="122" t="s">
        <v>235</v>
      </c>
      <c r="AF113" s="122" t="s">
        <v>7781</v>
      </c>
      <c r="AG113" s="122" t="s">
        <v>7782</v>
      </c>
      <c r="AH113" s="122" t="s">
        <v>253</v>
      </c>
      <c r="AI113" s="122" t="s">
        <v>7783</v>
      </c>
      <c r="AJ113" s="122" t="s">
        <v>7784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247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X113" s="141" t="s">
        <v>2029</v>
      </c>
      <c r="AY113" s="141" t="s">
        <v>247</v>
      </c>
      <c r="AZ113" s="122" t="s">
        <v>7785</v>
      </c>
      <c r="BA113" s="122" t="s">
        <v>262</v>
      </c>
      <c r="BB113" s="122" t="s">
        <v>7786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42</v>
      </c>
      <c r="BJ113" s="123">
        <v>42236</v>
      </c>
      <c r="BK113" s="139" t="s">
        <v>606</v>
      </c>
      <c r="BM113" s="122">
        <v>34</v>
      </c>
    </row>
    <row r="114" spans="1:65" x14ac:dyDescent="0.25">
      <c r="A114" s="122" t="s">
        <v>6735</v>
      </c>
      <c r="B114" s="122" t="s">
        <v>7787</v>
      </c>
      <c r="C114" s="122" t="s">
        <v>7788</v>
      </c>
      <c r="D114" s="122" t="s">
        <v>7789</v>
      </c>
      <c r="E114" s="123">
        <v>42226</v>
      </c>
      <c r="F114" s="122" t="s">
        <v>1116</v>
      </c>
      <c r="G114" s="122" t="s">
        <v>235</v>
      </c>
      <c r="H114" s="122" t="s">
        <v>7790</v>
      </c>
      <c r="I114" s="122" t="s">
        <v>7791</v>
      </c>
      <c r="J114" s="122" t="s">
        <v>7792</v>
      </c>
      <c r="K114" s="122" t="s">
        <v>238</v>
      </c>
      <c r="L114" s="122" t="s">
        <v>271</v>
      </c>
      <c r="M114" s="122" t="s">
        <v>1593</v>
      </c>
      <c r="O114" s="141" t="s">
        <v>451</v>
      </c>
      <c r="P114" s="141" t="s">
        <v>7793</v>
      </c>
      <c r="Q114" s="122" t="s">
        <v>243</v>
      </c>
      <c r="R114" s="142">
        <v>43</v>
      </c>
      <c r="S114" s="122" t="s">
        <v>7794</v>
      </c>
      <c r="U114" s="122" t="s">
        <v>1420</v>
      </c>
      <c r="W114" s="122" t="s">
        <v>246</v>
      </c>
      <c r="X114" s="122" t="s">
        <v>1121</v>
      </c>
      <c r="Y114" s="141" t="s">
        <v>3037</v>
      </c>
      <c r="Z114" s="122" t="s">
        <v>395</v>
      </c>
      <c r="AA114" s="141" t="s">
        <v>593</v>
      </c>
      <c r="AB114" s="122" t="s">
        <v>7795</v>
      </c>
      <c r="AC114" s="141" t="s">
        <v>1291</v>
      </c>
      <c r="AD114" s="122" t="s">
        <v>355</v>
      </c>
      <c r="AE114" s="122" t="s">
        <v>235</v>
      </c>
      <c r="AF114" s="122" t="s">
        <v>7796</v>
      </c>
      <c r="AG114" s="122" t="s">
        <v>747</v>
      </c>
      <c r="AH114" s="122" t="s">
        <v>253</v>
      </c>
      <c r="AI114" s="122" t="s">
        <v>7797</v>
      </c>
      <c r="AJ114" s="122" t="s">
        <v>7798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X114" s="141" t="s">
        <v>2029</v>
      </c>
      <c r="AY114" s="141" t="s">
        <v>247</v>
      </c>
      <c r="AZ114" s="122" t="s">
        <v>7799</v>
      </c>
      <c r="BA114" s="122" t="s">
        <v>262</v>
      </c>
      <c r="BB114" s="122" t="s">
        <v>262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43</v>
      </c>
      <c r="BJ114" s="123">
        <v>42237</v>
      </c>
      <c r="BK114" s="139" t="s">
        <v>606</v>
      </c>
      <c r="BM114" s="122">
        <v>34</v>
      </c>
    </row>
    <row r="115" spans="1:65" x14ac:dyDescent="0.25">
      <c r="A115" s="122" t="s">
        <v>6735</v>
      </c>
      <c r="B115" s="122" t="s">
        <v>7800</v>
      </c>
      <c r="C115" s="122" t="s">
        <v>7801</v>
      </c>
      <c r="D115" s="122" t="s">
        <v>7802</v>
      </c>
      <c r="E115" s="123">
        <v>42226</v>
      </c>
      <c r="F115" s="122" t="s">
        <v>4049</v>
      </c>
      <c r="G115" s="122" t="s">
        <v>235</v>
      </c>
      <c r="H115" s="122" t="s">
        <v>7803</v>
      </c>
      <c r="I115" s="122" t="s">
        <v>7804</v>
      </c>
      <c r="J115" s="122" t="s">
        <v>2158</v>
      </c>
      <c r="K115" s="122" t="s">
        <v>238</v>
      </c>
      <c r="L115" s="122" t="s">
        <v>429</v>
      </c>
      <c r="M115" s="122" t="s">
        <v>1774</v>
      </c>
      <c r="O115" s="141" t="s">
        <v>1240</v>
      </c>
      <c r="P115" s="141" t="s">
        <v>7805</v>
      </c>
      <c r="Q115" s="122" t="s">
        <v>243</v>
      </c>
      <c r="R115" s="142">
        <v>44</v>
      </c>
      <c r="S115" s="122" t="s">
        <v>7806</v>
      </c>
      <c r="U115" s="122" t="s">
        <v>1420</v>
      </c>
      <c r="W115" s="122" t="s">
        <v>246</v>
      </c>
      <c r="X115" s="122" t="s">
        <v>1121</v>
      </c>
      <c r="Y115" s="141" t="s">
        <v>354</v>
      </c>
      <c r="Z115" s="122" t="s">
        <v>7807</v>
      </c>
      <c r="AB115" s="122" t="s">
        <v>250</v>
      </c>
      <c r="AD115" s="122" t="s">
        <v>250</v>
      </c>
      <c r="AE115" s="122" t="s">
        <v>235</v>
      </c>
      <c r="AF115" s="122" t="s">
        <v>7808</v>
      </c>
      <c r="AG115" s="122" t="s">
        <v>537</v>
      </c>
      <c r="AH115" s="122" t="s">
        <v>253</v>
      </c>
      <c r="AI115" s="122" t="s">
        <v>7809</v>
      </c>
      <c r="AJ115" s="122" t="s">
        <v>7810</v>
      </c>
      <c r="AK115" s="122" t="s">
        <v>253</v>
      </c>
      <c r="AL115" s="122" t="s">
        <v>253</v>
      </c>
      <c r="AM115" s="122" t="s">
        <v>253</v>
      </c>
      <c r="AN115" s="122" t="s">
        <v>253</v>
      </c>
      <c r="AO115" s="141" t="s">
        <v>247</v>
      </c>
      <c r="AP115" s="141" t="s">
        <v>253</v>
      </c>
      <c r="AQ115" s="141" t="s">
        <v>247</v>
      </c>
      <c r="AR115" s="141" t="s">
        <v>253</v>
      </c>
      <c r="AS115" s="141" t="s">
        <v>601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X115" s="141" t="s">
        <v>7811</v>
      </c>
      <c r="AY115" s="141" t="s">
        <v>247</v>
      </c>
      <c r="AZ115" s="122" t="s">
        <v>7812</v>
      </c>
      <c r="BA115" s="122" t="s">
        <v>262</v>
      </c>
      <c r="BB115" s="122" t="s">
        <v>262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44</v>
      </c>
      <c r="BJ115" s="123">
        <v>42234</v>
      </c>
      <c r="BK115" s="139" t="s">
        <v>264</v>
      </c>
      <c r="BL115" s="140">
        <v>67.37</v>
      </c>
      <c r="BM115" s="122">
        <v>34</v>
      </c>
    </row>
    <row r="116" spans="1:65" x14ac:dyDescent="0.25">
      <c r="A116" s="122" t="s">
        <v>6735</v>
      </c>
      <c r="B116" s="122" t="s">
        <v>7813</v>
      </c>
      <c r="C116" s="122" t="s">
        <v>7814</v>
      </c>
      <c r="D116" s="122" t="s">
        <v>7815</v>
      </c>
      <c r="E116" s="123">
        <v>42226</v>
      </c>
      <c r="F116" s="122" t="s">
        <v>1116</v>
      </c>
      <c r="G116" s="122" t="s">
        <v>235</v>
      </c>
      <c r="H116" s="122" t="s">
        <v>7816</v>
      </c>
      <c r="I116" s="122" t="s">
        <v>563</v>
      </c>
      <c r="J116" s="122" t="s">
        <v>2158</v>
      </c>
      <c r="K116" s="122" t="s">
        <v>238</v>
      </c>
      <c r="L116" s="122" t="s">
        <v>271</v>
      </c>
      <c r="M116" s="122" t="s">
        <v>565</v>
      </c>
      <c r="O116" s="141" t="s">
        <v>2378</v>
      </c>
      <c r="P116" s="141" t="s">
        <v>7817</v>
      </c>
      <c r="Q116" s="122" t="s">
        <v>243</v>
      </c>
      <c r="R116" s="142">
        <v>45</v>
      </c>
      <c r="S116" s="122" t="s">
        <v>7818</v>
      </c>
      <c r="U116" s="122" t="s">
        <v>1420</v>
      </c>
      <c r="W116" s="122" t="s">
        <v>246</v>
      </c>
      <c r="X116" s="122" t="s">
        <v>1121</v>
      </c>
      <c r="Y116" s="141" t="s">
        <v>534</v>
      </c>
      <c r="Z116" s="122" t="s">
        <v>6566</v>
      </c>
      <c r="AA116" s="141" t="s">
        <v>328</v>
      </c>
      <c r="AB116" s="122" t="s">
        <v>7819</v>
      </c>
      <c r="AC116" s="141" t="s">
        <v>899</v>
      </c>
      <c r="AD116" s="122" t="s">
        <v>7820</v>
      </c>
      <c r="AE116" s="122" t="s">
        <v>235</v>
      </c>
      <c r="AF116" s="122" t="s">
        <v>7821</v>
      </c>
      <c r="AG116" s="122" t="s">
        <v>537</v>
      </c>
      <c r="AH116" s="122" t="s">
        <v>253</v>
      </c>
      <c r="AI116" s="122" t="s">
        <v>6569</v>
      </c>
      <c r="AJ116" s="122" t="s">
        <v>6977</v>
      </c>
      <c r="AK116" s="122" t="s">
        <v>253</v>
      </c>
      <c r="AL116" s="122" t="s">
        <v>253</v>
      </c>
      <c r="AM116" s="122" t="s">
        <v>253</v>
      </c>
      <c r="AN116" s="122" t="s">
        <v>253</v>
      </c>
      <c r="AO116" s="141" t="s">
        <v>253</v>
      </c>
      <c r="AP116" s="141" t="s">
        <v>253</v>
      </c>
      <c r="AQ116" s="141" t="s">
        <v>247</v>
      </c>
      <c r="AR116" s="141" t="s">
        <v>253</v>
      </c>
      <c r="AS116" s="141" t="s">
        <v>361</v>
      </c>
      <c r="AT116" s="141" t="s">
        <v>601</v>
      </c>
      <c r="AU116" s="141" t="s">
        <v>258</v>
      </c>
      <c r="AV116" s="122" t="s">
        <v>259</v>
      </c>
      <c r="AW116" s="122" t="s">
        <v>260</v>
      </c>
      <c r="AY116" s="141" t="s">
        <v>253</v>
      </c>
      <c r="AZ116" s="122" t="s">
        <v>7822</v>
      </c>
      <c r="BA116" s="122" t="s">
        <v>262</v>
      </c>
      <c r="BB116" s="122" t="s">
        <v>262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45</v>
      </c>
      <c r="BJ116" s="123">
        <v>42237</v>
      </c>
      <c r="BK116" s="139" t="s">
        <v>606</v>
      </c>
      <c r="BM116" s="122">
        <v>34</v>
      </c>
    </row>
    <row r="117" spans="1:65" x14ac:dyDescent="0.25">
      <c r="A117" s="122" t="s">
        <v>6489</v>
      </c>
      <c r="B117" s="122" t="s">
        <v>7823</v>
      </c>
      <c r="C117" s="122" t="s">
        <v>7824</v>
      </c>
      <c r="D117" s="122" t="s">
        <v>7825</v>
      </c>
      <c r="E117" s="123">
        <v>42226</v>
      </c>
      <c r="F117" s="122" t="s">
        <v>2700</v>
      </c>
      <c r="G117" s="122" t="s">
        <v>235</v>
      </c>
      <c r="H117" s="122" t="s">
        <v>7826</v>
      </c>
      <c r="I117" s="122" t="s">
        <v>7827</v>
      </c>
      <c r="K117" s="122" t="s">
        <v>238</v>
      </c>
      <c r="L117" s="122" t="s">
        <v>297</v>
      </c>
      <c r="M117" s="122" t="s">
        <v>2205</v>
      </c>
      <c r="O117" s="141" t="s">
        <v>451</v>
      </c>
      <c r="P117" s="141" t="s">
        <v>7828</v>
      </c>
      <c r="Q117" s="122" t="s">
        <v>243</v>
      </c>
      <c r="R117" s="142">
        <v>46</v>
      </c>
      <c r="S117" s="122" t="s">
        <v>7829</v>
      </c>
      <c r="U117" s="122" t="s">
        <v>1420</v>
      </c>
      <c r="W117" s="122" t="s">
        <v>246</v>
      </c>
      <c r="X117" s="122" t="s">
        <v>853</v>
      </c>
      <c r="Z117" s="122" t="s">
        <v>250</v>
      </c>
      <c r="AB117" s="122" t="s">
        <v>250</v>
      </c>
      <c r="AD117" s="122" t="s">
        <v>250</v>
      </c>
      <c r="AE117" s="122" t="s">
        <v>235</v>
      </c>
      <c r="AF117" s="122" t="s">
        <v>7830</v>
      </c>
      <c r="AG117" s="122" t="s">
        <v>537</v>
      </c>
      <c r="AH117" s="122" t="s">
        <v>253</v>
      </c>
      <c r="AI117" s="122" t="s">
        <v>7831</v>
      </c>
      <c r="AJ117" s="122" t="s">
        <v>7832</v>
      </c>
      <c r="AK117" s="122" t="s">
        <v>7833</v>
      </c>
      <c r="AL117" s="122" t="s">
        <v>253</v>
      </c>
      <c r="AM117" s="122" t="s">
        <v>253</v>
      </c>
      <c r="AN117" s="122" t="s">
        <v>253</v>
      </c>
      <c r="AO117" s="141" t="s">
        <v>253</v>
      </c>
      <c r="AP117" s="141" t="s">
        <v>253</v>
      </c>
      <c r="AQ117" s="141" t="s">
        <v>247</v>
      </c>
      <c r="AR117" s="141" t="s">
        <v>247</v>
      </c>
      <c r="AS117" s="141" t="s">
        <v>361</v>
      </c>
      <c r="AT117" s="141" t="s">
        <v>601</v>
      </c>
      <c r="AU117" s="141" t="s">
        <v>601</v>
      </c>
      <c r="AV117" s="122" t="s">
        <v>259</v>
      </c>
      <c r="AW117" s="122" t="s">
        <v>260</v>
      </c>
      <c r="AY117" s="141" t="s">
        <v>253</v>
      </c>
      <c r="AZ117" s="122" t="s">
        <v>7834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46</v>
      </c>
    </row>
    <row r="118" spans="1:65" x14ac:dyDescent="0.25">
      <c r="A118" s="122" t="s">
        <v>6489</v>
      </c>
      <c r="B118" s="122" t="s">
        <v>7835</v>
      </c>
      <c r="C118" s="122" t="s">
        <v>7836</v>
      </c>
      <c r="D118" s="122" t="s">
        <v>7837</v>
      </c>
      <c r="E118" s="123">
        <v>42226</v>
      </c>
      <c r="F118" s="122" t="s">
        <v>480</v>
      </c>
      <c r="G118" s="122" t="s">
        <v>235</v>
      </c>
      <c r="H118" s="122" t="s">
        <v>7838</v>
      </c>
      <c r="I118" s="122" t="s">
        <v>7839</v>
      </c>
      <c r="K118" s="122" t="s">
        <v>238</v>
      </c>
      <c r="L118" s="122" t="s">
        <v>297</v>
      </c>
      <c r="M118" s="122" t="s">
        <v>2205</v>
      </c>
      <c r="N118" s="122" t="s">
        <v>7840</v>
      </c>
      <c r="O118" s="141" t="s">
        <v>566</v>
      </c>
      <c r="P118" s="141" t="s">
        <v>7841</v>
      </c>
      <c r="Q118" s="122" t="s">
        <v>243</v>
      </c>
      <c r="R118" s="142">
        <v>47</v>
      </c>
      <c r="S118" s="122" t="s">
        <v>7842</v>
      </c>
      <c r="U118" s="122" t="s">
        <v>1420</v>
      </c>
      <c r="W118" s="122" t="s">
        <v>246</v>
      </c>
      <c r="X118" s="122" t="s">
        <v>853</v>
      </c>
      <c r="Y118" s="141" t="s">
        <v>668</v>
      </c>
      <c r="Z118" s="122" t="s">
        <v>7843</v>
      </c>
      <c r="AA118" s="141" t="s">
        <v>742</v>
      </c>
      <c r="AB118" s="122" t="s">
        <v>7843</v>
      </c>
      <c r="AC118" s="141" t="s">
        <v>899</v>
      </c>
      <c r="AD118" s="122" t="s">
        <v>7844</v>
      </c>
      <c r="AE118" s="122" t="s">
        <v>235</v>
      </c>
      <c r="AF118" s="122" t="s">
        <v>7845</v>
      </c>
      <c r="AG118" s="122" t="s">
        <v>537</v>
      </c>
      <c r="AH118" s="122" t="s">
        <v>253</v>
      </c>
      <c r="AI118" s="122" t="s">
        <v>7846</v>
      </c>
      <c r="AJ118" s="122" t="s">
        <v>7847</v>
      </c>
      <c r="AK118" s="122" t="s">
        <v>253</v>
      </c>
      <c r="AL118" s="122" t="s">
        <v>253</v>
      </c>
      <c r="AM118" s="122" t="s">
        <v>253</v>
      </c>
      <c r="AN118" s="122" t="s">
        <v>253</v>
      </c>
      <c r="AO118" s="141" t="s">
        <v>247</v>
      </c>
      <c r="AP118" s="141" t="s">
        <v>247</v>
      </c>
      <c r="AQ118" s="141" t="s">
        <v>247</v>
      </c>
      <c r="AR118" s="141" t="s">
        <v>253</v>
      </c>
      <c r="AS118" s="141" t="s">
        <v>601</v>
      </c>
      <c r="AT118" s="141" t="s">
        <v>601</v>
      </c>
      <c r="AU118" s="141" t="s">
        <v>258</v>
      </c>
      <c r="AV118" s="122" t="s">
        <v>259</v>
      </c>
      <c r="AW118" s="122" t="s">
        <v>260</v>
      </c>
      <c r="AY118" s="141" t="s">
        <v>253</v>
      </c>
      <c r="AZ118" s="122" t="s">
        <v>7848</v>
      </c>
      <c r="BA118" s="122" t="s">
        <v>262</v>
      </c>
      <c r="BB118" s="122" t="s">
        <v>262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47</v>
      </c>
    </row>
    <row r="119" spans="1:65" x14ac:dyDescent="0.25">
      <c r="A119" s="122" t="s">
        <v>6489</v>
      </c>
      <c r="B119" s="122" t="s">
        <v>7849</v>
      </c>
      <c r="C119" s="122" t="s">
        <v>7850</v>
      </c>
      <c r="D119" s="122" t="s">
        <v>7851</v>
      </c>
      <c r="E119" s="123">
        <v>42226</v>
      </c>
      <c r="F119" s="122" t="s">
        <v>7852</v>
      </c>
      <c r="G119" s="122" t="s">
        <v>235</v>
      </c>
      <c r="H119" s="122" t="s">
        <v>448</v>
      </c>
      <c r="I119" s="122" t="s">
        <v>1559</v>
      </c>
      <c r="J119" s="122" t="s">
        <v>4927</v>
      </c>
      <c r="K119" s="122" t="s">
        <v>238</v>
      </c>
      <c r="L119" s="122" t="s">
        <v>271</v>
      </c>
      <c r="M119" s="122" t="s">
        <v>1561</v>
      </c>
      <c r="O119" s="141" t="s">
        <v>241</v>
      </c>
      <c r="P119" s="141" t="s">
        <v>7853</v>
      </c>
      <c r="Q119" s="122" t="s">
        <v>243</v>
      </c>
      <c r="R119" s="142">
        <v>48</v>
      </c>
      <c r="S119" s="122" t="s">
        <v>7854</v>
      </c>
      <c r="U119" s="122" t="s">
        <v>1420</v>
      </c>
      <c r="W119" s="122" t="s">
        <v>246</v>
      </c>
      <c r="X119" s="122" t="s">
        <v>3147</v>
      </c>
      <c r="Y119" s="141" t="s">
        <v>595</v>
      </c>
      <c r="Z119" s="122" t="s">
        <v>7855</v>
      </c>
      <c r="AA119" s="141" t="s">
        <v>1969</v>
      </c>
      <c r="AB119" s="122" t="s">
        <v>7856</v>
      </c>
      <c r="AC119" s="141" t="s">
        <v>1629</v>
      </c>
      <c r="AD119" s="122" t="s">
        <v>3204</v>
      </c>
      <c r="AE119" s="122" t="s">
        <v>235</v>
      </c>
      <c r="AF119" s="122" t="s">
        <v>7857</v>
      </c>
      <c r="AG119" s="122" t="s">
        <v>537</v>
      </c>
      <c r="AH119" s="122" t="s">
        <v>253</v>
      </c>
      <c r="AI119" s="122" t="s">
        <v>3796</v>
      </c>
      <c r="AJ119" s="122" t="s">
        <v>7858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253</v>
      </c>
      <c r="AP119" s="141" t="s">
        <v>253</v>
      </c>
      <c r="AQ119" s="141" t="s">
        <v>247</v>
      </c>
      <c r="AR119" s="141" t="s">
        <v>253</v>
      </c>
      <c r="AS119" s="141" t="s">
        <v>361</v>
      </c>
      <c r="AT119" s="141" t="s">
        <v>601</v>
      </c>
      <c r="AU119" s="141" t="s">
        <v>258</v>
      </c>
      <c r="AV119" s="122" t="s">
        <v>259</v>
      </c>
      <c r="AW119" s="122" t="s">
        <v>260</v>
      </c>
      <c r="AY119" s="141" t="s">
        <v>253</v>
      </c>
      <c r="AZ119" s="122" t="s">
        <v>262</v>
      </c>
      <c r="BA119" s="122" t="s">
        <v>262</v>
      </c>
      <c r="BB119" s="122" t="s">
        <v>7859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48</v>
      </c>
      <c r="BJ119" s="123">
        <v>42237</v>
      </c>
      <c r="BK119" s="139" t="s">
        <v>606</v>
      </c>
      <c r="BM119" s="122">
        <v>34</v>
      </c>
    </row>
    <row r="120" spans="1:65" x14ac:dyDescent="0.25">
      <c r="A120" s="122" t="s">
        <v>6489</v>
      </c>
      <c r="B120" s="122" t="s">
        <v>7860</v>
      </c>
      <c r="C120" s="122" t="s">
        <v>7861</v>
      </c>
      <c r="D120" s="122" t="s">
        <v>7862</v>
      </c>
      <c r="E120" s="123">
        <v>42226</v>
      </c>
      <c r="F120" s="122" t="s">
        <v>7863</v>
      </c>
      <c r="G120" s="122" t="s">
        <v>235</v>
      </c>
      <c r="H120" s="122" t="s">
        <v>7864</v>
      </c>
      <c r="I120" s="122" t="s">
        <v>7865</v>
      </c>
      <c r="K120" s="122" t="s">
        <v>238</v>
      </c>
      <c r="L120" s="122" t="s">
        <v>271</v>
      </c>
      <c r="M120" s="122" t="s">
        <v>2069</v>
      </c>
      <c r="N120" s="122" t="s">
        <v>7866</v>
      </c>
      <c r="O120" s="141" t="s">
        <v>451</v>
      </c>
      <c r="P120" s="141" t="s">
        <v>7867</v>
      </c>
      <c r="Q120" s="122" t="s">
        <v>243</v>
      </c>
      <c r="R120" s="142">
        <v>49</v>
      </c>
      <c r="S120" s="122" t="s">
        <v>7868</v>
      </c>
      <c r="U120" s="122" t="s">
        <v>1420</v>
      </c>
      <c r="W120" s="122" t="s">
        <v>246</v>
      </c>
      <c r="X120" s="122" t="s">
        <v>1324</v>
      </c>
      <c r="Y120" s="141" t="s">
        <v>1256</v>
      </c>
      <c r="Z120" s="122" t="s">
        <v>7869</v>
      </c>
      <c r="AA120" s="141" t="s">
        <v>973</v>
      </c>
      <c r="AB120" s="122" t="s">
        <v>3489</v>
      </c>
      <c r="AC120" s="141" t="s">
        <v>248</v>
      </c>
      <c r="AD120" s="122" t="s">
        <v>7870</v>
      </c>
      <c r="AE120" s="122" t="s">
        <v>235</v>
      </c>
      <c r="AF120" s="122" t="s">
        <v>7871</v>
      </c>
      <c r="AG120" s="122" t="s">
        <v>2580</v>
      </c>
      <c r="AH120" s="122" t="s">
        <v>253</v>
      </c>
      <c r="AI120" s="122" t="s">
        <v>7872</v>
      </c>
      <c r="AJ120" s="122" t="s">
        <v>7873</v>
      </c>
      <c r="AK120" s="122" t="s">
        <v>253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260</v>
      </c>
      <c r="AX120" s="141" t="s">
        <v>3027</v>
      </c>
      <c r="AY120" s="141" t="s">
        <v>603</v>
      </c>
      <c r="AZ120" s="122" t="s">
        <v>7874</v>
      </c>
      <c r="BA120" s="122" t="s">
        <v>7875</v>
      </c>
      <c r="BB120" s="122" t="s">
        <v>7875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49</v>
      </c>
      <c r="BJ120" s="123">
        <v>42237</v>
      </c>
      <c r="BK120" s="139" t="s">
        <v>606</v>
      </c>
      <c r="BM120" s="122">
        <v>34</v>
      </c>
    </row>
    <row r="121" spans="1:65" x14ac:dyDescent="0.25">
      <c r="A121" s="122" t="s">
        <v>6489</v>
      </c>
      <c r="B121" s="122" t="s">
        <v>7876</v>
      </c>
      <c r="C121" s="122" t="s">
        <v>7877</v>
      </c>
      <c r="D121" s="122" t="s">
        <v>7878</v>
      </c>
      <c r="E121" s="123">
        <v>42226</v>
      </c>
      <c r="F121" s="122" t="s">
        <v>722</v>
      </c>
      <c r="G121" s="122" t="s">
        <v>235</v>
      </c>
      <c r="H121" s="122" t="s">
        <v>7879</v>
      </c>
      <c r="I121" s="122" t="s">
        <v>7880</v>
      </c>
      <c r="K121" s="122" t="s">
        <v>238</v>
      </c>
      <c r="L121" s="122" t="s">
        <v>271</v>
      </c>
      <c r="M121" s="122" t="s">
        <v>2069</v>
      </c>
      <c r="O121" s="141" t="s">
        <v>566</v>
      </c>
      <c r="P121" s="141" t="s">
        <v>7881</v>
      </c>
      <c r="Q121" s="122" t="s">
        <v>243</v>
      </c>
      <c r="R121" s="142">
        <v>50</v>
      </c>
      <c r="S121" s="122" t="s">
        <v>7882</v>
      </c>
      <c r="U121" s="122" t="s">
        <v>1420</v>
      </c>
      <c r="W121" s="122" t="s">
        <v>246</v>
      </c>
      <c r="X121" s="122" t="s">
        <v>590</v>
      </c>
      <c r="Y121" s="141" t="s">
        <v>511</v>
      </c>
      <c r="Z121" s="122" t="s">
        <v>7883</v>
      </c>
      <c r="AB121" s="122" t="s">
        <v>250</v>
      </c>
      <c r="AD121" s="122" t="s">
        <v>250</v>
      </c>
      <c r="AE121" s="122" t="s">
        <v>235</v>
      </c>
      <c r="AF121" s="122" t="s">
        <v>7884</v>
      </c>
      <c r="AG121" s="122" t="s">
        <v>537</v>
      </c>
      <c r="AH121" s="122" t="s">
        <v>253</v>
      </c>
      <c r="AI121" s="122" t="s">
        <v>7885</v>
      </c>
      <c r="AJ121" s="122" t="s">
        <v>7886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247</v>
      </c>
      <c r="AP121" s="141" t="s">
        <v>247</v>
      </c>
      <c r="AQ121" s="141" t="s">
        <v>247</v>
      </c>
      <c r="AR121" s="141" t="s">
        <v>253</v>
      </c>
      <c r="AS121" s="141" t="s">
        <v>601</v>
      </c>
      <c r="AT121" s="141" t="s">
        <v>601</v>
      </c>
      <c r="AU121" s="141" t="s">
        <v>258</v>
      </c>
      <c r="AV121" s="122" t="s">
        <v>259</v>
      </c>
      <c r="AW121" s="122" t="s">
        <v>260</v>
      </c>
      <c r="AY121" s="141" t="s">
        <v>253</v>
      </c>
      <c r="AZ121" s="122" t="s">
        <v>7887</v>
      </c>
      <c r="BA121" s="122" t="s">
        <v>262</v>
      </c>
      <c r="BB121" s="122" t="s">
        <v>262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50</v>
      </c>
      <c r="BJ121" s="123">
        <v>42230</v>
      </c>
      <c r="BK121" s="139" t="s">
        <v>264</v>
      </c>
      <c r="BL121" s="140">
        <v>165.63</v>
      </c>
      <c r="BM121" s="122">
        <v>33</v>
      </c>
    </row>
    <row r="122" spans="1:65" x14ac:dyDescent="0.25">
      <c r="A122" s="122" t="s">
        <v>6489</v>
      </c>
      <c r="B122" s="122" t="s">
        <v>7888</v>
      </c>
      <c r="C122" s="122" t="s">
        <v>7889</v>
      </c>
      <c r="D122" s="122" t="s">
        <v>7890</v>
      </c>
      <c r="E122" s="123">
        <v>42226</v>
      </c>
      <c r="F122" s="122" t="s">
        <v>248</v>
      </c>
      <c r="G122" s="122" t="s">
        <v>235</v>
      </c>
      <c r="H122" s="122" t="s">
        <v>7891</v>
      </c>
      <c r="I122" s="122" t="s">
        <v>7892</v>
      </c>
      <c r="K122" s="122" t="s">
        <v>238</v>
      </c>
      <c r="L122" s="122" t="s">
        <v>297</v>
      </c>
      <c r="M122" s="122" t="s">
        <v>2021</v>
      </c>
      <c r="O122" s="141" t="s">
        <v>566</v>
      </c>
      <c r="P122" s="141" t="s">
        <v>7893</v>
      </c>
      <c r="Q122" s="122" t="s">
        <v>243</v>
      </c>
      <c r="R122" s="142">
        <v>51</v>
      </c>
      <c r="S122" s="122" t="s">
        <v>7894</v>
      </c>
      <c r="T122" s="122" t="s">
        <v>7895</v>
      </c>
      <c r="U122" s="122" t="s">
        <v>1420</v>
      </c>
      <c r="W122" s="122" t="s">
        <v>246</v>
      </c>
      <c r="X122" s="122" t="s">
        <v>590</v>
      </c>
      <c r="Z122" s="122" t="s">
        <v>250</v>
      </c>
      <c r="AB122" s="122" t="s">
        <v>250</v>
      </c>
      <c r="AD122" s="122" t="s">
        <v>250</v>
      </c>
      <c r="AE122" s="122" t="s">
        <v>235</v>
      </c>
      <c r="AF122" s="122" t="s">
        <v>7896</v>
      </c>
      <c r="AG122" s="122" t="s">
        <v>537</v>
      </c>
      <c r="AH122" s="122" t="s">
        <v>253</v>
      </c>
      <c r="AI122" s="122" t="s">
        <v>7897</v>
      </c>
      <c r="AJ122" s="122" t="s">
        <v>7898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247</v>
      </c>
      <c r="AS122" s="141" t="s">
        <v>601</v>
      </c>
      <c r="AT122" s="141" t="s">
        <v>601</v>
      </c>
      <c r="AU122" s="141" t="s">
        <v>601</v>
      </c>
      <c r="AV122" s="122" t="s">
        <v>259</v>
      </c>
      <c r="AW122" s="122" t="s">
        <v>260</v>
      </c>
      <c r="AY122" s="141" t="s">
        <v>253</v>
      </c>
      <c r="AZ122" s="122" t="s">
        <v>7899</v>
      </c>
      <c r="BA122" s="122" t="s">
        <v>262</v>
      </c>
      <c r="BB122" s="122" t="s">
        <v>262</v>
      </c>
      <c r="BD122" s="122" t="s">
        <v>253</v>
      </c>
      <c r="BE122" s="122" t="s">
        <v>263</v>
      </c>
      <c r="BF122" s="122" t="s">
        <v>1430</v>
      </c>
      <c r="BH122" s="122" t="s">
        <v>1420</v>
      </c>
      <c r="BI122" s="142">
        <v>51</v>
      </c>
    </row>
    <row r="123" spans="1:65" x14ac:dyDescent="0.25">
      <c r="A123" s="122" t="s">
        <v>6489</v>
      </c>
      <c r="B123" s="122" t="s">
        <v>7900</v>
      </c>
      <c r="C123" s="122" t="s">
        <v>7901</v>
      </c>
      <c r="D123" s="122" t="s">
        <v>7902</v>
      </c>
      <c r="E123" s="123">
        <v>42226</v>
      </c>
      <c r="F123" s="122" t="s">
        <v>7903</v>
      </c>
      <c r="G123" s="122" t="s">
        <v>235</v>
      </c>
      <c r="H123" s="122" t="s">
        <v>7904</v>
      </c>
      <c r="I123" s="122" t="s">
        <v>7905</v>
      </c>
      <c r="J123" s="122" t="s">
        <v>7906</v>
      </c>
      <c r="K123" s="122" t="s">
        <v>238</v>
      </c>
      <c r="L123" s="122" t="s">
        <v>271</v>
      </c>
      <c r="M123" s="122" t="s">
        <v>2589</v>
      </c>
      <c r="O123" s="141" t="s">
        <v>5598</v>
      </c>
      <c r="P123" s="141" t="s">
        <v>7907</v>
      </c>
      <c r="Q123" s="122" t="s">
        <v>243</v>
      </c>
      <c r="R123" s="142">
        <v>52</v>
      </c>
      <c r="S123" s="122" t="s">
        <v>7908</v>
      </c>
      <c r="U123" s="122" t="s">
        <v>1420</v>
      </c>
      <c r="W123" s="122" t="s">
        <v>246</v>
      </c>
      <c r="X123" s="122" t="s">
        <v>3147</v>
      </c>
      <c r="Y123" s="141" t="s">
        <v>478</v>
      </c>
      <c r="Z123" s="122" t="s">
        <v>7909</v>
      </c>
      <c r="AA123" s="141" t="s">
        <v>234</v>
      </c>
      <c r="AB123" s="122" t="s">
        <v>7910</v>
      </c>
      <c r="AC123" s="141" t="s">
        <v>283</v>
      </c>
      <c r="AD123" s="122" t="s">
        <v>7911</v>
      </c>
      <c r="AE123" s="122" t="s">
        <v>235</v>
      </c>
      <c r="AF123" s="122" t="s">
        <v>7912</v>
      </c>
      <c r="AG123" s="122" t="s">
        <v>537</v>
      </c>
      <c r="AH123" s="122" t="s">
        <v>253</v>
      </c>
      <c r="AI123" s="122" t="s">
        <v>7913</v>
      </c>
      <c r="AJ123" s="122" t="s">
        <v>7914</v>
      </c>
      <c r="AK123" s="122" t="s">
        <v>253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253</v>
      </c>
      <c r="AQ123" s="141" t="s">
        <v>247</v>
      </c>
      <c r="AR123" s="141" t="s">
        <v>247</v>
      </c>
      <c r="AS123" s="141" t="s">
        <v>601</v>
      </c>
      <c r="AT123" s="141" t="s">
        <v>601</v>
      </c>
      <c r="AU123" s="141" t="s">
        <v>601</v>
      </c>
      <c r="AV123" s="122" t="s">
        <v>259</v>
      </c>
      <c r="AW123" s="122" t="s">
        <v>260</v>
      </c>
      <c r="AX123" s="141" t="s">
        <v>7915</v>
      </c>
      <c r="AY123" s="141" t="s">
        <v>247</v>
      </c>
      <c r="AZ123" s="122" t="s">
        <v>7916</v>
      </c>
      <c r="BA123" s="122" t="s">
        <v>262</v>
      </c>
      <c r="BB123" s="122" t="s">
        <v>7917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52</v>
      </c>
      <c r="BJ123" s="123">
        <v>42237</v>
      </c>
      <c r="BK123" s="139" t="s">
        <v>606</v>
      </c>
      <c r="BM123" s="122">
        <v>34</v>
      </c>
    </row>
    <row r="124" spans="1:65" x14ac:dyDescent="0.25">
      <c r="A124" s="122" t="s">
        <v>6489</v>
      </c>
      <c r="B124" s="122" t="s">
        <v>7918</v>
      </c>
      <c r="C124" s="122" t="s">
        <v>7919</v>
      </c>
      <c r="D124" s="122" t="s">
        <v>7920</v>
      </c>
      <c r="E124" s="123">
        <v>42226</v>
      </c>
      <c r="F124" s="122" t="s">
        <v>7921</v>
      </c>
      <c r="G124" s="122" t="s">
        <v>235</v>
      </c>
      <c r="H124" s="122" t="s">
        <v>7922</v>
      </c>
      <c r="I124" s="122" t="s">
        <v>7923</v>
      </c>
      <c r="K124" s="122" t="s">
        <v>238</v>
      </c>
      <c r="L124" s="122" t="s">
        <v>429</v>
      </c>
      <c r="M124" s="122" t="s">
        <v>1525</v>
      </c>
      <c r="O124" s="141" t="s">
        <v>451</v>
      </c>
      <c r="P124" s="141" t="s">
        <v>7924</v>
      </c>
      <c r="Q124" s="122" t="s">
        <v>243</v>
      </c>
      <c r="R124" s="142">
        <v>53</v>
      </c>
      <c r="S124" s="122" t="s">
        <v>7925</v>
      </c>
      <c r="U124" s="122" t="s">
        <v>1420</v>
      </c>
      <c r="W124" s="122" t="s">
        <v>246</v>
      </c>
      <c r="X124" s="122" t="s">
        <v>3147</v>
      </c>
      <c r="Y124" s="141" t="s">
        <v>3039</v>
      </c>
      <c r="Z124" s="122" t="s">
        <v>4541</v>
      </c>
      <c r="AA124" s="141" t="s">
        <v>1125</v>
      </c>
      <c r="AB124" s="122" t="s">
        <v>1792</v>
      </c>
      <c r="AC124" s="141" t="s">
        <v>722</v>
      </c>
      <c r="AD124" s="122" t="s">
        <v>7926</v>
      </c>
      <c r="AE124" s="122" t="s">
        <v>235</v>
      </c>
      <c r="AF124" s="122" t="s">
        <v>7927</v>
      </c>
      <c r="AG124" s="122" t="s">
        <v>537</v>
      </c>
      <c r="AH124" s="122" t="s">
        <v>253</v>
      </c>
      <c r="AI124" s="122" t="s">
        <v>7928</v>
      </c>
      <c r="AJ124" s="122" t="s">
        <v>7929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247</v>
      </c>
      <c r="AS124" s="141" t="s">
        <v>361</v>
      </c>
      <c r="AT124" s="141" t="s">
        <v>601</v>
      </c>
      <c r="AU124" s="141" t="s">
        <v>601</v>
      </c>
      <c r="AV124" s="122" t="s">
        <v>259</v>
      </c>
      <c r="AW124" s="122" t="s">
        <v>260</v>
      </c>
      <c r="AY124" s="141" t="s">
        <v>253</v>
      </c>
      <c r="AZ124" s="122" t="s">
        <v>7930</v>
      </c>
      <c r="BA124" s="122" t="s">
        <v>262</v>
      </c>
      <c r="BB124" s="122" t="s">
        <v>262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53</v>
      </c>
      <c r="BJ124" s="123">
        <v>42234</v>
      </c>
      <c r="BK124" s="139" t="s">
        <v>264</v>
      </c>
      <c r="BL124" s="140">
        <v>156.75</v>
      </c>
      <c r="BM124" s="122">
        <v>34</v>
      </c>
    </row>
    <row r="125" spans="1:65" x14ac:dyDescent="0.25">
      <c r="A125" s="122" t="s">
        <v>6489</v>
      </c>
      <c r="B125" s="122" t="s">
        <v>7931</v>
      </c>
      <c r="C125" s="122" t="s">
        <v>7932</v>
      </c>
      <c r="D125" s="122" t="s">
        <v>7933</v>
      </c>
      <c r="E125" s="123">
        <v>42226</v>
      </c>
      <c r="F125" s="122" t="s">
        <v>7262</v>
      </c>
      <c r="G125" s="122" t="s">
        <v>235</v>
      </c>
      <c r="H125" s="122" t="s">
        <v>7934</v>
      </c>
      <c r="I125" s="122" t="s">
        <v>7935</v>
      </c>
      <c r="K125" s="122" t="s">
        <v>238</v>
      </c>
      <c r="L125" s="122" t="s">
        <v>429</v>
      </c>
      <c r="M125" s="122" t="s">
        <v>1466</v>
      </c>
      <c r="O125" s="141" t="s">
        <v>548</v>
      </c>
      <c r="P125" s="141" t="s">
        <v>7936</v>
      </c>
      <c r="Q125" s="122" t="s">
        <v>243</v>
      </c>
      <c r="R125" s="142">
        <v>54</v>
      </c>
      <c r="S125" s="122" t="s">
        <v>7937</v>
      </c>
      <c r="T125" s="122" t="s">
        <v>7937</v>
      </c>
      <c r="U125" s="122" t="s">
        <v>1420</v>
      </c>
      <c r="W125" s="122" t="s">
        <v>246</v>
      </c>
      <c r="X125" s="122" t="s">
        <v>2624</v>
      </c>
      <c r="Y125" s="141" t="s">
        <v>591</v>
      </c>
      <c r="Z125" s="122" t="s">
        <v>7938</v>
      </c>
      <c r="AA125" s="141" t="s">
        <v>1926</v>
      </c>
      <c r="AB125" s="122" t="s">
        <v>7939</v>
      </c>
      <c r="AC125" s="141" t="s">
        <v>1023</v>
      </c>
      <c r="AD125" s="122" t="s">
        <v>434</v>
      </c>
      <c r="AE125" s="122" t="s">
        <v>235</v>
      </c>
      <c r="AF125" s="122" t="s">
        <v>7940</v>
      </c>
      <c r="AG125" s="122" t="s">
        <v>7941</v>
      </c>
      <c r="AH125" s="122" t="s">
        <v>253</v>
      </c>
      <c r="AI125" s="122" t="s">
        <v>7942</v>
      </c>
      <c r="AJ125" s="122" t="s">
        <v>7943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247</v>
      </c>
      <c r="AS125" s="141" t="s">
        <v>601</v>
      </c>
      <c r="AT125" s="141" t="s">
        <v>601</v>
      </c>
      <c r="AU125" s="141" t="s">
        <v>601</v>
      </c>
      <c r="AV125" s="122" t="s">
        <v>259</v>
      </c>
      <c r="AW125" s="122" t="s">
        <v>260</v>
      </c>
      <c r="AY125" s="141" t="s">
        <v>253</v>
      </c>
      <c r="AZ125" s="122" t="s">
        <v>7944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54</v>
      </c>
      <c r="BJ125" s="123">
        <v>42234</v>
      </c>
      <c r="BK125" s="139" t="s">
        <v>606</v>
      </c>
      <c r="BM125" s="122">
        <v>34</v>
      </c>
    </row>
    <row r="126" spans="1:65" x14ac:dyDescent="0.25">
      <c r="A126" s="122" t="s">
        <v>6489</v>
      </c>
      <c r="B126" s="122" t="s">
        <v>7945</v>
      </c>
      <c r="C126" s="122" t="s">
        <v>7946</v>
      </c>
      <c r="D126" s="122" t="s">
        <v>7947</v>
      </c>
      <c r="E126" s="123">
        <v>42226</v>
      </c>
      <c r="F126" s="122" t="s">
        <v>2700</v>
      </c>
      <c r="G126" s="122" t="s">
        <v>235</v>
      </c>
      <c r="H126" s="122" t="s">
        <v>7948</v>
      </c>
      <c r="I126" s="122" t="s">
        <v>7949</v>
      </c>
      <c r="K126" s="122" t="s">
        <v>238</v>
      </c>
      <c r="L126" s="122" t="s">
        <v>297</v>
      </c>
      <c r="M126" s="122" t="s">
        <v>1920</v>
      </c>
      <c r="N126" s="122" t="s">
        <v>7950</v>
      </c>
      <c r="O126" s="141" t="s">
        <v>373</v>
      </c>
      <c r="P126" s="141" t="s">
        <v>7951</v>
      </c>
      <c r="Q126" s="122" t="s">
        <v>243</v>
      </c>
      <c r="R126" s="142">
        <v>55</v>
      </c>
      <c r="S126" s="122" t="s">
        <v>7952</v>
      </c>
      <c r="U126" s="122" t="s">
        <v>1420</v>
      </c>
      <c r="W126" s="122" t="s">
        <v>246</v>
      </c>
      <c r="X126" s="122" t="s">
        <v>853</v>
      </c>
      <c r="Y126" s="141" t="s">
        <v>973</v>
      </c>
      <c r="Z126" s="122" t="s">
        <v>7953</v>
      </c>
      <c r="AB126" s="122" t="s">
        <v>250</v>
      </c>
      <c r="AD126" s="122" t="s">
        <v>250</v>
      </c>
      <c r="AE126" s="122" t="s">
        <v>235</v>
      </c>
      <c r="AF126" s="122" t="s">
        <v>7954</v>
      </c>
      <c r="AG126" s="122" t="s">
        <v>537</v>
      </c>
      <c r="AH126" s="122" t="s">
        <v>253</v>
      </c>
      <c r="AI126" s="122" t="s">
        <v>4398</v>
      </c>
      <c r="AJ126" s="122" t="s">
        <v>2309</v>
      </c>
      <c r="AK126" s="122" t="s">
        <v>253</v>
      </c>
      <c r="AL126" s="122" t="s">
        <v>253</v>
      </c>
      <c r="AM126" s="122" t="s">
        <v>253</v>
      </c>
      <c r="AN126" s="122" t="s">
        <v>253</v>
      </c>
      <c r="AO126" s="141" t="s">
        <v>253</v>
      </c>
      <c r="AP126" s="141" t="s">
        <v>253</v>
      </c>
      <c r="AQ126" s="141" t="s">
        <v>247</v>
      </c>
      <c r="AR126" s="141" t="s">
        <v>253</v>
      </c>
      <c r="AS126" s="141" t="s">
        <v>361</v>
      </c>
      <c r="AT126" s="141" t="s">
        <v>601</v>
      </c>
      <c r="AU126" s="141" t="s">
        <v>258</v>
      </c>
      <c r="AV126" s="122" t="s">
        <v>259</v>
      </c>
      <c r="AW126" s="122" t="s">
        <v>260</v>
      </c>
      <c r="AY126" s="141" t="s">
        <v>253</v>
      </c>
      <c r="AZ126" s="122" t="s">
        <v>7955</v>
      </c>
      <c r="BA126" s="122" t="s">
        <v>262</v>
      </c>
      <c r="BB126" s="122" t="s">
        <v>262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55</v>
      </c>
      <c r="BJ126" s="123">
        <v>42236</v>
      </c>
      <c r="BK126" s="139" t="s">
        <v>606</v>
      </c>
      <c r="BM126" s="122">
        <v>34</v>
      </c>
    </row>
    <row r="127" spans="1:65" x14ac:dyDescent="0.25">
      <c r="A127" s="122" t="s">
        <v>6489</v>
      </c>
      <c r="B127" s="122" t="s">
        <v>7956</v>
      </c>
      <c r="C127" s="122" t="s">
        <v>7957</v>
      </c>
      <c r="D127" s="122" t="s">
        <v>7958</v>
      </c>
      <c r="E127" s="123">
        <v>42226</v>
      </c>
      <c r="F127" s="122" t="s">
        <v>7959</v>
      </c>
      <c r="G127" s="122" t="s">
        <v>235</v>
      </c>
      <c r="H127" s="122" t="s">
        <v>7960</v>
      </c>
      <c r="I127" s="122" t="s">
        <v>7961</v>
      </c>
      <c r="J127" s="122" t="s">
        <v>2116</v>
      </c>
      <c r="K127" s="122" t="s">
        <v>238</v>
      </c>
      <c r="L127" s="122" t="s">
        <v>297</v>
      </c>
      <c r="M127" s="122" t="s">
        <v>2205</v>
      </c>
      <c r="O127" s="141" t="s">
        <v>649</v>
      </c>
      <c r="P127" s="141" t="s">
        <v>7962</v>
      </c>
      <c r="Q127" s="122" t="s">
        <v>243</v>
      </c>
      <c r="R127" s="142">
        <v>56</v>
      </c>
      <c r="S127" s="122" t="s">
        <v>7963</v>
      </c>
      <c r="U127" s="122" t="s">
        <v>1420</v>
      </c>
      <c r="X127" s="122" t="s">
        <v>3147</v>
      </c>
      <c r="Y127" s="141" t="s">
        <v>973</v>
      </c>
      <c r="Z127" s="122" t="s">
        <v>3793</v>
      </c>
      <c r="AA127" s="141" t="s">
        <v>2072</v>
      </c>
      <c r="AB127" s="122" t="s">
        <v>307</v>
      </c>
      <c r="AC127" s="141" t="s">
        <v>1090</v>
      </c>
      <c r="AD127" s="122" t="s">
        <v>307</v>
      </c>
      <c r="AE127" s="122" t="s">
        <v>235</v>
      </c>
      <c r="AF127" s="122" t="s">
        <v>7964</v>
      </c>
      <c r="AG127" s="122" t="s">
        <v>537</v>
      </c>
      <c r="AH127" s="122" t="s">
        <v>253</v>
      </c>
      <c r="AI127" s="122" t="s">
        <v>7965</v>
      </c>
      <c r="AJ127" s="122" t="s">
        <v>7966</v>
      </c>
      <c r="AK127" s="122" t="s">
        <v>5501</v>
      </c>
      <c r="AL127" s="122" t="s">
        <v>253</v>
      </c>
      <c r="AM127" s="122" t="s">
        <v>253</v>
      </c>
      <c r="AN127" s="122" t="s">
        <v>253</v>
      </c>
      <c r="AO127" s="141" t="s">
        <v>253</v>
      </c>
      <c r="AP127" s="141" t="s">
        <v>253</v>
      </c>
      <c r="AQ127" s="141" t="s">
        <v>247</v>
      </c>
      <c r="AR127" s="141" t="s">
        <v>253</v>
      </c>
      <c r="AS127" s="141" t="s">
        <v>361</v>
      </c>
      <c r="AT127" s="141" t="s">
        <v>601</v>
      </c>
      <c r="AU127" s="141" t="s">
        <v>258</v>
      </c>
      <c r="AV127" s="122" t="s">
        <v>259</v>
      </c>
      <c r="AW127" s="122" t="s">
        <v>260</v>
      </c>
      <c r="AY127" s="141" t="s">
        <v>253</v>
      </c>
      <c r="AZ127" s="122" t="s">
        <v>7967</v>
      </c>
      <c r="BA127" s="122" t="s">
        <v>262</v>
      </c>
      <c r="BB127" s="122" t="s">
        <v>262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56</v>
      </c>
      <c r="BJ127" s="123">
        <v>42230</v>
      </c>
      <c r="BK127" s="139" t="s">
        <v>264</v>
      </c>
      <c r="BL127" s="140">
        <v>64</v>
      </c>
      <c r="BM127" s="122">
        <v>33</v>
      </c>
    </row>
    <row r="128" spans="1:65" x14ac:dyDescent="0.25">
      <c r="A128" s="122" t="s">
        <v>6489</v>
      </c>
      <c r="B128" s="122" t="s">
        <v>7968</v>
      </c>
      <c r="C128" s="122" t="s">
        <v>7969</v>
      </c>
      <c r="D128" s="122" t="s">
        <v>7970</v>
      </c>
      <c r="E128" s="123">
        <v>42226</v>
      </c>
      <c r="F128" s="122" t="s">
        <v>733</v>
      </c>
      <c r="G128" s="122" t="s">
        <v>235</v>
      </c>
      <c r="H128" s="122" t="s">
        <v>7971</v>
      </c>
      <c r="I128" s="122" t="s">
        <v>7972</v>
      </c>
      <c r="K128" s="122" t="s">
        <v>238</v>
      </c>
      <c r="L128" s="122" t="s">
        <v>271</v>
      </c>
      <c r="M128" s="122" t="s">
        <v>2441</v>
      </c>
      <c r="O128" s="141" t="s">
        <v>613</v>
      </c>
      <c r="P128" s="141" t="s">
        <v>7973</v>
      </c>
      <c r="Q128" s="122" t="s">
        <v>243</v>
      </c>
      <c r="R128" s="142">
        <v>57</v>
      </c>
      <c r="S128" s="122" t="s">
        <v>7974</v>
      </c>
      <c r="U128" s="122" t="s">
        <v>1420</v>
      </c>
      <c r="W128" s="122" t="s">
        <v>246</v>
      </c>
      <c r="X128" s="122" t="s">
        <v>603</v>
      </c>
      <c r="Y128" s="141" t="s">
        <v>973</v>
      </c>
      <c r="Z128" s="122" t="s">
        <v>7975</v>
      </c>
      <c r="AA128" s="141" t="s">
        <v>248</v>
      </c>
      <c r="AB128" s="122" t="s">
        <v>975</v>
      </c>
      <c r="AC128" s="141" t="s">
        <v>877</v>
      </c>
      <c r="AD128" s="122" t="s">
        <v>7976</v>
      </c>
      <c r="AE128" s="122" t="s">
        <v>235</v>
      </c>
      <c r="AF128" s="122" t="s">
        <v>7977</v>
      </c>
      <c r="AG128" s="122" t="s">
        <v>253</v>
      </c>
      <c r="AH128" s="122" t="s">
        <v>253</v>
      </c>
      <c r="AI128" s="122" t="s">
        <v>7978</v>
      </c>
      <c r="AJ128" s="122" t="s">
        <v>7979</v>
      </c>
      <c r="AK128" s="122" t="s">
        <v>253</v>
      </c>
      <c r="AL128" s="122" t="s">
        <v>7980</v>
      </c>
      <c r="AM128" s="122" t="s">
        <v>253</v>
      </c>
      <c r="AN128" s="122" t="s">
        <v>253</v>
      </c>
      <c r="AO128" s="141" t="s">
        <v>247</v>
      </c>
      <c r="AP128" s="141" t="s">
        <v>247</v>
      </c>
      <c r="AQ128" s="141" t="s">
        <v>247</v>
      </c>
      <c r="AR128" s="141" t="s">
        <v>247</v>
      </c>
      <c r="AS128" s="141" t="s">
        <v>601</v>
      </c>
      <c r="AT128" s="141" t="s">
        <v>601</v>
      </c>
      <c r="AU128" s="141" t="s">
        <v>601</v>
      </c>
      <c r="AV128" s="122" t="s">
        <v>259</v>
      </c>
      <c r="AW128" s="122" t="s">
        <v>260</v>
      </c>
      <c r="AX128" s="141" t="s">
        <v>3027</v>
      </c>
      <c r="AY128" s="141" t="s">
        <v>325</v>
      </c>
      <c r="AZ128" s="122" t="s">
        <v>7981</v>
      </c>
      <c r="BA128" s="122" t="s">
        <v>262</v>
      </c>
      <c r="BB128" s="122" t="s">
        <v>3956</v>
      </c>
      <c r="BC128" s="141" t="s">
        <v>312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57</v>
      </c>
      <c r="BJ128" s="123">
        <v>42228</v>
      </c>
      <c r="BK128" s="139" t="s">
        <v>264</v>
      </c>
      <c r="BL128" s="140">
        <v>457.2</v>
      </c>
      <c r="BM128" s="122">
        <v>33</v>
      </c>
    </row>
    <row r="129" spans="1:65" x14ac:dyDescent="0.25">
      <c r="A129" s="122" t="s">
        <v>6489</v>
      </c>
      <c r="B129" s="122" t="s">
        <v>7982</v>
      </c>
      <c r="C129" s="122" t="s">
        <v>7983</v>
      </c>
      <c r="D129" s="122" t="s">
        <v>7984</v>
      </c>
      <c r="E129" s="123">
        <v>42226</v>
      </c>
      <c r="F129" s="122" t="s">
        <v>1075</v>
      </c>
      <c r="G129" s="122" t="s">
        <v>235</v>
      </c>
      <c r="H129" s="122" t="s">
        <v>7985</v>
      </c>
      <c r="I129" s="122" t="s">
        <v>7986</v>
      </c>
      <c r="K129" s="122" t="s">
        <v>238</v>
      </c>
      <c r="L129" s="122" t="s">
        <v>271</v>
      </c>
      <c r="M129" s="122" t="s">
        <v>2441</v>
      </c>
      <c r="O129" s="141" t="s">
        <v>1055</v>
      </c>
      <c r="P129" s="141" t="s">
        <v>7987</v>
      </c>
      <c r="Q129" s="122" t="s">
        <v>243</v>
      </c>
      <c r="R129" s="142">
        <v>58</v>
      </c>
      <c r="S129" s="122" t="s">
        <v>7988</v>
      </c>
      <c r="U129" s="122" t="s">
        <v>1420</v>
      </c>
      <c r="W129" s="122" t="s">
        <v>246</v>
      </c>
      <c r="X129" s="122" t="s">
        <v>325</v>
      </c>
      <c r="Y129" s="141" t="s">
        <v>784</v>
      </c>
      <c r="Z129" s="122" t="s">
        <v>7989</v>
      </c>
      <c r="AA129" s="141" t="s">
        <v>7483</v>
      </c>
      <c r="AB129" s="122" t="s">
        <v>7990</v>
      </c>
      <c r="AD129" s="122" t="s">
        <v>250</v>
      </c>
      <c r="AE129" s="122" t="s">
        <v>235</v>
      </c>
      <c r="AF129" s="122" t="s">
        <v>7991</v>
      </c>
      <c r="AG129" s="122" t="s">
        <v>537</v>
      </c>
      <c r="AH129" s="122" t="s">
        <v>253</v>
      </c>
      <c r="AI129" s="122" t="s">
        <v>4947</v>
      </c>
      <c r="AJ129" s="122" t="s">
        <v>7992</v>
      </c>
      <c r="AK129" s="122" t="s">
        <v>253</v>
      </c>
      <c r="AL129" s="122" t="s">
        <v>253</v>
      </c>
      <c r="AM129" s="122" t="s">
        <v>253</v>
      </c>
      <c r="AN129" s="122" t="s">
        <v>253</v>
      </c>
      <c r="AO129" s="141" t="s">
        <v>253</v>
      </c>
      <c r="AP129" s="141" t="s">
        <v>253</v>
      </c>
      <c r="AQ129" s="141" t="s">
        <v>247</v>
      </c>
      <c r="AR129" s="141" t="s">
        <v>253</v>
      </c>
      <c r="AS129" s="141" t="s">
        <v>361</v>
      </c>
      <c r="AT129" s="141" t="s">
        <v>601</v>
      </c>
      <c r="AU129" s="141" t="s">
        <v>258</v>
      </c>
      <c r="AV129" s="122" t="s">
        <v>259</v>
      </c>
      <c r="AW129" s="122" t="s">
        <v>260</v>
      </c>
      <c r="AX129" s="141" t="s">
        <v>6908</v>
      </c>
      <c r="AY129" s="141" t="s">
        <v>247</v>
      </c>
      <c r="AZ129" s="122" t="s">
        <v>7993</v>
      </c>
      <c r="BA129" s="122" t="s">
        <v>262</v>
      </c>
      <c r="BB129" s="122" t="s">
        <v>262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58</v>
      </c>
      <c r="BJ129" s="123">
        <v>42238</v>
      </c>
      <c r="BK129" s="139" t="s">
        <v>606</v>
      </c>
      <c r="BM129" s="122">
        <v>34</v>
      </c>
    </row>
    <row r="130" spans="1:65" x14ac:dyDescent="0.25">
      <c r="A130" s="122" t="s">
        <v>6489</v>
      </c>
      <c r="B130" s="122" t="s">
        <v>7994</v>
      </c>
      <c r="C130" s="122" t="s">
        <v>7995</v>
      </c>
      <c r="D130" s="122" t="s">
        <v>7996</v>
      </c>
      <c r="E130" s="123">
        <v>42226</v>
      </c>
      <c r="F130" s="122" t="s">
        <v>7921</v>
      </c>
      <c r="G130" s="122" t="s">
        <v>235</v>
      </c>
      <c r="H130" s="122" t="s">
        <v>7997</v>
      </c>
      <c r="I130" s="122" t="s">
        <v>7998</v>
      </c>
      <c r="J130" s="122" t="s">
        <v>1674</v>
      </c>
      <c r="K130" s="122" t="s">
        <v>238</v>
      </c>
      <c r="L130" s="122" t="s">
        <v>271</v>
      </c>
      <c r="M130" s="122" t="s">
        <v>1803</v>
      </c>
      <c r="N130" s="122" t="s">
        <v>7999</v>
      </c>
      <c r="O130" s="141" t="s">
        <v>548</v>
      </c>
      <c r="P130" s="141" t="s">
        <v>8000</v>
      </c>
      <c r="Q130" s="122" t="s">
        <v>243</v>
      </c>
      <c r="R130" s="142">
        <v>59</v>
      </c>
      <c r="S130" s="122" t="s">
        <v>8001</v>
      </c>
      <c r="U130" s="122" t="s">
        <v>1420</v>
      </c>
      <c r="W130" s="122" t="s">
        <v>246</v>
      </c>
      <c r="X130" s="122" t="s">
        <v>3147</v>
      </c>
      <c r="Y130" s="141" t="s">
        <v>668</v>
      </c>
      <c r="Z130" s="122" t="s">
        <v>8002</v>
      </c>
      <c r="AA130" s="141" t="s">
        <v>1258</v>
      </c>
      <c r="AB130" s="122" t="s">
        <v>8003</v>
      </c>
      <c r="AC130" s="141" t="s">
        <v>367</v>
      </c>
      <c r="AD130" s="122" t="s">
        <v>8004</v>
      </c>
      <c r="AE130" s="122" t="s">
        <v>235</v>
      </c>
      <c r="AF130" s="122" t="s">
        <v>8005</v>
      </c>
      <c r="AG130" s="122" t="s">
        <v>537</v>
      </c>
      <c r="AH130" s="122" t="s">
        <v>253</v>
      </c>
      <c r="AI130" s="122" t="s">
        <v>8006</v>
      </c>
      <c r="AJ130" s="122" t="s">
        <v>8007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247</v>
      </c>
      <c r="AQ130" s="141" t="s">
        <v>247</v>
      </c>
      <c r="AR130" s="141" t="s">
        <v>253</v>
      </c>
      <c r="AS130" s="141" t="s">
        <v>601</v>
      </c>
      <c r="AT130" s="141" t="s">
        <v>601</v>
      </c>
      <c r="AU130" s="141" t="s">
        <v>258</v>
      </c>
      <c r="AV130" s="122" t="s">
        <v>259</v>
      </c>
      <c r="AW130" s="122" t="s">
        <v>260</v>
      </c>
      <c r="AY130" s="141" t="s">
        <v>253</v>
      </c>
      <c r="AZ130" s="122" t="s">
        <v>8008</v>
      </c>
      <c r="BA130" s="122" t="s">
        <v>262</v>
      </c>
      <c r="BB130" s="122" t="s">
        <v>262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59</v>
      </c>
      <c r="BJ130" s="123">
        <v>42233</v>
      </c>
      <c r="BK130" s="139" t="s">
        <v>264</v>
      </c>
      <c r="BL130" s="140">
        <v>60</v>
      </c>
      <c r="BM130" s="122">
        <v>34</v>
      </c>
    </row>
    <row r="131" spans="1:65" x14ac:dyDescent="0.25">
      <c r="A131" s="122" t="s">
        <v>6489</v>
      </c>
      <c r="B131" s="122" t="s">
        <v>8009</v>
      </c>
      <c r="C131" s="122" t="s">
        <v>8010</v>
      </c>
      <c r="D131" s="122" t="s">
        <v>8011</v>
      </c>
      <c r="E131" s="123">
        <v>42226</v>
      </c>
      <c r="F131" s="122" t="s">
        <v>4605</v>
      </c>
      <c r="G131" s="122" t="s">
        <v>235</v>
      </c>
      <c r="H131" s="122" t="s">
        <v>8012</v>
      </c>
      <c r="I131" s="122" t="s">
        <v>8013</v>
      </c>
      <c r="J131" s="122" t="s">
        <v>2158</v>
      </c>
      <c r="K131" s="122" t="s">
        <v>238</v>
      </c>
      <c r="L131" s="122" t="s">
        <v>271</v>
      </c>
      <c r="M131" s="122" t="s">
        <v>272</v>
      </c>
      <c r="O131" s="141" t="s">
        <v>273</v>
      </c>
      <c r="P131" s="141" t="s">
        <v>8014</v>
      </c>
      <c r="Q131" s="122" t="s">
        <v>243</v>
      </c>
      <c r="R131" s="142">
        <v>60</v>
      </c>
      <c r="S131" s="122" t="s">
        <v>8015</v>
      </c>
      <c r="U131" s="122" t="s">
        <v>1420</v>
      </c>
      <c r="W131" s="122" t="s">
        <v>246</v>
      </c>
      <c r="X131" s="122" t="s">
        <v>3147</v>
      </c>
      <c r="Y131" s="141" t="s">
        <v>578</v>
      </c>
      <c r="Z131" s="122" t="s">
        <v>8016</v>
      </c>
      <c r="AA131" s="141" t="s">
        <v>595</v>
      </c>
      <c r="AB131" s="122" t="s">
        <v>4824</v>
      </c>
      <c r="AC131" s="141" t="s">
        <v>328</v>
      </c>
      <c r="AD131" s="122" t="s">
        <v>8017</v>
      </c>
      <c r="AE131" s="122" t="s">
        <v>235</v>
      </c>
      <c r="AF131" s="122" t="s">
        <v>8018</v>
      </c>
      <c r="AG131" s="122" t="s">
        <v>638</v>
      </c>
      <c r="AH131" s="122" t="s">
        <v>253</v>
      </c>
      <c r="AI131" s="122" t="s">
        <v>8019</v>
      </c>
      <c r="AJ131" s="122" t="s">
        <v>7300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247</v>
      </c>
      <c r="AP131" s="141" t="s">
        <v>247</v>
      </c>
      <c r="AQ131" s="141" t="s">
        <v>247</v>
      </c>
      <c r="AR131" s="141" t="s">
        <v>247</v>
      </c>
      <c r="AS131" s="141" t="s">
        <v>601</v>
      </c>
      <c r="AT131" s="141" t="s">
        <v>601</v>
      </c>
      <c r="AU131" s="141" t="s">
        <v>257</v>
      </c>
      <c r="AV131" s="122" t="s">
        <v>259</v>
      </c>
      <c r="AW131" s="122" t="s">
        <v>260</v>
      </c>
      <c r="AY131" s="141" t="s">
        <v>253</v>
      </c>
      <c r="AZ131" s="122" t="s">
        <v>8020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1430</v>
      </c>
      <c r="BH131" s="122" t="s">
        <v>1420</v>
      </c>
      <c r="BI131" s="142">
        <v>60</v>
      </c>
      <c r="BJ131" s="123">
        <v>42237</v>
      </c>
      <c r="BK131" s="139" t="s">
        <v>606</v>
      </c>
      <c r="BM131" s="122">
        <v>34</v>
      </c>
    </row>
    <row r="132" spans="1:65" x14ac:dyDescent="0.25">
      <c r="A132" s="122" t="s">
        <v>6513</v>
      </c>
      <c r="B132" s="122" t="s">
        <v>8021</v>
      </c>
      <c r="C132" s="122" t="s">
        <v>8022</v>
      </c>
      <c r="D132" s="122" t="s">
        <v>8023</v>
      </c>
      <c r="E132" s="123">
        <v>42226</v>
      </c>
      <c r="F132" s="122" t="s">
        <v>8024</v>
      </c>
      <c r="G132" s="122" t="s">
        <v>235</v>
      </c>
      <c r="H132" s="122" t="s">
        <v>8025</v>
      </c>
      <c r="I132" s="122" t="s">
        <v>8026</v>
      </c>
      <c r="J132" s="122" t="s">
        <v>8027</v>
      </c>
      <c r="K132" s="122" t="s">
        <v>238</v>
      </c>
      <c r="L132" s="122" t="s">
        <v>271</v>
      </c>
      <c r="M132" s="122" t="s">
        <v>1965</v>
      </c>
      <c r="Q132" s="122" t="s">
        <v>243</v>
      </c>
      <c r="R132" s="142">
        <v>61</v>
      </c>
      <c r="S132" s="122" t="s">
        <v>8028</v>
      </c>
      <c r="U132" s="122" t="s">
        <v>1420</v>
      </c>
      <c r="W132" s="122" t="s">
        <v>246</v>
      </c>
      <c r="X132" s="122" t="s">
        <v>1057</v>
      </c>
      <c r="Y132" s="141" t="s">
        <v>2257</v>
      </c>
      <c r="Z132" s="122" t="s">
        <v>2929</v>
      </c>
      <c r="AA132" s="141" t="s">
        <v>511</v>
      </c>
      <c r="AB132" s="122" t="s">
        <v>8029</v>
      </c>
      <c r="AC132" s="141" t="s">
        <v>1325</v>
      </c>
      <c r="AD132" s="122" t="s">
        <v>8030</v>
      </c>
      <c r="AE132" s="122" t="s">
        <v>235</v>
      </c>
      <c r="AF132" s="122" t="s">
        <v>538</v>
      </c>
      <c r="AG132" s="122" t="s">
        <v>537</v>
      </c>
      <c r="AH132" s="122" t="s">
        <v>253</v>
      </c>
      <c r="AI132" s="122" t="s">
        <v>1715</v>
      </c>
      <c r="AJ132" s="122" t="s">
        <v>1225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253</v>
      </c>
      <c r="AQ132" s="141" t="s">
        <v>253</v>
      </c>
      <c r="AR132" s="141" t="s">
        <v>253</v>
      </c>
      <c r="AS132" s="141" t="s">
        <v>601</v>
      </c>
      <c r="AT132" s="141" t="s">
        <v>258</v>
      </c>
      <c r="AU132" s="141" t="s">
        <v>258</v>
      </c>
      <c r="AV132" s="122" t="s">
        <v>259</v>
      </c>
      <c r="AW132" s="122" t="s">
        <v>260</v>
      </c>
      <c r="AY132" s="141" t="s">
        <v>253</v>
      </c>
      <c r="AZ132" s="122" t="s">
        <v>8031</v>
      </c>
      <c r="BA132" s="122" t="s">
        <v>262</v>
      </c>
      <c r="BB132" s="122" t="s">
        <v>262</v>
      </c>
      <c r="BD132" s="122" t="s">
        <v>253</v>
      </c>
      <c r="BE132" s="122" t="s">
        <v>263</v>
      </c>
      <c r="BF132" s="122" t="s">
        <v>1430</v>
      </c>
      <c r="BH132" s="122" t="s">
        <v>1420</v>
      </c>
      <c r="BI132" s="142">
        <v>61</v>
      </c>
      <c r="BJ132" s="123">
        <v>42234</v>
      </c>
      <c r="BK132" s="139" t="s">
        <v>264</v>
      </c>
      <c r="BL132" s="140">
        <v>114.12</v>
      </c>
      <c r="BM132" s="122">
        <v>34</v>
      </c>
    </row>
    <row r="133" spans="1:65" x14ac:dyDescent="0.25">
      <c r="A133" s="122" t="s">
        <v>6513</v>
      </c>
      <c r="B133" s="122" t="s">
        <v>8032</v>
      </c>
      <c r="C133" s="122" t="s">
        <v>8033</v>
      </c>
      <c r="D133" s="122" t="s">
        <v>8034</v>
      </c>
      <c r="E133" s="123">
        <v>42226</v>
      </c>
      <c r="F133" s="122" t="s">
        <v>8035</v>
      </c>
      <c r="G133" s="122" t="s">
        <v>235</v>
      </c>
      <c r="H133" s="122" t="s">
        <v>8036</v>
      </c>
      <c r="I133" s="122" t="s">
        <v>8037</v>
      </c>
      <c r="J133" s="122" t="s">
        <v>8038</v>
      </c>
      <c r="K133" s="122" t="s">
        <v>238</v>
      </c>
      <c r="L133" s="122" t="s">
        <v>271</v>
      </c>
      <c r="M133" s="122" t="s">
        <v>2069</v>
      </c>
      <c r="Q133" s="122" t="s">
        <v>243</v>
      </c>
      <c r="R133" s="142">
        <v>62</v>
      </c>
      <c r="S133" s="122" t="s">
        <v>8039</v>
      </c>
      <c r="U133" s="122" t="s">
        <v>1420</v>
      </c>
      <c r="W133" s="122" t="s">
        <v>246</v>
      </c>
      <c r="X133" s="122" t="s">
        <v>1324</v>
      </c>
      <c r="Y133" s="141" t="s">
        <v>1162</v>
      </c>
      <c r="Z133" s="122" t="s">
        <v>355</v>
      </c>
      <c r="AA133" s="141" t="s">
        <v>570</v>
      </c>
      <c r="AB133" s="122" t="s">
        <v>8040</v>
      </c>
      <c r="AC133" s="141" t="s">
        <v>1325</v>
      </c>
      <c r="AD133" s="122" t="s">
        <v>355</v>
      </c>
      <c r="AE133" s="122" t="s">
        <v>235</v>
      </c>
      <c r="AF133" s="122" t="s">
        <v>8041</v>
      </c>
      <c r="AG133" s="122" t="s">
        <v>537</v>
      </c>
      <c r="AH133" s="122" t="s">
        <v>253</v>
      </c>
      <c r="AI133" s="122" t="s">
        <v>538</v>
      </c>
      <c r="AJ133" s="122" t="s">
        <v>8042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253</v>
      </c>
      <c r="AQ133" s="141" t="s">
        <v>253</v>
      </c>
      <c r="AR133" s="141" t="s">
        <v>253</v>
      </c>
      <c r="AS133" s="141" t="s">
        <v>601</v>
      </c>
      <c r="AT133" s="141" t="s">
        <v>258</v>
      </c>
      <c r="AU133" s="141" t="s">
        <v>258</v>
      </c>
      <c r="AV133" s="122" t="s">
        <v>259</v>
      </c>
      <c r="AW133" s="122" t="s">
        <v>260</v>
      </c>
      <c r="AY133" s="141" t="s">
        <v>253</v>
      </c>
      <c r="AZ133" s="122" t="s">
        <v>8043</v>
      </c>
      <c r="BA133" s="122" t="s">
        <v>262</v>
      </c>
      <c r="BB133" s="122" t="s">
        <v>8043</v>
      </c>
      <c r="BD133" s="122" t="s">
        <v>253</v>
      </c>
      <c r="BE133" s="122" t="s">
        <v>263</v>
      </c>
      <c r="BF133" s="122" t="s">
        <v>1430</v>
      </c>
      <c r="BH133" s="122" t="s">
        <v>1420</v>
      </c>
      <c r="BI133" s="142">
        <v>62</v>
      </c>
      <c r="BJ133" s="123">
        <v>42230</v>
      </c>
      <c r="BK133" s="139" t="s">
        <v>264</v>
      </c>
      <c r="BL133" s="140">
        <v>88.2</v>
      </c>
      <c r="BM133" s="122">
        <v>33</v>
      </c>
    </row>
    <row r="134" spans="1:65" x14ac:dyDescent="0.25">
      <c r="A134" s="122" t="s">
        <v>6513</v>
      </c>
      <c r="B134" s="122" t="s">
        <v>8044</v>
      </c>
      <c r="C134" s="122" t="s">
        <v>8045</v>
      </c>
      <c r="D134" s="122" t="s">
        <v>8046</v>
      </c>
      <c r="E134" s="123">
        <v>42226</v>
      </c>
      <c r="F134" s="122" t="s">
        <v>8047</v>
      </c>
      <c r="G134" s="122" t="s">
        <v>235</v>
      </c>
      <c r="H134" s="122" t="s">
        <v>8048</v>
      </c>
      <c r="I134" s="122" t="s">
        <v>8049</v>
      </c>
      <c r="K134" s="122" t="s">
        <v>238</v>
      </c>
      <c r="L134" s="122" t="s">
        <v>429</v>
      </c>
      <c r="M134" s="122" t="s">
        <v>430</v>
      </c>
      <c r="Q134" s="122" t="s">
        <v>243</v>
      </c>
      <c r="R134" s="142">
        <v>63</v>
      </c>
      <c r="S134" s="122" t="s">
        <v>8050</v>
      </c>
      <c r="U134" s="122" t="s">
        <v>1420</v>
      </c>
      <c r="W134" s="122" t="s">
        <v>246</v>
      </c>
      <c r="X134" s="122" t="s">
        <v>1324</v>
      </c>
      <c r="Y134" s="141" t="s">
        <v>2899</v>
      </c>
      <c r="Z134" s="122" t="s">
        <v>8051</v>
      </c>
      <c r="AA134" s="141" t="s">
        <v>248</v>
      </c>
      <c r="AB134" s="122" t="s">
        <v>6610</v>
      </c>
      <c r="AC134" s="141" t="s">
        <v>3574</v>
      </c>
      <c r="AD134" s="122" t="s">
        <v>6610</v>
      </c>
      <c r="AE134" s="122" t="s">
        <v>235</v>
      </c>
      <c r="AF134" s="122" t="s">
        <v>8052</v>
      </c>
      <c r="AG134" s="122" t="s">
        <v>537</v>
      </c>
      <c r="AH134" s="122" t="s">
        <v>253</v>
      </c>
      <c r="AI134" s="122" t="s">
        <v>1714</v>
      </c>
      <c r="AJ134" s="122" t="s">
        <v>8053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253</v>
      </c>
      <c r="AQ134" s="141" t="s">
        <v>253</v>
      </c>
      <c r="AR134" s="141" t="s">
        <v>253</v>
      </c>
      <c r="AS134" s="141" t="s">
        <v>601</v>
      </c>
      <c r="AT134" s="141" t="s">
        <v>258</v>
      </c>
      <c r="AU134" s="141" t="s">
        <v>258</v>
      </c>
      <c r="AV134" s="122" t="s">
        <v>259</v>
      </c>
      <c r="AW134" s="122" t="s">
        <v>260</v>
      </c>
      <c r="AY134" s="141" t="s">
        <v>253</v>
      </c>
      <c r="AZ134" s="122" t="s">
        <v>8054</v>
      </c>
      <c r="BA134" s="122" t="s">
        <v>8055</v>
      </c>
      <c r="BB134" s="122" t="s">
        <v>8054</v>
      </c>
      <c r="BD134" s="122" t="s">
        <v>253</v>
      </c>
      <c r="BE134" s="122" t="s">
        <v>263</v>
      </c>
      <c r="BF134" s="122" t="s">
        <v>1430</v>
      </c>
      <c r="BH134" s="122" t="s">
        <v>1420</v>
      </c>
      <c r="BI134" s="142">
        <v>63</v>
      </c>
      <c r="BJ134" s="123">
        <v>42228</v>
      </c>
      <c r="BK134" s="139" t="s">
        <v>264</v>
      </c>
      <c r="BL134" s="140">
        <v>94.1</v>
      </c>
      <c r="BM134" s="122">
        <v>33</v>
      </c>
    </row>
    <row r="135" spans="1:65" x14ac:dyDescent="0.25">
      <c r="A135" s="122" t="s">
        <v>6513</v>
      </c>
      <c r="B135" s="122" t="s">
        <v>8056</v>
      </c>
      <c r="C135" s="122" t="s">
        <v>8057</v>
      </c>
      <c r="D135" s="122" t="s">
        <v>8058</v>
      </c>
      <c r="E135" s="123">
        <v>42226</v>
      </c>
      <c r="F135" s="122" t="s">
        <v>8059</v>
      </c>
      <c r="G135" s="122" t="s">
        <v>235</v>
      </c>
      <c r="H135" s="122" t="s">
        <v>8060</v>
      </c>
      <c r="I135" s="122" t="s">
        <v>8061</v>
      </c>
      <c r="K135" s="122" t="s">
        <v>238</v>
      </c>
      <c r="L135" s="122" t="s">
        <v>297</v>
      </c>
      <c r="M135" s="122" t="s">
        <v>2496</v>
      </c>
      <c r="O135" s="141" t="s">
        <v>7762</v>
      </c>
      <c r="P135" s="141" t="s">
        <v>8062</v>
      </c>
      <c r="Q135" s="122" t="s">
        <v>243</v>
      </c>
      <c r="R135" s="142">
        <v>64</v>
      </c>
      <c r="S135" s="122" t="s">
        <v>8063</v>
      </c>
      <c r="U135" s="122" t="s">
        <v>1420</v>
      </c>
      <c r="W135" s="122" t="s">
        <v>246</v>
      </c>
      <c r="X135" s="122" t="s">
        <v>497</v>
      </c>
      <c r="Y135" s="141" t="s">
        <v>973</v>
      </c>
      <c r="Z135" s="122" t="s">
        <v>8064</v>
      </c>
      <c r="AA135" s="141" t="s">
        <v>784</v>
      </c>
      <c r="AB135" s="122" t="s">
        <v>8065</v>
      </c>
      <c r="AC135" s="141" t="s">
        <v>1423</v>
      </c>
      <c r="AD135" s="122" t="s">
        <v>8066</v>
      </c>
      <c r="AE135" s="122" t="s">
        <v>235</v>
      </c>
      <c r="AF135" s="122" t="s">
        <v>8067</v>
      </c>
      <c r="AG135" s="122" t="s">
        <v>537</v>
      </c>
      <c r="AH135" s="122" t="s">
        <v>253</v>
      </c>
      <c r="AI135" s="122" t="s">
        <v>8068</v>
      </c>
      <c r="AJ135" s="122" t="s">
        <v>8069</v>
      </c>
      <c r="AK135" s="122" t="s">
        <v>253</v>
      </c>
      <c r="AL135" s="122" t="s">
        <v>253</v>
      </c>
      <c r="AM135" s="122" t="s">
        <v>253</v>
      </c>
      <c r="AN135" s="122" t="s">
        <v>253</v>
      </c>
      <c r="AO135" s="141" t="s">
        <v>247</v>
      </c>
      <c r="AP135" s="141" t="s">
        <v>247</v>
      </c>
      <c r="AQ135" s="141" t="s">
        <v>247</v>
      </c>
      <c r="AR135" s="141" t="s">
        <v>247</v>
      </c>
      <c r="AS135" s="141" t="s">
        <v>601</v>
      </c>
      <c r="AT135" s="141" t="s">
        <v>601</v>
      </c>
      <c r="AU135" s="141" t="s">
        <v>601</v>
      </c>
      <c r="AV135" s="122" t="s">
        <v>259</v>
      </c>
      <c r="AW135" s="122" t="s">
        <v>260</v>
      </c>
      <c r="AY135" s="141" t="s">
        <v>253</v>
      </c>
      <c r="AZ135" s="122" t="s">
        <v>8070</v>
      </c>
      <c r="BA135" s="122" t="s">
        <v>8071</v>
      </c>
      <c r="BB135" s="122" t="s">
        <v>8070</v>
      </c>
      <c r="BC135" s="141" t="s">
        <v>312</v>
      </c>
      <c r="BD135" s="122" t="s">
        <v>253</v>
      </c>
      <c r="BE135" s="122" t="s">
        <v>263</v>
      </c>
      <c r="BF135" s="122" t="s">
        <v>1430</v>
      </c>
      <c r="BH135" s="122" t="s">
        <v>1420</v>
      </c>
      <c r="BI135" s="142">
        <v>64</v>
      </c>
    </row>
    <row r="136" spans="1:65" x14ac:dyDescent="0.25">
      <c r="A136" s="122" t="s">
        <v>6513</v>
      </c>
      <c r="B136" s="122" t="s">
        <v>8072</v>
      </c>
      <c r="C136" s="122" t="s">
        <v>8073</v>
      </c>
      <c r="D136" s="122" t="s">
        <v>8074</v>
      </c>
      <c r="E136" s="123">
        <v>42226</v>
      </c>
      <c r="F136" s="122" t="s">
        <v>281</v>
      </c>
      <c r="G136" s="122" t="s">
        <v>235</v>
      </c>
      <c r="H136" s="122" t="s">
        <v>8075</v>
      </c>
      <c r="I136" s="122" t="s">
        <v>1918</v>
      </c>
      <c r="J136" s="122" t="s">
        <v>5148</v>
      </c>
      <c r="K136" s="122" t="s">
        <v>238</v>
      </c>
      <c r="L136" s="122" t="s">
        <v>297</v>
      </c>
      <c r="M136" s="122" t="s">
        <v>1920</v>
      </c>
      <c r="N136" s="122" t="s">
        <v>8076</v>
      </c>
      <c r="O136" s="141" t="s">
        <v>566</v>
      </c>
      <c r="P136" s="141" t="s">
        <v>8077</v>
      </c>
      <c r="Q136" s="122" t="s">
        <v>243</v>
      </c>
      <c r="R136" s="142">
        <v>65</v>
      </c>
      <c r="S136" s="122" t="s">
        <v>8078</v>
      </c>
      <c r="U136" s="122" t="s">
        <v>1420</v>
      </c>
      <c r="W136" s="122" t="s">
        <v>246</v>
      </c>
      <c r="X136" s="122" t="s">
        <v>302</v>
      </c>
      <c r="Y136" s="141" t="s">
        <v>593</v>
      </c>
      <c r="Z136" s="122" t="s">
        <v>7719</v>
      </c>
      <c r="AA136" s="141" t="s">
        <v>281</v>
      </c>
      <c r="AB136" s="122" t="s">
        <v>518</v>
      </c>
      <c r="AD136" s="122" t="s">
        <v>250</v>
      </c>
      <c r="AE136" s="122" t="s">
        <v>235</v>
      </c>
      <c r="AF136" s="122" t="s">
        <v>8079</v>
      </c>
      <c r="AG136" s="122" t="s">
        <v>253</v>
      </c>
      <c r="AH136" s="122" t="s">
        <v>253</v>
      </c>
      <c r="AI136" s="122" t="s">
        <v>8080</v>
      </c>
      <c r="AJ136" s="122" t="s">
        <v>8081</v>
      </c>
      <c r="AK136" s="122" t="s">
        <v>8082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247</v>
      </c>
      <c r="AR136" s="141" t="s">
        <v>253</v>
      </c>
      <c r="AS136" s="141" t="s">
        <v>601</v>
      </c>
      <c r="AT136" s="141" t="s">
        <v>601</v>
      </c>
      <c r="AU136" s="141" t="s">
        <v>258</v>
      </c>
      <c r="AV136" s="122" t="s">
        <v>259</v>
      </c>
      <c r="AW136" s="122" t="s">
        <v>260</v>
      </c>
      <c r="AY136" s="141" t="s">
        <v>253</v>
      </c>
      <c r="AZ136" s="122" t="s">
        <v>8083</v>
      </c>
      <c r="BA136" s="122" t="s">
        <v>262</v>
      </c>
      <c r="BB136" s="122" t="s">
        <v>262</v>
      </c>
      <c r="BD136" s="122" t="s">
        <v>253</v>
      </c>
      <c r="BE136" s="122" t="s">
        <v>263</v>
      </c>
      <c r="BF136" s="122" t="s">
        <v>1430</v>
      </c>
      <c r="BH136" s="122" t="s">
        <v>1420</v>
      </c>
      <c r="BI136" s="142">
        <v>65</v>
      </c>
      <c r="BJ136" s="123">
        <v>42236</v>
      </c>
      <c r="BK136" s="139" t="s">
        <v>264</v>
      </c>
      <c r="BL136" s="140">
        <v>271.64</v>
      </c>
      <c r="BM136" s="122">
        <v>34</v>
      </c>
    </row>
    <row r="137" spans="1:65" x14ac:dyDescent="0.25">
      <c r="A137" s="122" t="s">
        <v>6513</v>
      </c>
      <c r="B137" s="122" t="s">
        <v>8084</v>
      </c>
      <c r="C137" s="122" t="s">
        <v>8085</v>
      </c>
      <c r="D137" s="122" t="s">
        <v>8086</v>
      </c>
      <c r="E137" s="123">
        <v>42226</v>
      </c>
      <c r="F137" s="122" t="s">
        <v>7262</v>
      </c>
      <c r="G137" s="122" t="s">
        <v>235</v>
      </c>
      <c r="H137" s="122" t="s">
        <v>8087</v>
      </c>
      <c r="I137" s="122" t="s">
        <v>7343</v>
      </c>
      <c r="J137" s="122" t="s">
        <v>8088</v>
      </c>
      <c r="K137" s="122" t="s">
        <v>238</v>
      </c>
      <c r="L137" s="122" t="s">
        <v>271</v>
      </c>
      <c r="M137" s="122" t="s">
        <v>7345</v>
      </c>
      <c r="O137" s="141" t="s">
        <v>1240</v>
      </c>
      <c r="P137" s="141" t="s">
        <v>8089</v>
      </c>
      <c r="Q137" s="122" t="s">
        <v>243</v>
      </c>
      <c r="R137" s="142">
        <v>66</v>
      </c>
      <c r="S137" s="122" t="s">
        <v>8090</v>
      </c>
      <c r="U137" s="122" t="s">
        <v>1420</v>
      </c>
      <c r="W137" s="122" t="s">
        <v>246</v>
      </c>
      <c r="X137" s="122" t="s">
        <v>1324</v>
      </c>
      <c r="Y137" s="141" t="s">
        <v>1125</v>
      </c>
      <c r="Z137" s="122" t="s">
        <v>8091</v>
      </c>
      <c r="AA137" s="141" t="s">
        <v>3574</v>
      </c>
      <c r="AB137" s="122" t="s">
        <v>741</v>
      </c>
      <c r="AC137" s="141" t="s">
        <v>899</v>
      </c>
      <c r="AD137" s="122" t="s">
        <v>249</v>
      </c>
      <c r="AE137" s="122" t="s">
        <v>235</v>
      </c>
      <c r="AF137" s="122" t="s">
        <v>8092</v>
      </c>
      <c r="AG137" s="122" t="s">
        <v>537</v>
      </c>
      <c r="AH137" s="122" t="s">
        <v>253</v>
      </c>
      <c r="AI137" s="122" t="s">
        <v>8093</v>
      </c>
      <c r="AJ137" s="122" t="s">
        <v>8094</v>
      </c>
      <c r="AK137" s="122" t="s">
        <v>8095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253</v>
      </c>
      <c r="AQ137" s="141" t="s">
        <v>247</v>
      </c>
      <c r="AR137" s="141" t="s">
        <v>247</v>
      </c>
      <c r="AS137" s="141" t="s">
        <v>601</v>
      </c>
      <c r="AT137" s="141" t="s">
        <v>601</v>
      </c>
      <c r="AU137" s="141" t="s">
        <v>257</v>
      </c>
      <c r="AV137" s="122" t="s">
        <v>259</v>
      </c>
      <c r="AW137" s="122" t="s">
        <v>260</v>
      </c>
      <c r="AX137" s="141" t="s">
        <v>863</v>
      </c>
      <c r="AY137" s="141" t="s">
        <v>603</v>
      </c>
      <c r="AZ137" s="122" t="s">
        <v>8096</v>
      </c>
      <c r="BA137" s="122" t="s">
        <v>262</v>
      </c>
      <c r="BB137" s="122" t="s">
        <v>262</v>
      </c>
      <c r="BD137" s="122" t="s">
        <v>253</v>
      </c>
      <c r="BE137" s="122" t="s">
        <v>263</v>
      </c>
      <c r="BF137" s="122" t="s">
        <v>1430</v>
      </c>
      <c r="BH137" s="122" t="s">
        <v>1420</v>
      </c>
      <c r="BI137" s="142">
        <v>66</v>
      </c>
      <c r="BJ137" s="123">
        <v>42238</v>
      </c>
      <c r="BK137" s="139" t="s">
        <v>606</v>
      </c>
      <c r="BM137" s="122">
        <v>34</v>
      </c>
    </row>
    <row r="138" spans="1:65" x14ac:dyDescent="0.25">
      <c r="A138" s="122" t="s">
        <v>6513</v>
      </c>
      <c r="B138" s="122" t="s">
        <v>8097</v>
      </c>
      <c r="C138" s="122" t="s">
        <v>8098</v>
      </c>
      <c r="D138" s="122" t="s">
        <v>8099</v>
      </c>
      <c r="E138" s="123">
        <v>42226</v>
      </c>
      <c r="F138" s="122" t="s">
        <v>8100</v>
      </c>
      <c r="G138" s="122" t="s">
        <v>235</v>
      </c>
      <c r="H138" s="122" t="s">
        <v>8101</v>
      </c>
      <c r="I138" s="122" t="s">
        <v>8102</v>
      </c>
      <c r="K138" s="122" t="s">
        <v>238</v>
      </c>
      <c r="L138" s="122" t="s">
        <v>271</v>
      </c>
      <c r="M138" s="122" t="s">
        <v>1593</v>
      </c>
      <c r="O138" s="141" t="s">
        <v>5366</v>
      </c>
      <c r="P138" s="141" t="s">
        <v>8103</v>
      </c>
      <c r="Q138" s="122" t="s">
        <v>243</v>
      </c>
      <c r="R138" s="142">
        <v>67</v>
      </c>
      <c r="S138" s="122" t="s">
        <v>8104</v>
      </c>
      <c r="U138" s="122" t="s">
        <v>1420</v>
      </c>
      <c r="W138" s="122" t="s">
        <v>246</v>
      </c>
      <c r="X138" s="122" t="s">
        <v>3147</v>
      </c>
      <c r="Y138" s="141" t="s">
        <v>6466</v>
      </c>
      <c r="Z138" s="122" t="s">
        <v>8105</v>
      </c>
      <c r="AA138" s="141" t="s">
        <v>1125</v>
      </c>
      <c r="AB138" s="122" t="s">
        <v>8106</v>
      </c>
      <c r="AC138" s="141" t="s">
        <v>500</v>
      </c>
      <c r="AD138" s="122" t="s">
        <v>8107</v>
      </c>
      <c r="AE138" s="122" t="s">
        <v>235</v>
      </c>
      <c r="AF138" s="122" t="s">
        <v>8108</v>
      </c>
      <c r="AG138" s="122" t="s">
        <v>537</v>
      </c>
      <c r="AH138" s="122" t="s">
        <v>253</v>
      </c>
      <c r="AI138" s="122" t="s">
        <v>8109</v>
      </c>
      <c r="AJ138" s="122" t="s">
        <v>8110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247</v>
      </c>
      <c r="AP138" s="141" t="s">
        <v>247</v>
      </c>
      <c r="AQ138" s="141" t="s">
        <v>247</v>
      </c>
      <c r="AR138" s="141" t="s">
        <v>253</v>
      </c>
      <c r="AS138" s="141" t="s">
        <v>601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41" t="s">
        <v>253</v>
      </c>
      <c r="AZ138" s="122" t="s">
        <v>8111</v>
      </c>
      <c r="BA138" s="122" t="s">
        <v>262</v>
      </c>
      <c r="BB138" s="122" t="s">
        <v>8112</v>
      </c>
      <c r="BD138" s="122" t="s">
        <v>253</v>
      </c>
      <c r="BE138" s="122" t="s">
        <v>263</v>
      </c>
      <c r="BF138" s="122" t="s">
        <v>1430</v>
      </c>
      <c r="BH138" s="122" t="s">
        <v>1420</v>
      </c>
      <c r="BI138" s="142">
        <v>67</v>
      </c>
      <c r="BJ138" s="123">
        <v>42234</v>
      </c>
      <c r="BK138" s="139" t="s">
        <v>264</v>
      </c>
      <c r="BL138" s="140">
        <v>148.16</v>
      </c>
      <c r="BM138" s="122">
        <v>34</v>
      </c>
    </row>
    <row r="139" spans="1:65" x14ac:dyDescent="0.25">
      <c r="A139" s="122" t="s">
        <v>6513</v>
      </c>
      <c r="B139" s="122" t="s">
        <v>8113</v>
      </c>
      <c r="C139" s="122" t="s">
        <v>8114</v>
      </c>
      <c r="D139" s="122" t="s">
        <v>8115</v>
      </c>
      <c r="E139" s="123">
        <v>42226</v>
      </c>
      <c r="F139" s="122" t="s">
        <v>2235</v>
      </c>
      <c r="G139" s="122" t="s">
        <v>235</v>
      </c>
      <c r="H139" s="122" t="s">
        <v>8116</v>
      </c>
      <c r="I139" s="122" t="s">
        <v>8117</v>
      </c>
      <c r="K139" s="122" t="s">
        <v>238</v>
      </c>
      <c r="L139" s="122" t="s">
        <v>429</v>
      </c>
      <c r="M139" s="122" t="s">
        <v>1525</v>
      </c>
      <c r="O139" s="141" t="s">
        <v>566</v>
      </c>
      <c r="P139" s="141" t="s">
        <v>8118</v>
      </c>
      <c r="Q139" s="122" t="s">
        <v>243</v>
      </c>
      <c r="R139" s="142">
        <v>68</v>
      </c>
      <c r="S139" s="122" t="s">
        <v>8119</v>
      </c>
      <c r="T139" s="122" t="s">
        <v>8120</v>
      </c>
      <c r="U139" s="122" t="s">
        <v>1420</v>
      </c>
      <c r="W139" s="122" t="s">
        <v>246</v>
      </c>
      <c r="X139" s="122" t="s">
        <v>1324</v>
      </c>
      <c r="Y139" s="141" t="s">
        <v>356</v>
      </c>
      <c r="Z139" s="122" t="s">
        <v>1678</v>
      </c>
      <c r="AA139" s="141" t="s">
        <v>1926</v>
      </c>
      <c r="AB139" s="122" t="s">
        <v>1497</v>
      </c>
      <c r="AC139" s="141" t="s">
        <v>901</v>
      </c>
      <c r="AD139" s="122" t="s">
        <v>499</v>
      </c>
      <c r="AE139" s="122" t="s">
        <v>235</v>
      </c>
      <c r="AF139" s="122" t="s">
        <v>8121</v>
      </c>
      <c r="AG139" s="122" t="s">
        <v>8122</v>
      </c>
      <c r="AH139" s="122" t="s">
        <v>253</v>
      </c>
      <c r="AI139" s="122" t="s">
        <v>8123</v>
      </c>
      <c r="AJ139" s="122" t="s">
        <v>8124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253</v>
      </c>
      <c r="AR139" s="141" t="s">
        <v>253</v>
      </c>
      <c r="AS139" s="141" t="s">
        <v>601</v>
      </c>
      <c r="AT139" s="141" t="s">
        <v>258</v>
      </c>
      <c r="AU139" s="141" t="s">
        <v>258</v>
      </c>
      <c r="AV139" s="122" t="s">
        <v>259</v>
      </c>
      <c r="AW139" s="122" t="s">
        <v>260</v>
      </c>
      <c r="AY139" s="141" t="s">
        <v>253</v>
      </c>
      <c r="AZ139" s="122" t="s">
        <v>8125</v>
      </c>
      <c r="BA139" s="122" t="s">
        <v>262</v>
      </c>
      <c r="BB139" s="122" t="s">
        <v>262</v>
      </c>
      <c r="BD139" s="122" t="s">
        <v>253</v>
      </c>
      <c r="BE139" s="122" t="s">
        <v>263</v>
      </c>
      <c r="BF139" s="122" t="s">
        <v>1430</v>
      </c>
      <c r="BH139" s="122" t="s">
        <v>1420</v>
      </c>
      <c r="BI139" s="142">
        <v>68</v>
      </c>
      <c r="BJ139" s="123">
        <v>42236</v>
      </c>
      <c r="BK139" s="139" t="s">
        <v>264</v>
      </c>
      <c r="BL139" s="140">
        <v>136.75</v>
      </c>
      <c r="BM139" s="122">
        <v>34</v>
      </c>
    </row>
    <row r="140" spans="1:65" x14ac:dyDescent="0.25">
      <c r="A140" s="122" t="s">
        <v>6513</v>
      </c>
      <c r="B140" s="122" t="s">
        <v>8126</v>
      </c>
      <c r="C140" s="122" t="s">
        <v>8127</v>
      </c>
      <c r="D140" s="122" t="s">
        <v>8128</v>
      </c>
      <c r="E140" s="123">
        <v>42226</v>
      </c>
      <c r="F140" s="122" t="s">
        <v>6772</v>
      </c>
      <c r="G140" s="122" t="s">
        <v>235</v>
      </c>
      <c r="H140" s="122" t="s">
        <v>8129</v>
      </c>
      <c r="I140" s="122" t="s">
        <v>8130</v>
      </c>
      <c r="J140" s="122" t="s">
        <v>1053</v>
      </c>
      <c r="K140" s="122" t="s">
        <v>238</v>
      </c>
      <c r="L140" s="122" t="s">
        <v>271</v>
      </c>
      <c r="M140" s="122" t="s">
        <v>1593</v>
      </c>
      <c r="O140" s="141" t="s">
        <v>548</v>
      </c>
      <c r="P140" s="141" t="s">
        <v>8131</v>
      </c>
      <c r="Q140" s="122" t="s">
        <v>243</v>
      </c>
      <c r="R140" s="142">
        <v>69</v>
      </c>
      <c r="S140" s="122" t="s">
        <v>8132</v>
      </c>
      <c r="U140" s="122" t="s">
        <v>1420</v>
      </c>
      <c r="W140" s="122" t="s">
        <v>246</v>
      </c>
      <c r="X140" s="122" t="s">
        <v>1121</v>
      </c>
      <c r="Y140" s="141" t="s">
        <v>417</v>
      </c>
      <c r="Z140" s="122" t="s">
        <v>8133</v>
      </c>
      <c r="AA140" s="141" t="s">
        <v>2700</v>
      </c>
      <c r="AB140" s="122" t="s">
        <v>355</v>
      </c>
      <c r="AC140" s="141" t="s">
        <v>901</v>
      </c>
      <c r="AD140" s="122" t="s">
        <v>460</v>
      </c>
      <c r="AE140" s="122" t="s">
        <v>235</v>
      </c>
      <c r="AF140" s="122" t="s">
        <v>8134</v>
      </c>
      <c r="AG140" s="122" t="s">
        <v>537</v>
      </c>
      <c r="AH140" s="122" t="s">
        <v>253</v>
      </c>
      <c r="AI140" s="122" t="s">
        <v>8135</v>
      </c>
      <c r="AJ140" s="122" t="s">
        <v>8136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247</v>
      </c>
      <c r="AQ140" s="141" t="s">
        <v>247</v>
      </c>
      <c r="AR140" s="141" t="s">
        <v>253</v>
      </c>
      <c r="AS140" s="141" t="s">
        <v>601</v>
      </c>
      <c r="AT140" s="141" t="s">
        <v>601</v>
      </c>
      <c r="AU140" s="141" t="s">
        <v>258</v>
      </c>
      <c r="AV140" s="122" t="s">
        <v>259</v>
      </c>
      <c r="AW140" s="122" t="s">
        <v>260</v>
      </c>
      <c r="AY140" s="141" t="s">
        <v>253</v>
      </c>
      <c r="AZ140" s="122" t="s">
        <v>8137</v>
      </c>
      <c r="BA140" s="122" t="s">
        <v>262</v>
      </c>
      <c r="BB140" s="122" t="s">
        <v>262</v>
      </c>
      <c r="BD140" s="122" t="s">
        <v>253</v>
      </c>
      <c r="BE140" s="122" t="s">
        <v>263</v>
      </c>
      <c r="BF140" s="122" t="s">
        <v>1430</v>
      </c>
      <c r="BH140" s="122" t="s">
        <v>1420</v>
      </c>
      <c r="BI140" s="142">
        <v>69</v>
      </c>
      <c r="BJ140" s="123">
        <v>42237</v>
      </c>
      <c r="BK140" s="139" t="s">
        <v>606</v>
      </c>
      <c r="BM140" s="122">
        <v>34</v>
      </c>
    </row>
    <row r="141" spans="1:65" x14ac:dyDescent="0.25">
      <c r="A141" s="122" t="s">
        <v>352</v>
      </c>
      <c r="B141" s="122" t="s">
        <v>8138</v>
      </c>
      <c r="C141" s="122" t="s">
        <v>8139</v>
      </c>
      <c r="D141" s="122" t="s">
        <v>8140</v>
      </c>
      <c r="E141" s="123">
        <v>42226</v>
      </c>
      <c r="F141" s="122" t="s">
        <v>834</v>
      </c>
      <c r="G141" s="122" t="s">
        <v>235</v>
      </c>
      <c r="H141" s="122" t="s">
        <v>8141</v>
      </c>
      <c r="I141" s="122" t="s">
        <v>7381</v>
      </c>
      <c r="J141" s="122" t="s">
        <v>8142</v>
      </c>
      <c r="K141" s="122" t="s">
        <v>238</v>
      </c>
      <c r="L141" s="122" t="s">
        <v>297</v>
      </c>
      <c r="M141" s="122" t="s">
        <v>2481</v>
      </c>
      <c r="O141" s="141" t="s">
        <v>6941</v>
      </c>
      <c r="P141" s="141" t="s">
        <v>8143</v>
      </c>
      <c r="Q141" s="122" t="s">
        <v>243</v>
      </c>
      <c r="R141" s="142">
        <v>70</v>
      </c>
      <c r="S141" s="122" t="s">
        <v>8144</v>
      </c>
      <c r="U141" s="122" t="s">
        <v>1420</v>
      </c>
      <c r="V141" s="122" t="s">
        <v>351</v>
      </c>
      <c r="W141" s="122" t="s">
        <v>246</v>
      </c>
      <c r="X141" s="122" t="s">
        <v>3147</v>
      </c>
      <c r="Y141" s="141" t="s">
        <v>578</v>
      </c>
      <c r="Z141" s="122" t="s">
        <v>7990</v>
      </c>
      <c r="AB141" s="122" t="s">
        <v>250</v>
      </c>
      <c r="AD141" s="122" t="s">
        <v>250</v>
      </c>
      <c r="AE141" s="122" t="s">
        <v>235</v>
      </c>
      <c r="AF141" s="122" t="s">
        <v>6806</v>
      </c>
      <c r="AG141" s="122" t="s">
        <v>537</v>
      </c>
      <c r="AH141" s="122" t="s">
        <v>253</v>
      </c>
      <c r="AI141" s="122" t="s">
        <v>8145</v>
      </c>
      <c r="AJ141" s="122" t="s">
        <v>1585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253</v>
      </c>
      <c r="AQ141" s="141" t="s">
        <v>247</v>
      </c>
      <c r="AR141" s="141" t="s">
        <v>253</v>
      </c>
      <c r="AS141" s="141" t="s">
        <v>601</v>
      </c>
      <c r="AT141" s="141" t="s">
        <v>601</v>
      </c>
      <c r="AU141" s="141" t="s">
        <v>258</v>
      </c>
      <c r="AV141" s="122" t="s">
        <v>259</v>
      </c>
      <c r="AW141" s="122" t="s">
        <v>260</v>
      </c>
      <c r="AY141" s="141" t="s">
        <v>253</v>
      </c>
      <c r="AZ141" s="122" t="s">
        <v>8146</v>
      </c>
      <c r="BA141" s="122" t="s">
        <v>262</v>
      </c>
      <c r="BB141" s="122" t="s">
        <v>8146</v>
      </c>
      <c r="BD141" s="122" t="s">
        <v>253</v>
      </c>
      <c r="BE141" s="122" t="s">
        <v>263</v>
      </c>
      <c r="BF141" s="122" t="s">
        <v>1430</v>
      </c>
      <c r="BH141" s="122" t="s">
        <v>1420</v>
      </c>
      <c r="BI141" s="142">
        <v>70</v>
      </c>
      <c r="BJ141" s="123">
        <v>42236</v>
      </c>
      <c r="BK141" s="139" t="s">
        <v>606</v>
      </c>
      <c r="BM141" s="122">
        <v>34</v>
      </c>
    </row>
    <row r="142" spans="1:65" x14ac:dyDescent="0.25">
      <c r="A142" s="122" t="s">
        <v>352</v>
      </c>
      <c r="B142" s="122" t="s">
        <v>8147</v>
      </c>
      <c r="C142" s="122" t="s">
        <v>8148</v>
      </c>
      <c r="D142" s="122" t="s">
        <v>8149</v>
      </c>
      <c r="E142" s="123">
        <v>42226</v>
      </c>
      <c r="F142" s="122" t="s">
        <v>1289</v>
      </c>
      <c r="G142" s="122" t="s">
        <v>235</v>
      </c>
      <c r="H142" s="122" t="s">
        <v>8150</v>
      </c>
      <c r="I142" s="122" t="s">
        <v>8151</v>
      </c>
      <c r="J142" s="122" t="s">
        <v>5627</v>
      </c>
      <c r="K142" s="122" t="s">
        <v>238</v>
      </c>
      <c r="L142" s="122" t="s">
        <v>271</v>
      </c>
      <c r="M142" s="122" t="s">
        <v>1693</v>
      </c>
      <c r="O142" s="141" t="s">
        <v>451</v>
      </c>
      <c r="P142" s="141" t="s">
        <v>8152</v>
      </c>
      <c r="Q142" s="122" t="s">
        <v>243</v>
      </c>
      <c r="R142" s="142">
        <v>71</v>
      </c>
      <c r="S142" s="122" t="s">
        <v>8153</v>
      </c>
      <c r="U142" s="122" t="s">
        <v>1420</v>
      </c>
      <c r="W142" s="122" t="s">
        <v>246</v>
      </c>
      <c r="X142" s="122" t="s">
        <v>325</v>
      </c>
      <c r="Y142" s="141" t="s">
        <v>485</v>
      </c>
      <c r="Z142" s="122" t="s">
        <v>8154</v>
      </c>
      <c r="AA142" s="141" t="s">
        <v>455</v>
      </c>
      <c r="AB142" s="122" t="s">
        <v>8155</v>
      </c>
      <c r="AC142" s="141" t="s">
        <v>1090</v>
      </c>
      <c r="AD142" s="122" t="s">
        <v>571</v>
      </c>
      <c r="AE142" s="122" t="s">
        <v>235</v>
      </c>
      <c r="AF142" s="122" t="s">
        <v>8156</v>
      </c>
      <c r="AG142" s="122" t="s">
        <v>8157</v>
      </c>
      <c r="AH142" s="122" t="s">
        <v>253</v>
      </c>
      <c r="AI142" s="122" t="s">
        <v>8158</v>
      </c>
      <c r="AJ142" s="122" t="s">
        <v>8159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247</v>
      </c>
      <c r="AS142" s="141" t="s">
        <v>601</v>
      </c>
      <c r="AT142" s="141" t="s">
        <v>601</v>
      </c>
      <c r="AU142" s="141" t="s">
        <v>257</v>
      </c>
      <c r="AV142" s="122" t="s">
        <v>259</v>
      </c>
      <c r="AW142" s="122" t="s">
        <v>260</v>
      </c>
      <c r="AX142" s="141" t="s">
        <v>8160</v>
      </c>
      <c r="AY142" s="141" t="s">
        <v>603</v>
      </c>
      <c r="AZ142" s="122" t="s">
        <v>8161</v>
      </c>
      <c r="BA142" s="122" t="s">
        <v>262</v>
      </c>
      <c r="BB142" s="122" t="s">
        <v>262</v>
      </c>
      <c r="BD142" s="122" t="s">
        <v>253</v>
      </c>
      <c r="BE142" s="122" t="s">
        <v>263</v>
      </c>
      <c r="BF142" s="122" t="s">
        <v>1430</v>
      </c>
      <c r="BH142" s="122" t="s">
        <v>1420</v>
      </c>
      <c r="BI142" s="142">
        <v>71</v>
      </c>
      <c r="BJ142" s="123">
        <v>42238</v>
      </c>
      <c r="BK142" s="139" t="s">
        <v>606</v>
      </c>
      <c r="BM142" s="122">
        <v>34</v>
      </c>
    </row>
    <row r="143" spans="1:65" x14ac:dyDescent="0.25">
      <c r="A143" s="122" t="s">
        <v>352</v>
      </c>
      <c r="B143" s="122" t="s">
        <v>8162</v>
      </c>
      <c r="C143" s="122" t="s">
        <v>8163</v>
      </c>
      <c r="D143" s="122" t="s">
        <v>8164</v>
      </c>
      <c r="E143" s="123">
        <v>42226</v>
      </c>
      <c r="F143" s="122" t="s">
        <v>3856</v>
      </c>
      <c r="G143" s="122" t="s">
        <v>235</v>
      </c>
      <c r="H143" s="122" t="s">
        <v>448</v>
      </c>
      <c r="I143" s="122" t="s">
        <v>8165</v>
      </c>
      <c r="K143" s="122" t="s">
        <v>238</v>
      </c>
      <c r="L143" s="122" t="s">
        <v>271</v>
      </c>
      <c r="M143" s="122" t="s">
        <v>1593</v>
      </c>
      <c r="O143" s="141" t="s">
        <v>299</v>
      </c>
      <c r="P143" s="141" t="s">
        <v>8166</v>
      </c>
      <c r="Q143" s="122" t="s">
        <v>243</v>
      </c>
      <c r="R143" s="142">
        <v>72</v>
      </c>
      <c r="S143" s="122" t="s">
        <v>8167</v>
      </c>
      <c r="U143" s="122" t="s">
        <v>1420</v>
      </c>
      <c r="W143" s="122" t="s">
        <v>246</v>
      </c>
      <c r="X143" s="122" t="s">
        <v>2624</v>
      </c>
      <c r="Y143" s="141" t="s">
        <v>378</v>
      </c>
      <c r="Z143" s="122" t="s">
        <v>8168</v>
      </c>
      <c r="AA143" s="141" t="s">
        <v>511</v>
      </c>
      <c r="AB143" s="122" t="s">
        <v>8169</v>
      </c>
      <c r="AC143" s="141" t="s">
        <v>635</v>
      </c>
      <c r="AD143" s="122" t="s">
        <v>706</v>
      </c>
      <c r="AE143" s="122" t="s">
        <v>235</v>
      </c>
      <c r="AF143" s="122" t="s">
        <v>8170</v>
      </c>
      <c r="AG143" s="122" t="s">
        <v>537</v>
      </c>
      <c r="AH143" s="122" t="s">
        <v>253</v>
      </c>
      <c r="AI143" s="122" t="s">
        <v>3811</v>
      </c>
      <c r="AJ143" s="122" t="s">
        <v>8171</v>
      </c>
      <c r="AK143" s="122" t="s">
        <v>253</v>
      </c>
      <c r="AL143" s="122" t="s">
        <v>253</v>
      </c>
      <c r="AM143" s="122" t="s">
        <v>253</v>
      </c>
      <c r="AN143" s="122" t="s">
        <v>253</v>
      </c>
      <c r="AO143" s="141" t="s">
        <v>253</v>
      </c>
      <c r="AP143" s="141" t="s">
        <v>253</v>
      </c>
      <c r="AQ143" s="141" t="s">
        <v>247</v>
      </c>
      <c r="AR143" s="141" t="s">
        <v>253</v>
      </c>
      <c r="AS143" s="141" t="s">
        <v>361</v>
      </c>
      <c r="AT143" s="141" t="s">
        <v>601</v>
      </c>
      <c r="AU143" s="141" t="s">
        <v>258</v>
      </c>
      <c r="AV143" s="122" t="s">
        <v>259</v>
      </c>
      <c r="AW143" s="122" t="s">
        <v>260</v>
      </c>
      <c r="AY143" s="141" t="s">
        <v>253</v>
      </c>
      <c r="AZ143" s="122" t="s">
        <v>262</v>
      </c>
      <c r="BA143" s="122" t="s">
        <v>262</v>
      </c>
      <c r="BB143" s="122" t="s">
        <v>8172</v>
      </c>
      <c r="BC143" s="141" t="s">
        <v>312</v>
      </c>
      <c r="BD143" s="122" t="s">
        <v>253</v>
      </c>
      <c r="BE143" s="122" t="s">
        <v>263</v>
      </c>
      <c r="BF143" s="122" t="s">
        <v>1430</v>
      </c>
      <c r="BH143" s="122" t="s">
        <v>1420</v>
      </c>
      <c r="BI143" s="142">
        <v>72</v>
      </c>
      <c r="BJ143" s="123">
        <v>42230</v>
      </c>
      <c r="BK143" s="139" t="s">
        <v>264</v>
      </c>
      <c r="BL143" s="140">
        <v>104</v>
      </c>
      <c r="BM143" s="122">
        <v>33</v>
      </c>
    </row>
    <row r="144" spans="1:65" x14ac:dyDescent="0.25">
      <c r="A144" s="122" t="s">
        <v>352</v>
      </c>
      <c r="B144" s="122" t="s">
        <v>8173</v>
      </c>
      <c r="C144" s="122" t="s">
        <v>8174</v>
      </c>
      <c r="D144" s="122" t="s">
        <v>8175</v>
      </c>
      <c r="E144" s="123">
        <v>42226</v>
      </c>
      <c r="F144" s="122" t="s">
        <v>2133</v>
      </c>
      <c r="G144" s="122" t="s">
        <v>235</v>
      </c>
      <c r="H144" s="122" t="s">
        <v>8176</v>
      </c>
      <c r="I144" s="122" t="s">
        <v>8177</v>
      </c>
      <c r="J144" s="122" t="s">
        <v>1053</v>
      </c>
      <c r="K144" s="122" t="s">
        <v>238</v>
      </c>
      <c r="L144" s="122" t="s">
        <v>297</v>
      </c>
      <c r="M144" s="122" t="s">
        <v>1542</v>
      </c>
      <c r="N144" s="122" t="s">
        <v>8178</v>
      </c>
      <c r="O144" s="141" t="s">
        <v>566</v>
      </c>
      <c r="P144" s="141" t="s">
        <v>8179</v>
      </c>
      <c r="Q144" s="122" t="s">
        <v>243</v>
      </c>
      <c r="R144" s="142">
        <v>73</v>
      </c>
      <c r="S144" s="122" t="s">
        <v>8180</v>
      </c>
      <c r="U144" s="122" t="s">
        <v>1420</v>
      </c>
      <c r="W144" s="122" t="s">
        <v>246</v>
      </c>
      <c r="X144" s="122" t="s">
        <v>3147</v>
      </c>
      <c r="Y144" s="141" t="s">
        <v>455</v>
      </c>
      <c r="Z144" s="122" t="s">
        <v>8181</v>
      </c>
      <c r="AA144" s="141" t="s">
        <v>511</v>
      </c>
      <c r="AB144" s="122" t="s">
        <v>518</v>
      </c>
      <c r="AD144" s="122" t="s">
        <v>250</v>
      </c>
      <c r="AE144" s="122" t="s">
        <v>235</v>
      </c>
      <c r="AF144" s="122" t="s">
        <v>8182</v>
      </c>
      <c r="AG144" s="122" t="s">
        <v>537</v>
      </c>
      <c r="AH144" s="122" t="s">
        <v>253</v>
      </c>
      <c r="AI144" s="122" t="s">
        <v>8183</v>
      </c>
      <c r="AJ144" s="122" t="s">
        <v>5299</v>
      </c>
      <c r="AK144" s="122" t="s">
        <v>253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247</v>
      </c>
      <c r="AQ144" s="141" t="s">
        <v>253</v>
      </c>
      <c r="AR144" s="141" t="s">
        <v>253</v>
      </c>
      <c r="AS144" s="141" t="s">
        <v>601</v>
      </c>
      <c r="AT144" s="141" t="s">
        <v>258</v>
      </c>
      <c r="AU144" s="141" t="s">
        <v>258</v>
      </c>
      <c r="AV144" s="122" t="s">
        <v>259</v>
      </c>
      <c r="AW144" s="122" t="s">
        <v>260</v>
      </c>
      <c r="AY144" s="141" t="s">
        <v>253</v>
      </c>
      <c r="AZ144" s="122" t="s">
        <v>8184</v>
      </c>
      <c r="BA144" s="122" t="s">
        <v>262</v>
      </c>
      <c r="BB144" s="122" t="s">
        <v>262</v>
      </c>
      <c r="BD144" s="122" t="s">
        <v>253</v>
      </c>
      <c r="BE144" s="122" t="s">
        <v>263</v>
      </c>
      <c r="BF144" s="122" t="s">
        <v>1430</v>
      </c>
      <c r="BH144" s="122" t="s">
        <v>1420</v>
      </c>
      <c r="BI144" s="142">
        <v>73</v>
      </c>
    </row>
    <row r="145" spans="1:65" x14ac:dyDescent="0.25">
      <c r="A145" s="122" t="s">
        <v>352</v>
      </c>
      <c r="B145" s="122" t="s">
        <v>8185</v>
      </c>
      <c r="C145" s="122" t="s">
        <v>8186</v>
      </c>
      <c r="D145" s="122" t="s">
        <v>8187</v>
      </c>
      <c r="E145" s="123">
        <v>42226</v>
      </c>
      <c r="F145" s="122" t="s">
        <v>8188</v>
      </c>
      <c r="G145" s="122" t="s">
        <v>235</v>
      </c>
      <c r="H145" s="122" t="s">
        <v>448</v>
      </c>
      <c r="I145" s="122" t="s">
        <v>8189</v>
      </c>
      <c r="K145" s="122" t="s">
        <v>238</v>
      </c>
      <c r="L145" s="122" t="s">
        <v>271</v>
      </c>
      <c r="M145" s="122" t="s">
        <v>1711</v>
      </c>
      <c r="O145" s="141" t="s">
        <v>2559</v>
      </c>
      <c r="P145" s="141" t="s">
        <v>8190</v>
      </c>
      <c r="Q145" s="122" t="s">
        <v>243</v>
      </c>
      <c r="R145" s="142">
        <v>74</v>
      </c>
      <c r="S145" s="122" t="s">
        <v>8191</v>
      </c>
      <c r="U145" s="122" t="s">
        <v>1420</v>
      </c>
      <c r="W145" s="122" t="s">
        <v>246</v>
      </c>
      <c r="X145" s="122" t="s">
        <v>4409</v>
      </c>
      <c r="Y145" s="141" t="s">
        <v>593</v>
      </c>
      <c r="Z145" s="122" t="s">
        <v>8192</v>
      </c>
      <c r="AA145" s="141" t="s">
        <v>304</v>
      </c>
      <c r="AB145" s="122" t="s">
        <v>8193</v>
      </c>
      <c r="AC145" s="141" t="s">
        <v>1289</v>
      </c>
      <c r="AD145" s="122" t="s">
        <v>8194</v>
      </c>
      <c r="AE145" s="122" t="s">
        <v>235</v>
      </c>
      <c r="AF145" s="122" t="s">
        <v>8195</v>
      </c>
      <c r="AG145" s="122" t="s">
        <v>537</v>
      </c>
      <c r="AH145" s="122" t="s">
        <v>253</v>
      </c>
      <c r="AI145" s="122" t="s">
        <v>8196</v>
      </c>
      <c r="AJ145" s="122" t="s">
        <v>8197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247</v>
      </c>
      <c r="AP145" s="141" t="s">
        <v>247</v>
      </c>
      <c r="AQ145" s="141" t="s">
        <v>247</v>
      </c>
      <c r="AR145" s="141" t="s">
        <v>253</v>
      </c>
      <c r="AS145" s="141" t="s">
        <v>601</v>
      </c>
      <c r="AT145" s="141" t="s">
        <v>601</v>
      </c>
      <c r="AU145" s="141" t="s">
        <v>258</v>
      </c>
      <c r="AV145" s="122" t="s">
        <v>259</v>
      </c>
      <c r="AW145" s="122" t="s">
        <v>260</v>
      </c>
      <c r="AY145" s="141" t="s">
        <v>253</v>
      </c>
      <c r="AZ145" s="122" t="s">
        <v>262</v>
      </c>
      <c r="BA145" s="122" t="s">
        <v>262</v>
      </c>
      <c r="BB145" s="122" t="s">
        <v>8198</v>
      </c>
      <c r="BD145" s="122" t="s">
        <v>253</v>
      </c>
      <c r="BE145" s="122" t="s">
        <v>263</v>
      </c>
      <c r="BF145" s="122" t="s">
        <v>1430</v>
      </c>
      <c r="BH145" s="122" t="s">
        <v>1420</v>
      </c>
      <c r="BI145" s="142">
        <v>74</v>
      </c>
      <c r="BJ145" s="123">
        <v>42237</v>
      </c>
      <c r="BK145" s="139" t="s">
        <v>264</v>
      </c>
      <c r="BL145" s="140">
        <v>133.96</v>
      </c>
      <c r="BM145" s="122">
        <v>34</v>
      </c>
    </row>
    <row r="146" spans="1:65" x14ac:dyDescent="0.25">
      <c r="A146" s="122" t="s">
        <v>352</v>
      </c>
      <c r="B146" s="122" t="s">
        <v>8199</v>
      </c>
      <c r="C146" s="122" t="s">
        <v>8200</v>
      </c>
      <c r="D146" s="122" t="s">
        <v>8201</v>
      </c>
      <c r="E146" s="123">
        <v>42226</v>
      </c>
      <c r="F146" s="122" t="s">
        <v>7262</v>
      </c>
      <c r="G146" s="122" t="s">
        <v>235</v>
      </c>
      <c r="H146" s="122" t="s">
        <v>8202</v>
      </c>
      <c r="I146" s="122" t="s">
        <v>8203</v>
      </c>
      <c r="K146" s="122" t="s">
        <v>238</v>
      </c>
      <c r="L146" s="122" t="s">
        <v>271</v>
      </c>
      <c r="M146" s="122" t="s">
        <v>2221</v>
      </c>
      <c r="O146" s="141" t="s">
        <v>5366</v>
      </c>
      <c r="P146" s="141" t="s">
        <v>8204</v>
      </c>
      <c r="Q146" s="122" t="s">
        <v>243</v>
      </c>
      <c r="R146" s="142">
        <v>75</v>
      </c>
      <c r="S146" s="122" t="s">
        <v>8205</v>
      </c>
      <c r="U146" s="122" t="s">
        <v>1420</v>
      </c>
      <c r="W146" s="122" t="s">
        <v>246</v>
      </c>
      <c r="X146" s="122" t="s">
        <v>2624</v>
      </c>
      <c r="Y146" s="141" t="s">
        <v>2717</v>
      </c>
      <c r="Z146" s="122" t="s">
        <v>8206</v>
      </c>
      <c r="AA146" s="141" t="s">
        <v>819</v>
      </c>
      <c r="AB146" s="122" t="s">
        <v>8206</v>
      </c>
      <c r="AC146" s="141" t="s">
        <v>985</v>
      </c>
      <c r="AD146" s="122" t="s">
        <v>8206</v>
      </c>
      <c r="AE146" s="122" t="s">
        <v>235</v>
      </c>
      <c r="AF146" s="122" t="s">
        <v>8207</v>
      </c>
      <c r="AG146" s="122" t="s">
        <v>537</v>
      </c>
      <c r="AH146" s="122" t="s">
        <v>253</v>
      </c>
      <c r="AI146" s="122" t="s">
        <v>7167</v>
      </c>
      <c r="AJ146" s="122" t="s">
        <v>8208</v>
      </c>
      <c r="AK146" s="122" t="s">
        <v>253</v>
      </c>
      <c r="AL146" s="122" t="s">
        <v>253</v>
      </c>
      <c r="AM146" s="122" t="s">
        <v>253</v>
      </c>
      <c r="AN146" s="122" t="s">
        <v>253</v>
      </c>
      <c r="AO146" s="141" t="s">
        <v>253</v>
      </c>
      <c r="AP146" s="141" t="s">
        <v>253</v>
      </c>
      <c r="AQ146" s="141" t="s">
        <v>247</v>
      </c>
      <c r="AR146" s="141" t="s">
        <v>253</v>
      </c>
      <c r="AS146" s="141" t="s">
        <v>361</v>
      </c>
      <c r="AT146" s="141" t="s">
        <v>601</v>
      </c>
      <c r="AU146" s="141" t="s">
        <v>258</v>
      </c>
      <c r="AV146" s="122" t="s">
        <v>259</v>
      </c>
      <c r="AW146" s="122" t="s">
        <v>260</v>
      </c>
      <c r="AY146" s="141" t="s">
        <v>253</v>
      </c>
      <c r="AZ146" s="122" t="s">
        <v>8209</v>
      </c>
      <c r="BA146" s="122" t="s">
        <v>262</v>
      </c>
      <c r="BB146" s="122" t="s">
        <v>262</v>
      </c>
      <c r="BD146" s="122" t="s">
        <v>253</v>
      </c>
      <c r="BE146" s="122" t="s">
        <v>263</v>
      </c>
      <c r="BF146" s="122" t="s">
        <v>1430</v>
      </c>
      <c r="BH146" s="122" t="s">
        <v>1420</v>
      </c>
      <c r="BI146" s="142">
        <v>75</v>
      </c>
      <c r="BJ146" s="123">
        <v>42237</v>
      </c>
      <c r="BK146" s="139" t="s">
        <v>606</v>
      </c>
      <c r="BM146" s="122">
        <v>34</v>
      </c>
    </row>
    <row r="147" spans="1:65" x14ac:dyDescent="0.25">
      <c r="A147" s="122" t="s">
        <v>352</v>
      </c>
      <c r="B147" s="122" t="s">
        <v>8210</v>
      </c>
      <c r="C147" s="122" t="s">
        <v>8211</v>
      </c>
      <c r="D147" s="122" t="s">
        <v>8212</v>
      </c>
      <c r="E147" s="123">
        <v>42226</v>
      </c>
      <c r="F147" s="122" t="s">
        <v>8213</v>
      </c>
      <c r="G147" s="122" t="s">
        <v>235</v>
      </c>
      <c r="H147" s="122" t="s">
        <v>8214</v>
      </c>
      <c r="I147" s="122" t="s">
        <v>8215</v>
      </c>
      <c r="K147" s="122" t="s">
        <v>238</v>
      </c>
      <c r="L147" s="122" t="s">
        <v>429</v>
      </c>
      <c r="M147" s="122" t="s">
        <v>430</v>
      </c>
      <c r="Q147" s="122" t="s">
        <v>243</v>
      </c>
      <c r="R147" s="142">
        <v>76</v>
      </c>
      <c r="S147" s="122" t="s">
        <v>8216</v>
      </c>
      <c r="U147" s="122" t="s">
        <v>1420</v>
      </c>
      <c r="W147" s="122" t="s">
        <v>246</v>
      </c>
      <c r="X147" s="122" t="s">
        <v>4409</v>
      </c>
      <c r="Y147" s="141" t="s">
        <v>740</v>
      </c>
      <c r="Z147" s="122" t="s">
        <v>8217</v>
      </c>
      <c r="AA147" s="141" t="s">
        <v>705</v>
      </c>
      <c r="AB147" s="122" t="s">
        <v>8218</v>
      </c>
      <c r="AC147" s="141" t="s">
        <v>1325</v>
      </c>
      <c r="AD147" s="122" t="s">
        <v>8219</v>
      </c>
      <c r="AE147" s="122" t="s">
        <v>235</v>
      </c>
      <c r="AF147" s="122" t="s">
        <v>8220</v>
      </c>
      <c r="AG147" s="122" t="s">
        <v>537</v>
      </c>
      <c r="AH147" s="122" t="s">
        <v>253</v>
      </c>
      <c r="AI147" s="122" t="s">
        <v>1715</v>
      </c>
      <c r="AJ147" s="122" t="s">
        <v>8053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253</v>
      </c>
      <c r="AQ147" s="141" t="s">
        <v>253</v>
      </c>
      <c r="AR147" s="141" t="s">
        <v>253</v>
      </c>
      <c r="AS147" s="141" t="s">
        <v>601</v>
      </c>
      <c r="AT147" s="141" t="s">
        <v>258</v>
      </c>
      <c r="AU147" s="141" t="s">
        <v>258</v>
      </c>
      <c r="AV147" s="122" t="s">
        <v>259</v>
      </c>
      <c r="AW147" s="122" t="s">
        <v>260</v>
      </c>
      <c r="AY147" s="141" t="s">
        <v>253</v>
      </c>
      <c r="AZ147" s="122" t="s">
        <v>8221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1430</v>
      </c>
      <c r="BH147" s="122" t="s">
        <v>1420</v>
      </c>
      <c r="BI147" s="142">
        <v>76</v>
      </c>
      <c r="BJ147" s="123">
        <v>42234</v>
      </c>
      <c r="BK147" s="139" t="s">
        <v>264</v>
      </c>
      <c r="BL147" s="140">
        <v>94.1</v>
      </c>
      <c r="BM147" s="122">
        <v>34</v>
      </c>
    </row>
    <row r="148" spans="1:65" x14ac:dyDescent="0.25">
      <c r="A148" s="122" t="s">
        <v>352</v>
      </c>
      <c r="B148" s="122" t="s">
        <v>8222</v>
      </c>
      <c r="C148" s="122" t="s">
        <v>8223</v>
      </c>
      <c r="D148" s="122" t="s">
        <v>8224</v>
      </c>
      <c r="E148" s="123">
        <v>42226</v>
      </c>
      <c r="F148" s="122" t="s">
        <v>763</v>
      </c>
      <c r="G148" s="122" t="s">
        <v>235</v>
      </c>
      <c r="H148" s="122" t="s">
        <v>8225</v>
      </c>
      <c r="I148" s="122" t="s">
        <v>8226</v>
      </c>
      <c r="J148" s="122" t="s">
        <v>1053</v>
      </c>
      <c r="K148" s="122" t="s">
        <v>472</v>
      </c>
      <c r="L148" s="122" t="s">
        <v>473</v>
      </c>
      <c r="M148" s="122" t="s">
        <v>2272</v>
      </c>
      <c r="O148" s="141" t="s">
        <v>2055</v>
      </c>
      <c r="P148" s="141" t="s">
        <v>8227</v>
      </c>
      <c r="Q148" s="122" t="s">
        <v>243</v>
      </c>
      <c r="R148" s="142">
        <v>77</v>
      </c>
      <c r="S148" s="122" t="s">
        <v>8228</v>
      </c>
      <c r="U148" s="122" t="s">
        <v>1420</v>
      </c>
      <c r="W148" s="122" t="s">
        <v>246</v>
      </c>
      <c r="X148" s="122" t="s">
        <v>2624</v>
      </c>
      <c r="Y148" s="141" t="s">
        <v>1596</v>
      </c>
      <c r="Z148" s="122" t="s">
        <v>307</v>
      </c>
      <c r="AA148" s="141" t="s">
        <v>3881</v>
      </c>
      <c r="AB148" s="122" t="s">
        <v>8229</v>
      </c>
      <c r="AC148" s="141" t="s">
        <v>901</v>
      </c>
      <c r="AD148" s="122" t="s">
        <v>3966</v>
      </c>
      <c r="AE148" s="122" t="s">
        <v>235</v>
      </c>
      <c r="AF148" s="122" t="s">
        <v>8230</v>
      </c>
      <c r="AG148" s="122" t="s">
        <v>537</v>
      </c>
      <c r="AH148" s="122" t="s">
        <v>253</v>
      </c>
      <c r="AI148" s="122" t="s">
        <v>8231</v>
      </c>
      <c r="AJ148" s="122" t="s">
        <v>8232</v>
      </c>
      <c r="AK148" s="122" t="s">
        <v>8233</v>
      </c>
      <c r="AL148" s="122" t="s">
        <v>253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253</v>
      </c>
      <c r="AS148" s="141" t="s">
        <v>601</v>
      </c>
      <c r="AT148" s="141" t="s">
        <v>601</v>
      </c>
      <c r="AU148" s="141" t="s">
        <v>258</v>
      </c>
      <c r="AV148" s="122" t="s">
        <v>259</v>
      </c>
      <c r="AW148" s="122" t="s">
        <v>260</v>
      </c>
      <c r="AY148" s="141" t="s">
        <v>253</v>
      </c>
      <c r="AZ148" s="122" t="s">
        <v>8234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1430</v>
      </c>
      <c r="BH148" s="122" t="s">
        <v>1420</v>
      </c>
      <c r="BI148" s="142">
        <v>77</v>
      </c>
      <c r="BJ148" s="123">
        <v>42236</v>
      </c>
      <c r="BK148" s="139" t="s">
        <v>606</v>
      </c>
      <c r="BM148" s="122">
        <v>34</v>
      </c>
    </row>
    <row r="149" spans="1:65" x14ac:dyDescent="0.25">
      <c r="A149" s="122" t="s">
        <v>352</v>
      </c>
      <c r="B149" s="122" t="s">
        <v>8235</v>
      </c>
      <c r="C149" s="122" t="s">
        <v>8236</v>
      </c>
      <c r="D149" s="122" t="s">
        <v>8237</v>
      </c>
      <c r="E149" s="123">
        <v>42226</v>
      </c>
      <c r="F149" s="122" t="s">
        <v>8238</v>
      </c>
      <c r="G149" s="122" t="s">
        <v>235</v>
      </c>
      <c r="H149" s="122" t="s">
        <v>8239</v>
      </c>
      <c r="I149" s="122" t="s">
        <v>8240</v>
      </c>
      <c r="K149" s="122" t="s">
        <v>472</v>
      </c>
      <c r="L149" s="122" t="s">
        <v>473</v>
      </c>
      <c r="M149" s="122" t="s">
        <v>492</v>
      </c>
      <c r="N149" s="122" t="s">
        <v>8241</v>
      </c>
      <c r="O149" s="141" t="s">
        <v>299</v>
      </c>
      <c r="P149" s="141" t="s">
        <v>8242</v>
      </c>
      <c r="Q149" s="122" t="s">
        <v>243</v>
      </c>
      <c r="R149" s="142">
        <v>78</v>
      </c>
      <c r="S149" s="122" t="s">
        <v>8243</v>
      </c>
      <c r="U149" s="122" t="s">
        <v>1420</v>
      </c>
      <c r="W149" s="122" t="s">
        <v>246</v>
      </c>
      <c r="X149" s="122" t="s">
        <v>2624</v>
      </c>
      <c r="Y149" s="141" t="s">
        <v>2257</v>
      </c>
      <c r="Z149" s="122" t="s">
        <v>6523</v>
      </c>
      <c r="AA149" s="141" t="s">
        <v>670</v>
      </c>
      <c r="AB149" s="122" t="s">
        <v>8244</v>
      </c>
      <c r="AC149" s="141" t="s">
        <v>6691</v>
      </c>
      <c r="AD149" s="122" t="s">
        <v>8245</v>
      </c>
      <c r="AE149" s="122" t="s">
        <v>235</v>
      </c>
      <c r="AF149" s="122" t="s">
        <v>8246</v>
      </c>
      <c r="AG149" s="122" t="s">
        <v>537</v>
      </c>
      <c r="AH149" s="122" t="s">
        <v>253</v>
      </c>
      <c r="AI149" s="122" t="s">
        <v>8247</v>
      </c>
      <c r="AJ149" s="122" t="s">
        <v>8248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253</v>
      </c>
      <c r="AQ149" s="141" t="s">
        <v>247</v>
      </c>
      <c r="AR149" s="141" t="s">
        <v>253</v>
      </c>
      <c r="AS149" s="141" t="s">
        <v>601</v>
      </c>
      <c r="AT149" s="141" t="s">
        <v>601</v>
      </c>
      <c r="AU149" s="141" t="s">
        <v>258</v>
      </c>
      <c r="AV149" s="122" t="s">
        <v>259</v>
      </c>
      <c r="AW149" s="122" t="s">
        <v>260</v>
      </c>
      <c r="AY149" s="141" t="s">
        <v>253</v>
      </c>
      <c r="AZ149" s="122" t="s">
        <v>8249</v>
      </c>
      <c r="BA149" s="122" t="s">
        <v>8250</v>
      </c>
      <c r="BB149" s="122" t="s">
        <v>8251</v>
      </c>
      <c r="BC149" s="141" t="s">
        <v>312</v>
      </c>
      <c r="BD149" s="122" t="s">
        <v>253</v>
      </c>
      <c r="BE149" s="122" t="s">
        <v>263</v>
      </c>
      <c r="BF149" s="122" t="s">
        <v>1430</v>
      </c>
      <c r="BH149" s="122" t="s">
        <v>1420</v>
      </c>
      <c r="BI149" s="142">
        <v>78</v>
      </c>
      <c r="BJ149" s="123">
        <v>42232</v>
      </c>
      <c r="BK149" s="139" t="s">
        <v>264</v>
      </c>
      <c r="BL149" s="140">
        <v>83.86</v>
      </c>
      <c r="BM149" s="122">
        <v>33</v>
      </c>
    </row>
    <row r="150" spans="1:65" x14ac:dyDescent="0.25">
      <c r="A150" s="122" t="s">
        <v>352</v>
      </c>
      <c r="B150" s="122" t="s">
        <v>8252</v>
      </c>
      <c r="C150" s="122" t="s">
        <v>8253</v>
      </c>
      <c r="D150" s="122" t="s">
        <v>8254</v>
      </c>
      <c r="E150" s="123">
        <v>42226</v>
      </c>
      <c r="F150" s="122" t="s">
        <v>8255</v>
      </c>
      <c r="G150" s="122" t="s">
        <v>235</v>
      </c>
      <c r="H150" s="122" t="s">
        <v>8256</v>
      </c>
      <c r="I150" s="122" t="s">
        <v>8257</v>
      </c>
      <c r="K150" s="122" t="s">
        <v>238</v>
      </c>
      <c r="L150" s="122" t="s">
        <v>429</v>
      </c>
      <c r="M150" s="122" t="s">
        <v>8258</v>
      </c>
      <c r="O150" s="141" t="s">
        <v>2038</v>
      </c>
      <c r="P150" s="141" t="s">
        <v>8259</v>
      </c>
      <c r="Q150" s="122" t="s">
        <v>243</v>
      </c>
      <c r="R150" s="142">
        <v>79</v>
      </c>
      <c r="S150" s="122" t="s">
        <v>8260</v>
      </c>
      <c r="U150" s="122" t="s">
        <v>1420</v>
      </c>
      <c r="W150" s="122" t="s">
        <v>246</v>
      </c>
      <c r="X150" s="122" t="s">
        <v>4409</v>
      </c>
      <c r="Y150" s="141" t="s">
        <v>1528</v>
      </c>
      <c r="Z150" s="122" t="s">
        <v>8261</v>
      </c>
      <c r="AA150" s="141" t="s">
        <v>2010</v>
      </c>
      <c r="AB150" s="122" t="s">
        <v>8261</v>
      </c>
      <c r="AC150" s="141" t="s">
        <v>330</v>
      </c>
      <c r="AD150" s="122" t="s">
        <v>8262</v>
      </c>
      <c r="AE150" s="122" t="s">
        <v>235</v>
      </c>
      <c r="AF150" s="122" t="s">
        <v>8263</v>
      </c>
      <c r="AG150" s="122" t="s">
        <v>359</v>
      </c>
      <c r="AH150" s="122" t="s">
        <v>253</v>
      </c>
      <c r="AI150" s="122" t="s">
        <v>8264</v>
      </c>
      <c r="AJ150" s="122" t="s">
        <v>8265</v>
      </c>
      <c r="AK150" s="122" t="s">
        <v>253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247</v>
      </c>
      <c r="AQ150" s="141" t="s">
        <v>247</v>
      </c>
      <c r="AR150" s="141" t="s">
        <v>247</v>
      </c>
      <c r="AS150" s="141" t="s">
        <v>257</v>
      </c>
      <c r="AT150" s="141" t="s">
        <v>257</v>
      </c>
      <c r="AU150" s="141" t="s">
        <v>257</v>
      </c>
      <c r="AV150" s="122" t="s">
        <v>259</v>
      </c>
      <c r="AW150" s="122" t="s">
        <v>260</v>
      </c>
      <c r="AY150" s="141" t="s">
        <v>253</v>
      </c>
      <c r="AZ150" s="122" t="s">
        <v>8266</v>
      </c>
      <c r="BA150" s="122" t="s">
        <v>262</v>
      </c>
      <c r="BB150" s="122" t="s">
        <v>262</v>
      </c>
      <c r="BD150" s="122" t="s">
        <v>253</v>
      </c>
      <c r="BE150" s="122" t="s">
        <v>263</v>
      </c>
      <c r="BF150" s="122" t="s">
        <v>1430</v>
      </c>
      <c r="BH150" s="122" t="s">
        <v>1420</v>
      </c>
      <c r="BI150" s="142">
        <v>79</v>
      </c>
      <c r="BJ150" s="123">
        <v>42227</v>
      </c>
      <c r="BK150" s="139" t="s">
        <v>264</v>
      </c>
      <c r="BL150" s="140">
        <v>232.6</v>
      </c>
      <c r="BM150" s="122">
        <v>33</v>
      </c>
    </row>
    <row r="151" spans="1:65" x14ac:dyDescent="0.25">
      <c r="A151" s="122" t="s">
        <v>352</v>
      </c>
      <c r="B151" s="122" t="s">
        <v>8267</v>
      </c>
      <c r="C151" s="122" t="s">
        <v>8268</v>
      </c>
      <c r="D151" s="122" t="s">
        <v>8269</v>
      </c>
      <c r="E151" s="123">
        <v>42226</v>
      </c>
      <c r="F151" s="122" t="s">
        <v>480</v>
      </c>
      <c r="G151" s="122" t="s">
        <v>235</v>
      </c>
      <c r="H151" s="122" t="s">
        <v>8270</v>
      </c>
      <c r="I151" s="122" t="s">
        <v>8271</v>
      </c>
      <c r="K151" s="122" t="s">
        <v>238</v>
      </c>
      <c r="L151" s="122" t="s">
        <v>297</v>
      </c>
      <c r="M151" s="122" t="s">
        <v>2021</v>
      </c>
      <c r="N151" s="122" t="s">
        <v>2343</v>
      </c>
      <c r="O151" s="141" t="s">
        <v>390</v>
      </c>
      <c r="P151" s="141" t="s">
        <v>8272</v>
      </c>
      <c r="Q151" s="122" t="s">
        <v>243</v>
      </c>
      <c r="R151" s="142">
        <v>80</v>
      </c>
      <c r="S151" s="122" t="s">
        <v>8273</v>
      </c>
      <c r="U151" s="122" t="s">
        <v>1420</v>
      </c>
      <c r="W151" s="122" t="s">
        <v>246</v>
      </c>
      <c r="X151" s="122" t="s">
        <v>853</v>
      </c>
      <c r="Y151" s="141" t="s">
        <v>352</v>
      </c>
      <c r="Z151" s="122" t="s">
        <v>4597</v>
      </c>
      <c r="AA151" s="141" t="s">
        <v>1039</v>
      </c>
      <c r="AB151" s="122" t="s">
        <v>571</v>
      </c>
      <c r="AC151" s="141" t="s">
        <v>570</v>
      </c>
      <c r="AD151" s="122" t="s">
        <v>6286</v>
      </c>
      <c r="AE151" s="122" t="s">
        <v>235</v>
      </c>
      <c r="AF151" s="122" t="s">
        <v>8274</v>
      </c>
      <c r="AG151" s="122" t="s">
        <v>8275</v>
      </c>
      <c r="AH151" s="122" t="s">
        <v>253</v>
      </c>
      <c r="AI151" s="122" t="s">
        <v>8276</v>
      </c>
      <c r="AJ151" s="122" t="s">
        <v>8277</v>
      </c>
      <c r="AK151" s="122" t="s">
        <v>253</v>
      </c>
      <c r="AL151" s="122" t="s">
        <v>253</v>
      </c>
      <c r="AM151" s="122" t="s">
        <v>253</v>
      </c>
      <c r="AN151" s="122" t="s">
        <v>253</v>
      </c>
      <c r="AO151" s="141" t="s">
        <v>247</v>
      </c>
      <c r="AP151" s="141" t="s">
        <v>247</v>
      </c>
      <c r="AQ151" s="141" t="s">
        <v>247</v>
      </c>
      <c r="AR151" s="141" t="s">
        <v>247</v>
      </c>
      <c r="AS151" s="141" t="s">
        <v>601</v>
      </c>
      <c r="AT151" s="141" t="s">
        <v>601</v>
      </c>
      <c r="AU151" s="141" t="s">
        <v>257</v>
      </c>
      <c r="AV151" s="122" t="s">
        <v>259</v>
      </c>
      <c r="AW151" s="122" t="s">
        <v>260</v>
      </c>
      <c r="AY151" s="141" t="s">
        <v>253</v>
      </c>
      <c r="AZ151" s="122" t="s">
        <v>8278</v>
      </c>
      <c r="BA151" s="122" t="s">
        <v>262</v>
      </c>
      <c r="BB151" s="122" t="s">
        <v>262</v>
      </c>
      <c r="BD151" s="122" t="s">
        <v>253</v>
      </c>
      <c r="BE151" s="122" t="s">
        <v>263</v>
      </c>
      <c r="BF151" s="122" t="s">
        <v>1430</v>
      </c>
      <c r="BH151" s="122" t="s">
        <v>1420</v>
      </c>
      <c r="BI151" s="142">
        <v>80</v>
      </c>
      <c r="BJ151" s="123">
        <v>42231</v>
      </c>
      <c r="BK151" s="139" t="s">
        <v>264</v>
      </c>
      <c r="BL151" s="140">
        <v>70.34</v>
      </c>
      <c r="BM151" s="122">
        <v>33</v>
      </c>
    </row>
    <row r="152" spans="1:65" x14ac:dyDescent="0.25">
      <c r="A152" s="122" t="s">
        <v>352</v>
      </c>
      <c r="B152" s="122" t="s">
        <v>8279</v>
      </c>
      <c r="C152" s="122" t="s">
        <v>8280</v>
      </c>
      <c r="D152" s="122" t="s">
        <v>8281</v>
      </c>
      <c r="E152" s="123">
        <v>42226</v>
      </c>
      <c r="F152" s="122" t="s">
        <v>8282</v>
      </c>
      <c r="G152" s="122" t="s">
        <v>235</v>
      </c>
      <c r="H152" s="122" t="s">
        <v>8283</v>
      </c>
      <c r="I152" s="122" t="s">
        <v>8284</v>
      </c>
      <c r="K152" s="122" t="s">
        <v>238</v>
      </c>
      <c r="L152" s="122" t="s">
        <v>271</v>
      </c>
      <c r="M152" s="122" t="s">
        <v>2589</v>
      </c>
      <c r="O152" s="141" t="s">
        <v>613</v>
      </c>
      <c r="P152" s="141" t="s">
        <v>8285</v>
      </c>
      <c r="Q152" s="122" t="s">
        <v>243</v>
      </c>
      <c r="R152" s="142">
        <v>81</v>
      </c>
      <c r="S152" s="122" t="s">
        <v>8286</v>
      </c>
      <c r="U152" s="122" t="s">
        <v>1420</v>
      </c>
      <c r="W152" s="122" t="s">
        <v>246</v>
      </c>
      <c r="X152" s="122" t="s">
        <v>590</v>
      </c>
      <c r="Y152" s="141" t="s">
        <v>740</v>
      </c>
      <c r="Z152" s="122" t="s">
        <v>8287</v>
      </c>
      <c r="AA152" s="141" t="s">
        <v>685</v>
      </c>
      <c r="AB152" s="122" t="s">
        <v>939</v>
      </c>
      <c r="AC152" s="141" t="s">
        <v>685</v>
      </c>
      <c r="AD152" s="122" t="s">
        <v>8288</v>
      </c>
      <c r="AE152" s="122" t="s">
        <v>235</v>
      </c>
      <c r="AF152" s="122" t="s">
        <v>8289</v>
      </c>
      <c r="AG152" s="122" t="s">
        <v>537</v>
      </c>
      <c r="AH152" s="122" t="s">
        <v>253</v>
      </c>
      <c r="AI152" s="122" t="s">
        <v>8290</v>
      </c>
      <c r="AJ152" s="122" t="s">
        <v>8291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253</v>
      </c>
      <c r="AP152" s="141" t="s">
        <v>253</v>
      </c>
      <c r="AQ152" s="141" t="s">
        <v>247</v>
      </c>
      <c r="AR152" s="141" t="s">
        <v>253</v>
      </c>
      <c r="AS152" s="141" t="s">
        <v>361</v>
      </c>
      <c r="AT152" s="141" t="s">
        <v>601</v>
      </c>
      <c r="AU152" s="141" t="s">
        <v>258</v>
      </c>
      <c r="AV152" s="122" t="s">
        <v>259</v>
      </c>
      <c r="AW152" s="122" t="s">
        <v>260</v>
      </c>
      <c r="AY152" s="141" t="s">
        <v>253</v>
      </c>
      <c r="AZ152" s="122" t="s">
        <v>8292</v>
      </c>
      <c r="BA152" s="122" t="s">
        <v>262</v>
      </c>
      <c r="BB152" s="122" t="s">
        <v>262</v>
      </c>
      <c r="BC152" s="141" t="s">
        <v>312</v>
      </c>
      <c r="BD152" s="122" t="s">
        <v>253</v>
      </c>
      <c r="BE152" s="122" t="s">
        <v>263</v>
      </c>
      <c r="BF152" s="122" t="s">
        <v>1430</v>
      </c>
      <c r="BH152" s="122" t="s">
        <v>1420</v>
      </c>
      <c r="BI152" s="142">
        <v>81</v>
      </c>
      <c r="BJ152" s="123">
        <v>42237</v>
      </c>
      <c r="BK152" s="139" t="s">
        <v>606</v>
      </c>
      <c r="BM152" s="122">
        <v>34</v>
      </c>
    </row>
    <row r="153" spans="1:65" x14ac:dyDescent="0.25">
      <c r="A153" s="122" t="s">
        <v>352</v>
      </c>
      <c r="B153" s="122" t="s">
        <v>8293</v>
      </c>
      <c r="C153" s="122" t="s">
        <v>8294</v>
      </c>
      <c r="D153" s="122" t="s">
        <v>8295</v>
      </c>
      <c r="E153" s="123">
        <v>42226</v>
      </c>
      <c r="F153" s="122" t="s">
        <v>1344</v>
      </c>
      <c r="G153" s="122" t="s">
        <v>235</v>
      </c>
      <c r="H153" s="122" t="s">
        <v>8296</v>
      </c>
      <c r="I153" s="122" t="s">
        <v>8297</v>
      </c>
      <c r="J153" s="122" t="s">
        <v>370</v>
      </c>
      <c r="K153" s="122" t="s">
        <v>238</v>
      </c>
      <c r="L153" s="122" t="s">
        <v>429</v>
      </c>
      <c r="M153" s="122" t="s">
        <v>779</v>
      </c>
      <c r="O153" s="141" t="s">
        <v>373</v>
      </c>
      <c r="P153" s="141" t="s">
        <v>8298</v>
      </c>
      <c r="Q153" s="122" t="s">
        <v>243</v>
      </c>
      <c r="R153" s="142">
        <v>82</v>
      </c>
      <c r="S153" s="122" t="s">
        <v>8299</v>
      </c>
      <c r="U153" s="122" t="s">
        <v>1420</v>
      </c>
      <c r="W153" s="122" t="s">
        <v>246</v>
      </c>
      <c r="X153" s="122" t="s">
        <v>4409</v>
      </c>
      <c r="Y153" s="141" t="s">
        <v>740</v>
      </c>
      <c r="Z153" s="122" t="s">
        <v>355</v>
      </c>
      <c r="AA153" s="141" t="s">
        <v>668</v>
      </c>
      <c r="AB153" s="122" t="s">
        <v>8300</v>
      </c>
      <c r="AC153" s="141" t="s">
        <v>281</v>
      </c>
      <c r="AD153" s="122" t="s">
        <v>8301</v>
      </c>
      <c r="AE153" s="122" t="s">
        <v>235</v>
      </c>
      <c r="AF153" s="122" t="s">
        <v>8302</v>
      </c>
      <c r="AG153" s="122" t="s">
        <v>537</v>
      </c>
      <c r="AH153" s="122" t="s">
        <v>253</v>
      </c>
      <c r="AI153" s="122" t="s">
        <v>8303</v>
      </c>
      <c r="AJ153" s="122" t="s">
        <v>8304</v>
      </c>
      <c r="AK153" s="122" t="s">
        <v>253</v>
      </c>
      <c r="AL153" s="122" t="s">
        <v>253</v>
      </c>
      <c r="AM153" s="122" t="s">
        <v>253</v>
      </c>
      <c r="AN153" s="122" t="s">
        <v>253</v>
      </c>
      <c r="AO153" s="141" t="s">
        <v>247</v>
      </c>
      <c r="AP153" s="141" t="s">
        <v>247</v>
      </c>
      <c r="AQ153" s="141" t="s">
        <v>247</v>
      </c>
      <c r="AR153" s="141" t="s">
        <v>253</v>
      </c>
      <c r="AS153" s="141" t="s">
        <v>601</v>
      </c>
      <c r="AT153" s="141" t="s">
        <v>601</v>
      </c>
      <c r="AU153" s="141" t="s">
        <v>258</v>
      </c>
      <c r="AV153" s="122" t="s">
        <v>259</v>
      </c>
      <c r="AW153" s="122" t="s">
        <v>260</v>
      </c>
      <c r="AY153" s="141" t="s">
        <v>253</v>
      </c>
      <c r="AZ153" s="122" t="s">
        <v>8305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1430</v>
      </c>
      <c r="BH153" s="122" t="s">
        <v>1420</v>
      </c>
      <c r="BI153" s="142">
        <v>82</v>
      </c>
      <c r="BJ153" s="123">
        <v>42236</v>
      </c>
      <c r="BK153" s="139" t="s">
        <v>264</v>
      </c>
      <c r="BL153" s="140">
        <v>118.48</v>
      </c>
      <c r="BM153" s="122">
        <v>34</v>
      </c>
    </row>
    <row r="154" spans="1:65" x14ac:dyDescent="0.25">
      <c r="A154" s="122" t="s">
        <v>352</v>
      </c>
      <c r="B154" s="122" t="s">
        <v>8306</v>
      </c>
      <c r="C154" s="122" t="s">
        <v>8307</v>
      </c>
      <c r="D154" s="122" t="s">
        <v>8308</v>
      </c>
      <c r="E154" s="123">
        <v>42226</v>
      </c>
      <c r="F154" s="122" t="s">
        <v>1596</v>
      </c>
      <c r="G154" s="122" t="s">
        <v>235</v>
      </c>
      <c r="H154" s="122" t="s">
        <v>8309</v>
      </c>
      <c r="I154" s="122" t="s">
        <v>7343</v>
      </c>
      <c r="J154" s="122" t="s">
        <v>8310</v>
      </c>
      <c r="K154" s="122" t="s">
        <v>238</v>
      </c>
      <c r="L154" s="122" t="s">
        <v>271</v>
      </c>
      <c r="M154" s="122" t="s">
        <v>7345</v>
      </c>
      <c r="N154" s="122" t="s">
        <v>8311</v>
      </c>
      <c r="O154" s="141" t="s">
        <v>8312</v>
      </c>
      <c r="P154" s="141" t="s">
        <v>8313</v>
      </c>
      <c r="Q154" s="122" t="s">
        <v>243</v>
      </c>
      <c r="R154" s="142">
        <v>83</v>
      </c>
      <c r="S154" s="122" t="s">
        <v>8314</v>
      </c>
      <c r="U154" s="122" t="s">
        <v>1420</v>
      </c>
      <c r="W154" s="122" t="s">
        <v>246</v>
      </c>
      <c r="X154" s="122" t="s">
        <v>853</v>
      </c>
      <c r="Z154" s="122" t="s">
        <v>250</v>
      </c>
      <c r="AB154" s="122" t="s">
        <v>250</v>
      </c>
      <c r="AD154" s="122" t="s">
        <v>250</v>
      </c>
      <c r="AE154" s="122" t="s">
        <v>235</v>
      </c>
      <c r="AF154" s="122" t="s">
        <v>8315</v>
      </c>
      <c r="AG154" s="122" t="s">
        <v>537</v>
      </c>
      <c r="AH154" s="122" t="s">
        <v>5913</v>
      </c>
      <c r="AI154" s="122" t="s">
        <v>8316</v>
      </c>
      <c r="AJ154" s="122" t="s">
        <v>8317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253</v>
      </c>
      <c r="AR154" s="141" t="s">
        <v>253</v>
      </c>
      <c r="AS154" s="141" t="s">
        <v>601</v>
      </c>
      <c r="AT154" s="141" t="s">
        <v>258</v>
      </c>
      <c r="AU154" s="141" t="s">
        <v>258</v>
      </c>
      <c r="AV154" s="122" t="s">
        <v>259</v>
      </c>
      <c r="AW154" s="122" t="s">
        <v>260</v>
      </c>
      <c r="AY154" s="141" t="s">
        <v>253</v>
      </c>
      <c r="AZ154" s="122" t="s">
        <v>8318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1430</v>
      </c>
      <c r="BH154" s="122" t="s">
        <v>1420</v>
      </c>
      <c r="BI154" s="142">
        <v>83</v>
      </c>
      <c r="BJ154" s="123">
        <v>42238</v>
      </c>
      <c r="BK154" s="139" t="s">
        <v>606</v>
      </c>
      <c r="BM154" s="122">
        <v>34</v>
      </c>
    </row>
    <row r="155" spans="1:65" x14ac:dyDescent="0.25">
      <c r="A155" s="122" t="s">
        <v>352</v>
      </c>
      <c r="B155" s="122" t="s">
        <v>8319</v>
      </c>
      <c r="C155" s="122" t="s">
        <v>8320</v>
      </c>
      <c r="D155" s="122" t="s">
        <v>8321</v>
      </c>
      <c r="E155" s="123">
        <v>42226</v>
      </c>
      <c r="F155" s="122" t="s">
        <v>795</v>
      </c>
      <c r="G155" s="122" t="s">
        <v>235</v>
      </c>
      <c r="H155" s="122" t="s">
        <v>8322</v>
      </c>
      <c r="I155" s="122" t="s">
        <v>8323</v>
      </c>
      <c r="K155" s="122" t="s">
        <v>238</v>
      </c>
      <c r="L155" s="122" t="s">
        <v>297</v>
      </c>
      <c r="M155" s="122" t="s">
        <v>1479</v>
      </c>
      <c r="N155" s="122" t="s">
        <v>8324</v>
      </c>
      <c r="O155" s="141" t="s">
        <v>548</v>
      </c>
      <c r="P155" s="141" t="s">
        <v>8325</v>
      </c>
      <c r="Q155" s="122" t="s">
        <v>243</v>
      </c>
      <c r="R155" s="142">
        <v>84</v>
      </c>
      <c r="S155" s="122" t="s">
        <v>8326</v>
      </c>
      <c r="T155" s="122" t="s">
        <v>8327</v>
      </c>
      <c r="U155" s="122" t="s">
        <v>1420</v>
      </c>
      <c r="W155" s="122" t="s">
        <v>246</v>
      </c>
      <c r="X155" s="122" t="s">
        <v>302</v>
      </c>
      <c r="Y155" s="141" t="s">
        <v>1161</v>
      </c>
      <c r="Z155" s="122" t="s">
        <v>518</v>
      </c>
      <c r="AA155" s="141" t="s">
        <v>593</v>
      </c>
      <c r="AB155" s="122" t="s">
        <v>8328</v>
      </c>
      <c r="AC155" s="141" t="s">
        <v>457</v>
      </c>
      <c r="AD155" s="122" t="s">
        <v>8329</v>
      </c>
      <c r="AE155" s="122" t="s">
        <v>235</v>
      </c>
      <c r="AF155" s="122" t="s">
        <v>8330</v>
      </c>
      <c r="AG155" s="122" t="s">
        <v>2163</v>
      </c>
      <c r="AH155" s="122" t="s">
        <v>253</v>
      </c>
      <c r="AI155" s="122" t="s">
        <v>1278</v>
      </c>
      <c r="AJ155" s="122" t="s">
        <v>8331</v>
      </c>
      <c r="AK155" s="122" t="s">
        <v>8332</v>
      </c>
      <c r="AL155" s="122" t="s">
        <v>253</v>
      </c>
      <c r="AM155" s="122" t="s">
        <v>253</v>
      </c>
      <c r="AN155" s="122" t="s">
        <v>253</v>
      </c>
      <c r="AO155" s="141" t="s">
        <v>247</v>
      </c>
      <c r="AP155" s="141" t="s">
        <v>247</v>
      </c>
      <c r="AQ155" s="141" t="s">
        <v>247</v>
      </c>
      <c r="AR155" s="141" t="s">
        <v>247</v>
      </c>
      <c r="AS155" s="141" t="s">
        <v>601</v>
      </c>
      <c r="AT155" s="141" t="s">
        <v>601</v>
      </c>
      <c r="AU155" s="141" t="s">
        <v>257</v>
      </c>
      <c r="AV155" s="122" t="s">
        <v>259</v>
      </c>
      <c r="AW155" s="122" t="s">
        <v>260</v>
      </c>
      <c r="AY155" s="141" t="s">
        <v>253</v>
      </c>
      <c r="AZ155" s="122" t="s">
        <v>8333</v>
      </c>
      <c r="BA155" s="122" t="s">
        <v>262</v>
      </c>
      <c r="BB155" s="122" t="s">
        <v>8334</v>
      </c>
      <c r="BD155" s="122" t="s">
        <v>253</v>
      </c>
      <c r="BE155" s="122" t="s">
        <v>263</v>
      </c>
      <c r="BF155" s="122" t="s">
        <v>1430</v>
      </c>
      <c r="BH155" s="122" t="s">
        <v>1420</v>
      </c>
      <c r="BI155" s="142">
        <v>84</v>
      </c>
    </row>
    <row r="156" spans="1:65" x14ac:dyDescent="0.25">
      <c r="A156" s="122" t="s">
        <v>3037</v>
      </c>
      <c r="B156" s="122" t="s">
        <v>8335</v>
      </c>
      <c r="C156" s="122" t="s">
        <v>2184</v>
      </c>
      <c r="D156" s="122" t="s">
        <v>2185</v>
      </c>
      <c r="E156" s="123">
        <v>42226</v>
      </c>
      <c r="F156" s="122" t="s">
        <v>2186</v>
      </c>
      <c r="G156" s="122" t="s">
        <v>235</v>
      </c>
      <c r="H156" s="122" t="s">
        <v>2187</v>
      </c>
      <c r="I156" s="122" t="s">
        <v>2188</v>
      </c>
      <c r="K156" s="122" t="s">
        <v>238</v>
      </c>
      <c r="L156" s="122" t="s">
        <v>271</v>
      </c>
      <c r="M156" s="122" t="s">
        <v>1693</v>
      </c>
      <c r="N156" s="122" t="s">
        <v>2189</v>
      </c>
      <c r="O156" s="141" t="s">
        <v>273</v>
      </c>
      <c r="P156" s="141" t="s">
        <v>2190</v>
      </c>
      <c r="Q156" s="122" t="s">
        <v>243</v>
      </c>
      <c r="R156" s="142">
        <v>85</v>
      </c>
      <c r="S156" s="122" t="s">
        <v>2191</v>
      </c>
      <c r="U156" s="122" t="s">
        <v>1420</v>
      </c>
      <c r="W156" s="122" t="s">
        <v>246</v>
      </c>
      <c r="X156" s="122" t="s">
        <v>1643</v>
      </c>
      <c r="Y156" s="141" t="s">
        <v>784</v>
      </c>
      <c r="Z156" s="122" t="s">
        <v>2192</v>
      </c>
      <c r="AA156" s="141" t="s">
        <v>1325</v>
      </c>
      <c r="AB156" s="122" t="s">
        <v>2192</v>
      </c>
      <c r="AC156" s="141" t="s">
        <v>985</v>
      </c>
      <c r="AD156" s="122" t="s">
        <v>2193</v>
      </c>
      <c r="AE156" s="122" t="s">
        <v>235</v>
      </c>
      <c r="AF156" s="122" t="s">
        <v>8336</v>
      </c>
      <c r="AG156" s="122" t="s">
        <v>253</v>
      </c>
      <c r="AH156" s="122" t="s">
        <v>253</v>
      </c>
      <c r="AI156" s="122" t="s">
        <v>8337</v>
      </c>
      <c r="AJ156" s="122" t="s">
        <v>2195</v>
      </c>
      <c r="AK156" s="122" t="s">
        <v>2196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601</v>
      </c>
      <c r="AV156" s="122" t="s">
        <v>259</v>
      </c>
      <c r="AW156" s="122" t="s">
        <v>556</v>
      </c>
      <c r="AY156" s="141" t="s">
        <v>253</v>
      </c>
      <c r="AZ156" s="122" t="s">
        <v>2197</v>
      </c>
      <c r="BA156" s="122" t="s">
        <v>262</v>
      </c>
      <c r="BB156" s="122" t="s">
        <v>2198</v>
      </c>
      <c r="BD156" s="122" t="s">
        <v>253</v>
      </c>
      <c r="BE156" s="122" t="s">
        <v>263</v>
      </c>
      <c r="BF156" s="122" t="s">
        <v>1430</v>
      </c>
      <c r="BH156" s="122" t="s">
        <v>1420</v>
      </c>
      <c r="BI156" s="142">
        <v>85</v>
      </c>
      <c r="BK156" s="139" t="s">
        <v>558</v>
      </c>
    </row>
    <row r="157" spans="1:65" x14ac:dyDescent="0.25">
      <c r="A157" s="122" t="s">
        <v>1161</v>
      </c>
      <c r="B157" s="122" t="s">
        <v>8338</v>
      </c>
      <c r="C157" s="122" t="s">
        <v>2477</v>
      </c>
      <c r="D157" s="122" t="s">
        <v>2478</v>
      </c>
      <c r="E157" s="123">
        <v>42226</v>
      </c>
      <c r="F157" s="122" t="s">
        <v>1327</v>
      </c>
      <c r="G157" s="122" t="s">
        <v>235</v>
      </c>
      <c r="H157" s="122" t="s">
        <v>2479</v>
      </c>
      <c r="I157" s="122" t="s">
        <v>2480</v>
      </c>
      <c r="K157" s="122" t="s">
        <v>238</v>
      </c>
      <c r="L157" s="122" t="s">
        <v>297</v>
      </c>
      <c r="M157" s="122" t="s">
        <v>2481</v>
      </c>
      <c r="O157" s="141" t="s">
        <v>548</v>
      </c>
      <c r="P157" s="141" t="s">
        <v>2482</v>
      </c>
      <c r="Q157" s="122" t="s">
        <v>243</v>
      </c>
      <c r="R157" s="142">
        <v>86</v>
      </c>
      <c r="S157" s="122" t="s">
        <v>2483</v>
      </c>
      <c r="U157" s="122" t="s">
        <v>1420</v>
      </c>
      <c r="W157" s="122" t="s">
        <v>246</v>
      </c>
      <c r="X157" s="122" t="s">
        <v>721</v>
      </c>
      <c r="Y157" s="141" t="s">
        <v>1440</v>
      </c>
      <c r="Z157" s="122" t="s">
        <v>2484</v>
      </c>
      <c r="AA157" s="141" t="s">
        <v>819</v>
      </c>
      <c r="AB157" s="122" t="s">
        <v>2485</v>
      </c>
      <c r="AD157" s="122" t="s">
        <v>250</v>
      </c>
      <c r="AE157" s="122" t="s">
        <v>235</v>
      </c>
      <c r="AF157" s="122" t="s">
        <v>8339</v>
      </c>
      <c r="AG157" s="122" t="s">
        <v>253</v>
      </c>
      <c r="AH157" s="122" t="s">
        <v>253</v>
      </c>
      <c r="AI157" s="122" t="s">
        <v>8340</v>
      </c>
      <c r="AJ157" s="122" t="s">
        <v>2487</v>
      </c>
      <c r="AK157" s="122" t="s">
        <v>8341</v>
      </c>
      <c r="AL157" s="122" t="s">
        <v>253</v>
      </c>
      <c r="AM157" s="122" t="s">
        <v>253</v>
      </c>
      <c r="AN157" s="122" t="s">
        <v>253</v>
      </c>
      <c r="AO157" s="141" t="s">
        <v>247</v>
      </c>
      <c r="AP157" s="141" t="s">
        <v>247</v>
      </c>
      <c r="AQ157" s="141" t="s">
        <v>247</v>
      </c>
      <c r="AR157" s="141" t="s">
        <v>247</v>
      </c>
      <c r="AS157" s="141" t="s">
        <v>601</v>
      </c>
      <c r="AT157" s="141" t="s">
        <v>601</v>
      </c>
      <c r="AU157" s="141" t="s">
        <v>601</v>
      </c>
      <c r="AV157" s="122" t="s">
        <v>259</v>
      </c>
      <c r="AW157" s="122" t="s">
        <v>556</v>
      </c>
      <c r="AY157" s="141" t="s">
        <v>253</v>
      </c>
      <c r="AZ157" s="122" t="s">
        <v>2489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1430</v>
      </c>
      <c r="BH157" s="122" t="s">
        <v>1420</v>
      </c>
      <c r="BI157" s="142">
        <v>86</v>
      </c>
      <c r="BK157" s="139" t="s">
        <v>558</v>
      </c>
    </row>
    <row r="158" spans="1:65" x14ac:dyDescent="0.25">
      <c r="A158" s="122" t="s">
        <v>1161</v>
      </c>
      <c r="B158" s="122" t="s">
        <v>8342</v>
      </c>
      <c r="C158" s="122" t="s">
        <v>2602</v>
      </c>
      <c r="D158" s="122" t="s">
        <v>2603</v>
      </c>
      <c r="E158" s="123">
        <v>42226</v>
      </c>
      <c r="F158" s="122" t="s">
        <v>2604</v>
      </c>
      <c r="G158" s="122" t="s">
        <v>235</v>
      </c>
      <c r="H158" s="122" t="s">
        <v>448</v>
      </c>
      <c r="I158" s="122" t="s">
        <v>1815</v>
      </c>
      <c r="J158" s="122" t="s">
        <v>2606</v>
      </c>
      <c r="K158" s="122" t="s">
        <v>238</v>
      </c>
      <c r="L158" s="122" t="s">
        <v>297</v>
      </c>
      <c r="M158" s="122" t="s">
        <v>1659</v>
      </c>
      <c r="N158" s="122" t="s">
        <v>1817</v>
      </c>
      <c r="O158" s="141" t="s">
        <v>566</v>
      </c>
      <c r="P158" s="141" t="s">
        <v>2607</v>
      </c>
      <c r="Q158" s="122" t="s">
        <v>243</v>
      </c>
      <c r="R158" s="142">
        <v>87</v>
      </c>
      <c r="S158" s="122" t="s">
        <v>2608</v>
      </c>
      <c r="U158" s="122" t="s">
        <v>1420</v>
      </c>
      <c r="W158" s="122" t="s">
        <v>246</v>
      </c>
      <c r="X158" s="122" t="s">
        <v>497</v>
      </c>
      <c r="Y158" s="141" t="s">
        <v>535</v>
      </c>
      <c r="Z158" s="122" t="s">
        <v>2609</v>
      </c>
      <c r="AA158" s="141" t="s">
        <v>2072</v>
      </c>
      <c r="AB158" s="122" t="s">
        <v>2610</v>
      </c>
      <c r="AC158" s="141" t="s">
        <v>367</v>
      </c>
      <c r="AD158" s="122" t="s">
        <v>2611</v>
      </c>
      <c r="AE158" s="122" t="s">
        <v>235</v>
      </c>
      <c r="AF158" s="122" t="s">
        <v>2612</v>
      </c>
      <c r="AG158" s="122" t="s">
        <v>537</v>
      </c>
      <c r="AH158" s="122" t="s">
        <v>253</v>
      </c>
      <c r="AI158" s="122" t="s">
        <v>2613</v>
      </c>
      <c r="AJ158" s="122" t="s">
        <v>2614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247</v>
      </c>
      <c r="AS158" s="141" t="s">
        <v>601</v>
      </c>
      <c r="AT158" s="141" t="s">
        <v>601</v>
      </c>
      <c r="AU158" s="141" t="s">
        <v>601</v>
      </c>
      <c r="AV158" s="122" t="s">
        <v>259</v>
      </c>
      <c r="AW158" s="122" t="s">
        <v>556</v>
      </c>
      <c r="AY158" s="141" t="s">
        <v>253</v>
      </c>
      <c r="AZ158" s="122" t="s">
        <v>262</v>
      </c>
      <c r="BA158" s="122" t="s">
        <v>262</v>
      </c>
      <c r="BB158" s="122" t="s">
        <v>262</v>
      </c>
      <c r="BD158" s="122" t="s">
        <v>253</v>
      </c>
      <c r="BE158" s="122" t="s">
        <v>263</v>
      </c>
      <c r="BF158" s="122" t="s">
        <v>1430</v>
      </c>
      <c r="BH158" s="122" t="s">
        <v>1420</v>
      </c>
      <c r="BI158" s="142">
        <v>87</v>
      </c>
      <c r="BK158" s="139" t="s">
        <v>558</v>
      </c>
    </row>
    <row r="159" spans="1:65" x14ac:dyDescent="0.25">
      <c r="A159" s="122" t="s">
        <v>6059</v>
      </c>
      <c r="B159" s="122" t="s">
        <v>8343</v>
      </c>
      <c r="C159" s="122" t="s">
        <v>8344</v>
      </c>
      <c r="D159" s="122" t="s">
        <v>8345</v>
      </c>
      <c r="E159" s="123">
        <v>42226</v>
      </c>
      <c r="F159" s="122" t="s">
        <v>8346</v>
      </c>
      <c r="G159" s="122" t="s">
        <v>235</v>
      </c>
      <c r="H159" s="122" t="s">
        <v>8347</v>
      </c>
      <c r="I159" s="122" t="s">
        <v>8348</v>
      </c>
      <c r="K159" s="122" t="s">
        <v>238</v>
      </c>
      <c r="L159" s="122" t="s">
        <v>297</v>
      </c>
      <c r="M159" s="122" t="s">
        <v>1659</v>
      </c>
      <c r="O159" s="141" t="s">
        <v>299</v>
      </c>
      <c r="P159" s="141" t="s">
        <v>8349</v>
      </c>
      <c r="Q159" s="122" t="s">
        <v>243</v>
      </c>
      <c r="R159" s="142">
        <v>88</v>
      </c>
      <c r="S159" s="122" t="s">
        <v>8350</v>
      </c>
      <c r="U159" s="122" t="s">
        <v>1420</v>
      </c>
      <c r="W159" s="122" t="s">
        <v>246</v>
      </c>
      <c r="X159" s="122" t="s">
        <v>442</v>
      </c>
      <c r="Y159" s="141" t="s">
        <v>356</v>
      </c>
      <c r="Z159" s="122" t="s">
        <v>8351</v>
      </c>
      <c r="AA159" s="141" t="s">
        <v>459</v>
      </c>
      <c r="AB159" s="122" t="s">
        <v>8352</v>
      </c>
      <c r="AC159" s="141" t="s">
        <v>3590</v>
      </c>
      <c r="AD159" s="122" t="s">
        <v>8353</v>
      </c>
      <c r="AE159" s="122" t="s">
        <v>235</v>
      </c>
      <c r="AF159" s="122" t="s">
        <v>8354</v>
      </c>
      <c r="AG159" s="122" t="s">
        <v>253</v>
      </c>
      <c r="AH159" s="122" t="s">
        <v>253</v>
      </c>
      <c r="AI159" s="122" t="s">
        <v>3682</v>
      </c>
      <c r="AJ159" s="122" t="s">
        <v>8355</v>
      </c>
      <c r="AK159" s="122" t="s">
        <v>8356</v>
      </c>
      <c r="AL159" s="122" t="s">
        <v>253</v>
      </c>
      <c r="AM159" s="122" t="s">
        <v>253</v>
      </c>
      <c r="AN159" s="122" t="s">
        <v>253</v>
      </c>
      <c r="AO159" s="141" t="s">
        <v>253</v>
      </c>
      <c r="AP159" s="141" t="s">
        <v>253</v>
      </c>
      <c r="AQ159" s="141" t="s">
        <v>253</v>
      </c>
      <c r="AR159" s="141" t="s">
        <v>247</v>
      </c>
      <c r="AS159" s="141" t="s">
        <v>361</v>
      </c>
      <c r="AT159" s="141" t="s">
        <v>258</v>
      </c>
      <c r="AU159" s="141" t="s">
        <v>601</v>
      </c>
      <c r="AV159" s="122" t="s">
        <v>259</v>
      </c>
      <c r="AW159" s="122" t="s">
        <v>556</v>
      </c>
      <c r="AX159" s="141" t="s">
        <v>7376</v>
      </c>
      <c r="AY159" s="141" t="s">
        <v>442</v>
      </c>
      <c r="AZ159" s="122" t="s">
        <v>8357</v>
      </c>
      <c r="BA159" s="122" t="s">
        <v>262</v>
      </c>
      <c r="BB159" s="122" t="s">
        <v>8358</v>
      </c>
      <c r="BC159" s="141" t="s">
        <v>312</v>
      </c>
      <c r="BD159" s="122" t="s">
        <v>253</v>
      </c>
      <c r="BE159" s="122" t="s">
        <v>263</v>
      </c>
      <c r="BF159" s="122" t="s">
        <v>1430</v>
      </c>
      <c r="BH159" s="122" t="s">
        <v>1420</v>
      </c>
      <c r="BI159" s="142">
        <v>88</v>
      </c>
    </row>
    <row r="160" spans="1:65" x14ac:dyDescent="0.25">
      <c r="A160" s="122" t="s">
        <v>6059</v>
      </c>
      <c r="B160" s="122" t="s">
        <v>8359</v>
      </c>
      <c r="C160" s="122" t="s">
        <v>7411</v>
      </c>
      <c r="D160" s="122" t="s">
        <v>7412</v>
      </c>
      <c r="E160" s="123">
        <v>42226</v>
      </c>
      <c r="F160" s="122" t="s">
        <v>2235</v>
      </c>
      <c r="G160" s="122" t="s">
        <v>235</v>
      </c>
      <c r="H160" s="122" t="s">
        <v>448</v>
      </c>
      <c r="I160" s="122" t="s">
        <v>7413</v>
      </c>
      <c r="K160" s="122" t="s">
        <v>238</v>
      </c>
      <c r="L160" s="122" t="s">
        <v>429</v>
      </c>
      <c r="M160" s="122" t="s">
        <v>7414</v>
      </c>
      <c r="N160" s="122" t="s">
        <v>2085</v>
      </c>
      <c r="O160" s="141" t="s">
        <v>1240</v>
      </c>
      <c r="P160" s="141" t="s">
        <v>7415</v>
      </c>
      <c r="Q160" s="122" t="s">
        <v>243</v>
      </c>
      <c r="R160" s="142">
        <v>89</v>
      </c>
      <c r="S160" s="122" t="s">
        <v>7416</v>
      </c>
      <c r="U160" s="122" t="s">
        <v>1420</v>
      </c>
      <c r="W160" s="122" t="s">
        <v>246</v>
      </c>
      <c r="X160" s="122" t="s">
        <v>433</v>
      </c>
      <c r="Y160" s="141" t="s">
        <v>1876</v>
      </c>
      <c r="Z160" s="122" t="s">
        <v>7417</v>
      </c>
      <c r="AA160" s="141" t="s">
        <v>1090</v>
      </c>
      <c r="AB160" s="122" t="s">
        <v>7418</v>
      </c>
      <c r="AC160" s="141" t="s">
        <v>1547</v>
      </c>
      <c r="AD160" s="122" t="s">
        <v>460</v>
      </c>
      <c r="AE160" s="122" t="s">
        <v>235</v>
      </c>
      <c r="AF160" s="122" t="s">
        <v>7419</v>
      </c>
      <c r="AG160" s="122" t="s">
        <v>537</v>
      </c>
      <c r="AH160" s="122" t="s">
        <v>253</v>
      </c>
      <c r="AI160" s="122" t="s">
        <v>7420</v>
      </c>
      <c r="AJ160" s="122" t="s">
        <v>7421</v>
      </c>
      <c r="AK160" s="122" t="s">
        <v>253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247</v>
      </c>
      <c r="AQ160" s="141" t="s">
        <v>247</v>
      </c>
      <c r="AR160" s="141" t="s">
        <v>247</v>
      </c>
      <c r="AS160" s="141" t="s">
        <v>601</v>
      </c>
      <c r="AT160" s="141" t="s">
        <v>601</v>
      </c>
      <c r="AU160" s="141" t="s">
        <v>601</v>
      </c>
      <c r="AV160" s="122" t="s">
        <v>259</v>
      </c>
      <c r="AW160" s="122" t="s">
        <v>556</v>
      </c>
      <c r="AY160" s="141" t="s">
        <v>253</v>
      </c>
      <c r="AZ160" s="122" t="s">
        <v>262</v>
      </c>
      <c r="BA160" s="122" t="s">
        <v>262</v>
      </c>
      <c r="BB160" s="122" t="s">
        <v>262</v>
      </c>
      <c r="BD160" s="122" t="s">
        <v>253</v>
      </c>
      <c r="BE160" s="122" t="s">
        <v>263</v>
      </c>
      <c r="BF160" s="122" t="s">
        <v>1430</v>
      </c>
      <c r="BH160" s="122" t="s">
        <v>1420</v>
      </c>
      <c r="BI160" s="142">
        <v>89</v>
      </c>
      <c r="BK160" s="139" t="s">
        <v>558</v>
      </c>
    </row>
    <row r="161" spans="1:65" x14ac:dyDescent="0.25">
      <c r="A161" s="122" t="s">
        <v>6489</v>
      </c>
      <c r="B161" s="122" t="s">
        <v>8360</v>
      </c>
      <c r="C161" s="122" t="s">
        <v>7528</v>
      </c>
      <c r="D161" s="122" t="s">
        <v>7529</v>
      </c>
      <c r="E161" s="123">
        <v>42226</v>
      </c>
      <c r="F161" s="122" t="s">
        <v>3247</v>
      </c>
      <c r="G161" s="122" t="s">
        <v>235</v>
      </c>
      <c r="H161" s="122" t="s">
        <v>7530</v>
      </c>
      <c r="I161" s="122" t="s">
        <v>7531</v>
      </c>
      <c r="K161" s="122" t="s">
        <v>472</v>
      </c>
      <c r="L161" s="122" t="s">
        <v>473</v>
      </c>
      <c r="M161" s="122" t="s">
        <v>1774</v>
      </c>
      <c r="O161" s="141" t="s">
        <v>566</v>
      </c>
      <c r="P161" s="141" t="s">
        <v>7532</v>
      </c>
      <c r="Q161" s="122" t="s">
        <v>243</v>
      </c>
      <c r="R161" s="142">
        <v>90</v>
      </c>
      <c r="S161" s="122" t="s">
        <v>7533</v>
      </c>
      <c r="U161" s="122" t="s">
        <v>1420</v>
      </c>
      <c r="W161" s="122" t="s">
        <v>246</v>
      </c>
      <c r="X161" s="122" t="s">
        <v>454</v>
      </c>
      <c r="Y161" s="141" t="s">
        <v>1440</v>
      </c>
      <c r="Z161" s="122" t="s">
        <v>7534</v>
      </c>
      <c r="AA161" s="141" t="s">
        <v>1258</v>
      </c>
      <c r="AB161" s="122" t="s">
        <v>7535</v>
      </c>
      <c r="AC161" s="141" t="s">
        <v>724</v>
      </c>
      <c r="AD161" s="122" t="s">
        <v>7536</v>
      </c>
      <c r="AE161" s="122" t="s">
        <v>235</v>
      </c>
      <c r="AF161" s="122" t="s">
        <v>7537</v>
      </c>
      <c r="AG161" s="122" t="s">
        <v>537</v>
      </c>
      <c r="AH161" s="122" t="s">
        <v>253</v>
      </c>
      <c r="AI161" s="122" t="s">
        <v>2386</v>
      </c>
      <c r="AJ161" s="122" t="s">
        <v>7538</v>
      </c>
      <c r="AK161" s="122" t="s">
        <v>253</v>
      </c>
      <c r="AL161" s="122" t="s">
        <v>253</v>
      </c>
      <c r="AM161" s="122" t="s">
        <v>253</v>
      </c>
      <c r="AN161" s="122" t="s">
        <v>253</v>
      </c>
      <c r="AO161" s="141" t="s">
        <v>247</v>
      </c>
      <c r="AP161" s="141" t="s">
        <v>247</v>
      </c>
      <c r="AQ161" s="141" t="s">
        <v>247</v>
      </c>
      <c r="AR161" s="141" t="s">
        <v>247</v>
      </c>
      <c r="AS161" s="141" t="s">
        <v>601</v>
      </c>
      <c r="AT161" s="141" t="s">
        <v>601</v>
      </c>
      <c r="AU161" s="141" t="s">
        <v>601</v>
      </c>
      <c r="AV161" s="122" t="s">
        <v>259</v>
      </c>
      <c r="AW161" s="122" t="s">
        <v>556</v>
      </c>
      <c r="AY161" s="141" t="s">
        <v>253</v>
      </c>
      <c r="AZ161" s="122" t="s">
        <v>7539</v>
      </c>
      <c r="BA161" s="122" t="s">
        <v>262</v>
      </c>
      <c r="BB161" s="122" t="s">
        <v>262</v>
      </c>
      <c r="BD161" s="122" t="s">
        <v>253</v>
      </c>
      <c r="BE161" s="122" t="s">
        <v>263</v>
      </c>
      <c r="BF161" s="122" t="s">
        <v>1430</v>
      </c>
      <c r="BH161" s="122" t="s">
        <v>1420</v>
      </c>
      <c r="BI161" s="142">
        <v>90</v>
      </c>
      <c r="BK161" s="139" t="s">
        <v>558</v>
      </c>
    </row>
    <row r="162" spans="1:65" x14ac:dyDescent="0.25">
      <c r="A162" s="122" t="s">
        <v>6489</v>
      </c>
      <c r="B162" s="122" t="s">
        <v>8361</v>
      </c>
      <c r="C162" s="122" t="s">
        <v>8362</v>
      </c>
      <c r="D162" s="122" t="s">
        <v>8363</v>
      </c>
      <c r="E162" s="123">
        <v>42226</v>
      </c>
      <c r="F162" s="122" t="s">
        <v>8364</v>
      </c>
      <c r="G162" s="122" t="s">
        <v>235</v>
      </c>
      <c r="H162" s="122" t="s">
        <v>448</v>
      </c>
      <c r="I162" s="122" t="s">
        <v>8365</v>
      </c>
      <c r="J162" s="122" t="s">
        <v>370</v>
      </c>
      <c r="K162" s="122" t="s">
        <v>238</v>
      </c>
      <c r="L162" s="122" t="s">
        <v>429</v>
      </c>
      <c r="M162" s="122" t="s">
        <v>8258</v>
      </c>
      <c r="O162" s="141" t="s">
        <v>1240</v>
      </c>
      <c r="P162" s="141" t="s">
        <v>8366</v>
      </c>
      <c r="Q162" s="122" t="s">
        <v>243</v>
      </c>
      <c r="R162" s="142">
        <v>91</v>
      </c>
      <c r="S162" s="122" t="s">
        <v>8367</v>
      </c>
      <c r="U162" s="122" t="s">
        <v>1420</v>
      </c>
      <c r="W162" s="122" t="s">
        <v>246</v>
      </c>
      <c r="X162" s="122" t="s">
        <v>853</v>
      </c>
      <c r="Y162" s="141" t="s">
        <v>722</v>
      </c>
      <c r="Z162" s="122" t="s">
        <v>8368</v>
      </c>
      <c r="AA162" s="141" t="s">
        <v>367</v>
      </c>
      <c r="AB162" s="122" t="s">
        <v>8369</v>
      </c>
      <c r="AC162" s="141" t="s">
        <v>1547</v>
      </c>
      <c r="AD162" s="122" t="s">
        <v>8370</v>
      </c>
      <c r="AE162" s="122" t="s">
        <v>235</v>
      </c>
      <c r="AF162" s="122" t="s">
        <v>8371</v>
      </c>
      <c r="AG162" s="122" t="s">
        <v>537</v>
      </c>
      <c r="AH162" s="122" t="s">
        <v>253</v>
      </c>
      <c r="AI162" s="122" t="s">
        <v>8372</v>
      </c>
      <c r="AJ162" s="122" t="s">
        <v>3443</v>
      </c>
      <c r="AK162" s="122" t="s">
        <v>8373</v>
      </c>
      <c r="AL162" s="122" t="s">
        <v>253</v>
      </c>
      <c r="AM162" s="122" t="s">
        <v>253</v>
      </c>
      <c r="AN162" s="122" t="s">
        <v>253</v>
      </c>
      <c r="AO162" s="141" t="s">
        <v>253</v>
      </c>
      <c r="AP162" s="141" t="s">
        <v>253</v>
      </c>
      <c r="AQ162" s="141" t="s">
        <v>253</v>
      </c>
      <c r="AR162" s="141" t="s">
        <v>247</v>
      </c>
      <c r="AS162" s="141" t="s">
        <v>361</v>
      </c>
      <c r="AT162" s="141" t="s">
        <v>258</v>
      </c>
      <c r="AU162" s="141" t="s">
        <v>601</v>
      </c>
      <c r="AV162" s="122" t="s">
        <v>259</v>
      </c>
      <c r="AW162" s="122" t="s">
        <v>556</v>
      </c>
      <c r="AY162" s="141" t="s">
        <v>253</v>
      </c>
      <c r="AZ162" s="122" t="s">
        <v>262</v>
      </c>
      <c r="BA162" s="122" t="s">
        <v>262</v>
      </c>
      <c r="BB162" s="122" t="s">
        <v>8374</v>
      </c>
      <c r="BD162" s="122" t="s">
        <v>253</v>
      </c>
      <c r="BE162" s="122" t="s">
        <v>263</v>
      </c>
      <c r="BF162" s="122" t="s">
        <v>1430</v>
      </c>
      <c r="BH162" s="122" t="s">
        <v>1420</v>
      </c>
      <c r="BI162" s="142">
        <v>91</v>
      </c>
      <c r="BJ162" s="123">
        <v>42234</v>
      </c>
      <c r="BK162" s="139" t="s">
        <v>606</v>
      </c>
      <c r="BM162" s="122">
        <v>34</v>
      </c>
    </row>
    <row r="163" spans="1:65" x14ac:dyDescent="0.25">
      <c r="A163" s="122" t="s">
        <v>6489</v>
      </c>
      <c r="B163" s="122" t="s">
        <v>8375</v>
      </c>
      <c r="C163" s="122" t="s">
        <v>7569</v>
      </c>
      <c r="D163" s="122" t="s">
        <v>7570</v>
      </c>
      <c r="E163" s="123">
        <v>42226</v>
      </c>
      <c r="F163" s="122" t="s">
        <v>1896</v>
      </c>
      <c r="G163" s="122" t="s">
        <v>235</v>
      </c>
      <c r="H163" s="122" t="s">
        <v>7571</v>
      </c>
      <c r="I163" s="122" t="s">
        <v>7572</v>
      </c>
      <c r="J163" s="122" t="s">
        <v>6372</v>
      </c>
      <c r="K163" s="122" t="s">
        <v>238</v>
      </c>
      <c r="L163" s="122" t="s">
        <v>297</v>
      </c>
      <c r="M163" s="122" t="s">
        <v>1479</v>
      </c>
      <c r="N163" s="122" t="s">
        <v>7573</v>
      </c>
      <c r="O163" s="141" t="s">
        <v>3777</v>
      </c>
      <c r="P163" s="141" t="s">
        <v>7574</v>
      </c>
      <c r="Q163" s="122" t="s">
        <v>243</v>
      </c>
      <c r="R163" s="142">
        <v>92</v>
      </c>
      <c r="S163" s="122" t="s">
        <v>7575</v>
      </c>
      <c r="U163" s="122" t="s">
        <v>1420</v>
      </c>
      <c r="W163" s="122" t="s">
        <v>246</v>
      </c>
      <c r="X163" s="122" t="s">
        <v>853</v>
      </c>
      <c r="Y163" s="141" t="s">
        <v>1896</v>
      </c>
      <c r="Z163" s="122" t="s">
        <v>2135</v>
      </c>
      <c r="AA163" s="141" t="s">
        <v>672</v>
      </c>
      <c r="AB163" s="122" t="s">
        <v>7576</v>
      </c>
      <c r="AD163" s="122" t="s">
        <v>250</v>
      </c>
      <c r="AE163" s="122" t="s">
        <v>235</v>
      </c>
      <c r="AF163" s="122" t="s">
        <v>7577</v>
      </c>
      <c r="AG163" s="122" t="s">
        <v>537</v>
      </c>
      <c r="AH163" s="122" t="s">
        <v>7578</v>
      </c>
      <c r="AI163" s="122" t="s">
        <v>7579</v>
      </c>
      <c r="AJ163" s="122" t="s">
        <v>7580</v>
      </c>
      <c r="AK163" s="122" t="s">
        <v>253</v>
      </c>
      <c r="AL163" s="122" t="s">
        <v>253</v>
      </c>
      <c r="AM163" s="122" t="s">
        <v>253</v>
      </c>
      <c r="AN163" s="122" t="s">
        <v>253</v>
      </c>
      <c r="AO163" s="141" t="s">
        <v>247</v>
      </c>
      <c r="AP163" s="141" t="s">
        <v>247</v>
      </c>
      <c r="AQ163" s="141" t="s">
        <v>247</v>
      </c>
      <c r="AR163" s="141" t="s">
        <v>247</v>
      </c>
      <c r="AS163" s="141" t="s">
        <v>601</v>
      </c>
      <c r="AT163" s="141" t="s">
        <v>601</v>
      </c>
      <c r="AU163" s="141" t="s">
        <v>601</v>
      </c>
      <c r="AV163" s="122" t="s">
        <v>259</v>
      </c>
      <c r="AW163" s="122" t="s">
        <v>556</v>
      </c>
      <c r="AY163" s="141" t="s">
        <v>253</v>
      </c>
      <c r="AZ163" s="122" t="s">
        <v>7581</v>
      </c>
      <c r="BA163" s="122" t="s">
        <v>262</v>
      </c>
      <c r="BB163" s="122" t="s">
        <v>262</v>
      </c>
      <c r="BC163" s="141" t="s">
        <v>312</v>
      </c>
      <c r="BD163" s="122" t="s">
        <v>253</v>
      </c>
      <c r="BE163" s="122" t="s">
        <v>263</v>
      </c>
      <c r="BF163" s="122" t="s">
        <v>1430</v>
      </c>
      <c r="BH163" s="122" t="s">
        <v>1420</v>
      </c>
      <c r="BI163" s="142">
        <v>92</v>
      </c>
      <c r="BK163" s="139" t="s">
        <v>558</v>
      </c>
    </row>
    <row r="164" spans="1:65" x14ac:dyDescent="0.25">
      <c r="A164" s="122" t="s">
        <v>6489</v>
      </c>
      <c r="B164" s="122" t="s">
        <v>8376</v>
      </c>
      <c r="C164" s="122" t="s">
        <v>8377</v>
      </c>
      <c r="D164" s="122" t="s">
        <v>8378</v>
      </c>
      <c r="E164" s="123">
        <v>42226</v>
      </c>
      <c r="F164" s="122" t="s">
        <v>8379</v>
      </c>
      <c r="G164" s="122" t="s">
        <v>235</v>
      </c>
      <c r="H164" s="122" t="s">
        <v>8380</v>
      </c>
      <c r="I164" s="122" t="s">
        <v>8381</v>
      </c>
      <c r="K164" s="122" t="s">
        <v>238</v>
      </c>
      <c r="L164" s="122" t="s">
        <v>297</v>
      </c>
      <c r="M164" s="122" t="s">
        <v>1479</v>
      </c>
      <c r="N164" s="122" t="s">
        <v>8382</v>
      </c>
      <c r="O164" s="141" t="s">
        <v>613</v>
      </c>
      <c r="P164" s="141" t="s">
        <v>8383</v>
      </c>
      <c r="Q164" s="122" t="s">
        <v>243</v>
      </c>
      <c r="R164" s="142">
        <v>93</v>
      </c>
      <c r="S164" s="122" t="s">
        <v>8384</v>
      </c>
      <c r="U164" s="122" t="s">
        <v>1420</v>
      </c>
      <c r="W164" s="122" t="s">
        <v>246</v>
      </c>
      <c r="X164" s="122" t="s">
        <v>590</v>
      </c>
      <c r="Y164" s="141" t="s">
        <v>1440</v>
      </c>
      <c r="Z164" s="122" t="s">
        <v>8385</v>
      </c>
      <c r="AA164" s="141" t="s">
        <v>633</v>
      </c>
      <c r="AB164" s="122" t="s">
        <v>8386</v>
      </c>
      <c r="AC164" s="141" t="s">
        <v>920</v>
      </c>
      <c r="AD164" s="122" t="s">
        <v>8370</v>
      </c>
      <c r="AE164" s="122" t="s">
        <v>235</v>
      </c>
      <c r="AF164" s="122" t="s">
        <v>8387</v>
      </c>
      <c r="AG164" s="122" t="s">
        <v>537</v>
      </c>
      <c r="AH164" s="122" t="s">
        <v>253</v>
      </c>
      <c r="AI164" s="122" t="s">
        <v>8388</v>
      </c>
      <c r="AJ164" s="122" t="s">
        <v>8389</v>
      </c>
      <c r="AK164" s="122" t="s">
        <v>253</v>
      </c>
      <c r="AL164" s="122" t="s">
        <v>253</v>
      </c>
      <c r="AM164" s="122" t="s">
        <v>253</v>
      </c>
      <c r="AN164" s="122" t="s">
        <v>253</v>
      </c>
      <c r="AO164" s="141" t="s">
        <v>253</v>
      </c>
      <c r="AP164" s="141" t="s">
        <v>253</v>
      </c>
      <c r="AQ164" s="141" t="s">
        <v>253</v>
      </c>
      <c r="AR164" s="141" t="s">
        <v>247</v>
      </c>
      <c r="AS164" s="141" t="s">
        <v>361</v>
      </c>
      <c r="AT164" s="141" t="s">
        <v>258</v>
      </c>
      <c r="AU164" s="141" t="s">
        <v>601</v>
      </c>
      <c r="AV164" s="122" t="s">
        <v>259</v>
      </c>
      <c r="AW164" s="122" t="s">
        <v>556</v>
      </c>
      <c r="AY164" s="141" t="s">
        <v>253</v>
      </c>
      <c r="AZ164" s="122" t="s">
        <v>8390</v>
      </c>
      <c r="BA164" s="122" t="s">
        <v>262</v>
      </c>
      <c r="BB164" s="122" t="s">
        <v>262</v>
      </c>
      <c r="BC164" s="141" t="s">
        <v>312</v>
      </c>
      <c r="BD164" s="122" t="s">
        <v>253</v>
      </c>
      <c r="BE164" s="122" t="s">
        <v>263</v>
      </c>
      <c r="BF164" s="122" t="s">
        <v>1430</v>
      </c>
      <c r="BH164" s="122" t="s">
        <v>1420</v>
      </c>
      <c r="BI164" s="142">
        <v>93</v>
      </c>
    </row>
    <row r="165" spans="1:65" x14ac:dyDescent="0.25">
      <c r="A165" s="122" t="s">
        <v>6489</v>
      </c>
      <c r="B165" s="122" t="s">
        <v>8391</v>
      </c>
      <c r="C165" s="122" t="s">
        <v>7627</v>
      </c>
      <c r="D165" s="122" t="s">
        <v>7628</v>
      </c>
      <c r="E165" s="123">
        <v>42226</v>
      </c>
      <c r="F165" s="122" t="s">
        <v>7629</v>
      </c>
      <c r="G165" s="122" t="s">
        <v>235</v>
      </c>
      <c r="H165" s="122" t="s">
        <v>7630</v>
      </c>
      <c r="I165" s="122" t="s">
        <v>7631</v>
      </c>
      <c r="K165" s="122" t="s">
        <v>238</v>
      </c>
      <c r="L165" s="122" t="s">
        <v>297</v>
      </c>
      <c r="M165" s="122" t="s">
        <v>430</v>
      </c>
      <c r="O165" s="141" t="s">
        <v>1158</v>
      </c>
      <c r="P165" s="141" t="s">
        <v>7632</v>
      </c>
      <c r="Q165" s="122" t="s">
        <v>243</v>
      </c>
      <c r="R165" s="142">
        <v>94</v>
      </c>
      <c r="S165" s="122" t="s">
        <v>7633</v>
      </c>
      <c r="U165" s="122" t="s">
        <v>1420</v>
      </c>
      <c r="W165" s="122" t="s">
        <v>246</v>
      </c>
      <c r="X165" s="122" t="s">
        <v>1643</v>
      </c>
      <c r="Y165" s="141" t="s">
        <v>595</v>
      </c>
      <c r="Z165" s="122" t="s">
        <v>7634</v>
      </c>
      <c r="AA165" s="141" t="s">
        <v>2259</v>
      </c>
      <c r="AB165" s="122" t="s">
        <v>7635</v>
      </c>
      <c r="AC165" s="141" t="s">
        <v>502</v>
      </c>
      <c r="AD165" s="122" t="s">
        <v>7636</v>
      </c>
      <c r="AE165" s="122" t="s">
        <v>235</v>
      </c>
      <c r="AF165" s="122" t="s">
        <v>7637</v>
      </c>
      <c r="AG165" s="122" t="s">
        <v>253</v>
      </c>
      <c r="AH165" s="122" t="s">
        <v>253</v>
      </c>
      <c r="AI165" s="122" t="s">
        <v>7638</v>
      </c>
      <c r="AJ165" s="122" t="s">
        <v>7639</v>
      </c>
      <c r="AK165" s="122" t="s">
        <v>7640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Y165" s="141" t="s">
        <v>253</v>
      </c>
      <c r="AZ165" s="122" t="s">
        <v>7641</v>
      </c>
      <c r="BA165" s="122" t="s">
        <v>262</v>
      </c>
      <c r="BB165" s="122" t="s">
        <v>262</v>
      </c>
      <c r="BD165" s="122" t="s">
        <v>253</v>
      </c>
      <c r="BE165" s="122" t="s">
        <v>263</v>
      </c>
      <c r="BF165" s="122" t="s">
        <v>1430</v>
      </c>
      <c r="BH165" s="122" t="s">
        <v>1420</v>
      </c>
      <c r="BI165" s="142">
        <v>94</v>
      </c>
      <c r="BK165" s="139" t="s">
        <v>558</v>
      </c>
    </row>
    <row r="166" spans="1:65" x14ac:dyDescent="0.25">
      <c r="A166" s="122" t="s">
        <v>6489</v>
      </c>
      <c r="B166" s="122" t="s">
        <v>8392</v>
      </c>
      <c r="C166" s="122" t="s">
        <v>7475</v>
      </c>
      <c r="D166" s="122" t="s">
        <v>7476</v>
      </c>
      <c r="E166" s="123">
        <v>42226</v>
      </c>
      <c r="F166" s="122" t="s">
        <v>3079</v>
      </c>
      <c r="G166" s="122" t="s">
        <v>235</v>
      </c>
      <c r="H166" s="122" t="s">
        <v>7477</v>
      </c>
      <c r="I166" s="122" t="s">
        <v>7478</v>
      </c>
      <c r="J166" s="122" t="s">
        <v>7479</v>
      </c>
      <c r="K166" s="122" t="s">
        <v>238</v>
      </c>
      <c r="L166" s="122" t="s">
        <v>271</v>
      </c>
      <c r="M166" s="122" t="s">
        <v>7345</v>
      </c>
      <c r="O166" s="141" t="s">
        <v>273</v>
      </c>
      <c r="P166" s="141" t="s">
        <v>7480</v>
      </c>
      <c r="Q166" s="122" t="s">
        <v>243</v>
      </c>
      <c r="R166" s="142">
        <v>95</v>
      </c>
      <c r="S166" s="122" t="s">
        <v>7481</v>
      </c>
      <c r="U166" s="122" t="s">
        <v>1420</v>
      </c>
      <c r="W166" s="122" t="s">
        <v>246</v>
      </c>
      <c r="X166" s="122" t="s">
        <v>454</v>
      </c>
      <c r="Y166" s="141" t="s">
        <v>668</v>
      </c>
      <c r="Z166" s="122" t="s">
        <v>7482</v>
      </c>
      <c r="AA166" s="141" t="s">
        <v>367</v>
      </c>
      <c r="AB166" s="122" t="s">
        <v>7482</v>
      </c>
      <c r="AC166" s="141" t="s">
        <v>7483</v>
      </c>
      <c r="AD166" s="122" t="s">
        <v>7484</v>
      </c>
      <c r="AE166" s="122" t="s">
        <v>235</v>
      </c>
      <c r="AF166" s="122" t="s">
        <v>7485</v>
      </c>
      <c r="AG166" s="122" t="s">
        <v>537</v>
      </c>
      <c r="AH166" s="122" t="s">
        <v>253</v>
      </c>
      <c r="AI166" s="122" t="s">
        <v>7486</v>
      </c>
      <c r="AJ166" s="122" t="s">
        <v>7487</v>
      </c>
      <c r="AK166" s="122" t="s">
        <v>253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41" t="s">
        <v>253</v>
      </c>
      <c r="AZ166" s="122" t="s">
        <v>7488</v>
      </c>
      <c r="BA166" s="122" t="s">
        <v>262</v>
      </c>
      <c r="BB166" s="122" t="s">
        <v>262</v>
      </c>
      <c r="BD166" s="122" t="s">
        <v>253</v>
      </c>
      <c r="BE166" s="122" t="s">
        <v>263</v>
      </c>
      <c r="BF166" s="122" t="s">
        <v>1430</v>
      </c>
      <c r="BH166" s="122" t="s">
        <v>1420</v>
      </c>
      <c r="BI166" s="142">
        <v>95</v>
      </c>
      <c r="BK166" s="139" t="s">
        <v>558</v>
      </c>
    </row>
    <row r="167" spans="1:65" x14ac:dyDescent="0.25">
      <c r="A167" s="122" t="s">
        <v>6513</v>
      </c>
      <c r="B167" s="122" t="s">
        <v>8393</v>
      </c>
      <c r="C167" s="122" t="s">
        <v>7657</v>
      </c>
      <c r="D167" s="122" t="s">
        <v>7658</v>
      </c>
      <c r="E167" s="123">
        <v>42226</v>
      </c>
      <c r="F167" s="122" t="s">
        <v>2235</v>
      </c>
      <c r="G167" s="122" t="s">
        <v>235</v>
      </c>
      <c r="H167" s="122" t="s">
        <v>7659</v>
      </c>
      <c r="I167" s="122" t="s">
        <v>7660</v>
      </c>
      <c r="K167" s="122" t="s">
        <v>238</v>
      </c>
      <c r="L167" s="122" t="s">
        <v>429</v>
      </c>
      <c r="M167" s="122" t="s">
        <v>430</v>
      </c>
      <c r="O167" s="141" t="s">
        <v>566</v>
      </c>
      <c r="P167" s="141" t="s">
        <v>7661</v>
      </c>
      <c r="Q167" s="122" t="s">
        <v>243</v>
      </c>
      <c r="R167" s="142">
        <v>96</v>
      </c>
      <c r="S167" s="122" t="s">
        <v>7662</v>
      </c>
      <c r="U167" s="122" t="s">
        <v>1420</v>
      </c>
      <c r="W167" s="122" t="s">
        <v>246</v>
      </c>
      <c r="X167" s="122" t="s">
        <v>433</v>
      </c>
      <c r="Y167" s="141" t="s">
        <v>593</v>
      </c>
      <c r="Z167" s="122" t="s">
        <v>7663</v>
      </c>
      <c r="AA167" s="141" t="s">
        <v>417</v>
      </c>
      <c r="AB167" s="122" t="s">
        <v>7664</v>
      </c>
      <c r="AC167" s="141" t="s">
        <v>283</v>
      </c>
      <c r="AD167" s="122" t="s">
        <v>249</v>
      </c>
      <c r="AE167" s="122" t="s">
        <v>235</v>
      </c>
      <c r="AF167" s="122" t="s">
        <v>7665</v>
      </c>
      <c r="AG167" s="122" t="s">
        <v>747</v>
      </c>
      <c r="AH167" s="122" t="s">
        <v>253</v>
      </c>
      <c r="AI167" s="122" t="s">
        <v>7666</v>
      </c>
      <c r="AJ167" s="122" t="s">
        <v>7667</v>
      </c>
      <c r="AK167" s="122" t="s">
        <v>253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X167" s="141" t="s">
        <v>2029</v>
      </c>
      <c r="AY167" s="141" t="s">
        <v>247</v>
      </c>
      <c r="AZ167" s="122" t="s">
        <v>7668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1430</v>
      </c>
      <c r="BH167" s="122" t="s">
        <v>1420</v>
      </c>
      <c r="BI167" s="142">
        <v>96</v>
      </c>
      <c r="BK167" s="139" t="s">
        <v>558</v>
      </c>
    </row>
    <row r="168" spans="1:65" x14ac:dyDescent="0.25">
      <c r="A168" s="122" t="s">
        <v>6513</v>
      </c>
      <c r="B168" s="122" t="s">
        <v>8394</v>
      </c>
      <c r="C168" s="122" t="s">
        <v>7699</v>
      </c>
      <c r="D168" s="122" t="s">
        <v>7700</v>
      </c>
      <c r="E168" s="123">
        <v>42226</v>
      </c>
      <c r="F168" s="122" t="s">
        <v>7701</v>
      </c>
      <c r="G168" s="122" t="s">
        <v>235</v>
      </c>
      <c r="H168" s="122" t="s">
        <v>7702</v>
      </c>
      <c r="I168" s="122" t="s">
        <v>7703</v>
      </c>
      <c r="K168" s="122" t="s">
        <v>238</v>
      </c>
      <c r="L168" s="122" t="s">
        <v>297</v>
      </c>
      <c r="M168" s="122" t="s">
        <v>298</v>
      </c>
      <c r="O168" s="141" t="s">
        <v>1240</v>
      </c>
      <c r="P168" s="141" t="s">
        <v>7704</v>
      </c>
      <c r="Q168" s="122" t="s">
        <v>243</v>
      </c>
      <c r="R168" s="142">
        <v>97</v>
      </c>
      <c r="S168" s="122" t="s">
        <v>7705</v>
      </c>
      <c r="U168" s="122" t="s">
        <v>1420</v>
      </c>
      <c r="W168" s="122" t="s">
        <v>246</v>
      </c>
      <c r="X168" s="122" t="s">
        <v>433</v>
      </c>
      <c r="Y168" s="141" t="s">
        <v>593</v>
      </c>
      <c r="Z168" s="122" t="s">
        <v>7706</v>
      </c>
      <c r="AA168" s="141" t="s">
        <v>234</v>
      </c>
      <c r="AB168" s="122" t="s">
        <v>7707</v>
      </c>
      <c r="AC168" s="141" t="s">
        <v>1327</v>
      </c>
      <c r="AD168" s="122" t="s">
        <v>7708</v>
      </c>
      <c r="AE168" s="122" t="s">
        <v>235</v>
      </c>
      <c r="AF168" s="122" t="s">
        <v>7709</v>
      </c>
      <c r="AG168" s="122" t="s">
        <v>747</v>
      </c>
      <c r="AH168" s="122" t="s">
        <v>253</v>
      </c>
      <c r="AI168" s="122" t="s">
        <v>7710</v>
      </c>
      <c r="AJ168" s="122" t="s">
        <v>7711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253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X168" s="141" t="s">
        <v>2029</v>
      </c>
      <c r="AY168" s="141" t="s">
        <v>247</v>
      </c>
      <c r="AZ168" s="122" t="s">
        <v>7712</v>
      </c>
      <c r="BA168" s="122" t="s">
        <v>262</v>
      </c>
      <c r="BB168" s="122" t="s">
        <v>262</v>
      </c>
      <c r="BD168" s="122" t="s">
        <v>253</v>
      </c>
      <c r="BE168" s="122" t="s">
        <v>263</v>
      </c>
      <c r="BF168" s="122" t="s">
        <v>1430</v>
      </c>
      <c r="BH168" s="122" t="s">
        <v>1420</v>
      </c>
      <c r="BI168" s="142">
        <v>97</v>
      </c>
      <c r="BK168" s="139" t="s">
        <v>558</v>
      </c>
    </row>
    <row r="169" spans="1:65" x14ac:dyDescent="0.25">
      <c r="A169" s="122" t="s">
        <v>6513</v>
      </c>
      <c r="B169" s="122" t="s">
        <v>8395</v>
      </c>
      <c r="C169" s="122" t="s">
        <v>8396</v>
      </c>
      <c r="D169" s="122" t="s">
        <v>8397</v>
      </c>
      <c r="E169" s="123">
        <v>42226</v>
      </c>
      <c r="F169" s="122" t="s">
        <v>8398</v>
      </c>
      <c r="G169" s="122" t="s">
        <v>235</v>
      </c>
      <c r="H169" s="122" t="s">
        <v>8399</v>
      </c>
      <c r="I169" s="122" t="s">
        <v>8400</v>
      </c>
      <c r="K169" s="122" t="s">
        <v>238</v>
      </c>
      <c r="L169" s="122" t="s">
        <v>271</v>
      </c>
      <c r="M169" s="122" t="s">
        <v>1803</v>
      </c>
      <c r="O169" s="141" t="s">
        <v>1921</v>
      </c>
      <c r="P169" s="141" t="s">
        <v>8401</v>
      </c>
      <c r="Q169" s="122" t="s">
        <v>243</v>
      </c>
      <c r="R169" s="142">
        <v>98</v>
      </c>
      <c r="S169" s="122" t="s">
        <v>8402</v>
      </c>
      <c r="U169" s="122" t="s">
        <v>1420</v>
      </c>
      <c r="W169" s="122" t="s">
        <v>246</v>
      </c>
      <c r="X169" s="122" t="s">
        <v>739</v>
      </c>
      <c r="Y169" s="141" t="s">
        <v>356</v>
      </c>
      <c r="Z169" s="122" t="s">
        <v>8403</v>
      </c>
      <c r="AA169" s="141" t="s">
        <v>1679</v>
      </c>
      <c r="AB169" s="122" t="s">
        <v>8404</v>
      </c>
      <c r="AC169" s="141" t="s">
        <v>2735</v>
      </c>
      <c r="AD169" s="122" t="s">
        <v>8404</v>
      </c>
      <c r="AE169" s="122" t="s">
        <v>235</v>
      </c>
      <c r="AF169" s="122" t="s">
        <v>8405</v>
      </c>
      <c r="AG169" s="122" t="s">
        <v>537</v>
      </c>
      <c r="AH169" s="122" t="s">
        <v>253</v>
      </c>
      <c r="AI169" s="122" t="s">
        <v>8406</v>
      </c>
      <c r="AJ169" s="122" t="s">
        <v>8407</v>
      </c>
      <c r="AK169" s="122" t="s">
        <v>253</v>
      </c>
      <c r="AL169" s="122" t="s">
        <v>253</v>
      </c>
      <c r="AM169" s="122" t="s">
        <v>253</v>
      </c>
      <c r="AN169" s="122" t="s">
        <v>253</v>
      </c>
      <c r="AO169" s="141" t="s">
        <v>253</v>
      </c>
      <c r="AP169" s="141" t="s">
        <v>253</v>
      </c>
      <c r="AQ169" s="141" t="s">
        <v>253</v>
      </c>
      <c r="AR169" s="141" t="s">
        <v>247</v>
      </c>
      <c r="AS169" s="141" t="s">
        <v>361</v>
      </c>
      <c r="AT169" s="141" t="s">
        <v>258</v>
      </c>
      <c r="AU169" s="141" t="s">
        <v>601</v>
      </c>
      <c r="AV169" s="122" t="s">
        <v>259</v>
      </c>
      <c r="AW169" s="122" t="s">
        <v>556</v>
      </c>
      <c r="AY169" s="141" t="s">
        <v>253</v>
      </c>
      <c r="AZ169" s="122" t="s">
        <v>8408</v>
      </c>
      <c r="BA169" s="122" t="s">
        <v>262</v>
      </c>
      <c r="BB169" s="122" t="s">
        <v>262</v>
      </c>
      <c r="BC169" s="141" t="s">
        <v>312</v>
      </c>
      <c r="BD169" s="122" t="s">
        <v>253</v>
      </c>
      <c r="BE169" s="122" t="s">
        <v>263</v>
      </c>
      <c r="BF169" s="122" t="s">
        <v>1430</v>
      </c>
      <c r="BH169" s="122" t="s">
        <v>1420</v>
      </c>
      <c r="BI169" s="142">
        <v>98</v>
      </c>
      <c r="BJ169" s="123">
        <v>42238</v>
      </c>
      <c r="BK169" s="139" t="s">
        <v>606</v>
      </c>
      <c r="BM169" s="122">
        <v>34</v>
      </c>
    </row>
    <row r="170" spans="1:65" x14ac:dyDescent="0.25">
      <c r="A170" s="122" t="s">
        <v>6513</v>
      </c>
      <c r="B170" s="122" t="s">
        <v>8409</v>
      </c>
      <c r="C170" s="122" t="s">
        <v>7788</v>
      </c>
      <c r="D170" s="122" t="s">
        <v>7789</v>
      </c>
      <c r="E170" s="123">
        <v>42226</v>
      </c>
      <c r="F170" s="122" t="s">
        <v>1116</v>
      </c>
      <c r="G170" s="122" t="s">
        <v>235</v>
      </c>
      <c r="H170" s="122" t="s">
        <v>7790</v>
      </c>
      <c r="I170" s="122" t="s">
        <v>7791</v>
      </c>
      <c r="J170" s="122" t="s">
        <v>7792</v>
      </c>
      <c r="K170" s="122" t="s">
        <v>238</v>
      </c>
      <c r="L170" s="122" t="s">
        <v>271</v>
      </c>
      <c r="M170" s="122" t="s">
        <v>1593</v>
      </c>
      <c r="O170" s="141" t="s">
        <v>451</v>
      </c>
      <c r="P170" s="141" t="s">
        <v>7793</v>
      </c>
      <c r="Q170" s="122" t="s">
        <v>243</v>
      </c>
      <c r="R170" s="142">
        <v>99</v>
      </c>
      <c r="S170" s="122" t="s">
        <v>7794</v>
      </c>
      <c r="U170" s="122" t="s">
        <v>1420</v>
      </c>
      <c r="W170" s="122" t="s">
        <v>246</v>
      </c>
      <c r="X170" s="122" t="s">
        <v>1121</v>
      </c>
      <c r="Y170" s="141" t="s">
        <v>3037</v>
      </c>
      <c r="Z170" s="122" t="s">
        <v>395</v>
      </c>
      <c r="AA170" s="141" t="s">
        <v>593</v>
      </c>
      <c r="AB170" s="122" t="s">
        <v>7795</v>
      </c>
      <c r="AC170" s="141" t="s">
        <v>1291</v>
      </c>
      <c r="AD170" s="122" t="s">
        <v>355</v>
      </c>
      <c r="AE170" s="122" t="s">
        <v>235</v>
      </c>
      <c r="AF170" s="122" t="s">
        <v>7796</v>
      </c>
      <c r="AG170" s="122" t="s">
        <v>747</v>
      </c>
      <c r="AH170" s="122" t="s">
        <v>253</v>
      </c>
      <c r="AI170" s="122" t="s">
        <v>7797</v>
      </c>
      <c r="AJ170" s="122" t="s">
        <v>7798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247</v>
      </c>
      <c r="AP170" s="141" t="s">
        <v>247</v>
      </c>
      <c r="AQ170" s="141" t="s">
        <v>247</v>
      </c>
      <c r="AR170" s="141" t="s">
        <v>247</v>
      </c>
      <c r="AS170" s="141" t="s">
        <v>601</v>
      </c>
      <c r="AT170" s="141" t="s">
        <v>601</v>
      </c>
      <c r="AU170" s="141" t="s">
        <v>601</v>
      </c>
      <c r="AV170" s="122" t="s">
        <v>259</v>
      </c>
      <c r="AW170" s="122" t="s">
        <v>556</v>
      </c>
      <c r="AX170" s="141" t="s">
        <v>2029</v>
      </c>
      <c r="AY170" s="141" t="s">
        <v>247</v>
      </c>
      <c r="AZ170" s="122" t="s">
        <v>7799</v>
      </c>
      <c r="BA170" s="122" t="s">
        <v>262</v>
      </c>
      <c r="BB170" s="122" t="s">
        <v>262</v>
      </c>
      <c r="BD170" s="122" t="s">
        <v>253</v>
      </c>
      <c r="BE170" s="122" t="s">
        <v>263</v>
      </c>
      <c r="BF170" s="122" t="s">
        <v>1430</v>
      </c>
      <c r="BH170" s="122" t="s">
        <v>1420</v>
      </c>
      <c r="BI170" s="142">
        <v>99</v>
      </c>
      <c r="BK170" s="139" t="s">
        <v>558</v>
      </c>
    </row>
    <row r="171" spans="1:65" x14ac:dyDescent="0.25">
      <c r="A171" s="122" t="s">
        <v>352</v>
      </c>
      <c r="B171" s="122" t="s">
        <v>8410</v>
      </c>
      <c r="C171" s="122" t="s">
        <v>8411</v>
      </c>
      <c r="D171" s="122" t="s">
        <v>8412</v>
      </c>
      <c r="E171" s="123">
        <v>42226</v>
      </c>
      <c r="F171" s="122" t="s">
        <v>8413</v>
      </c>
      <c r="G171" s="122" t="s">
        <v>235</v>
      </c>
      <c r="H171" s="122" t="s">
        <v>8414</v>
      </c>
      <c r="I171" s="122" t="s">
        <v>8415</v>
      </c>
      <c r="J171" s="122" t="s">
        <v>8416</v>
      </c>
      <c r="K171" s="122" t="s">
        <v>472</v>
      </c>
      <c r="L171" s="122" t="s">
        <v>473</v>
      </c>
      <c r="M171" s="122" t="s">
        <v>2272</v>
      </c>
      <c r="Q171" s="122" t="s">
        <v>243</v>
      </c>
      <c r="R171" s="142">
        <v>100</v>
      </c>
      <c r="S171" s="122" t="s">
        <v>8417</v>
      </c>
      <c r="U171" s="122" t="s">
        <v>1420</v>
      </c>
      <c r="W171" s="122" t="s">
        <v>246</v>
      </c>
      <c r="X171" s="122" t="s">
        <v>1121</v>
      </c>
      <c r="Y171" s="141" t="s">
        <v>498</v>
      </c>
      <c r="Z171" s="122" t="s">
        <v>8418</v>
      </c>
      <c r="AA171" s="141" t="s">
        <v>877</v>
      </c>
      <c r="AB171" s="122" t="s">
        <v>8419</v>
      </c>
      <c r="AC171" s="141" t="s">
        <v>765</v>
      </c>
      <c r="AD171" s="122" t="s">
        <v>8419</v>
      </c>
      <c r="AE171" s="122" t="s">
        <v>235</v>
      </c>
      <c r="AF171" s="122" t="s">
        <v>8420</v>
      </c>
      <c r="AG171" s="122" t="s">
        <v>6062</v>
      </c>
      <c r="AH171" s="122" t="s">
        <v>253</v>
      </c>
      <c r="AI171" s="122" t="s">
        <v>8421</v>
      </c>
      <c r="AJ171" s="122" t="s">
        <v>8422</v>
      </c>
      <c r="AK171" s="122" t="s">
        <v>8423</v>
      </c>
      <c r="AL171" s="122" t="s">
        <v>253</v>
      </c>
      <c r="AM171" s="122" t="s">
        <v>253</v>
      </c>
      <c r="AN171" s="122" t="s">
        <v>253</v>
      </c>
      <c r="AO171" s="141" t="s">
        <v>253</v>
      </c>
      <c r="AP171" s="141" t="s">
        <v>253</v>
      </c>
      <c r="AQ171" s="141" t="s">
        <v>253</v>
      </c>
      <c r="AR171" s="141" t="s">
        <v>247</v>
      </c>
      <c r="AS171" s="141" t="s">
        <v>361</v>
      </c>
      <c r="AT171" s="141" t="s">
        <v>258</v>
      </c>
      <c r="AU171" s="141" t="s">
        <v>601</v>
      </c>
      <c r="AV171" s="122" t="s">
        <v>259</v>
      </c>
      <c r="AW171" s="122" t="s">
        <v>556</v>
      </c>
      <c r="AY171" s="141" t="s">
        <v>253</v>
      </c>
      <c r="AZ171" s="122" t="s">
        <v>8424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1430</v>
      </c>
      <c r="BH171" s="122" t="s">
        <v>1420</v>
      </c>
      <c r="BI171" s="142">
        <v>100</v>
      </c>
      <c r="BJ171" s="123">
        <v>42234</v>
      </c>
      <c r="BK171" s="139" t="s">
        <v>606</v>
      </c>
      <c r="BM171" s="122">
        <v>34</v>
      </c>
    </row>
    <row r="172" spans="1:65" x14ac:dyDescent="0.25">
      <c r="A172" s="122" t="s">
        <v>352</v>
      </c>
      <c r="B172" s="122" t="s">
        <v>8425</v>
      </c>
      <c r="C172" s="122" t="s">
        <v>7824</v>
      </c>
      <c r="D172" s="122" t="s">
        <v>7825</v>
      </c>
      <c r="E172" s="123">
        <v>42226</v>
      </c>
      <c r="F172" s="122" t="s">
        <v>2700</v>
      </c>
      <c r="G172" s="122" t="s">
        <v>235</v>
      </c>
      <c r="H172" s="122" t="s">
        <v>7826</v>
      </c>
      <c r="I172" s="122" t="s">
        <v>7827</v>
      </c>
      <c r="K172" s="122" t="s">
        <v>238</v>
      </c>
      <c r="L172" s="122" t="s">
        <v>297</v>
      </c>
      <c r="M172" s="122" t="s">
        <v>2205</v>
      </c>
      <c r="O172" s="141" t="s">
        <v>451</v>
      </c>
      <c r="P172" s="141" t="s">
        <v>7828</v>
      </c>
      <c r="Q172" s="122" t="s">
        <v>243</v>
      </c>
      <c r="R172" s="142">
        <v>101</v>
      </c>
      <c r="S172" s="122" t="s">
        <v>7829</v>
      </c>
      <c r="U172" s="122" t="s">
        <v>1420</v>
      </c>
      <c r="W172" s="122" t="s">
        <v>246</v>
      </c>
      <c r="X172" s="122" t="s">
        <v>853</v>
      </c>
      <c r="Z172" s="122" t="s">
        <v>250</v>
      </c>
      <c r="AB172" s="122" t="s">
        <v>250</v>
      </c>
      <c r="AD172" s="122" t="s">
        <v>250</v>
      </c>
      <c r="AE172" s="122" t="s">
        <v>235</v>
      </c>
      <c r="AF172" s="122" t="s">
        <v>7830</v>
      </c>
      <c r="AG172" s="122" t="s">
        <v>537</v>
      </c>
      <c r="AH172" s="122" t="s">
        <v>253</v>
      </c>
      <c r="AI172" s="122" t="s">
        <v>7831</v>
      </c>
      <c r="AJ172" s="122" t="s">
        <v>7832</v>
      </c>
      <c r="AK172" s="122" t="s">
        <v>7833</v>
      </c>
      <c r="AL172" s="122" t="s">
        <v>253</v>
      </c>
      <c r="AM172" s="122" t="s">
        <v>253</v>
      </c>
      <c r="AN172" s="122" t="s">
        <v>253</v>
      </c>
      <c r="AO172" s="141" t="s">
        <v>253</v>
      </c>
      <c r="AP172" s="141" t="s">
        <v>253</v>
      </c>
      <c r="AQ172" s="141" t="s">
        <v>247</v>
      </c>
      <c r="AR172" s="141" t="s">
        <v>247</v>
      </c>
      <c r="AS172" s="141" t="s">
        <v>361</v>
      </c>
      <c r="AT172" s="141" t="s">
        <v>601</v>
      </c>
      <c r="AU172" s="141" t="s">
        <v>601</v>
      </c>
      <c r="AV172" s="122" t="s">
        <v>259</v>
      </c>
      <c r="AW172" s="122" t="s">
        <v>556</v>
      </c>
      <c r="AY172" s="141" t="s">
        <v>253</v>
      </c>
      <c r="AZ172" s="122" t="s">
        <v>7834</v>
      </c>
      <c r="BA172" s="122" t="s">
        <v>262</v>
      </c>
      <c r="BB172" s="122" t="s">
        <v>262</v>
      </c>
      <c r="BD172" s="122" t="s">
        <v>253</v>
      </c>
      <c r="BE172" s="122" t="s">
        <v>263</v>
      </c>
      <c r="BF172" s="122" t="s">
        <v>1430</v>
      </c>
      <c r="BH172" s="122" t="s">
        <v>1420</v>
      </c>
      <c r="BI172" s="142">
        <v>101</v>
      </c>
      <c r="BK172" s="139" t="s">
        <v>558</v>
      </c>
    </row>
    <row r="173" spans="1:65" x14ac:dyDescent="0.25">
      <c r="A173" s="122" t="s">
        <v>352</v>
      </c>
      <c r="B173" s="122" t="s">
        <v>8426</v>
      </c>
      <c r="C173" s="122" t="s">
        <v>7861</v>
      </c>
      <c r="D173" s="122" t="s">
        <v>7862</v>
      </c>
      <c r="E173" s="123">
        <v>42226</v>
      </c>
      <c r="F173" s="122" t="s">
        <v>7863</v>
      </c>
      <c r="G173" s="122" t="s">
        <v>235</v>
      </c>
      <c r="H173" s="122" t="s">
        <v>7864</v>
      </c>
      <c r="I173" s="122" t="s">
        <v>7865</v>
      </c>
      <c r="K173" s="122" t="s">
        <v>238</v>
      </c>
      <c r="L173" s="122" t="s">
        <v>271</v>
      </c>
      <c r="M173" s="122" t="s">
        <v>2069</v>
      </c>
      <c r="N173" s="122" t="s">
        <v>7866</v>
      </c>
      <c r="O173" s="141" t="s">
        <v>451</v>
      </c>
      <c r="P173" s="141" t="s">
        <v>7867</v>
      </c>
      <c r="Q173" s="122" t="s">
        <v>243</v>
      </c>
      <c r="R173" s="142">
        <v>102</v>
      </c>
      <c r="S173" s="122" t="s">
        <v>7868</v>
      </c>
      <c r="U173" s="122" t="s">
        <v>1420</v>
      </c>
      <c r="W173" s="122" t="s">
        <v>246</v>
      </c>
      <c r="X173" s="122" t="s">
        <v>1324</v>
      </c>
      <c r="Y173" s="141" t="s">
        <v>1256</v>
      </c>
      <c r="Z173" s="122" t="s">
        <v>7869</v>
      </c>
      <c r="AA173" s="141" t="s">
        <v>973</v>
      </c>
      <c r="AB173" s="122" t="s">
        <v>3489</v>
      </c>
      <c r="AC173" s="141" t="s">
        <v>248</v>
      </c>
      <c r="AD173" s="122" t="s">
        <v>7870</v>
      </c>
      <c r="AE173" s="122" t="s">
        <v>235</v>
      </c>
      <c r="AF173" s="122" t="s">
        <v>7871</v>
      </c>
      <c r="AG173" s="122" t="s">
        <v>2580</v>
      </c>
      <c r="AH173" s="122" t="s">
        <v>253</v>
      </c>
      <c r="AI173" s="122" t="s">
        <v>7872</v>
      </c>
      <c r="AJ173" s="122" t="s">
        <v>7873</v>
      </c>
      <c r="AK173" s="122" t="s">
        <v>253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247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556</v>
      </c>
      <c r="AX173" s="141" t="s">
        <v>3027</v>
      </c>
      <c r="AY173" s="141" t="s">
        <v>603</v>
      </c>
      <c r="AZ173" s="122" t="s">
        <v>7874</v>
      </c>
      <c r="BA173" s="122" t="s">
        <v>7875</v>
      </c>
      <c r="BB173" s="122" t="s">
        <v>7875</v>
      </c>
      <c r="BD173" s="122" t="s">
        <v>253</v>
      </c>
      <c r="BE173" s="122" t="s">
        <v>263</v>
      </c>
      <c r="BF173" s="122" t="s">
        <v>1430</v>
      </c>
      <c r="BH173" s="122" t="s">
        <v>1420</v>
      </c>
      <c r="BI173" s="142">
        <v>102</v>
      </c>
      <c r="BK173" s="139" t="s">
        <v>558</v>
      </c>
    </row>
    <row r="174" spans="1:65" x14ac:dyDescent="0.25">
      <c r="A174" s="122" t="s">
        <v>352</v>
      </c>
      <c r="B174" s="122" t="s">
        <v>8427</v>
      </c>
      <c r="C174" s="122" t="s">
        <v>7889</v>
      </c>
      <c r="D174" s="122" t="s">
        <v>7890</v>
      </c>
      <c r="E174" s="123">
        <v>42226</v>
      </c>
      <c r="F174" s="122" t="s">
        <v>248</v>
      </c>
      <c r="G174" s="122" t="s">
        <v>235</v>
      </c>
      <c r="H174" s="122" t="s">
        <v>7891</v>
      </c>
      <c r="I174" s="122" t="s">
        <v>7892</v>
      </c>
      <c r="K174" s="122" t="s">
        <v>238</v>
      </c>
      <c r="L174" s="122" t="s">
        <v>297</v>
      </c>
      <c r="M174" s="122" t="s">
        <v>2021</v>
      </c>
      <c r="O174" s="141" t="s">
        <v>566</v>
      </c>
      <c r="P174" s="141" t="s">
        <v>7893</v>
      </c>
      <c r="Q174" s="122" t="s">
        <v>243</v>
      </c>
      <c r="R174" s="142">
        <v>103</v>
      </c>
      <c r="S174" s="122" t="s">
        <v>7894</v>
      </c>
      <c r="T174" s="122" t="s">
        <v>7895</v>
      </c>
      <c r="U174" s="122" t="s">
        <v>1420</v>
      </c>
      <c r="W174" s="122" t="s">
        <v>246</v>
      </c>
      <c r="X174" s="122" t="s">
        <v>590</v>
      </c>
      <c r="Z174" s="122" t="s">
        <v>250</v>
      </c>
      <c r="AB174" s="122" t="s">
        <v>250</v>
      </c>
      <c r="AD174" s="122" t="s">
        <v>250</v>
      </c>
      <c r="AE174" s="122" t="s">
        <v>235</v>
      </c>
      <c r="AF174" s="122" t="s">
        <v>7896</v>
      </c>
      <c r="AG174" s="122" t="s">
        <v>537</v>
      </c>
      <c r="AH174" s="122" t="s">
        <v>253</v>
      </c>
      <c r="AI174" s="122" t="s">
        <v>7897</v>
      </c>
      <c r="AJ174" s="122" t="s">
        <v>7898</v>
      </c>
      <c r="AK174" s="122" t="s">
        <v>253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247</v>
      </c>
      <c r="AS174" s="141" t="s">
        <v>601</v>
      </c>
      <c r="AT174" s="141" t="s">
        <v>601</v>
      </c>
      <c r="AU174" s="141" t="s">
        <v>601</v>
      </c>
      <c r="AV174" s="122" t="s">
        <v>259</v>
      </c>
      <c r="AW174" s="122" t="s">
        <v>556</v>
      </c>
      <c r="AY174" s="141" t="s">
        <v>253</v>
      </c>
      <c r="AZ174" s="122" t="s">
        <v>7899</v>
      </c>
      <c r="BA174" s="122" t="s">
        <v>262</v>
      </c>
      <c r="BB174" s="122" t="s">
        <v>262</v>
      </c>
      <c r="BD174" s="122" t="s">
        <v>253</v>
      </c>
      <c r="BE174" s="122" t="s">
        <v>263</v>
      </c>
      <c r="BF174" s="122" t="s">
        <v>1430</v>
      </c>
      <c r="BH174" s="122" t="s">
        <v>1420</v>
      </c>
      <c r="BI174" s="142">
        <v>103</v>
      </c>
      <c r="BK174" s="139" t="s">
        <v>558</v>
      </c>
    </row>
    <row r="175" spans="1:65" x14ac:dyDescent="0.25">
      <c r="A175" s="122" t="s">
        <v>352</v>
      </c>
      <c r="B175" s="122" t="s">
        <v>8428</v>
      </c>
      <c r="C175" s="122" t="s">
        <v>7901</v>
      </c>
      <c r="D175" s="122" t="s">
        <v>7902</v>
      </c>
      <c r="E175" s="123">
        <v>42226</v>
      </c>
      <c r="F175" s="122" t="s">
        <v>7903</v>
      </c>
      <c r="G175" s="122" t="s">
        <v>235</v>
      </c>
      <c r="H175" s="122" t="s">
        <v>7904</v>
      </c>
      <c r="I175" s="122" t="s">
        <v>7905</v>
      </c>
      <c r="J175" s="122" t="s">
        <v>7906</v>
      </c>
      <c r="K175" s="122" t="s">
        <v>238</v>
      </c>
      <c r="L175" s="122" t="s">
        <v>271</v>
      </c>
      <c r="M175" s="122" t="s">
        <v>2589</v>
      </c>
      <c r="O175" s="141" t="s">
        <v>5598</v>
      </c>
      <c r="P175" s="141" t="s">
        <v>7907</v>
      </c>
      <c r="Q175" s="122" t="s">
        <v>243</v>
      </c>
      <c r="R175" s="142">
        <v>104</v>
      </c>
      <c r="S175" s="122" t="s">
        <v>7908</v>
      </c>
      <c r="U175" s="122" t="s">
        <v>1420</v>
      </c>
      <c r="W175" s="122" t="s">
        <v>246</v>
      </c>
      <c r="X175" s="122" t="s">
        <v>3147</v>
      </c>
      <c r="Y175" s="141" t="s">
        <v>478</v>
      </c>
      <c r="Z175" s="122" t="s">
        <v>7909</v>
      </c>
      <c r="AA175" s="141" t="s">
        <v>234</v>
      </c>
      <c r="AB175" s="122" t="s">
        <v>7910</v>
      </c>
      <c r="AC175" s="141" t="s">
        <v>283</v>
      </c>
      <c r="AD175" s="122" t="s">
        <v>7911</v>
      </c>
      <c r="AE175" s="122" t="s">
        <v>235</v>
      </c>
      <c r="AF175" s="122" t="s">
        <v>7912</v>
      </c>
      <c r="AG175" s="122" t="s">
        <v>537</v>
      </c>
      <c r="AH175" s="122" t="s">
        <v>253</v>
      </c>
      <c r="AI175" s="122" t="s">
        <v>7913</v>
      </c>
      <c r="AJ175" s="122" t="s">
        <v>7914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253</v>
      </c>
      <c r="AQ175" s="141" t="s">
        <v>247</v>
      </c>
      <c r="AR175" s="141" t="s">
        <v>247</v>
      </c>
      <c r="AS175" s="141" t="s">
        <v>601</v>
      </c>
      <c r="AT175" s="141" t="s">
        <v>601</v>
      </c>
      <c r="AU175" s="141" t="s">
        <v>601</v>
      </c>
      <c r="AV175" s="122" t="s">
        <v>259</v>
      </c>
      <c r="AW175" s="122" t="s">
        <v>556</v>
      </c>
      <c r="AX175" s="141" t="s">
        <v>7915</v>
      </c>
      <c r="AY175" s="141" t="s">
        <v>247</v>
      </c>
      <c r="AZ175" s="122" t="s">
        <v>7916</v>
      </c>
      <c r="BA175" s="122" t="s">
        <v>262</v>
      </c>
      <c r="BB175" s="122" t="s">
        <v>7917</v>
      </c>
      <c r="BD175" s="122" t="s">
        <v>253</v>
      </c>
      <c r="BE175" s="122" t="s">
        <v>263</v>
      </c>
      <c r="BF175" s="122" t="s">
        <v>1430</v>
      </c>
      <c r="BH175" s="122" t="s">
        <v>1420</v>
      </c>
      <c r="BI175" s="142">
        <v>104</v>
      </c>
      <c r="BK175" s="139" t="s">
        <v>558</v>
      </c>
    </row>
    <row r="176" spans="1:65" x14ac:dyDescent="0.25">
      <c r="A176" s="122" t="s">
        <v>352</v>
      </c>
      <c r="B176" s="122" t="s">
        <v>8429</v>
      </c>
      <c r="C176" s="122" t="s">
        <v>7919</v>
      </c>
      <c r="D176" s="122" t="s">
        <v>7920</v>
      </c>
      <c r="E176" s="123">
        <v>42226</v>
      </c>
      <c r="F176" s="122" t="s">
        <v>7921</v>
      </c>
      <c r="G176" s="122" t="s">
        <v>235</v>
      </c>
      <c r="H176" s="122" t="s">
        <v>7922</v>
      </c>
      <c r="I176" s="122" t="s">
        <v>7923</v>
      </c>
      <c r="K176" s="122" t="s">
        <v>238</v>
      </c>
      <c r="L176" s="122" t="s">
        <v>429</v>
      </c>
      <c r="M176" s="122" t="s">
        <v>1525</v>
      </c>
      <c r="O176" s="141" t="s">
        <v>451</v>
      </c>
      <c r="P176" s="141" t="s">
        <v>7924</v>
      </c>
      <c r="Q176" s="122" t="s">
        <v>243</v>
      </c>
      <c r="R176" s="142">
        <v>105</v>
      </c>
      <c r="S176" s="122" t="s">
        <v>7925</v>
      </c>
      <c r="U176" s="122" t="s">
        <v>1420</v>
      </c>
      <c r="W176" s="122" t="s">
        <v>246</v>
      </c>
      <c r="X176" s="122" t="s">
        <v>3147</v>
      </c>
      <c r="Y176" s="141" t="s">
        <v>3039</v>
      </c>
      <c r="Z176" s="122" t="s">
        <v>4541</v>
      </c>
      <c r="AA176" s="141" t="s">
        <v>1125</v>
      </c>
      <c r="AB176" s="122" t="s">
        <v>1792</v>
      </c>
      <c r="AC176" s="141" t="s">
        <v>722</v>
      </c>
      <c r="AD176" s="122" t="s">
        <v>7926</v>
      </c>
      <c r="AE176" s="122" t="s">
        <v>235</v>
      </c>
      <c r="AF176" s="122" t="s">
        <v>7927</v>
      </c>
      <c r="AG176" s="122" t="s">
        <v>537</v>
      </c>
      <c r="AH176" s="122" t="s">
        <v>253</v>
      </c>
      <c r="AI176" s="122" t="s">
        <v>7928</v>
      </c>
      <c r="AJ176" s="122" t="s">
        <v>7929</v>
      </c>
      <c r="AK176" s="122" t="s">
        <v>253</v>
      </c>
      <c r="AL176" s="122" t="s">
        <v>253</v>
      </c>
      <c r="AM176" s="122" t="s">
        <v>253</v>
      </c>
      <c r="AN176" s="122" t="s">
        <v>253</v>
      </c>
      <c r="AO176" s="141" t="s">
        <v>253</v>
      </c>
      <c r="AP176" s="141" t="s">
        <v>253</v>
      </c>
      <c r="AQ176" s="141" t="s">
        <v>247</v>
      </c>
      <c r="AR176" s="141" t="s">
        <v>247</v>
      </c>
      <c r="AS176" s="141" t="s">
        <v>361</v>
      </c>
      <c r="AT176" s="141" t="s">
        <v>601</v>
      </c>
      <c r="AU176" s="141" t="s">
        <v>601</v>
      </c>
      <c r="AV176" s="122" t="s">
        <v>259</v>
      </c>
      <c r="AW176" s="122" t="s">
        <v>556</v>
      </c>
      <c r="AY176" s="141" t="s">
        <v>253</v>
      </c>
      <c r="AZ176" s="122" t="s">
        <v>7930</v>
      </c>
      <c r="BA176" s="122" t="s">
        <v>262</v>
      </c>
      <c r="BB176" s="122" t="s">
        <v>262</v>
      </c>
      <c r="BD176" s="122" t="s">
        <v>253</v>
      </c>
      <c r="BE176" s="122" t="s">
        <v>263</v>
      </c>
      <c r="BF176" s="122" t="s">
        <v>1430</v>
      </c>
      <c r="BH176" s="122" t="s">
        <v>1420</v>
      </c>
      <c r="BI176" s="142">
        <v>105</v>
      </c>
      <c r="BK176" s="139" t="s">
        <v>558</v>
      </c>
    </row>
    <row r="177" spans="1:65" x14ac:dyDescent="0.25">
      <c r="A177" s="122" t="s">
        <v>352</v>
      </c>
      <c r="B177" s="122" t="s">
        <v>8430</v>
      </c>
      <c r="C177" s="122" t="s">
        <v>7932</v>
      </c>
      <c r="D177" s="122" t="s">
        <v>7933</v>
      </c>
      <c r="E177" s="123">
        <v>42226</v>
      </c>
      <c r="F177" s="122" t="s">
        <v>7262</v>
      </c>
      <c r="G177" s="122" t="s">
        <v>235</v>
      </c>
      <c r="H177" s="122" t="s">
        <v>7934</v>
      </c>
      <c r="I177" s="122" t="s">
        <v>7935</v>
      </c>
      <c r="K177" s="122" t="s">
        <v>238</v>
      </c>
      <c r="L177" s="122" t="s">
        <v>429</v>
      </c>
      <c r="M177" s="122" t="s">
        <v>1466</v>
      </c>
      <c r="O177" s="141" t="s">
        <v>548</v>
      </c>
      <c r="P177" s="141" t="s">
        <v>7936</v>
      </c>
      <c r="Q177" s="122" t="s">
        <v>243</v>
      </c>
      <c r="R177" s="142">
        <v>106</v>
      </c>
      <c r="S177" s="122" t="s">
        <v>7937</v>
      </c>
      <c r="T177" s="122" t="s">
        <v>7937</v>
      </c>
      <c r="U177" s="122" t="s">
        <v>1420</v>
      </c>
      <c r="W177" s="122" t="s">
        <v>246</v>
      </c>
      <c r="X177" s="122" t="s">
        <v>2624</v>
      </c>
      <c r="Y177" s="141" t="s">
        <v>591</v>
      </c>
      <c r="Z177" s="122" t="s">
        <v>7938</v>
      </c>
      <c r="AA177" s="141" t="s">
        <v>1926</v>
      </c>
      <c r="AB177" s="122" t="s">
        <v>7939</v>
      </c>
      <c r="AC177" s="141" t="s">
        <v>1023</v>
      </c>
      <c r="AD177" s="122" t="s">
        <v>434</v>
      </c>
      <c r="AE177" s="122" t="s">
        <v>235</v>
      </c>
      <c r="AF177" s="122" t="s">
        <v>7940</v>
      </c>
      <c r="AG177" s="122" t="s">
        <v>7941</v>
      </c>
      <c r="AH177" s="122" t="s">
        <v>253</v>
      </c>
      <c r="AI177" s="122" t="s">
        <v>7942</v>
      </c>
      <c r="AJ177" s="122" t="s">
        <v>7943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247</v>
      </c>
      <c r="AP177" s="141" t="s">
        <v>247</v>
      </c>
      <c r="AQ177" s="141" t="s">
        <v>247</v>
      </c>
      <c r="AR177" s="141" t="s">
        <v>247</v>
      </c>
      <c r="AS177" s="141" t="s">
        <v>601</v>
      </c>
      <c r="AT177" s="141" t="s">
        <v>601</v>
      </c>
      <c r="AU177" s="141" t="s">
        <v>601</v>
      </c>
      <c r="AV177" s="122" t="s">
        <v>259</v>
      </c>
      <c r="AW177" s="122" t="s">
        <v>556</v>
      </c>
      <c r="AY177" s="141" t="s">
        <v>253</v>
      </c>
      <c r="AZ177" s="122" t="s">
        <v>7944</v>
      </c>
      <c r="BA177" s="122" t="s">
        <v>262</v>
      </c>
      <c r="BB177" s="122" t="s">
        <v>262</v>
      </c>
      <c r="BD177" s="122" t="s">
        <v>253</v>
      </c>
      <c r="BE177" s="122" t="s">
        <v>263</v>
      </c>
      <c r="BF177" s="122" t="s">
        <v>1430</v>
      </c>
      <c r="BH177" s="122" t="s">
        <v>1420</v>
      </c>
      <c r="BI177" s="142">
        <v>106</v>
      </c>
      <c r="BK177" s="139" t="s">
        <v>558</v>
      </c>
    </row>
    <row r="178" spans="1:65" x14ac:dyDescent="0.25">
      <c r="A178" s="122" t="s">
        <v>352</v>
      </c>
      <c r="B178" s="122" t="s">
        <v>8431</v>
      </c>
      <c r="C178" s="122" t="s">
        <v>7969</v>
      </c>
      <c r="D178" s="122" t="s">
        <v>7970</v>
      </c>
      <c r="E178" s="123">
        <v>42226</v>
      </c>
      <c r="F178" s="122" t="s">
        <v>733</v>
      </c>
      <c r="G178" s="122" t="s">
        <v>235</v>
      </c>
      <c r="H178" s="122" t="s">
        <v>7971</v>
      </c>
      <c r="I178" s="122" t="s">
        <v>7972</v>
      </c>
      <c r="K178" s="122" t="s">
        <v>238</v>
      </c>
      <c r="L178" s="122" t="s">
        <v>271</v>
      </c>
      <c r="M178" s="122" t="s">
        <v>2441</v>
      </c>
      <c r="O178" s="141" t="s">
        <v>613</v>
      </c>
      <c r="P178" s="141" t="s">
        <v>7973</v>
      </c>
      <c r="Q178" s="122" t="s">
        <v>243</v>
      </c>
      <c r="R178" s="142">
        <v>107</v>
      </c>
      <c r="S178" s="122" t="s">
        <v>7974</v>
      </c>
      <c r="U178" s="122" t="s">
        <v>1420</v>
      </c>
      <c r="W178" s="122" t="s">
        <v>246</v>
      </c>
      <c r="X178" s="122" t="s">
        <v>603</v>
      </c>
      <c r="Y178" s="141" t="s">
        <v>973</v>
      </c>
      <c r="Z178" s="122" t="s">
        <v>7975</v>
      </c>
      <c r="AA178" s="141" t="s">
        <v>248</v>
      </c>
      <c r="AB178" s="122" t="s">
        <v>975</v>
      </c>
      <c r="AC178" s="141" t="s">
        <v>877</v>
      </c>
      <c r="AD178" s="122" t="s">
        <v>7976</v>
      </c>
      <c r="AE178" s="122" t="s">
        <v>235</v>
      </c>
      <c r="AF178" s="122" t="s">
        <v>7977</v>
      </c>
      <c r="AG178" s="122" t="s">
        <v>253</v>
      </c>
      <c r="AH178" s="122" t="s">
        <v>253</v>
      </c>
      <c r="AI178" s="122" t="s">
        <v>7978</v>
      </c>
      <c r="AJ178" s="122" t="s">
        <v>7979</v>
      </c>
      <c r="AK178" s="122" t="s">
        <v>253</v>
      </c>
      <c r="AL178" s="122" t="s">
        <v>7980</v>
      </c>
      <c r="AM178" s="122" t="s">
        <v>253</v>
      </c>
      <c r="AN178" s="122" t="s">
        <v>253</v>
      </c>
      <c r="AO178" s="141" t="s">
        <v>247</v>
      </c>
      <c r="AP178" s="141" t="s">
        <v>247</v>
      </c>
      <c r="AQ178" s="141" t="s">
        <v>247</v>
      </c>
      <c r="AR178" s="141" t="s">
        <v>247</v>
      </c>
      <c r="AS178" s="141" t="s">
        <v>601</v>
      </c>
      <c r="AT178" s="141" t="s">
        <v>601</v>
      </c>
      <c r="AU178" s="141" t="s">
        <v>601</v>
      </c>
      <c r="AV178" s="122" t="s">
        <v>259</v>
      </c>
      <c r="AW178" s="122" t="s">
        <v>556</v>
      </c>
      <c r="AX178" s="141" t="s">
        <v>3027</v>
      </c>
      <c r="AY178" s="141" t="s">
        <v>325</v>
      </c>
      <c r="AZ178" s="122" t="s">
        <v>7981</v>
      </c>
      <c r="BA178" s="122" t="s">
        <v>262</v>
      </c>
      <c r="BB178" s="122" t="s">
        <v>3956</v>
      </c>
      <c r="BC178" s="141" t="s">
        <v>312</v>
      </c>
      <c r="BD178" s="122" t="s">
        <v>253</v>
      </c>
      <c r="BE178" s="122" t="s">
        <v>263</v>
      </c>
      <c r="BF178" s="122" t="s">
        <v>1430</v>
      </c>
      <c r="BH178" s="122" t="s">
        <v>1420</v>
      </c>
      <c r="BI178" s="142">
        <v>107</v>
      </c>
      <c r="BK178" s="139" t="s">
        <v>558</v>
      </c>
    </row>
    <row r="179" spans="1:65" x14ac:dyDescent="0.25">
      <c r="A179" s="122" t="s">
        <v>3037</v>
      </c>
      <c r="B179" s="122" t="s">
        <v>8432</v>
      </c>
      <c r="C179" s="122" t="s">
        <v>8433</v>
      </c>
      <c r="D179" s="122" t="s">
        <v>8434</v>
      </c>
      <c r="E179" s="123">
        <v>42226</v>
      </c>
      <c r="F179" s="122" t="s">
        <v>570</v>
      </c>
      <c r="G179" s="122" t="s">
        <v>235</v>
      </c>
      <c r="H179" s="122" t="s">
        <v>8435</v>
      </c>
      <c r="I179" s="122" t="s">
        <v>8436</v>
      </c>
      <c r="K179" s="122" t="s">
        <v>238</v>
      </c>
      <c r="L179" s="122" t="s">
        <v>346</v>
      </c>
      <c r="M179" s="122" t="s">
        <v>450</v>
      </c>
      <c r="O179" s="141" t="s">
        <v>566</v>
      </c>
      <c r="P179" s="141" t="s">
        <v>8437</v>
      </c>
      <c r="Q179" s="122" t="s">
        <v>243</v>
      </c>
      <c r="R179" s="142">
        <v>2</v>
      </c>
      <c r="S179" s="122" t="s">
        <v>8438</v>
      </c>
      <c r="T179" s="122" t="s">
        <v>8439</v>
      </c>
      <c r="U179" s="122" t="s">
        <v>2802</v>
      </c>
      <c r="W179" s="122" t="s">
        <v>246</v>
      </c>
      <c r="X179" s="122" t="s">
        <v>721</v>
      </c>
      <c r="Z179" s="122" t="s">
        <v>250</v>
      </c>
      <c r="AB179" s="122" t="s">
        <v>250</v>
      </c>
      <c r="AD179" s="122" t="s">
        <v>250</v>
      </c>
      <c r="AE179" s="122" t="s">
        <v>235</v>
      </c>
      <c r="AF179" s="122" t="s">
        <v>8440</v>
      </c>
      <c r="AG179" s="122" t="s">
        <v>253</v>
      </c>
      <c r="AH179" s="122" t="s">
        <v>5913</v>
      </c>
      <c r="AI179" s="122" t="s">
        <v>8441</v>
      </c>
      <c r="AJ179" s="122" t="s">
        <v>2074</v>
      </c>
      <c r="AK179" s="122" t="s">
        <v>8442</v>
      </c>
      <c r="AL179" s="122" t="s">
        <v>253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253</v>
      </c>
      <c r="AR179" s="141" t="s">
        <v>253</v>
      </c>
      <c r="AS179" s="141" t="s">
        <v>601</v>
      </c>
      <c r="AT179" s="141" t="s">
        <v>258</v>
      </c>
      <c r="AU179" s="141" t="s">
        <v>258</v>
      </c>
      <c r="AV179" s="122" t="s">
        <v>259</v>
      </c>
      <c r="AW179" s="122" t="s">
        <v>260</v>
      </c>
      <c r="AY179" s="141" t="s">
        <v>253</v>
      </c>
      <c r="AZ179" s="122" t="s">
        <v>8443</v>
      </c>
      <c r="BA179" s="122" t="s">
        <v>262</v>
      </c>
      <c r="BB179" s="122" t="s">
        <v>262</v>
      </c>
      <c r="BD179" s="122" t="s">
        <v>253</v>
      </c>
      <c r="BE179" s="122" t="s">
        <v>263</v>
      </c>
      <c r="BF179" s="122" t="s">
        <v>2811</v>
      </c>
      <c r="BH179" s="122" t="s">
        <v>2802</v>
      </c>
      <c r="BI179" s="142">
        <v>2</v>
      </c>
    </row>
    <row r="180" spans="1:65" x14ac:dyDescent="0.25">
      <c r="A180" s="122" t="s">
        <v>3037</v>
      </c>
      <c r="B180" s="122" t="s">
        <v>8444</v>
      </c>
      <c r="C180" s="122" t="s">
        <v>8445</v>
      </c>
      <c r="D180" s="122" t="s">
        <v>8446</v>
      </c>
      <c r="E180" s="123">
        <v>42226</v>
      </c>
      <c r="F180" s="122" t="s">
        <v>722</v>
      </c>
      <c r="G180" s="122" t="s">
        <v>235</v>
      </c>
      <c r="H180" s="122" t="s">
        <v>8447</v>
      </c>
      <c r="I180" s="122" t="s">
        <v>8448</v>
      </c>
      <c r="K180" s="122" t="s">
        <v>238</v>
      </c>
      <c r="L180" s="122" t="s">
        <v>346</v>
      </c>
      <c r="M180" s="122" t="s">
        <v>2749</v>
      </c>
      <c r="O180" s="141" t="s">
        <v>451</v>
      </c>
      <c r="P180" s="141" t="s">
        <v>8449</v>
      </c>
      <c r="Q180" s="122" t="s">
        <v>243</v>
      </c>
      <c r="R180" s="142">
        <v>3</v>
      </c>
      <c r="S180" s="122" t="s">
        <v>8450</v>
      </c>
      <c r="U180" s="122" t="s">
        <v>2802</v>
      </c>
      <c r="W180" s="122" t="s">
        <v>246</v>
      </c>
      <c r="X180" s="122" t="s">
        <v>590</v>
      </c>
      <c r="Y180" s="141" t="s">
        <v>2257</v>
      </c>
      <c r="Z180" s="122" t="s">
        <v>8451</v>
      </c>
      <c r="AA180" s="141" t="s">
        <v>591</v>
      </c>
      <c r="AB180" s="122" t="s">
        <v>8451</v>
      </c>
      <c r="AD180" s="122" t="s">
        <v>250</v>
      </c>
      <c r="AE180" s="122" t="s">
        <v>235</v>
      </c>
      <c r="AF180" s="122" t="s">
        <v>8452</v>
      </c>
      <c r="AG180" s="122" t="s">
        <v>8453</v>
      </c>
      <c r="AH180" s="122" t="s">
        <v>253</v>
      </c>
      <c r="AI180" s="122" t="s">
        <v>8454</v>
      </c>
      <c r="AJ180" s="122" t="s">
        <v>7857</v>
      </c>
      <c r="AK180" s="122" t="s">
        <v>8455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247</v>
      </c>
      <c r="AS180" s="141" t="s">
        <v>601</v>
      </c>
      <c r="AT180" s="141" t="s">
        <v>601</v>
      </c>
      <c r="AU180" s="141" t="s">
        <v>601</v>
      </c>
      <c r="AV180" s="122" t="s">
        <v>259</v>
      </c>
      <c r="AW180" s="122" t="s">
        <v>260</v>
      </c>
      <c r="AX180" s="141" t="s">
        <v>1046</v>
      </c>
      <c r="AY180" s="141" t="s">
        <v>603</v>
      </c>
      <c r="AZ180" s="122" t="s">
        <v>8456</v>
      </c>
      <c r="BA180" s="122" t="s">
        <v>262</v>
      </c>
      <c r="BB180" s="122" t="s">
        <v>8456</v>
      </c>
      <c r="BD180" s="122" t="s">
        <v>253</v>
      </c>
      <c r="BE180" s="122" t="s">
        <v>263</v>
      </c>
      <c r="BF180" s="122" t="s">
        <v>2811</v>
      </c>
      <c r="BH180" s="122" t="s">
        <v>2802</v>
      </c>
      <c r="BI180" s="142">
        <v>3</v>
      </c>
      <c r="BJ180" s="123">
        <v>42239</v>
      </c>
      <c r="BK180" s="139" t="s">
        <v>606</v>
      </c>
      <c r="BM180" s="122">
        <v>34</v>
      </c>
    </row>
    <row r="181" spans="1:65" x14ac:dyDescent="0.25">
      <c r="A181" s="122" t="s">
        <v>3037</v>
      </c>
      <c r="B181" s="122" t="s">
        <v>8457</v>
      </c>
      <c r="C181" s="122" t="s">
        <v>8458</v>
      </c>
      <c r="D181" s="122" t="s">
        <v>8459</v>
      </c>
      <c r="E181" s="123">
        <v>42226</v>
      </c>
      <c r="F181" s="122" t="s">
        <v>1269</v>
      </c>
      <c r="G181" s="122" t="s">
        <v>235</v>
      </c>
      <c r="H181" s="122" t="s">
        <v>8460</v>
      </c>
      <c r="I181" s="122" t="s">
        <v>8461</v>
      </c>
      <c r="K181" s="122" t="s">
        <v>238</v>
      </c>
      <c r="L181" s="122" t="s">
        <v>346</v>
      </c>
      <c r="M181" s="122" t="s">
        <v>347</v>
      </c>
      <c r="O181" s="141" t="s">
        <v>873</v>
      </c>
      <c r="P181" s="141" t="s">
        <v>8462</v>
      </c>
      <c r="Q181" s="122" t="s">
        <v>243</v>
      </c>
      <c r="R181" s="142">
        <v>4</v>
      </c>
      <c r="S181" s="122" t="s">
        <v>8463</v>
      </c>
      <c r="U181" s="122" t="s">
        <v>2802</v>
      </c>
      <c r="W181" s="122" t="s">
        <v>246</v>
      </c>
      <c r="X181" s="122" t="s">
        <v>631</v>
      </c>
      <c r="Y181" s="141" t="s">
        <v>354</v>
      </c>
      <c r="Z181" s="122" t="s">
        <v>8464</v>
      </c>
      <c r="AA181" s="141" t="s">
        <v>356</v>
      </c>
      <c r="AB181" s="122" t="s">
        <v>395</v>
      </c>
      <c r="AC181" s="141" t="s">
        <v>670</v>
      </c>
      <c r="AD181" s="122" t="s">
        <v>355</v>
      </c>
      <c r="AE181" s="122" t="s">
        <v>235</v>
      </c>
      <c r="AF181" s="122" t="s">
        <v>8465</v>
      </c>
      <c r="AG181" s="122" t="s">
        <v>253</v>
      </c>
      <c r="AH181" s="122" t="s">
        <v>253</v>
      </c>
      <c r="AI181" s="122" t="s">
        <v>8466</v>
      </c>
      <c r="AJ181" s="122" t="s">
        <v>8467</v>
      </c>
      <c r="AK181" s="122" t="s">
        <v>8468</v>
      </c>
      <c r="AL181" s="122" t="s">
        <v>253</v>
      </c>
      <c r="AM181" s="122" t="s">
        <v>253</v>
      </c>
      <c r="AN181" s="122" t="s">
        <v>253</v>
      </c>
      <c r="AO181" s="141" t="s">
        <v>247</v>
      </c>
      <c r="AP181" s="141" t="s">
        <v>247</v>
      </c>
      <c r="AQ181" s="141" t="s">
        <v>247</v>
      </c>
      <c r="AR181" s="141" t="s">
        <v>253</v>
      </c>
      <c r="AS181" s="141" t="s">
        <v>601</v>
      </c>
      <c r="AT181" s="141" t="s">
        <v>601</v>
      </c>
      <c r="AU181" s="141" t="s">
        <v>258</v>
      </c>
      <c r="AV181" s="122" t="s">
        <v>259</v>
      </c>
      <c r="AW181" s="122" t="s">
        <v>260</v>
      </c>
      <c r="AY181" s="141" t="s">
        <v>253</v>
      </c>
      <c r="AZ181" s="122" t="s">
        <v>8469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2811</v>
      </c>
      <c r="BH181" s="122" t="s">
        <v>2802</v>
      </c>
      <c r="BI181" s="142">
        <v>4</v>
      </c>
    </row>
    <row r="182" spans="1:65" x14ac:dyDescent="0.25">
      <c r="A182" s="122" t="s">
        <v>3037</v>
      </c>
      <c r="B182" s="122" t="s">
        <v>8470</v>
      </c>
      <c r="C182" s="122" t="s">
        <v>8471</v>
      </c>
      <c r="D182" s="122" t="s">
        <v>8472</v>
      </c>
      <c r="E182" s="123">
        <v>42226</v>
      </c>
      <c r="F182" s="122" t="s">
        <v>2235</v>
      </c>
      <c r="G182" s="122" t="s">
        <v>235</v>
      </c>
      <c r="H182" s="122" t="s">
        <v>8473</v>
      </c>
      <c r="I182" s="122" t="s">
        <v>8474</v>
      </c>
      <c r="K182" s="122" t="s">
        <v>238</v>
      </c>
      <c r="L182" s="122" t="s">
        <v>346</v>
      </c>
      <c r="M182" s="122" t="s">
        <v>2847</v>
      </c>
      <c r="O182" s="141" t="s">
        <v>548</v>
      </c>
      <c r="P182" s="141" t="s">
        <v>8475</v>
      </c>
      <c r="Q182" s="122" t="s">
        <v>243</v>
      </c>
      <c r="R182" s="142">
        <v>5</v>
      </c>
      <c r="S182" s="122" t="s">
        <v>8476</v>
      </c>
      <c r="U182" s="122" t="s">
        <v>2802</v>
      </c>
      <c r="W182" s="122" t="s">
        <v>246</v>
      </c>
      <c r="X182" s="122" t="s">
        <v>433</v>
      </c>
      <c r="Y182" s="141" t="s">
        <v>2133</v>
      </c>
      <c r="Z182" s="122" t="s">
        <v>8477</v>
      </c>
      <c r="AA182" s="141" t="s">
        <v>901</v>
      </c>
      <c r="AB182" s="122" t="s">
        <v>8478</v>
      </c>
      <c r="AD182" s="122" t="s">
        <v>250</v>
      </c>
      <c r="AE182" s="122" t="s">
        <v>235</v>
      </c>
      <c r="AF182" s="122" t="s">
        <v>8479</v>
      </c>
      <c r="AG182" s="122" t="s">
        <v>537</v>
      </c>
      <c r="AH182" s="122" t="s">
        <v>253</v>
      </c>
      <c r="AI182" s="122" t="s">
        <v>8480</v>
      </c>
      <c r="AJ182" s="122" t="s">
        <v>8481</v>
      </c>
      <c r="AK182" s="122" t="s">
        <v>253</v>
      </c>
      <c r="AL182" s="122" t="s">
        <v>253</v>
      </c>
      <c r="AM182" s="122" t="s">
        <v>253</v>
      </c>
      <c r="AN182" s="122" t="s">
        <v>253</v>
      </c>
      <c r="AO182" s="141" t="s">
        <v>247</v>
      </c>
      <c r="AP182" s="141" t="s">
        <v>247</v>
      </c>
      <c r="AQ182" s="141" t="s">
        <v>247</v>
      </c>
      <c r="AR182" s="141" t="s">
        <v>253</v>
      </c>
      <c r="AS182" s="141" t="s">
        <v>601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41" t="s">
        <v>253</v>
      </c>
      <c r="AZ182" s="122" t="s">
        <v>8482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2811</v>
      </c>
      <c r="BH182" s="122" t="s">
        <v>2802</v>
      </c>
      <c r="BI182" s="142">
        <v>5</v>
      </c>
    </row>
    <row r="183" spans="1:65" x14ac:dyDescent="0.25">
      <c r="A183" s="122" t="s">
        <v>3037</v>
      </c>
      <c r="B183" s="122" t="s">
        <v>8483</v>
      </c>
      <c r="C183" s="122" t="s">
        <v>8484</v>
      </c>
      <c r="D183" s="122" t="s">
        <v>8485</v>
      </c>
      <c r="E183" s="123">
        <v>42226</v>
      </c>
      <c r="F183" s="122" t="s">
        <v>3960</v>
      </c>
      <c r="G183" s="122" t="s">
        <v>235</v>
      </c>
      <c r="H183" s="122" t="s">
        <v>8486</v>
      </c>
      <c r="I183" s="122" t="s">
        <v>8487</v>
      </c>
      <c r="K183" s="122" t="s">
        <v>238</v>
      </c>
      <c r="L183" s="122" t="s">
        <v>346</v>
      </c>
      <c r="M183" s="122" t="s">
        <v>2862</v>
      </c>
      <c r="O183" s="141" t="s">
        <v>665</v>
      </c>
      <c r="P183" s="141" t="s">
        <v>8488</v>
      </c>
      <c r="Q183" s="122" t="s">
        <v>243</v>
      </c>
      <c r="R183" s="142">
        <v>6</v>
      </c>
      <c r="S183" s="122" t="s">
        <v>8489</v>
      </c>
      <c r="U183" s="122" t="s">
        <v>2802</v>
      </c>
      <c r="W183" s="122" t="s">
        <v>246</v>
      </c>
      <c r="X183" s="122" t="s">
        <v>2624</v>
      </c>
      <c r="Y183" s="141" t="s">
        <v>578</v>
      </c>
      <c r="Z183" s="122" t="s">
        <v>8490</v>
      </c>
      <c r="AA183" s="141" t="s">
        <v>6551</v>
      </c>
      <c r="AB183" s="122" t="s">
        <v>8490</v>
      </c>
      <c r="AC183" s="141" t="s">
        <v>1876</v>
      </c>
      <c r="AD183" s="122" t="s">
        <v>8491</v>
      </c>
      <c r="AE183" s="122" t="s">
        <v>235</v>
      </c>
      <c r="AF183" s="122" t="s">
        <v>8492</v>
      </c>
      <c r="AG183" s="122" t="s">
        <v>2580</v>
      </c>
      <c r="AH183" s="122" t="s">
        <v>253</v>
      </c>
      <c r="AI183" s="122" t="s">
        <v>8493</v>
      </c>
      <c r="AJ183" s="122" t="s">
        <v>8494</v>
      </c>
      <c r="AK183" s="122" t="s">
        <v>253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247</v>
      </c>
      <c r="AR183" s="141" t="s">
        <v>247</v>
      </c>
      <c r="AS183" s="141" t="s">
        <v>601</v>
      </c>
      <c r="AT183" s="141" t="s">
        <v>601</v>
      </c>
      <c r="AU183" s="141" t="s">
        <v>601</v>
      </c>
      <c r="AV183" s="122" t="s">
        <v>259</v>
      </c>
      <c r="AW183" s="122" t="s">
        <v>260</v>
      </c>
      <c r="AX183" s="141" t="s">
        <v>750</v>
      </c>
      <c r="AY183" s="141" t="s">
        <v>603</v>
      </c>
      <c r="AZ183" s="122" t="s">
        <v>8495</v>
      </c>
      <c r="BA183" s="122" t="s">
        <v>262</v>
      </c>
      <c r="BB183" s="122" t="s">
        <v>262</v>
      </c>
      <c r="BD183" s="122" t="s">
        <v>253</v>
      </c>
      <c r="BE183" s="122" t="s">
        <v>263</v>
      </c>
      <c r="BF183" s="122" t="s">
        <v>2811</v>
      </c>
      <c r="BH183" s="122" t="s">
        <v>2802</v>
      </c>
      <c r="BI183" s="142">
        <v>6</v>
      </c>
      <c r="BJ183" s="123">
        <v>42239</v>
      </c>
      <c r="BK183" s="139" t="s">
        <v>606</v>
      </c>
      <c r="BM183" s="122">
        <v>34</v>
      </c>
    </row>
    <row r="184" spans="1:65" x14ac:dyDescent="0.25">
      <c r="A184" s="122" t="s">
        <v>3037</v>
      </c>
      <c r="B184" s="122" t="s">
        <v>8496</v>
      </c>
      <c r="C184" s="122" t="s">
        <v>8497</v>
      </c>
      <c r="D184" s="122" t="s">
        <v>8498</v>
      </c>
      <c r="E184" s="123">
        <v>42226</v>
      </c>
      <c r="F184" s="122" t="s">
        <v>1143</v>
      </c>
      <c r="G184" s="122" t="s">
        <v>235</v>
      </c>
      <c r="H184" s="122" t="s">
        <v>8499</v>
      </c>
      <c r="I184" s="122" t="s">
        <v>2950</v>
      </c>
      <c r="J184" s="122" t="s">
        <v>8500</v>
      </c>
      <c r="K184" s="122" t="s">
        <v>238</v>
      </c>
      <c r="L184" s="122" t="s">
        <v>346</v>
      </c>
      <c r="M184" s="122" t="s">
        <v>2830</v>
      </c>
      <c r="O184" s="141" t="s">
        <v>566</v>
      </c>
      <c r="P184" s="141" t="s">
        <v>8501</v>
      </c>
      <c r="Q184" s="122" t="s">
        <v>243</v>
      </c>
      <c r="R184" s="142">
        <v>7</v>
      </c>
      <c r="S184" s="122" t="s">
        <v>8502</v>
      </c>
      <c r="U184" s="122" t="s">
        <v>2802</v>
      </c>
      <c r="W184" s="122" t="s">
        <v>246</v>
      </c>
      <c r="X184" s="122" t="s">
        <v>433</v>
      </c>
      <c r="Y184" s="141" t="s">
        <v>595</v>
      </c>
      <c r="Z184" s="122" t="s">
        <v>8503</v>
      </c>
      <c r="AA184" s="141" t="s">
        <v>1423</v>
      </c>
      <c r="AB184" s="122" t="s">
        <v>8504</v>
      </c>
      <c r="AC184" s="141" t="s">
        <v>283</v>
      </c>
      <c r="AD184" s="122" t="s">
        <v>4541</v>
      </c>
      <c r="AE184" s="122" t="s">
        <v>235</v>
      </c>
      <c r="AF184" s="122" t="s">
        <v>8505</v>
      </c>
      <c r="AG184" s="122" t="s">
        <v>537</v>
      </c>
      <c r="AH184" s="122" t="s">
        <v>253</v>
      </c>
      <c r="AI184" s="122" t="s">
        <v>8506</v>
      </c>
      <c r="AJ184" s="122" t="s">
        <v>8507</v>
      </c>
      <c r="AK184" s="122" t="s">
        <v>253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253</v>
      </c>
      <c r="AR184" s="141" t="s">
        <v>253</v>
      </c>
      <c r="AS184" s="141" t="s">
        <v>601</v>
      </c>
      <c r="AT184" s="141" t="s">
        <v>258</v>
      </c>
      <c r="AU184" s="141" t="s">
        <v>258</v>
      </c>
      <c r="AV184" s="122" t="s">
        <v>259</v>
      </c>
      <c r="AW184" s="122" t="s">
        <v>260</v>
      </c>
      <c r="AY184" s="141" t="s">
        <v>253</v>
      </c>
      <c r="AZ184" s="122" t="s">
        <v>8508</v>
      </c>
      <c r="BA184" s="122" t="s">
        <v>262</v>
      </c>
      <c r="BB184" s="122" t="s">
        <v>262</v>
      </c>
      <c r="BD184" s="122" t="s">
        <v>253</v>
      </c>
      <c r="BE184" s="122" t="s">
        <v>263</v>
      </c>
      <c r="BF184" s="122" t="s">
        <v>2811</v>
      </c>
      <c r="BH184" s="122" t="s">
        <v>2802</v>
      </c>
      <c r="BI184" s="142">
        <v>7</v>
      </c>
      <c r="BJ184" s="123">
        <v>42239</v>
      </c>
      <c r="BK184" s="139" t="s">
        <v>606</v>
      </c>
      <c r="BM184" s="122">
        <v>34</v>
      </c>
    </row>
    <row r="185" spans="1:65" x14ac:dyDescent="0.25">
      <c r="A185" s="122" t="s">
        <v>3037</v>
      </c>
      <c r="B185" s="122" t="s">
        <v>8509</v>
      </c>
      <c r="C185" s="122" t="s">
        <v>8510</v>
      </c>
      <c r="D185" s="122" t="s">
        <v>8511</v>
      </c>
      <c r="E185" s="123">
        <v>42226</v>
      </c>
      <c r="F185" s="122" t="s">
        <v>3247</v>
      </c>
      <c r="G185" s="122" t="s">
        <v>235</v>
      </c>
      <c r="H185" s="122" t="s">
        <v>8512</v>
      </c>
      <c r="I185" s="122" t="s">
        <v>3081</v>
      </c>
      <c r="J185" s="122" t="s">
        <v>8513</v>
      </c>
      <c r="K185" s="122" t="s">
        <v>238</v>
      </c>
      <c r="L185" s="122" t="s">
        <v>346</v>
      </c>
      <c r="M185" s="122" t="s">
        <v>2963</v>
      </c>
      <c r="O185" s="141" t="s">
        <v>566</v>
      </c>
      <c r="P185" s="141" t="s">
        <v>8514</v>
      </c>
      <c r="Q185" s="122" t="s">
        <v>243</v>
      </c>
      <c r="R185" s="142">
        <v>8</v>
      </c>
      <c r="S185" s="122" t="s">
        <v>8515</v>
      </c>
      <c r="U185" s="122" t="s">
        <v>2802</v>
      </c>
      <c r="W185" s="122" t="s">
        <v>246</v>
      </c>
      <c r="X185" s="122" t="s">
        <v>454</v>
      </c>
      <c r="Y185" s="141" t="s">
        <v>570</v>
      </c>
      <c r="Z185" s="122" t="s">
        <v>8516</v>
      </c>
      <c r="AA185" s="141" t="s">
        <v>234</v>
      </c>
      <c r="AB185" s="122" t="s">
        <v>8517</v>
      </c>
      <c r="AC185" s="141" t="s">
        <v>1547</v>
      </c>
      <c r="AD185" s="122" t="s">
        <v>4725</v>
      </c>
      <c r="AE185" s="122" t="s">
        <v>235</v>
      </c>
      <c r="AF185" s="122" t="s">
        <v>8518</v>
      </c>
      <c r="AG185" s="122" t="s">
        <v>537</v>
      </c>
      <c r="AH185" s="122" t="s">
        <v>253</v>
      </c>
      <c r="AI185" s="122" t="s">
        <v>5311</v>
      </c>
      <c r="AJ185" s="122" t="s">
        <v>5312</v>
      </c>
      <c r="AK185" s="122" t="s">
        <v>253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247</v>
      </c>
      <c r="AS185" s="141" t="s">
        <v>601</v>
      </c>
      <c r="AT185" s="141" t="s">
        <v>601</v>
      </c>
      <c r="AU185" s="141" t="s">
        <v>601</v>
      </c>
      <c r="AV185" s="122" t="s">
        <v>259</v>
      </c>
      <c r="AW185" s="122" t="s">
        <v>260</v>
      </c>
      <c r="AY185" s="141" t="s">
        <v>253</v>
      </c>
      <c r="AZ185" s="122" t="s">
        <v>8519</v>
      </c>
      <c r="BA185" s="122" t="s">
        <v>262</v>
      </c>
      <c r="BB185" s="122" t="s">
        <v>262</v>
      </c>
      <c r="BD185" s="122" t="s">
        <v>253</v>
      </c>
      <c r="BE185" s="122" t="s">
        <v>263</v>
      </c>
      <c r="BF185" s="122" t="s">
        <v>2811</v>
      </c>
      <c r="BH185" s="122" t="s">
        <v>2802</v>
      </c>
      <c r="BI185" s="142">
        <v>8</v>
      </c>
    </row>
    <row r="186" spans="1:65" x14ac:dyDescent="0.25">
      <c r="A186" s="122" t="s">
        <v>3037</v>
      </c>
      <c r="B186" s="122" t="s">
        <v>8520</v>
      </c>
      <c r="C186" s="122" t="s">
        <v>8521</v>
      </c>
      <c r="D186" s="122" t="s">
        <v>8522</v>
      </c>
      <c r="E186" s="123">
        <v>42226</v>
      </c>
      <c r="F186" s="122" t="s">
        <v>8398</v>
      </c>
      <c r="G186" s="122" t="s">
        <v>235</v>
      </c>
      <c r="H186" s="122" t="s">
        <v>8523</v>
      </c>
      <c r="I186" s="122" t="s">
        <v>8524</v>
      </c>
      <c r="K186" s="122" t="s">
        <v>238</v>
      </c>
      <c r="L186" s="122" t="s">
        <v>346</v>
      </c>
      <c r="M186" s="122" t="s">
        <v>3242</v>
      </c>
      <c r="O186" s="141" t="s">
        <v>273</v>
      </c>
      <c r="P186" s="141" t="s">
        <v>8525</v>
      </c>
      <c r="Q186" s="122" t="s">
        <v>243</v>
      </c>
      <c r="R186" s="142">
        <v>9</v>
      </c>
      <c r="S186" s="122" t="s">
        <v>8526</v>
      </c>
      <c r="U186" s="122" t="s">
        <v>2802</v>
      </c>
      <c r="W186" s="122" t="s">
        <v>246</v>
      </c>
      <c r="X186" s="122" t="s">
        <v>631</v>
      </c>
      <c r="Y186" s="141" t="s">
        <v>279</v>
      </c>
      <c r="Z186" s="122" t="s">
        <v>1091</v>
      </c>
      <c r="AA186" s="141" t="s">
        <v>535</v>
      </c>
      <c r="AB186" s="122" t="s">
        <v>8527</v>
      </c>
      <c r="AC186" s="141" t="s">
        <v>1926</v>
      </c>
      <c r="AD186" s="122" t="s">
        <v>395</v>
      </c>
      <c r="AE186" s="122" t="s">
        <v>235</v>
      </c>
      <c r="AF186" s="122" t="s">
        <v>8528</v>
      </c>
      <c r="AG186" s="122" t="s">
        <v>253</v>
      </c>
      <c r="AH186" s="122" t="s">
        <v>253</v>
      </c>
      <c r="AI186" s="122" t="s">
        <v>8529</v>
      </c>
      <c r="AJ186" s="122" t="s">
        <v>8530</v>
      </c>
      <c r="AK186" s="122" t="s">
        <v>8531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247</v>
      </c>
      <c r="AQ186" s="141" t="s">
        <v>253</v>
      </c>
      <c r="AR186" s="141" t="s">
        <v>253</v>
      </c>
      <c r="AS186" s="141" t="s">
        <v>601</v>
      </c>
      <c r="AT186" s="141" t="s">
        <v>258</v>
      </c>
      <c r="AU186" s="141" t="s">
        <v>258</v>
      </c>
      <c r="AV186" s="122" t="s">
        <v>259</v>
      </c>
      <c r="AW186" s="122" t="s">
        <v>260</v>
      </c>
      <c r="AY186" s="141" t="s">
        <v>253</v>
      </c>
      <c r="AZ186" s="122" t="s">
        <v>8532</v>
      </c>
      <c r="BA186" s="122" t="s">
        <v>262</v>
      </c>
      <c r="BB186" s="122" t="s">
        <v>262</v>
      </c>
      <c r="BD186" s="122" t="s">
        <v>253</v>
      </c>
      <c r="BE186" s="122" t="s">
        <v>263</v>
      </c>
      <c r="BF186" s="122" t="s">
        <v>2811</v>
      </c>
      <c r="BH186" s="122" t="s">
        <v>2802</v>
      </c>
      <c r="BI186" s="142">
        <v>9</v>
      </c>
    </row>
    <row r="187" spans="1:65" x14ac:dyDescent="0.25">
      <c r="A187" s="122" t="s">
        <v>3037</v>
      </c>
      <c r="B187" s="122" t="s">
        <v>8533</v>
      </c>
      <c r="C187" s="122" t="s">
        <v>8534</v>
      </c>
      <c r="D187" s="122" t="s">
        <v>8535</v>
      </c>
      <c r="E187" s="123">
        <v>42226</v>
      </c>
      <c r="F187" s="122" t="s">
        <v>354</v>
      </c>
      <c r="G187" s="122" t="s">
        <v>235</v>
      </c>
      <c r="H187" s="122" t="s">
        <v>8536</v>
      </c>
      <c r="I187" s="122" t="s">
        <v>8537</v>
      </c>
      <c r="K187" s="122" t="s">
        <v>238</v>
      </c>
      <c r="L187" s="122" t="s">
        <v>346</v>
      </c>
      <c r="M187" s="122" t="s">
        <v>3176</v>
      </c>
      <c r="O187" s="141" t="s">
        <v>390</v>
      </c>
      <c r="P187" s="141" t="s">
        <v>8538</v>
      </c>
      <c r="Q187" s="122" t="s">
        <v>243</v>
      </c>
      <c r="R187" s="142">
        <v>10</v>
      </c>
      <c r="S187" s="122" t="s">
        <v>8539</v>
      </c>
      <c r="U187" s="122" t="s">
        <v>2802</v>
      </c>
      <c r="W187" s="122" t="s">
        <v>246</v>
      </c>
      <c r="X187" s="122" t="s">
        <v>590</v>
      </c>
      <c r="Y187" s="141" t="s">
        <v>668</v>
      </c>
      <c r="Z187" s="122" t="s">
        <v>8540</v>
      </c>
      <c r="AA187" s="141" t="s">
        <v>1090</v>
      </c>
      <c r="AB187" s="122" t="s">
        <v>8541</v>
      </c>
      <c r="AC187" s="141" t="s">
        <v>2429</v>
      </c>
      <c r="AD187" s="122" t="s">
        <v>8542</v>
      </c>
      <c r="AE187" s="122" t="s">
        <v>235</v>
      </c>
      <c r="AF187" s="122" t="s">
        <v>8543</v>
      </c>
      <c r="AG187" s="122" t="s">
        <v>537</v>
      </c>
      <c r="AH187" s="122" t="s">
        <v>253</v>
      </c>
      <c r="AI187" s="122" t="s">
        <v>8544</v>
      </c>
      <c r="AJ187" s="122" t="s">
        <v>8545</v>
      </c>
      <c r="AK187" s="122" t="s">
        <v>8546</v>
      </c>
      <c r="AL187" s="122" t="s">
        <v>253</v>
      </c>
      <c r="AM187" s="122" t="s">
        <v>253</v>
      </c>
      <c r="AN187" s="122" t="s">
        <v>253</v>
      </c>
      <c r="AO187" s="141" t="s">
        <v>247</v>
      </c>
      <c r="AP187" s="141" t="s">
        <v>247</v>
      </c>
      <c r="AQ187" s="141" t="s">
        <v>247</v>
      </c>
      <c r="AR187" s="141" t="s">
        <v>253</v>
      </c>
      <c r="AS187" s="141" t="s">
        <v>601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Y187" s="141" t="s">
        <v>253</v>
      </c>
      <c r="AZ187" s="122" t="s">
        <v>8547</v>
      </c>
      <c r="BA187" s="122" t="s">
        <v>262</v>
      </c>
      <c r="BB187" s="122" t="s">
        <v>262</v>
      </c>
      <c r="BD187" s="122" t="s">
        <v>253</v>
      </c>
      <c r="BE187" s="122" t="s">
        <v>263</v>
      </c>
      <c r="BF187" s="122" t="s">
        <v>2811</v>
      </c>
      <c r="BH187" s="122" t="s">
        <v>2802</v>
      </c>
      <c r="BI187" s="142">
        <v>10</v>
      </c>
    </row>
    <row r="188" spans="1:65" x14ac:dyDescent="0.25">
      <c r="A188" s="122" t="s">
        <v>3037</v>
      </c>
      <c r="B188" s="122" t="s">
        <v>8548</v>
      </c>
      <c r="C188" s="122" t="s">
        <v>8549</v>
      </c>
      <c r="D188" s="122" t="s">
        <v>8550</v>
      </c>
      <c r="E188" s="123">
        <v>42226</v>
      </c>
      <c r="F188" s="122" t="s">
        <v>3590</v>
      </c>
      <c r="G188" s="122" t="s">
        <v>235</v>
      </c>
      <c r="H188" s="122" t="s">
        <v>8551</v>
      </c>
      <c r="I188" s="122" t="s">
        <v>8552</v>
      </c>
      <c r="J188" s="122" t="s">
        <v>8553</v>
      </c>
      <c r="K188" s="122" t="s">
        <v>238</v>
      </c>
      <c r="L188" s="122" t="s">
        <v>346</v>
      </c>
      <c r="M188" s="122" t="s">
        <v>347</v>
      </c>
      <c r="O188" s="141" t="s">
        <v>299</v>
      </c>
      <c r="P188" s="141" t="s">
        <v>8554</v>
      </c>
      <c r="Q188" s="122" t="s">
        <v>243</v>
      </c>
      <c r="R188" s="142">
        <v>11</v>
      </c>
      <c r="S188" s="122" t="s">
        <v>8555</v>
      </c>
      <c r="U188" s="122" t="s">
        <v>2802</v>
      </c>
      <c r="W188" s="122" t="s">
        <v>246</v>
      </c>
      <c r="X188" s="122" t="s">
        <v>590</v>
      </c>
      <c r="Y188" s="141" t="s">
        <v>498</v>
      </c>
      <c r="Z188" s="122" t="s">
        <v>8556</v>
      </c>
      <c r="AA188" s="141" t="s">
        <v>1926</v>
      </c>
      <c r="AB188" s="122" t="s">
        <v>8557</v>
      </c>
      <c r="AC188" s="141" t="s">
        <v>879</v>
      </c>
      <c r="AD188" s="122" t="s">
        <v>3489</v>
      </c>
      <c r="AE188" s="122" t="s">
        <v>235</v>
      </c>
      <c r="AF188" s="122" t="s">
        <v>8558</v>
      </c>
      <c r="AG188" s="122" t="s">
        <v>537</v>
      </c>
      <c r="AH188" s="122" t="s">
        <v>253</v>
      </c>
      <c r="AI188" s="122" t="s">
        <v>8559</v>
      </c>
      <c r="AJ188" s="122" t="s">
        <v>8560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253</v>
      </c>
      <c r="AR188" s="141" t="s">
        <v>253</v>
      </c>
      <c r="AS188" s="141" t="s">
        <v>601</v>
      </c>
      <c r="AT188" s="141" t="s">
        <v>258</v>
      </c>
      <c r="AU188" s="141" t="s">
        <v>258</v>
      </c>
      <c r="AV188" s="122" t="s">
        <v>259</v>
      </c>
      <c r="AW188" s="122" t="s">
        <v>260</v>
      </c>
      <c r="AY188" s="141" t="s">
        <v>253</v>
      </c>
      <c r="AZ188" s="122" t="s">
        <v>8561</v>
      </c>
      <c r="BA188" s="122" t="s">
        <v>262</v>
      </c>
      <c r="BB188" s="122" t="s">
        <v>262</v>
      </c>
      <c r="BC188" s="141" t="s">
        <v>312</v>
      </c>
      <c r="BD188" s="122" t="s">
        <v>253</v>
      </c>
      <c r="BE188" s="122" t="s">
        <v>263</v>
      </c>
      <c r="BF188" s="122" t="s">
        <v>2811</v>
      </c>
      <c r="BH188" s="122" t="s">
        <v>2802</v>
      </c>
      <c r="BI188" s="142">
        <v>11</v>
      </c>
      <c r="BJ188" s="123">
        <v>42239</v>
      </c>
      <c r="BK188" s="139" t="s">
        <v>264</v>
      </c>
      <c r="BL188" s="140">
        <v>257.49</v>
      </c>
      <c r="BM188" s="122">
        <v>34</v>
      </c>
    </row>
    <row r="189" spans="1:65" x14ac:dyDescent="0.25">
      <c r="A189" s="122" t="s">
        <v>1161</v>
      </c>
      <c r="B189" s="122" t="s">
        <v>8562</v>
      </c>
      <c r="C189" s="122" t="s">
        <v>8563</v>
      </c>
      <c r="D189" s="122" t="s">
        <v>8564</v>
      </c>
      <c r="E189" s="123">
        <v>42226</v>
      </c>
      <c r="F189" s="122" t="s">
        <v>2010</v>
      </c>
      <c r="G189" s="122" t="s">
        <v>235</v>
      </c>
      <c r="H189" s="122" t="s">
        <v>8565</v>
      </c>
      <c r="I189" s="122" t="s">
        <v>3081</v>
      </c>
      <c r="J189" s="122" t="s">
        <v>8566</v>
      </c>
      <c r="K189" s="122" t="s">
        <v>238</v>
      </c>
      <c r="L189" s="122" t="s">
        <v>346</v>
      </c>
      <c r="M189" s="122" t="s">
        <v>2963</v>
      </c>
      <c r="O189" s="141" t="s">
        <v>566</v>
      </c>
      <c r="P189" s="141" t="s">
        <v>8567</v>
      </c>
      <c r="Q189" s="122" t="s">
        <v>243</v>
      </c>
      <c r="R189" s="142">
        <v>12</v>
      </c>
      <c r="S189" s="122" t="s">
        <v>8568</v>
      </c>
      <c r="U189" s="122" t="s">
        <v>2802</v>
      </c>
      <c r="W189" s="122" t="s">
        <v>246</v>
      </c>
      <c r="X189" s="122" t="s">
        <v>631</v>
      </c>
      <c r="Z189" s="122" t="s">
        <v>250</v>
      </c>
      <c r="AB189" s="122" t="s">
        <v>250</v>
      </c>
      <c r="AD189" s="122" t="s">
        <v>250</v>
      </c>
      <c r="AE189" s="122" t="s">
        <v>235</v>
      </c>
      <c r="AF189" s="122" t="s">
        <v>8569</v>
      </c>
      <c r="AG189" s="122" t="s">
        <v>253</v>
      </c>
      <c r="AH189" s="122" t="s">
        <v>8570</v>
      </c>
      <c r="AI189" s="122" t="s">
        <v>8571</v>
      </c>
      <c r="AJ189" s="122" t="s">
        <v>8572</v>
      </c>
      <c r="AK189" s="122" t="s">
        <v>8573</v>
      </c>
      <c r="AL189" s="122" t="s">
        <v>253</v>
      </c>
      <c r="AM189" s="122" t="s">
        <v>253</v>
      </c>
      <c r="AN189" s="122" t="s">
        <v>253</v>
      </c>
      <c r="AO189" s="141" t="s">
        <v>247</v>
      </c>
      <c r="AP189" s="141" t="s">
        <v>247</v>
      </c>
      <c r="AQ189" s="141" t="s">
        <v>247</v>
      </c>
      <c r="AR189" s="141" t="s">
        <v>247</v>
      </c>
      <c r="AS189" s="141" t="s">
        <v>601</v>
      </c>
      <c r="AT189" s="141" t="s">
        <v>601</v>
      </c>
      <c r="AU189" s="141" t="s">
        <v>601</v>
      </c>
      <c r="AV189" s="122" t="s">
        <v>259</v>
      </c>
      <c r="AW189" s="122" t="s">
        <v>260</v>
      </c>
      <c r="AY189" s="141" t="s">
        <v>253</v>
      </c>
      <c r="AZ189" s="122" t="s">
        <v>8574</v>
      </c>
      <c r="BA189" s="122" t="s">
        <v>262</v>
      </c>
      <c r="BB189" s="122" t="s">
        <v>262</v>
      </c>
      <c r="BD189" s="122" t="s">
        <v>253</v>
      </c>
      <c r="BE189" s="122" t="s">
        <v>263</v>
      </c>
      <c r="BF189" s="122" t="s">
        <v>2811</v>
      </c>
      <c r="BH189" s="122" t="s">
        <v>2802</v>
      </c>
      <c r="BI189" s="142">
        <v>12</v>
      </c>
    </row>
    <row r="190" spans="1:65" x14ac:dyDescent="0.25">
      <c r="A190" s="122" t="s">
        <v>1161</v>
      </c>
      <c r="B190" s="122" t="s">
        <v>8575</v>
      </c>
      <c r="C190" s="122" t="s">
        <v>8576</v>
      </c>
      <c r="D190" s="122" t="s">
        <v>8577</v>
      </c>
      <c r="E190" s="123">
        <v>42226</v>
      </c>
      <c r="F190" s="122" t="s">
        <v>2010</v>
      </c>
      <c r="G190" s="122" t="s">
        <v>235</v>
      </c>
      <c r="H190" s="122" t="s">
        <v>8578</v>
      </c>
      <c r="I190" s="122" t="s">
        <v>8579</v>
      </c>
      <c r="K190" s="122" t="s">
        <v>238</v>
      </c>
      <c r="L190" s="122" t="s">
        <v>346</v>
      </c>
      <c r="M190" s="122" t="s">
        <v>3176</v>
      </c>
      <c r="O190" s="141" t="s">
        <v>780</v>
      </c>
      <c r="P190" s="141" t="s">
        <v>8580</v>
      </c>
      <c r="Q190" s="122" t="s">
        <v>243</v>
      </c>
      <c r="R190" s="142">
        <v>13</v>
      </c>
      <c r="S190" s="122" t="s">
        <v>8581</v>
      </c>
      <c r="T190" s="122" t="s">
        <v>8582</v>
      </c>
      <c r="U190" s="122" t="s">
        <v>2802</v>
      </c>
      <c r="W190" s="122" t="s">
        <v>246</v>
      </c>
      <c r="X190" s="122" t="s">
        <v>631</v>
      </c>
      <c r="Y190" s="141" t="s">
        <v>570</v>
      </c>
      <c r="Z190" s="122" t="s">
        <v>307</v>
      </c>
      <c r="AB190" s="122" t="s">
        <v>250</v>
      </c>
      <c r="AD190" s="122" t="s">
        <v>250</v>
      </c>
      <c r="AE190" s="122" t="s">
        <v>235</v>
      </c>
      <c r="AF190" s="122" t="s">
        <v>8583</v>
      </c>
      <c r="AG190" s="122" t="s">
        <v>253</v>
      </c>
      <c r="AH190" s="122" t="s">
        <v>253</v>
      </c>
      <c r="AI190" s="122" t="s">
        <v>8584</v>
      </c>
      <c r="AJ190" s="122" t="s">
        <v>1782</v>
      </c>
      <c r="AK190" s="122" t="s">
        <v>8585</v>
      </c>
      <c r="AL190" s="122" t="s">
        <v>253</v>
      </c>
      <c r="AM190" s="122" t="s">
        <v>253</v>
      </c>
      <c r="AN190" s="122" t="s">
        <v>253</v>
      </c>
      <c r="AO190" s="141" t="s">
        <v>253</v>
      </c>
      <c r="AP190" s="141" t="s">
        <v>253</v>
      </c>
      <c r="AQ190" s="141" t="s">
        <v>247</v>
      </c>
      <c r="AR190" s="141" t="s">
        <v>253</v>
      </c>
      <c r="AS190" s="141" t="s">
        <v>361</v>
      </c>
      <c r="AT190" s="141" t="s">
        <v>601</v>
      </c>
      <c r="AU190" s="141" t="s">
        <v>258</v>
      </c>
      <c r="AV190" s="122" t="s">
        <v>259</v>
      </c>
      <c r="AW190" s="122" t="s">
        <v>260</v>
      </c>
      <c r="AY190" s="141" t="s">
        <v>253</v>
      </c>
      <c r="AZ190" s="122" t="s">
        <v>8586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2811</v>
      </c>
      <c r="BH190" s="122" t="s">
        <v>2802</v>
      </c>
      <c r="BI190" s="142">
        <v>13</v>
      </c>
    </row>
    <row r="191" spans="1:65" x14ac:dyDescent="0.25">
      <c r="A191" s="122" t="s">
        <v>1161</v>
      </c>
      <c r="B191" s="122" t="s">
        <v>8587</v>
      </c>
      <c r="C191" s="122" t="s">
        <v>8588</v>
      </c>
      <c r="D191" s="122" t="s">
        <v>8589</v>
      </c>
      <c r="E191" s="123">
        <v>42226</v>
      </c>
      <c r="F191" s="122" t="s">
        <v>5273</v>
      </c>
      <c r="G191" s="122" t="s">
        <v>235</v>
      </c>
      <c r="H191" s="122" t="s">
        <v>8590</v>
      </c>
      <c r="I191" s="122" t="s">
        <v>8591</v>
      </c>
      <c r="K191" s="122" t="s">
        <v>238</v>
      </c>
      <c r="L191" s="122" t="s">
        <v>346</v>
      </c>
      <c r="M191" s="122" t="s">
        <v>514</v>
      </c>
      <c r="O191" s="141" t="s">
        <v>299</v>
      </c>
      <c r="P191" s="141" t="s">
        <v>8592</v>
      </c>
      <c r="Q191" s="122" t="s">
        <v>243</v>
      </c>
      <c r="R191" s="142">
        <v>14</v>
      </c>
      <c r="S191" s="122" t="s">
        <v>8593</v>
      </c>
      <c r="U191" s="122" t="s">
        <v>2802</v>
      </c>
      <c r="W191" s="122" t="s">
        <v>246</v>
      </c>
      <c r="X191" s="122" t="s">
        <v>739</v>
      </c>
      <c r="Y191" s="141" t="s">
        <v>705</v>
      </c>
      <c r="Z191" s="122" t="s">
        <v>8594</v>
      </c>
      <c r="AA191" s="141" t="s">
        <v>500</v>
      </c>
      <c r="AB191" s="122" t="s">
        <v>8595</v>
      </c>
      <c r="AC191" s="141" t="s">
        <v>3574</v>
      </c>
      <c r="AD191" s="122" t="s">
        <v>8596</v>
      </c>
      <c r="AE191" s="122" t="s">
        <v>235</v>
      </c>
      <c r="AF191" s="122" t="s">
        <v>8597</v>
      </c>
      <c r="AG191" s="122" t="s">
        <v>537</v>
      </c>
      <c r="AH191" s="122" t="s">
        <v>253</v>
      </c>
      <c r="AI191" s="122" t="s">
        <v>8598</v>
      </c>
      <c r="AJ191" s="122" t="s">
        <v>8599</v>
      </c>
      <c r="AK191" s="122" t="s">
        <v>253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247</v>
      </c>
      <c r="AR191" s="141" t="s">
        <v>253</v>
      </c>
      <c r="AS191" s="141" t="s">
        <v>601</v>
      </c>
      <c r="AT191" s="141" t="s">
        <v>601</v>
      </c>
      <c r="AU191" s="141" t="s">
        <v>258</v>
      </c>
      <c r="AV191" s="122" t="s">
        <v>259</v>
      </c>
      <c r="AW191" s="122" t="s">
        <v>260</v>
      </c>
      <c r="AX191" s="141" t="s">
        <v>8600</v>
      </c>
      <c r="AY191" s="141" t="s">
        <v>442</v>
      </c>
      <c r="AZ191" s="122" t="s">
        <v>8601</v>
      </c>
      <c r="BA191" s="122" t="s">
        <v>262</v>
      </c>
      <c r="BB191" s="122" t="s">
        <v>262</v>
      </c>
      <c r="BC191" s="141" t="s">
        <v>312</v>
      </c>
      <c r="BD191" s="122" t="s">
        <v>253</v>
      </c>
      <c r="BE191" s="122" t="s">
        <v>263</v>
      </c>
      <c r="BF191" s="122" t="s">
        <v>2811</v>
      </c>
      <c r="BH191" s="122" t="s">
        <v>2802</v>
      </c>
      <c r="BI191" s="142">
        <v>14</v>
      </c>
      <c r="BJ191" s="123">
        <v>42237</v>
      </c>
      <c r="BK191" s="139" t="s">
        <v>264</v>
      </c>
      <c r="BL191" s="140">
        <v>307.83999999999997</v>
      </c>
      <c r="BM191" s="122">
        <v>34</v>
      </c>
    </row>
    <row r="192" spans="1:65" x14ac:dyDescent="0.25">
      <c r="A192" s="122" t="s">
        <v>6059</v>
      </c>
      <c r="B192" s="122" t="s">
        <v>8602</v>
      </c>
      <c r="C192" s="122" t="s">
        <v>8603</v>
      </c>
      <c r="D192" s="122" t="s">
        <v>8604</v>
      </c>
      <c r="E192" s="123">
        <v>42226</v>
      </c>
      <c r="F192" s="122" t="s">
        <v>8605</v>
      </c>
      <c r="G192" s="122" t="s">
        <v>235</v>
      </c>
      <c r="H192" s="122" t="s">
        <v>8606</v>
      </c>
      <c r="I192" s="122" t="s">
        <v>8607</v>
      </c>
      <c r="K192" s="122" t="s">
        <v>238</v>
      </c>
      <c r="L192" s="122" t="s">
        <v>346</v>
      </c>
      <c r="M192" s="122" t="s">
        <v>2847</v>
      </c>
      <c r="O192" s="141" t="s">
        <v>8608</v>
      </c>
      <c r="P192" s="141" t="s">
        <v>8609</v>
      </c>
      <c r="Q192" s="122" t="s">
        <v>243</v>
      </c>
      <c r="R192" s="142">
        <v>15</v>
      </c>
      <c r="S192" s="122" t="s">
        <v>8610</v>
      </c>
      <c r="U192" s="122" t="s">
        <v>2802</v>
      </c>
      <c r="W192" s="122" t="s">
        <v>246</v>
      </c>
      <c r="X192" s="122" t="s">
        <v>454</v>
      </c>
      <c r="Y192" s="141" t="s">
        <v>956</v>
      </c>
      <c r="Z192" s="122" t="s">
        <v>8611</v>
      </c>
      <c r="AA192" s="141" t="s">
        <v>356</v>
      </c>
      <c r="AB192" s="122" t="s">
        <v>8612</v>
      </c>
      <c r="AC192" s="141" t="s">
        <v>356</v>
      </c>
      <c r="AD192" s="122" t="s">
        <v>8613</v>
      </c>
      <c r="AE192" s="122" t="s">
        <v>235</v>
      </c>
      <c r="AF192" s="122" t="s">
        <v>8614</v>
      </c>
      <c r="AG192" s="122" t="s">
        <v>5000</v>
      </c>
      <c r="AH192" s="122" t="s">
        <v>253</v>
      </c>
      <c r="AI192" s="122" t="s">
        <v>8615</v>
      </c>
      <c r="AJ192" s="122" t="s">
        <v>8616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253</v>
      </c>
      <c r="AR192" s="141" t="s">
        <v>253</v>
      </c>
      <c r="AS192" s="141" t="s">
        <v>601</v>
      </c>
      <c r="AT192" s="141" t="s">
        <v>258</v>
      </c>
      <c r="AU192" s="141" t="s">
        <v>258</v>
      </c>
      <c r="AV192" s="122" t="s">
        <v>259</v>
      </c>
      <c r="AW192" s="122" t="s">
        <v>260</v>
      </c>
      <c r="AY192" s="141" t="s">
        <v>253</v>
      </c>
      <c r="AZ192" s="122" t="s">
        <v>8617</v>
      </c>
      <c r="BA192" s="122" t="s">
        <v>262</v>
      </c>
      <c r="BB192" s="122" t="s">
        <v>8617</v>
      </c>
      <c r="BC192" s="141" t="s">
        <v>312</v>
      </c>
      <c r="BD192" s="122" t="s">
        <v>253</v>
      </c>
      <c r="BE192" s="122" t="s">
        <v>263</v>
      </c>
      <c r="BF192" s="122" t="s">
        <v>2811</v>
      </c>
      <c r="BH192" s="122" t="s">
        <v>2802</v>
      </c>
      <c r="BI192" s="142">
        <v>15</v>
      </c>
      <c r="BJ192" s="123">
        <v>42229</v>
      </c>
      <c r="BK192" s="139" t="s">
        <v>264</v>
      </c>
      <c r="BL192" s="140">
        <v>300</v>
      </c>
      <c r="BM192" s="122">
        <v>33</v>
      </c>
    </row>
    <row r="193" spans="1:65" x14ac:dyDescent="0.25">
      <c r="A193" s="122" t="s">
        <v>6059</v>
      </c>
      <c r="B193" s="122" t="s">
        <v>8618</v>
      </c>
      <c r="C193" s="122" t="s">
        <v>8619</v>
      </c>
      <c r="D193" s="122" t="s">
        <v>8620</v>
      </c>
      <c r="E193" s="123">
        <v>42226</v>
      </c>
      <c r="F193" s="122" t="s">
        <v>304</v>
      </c>
      <c r="G193" s="122" t="s">
        <v>235</v>
      </c>
      <c r="H193" s="122" t="s">
        <v>8621</v>
      </c>
      <c r="I193" s="122" t="s">
        <v>2950</v>
      </c>
      <c r="J193" s="122" t="s">
        <v>8622</v>
      </c>
      <c r="K193" s="122" t="s">
        <v>238</v>
      </c>
      <c r="L193" s="122" t="s">
        <v>346</v>
      </c>
      <c r="M193" s="122" t="s">
        <v>2830</v>
      </c>
      <c r="O193" s="141" t="s">
        <v>566</v>
      </c>
      <c r="P193" s="141" t="s">
        <v>8623</v>
      </c>
      <c r="Q193" s="122" t="s">
        <v>243</v>
      </c>
      <c r="R193" s="142">
        <v>16</v>
      </c>
      <c r="S193" s="122" t="s">
        <v>8624</v>
      </c>
      <c r="U193" s="122" t="s">
        <v>2802</v>
      </c>
      <c r="W193" s="122" t="s">
        <v>246</v>
      </c>
      <c r="X193" s="122" t="s">
        <v>1643</v>
      </c>
      <c r="Z193" s="122" t="s">
        <v>250</v>
      </c>
      <c r="AB193" s="122" t="s">
        <v>250</v>
      </c>
      <c r="AD193" s="122" t="s">
        <v>250</v>
      </c>
      <c r="AE193" s="122" t="s">
        <v>235</v>
      </c>
      <c r="AF193" s="122" t="s">
        <v>8625</v>
      </c>
      <c r="AG193" s="122" t="s">
        <v>253</v>
      </c>
      <c r="AH193" s="122" t="s">
        <v>253</v>
      </c>
      <c r="AI193" s="122" t="s">
        <v>8626</v>
      </c>
      <c r="AJ193" s="122" t="s">
        <v>8627</v>
      </c>
      <c r="AK193" s="122" t="s">
        <v>8628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247</v>
      </c>
      <c r="AQ193" s="141" t="s">
        <v>247</v>
      </c>
      <c r="AR193" s="141" t="s">
        <v>253</v>
      </c>
      <c r="AS193" s="141" t="s">
        <v>601</v>
      </c>
      <c r="AT193" s="141" t="s">
        <v>601</v>
      </c>
      <c r="AU193" s="141" t="s">
        <v>258</v>
      </c>
      <c r="AV193" s="122" t="s">
        <v>259</v>
      </c>
      <c r="AW193" s="122" t="s">
        <v>260</v>
      </c>
      <c r="AY193" s="141" t="s">
        <v>253</v>
      </c>
      <c r="AZ193" s="122" t="s">
        <v>8629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2811</v>
      </c>
      <c r="BH193" s="122" t="s">
        <v>2802</v>
      </c>
      <c r="BI193" s="142">
        <v>16</v>
      </c>
      <c r="BJ193" s="123">
        <v>42239</v>
      </c>
      <c r="BK193" s="139" t="s">
        <v>606</v>
      </c>
      <c r="BM193" s="122">
        <v>34</v>
      </c>
    </row>
    <row r="194" spans="1:65" x14ac:dyDescent="0.25">
      <c r="A194" s="122" t="s">
        <v>6059</v>
      </c>
      <c r="B194" s="122" t="s">
        <v>8630</v>
      </c>
      <c r="C194" s="122" t="s">
        <v>8631</v>
      </c>
      <c r="D194" s="122" t="s">
        <v>8632</v>
      </c>
      <c r="E194" s="123">
        <v>42226</v>
      </c>
      <c r="F194" s="122" t="s">
        <v>8633</v>
      </c>
      <c r="G194" s="122" t="s">
        <v>235</v>
      </c>
      <c r="H194" s="122" t="s">
        <v>8634</v>
      </c>
      <c r="I194" s="122" t="s">
        <v>8635</v>
      </c>
      <c r="K194" s="122" t="s">
        <v>238</v>
      </c>
      <c r="L194" s="122" t="s">
        <v>346</v>
      </c>
      <c r="M194" s="122" t="s">
        <v>347</v>
      </c>
      <c r="O194" s="141" t="s">
        <v>412</v>
      </c>
      <c r="P194" s="141" t="s">
        <v>8636</v>
      </c>
      <c r="Q194" s="122" t="s">
        <v>243</v>
      </c>
      <c r="R194" s="142">
        <v>17</v>
      </c>
      <c r="S194" s="122" t="s">
        <v>8637</v>
      </c>
      <c r="U194" s="122" t="s">
        <v>2802</v>
      </c>
      <c r="W194" s="122" t="s">
        <v>246</v>
      </c>
      <c r="X194" s="122" t="s">
        <v>325</v>
      </c>
      <c r="Y194" s="141" t="s">
        <v>1125</v>
      </c>
      <c r="Z194" s="122" t="s">
        <v>8638</v>
      </c>
      <c r="AA194" s="141" t="s">
        <v>633</v>
      </c>
      <c r="AB194" s="122" t="s">
        <v>8639</v>
      </c>
      <c r="AC194" s="141" t="s">
        <v>635</v>
      </c>
      <c r="AD194" s="122" t="s">
        <v>8640</v>
      </c>
      <c r="AE194" s="122" t="s">
        <v>235</v>
      </c>
      <c r="AF194" s="122" t="s">
        <v>8641</v>
      </c>
      <c r="AG194" s="122" t="s">
        <v>537</v>
      </c>
      <c r="AH194" s="122" t="s">
        <v>253</v>
      </c>
      <c r="AI194" s="122" t="s">
        <v>8642</v>
      </c>
      <c r="AJ194" s="122" t="s">
        <v>6715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253</v>
      </c>
      <c r="AS194" s="141" t="s">
        <v>601</v>
      </c>
      <c r="AT194" s="141" t="s">
        <v>601</v>
      </c>
      <c r="AU194" s="141" t="s">
        <v>258</v>
      </c>
      <c r="AV194" s="122" t="s">
        <v>259</v>
      </c>
      <c r="AW194" s="122" t="s">
        <v>260</v>
      </c>
      <c r="AX194" s="141" t="s">
        <v>7811</v>
      </c>
      <c r="AY194" s="141" t="s">
        <v>603</v>
      </c>
      <c r="AZ194" s="122" t="s">
        <v>8643</v>
      </c>
      <c r="BA194" s="122" t="s">
        <v>262</v>
      </c>
      <c r="BB194" s="122" t="s">
        <v>8643</v>
      </c>
      <c r="BD194" s="122" t="s">
        <v>253</v>
      </c>
      <c r="BE194" s="122" t="s">
        <v>263</v>
      </c>
      <c r="BF194" s="122" t="s">
        <v>2811</v>
      </c>
      <c r="BH194" s="122" t="s">
        <v>2802</v>
      </c>
      <c r="BI194" s="142">
        <v>17</v>
      </c>
    </row>
    <row r="195" spans="1:65" x14ac:dyDescent="0.25">
      <c r="A195" s="122" t="s">
        <v>6059</v>
      </c>
      <c r="B195" s="122" t="s">
        <v>8644</v>
      </c>
      <c r="C195" s="122" t="s">
        <v>8645</v>
      </c>
      <c r="D195" s="122" t="s">
        <v>8646</v>
      </c>
      <c r="E195" s="123">
        <v>42226</v>
      </c>
      <c r="F195" s="122" t="s">
        <v>6720</v>
      </c>
      <c r="G195" s="122" t="s">
        <v>235</v>
      </c>
      <c r="H195" s="122" t="s">
        <v>448</v>
      </c>
      <c r="I195" s="122" t="s">
        <v>8647</v>
      </c>
      <c r="K195" s="122" t="s">
        <v>238</v>
      </c>
      <c r="L195" s="122" t="s">
        <v>346</v>
      </c>
      <c r="M195" s="122" t="s">
        <v>3018</v>
      </c>
      <c r="O195" s="141" t="s">
        <v>2526</v>
      </c>
      <c r="P195" s="141" t="s">
        <v>8648</v>
      </c>
      <c r="Q195" s="122" t="s">
        <v>243</v>
      </c>
      <c r="R195" s="142">
        <v>18</v>
      </c>
      <c r="S195" s="122" t="s">
        <v>8649</v>
      </c>
      <c r="U195" s="122" t="s">
        <v>2802</v>
      </c>
      <c r="W195" s="122" t="s">
        <v>246</v>
      </c>
      <c r="X195" s="122" t="s">
        <v>853</v>
      </c>
      <c r="Y195" s="141" t="s">
        <v>2804</v>
      </c>
      <c r="Z195" s="122" t="s">
        <v>8650</v>
      </c>
      <c r="AA195" s="141" t="s">
        <v>1423</v>
      </c>
      <c r="AB195" s="122" t="s">
        <v>8651</v>
      </c>
      <c r="AC195" s="141" t="s">
        <v>283</v>
      </c>
      <c r="AD195" s="122" t="s">
        <v>8652</v>
      </c>
      <c r="AE195" s="122" t="s">
        <v>235</v>
      </c>
      <c r="AF195" s="122" t="s">
        <v>8653</v>
      </c>
      <c r="AG195" s="122" t="s">
        <v>537</v>
      </c>
      <c r="AH195" s="122" t="s">
        <v>253</v>
      </c>
      <c r="AI195" s="122" t="s">
        <v>8654</v>
      </c>
      <c r="AJ195" s="122" t="s">
        <v>8655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247</v>
      </c>
      <c r="AP195" s="141" t="s">
        <v>247</v>
      </c>
      <c r="AQ195" s="141" t="s">
        <v>253</v>
      </c>
      <c r="AR195" s="141" t="s">
        <v>253</v>
      </c>
      <c r="AS195" s="141" t="s">
        <v>601</v>
      </c>
      <c r="AT195" s="141" t="s">
        <v>258</v>
      </c>
      <c r="AU195" s="141" t="s">
        <v>258</v>
      </c>
      <c r="AV195" s="122" t="s">
        <v>259</v>
      </c>
      <c r="AW195" s="122" t="s">
        <v>260</v>
      </c>
      <c r="AY195" s="141" t="s">
        <v>253</v>
      </c>
      <c r="AZ195" s="122" t="s">
        <v>262</v>
      </c>
      <c r="BA195" s="122" t="s">
        <v>262</v>
      </c>
      <c r="BB195" s="122" t="s">
        <v>8656</v>
      </c>
      <c r="BD195" s="122" t="s">
        <v>253</v>
      </c>
      <c r="BE195" s="122" t="s">
        <v>263</v>
      </c>
      <c r="BF195" s="122" t="s">
        <v>2811</v>
      </c>
      <c r="BH195" s="122" t="s">
        <v>2802</v>
      </c>
      <c r="BI195" s="142">
        <v>18</v>
      </c>
      <c r="BJ195" s="123">
        <v>42235</v>
      </c>
      <c r="BK195" s="139" t="s">
        <v>264</v>
      </c>
      <c r="BL195" s="140">
        <v>363.51</v>
      </c>
      <c r="BM195" s="122">
        <v>34</v>
      </c>
    </row>
    <row r="196" spans="1:65" x14ac:dyDescent="0.25">
      <c r="A196" s="122" t="s">
        <v>6059</v>
      </c>
      <c r="B196" s="122" t="s">
        <v>8657</v>
      </c>
      <c r="C196" s="122" t="s">
        <v>8658</v>
      </c>
      <c r="D196" s="122" t="s">
        <v>8659</v>
      </c>
      <c r="E196" s="123">
        <v>42226</v>
      </c>
      <c r="F196" s="122" t="s">
        <v>304</v>
      </c>
      <c r="G196" s="122" t="s">
        <v>235</v>
      </c>
      <c r="H196" s="122" t="s">
        <v>8660</v>
      </c>
      <c r="I196" s="122" t="s">
        <v>8661</v>
      </c>
      <c r="K196" s="122" t="s">
        <v>238</v>
      </c>
      <c r="L196" s="122" t="s">
        <v>346</v>
      </c>
      <c r="M196" s="122" t="s">
        <v>3018</v>
      </c>
      <c r="N196" s="122" t="s">
        <v>8662</v>
      </c>
      <c r="O196" s="141" t="s">
        <v>548</v>
      </c>
      <c r="P196" s="141" t="s">
        <v>8663</v>
      </c>
      <c r="Q196" s="122" t="s">
        <v>243</v>
      </c>
      <c r="R196" s="142">
        <v>19</v>
      </c>
      <c r="S196" s="122" t="s">
        <v>8664</v>
      </c>
      <c r="U196" s="122" t="s">
        <v>2802</v>
      </c>
      <c r="W196" s="122" t="s">
        <v>246</v>
      </c>
      <c r="X196" s="122" t="s">
        <v>1643</v>
      </c>
      <c r="Z196" s="122" t="s">
        <v>250</v>
      </c>
      <c r="AB196" s="122" t="s">
        <v>250</v>
      </c>
      <c r="AD196" s="122" t="s">
        <v>250</v>
      </c>
      <c r="AE196" s="122" t="s">
        <v>235</v>
      </c>
      <c r="AF196" s="122" t="s">
        <v>8665</v>
      </c>
      <c r="AG196" s="122" t="s">
        <v>253</v>
      </c>
      <c r="AH196" s="122" t="s">
        <v>253</v>
      </c>
      <c r="AI196" s="122" t="s">
        <v>8666</v>
      </c>
      <c r="AJ196" s="122" t="s">
        <v>8667</v>
      </c>
      <c r="AK196" s="122" t="s">
        <v>8668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253</v>
      </c>
      <c r="AR196" s="141" t="s">
        <v>253</v>
      </c>
      <c r="AS196" s="141" t="s">
        <v>601</v>
      </c>
      <c r="AT196" s="141" t="s">
        <v>258</v>
      </c>
      <c r="AU196" s="141" t="s">
        <v>258</v>
      </c>
      <c r="AV196" s="122" t="s">
        <v>259</v>
      </c>
      <c r="AW196" s="122" t="s">
        <v>260</v>
      </c>
      <c r="AY196" s="141" t="s">
        <v>253</v>
      </c>
      <c r="AZ196" s="122" t="s">
        <v>8669</v>
      </c>
      <c r="BA196" s="122" t="s">
        <v>262</v>
      </c>
      <c r="BB196" s="122" t="s">
        <v>262</v>
      </c>
      <c r="BD196" s="122" t="s">
        <v>253</v>
      </c>
      <c r="BE196" s="122" t="s">
        <v>263</v>
      </c>
      <c r="BF196" s="122" t="s">
        <v>2811</v>
      </c>
      <c r="BH196" s="122" t="s">
        <v>2802</v>
      </c>
      <c r="BI196" s="142">
        <v>19</v>
      </c>
      <c r="BJ196" s="123">
        <v>42239</v>
      </c>
      <c r="BK196" s="139" t="s">
        <v>606</v>
      </c>
      <c r="BM196" s="122">
        <v>34</v>
      </c>
    </row>
    <row r="197" spans="1:65" x14ac:dyDescent="0.25">
      <c r="A197" s="122" t="s">
        <v>6059</v>
      </c>
      <c r="B197" s="122" t="s">
        <v>8670</v>
      </c>
      <c r="C197" s="122" t="s">
        <v>8671</v>
      </c>
      <c r="D197" s="122" t="s">
        <v>8672</v>
      </c>
      <c r="E197" s="123">
        <v>42226</v>
      </c>
      <c r="F197" s="122" t="s">
        <v>877</v>
      </c>
      <c r="G197" s="122" t="s">
        <v>235</v>
      </c>
      <c r="H197" s="122" t="s">
        <v>8673</v>
      </c>
      <c r="I197" s="122" t="s">
        <v>8674</v>
      </c>
      <c r="J197" s="122" t="s">
        <v>1560</v>
      </c>
      <c r="K197" s="122" t="s">
        <v>238</v>
      </c>
      <c r="L197" s="122" t="s">
        <v>346</v>
      </c>
      <c r="M197" s="122" t="s">
        <v>3050</v>
      </c>
      <c r="O197" s="141" t="s">
        <v>373</v>
      </c>
      <c r="P197" s="141" t="s">
        <v>8675</v>
      </c>
      <c r="Q197" s="122" t="s">
        <v>243</v>
      </c>
      <c r="R197" s="142">
        <v>20</v>
      </c>
      <c r="S197" s="122" t="s">
        <v>8676</v>
      </c>
      <c r="U197" s="122" t="s">
        <v>2802</v>
      </c>
      <c r="W197" s="122" t="s">
        <v>246</v>
      </c>
      <c r="X197" s="122" t="s">
        <v>590</v>
      </c>
      <c r="Y197" s="141" t="s">
        <v>304</v>
      </c>
      <c r="Z197" s="122" t="s">
        <v>4191</v>
      </c>
      <c r="AA197" s="141" t="s">
        <v>742</v>
      </c>
      <c r="AB197" s="122" t="s">
        <v>307</v>
      </c>
      <c r="AD197" s="122" t="s">
        <v>250</v>
      </c>
      <c r="AE197" s="122" t="s">
        <v>235</v>
      </c>
      <c r="AF197" s="122" t="s">
        <v>8677</v>
      </c>
      <c r="AG197" s="122" t="s">
        <v>537</v>
      </c>
      <c r="AH197" s="122" t="s">
        <v>253</v>
      </c>
      <c r="AI197" s="122" t="s">
        <v>2473</v>
      </c>
      <c r="AJ197" s="122" t="s">
        <v>8678</v>
      </c>
      <c r="AK197" s="122" t="s">
        <v>253</v>
      </c>
      <c r="AL197" s="122" t="s">
        <v>253</v>
      </c>
      <c r="AM197" s="122" t="s">
        <v>253</v>
      </c>
      <c r="AN197" s="122" t="s">
        <v>253</v>
      </c>
      <c r="AO197" s="141" t="s">
        <v>253</v>
      </c>
      <c r="AP197" s="141" t="s">
        <v>253</v>
      </c>
      <c r="AQ197" s="141" t="s">
        <v>247</v>
      </c>
      <c r="AR197" s="141" t="s">
        <v>253</v>
      </c>
      <c r="AS197" s="141" t="s">
        <v>361</v>
      </c>
      <c r="AT197" s="141" t="s">
        <v>601</v>
      </c>
      <c r="AU197" s="141" t="s">
        <v>258</v>
      </c>
      <c r="AV197" s="122" t="s">
        <v>259</v>
      </c>
      <c r="AW197" s="122" t="s">
        <v>260</v>
      </c>
      <c r="AY197" s="141" t="s">
        <v>253</v>
      </c>
      <c r="AZ197" s="122" t="s">
        <v>8679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2811</v>
      </c>
      <c r="BH197" s="122" t="s">
        <v>2802</v>
      </c>
      <c r="BI197" s="142">
        <v>20</v>
      </c>
    </row>
    <row r="198" spans="1:65" x14ac:dyDescent="0.25">
      <c r="A198" s="122" t="s">
        <v>6059</v>
      </c>
      <c r="B198" s="122" t="s">
        <v>8680</v>
      </c>
      <c r="C198" s="122" t="s">
        <v>8681</v>
      </c>
      <c r="D198" s="122" t="s">
        <v>8682</v>
      </c>
      <c r="E198" s="123">
        <v>42226</v>
      </c>
      <c r="F198" s="122" t="s">
        <v>394</v>
      </c>
      <c r="G198" s="122" t="s">
        <v>235</v>
      </c>
      <c r="H198" s="122" t="s">
        <v>8683</v>
      </c>
      <c r="I198" s="122" t="s">
        <v>8684</v>
      </c>
      <c r="K198" s="122" t="s">
        <v>238</v>
      </c>
      <c r="L198" s="122" t="s">
        <v>346</v>
      </c>
      <c r="M198" s="122" t="s">
        <v>2830</v>
      </c>
      <c r="Q198" s="122" t="s">
        <v>243</v>
      </c>
      <c r="R198" s="142">
        <v>21</v>
      </c>
      <c r="S198" s="122" t="s">
        <v>8685</v>
      </c>
      <c r="U198" s="122" t="s">
        <v>2802</v>
      </c>
      <c r="W198" s="122" t="s">
        <v>246</v>
      </c>
      <c r="X198" s="122" t="s">
        <v>853</v>
      </c>
      <c r="Y198" s="141" t="s">
        <v>1125</v>
      </c>
      <c r="Z198" s="122" t="s">
        <v>1746</v>
      </c>
      <c r="AA198" s="141" t="s">
        <v>417</v>
      </c>
      <c r="AB198" s="122" t="s">
        <v>8219</v>
      </c>
      <c r="AC198" s="141" t="s">
        <v>920</v>
      </c>
      <c r="AD198" s="122" t="s">
        <v>8219</v>
      </c>
      <c r="AE198" s="122" t="s">
        <v>235</v>
      </c>
      <c r="AF198" s="122" t="s">
        <v>8686</v>
      </c>
      <c r="AG198" s="122" t="s">
        <v>537</v>
      </c>
      <c r="AH198" s="122" t="s">
        <v>253</v>
      </c>
      <c r="AI198" s="122" t="s">
        <v>1715</v>
      </c>
      <c r="AJ198" s="122" t="s">
        <v>8687</v>
      </c>
      <c r="AK198" s="122" t="s">
        <v>253</v>
      </c>
      <c r="AL198" s="122" t="s">
        <v>253</v>
      </c>
      <c r="AM198" s="122" t="s">
        <v>253</v>
      </c>
      <c r="AN198" s="122" t="s">
        <v>253</v>
      </c>
      <c r="AO198" s="141" t="s">
        <v>247</v>
      </c>
      <c r="AP198" s="141" t="s">
        <v>253</v>
      </c>
      <c r="AQ198" s="141" t="s">
        <v>253</v>
      </c>
      <c r="AR198" s="141" t="s">
        <v>253</v>
      </c>
      <c r="AS198" s="141" t="s">
        <v>601</v>
      </c>
      <c r="AT198" s="141" t="s">
        <v>258</v>
      </c>
      <c r="AU198" s="141" t="s">
        <v>258</v>
      </c>
      <c r="AV198" s="122" t="s">
        <v>259</v>
      </c>
      <c r="AW198" s="122" t="s">
        <v>260</v>
      </c>
      <c r="AX198" s="141" t="s">
        <v>8688</v>
      </c>
      <c r="AY198" s="141" t="s">
        <v>442</v>
      </c>
      <c r="AZ198" s="122" t="s">
        <v>8689</v>
      </c>
      <c r="BA198" s="122" t="s">
        <v>262</v>
      </c>
      <c r="BB198" s="122" t="s">
        <v>8690</v>
      </c>
      <c r="BD198" s="122" t="s">
        <v>253</v>
      </c>
      <c r="BE198" s="122" t="s">
        <v>263</v>
      </c>
      <c r="BF198" s="122" t="s">
        <v>2811</v>
      </c>
      <c r="BH198" s="122" t="s">
        <v>2802</v>
      </c>
      <c r="BI198" s="142">
        <v>21</v>
      </c>
    </row>
    <row r="199" spans="1:65" x14ac:dyDescent="0.25">
      <c r="A199" s="122" t="s">
        <v>6059</v>
      </c>
      <c r="B199" s="122" t="s">
        <v>8691</v>
      </c>
      <c r="C199" s="122" t="s">
        <v>8692</v>
      </c>
      <c r="D199" s="122" t="s">
        <v>8693</v>
      </c>
      <c r="E199" s="123">
        <v>42226</v>
      </c>
      <c r="F199" s="122" t="s">
        <v>833</v>
      </c>
      <c r="G199" s="122" t="s">
        <v>235</v>
      </c>
      <c r="H199" s="122" t="s">
        <v>8694</v>
      </c>
      <c r="I199" s="122" t="s">
        <v>3064</v>
      </c>
      <c r="J199" s="122" t="s">
        <v>8695</v>
      </c>
      <c r="K199" s="122" t="s">
        <v>238</v>
      </c>
      <c r="L199" s="122" t="s">
        <v>346</v>
      </c>
      <c r="M199" s="122" t="s">
        <v>585</v>
      </c>
      <c r="O199" s="141" t="s">
        <v>273</v>
      </c>
      <c r="P199" s="141" t="s">
        <v>8696</v>
      </c>
      <c r="Q199" s="122" t="s">
        <v>243</v>
      </c>
      <c r="R199" s="142">
        <v>22</v>
      </c>
      <c r="S199" s="122" t="s">
        <v>8697</v>
      </c>
      <c r="U199" s="122" t="s">
        <v>2802</v>
      </c>
      <c r="W199" s="122" t="s">
        <v>246</v>
      </c>
      <c r="X199" s="122" t="s">
        <v>454</v>
      </c>
      <c r="Z199" s="122" t="s">
        <v>250</v>
      </c>
      <c r="AB199" s="122" t="s">
        <v>250</v>
      </c>
      <c r="AD199" s="122" t="s">
        <v>250</v>
      </c>
      <c r="AE199" s="122" t="s">
        <v>235</v>
      </c>
      <c r="AF199" s="122" t="s">
        <v>8698</v>
      </c>
      <c r="AG199" s="122" t="s">
        <v>537</v>
      </c>
      <c r="AH199" s="122" t="s">
        <v>253</v>
      </c>
      <c r="AI199" s="122" t="s">
        <v>8699</v>
      </c>
      <c r="AJ199" s="122" t="s">
        <v>8700</v>
      </c>
      <c r="AK199" s="122" t="s">
        <v>253</v>
      </c>
      <c r="AL199" s="122" t="s">
        <v>253</v>
      </c>
      <c r="AM199" s="122" t="s">
        <v>253</v>
      </c>
      <c r="AN199" s="122" t="s">
        <v>253</v>
      </c>
      <c r="AO199" s="141" t="s">
        <v>247</v>
      </c>
      <c r="AP199" s="141" t="s">
        <v>247</v>
      </c>
      <c r="AQ199" s="141" t="s">
        <v>247</v>
      </c>
      <c r="AR199" s="141" t="s">
        <v>253</v>
      </c>
      <c r="AS199" s="141" t="s">
        <v>601</v>
      </c>
      <c r="AT199" s="141" t="s">
        <v>601</v>
      </c>
      <c r="AU199" s="141" t="s">
        <v>258</v>
      </c>
      <c r="AV199" s="122" t="s">
        <v>259</v>
      </c>
      <c r="AW199" s="122" t="s">
        <v>260</v>
      </c>
      <c r="AY199" s="141" t="s">
        <v>253</v>
      </c>
      <c r="AZ199" s="122" t="s">
        <v>8701</v>
      </c>
      <c r="BA199" s="122" t="s">
        <v>262</v>
      </c>
      <c r="BB199" s="122" t="s">
        <v>262</v>
      </c>
      <c r="BD199" s="122" t="s">
        <v>253</v>
      </c>
      <c r="BE199" s="122" t="s">
        <v>263</v>
      </c>
      <c r="BF199" s="122" t="s">
        <v>2811</v>
      </c>
      <c r="BH199" s="122" t="s">
        <v>2802</v>
      </c>
      <c r="BI199" s="142">
        <v>22</v>
      </c>
    </row>
    <row r="200" spans="1:65" x14ac:dyDescent="0.25">
      <c r="A200" s="122" t="s">
        <v>6735</v>
      </c>
      <c r="B200" s="122" t="s">
        <v>8702</v>
      </c>
      <c r="C200" s="122" t="s">
        <v>8703</v>
      </c>
      <c r="D200" s="122" t="s">
        <v>8704</v>
      </c>
      <c r="E200" s="123">
        <v>42226</v>
      </c>
      <c r="F200" s="122" t="s">
        <v>784</v>
      </c>
      <c r="G200" s="122" t="s">
        <v>235</v>
      </c>
      <c r="H200" s="122" t="s">
        <v>8705</v>
      </c>
      <c r="I200" s="122" t="s">
        <v>2950</v>
      </c>
      <c r="J200" s="122" t="s">
        <v>8706</v>
      </c>
      <c r="K200" s="122" t="s">
        <v>238</v>
      </c>
      <c r="L200" s="122" t="s">
        <v>346</v>
      </c>
      <c r="M200" s="122" t="s">
        <v>2830</v>
      </c>
      <c r="O200" s="141" t="s">
        <v>566</v>
      </c>
      <c r="P200" s="141" t="s">
        <v>8707</v>
      </c>
      <c r="Q200" s="122" t="s">
        <v>243</v>
      </c>
      <c r="R200" s="142">
        <v>23</v>
      </c>
      <c r="S200" s="122" t="s">
        <v>8708</v>
      </c>
      <c r="T200" s="122" t="s">
        <v>8709</v>
      </c>
      <c r="U200" s="122" t="s">
        <v>2802</v>
      </c>
      <c r="W200" s="122" t="s">
        <v>246</v>
      </c>
      <c r="X200" s="122" t="s">
        <v>1121</v>
      </c>
      <c r="Y200" s="141" t="s">
        <v>1421</v>
      </c>
      <c r="Z200" s="122" t="s">
        <v>1091</v>
      </c>
      <c r="AA200" s="141" t="s">
        <v>234</v>
      </c>
      <c r="AB200" s="122" t="s">
        <v>8710</v>
      </c>
      <c r="AC200" s="141" t="s">
        <v>3344</v>
      </c>
      <c r="AD200" s="122" t="s">
        <v>8711</v>
      </c>
      <c r="AE200" s="122" t="s">
        <v>235</v>
      </c>
      <c r="AF200" s="122" t="s">
        <v>8712</v>
      </c>
      <c r="AG200" s="122" t="s">
        <v>537</v>
      </c>
      <c r="AH200" s="122" t="s">
        <v>253</v>
      </c>
      <c r="AI200" s="122" t="s">
        <v>8713</v>
      </c>
      <c r="AJ200" s="122" t="s">
        <v>8714</v>
      </c>
      <c r="AK200" s="122" t="s">
        <v>253</v>
      </c>
      <c r="AL200" s="122" t="s">
        <v>253</v>
      </c>
      <c r="AM200" s="122" t="s">
        <v>253</v>
      </c>
      <c r="AN200" s="122" t="s">
        <v>253</v>
      </c>
      <c r="AO200" s="141" t="s">
        <v>247</v>
      </c>
      <c r="AP200" s="141" t="s">
        <v>247</v>
      </c>
      <c r="AQ200" s="141" t="s">
        <v>253</v>
      </c>
      <c r="AR200" s="141" t="s">
        <v>253</v>
      </c>
      <c r="AS200" s="141" t="s">
        <v>601</v>
      </c>
      <c r="AT200" s="141" t="s">
        <v>258</v>
      </c>
      <c r="AU200" s="141" t="s">
        <v>258</v>
      </c>
      <c r="AV200" s="122" t="s">
        <v>259</v>
      </c>
      <c r="AW200" s="122" t="s">
        <v>260</v>
      </c>
      <c r="AX200" s="141" t="s">
        <v>1351</v>
      </c>
      <c r="AY200" s="141" t="s">
        <v>247</v>
      </c>
      <c r="AZ200" s="122" t="s">
        <v>8715</v>
      </c>
      <c r="BA200" s="122" t="s">
        <v>262</v>
      </c>
      <c r="BB200" s="122" t="s">
        <v>262</v>
      </c>
      <c r="BD200" s="122" t="s">
        <v>253</v>
      </c>
      <c r="BE200" s="122" t="s">
        <v>263</v>
      </c>
      <c r="BF200" s="122" t="s">
        <v>2811</v>
      </c>
      <c r="BH200" s="122" t="s">
        <v>2802</v>
      </c>
      <c r="BI200" s="142">
        <v>23</v>
      </c>
      <c r="BJ200" s="123">
        <v>42239</v>
      </c>
      <c r="BK200" s="139" t="s">
        <v>606</v>
      </c>
      <c r="BM200" s="122">
        <v>34</v>
      </c>
    </row>
    <row r="201" spans="1:65" x14ac:dyDescent="0.25">
      <c r="A201" s="122" t="s">
        <v>6735</v>
      </c>
      <c r="B201" s="122" t="s">
        <v>8716</v>
      </c>
      <c r="C201" s="122" t="s">
        <v>8717</v>
      </c>
      <c r="D201" s="122" t="s">
        <v>8718</v>
      </c>
      <c r="E201" s="123">
        <v>42226</v>
      </c>
      <c r="F201" s="122" t="s">
        <v>1116</v>
      </c>
      <c r="G201" s="122" t="s">
        <v>235</v>
      </c>
      <c r="H201" s="122" t="s">
        <v>8719</v>
      </c>
      <c r="I201" s="122" t="s">
        <v>3081</v>
      </c>
      <c r="J201" s="122" t="s">
        <v>8720</v>
      </c>
      <c r="K201" s="122" t="s">
        <v>238</v>
      </c>
      <c r="L201" s="122" t="s">
        <v>346</v>
      </c>
      <c r="M201" s="122" t="s">
        <v>2963</v>
      </c>
      <c r="O201" s="141" t="s">
        <v>451</v>
      </c>
      <c r="P201" s="141" t="s">
        <v>8721</v>
      </c>
      <c r="Q201" s="122" t="s">
        <v>243</v>
      </c>
      <c r="R201" s="142">
        <v>24</v>
      </c>
      <c r="S201" s="122" t="s">
        <v>8722</v>
      </c>
      <c r="U201" s="122" t="s">
        <v>2802</v>
      </c>
      <c r="W201" s="122" t="s">
        <v>246</v>
      </c>
      <c r="X201" s="122" t="s">
        <v>1121</v>
      </c>
      <c r="Y201" s="141" t="s">
        <v>593</v>
      </c>
      <c r="Z201" s="122" t="s">
        <v>8723</v>
      </c>
      <c r="AA201" s="141" t="s">
        <v>511</v>
      </c>
      <c r="AB201" s="122" t="s">
        <v>8724</v>
      </c>
      <c r="AC201" s="141" t="s">
        <v>1498</v>
      </c>
      <c r="AD201" s="122" t="s">
        <v>8724</v>
      </c>
      <c r="AE201" s="122" t="s">
        <v>235</v>
      </c>
      <c r="AF201" s="122" t="s">
        <v>8725</v>
      </c>
      <c r="AG201" s="122" t="s">
        <v>537</v>
      </c>
      <c r="AH201" s="122" t="s">
        <v>253</v>
      </c>
      <c r="AI201" s="122" t="s">
        <v>8726</v>
      </c>
      <c r="AJ201" s="122" t="s">
        <v>8727</v>
      </c>
      <c r="AK201" s="122" t="s">
        <v>253</v>
      </c>
      <c r="AL201" s="122" t="s">
        <v>253</v>
      </c>
      <c r="AM201" s="122" t="s">
        <v>253</v>
      </c>
      <c r="AN201" s="122" t="s">
        <v>253</v>
      </c>
      <c r="AO201" s="141" t="s">
        <v>247</v>
      </c>
      <c r="AP201" s="141" t="s">
        <v>247</v>
      </c>
      <c r="AQ201" s="141" t="s">
        <v>247</v>
      </c>
      <c r="AR201" s="141" t="s">
        <v>247</v>
      </c>
      <c r="AS201" s="141" t="s">
        <v>601</v>
      </c>
      <c r="AT201" s="141" t="s">
        <v>601</v>
      </c>
      <c r="AU201" s="141" t="s">
        <v>601</v>
      </c>
      <c r="AV201" s="122" t="s">
        <v>259</v>
      </c>
      <c r="AW201" s="122" t="s">
        <v>260</v>
      </c>
      <c r="AY201" s="141" t="s">
        <v>253</v>
      </c>
      <c r="AZ201" s="122" t="s">
        <v>8728</v>
      </c>
      <c r="BA201" s="122" t="s">
        <v>262</v>
      </c>
      <c r="BB201" s="122" t="s">
        <v>262</v>
      </c>
      <c r="BD201" s="122" t="s">
        <v>253</v>
      </c>
      <c r="BE201" s="122" t="s">
        <v>263</v>
      </c>
      <c r="BF201" s="122" t="s">
        <v>2811</v>
      </c>
      <c r="BH201" s="122" t="s">
        <v>2802</v>
      </c>
      <c r="BI201" s="142">
        <v>24</v>
      </c>
    </row>
    <row r="202" spans="1:65" x14ac:dyDescent="0.25">
      <c r="A202" s="122" t="s">
        <v>6735</v>
      </c>
      <c r="B202" s="122" t="s">
        <v>8729</v>
      </c>
      <c r="C202" s="122" t="s">
        <v>8730</v>
      </c>
      <c r="D202" s="122" t="s">
        <v>8731</v>
      </c>
      <c r="E202" s="123">
        <v>42226</v>
      </c>
      <c r="F202" s="122" t="s">
        <v>500</v>
      </c>
      <c r="G202" s="122" t="s">
        <v>235</v>
      </c>
      <c r="H202" s="122" t="s">
        <v>448</v>
      </c>
      <c r="I202" s="122" t="s">
        <v>3081</v>
      </c>
      <c r="J202" s="122" t="s">
        <v>8732</v>
      </c>
      <c r="K202" s="122" t="s">
        <v>238</v>
      </c>
      <c r="L202" s="122" t="s">
        <v>346</v>
      </c>
      <c r="M202" s="122" t="s">
        <v>2963</v>
      </c>
      <c r="O202" s="141" t="s">
        <v>1240</v>
      </c>
      <c r="P202" s="141" t="s">
        <v>8733</v>
      </c>
      <c r="Q202" s="122" t="s">
        <v>243</v>
      </c>
      <c r="R202" s="142">
        <v>25</v>
      </c>
      <c r="S202" s="122" t="s">
        <v>8734</v>
      </c>
      <c r="U202" s="122" t="s">
        <v>2802</v>
      </c>
      <c r="W202" s="122" t="s">
        <v>246</v>
      </c>
      <c r="X202" s="122" t="s">
        <v>739</v>
      </c>
      <c r="Z202" s="122" t="s">
        <v>250</v>
      </c>
      <c r="AB202" s="122" t="s">
        <v>250</v>
      </c>
      <c r="AD202" s="122" t="s">
        <v>250</v>
      </c>
      <c r="AE202" s="122" t="s">
        <v>235</v>
      </c>
      <c r="AF202" s="122" t="s">
        <v>8735</v>
      </c>
      <c r="AG202" s="122" t="s">
        <v>537</v>
      </c>
      <c r="AH202" s="122" t="s">
        <v>253</v>
      </c>
      <c r="AI202" s="122" t="s">
        <v>8736</v>
      </c>
      <c r="AJ202" s="122" t="s">
        <v>8737</v>
      </c>
      <c r="AK202" s="122" t="s">
        <v>253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247</v>
      </c>
      <c r="AR202" s="141" t="s">
        <v>253</v>
      </c>
      <c r="AS202" s="141" t="s">
        <v>601</v>
      </c>
      <c r="AT202" s="141" t="s">
        <v>601</v>
      </c>
      <c r="AU202" s="141" t="s">
        <v>258</v>
      </c>
      <c r="AV202" s="122" t="s">
        <v>259</v>
      </c>
      <c r="AW202" s="122" t="s">
        <v>260</v>
      </c>
      <c r="AY202" s="141" t="s">
        <v>253</v>
      </c>
      <c r="AZ202" s="122" t="s">
        <v>262</v>
      </c>
      <c r="BA202" s="122" t="s">
        <v>262</v>
      </c>
      <c r="BB202" s="122" t="s">
        <v>262</v>
      </c>
      <c r="BD202" s="122" t="s">
        <v>253</v>
      </c>
      <c r="BE202" s="122" t="s">
        <v>263</v>
      </c>
      <c r="BF202" s="122" t="s">
        <v>2811</v>
      </c>
      <c r="BH202" s="122" t="s">
        <v>2802</v>
      </c>
      <c r="BI202" s="142">
        <v>25</v>
      </c>
    </row>
    <row r="203" spans="1:65" x14ac:dyDescent="0.25">
      <c r="A203" s="122" t="s">
        <v>6735</v>
      </c>
      <c r="B203" s="122" t="s">
        <v>8738</v>
      </c>
      <c r="C203" s="122" t="s">
        <v>8739</v>
      </c>
      <c r="D203" s="122" t="s">
        <v>8740</v>
      </c>
      <c r="E203" s="123">
        <v>42226</v>
      </c>
      <c r="F203" s="122" t="s">
        <v>1398</v>
      </c>
      <c r="G203" s="122" t="s">
        <v>235</v>
      </c>
      <c r="H203" s="122" t="s">
        <v>8741</v>
      </c>
      <c r="I203" s="122" t="s">
        <v>8742</v>
      </c>
      <c r="J203" s="122" t="s">
        <v>8743</v>
      </c>
      <c r="K203" s="122" t="s">
        <v>238</v>
      </c>
      <c r="L203" s="122" t="s">
        <v>346</v>
      </c>
      <c r="M203" s="122" t="s">
        <v>2963</v>
      </c>
      <c r="N203" s="122" t="s">
        <v>8744</v>
      </c>
      <c r="O203" s="141" t="s">
        <v>2442</v>
      </c>
      <c r="P203" s="141" t="s">
        <v>8745</v>
      </c>
      <c r="Q203" s="122" t="s">
        <v>243</v>
      </c>
      <c r="R203" s="142">
        <v>26</v>
      </c>
      <c r="S203" s="122" t="s">
        <v>8746</v>
      </c>
      <c r="U203" s="122" t="s">
        <v>2802</v>
      </c>
      <c r="W203" s="122" t="s">
        <v>246</v>
      </c>
      <c r="X203" s="122" t="s">
        <v>1057</v>
      </c>
      <c r="Y203" s="141" t="s">
        <v>593</v>
      </c>
      <c r="Z203" s="122" t="s">
        <v>8747</v>
      </c>
      <c r="AB203" s="122" t="s">
        <v>250</v>
      </c>
      <c r="AD203" s="122" t="s">
        <v>250</v>
      </c>
      <c r="AE203" s="122" t="s">
        <v>235</v>
      </c>
      <c r="AF203" s="122" t="s">
        <v>8748</v>
      </c>
      <c r="AG203" s="122" t="s">
        <v>747</v>
      </c>
      <c r="AH203" s="122" t="s">
        <v>253</v>
      </c>
      <c r="AI203" s="122" t="s">
        <v>8749</v>
      </c>
      <c r="AJ203" s="122" t="s">
        <v>8750</v>
      </c>
      <c r="AK203" s="122" t="s">
        <v>8751</v>
      </c>
      <c r="AL203" s="122" t="s">
        <v>253</v>
      </c>
      <c r="AM203" s="122" t="s">
        <v>253</v>
      </c>
      <c r="AN203" s="122" t="s">
        <v>253</v>
      </c>
      <c r="AO203" s="141" t="s">
        <v>247</v>
      </c>
      <c r="AP203" s="141" t="s">
        <v>253</v>
      </c>
      <c r="AQ203" s="141" t="s">
        <v>247</v>
      </c>
      <c r="AR203" s="141" t="s">
        <v>247</v>
      </c>
      <c r="AS203" s="141" t="s">
        <v>601</v>
      </c>
      <c r="AT203" s="141" t="s">
        <v>601</v>
      </c>
      <c r="AU203" s="141" t="s">
        <v>601</v>
      </c>
      <c r="AV203" s="122" t="s">
        <v>259</v>
      </c>
      <c r="AW203" s="122" t="s">
        <v>260</v>
      </c>
      <c r="AX203" s="141" t="s">
        <v>2029</v>
      </c>
      <c r="AY203" s="141" t="s">
        <v>247</v>
      </c>
      <c r="AZ203" s="122" t="s">
        <v>8752</v>
      </c>
      <c r="BA203" s="122" t="s">
        <v>262</v>
      </c>
      <c r="BB203" s="122" t="s">
        <v>262</v>
      </c>
      <c r="BD203" s="122" t="s">
        <v>253</v>
      </c>
      <c r="BE203" s="122" t="s">
        <v>263</v>
      </c>
      <c r="BF203" s="122" t="s">
        <v>2811</v>
      </c>
      <c r="BH203" s="122" t="s">
        <v>2802</v>
      </c>
      <c r="BI203" s="142">
        <v>26</v>
      </c>
      <c r="BJ203" s="123">
        <v>42239</v>
      </c>
      <c r="BK203" s="139" t="s">
        <v>606</v>
      </c>
      <c r="BM203" s="122">
        <v>34</v>
      </c>
    </row>
    <row r="204" spans="1:65" x14ac:dyDescent="0.25">
      <c r="A204" s="122" t="s">
        <v>6735</v>
      </c>
      <c r="B204" s="122" t="s">
        <v>8753</v>
      </c>
      <c r="C204" s="122" t="s">
        <v>8754</v>
      </c>
      <c r="D204" s="122" t="s">
        <v>8755</v>
      </c>
      <c r="E204" s="123">
        <v>42226</v>
      </c>
      <c r="F204" s="122" t="s">
        <v>1325</v>
      </c>
      <c r="G204" s="122" t="s">
        <v>235</v>
      </c>
      <c r="H204" s="122" t="s">
        <v>8756</v>
      </c>
      <c r="I204" s="122" t="s">
        <v>8757</v>
      </c>
      <c r="K204" s="122" t="s">
        <v>238</v>
      </c>
      <c r="L204" s="122" t="s">
        <v>346</v>
      </c>
      <c r="M204" s="122" t="s">
        <v>2237</v>
      </c>
      <c r="Q204" s="122" t="s">
        <v>243</v>
      </c>
      <c r="R204" s="142">
        <v>27</v>
      </c>
      <c r="S204" s="122" t="s">
        <v>8758</v>
      </c>
      <c r="U204" s="122" t="s">
        <v>2802</v>
      </c>
      <c r="W204" s="122" t="s">
        <v>246</v>
      </c>
      <c r="X204" s="122" t="s">
        <v>1057</v>
      </c>
      <c r="Y204" s="141" t="s">
        <v>956</v>
      </c>
      <c r="Z204" s="122" t="s">
        <v>8759</v>
      </c>
      <c r="AA204" s="141" t="s">
        <v>248</v>
      </c>
      <c r="AB204" s="122" t="s">
        <v>1326</v>
      </c>
      <c r="AD204" s="122" t="s">
        <v>250</v>
      </c>
      <c r="AE204" s="122" t="s">
        <v>235</v>
      </c>
      <c r="AF204" s="122" t="s">
        <v>8760</v>
      </c>
      <c r="AG204" s="122" t="s">
        <v>537</v>
      </c>
      <c r="AH204" s="122" t="s">
        <v>253</v>
      </c>
      <c r="AI204" s="122" t="s">
        <v>8761</v>
      </c>
      <c r="AJ204" s="122" t="s">
        <v>2074</v>
      </c>
      <c r="AK204" s="122" t="s">
        <v>253</v>
      </c>
      <c r="AL204" s="122" t="s">
        <v>253</v>
      </c>
      <c r="AM204" s="122" t="s">
        <v>253</v>
      </c>
      <c r="AN204" s="122" t="s">
        <v>253</v>
      </c>
      <c r="AO204" s="141" t="s">
        <v>247</v>
      </c>
      <c r="AP204" s="141" t="s">
        <v>253</v>
      </c>
      <c r="AQ204" s="141" t="s">
        <v>253</v>
      </c>
      <c r="AR204" s="141" t="s">
        <v>253</v>
      </c>
      <c r="AS204" s="141" t="s">
        <v>601</v>
      </c>
      <c r="AT204" s="141" t="s">
        <v>258</v>
      </c>
      <c r="AU204" s="141" t="s">
        <v>258</v>
      </c>
      <c r="AV204" s="122" t="s">
        <v>259</v>
      </c>
      <c r="AW204" s="122" t="s">
        <v>260</v>
      </c>
      <c r="AY204" s="141" t="s">
        <v>253</v>
      </c>
      <c r="AZ204" s="122" t="s">
        <v>8762</v>
      </c>
      <c r="BA204" s="122" t="s">
        <v>262</v>
      </c>
      <c r="BB204" s="122" t="s">
        <v>262</v>
      </c>
      <c r="BD204" s="122" t="s">
        <v>253</v>
      </c>
      <c r="BE204" s="122" t="s">
        <v>263</v>
      </c>
      <c r="BF204" s="122" t="s">
        <v>2811</v>
      </c>
      <c r="BH204" s="122" t="s">
        <v>2802</v>
      </c>
      <c r="BI204" s="142">
        <v>27</v>
      </c>
      <c r="BJ204" s="123">
        <v>42237</v>
      </c>
      <c r="BK204" s="139" t="s">
        <v>264</v>
      </c>
      <c r="BL204" s="140">
        <v>167.25</v>
      </c>
      <c r="BM204" s="122">
        <v>34</v>
      </c>
    </row>
    <row r="205" spans="1:65" x14ac:dyDescent="0.25">
      <c r="A205" s="122" t="s">
        <v>6735</v>
      </c>
      <c r="B205" s="122" t="s">
        <v>8763</v>
      </c>
      <c r="C205" s="122" t="s">
        <v>8764</v>
      </c>
      <c r="D205" s="122" t="s">
        <v>8765</v>
      </c>
      <c r="E205" s="123">
        <v>42226</v>
      </c>
      <c r="F205" s="122" t="s">
        <v>6760</v>
      </c>
      <c r="G205" s="122" t="s">
        <v>235</v>
      </c>
      <c r="H205" s="122" t="s">
        <v>8766</v>
      </c>
      <c r="I205" s="122" t="s">
        <v>8767</v>
      </c>
      <c r="K205" s="122" t="s">
        <v>238</v>
      </c>
      <c r="L205" s="122" t="s">
        <v>346</v>
      </c>
      <c r="M205" s="122" t="s">
        <v>347</v>
      </c>
      <c r="Q205" s="122" t="s">
        <v>243</v>
      </c>
      <c r="R205" s="142">
        <v>28</v>
      </c>
      <c r="S205" s="122" t="s">
        <v>8768</v>
      </c>
      <c r="U205" s="122" t="s">
        <v>2802</v>
      </c>
      <c r="W205" s="122" t="s">
        <v>246</v>
      </c>
      <c r="X205" s="122" t="s">
        <v>497</v>
      </c>
      <c r="Y205" s="141" t="s">
        <v>593</v>
      </c>
      <c r="Z205" s="122" t="s">
        <v>518</v>
      </c>
      <c r="AA205" s="141" t="s">
        <v>595</v>
      </c>
      <c r="AB205" s="122" t="s">
        <v>8769</v>
      </c>
      <c r="AC205" s="141" t="s">
        <v>1023</v>
      </c>
      <c r="AD205" s="122" t="s">
        <v>8770</v>
      </c>
      <c r="AE205" s="122" t="s">
        <v>235</v>
      </c>
      <c r="AF205" s="122" t="s">
        <v>8771</v>
      </c>
      <c r="AG205" s="122" t="s">
        <v>537</v>
      </c>
      <c r="AH205" s="122" t="s">
        <v>253</v>
      </c>
      <c r="AI205" s="122" t="s">
        <v>8772</v>
      </c>
      <c r="AJ205" s="122" t="s">
        <v>8773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247</v>
      </c>
      <c r="AQ205" s="141" t="s">
        <v>253</v>
      </c>
      <c r="AR205" s="141" t="s">
        <v>253</v>
      </c>
      <c r="AS205" s="141" t="s">
        <v>601</v>
      </c>
      <c r="AT205" s="141" t="s">
        <v>258</v>
      </c>
      <c r="AU205" s="141" t="s">
        <v>258</v>
      </c>
      <c r="AV205" s="122" t="s">
        <v>259</v>
      </c>
      <c r="AW205" s="122" t="s">
        <v>260</v>
      </c>
      <c r="AX205" s="141" t="s">
        <v>8774</v>
      </c>
      <c r="AY205" s="141" t="s">
        <v>247</v>
      </c>
      <c r="AZ205" s="122" t="s">
        <v>8775</v>
      </c>
      <c r="BA205" s="122" t="s">
        <v>262</v>
      </c>
      <c r="BB205" s="122" t="s">
        <v>8775</v>
      </c>
      <c r="BD205" s="122" t="s">
        <v>253</v>
      </c>
      <c r="BE205" s="122" t="s">
        <v>263</v>
      </c>
      <c r="BF205" s="122" t="s">
        <v>2811</v>
      </c>
      <c r="BH205" s="122" t="s">
        <v>2802</v>
      </c>
      <c r="BI205" s="142">
        <v>28</v>
      </c>
    </row>
    <row r="206" spans="1:65" x14ac:dyDescent="0.25">
      <c r="A206" s="122" t="s">
        <v>6735</v>
      </c>
      <c r="B206" s="122" t="s">
        <v>8776</v>
      </c>
      <c r="C206" s="122" t="s">
        <v>8777</v>
      </c>
      <c r="D206" s="122" t="s">
        <v>8778</v>
      </c>
      <c r="E206" s="123">
        <v>42226</v>
      </c>
      <c r="F206" s="122" t="s">
        <v>1421</v>
      </c>
      <c r="G206" s="122" t="s">
        <v>235</v>
      </c>
      <c r="H206" s="122" t="s">
        <v>8779</v>
      </c>
      <c r="I206" s="122" t="s">
        <v>8780</v>
      </c>
      <c r="K206" s="122" t="s">
        <v>238</v>
      </c>
      <c r="L206" s="122" t="s">
        <v>346</v>
      </c>
      <c r="M206" s="122" t="s">
        <v>2847</v>
      </c>
      <c r="O206" s="141" t="s">
        <v>273</v>
      </c>
      <c r="P206" s="141" t="s">
        <v>8781</v>
      </c>
      <c r="Q206" s="122" t="s">
        <v>243</v>
      </c>
      <c r="R206" s="142">
        <v>29</v>
      </c>
      <c r="S206" s="122" t="s">
        <v>8782</v>
      </c>
      <c r="T206" s="122" t="s">
        <v>8783</v>
      </c>
      <c r="U206" s="122" t="s">
        <v>2802</v>
      </c>
      <c r="W206" s="122" t="s">
        <v>246</v>
      </c>
      <c r="X206" s="122" t="s">
        <v>1643</v>
      </c>
      <c r="Y206" s="141" t="s">
        <v>1039</v>
      </c>
      <c r="Z206" s="122" t="s">
        <v>249</v>
      </c>
      <c r="AB206" s="122" t="s">
        <v>250</v>
      </c>
      <c r="AD206" s="122" t="s">
        <v>250</v>
      </c>
      <c r="AE206" s="122" t="s">
        <v>235</v>
      </c>
      <c r="AF206" s="122" t="s">
        <v>8784</v>
      </c>
      <c r="AG206" s="122" t="s">
        <v>253</v>
      </c>
      <c r="AH206" s="122" t="s">
        <v>253</v>
      </c>
      <c r="AI206" s="122" t="s">
        <v>8785</v>
      </c>
      <c r="AJ206" s="122" t="s">
        <v>8786</v>
      </c>
      <c r="AK206" s="122" t="s">
        <v>8787</v>
      </c>
      <c r="AL206" s="122" t="s">
        <v>253</v>
      </c>
      <c r="AM206" s="122" t="s">
        <v>253</v>
      </c>
      <c r="AN206" s="122" t="s">
        <v>253</v>
      </c>
      <c r="AO206" s="141" t="s">
        <v>247</v>
      </c>
      <c r="AP206" s="141" t="s">
        <v>253</v>
      </c>
      <c r="AQ206" s="141" t="s">
        <v>247</v>
      </c>
      <c r="AR206" s="141" t="s">
        <v>247</v>
      </c>
      <c r="AS206" s="141" t="s">
        <v>601</v>
      </c>
      <c r="AT206" s="141" t="s">
        <v>601</v>
      </c>
      <c r="AU206" s="141" t="s">
        <v>257</v>
      </c>
      <c r="AV206" s="122" t="s">
        <v>259</v>
      </c>
      <c r="AW206" s="122" t="s">
        <v>260</v>
      </c>
      <c r="AY206" s="141" t="s">
        <v>253</v>
      </c>
      <c r="AZ206" s="122" t="s">
        <v>8788</v>
      </c>
      <c r="BA206" s="122" t="s">
        <v>8788</v>
      </c>
      <c r="BB206" s="122" t="s">
        <v>262</v>
      </c>
      <c r="BD206" s="122" t="s">
        <v>253</v>
      </c>
      <c r="BE206" s="122" t="s">
        <v>263</v>
      </c>
      <c r="BF206" s="122" t="s">
        <v>2811</v>
      </c>
      <c r="BH206" s="122" t="s">
        <v>2802</v>
      </c>
      <c r="BI206" s="142">
        <v>29</v>
      </c>
    </row>
    <row r="207" spans="1:65" x14ac:dyDescent="0.25">
      <c r="A207" s="122" t="s">
        <v>6735</v>
      </c>
      <c r="B207" s="122" t="s">
        <v>8789</v>
      </c>
      <c r="C207" s="122" t="s">
        <v>8790</v>
      </c>
      <c r="D207" s="122" t="s">
        <v>8791</v>
      </c>
      <c r="E207" s="123">
        <v>42226</v>
      </c>
      <c r="F207" s="122" t="s">
        <v>1325</v>
      </c>
      <c r="G207" s="122" t="s">
        <v>235</v>
      </c>
      <c r="H207" s="122" t="s">
        <v>8792</v>
      </c>
      <c r="I207" s="122" t="s">
        <v>8793</v>
      </c>
      <c r="K207" s="122" t="s">
        <v>238</v>
      </c>
      <c r="L207" s="122" t="s">
        <v>346</v>
      </c>
      <c r="M207" s="122" t="s">
        <v>3018</v>
      </c>
      <c r="O207" s="141" t="s">
        <v>548</v>
      </c>
      <c r="P207" s="141" t="s">
        <v>8794</v>
      </c>
      <c r="Q207" s="122" t="s">
        <v>243</v>
      </c>
      <c r="R207" s="142">
        <v>30</v>
      </c>
      <c r="S207" s="122" t="s">
        <v>8795</v>
      </c>
      <c r="U207" s="122" t="s">
        <v>2802</v>
      </c>
      <c r="W207" s="122" t="s">
        <v>246</v>
      </c>
      <c r="X207" s="122" t="s">
        <v>1057</v>
      </c>
      <c r="Y207" s="141" t="s">
        <v>973</v>
      </c>
      <c r="Z207" s="122" t="s">
        <v>8796</v>
      </c>
      <c r="AB207" s="122" t="s">
        <v>250</v>
      </c>
      <c r="AD207" s="122" t="s">
        <v>250</v>
      </c>
      <c r="AE207" s="122" t="s">
        <v>235</v>
      </c>
      <c r="AF207" s="122" t="s">
        <v>8797</v>
      </c>
      <c r="AG207" s="122" t="s">
        <v>537</v>
      </c>
      <c r="AH207" s="122" t="s">
        <v>253</v>
      </c>
      <c r="AI207" s="122" t="s">
        <v>5223</v>
      </c>
      <c r="AJ207" s="122" t="s">
        <v>8798</v>
      </c>
      <c r="AK207" s="122" t="s">
        <v>253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253</v>
      </c>
      <c r="AS207" s="141" t="s">
        <v>601</v>
      </c>
      <c r="AT207" s="141" t="s">
        <v>601</v>
      </c>
      <c r="AU207" s="141" t="s">
        <v>258</v>
      </c>
      <c r="AV207" s="122" t="s">
        <v>259</v>
      </c>
      <c r="AW207" s="122" t="s">
        <v>260</v>
      </c>
      <c r="AY207" s="141" t="s">
        <v>253</v>
      </c>
      <c r="AZ207" s="122" t="s">
        <v>8799</v>
      </c>
      <c r="BA207" s="122" t="s">
        <v>262</v>
      </c>
      <c r="BB207" s="122" t="s">
        <v>262</v>
      </c>
      <c r="BD207" s="122" t="s">
        <v>253</v>
      </c>
      <c r="BE207" s="122" t="s">
        <v>263</v>
      </c>
      <c r="BF207" s="122" t="s">
        <v>2811</v>
      </c>
      <c r="BH207" s="122" t="s">
        <v>2802</v>
      </c>
      <c r="BI207" s="142">
        <v>30</v>
      </c>
      <c r="BJ207" s="123">
        <v>42239</v>
      </c>
      <c r="BK207" s="139" t="s">
        <v>264</v>
      </c>
      <c r="BL207" s="140">
        <v>263.42</v>
      </c>
      <c r="BM207" s="122">
        <v>34</v>
      </c>
    </row>
    <row r="208" spans="1:65" x14ac:dyDescent="0.25">
      <c r="A208" s="122" t="s">
        <v>6735</v>
      </c>
      <c r="B208" s="122" t="s">
        <v>8800</v>
      </c>
      <c r="C208" s="122" t="s">
        <v>8801</v>
      </c>
      <c r="D208" s="122" t="s">
        <v>8802</v>
      </c>
      <c r="E208" s="123">
        <v>42226</v>
      </c>
      <c r="F208" s="122" t="s">
        <v>8803</v>
      </c>
      <c r="G208" s="122" t="s">
        <v>235</v>
      </c>
      <c r="H208" s="122" t="s">
        <v>448</v>
      </c>
      <c r="I208" s="122" t="s">
        <v>8804</v>
      </c>
      <c r="K208" s="122" t="s">
        <v>238</v>
      </c>
      <c r="L208" s="122" t="s">
        <v>346</v>
      </c>
      <c r="M208" s="122" t="s">
        <v>3242</v>
      </c>
      <c r="O208" s="141" t="s">
        <v>390</v>
      </c>
      <c r="P208" s="141" t="s">
        <v>8805</v>
      </c>
      <c r="Q208" s="122" t="s">
        <v>243</v>
      </c>
      <c r="R208" s="142">
        <v>31</v>
      </c>
      <c r="S208" s="122" t="s">
        <v>8806</v>
      </c>
      <c r="U208" s="122" t="s">
        <v>2802</v>
      </c>
      <c r="W208" s="122" t="s">
        <v>246</v>
      </c>
      <c r="X208" s="122" t="s">
        <v>1057</v>
      </c>
      <c r="Y208" s="141" t="s">
        <v>593</v>
      </c>
      <c r="Z208" s="122" t="s">
        <v>8807</v>
      </c>
      <c r="AA208" s="141" t="s">
        <v>356</v>
      </c>
      <c r="AB208" s="122" t="s">
        <v>8808</v>
      </c>
      <c r="AC208" s="141" t="s">
        <v>1423</v>
      </c>
      <c r="AD208" s="122" t="s">
        <v>8809</v>
      </c>
      <c r="AE208" s="122" t="s">
        <v>235</v>
      </c>
      <c r="AF208" s="122" t="s">
        <v>8810</v>
      </c>
      <c r="AG208" s="122" t="s">
        <v>638</v>
      </c>
      <c r="AH208" s="122" t="s">
        <v>253</v>
      </c>
      <c r="AI208" s="122" t="s">
        <v>8811</v>
      </c>
      <c r="AJ208" s="122" t="s">
        <v>8812</v>
      </c>
      <c r="AK208" s="122" t="s">
        <v>253</v>
      </c>
      <c r="AL208" s="122" t="s">
        <v>253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260</v>
      </c>
      <c r="AX208" s="141" t="s">
        <v>2029</v>
      </c>
      <c r="AY208" s="141" t="s">
        <v>247</v>
      </c>
      <c r="AZ208" s="122" t="s">
        <v>262</v>
      </c>
      <c r="BA208" s="122" t="s">
        <v>262</v>
      </c>
      <c r="BB208" s="122" t="s">
        <v>8813</v>
      </c>
      <c r="BD208" s="122" t="s">
        <v>253</v>
      </c>
      <c r="BE208" s="122" t="s">
        <v>263</v>
      </c>
      <c r="BF208" s="122" t="s">
        <v>2811</v>
      </c>
      <c r="BH208" s="122" t="s">
        <v>2802</v>
      </c>
      <c r="BI208" s="142">
        <v>31</v>
      </c>
      <c r="BJ208" s="123">
        <v>42239</v>
      </c>
      <c r="BK208" s="139" t="s">
        <v>606</v>
      </c>
      <c r="BM208" s="122">
        <v>34</v>
      </c>
    </row>
    <row r="209" spans="1:65" x14ac:dyDescent="0.25">
      <c r="A209" s="122" t="s">
        <v>6735</v>
      </c>
      <c r="B209" s="122" t="s">
        <v>8814</v>
      </c>
      <c r="C209" s="122" t="s">
        <v>8815</v>
      </c>
      <c r="D209" s="122" t="s">
        <v>8816</v>
      </c>
      <c r="E209" s="123">
        <v>42226</v>
      </c>
      <c r="F209" s="122" t="s">
        <v>8817</v>
      </c>
      <c r="G209" s="122" t="s">
        <v>235</v>
      </c>
      <c r="H209" s="122" t="s">
        <v>8818</v>
      </c>
      <c r="I209" s="122" t="s">
        <v>8819</v>
      </c>
      <c r="K209" s="122" t="s">
        <v>238</v>
      </c>
      <c r="L209" s="122" t="s">
        <v>346</v>
      </c>
      <c r="M209" s="122" t="s">
        <v>347</v>
      </c>
      <c r="O209" s="141" t="s">
        <v>241</v>
      </c>
      <c r="P209" s="141" t="s">
        <v>8820</v>
      </c>
      <c r="Q209" s="122" t="s">
        <v>243</v>
      </c>
      <c r="R209" s="142">
        <v>32</v>
      </c>
      <c r="S209" s="122" t="s">
        <v>8821</v>
      </c>
      <c r="U209" s="122" t="s">
        <v>2802</v>
      </c>
      <c r="W209" s="122" t="s">
        <v>246</v>
      </c>
      <c r="X209" s="122" t="s">
        <v>1643</v>
      </c>
      <c r="Y209" s="141" t="s">
        <v>6059</v>
      </c>
      <c r="Z209" s="122" t="s">
        <v>8822</v>
      </c>
      <c r="AA209" s="141" t="s">
        <v>1596</v>
      </c>
      <c r="AB209" s="122" t="s">
        <v>8823</v>
      </c>
      <c r="AC209" s="141" t="s">
        <v>356</v>
      </c>
      <c r="AD209" s="122" t="s">
        <v>8823</v>
      </c>
      <c r="AE209" s="122" t="s">
        <v>235</v>
      </c>
      <c r="AF209" s="122" t="s">
        <v>8824</v>
      </c>
      <c r="AG209" s="122" t="s">
        <v>253</v>
      </c>
      <c r="AH209" s="122" t="s">
        <v>253</v>
      </c>
      <c r="AI209" s="122" t="s">
        <v>8825</v>
      </c>
      <c r="AJ209" s="122" t="s">
        <v>8826</v>
      </c>
      <c r="AK209" s="122" t="s">
        <v>3398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253</v>
      </c>
      <c r="AQ209" s="141" t="s">
        <v>253</v>
      </c>
      <c r="AR209" s="141" t="s">
        <v>247</v>
      </c>
      <c r="AS209" s="141" t="s">
        <v>601</v>
      </c>
      <c r="AT209" s="141" t="s">
        <v>258</v>
      </c>
      <c r="AU209" s="141" t="s">
        <v>257</v>
      </c>
      <c r="AV209" s="122" t="s">
        <v>259</v>
      </c>
      <c r="AW209" s="122" t="s">
        <v>260</v>
      </c>
      <c r="AX209" s="141" t="s">
        <v>362</v>
      </c>
      <c r="AY209" s="141" t="s">
        <v>442</v>
      </c>
      <c r="AZ209" s="122" t="s">
        <v>8827</v>
      </c>
      <c r="BA209" s="122" t="s">
        <v>8828</v>
      </c>
      <c r="BB209" s="122" t="s">
        <v>8828</v>
      </c>
      <c r="BC209" s="141" t="s">
        <v>312</v>
      </c>
      <c r="BD209" s="122" t="s">
        <v>253</v>
      </c>
      <c r="BE209" s="122" t="s">
        <v>263</v>
      </c>
      <c r="BF209" s="122" t="s">
        <v>2811</v>
      </c>
      <c r="BH209" s="122" t="s">
        <v>2802</v>
      </c>
      <c r="BI209" s="142">
        <v>32</v>
      </c>
    </row>
    <row r="210" spans="1:65" x14ac:dyDescent="0.25">
      <c r="A210" s="122" t="s">
        <v>6735</v>
      </c>
      <c r="B210" s="122" t="s">
        <v>8829</v>
      </c>
      <c r="C210" s="122" t="s">
        <v>8830</v>
      </c>
      <c r="D210" s="122" t="s">
        <v>8831</v>
      </c>
      <c r="E210" s="123">
        <v>42226</v>
      </c>
      <c r="F210" s="122" t="s">
        <v>685</v>
      </c>
      <c r="G210" s="122" t="s">
        <v>235</v>
      </c>
      <c r="H210" s="122" t="s">
        <v>8832</v>
      </c>
      <c r="I210" s="122" t="s">
        <v>8833</v>
      </c>
      <c r="J210" s="122" t="s">
        <v>7107</v>
      </c>
      <c r="K210" s="122" t="s">
        <v>238</v>
      </c>
      <c r="L210" s="122" t="s">
        <v>346</v>
      </c>
      <c r="M210" s="122" t="s">
        <v>8834</v>
      </c>
      <c r="O210" s="141" t="s">
        <v>548</v>
      </c>
      <c r="P210" s="141" t="s">
        <v>8835</v>
      </c>
      <c r="Q210" s="122" t="s">
        <v>243</v>
      </c>
      <c r="R210" s="142">
        <v>33</v>
      </c>
      <c r="S210" s="122" t="s">
        <v>8836</v>
      </c>
      <c r="U210" s="122" t="s">
        <v>2802</v>
      </c>
      <c r="W210" s="122" t="s">
        <v>246</v>
      </c>
      <c r="X210" s="122" t="s">
        <v>302</v>
      </c>
      <c r="Z210" s="122" t="s">
        <v>250</v>
      </c>
      <c r="AB210" s="122" t="s">
        <v>250</v>
      </c>
      <c r="AD210" s="122" t="s">
        <v>250</v>
      </c>
      <c r="AE210" s="122" t="s">
        <v>235</v>
      </c>
      <c r="AF210" s="122" t="s">
        <v>8837</v>
      </c>
      <c r="AG210" s="122" t="s">
        <v>253</v>
      </c>
      <c r="AH210" s="122" t="s">
        <v>253</v>
      </c>
      <c r="AI210" s="122" t="s">
        <v>5336</v>
      </c>
      <c r="AJ210" s="122" t="s">
        <v>8838</v>
      </c>
      <c r="AK210" s="122" t="s">
        <v>5338</v>
      </c>
      <c r="AL210" s="122" t="s">
        <v>253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253</v>
      </c>
      <c r="AR210" s="141" t="s">
        <v>253</v>
      </c>
      <c r="AS210" s="141" t="s">
        <v>601</v>
      </c>
      <c r="AT210" s="141" t="s">
        <v>258</v>
      </c>
      <c r="AU210" s="141" t="s">
        <v>258</v>
      </c>
      <c r="AV210" s="122" t="s">
        <v>259</v>
      </c>
      <c r="AW210" s="122" t="s">
        <v>260</v>
      </c>
      <c r="AY210" s="141" t="s">
        <v>253</v>
      </c>
      <c r="AZ210" s="122" t="s">
        <v>8839</v>
      </c>
      <c r="BA210" s="122" t="s">
        <v>262</v>
      </c>
      <c r="BB210" s="122" t="s">
        <v>262</v>
      </c>
      <c r="BD210" s="122" t="s">
        <v>253</v>
      </c>
      <c r="BE210" s="122" t="s">
        <v>263</v>
      </c>
      <c r="BF210" s="122" t="s">
        <v>2811</v>
      </c>
      <c r="BH210" s="122" t="s">
        <v>2802</v>
      </c>
      <c r="BI210" s="142">
        <v>33</v>
      </c>
    </row>
    <row r="211" spans="1:65" x14ac:dyDescent="0.25">
      <c r="A211" s="122" t="s">
        <v>6489</v>
      </c>
      <c r="B211" s="122" t="s">
        <v>8840</v>
      </c>
      <c r="C211" s="122" t="s">
        <v>8841</v>
      </c>
      <c r="D211" s="122" t="s">
        <v>8842</v>
      </c>
      <c r="E211" s="123">
        <v>42226</v>
      </c>
      <c r="F211" s="122" t="s">
        <v>248</v>
      </c>
      <c r="G211" s="122" t="s">
        <v>235</v>
      </c>
      <c r="H211" s="122" t="s">
        <v>448</v>
      </c>
      <c r="I211" s="122" t="s">
        <v>8843</v>
      </c>
      <c r="J211" s="122" t="s">
        <v>1053</v>
      </c>
      <c r="K211" s="122" t="s">
        <v>238</v>
      </c>
      <c r="L211" s="122" t="s">
        <v>346</v>
      </c>
      <c r="M211" s="122" t="s">
        <v>514</v>
      </c>
      <c r="O211" s="141" t="s">
        <v>2055</v>
      </c>
      <c r="P211" s="141" t="s">
        <v>8844</v>
      </c>
      <c r="Q211" s="122" t="s">
        <v>243</v>
      </c>
      <c r="R211" s="142">
        <v>34</v>
      </c>
      <c r="S211" s="122" t="s">
        <v>8845</v>
      </c>
      <c r="U211" s="122" t="s">
        <v>2802</v>
      </c>
      <c r="W211" s="122" t="s">
        <v>246</v>
      </c>
      <c r="X211" s="122" t="s">
        <v>590</v>
      </c>
      <c r="Z211" s="122" t="s">
        <v>250</v>
      </c>
      <c r="AB211" s="122" t="s">
        <v>250</v>
      </c>
      <c r="AD211" s="122" t="s">
        <v>250</v>
      </c>
      <c r="AE211" s="122" t="s">
        <v>235</v>
      </c>
      <c r="AF211" s="122" t="s">
        <v>8846</v>
      </c>
      <c r="AG211" s="122" t="s">
        <v>537</v>
      </c>
      <c r="AH211" s="122" t="s">
        <v>253</v>
      </c>
      <c r="AI211" s="122" t="s">
        <v>8530</v>
      </c>
      <c r="AJ211" s="122" t="s">
        <v>8847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247</v>
      </c>
      <c r="AQ211" s="141" t="s">
        <v>253</v>
      </c>
      <c r="AR211" s="141" t="s">
        <v>253</v>
      </c>
      <c r="AS211" s="141" t="s">
        <v>601</v>
      </c>
      <c r="AT211" s="141" t="s">
        <v>258</v>
      </c>
      <c r="AU211" s="141" t="s">
        <v>258</v>
      </c>
      <c r="AV211" s="122" t="s">
        <v>259</v>
      </c>
      <c r="AW211" s="122" t="s">
        <v>260</v>
      </c>
      <c r="AY211" s="141" t="s">
        <v>253</v>
      </c>
      <c r="AZ211" s="122" t="s">
        <v>262</v>
      </c>
      <c r="BA211" s="122" t="s">
        <v>262</v>
      </c>
      <c r="BB211" s="122" t="s">
        <v>8848</v>
      </c>
      <c r="BD211" s="122" t="s">
        <v>253</v>
      </c>
      <c r="BE211" s="122" t="s">
        <v>263</v>
      </c>
      <c r="BF211" s="122" t="s">
        <v>2811</v>
      </c>
      <c r="BH211" s="122" t="s">
        <v>2802</v>
      </c>
      <c r="BI211" s="142">
        <v>34</v>
      </c>
      <c r="BJ211" s="123">
        <v>42239</v>
      </c>
      <c r="BK211" s="139" t="s">
        <v>606</v>
      </c>
      <c r="BM211" s="122">
        <v>34</v>
      </c>
    </row>
    <row r="212" spans="1:65" x14ac:dyDescent="0.25">
      <c r="A212" s="122" t="s">
        <v>6489</v>
      </c>
      <c r="B212" s="122" t="s">
        <v>8849</v>
      </c>
      <c r="C212" s="122" t="s">
        <v>8850</v>
      </c>
      <c r="D212" s="122" t="s">
        <v>8851</v>
      </c>
      <c r="E212" s="123">
        <v>42226</v>
      </c>
      <c r="F212" s="122" t="s">
        <v>1402</v>
      </c>
      <c r="G212" s="122" t="s">
        <v>235</v>
      </c>
      <c r="H212" s="122" t="s">
        <v>8852</v>
      </c>
      <c r="I212" s="122" t="s">
        <v>8552</v>
      </c>
      <c r="J212" s="122" t="s">
        <v>8853</v>
      </c>
      <c r="K212" s="122" t="s">
        <v>238</v>
      </c>
      <c r="L212" s="122" t="s">
        <v>346</v>
      </c>
      <c r="M212" s="122" t="s">
        <v>347</v>
      </c>
      <c r="O212" s="141" t="s">
        <v>548</v>
      </c>
      <c r="P212" s="141" t="s">
        <v>8854</v>
      </c>
      <c r="Q212" s="122" t="s">
        <v>243</v>
      </c>
      <c r="R212" s="142">
        <v>35</v>
      </c>
      <c r="S212" s="122" t="s">
        <v>8855</v>
      </c>
      <c r="U212" s="122" t="s">
        <v>2802</v>
      </c>
      <c r="W212" s="122" t="s">
        <v>246</v>
      </c>
      <c r="X212" s="122" t="s">
        <v>853</v>
      </c>
      <c r="Y212" s="141" t="s">
        <v>2979</v>
      </c>
      <c r="Z212" s="122" t="s">
        <v>8856</v>
      </c>
      <c r="AA212" s="141" t="s">
        <v>784</v>
      </c>
      <c r="AB212" s="122" t="s">
        <v>8857</v>
      </c>
      <c r="AC212" s="141" t="s">
        <v>511</v>
      </c>
      <c r="AD212" s="122" t="s">
        <v>571</v>
      </c>
      <c r="AE212" s="122" t="s">
        <v>235</v>
      </c>
      <c r="AF212" s="122" t="s">
        <v>8858</v>
      </c>
      <c r="AG212" s="122" t="s">
        <v>537</v>
      </c>
      <c r="AH212" s="122" t="s">
        <v>253</v>
      </c>
      <c r="AI212" s="122" t="s">
        <v>7420</v>
      </c>
      <c r="AJ212" s="122" t="s">
        <v>8859</v>
      </c>
      <c r="AK212" s="122" t="s">
        <v>253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247</v>
      </c>
      <c r="AQ212" s="141" t="s">
        <v>247</v>
      </c>
      <c r="AR212" s="141" t="s">
        <v>253</v>
      </c>
      <c r="AS212" s="141" t="s">
        <v>601</v>
      </c>
      <c r="AT212" s="141" t="s">
        <v>601</v>
      </c>
      <c r="AU212" s="141" t="s">
        <v>258</v>
      </c>
      <c r="AV212" s="122" t="s">
        <v>259</v>
      </c>
      <c r="AW212" s="122" t="s">
        <v>260</v>
      </c>
      <c r="AX212" s="141" t="s">
        <v>8860</v>
      </c>
      <c r="AY212" s="141" t="s">
        <v>247</v>
      </c>
      <c r="AZ212" s="122" t="s">
        <v>8861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2811</v>
      </c>
      <c r="BH212" s="122" t="s">
        <v>2802</v>
      </c>
      <c r="BI212" s="142">
        <v>35</v>
      </c>
      <c r="BJ212" s="123">
        <v>42230</v>
      </c>
      <c r="BK212" s="139" t="s">
        <v>264</v>
      </c>
      <c r="BL212" s="140">
        <v>100</v>
      </c>
      <c r="BM212" s="122">
        <v>33</v>
      </c>
    </row>
    <row r="213" spans="1:65" x14ac:dyDescent="0.25">
      <c r="A213" s="122" t="s">
        <v>6489</v>
      </c>
      <c r="B213" s="122" t="s">
        <v>8862</v>
      </c>
      <c r="C213" s="122" t="s">
        <v>8863</v>
      </c>
      <c r="D213" s="122" t="s">
        <v>8864</v>
      </c>
      <c r="E213" s="123">
        <v>42226</v>
      </c>
      <c r="F213" s="122" t="s">
        <v>877</v>
      </c>
      <c r="G213" s="122" t="s">
        <v>235</v>
      </c>
      <c r="H213" s="122" t="s">
        <v>8865</v>
      </c>
      <c r="I213" s="122" t="s">
        <v>8742</v>
      </c>
      <c r="J213" s="122" t="s">
        <v>8866</v>
      </c>
      <c r="K213" s="122" t="s">
        <v>238</v>
      </c>
      <c r="L213" s="122" t="s">
        <v>346</v>
      </c>
      <c r="M213" s="122" t="s">
        <v>2963</v>
      </c>
      <c r="N213" s="122" t="s">
        <v>8744</v>
      </c>
      <c r="Q213" s="122" t="s">
        <v>243</v>
      </c>
      <c r="R213" s="142">
        <v>36</v>
      </c>
      <c r="S213" s="122" t="s">
        <v>8867</v>
      </c>
      <c r="U213" s="122" t="s">
        <v>2802</v>
      </c>
      <c r="W213" s="122" t="s">
        <v>246</v>
      </c>
      <c r="X213" s="122" t="s">
        <v>590</v>
      </c>
      <c r="Y213" s="141" t="s">
        <v>378</v>
      </c>
      <c r="Z213" s="122" t="s">
        <v>305</v>
      </c>
      <c r="AA213" s="141" t="s">
        <v>281</v>
      </c>
      <c r="AB213" s="122" t="s">
        <v>8868</v>
      </c>
      <c r="AD213" s="122" t="s">
        <v>250</v>
      </c>
      <c r="AE213" s="122" t="s">
        <v>235</v>
      </c>
      <c r="AF213" s="122" t="s">
        <v>8869</v>
      </c>
      <c r="AG213" s="122" t="s">
        <v>537</v>
      </c>
      <c r="AH213" s="122" t="s">
        <v>253</v>
      </c>
      <c r="AI213" s="122" t="s">
        <v>8870</v>
      </c>
      <c r="AJ213" s="122" t="s">
        <v>8871</v>
      </c>
      <c r="AK213" s="122" t="s">
        <v>253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247</v>
      </c>
      <c r="AS213" s="141" t="s">
        <v>601</v>
      </c>
      <c r="AT213" s="141" t="s">
        <v>601</v>
      </c>
      <c r="AU213" s="141" t="s">
        <v>601</v>
      </c>
      <c r="AV213" s="122" t="s">
        <v>259</v>
      </c>
      <c r="AW213" s="122" t="s">
        <v>260</v>
      </c>
      <c r="AY213" s="141" t="s">
        <v>253</v>
      </c>
      <c r="AZ213" s="122" t="s">
        <v>8872</v>
      </c>
      <c r="BA213" s="122" t="s">
        <v>262</v>
      </c>
      <c r="BB213" s="122" t="s">
        <v>8873</v>
      </c>
      <c r="BD213" s="122" t="s">
        <v>253</v>
      </c>
      <c r="BE213" s="122" t="s">
        <v>263</v>
      </c>
      <c r="BF213" s="122" t="s">
        <v>2811</v>
      </c>
      <c r="BH213" s="122" t="s">
        <v>2802</v>
      </c>
      <c r="BI213" s="142">
        <v>36</v>
      </c>
      <c r="BJ213" s="123">
        <v>42239</v>
      </c>
      <c r="BK213" s="139" t="s">
        <v>606</v>
      </c>
      <c r="BM213" s="122">
        <v>34</v>
      </c>
    </row>
    <row r="214" spans="1:65" x14ac:dyDescent="0.25">
      <c r="A214" s="122" t="s">
        <v>6489</v>
      </c>
      <c r="B214" s="122" t="s">
        <v>8874</v>
      </c>
      <c r="C214" s="122" t="s">
        <v>8875</v>
      </c>
      <c r="D214" s="122" t="s">
        <v>8876</v>
      </c>
      <c r="E214" s="123">
        <v>42226</v>
      </c>
      <c r="F214" s="122" t="s">
        <v>722</v>
      </c>
      <c r="G214" s="122" t="s">
        <v>235</v>
      </c>
      <c r="H214" s="122" t="s">
        <v>448</v>
      </c>
      <c r="I214" s="122" t="s">
        <v>8877</v>
      </c>
      <c r="K214" s="122" t="s">
        <v>238</v>
      </c>
      <c r="L214" s="122" t="s">
        <v>346</v>
      </c>
      <c r="M214" s="122" t="s">
        <v>3050</v>
      </c>
      <c r="O214" s="141" t="s">
        <v>548</v>
      </c>
      <c r="P214" s="141" t="s">
        <v>8878</v>
      </c>
      <c r="Q214" s="122" t="s">
        <v>243</v>
      </c>
      <c r="R214" s="142">
        <v>37</v>
      </c>
      <c r="S214" s="122" t="s">
        <v>8879</v>
      </c>
      <c r="U214" s="122" t="s">
        <v>2802</v>
      </c>
      <c r="W214" s="122" t="s">
        <v>246</v>
      </c>
      <c r="X214" s="122" t="s">
        <v>590</v>
      </c>
      <c r="Y214" s="141" t="s">
        <v>1039</v>
      </c>
      <c r="Z214" s="122" t="s">
        <v>329</v>
      </c>
      <c r="AB214" s="122" t="s">
        <v>250</v>
      </c>
      <c r="AD214" s="122" t="s">
        <v>250</v>
      </c>
      <c r="AE214" s="122" t="s">
        <v>235</v>
      </c>
      <c r="AF214" s="122" t="s">
        <v>8880</v>
      </c>
      <c r="AG214" s="122" t="s">
        <v>8881</v>
      </c>
      <c r="AH214" s="122" t="s">
        <v>253</v>
      </c>
      <c r="AI214" s="122" t="s">
        <v>8882</v>
      </c>
      <c r="AJ214" s="122" t="s">
        <v>8883</v>
      </c>
      <c r="AK214" s="122" t="s">
        <v>253</v>
      </c>
      <c r="AL214" s="122" t="s">
        <v>253</v>
      </c>
      <c r="AM214" s="122" t="s">
        <v>253</v>
      </c>
      <c r="AN214" s="122" t="s">
        <v>253</v>
      </c>
      <c r="AO214" s="141" t="s">
        <v>247</v>
      </c>
      <c r="AP214" s="141" t="s">
        <v>247</v>
      </c>
      <c r="AQ214" s="141" t="s">
        <v>247</v>
      </c>
      <c r="AR214" s="141" t="s">
        <v>247</v>
      </c>
      <c r="AS214" s="141" t="s">
        <v>601</v>
      </c>
      <c r="AT214" s="141" t="s">
        <v>601</v>
      </c>
      <c r="AU214" s="141" t="s">
        <v>601</v>
      </c>
      <c r="AV214" s="122" t="s">
        <v>259</v>
      </c>
      <c r="AW214" s="122" t="s">
        <v>260</v>
      </c>
      <c r="AY214" s="141" t="s">
        <v>253</v>
      </c>
      <c r="AZ214" s="122" t="s">
        <v>262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2811</v>
      </c>
      <c r="BH214" s="122" t="s">
        <v>2802</v>
      </c>
      <c r="BI214" s="142">
        <v>37</v>
      </c>
    </row>
    <row r="215" spans="1:65" x14ac:dyDescent="0.25">
      <c r="A215" s="122" t="s">
        <v>6489</v>
      </c>
      <c r="B215" s="122" t="s">
        <v>8884</v>
      </c>
      <c r="C215" s="122" t="s">
        <v>8885</v>
      </c>
      <c r="D215" s="122" t="s">
        <v>8886</v>
      </c>
      <c r="E215" s="123">
        <v>42226</v>
      </c>
      <c r="F215" s="122" t="s">
        <v>3881</v>
      </c>
      <c r="G215" s="122" t="s">
        <v>235</v>
      </c>
      <c r="H215" s="122" t="s">
        <v>8887</v>
      </c>
      <c r="I215" s="122" t="s">
        <v>8888</v>
      </c>
      <c r="J215" s="122" t="s">
        <v>2271</v>
      </c>
      <c r="K215" s="122" t="s">
        <v>238</v>
      </c>
      <c r="L215" s="122" t="s">
        <v>346</v>
      </c>
      <c r="M215" s="122" t="s">
        <v>1054</v>
      </c>
      <c r="O215" s="141" t="s">
        <v>1240</v>
      </c>
      <c r="P215" s="141" t="s">
        <v>8889</v>
      </c>
      <c r="Q215" s="122" t="s">
        <v>243</v>
      </c>
      <c r="R215" s="142">
        <v>38</v>
      </c>
      <c r="S215" s="122" t="s">
        <v>8890</v>
      </c>
      <c r="U215" s="122" t="s">
        <v>2802</v>
      </c>
      <c r="W215" s="122" t="s">
        <v>246</v>
      </c>
      <c r="X215" s="122" t="s">
        <v>3147</v>
      </c>
      <c r="Y215" s="141" t="s">
        <v>578</v>
      </c>
      <c r="Z215" s="122" t="s">
        <v>8891</v>
      </c>
      <c r="AA215" s="141" t="s">
        <v>1876</v>
      </c>
      <c r="AB215" s="122" t="s">
        <v>6497</v>
      </c>
      <c r="AC215" s="141" t="s">
        <v>330</v>
      </c>
      <c r="AD215" s="122" t="s">
        <v>8892</v>
      </c>
      <c r="AE215" s="122" t="s">
        <v>235</v>
      </c>
      <c r="AF215" s="122" t="s">
        <v>8893</v>
      </c>
      <c r="AG215" s="122" t="s">
        <v>537</v>
      </c>
      <c r="AH215" s="122" t="s">
        <v>253</v>
      </c>
      <c r="AI215" s="122" t="s">
        <v>8894</v>
      </c>
      <c r="AJ215" s="122" t="s">
        <v>8895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253</v>
      </c>
      <c r="AQ215" s="141" t="s">
        <v>247</v>
      </c>
      <c r="AR215" s="141" t="s">
        <v>253</v>
      </c>
      <c r="AS215" s="141" t="s">
        <v>601</v>
      </c>
      <c r="AT215" s="141" t="s">
        <v>601</v>
      </c>
      <c r="AU215" s="141" t="s">
        <v>258</v>
      </c>
      <c r="AV215" s="122" t="s">
        <v>259</v>
      </c>
      <c r="AW215" s="122" t="s">
        <v>260</v>
      </c>
      <c r="AY215" s="141" t="s">
        <v>253</v>
      </c>
      <c r="AZ215" s="122" t="s">
        <v>8896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2811</v>
      </c>
      <c r="BH215" s="122" t="s">
        <v>2802</v>
      </c>
      <c r="BI215" s="142">
        <v>38</v>
      </c>
      <c r="BJ215" s="123">
        <v>42237</v>
      </c>
      <c r="BK215" s="139" t="s">
        <v>264</v>
      </c>
      <c r="BL215" s="140">
        <v>301</v>
      </c>
      <c r="BM215" s="122">
        <v>34</v>
      </c>
    </row>
    <row r="216" spans="1:65" x14ac:dyDescent="0.25">
      <c r="A216" s="122" t="s">
        <v>6489</v>
      </c>
      <c r="B216" s="122" t="s">
        <v>8897</v>
      </c>
      <c r="C216" s="122" t="s">
        <v>8898</v>
      </c>
      <c r="D216" s="122" t="s">
        <v>8899</v>
      </c>
      <c r="E216" s="123">
        <v>42226</v>
      </c>
      <c r="F216" s="122" t="s">
        <v>8900</v>
      </c>
      <c r="G216" s="122" t="s">
        <v>235</v>
      </c>
      <c r="H216" s="122" t="s">
        <v>8901</v>
      </c>
      <c r="I216" s="122" t="s">
        <v>8902</v>
      </c>
      <c r="K216" s="122" t="s">
        <v>238</v>
      </c>
      <c r="L216" s="122" t="s">
        <v>346</v>
      </c>
      <c r="M216" s="122" t="s">
        <v>347</v>
      </c>
      <c r="O216" s="141" t="s">
        <v>241</v>
      </c>
      <c r="P216" s="141" t="s">
        <v>8903</v>
      </c>
      <c r="Q216" s="122" t="s">
        <v>243</v>
      </c>
      <c r="R216" s="142">
        <v>39</v>
      </c>
      <c r="S216" s="122" t="s">
        <v>8904</v>
      </c>
      <c r="U216" s="122" t="s">
        <v>2802</v>
      </c>
      <c r="W216" s="122" t="s">
        <v>246</v>
      </c>
      <c r="X216" s="122" t="s">
        <v>1057</v>
      </c>
      <c r="Y216" s="141" t="s">
        <v>326</v>
      </c>
      <c r="Z216" s="122" t="s">
        <v>355</v>
      </c>
      <c r="AA216" s="141" t="s">
        <v>2979</v>
      </c>
      <c r="AB216" s="122" t="s">
        <v>8905</v>
      </c>
      <c r="AC216" s="141" t="s">
        <v>356</v>
      </c>
      <c r="AD216" s="122" t="s">
        <v>741</v>
      </c>
      <c r="AE216" s="122" t="s">
        <v>235</v>
      </c>
      <c r="AF216" s="122" t="s">
        <v>8906</v>
      </c>
      <c r="AG216" s="122" t="s">
        <v>1408</v>
      </c>
      <c r="AH216" s="122" t="s">
        <v>253</v>
      </c>
      <c r="AI216" s="122" t="s">
        <v>8907</v>
      </c>
      <c r="AJ216" s="122" t="s">
        <v>8908</v>
      </c>
      <c r="AK216" s="122" t="s">
        <v>253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247</v>
      </c>
      <c r="AR216" s="141" t="s">
        <v>253</v>
      </c>
      <c r="AS216" s="141" t="s">
        <v>601</v>
      </c>
      <c r="AT216" s="141" t="s">
        <v>601</v>
      </c>
      <c r="AU216" s="141" t="s">
        <v>258</v>
      </c>
      <c r="AV216" s="122" t="s">
        <v>259</v>
      </c>
      <c r="AW216" s="122" t="s">
        <v>260</v>
      </c>
      <c r="AX216" s="141" t="s">
        <v>5239</v>
      </c>
      <c r="AY216" s="141" t="s">
        <v>247</v>
      </c>
      <c r="AZ216" s="122" t="s">
        <v>8909</v>
      </c>
      <c r="BA216" s="122" t="s">
        <v>262</v>
      </c>
      <c r="BB216" s="122" t="s">
        <v>262</v>
      </c>
      <c r="BC216" s="141" t="s">
        <v>312</v>
      </c>
      <c r="BD216" s="122" t="s">
        <v>253</v>
      </c>
      <c r="BE216" s="122" t="s">
        <v>263</v>
      </c>
      <c r="BF216" s="122" t="s">
        <v>2811</v>
      </c>
      <c r="BH216" s="122" t="s">
        <v>2802</v>
      </c>
      <c r="BI216" s="142">
        <v>39</v>
      </c>
    </row>
    <row r="217" spans="1:65" x14ac:dyDescent="0.25">
      <c r="A217" s="122" t="s">
        <v>6489</v>
      </c>
      <c r="B217" s="122" t="s">
        <v>8910</v>
      </c>
      <c r="C217" s="122" t="s">
        <v>8911</v>
      </c>
      <c r="D217" s="122" t="s">
        <v>8912</v>
      </c>
      <c r="E217" s="123">
        <v>42226</v>
      </c>
      <c r="F217" s="122" t="s">
        <v>877</v>
      </c>
      <c r="G217" s="122" t="s">
        <v>235</v>
      </c>
      <c r="H217" s="122" t="s">
        <v>8913</v>
      </c>
      <c r="I217" s="122" t="s">
        <v>8914</v>
      </c>
      <c r="J217" s="122" t="s">
        <v>1053</v>
      </c>
      <c r="K217" s="122" t="s">
        <v>238</v>
      </c>
      <c r="L217" s="122" t="s">
        <v>346</v>
      </c>
      <c r="M217" s="122" t="s">
        <v>450</v>
      </c>
      <c r="O217" s="141" t="s">
        <v>566</v>
      </c>
      <c r="P217" s="141" t="s">
        <v>8915</v>
      </c>
      <c r="Q217" s="122" t="s">
        <v>243</v>
      </c>
      <c r="R217" s="142">
        <v>40</v>
      </c>
      <c r="S217" s="122" t="s">
        <v>8916</v>
      </c>
      <c r="U217" s="122" t="s">
        <v>2802</v>
      </c>
      <c r="W217" s="122" t="s">
        <v>246</v>
      </c>
      <c r="X217" s="122" t="s">
        <v>603</v>
      </c>
      <c r="Y217" s="141" t="s">
        <v>3230</v>
      </c>
      <c r="Z217" s="122" t="s">
        <v>8917</v>
      </c>
      <c r="AA217" s="141" t="s">
        <v>1876</v>
      </c>
      <c r="AB217" s="122" t="s">
        <v>518</v>
      </c>
      <c r="AC217" s="141" t="s">
        <v>901</v>
      </c>
      <c r="AD217" s="122" t="s">
        <v>8918</v>
      </c>
      <c r="AE217" s="122" t="s">
        <v>235</v>
      </c>
      <c r="AF217" s="122" t="s">
        <v>8919</v>
      </c>
      <c r="AG217" s="122" t="s">
        <v>253</v>
      </c>
      <c r="AH217" s="122" t="s">
        <v>253</v>
      </c>
      <c r="AI217" s="122" t="s">
        <v>8920</v>
      </c>
      <c r="AJ217" s="122" t="s">
        <v>8921</v>
      </c>
      <c r="AK217" s="122" t="s">
        <v>253</v>
      </c>
      <c r="AL217" s="122" t="s">
        <v>8922</v>
      </c>
      <c r="AM217" s="122" t="s">
        <v>253</v>
      </c>
      <c r="AN217" s="122" t="s">
        <v>253</v>
      </c>
      <c r="AO217" s="141" t="s">
        <v>247</v>
      </c>
      <c r="AP217" s="141" t="s">
        <v>247</v>
      </c>
      <c r="AQ217" s="141" t="s">
        <v>253</v>
      </c>
      <c r="AR217" s="141" t="s">
        <v>253</v>
      </c>
      <c r="AS217" s="141" t="s">
        <v>601</v>
      </c>
      <c r="AT217" s="141" t="s">
        <v>258</v>
      </c>
      <c r="AU217" s="141" t="s">
        <v>258</v>
      </c>
      <c r="AV217" s="122" t="s">
        <v>259</v>
      </c>
      <c r="AW217" s="122" t="s">
        <v>260</v>
      </c>
      <c r="AX217" s="141" t="s">
        <v>5239</v>
      </c>
      <c r="AY217" s="141" t="s">
        <v>603</v>
      </c>
      <c r="AZ217" s="122" t="s">
        <v>8923</v>
      </c>
      <c r="BA217" s="122" t="s">
        <v>262</v>
      </c>
      <c r="BB217" s="122" t="s">
        <v>8924</v>
      </c>
      <c r="BD217" s="122" t="s">
        <v>253</v>
      </c>
      <c r="BE217" s="122" t="s">
        <v>263</v>
      </c>
      <c r="BF217" s="122" t="s">
        <v>2811</v>
      </c>
      <c r="BH217" s="122" t="s">
        <v>2802</v>
      </c>
      <c r="BI217" s="142">
        <v>40</v>
      </c>
    </row>
    <row r="218" spans="1:65" x14ac:dyDescent="0.25">
      <c r="A218" s="122" t="s">
        <v>6489</v>
      </c>
      <c r="B218" s="122" t="s">
        <v>8925</v>
      </c>
      <c r="C218" s="122" t="s">
        <v>8926</v>
      </c>
      <c r="D218" s="122" t="s">
        <v>8927</v>
      </c>
      <c r="E218" s="123">
        <v>42226</v>
      </c>
      <c r="F218" s="122" t="s">
        <v>3079</v>
      </c>
      <c r="G218" s="122" t="s">
        <v>235</v>
      </c>
      <c r="H218" s="122" t="s">
        <v>8928</v>
      </c>
      <c r="I218" s="122" t="s">
        <v>8929</v>
      </c>
      <c r="J218" s="122" t="s">
        <v>370</v>
      </c>
      <c r="K218" s="122" t="s">
        <v>238</v>
      </c>
      <c r="L218" s="122" t="s">
        <v>346</v>
      </c>
      <c r="M218" s="122" t="s">
        <v>1054</v>
      </c>
      <c r="O218" s="141" t="s">
        <v>451</v>
      </c>
      <c r="P218" s="141" t="s">
        <v>8930</v>
      </c>
      <c r="Q218" s="122" t="s">
        <v>243</v>
      </c>
      <c r="R218" s="142">
        <v>41</v>
      </c>
      <c r="S218" s="122" t="s">
        <v>8931</v>
      </c>
      <c r="U218" s="122" t="s">
        <v>2802</v>
      </c>
      <c r="W218" s="122" t="s">
        <v>246</v>
      </c>
      <c r="X218" s="122" t="s">
        <v>454</v>
      </c>
      <c r="Y218" s="141" t="s">
        <v>973</v>
      </c>
      <c r="Z218" s="122" t="s">
        <v>8932</v>
      </c>
      <c r="AA218" s="141" t="s">
        <v>705</v>
      </c>
      <c r="AB218" s="122" t="s">
        <v>8933</v>
      </c>
      <c r="AC218" s="141" t="s">
        <v>685</v>
      </c>
      <c r="AD218" s="122" t="s">
        <v>8105</v>
      </c>
      <c r="AE218" s="122" t="s">
        <v>235</v>
      </c>
      <c r="AF218" s="122" t="s">
        <v>8934</v>
      </c>
      <c r="AG218" s="122" t="s">
        <v>8935</v>
      </c>
      <c r="AH218" s="122" t="s">
        <v>253</v>
      </c>
      <c r="AI218" s="122" t="s">
        <v>8936</v>
      </c>
      <c r="AJ218" s="122" t="s">
        <v>8937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247</v>
      </c>
      <c r="AQ218" s="141" t="s">
        <v>247</v>
      </c>
      <c r="AR218" s="141" t="s">
        <v>247</v>
      </c>
      <c r="AS218" s="141" t="s">
        <v>601</v>
      </c>
      <c r="AT218" s="141" t="s">
        <v>601</v>
      </c>
      <c r="AU218" s="141" t="s">
        <v>601</v>
      </c>
      <c r="AV218" s="122" t="s">
        <v>259</v>
      </c>
      <c r="AW218" s="122" t="s">
        <v>260</v>
      </c>
      <c r="AX218" s="141" t="s">
        <v>3027</v>
      </c>
      <c r="AY218" s="141" t="s">
        <v>603</v>
      </c>
      <c r="AZ218" s="122" t="s">
        <v>8938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2811</v>
      </c>
      <c r="BH218" s="122" t="s">
        <v>2802</v>
      </c>
      <c r="BI218" s="142">
        <v>41</v>
      </c>
    </row>
    <row r="219" spans="1:65" x14ac:dyDescent="0.25">
      <c r="A219" s="122" t="s">
        <v>6513</v>
      </c>
      <c r="B219" s="122" t="s">
        <v>8939</v>
      </c>
      <c r="C219" s="122" t="s">
        <v>8940</v>
      </c>
      <c r="D219" s="122" t="s">
        <v>8941</v>
      </c>
      <c r="E219" s="123">
        <v>42226</v>
      </c>
      <c r="F219" s="122" t="s">
        <v>8942</v>
      </c>
      <c r="G219" s="122" t="s">
        <v>235</v>
      </c>
      <c r="H219" s="122" t="s">
        <v>8943</v>
      </c>
      <c r="I219" s="122" t="s">
        <v>8944</v>
      </c>
      <c r="K219" s="122" t="s">
        <v>238</v>
      </c>
      <c r="L219" s="122" t="s">
        <v>346</v>
      </c>
      <c r="M219" s="122" t="s">
        <v>514</v>
      </c>
      <c r="O219" s="141" t="s">
        <v>566</v>
      </c>
      <c r="P219" s="141" t="s">
        <v>8945</v>
      </c>
      <c r="Q219" s="122" t="s">
        <v>243</v>
      </c>
      <c r="R219" s="142">
        <v>42</v>
      </c>
      <c r="S219" s="122" t="s">
        <v>8946</v>
      </c>
      <c r="U219" s="122" t="s">
        <v>2802</v>
      </c>
      <c r="W219" s="122" t="s">
        <v>246</v>
      </c>
      <c r="X219" s="122" t="s">
        <v>631</v>
      </c>
      <c r="Y219" s="141" t="s">
        <v>2717</v>
      </c>
      <c r="Z219" s="122" t="s">
        <v>8947</v>
      </c>
      <c r="AA219" s="141" t="s">
        <v>1969</v>
      </c>
      <c r="AB219" s="122" t="s">
        <v>8948</v>
      </c>
      <c r="AC219" s="141" t="s">
        <v>447</v>
      </c>
      <c r="AD219" s="122" t="s">
        <v>8949</v>
      </c>
      <c r="AE219" s="122" t="s">
        <v>235</v>
      </c>
      <c r="AF219" s="122" t="s">
        <v>8950</v>
      </c>
      <c r="AG219" s="122" t="s">
        <v>253</v>
      </c>
      <c r="AH219" s="122" t="s">
        <v>253</v>
      </c>
      <c r="AI219" s="122" t="s">
        <v>8951</v>
      </c>
      <c r="AJ219" s="122" t="s">
        <v>8952</v>
      </c>
      <c r="AK219" s="122" t="s">
        <v>8953</v>
      </c>
      <c r="AL219" s="122" t="s">
        <v>253</v>
      </c>
      <c r="AM219" s="122" t="s">
        <v>253</v>
      </c>
      <c r="AN219" s="122" t="s">
        <v>253</v>
      </c>
      <c r="AO219" s="141" t="s">
        <v>247</v>
      </c>
      <c r="AP219" s="141" t="s">
        <v>247</v>
      </c>
      <c r="AQ219" s="141" t="s">
        <v>247</v>
      </c>
      <c r="AR219" s="141" t="s">
        <v>247</v>
      </c>
      <c r="AS219" s="141" t="s">
        <v>601</v>
      </c>
      <c r="AT219" s="141" t="s">
        <v>601</v>
      </c>
      <c r="AU219" s="141" t="s">
        <v>601</v>
      </c>
      <c r="AV219" s="122" t="s">
        <v>259</v>
      </c>
      <c r="AW219" s="122" t="s">
        <v>260</v>
      </c>
      <c r="AY219" s="141" t="s">
        <v>253</v>
      </c>
      <c r="AZ219" s="122" t="s">
        <v>8954</v>
      </c>
      <c r="BA219" s="122" t="s">
        <v>262</v>
      </c>
      <c r="BB219" s="122" t="s">
        <v>262</v>
      </c>
      <c r="BD219" s="122" t="s">
        <v>253</v>
      </c>
      <c r="BE219" s="122" t="s">
        <v>263</v>
      </c>
      <c r="BF219" s="122" t="s">
        <v>2811</v>
      </c>
      <c r="BH219" s="122" t="s">
        <v>2802</v>
      </c>
      <c r="BI219" s="142">
        <v>42</v>
      </c>
      <c r="BJ219" s="123">
        <v>42239</v>
      </c>
      <c r="BK219" s="139" t="s">
        <v>606</v>
      </c>
      <c r="BM219" s="122">
        <v>34</v>
      </c>
    </row>
    <row r="220" spans="1:65" x14ac:dyDescent="0.25">
      <c r="A220" s="122" t="s">
        <v>6513</v>
      </c>
      <c r="B220" s="122" t="s">
        <v>8955</v>
      </c>
      <c r="C220" s="122" t="s">
        <v>8956</v>
      </c>
      <c r="D220" s="122" t="s">
        <v>8957</v>
      </c>
      <c r="E220" s="123">
        <v>42226</v>
      </c>
      <c r="F220" s="122" t="s">
        <v>8958</v>
      </c>
      <c r="G220" s="122" t="s">
        <v>235</v>
      </c>
      <c r="H220" s="122" t="s">
        <v>8959</v>
      </c>
      <c r="I220" s="122" t="s">
        <v>3081</v>
      </c>
      <c r="J220" s="122" t="s">
        <v>8960</v>
      </c>
      <c r="K220" s="122" t="s">
        <v>238</v>
      </c>
      <c r="L220" s="122" t="s">
        <v>346</v>
      </c>
      <c r="M220" s="122" t="s">
        <v>347</v>
      </c>
      <c r="O220" s="141" t="s">
        <v>566</v>
      </c>
      <c r="P220" s="141" t="s">
        <v>8961</v>
      </c>
      <c r="Q220" s="122" t="s">
        <v>243</v>
      </c>
      <c r="R220" s="142">
        <v>43</v>
      </c>
      <c r="S220" s="122" t="s">
        <v>8962</v>
      </c>
      <c r="U220" s="122" t="s">
        <v>2802</v>
      </c>
      <c r="W220" s="122" t="s">
        <v>246</v>
      </c>
      <c r="X220" s="122" t="s">
        <v>1057</v>
      </c>
      <c r="Y220" s="141" t="s">
        <v>668</v>
      </c>
      <c r="Z220" s="122" t="s">
        <v>669</v>
      </c>
      <c r="AA220" s="141" t="s">
        <v>1778</v>
      </c>
      <c r="AB220" s="122" t="s">
        <v>8963</v>
      </c>
      <c r="AC220" s="141" t="s">
        <v>1698</v>
      </c>
      <c r="AD220" s="122" t="s">
        <v>8964</v>
      </c>
      <c r="AE220" s="122" t="s">
        <v>235</v>
      </c>
      <c r="AF220" s="122" t="s">
        <v>8965</v>
      </c>
      <c r="AG220" s="122" t="s">
        <v>537</v>
      </c>
      <c r="AH220" s="122" t="s">
        <v>253</v>
      </c>
      <c r="AI220" s="122" t="s">
        <v>8966</v>
      </c>
      <c r="AJ220" s="122" t="s">
        <v>8967</v>
      </c>
      <c r="AK220" s="122" t="s">
        <v>253</v>
      </c>
      <c r="AL220" s="122" t="s">
        <v>253</v>
      </c>
      <c r="AM220" s="122" t="s">
        <v>253</v>
      </c>
      <c r="AN220" s="122" t="s">
        <v>253</v>
      </c>
      <c r="AO220" s="141" t="s">
        <v>247</v>
      </c>
      <c r="AP220" s="141" t="s">
        <v>253</v>
      </c>
      <c r="AQ220" s="141" t="s">
        <v>247</v>
      </c>
      <c r="AR220" s="141" t="s">
        <v>247</v>
      </c>
      <c r="AS220" s="141" t="s">
        <v>601</v>
      </c>
      <c r="AT220" s="141" t="s">
        <v>601</v>
      </c>
      <c r="AU220" s="141" t="s">
        <v>257</v>
      </c>
      <c r="AV220" s="122" t="s">
        <v>259</v>
      </c>
      <c r="AW220" s="122" t="s">
        <v>260</v>
      </c>
      <c r="AY220" s="141" t="s">
        <v>253</v>
      </c>
      <c r="AZ220" s="122" t="s">
        <v>8968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2811</v>
      </c>
      <c r="BH220" s="122" t="s">
        <v>2802</v>
      </c>
      <c r="BI220" s="142">
        <v>43</v>
      </c>
    </row>
    <row r="221" spans="1:65" x14ac:dyDescent="0.25">
      <c r="A221" s="122" t="s">
        <v>6513</v>
      </c>
      <c r="B221" s="122" t="s">
        <v>8969</v>
      </c>
      <c r="C221" s="122" t="s">
        <v>8970</v>
      </c>
      <c r="D221" s="122" t="s">
        <v>8971</v>
      </c>
      <c r="E221" s="123">
        <v>42226</v>
      </c>
      <c r="F221" s="122" t="s">
        <v>8972</v>
      </c>
      <c r="G221" s="122" t="s">
        <v>235</v>
      </c>
      <c r="H221" s="122" t="s">
        <v>8973</v>
      </c>
      <c r="I221" s="122" t="s">
        <v>8974</v>
      </c>
      <c r="K221" s="122" t="s">
        <v>238</v>
      </c>
      <c r="L221" s="122" t="s">
        <v>346</v>
      </c>
      <c r="M221" s="122" t="s">
        <v>8834</v>
      </c>
      <c r="O221" s="141" t="s">
        <v>390</v>
      </c>
      <c r="P221" s="141" t="s">
        <v>8975</v>
      </c>
      <c r="Q221" s="122" t="s">
        <v>243</v>
      </c>
      <c r="R221" s="142">
        <v>44</v>
      </c>
      <c r="S221" s="122" t="s">
        <v>8976</v>
      </c>
      <c r="U221" s="122" t="s">
        <v>2802</v>
      </c>
      <c r="W221" s="122" t="s">
        <v>246</v>
      </c>
      <c r="X221" s="122" t="s">
        <v>2624</v>
      </c>
      <c r="Y221" s="141" t="s">
        <v>973</v>
      </c>
      <c r="Z221" s="122" t="s">
        <v>8977</v>
      </c>
      <c r="AA221" s="141" t="s">
        <v>511</v>
      </c>
      <c r="AB221" s="122" t="s">
        <v>8978</v>
      </c>
      <c r="AC221" s="141" t="s">
        <v>1423</v>
      </c>
      <c r="AD221" s="122" t="s">
        <v>8979</v>
      </c>
      <c r="AE221" s="122" t="s">
        <v>235</v>
      </c>
      <c r="AF221" s="122" t="s">
        <v>8980</v>
      </c>
      <c r="AG221" s="122" t="s">
        <v>747</v>
      </c>
      <c r="AH221" s="122" t="s">
        <v>253</v>
      </c>
      <c r="AI221" s="122" t="s">
        <v>8981</v>
      </c>
      <c r="AJ221" s="122" t="s">
        <v>8982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601</v>
      </c>
      <c r="AT221" s="141" t="s">
        <v>601</v>
      </c>
      <c r="AU221" s="141" t="s">
        <v>601</v>
      </c>
      <c r="AV221" s="122" t="s">
        <v>259</v>
      </c>
      <c r="AW221" s="122" t="s">
        <v>260</v>
      </c>
      <c r="AX221" s="141" t="s">
        <v>1130</v>
      </c>
      <c r="AY221" s="141" t="s">
        <v>376</v>
      </c>
      <c r="AZ221" s="122" t="s">
        <v>8983</v>
      </c>
      <c r="BA221" s="122" t="s">
        <v>262</v>
      </c>
      <c r="BB221" s="122" t="s">
        <v>262</v>
      </c>
      <c r="BD221" s="122" t="s">
        <v>253</v>
      </c>
      <c r="BE221" s="122" t="s">
        <v>263</v>
      </c>
      <c r="BF221" s="122" t="s">
        <v>2811</v>
      </c>
      <c r="BH221" s="122" t="s">
        <v>2802</v>
      </c>
      <c r="BI221" s="142">
        <v>44</v>
      </c>
      <c r="BJ221" s="123">
        <v>42239</v>
      </c>
      <c r="BK221" s="139" t="s">
        <v>606</v>
      </c>
      <c r="BM221" s="122">
        <v>34</v>
      </c>
    </row>
    <row r="222" spans="1:65" x14ac:dyDescent="0.25">
      <c r="A222" s="122" t="s">
        <v>6513</v>
      </c>
      <c r="B222" s="122" t="s">
        <v>8984</v>
      </c>
      <c r="C222" s="122" t="s">
        <v>8985</v>
      </c>
      <c r="D222" s="122" t="s">
        <v>8986</v>
      </c>
      <c r="E222" s="123">
        <v>42226</v>
      </c>
      <c r="F222" s="122" t="s">
        <v>1325</v>
      </c>
      <c r="G222" s="122" t="s">
        <v>235</v>
      </c>
      <c r="H222" s="122" t="s">
        <v>8987</v>
      </c>
      <c r="I222" s="122" t="s">
        <v>8988</v>
      </c>
      <c r="K222" s="122" t="s">
        <v>238</v>
      </c>
      <c r="L222" s="122" t="s">
        <v>346</v>
      </c>
      <c r="M222" s="122" t="s">
        <v>3176</v>
      </c>
      <c r="O222" s="141" t="s">
        <v>6941</v>
      </c>
      <c r="P222" s="141" t="s">
        <v>8989</v>
      </c>
      <c r="Q222" s="122" t="s">
        <v>243</v>
      </c>
      <c r="R222" s="142">
        <v>45</v>
      </c>
      <c r="S222" s="122" t="s">
        <v>8990</v>
      </c>
      <c r="U222" s="122" t="s">
        <v>2802</v>
      </c>
      <c r="W222" s="122" t="s">
        <v>246</v>
      </c>
      <c r="X222" s="122" t="s">
        <v>1057</v>
      </c>
      <c r="Y222" s="141" t="s">
        <v>1162</v>
      </c>
      <c r="Z222" s="122" t="s">
        <v>8991</v>
      </c>
      <c r="AB222" s="122" t="s">
        <v>250</v>
      </c>
      <c r="AD222" s="122" t="s">
        <v>250</v>
      </c>
      <c r="AE222" s="122" t="s">
        <v>235</v>
      </c>
      <c r="AF222" s="122" t="s">
        <v>8992</v>
      </c>
      <c r="AG222" s="122" t="s">
        <v>537</v>
      </c>
      <c r="AH222" s="122" t="s">
        <v>253</v>
      </c>
      <c r="AI222" s="122" t="s">
        <v>8993</v>
      </c>
      <c r="AJ222" s="122" t="s">
        <v>8994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247</v>
      </c>
      <c r="AP222" s="141" t="s">
        <v>247</v>
      </c>
      <c r="AQ222" s="141" t="s">
        <v>247</v>
      </c>
      <c r="AR222" s="141" t="s">
        <v>253</v>
      </c>
      <c r="AS222" s="141" t="s">
        <v>601</v>
      </c>
      <c r="AT222" s="141" t="s">
        <v>601</v>
      </c>
      <c r="AU222" s="141" t="s">
        <v>258</v>
      </c>
      <c r="AV222" s="122" t="s">
        <v>259</v>
      </c>
      <c r="AW222" s="122" t="s">
        <v>260</v>
      </c>
      <c r="AY222" s="141" t="s">
        <v>253</v>
      </c>
      <c r="AZ222" s="122" t="s">
        <v>8995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2811</v>
      </c>
      <c r="BH222" s="122" t="s">
        <v>2802</v>
      </c>
      <c r="BI222" s="142">
        <v>45</v>
      </c>
    </row>
    <row r="223" spans="1:65" x14ac:dyDescent="0.25">
      <c r="A223" s="122" t="s">
        <v>352</v>
      </c>
      <c r="B223" s="122" t="s">
        <v>8996</v>
      </c>
      <c r="C223" s="122" t="s">
        <v>8997</v>
      </c>
      <c r="D223" s="122" t="s">
        <v>8998</v>
      </c>
      <c r="E223" s="123">
        <v>42226</v>
      </c>
      <c r="F223" s="122" t="s">
        <v>1269</v>
      </c>
      <c r="G223" s="122" t="s">
        <v>235</v>
      </c>
      <c r="H223" s="122" t="s">
        <v>8999</v>
      </c>
      <c r="I223" s="122" t="s">
        <v>9000</v>
      </c>
      <c r="K223" s="122" t="s">
        <v>238</v>
      </c>
      <c r="L223" s="122" t="s">
        <v>346</v>
      </c>
      <c r="M223" s="122" t="s">
        <v>3242</v>
      </c>
      <c r="N223" s="122" t="s">
        <v>9001</v>
      </c>
      <c r="O223" s="141" t="s">
        <v>273</v>
      </c>
      <c r="P223" s="141" t="s">
        <v>9002</v>
      </c>
      <c r="Q223" s="122" t="s">
        <v>243</v>
      </c>
      <c r="R223" s="142">
        <v>46</v>
      </c>
      <c r="S223" s="122" t="s">
        <v>9003</v>
      </c>
      <c r="U223" s="122" t="s">
        <v>2802</v>
      </c>
      <c r="W223" s="122" t="s">
        <v>246</v>
      </c>
      <c r="X223" s="122" t="s">
        <v>1057</v>
      </c>
      <c r="Y223" s="141" t="s">
        <v>534</v>
      </c>
      <c r="Z223" s="122" t="s">
        <v>9004</v>
      </c>
      <c r="AA223" s="141" t="s">
        <v>1258</v>
      </c>
      <c r="AB223" s="122" t="s">
        <v>9005</v>
      </c>
      <c r="AC223" s="141" t="s">
        <v>1090</v>
      </c>
      <c r="AD223" s="122" t="s">
        <v>2967</v>
      </c>
      <c r="AE223" s="122" t="s">
        <v>235</v>
      </c>
      <c r="AF223" s="122" t="s">
        <v>9006</v>
      </c>
      <c r="AG223" s="122" t="s">
        <v>537</v>
      </c>
      <c r="AH223" s="122" t="s">
        <v>253</v>
      </c>
      <c r="AI223" s="122" t="s">
        <v>9007</v>
      </c>
      <c r="AJ223" s="122" t="s">
        <v>9008</v>
      </c>
      <c r="AK223" s="122" t="s">
        <v>9009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601</v>
      </c>
      <c r="AT223" s="141" t="s">
        <v>601</v>
      </c>
      <c r="AU223" s="141" t="s">
        <v>601</v>
      </c>
      <c r="AV223" s="122" t="s">
        <v>259</v>
      </c>
      <c r="AW223" s="122" t="s">
        <v>260</v>
      </c>
      <c r="AY223" s="141" t="s">
        <v>253</v>
      </c>
      <c r="AZ223" s="122" t="s">
        <v>9010</v>
      </c>
      <c r="BA223" s="122" t="s">
        <v>262</v>
      </c>
      <c r="BB223" s="122" t="s">
        <v>262</v>
      </c>
      <c r="BD223" s="122" t="s">
        <v>253</v>
      </c>
      <c r="BE223" s="122" t="s">
        <v>263</v>
      </c>
      <c r="BF223" s="122" t="s">
        <v>2811</v>
      </c>
      <c r="BH223" s="122" t="s">
        <v>2802</v>
      </c>
      <c r="BI223" s="142">
        <v>46</v>
      </c>
      <c r="BJ223" s="123">
        <v>42239</v>
      </c>
      <c r="BK223" s="139" t="s">
        <v>606</v>
      </c>
      <c r="BM223" s="122">
        <v>34</v>
      </c>
    </row>
    <row r="224" spans="1:65" x14ac:dyDescent="0.25">
      <c r="A224" s="122" t="s">
        <v>352</v>
      </c>
      <c r="B224" s="122" t="s">
        <v>9011</v>
      </c>
      <c r="C224" s="122" t="s">
        <v>9012</v>
      </c>
      <c r="D224" s="122" t="s">
        <v>9013</v>
      </c>
      <c r="E224" s="123">
        <v>42226</v>
      </c>
      <c r="F224" s="122" t="s">
        <v>9014</v>
      </c>
      <c r="G224" s="122" t="s">
        <v>235</v>
      </c>
      <c r="H224" s="122" t="s">
        <v>448</v>
      </c>
      <c r="I224" s="122" t="s">
        <v>9015</v>
      </c>
      <c r="K224" s="122" t="s">
        <v>238</v>
      </c>
      <c r="L224" s="122" t="s">
        <v>346</v>
      </c>
      <c r="M224" s="122" t="s">
        <v>8834</v>
      </c>
      <c r="O224" s="141" t="s">
        <v>548</v>
      </c>
      <c r="P224" s="141" t="s">
        <v>9016</v>
      </c>
      <c r="Q224" s="122" t="s">
        <v>243</v>
      </c>
      <c r="R224" s="142">
        <v>47</v>
      </c>
      <c r="S224" s="122" t="s">
        <v>9017</v>
      </c>
      <c r="U224" s="122" t="s">
        <v>2802</v>
      </c>
      <c r="W224" s="122" t="s">
        <v>246</v>
      </c>
      <c r="X224" s="122" t="s">
        <v>325</v>
      </c>
      <c r="Y224" s="141" t="s">
        <v>1122</v>
      </c>
      <c r="Z224" s="122" t="s">
        <v>9018</v>
      </c>
      <c r="AA224" s="141" t="s">
        <v>2133</v>
      </c>
      <c r="AB224" s="122" t="s">
        <v>9019</v>
      </c>
      <c r="AC224" s="141" t="s">
        <v>3881</v>
      </c>
      <c r="AD224" s="122" t="s">
        <v>3459</v>
      </c>
      <c r="AE224" s="122" t="s">
        <v>235</v>
      </c>
      <c r="AF224" s="122" t="s">
        <v>9020</v>
      </c>
      <c r="AG224" s="122" t="s">
        <v>1127</v>
      </c>
      <c r="AH224" s="122" t="s">
        <v>253</v>
      </c>
      <c r="AI224" s="122" t="s">
        <v>9021</v>
      </c>
      <c r="AJ224" s="122" t="s">
        <v>253</v>
      </c>
      <c r="AK224" s="122" t="s">
        <v>9022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601</v>
      </c>
      <c r="AT224" s="141" t="s">
        <v>601</v>
      </c>
      <c r="AU224" s="141" t="s">
        <v>258</v>
      </c>
      <c r="AV224" s="122" t="s">
        <v>259</v>
      </c>
      <c r="AW224" s="122" t="s">
        <v>260</v>
      </c>
      <c r="AX224" s="141" t="s">
        <v>750</v>
      </c>
      <c r="AY224" s="141" t="s">
        <v>247</v>
      </c>
      <c r="AZ224" s="122" t="s">
        <v>262</v>
      </c>
      <c r="BA224" s="122" t="s">
        <v>262</v>
      </c>
      <c r="BB224" s="122" t="s">
        <v>9023</v>
      </c>
      <c r="BD224" s="122" t="s">
        <v>253</v>
      </c>
      <c r="BE224" s="122" t="s">
        <v>263</v>
      </c>
      <c r="BF224" s="122" t="s">
        <v>2811</v>
      </c>
      <c r="BH224" s="122" t="s">
        <v>2802</v>
      </c>
      <c r="BI224" s="142">
        <v>47</v>
      </c>
    </row>
    <row r="225" spans="1:65" x14ac:dyDescent="0.25">
      <c r="A225" s="122" t="s">
        <v>352</v>
      </c>
      <c r="B225" s="122" t="s">
        <v>9024</v>
      </c>
      <c r="C225" s="122" t="s">
        <v>9025</v>
      </c>
      <c r="D225" s="122" t="s">
        <v>9026</v>
      </c>
      <c r="E225" s="123">
        <v>42226</v>
      </c>
      <c r="F225" s="122" t="s">
        <v>5523</v>
      </c>
      <c r="G225" s="122" t="s">
        <v>235</v>
      </c>
      <c r="H225" s="122" t="s">
        <v>9027</v>
      </c>
      <c r="I225" s="122" t="s">
        <v>9028</v>
      </c>
      <c r="K225" s="122" t="s">
        <v>238</v>
      </c>
      <c r="L225" s="122" t="s">
        <v>346</v>
      </c>
      <c r="M225" s="122" t="s">
        <v>8834</v>
      </c>
      <c r="O225" s="141" t="s">
        <v>916</v>
      </c>
      <c r="P225" s="141" t="s">
        <v>9029</v>
      </c>
      <c r="Q225" s="122" t="s">
        <v>243</v>
      </c>
      <c r="R225" s="142">
        <v>48</v>
      </c>
      <c r="S225" s="122" t="s">
        <v>9030</v>
      </c>
      <c r="U225" s="122" t="s">
        <v>2802</v>
      </c>
      <c r="W225" s="122" t="s">
        <v>246</v>
      </c>
      <c r="X225" s="122" t="s">
        <v>3147</v>
      </c>
      <c r="Y225" s="141" t="s">
        <v>9031</v>
      </c>
      <c r="Z225" s="122" t="s">
        <v>7563</v>
      </c>
      <c r="AA225" s="141" t="s">
        <v>356</v>
      </c>
      <c r="AB225" s="122" t="s">
        <v>9032</v>
      </c>
      <c r="AC225" s="141" t="s">
        <v>1260</v>
      </c>
      <c r="AD225" s="122" t="s">
        <v>9033</v>
      </c>
      <c r="AE225" s="122" t="s">
        <v>235</v>
      </c>
      <c r="AF225" s="122" t="s">
        <v>9034</v>
      </c>
      <c r="AG225" s="122" t="s">
        <v>537</v>
      </c>
      <c r="AH225" s="122" t="s">
        <v>253</v>
      </c>
      <c r="AI225" s="122" t="s">
        <v>9035</v>
      </c>
      <c r="AJ225" s="122" t="s">
        <v>9036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247</v>
      </c>
      <c r="AQ225" s="141" t="s">
        <v>253</v>
      </c>
      <c r="AR225" s="141" t="s">
        <v>253</v>
      </c>
      <c r="AS225" s="141" t="s">
        <v>601</v>
      </c>
      <c r="AT225" s="141" t="s">
        <v>258</v>
      </c>
      <c r="AU225" s="141" t="s">
        <v>258</v>
      </c>
      <c r="AV225" s="122" t="s">
        <v>259</v>
      </c>
      <c r="AW225" s="122" t="s">
        <v>260</v>
      </c>
      <c r="AY225" s="141" t="s">
        <v>253</v>
      </c>
      <c r="AZ225" s="122" t="s">
        <v>9037</v>
      </c>
      <c r="BA225" s="122" t="s">
        <v>262</v>
      </c>
      <c r="BB225" s="122" t="s">
        <v>9038</v>
      </c>
      <c r="BD225" s="122" t="s">
        <v>253</v>
      </c>
      <c r="BE225" s="122" t="s">
        <v>263</v>
      </c>
      <c r="BF225" s="122" t="s">
        <v>2811</v>
      </c>
      <c r="BH225" s="122" t="s">
        <v>2802</v>
      </c>
      <c r="BI225" s="142">
        <v>48</v>
      </c>
      <c r="BJ225" s="123">
        <v>42228</v>
      </c>
      <c r="BK225" s="139" t="s">
        <v>264</v>
      </c>
      <c r="BL225" s="140">
        <v>86</v>
      </c>
      <c r="BM225" s="122">
        <v>33</v>
      </c>
    </row>
    <row r="226" spans="1:65" x14ac:dyDescent="0.25">
      <c r="A226" s="122" t="s">
        <v>352</v>
      </c>
      <c r="B226" s="122" t="s">
        <v>9039</v>
      </c>
      <c r="C226" s="122" t="s">
        <v>9040</v>
      </c>
      <c r="D226" s="122" t="s">
        <v>9041</v>
      </c>
      <c r="E226" s="123">
        <v>42226</v>
      </c>
      <c r="F226" s="122" t="s">
        <v>1596</v>
      </c>
      <c r="G226" s="122" t="s">
        <v>235</v>
      </c>
      <c r="H226" s="122" t="s">
        <v>448</v>
      </c>
      <c r="I226" s="122" t="s">
        <v>9042</v>
      </c>
      <c r="K226" s="122" t="s">
        <v>238</v>
      </c>
      <c r="L226" s="122" t="s">
        <v>346</v>
      </c>
      <c r="M226" s="122" t="s">
        <v>514</v>
      </c>
      <c r="O226" s="141" t="s">
        <v>566</v>
      </c>
      <c r="P226" s="141" t="s">
        <v>9043</v>
      </c>
      <c r="Q226" s="122" t="s">
        <v>243</v>
      </c>
      <c r="R226" s="142">
        <v>49</v>
      </c>
      <c r="S226" s="122" t="s">
        <v>9044</v>
      </c>
      <c r="U226" s="122" t="s">
        <v>2802</v>
      </c>
      <c r="W226" s="122" t="s">
        <v>246</v>
      </c>
      <c r="X226" s="122" t="s">
        <v>853</v>
      </c>
      <c r="Z226" s="122" t="s">
        <v>250</v>
      </c>
      <c r="AB226" s="122" t="s">
        <v>250</v>
      </c>
      <c r="AD226" s="122" t="s">
        <v>250</v>
      </c>
      <c r="AE226" s="122" t="s">
        <v>235</v>
      </c>
      <c r="AF226" s="122" t="s">
        <v>9045</v>
      </c>
      <c r="AG226" s="122" t="s">
        <v>537</v>
      </c>
      <c r="AH226" s="122" t="s">
        <v>253</v>
      </c>
      <c r="AI226" s="122" t="s">
        <v>9046</v>
      </c>
      <c r="AJ226" s="122" t="s">
        <v>9047</v>
      </c>
      <c r="AK226" s="122" t="s">
        <v>253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247</v>
      </c>
      <c r="AQ226" s="141" t="s">
        <v>247</v>
      </c>
      <c r="AR226" s="141" t="s">
        <v>247</v>
      </c>
      <c r="AS226" s="141" t="s">
        <v>601</v>
      </c>
      <c r="AT226" s="141" t="s">
        <v>601</v>
      </c>
      <c r="AU226" s="141" t="s">
        <v>601</v>
      </c>
      <c r="AV226" s="122" t="s">
        <v>259</v>
      </c>
      <c r="AW226" s="122" t="s">
        <v>260</v>
      </c>
      <c r="AY226" s="141" t="s">
        <v>253</v>
      </c>
      <c r="AZ226" s="122" t="s">
        <v>262</v>
      </c>
      <c r="BA226" s="122" t="s">
        <v>262</v>
      </c>
      <c r="BB226" s="122" t="s">
        <v>9048</v>
      </c>
      <c r="BD226" s="122" t="s">
        <v>253</v>
      </c>
      <c r="BE226" s="122" t="s">
        <v>263</v>
      </c>
      <c r="BF226" s="122" t="s">
        <v>2811</v>
      </c>
      <c r="BH226" s="122" t="s">
        <v>2802</v>
      </c>
      <c r="BI226" s="142">
        <v>49</v>
      </c>
      <c r="BJ226" s="123">
        <v>42239</v>
      </c>
      <c r="BK226" s="139" t="s">
        <v>606</v>
      </c>
      <c r="BM226" s="122">
        <v>34</v>
      </c>
    </row>
    <row r="227" spans="1:65" x14ac:dyDescent="0.25">
      <c r="A227" s="122" t="s">
        <v>352</v>
      </c>
      <c r="B227" s="122" t="s">
        <v>9049</v>
      </c>
      <c r="C227" s="122" t="s">
        <v>9050</v>
      </c>
      <c r="D227" s="122" t="s">
        <v>9051</v>
      </c>
      <c r="E227" s="123">
        <v>42226</v>
      </c>
      <c r="F227" s="122" t="s">
        <v>2700</v>
      </c>
      <c r="G227" s="122" t="s">
        <v>235</v>
      </c>
      <c r="H227" s="122" t="s">
        <v>448</v>
      </c>
      <c r="I227" s="122" t="s">
        <v>9052</v>
      </c>
      <c r="K227" s="122" t="s">
        <v>238</v>
      </c>
      <c r="L227" s="122" t="s">
        <v>346</v>
      </c>
      <c r="M227" s="122" t="s">
        <v>514</v>
      </c>
      <c r="Q227" s="122" t="s">
        <v>243</v>
      </c>
      <c r="R227" s="142">
        <v>50</v>
      </c>
      <c r="S227" s="122" t="s">
        <v>9053</v>
      </c>
      <c r="U227" s="122" t="s">
        <v>2802</v>
      </c>
      <c r="W227" s="122" t="s">
        <v>246</v>
      </c>
      <c r="X227" s="122" t="s">
        <v>853</v>
      </c>
      <c r="Y227" s="141" t="s">
        <v>417</v>
      </c>
      <c r="Z227" s="122" t="s">
        <v>9054</v>
      </c>
      <c r="AB227" s="122" t="s">
        <v>250</v>
      </c>
      <c r="AD227" s="122" t="s">
        <v>250</v>
      </c>
      <c r="AE227" s="122" t="s">
        <v>235</v>
      </c>
      <c r="AF227" s="122" t="s">
        <v>9055</v>
      </c>
      <c r="AG227" s="122" t="s">
        <v>537</v>
      </c>
      <c r="AH227" s="122" t="s">
        <v>253</v>
      </c>
      <c r="AI227" s="122" t="s">
        <v>1715</v>
      </c>
      <c r="AJ227" s="122" t="s">
        <v>9056</v>
      </c>
      <c r="AK227" s="122" t="s">
        <v>253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253</v>
      </c>
      <c r="AQ227" s="141" t="s">
        <v>253</v>
      </c>
      <c r="AR227" s="141" t="s">
        <v>253</v>
      </c>
      <c r="AS227" s="141" t="s">
        <v>601</v>
      </c>
      <c r="AT227" s="141" t="s">
        <v>258</v>
      </c>
      <c r="AU227" s="141" t="s">
        <v>258</v>
      </c>
      <c r="AV227" s="122" t="s">
        <v>259</v>
      </c>
      <c r="AW227" s="122" t="s">
        <v>260</v>
      </c>
      <c r="AY227" s="141" t="s">
        <v>253</v>
      </c>
      <c r="AZ227" s="122" t="s">
        <v>262</v>
      </c>
      <c r="BA227" s="122" t="s">
        <v>262</v>
      </c>
      <c r="BB227" s="122" t="s">
        <v>9057</v>
      </c>
      <c r="BD227" s="122" t="s">
        <v>253</v>
      </c>
      <c r="BE227" s="122" t="s">
        <v>263</v>
      </c>
      <c r="BF227" s="122" t="s">
        <v>2811</v>
      </c>
      <c r="BH227" s="122" t="s">
        <v>2802</v>
      </c>
      <c r="BI227" s="142">
        <v>50</v>
      </c>
      <c r="BJ227" s="123">
        <v>42239</v>
      </c>
      <c r="BK227" s="139" t="s">
        <v>606</v>
      </c>
      <c r="BM227" s="122">
        <v>34</v>
      </c>
    </row>
    <row r="228" spans="1:65" x14ac:dyDescent="0.25">
      <c r="A228" s="122" t="s">
        <v>352</v>
      </c>
      <c r="B228" s="122" t="s">
        <v>9058</v>
      </c>
      <c r="C228" s="122" t="s">
        <v>9059</v>
      </c>
      <c r="D228" s="122" t="s">
        <v>9060</v>
      </c>
      <c r="E228" s="123">
        <v>42226</v>
      </c>
      <c r="F228" s="122" t="s">
        <v>2363</v>
      </c>
      <c r="G228" s="122" t="s">
        <v>235</v>
      </c>
      <c r="H228" s="122" t="s">
        <v>9061</v>
      </c>
      <c r="I228" s="122" t="s">
        <v>9062</v>
      </c>
      <c r="J228" s="122" t="s">
        <v>9063</v>
      </c>
      <c r="K228" s="122" t="s">
        <v>238</v>
      </c>
      <c r="L228" s="122" t="s">
        <v>346</v>
      </c>
      <c r="M228" s="122" t="s">
        <v>2913</v>
      </c>
      <c r="O228" s="141" t="s">
        <v>2378</v>
      </c>
      <c r="P228" s="141" t="s">
        <v>9064</v>
      </c>
      <c r="Q228" s="122" t="s">
        <v>243</v>
      </c>
      <c r="R228" s="142">
        <v>51</v>
      </c>
      <c r="S228" s="122" t="s">
        <v>9065</v>
      </c>
      <c r="U228" s="122" t="s">
        <v>2802</v>
      </c>
      <c r="W228" s="122" t="s">
        <v>246</v>
      </c>
      <c r="X228" s="122" t="s">
        <v>3147</v>
      </c>
      <c r="Y228" s="141" t="s">
        <v>1039</v>
      </c>
      <c r="Z228" s="122" t="s">
        <v>9066</v>
      </c>
      <c r="AA228" s="141" t="s">
        <v>744</v>
      </c>
      <c r="AB228" s="122" t="s">
        <v>415</v>
      </c>
      <c r="AC228" s="141" t="s">
        <v>5981</v>
      </c>
      <c r="AD228" s="122" t="s">
        <v>9067</v>
      </c>
      <c r="AE228" s="122" t="s">
        <v>235</v>
      </c>
      <c r="AF228" s="122" t="s">
        <v>9068</v>
      </c>
      <c r="AG228" s="122" t="s">
        <v>537</v>
      </c>
      <c r="AH228" s="122" t="s">
        <v>253</v>
      </c>
      <c r="AI228" s="122" t="s">
        <v>5900</v>
      </c>
      <c r="AJ228" s="122" t="s">
        <v>9069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247</v>
      </c>
      <c r="AQ228" s="141" t="s">
        <v>247</v>
      </c>
      <c r="AR228" s="141" t="s">
        <v>253</v>
      </c>
      <c r="AS228" s="141" t="s">
        <v>601</v>
      </c>
      <c r="AT228" s="141" t="s">
        <v>601</v>
      </c>
      <c r="AU228" s="141" t="s">
        <v>258</v>
      </c>
      <c r="AV228" s="122" t="s">
        <v>259</v>
      </c>
      <c r="AW228" s="122" t="s">
        <v>260</v>
      </c>
      <c r="AY228" s="141" t="s">
        <v>253</v>
      </c>
      <c r="AZ228" s="122" t="s">
        <v>9070</v>
      </c>
      <c r="BA228" s="122" t="s">
        <v>262</v>
      </c>
      <c r="BB228" s="122" t="s">
        <v>262</v>
      </c>
      <c r="BD228" s="122" t="s">
        <v>253</v>
      </c>
      <c r="BE228" s="122" t="s">
        <v>263</v>
      </c>
      <c r="BF228" s="122" t="s">
        <v>2811</v>
      </c>
      <c r="BH228" s="122" t="s">
        <v>2802</v>
      </c>
      <c r="BI228" s="142">
        <v>51</v>
      </c>
    </row>
    <row r="229" spans="1:65" x14ac:dyDescent="0.25">
      <c r="A229" s="122" t="s">
        <v>352</v>
      </c>
      <c r="B229" s="122" t="s">
        <v>9071</v>
      </c>
      <c r="C229" s="122" t="s">
        <v>9072</v>
      </c>
      <c r="D229" s="122" t="s">
        <v>9073</v>
      </c>
      <c r="E229" s="123">
        <v>42226</v>
      </c>
      <c r="F229" s="122" t="s">
        <v>9074</v>
      </c>
      <c r="G229" s="122" t="s">
        <v>235</v>
      </c>
      <c r="H229" s="122" t="s">
        <v>9075</v>
      </c>
      <c r="I229" s="122" t="s">
        <v>9076</v>
      </c>
      <c r="K229" s="122" t="s">
        <v>238</v>
      </c>
      <c r="L229" s="122" t="s">
        <v>346</v>
      </c>
      <c r="M229" s="122" t="s">
        <v>3242</v>
      </c>
      <c r="O229" s="141" t="s">
        <v>299</v>
      </c>
      <c r="P229" s="141" t="s">
        <v>9077</v>
      </c>
      <c r="Q229" s="122" t="s">
        <v>243</v>
      </c>
      <c r="R229" s="142">
        <v>52</v>
      </c>
      <c r="S229" s="122" t="s">
        <v>9078</v>
      </c>
      <c r="U229" s="122" t="s">
        <v>2802</v>
      </c>
      <c r="W229" s="122" t="s">
        <v>246</v>
      </c>
      <c r="X229" s="122" t="s">
        <v>454</v>
      </c>
      <c r="Y229" s="141" t="s">
        <v>1258</v>
      </c>
      <c r="Z229" s="122" t="s">
        <v>9079</v>
      </c>
      <c r="AA229" s="141" t="s">
        <v>2259</v>
      </c>
      <c r="AB229" s="122" t="s">
        <v>9079</v>
      </c>
      <c r="AC229" s="141" t="s">
        <v>1192</v>
      </c>
      <c r="AD229" s="122" t="s">
        <v>9079</v>
      </c>
      <c r="AE229" s="122" t="s">
        <v>235</v>
      </c>
      <c r="AF229" s="122" t="s">
        <v>9080</v>
      </c>
      <c r="AG229" s="122" t="s">
        <v>537</v>
      </c>
      <c r="AH229" s="122" t="s">
        <v>253</v>
      </c>
      <c r="AI229" s="122" t="s">
        <v>9081</v>
      </c>
      <c r="AJ229" s="122" t="s">
        <v>9082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253</v>
      </c>
      <c r="AQ229" s="141" t="s">
        <v>253</v>
      </c>
      <c r="AR229" s="141" t="s">
        <v>253</v>
      </c>
      <c r="AS229" s="141" t="s">
        <v>601</v>
      </c>
      <c r="AT229" s="141" t="s">
        <v>258</v>
      </c>
      <c r="AU229" s="141" t="s">
        <v>258</v>
      </c>
      <c r="AV229" s="122" t="s">
        <v>259</v>
      </c>
      <c r="AW229" s="122" t="s">
        <v>260</v>
      </c>
      <c r="AY229" s="141" t="s">
        <v>253</v>
      </c>
      <c r="AZ229" s="122" t="s">
        <v>9083</v>
      </c>
      <c r="BA229" s="122" t="s">
        <v>262</v>
      </c>
      <c r="BB229" s="122" t="s">
        <v>9084</v>
      </c>
      <c r="BC229" s="141" t="s">
        <v>312</v>
      </c>
      <c r="BD229" s="122" t="s">
        <v>253</v>
      </c>
      <c r="BE229" s="122" t="s">
        <v>263</v>
      </c>
      <c r="BF229" s="122" t="s">
        <v>2811</v>
      </c>
      <c r="BH229" s="122" t="s">
        <v>2802</v>
      </c>
      <c r="BI229" s="142">
        <v>52</v>
      </c>
      <c r="BJ229" s="123">
        <v>42235</v>
      </c>
      <c r="BK229" s="139" t="s">
        <v>264</v>
      </c>
      <c r="BL229" s="140">
        <v>87.06</v>
      </c>
      <c r="BM229" s="122">
        <v>34</v>
      </c>
    </row>
    <row r="230" spans="1:65" x14ac:dyDescent="0.25">
      <c r="A230" s="122" t="s">
        <v>352</v>
      </c>
      <c r="B230" s="122" t="s">
        <v>9085</v>
      </c>
      <c r="C230" s="122" t="s">
        <v>9086</v>
      </c>
      <c r="D230" s="122" t="s">
        <v>9087</v>
      </c>
      <c r="E230" s="123">
        <v>42226</v>
      </c>
      <c r="F230" s="122" t="s">
        <v>3664</v>
      </c>
      <c r="G230" s="122" t="s">
        <v>235</v>
      </c>
      <c r="H230" s="122" t="s">
        <v>448</v>
      </c>
      <c r="I230" s="122" t="s">
        <v>9088</v>
      </c>
      <c r="K230" s="122" t="s">
        <v>238</v>
      </c>
      <c r="L230" s="122" t="s">
        <v>346</v>
      </c>
      <c r="M230" s="122" t="s">
        <v>347</v>
      </c>
      <c r="O230" s="141" t="s">
        <v>548</v>
      </c>
      <c r="P230" s="141" t="s">
        <v>9089</v>
      </c>
      <c r="Q230" s="122" t="s">
        <v>243</v>
      </c>
      <c r="R230" s="142">
        <v>53</v>
      </c>
      <c r="S230" s="122" t="s">
        <v>9090</v>
      </c>
      <c r="U230" s="122" t="s">
        <v>2802</v>
      </c>
      <c r="W230" s="122" t="s">
        <v>246</v>
      </c>
      <c r="X230" s="122" t="s">
        <v>4409</v>
      </c>
      <c r="Y230" s="141" t="s">
        <v>578</v>
      </c>
      <c r="Z230" s="122" t="s">
        <v>435</v>
      </c>
      <c r="AA230" s="141" t="s">
        <v>304</v>
      </c>
      <c r="AB230" s="122" t="s">
        <v>355</v>
      </c>
      <c r="AC230" s="141" t="s">
        <v>281</v>
      </c>
      <c r="AD230" s="122" t="s">
        <v>7083</v>
      </c>
      <c r="AE230" s="122" t="s">
        <v>235</v>
      </c>
      <c r="AF230" s="122" t="s">
        <v>9091</v>
      </c>
      <c r="AG230" s="122" t="s">
        <v>638</v>
      </c>
      <c r="AH230" s="122" t="s">
        <v>253</v>
      </c>
      <c r="AI230" s="122" t="s">
        <v>9092</v>
      </c>
      <c r="AJ230" s="122" t="s">
        <v>9093</v>
      </c>
      <c r="AK230" s="122" t="s">
        <v>253</v>
      </c>
      <c r="AL230" s="122" t="s">
        <v>253</v>
      </c>
      <c r="AM230" s="122" t="s">
        <v>253</v>
      </c>
      <c r="AN230" s="122" t="s">
        <v>253</v>
      </c>
      <c r="AO230" s="141" t="s">
        <v>247</v>
      </c>
      <c r="AP230" s="141" t="s">
        <v>247</v>
      </c>
      <c r="AQ230" s="141" t="s">
        <v>253</v>
      </c>
      <c r="AR230" s="141" t="s">
        <v>253</v>
      </c>
      <c r="AS230" s="141" t="s">
        <v>601</v>
      </c>
      <c r="AT230" s="141" t="s">
        <v>258</v>
      </c>
      <c r="AU230" s="141" t="s">
        <v>258</v>
      </c>
      <c r="AV230" s="122" t="s">
        <v>259</v>
      </c>
      <c r="AW230" s="122" t="s">
        <v>260</v>
      </c>
      <c r="AY230" s="141" t="s">
        <v>253</v>
      </c>
      <c r="AZ230" s="122" t="s">
        <v>262</v>
      </c>
      <c r="BA230" s="122" t="s">
        <v>262</v>
      </c>
      <c r="BB230" s="122" t="s">
        <v>9094</v>
      </c>
      <c r="BD230" s="122" t="s">
        <v>253</v>
      </c>
      <c r="BE230" s="122" t="s">
        <v>263</v>
      </c>
      <c r="BF230" s="122" t="s">
        <v>2811</v>
      </c>
      <c r="BH230" s="122" t="s">
        <v>2802</v>
      </c>
      <c r="BI230" s="142">
        <v>53</v>
      </c>
    </row>
    <row r="231" spans="1:65" x14ac:dyDescent="0.25">
      <c r="A231" s="122" t="s">
        <v>3037</v>
      </c>
      <c r="B231" s="122" t="s">
        <v>9095</v>
      </c>
      <c r="C231" s="122" t="s">
        <v>3114</v>
      </c>
      <c r="D231" s="122" t="s">
        <v>3115</v>
      </c>
      <c r="E231" s="123">
        <v>42226</v>
      </c>
      <c r="F231" s="122" t="s">
        <v>3116</v>
      </c>
      <c r="G231" s="122" t="s">
        <v>235</v>
      </c>
      <c r="H231" s="122" t="s">
        <v>3117</v>
      </c>
      <c r="I231" s="122" t="s">
        <v>3118</v>
      </c>
      <c r="K231" s="122" t="s">
        <v>238</v>
      </c>
      <c r="L231" s="122" t="s">
        <v>346</v>
      </c>
      <c r="M231" s="122" t="s">
        <v>514</v>
      </c>
      <c r="O231" s="141" t="s">
        <v>273</v>
      </c>
      <c r="P231" s="141" t="s">
        <v>3119</v>
      </c>
      <c r="Q231" s="122" t="s">
        <v>243</v>
      </c>
      <c r="R231" s="142">
        <v>54</v>
      </c>
      <c r="S231" s="122" t="s">
        <v>3120</v>
      </c>
      <c r="U231" s="122" t="s">
        <v>2802</v>
      </c>
      <c r="W231" s="122" t="s">
        <v>246</v>
      </c>
      <c r="X231" s="122" t="s">
        <v>454</v>
      </c>
      <c r="Y231" s="141" t="s">
        <v>378</v>
      </c>
      <c r="Z231" s="122" t="s">
        <v>3121</v>
      </c>
      <c r="AA231" s="141" t="s">
        <v>356</v>
      </c>
      <c r="AB231" s="122" t="s">
        <v>3122</v>
      </c>
      <c r="AC231" s="141" t="s">
        <v>1896</v>
      </c>
      <c r="AD231" s="122" t="s">
        <v>355</v>
      </c>
      <c r="AE231" s="122" t="s">
        <v>235</v>
      </c>
      <c r="AF231" s="122" t="s">
        <v>3123</v>
      </c>
      <c r="AG231" s="122" t="s">
        <v>537</v>
      </c>
      <c r="AH231" s="122" t="s">
        <v>253</v>
      </c>
      <c r="AI231" s="122" t="s">
        <v>3124</v>
      </c>
      <c r="AJ231" s="122" t="s">
        <v>3125</v>
      </c>
      <c r="AK231" s="122" t="s">
        <v>253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247</v>
      </c>
      <c r="AQ231" s="141" t="s">
        <v>247</v>
      </c>
      <c r="AR231" s="141" t="s">
        <v>247</v>
      </c>
      <c r="AS231" s="141" t="s">
        <v>601</v>
      </c>
      <c r="AT231" s="141" t="s">
        <v>601</v>
      </c>
      <c r="AU231" s="141" t="s">
        <v>601</v>
      </c>
      <c r="AV231" s="122" t="s">
        <v>259</v>
      </c>
      <c r="AW231" s="122" t="s">
        <v>556</v>
      </c>
      <c r="AY231" s="141" t="s">
        <v>253</v>
      </c>
      <c r="AZ231" s="122" t="s">
        <v>3126</v>
      </c>
      <c r="BA231" s="122" t="s">
        <v>262</v>
      </c>
      <c r="BB231" s="122" t="s">
        <v>262</v>
      </c>
      <c r="BD231" s="122" t="s">
        <v>253</v>
      </c>
      <c r="BE231" s="122" t="s">
        <v>263</v>
      </c>
      <c r="BF231" s="122" t="s">
        <v>2811</v>
      </c>
      <c r="BH231" s="122" t="s">
        <v>2802</v>
      </c>
      <c r="BI231" s="142">
        <v>54</v>
      </c>
      <c r="BK231" s="139" t="s">
        <v>558</v>
      </c>
    </row>
    <row r="232" spans="1:65" x14ac:dyDescent="0.25">
      <c r="A232" s="122" t="s">
        <v>1161</v>
      </c>
      <c r="B232" s="122" t="s">
        <v>9096</v>
      </c>
      <c r="C232" s="122" t="s">
        <v>3172</v>
      </c>
      <c r="D232" s="122" t="s">
        <v>3173</v>
      </c>
      <c r="E232" s="123">
        <v>42226</v>
      </c>
      <c r="F232" s="122" t="s">
        <v>385</v>
      </c>
      <c r="G232" s="122" t="s">
        <v>235</v>
      </c>
      <c r="H232" s="122" t="s">
        <v>3174</v>
      </c>
      <c r="I232" s="122" t="s">
        <v>3175</v>
      </c>
      <c r="K232" s="122" t="s">
        <v>238</v>
      </c>
      <c r="L232" s="122" t="s">
        <v>346</v>
      </c>
      <c r="M232" s="122" t="s">
        <v>3176</v>
      </c>
      <c r="O232" s="141" t="s">
        <v>1102</v>
      </c>
      <c r="P232" s="141" t="s">
        <v>3177</v>
      </c>
      <c r="Q232" s="122" t="s">
        <v>243</v>
      </c>
      <c r="R232" s="142">
        <v>55</v>
      </c>
      <c r="S232" s="122" t="s">
        <v>3178</v>
      </c>
      <c r="U232" s="122" t="s">
        <v>2802</v>
      </c>
      <c r="W232" s="122" t="s">
        <v>246</v>
      </c>
      <c r="X232" s="122" t="s">
        <v>325</v>
      </c>
      <c r="Y232" s="141" t="s">
        <v>6536</v>
      </c>
      <c r="Z232" s="122" t="s">
        <v>9097</v>
      </c>
      <c r="AA232" s="141" t="s">
        <v>511</v>
      </c>
      <c r="AB232" s="122" t="s">
        <v>3179</v>
      </c>
      <c r="AC232" s="141" t="s">
        <v>722</v>
      </c>
      <c r="AD232" s="122" t="s">
        <v>3180</v>
      </c>
      <c r="AE232" s="122" t="s">
        <v>235</v>
      </c>
      <c r="AF232" s="122" t="s">
        <v>9098</v>
      </c>
      <c r="AG232" s="122" t="s">
        <v>6509</v>
      </c>
      <c r="AH232" s="122" t="s">
        <v>253</v>
      </c>
      <c r="AI232" s="122" t="s">
        <v>3183</v>
      </c>
      <c r="AJ232" s="122" t="s">
        <v>9099</v>
      </c>
      <c r="AK232" s="122" t="s">
        <v>253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253</v>
      </c>
      <c r="AQ232" s="141" t="s">
        <v>253</v>
      </c>
      <c r="AR232" s="141" t="s">
        <v>247</v>
      </c>
      <c r="AS232" s="141" t="s">
        <v>257</v>
      </c>
      <c r="AT232" s="141" t="s">
        <v>258</v>
      </c>
      <c r="AU232" s="141" t="s">
        <v>257</v>
      </c>
      <c r="AV232" s="122" t="s">
        <v>259</v>
      </c>
      <c r="AW232" s="122" t="s">
        <v>556</v>
      </c>
      <c r="AX232" s="141" t="s">
        <v>3185</v>
      </c>
      <c r="AY232" s="141" t="s">
        <v>631</v>
      </c>
      <c r="AZ232" s="122" t="s">
        <v>3186</v>
      </c>
      <c r="BA232" s="122" t="s">
        <v>262</v>
      </c>
      <c r="BB232" s="122" t="s">
        <v>3186</v>
      </c>
      <c r="BD232" s="122" t="s">
        <v>253</v>
      </c>
      <c r="BE232" s="122" t="s">
        <v>263</v>
      </c>
      <c r="BF232" s="122" t="s">
        <v>2811</v>
      </c>
      <c r="BH232" s="122" t="s">
        <v>2802</v>
      </c>
      <c r="BI232" s="142">
        <v>55</v>
      </c>
      <c r="BK232" s="139" t="s">
        <v>558</v>
      </c>
    </row>
    <row r="233" spans="1:65" x14ac:dyDescent="0.25">
      <c r="A233" s="122" t="s">
        <v>1161</v>
      </c>
      <c r="B233" s="122" t="s">
        <v>9100</v>
      </c>
      <c r="C233" s="122" t="s">
        <v>3128</v>
      </c>
      <c r="D233" s="122" t="s">
        <v>3129</v>
      </c>
      <c r="E233" s="123">
        <v>42226</v>
      </c>
      <c r="F233" s="122" t="s">
        <v>1423</v>
      </c>
      <c r="G233" s="122" t="s">
        <v>235</v>
      </c>
      <c r="H233" s="122" t="s">
        <v>448</v>
      </c>
      <c r="I233" s="122" t="s">
        <v>3130</v>
      </c>
      <c r="K233" s="122" t="s">
        <v>238</v>
      </c>
      <c r="L233" s="122" t="s">
        <v>346</v>
      </c>
      <c r="M233" s="122" t="s">
        <v>3050</v>
      </c>
      <c r="O233" s="141" t="s">
        <v>451</v>
      </c>
      <c r="P233" s="141" t="s">
        <v>3131</v>
      </c>
      <c r="Q233" s="122" t="s">
        <v>243</v>
      </c>
      <c r="R233" s="142">
        <v>56</v>
      </c>
      <c r="S233" s="122" t="s">
        <v>3132</v>
      </c>
      <c r="U233" s="122" t="s">
        <v>2802</v>
      </c>
      <c r="W233" s="122" t="s">
        <v>246</v>
      </c>
      <c r="X233" s="122" t="s">
        <v>1643</v>
      </c>
      <c r="Z233" s="122" t="s">
        <v>250</v>
      </c>
      <c r="AB233" s="122" t="s">
        <v>250</v>
      </c>
      <c r="AD233" s="122" t="s">
        <v>250</v>
      </c>
      <c r="AE233" s="122" t="s">
        <v>235</v>
      </c>
      <c r="AF233" s="122" t="s">
        <v>9101</v>
      </c>
      <c r="AG233" s="122" t="s">
        <v>253</v>
      </c>
      <c r="AH233" s="122" t="s">
        <v>253</v>
      </c>
      <c r="AI233" s="122" t="s">
        <v>9102</v>
      </c>
      <c r="AJ233" s="122" t="s">
        <v>3135</v>
      </c>
      <c r="AK233" s="122" t="s">
        <v>3136</v>
      </c>
      <c r="AL233" s="122" t="s">
        <v>883</v>
      </c>
      <c r="AM233" s="122" t="s">
        <v>253</v>
      </c>
      <c r="AN233" s="122" t="s">
        <v>253</v>
      </c>
      <c r="AO233" s="141" t="s">
        <v>247</v>
      </c>
      <c r="AP233" s="141" t="s">
        <v>247</v>
      </c>
      <c r="AQ233" s="141" t="s">
        <v>247</v>
      </c>
      <c r="AR233" s="141" t="s">
        <v>247</v>
      </c>
      <c r="AS233" s="141" t="s">
        <v>601</v>
      </c>
      <c r="AT233" s="141" t="s">
        <v>601</v>
      </c>
      <c r="AU233" s="141" t="s">
        <v>601</v>
      </c>
      <c r="AV233" s="122" t="s">
        <v>259</v>
      </c>
      <c r="AW233" s="122" t="s">
        <v>556</v>
      </c>
      <c r="AY233" s="141" t="s">
        <v>253</v>
      </c>
      <c r="AZ233" s="122" t="s">
        <v>262</v>
      </c>
      <c r="BA233" s="122" t="s">
        <v>262</v>
      </c>
      <c r="BB233" s="122" t="s">
        <v>3138</v>
      </c>
      <c r="BD233" s="122" t="s">
        <v>253</v>
      </c>
      <c r="BE233" s="122" t="s">
        <v>263</v>
      </c>
      <c r="BF233" s="122" t="s">
        <v>2811</v>
      </c>
      <c r="BH233" s="122" t="s">
        <v>2802</v>
      </c>
      <c r="BI233" s="142">
        <v>56</v>
      </c>
      <c r="BK233" s="139" t="s">
        <v>558</v>
      </c>
    </row>
    <row r="234" spans="1:65" x14ac:dyDescent="0.25">
      <c r="A234" s="122" t="s">
        <v>6059</v>
      </c>
      <c r="B234" s="122" t="s">
        <v>9103</v>
      </c>
      <c r="C234" s="122" t="s">
        <v>8484</v>
      </c>
      <c r="D234" s="122" t="s">
        <v>8485</v>
      </c>
      <c r="E234" s="123">
        <v>42226</v>
      </c>
      <c r="F234" s="122" t="s">
        <v>3960</v>
      </c>
      <c r="G234" s="122" t="s">
        <v>235</v>
      </c>
      <c r="H234" s="122" t="s">
        <v>8486</v>
      </c>
      <c r="I234" s="122" t="s">
        <v>8487</v>
      </c>
      <c r="K234" s="122" t="s">
        <v>238</v>
      </c>
      <c r="L234" s="122" t="s">
        <v>346</v>
      </c>
      <c r="M234" s="122" t="s">
        <v>2862</v>
      </c>
      <c r="O234" s="141" t="s">
        <v>665</v>
      </c>
      <c r="P234" s="141" t="s">
        <v>8488</v>
      </c>
      <c r="Q234" s="122" t="s">
        <v>243</v>
      </c>
      <c r="R234" s="142">
        <v>57</v>
      </c>
      <c r="S234" s="122" t="s">
        <v>8489</v>
      </c>
      <c r="U234" s="122" t="s">
        <v>2802</v>
      </c>
      <c r="W234" s="122" t="s">
        <v>246</v>
      </c>
      <c r="X234" s="122" t="s">
        <v>2624</v>
      </c>
      <c r="Y234" s="141" t="s">
        <v>578</v>
      </c>
      <c r="Z234" s="122" t="s">
        <v>8490</v>
      </c>
      <c r="AA234" s="141" t="s">
        <v>6551</v>
      </c>
      <c r="AB234" s="122" t="s">
        <v>8490</v>
      </c>
      <c r="AC234" s="141" t="s">
        <v>1876</v>
      </c>
      <c r="AD234" s="122" t="s">
        <v>8491</v>
      </c>
      <c r="AE234" s="122" t="s">
        <v>235</v>
      </c>
      <c r="AF234" s="122" t="s">
        <v>8492</v>
      </c>
      <c r="AG234" s="122" t="s">
        <v>2580</v>
      </c>
      <c r="AH234" s="122" t="s">
        <v>253</v>
      </c>
      <c r="AI234" s="122" t="s">
        <v>8493</v>
      </c>
      <c r="AJ234" s="122" t="s">
        <v>8494</v>
      </c>
      <c r="AK234" s="122" t="s">
        <v>253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247</v>
      </c>
      <c r="AS234" s="141" t="s">
        <v>601</v>
      </c>
      <c r="AT234" s="141" t="s">
        <v>601</v>
      </c>
      <c r="AU234" s="141" t="s">
        <v>601</v>
      </c>
      <c r="AV234" s="122" t="s">
        <v>259</v>
      </c>
      <c r="AW234" s="122" t="s">
        <v>556</v>
      </c>
      <c r="AX234" s="141" t="s">
        <v>750</v>
      </c>
      <c r="AY234" s="141" t="s">
        <v>603</v>
      </c>
      <c r="AZ234" s="122" t="s">
        <v>8495</v>
      </c>
      <c r="BA234" s="122" t="s">
        <v>262</v>
      </c>
      <c r="BB234" s="122" t="s">
        <v>262</v>
      </c>
      <c r="BD234" s="122" t="s">
        <v>253</v>
      </c>
      <c r="BE234" s="122" t="s">
        <v>263</v>
      </c>
      <c r="BF234" s="122" t="s">
        <v>2811</v>
      </c>
      <c r="BH234" s="122" t="s">
        <v>2802</v>
      </c>
      <c r="BI234" s="142">
        <v>57</v>
      </c>
      <c r="BK234" s="139" t="s">
        <v>558</v>
      </c>
    </row>
    <row r="235" spans="1:65" x14ac:dyDescent="0.25">
      <c r="A235" s="122" t="s">
        <v>6059</v>
      </c>
      <c r="B235" s="122" t="s">
        <v>9104</v>
      </c>
      <c r="C235" s="122" t="s">
        <v>8510</v>
      </c>
      <c r="D235" s="122" t="s">
        <v>8511</v>
      </c>
      <c r="E235" s="123">
        <v>42226</v>
      </c>
      <c r="F235" s="122" t="s">
        <v>3247</v>
      </c>
      <c r="G235" s="122" t="s">
        <v>235</v>
      </c>
      <c r="H235" s="122" t="s">
        <v>8512</v>
      </c>
      <c r="I235" s="122" t="s">
        <v>3081</v>
      </c>
      <c r="J235" s="122" t="s">
        <v>8513</v>
      </c>
      <c r="K235" s="122" t="s">
        <v>238</v>
      </c>
      <c r="L235" s="122" t="s">
        <v>346</v>
      </c>
      <c r="M235" s="122" t="s">
        <v>2963</v>
      </c>
      <c r="O235" s="141" t="s">
        <v>566</v>
      </c>
      <c r="P235" s="141" t="s">
        <v>8514</v>
      </c>
      <c r="Q235" s="122" t="s">
        <v>243</v>
      </c>
      <c r="R235" s="142">
        <v>58</v>
      </c>
      <c r="S235" s="122" t="s">
        <v>8515</v>
      </c>
      <c r="U235" s="122" t="s">
        <v>2802</v>
      </c>
      <c r="W235" s="122" t="s">
        <v>246</v>
      </c>
      <c r="X235" s="122" t="s">
        <v>454</v>
      </c>
      <c r="Y235" s="141" t="s">
        <v>570</v>
      </c>
      <c r="Z235" s="122" t="s">
        <v>8516</v>
      </c>
      <c r="AA235" s="141" t="s">
        <v>234</v>
      </c>
      <c r="AB235" s="122" t="s">
        <v>8517</v>
      </c>
      <c r="AC235" s="141" t="s">
        <v>1547</v>
      </c>
      <c r="AD235" s="122" t="s">
        <v>4725</v>
      </c>
      <c r="AE235" s="122" t="s">
        <v>235</v>
      </c>
      <c r="AF235" s="122" t="s">
        <v>8518</v>
      </c>
      <c r="AG235" s="122" t="s">
        <v>537</v>
      </c>
      <c r="AH235" s="122" t="s">
        <v>253</v>
      </c>
      <c r="AI235" s="122" t="s">
        <v>5311</v>
      </c>
      <c r="AJ235" s="122" t="s">
        <v>5312</v>
      </c>
      <c r="AK235" s="122" t="s">
        <v>253</v>
      </c>
      <c r="AL235" s="122" t="s">
        <v>253</v>
      </c>
      <c r="AM235" s="122" t="s">
        <v>253</v>
      </c>
      <c r="AN235" s="122" t="s">
        <v>253</v>
      </c>
      <c r="AO235" s="141" t="s">
        <v>247</v>
      </c>
      <c r="AP235" s="141" t="s">
        <v>247</v>
      </c>
      <c r="AQ235" s="141" t="s">
        <v>247</v>
      </c>
      <c r="AR235" s="141" t="s">
        <v>247</v>
      </c>
      <c r="AS235" s="141" t="s">
        <v>601</v>
      </c>
      <c r="AT235" s="141" t="s">
        <v>601</v>
      </c>
      <c r="AU235" s="141" t="s">
        <v>601</v>
      </c>
      <c r="AV235" s="122" t="s">
        <v>259</v>
      </c>
      <c r="AW235" s="122" t="s">
        <v>556</v>
      </c>
      <c r="AY235" s="141" t="s">
        <v>253</v>
      </c>
      <c r="AZ235" s="122" t="s">
        <v>8519</v>
      </c>
      <c r="BA235" s="122" t="s">
        <v>262</v>
      </c>
      <c r="BB235" s="122" t="s">
        <v>262</v>
      </c>
      <c r="BD235" s="122" t="s">
        <v>253</v>
      </c>
      <c r="BE235" s="122" t="s">
        <v>263</v>
      </c>
      <c r="BF235" s="122" t="s">
        <v>2811</v>
      </c>
      <c r="BH235" s="122" t="s">
        <v>2802</v>
      </c>
      <c r="BI235" s="142">
        <v>58</v>
      </c>
      <c r="BK235" s="139" t="s">
        <v>558</v>
      </c>
    </row>
    <row r="236" spans="1:65" x14ac:dyDescent="0.25">
      <c r="A236" s="122" t="s">
        <v>6059</v>
      </c>
      <c r="B236" s="122" t="s">
        <v>9105</v>
      </c>
      <c r="C236" s="122" t="s">
        <v>8445</v>
      </c>
      <c r="D236" s="122" t="s">
        <v>8446</v>
      </c>
      <c r="E236" s="123">
        <v>42226</v>
      </c>
      <c r="F236" s="122" t="s">
        <v>722</v>
      </c>
      <c r="G236" s="122" t="s">
        <v>235</v>
      </c>
      <c r="H236" s="122" t="s">
        <v>8447</v>
      </c>
      <c r="I236" s="122" t="s">
        <v>8448</v>
      </c>
      <c r="K236" s="122" t="s">
        <v>238</v>
      </c>
      <c r="L236" s="122" t="s">
        <v>346</v>
      </c>
      <c r="M236" s="122" t="s">
        <v>2749</v>
      </c>
      <c r="O236" s="141" t="s">
        <v>451</v>
      </c>
      <c r="P236" s="141" t="s">
        <v>8449</v>
      </c>
      <c r="Q236" s="122" t="s">
        <v>243</v>
      </c>
      <c r="R236" s="142">
        <v>59</v>
      </c>
      <c r="S236" s="122" t="s">
        <v>8450</v>
      </c>
      <c r="U236" s="122" t="s">
        <v>2802</v>
      </c>
      <c r="W236" s="122" t="s">
        <v>246</v>
      </c>
      <c r="X236" s="122" t="s">
        <v>590</v>
      </c>
      <c r="Y236" s="141" t="s">
        <v>2257</v>
      </c>
      <c r="Z236" s="122" t="s">
        <v>8451</v>
      </c>
      <c r="AA236" s="141" t="s">
        <v>591</v>
      </c>
      <c r="AB236" s="122" t="s">
        <v>8451</v>
      </c>
      <c r="AD236" s="122" t="s">
        <v>250</v>
      </c>
      <c r="AE236" s="122" t="s">
        <v>235</v>
      </c>
      <c r="AF236" s="122" t="s">
        <v>8452</v>
      </c>
      <c r="AG236" s="122" t="s">
        <v>8453</v>
      </c>
      <c r="AH236" s="122" t="s">
        <v>253</v>
      </c>
      <c r="AI236" s="122" t="s">
        <v>8454</v>
      </c>
      <c r="AJ236" s="122" t="s">
        <v>7857</v>
      </c>
      <c r="AK236" s="122" t="s">
        <v>8455</v>
      </c>
      <c r="AL236" s="122" t="s">
        <v>253</v>
      </c>
      <c r="AM236" s="122" t="s">
        <v>253</v>
      </c>
      <c r="AN236" s="122" t="s">
        <v>253</v>
      </c>
      <c r="AO236" s="141" t="s">
        <v>247</v>
      </c>
      <c r="AP236" s="141" t="s">
        <v>247</v>
      </c>
      <c r="AQ236" s="141" t="s">
        <v>247</v>
      </c>
      <c r="AR236" s="141" t="s">
        <v>247</v>
      </c>
      <c r="AS236" s="141" t="s">
        <v>601</v>
      </c>
      <c r="AT236" s="141" t="s">
        <v>601</v>
      </c>
      <c r="AU236" s="141" t="s">
        <v>601</v>
      </c>
      <c r="AV236" s="122" t="s">
        <v>259</v>
      </c>
      <c r="AW236" s="122" t="s">
        <v>556</v>
      </c>
      <c r="AX236" s="141" t="s">
        <v>1046</v>
      </c>
      <c r="AY236" s="141" t="s">
        <v>603</v>
      </c>
      <c r="AZ236" s="122" t="s">
        <v>8456</v>
      </c>
      <c r="BA236" s="122" t="s">
        <v>262</v>
      </c>
      <c r="BB236" s="122" t="s">
        <v>8456</v>
      </c>
      <c r="BD236" s="122" t="s">
        <v>253</v>
      </c>
      <c r="BE236" s="122" t="s">
        <v>263</v>
      </c>
      <c r="BF236" s="122" t="s">
        <v>2811</v>
      </c>
      <c r="BH236" s="122" t="s">
        <v>2802</v>
      </c>
      <c r="BI236" s="142">
        <v>59</v>
      </c>
      <c r="BK236" s="139" t="s">
        <v>558</v>
      </c>
    </row>
    <row r="237" spans="1:65" x14ac:dyDescent="0.25">
      <c r="A237" s="122" t="s">
        <v>6735</v>
      </c>
      <c r="B237" s="122" t="s">
        <v>9106</v>
      </c>
      <c r="C237" s="122" t="s">
        <v>8563</v>
      </c>
      <c r="D237" s="122" t="s">
        <v>8564</v>
      </c>
      <c r="E237" s="123">
        <v>42226</v>
      </c>
      <c r="F237" s="122" t="s">
        <v>2010</v>
      </c>
      <c r="G237" s="122" t="s">
        <v>235</v>
      </c>
      <c r="H237" s="122" t="s">
        <v>8565</v>
      </c>
      <c r="I237" s="122" t="s">
        <v>3081</v>
      </c>
      <c r="J237" s="122" t="s">
        <v>8566</v>
      </c>
      <c r="K237" s="122" t="s">
        <v>238</v>
      </c>
      <c r="L237" s="122" t="s">
        <v>346</v>
      </c>
      <c r="M237" s="122" t="s">
        <v>2963</v>
      </c>
      <c r="O237" s="141" t="s">
        <v>566</v>
      </c>
      <c r="P237" s="141" t="s">
        <v>8567</v>
      </c>
      <c r="Q237" s="122" t="s">
        <v>243</v>
      </c>
      <c r="R237" s="142">
        <v>60</v>
      </c>
      <c r="S237" s="122" t="s">
        <v>8568</v>
      </c>
      <c r="U237" s="122" t="s">
        <v>2802</v>
      </c>
      <c r="W237" s="122" t="s">
        <v>246</v>
      </c>
      <c r="X237" s="122" t="s">
        <v>631</v>
      </c>
      <c r="Z237" s="122" t="s">
        <v>250</v>
      </c>
      <c r="AB237" s="122" t="s">
        <v>250</v>
      </c>
      <c r="AD237" s="122" t="s">
        <v>250</v>
      </c>
      <c r="AE237" s="122" t="s">
        <v>235</v>
      </c>
      <c r="AF237" s="122" t="s">
        <v>8569</v>
      </c>
      <c r="AG237" s="122" t="s">
        <v>253</v>
      </c>
      <c r="AH237" s="122" t="s">
        <v>8570</v>
      </c>
      <c r="AI237" s="122" t="s">
        <v>8571</v>
      </c>
      <c r="AJ237" s="122" t="s">
        <v>8572</v>
      </c>
      <c r="AK237" s="122" t="s">
        <v>8573</v>
      </c>
      <c r="AL237" s="122" t="s">
        <v>253</v>
      </c>
      <c r="AM237" s="122" t="s">
        <v>253</v>
      </c>
      <c r="AN237" s="122" t="s">
        <v>253</v>
      </c>
      <c r="AO237" s="141" t="s">
        <v>247</v>
      </c>
      <c r="AP237" s="141" t="s">
        <v>247</v>
      </c>
      <c r="AQ237" s="141" t="s">
        <v>247</v>
      </c>
      <c r="AR237" s="141" t="s">
        <v>247</v>
      </c>
      <c r="AS237" s="141" t="s">
        <v>601</v>
      </c>
      <c r="AT237" s="141" t="s">
        <v>601</v>
      </c>
      <c r="AU237" s="141" t="s">
        <v>601</v>
      </c>
      <c r="AV237" s="122" t="s">
        <v>259</v>
      </c>
      <c r="AW237" s="122" t="s">
        <v>556</v>
      </c>
      <c r="AY237" s="141" t="s">
        <v>253</v>
      </c>
      <c r="AZ237" s="122" t="s">
        <v>8574</v>
      </c>
      <c r="BA237" s="122" t="s">
        <v>262</v>
      </c>
      <c r="BB237" s="122" t="s">
        <v>262</v>
      </c>
      <c r="BD237" s="122" t="s">
        <v>253</v>
      </c>
      <c r="BE237" s="122" t="s">
        <v>263</v>
      </c>
      <c r="BF237" s="122" t="s">
        <v>2811</v>
      </c>
      <c r="BH237" s="122" t="s">
        <v>2802</v>
      </c>
      <c r="BI237" s="142">
        <v>60</v>
      </c>
      <c r="BK237" s="139" t="s">
        <v>558</v>
      </c>
    </row>
    <row r="238" spans="1:65" x14ac:dyDescent="0.25">
      <c r="A238" s="122" t="s">
        <v>6513</v>
      </c>
      <c r="B238" s="122" t="s">
        <v>9107</v>
      </c>
      <c r="C238" s="122" t="s">
        <v>8717</v>
      </c>
      <c r="D238" s="122" t="s">
        <v>8718</v>
      </c>
      <c r="E238" s="123">
        <v>42226</v>
      </c>
      <c r="F238" s="122" t="s">
        <v>1116</v>
      </c>
      <c r="G238" s="122" t="s">
        <v>235</v>
      </c>
      <c r="H238" s="122" t="s">
        <v>8719</v>
      </c>
      <c r="I238" s="122" t="s">
        <v>3081</v>
      </c>
      <c r="J238" s="122" t="s">
        <v>8720</v>
      </c>
      <c r="K238" s="122" t="s">
        <v>238</v>
      </c>
      <c r="L238" s="122" t="s">
        <v>346</v>
      </c>
      <c r="M238" s="122" t="s">
        <v>2963</v>
      </c>
      <c r="O238" s="141" t="s">
        <v>451</v>
      </c>
      <c r="P238" s="141" t="s">
        <v>8721</v>
      </c>
      <c r="Q238" s="122" t="s">
        <v>243</v>
      </c>
      <c r="R238" s="142">
        <v>61</v>
      </c>
      <c r="S238" s="122" t="s">
        <v>8722</v>
      </c>
      <c r="U238" s="122" t="s">
        <v>2802</v>
      </c>
      <c r="W238" s="122" t="s">
        <v>246</v>
      </c>
      <c r="X238" s="122" t="s">
        <v>1121</v>
      </c>
      <c r="Y238" s="141" t="s">
        <v>593</v>
      </c>
      <c r="Z238" s="122" t="s">
        <v>8723</v>
      </c>
      <c r="AA238" s="141" t="s">
        <v>511</v>
      </c>
      <c r="AB238" s="122" t="s">
        <v>8724</v>
      </c>
      <c r="AC238" s="141" t="s">
        <v>1498</v>
      </c>
      <c r="AD238" s="122" t="s">
        <v>8724</v>
      </c>
      <c r="AE238" s="122" t="s">
        <v>235</v>
      </c>
      <c r="AF238" s="122" t="s">
        <v>8725</v>
      </c>
      <c r="AG238" s="122" t="s">
        <v>537</v>
      </c>
      <c r="AH238" s="122" t="s">
        <v>253</v>
      </c>
      <c r="AI238" s="122" t="s">
        <v>8726</v>
      </c>
      <c r="AJ238" s="122" t="s">
        <v>8727</v>
      </c>
      <c r="AK238" s="122" t="s">
        <v>253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247</v>
      </c>
      <c r="AS238" s="141" t="s">
        <v>601</v>
      </c>
      <c r="AT238" s="141" t="s">
        <v>601</v>
      </c>
      <c r="AU238" s="141" t="s">
        <v>601</v>
      </c>
      <c r="AV238" s="122" t="s">
        <v>259</v>
      </c>
      <c r="AW238" s="122" t="s">
        <v>556</v>
      </c>
      <c r="AY238" s="141" t="s">
        <v>253</v>
      </c>
      <c r="AZ238" s="122" t="s">
        <v>8728</v>
      </c>
      <c r="BA238" s="122" t="s">
        <v>262</v>
      </c>
      <c r="BB238" s="122" t="s">
        <v>262</v>
      </c>
      <c r="BD238" s="122" t="s">
        <v>253</v>
      </c>
      <c r="BE238" s="122" t="s">
        <v>263</v>
      </c>
      <c r="BF238" s="122" t="s">
        <v>2811</v>
      </c>
      <c r="BH238" s="122" t="s">
        <v>2802</v>
      </c>
      <c r="BI238" s="142">
        <v>61</v>
      </c>
      <c r="BK238" s="139" t="s">
        <v>558</v>
      </c>
    </row>
    <row r="239" spans="1:65" x14ac:dyDescent="0.25">
      <c r="A239" s="122" t="s">
        <v>6513</v>
      </c>
      <c r="B239" s="122" t="s">
        <v>9108</v>
      </c>
      <c r="C239" s="122" t="s">
        <v>8739</v>
      </c>
      <c r="D239" s="122" t="s">
        <v>8740</v>
      </c>
      <c r="E239" s="123">
        <v>42226</v>
      </c>
      <c r="F239" s="122" t="s">
        <v>1398</v>
      </c>
      <c r="G239" s="122" t="s">
        <v>235</v>
      </c>
      <c r="H239" s="122" t="s">
        <v>8741</v>
      </c>
      <c r="I239" s="122" t="s">
        <v>8742</v>
      </c>
      <c r="J239" s="122" t="s">
        <v>8743</v>
      </c>
      <c r="K239" s="122" t="s">
        <v>238</v>
      </c>
      <c r="L239" s="122" t="s">
        <v>346</v>
      </c>
      <c r="M239" s="122" t="s">
        <v>2963</v>
      </c>
      <c r="N239" s="122" t="s">
        <v>8744</v>
      </c>
      <c r="O239" s="141" t="s">
        <v>2442</v>
      </c>
      <c r="P239" s="141" t="s">
        <v>8745</v>
      </c>
      <c r="Q239" s="122" t="s">
        <v>243</v>
      </c>
      <c r="R239" s="142">
        <v>62</v>
      </c>
      <c r="S239" s="122" t="s">
        <v>8746</v>
      </c>
      <c r="U239" s="122" t="s">
        <v>2802</v>
      </c>
      <c r="W239" s="122" t="s">
        <v>246</v>
      </c>
      <c r="X239" s="122" t="s">
        <v>1057</v>
      </c>
      <c r="Y239" s="141" t="s">
        <v>593</v>
      </c>
      <c r="Z239" s="122" t="s">
        <v>8747</v>
      </c>
      <c r="AB239" s="122" t="s">
        <v>250</v>
      </c>
      <c r="AD239" s="122" t="s">
        <v>250</v>
      </c>
      <c r="AE239" s="122" t="s">
        <v>235</v>
      </c>
      <c r="AF239" s="122" t="s">
        <v>8748</v>
      </c>
      <c r="AG239" s="122" t="s">
        <v>747</v>
      </c>
      <c r="AH239" s="122" t="s">
        <v>253</v>
      </c>
      <c r="AI239" s="122" t="s">
        <v>8749</v>
      </c>
      <c r="AJ239" s="122" t="s">
        <v>8750</v>
      </c>
      <c r="AK239" s="122" t="s">
        <v>8751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253</v>
      </c>
      <c r="AQ239" s="141" t="s">
        <v>247</v>
      </c>
      <c r="AR239" s="141" t="s">
        <v>247</v>
      </c>
      <c r="AS239" s="141" t="s">
        <v>601</v>
      </c>
      <c r="AT239" s="141" t="s">
        <v>601</v>
      </c>
      <c r="AU239" s="141" t="s">
        <v>601</v>
      </c>
      <c r="AV239" s="122" t="s">
        <v>259</v>
      </c>
      <c r="AW239" s="122" t="s">
        <v>556</v>
      </c>
      <c r="AX239" s="141" t="s">
        <v>2029</v>
      </c>
      <c r="AY239" s="141" t="s">
        <v>247</v>
      </c>
      <c r="AZ239" s="122" t="s">
        <v>8752</v>
      </c>
      <c r="BA239" s="122" t="s">
        <v>262</v>
      </c>
      <c r="BB239" s="122" t="s">
        <v>262</v>
      </c>
      <c r="BD239" s="122" t="s">
        <v>253</v>
      </c>
      <c r="BE239" s="122" t="s">
        <v>263</v>
      </c>
      <c r="BF239" s="122" t="s">
        <v>2811</v>
      </c>
      <c r="BH239" s="122" t="s">
        <v>2802</v>
      </c>
      <c r="BI239" s="142">
        <v>62</v>
      </c>
      <c r="BK239" s="139" t="s">
        <v>558</v>
      </c>
    </row>
    <row r="240" spans="1:65" x14ac:dyDescent="0.25">
      <c r="A240" s="122" t="s">
        <v>6513</v>
      </c>
      <c r="B240" s="122" t="s">
        <v>9109</v>
      </c>
      <c r="C240" s="122" t="s">
        <v>8801</v>
      </c>
      <c r="D240" s="122" t="s">
        <v>8802</v>
      </c>
      <c r="E240" s="123">
        <v>42226</v>
      </c>
      <c r="F240" s="122" t="s">
        <v>8803</v>
      </c>
      <c r="G240" s="122" t="s">
        <v>235</v>
      </c>
      <c r="H240" s="122" t="s">
        <v>448</v>
      </c>
      <c r="I240" s="122" t="s">
        <v>8804</v>
      </c>
      <c r="K240" s="122" t="s">
        <v>238</v>
      </c>
      <c r="L240" s="122" t="s">
        <v>346</v>
      </c>
      <c r="M240" s="122" t="s">
        <v>3242</v>
      </c>
      <c r="O240" s="141" t="s">
        <v>390</v>
      </c>
      <c r="P240" s="141" t="s">
        <v>8805</v>
      </c>
      <c r="Q240" s="122" t="s">
        <v>243</v>
      </c>
      <c r="R240" s="142">
        <v>63</v>
      </c>
      <c r="S240" s="122" t="s">
        <v>8806</v>
      </c>
      <c r="U240" s="122" t="s">
        <v>2802</v>
      </c>
      <c r="W240" s="122" t="s">
        <v>246</v>
      </c>
      <c r="X240" s="122" t="s">
        <v>1057</v>
      </c>
      <c r="Y240" s="141" t="s">
        <v>593</v>
      </c>
      <c r="Z240" s="122" t="s">
        <v>8807</v>
      </c>
      <c r="AA240" s="141" t="s">
        <v>356</v>
      </c>
      <c r="AB240" s="122" t="s">
        <v>8808</v>
      </c>
      <c r="AC240" s="141" t="s">
        <v>1423</v>
      </c>
      <c r="AD240" s="122" t="s">
        <v>8809</v>
      </c>
      <c r="AE240" s="122" t="s">
        <v>235</v>
      </c>
      <c r="AF240" s="122" t="s">
        <v>8810</v>
      </c>
      <c r="AG240" s="122" t="s">
        <v>638</v>
      </c>
      <c r="AH240" s="122" t="s">
        <v>253</v>
      </c>
      <c r="AI240" s="122" t="s">
        <v>8811</v>
      </c>
      <c r="AJ240" s="122" t="s">
        <v>8812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247</v>
      </c>
      <c r="AP240" s="141" t="s">
        <v>247</v>
      </c>
      <c r="AQ240" s="141" t="s">
        <v>247</v>
      </c>
      <c r="AR240" s="141" t="s">
        <v>247</v>
      </c>
      <c r="AS240" s="141" t="s">
        <v>601</v>
      </c>
      <c r="AT240" s="141" t="s">
        <v>601</v>
      </c>
      <c r="AU240" s="141" t="s">
        <v>601</v>
      </c>
      <c r="AV240" s="122" t="s">
        <v>259</v>
      </c>
      <c r="AW240" s="122" t="s">
        <v>556</v>
      </c>
      <c r="AX240" s="141" t="s">
        <v>2029</v>
      </c>
      <c r="AY240" s="141" t="s">
        <v>247</v>
      </c>
      <c r="AZ240" s="122" t="s">
        <v>262</v>
      </c>
      <c r="BA240" s="122" t="s">
        <v>262</v>
      </c>
      <c r="BB240" s="122" t="s">
        <v>8813</v>
      </c>
      <c r="BD240" s="122" t="s">
        <v>253</v>
      </c>
      <c r="BE240" s="122" t="s">
        <v>263</v>
      </c>
      <c r="BF240" s="122" t="s">
        <v>2811</v>
      </c>
      <c r="BH240" s="122" t="s">
        <v>2802</v>
      </c>
      <c r="BI240" s="142">
        <v>63</v>
      </c>
      <c r="BK240" s="139" t="s">
        <v>558</v>
      </c>
    </row>
    <row r="241" spans="1:65" x14ac:dyDescent="0.25">
      <c r="A241" s="122" t="s">
        <v>352</v>
      </c>
      <c r="B241" s="122" t="s">
        <v>9110</v>
      </c>
      <c r="C241" s="122" t="s">
        <v>8926</v>
      </c>
      <c r="D241" s="122" t="s">
        <v>8927</v>
      </c>
      <c r="E241" s="123">
        <v>42226</v>
      </c>
      <c r="F241" s="122" t="s">
        <v>3079</v>
      </c>
      <c r="G241" s="122" t="s">
        <v>235</v>
      </c>
      <c r="H241" s="122" t="s">
        <v>8928</v>
      </c>
      <c r="I241" s="122" t="s">
        <v>8929</v>
      </c>
      <c r="J241" s="122" t="s">
        <v>370</v>
      </c>
      <c r="K241" s="122" t="s">
        <v>238</v>
      </c>
      <c r="L241" s="122" t="s">
        <v>346</v>
      </c>
      <c r="M241" s="122" t="s">
        <v>1054</v>
      </c>
      <c r="O241" s="141" t="s">
        <v>451</v>
      </c>
      <c r="P241" s="141" t="s">
        <v>8930</v>
      </c>
      <c r="Q241" s="122" t="s">
        <v>243</v>
      </c>
      <c r="R241" s="142">
        <v>64</v>
      </c>
      <c r="S241" s="122" t="s">
        <v>8931</v>
      </c>
      <c r="U241" s="122" t="s">
        <v>2802</v>
      </c>
      <c r="W241" s="122" t="s">
        <v>246</v>
      </c>
      <c r="X241" s="122" t="s">
        <v>454</v>
      </c>
      <c r="Y241" s="141" t="s">
        <v>973</v>
      </c>
      <c r="Z241" s="122" t="s">
        <v>8932</v>
      </c>
      <c r="AA241" s="141" t="s">
        <v>705</v>
      </c>
      <c r="AB241" s="122" t="s">
        <v>8933</v>
      </c>
      <c r="AC241" s="141" t="s">
        <v>685</v>
      </c>
      <c r="AD241" s="122" t="s">
        <v>8105</v>
      </c>
      <c r="AE241" s="122" t="s">
        <v>235</v>
      </c>
      <c r="AF241" s="122" t="s">
        <v>8934</v>
      </c>
      <c r="AG241" s="122" t="s">
        <v>8935</v>
      </c>
      <c r="AH241" s="122" t="s">
        <v>253</v>
      </c>
      <c r="AI241" s="122" t="s">
        <v>8936</v>
      </c>
      <c r="AJ241" s="122" t="s">
        <v>8937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247</v>
      </c>
      <c r="AQ241" s="141" t="s">
        <v>247</v>
      </c>
      <c r="AR241" s="141" t="s">
        <v>247</v>
      </c>
      <c r="AS241" s="141" t="s">
        <v>601</v>
      </c>
      <c r="AT241" s="141" t="s">
        <v>601</v>
      </c>
      <c r="AU241" s="141" t="s">
        <v>601</v>
      </c>
      <c r="AV241" s="122" t="s">
        <v>259</v>
      </c>
      <c r="AW241" s="122" t="s">
        <v>556</v>
      </c>
      <c r="AX241" s="141" t="s">
        <v>3027</v>
      </c>
      <c r="AY241" s="141" t="s">
        <v>603</v>
      </c>
      <c r="AZ241" s="122" t="s">
        <v>8938</v>
      </c>
      <c r="BA241" s="122" t="s">
        <v>262</v>
      </c>
      <c r="BB241" s="122" t="s">
        <v>262</v>
      </c>
      <c r="BD241" s="122" t="s">
        <v>253</v>
      </c>
      <c r="BE241" s="122" t="s">
        <v>263</v>
      </c>
      <c r="BF241" s="122" t="s">
        <v>2811</v>
      </c>
      <c r="BH241" s="122" t="s">
        <v>2802</v>
      </c>
      <c r="BI241" s="142">
        <v>64</v>
      </c>
      <c r="BK241" s="139" t="s">
        <v>558</v>
      </c>
    </row>
    <row r="242" spans="1:65" x14ac:dyDescent="0.25">
      <c r="A242" s="122" t="s">
        <v>352</v>
      </c>
      <c r="B242" s="122" t="s">
        <v>9111</v>
      </c>
      <c r="C242" s="122" t="s">
        <v>8863</v>
      </c>
      <c r="D242" s="122" t="s">
        <v>8864</v>
      </c>
      <c r="E242" s="123">
        <v>42226</v>
      </c>
      <c r="F242" s="122" t="s">
        <v>877</v>
      </c>
      <c r="G242" s="122" t="s">
        <v>235</v>
      </c>
      <c r="H242" s="122" t="s">
        <v>8865</v>
      </c>
      <c r="I242" s="122" t="s">
        <v>8742</v>
      </c>
      <c r="J242" s="122" t="s">
        <v>8866</v>
      </c>
      <c r="K242" s="122" t="s">
        <v>238</v>
      </c>
      <c r="L242" s="122" t="s">
        <v>346</v>
      </c>
      <c r="M242" s="122" t="s">
        <v>2963</v>
      </c>
      <c r="N242" s="122" t="s">
        <v>8744</v>
      </c>
      <c r="Q242" s="122" t="s">
        <v>243</v>
      </c>
      <c r="R242" s="142">
        <v>65</v>
      </c>
      <c r="S242" s="122" t="s">
        <v>8867</v>
      </c>
      <c r="U242" s="122" t="s">
        <v>2802</v>
      </c>
      <c r="W242" s="122" t="s">
        <v>246</v>
      </c>
      <c r="X242" s="122" t="s">
        <v>590</v>
      </c>
      <c r="Y242" s="141" t="s">
        <v>378</v>
      </c>
      <c r="Z242" s="122" t="s">
        <v>305</v>
      </c>
      <c r="AA242" s="141" t="s">
        <v>281</v>
      </c>
      <c r="AB242" s="122" t="s">
        <v>8868</v>
      </c>
      <c r="AD242" s="122" t="s">
        <v>250</v>
      </c>
      <c r="AE242" s="122" t="s">
        <v>235</v>
      </c>
      <c r="AF242" s="122" t="s">
        <v>8869</v>
      </c>
      <c r="AG242" s="122" t="s">
        <v>537</v>
      </c>
      <c r="AH242" s="122" t="s">
        <v>253</v>
      </c>
      <c r="AI242" s="122" t="s">
        <v>8870</v>
      </c>
      <c r="AJ242" s="122" t="s">
        <v>8871</v>
      </c>
      <c r="AK242" s="122" t="s">
        <v>253</v>
      </c>
      <c r="AL242" s="122" t="s">
        <v>253</v>
      </c>
      <c r="AM242" s="122" t="s">
        <v>253</v>
      </c>
      <c r="AN242" s="122" t="s">
        <v>253</v>
      </c>
      <c r="AO242" s="141" t="s">
        <v>247</v>
      </c>
      <c r="AP242" s="141" t="s">
        <v>247</v>
      </c>
      <c r="AQ242" s="141" t="s">
        <v>247</v>
      </c>
      <c r="AR242" s="141" t="s">
        <v>247</v>
      </c>
      <c r="AS242" s="141" t="s">
        <v>601</v>
      </c>
      <c r="AT242" s="141" t="s">
        <v>601</v>
      </c>
      <c r="AU242" s="141" t="s">
        <v>601</v>
      </c>
      <c r="AV242" s="122" t="s">
        <v>259</v>
      </c>
      <c r="AW242" s="122" t="s">
        <v>556</v>
      </c>
      <c r="AY242" s="141" t="s">
        <v>253</v>
      </c>
      <c r="AZ242" s="122" t="s">
        <v>8872</v>
      </c>
      <c r="BA242" s="122" t="s">
        <v>262</v>
      </c>
      <c r="BB242" s="122" t="s">
        <v>8873</v>
      </c>
      <c r="BD242" s="122" t="s">
        <v>253</v>
      </c>
      <c r="BE242" s="122" t="s">
        <v>263</v>
      </c>
      <c r="BF242" s="122" t="s">
        <v>2811</v>
      </c>
      <c r="BH242" s="122" t="s">
        <v>2802</v>
      </c>
      <c r="BI242" s="142">
        <v>65</v>
      </c>
      <c r="BK242" s="139" t="s">
        <v>558</v>
      </c>
    </row>
    <row r="243" spans="1:65" x14ac:dyDescent="0.25">
      <c r="A243" s="122" t="s">
        <v>352</v>
      </c>
      <c r="B243" s="122" t="s">
        <v>9112</v>
      </c>
      <c r="C243" s="122" t="s">
        <v>8875</v>
      </c>
      <c r="D243" s="122" t="s">
        <v>8876</v>
      </c>
      <c r="E243" s="123">
        <v>42226</v>
      </c>
      <c r="F243" s="122" t="s">
        <v>722</v>
      </c>
      <c r="G243" s="122" t="s">
        <v>235</v>
      </c>
      <c r="H243" s="122" t="s">
        <v>448</v>
      </c>
      <c r="I243" s="122" t="s">
        <v>8877</v>
      </c>
      <c r="K243" s="122" t="s">
        <v>238</v>
      </c>
      <c r="L243" s="122" t="s">
        <v>346</v>
      </c>
      <c r="M243" s="122" t="s">
        <v>3050</v>
      </c>
      <c r="O243" s="141" t="s">
        <v>548</v>
      </c>
      <c r="P243" s="141" t="s">
        <v>8878</v>
      </c>
      <c r="Q243" s="122" t="s">
        <v>243</v>
      </c>
      <c r="R243" s="142">
        <v>66</v>
      </c>
      <c r="S243" s="122" t="s">
        <v>8879</v>
      </c>
      <c r="U243" s="122" t="s">
        <v>2802</v>
      </c>
      <c r="W243" s="122" t="s">
        <v>246</v>
      </c>
      <c r="X243" s="122" t="s">
        <v>590</v>
      </c>
      <c r="Y243" s="141" t="s">
        <v>1039</v>
      </c>
      <c r="Z243" s="122" t="s">
        <v>329</v>
      </c>
      <c r="AB243" s="122" t="s">
        <v>250</v>
      </c>
      <c r="AD243" s="122" t="s">
        <v>250</v>
      </c>
      <c r="AE243" s="122" t="s">
        <v>235</v>
      </c>
      <c r="AF243" s="122" t="s">
        <v>8880</v>
      </c>
      <c r="AG243" s="122" t="s">
        <v>8881</v>
      </c>
      <c r="AH243" s="122" t="s">
        <v>253</v>
      </c>
      <c r="AI243" s="122" t="s">
        <v>8882</v>
      </c>
      <c r="AJ243" s="122" t="s">
        <v>8883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247</v>
      </c>
      <c r="AP243" s="141" t="s">
        <v>247</v>
      </c>
      <c r="AQ243" s="141" t="s">
        <v>247</v>
      </c>
      <c r="AR243" s="141" t="s">
        <v>247</v>
      </c>
      <c r="AS243" s="141" t="s">
        <v>601</v>
      </c>
      <c r="AT243" s="141" t="s">
        <v>601</v>
      </c>
      <c r="AU243" s="141" t="s">
        <v>601</v>
      </c>
      <c r="AV243" s="122" t="s">
        <v>259</v>
      </c>
      <c r="AW243" s="122" t="s">
        <v>556</v>
      </c>
      <c r="AY243" s="141" t="s">
        <v>253</v>
      </c>
      <c r="AZ243" s="122" t="s">
        <v>262</v>
      </c>
      <c r="BA243" s="122" t="s">
        <v>262</v>
      </c>
      <c r="BB243" s="122" t="s">
        <v>262</v>
      </c>
      <c r="BD243" s="122" t="s">
        <v>253</v>
      </c>
      <c r="BE243" s="122" t="s">
        <v>263</v>
      </c>
      <c r="BF243" s="122" t="s">
        <v>2811</v>
      </c>
      <c r="BH243" s="122" t="s">
        <v>2802</v>
      </c>
      <c r="BI243" s="142">
        <v>66</v>
      </c>
      <c r="BK243" s="139" t="s">
        <v>558</v>
      </c>
    </row>
    <row r="244" spans="1:65" x14ac:dyDescent="0.25">
      <c r="A244" s="122" t="s">
        <v>6059</v>
      </c>
      <c r="B244" s="122" t="s">
        <v>9113</v>
      </c>
      <c r="C244" s="122" t="s">
        <v>9114</v>
      </c>
      <c r="D244" s="122" t="s">
        <v>9115</v>
      </c>
      <c r="E244" s="123">
        <v>42226</v>
      </c>
      <c r="F244" s="122" t="s">
        <v>9116</v>
      </c>
      <c r="G244" s="122" t="s">
        <v>235</v>
      </c>
      <c r="H244" s="122" t="s">
        <v>9117</v>
      </c>
      <c r="I244" s="122" t="s">
        <v>9118</v>
      </c>
      <c r="K244" s="122" t="s">
        <v>3364</v>
      </c>
      <c r="L244" s="122" t="s">
        <v>3365</v>
      </c>
      <c r="M244" s="122" t="s">
        <v>3366</v>
      </c>
      <c r="O244" s="141" t="s">
        <v>273</v>
      </c>
      <c r="P244" s="141" t="s">
        <v>9119</v>
      </c>
      <c r="Q244" s="122" t="s">
        <v>3369</v>
      </c>
      <c r="R244" s="142">
        <v>44</v>
      </c>
      <c r="S244" s="122" t="s">
        <v>9120</v>
      </c>
      <c r="U244" s="122" t="s">
        <v>3371</v>
      </c>
      <c r="W244" s="122" t="s">
        <v>246</v>
      </c>
      <c r="X244" s="122" t="s">
        <v>302</v>
      </c>
      <c r="Y244" s="141" t="s">
        <v>304</v>
      </c>
      <c r="Z244" s="122" t="s">
        <v>305</v>
      </c>
      <c r="AA244" s="141" t="s">
        <v>1498</v>
      </c>
      <c r="AB244" s="122" t="s">
        <v>975</v>
      </c>
      <c r="AC244" s="141" t="s">
        <v>1398</v>
      </c>
      <c r="AD244" s="122" t="s">
        <v>957</v>
      </c>
      <c r="AE244" s="122" t="s">
        <v>235</v>
      </c>
      <c r="AF244" s="122" t="s">
        <v>9121</v>
      </c>
      <c r="AG244" s="122" t="s">
        <v>253</v>
      </c>
      <c r="AH244" s="122" t="s">
        <v>253</v>
      </c>
      <c r="AI244" s="122" t="s">
        <v>9122</v>
      </c>
      <c r="AJ244" s="122" t="s">
        <v>9123</v>
      </c>
      <c r="AK244" s="122" t="s">
        <v>9124</v>
      </c>
      <c r="AL244" s="122" t="s">
        <v>253</v>
      </c>
      <c r="AM244" s="122" t="s">
        <v>253</v>
      </c>
      <c r="AN244" s="122" t="s">
        <v>253</v>
      </c>
      <c r="AO244" s="141" t="s">
        <v>247</v>
      </c>
      <c r="AP244" s="141" t="s">
        <v>247</v>
      </c>
      <c r="AQ244" s="141" t="s">
        <v>247</v>
      </c>
      <c r="AR244" s="141" t="s">
        <v>253</v>
      </c>
      <c r="AS244" s="141" t="s">
        <v>257</v>
      </c>
      <c r="AT244" s="141" t="s">
        <v>257</v>
      </c>
      <c r="AU244" s="141" t="s">
        <v>258</v>
      </c>
      <c r="AV244" s="122" t="s">
        <v>259</v>
      </c>
      <c r="AW244" s="122" t="s">
        <v>260</v>
      </c>
      <c r="AY244" s="141" t="s">
        <v>253</v>
      </c>
      <c r="AZ244" s="122" t="s">
        <v>9125</v>
      </c>
      <c r="BA244" s="122" t="s">
        <v>262</v>
      </c>
      <c r="BB244" s="122" t="s">
        <v>262</v>
      </c>
      <c r="BD244" s="122" t="s">
        <v>253</v>
      </c>
      <c r="BE244" s="122" t="s">
        <v>263</v>
      </c>
      <c r="BF244" s="122" t="s">
        <v>11</v>
      </c>
      <c r="BH244" s="122" t="s">
        <v>3371</v>
      </c>
      <c r="BI244" s="142">
        <v>44</v>
      </c>
      <c r="BJ244" s="123">
        <v>42227</v>
      </c>
      <c r="BK244" s="139" t="s">
        <v>264</v>
      </c>
      <c r="BL244" s="140">
        <v>167</v>
      </c>
      <c r="BM244" s="122">
        <v>33</v>
      </c>
    </row>
    <row r="245" spans="1:65" x14ac:dyDescent="0.25">
      <c r="A245" s="122" t="s">
        <v>6735</v>
      </c>
      <c r="B245" s="122" t="s">
        <v>9126</v>
      </c>
      <c r="C245" s="122" t="s">
        <v>9127</v>
      </c>
      <c r="D245" s="122" t="s">
        <v>9128</v>
      </c>
      <c r="E245" s="123">
        <v>42226</v>
      </c>
      <c r="F245" s="122" t="s">
        <v>356</v>
      </c>
      <c r="G245" s="122" t="s">
        <v>235</v>
      </c>
      <c r="H245" s="122" t="s">
        <v>9129</v>
      </c>
      <c r="I245" s="122" t="s">
        <v>9130</v>
      </c>
      <c r="J245" s="122" t="s">
        <v>9131</v>
      </c>
      <c r="K245" s="122" t="s">
        <v>3692</v>
      </c>
      <c r="L245" s="122" t="s">
        <v>3693</v>
      </c>
      <c r="M245" s="122" t="s">
        <v>3694</v>
      </c>
      <c r="O245" s="141" t="s">
        <v>2378</v>
      </c>
      <c r="P245" s="141" t="s">
        <v>9132</v>
      </c>
      <c r="Q245" s="122" t="s">
        <v>3389</v>
      </c>
      <c r="R245" s="142">
        <v>62</v>
      </c>
      <c r="S245" s="122" t="s">
        <v>9133</v>
      </c>
      <c r="U245" s="122" t="s">
        <v>3371</v>
      </c>
      <c r="W245" s="122" t="s">
        <v>246</v>
      </c>
      <c r="X245" s="122" t="s">
        <v>302</v>
      </c>
      <c r="Z245" s="122" t="s">
        <v>250</v>
      </c>
      <c r="AB245" s="122" t="s">
        <v>250</v>
      </c>
      <c r="AD245" s="122" t="s">
        <v>250</v>
      </c>
      <c r="AE245" s="122" t="s">
        <v>235</v>
      </c>
      <c r="AF245" s="122" t="s">
        <v>9134</v>
      </c>
      <c r="AG245" s="122" t="s">
        <v>253</v>
      </c>
      <c r="AH245" s="122" t="s">
        <v>253</v>
      </c>
      <c r="AI245" s="122" t="s">
        <v>9135</v>
      </c>
      <c r="AJ245" s="122" t="s">
        <v>9136</v>
      </c>
      <c r="AK245" s="122" t="s">
        <v>9137</v>
      </c>
      <c r="AL245" s="122" t="s">
        <v>253</v>
      </c>
      <c r="AM245" s="122" t="s">
        <v>253</v>
      </c>
      <c r="AN245" s="122" t="s">
        <v>253</v>
      </c>
      <c r="AO245" s="141" t="s">
        <v>253</v>
      </c>
      <c r="AP245" s="141" t="s">
        <v>253</v>
      </c>
      <c r="AQ245" s="141" t="s">
        <v>247</v>
      </c>
      <c r="AR245" s="141" t="s">
        <v>253</v>
      </c>
      <c r="AS245" s="141" t="s">
        <v>361</v>
      </c>
      <c r="AT245" s="141" t="s">
        <v>257</v>
      </c>
      <c r="AU245" s="141" t="s">
        <v>258</v>
      </c>
      <c r="AV245" s="122" t="s">
        <v>259</v>
      </c>
      <c r="AW245" s="122" t="s">
        <v>260</v>
      </c>
      <c r="AY245" s="141" t="s">
        <v>253</v>
      </c>
      <c r="AZ245" s="122" t="s">
        <v>9138</v>
      </c>
      <c r="BA245" s="122" t="s">
        <v>262</v>
      </c>
      <c r="BB245" s="122" t="s">
        <v>9138</v>
      </c>
      <c r="BD245" s="122" t="s">
        <v>253</v>
      </c>
      <c r="BE245" s="122" t="s">
        <v>263</v>
      </c>
      <c r="BF245" s="122" t="s">
        <v>11</v>
      </c>
      <c r="BH245" s="122" t="s">
        <v>3371</v>
      </c>
      <c r="BI245" s="142">
        <v>62</v>
      </c>
      <c r="BJ245" s="123">
        <v>42227</v>
      </c>
      <c r="BK245" s="139" t="s">
        <v>264</v>
      </c>
      <c r="BL245" s="140">
        <v>257.62</v>
      </c>
      <c r="BM245" s="122">
        <v>33</v>
      </c>
    </row>
    <row r="246" spans="1:65" x14ac:dyDescent="0.25">
      <c r="A246" s="122" t="s">
        <v>6735</v>
      </c>
      <c r="B246" s="122" t="s">
        <v>9139</v>
      </c>
      <c r="C246" s="122" t="s">
        <v>9140</v>
      </c>
      <c r="D246" s="122" t="s">
        <v>9141</v>
      </c>
      <c r="E246" s="123">
        <v>42226</v>
      </c>
      <c r="F246" s="122" t="s">
        <v>1638</v>
      </c>
      <c r="G246" s="122" t="s">
        <v>235</v>
      </c>
      <c r="H246" s="122" t="s">
        <v>9142</v>
      </c>
      <c r="I246" s="122" t="s">
        <v>9143</v>
      </c>
      <c r="J246" s="122" t="s">
        <v>2005</v>
      </c>
      <c r="K246" s="122" t="s">
        <v>3385</v>
      </c>
      <c r="L246" s="122" t="s">
        <v>3554</v>
      </c>
      <c r="M246" s="122" t="s">
        <v>3570</v>
      </c>
      <c r="O246" s="141" t="s">
        <v>548</v>
      </c>
      <c r="P246" s="141" t="s">
        <v>9144</v>
      </c>
      <c r="Q246" s="122" t="s">
        <v>3389</v>
      </c>
      <c r="R246" s="142">
        <v>65</v>
      </c>
      <c r="S246" s="122" t="s">
        <v>9145</v>
      </c>
      <c r="U246" s="122" t="s">
        <v>3371</v>
      </c>
      <c r="W246" s="122" t="s">
        <v>246</v>
      </c>
      <c r="X246" s="122" t="s">
        <v>1057</v>
      </c>
      <c r="Y246" s="141" t="s">
        <v>541</v>
      </c>
      <c r="Z246" s="122" t="s">
        <v>571</v>
      </c>
      <c r="AA246" s="141" t="s">
        <v>973</v>
      </c>
      <c r="AB246" s="122" t="s">
        <v>9146</v>
      </c>
      <c r="AC246" s="141" t="s">
        <v>722</v>
      </c>
      <c r="AD246" s="122" t="s">
        <v>9147</v>
      </c>
      <c r="AE246" s="122" t="s">
        <v>235</v>
      </c>
      <c r="AF246" s="122" t="s">
        <v>9148</v>
      </c>
      <c r="AG246" s="122" t="s">
        <v>3395</v>
      </c>
      <c r="AH246" s="122" t="s">
        <v>253</v>
      </c>
      <c r="AI246" s="122" t="s">
        <v>9149</v>
      </c>
      <c r="AJ246" s="122" t="s">
        <v>9150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247</v>
      </c>
      <c r="AP246" s="141" t="s">
        <v>247</v>
      </c>
      <c r="AQ246" s="141" t="s">
        <v>247</v>
      </c>
      <c r="AR246" s="141" t="s">
        <v>247</v>
      </c>
      <c r="AS246" s="141" t="s">
        <v>257</v>
      </c>
      <c r="AT246" s="141" t="s">
        <v>257</v>
      </c>
      <c r="AU246" s="141" t="s">
        <v>257</v>
      </c>
      <c r="AV246" s="122" t="s">
        <v>259</v>
      </c>
      <c r="AW246" s="122" t="s">
        <v>260</v>
      </c>
      <c r="AY246" s="141" t="s">
        <v>253</v>
      </c>
      <c r="AZ246" s="122" t="s">
        <v>9151</v>
      </c>
      <c r="BA246" s="122" t="s">
        <v>9152</v>
      </c>
      <c r="BB246" s="122" t="s">
        <v>262</v>
      </c>
      <c r="BD246" s="122" t="s">
        <v>253</v>
      </c>
      <c r="BE246" s="122" t="s">
        <v>263</v>
      </c>
      <c r="BF246" s="122" t="s">
        <v>11</v>
      </c>
      <c r="BH246" s="122" t="s">
        <v>3371</v>
      </c>
      <c r="BI246" s="142">
        <v>65</v>
      </c>
      <c r="BJ246" s="123">
        <v>42227</v>
      </c>
      <c r="BK246" s="139" t="s">
        <v>264</v>
      </c>
      <c r="BL246" s="140">
        <v>100</v>
      </c>
      <c r="BM246" s="122">
        <v>33</v>
      </c>
    </row>
    <row r="247" spans="1:65" x14ac:dyDescent="0.25">
      <c r="A247" s="122" t="s">
        <v>6513</v>
      </c>
      <c r="B247" s="122" t="s">
        <v>9153</v>
      </c>
      <c r="C247" s="122" t="s">
        <v>9154</v>
      </c>
      <c r="D247" s="122" t="s">
        <v>9155</v>
      </c>
      <c r="E247" s="123">
        <v>42226</v>
      </c>
      <c r="F247" s="122" t="s">
        <v>9156</v>
      </c>
      <c r="G247" s="122" t="s">
        <v>235</v>
      </c>
      <c r="H247" s="122" t="s">
        <v>9157</v>
      </c>
      <c r="I247" s="122" t="s">
        <v>9158</v>
      </c>
      <c r="K247" s="122" t="s">
        <v>3385</v>
      </c>
      <c r="L247" s="122" t="s">
        <v>3554</v>
      </c>
      <c r="M247" s="122" t="s">
        <v>3555</v>
      </c>
      <c r="O247" s="141" t="s">
        <v>373</v>
      </c>
      <c r="P247" s="141" t="s">
        <v>9159</v>
      </c>
      <c r="Q247" s="122" t="s">
        <v>3389</v>
      </c>
      <c r="R247" s="142">
        <v>103</v>
      </c>
      <c r="S247" s="122" t="s">
        <v>9160</v>
      </c>
      <c r="U247" s="122" t="s">
        <v>3371</v>
      </c>
      <c r="W247" s="122" t="s">
        <v>246</v>
      </c>
      <c r="X247" s="122" t="s">
        <v>1324</v>
      </c>
      <c r="Y247" s="141" t="s">
        <v>591</v>
      </c>
      <c r="Z247" s="122" t="s">
        <v>9067</v>
      </c>
      <c r="AA247" s="141" t="s">
        <v>511</v>
      </c>
      <c r="AB247" s="122" t="s">
        <v>669</v>
      </c>
      <c r="AC247" s="141" t="s">
        <v>1498</v>
      </c>
      <c r="AD247" s="122" t="s">
        <v>800</v>
      </c>
      <c r="AE247" s="122" t="s">
        <v>235</v>
      </c>
      <c r="AF247" s="122" t="s">
        <v>9161</v>
      </c>
      <c r="AG247" s="122" t="s">
        <v>3395</v>
      </c>
      <c r="AH247" s="122" t="s">
        <v>253</v>
      </c>
      <c r="AI247" s="122" t="s">
        <v>9162</v>
      </c>
      <c r="AJ247" s="122" t="s">
        <v>9163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253</v>
      </c>
      <c r="AQ247" s="141" t="s">
        <v>247</v>
      </c>
      <c r="AR247" s="141" t="s">
        <v>253</v>
      </c>
      <c r="AS247" s="141" t="s">
        <v>257</v>
      </c>
      <c r="AT247" s="141" t="s">
        <v>257</v>
      </c>
      <c r="AU247" s="141" t="s">
        <v>258</v>
      </c>
      <c r="AV247" s="122" t="s">
        <v>259</v>
      </c>
      <c r="AW247" s="122" t="s">
        <v>260</v>
      </c>
      <c r="AY247" s="141" t="s">
        <v>253</v>
      </c>
      <c r="AZ247" s="122" t="s">
        <v>9164</v>
      </c>
      <c r="BA247" s="122" t="s">
        <v>262</v>
      </c>
      <c r="BB247" s="122" t="s">
        <v>262</v>
      </c>
      <c r="BD247" s="122" t="s">
        <v>253</v>
      </c>
      <c r="BE247" s="122" t="s">
        <v>263</v>
      </c>
      <c r="BF247" s="122" t="s">
        <v>11</v>
      </c>
      <c r="BH247" s="122" t="s">
        <v>3371</v>
      </c>
      <c r="BI247" s="142">
        <v>103</v>
      </c>
      <c r="BJ247" s="123">
        <v>42227</v>
      </c>
      <c r="BK247" s="139" t="s">
        <v>264</v>
      </c>
      <c r="BL247" s="140">
        <v>126</v>
      </c>
      <c r="BM247" s="122">
        <v>33</v>
      </c>
    </row>
    <row r="248" spans="1:65" x14ac:dyDescent="0.25">
      <c r="A248" s="122" t="s">
        <v>352</v>
      </c>
      <c r="B248" s="122" t="s">
        <v>9165</v>
      </c>
      <c r="C248" s="122" t="s">
        <v>9166</v>
      </c>
      <c r="D248" s="122" t="s">
        <v>9167</v>
      </c>
      <c r="E248" s="123">
        <v>42226</v>
      </c>
      <c r="F248" s="122" t="s">
        <v>9168</v>
      </c>
      <c r="G248" s="122" t="s">
        <v>235</v>
      </c>
      <c r="H248" s="122" t="s">
        <v>9169</v>
      </c>
      <c r="I248" s="122" t="s">
        <v>9170</v>
      </c>
      <c r="K248" s="122" t="s">
        <v>3385</v>
      </c>
      <c r="L248" s="122" t="s">
        <v>3386</v>
      </c>
      <c r="M248" s="122" t="s">
        <v>3486</v>
      </c>
      <c r="O248" s="141" t="s">
        <v>1921</v>
      </c>
      <c r="P248" s="141" t="s">
        <v>9171</v>
      </c>
      <c r="Q248" s="122" t="s">
        <v>3389</v>
      </c>
      <c r="R248" s="142">
        <v>126</v>
      </c>
      <c r="S248" s="122" t="s">
        <v>9172</v>
      </c>
      <c r="U248" s="122" t="s">
        <v>3371</v>
      </c>
      <c r="W248" s="122" t="s">
        <v>246</v>
      </c>
      <c r="X248" s="122" t="s">
        <v>454</v>
      </c>
      <c r="Y248" s="141" t="s">
        <v>9173</v>
      </c>
      <c r="Z248" s="122" t="s">
        <v>9174</v>
      </c>
      <c r="AA248" s="141" t="s">
        <v>740</v>
      </c>
      <c r="AB248" s="122" t="s">
        <v>1792</v>
      </c>
      <c r="AC248" s="141" t="s">
        <v>457</v>
      </c>
      <c r="AD248" s="122" t="s">
        <v>9175</v>
      </c>
      <c r="AE248" s="122" t="s">
        <v>235</v>
      </c>
      <c r="AF248" s="122" t="s">
        <v>9176</v>
      </c>
      <c r="AG248" s="122" t="s">
        <v>9176</v>
      </c>
      <c r="AH248" s="122" t="s">
        <v>253</v>
      </c>
      <c r="AI248" s="122" t="s">
        <v>253</v>
      </c>
      <c r="AJ248" s="122" t="s">
        <v>253</v>
      </c>
      <c r="AK248" s="122" t="s">
        <v>253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253</v>
      </c>
      <c r="AQ248" s="141" t="s">
        <v>247</v>
      </c>
      <c r="AR248" s="141" t="s">
        <v>247</v>
      </c>
      <c r="AS248" s="141" t="s">
        <v>257</v>
      </c>
      <c r="AT248" s="141" t="s">
        <v>257</v>
      </c>
      <c r="AU248" s="141" t="s">
        <v>257</v>
      </c>
      <c r="AV248" s="122" t="s">
        <v>259</v>
      </c>
      <c r="AW248" s="122" t="s">
        <v>260</v>
      </c>
      <c r="AY248" s="141" t="s">
        <v>253</v>
      </c>
      <c r="AZ248" s="122" t="s">
        <v>9177</v>
      </c>
      <c r="BA248" s="122" t="s">
        <v>262</v>
      </c>
      <c r="BB248" s="122" t="s">
        <v>262</v>
      </c>
      <c r="BC248" s="141" t="s">
        <v>312</v>
      </c>
      <c r="BD248" s="122" t="s">
        <v>253</v>
      </c>
      <c r="BE248" s="122" t="s">
        <v>263</v>
      </c>
      <c r="BF248" s="122" t="s">
        <v>11</v>
      </c>
      <c r="BH248" s="122" t="s">
        <v>3371</v>
      </c>
      <c r="BI248" s="142">
        <v>126</v>
      </c>
      <c r="BJ248" s="123">
        <v>42227</v>
      </c>
      <c r="BK248" s="139" t="s">
        <v>264</v>
      </c>
      <c r="BL248" s="140">
        <v>171.69</v>
      </c>
      <c r="BM248" s="122">
        <v>33</v>
      </c>
    </row>
    <row r="249" spans="1:65" x14ac:dyDescent="0.25">
      <c r="A249" s="122" t="s">
        <v>352</v>
      </c>
      <c r="B249" s="122" t="s">
        <v>9178</v>
      </c>
      <c r="C249" s="122" t="s">
        <v>9179</v>
      </c>
      <c r="D249" s="122" t="s">
        <v>9180</v>
      </c>
      <c r="E249" s="123">
        <v>42226</v>
      </c>
      <c r="F249" s="122" t="s">
        <v>7921</v>
      </c>
      <c r="G249" s="122" t="s">
        <v>235</v>
      </c>
      <c r="H249" s="122" t="s">
        <v>9181</v>
      </c>
      <c r="I249" s="122" t="s">
        <v>9182</v>
      </c>
      <c r="J249" s="122" t="s">
        <v>9183</v>
      </c>
      <c r="K249" s="122" t="s">
        <v>3385</v>
      </c>
      <c r="L249" s="122" t="s">
        <v>3386</v>
      </c>
      <c r="M249" s="122" t="s">
        <v>3486</v>
      </c>
      <c r="O249" s="141" t="s">
        <v>548</v>
      </c>
      <c r="P249" s="141" t="s">
        <v>9184</v>
      </c>
      <c r="Q249" s="122" t="s">
        <v>3389</v>
      </c>
      <c r="R249" s="142">
        <v>143</v>
      </c>
      <c r="S249" s="122" t="s">
        <v>9185</v>
      </c>
      <c r="U249" s="122" t="s">
        <v>3371</v>
      </c>
      <c r="W249" s="122" t="s">
        <v>246</v>
      </c>
      <c r="X249" s="122" t="s">
        <v>3147</v>
      </c>
      <c r="Y249" s="141" t="s">
        <v>9173</v>
      </c>
      <c r="Z249" s="122" t="s">
        <v>9186</v>
      </c>
      <c r="AA249" s="141" t="s">
        <v>1162</v>
      </c>
      <c r="AB249" s="122" t="s">
        <v>395</v>
      </c>
      <c r="AC249" s="141" t="s">
        <v>1596</v>
      </c>
      <c r="AD249" s="122" t="s">
        <v>395</v>
      </c>
      <c r="AE249" s="122" t="s">
        <v>235</v>
      </c>
      <c r="AF249" s="122" t="s">
        <v>9187</v>
      </c>
      <c r="AG249" s="122" t="s">
        <v>3395</v>
      </c>
      <c r="AH249" s="122" t="s">
        <v>253</v>
      </c>
      <c r="AI249" s="122" t="s">
        <v>9188</v>
      </c>
      <c r="AJ249" s="122" t="s">
        <v>253</v>
      </c>
      <c r="AK249" s="122" t="s">
        <v>253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247</v>
      </c>
      <c r="AQ249" s="141" t="s">
        <v>253</v>
      </c>
      <c r="AR249" s="141" t="s">
        <v>253</v>
      </c>
      <c r="AS249" s="141" t="s">
        <v>257</v>
      </c>
      <c r="AT249" s="141" t="s">
        <v>258</v>
      </c>
      <c r="AU249" s="141" t="s">
        <v>258</v>
      </c>
      <c r="AV249" s="122" t="s">
        <v>259</v>
      </c>
      <c r="AW249" s="122" t="s">
        <v>260</v>
      </c>
      <c r="AY249" s="141" t="s">
        <v>253</v>
      </c>
      <c r="AZ249" s="122" t="s">
        <v>9189</v>
      </c>
      <c r="BA249" s="122" t="s">
        <v>262</v>
      </c>
      <c r="BB249" s="122" t="s">
        <v>262</v>
      </c>
      <c r="BD249" s="122" t="s">
        <v>253</v>
      </c>
      <c r="BE249" s="122" t="s">
        <v>263</v>
      </c>
      <c r="BF249" s="122" t="s">
        <v>11</v>
      </c>
      <c r="BH249" s="122" t="s">
        <v>3371</v>
      </c>
      <c r="BI249" s="142">
        <v>143</v>
      </c>
      <c r="BJ249" s="123">
        <v>42227</v>
      </c>
      <c r="BK249" s="139" t="s">
        <v>264</v>
      </c>
      <c r="BL249" s="140">
        <v>38.19</v>
      </c>
      <c r="BM249" s="122">
        <v>33</v>
      </c>
    </row>
    <row r="250" spans="1:65" x14ac:dyDescent="0.25">
      <c r="A250" s="122" t="s">
        <v>352</v>
      </c>
      <c r="B250" s="122" t="s">
        <v>9190</v>
      </c>
      <c r="C250" s="122" t="s">
        <v>9191</v>
      </c>
      <c r="D250" s="122" t="s">
        <v>9192</v>
      </c>
      <c r="E250" s="123">
        <v>42226</v>
      </c>
      <c r="F250" s="122" t="s">
        <v>9193</v>
      </c>
      <c r="G250" s="122" t="s">
        <v>235</v>
      </c>
      <c r="H250" s="122" t="s">
        <v>9194</v>
      </c>
      <c r="I250" s="122" t="s">
        <v>9195</v>
      </c>
      <c r="J250" s="122" t="s">
        <v>370</v>
      </c>
      <c r="K250" s="122" t="s">
        <v>3385</v>
      </c>
      <c r="L250" s="122" t="s">
        <v>3554</v>
      </c>
      <c r="M250" s="122" t="s">
        <v>3555</v>
      </c>
      <c r="O250" s="141" t="s">
        <v>273</v>
      </c>
      <c r="P250" s="141" t="s">
        <v>9196</v>
      </c>
      <c r="Q250" s="122" t="s">
        <v>3389</v>
      </c>
      <c r="R250" s="142">
        <v>150</v>
      </c>
      <c r="S250" s="122" t="s">
        <v>9197</v>
      </c>
      <c r="U250" s="122" t="s">
        <v>3371</v>
      </c>
      <c r="V250" s="122" t="s">
        <v>276</v>
      </c>
      <c r="W250" s="122" t="s">
        <v>277</v>
      </c>
      <c r="X250" s="122" t="s">
        <v>4409</v>
      </c>
      <c r="Y250" s="141" t="s">
        <v>6466</v>
      </c>
      <c r="Z250" s="122" t="s">
        <v>571</v>
      </c>
      <c r="AA250" s="141" t="s">
        <v>1039</v>
      </c>
      <c r="AB250" s="122" t="s">
        <v>9198</v>
      </c>
      <c r="AC250" s="141" t="s">
        <v>744</v>
      </c>
      <c r="AD250" s="122" t="s">
        <v>9199</v>
      </c>
      <c r="AE250" s="122" t="s">
        <v>235</v>
      </c>
      <c r="AF250" s="122" t="s">
        <v>9200</v>
      </c>
      <c r="AG250" s="122" t="s">
        <v>3395</v>
      </c>
      <c r="AH250" s="122" t="s">
        <v>253</v>
      </c>
      <c r="AI250" s="122" t="s">
        <v>9201</v>
      </c>
      <c r="AJ250" s="122" t="s">
        <v>253</v>
      </c>
      <c r="AK250" s="122" t="s">
        <v>253</v>
      </c>
      <c r="AL250" s="122" t="s">
        <v>253</v>
      </c>
      <c r="AM250" s="122" t="s">
        <v>253</v>
      </c>
      <c r="AN250" s="122" t="s">
        <v>253</v>
      </c>
      <c r="AO250" s="141" t="s">
        <v>247</v>
      </c>
      <c r="AP250" s="141" t="s">
        <v>247</v>
      </c>
      <c r="AQ250" s="141" t="s">
        <v>247</v>
      </c>
      <c r="AR250" s="141" t="s">
        <v>253</v>
      </c>
      <c r="AS250" s="141" t="s">
        <v>257</v>
      </c>
      <c r="AT250" s="141" t="s">
        <v>257</v>
      </c>
      <c r="AU250" s="141" t="s">
        <v>258</v>
      </c>
      <c r="AV250" s="122" t="s">
        <v>259</v>
      </c>
      <c r="AW250" s="122" t="s">
        <v>260</v>
      </c>
      <c r="AY250" s="141" t="s">
        <v>253</v>
      </c>
      <c r="AZ250" s="122" t="s">
        <v>9202</v>
      </c>
      <c r="BA250" s="122" t="s">
        <v>262</v>
      </c>
      <c r="BB250" s="122" t="s">
        <v>262</v>
      </c>
      <c r="BD250" s="122" t="s">
        <v>253</v>
      </c>
      <c r="BE250" s="122" t="s">
        <v>263</v>
      </c>
      <c r="BF250" s="122" t="s">
        <v>11</v>
      </c>
      <c r="BH250" s="122" t="s">
        <v>3371</v>
      </c>
      <c r="BI250" s="142">
        <v>150</v>
      </c>
      <c r="BJ250" s="123">
        <v>42226</v>
      </c>
      <c r="BK250" s="139" t="s">
        <v>264</v>
      </c>
      <c r="BL250" s="140">
        <v>125</v>
      </c>
      <c r="BM250" s="122">
        <v>33</v>
      </c>
    </row>
    <row r="251" spans="1:65" x14ac:dyDescent="0.25">
      <c r="A251" s="122" t="s">
        <v>3037</v>
      </c>
      <c r="B251" s="122" t="s">
        <v>9203</v>
      </c>
      <c r="C251" s="122" t="s">
        <v>9204</v>
      </c>
      <c r="D251" s="122" t="s">
        <v>9205</v>
      </c>
      <c r="E251" s="123">
        <v>42226</v>
      </c>
      <c r="F251" s="122" t="s">
        <v>447</v>
      </c>
      <c r="G251" s="122" t="s">
        <v>235</v>
      </c>
      <c r="H251" s="122" t="s">
        <v>9206</v>
      </c>
      <c r="I251" s="122" t="s">
        <v>9207</v>
      </c>
      <c r="J251" s="122" t="s">
        <v>9208</v>
      </c>
      <c r="K251" s="122" t="s">
        <v>3385</v>
      </c>
      <c r="L251" s="122" t="s">
        <v>3386</v>
      </c>
      <c r="M251" s="122" t="s">
        <v>3486</v>
      </c>
      <c r="O251" s="141" t="s">
        <v>566</v>
      </c>
      <c r="P251" s="141" t="s">
        <v>9209</v>
      </c>
      <c r="Q251" s="122" t="s">
        <v>3389</v>
      </c>
      <c r="R251" s="142">
        <v>4</v>
      </c>
      <c r="S251" s="122" t="s">
        <v>9210</v>
      </c>
      <c r="U251" s="122" t="s">
        <v>3538</v>
      </c>
      <c r="W251" s="122" t="s">
        <v>246</v>
      </c>
      <c r="X251" s="122" t="s">
        <v>454</v>
      </c>
      <c r="Y251" s="141" t="s">
        <v>570</v>
      </c>
      <c r="Z251" s="122" t="s">
        <v>9211</v>
      </c>
      <c r="AA251" s="141" t="s">
        <v>1023</v>
      </c>
      <c r="AB251" s="122" t="s">
        <v>9212</v>
      </c>
      <c r="AC251" s="141" t="s">
        <v>2051</v>
      </c>
      <c r="AD251" s="122" t="s">
        <v>9213</v>
      </c>
      <c r="AE251" s="122" t="s">
        <v>235</v>
      </c>
      <c r="AF251" s="122" t="s">
        <v>9214</v>
      </c>
      <c r="AG251" s="122" t="s">
        <v>537</v>
      </c>
      <c r="AH251" s="122" t="s">
        <v>253</v>
      </c>
      <c r="AI251" s="122" t="s">
        <v>9215</v>
      </c>
      <c r="AJ251" s="122" t="s">
        <v>9216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247</v>
      </c>
      <c r="AQ251" s="141" t="s">
        <v>253</v>
      </c>
      <c r="AR251" s="141" t="s">
        <v>253</v>
      </c>
      <c r="AS251" s="141" t="s">
        <v>601</v>
      </c>
      <c r="AT251" s="141" t="s">
        <v>258</v>
      </c>
      <c r="AU251" s="141" t="s">
        <v>258</v>
      </c>
      <c r="AV251" s="122" t="s">
        <v>259</v>
      </c>
      <c r="AW251" s="122" t="s">
        <v>260</v>
      </c>
      <c r="AY251" s="141" t="s">
        <v>253</v>
      </c>
      <c r="AZ251" s="122" t="s">
        <v>9217</v>
      </c>
      <c r="BA251" s="122" t="s">
        <v>262</v>
      </c>
      <c r="BB251" s="122" t="s">
        <v>262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4</v>
      </c>
      <c r="BJ251" s="123">
        <v>42239</v>
      </c>
      <c r="BK251" s="139" t="s">
        <v>606</v>
      </c>
      <c r="BM251" s="122">
        <v>34</v>
      </c>
    </row>
    <row r="252" spans="1:65" x14ac:dyDescent="0.25">
      <c r="A252" s="122" t="s">
        <v>3037</v>
      </c>
      <c r="B252" s="122" t="s">
        <v>9218</v>
      </c>
      <c r="C252" s="122" t="s">
        <v>9219</v>
      </c>
      <c r="D252" s="122" t="s">
        <v>9220</v>
      </c>
      <c r="E252" s="123">
        <v>42226</v>
      </c>
      <c r="F252" s="122" t="s">
        <v>2010</v>
      </c>
      <c r="G252" s="122" t="s">
        <v>235</v>
      </c>
      <c r="H252" s="122" t="s">
        <v>9221</v>
      </c>
      <c r="I252" s="122" t="s">
        <v>9222</v>
      </c>
      <c r="J252" s="122" t="s">
        <v>2667</v>
      </c>
      <c r="K252" s="122" t="s">
        <v>3385</v>
      </c>
      <c r="L252" s="122" t="s">
        <v>3386</v>
      </c>
      <c r="M252" s="122" t="s">
        <v>3405</v>
      </c>
      <c r="O252" s="141" t="s">
        <v>373</v>
      </c>
      <c r="P252" s="141" t="s">
        <v>9223</v>
      </c>
      <c r="Q252" s="122" t="s">
        <v>3389</v>
      </c>
      <c r="R252" s="142">
        <v>5</v>
      </c>
      <c r="S252" s="122" t="s">
        <v>9224</v>
      </c>
      <c r="U252" s="122" t="s">
        <v>3538</v>
      </c>
      <c r="W252" s="122" t="s">
        <v>246</v>
      </c>
      <c r="X252" s="122" t="s">
        <v>454</v>
      </c>
      <c r="Z252" s="122" t="s">
        <v>250</v>
      </c>
      <c r="AB252" s="122" t="s">
        <v>250</v>
      </c>
      <c r="AD252" s="122" t="s">
        <v>250</v>
      </c>
      <c r="AE252" s="122" t="s">
        <v>235</v>
      </c>
      <c r="AF252" s="122" t="s">
        <v>9225</v>
      </c>
      <c r="AG252" s="122" t="s">
        <v>537</v>
      </c>
      <c r="AH252" s="122" t="s">
        <v>253</v>
      </c>
      <c r="AI252" s="122" t="s">
        <v>6050</v>
      </c>
      <c r="AJ252" s="122" t="s">
        <v>9226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253</v>
      </c>
      <c r="AP252" s="141" t="s">
        <v>253</v>
      </c>
      <c r="AQ252" s="141" t="s">
        <v>247</v>
      </c>
      <c r="AR252" s="141" t="s">
        <v>253</v>
      </c>
      <c r="AS252" s="141" t="s">
        <v>361</v>
      </c>
      <c r="AT252" s="141" t="s">
        <v>601</v>
      </c>
      <c r="AU252" s="141" t="s">
        <v>258</v>
      </c>
      <c r="AV252" s="122" t="s">
        <v>259</v>
      </c>
      <c r="AW252" s="122" t="s">
        <v>260</v>
      </c>
      <c r="AY252" s="141" t="s">
        <v>253</v>
      </c>
      <c r="AZ252" s="122" t="s">
        <v>9227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5</v>
      </c>
      <c r="BJ252" s="123">
        <v>42239</v>
      </c>
      <c r="BK252" s="139" t="s">
        <v>606</v>
      </c>
      <c r="BM252" s="122">
        <v>34</v>
      </c>
    </row>
    <row r="253" spans="1:65" x14ac:dyDescent="0.25">
      <c r="A253" s="122" t="s">
        <v>3037</v>
      </c>
      <c r="B253" s="122" t="s">
        <v>9228</v>
      </c>
      <c r="C253" s="122" t="s">
        <v>9229</v>
      </c>
      <c r="D253" s="122" t="s">
        <v>9230</v>
      </c>
      <c r="E253" s="123">
        <v>42226</v>
      </c>
      <c r="F253" s="122" t="s">
        <v>784</v>
      </c>
      <c r="G253" s="122" t="s">
        <v>235</v>
      </c>
      <c r="H253" s="122" t="s">
        <v>448</v>
      </c>
      <c r="I253" s="122" t="s">
        <v>9231</v>
      </c>
      <c r="K253" s="122" t="s">
        <v>3385</v>
      </c>
      <c r="L253" s="122" t="s">
        <v>3386</v>
      </c>
      <c r="M253" s="122" t="s">
        <v>3486</v>
      </c>
      <c r="O253" s="141" t="s">
        <v>566</v>
      </c>
      <c r="P253" s="141" t="s">
        <v>9232</v>
      </c>
      <c r="Q253" s="122" t="s">
        <v>3389</v>
      </c>
      <c r="R253" s="142">
        <v>6</v>
      </c>
      <c r="S253" s="122" t="s">
        <v>9233</v>
      </c>
      <c r="U253" s="122" t="s">
        <v>3538</v>
      </c>
      <c r="W253" s="122" t="s">
        <v>246</v>
      </c>
      <c r="X253" s="122" t="s">
        <v>454</v>
      </c>
      <c r="Z253" s="122" t="s">
        <v>250</v>
      </c>
      <c r="AB253" s="122" t="s">
        <v>250</v>
      </c>
      <c r="AD253" s="122" t="s">
        <v>250</v>
      </c>
      <c r="AE253" s="122" t="s">
        <v>235</v>
      </c>
      <c r="AF253" s="122" t="s">
        <v>9234</v>
      </c>
      <c r="AG253" s="122" t="s">
        <v>537</v>
      </c>
      <c r="AH253" s="122" t="s">
        <v>253</v>
      </c>
      <c r="AI253" s="122" t="s">
        <v>9235</v>
      </c>
      <c r="AJ253" s="122" t="s">
        <v>9236</v>
      </c>
      <c r="AK253" s="122" t="s">
        <v>253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247</v>
      </c>
      <c r="AQ253" s="141" t="s">
        <v>253</v>
      </c>
      <c r="AR253" s="141" t="s">
        <v>253</v>
      </c>
      <c r="AS253" s="141" t="s">
        <v>601</v>
      </c>
      <c r="AT253" s="141" t="s">
        <v>258</v>
      </c>
      <c r="AU253" s="141" t="s">
        <v>258</v>
      </c>
      <c r="AV253" s="122" t="s">
        <v>259</v>
      </c>
      <c r="AW253" s="122" t="s">
        <v>260</v>
      </c>
      <c r="AY253" s="141" t="s">
        <v>253</v>
      </c>
      <c r="AZ253" s="122" t="s">
        <v>262</v>
      </c>
      <c r="BA253" s="122" t="s">
        <v>262</v>
      </c>
      <c r="BB253" s="122" t="s">
        <v>9237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6</v>
      </c>
      <c r="BJ253" s="123">
        <v>42239</v>
      </c>
      <c r="BK253" s="139" t="s">
        <v>606</v>
      </c>
      <c r="BM253" s="122">
        <v>34</v>
      </c>
    </row>
    <row r="254" spans="1:65" x14ac:dyDescent="0.25">
      <c r="A254" s="122" t="s">
        <v>3037</v>
      </c>
      <c r="B254" s="122" t="s">
        <v>9238</v>
      </c>
      <c r="C254" s="122" t="s">
        <v>9239</v>
      </c>
      <c r="D254" s="122" t="s">
        <v>9240</v>
      </c>
      <c r="E254" s="123">
        <v>42226</v>
      </c>
      <c r="F254" s="122" t="s">
        <v>1927</v>
      </c>
      <c r="G254" s="122" t="s">
        <v>235</v>
      </c>
      <c r="H254" s="122" t="s">
        <v>448</v>
      </c>
      <c r="I254" s="122" t="s">
        <v>9241</v>
      </c>
      <c r="K254" s="122" t="s">
        <v>3385</v>
      </c>
      <c r="L254" s="122" t="s">
        <v>3386</v>
      </c>
      <c r="M254" s="122" t="s">
        <v>3405</v>
      </c>
      <c r="O254" s="141" t="s">
        <v>1562</v>
      </c>
      <c r="P254" s="141" t="s">
        <v>9242</v>
      </c>
      <c r="Q254" s="122" t="s">
        <v>3389</v>
      </c>
      <c r="R254" s="142">
        <v>7</v>
      </c>
      <c r="S254" s="122" t="s">
        <v>9243</v>
      </c>
      <c r="T254" s="122" t="s">
        <v>9244</v>
      </c>
      <c r="U254" s="122" t="s">
        <v>3538</v>
      </c>
      <c r="W254" s="122" t="s">
        <v>246</v>
      </c>
      <c r="X254" s="122" t="s">
        <v>454</v>
      </c>
      <c r="Z254" s="122" t="s">
        <v>250</v>
      </c>
      <c r="AB254" s="122" t="s">
        <v>250</v>
      </c>
      <c r="AD254" s="122" t="s">
        <v>250</v>
      </c>
      <c r="AE254" s="122" t="s">
        <v>235</v>
      </c>
      <c r="AF254" s="122" t="s">
        <v>9245</v>
      </c>
      <c r="AG254" s="122" t="s">
        <v>537</v>
      </c>
      <c r="AH254" s="122" t="s">
        <v>253</v>
      </c>
      <c r="AI254" s="122" t="s">
        <v>9246</v>
      </c>
      <c r="AJ254" s="122" t="s">
        <v>1971</v>
      </c>
      <c r="AK254" s="122" t="s">
        <v>9247</v>
      </c>
      <c r="AL254" s="122" t="s">
        <v>253</v>
      </c>
      <c r="AM254" s="122" t="s">
        <v>253</v>
      </c>
      <c r="AN254" s="122" t="s">
        <v>253</v>
      </c>
      <c r="AO254" s="141" t="s">
        <v>253</v>
      </c>
      <c r="AP254" s="141" t="s">
        <v>253</v>
      </c>
      <c r="AQ254" s="141" t="s">
        <v>247</v>
      </c>
      <c r="AR254" s="141" t="s">
        <v>253</v>
      </c>
      <c r="AS254" s="141" t="s">
        <v>361</v>
      </c>
      <c r="AT254" s="141" t="s">
        <v>601</v>
      </c>
      <c r="AU254" s="141" t="s">
        <v>258</v>
      </c>
      <c r="AV254" s="122" t="s">
        <v>259</v>
      </c>
      <c r="AW254" s="122" t="s">
        <v>260</v>
      </c>
      <c r="AY254" s="141" t="s">
        <v>253</v>
      </c>
      <c r="AZ254" s="122" t="s">
        <v>262</v>
      </c>
      <c r="BA254" s="122" t="s">
        <v>9248</v>
      </c>
      <c r="BB254" s="122" t="s">
        <v>262</v>
      </c>
      <c r="BC254" s="141" t="s">
        <v>312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7</v>
      </c>
      <c r="BJ254" s="123">
        <v>42239</v>
      </c>
      <c r="BK254" s="139" t="s">
        <v>606</v>
      </c>
      <c r="BM254" s="122">
        <v>34</v>
      </c>
    </row>
    <row r="255" spans="1:65" x14ac:dyDescent="0.25">
      <c r="A255" s="122" t="s">
        <v>3037</v>
      </c>
      <c r="B255" s="122" t="s">
        <v>9249</v>
      </c>
      <c r="C255" s="122" t="s">
        <v>9250</v>
      </c>
      <c r="D255" s="122" t="s">
        <v>9251</v>
      </c>
      <c r="E255" s="123">
        <v>42226</v>
      </c>
      <c r="F255" s="122" t="s">
        <v>9252</v>
      </c>
      <c r="G255" s="122" t="s">
        <v>235</v>
      </c>
      <c r="H255" s="122" t="s">
        <v>9253</v>
      </c>
      <c r="I255" s="122" t="s">
        <v>9254</v>
      </c>
      <c r="K255" s="122" t="s">
        <v>3533</v>
      </c>
      <c r="L255" s="122" t="s">
        <v>3534</v>
      </c>
      <c r="M255" s="122" t="s">
        <v>3535</v>
      </c>
      <c r="O255" s="141" t="s">
        <v>2442</v>
      </c>
      <c r="P255" s="141" t="s">
        <v>9255</v>
      </c>
      <c r="Q255" s="122" t="s">
        <v>3369</v>
      </c>
      <c r="R255" s="142">
        <v>8</v>
      </c>
      <c r="S255" s="122" t="s">
        <v>9256</v>
      </c>
      <c r="U255" s="122" t="s">
        <v>3538</v>
      </c>
      <c r="V255" s="122" t="s">
        <v>351</v>
      </c>
      <c r="W255" s="122" t="s">
        <v>246</v>
      </c>
      <c r="X255" s="122" t="s">
        <v>972</v>
      </c>
      <c r="Y255" s="141" t="s">
        <v>1039</v>
      </c>
      <c r="Z255" s="122" t="s">
        <v>9257</v>
      </c>
      <c r="AA255" s="141" t="s">
        <v>378</v>
      </c>
      <c r="AB255" s="122" t="s">
        <v>1792</v>
      </c>
      <c r="AC255" s="141" t="s">
        <v>784</v>
      </c>
      <c r="AD255" s="122" t="s">
        <v>9258</v>
      </c>
      <c r="AE255" s="122" t="s">
        <v>235</v>
      </c>
      <c r="AF255" s="122" t="s">
        <v>9259</v>
      </c>
      <c r="AG255" s="122" t="s">
        <v>253</v>
      </c>
      <c r="AH255" s="122" t="s">
        <v>253</v>
      </c>
      <c r="AI255" s="122" t="s">
        <v>9260</v>
      </c>
      <c r="AJ255" s="122" t="s">
        <v>9261</v>
      </c>
      <c r="AK255" s="122" t="s">
        <v>253</v>
      </c>
      <c r="AL255" s="122" t="s">
        <v>9262</v>
      </c>
      <c r="AM255" s="122" t="s">
        <v>253</v>
      </c>
      <c r="AN255" s="122" t="s">
        <v>253</v>
      </c>
      <c r="AO255" s="141" t="s">
        <v>247</v>
      </c>
      <c r="AP255" s="141" t="s">
        <v>247</v>
      </c>
      <c r="AQ255" s="141" t="s">
        <v>247</v>
      </c>
      <c r="AR255" s="141" t="s">
        <v>253</v>
      </c>
      <c r="AS255" s="141" t="s">
        <v>601</v>
      </c>
      <c r="AT255" s="141" t="s">
        <v>601</v>
      </c>
      <c r="AU255" s="141" t="s">
        <v>258</v>
      </c>
      <c r="AV255" s="122" t="s">
        <v>259</v>
      </c>
      <c r="AW255" s="122" t="s">
        <v>260</v>
      </c>
      <c r="AX255" s="141" t="s">
        <v>750</v>
      </c>
      <c r="AY255" s="141" t="s">
        <v>260</v>
      </c>
      <c r="AZ255" s="122" t="s">
        <v>9263</v>
      </c>
      <c r="BA255" s="122" t="s">
        <v>262</v>
      </c>
      <c r="BB255" s="122" t="s">
        <v>9264</v>
      </c>
      <c r="BC255" s="141" t="s">
        <v>312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8</v>
      </c>
      <c r="BJ255" s="123">
        <v>42239</v>
      </c>
      <c r="BK255" s="139" t="s">
        <v>606</v>
      </c>
      <c r="BM255" s="122">
        <v>34</v>
      </c>
    </row>
    <row r="256" spans="1:65" x14ac:dyDescent="0.25">
      <c r="A256" s="122" t="s">
        <v>3037</v>
      </c>
      <c r="B256" s="122" t="s">
        <v>9265</v>
      </c>
      <c r="C256" s="122" t="s">
        <v>9266</v>
      </c>
      <c r="D256" s="122" t="s">
        <v>9267</v>
      </c>
      <c r="E256" s="123">
        <v>42226</v>
      </c>
      <c r="F256" s="122" t="s">
        <v>784</v>
      </c>
      <c r="G256" s="122" t="s">
        <v>235</v>
      </c>
      <c r="H256" s="122" t="s">
        <v>9268</v>
      </c>
      <c r="I256" s="122" t="s">
        <v>9269</v>
      </c>
      <c r="J256" s="122" t="s">
        <v>7344</v>
      </c>
      <c r="K256" s="122" t="s">
        <v>3364</v>
      </c>
      <c r="L256" s="122" t="s">
        <v>3365</v>
      </c>
      <c r="M256" s="122" t="s">
        <v>3366</v>
      </c>
      <c r="O256" s="141" t="s">
        <v>1055</v>
      </c>
      <c r="P256" s="141" t="s">
        <v>9270</v>
      </c>
      <c r="Q256" s="122" t="s">
        <v>3369</v>
      </c>
      <c r="R256" s="142">
        <v>9</v>
      </c>
      <c r="S256" s="122" t="s">
        <v>9271</v>
      </c>
      <c r="U256" s="122" t="s">
        <v>3538</v>
      </c>
      <c r="W256" s="122" t="s">
        <v>246</v>
      </c>
      <c r="X256" s="122" t="s">
        <v>454</v>
      </c>
      <c r="Y256" s="141" t="s">
        <v>1258</v>
      </c>
      <c r="Z256" s="122" t="s">
        <v>395</v>
      </c>
      <c r="AB256" s="122" t="s">
        <v>250</v>
      </c>
      <c r="AD256" s="122" t="s">
        <v>250</v>
      </c>
      <c r="AE256" s="122" t="s">
        <v>235</v>
      </c>
      <c r="AF256" s="122" t="s">
        <v>9272</v>
      </c>
      <c r="AG256" s="122" t="s">
        <v>537</v>
      </c>
      <c r="AH256" s="122" t="s">
        <v>253</v>
      </c>
      <c r="AI256" s="122" t="s">
        <v>4427</v>
      </c>
      <c r="AJ256" s="122" t="s">
        <v>9273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253</v>
      </c>
      <c r="AP256" s="141" t="s">
        <v>253</v>
      </c>
      <c r="AQ256" s="141" t="s">
        <v>247</v>
      </c>
      <c r="AR256" s="141" t="s">
        <v>253</v>
      </c>
      <c r="AS256" s="141" t="s">
        <v>361</v>
      </c>
      <c r="AT256" s="141" t="s">
        <v>601</v>
      </c>
      <c r="AU256" s="141" t="s">
        <v>258</v>
      </c>
      <c r="AV256" s="122" t="s">
        <v>259</v>
      </c>
      <c r="AW256" s="122" t="s">
        <v>260</v>
      </c>
      <c r="AY256" s="141" t="s">
        <v>253</v>
      </c>
      <c r="AZ256" s="122" t="s">
        <v>9274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9</v>
      </c>
      <c r="BJ256" s="123">
        <v>42239</v>
      </c>
      <c r="BK256" s="139" t="s">
        <v>606</v>
      </c>
      <c r="BM256" s="122">
        <v>34</v>
      </c>
    </row>
    <row r="257" spans="1:65" x14ac:dyDescent="0.25">
      <c r="A257" s="122" t="s">
        <v>1161</v>
      </c>
      <c r="B257" s="122" t="s">
        <v>9275</v>
      </c>
      <c r="C257" s="122" t="s">
        <v>9276</v>
      </c>
      <c r="D257" s="122" t="s">
        <v>9277</v>
      </c>
      <c r="E257" s="123">
        <v>42226</v>
      </c>
      <c r="F257" s="122" t="s">
        <v>354</v>
      </c>
      <c r="G257" s="122" t="s">
        <v>235</v>
      </c>
      <c r="H257" s="122" t="s">
        <v>9278</v>
      </c>
      <c r="I257" s="122" t="s">
        <v>9279</v>
      </c>
      <c r="K257" s="122" t="s">
        <v>3385</v>
      </c>
      <c r="L257" s="122" t="s">
        <v>3554</v>
      </c>
      <c r="M257" s="122" t="s">
        <v>3570</v>
      </c>
      <c r="O257" s="141" t="s">
        <v>373</v>
      </c>
      <c r="P257" s="141" t="s">
        <v>9280</v>
      </c>
      <c r="Q257" s="122" t="s">
        <v>3389</v>
      </c>
      <c r="R257" s="142">
        <v>10</v>
      </c>
      <c r="S257" s="122" t="s">
        <v>9281</v>
      </c>
      <c r="U257" s="122" t="s">
        <v>3538</v>
      </c>
      <c r="W257" s="122" t="s">
        <v>246</v>
      </c>
      <c r="X257" s="122" t="s">
        <v>1057</v>
      </c>
      <c r="Y257" s="141" t="s">
        <v>535</v>
      </c>
      <c r="Z257" s="122" t="s">
        <v>8002</v>
      </c>
      <c r="AB257" s="122" t="s">
        <v>250</v>
      </c>
      <c r="AD257" s="122" t="s">
        <v>250</v>
      </c>
      <c r="AE257" s="122" t="s">
        <v>235</v>
      </c>
      <c r="AF257" s="122" t="s">
        <v>9282</v>
      </c>
      <c r="AG257" s="122" t="s">
        <v>537</v>
      </c>
      <c r="AH257" s="122" t="s">
        <v>253</v>
      </c>
      <c r="AI257" s="122" t="s">
        <v>1971</v>
      </c>
      <c r="AJ257" s="122" t="s">
        <v>9283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253</v>
      </c>
      <c r="AP257" s="141" t="s">
        <v>253</v>
      </c>
      <c r="AQ257" s="141" t="s">
        <v>247</v>
      </c>
      <c r="AR257" s="141" t="s">
        <v>253</v>
      </c>
      <c r="AS257" s="141" t="s">
        <v>361</v>
      </c>
      <c r="AT257" s="141" t="s">
        <v>601</v>
      </c>
      <c r="AU257" s="141" t="s">
        <v>258</v>
      </c>
      <c r="AV257" s="122" t="s">
        <v>259</v>
      </c>
      <c r="AW257" s="122" t="s">
        <v>260</v>
      </c>
      <c r="AY257" s="141" t="s">
        <v>253</v>
      </c>
      <c r="AZ257" s="122" t="s">
        <v>9284</v>
      </c>
      <c r="BA257" s="122" t="s">
        <v>262</v>
      </c>
      <c r="BB257" s="122" t="s">
        <v>262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10</v>
      </c>
      <c r="BJ257" s="123">
        <v>42237</v>
      </c>
      <c r="BK257" s="139" t="s">
        <v>264</v>
      </c>
      <c r="BL257" s="140">
        <v>66.87</v>
      </c>
      <c r="BM257" s="122">
        <v>34</v>
      </c>
    </row>
    <row r="258" spans="1:65" x14ac:dyDescent="0.25">
      <c r="A258" s="122" t="s">
        <v>1161</v>
      </c>
      <c r="B258" s="122" t="s">
        <v>9285</v>
      </c>
      <c r="C258" s="122" t="s">
        <v>9286</v>
      </c>
      <c r="D258" s="122" t="s">
        <v>9287</v>
      </c>
      <c r="E258" s="123">
        <v>42226</v>
      </c>
      <c r="F258" s="122" t="s">
        <v>478</v>
      </c>
      <c r="G258" s="122" t="s">
        <v>235</v>
      </c>
      <c r="H258" s="122" t="s">
        <v>9288</v>
      </c>
      <c r="I258" s="122" t="s">
        <v>9289</v>
      </c>
      <c r="J258" s="122" t="s">
        <v>2116</v>
      </c>
      <c r="K258" s="122" t="s">
        <v>3385</v>
      </c>
      <c r="L258" s="122" t="s">
        <v>3386</v>
      </c>
      <c r="M258" s="122" t="s">
        <v>3486</v>
      </c>
      <c r="O258" s="141" t="s">
        <v>273</v>
      </c>
      <c r="P258" s="141" t="s">
        <v>9290</v>
      </c>
      <c r="Q258" s="122" t="s">
        <v>3389</v>
      </c>
      <c r="R258" s="142">
        <v>11</v>
      </c>
      <c r="S258" s="122" t="s">
        <v>9291</v>
      </c>
      <c r="U258" s="122" t="s">
        <v>3538</v>
      </c>
      <c r="W258" s="122" t="s">
        <v>246</v>
      </c>
      <c r="X258" s="122" t="s">
        <v>497</v>
      </c>
      <c r="Z258" s="122" t="s">
        <v>250</v>
      </c>
      <c r="AB258" s="122" t="s">
        <v>250</v>
      </c>
      <c r="AD258" s="122" t="s">
        <v>250</v>
      </c>
      <c r="AE258" s="122" t="s">
        <v>235</v>
      </c>
      <c r="AF258" s="122" t="s">
        <v>9292</v>
      </c>
      <c r="AG258" s="122" t="s">
        <v>537</v>
      </c>
      <c r="AH258" s="122" t="s">
        <v>9293</v>
      </c>
      <c r="AI258" s="122" t="s">
        <v>9294</v>
      </c>
      <c r="AJ258" s="122" t="s">
        <v>9295</v>
      </c>
      <c r="AK258" s="122" t="s">
        <v>253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247</v>
      </c>
      <c r="AQ258" s="141" t="s">
        <v>247</v>
      </c>
      <c r="AR258" s="141" t="s">
        <v>253</v>
      </c>
      <c r="AS258" s="141" t="s">
        <v>601</v>
      </c>
      <c r="AT258" s="141" t="s">
        <v>601</v>
      </c>
      <c r="AU258" s="141" t="s">
        <v>258</v>
      </c>
      <c r="AV258" s="122" t="s">
        <v>259</v>
      </c>
      <c r="AW258" s="122" t="s">
        <v>260</v>
      </c>
      <c r="AY258" s="141" t="s">
        <v>253</v>
      </c>
      <c r="AZ258" s="122" t="s">
        <v>9296</v>
      </c>
      <c r="BA258" s="122" t="s">
        <v>262</v>
      </c>
      <c r="BB258" s="122" t="s">
        <v>262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11</v>
      </c>
      <c r="BJ258" s="123">
        <v>42239</v>
      </c>
      <c r="BK258" s="139" t="s">
        <v>606</v>
      </c>
      <c r="BM258" s="122">
        <v>34</v>
      </c>
    </row>
    <row r="259" spans="1:65" x14ac:dyDescent="0.25">
      <c r="A259" s="122" t="s">
        <v>1161</v>
      </c>
      <c r="B259" s="122" t="s">
        <v>9297</v>
      </c>
      <c r="C259" s="122" t="s">
        <v>9298</v>
      </c>
      <c r="D259" s="122" t="s">
        <v>9299</v>
      </c>
      <c r="E259" s="123">
        <v>42226</v>
      </c>
      <c r="F259" s="122" t="s">
        <v>2373</v>
      </c>
      <c r="G259" s="122" t="s">
        <v>235</v>
      </c>
      <c r="H259" s="122" t="s">
        <v>9300</v>
      </c>
      <c r="I259" s="122" t="s">
        <v>9301</v>
      </c>
      <c r="K259" s="122" t="s">
        <v>3385</v>
      </c>
      <c r="L259" s="122" t="s">
        <v>3386</v>
      </c>
      <c r="M259" s="122" t="s">
        <v>3486</v>
      </c>
      <c r="O259" s="141" t="s">
        <v>566</v>
      </c>
      <c r="P259" s="141" t="s">
        <v>9302</v>
      </c>
      <c r="Q259" s="122" t="s">
        <v>3389</v>
      </c>
      <c r="R259" s="142">
        <v>12</v>
      </c>
      <c r="S259" s="122" t="s">
        <v>9303</v>
      </c>
      <c r="U259" s="122" t="s">
        <v>3538</v>
      </c>
      <c r="W259" s="122" t="s">
        <v>246</v>
      </c>
      <c r="X259" s="122" t="s">
        <v>739</v>
      </c>
      <c r="Y259" s="141" t="s">
        <v>973</v>
      </c>
      <c r="Z259" s="122" t="s">
        <v>355</v>
      </c>
      <c r="AA259" s="141" t="s">
        <v>593</v>
      </c>
      <c r="AB259" s="122" t="s">
        <v>355</v>
      </c>
      <c r="AC259" s="141" t="s">
        <v>356</v>
      </c>
      <c r="AD259" s="122" t="s">
        <v>9304</v>
      </c>
      <c r="AE259" s="122" t="s">
        <v>235</v>
      </c>
      <c r="AF259" s="122" t="s">
        <v>9305</v>
      </c>
      <c r="AG259" s="122" t="s">
        <v>537</v>
      </c>
      <c r="AH259" s="122" t="s">
        <v>253</v>
      </c>
      <c r="AI259" s="122" t="s">
        <v>9306</v>
      </c>
      <c r="AJ259" s="122" t="s">
        <v>9307</v>
      </c>
      <c r="AK259" s="122" t="s">
        <v>253</v>
      </c>
      <c r="AL259" s="122" t="s">
        <v>253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247</v>
      </c>
      <c r="AS259" s="141" t="s">
        <v>601</v>
      </c>
      <c r="AT259" s="141" t="s">
        <v>601</v>
      </c>
      <c r="AU259" s="141" t="s">
        <v>601</v>
      </c>
      <c r="AV259" s="122" t="s">
        <v>259</v>
      </c>
      <c r="AW259" s="122" t="s">
        <v>260</v>
      </c>
      <c r="AX259" s="141" t="s">
        <v>9308</v>
      </c>
      <c r="AY259" s="141" t="s">
        <v>247</v>
      </c>
      <c r="AZ259" s="122" t="s">
        <v>9309</v>
      </c>
      <c r="BA259" s="122" t="s">
        <v>262</v>
      </c>
      <c r="BB259" s="122" t="s">
        <v>9310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12</v>
      </c>
      <c r="BJ259" s="123">
        <v>42234</v>
      </c>
      <c r="BK259" s="139" t="s">
        <v>264</v>
      </c>
      <c r="BL259" s="140">
        <v>585.11</v>
      </c>
      <c r="BM259" s="122">
        <v>34</v>
      </c>
    </row>
    <row r="260" spans="1:65" x14ac:dyDescent="0.25">
      <c r="A260" s="122" t="s">
        <v>1161</v>
      </c>
      <c r="B260" s="122" t="s">
        <v>9311</v>
      </c>
      <c r="C260" s="122" t="s">
        <v>9312</v>
      </c>
      <c r="D260" s="122" t="s">
        <v>9313</v>
      </c>
      <c r="E260" s="123">
        <v>42226</v>
      </c>
      <c r="F260" s="122" t="s">
        <v>304</v>
      </c>
      <c r="G260" s="122" t="s">
        <v>235</v>
      </c>
      <c r="H260" s="122" t="s">
        <v>9314</v>
      </c>
      <c r="I260" s="122" t="s">
        <v>9315</v>
      </c>
      <c r="J260" s="122" t="s">
        <v>4779</v>
      </c>
      <c r="K260" s="122" t="s">
        <v>3385</v>
      </c>
      <c r="L260" s="122" t="s">
        <v>3554</v>
      </c>
      <c r="M260" s="122" t="s">
        <v>3570</v>
      </c>
      <c r="O260" s="141" t="s">
        <v>1055</v>
      </c>
      <c r="P260" s="141" t="s">
        <v>9316</v>
      </c>
      <c r="Q260" s="122" t="s">
        <v>3389</v>
      </c>
      <c r="R260" s="142">
        <v>13</v>
      </c>
      <c r="S260" s="122" t="s">
        <v>9317</v>
      </c>
      <c r="U260" s="122" t="s">
        <v>3538</v>
      </c>
      <c r="W260" s="122" t="s">
        <v>246</v>
      </c>
      <c r="X260" s="122" t="s">
        <v>1643</v>
      </c>
      <c r="Z260" s="122" t="s">
        <v>250</v>
      </c>
      <c r="AB260" s="122" t="s">
        <v>250</v>
      </c>
      <c r="AD260" s="122" t="s">
        <v>250</v>
      </c>
      <c r="AE260" s="122" t="s">
        <v>235</v>
      </c>
      <c r="AF260" s="122" t="s">
        <v>9318</v>
      </c>
      <c r="AG260" s="122" t="s">
        <v>253</v>
      </c>
      <c r="AH260" s="122" t="s">
        <v>253</v>
      </c>
      <c r="AI260" s="122" t="s">
        <v>9319</v>
      </c>
      <c r="AJ260" s="122" t="s">
        <v>9320</v>
      </c>
      <c r="AK260" s="122" t="s">
        <v>9321</v>
      </c>
      <c r="AL260" s="122" t="s">
        <v>253</v>
      </c>
      <c r="AM260" s="122" t="s">
        <v>253</v>
      </c>
      <c r="AN260" s="122" t="s">
        <v>253</v>
      </c>
      <c r="AO260" s="141" t="s">
        <v>253</v>
      </c>
      <c r="AP260" s="141" t="s">
        <v>253</v>
      </c>
      <c r="AQ260" s="141" t="s">
        <v>247</v>
      </c>
      <c r="AR260" s="141" t="s">
        <v>253</v>
      </c>
      <c r="AS260" s="141" t="s">
        <v>361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41" t="s">
        <v>253</v>
      </c>
      <c r="AZ260" s="122" t="s">
        <v>9322</v>
      </c>
      <c r="BA260" s="122" t="s">
        <v>262</v>
      </c>
      <c r="BB260" s="122" t="s">
        <v>262</v>
      </c>
      <c r="BD260" s="122" t="s">
        <v>247</v>
      </c>
      <c r="BE260" s="122" t="s">
        <v>263</v>
      </c>
      <c r="BF260" s="122" t="s">
        <v>3547</v>
      </c>
      <c r="BH260" s="122" t="s">
        <v>3538</v>
      </c>
      <c r="BI260" s="142">
        <v>13</v>
      </c>
      <c r="BJ260" s="123">
        <v>42239</v>
      </c>
      <c r="BK260" s="139" t="s">
        <v>606</v>
      </c>
      <c r="BM260" s="122">
        <v>34</v>
      </c>
    </row>
    <row r="261" spans="1:65" x14ac:dyDescent="0.25">
      <c r="A261" s="122" t="s">
        <v>1161</v>
      </c>
      <c r="B261" s="122" t="s">
        <v>9323</v>
      </c>
      <c r="C261" s="122" t="s">
        <v>9324</v>
      </c>
      <c r="D261" s="122" t="s">
        <v>9325</v>
      </c>
      <c r="E261" s="123">
        <v>42226</v>
      </c>
      <c r="F261" s="122" t="s">
        <v>316</v>
      </c>
      <c r="G261" s="122" t="s">
        <v>235</v>
      </c>
      <c r="H261" s="122" t="s">
        <v>9326</v>
      </c>
      <c r="I261" s="122" t="s">
        <v>9327</v>
      </c>
      <c r="K261" s="122" t="s">
        <v>3364</v>
      </c>
      <c r="L261" s="122" t="s">
        <v>3365</v>
      </c>
      <c r="M261" s="122" t="s">
        <v>3366</v>
      </c>
      <c r="O261" s="141" t="s">
        <v>373</v>
      </c>
      <c r="P261" s="141" t="s">
        <v>9328</v>
      </c>
      <c r="Q261" s="122" t="s">
        <v>3369</v>
      </c>
      <c r="R261" s="142">
        <v>14</v>
      </c>
      <c r="S261" s="122" t="s">
        <v>9329</v>
      </c>
      <c r="U261" s="122" t="s">
        <v>3538</v>
      </c>
      <c r="W261" s="122" t="s">
        <v>246</v>
      </c>
      <c r="X261" s="122" t="s">
        <v>325</v>
      </c>
      <c r="Y261" s="141" t="s">
        <v>668</v>
      </c>
      <c r="Z261" s="122" t="s">
        <v>3038</v>
      </c>
      <c r="AA261" s="141" t="s">
        <v>763</v>
      </c>
      <c r="AB261" s="122" t="s">
        <v>3489</v>
      </c>
      <c r="AC261" s="141" t="s">
        <v>2250</v>
      </c>
      <c r="AD261" s="122" t="s">
        <v>9330</v>
      </c>
      <c r="AE261" s="122" t="s">
        <v>235</v>
      </c>
      <c r="AF261" s="122" t="s">
        <v>9331</v>
      </c>
      <c r="AG261" s="122" t="s">
        <v>537</v>
      </c>
      <c r="AH261" s="122" t="s">
        <v>253</v>
      </c>
      <c r="AI261" s="122" t="s">
        <v>9332</v>
      </c>
      <c r="AJ261" s="122" t="s">
        <v>9333</v>
      </c>
      <c r="AK261" s="122" t="s">
        <v>4261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253</v>
      </c>
      <c r="AQ261" s="141" t="s">
        <v>253</v>
      </c>
      <c r="AR261" s="141" t="s">
        <v>253</v>
      </c>
      <c r="AS261" s="141" t="s">
        <v>601</v>
      </c>
      <c r="AT261" s="141" t="s">
        <v>258</v>
      </c>
      <c r="AU261" s="141" t="s">
        <v>258</v>
      </c>
      <c r="AV261" s="122" t="s">
        <v>259</v>
      </c>
      <c r="AW261" s="122" t="s">
        <v>260</v>
      </c>
      <c r="AY261" s="141" t="s">
        <v>253</v>
      </c>
      <c r="AZ261" s="122" t="s">
        <v>9334</v>
      </c>
      <c r="BA261" s="122" t="s">
        <v>262</v>
      </c>
      <c r="BB261" s="122" t="s">
        <v>9334</v>
      </c>
      <c r="BC261" s="141" t="s">
        <v>312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14</v>
      </c>
      <c r="BJ261" s="123">
        <v>42237</v>
      </c>
      <c r="BK261" s="139" t="s">
        <v>264</v>
      </c>
      <c r="BL261" s="140">
        <v>278.02</v>
      </c>
      <c r="BM261" s="122">
        <v>34</v>
      </c>
    </row>
    <row r="262" spans="1:65" x14ac:dyDescent="0.25">
      <c r="A262" s="122" t="s">
        <v>1161</v>
      </c>
      <c r="B262" s="122" t="s">
        <v>9335</v>
      </c>
      <c r="C262" s="122" t="s">
        <v>9336</v>
      </c>
      <c r="D262" s="122" t="s">
        <v>9337</v>
      </c>
      <c r="E262" s="123">
        <v>42226</v>
      </c>
      <c r="F262" s="122" t="s">
        <v>5981</v>
      </c>
      <c r="G262" s="122" t="s">
        <v>235</v>
      </c>
      <c r="H262" s="122" t="s">
        <v>448</v>
      </c>
      <c r="I262" s="122" t="s">
        <v>9338</v>
      </c>
      <c r="J262" s="122" t="s">
        <v>370</v>
      </c>
      <c r="K262" s="122" t="s">
        <v>3385</v>
      </c>
      <c r="L262" s="122" t="s">
        <v>3386</v>
      </c>
      <c r="M262" s="122" t="s">
        <v>3486</v>
      </c>
      <c r="O262" s="141" t="s">
        <v>451</v>
      </c>
      <c r="P262" s="141" t="s">
        <v>9339</v>
      </c>
      <c r="Q262" s="122" t="s">
        <v>3389</v>
      </c>
      <c r="R262" s="142">
        <v>15</v>
      </c>
      <c r="S262" s="122" t="s">
        <v>9340</v>
      </c>
      <c r="U262" s="122" t="s">
        <v>3538</v>
      </c>
      <c r="W262" s="122" t="s">
        <v>246</v>
      </c>
      <c r="X262" s="122" t="s">
        <v>497</v>
      </c>
      <c r="Y262" s="141" t="s">
        <v>740</v>
      </c>
      <c r="Z262" s="122" t="s">
        <v>9341</v>
      </c>
      <c r="AA262" s="141" t="s">
        <v>705</v>
      </c>
      <c r="AB262" s="122" t="s">
        <v>355</v>
      </c>
      <c r="AC262" s="141" t="s">
        <v>742</v>
      </c>
      <c r="AD262" s="122" t="s">
        <v>9342</v>
      </c>
      <c r="AE262" s="122" t="s">
        <v>235</v>
      </c>
      <c r="AF262" s="122" t="s">
        <v>9343</v>
      </c>
      <c r="AG262" s="122" t="s">
        <v>9344</v>
      </c>
      <c r="AH262" s="122" t="s">
        <v>253</v>
      </c>
      <c r="AI262" s="122" t="s">
        <v>9345</v>
      </c>
      <c r="AJ262" s="122" t="s">
        <v>9346</v>
      </c>
      <c r="AK262" s="122" t="s">
        <v>253</v>
      </c>
      <c r="AL262" s="122" t="s">
        <v>253</v>
      </c>
      <c r="AM262" s="122" t="s">
        <v>253</v>
      </c>
      <c r="AN262" s="122" t="s">
        <v>253</v>
      </c>
      <c r="AO262" s="141" t="s">
        <v>247</v>
      </c>
      <c r="AP262" s="141" t="s">
        <v>247</v>
      </c>
      <c r="AQ262" s="141" t="s">
        <v>247</v>
      </c>
      <c r="AR262" s="141" t="s">
        <v>247</v>
      </c>
      <c r="AS262" s="141" t="s">
        <v>601</v>
      </c>
      <c r="AT262" s="141" t="s">
        <v>601</v>
      </c>
      <c r="AU262" s="141" t="s">
        <v>601</v>
      </c>
      <c r="AV262" s="122" t="s">
        <v>259</v>
      </c>
      <c r="AW262" s="122" t="s">
        <v>260</v>
      </c>
      <c r="AY262" s="141" t="s">
        <v>253</v>
      </c>
      <c r="AZ262" s="122" t="s">
        <v>262</v>
      </c>
      <c r="BA262" s="122" t="s">
        <v>262</v>
      </c>
      <c r="BB262" s="122" t="s">
        <v>9347</v>
      </c>
      <c r="BD262" s="122" t="s">
        <v>247</v>
      </c>
      <c r="BE262" s="122" t="s">
        <v>263</v>
      </c>
      <c r="BF262" s="122" t="s">
        <v>3547</v>
      </c>
      <c r="BH262" s="122" t="s">
        <v>3538</v>
      </c>
      <c r="BI262" s="142">
        <v>15</v>
      </c>
      <c r="BJ262" s="123">
        <v>42237</v>
      </c>
      <c r="BK262" s="139" t="s">
        <v>2891</v>
      </c>
      <c r="BM262" s="122">
        <v>34</v>
      </c>
    </row>
    <row r="263" spans="1:65" x14ac:dyDescent="0.25">
      <c r="A263" s="122" t="s">
        <v>1161</v>
      </c>
      <c r="B263" s="122" t="s">
        <v>9348</v>
      </c>
      <c r="C263" s="122" t="s">
        <v>9349</v>
      </c>
      <c r="D263" s="122" t="s">
        <v>9350</v>
      </c>
      <c r="E263" s="123">
        <v>42226</v>
      </c>
      <c r="F263" s="122" t="s">
        <v>9351</v>
      </c>
      <c r="G263" s="122" t="s">
        <v>235</v>
      </c>
      <c r="H263" s="122" t="s">
        <v>9352</v>
      </c>
      <c r="I263" s="122" t="s">
        <v>9353</v>
      </c>
      <c r="J263" s="122" t="s">
        <v>9354</v>
      </c>
      <c r="K263" s="122" t="s">
        <v>3385</v>
      </c>
      <c r="L263" s="122" t="s">
        <v>3554</v>
      </c>
      <c r="M263" s="122" t="s">
        <v>3555</v>
      </c>
      <c r="O263" s="141" t="s">
        <v>273</v>
      </c>
      <c r="P263" s="141" t="s">
        <v>9355</v>
      </c>
      <c r="Q263" s="122" t="s">
        <v>3389</v>
      </c>
      <c r="R263" s="142">
        <v>16</v>
      </c>
      <c r="S263" s="122" t="s">
        <v>9356</v>
      </c>
      <c r="U263" s="122" t="s">
        <v>3538</v>
      </c>
      <c r="W263" s="122" t="s">
        <v>246</v>
      </c>
      <c r="X263" s="122" t="s">
        <v>325</v>
      </c>
      <c r="Y263" s="141" t="s">
        <v>2072</v>
      </c>
      <c r="Z263" s="122" t="s">
        <v>4300</v>
      </c>
      <c r="AA263" s="141" t="s">
        <v>1969</v>
      </c>
      <c r="AB263" s="122" t="s">
        <v>9357</v>
      </c>
      <c r="AC263" s="141" t="s">
        <v>1192</v>
      </c>
      <c r="AD263" s="122" t="s">
        <v>8640</v>
      </c>
      <c r="AE263" s="122" t="s">
        <v>235</v>
      </c>
      <c r="AF263" s="122" t="s">
        <v>9358</v>
      </c>
      <c r="AG263" s="122" t="s">
        <v>537</v>
      </c>
      <c r="AH263" s="122" t="s">
        <v>253</v>
      </c>
      <c r="AI263" s="122" t="s">
        <v>9359</v>
      </c>
      <c r="AJ263" s="122" t="s">
        <v>9360</v>
      </c>
      <c r="AK263" s="122" t="s">
        <v>253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253</v>
      </c>
      <c r="AS263" s="141" t="s">
        <v>601</v>
      </c>
      <c r="AT263" s="141" t="s">
        <v>601</v>
      </c>
      <c r="AU263" s="141" t="s">
        <v>258</v>
      </c>
      <c r="AV263" s="122" t="s">
        <v>259</v>
      </c>
      <c r="AW263" s="122" t="s">
        <v>260</v>
      </c>
      <c r="AY263" s="141" t="s">
        <v>253</v>
      </c>
      <c r="AZ263" s="122" t="s">
        <v>9361</v>
      </c>
      <c r="BA263" s="122" t="s">
        <v>262</v>
      </c>
      <c r="BB263" s="122" t="s">
        <v>262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16</v>
      </c>
      <c r="BJ263" s="123">
        <v>42239</v>
      </c>
      <c r="BK263" s="139" t="s">
        <v>606</v>
      </c>
      <c r="BM263" s="122">
        <v>34</v>
      </c>
    </row>
    <row r="264" spans="1:65" x14ac:dyDescent="0.25">
      <c r="A264" s="122" t="s">
        <v>1161</v>
      </c>
      <c r="B264" s="122" t="s">
        <v>9362</v>
      </c>
      <c r="C264" s="122" t="s">
        <v>9363</v>
      </c>
      <c r="D264" s="122" t="s">
        <v>9364</v>
      </c>
      <c r="E264" s="123">
        <v>42226</v>
      </c>
      <c r="F264" s="122" t="s">
        <v>2010</v>
      </c>
      <c r="G264" s="122" t="s">
        <v>235</v>
      </c>
      <c r="H264" s="122" t="s">
        <v>9365</v>
      </c>
      <c r="I264" s="122" t="s">
        <v>9366</v>
      </c>
      <c r="J264" s="122" t="s">
        <v>1239</v>
      </c>
      <c r="K264" s="122" t="s">
        <v>3385</v>
      </c>
      <c r="L264" s="122" t="s">
        <v>3554</v>
      </c>
      <c r="M264" s="122" t="s">
        <v>3846</v>
      </c>
      <c r="O264" s="141" t="s">
        <v>566</v>
      </c>
      <c r="P264" s="141" t="s">
        <v>9367</v>
      </c>
      <c r="Q264" s="122" t="s">
        <v>3389</v>
      </c>
      <c r="R264" s="142">
        <v>17</v>
      </c>
      <c r="S264" s="122" t="s">
        <v>9368</v>
      </c>
      <c r="U264" s="122" t="s">
        <v>3538</v>
      </c>
      <c r="W264" s="122" t="s">
        <v>246</v>
      </c>
      <c r="X264" s="122" t="s">
        <v>631</v>
      </c>
      <c r="Z264" s="122" t="s">
        <v>250</v>
      </c>
      <c r="AB264" s="122" t="s">
        <v>250</v>
      </c>
      <c r="AD264" s="122" t="s">
        <v>250</v>
      </c>
      <c r="AE264" s="122" t="s">
        <v>235</v>
      </c>
      <c r="AF264" s="122" t="s">
        <v>9369</v>
      </c>
      <c r="AG264" s="122" t="s">
        <v>253</v>
      </c>
      <c r="AH264" s="122" t="s">
        <v>253</v>
      </c>
      <c r="AI264" s="122" t="s">
        <v>9370</v>
      </c>
      <c r="AJ264" s="122" t="s">
        <v>9371</v>
      </c>
      <c r="AK264" s="122" t="s">
        <v>9372</v>
      </c>
      <c r="AL264" s="122" t="s">
        <v>253</v>
      </c>
      <c r="AM264" s="122" t="s">
        <v>253</v>
      </c>
      <c r="AN264" s="122" t="s">
        <v>253</v>
      </c>
      <c r="AO264" s="141" t="s">
        <v>247</v>
      </c>
      <c r="AP264" s="141" t="s">
        <v>253</v>
      </c>
      <c r="AQ264" s="141" t="s">
        <v>247</v>
      </c>
      <c r="AR264" s="141" t="s">
        <v>247</v>
      </c>
      <c r="AS264" s="141" t="s">
        <v>601</v>
      </c>
      <c r="AT264" s="141" t="s">
        <v>601</v>
      </c>
      <c r="AU264" s="141" t="s">
        <v>257</v>
      </c>
      <c r="AV264" s="122" t="s">
        <v>259</v>
      </c>
      <c r="AW264" s="122" t="s">
        <v>260</v>
      </c>
      <c r="AY264" s="141" t="s">
        <v>253</v>
      </c>
      <c r="AZ264" s="122" t="s">
        <v>9373</v>
      </c>
      <c r="BA264" s="122" t="s">
        <v>262</v>
      </c>
      <c r="BB264" s="122" t="s">
        <v>262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17</v>
      </c>
      <c r="BJ264" s="123">
        <v>42239</v>
      </c>
      <c r="BK264" s="139" t="s">
        <v>606</v>
      </c>
      <c r="BM264" s="122">
        <v>34</v>
      </c>
    </row>
    <row r="265" spans="1:65" x14ac:dyDescent="0.25">
      <c r="A265" s="122" t="s">
        <v>6059</v>
      </c>
      <c r="B265" s="122" t="s">
        <v>9374</v>
      </c>
      <c r="C265" s="122" t="s">
        <v>9375</v>
      </c>
      <c r="D265" s="122" t="s">
        <v>9376</v>
      </c>
      <c r="E265" s="123">
        <v>42226</v>
      </c>
      <c r="F265" s="122" t="s">
        <v>3520</v>
      </c>
      <c r="G265" s="122" t="s">
        <v>235</v>
      </c>
      <c r="H265" s="122" t="s">
        <v>9377</v>
      </c>
      <c r="I265" s="122" t="s">
        <v>9378</v>
      </c>
      <c r="J265" s="122" t="s">
        <v>1053</v>
      </c>
      <c r="K265" s="122" t="s">
        <v>3385</v>
      </c>
      <c r="L265" s="122" t="s">
        <v>3386</v>
      </c>
      <c r="M265" s="122" t="s">
        <v>3486</v>
      </c>
      <c r="O265" s="141" t="s">
        <v>613</v>
      </c>
      <c r="P265" s="141" t="s">
        <v>9379</v>
      </c>
      <c r="Q265" s="122" t="s">
        <v>3389</v>
      </c>
      <c r="R265" s="142">
        <v>18</v>
      </c>
      <c r="S265" s="122" t="s">
        <v>9380</v>
      </c>
      <c r="T265" s="122" t="s">
        <v>9381</v>
      </c>
      <c r="U265" s="122" t="s">
        <v>3538</v>
      </c>
      <c r="W265" s="122" t="s">
        <v>246</v>
      </c>
      <c r="X265" s="122" t="s">
        <v>853</v>
      </c>
      <c r="Y265" s="141" t="s">
        <v>354</v>
      </c>
      <c r="Z265" s="122" t="s">
        <v>9382</v>
      </c>
      <c r="AA265" s="141" t="s">
        <v>1762</v>
      </c>
      <c r="AB265" s="122" t="s">
        <v>9383</v>
      </c>
      <c r="AC265" s="141" t="s">
        <v>3664</v>
      </c>
      <c r="AD265" s="122" t="s">
        <v>9384</v>
      </c>
      <c r="AE265" s="122" t="s">
        <v>235</v>
      </c>
      <c r="AF265" s="122" t="s">
        <v>9385</v>
      </c>
      <c r="AG265" s="122" t="s">
        <v>537</v>
      </c>
      <c r="AH265" s="122" t="s">
        <v>253</v>
      </c>
      <c r="AI265" s="122" t="s">
        <v>9386</v>
      </c>
      <c r="AJ265" s="122" t="s">
        <v>9387</v>
      </c>
      <c r="AK265" s="122" t="s">
        <v>9388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253</v>
      </c>
      <c r="AS265" s="141" t="s">
        <v>601</v>
      </c>
      <c r="AT265" s="141" t="s">
        <v>601</v>
      </c>
      <c r="AU265" s="141" t="s">
        <v>258</v>
      </c>
      <c r="AV265" s="122" t="s">
        <v>259</v>
      </c>
      <c r="AW265" s="122" t="s">
        <v>260</v>
      </c>
      <c r="AY265" s="141" t="s">
        <v>253</v>
      </c>
      <c r="AZ265" s="122" t="s">
        <v>9389</v>
      </c>
      <c r="BA265" s="122" t="s">
        <v>9390</v>
      </c>
      <c r="BB265" s="122" t="s">
        <v>9391</v>
      </c>
      <c r="BC265" s="141" t="s">
        <v>312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18</v>
      </c>
      <c r="BJ265" s="123">
        <v>42230</v>
      </c>
      <c r="BK265" s="139" t="s">
        <v>264</v>
      </c>
      <c r="BL265" s="140">
        <v>516.59</v>
      </c>
      <c r="BM265" s="122">
        <v>33</v>
      </c>
    </row>
    <row r="266" spans="1:65" x14ac:dyDescent="0.25">
      <c r="A266" s="122" t="s">
        <v>6059</v>
      </c>
      <c r="B266" s="122" t="s">
        <v>9392</v>
      </c>
      <c r="C266" s="122" t="s">
        <v>9393</v>
      </c>
      <c r="D266" s="122" t="s">
        <v>9394</v>
      </c>
      <c r="E266" s="123">
        <v>42226</v>
      </c>
      <c r="F266" s="122" t="s">
        <v>1638</v>
      </c>
      <c r="G266" s="122" t="s">
        <v>235</v>
      </c>
      <c r="H266" s="122" t="s">
        <v>9395</v>
      </c>
      <c r="I266" s="122" t="s">
        <v>9396</v>
      </c>
      <c r="K266" s="122" t="s">
        <v>3385</v>
      </c>
      <c r="L266" s="122" t="s">
        <v>3554</v>
      </c>
      <c r="M266" s="122" t="s">
        <v>3555</v>
      </c>
      <c r="O266" s="141" t="s">
        <v>850</v>
      </c>
      <c r="P266" s="141" t="s">
        <v>9397</v>
      </c>
      <c r="Q266" s="122" t="s">
        <v>3389</v>
      </c>
      <c r="R266" s="142">
        <v>19</v>
      </c>
      <c r="S266" s="122" t="s">
        <v>9398</v>
      </c>
      <c r="U266" s="122" t="s">
        <v>3538</v>
      </c>
      <c r="W266" s="122" t="s">
        <v>246</v>
      </c>
      <c r="X266" s="122" t="s">
        <v>2624</v>
      </c>
      <c r="Y266" s="141" t="s">
        <v>705</v>
      </c>
      <c r="Z266" s="122" t="s">
        <v>355</v>
      </c>
      <c r="AA266" s="141" t="s">
        <v>1258</v>
      </c>
      <c r="AB266" s="122" t="s">
        <v>9399</v>
      </c>
      <c r="AC266" s="141" t="s">
        <v>367</v>
      </c>
      <c r="AD266" s="122" t="s">
        <v>9400</v>
      </c>
      <c r="AE266" s="122" t="s">
        <v>235</v>
      </c>
      <c r="AF266" s="122" t="s">
        <v>9401</v>
      </c>
      <c r="AG266" s="122" t="s">
        <v>537</v>
      </c>
      <c r="AH266" s="122" t="s">
        <v>253</v>
      </c>
      <c r="AI266" s="122" t="s">
        <v>9402</v>
      </c>
      <c r="AJ266" s="122" t="s">
        <v>9403</v>
      </c>
      <c r="AK266" s="122" t="s">
        <v>253</v>
      </c>
      <c r="AL266" s="122" t="s">
        <v>253</v>
      </c>
      <c r="AM266" s="122" t="s">
        <v>253</v>
      </c>
      <c r="AN266" s="122" t="s">
        <v>253</v>
      </c>
      <c r="AO266" s="141" t="s">
        <v>253</v>
      </c>
      <c r="AP266" s="141" t="s">
        <v>253</v>
      </c>
      <c r="AQ266" s="141" t="s">
        <v>247</v>
      </c>
      <c r="AR266" s="141" t="s">
        <v>253</v>
      </c>
      <c r="AS266" s="141" t="s">
        <v>361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Y266" s="141" t="s">
        <v>253</v>
      </c>
      <c r="AZ266" s="122" t="s">
        <v>9404</v>
      </c>
      <c r="BA266" s="122" t="s">
        <v>262</v>
      </c>
      <c r="BB266" s="122" t="s">
        <v>262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19</v>
      </c>
      <c r="BJ266" s="123">
        <v>42239</v>
      </c>
      <c r="BK266" s="139" t="s">
        <v>606</v>
      </c>
      <c r="BM266" s="122">
        <v>34</v>
      </c>
    </row>
    <row r="267" spans="1:65" x14ac:dyDescent="0.25">
      <c r="A267" s="122" t="s">
        <v>6059</v>
      </c>
      <c r="B267" s="122" t="s">
        <v>9405</v>
      </c>
      <c r="C267" s="122" t="s">
        <v>9406</v>
      </c>
      <c r="D267" s="122" t="s">
        <v>9407</v>
      </c>
      <c r="E267" s="123">
        <v>42226</v>
      </c>
      <c r="F267" s="122" t="s">
        <v>668</v>
      </c>
      <c r="G267" s="122" t="s">
        <v>235</v>
      </c>
      <c r="H267" s="122" t="s">
        <v>9408</v>
      </c>
      <c r="I267" s="122" t="s">
        <v>9409</v>
      </c>
      <c r="J267" s="122" t="s">
        <v>370</v>
      </c>
      <c r="K267" s="122" t="s">
        <v>3385</v>
      </c>
      <c r="L267" s="122" t="s">
        <v>3554</v>
      </c>
      <c r="M267" s="122" t="s">
        <v>3570</v>
      </c>
      <c r="O267" s="141" t="s">
        <v>451</v>
      </c>
      <c r="P267" s="141" t="s">
        <v>9410</v>
      </c>
      <c r="Q267" s="122" t="s">
        <v>3389</v>
      </c>
      <c r="R267" s="142">
        <v>20</v>
      </c>
      <c r="S267" s="122" t="s">
        <v>9411</v>
      </c>
      <c r="U267" s="122" t="s">
        <v>3538</v>
      </c>
      <c r="W267" s="122" t="s">
        <v>246</v>
      </c>
      <c r="X267" s="122" t="s">
        <v>433</v>
      </c>
      <c r="Z267" s="122" t="s">
        <v>250</v>
      </c>
      <c r="AB267" s="122" t="s">
        <v>250</v>
      </c>
      <c r="AD267" s="122" t="s">
        <v>250</v>
      </c>
      <c r="AE267" s="122" t="s">
        <v>235</v>
      </c>
      <c r="AF267" s="122" t="s">
        <v>9412</v>
      </c>
      <c r="AG267" s="122" t="s">
        <v>537</v>
      </c>
      <c r="AH267" s="122" t="s">
        <v>253</v>
      </c>
      <c r="AI267" s="122" t="s">
        <v>9413</v>
      </c>
      <c r="AJ267" s="122" t="s">
        <v>9414</v>
      </c>
      <c r="AK267" s="122" t="s">
        <v>9415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247</v>
      </c>
      <c r="AQ267" s="141" t="s">
        <v>247</v>
      </c>
      <c r="AR267" s="141" t="s">
        <v>247</v>
      </c>
      <c r="AS267" s="141" t="s">
        <v>601</v>
      </c>
      <c r="AT267" s="141" t="s">
        <v>601</v>
      </c>
      <c r="AU267" s="141" t="s">
        <v>601</v>
      </c>
      <c r="AV267" s="122" t="s">
        <v>259</v>
      </c>
      <c r="AW267" s="122" t="s">
        <v>260</v>
      </c>
      <c r="AY267" s="141" t="s">
        <v>253</v>
      </c>
      <c r="AZ267" s="122" t="s">
        <v>9416</v>
      </c>
      <c r="BA267" s="122" t="s">
        <v>262</v>
      </c>
      <c r="BB267" s="122" t="s">
        <v>9417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20</v>
      </c>
      <c r="BJ267" s="123">
        <v>42239</v>
      </c>
      <c r="BK267" s="139" t="s">
        <v>606</v>
      </c>
      <c r="BM267" s="122">
        <v>34</v>
      </c>
    </row>
    <row r="268" spans="1:65" x14ac:dyDescent="0.25">
      <c r="A268" s="122" t="s">
        <v>6059</v>
      </c>
      <c r="B268" s="122" t="s">
        <v>9418</v>
      </c>
      <c r="C268" s="122" t="s">
        <v>9419</v>
      </c>
      <c r="D268" s="122" t="s">
        <v>9420</v>
      </c>
      <c r="E268" s="123">
        <v>42226</v>
      </c>
      <c r="F268" s="122" t="s">
        <v>9421</v>
      </c>
      <c r="G268" s="122" t="s">
        <v>235</v>
      </c>
      <c r="H268" s="122" t="s">
        <v>9422</v>
      </c>
      <c r="I268" s="122" t="s">
        <v>9423</v>
      </c>
      <c r="K268" s="122" t="s">
        <v>3452</v>
      </c>
      <c r="L268" s="122" t="s">
        <v>3453</v>
      </c>
      <c r="M268" s="122" t="s">
        <v>3454</v>
      </c>
      <c r="O268" s="141" t="s">
        <v>273</v>
      </c>
      <c r="P268" s="141" t="s">
        <v>9424</v>
      </c>
      <c r="Q268" s="122" t="s">
        <v>3389</v>
      </c>
      <c r="R268" s="142">
        <v>21</v>
      </c>
      <c r="S268" s="122" t="s">
        <v>9425</v>
      </c>
      <c r="U268" s="122" t="s">
        <v>3538</v>
      </c>
      <c r="W268" s="122" t="s">
        <v>246</v>
      </c>
      <c r="X268" s="122" t="s">
        <v>2624</v>
      </c>
      <c r="Y268" s="141" t="s">
        <v>3039</v>
      </c>
      <c r="Z268" s="122" t="s">
        <v>9426</v>
      </c>
      <c r="AA268" s="141" t="s">
        <v>707</v>
      </c>
      <c r="AB268" s="122" t="s">
        <v>9427</v>
      </c>
      <c r="AC268" s="141" t="s">
        <v>722</v>
      </c>
      <c r="AD268" s="122" t="s">
        <v>9428</v>
      </c>
      <c r="AE268" s="122" t="s">
        <v>235</v>
      </c>
      <c r="AF268" s="122" t="s">
        <v>9429</v>
      </c>
      <c r="AG268" s="122" t="s">
        <v>537</v>
      </c>
      <c r="AH268" s="122" t="s">
        <v>253</v>
      </c>
      <c r="AI268" s="122" t="s">
        <v>9430</v>
      </c>
      <c r="AJ268" s="122" t="s">
        <v>9431</v>
      </c>
      <c r="AK268" s="122" t="s">
        <v>253</v>
      </c>
      <c r="AL268" s="122" t="s">
        <v>253</v>
      </c>
      <c r="AM268" s="122" t="s">
        <v>253</v>
      </c>
      <c r="AN268" s="122" t="s">
        <v>253</v>
      </c>
      <c r="AO268" s="141" t="s">
        <v>247</v>
      </c>
      <c r="AP268" s="141" t="s">
        <v>247</v>
      </c>
      <c r="AQ268" s="141" t="s">
        <v>247</v>
      </c>
      <c r="AR268" s="141" t="s">
        <v>253</v>
      </c>
      <c r="AS268" s="141" t="s">
        <v>601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Y268" s="141" t="s">
        <v>253</v>
      </c>
      <c r="AZ268" s="122" t="s">
        <v>9432</v>
      </c>
      <c r="BA268" s="122" t="s">
        <v>262</v>
      </c>
      <c r="BB268" s="122" t="s">
        <v>262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21</v>
      </c>
      <c r="BJ268" s="123">
        <v>42238</v>
      </c>
      <c r="BK268" s="139" t="s">
        <v>264</v>
      </c>
      <c r="BL268" s="140">
        <v>394</v>
      </c>
      <c r="BM268" s="122">
        <v>34</v>
      </c>
    </row>
    <row r="269" spans="1:65" x14ac:dyDescent="0.25">
      <c r="A269" s="122" t="s">
        <v>6059</v>
      </c>
      <c r="B269" s="122" t="s">
        <v>9433</v>
      </c>
      <c r="C269" s="122" t="s">
        <v>9434</v>
      </c>
      <c r="D269" s="122" t="s">
        <v>9435</v>
      </c>
      <c r="E269" s="123">
        <v>42226</v>
      </c>
      <c r="F269" s="122" t="s">
        <v>1143</v>
      </c>
      <c r="G269" s="122" t="s">
        <v>235</v>
      </c>
      <c r="H269" s="122" t="s">
        <v>9436</v>
      </c>
      <c r="I269" s="122" t="s">
        <v>9437</v>
      </c>
      <c r="J269" s="122" t="s">
        <v>1053</v>
      </c>
      <c r="K269" s="122" t="s">
        <v>3385</v>
      </c>
      <c r="L269" s="122" t="s">
        <v>3386</v>
      </c>
      <c r="M269" s="122" t="s">
        <v>3486</v>
      </c>
      <c r="O269" s="141" t="s">
        <v>273</v>
      </c>
      <c r="P269" s="141" t="s">
        <v>9438</v>
      </c>
      <c r="Q269" s="122" t="s">
        <v>3389</v>
      </c>
      <c r="R269" s="142">
        <v>22</v>
      </c>
      <c r="S269" s="122" t="s">
        <v>9439</v>
      </c>
      <c r="U269" s="122" t="s">
        <v>3538</v>
      </c>
      <c r="W269" s="122" t="s">
        <v>246</v>
      </c>
      <c r="X269" s="122" t="s">
        <v>433</v>
      </c>
      <c r="Y269" s="141" t="s">
        <v>3039</v>
      </c>
      <c r="Z269" s="122" t="s">
        <v>9440</v>
      </c>
      <c r="AA269" s="141" t="s">
        <v>1023</v>
      </c>
      <c r="AB269" s="122" t="s">
        <v>9441</v>
      </c>
      <c r="AC269" s="141" t="s">
        <v>1143</v>
      </c>
      <c r="AD269" s="122" t="s">
        <v>1326</v>
      </c>
      <c r="AE269" s="122" t="s">
        <v>235</v>
      </c>
      <c r="AF269" s="122" t="s">
        <v>9442</v>
      </c>
      <c r="AG269" s="122" t="s">
        <v>537</v>
      </c>
      <c r="AH269" s="122" t="s">
        <v>253</v>
      </c>
      <c r="AI269" s="122" t="s">
        <v>9443</v>
      </c>
      <c r="AJ269" s="122" t="s">
        <v>9444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253</v>
      </c>
      <c r="AS269" s="141" t="s">
        <v>601</v>
      </c>
      <c r="AT269" s="141" t="s">
        <v>601</v>
      </c>
      <c r="AU269" s="141" t="s">
        <v>258</v>
      </c>
      <c r="AV269" s="122" t="s">
        <v>259</v>
      </c>
      <c r="AW269" s="122" t="s">
        <v>260</v>
      </c>
      <c r="AY269" s="141" t="s">
        <v>253</v>
      </c>
      <c r="AZ269" s="122" t="s">
        <v>9445</v>
      </c>
      <c r="BA269" s="122" t="s">
        <v>262</v>
      </c>
      <c r="BB269" s="122" t="s">
        <v>262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22</v>
      </c>
      <c r="BJ269" s="123">
        <v>42239</v>
      </c>
      <c r="BK269" s="139" t="s">
        <v>606</v>
      </c>
      <c r="BM269" s="122">
        <v>34</v>
      </c>
    </row>
    <row r="270" spans="1:65" x14ac:dyDescent="0.25">
      <c r="A270" s="122" t="s">
        <v>6059</v>
      </c>
      <c r="B270" s="122" t="s">
        <v>9446</v>
      </c>
      <c r="C270" s="122" t="s">
        <v>9447</v>
      </c>
      <c r="D270" s="122" t="s">
        <v>9448</v>
      </c>
      <c r="E270" s="123">
        <v>42226</v>
      </c>
      <c r="F270" s="122" t="s">
        <v>6144</v>
      </c>
      <c r="G270" s="122" t="s">
        <v>235</v>
      </c>
      <c r="H270" s="122" t="s">
        <v>9449</v>
      </c>
      <c r="I270" s="122" t="s">
        <v>9450</v>
      </c>
      <c r="K270" s="122" t="s">
        <v>3385</v>
      </c>
      <c r="L270" s="122" t="s">
        <v>3386</v>
      </c>
      <c r="M270" s="122" t="s">
        <v>3486</v>
      </c>
      <c r="O270" s="141" t="s">
        <v>9451</v>
      </c>
      <c r="P270" s="141" t="s">
        <v>9452</v>
      </c>
      <c r="Q270" s="122" t="s">
        <v>3389</v>
      </c>
      <c r="R270" s="142">
        <v>23</v>
      </c>
      <c r="S270" s="122" t="s">
        <v>9453</v>
      </c>
      <c r="U270" s="122" t="s">
        <v>3538</v>
      </c>
      <c r="W270" s="122" t="s">
        <v>246</v>
      </c>
      <c r="X270" s="122" t="s">
        <v>853</v>
      </c>
      <c r="Y270" s="141" t="s">
        <v>740</v>
      </c>
      <c r="Z270" s="122" t="s">
        <v>9454</v>
      </c>
      <c r="AA270" s="141" t="s">
        <v>2133</v>
      </c>
      <c r="AB270" s="122" t="s">
        <v>832</v>
      </c>
      <c r="AC270" s="141" t="s">
        <v>2133</v>
      </c>
      <c r="AD270" s="122" t="s">
        <v>395</v>
      </c>
      <c r="AE270" s="122" t="s">
        <v>235</v>
      </c>
      <c r="AF270" s="122" t="s">
        <v>9455</v>
      </c>
      <c r="AG270" s="122" t="s">
        <v>537</v>
      </c>
      <c r="AH270" s="122" t="s">
        <v>253</v>
      </c>
      <c r="AI270" s="122" t="s">
        <v>9456</v>
      </c>
      <c r="AJ270" s="122" t="s">
        <v>9457</v>
      </c>
      <c r="AK270" s="122" t="s">
        <v>3147</v>
      </c>
      <c r="AL270" s="122" t="s">
        <v>253</v>
      </c>
      <c r="AM270" s="122" t="s">
        <v>253</v>
      </c>
      <c r="AN270" s="122" t="s">
        <v>253</v>
      </c>
      <c r="AO270" s="141" t="s">
        <v>247</v>
      </c>
      <c r="AP270" s="141" t="s">
        <v>247</v>
      </c>
      <c r="AQ270" s="141" t="s">
        <v>247</v>
      </c>
      <c r="AR270" s="141" t="s">
        <v>253</v>
      </c>
      <c r="AS270" s="141" t="s">
        <v>601</v>
      </c>
      <c r="AT270" s="141" t="s">
        <v>601</v>
      </c>
      <c r="AU270" s="141" t="s">
        <v>258</v>
      </c>
      <c r="AV270" s="122" t="s">
        <v>259</v>
      </c>
      <c r="AW270" s="122" t="s">
        <v>260</v>
      </c>
      <c r="AY270" s="141" t="s">
        <v>253</v>
      </c>
      <c r="AZ270" s="122" t="s">
        <v>9458</v>
      </c>
      <c r="BA270" s="122" t="s">
        <v>262</v>
      </c>
      <c r="BB270" s="122" t="s">
        <v>262</v>
      </c>
      <c r="BC270" s="141" t="s">
        <v>312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23</v>
      </c>
      <c r="BJ270" s="123">
        <v>42234</v>
      </c>
      <c r="BK270" s="139" t="s">
        <v>264</v>
      </c>
      <c r="BL270" s="140">
        <v>318.27</v>
      </c>
      <c r="BM270" s="122">
        <v>34</v>
      </c>
    </row>
    <row r="271" spans="1:65" x14ac:dyDescent="0.25">
      <c r="A271" s="122" t="s">
        <v>6059</v>
      </c>
      <c r="B271" s="122" t="s">
        <v>9459</v>
      </c>
      <c r="C271" s="122" t="s">
        <v>9460</v>
      </c>
      <c r="D271" s="122" t="s">
        <v>9461</v>
      </c>
      <c r="E271" s="123">
        <v>42226</v>
      </c>
      <c r="F271" s="122" t="s">
        <v>9462</v>
      </c>
      <c r="G271" s="122" t="s">
        <v>235</v>
      </c>
      <c r="H271" s="122" t="s">
        <v>9463</v>
      </c>
      <c r="I271" s="122" t="s">
        <v>9464</v>
      </c>
      <c r="J271" s="122" t="s">
        <v>2116</v>
      </c>
      <c r="K271" s="122" t="s">
        <v>3385</v>
      </c>
      <c r="L271" s="122" t="s">
        <v>3386</v>
      </c>
      <c r="M271" s="122" t="s">
        <v>3486</v>
      </c>
      <c r="O271" s="141" t="s">
        <v>2175</v>
      </c>
      <c r="P271" s="141" t="s">
        <v>9465</v>
      </c>
      <c r="Q271" s="122" t="s">
        <v>3389</v>
      </c>
      <c r="R271" s="142">
        <v>24</v>
      </c>
      <c r="S271" s="122" t="s">
        <v>9466</v>
      </c>
      <c r="U271" s="122" t="s">
        <v>3538</v>
      </c>
      <c r="W271" s="122" t="s">
        <v>246</v>
      </c>
      <c r="X271" s="122" t="s">
        <v>433</v>
      </c>
      <c r="Y271" s="141" t="s">
        <v>1209</v>
      </c>
      <c r="Z271" s="122" t="s">
        <v>9467</v>
      </c>
      <c r="AA271" s="141" t="s">
        <v>670</v>
      </c>
      <c r="AB271" s="122" t="s">
        <v>3023</v>
      </c>
      <c r="AC271" s="141" t="s">
        <v>3881</v>
      </c>
      <c r="AD271" s="122" t="s">
        <v>9468</v>
      </c>
      <c r="AE271" s="122" t="s">
        <v>235</v>
      </c>
      <c r="AF271" s="122" t="s">
        <v>9469</v>
      </c>
      <c r="AG271" s="122" t="s">
        <v>537</v>
      </c>
      <c r="AH271" s="122" t="s">
        <v>253</v>
      </c>
      <c r="AI271" s="122" t="s">
        <v>9470</v>
      </c>
      <c r="AJ271" s="122" t="s">
        <v>9471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247</v>
      </c>
      <c r="AP271" s="141" t="s">
        <v>247</v>
      </c>
      <c r="AQ271" s="141" t="s">
        <v>247</v>
      </c>
      <c r="AR271" s="141" t="s">
        <v>253</v>
      </c>
      <c r="AS271" s="141" t="s">
        <v>601</v>
      </c>
      <c r="AT271" s="141" t="s">
        <v>601</v>
      </c>
      <c r="AU271" s="141" t="s">
        <v>258</v>
      </c>
      <c r="AV271" s="122" t="s">
        <v>259</v>
      </c>
      <c r="AW271" s="122" t="s">
        <v>260</v>
      </c>
      <c r="AY271" s="141" t="s">
        <v>253</v>
      </c>
      <c r="AZ271" s="122" t="s">
        <v>9472</v>
      </c>
      <c r="BA271" s="122" t="s">
        <v>262</v>
      </c>
      <c r="BB271" s="122" t="s">
        <v>3956</v>
      </c>
      <c r="BC271" s="141" t="s">
        <v>312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24</v>
      </c>
      <c r="BJ271" s="123">
        <v>42239</v>
      </c>
      <c r="BK271" s="139" t="s">
        <v>606</v>
      </c>
      <c r="BM271" s="122">
        <v>34</v>
      </c>
    </row>
    <row r="272" spans="1:65" x14ac:dyDescent="0.25">
      <c r="A272" s="122" t="s">
        <v>6059</v>
      </c>
      <c r="B272" s="122" t="s">
        <v>9473</v>
      </c>
      <c r="C272" s="122" t="s">
        <v>9474</v>
      </c>
      <c r="D272" s="122" t="s">
        <v>9475</v>
      </c>
      <c r="E272" s="123">
        <v>42226</v>
      </c>
      <c r="F272" s="122" t="s">
        <v>3881</v>
      </c>
      <c r="G272" s="122" t="s">
        <v>235</v>
      </c>
      <c r="H272" s="122" t="s">
        <v>9476</v>
      </c>
      <c r="I272" s="122" t="s">
        <v>9477</v>
      </c>
      <c r="K272" s="122" t="s">
        <v>3385</v>
      </c>
      <c r="L272" s="122" t="s">
        <v>3386</v>
      </c>
      <c r="M272" s="122" t="s">
        <v>3405</v>
      </c>
      <c r="O272" s="141" t="s">
        <v>373</v>
      </c>
      <c r="P272" s="141" t="s">
        <v>9478</v>
      </c>
      <c r="Q272" s="122" t="s">
        <v>3389</v>
      </c>
      <c r="R272" s="142">
        <v>25</v>
      </c>
      <c r="S272" s="122" t="s">
        <v>9479</v>
      </c>
      <c r="U272" s="122" t="s">
        <v>3538</v>
      </c>
      <c r="W272" s="122" t="s">
        <v>246</v>
      </c>
      <c r="X272" s="122" t="s">
        <v>433</v>
      </c>
      <c r="Y272" s="141" t="s">
        <v>457</v>
      </c>
      <c r="Z272" s="122" t="s">
        <v>9480</v>
      </c>
      <c r="AA272" s="141" t="s">
        <v>1291</v>
      </c>
      <c r="AB272" s="122" t="s">
        <v>9481</v>
      </c>
      <c r="AC272" s="141" t="s">
        <v>9482</v>
      </c>
      <c r="AD272" s="122" t="s">
        <v>9483</v>
      </c>
      <c r="AE272" s="122" t="s">
        <v>235</v>
      </c>
      <c r="AF272" s="122" t="s">
        <v>9484</v>
      </c>
      <c r="AG272" s="122" t="s">
        <v>537</v>
      </c>
      <c r="AH272" s="122" t="s">
        <v>253</v>
      </c>
      <c r="AI272" s="122" t="s">
        <v>9485</v>
      </c>
      <c r="AJ272" s="122" t="s">
        <v>9486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41" t="s">
        <v>253</v>
      </c>
      <c r="AZ272" s="122" t="s">
        <v>9487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25</v>
      </c>
      <c r="BJ272" s="123">
        <v>42239</v>
      </c>
      <c r="BK272" s="139" t="s">
        <v>606</v>
      </c>
      <c r="BM272" s="122">
        <v>34</v>
      </c>
    </row>
    <row r="273" spans="1:65" x14ac:dyDescent="0.25">
      <c r="A273" s="122" t="s">
        <v>6059</v>
      </c>
      <c r="B273" s="122" t="s">
        <v>9488</v>
      </c>
      <c r="C273" s="122" t="s">
        <v>9489</v>
      </c>
      <c r="D273" s="122" t="s">
        <v>9490</v>
      </c>
      <c r="E273" s="123">
        <v>42226</v>
      </c>
      <c r="F273" s="122" t="s">
        <v>2766</v>
      </c>
      <c r="G273" s="122" t="s">
        <v>235</v>
      </c>
      <c r="H273" s="122" t="s">
        <v>9491</v>
      </c>
      <c r="I273" s="122" t="s">
        <v>9492</v>
      </c>
      <c r="J273" s="122" t="s">
        <v>2116</v>
      </c>
      <c r="K273" s="122" t="s">
        <v>3385</v>
      </c>
      <c r="L273" s="122" t="s">
        <v>3554</v>
      </c>
      <c r="M273" s="122" t="s">
        <v>3846</v>
      </c>
      <c r="O273" s="141" t="s">
        <v>566</v>
      </c>
      <c r="P273" s="141" t="s">
        <v>9493</v>
      </c>
      <c r="Q273" s="122" t="s">
        <v>3389</v>
      </c>
      <c r="R273" s="142">
        <v>26</v>
      </c>
      <c r="S273" s="122" t="s">
        <v>9494</v>
      </c>
      <c r="U273" s="122" t="s">
        <v>3538</v>
      </c>
      <c r="W273" s="122" t="s">
        <v>246</v>
      </c>
      <c r="X273" s="122" t="s">
        <v>853</v>
      </c>
      <c r="Y273" s="141" t="s">
        <v>593</v>
      </c>
      <c r="Z273" s="122" t="s">
        <v>9495</v>
      </c>
      <c r="AA273" s="141" t="s">
        <v>722</v>
      </c>
      <c r="AB273" s="122" t="s">
        <v>9496</v>
      </c>
      <c r="AC273" s="141" t="s">
        <v>283</v>
      </c>
      <c r="AD273" s="122" t="s">
        <v>4300</v>
      </c>
      <c r="AE273" s="122" t="s">
        <v>235</v>
      </c>
      <c r="AF273" s="122" t="s">
        <v>9497</v>
      </c>
      <c r="AG273" s="122" t="s">
        <v>537</v>
      </c>
      <c r="AH273" s="122" t="s">
        <v>253</v>
      </c>
      <c r="AI273" s="122" t="s">
        <v>9498</v>
      </c>
      <c r="AJ273" s="122" t="s">
        <v>9499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247</v>
      </c>
      <c r="AQ273" s="141" t="s">
        <v>247</v>
      </c>
      <c r="AR273" s="141" t="s">
        <v>253</v>
      </c>
      <c r="AS273" s="141" t="s">
        <v>601</v>
      </c>
      <c r="AT273" s="141" t="s">
        <v>601</v>
      </c>
      <c r="AU273" s="141" t="s">
        <v>258</v>
      </c>
      <c r="AV273" s="122" t="s">
        <v>259</v>
      </c>
      <c r="AW273" s="122" t="s">
        <v>260</v>
      </c>
      <c r="AY273" s="141" t="s">
        <v>253</v>
      </c>
      <c r="AZ273" s="122" t="s">
        <v>9500</v>
      </c>
      <c r="BA273" s="122" t="s">
        <v>262</v>
      </c>
      <c r="BB273" s="122" t="s">
        <v>262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26</v>
      </c>
      <c r="BJ273" s="123">
        <v>42239</v>
      </c>
      <c r="BK273" s="139" t="s">
        <v>264</v>
      </c>
      <c r="BL273" s="140">
        <v>192.83</v>
      </c>
      <c r="BM273" s="122">
        <v>34</v>
      </c>
    </row>
    <row r="274" spans="1:65" x14ac:dyDescent="0.25">
      <c r="A274" s="122" t="s">
        <v>6059</v>
      </c>
      <c r="B274" s="122" t="s">
        <v>9501</v>
      </c>
      <c r="C274" s="122" t="s">
        <v>9502</v>
      </c>
      <c r="D274" s="122" t="s">
        <v>9503</v>
      </c>
      <c r="E274" s="123">
        <v>42226</v>
      </c>
      <c r="F274" s="122" t="s">
        <v>855</v>
      </c>
      <c r="G274" s="122" t="s">
        <v>235</v>
      </c>
      <c r="H274" s="122" t="s">
        <v>9504</v>
      </c>
      <c r="I274" s="122" t="s">
        <v>9492</v>
      </c>
      <c r="J274" s="122" t="s">
        <v>2393</v>
      </c>
      <c r="K274" s="122" t="s">
        <v>3385</v>
      </c>
      <c r="L274" s="122" t="s">
        <v>3554</v>
      </c>
      <c r="M274" s="122" t="s">
        <v>3846</v>
      </c>
      <c r="O274" s="141" t="s">
        <v>451</v>
      </c>
      <c r="P274" s="141" t="s">
        <v>9505</v>
      </c>
      <c r="Q274" s="122" t="s">
        <v>3389</v>
      </c>
      <c r="R274" s="142">
        <v>27</v>
      </c>
      <c r="S274" s="122" t="s">
        <v>9506</v>
      </c>
      <c r="U274" s="122" t="s">
        <v>3538</v>
      </c>
      <c r="W274" s="122" t="s">
        <v>246</v>
      </c>
      <c r="X274" s="122" t="s">
        <v>2624</v>
      </c>
      <c r="Y274" s="141" t="s">
        <v>455</v>
      </c>
      <c r="Z274" s="122" t="s">
        <v>9507</v>
      </c>
      <c r="AA274" s="141" t="s">
        <v>685</v>
      </c>
      <c r="AB274" s="122" t="s">
        <v>9508</v>
      </c>
      <c r="AD274" s="122" t="s">
        <v>250</v>
      </c>
      <c r="AE274" s="122" t="s">
        <v>235</v>
      </c>
      <c r="AF274" s="122" t="s">
        <v>9509</v>
      </c>
      <c r="AG274" s="122" t="s">
        <v>537</v>
      </c>
      <c r="AH274" s="122" t="s">
        <v>253</v>
      </c>
      <c r="AI274" s="122" t="s">
        <v>9510</v>
      </c>
      <c r="AJ274" s="122" t="s">
        <v>9511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247</v>
      </c>
      <c r="AP274" s="141" t="s">
        <v>247</v>
      </c>
      <c r="AQ274" s="141" t="s">
        <v>247</v>
      </c>
      <c r="AR274" s="141" t="s">
        <v>247</v>
      </c>
      <c r="AS274" s="141" t="s">
        <v>601</v>
      </c>
      <c r="AT274" s="141" t="s">
        <v>601</v>
      </c>
      <c r="AU274" s="141" t="s">
        <v>601</v>
      </c>
      <c r="AV274" s="122" t="s">
        <v>259</v>
      </c>
      <c r="AW274" s="122" t="s">
        <v>260</v>
      </c>
      <c r="AY274" s="141" t="s">
        <v>253</v>
      </c>
      <c r="AZ274" s="122" t="s">
        <v>9512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27</v>
      </c>
      <c r="BJ274" s="123">
        <v>42239</v>
      </c>
      <c r="BK274" s="139" t="s">
        <v>606</v>
      </c>
      <c r="BM274" s="122">
        <v>34</v>
      </c>
    </row>
    <row r="275" spans="1:65" x14ac:dyDescent="0.25">
      <c r="A275" s="122" t="s">
        <v>6059</v>
      </c>
      <c r="B275" s="122" t="s">
        <v>9513</v>
      </c>
      <c r="C275" s="122" t="s">
        <v>9514</v>
      </c>
      <c r="D275" s="122" t="s">
        <v>9515</v>
      </c>
      <c r="E275" s="123">
        <v>42226</v>
      </c>
      <c r="F275" s="122" t="s">
        <v>795</v>
      </c>
      <c r="G275" s="122" t="s">
        <v>235</v>
      </c>
      <c r="H275" s="122" t="s">
        <v>9516</v>
      </c>
      <c r="I275" s="122" t="s">
        <v>9517</v>
      </c>
      <c r="J275" s="122" t="s">
        <v>9518</v>
      </c>
      <c r="K275" s="122" t="s">
        <v>3385</v>
      </c>
      <c r="L275" s="122" t="s">
        <v>3554</v>
      </c>
      <c r="M275" s="122" t="s">
        <v>3736</v>
      </c>
      <c r="O275" s="141" t="s">
        <v>9451</v>
      </c>
      <c r="P275" s="141" t="s">
        <v>9519</v>
      </c>
      <c r="Q275" s="122" t="s">
        <v>3389</v>
      </c>
      <c r="R275" s="142">
        <v>28</v>
      </c>
      <c r="S275" s="122" t="s">
        <v>9520</v>
      </c>
      <c r="U275" s="122" t="s">
        <v>3538</v>
      </c>
      <c r="V275" s="122" t="s">
        <v>351</v>
      </c>
      <c r="W275" s="122" t="s">
        <v>246</v>
      </c>
      <c r="X275" s="122" t="s">
        <v>302</v>
      </c>
      <c r="Y275" s="141" t="s">
        <v>570</v>
      </c>
      <c r="Z275" s="122" t="s">
        <v>9521</v>
      </c>
      <c r="AA275" s="141" t="s">
        <v>9522</v>
      </c>
      <c r="AB275" s="122" t="s">
        <v>9523</v>
      </c>
      <c r="AD275" s="122" t="s">
        <v>250</v>
      </c>
      <c r="AE275" s="122" t="s">
        <v>235</v>
      </c>
      <c r="AF275" s="122" t="s">
        <v>9524</v>
      </c>
      <c r="AG275" s="122" t="s">
        <v>253</v>
      </c>
      <c r="AH275" s="122" t="s">
        <v>253</v>
      </c>
      <c r="AI275" s="122" t="s">
        <v>9525</v>
      </c>
      <c r="AJ275" s="122" t="s">
        <v>9526</v>
      </c>
      <c r="AK275" s="122" t="s">
        <v>9527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247</v>
      </c>
      <c r="AQ275" s="141" t="s">
        <v>247</v>
      </c>
      <c r="AR275" s="141" t="s">
        <v>253</v>
      </c>
      <c r="AS275" s="141" t="s">
        <v>601</v>
      </c>
      <c r="AT275" s="141" t="s">
        <v>601</v>
      </c>
      <c r="AU275" s="141" t="s">
        <v>258</v>
      </c>
      <c r="AV275" s="122" t="s">
        <v>259</v>
      </c>
      <c r="AW275" s="122" t="s">
        <v>260</v>
      </c>
      <c r="AY275" s="141" t="s">
        <v>253</v>
      </c>
      <c r="AZ275" s="122" t="s">
        <v>9528</v>
      </c>
      <c r="BA275" s="122" t="s">
        <v>262</v>
      </c>
      <c r="BB275" s="122" t="s">
        <v>262</v>
      </c>
      <c r="BC275" s="141" t="s">
        <v>312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28</v>
      </c>
      <c r="BJ275" s="123">
        <v>42239</v>
      </c>
      <c r="BK275" s="139" t="s">
        <v>606</v>
      </c>
      <c r="BM275" s="122">
        <v>34</v>
      </c>
    </row>
    <row r="276" spans="1:65" x14ac:dyDescent="0.25">
      <c r="A276" s="122" t="s">
        <v>6735</v>
      </c>
      <c r="B276" s="122" t="s">
        <v>9529</v>
      </c>
      <c r="C276" s="122" t="s">
        <v>9530</v>
      </c>
      <c r="D276" s="122" t="s">
        <v>9531</v>
      </c>
      <c r="E276" s="123">
        <v>42226</v>
      </c>
      <c r="F276" s="122" t="s">
        <v>9532</v>
      </c>
      <c r="G276" s="122" t="s">
        <v>235</v>
      </c>
      <c r="H276" s="122" t="s">
        <v>9533</v>
      </c>
      <c r="I276" s="122" t="s">
        <v>9534</v>
      </c>
      <c r="K276" s="122" t="s">
        <v>3385</v>
      </c>
      <c r="L276" s="122" t="s">
        <v>3386</v>
      </c>
      <c r="M276" s="122" t="s">
        <v>3486</v>
      </c>
      <c r="O276" s="141" t="s">
        <v>241</v>
      </c>
      <c r="P276" s="141" t="s">
        <v>9535</v>
      </c>
      <c r="Q276" s="122" t="s">
        <v>3389</v>
      </c>
      <c r="R276" s="142">
        <v>29</v>
      </c>
      <c r="S276" s="122" t="s">
        <v>9536</v>
      </c>
      <c r="U276" s="122" t="s">
        <v>3538</v>
      </c>
      <c r="W276" s="122" t="s">
        <v>246</v>
      </c>
      <c r="X276" s="122" t="s">
        <v>1121</v>
      </c>
      <c r="Y276" s="141" t="s">
        <v>2072</v>
      </c>
      <c r="Z276" s="122" t="s">
        <v>9537</v>
      </c>
      <c r="AA276" s="141" t="s">
        <v>2072</v>
      </c>
      <c r="AB276" s="122" t="s">
        <v>9538</v>
      </c>
      <c r="AC276" s="141" t="s">
        <v>744</v>
      </c>
      <c r="AD276" s="122" t="s">
        <v>9539</v>
      </c>
      <c r="AE276" s="122" t="s">
        <v>235</v>
      </c>
      <c r="AF276" s="122" t="s">
        <v>9540</v>
      </c>
      <c r="AG276" s="122" t="s">
        <v>537</v>
      </c>
      <c r="AH276" s="122" t="s">
        <v>253</v>
      </c>
      <c r="AI276" s="122" t="s">
        <v>1570</v>
      </c>
      <c r="AJ276" s="122" t="s">
        <v>9541</v>
      </c>
      <c r="AK276" s="122" t="s">
        <v>253</v>
      </c>
      <c r="AL276" s="122" t="s">
        <v>253</v>
      </c>
      <c r="AM276" s="122" t="s">
        <v>253</v>
      </c>
      <c r="AN276" s="122" t="s">
        <v>253</v>
      </c>
      <c r="AO276" s="141" t="s">
        <v>253</v>
      </c>
      <c r="AP276" s="141" t="s">
        <v>253</v>
      </c>
      <c r="AQ276" s="141" t="s">
        <v>247</v>
      </c>
      <c r="AR276" s="141" t="s">
        <v>253</v>
      </c>
      <c r="AS276" s="141" t="s">
        <v>361</v>
      </c>
      <c r="AT276" s="141" t="s">
        <v>601</v>
      </c>
      <c r="AU276" s="141" t="s">
        <v>258</v>
      </c>
      <c r="AV276" s="122" t="s">
        <v>259</v>
      </c>
      <c r="AW276" s="122" t="s">
        <v>260</v>
      </c>
      <c r="AX276" s="141" t="s">
        <v>9542</v>
      </c>
      <c r="AY276" s="141" t="s">
        <v>260</v>
      </c>
      <c r="AZ276" s="122" t="s">
        <v>9543</v>
      </c>
      <c r="BA276" s="122" t="s">
        <v>9544</v>
      </c>
      <c r="BB276" s="122" t="s">
        <v>262</v>
      </c>
      <c r="BC276" s="141" t="s">
        <v>312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29</v>
      </c>
      <c r="BJ276" s="123">
        <v>42231</v>
      </c>
      <c r="BK276" s="139" t="s">
        <v>264</v>
      </c>
      <c r="BL276" s="140">
        <v>143.38</v>
      </c>
      <c r="BM276" s="122">
        <v>33</v>
      </c>
    </row>
    <row r="277" spans="1:65" x14ac:dyDescent="0.25">
      <c r="A277" s="122" t="s">
        <v>6735</v>
      </c>
      <c r="B277" s="122" t="s">
        <v>9545</v>
      </c>
      <c r="C277" s="122" t="s">
        <v>9546</v>
      </c>
      <c r="D277" s="122" t="s">
        <v>9547</v>
      </c>
      <c r="E277" s="123">
        <v>42226</v>
      </c>
      <c r="F277" s="122" t="s">
        <v>9548</v>
      </c>
      <c r="G277" s="122" t="s">
        <v>235</v>
      </c>
      <c r="H277" s="122" t="s">
        <v>9549</v>
      </c>
      <c r="I277" s="122" t="s">
        <v>4434</v>
      </c>
      <c r="J277" s="122" t="s">
        <v>9550</v>
      </c>
      <c r="K277" s="122" t="s">
        <v>3364</v>
      </c>
      <c r="L277" s="122" t="s">
        <v>3365</v>
      </c>
      <c r="M277" s="122" t="s">
        <v>3366</v>
      </c>
      <c r="O277" s="141" t="s">
        <v>1055</v>
      </c>
      <c r="P277" s="141" t="s">
        <v>9551</v>
      </c>
      <c r="Q277" s="122" t="s">
        <v>3369</v>
      </c>
      <c r="R277" s="142">
        <v>30</v>
      </c>
      <c r="S277" s="122" t="s">
        <v>9552</v>
      </c>
      <c r="U277" s="122" t="s">
        <v>3538</v>
      </c>
      <c r="V277" s="122" t="s">
        <v>351</v>
      </c>
      <c r="W277" s="122" t="s">
        <v>246</v>
      </c>
      <c r="X277" s="122" t="s">
        <v>1057</v>
      </c>
      <c r="Y277" s="141" t="s">
        <v>593</v>
      </c>
      <c r="Z277" s="122" t="s">
        <v>7926</v>
      </c>
      <c r="AA277" s="141" t="s">
        <v>670</v>
      </c>
      <c r="AB277" s="122" t="s">
        <v>9553</v>
      </c>
      <c r="AC277" s="141" t="s">
        <v>880</v>
      </c>
      <c r="AD277" s="122" t="s">
        <v>307</v>
      </c>
      <c r="AE277" s="122" t="s">
        <v>235</v>
      </c>
      <c r="AF277" s="122" t="s">
        <v>9554</v>
      </c>
      <c r="AG277" s="122" t="s">
        <v>747</v>
      </c>
      <c r="AH277" s="122" t="s">
        <v>253</v>
      </c>
      <c r="AI277" s="122" t="s">
        <v>9555</v>
      </c>
      <c r="AJ277" s="122" t="s">
        <v>9556</v>
      </c>
      <c r="AK277" s="122" t="s">
        <v>253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253</v>
      </c>
      <c r="AQ277" s="141" t="s">
        <v>247</v>
      </c>
      <c r="AR277" s="141" t="s">
        <v>253</v>
      </c>
      <c r="AS277" s="141" t="s">
        <v>601</v>
      </c>
      <c r="AT277" s="141" t="s">
        <v>601</v>
      </c>
      <c r="AU277" s="141" t="s">
        <v>258</v>
      </c>
      <c r="AV277" s="122" t="s">
        <v>259</v>
      </c>
      <c r="AW277" s="122" t="s">
        <v>260</v>
      </c>
      <c r="AX277" s="141" t="s">
        <v>2029</v>
      </c>
      <c r="AY277" s="141" t="s">
        <v>247</v>
      </c>
      <c r="AZ277" s="122" t="s">
        <v>9557</v>
      </c>
      <c r="BA277" s="122" t="s">
        <v>262</v>
      </c>
      <c r="BB277" s="122" t="s">
        <v>262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30</v>
      </c>
      <c r="BJ277" s="123">
        <v>42239</v>
      </c>
      <c r="BK277" s="139" t="s">
        <v>606</v>
      </c>
      <c r="BM277" s="122">
        <v>34</v>
      </c>
    </row>
    <row r="278" spans="1:65" x14ac:dyDescent="0.25">
      <c r="A278" s="122" t="s">
        <v>6735</v>
      </c>
      <c r="B278" s="122" t="s">
        <v>9558</v>
      </c>
      <c r="C278" s="122" t="s">
        <v>9559</v>
      </c>
      <c r="D278" s="122" t="s">
        <v>9560</v>
      </c>
      <c r="E278" s="123">
        <v>42226</v>
      </c>
      <c r="F278" s="122" t="s">
        <v>9561</v>
      </c>
      <c r="G278" s="122" t="s">
        <v>235</v>
      </c>
      <c r="H278" s="122" t="s">
        <v>9562</v>
      </c>
      <c r="I278" s="122" t="s">
        <v>9563</v>
      </c>
      <c r="K278" s="122" t="s">
        <v>3364</v>
      </c>
      <c r="L278" s="122" t="s">
        <v>3365</v>
      </c>
      <c r="M278" s="122" t="s">
        <v>3366</v>
      </c>
      <c r="O278" s="141" t="s">
        <v>1562</v>
      </c>
      <c r="P278" s="141" t="s">
        <v>9564</v>
      </c>
      <c r="Q278" s="122" t="s">
        <v>3369</v>
      </c>
      <c r="R278" s="142">
        <v>31</v>
      </c>
      <c r="S278" s="122" t="s">
        <v>9565</v>
      </c>
      <c r="U278" s="122" t="s">
        <v>3538</v>
      </c>
      <c r="W278" s="122" t="s">
        <v>246</v>
      </c>
      <c r="X278" s="122" t="s">
        <v>1121</v>
      </c>
      <c r="Y278" s="141" t="s">
        <v>973</v>
      </c>
      <c r="Z278" s="122" t="s">
        <v>9566</v>
      </c>
      <c r="AA278" s="141" t="s">
        <v>1258</v>
      </c>
      <c r="AB278" s="122" t="s">
        <v>7055</v>
      </c>
      <c r="AC278" s="141" t="s">
        <v>367</v>
      </c>
      <c r="AD278" s="122" t="s">
        <v>9567</v>
      </c>
      <c r="AE278" s="122" t="s">
        <v>235</v>
      </c>
      <c r="AF278" s="122" t="s">
        <v>9568</v>
      </c>
      <c r="AG278" s="122" t="s">
        <v>537</v>
      </c>
      <c r="AH278" s="122" t="s">
        <v>253</v>
      </c>
      <c r="AI278" s="122" t="s">
        <v>9569</v>
      </c>
      <c r="AJ278" s="122" t="s">
        <v>9570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253</v>
      </c>
      <c r="AP278" s="141" t="s">
        <v>253</v>
      </c>
      <c r="AQ278" s="141" t="s">
        <v>247</v>
      </c>
      <c r="AR278" s="141" t="s">
        <v>247</v>
      </c>
      <c r="AS278" s="141" t="s">
        <v>361</v>
      </c>
      <c r="AT278" s="141" t="s">
        <v>601</v>
      </c>
      <c r="AU278" s="141" t="s">
        <v>257</v>
      </c>
      <c r="AV278" s="122" t="s">
        <v>259</v>
      </c>
      <c r="AW278" s="122" t="s">
        <v>260</v>
      </c>
      <c r="AX278" s="141" t="s">
        <v>9571</v>
      </c>
      <c r="AY278" s="141" t="s">
        <v>247</v>
      </c>
      <c r="AZ278" s="122" t="s">
        <v>9572</v>
      </c>
      <c r="BA278" s="122" t="s">
        <v>262</v>
      </c>
      <c r="BB278" s="122" t="s">
        <v>262</v>
      </c>
      <c r="BC278" s="141" t="s">
        <v>312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31</v>
      </c>
      <c r="BJ278" s="123">
        <v>42233</v>
      </c>
      <c r="BK278" s="139" t="s">
        <v>264</v>
      </c>
      <c r="BL278" s="140">
        <v>88.86</v>
      </c>
      <c r="BM278" s="122">
        <v>34</v>
      </c>
    </row>
    <row r="279" spans="1:65" x14ac:dyDescent="0.25">
      <c r="A279" s="122" t="s">
        <v>6735</v>
      </c>
      <c r="B279" s="122" t="s">
        <v>9573</v>
      </c>
      <c r="C279" s="122" t="s">
        <v>9574</v>
      </c>
      <c r="D279" s="122" t="s">
        <v>9575</v>
      </c>
      <c r="E279" s="123">
        <v>42226</v>
      </c>
      <c r="F279" s="122" t="s">
        <v>3574</v>
      </c>
      <c r="G279" s="122" t="s">
        <v>235</v>
      </c>
      <c r="H279" s="122" t="s">
        <v>9576</v>
      </c>
      <c r="I279" s="122" t="s">
        <v>9577</v>
      </c>
      <c r="J279" s="122" t="s">
        <v>1710</v>
      </c>
      <c r="K279" s="122" t="s">
        <v>3533</v>
      </c>
      <c r="L279" s="122" t="s">
        <v>3534</v>
      </c>
      <c r="M279" s="122" t="s">
        <v>3535</v>
      </c>
      <c r="O279" s="141" t="s">
        <v>780</v>
      </c>
      <c r="P279" s="141" t="s">
        <v>9578</v>
      </c>
      <c r="Q279" s="122" t="s">
        <v>3369</v>
      </c>
      <c r="R279" s="142">
        <v>32</v>
      </c>
      <c r="S279" s="122" t="s">
        <v>9579</v>
      </c>
      <c r="U279" s="122" t="s">
        <v>3538</v>
      </c>
      <c r="W279" s="122" t="s">
        <v>246</v>
      </c>
      <c r="X279" s="122" t="s">
        <v>497</v>
      </c>
      <c r="Y279" s="141" t="s">
        <v>3039</v>
      </c>
      <c r="Z279" s="122" t="s">
        <v>1091</v>
      </c>
      <c r="AB279" s="122" t="s">
        <v>250</v>
      </c>
      <c r="AD279" s="122" t="s">
        <v>250</v>
      </c>
      <c r="AE279" s="122" t="s">
        <v>235</v>
      </c>
      <c r="AF279" s="122" t="s">
        <v>9580</v>
      </c>
      <c r="AG279" s="122" t="s">
        <v>537</v>
      </c>
      <c r="AH279" s="122" t="s">
        <v>253</v>
      </c>
      <c r="AI279" s="122" t="s">
        <v>9581</v>
      </c>
      <c r="AJ279" s="122" t="s">
        <v>9582</v>
      </c>
      <c r="AK279" s="122" t="s">
        <v>253</v>
      </c>
      <c r="AL279" s="122" t="s">
        <v>253</v>
      </c>
      <c r="AM279" s="122" t="s">
        <v>253</v>
      </c>
      <c r="AN279" s="122" t="s">
        <v>253</v>
      </c>
      <c r="AO279" s="141" t="s">
        <v>253</v>
      </c>
      <c r="AP279" s="141" t="s">
        <v>253</v>
      </c>
      <c r="AQ279" s="141" t="s">
        <v>247</v>
      </c>
      <c r="AR279" s="141" t="s">
        <v>253</v>
      </c>
      <c r="AS279" s="141" t="s">
        <v>361</v>
      </c>
      <c r="AT279" s="141" t="s">
        <v>601</v>
      </c>
      <c r="AU279" s="141" t="s">
        <v>258</v>
      </c>
      <c r="AV279" s="122" t="s">
        <v>259</v>
      </c>
      <c r="AW279" s="122" t="s">
        <v>260</v>
      </c>
      <c r="AY279" s="141" t="s">
        <v>253</v>
      </c>
      <c r="AZ279" s="122" t="s">
        <v>9583</v>
      </c>
      <c r="BA279" s="122" t="s">
        <v>262</v>
      </c>
      <c r="BB279" s="122" t="s">
        <v>262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32</v>
      </c>
      <c r="BJ279" s="123">
        <v>42230</v>
      </c>
      <c r="BK279" s="139" t="s">
        <v>264</v>
      </c>
      <c r="BL279" s="140">
        <v>85</v>
      </c>
      <c r="BM279" s="122">
        <v>33</v>
      </c>
    </row>
    <row r="280" spans="1:65" x14ac:dyDescent="0.25">
      <c r="A280" s="122" t="s">
        <v>6735</v>
      </c>
      <c r="B280" s="122" t="s">
        <v>9584</v>
      </c>
      <c r="C280" s="122" t="s">
        <v>9585</v>
      </c>
      <c r="D280" s="122" t="s">
        <v>9586</v>
      </c>
      <c r="E280" s="123">
        <v>42226</v>
      </c>
      <c r="F280" s="122" t="s">
        <v>3910</v>
      </c>
      <c r="G280" s="122" t="s">
        <v>235</v>
      </c>
      <c r="H280" s="122" t="s">
        <v>9587</v>
      </c>
      <c r="I280" s="122" t="s">
        <v>9588</v>
      </c>
      <c r="K280" s="122" t="s">
        <v>3385</v>
      </c>
      <c r="L280" s="122" t="s">
        <v>3386</v>
      </c>
      <c r="M280" s="122" t="s">
        <v>3486</v>
      </c>
      <c r="O280" s="141" t="s">
        <v>548</v>
      </c>
      <c r="P280" s="141" t="s">
        <v>9589</v>
      </c>
      <c r="Q280" s="122" t="s">
        <v>3389</v>
      </c>
      <c r="R280" s="142">
        <v>33</v>
      </c>
      <c r="S280" s="122" t="s">
        <v>9590</v>
      </c>
      <c r="U280" s="122" t="s">
        <v>3538</v>
      </c>
      <c r="W280" s="122" t="s">
        <v>246</v>
      </c>
      <c r="X280" s="122" t="s">
        <v>2624</v>
      </c>
      <c r="Y280" s="141" t="s">
        <v>1162</v>
      </c>
      <c r="Z280" s="122" t="s">
        <v>435</v>
      </c>
      <c r="AA280" s="141" t="s">
        <v>570</v>
      </c>
      <c r="AB280" s="122" t="s">
        <v>9591</v>
      </c>
      <c r="AC280" s="141" t="s">
        <v>367</v>
      </c>
      <c r="AD280" s="122" t="s">
        <v>9592</v>
      </c>
      <c r="AE280" s="122" t="s">
        <v>235</v>
      </c>
      <c r="AF280" s="122" t="s">
        <v>9593</v>
      </c>
      <c r="AG280" s="122" t="s">
        <v>638</v>
      </c>
      <c r="AH280" s="122" t="s">
        <v>253</v>
      </c>
      <c r="AI280" s="122" t="s">
        <v>9594</v>
      </c>
      <c r="AJ280" s="122" t="s">
        <v>9595</v>
      </c>
      <c r="AK280" s="122" t="s">
        <v>253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247</v>
      </c>
      <c r="AR280" s="141" t="s">
        <v>253</v>
      </c>
      <c r="AS280" s="141" t="s">
        <v>601</v>
      </c>
      <c r="AT280" s="141" t="s">
        <v>601</v>
      </c>
      <c r="AU280" s="141" t="s">
        <v>258</v>
      </c>
      <c r="AV280" s="122" t="s">
        <v>259</v>
      </c>
      <c r="AW280" s="122" t="s">
        <v>260</v>
      </c>
      <c r="AY280" s="141" t="s">
        <v>253</v>
      </c>
      <c r="AZ280" s="122" t="s">
        <v>9596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33</v>
      </c>
      <c r="BJ280" s="123">
        <v>42233</v>
      </c>
      <c r="BK280" s="139" t="s">
        <v>264</v>
      </c>
      <c r="BL280" s="140">
        <v>100</v>
      </c>
      <c r="BM280" s="122">
        <v>34</v>
      </c>
    </row>
    <row r="281" spans="1:65" x14ac:dyDescent="0.25">
      <c r="A281" s="122" t="s">
        <v>6735</v>
      </c>
      <c r="B281" s="122" t="s">
        <v>9597</v>
      </c>
      <c r="C281" s="122" t="s">
        <v>9598</v>
      </c>
      <c r="D281" s="122" t="s">
        <v>9599</v>
      </c>
      <c r="E281" s="123">
        <v>42226</v>
      </c>
      <c r="F281" s="122" t="s">
        <v>5981</v>
      </c>
      <c r="G281" s="122" t="s">
        <v>235</v>
      </c>
      <c r="H281" s="122" t="s">
        <v>9600</v>
      </c>
      <c r="I281" s="122" t="s">
        <v>9601</v>
      </c>
      <c r="J281" s="122" t="s">
        <v>9602</v>
      </c>
      <c r="K281" s="122" t="s">
        <v>3385</v>
      </c>
      <c r="L281" s="122" t="s">
        <v>3386</v>
      </c>
      <c r="M281" s="122" t="s">
        <v>3486</v>
      </c>
      <c r="O281" s="141" t="s">
        <v>566</v>
      </c>
      <c r="P281" s="141" t="s">
        <v>9603</v>
      </c>
      <c r="Q281" s="122" t="s">
        <v>3389</v>
      </c>
      <c r="R281" s="142">
        <v>34</v>
      </c>
      <c r="S281" s="122" t="s">
        <v>9604</v>
      </c>
      <c r="U281" s="122" t="s">
        <v>3538</v>
      </c>
      <c r="W281" s="122" t="s">
        <v>246</v>
      </c>
      <c r="X281" s="122" t="s">
        <v>497</v>
      </c>
      <c r="Y281" s="141" t="s">
        <v>1421</v>
      </c>
      <c r="Z281" s="122" t="s">
        <v>9605</v>
      </c>
      <c r="AA281" s="141" t="s">
        <v>1498</v>
      </c>
      <c r="AB281" s="122" t="s">
        <v>9605</v>
      </c>
      <c r="AD281" s="122" t="s">
        <v>250</v>
      </c>
      <c r="AE281" s="122" t="s">
        <v>235</v>
      </c>
      <c r="AF281" s="122" t="s">
        <v>9606</v>
      </c>
      <c r="AG281" s="122" t="s">
        <v>537</v>
      </c>
      <c r="AH281" s="122" t="s">
        <v>253</v>
      </c>
      <c r="AI281" s="122" t="s">
        <v>9607</v>
      </c>
      <c r="AJ281" s="122" t="s">
        <v>9608</v>
      </c>
      <c r="AK281" s="122" t="s">
        <v>253</v>
      </c>
      <c r="AL281" s="122" t="s">
        <v>253</v>
      </c>
      <c r="AM281" s="122" t="s">
        <v>253</v>
      </c>
      <c r="AN281" s="122" t="s">
        <v>253</v>
      </c>
      <c r="AO281" s="141" t="s">
        <v>247</v>
      </c>
      <c r="AP281" s="141" t="s">
        <v>247</v>
      </c>
      <c r="AQ281" s="141" t="s">
        <v>247</v>
      </c>
      <c r="AR281" s="141" t="s">
        <v>253</v>
      </c>
      <c r="AS281" s="141" t="s">
        <v>601</v>
      </c>
      <c r="AT281" s="141" t="s">
        <v>601</v>
      </c>
      <c r="AU281" s="141" t="s">
        <v>258</v>
      </c>
      <c r="AV281" s="122" t="s">
        <v>259</v>
      </c>
      <c r="AW281" s="122" t="s">
        <v>260</v>
      </c>
      <c r="AY281" s="141" t="s">
        <v>253</v>
      </c>
      <c r="AZ281" s="122" t="s">
        <v>9609</v>
      </c>
      <c r="BA281" s="122" t="s">
        <v>262</v>
      </c>
      <c r="BB281" s="122" t="s">
        <v>262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34</v>
      </c>
      <c r="BJ281" s="123">
        <v>42228</v>
      </c>
      <c r="BK281" s="139" t="s">
        <v>264</v>
      </c>
      <c r="BL281" s="140">
        <v>47.61</v>
      </c>
      <c r="BM281" s="122">
        <v>33</v>
      </c>
    </row>
    <row r="282" spans="1:65" x14ac:dyDescent="0.25">
      <c r="A282" s="122" t="s">
        <v>6489</v>
      </c>
      <c r="B282" s="122" t="s">
        <v>9610</v>
      </c>
      <c r="C282" s="122" t="s">
        <v>9611</v>
      </c>
      <c r="D282" s="122" t="s">
        <v>9612</v>
      </c>
      <c r="E282" s="123">
        <v>42226</v>
      </c>
      <c r="F282" s="122" t="s">
        <v>9613</v>
      </c>
      <c r="G282" s="122" t="s">
        <v>235</v>
      </c>
      <c r="H282" s="122" t="s">
        <v>9614</v>
      </c>
      <c r="I282" s="122" t="s">
        <v>9615</v>
      </c>
      <c r="K282" s="122" t="s">
        <v>3385</v>
      </c>
      <c r="L282" s="122" t="s">
        <v>3386</v>
      </c>
      <c r="M282" s="122" t="s">
        <v>3486</v>
      </c>
      <c r="O282" s="141" t="s">
        <v>390</v>
      </c>
      <c r="P282" s="141" t="s">
        <v>9616</v>
      </c>
      <c r="Q282" s="122" t="s">
        <v>3389</v>
      </c>
      <c r="R282" s="142">
        <v>35</v>
      </c>
      <c r="S282" s="122" t="s">
        <v>9617</v>
      </c>
      <c r="U282" s="122" t="s">
        <v>3538</v>
      </c>
      <c r="W282" s="122" t="s">
        <v>246</v>
      </c>
      <c r="X282" s="122" t="s">
        <v>590</v>
      </c>
      <c r="Y282" s="141" t="s">
        <v>534</v>
      </c>
      <c r="Z282" s="122" t="s">
        <v>9618</v>
      </c>
      <c r="AA282" s="141" t="s">
        <v>304</v>
      </c>
      <c r="AB282" s="122" t="s">
        <v>9619</v>
      </c>
      <c r="AC282" s="141" t="s">
        <v>672</v>
      </c>
      <c r="AD282" s="122" t="s">
        <v>9620</v>
      </c>
      <c r="AE282" s="122" t="s">
        <v>235</v>
      </c>
      <c r="AF282" s="122" t="s">
        <v>9621</v>
      </c>
      <c r="AG282" s="122" t="s">
        <v>537</v>
      </c>
      <c r="AH282" s="122" t="s">
        <v>253</v>
      </c>
      <c r="AI282" s="122" t="s">
        <v>9622</v>
      </c>
      <c r="AJ282" s="122" t="s">
        <v>9623</v>
      </c>
      <c r="AK282" s="122" t="s">
        <v>253</v>
      </c>
      <c r="AL282" s="122" t="s">
        <v>253</v>
      </c>
      <c r="AM282" s="122" t="s">
        <v>253</v>
      </c>
      <c r="AN282" s="122" t="s">
        <v>253</v>
      </c>
      <c r="AO282" s="141" t="s">
        <v>247</v>
      </c>
      <c r="AP282" s="141" t="s">
        <v>247</v>
      </c>
      <c r="AQ282" s="141" t="s">
        <v>247</v>
      </c>
      <c r="AR282" s="141" t="s">
        <v>247</v>
      </c>
      <c r="AS282" s="141" t="s">
        <v>601</v>
      </c>
      <c r="AT282" s="141" t="s">
        <v>601</v>
      </c>
      <c r="AU282" s="141" t="s">
        <v>601</v>
      </c>
      <c r="AV282" s="122" t="s">
        <v>259</v>
      </c>
      <c r="AW282" s="122" t="s">
        <v>260</v>
      </c>
      <c r="AY282" s="141" t="s">
        <v>253</v>
      </c>
      <c r="AZ282" s="122" t="s">
        <v>9624</v>
      </c>
      <c r="BA282" s="122" t="s">
        <v>262</v>
      </c>
      <c r="BB282" s="122" t="s">
        <v>9625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35</v>
      </c>
      <c r="BJ282" s="123">
        <v>42234</v>
      </c>
      <c r="BK282" s="139" t="s">
        <v>264</v>
      </c>
      <c r="BL282" s="140">
        <v>350.82</v>
      </c>
      <c r="BM282" s="122">
        <v>34</v>
      </c>
    </row>
    <row r="283" spans="1:65" x14ac:dyDescent="0.25">
      <c r="A283" s="122" t="s">
        <v>6489</v>
      </c>
      <c r="B283" s="122" t="s">
        <v>9626</v>
      </c>
      <c r="C283" s="122" t="s">
        <v>9627</v>
      </c>
      <c r="D283" s="122" t="s">
        <v>9628</v>
      </c>
      <c r="E283" s="123">
        <v>42226</v>
      </c>
      <c r="F283" s="122" t="s">
        <v>9629</v>
      </c>
      <c r="G283" s="122" t="s">
        <v>235</v>
      </c>
      <c r="H283" s="122" t="s">
        <v>9630</v>
      </c>
      <c r="I283" s="122" t="s">
        <v>9631</v>
      </c>
      <c r="J283" s="122" t="s">
        <v>9632</v>
      </c>
      <c r="K283" s="122" t="s">
        <v>3364</v>
      </c>
      <c r="L283" s="122" t="s">
        <v>3365</v>
      </c>
      <c r="M283" s="122" t="s">
        <v>3366</v>
      </c>
      <c r="O283" s="141" t="s">
        <v>299</v>
      </c>
      <c r="P283" s="141" t="s">
        <v>9633</v>
      </c>
      <c r="Q283" s="122" t="s">
        <v>3369</v>
      </c>
      <c r="R283" s="142">
        <v>36</v>
      </c>
      <c r="S283" s="122" t="s">
        <v>9634</v>
      </c>
      <c r="U283" s="122" t="s">
        <v>3538</v>
      </c>
      <c r="X283" s="122" t="s">
        <v>3147</v>
      </c>
      <c r="Y283" s="141" t="s">
        <v>534</v>
      </c>
      <c r="Z283" s="122" t="s">
        <v>9635</v>
      </c>
      <c r="AA283" s="141" t="s">
        <v>570</v>
      </c>
      <c r="AB283" s="122" t="s">
        <v>9636</v>
      </c>
      <c r="AC283" s="141" t="s">
        <v>3574</v>
      </c>
      <c r="AD283" s="122" t="s">
        <v>9636</v>
      </c>
      <c r="AE283" s="122" t="s">
        <v>235</v>
      </c>
      <c r="AF283" s="122" t="s">
        <v>9637</v>
      </c>
      <c r="AG283" s="122" t="s">
        <v>537</v>
      </c>
      <c r="AH283" s="122" t="s">
        <v>253</v>
      </c>
      <c r="AI283" s="122" t="s">
        <v>9638</v>
      </c>
      <c r="AJ283" s="122" t="s">
        <v>9639</v>
      </c>
      <c r="AK283" s="122" t="s">
        <v>253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247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41" t="s">
        <v>253</v>
      </c>
      <c r="AZ283" s="122" t="s">
        <v>9640</v>
      </c>
      <c r="BA283" s="122" t="s">
        <v>262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36</v>
      </c>
      <c r="BJ283" s="123">
        <v>42239</v>
      </c>
      <c r="BK283" s="139" t="s">
        <v>606</v>
      </c>
      <c r="BM283" s="122">
        <v>34</v>
      </c>
    </row>
    <row r="284" spans="1:65" x14ac:dyDescent="0.25">
      <c r="A284" s="122" t="s">
        <v>6489</v>
      </c>
      <c r="B284" s="122" t="s">
        <v>9641</v>
      </c>
      <c r="C284" s="122" t="s">
        <v>9642</v>
      </c>
      <c r="D284" s="122" t="s">
        <v>9643</v>
      </c>
      <c r="E284" s="123">
        <v>42226</v>
      </c>
      <c r="F284" s="122" t="s">
        <v>1926</v>
      </c>
      <c r="G284" s="122" t="s">
        <v>235</v>
      </c>
      <c r="H284" s="122" t="s">
        <v>9644</v>
      </c>
      <c r="I284" s="122" t="s">
        <v>9645</v>
      </c>
      <c r="J284" s="122" t="s">
        <v>9646</v>
      </c>
      <c r="K284" s="122" t="s">
        <v>3364</v>
      </c>
      <c r="L284" s="122" t="s">
        <v>3365</v>
      </c>
      <c r="M284" s="122" t="s">
        <v>3366</v>
      </c>
      <c r="O284" s="141" t="s">
        <v>9647</v>
      </c>
      <c r="P284" s="141" t="s">
        <v>9648</v>
      </c>
      <c r="Q284" s="122" t="s">
        <v>3369</v>
      </c>
      <c r="R284" s="142">
        <v>37</v>
      </c>
      <c r="S284" s="122" t="s">
        <v>9649</v>
      </c>
      <c r="U284" s="122" t="s">
        <v>3538</v>
      </c>
      <c r="W284" s="122" t="s">
        <v>246</v>
      </c>
      <c r="X284" s="122" t="s">
        <v>325</v>
      </c>
      <c r="Z284" s="122" t="s">
        <v>250</v>
      </c>
      <c r="AB284" s="122" t="s">
        <v>250</v>
      </c>
      <c r="AD284" s="122" t="s">
        <v>250</v>
      </c>
      <c r="AE284" s="122" t="s">
        <v>235</v>
      </c>
      <c r="AF284" s="122" t="s">
        <v>9650</v>
      </c>
      <c r="AG284" s="122" t="s">
        <v>537</v>
      </c>
      <c r="AH284" s="122" t="s">
        <v>253</v>
      </c>
      <c r="AI284" s="122" t="s">
        <v>9651</v>
      </c>
      <c r="AJ284" s="122" t="s">
        <v>9652</v>
      </c>
      <c r="AK284" s="122" t="s">
        <v>253</v>
      </c>
      <c r="AL284" s="122" t="s">
        <v>253</v>
      </c>
      <c r="AM284" s="122" t="s">
        <v>253</v>
      </c>
      <c r="AN284" s="122" t="s">
        <v>253</v>
      </c>
      <c r="AO284" s="141" t="s">
        <v>247</v>
      </c>
      <c r="AP284" s="141" t="s">
        <v>247</v>
      </c>
      <c r="AQ284" s="141" t="s">
        <v>247</v>
      </c>
      <c r="AR284" s="141" t="s">
        <v>253</v>
      </c>
      <c r="AS284" s="141" t="s">
        <v>601</v>
      </c>
      <c r="AT284" s="141" t="s">
        <v>601</v>
      </c>
      <c r="AU284" s="141" t="s">
        <v>258</v>
      </c>
      <c r="AV284" s="122" t="s">
        <v>259</v>
      </c>
      <c r="AW284" s="122" t="s">
        <v>260</v>
      </c>
      <c r="AY284" s="141" t="s">
        <v>253</v>
      </c>
      <c r="AZ284" s="122" t="s">
        <v>9653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37</v>
      </c>
      <c r="BJ284" s="123">
        <v>42233</v>
      </c>
      <c r="BK284" s="139" t="s">
        <v>264</v>
      </c>
      <c r="BL284" s="140">
        <v>247.23</v>
      </c>
      <c r="BM284" s="122">
        <v>34</v>
      </c>
    </row>
    <row r="285" spans="1:65" x14ac:dyDescent="0.25">
      <c r="A285" s="122" t="s">
        <v>6489</v>
      </c>
      <c r="B285" s="122" t="s">
        <v>9654</v>
      </c>
      <c r="C285" s="122" t="s">
        <v>9655</v>
      </c>
      <c r="D285" s="122" t="s">
        <v>9656</v>
      </c>
      <c r="E285" s="123">
        <v>42226</v>
      </c>
      <c r="F285" s="122" t="s">
        <v>9657</v>
      </c>
      <c r="G285" s="122" t="s">
        <v>235</v>
      </c>
      <c r="H285" s="122" t="s">
        <v>9658</v>
      </c>
      <c r="I285" s="122" t="s">
        <v>9659</v>
      </c>
      <c r="J285" s="122" t="s">
        <v>2116</v>
      </c>
      <c r="K285" s="122" t="s">
        <v>3385</v>
      </c>
      <c r="L285" s="122" t="s">
        <v>3386</v>
      </c>
      <c r="M285" s="122" t="s">
        <v>3405</v>
      </c>
      <c r="O285" s="141" t="s">
        <v>1253</v>
      </c>
      <c r="P285" s="141" t="s">
        <v>9660</v>
      </c>
      <c r="Q285" s="122" t="s">
        <v>3389</v>
      </c>
      <c r="R285" s="142">
        <v>38</v>
      </c>
      <c r="S285" s="122" t="s">
        <v>9661</v>
      </c>
      <c r="U285" s="122" t="s">
        <v>3538</v>
      </c>
      <c r="W285" s="122" t="s">
        <v>246</v>
      </c>
      <c r="X285" s="122" t="s">
        <v>853</v>
      </c>
      <c r="Y285" s="141" t="s">
        <v>2979</v>
      </c>
      <c r="Z285" s="122" t="s">
        <v>9662</v>
      </c>
      <c r="AA285" s="141" t="s">
        <v>2133</v>
      </c>
      <c r="AB285" s="122" t="s">
        <v>3489</v>
      </c>
      <c r="AC285" s="141" t="s">
        <v>1762</v>
      </c>
      <c r="AD285" s="122" t="s">
        <v>249</v>
      </c>
      <c r="AE285" s="122" t="s">
        <v>235</v>
      </c>
      <c r="AF285" s="122" t="s">
        <v>9663</v>
      </c>
      <c r="AG285" s="122" t="s">
        <v>638</v>
      </c>
      <c r="AH285" s="122" t="s">
        <v>253</v>
      </c>
      <c r="AI285" s="122" t="s">
        <v>9664</v>
      </c>
      <c r="AJ285" s="122" t="s">
        <v>9665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253</v>
      </c>
      <c r="AR285" s="141" t="s">
        <v>253</v>
      </c>
      <c r="AS285" s="141" t="s">
        <v>601</v>
      </c>
      <c r="AT285" s="141" t="s">
        <v>258</v>
      </c>
      <c r="AU285" s="141" t="s">
        <v>258</v>
      </c>
      <c r="AV285" s="122" t="s">
        <v>259</v>
      </c>
      <c r="AW285" s="122" t="s">
        <v>260</v>
      </c>
      <c r="AY285" s="141" t="s">
        <v>253</v>
      </c>
      <c r="AZ285" s="122" t="s">
        <v>9666</v>
      </c>
      <c r="BA285" s="122" t="s">
        <v>262</v>
      </c>
      <c r="BB285" s="122" t="s">
        <v>9667</v>
      </c>
      <c r="BC285" s="141" t="s">
        <v>312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38</v>
      </c>
      <c r="BJ285" s="123">
        <v>42239</v>
      </c>
      <c r="BK285" s="139" t="s">
        <v>606</v>
      </c>
      <c r="BM285" s="122">
        <v>34</v>
      </c>
    </row>
    <row r="286" spans="1:65" x14ac:dyDescent="0.25">
      <c r="A286" s="122" t="s">
        <v>6489</v>
      </c>
      <c r="B286" s="122" t="s">
        <v>9668</v>
      </c>
      <c r="C286" s="122" t="s">
        <v>9669</v>
      </c>
      <c r="D286" s="122" t="s">
        <v>9670</v>
      </c>
      <c r="E286" s="123">
        <v>42226</v>
      </c>
      <c r="F286" s="122" t="s">
        <v>722</v>
      </c>
      <c r="G286" s="122" t="s">
        <v>235</v>
      </c>
      <c r="H286" s="122" t="s">
        <v>9671</v>
      </c>
      <c r="I286" s="122" t="s">
        <v>9672</v>
      </c>
      <c r="J286" s="122" t="s">
        <v>1053</v>
      </c>
      <c r="K286" s="122" t="s">
        <v>3385</v>
      </c>
      <c r="L286" s="122" t="s">
        <v>3554</v>
      </c>
      <c r="M286" s="122" t="s">
        <v>3555</v>
      </c>
      <c r="O286" s="141" t="s">
        <v>1253</v>
      </c>
      <c r="P286" s="141" t="s">
        <v>9673</v>
      </c>
      <c r="Q286" s="122" t="s">
        <v>3389</v>
      </c>
      <c r="R286" s="142">
        <v>39</v>
      </c>
      <c r="S286" s="122" t="s">
        <v>9674</v>
      </c>
      <c r="U286" s="122" t="s">
        <v>3538</v>
      </c>
      <c r="W286" s="122" t="s">
        <v>246</v>
      </c>
      <c r="X286" s="122" t="s">
        <v>853</v>
      </c>
      <c r="Y286" s="141" t="s">
        <v>740</v>
      </c>
      <c r="Z286" s="122" t="s">
        <v>9675</v>
      </c>
      <c r="AA286" s="141" t="s">
        <v>2105</v>
      </c>
      <c r="AB286" s="122" t="s">
        <v>9676</v>
      </c>
      <c r="AC286" s="141" t="s">
        <v>2429</v>
      </c>
      <c r="AD286" s="122" t="s">
        <v>9677</v>
      </c>
      <c r="AE286" s="122" t="s">
        <v>235</v>
      </c>
      <c r="AF286" s="122" t="s">
        <v>9678</v>
      </c>
      <c r="AG286" s="122" t="s">
        <v>537</v>
      </c>
      <c r="AH286" s="122" t="s">
        <v>253</v>
      </c>
      <c r="AI286" s="122" t="s">
        <v>9679</v>
      </c>
      <c r="AJ286" s="122" t="s">
        <v>9680</v>
      </c>
      <c r="AK286" s="122" t="s">
        <v>253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247</v>
      </c>
      <c r="AR286" s="141" t="s">
        <v>247</v>
      </c>
      <c r="AS286" s="141" t="s">
        <v>361</v>
      </c>
      <c r="AT286" s="141" t="s">
        <v>601</v>
      </c>
      <c r="AU286" s="141" t="s">
        <v>601</v>
      </c>
      <c r="AV286" s="122" t="s">
        <v>259</v>
      </c>
      <c r="AW286" s="122" t="s">
        <v>260</v>
      </c>
      <c r="AY286" s="141" t="s">
        <v>253</v>
      </c>
      <c r="AZ286" s="122" t="s">
        <v>9681</v>
      </c>
      <c r="BA286" s="122" t="s">
        <v>262</v>
      </c>
      <c r="BB286" s="122" t="s">
        <v>9682</v>
      </c>
      <c r="BC286" s="141" t="s">
        <v>312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39</v>
      </c>
      <c r="BJ286" s="123">
        <v>42239</v>
      </c>
      <c r="BK286" s="139" t="s">
        <v>606</v>
      </c>
      <c r="BM286" s="122">
        <v>34</v>
      </c>
    </row>
    <row r="287" spans="1:65" x14ac:dyDescent="0.25">
      <c r="A287" s="122" t="s">
        <v>6489</v>
      </c>
      <c r="B287" s="122" t="s">
        <v>9683</v>
      </c>
      <c r="C287" s="122" t="s">
        <v>9684</v>
      </c>
      <c r="D287" s="122" t="s">
        <v>9685</v>
      </c>
      <c r="E287" s="123">
        <v>42226</v>
      </c>
      <c r="F287" s="122" t="s">
        <v>480</v>
      </c>
      <c r="G287" s="122" t="s">
        <v>235</v>
      </c>
      <c r="H287" s="122" t="s">
        <v>9686</v>
      </c>
      <c r="I287" s="122" t="s">
        <v>9687</v>
      </c>
      <c r="K287" s="122" t="s">
        <v>3452</v>
      </c>
      <c r="L287" s="122" t="s">
        <v>3453</v>
      </c>
      <c r="M287" s="122" t="s">
        <v>3454</v>
      </c>
      <c r="O287" s="141" t="s">
        <v>1055</v>
      </c>
      <c r="P287" s="141" t="s">
        <v>9688</v>
      </c>
      <c r="Q287" s="122" t="s">
        <v>3389</v>
      </c>
      <c r="R287" s="142">
        <v>40</v>
      </c>
      <c r="S287" s="122" t="s">
        <v>9689</v>
      </c>
      <c r="U287" s="122" t="s">
        <v>3538</v>
      </c>
      <c r="W287" s="122" t="s">
        <v>246</v>
      </c>
      <c r="X287" s="122" t="s">
        <v>853</v>
      </c>
      <c r="Y287" s="141" t="s">
        <v>534</v>
      </c>
      <c r="Z287" s="122" t="s">
        <v>9690</v>
      </c>
      <c r="AA287" s="141" t="s">
        <v>1423</v>
      </c>
      <c r="AB287" s="122" t="s">
        <v>9690</v>
      </c>
      <c r="AC287" s="141" t="s">
        <v>1398</v>
      </c>
      <c r="AD287" s="122" t="s">
        <v>9691</v>
      </c>
      <c r="AE287" s="122" t="s">
        <v>235</v>
      </c>
      <c r="AF287" s="122" t="s">
        <v>9692</v>
      </c>
      <c r="AG287" s="122" t="s">
        <v>537</v>
      </c>
      <c r="AH287" s="122" t="s">
        <v>253</v>
      </c>
      <c r="AI287" s="122" t="s">
        <v>9693</v>
      </c>
      <c r="AJ287" s="122" t="s">
        <v>9694</v>
      </c>
      <c r="AK287" s="122" t="s">
        <v>253</v>
      </c>
      <c r="AL287" s="122" t="s">
        <v>253</v>
      </c>
      <c r="AM287" s="122" t="s">
        <v>253</v>
      </c>
      <c r="AN287" s="122" t="s">
        <v>253</v>
      </c>
      <c r="AO287" s="141" t="s">
        <v>253</v>
      </c>
      <c r="AP287" s="141" t="s">
        <v>253</v>
      </c>
      <c r="AQ287" s="141" t="s">
        <v>247</v>
      </c>
      <c r="AR287" s="141" t="s">
        <v>253</v>
      </c>
      <c r="AS287" s="141" t="s">
        <v>361</v>
      </c>
      <c r="AT287" s="141" t="s">
        <v>601</v>
      </c>
      <c r="AU287" s="141" t="s">
        <v>258</v>
      </c>
      <c r="AV287" s="122" t="s">
        <v>259</v>
      </c>
      <c r="AW287" s="122" t="s">
        <v>260</v>
      </c>
      <c r="AY287" s="141" t="s">
        <v>253</v>
      </c>
      <c r="AZ287" s="122" t="s">
        <v>9695</v>
      </c>
      <c r="BA287" s="122" t="s">
        <v>262</v>
      </c>
      <c r="BB287" s="122" t="s">
        <v>262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40</v>
      </c>
      <c r="BJ287" s="123">
        <v>42230</v>
      </c>
      <c r="BK287" s="139" t="s">
        <v>264</v>
      </c>
      <c r="BL287" s="140">
        <v>71.39</v>
      </c>
      <c r="BM287" s="122">
        <v>33</v>
      </c>
    </row>
    <row r="288" spans="1:65" x14ac:dyDescent="0.25">
      <c r="A288" s="122" t="s">
        <v>6489</v>
      </c>
      <c r="B288" s="122" t="s">
        <v>9696</v>
      </c>
      <c r="C288" s="122" t="s">
        <v>9697</v>
      </c>
      <c r="D288" s="122" t="s">
        <v>9698</v>
      </c>
      <c r="E288" s="123">
        <v>42226</v>
      </c>
      <c r="F288" s="122" t="s">
        <v>877</v>
      </c>
      <c r="G288" s="122" t="s">
        <v>235</v>
      </c>
      <c r="H288" s="122" t="s">
        <v>9699</v>
      </c>
      <c r="I288" s="122" t="s">
        <v>4156</v>
      </c>
      <c r="J288" s="122" t="s">
        <v>9700</v>
      </c>
      <c r="K288" s="122" t="s">
        <v>3452</v>
      </c>
      <c r="L288" s="122" t="s">
        <v>3453</v>
      </c>
      <c r="M288" s="122" t="s">
        <v>3454</v>
      </c>
      <c r="O288" s="141" t="s">
        <v>665</v>
      </c>
      <c r="P288" s="141" t="s">
        <v>9701</v>
      </c>
      <c r="Q288" s="122" t="s">
        <v>3389</v>
      </c>
      <c r="R288" s="142">
        <v>41</v>
      </c>
      <c r="S288" s="122" t="s">
        <v>9702</v>
      </c>
      <c r="U288" s="122" t="s">
        <v>3538</v>
      </c>
      <c r="W288" s="122" t="s">
        <v>246</v>
      </c>
      <c r="X288" s="122" t="s">
        <v>590</v>
      </c>
      <c r="Y288" s="141" t="s">
        <v>4229</v>
      </c>
      <c r="Z288" s="122" t="s">
        <v>1144</v>
      </c>
      <c r="AA288" s="141" t="s">
        <v>1596</v>
      </c>
      <c r="AB288" s="122" t="s">
        <v>9703</v>
      </c>
      <c r="AC288" s="141" t="s">
        <v>742</v>
      </c>
      <c r="AD288" s="122" t="s">
        <v>9690</v>
      </c>
      <c r="AE288" s="122" t="s">
        <v>235</v>
      </c>
      <c r="AF288" s="122" t="s">
        <v>9704</v>
      </c>
      <c r="AG288" s="122" t="s">
        <v>537</v>
      </c>
      <c r="AH288" s="122" t="s">
        <v>253</v>
      </c>
      <c r="AI288" s="122" t="s">
        <v>9705</v>
      </c>
      <c r="AJ288" s="122" t="s">
        <v>9706</v>
      </c>
      <c r="AK288" s="122" t="s">
        <v>253</v>
      </c>
      <c r="AL288" s="122" t="s">
        <v>253</v>
      </c>
      <c r="AM288" s="122" t="s">
        <v>253</v>
      </c>
      <c r="AN288" s="122" t="s">
        <v>253</v>
      </c>
      <c r="AO288" s="141" t="s">
        <v>247</v>
      </c>
      <c r="AP288" s="141" t="s">
        <v>247</v>
      </c>
      <c r="AQ288" s="141" t="s">
        <v>247</v>
      </c>
      <c r="AR288" s="141" t="s">
        <v>253</v>
      </c>
      <c r="AS288" s="141" t="s">
        <v>601</v>
      </c>
      <c r="AT288" s="141" t="s">
        <v>601</v>
      </c>
      <c r="AU288" s="141" t="s">
        <v>258</v>
      </c>
      <c r="AV288" s="122" t="s">
        <v>259</v>
      </c>
      <c r="AW288" s="122" t="s">
        <v>260</v>
      </c>
      <c r="AY288" s="141" t="s">
        <v>253</v>
      </c>
      <c r="AZ288" s="122" t="s">
        <v>9707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41</v>
      </c>
      <c r="BJ288" s="123">
        <v>42239</v>
      </c>
      <c r="BK288" s="139" t="s">
        <v>606</v>
      </c>
      <c r="BM288" s="122">
        <v>34</v>
      </c>
    </row>
    <row r="289" spans="1:66" x14ac:dyDescent="0.25">
      <c r="A289" s="122" t="s">
        <v>6489</v>
      </c>
      <c r="B289" s="122" t="s">
        <v>9708</v>
      </c>
      <c r="C289" s="122" t="s">
        <v>9709</v>
      </c>
      <c r="D289" s="122" t="s">
        <v>9710</v>
      </c>
      <c r="E289" s="123">
        <v>42226</v>
      </c>
      <c r="F289" s="122" t="s">
        <v>2072</v>
      </c>
      <c r="G289" s="122" t="s">
        <v>235</v>
      </c>
      <c r="H289" s="122" t="s">
        <v>9711</v>
      </c>
      <c r="I289" s="122" t="s">
        <v>9712</v>
      </c>
      <c r="J289" s="122" t="s">
        <v>1710</v>
      </c>
      <c r="K289" s="122" t="s">
        <v>3385</v>
      </c>
      <c r="L289" s="122" t="s">
        <v>3386</v>
      </c>
      <c r="M289" s="122" t="s">
        <v>3405</v>
      </c>
      <c r="Q289" s="122" t="s">
        <v>3389</v>
      </c>
      <c r="R289" s="142">
        <v>42</v>
      </c>
      <c r="S289" s="122" t="s">
        <v>9713</v>
      </c>
      <c r="U289" s="122" t="s">
        <v>3538</v>
      </c>
      <c r="W289" s="122" t="s">
        <v>246</v>
      </c>
      <c r="X289" s="122" t="s">
        <v>739</v>
      </c>
      <c r="Z289" s="122" t="s">
        <v>250</v>
      </c>
      <c r="AB289" s="122" t="s">
        <v>250</v>
      </c>
      <c r="AD289" s="122" t="s">
        <v>250</v>
      </c>
      <c r="AE289" s="122" t="s">
        <v>235</v>
      </c>
      <c r="AF289" s="122" t="s">
        <v>9714</v>
      </c>
      <c r="AG289" s="122" t="s">
        <v>537</v>
      </c>
      <c r="AH289" s="122" t="s">
        <v>5913</v>
      </c>
      <c r="AI289" s="122" t="s">
        <v>9715</v>
      </c>
      <c r="AJ289" s="122" t="s">
        <v>9716</v>
      </c>
      <c r="AK289" s="122" t="s">
        <v>253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247</v>
      </c>
      <c r="AQ289" s="141" t="s">
        <v>253</v>
      </c>
      <c r="AR289" s="141" t="s">
        <v>253</v>
      </c>
      <c r="AS289" s="141" t="s">
        <v>601</v>
      </c>
      <c r="AT289" s="141" t="s">
        <v>258</v>
      </c>
      <c r="AU289" s="141" t="s">
        <v>258</v>
      </c>
      <c r="AV289" s="122" t="s">
        <v>259</v>
      </c>
      <c r="AW289" s="122" t="s">
        <v>260</v>
      </c>
      <c r="AY289" s="141" t="s">
        <v>253</v>
      </c>
      <c r="AZ289" s="122" t="s">
        <v>9717</v>
      </c>
      <c r="BA289" s="122" t="s">
        <v>262</v>
      </c>
      <c r="BB289" s="122" t="s">
        <v>262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42</v>
      </c>
      <c r="BJ289" s="123">
        <v>42239</v>
      </c>
      <c r="BK289" s="139" t="s">
        <v>606</v>
      </c>
      <c r="BM289" s="122">
        <v>34</v>
      </c>
    </row>
    <row r="290" spans="1:66" x14ac:dyDescent="0.25">
      <c r="A290" s="122" t="s">
        <v>6489</v>
      </c>
      <c r="B290" s="122" t="s">
        <v>9718</v>
      </c>
      <c r="C290" s="122" t="s">
        <v>9719</v>
      </c>
      <c r="D290" s="122" t="s">
        <v>9720</v>
      </c>
      <c r="E290" s="123">
        <v>42226</v>
      </c>
      <c r="F290" s="122" t="s">
        <v>9721</v>
      </c>
      <c r="G290" s="122" t="s">
        <v>235</v>
      </c>
      <c r="H290" s="122" t="s">
        <v>9722</v>
      </c>
      <c r="I290" s="122" t="s">
        <v>9723</v>
      </c>
      <c r="K290" s="122" t="s">
        <v>3452</v>
      </c>
      <c r="L290" s="122" t="s">
        <v>3453</v>
      </c>
      <c r="M290" s="122" t="s">
        <v>3454</v>
      </c>
      <c r="O290" s="141" t="s">
        <v>494</v>
      </c>
      <c r="P290" s="141" t="s">
        <v>9724</v>
      </c>
      <c r="Q290" s="122" t="s">
        <v>3389</v>
      </c>
      <c r="R290" s="142">
        <v>43</v>
      </c>
      <c r="S290" s="122" t="s">
        <v>9725</v>
      </c>
      <c r="U290" s="122" t="s">
        <v>3538</v>
      </c>
      <c r="W290" s="122" t="s">
        <v>246</v>
      </c>
      <c r="X290" s="122" t="s">
        <v>853</v>
      </c>
      <c r="Y290" s="141" t="s">
        <v>352</v>
      </c>
      <c r="Z290" s="122" t="s">
        <v>571</v>
      </c>
      <c r="AA290" s="141" t="s">
        <v>705</v>
      </c>
      <c r="AB290" s="122" t="s">
        <v>571</v>
      </c>
      <c r="AC290" s="141" t="s">
        <v>511</v>
      </c>
      <c r="AD290" s="122" t="s">
        <v>9726</v>
      </c>
      <c r="AE290" s="122" t="s">
        <v>235</v>
      </c>
      <c r="AF290" s="122" t="s">
        <v>9727</v>
      </c>
      <c r="AG290" s="122" t="s">
        <v>537</v>
      </c>
      <c r="AH290" s="122" t="s">
        <v>253</v>
      </c>
      <c r="AI290" s="122" t="s">
        <v>9728</v>
      </c>
      <c r="AJ290" s="122" t="s">
        <v>9729</v>
      </c>
      <c r="AK290" s="122" t="s">
        <v>253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253</v>
      </c>
      <c r="AR290" s="141" t="s">
        <v>247</v>
      </c>
      <c r="AS290" s="141" t="s">
        <v>601</v>
      </c>
      <c r="AT290" s="141" t="s">
        <v>258</v>
      </c>
      <c r="AU290" s="141" t="s">
        <v>257</v>
      </c>
      <c r="AV290" s="122" t="s">
        <v>259</v>
      </c>
      <c r="AW290" s="122" t="s">
        <v>260</v>
      </c>
      <c r="AY290" s="141" t="s">
        <v>253</v>
      </c>
      <c r="AZ290" s="122" t="s">
        <v>9730</v>
      </c>
      <c r="BA290" s="122" t="s">
        <v>9731</v>
      </c>
      <c r="BB290" s="122" t="s">
        <v>9732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43</v>
      </c>
      <c r="BJ290" s="123">
        <v>42233</v>
      </c>
      <c r="BK290" s="139" t="s">
        <v>264</v>
      </c>
      <c r="BL290" s="140">
        <v>164.16</v>
      </c>
      <c r="BM290" s="122">
        <v>34</v>
      </c>
    </row>
    <row r="291" spans="1:66" x14ac:dyDescent="0.25">
      <c r="A291" s="122" t="s">
        <v>6489</v>
      </c>
      <c r="B291" s="122" t="s">
        <v>9733</v>
      </c>
      <c r="C291" s="122" t="s">
        <v>9734</v>
      </c>
      <c r="D291" s="122" t="s">
        <v>9735</v>
      </c>
      <c r="E291" s="123">
        <v>42226</v>
      </c>
      <c r="F291" s="122" t="s">
        <v>1698</v>
      </c>
      <c r="G291" s="122" t="s">
        <v>235</v>
      </c>
      <c r="H291" s="122" t="s">
        <v>9736</v>
      </c>
      <c r="I291" s="122" t="s">
        <v>9737</v>
      </c>
      <c r="K291" s="122" t="s">
        <v>3452</v>
      </c>
      <c r="L291" s="122" t="s">
        <v>3453</v>
      </c>
      <c r="M291" s="122" t="s">
        <v>3454</v>
      </c>
      <c r="O291" s="141" t="s">
        <v>780</v>
      </c>
      <c r="P291" s="141" t="s">
        <v>9738</v>
      </c>
      <c r="Q291" s="122" t="s">
        <v>3389</v>
      </c>
      <c r="R291" s="142">
        <v>44</v>
      </c>
      <c r="S291" s="122" t="s">
        <v>9739</v>
      </c>
      <c r="U291" s="122" t="s">
        <v>3538</v>
      </c>
      <c r="W291" s="122" t="s">
        <v>246</v>
      </c>
      <c r="X291" s="122" t="s">
        <v>853</v>
      </c>
      <c r="Y291" s="141" t="s">
        <v>591</v>
      </c>
      <c r="Z291" s="122" t="s">
        <v>3697</v>
      </c>
      <c r="AA291" s="141" t="s">
        <v>3574</v>
      </c>
      <c r="AB291" s="122" t="s">
        <v>7607</v>
      </c>
      <c r="AD291" s="122" t="s">
        <v>250</v>
      </c>
      <c r="AE291" s="122" t="s">
        <v>235</v>
      </c>
      <c r="AF291" s="122" t="s">
        <v>9740</v>
      </c>
      <c r="AG291" s="122" t="s">
        <v>537</v>
      </c>
      <c r="AH291" s="122" t="s">
        <v>253</v>
      </c>
      <c r="AI291" s="122" t="s">
        <v>9741</v>
      </c>
      <c r="AJ291" s="122" t="s">
        <v>3700</v>
      </c>
      <c r="AK291" s="122" t="s">
        <v>253</v>
      </c>
      <c r="AL291" s="122" t="s">
        <v>253</v>
      </c>
      <c r="AM291" s="122" t="s">
        <v>253</v>
      </c>
      <c r="AN291" s="122" t="s">
        <v>253</v>
      </c>
      <c r="AO291" s="141" t="s">
        <v>253</v>
      </c>
      <c r="AP291" s="141" t="s">
        <v>253</v>
      </c>
      <c r="AQ291" s="141" t="s">
        <v>247</v>
      </c>
      <c r="AR291" s="141" t="s">
        <v>253</v>
      </c>
      <c r="AS291" s="141" t="s">
        <v>361</v>
      </c>
      <c r="AT291" s="141" t="s">
        <v>601</v>
      </c>
      <c r="AU291" s="141" t="s">
        <v>258</v>
      </c>
      <c r="AV291" s="122" t="s">
        <v>259</v>
      </c>
      <c r="AW291" s="122" t="s">
        <v>260</v>
      </c>
      <c r="AY291" s="141" t="s">
        <v>253</v>
      </c>
      <c r="AZ291" s="122" t="s">
        <v>9742</v>
      </c>
      <c r="BA291" s="122" t="s">
        <v>262</v>
      </c>
      <c r="BB291" s="122" t="s">
        <v>262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44</v>
      </c>
      <c r="BJ291" s="123">
        <v>42239</v>
      </c>
      <c r="BK291" s="139" t="s">
        <v>606</v>
      </c>
      <c r="BM291" s="122">
        <v>34</v>
      </c>
    </row>
    <row r="292" spans="1:66" x14ac:dyDescent="0.25">
      <c r="A292" s="122" t="s">
        <v>6489</v>
      </c>
      <c r="B292" s="122" t="s">
        <v>9743</v>
      </c>
      <c r="C292" s="122" t="s">
        <v>9744</v>
      </c>
      <c r="D292" s="122" t="s">
        <v>9745</v>
      </c>
      <c r="E292" s="123">
        <v>42226</v>
      </c>
      <c r="F292" s="122" t="s">
        <v>7268</v>
      </c>
      <c r="G292" s="122" t="s">
        <v>235</v>
      </c>
      <c r="H292" s="122" t="s">
        <v>9746</v>
      </c>
      <c r="I292" s="122" t="s">
        <v>9747</v>
      </c>
      <c r="K292" s="122" t="s">
        <v>3385</v>
      </c>
      <c r="L292" s="122" t="s">
        <v>3386</v>
      </c>
      <c r="M292" s="122" t="s">
        <v>3405</v>
      </c>
      <c r="O292" s="141" t="s">
        <v>273</v>
      </c>
      <c r="P292" s="141" t="s">
        <v>9748</v>
      </c>
      <c r="Q292" s="122" t="s">
        <v>3389</v>
      </c>
      <c r="R292" s="142">
        <v>45</v>
      </c>
      <c r="S292" s="122" t="s">
        <v>9749</v>
      </c>
      <c r="T292" s="122" t="s">
        <v>9750</v>
      </c>
      <c r="U292" s="122" t="s">
        <v>3538</v>
      </c>
      <c r="W292" s="122" t="s">
        <v>246</v>
      </c>
      <c r="X292" s="122" t="s">
        <v>2657</v>
      </c>
      <c r="Y292" s="141" t="s">
        <v>2979</v>
      </c>
      <c r="Z292" s="122" t="s">
        <v>9751</v>
      </c>
      <c r="AA292" s="141" t="s">
        <v>328</v>
      </c>
      <c r="AB292" s="122" t="s">
        <v>9752</v>
      </c>
      <c r="AC292" s="141" t="s">
        <v>901</v>
      </c>
      <c r="AD292" s="122" t="s">
        <v>9753</v>
      </c>
      <c r="AE292" s="122" t="s">
        <v>235</v>
      </c>
      <c r="AF292" s="122" t="s">
        <v>9754</v>
      </c>
      <c r="AG292" s="122" t="s">
        <v>253</v>
      </c>
      <c r="AH292" s="122" t="s">
        <v>253</v>
      </c>
      <c r="AI292" s="122" t="s">
        <v>9755</v>
      </c>
      <c r="AJ292" s="122" t="s">
        <v>253</v>
      </c>
      <c r="AK292" s="122" t="s">
        <v>9756</v>
      </c>
      <c r="AL292" s="122" t="s">
        <v>253</v>
      </c>
      <c r="AM292" s="122" t="s">
        <v>253</v>
      </c>
      <c r="AN292" s="122" t="s">
        <v>253</v>
      </c>
      <c r="AO292" s="141" t="s">
        <v>247</v>
      </c>
      <c r="AP292" s="141" t="s">
        <v>247</v>
      </c>
      <c r="AQ292" s="141" t="s">
        <v>247</v>
      </c>
      <c r="AR292" s="141" t="s">
        <v>253</v>
      </c>
      <c r="AS292" s="141" t="s">
        <v>601</v>
      </c>
      <c r="AT292" s="141" t="s">
        <v>601</v>
      </c>
      <c r="AU292" s="141" t="s">
        <v>258</v>
      </c>
      <c r="AV292" s="122" t="s">
        <v>259</v>
      </c>
      <c r="AW292" s="122" t="s">
        <v>260</v>
      </c>
      <c r="AX292" s="141" t="s">
        <v>5239</v>
      </c>
      <c r="AY292" s="141" t="s">
        <v>247</v>
      </c>
      <c r="AZ292" s="122" t="s">
        <v>9757</v>
      </c>
      <c r="BA292" s="122" t="s">
        <v>262</v>
      </c>
      <c r="BB292" s="122" t="s">
        <v>262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45</v>
      </c>
      <c r="BJ292" s="123">
        <v>42239</v>
      </c>
      <c r="BK292" s="139" t="s">
        <v>264</v>
      </c>
      <c r="BL292" s="140">
        <v>689.45</v>
      </c>
      <c r="BM292" s="122">
        <v>34</v>
      </c>
    </row>
    <row r="293" spans="1:66" x14ac:dyDescent="0.25">
      <c r="A293" s="122" t="s">
        <v>6489</v>
      </c>
      <c r="B293" s="122" t="s">
        <v>9758</v>
      </c>
      <c r="C293" s="122" t="s">
        <v>9759</v>
      </c>
      <c r="D293" s="122" t="s">
        <v>9760</v>
      </c>
      <c r="E293" s="123">
        <v>42226</v>
      </c>
      <c r="F293" s="122" t="s">
        <v>3910</v>
      </c>
      <c r="G293" s="122" t="s">
        <v>235</v>
      </c>
      <c r="H293" s="122" t="s">
        <v>9761</v>
      </c>
      <c r="I293" s="122" t="s">
        <v>9762</v>
      </c>
      <c r="J293" s="122" t="s">
        <v>9763</v>
      </c>
      <c r="K293" s="122" t="s">
        <v>3533</v>
      </c>
      <c r="L293" s="122" t="s">
        <v>3534</v>
      </c>
      <c r="M293" s="122" t="s">
        <v>3535</v>
      </c>
      <c r="O293" s="141" t="s">
        <v>2038</v>
      </c>
      <c r="P293" s="141" t="s">
        <v>9764</v>
      </c>
      <c r="Q293" s="122" t="s">
        <v>3369</v>
      </c>
      <c r="R293" s="142">
        <v>46</v>
      </c>
      <c r="S293" s="122" t="s">
        <v>9765</v>
      </c>
      <c r="U293" s="122" t="s">
        <v>3538</v>
      </c>
      <c r="W293" s="122" t="s">
        <v>246</v>
      </c>
      <c r="X293" s="122" t="s">
        <v>2624</v>
      </c>
      <c r="Y293" s="141" t="s">
        <v>1440</v>
      </c>
      <c r="Z293" s="122" t="s">
        <v>355</v>
      </c>
      <c r="AA293" s="141" t="s">
        <v>685</v>
      </c>
      <c r="AB293" s="122" t="s">
        <v>355</v>
      </c>
      <c r="AC293" s="141" t="s">
        <v>744</v>
      </c>
      <c r="AD293" s="122" t="s">
        <v>9766</v>
      </c>
      <c r="AE293" s="122" t="s">
        <v>235</v>
      </c>
      <c r="AF293" s="122" t="s">
        <v>9767</v>
      </c>
      <c r="AG293" s="122" t="s">
        <v>537</v>
      </c>
      <c r="AH293" s="122" t="s">
        <v>253</v>
      </c>
      <c r="AI293" s="122" t="s">
        <v>9768</v>
      </c>
      <c r="AJ293" s="122" t="s">
        <v>9769</v>
      </c>
      <c r="AK293" s="122" t="s">
        <v>253</v>
      </c>
      <c r="AL293" s="122" t="s">
        <v>253</v>
      </c>
      <c r="AM293" s="122" t="s">
        <v>253</v>
      </c>
      <c r="AN293" s="122" t="s">
        <v>253</v>
      </c>
      <c r="AO293" s="141" t="s">
        <v>247</v>
      </c>
      <c r="AP293" s="141" t="s">
        <v>247</v>
      </c>
      <c r="AQ293" s="141" t="s">
        <v>247</v>
      </c>
      <c r="AR293" s="141" t="s">
        <v>253</v>
      </c>
      <c r="AS293" s="141" t="s">
        <v>601</v>
      </c>
      <c r="AT293" s="141" t="s">
        <v>601</v>
      </c>
      <c r="AU293" s="141" t="s">
        <v>258</v>
      </c>
      <c r="AV293" s="122" t="s">
        <v>259</v>
      </c>
      <c r="AW293" s="122" t="s">
        <v>260</v>
      </c>
      <c r="AY293" s="141" t="s">
        <v>253</v>
      </c>
      <c r="AZ293" s="122" t="s">
        <v>9770</v>
      </c>
      <c r="BA293" s="122" t="s">
        <v>262</v>
      </c>
      <c r="BB293" s="122" t="s">
        <v>262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46</v>
      </c>
      <c r="BJ293" s="123">
        <v>42239</v>
      </c>
      <c r="BK293" s="139" t="s">
        <v>606</v>
      </c>
      <c r="BM293" s="122">
        <v>34</v>
      </c>
    </row>
    <row r="294" spans="1:66" x14ac:dyDescent="0.25">
      <c r="A294" s="122" t="s">
        <v>6489</v>
      </c>
      <c r="B294" s="122" t="s">
        <v>9771</v>
      </c>
      <c r="C294" s="122" t="s">
        <v>9772</v>
      </c>
      <c r="D294" s="122" t="s">
        <v>9773</v>
      </c>
      <c r="E294" s="123">
        <v>42226</v>
      </c>
      <c r="F294" s="122" t="s">
        <v>9774</v>
      </c>
      <c r="G294" s="122" t="s">
        <v>235</v>
      </c>
      <c r="H294" s="122" t="s">
        <v>9775</v>
      </c>
      <c r="I294" s="122" t="s">
        <v>9776</v>
      </c>
      <c r="K294" s="122" t="s">
        <v>3385</v>
      </c>
      <c r="L294" s="122" t="s">
        <v>3386</v>
      </c>
      <c r="M294" s="122" t="s">
        <v>3486</v>
      </c>
      <c r="O294" s="141" t="s">
        <v>2442</v>
      </c>
      <c r="P294" s="141" t="s">
        <v>9777</v>
      </c>
      <c r="Q294" s="122" t="s">
        <v>3389</v>
      </c>
      <c r="R294" s="142">
        <v>47</v>
      </c>
      <c r="S294" s="122" t="s">
        <v>9778</v>
      </c>
      <c r="U294" s="122" t="s">
        <v>3538</v>
      </c>
      <c r="W294" s="122" t="s">
        <v>246</v>
      </c>
      <c r="X294" s="122" t="s">
        <v>3147</v>
      </c>
      <c r="Y294" s="141" t="s">
        <v>591</v>
      </c>
      <c r="Z294" s="122" t="s">
        <v>9779</v>
      </c>
      <c r="AA294" s="141" t="s">
        <v>595</v>
      </c>
      <c r="AB294" s="122" t="s">
        <v>3205</v>
      </c>
      <c r="AC294" s="141" t="s">
        <v>877</v>
      </c>
      <c r="AD294" s="122" t="s">
        <v>3204</v>
      </c>
      <c r="AE294" s="122" t="s">
        <v>235</v>
      </c>
      <c r="AF294" s="122" t="s">
        <v>9780</v>
      </c>
      <c r="AG294" s="122" t="s">
        <v>537</v>
      </c>
      <c r="AH294" s="122" t="s">
        <v>253</v>
      </c>
      <c r="AI294" s="122" t="s">
        <v>9781</v>
      </c>
      <c r="AJ294" s="122" t="s">
        <v>1487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253</v>
      </c>
      <c r="AP294" s="141" t="s">
        <v>253</v>
      </c>
      <c r="AQ294" s="141" t="s">
        <v>247</v>
      </c>
      <c r="AR294" s="141" t="s">
        <v>253</v>
      </c>
      <c r="AS294" s="141" t="s">
        <v>361</v>
      </c>
      <c r="AT294" s="141" t="s">
        <v>601</v>
      </c>
      <c r="AU294" s="141" t="s">
        <v>258</v>
      </c>
      <c r="AV294" s="122" t="s">
        <v>259</v>
      </c>
      <c r="AW294" s="122" t="s">
        <v>260</v>
      </c>
      <c r="AY294" s="141" t="s">
        <v>253</v>
      </c>
      <c r="AZ294" s="122" t="s">
        <v>9782</v>
      </c>
      <c r="BA294" s="122" t="s">
        <v>262</v>
      </c>
      <c r="BB294" s="122" t="s">
        <v>9782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47</v>
      </c>
      <c r="BJ294" s="123">
        <v>42239</v>
      </c>
      <c r="BK294" s="139" t="s">
        <v>606</v>
      </c>
      <c r="BM294" s="122">
        <v>34</v>
      </c>
    </row>
    <row r="295" spans="1:66" x14ac:dyDescent="0.25">
      <c r="A295" s="122" t="s">
        <v>6513</v>
      </c>
      <c r="B295" s="122" t="s">
        <v>9783</v>
      </c>
      <c r="C295" s="122" t="s">
        <v>9784</v>
      </c>
      <c r="D295" s="122" t="s">
        <v>9785</v>
      </c>
      <c r="E295" s="123">
        <v>42226</v>
      </c>
      <c r="F295" s="122" t="s">
        <v>6720</v>
      </c>
      <c r="G295" s="122" t="s">
        <v>235</v>
      </c>
      <c r="H295" s="122" t="s">
        <v>9786</v>
      </c>
      <c r="I295" s="122" t="s">
        <v>9787</v>
      </c>
      <c r="J295" s="122" t="s">
        <v>1358</v>
      </c>
      <c r="K295" s="122" t="s">
        <v>3385</v>
      </c>
      <c r="L295" s="122" t="s">
        <v>3554</v>
      </c>
      <c r="M295" s="122" t="s">
        <v>3736</v>
      </c>
      <c r="O295" s="141" t="s">
        <v>916</v>
      </c>
      <c r="P295" s="141" t="s">
        <v>9788</v>
      </c>
      <c r="Q295" s="122" t="s">
        <v>3389</v>
      </c>
      <c r="R295" s="142">
        <v>48</v>
      </c>
      <c r="S295" s="122" t="s">
        <v>9789</v>
      </c>
      <c r="T295" s="122" t="s">
        <v>9790</v>
      </c>
      <c r="U295" s="122" t="s">
        <v>3538</v>
      </c>
      <c r="W295" s="122" t="s">
        <v>246</v>
      </c>
      <c r="X295" s="122" t="s">
        <v>442</v>
      </c>
      <c r="Y295" s="141" t="s">
        <v>3230</v>
      </c>
      <c r="Z295" s="122" t="s">
        <v>9791</v>
      </c>
      <c r="AA295" s="141" t="s">
        <v>281</v>
      </c>
      <c r="AB295" s="122" t="s">
        <v>9792</v>
      </c>
      <c r="AC295" s="141" t="s">
        <v>1547</v>
      </c>
      <c r="AD295" s="122" t="s">
        <v>9793</v>
      </c>
      <c r="AE295" s="122" t="s">
        <v>235</v>
      </c>
      <c r="AF295" s="122" t="s">
        <v>9794</v>
      </c>
      <c r="AG295" s="122" t="s">
        <v>253</v>
      </c>
      <c r="AH295" s="122" t="s">
        <v>253</v>
      </c>
      <c r="AI295" s="122" t="s">
        <v>9795</v>
      </c>
      <c r="AJ295" s="122" t="s">
        <v>9796</v>
      </c>
      <c r="AK295" s="122" t="s">
        <v>253</v>
      </c>
      <c r="AL295" s="122" t="s">
        <v>9797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253</v>
      </c>
      <c r="AR295" s="141" t="s">
        <v>253</v>
      </c>
      <c r="AS295" s="141" t="s">
        <v>601</v>
      </c>
      <c r="AT295" s="141" t="s">
        <v>258</v>
      </c>
      <c r="AU295" s="141" t="s">
        <v>258</v>
      </c>
      <c r="AV295" s="122" t="s">
        <v>259</v>
      </c>
      <c r="AW295" s="122" t="s">
        <v>260</v>
      </c>
      <c r="AX295" s="141" t="s">
        <v>1130</v>
      </c>
      <c r="AY295" s="141" t="s">
        <v>247</v>
      </c>
      <c r="AZ295" s="122" t="s">
        <v>9798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48</v>
      </c>
      <c r="BJ295" s="123">
        <v>42239</v>
      </c>
      <c r="BK295" s="139" t="s">
        <v>606</v>
      </c>
      <c r="BM295" s="122">
        <v>34</v>
      </c>
    </row>
    <row r="296" spans="1:66" x14ac:dyDescent="0.25">
      <c r="A296" s="122" t="s">
        <v>6513</v>
      </c>
      <c r="B296" s="122" t="s">
        <v>9799</v>
      </c>
      <c r="C296" s="122" t="s">
        <v>9800</v>
      </c>
      <c r="D296" s="122" t="s">
        <v>9801</v>
      </c>
      <c r="E296" s="123">
        <v>42226</v>
      </c>
      <c r="F296" s="122" t="s">
        <v>9802</v>
      </c>
      <c r="G296" s="122" t="s">
        <v>235</v>
      </c>
      <c r="H296" s="122" t="s">
        <v>9803</v>
      </c>
      <c r="I296" s="122" t="s">
        <v>9804</v>
      </c>
      <c r="J296" s="122" t="s">
        <v>9805</v>
      </c>
      <c r="K296" s="122" t="s">
        <v>3692</v>
      </c>
      <c r="L296" s="122" t="s">
        <v>3693</v>
      </c>
      <c r="M296" s="122" t="s">
        <v>3694</v>
      </c>
      <c r="O296" s="141" t="s">
        <v>273</v>
      </c>
      <c r="P296" s="141" t="s">
        <v>9806</v>
      </c>
      <c r="Q296" s="122" t="s">
        <v>3389</v>
      </c>
      <c r="R296" s="142">
        <v>49</v>
      </c>
      <c r="S296" s="122" t="s">
        <v>9807</v>
      </c>
      <c r="U296" s="122" t="s">
        <v>3538</v>
      </c>
      <c r="W296" s="122" t="s">
        <v>246</v>
      </c>
      <c r="X296" s="122" t="s">
        <v>4409</v>
      </c>
      <c r="Y296" s="141" t="s">
        <v>500</v>
      </c>
      <c r="Z296" s="122" t="s">
        <v>9808</v>
      </c>
      <c r="AA296" s="141" t="s">
        <v>879</v>
      </c>
      <c r="AB296" s="122" t="s">
        <v>9809</v>
      </c>
      <c r="AC296" s="141" t="s">
        <v>1379</v>
      </c>
      <c r="AD296" s="122" t="s">
        <v>9810</v>
      </c>
      <c r="AE296" s="122" t="s">
        <v>235</v>
      </c>
      <c r="AF296" s="122" t="s">
        <v>9811</v>
      </c>
      <c r="AG296" s="122" t="s">
        <v>537</v>
      </c>
      <c r="AH296" s="122" t="s">
        <v>253</v>
      </c>
      <c r="AI296" s="122" t="s">
        <v>9812</v>
      </c>
      <c r="AJ296" s="122" t="s">
        <v>9813</v>
      </c>
      <c r="AK296" s="122" t="s">
        <v>9813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247</v>
      </c>
      <c r="AQ296" s="141" t="s">
        <v>247</v>
      </c>
      <c r="AR296" s="141" t="s">
        <v>253</v>
      </c>
      <c r="AS296" s="141" t="s">
        <v>601</v>
      </c>
      <c r="AT296" s="141" t="s">
        <v>601</v>
      </c>
      <c r="AU296" s="141" t="s">
        <v>258</v>
      </c>
      <c r="AV296" s="122" t="s">
        <v>259</v>
      </c>
      <c r="AW296" s="122" t="s">
        <v>260</v>
      </c>
      <c r="AX296" s="141" t="s">
        <v>9814</v>
      </c>
      <c r="AY296" s="141" t="s">
        <v>247</v>
      </c>
      <c r="AZ296" s="122" t="s">
        <v>9815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49</v>
      </c>
    </row>
    <row r="297" spans="1:66" x14ac:dyDescent="0.25">
      <c r="A297" s="122" t="s">
        <v>6513</v>
      </c>
      <c r="B297" s="122" t="s">
        <v>9816</v>
      </c>
      <c r="C297" s="122" t="s">
        <v>9817</v>
      </c>
      <c r="D297" s="122" t="s">
        <v>9818</v>
      </c>
      <c r="E297" s="123">
        <v>42226</v>
      </c>
      <c r="F297" s="122" t="s">
        <v>2717</v>
      </c>
      <c r="G297" s="122" t="s">
        <v>235</v>
      </c>
      <c r="H297" s="122" t="s">
        <v>448</v>
      </c>
      <c r="I297" s="122" t="s">
        <v>9819</v>
      </c>
      <c r="K297" s="122" t="s">
        <v>3385</v>
      </c>
      <c r="L297" s="122" t="s">
        <v>3386</v>
      </c>
      <c r="M297" s="122" t="s">
        <v>3486</v>
      </c>
      <c r="O297" s="141" t="s">
        <v>494</v>
      </c>
      <c r="P297" s="141" t="s">
        <v>9820</v>
      </c>
      <c r="Q297" s="122" t="s">
        <v>3389</v>
      </c>
      <c r="R297" s="142">
        <v>50</v>
      </c>
      <c r="S297" s="122" t="s">
        <v>9821</v>
      </c>
      <c r="U297" s="122" t="s">
        <v>3538</v>
      </c>
      <c r="W297" s="122" t="s">
        <v>246</v>
      </c>
      <c r="X297" s="122" t="s">
        <v>1057</v>
      </c>
      <c r="Y297" s="141" t="s">
        <v>833</v>
      </c>
      <c r="Z297" s="122" t="s">
        <v>7498</v>
      </c>
      <c r="AB297" s="122" t="s">
        <v>250</v>
      </c>
      <c r="AD297" s="122" t="s">
        <v>250</v>
      </c>
      <c r="AE297" s="122" t="s">
        <v>235</v>
      </c>
      <c r="AF297" s="122" t="s">
        <v>9822</v>
      </c>
      <c r="AG297" s="122" t="s">
        <v>5181</v>
      </c>
      <c r="AH297" s="122" t="s">
        <v>9823</v>
      </c>
      <c r="AI297" s="122" t="s">
        <v>9824</v>
      </c>
      <c r="AJ297" s="122" t="s">
        <v>9825</v>
      </c>
      <c r="AK297" s="122" t="s">
        <v>253</v>
      </c>
      <c r="AL297" s="122" t="s">
        <v>253</v>
      </c>
      <c r="AM297" s="122" t="s">
        <v>253</v>
      </c>
      <c r="AN297" s="122" t="s">
        <v>253</v>
      </c>
      <c r="AO297" s="141" t="s">
        <v>247</v>
      </c>
      <c r="AP297" s="141" t="s">
        <v>247</v>
      </c>
      <c r="AQ297" s="141" t="s">
        <v>247</v>
      </c>
      <c r="AR297" s="141" t="s">
        <v>253</v>
      </c>
      <c r="AS297" s="141" t="s">
        <v>601</v>
      </c>
      <c r="AT297" s="141" t="s">
        <v>601</v>
      </c>
      <c r="AU297" s="141" t="s">
        <v>258</v>
      </c>
      <c r="AV297" s="122" t="s">
        <v>259</v>
      </c>
      <c r="AW297" s="122" t="s">
        <v>260</v>
      </c>
      <c r="AY297" s="141" t="s">
        <v>253</v>
      </c>
      <c r="AZ297" s="122" t="s">
        <v>262</v>
      </c>
      <c r="BA297" s="122" t="s">
        <v>262</v>
      </c>
      <c r="BB297" s="122" t="s">
        <v>9826</v>
      </c>
      <c r="BC297" s="141" t="s">
        <v>312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50</v>
      </c>
      <c r="BJ297" s="123">
        <v>42239</v>
      </c>
      <c r="BK297" s="139" t="s">
        <v>606</v>
      </c>
      <c r="BM297" s="122">
        <v>34</v>
      </c>
    </row>
    <row r="298" spans="1:66" x14ac:dyDescent="0.25">
      <c r="A298" s="122" t="s">
        <v>6513</v>
      </c>
      <c r="B298" s="122" t="s">
        <v>9827</v>
      </c>
      <c r="C298" s="122" t="s">
        <v>9828</v>
      </c>
      <c r="D298" s="122" t="s">
        <v>9829</v>
      </c>
      <c r="E298" s="123">
        <v>42226</v>
      </c>
      <c r="F298" s="122" t="s">
        <v>9830</v>
      </c>
      <c r="G298" s="122" t="s">
        <v>235</v>
      </c>
      <c r="H298" s="122" t="s">
        <v>9831</v>
      </c>
      <c r="I298" s="122" t="s">
        <v>9832</v>
      </c>
      <c r="K298" s="122" t="s">
        <v>3533</v>
      </c>
      <c r="L298" s="122" t="s">
        <v>3534</v>
      </c>
      <c r="M298" s="122" t="s">
        <v>3535</v>
      </c>
      <c r="O298" s="141" t="s">
        <v>613</v>
      </c>
      <c r="P298" s="141" t="s">
        <v>9833</v>
      </c>
      <c r="Q298" s="122" t="s">
        <v>3369</v>
      </c>
      <c r="R298" s="142">
        <v>51</v>
      </c>
      <c r="S298" s="122" t="s">
        <v>9834</v>
      </c>
      <c r="U298" s="122" t="s">
        <v>3538</v>
      </c>
      <c r="W298" s="122" t="s">
        <v>246</v>
      </c>
      <c r="X298" s="122" t="s">
        <v>1324</v>
      </c>
      <c r="Y298" s="141" t="s">
        <v>1209</v>
      </c>
      <c r="Z298" s="122" t="s">
        <v>9835</v>
      </c>
      <c r="AA298" s="141" t="s">
        <v>635</v>
      </c>
      <c r="AB298" s="122" t="s">
        <v>9836</v>
      </c>
      <c r="AC298" s="141" t="s">
        <v>1379</v>
      </c>
      <c r="AD298" s="122" t="s">
        <v>9837</v>
      </c>
      <c r="AE298" s="122" t="s">
        <v>235</v>
      </c>
      <c r="AF298" s="122" t="s">
        <v>9838</v>
      </c>
      <c r="AG298" s="122" t="s">
        <v>537</v>
      </c>
      <c r="AH298" s="122" t="s">
        <v>253</v>
      </c>
      <c r="AI298" s="122" t="s">
        <v>9839</v>
      </c>
      <c r="AJ298" s="122" t="s">
        <v>9840</v>
      </c>
      <c r="AK298" s="122" t="s">
        <v>253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253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257</v>
      </c>
      <c r="AV298" s="122" t="s">
        <v>259</v>
      </c>
      <c r="AW298" s="122" t="s">
        <v>260</v>
      </c>
      <c r="AY298" s="141" t="s">
        <v>253</v>
      </c>
      <c r="AZ298" s="122" t="s">
        <v>9841</v>
      </c>
      <c r="BA298" s="122" t="s">
        <v>262</v>
      </c>
      <c r="BB298" s="122" t="s">
        <v>9842</v>
      </c>
      <c r="BC298" s="141" t="s">
        <v>312</v>
      </c>
      <c r="BD298" s="122" t="s">
        <v>253</v>
      </c>
      <c r="BE298" s="122" t="s">
        <v>263</v>
      </c>
      <c r="BF298" s="122" t="s">
        <v>3547</v>
      </c>
      <c r="BH298" s="122" t="s">
        <v>3538</v>
      </c>
      <c r="BI298" s="142">
        <v>51</v>
      </c>
      <c r="BJ298" s="123">
        <v>42237</v>
      </c>
      <c r="BK298" s="139" t="s">
        <v>264</v>
      </c>
      <c r="BL298" s="140">
        <v>246.71</v>
      </c>
      <c r="BM298" s="122">
        <v>34</v>
      </c>
    </row>
    <row r="299" spans="1:66" x14ac:dyDescent="0.25">
      <c r="A299" s="122" t="s">
        <v>6513</v>
      </c>
      <c r="B299" s="122" t="s">
        <v>9843</v>
      </c>
      <c r="C299" s="122" t="s">
        <v>9844</v>
      </c>
      <c r="D299" s="122" t="s">
        <v>9845</v>
      </c>
      <c r="E299" s="123">
        <v>42226</v>
      </c>
      <c r="F299" s="122" t="s">
        <v>1318</v>
      </c>
      <c r="G299" s="122" t="s">
        <v>235</v>
      </c>
      <c r="H299" s="122" t="s">
        <v>9846</v>
      </c>
      <c r="I299" s="122" t="s">
        <v>9847</v>
      </c>
      <c r="J299" s="122" t="s">
        <v>2158</v>
      </c>
      <c r="K299" s="122" t="s">
        <v>3385</v>
      </c>
      <c r="L299" s="122" t="s">
        <v>3386</v>
      </c>
      <c r="M299" s="122" t="s">
        <v>3486</v>
      </c>
      <c r="O299" s="141" t="s">
        <v>4709</v>
      </c>
      <c r="P299" s="141" t="s">
        <v>9848</v>
      </c>
      <c r="Q299" s="122" t="s">
        <v>3389</v>
      </c>
      <c r="R299" s="142">
        <v>52</v>
      </c>
      <c r="S299" s="122" t="s">
        <v>9849</v>
      </c>
      <c r="U299" s="122" t="s">
        <v>3538</v>
      </c>
      <c r="W299" s="122" t="s">
        <v>246</v>
      </c>
      <c r="X299" s="122" t="s">
        <v>1324</v>
      </c>
      <c r="Y299" s="141" t="s">
        <v>2257</v>
      </c>
      <c r="Z299" s="122" t="s">
        <v>9850</v>
      </c>
      <c r="AA299" s="141" t="s">
        <v>2257</v>
      </c>
      <c r="AB299" s="122" t="s">
        <v>7498</v>
      </c>
      <c r="AC299" s="141" t="s">
        <v>2257</v>
      </c>
      <c r="AD299" s="122" t="s">
        <v>9851</v>
      </c>
      <c r="AE299" s="122" t="s">
        <v>235</v>
      </c>
      <c r="AF299" s="122" t="s">
        <v>9852</v>
      </c>
      <c r="AG299" s="122" t="s">
        <v>537</v>
      </c>
      <c r="AH299" s="122" t="s">
        <v>253</v>
      </c>
      <c r="AI299" s="122" t="s">
        <v>9853</v>
      </c>
      <c r="AJ299" s="122" t="s">
        <v>9854</v>
      </c>
      <c r="AK299" s="122" t="s">
        <v>253</v>
      </c>
      <c r="AL299" s="122" t="s">
        <v>253</v>
      </c>
      <c r="AM299" s="122" t="s">
        <v>253</v>
      </c>
      <c r="AN299" s="122" t="s">
        <v>253</v>
      </c>
      <c r="AO299" s="141" t="s">
        <v>253</v>
      </c>
      <c r="AP299" s="141" t="s">
        <v>253</v>
      </c>
      <c r="AQ299" s="141" t="s">
        <v>247</v>
      </c>
      <c r="AR299" s="141" t="s">
        <v>253</v>
      </c>
      <c r="AS299" s="141" t="s">
        <v>361</v>
      </c>
      <c r="AT299" s="141" t="s">
        <v>601</v>
      </c>
      <c r="AU299" s="141" t="s">
        <v>258</v>
      </c>
      <c r="AV299" s="122" t="s">
        <v>259</v>
      </c>
      <c r="AW299" s="122" t="s">
        <v>260</v>
      </c>
      <c r="AY299" s="141" t="s">
        <v>253</v>
      </c>
      <c r="AZ299" s="122" t="s">
        <v>9855</v>
      </c>
      <c r="BA299" s="122" t="s">
        <v>262</v>
      </c>
      <c r="BB299" s="122" t="s">
        <v>262</v>
      </c>
      <c r="BC299" s="141" t="s">
        <v>312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52</v>
      </c>
      <c r="BJ299" s="123">
        <v>42239</v>
      </c>
      <c r="BK299" s="139" t="s">
        <v>264</v>
      </c>
      <c r="BL299" s="140">
        <v>147</v>
      </c>
      <c r="BM299" s="122">
        <v>34</v>
      </c>
      <c r="BN299" s="122" t="s">
        <v>9856</v>
      </c>
    </row>
    <row r="300" spans="1:66" x14ac:dyDescent="0.25">
      <c r="A300" s="122" t="s">
        <v>6513</v>
      </c>
      <c r="B300" s="122" t="s">
        <v>9857</v>
      </c>
      <c r="C300" s="122" t="s">
        <v>9858</v>
      </c>
      <c r="D300" s="122" t="s">
        <v>9859</v>
      </c>
      <c r="E300" s="123">
        <v>42226</v>
      </c>
      <c r="F300" s="122" t="s">
        <v>2717</v>
      </c>
      <c r="G300" s="122" t="s">
        <v>235</v>
      </c>
      <c r="H300" s="122" t="s">
        <v>9860</v>
      </c>
      <c r="I300" s="122" t="s">
        <v>9861</v>
      </c>
      <c r="J300" s="122" t="s">
        <v>6663</v>
      </c>
      <c r="K300" s="122" t="s">
        <v>3385</v>
      </c>
      <c r="L300" s="122" t="s">
        <v>3386</v>
      </c>
      <c r="M300" s="122" t="s">
        <v>3486</v>
      </c>
      <c r="O300" s="141" t="s">
        <v>6941</v>
      </c>
      <c r="P300" s="141" t="s">
        <v>9862</v>
      </c>
      <c r="Q300" s="122" t="s">
        <v>3389</v>
      </c>
      <c r="R300" s="142">
        <v>53</v>
      </c>
      <c r="S300" s="122" t="s">
        <v>9863</v>
      </c>
      <c r="U300" s="122" t="s">
        <v>3538</v>
      </c>
      <c r="W300" s="122" t="s">
        <v>246</v>
      </c>
      <c r="X300" s="122" t="s">
        <v>1057</v>
      </c>
      <c r="Y300" s="141" t="s">
        <v>1876</v>
      </c>
      <c r="Z300" s="122" t="s">
        <v>6778</v>
      </c>
      <c r="AB300" s="122" t="s">
        <v>250</v>
      </c>
      <c r="AD300" s="122" t="s">
        <v>250</v>
      </c>
      <c r="AE300" s="122" t="s">
        <v>235</v>
      </c>
      <c r="AF300" s="122" t="s">
        <v>9864</v>
      </c>
      <c r="AG300" s="122" t="s">
        <v>537</v>
      </c>
      <c r="AH300" s="122" t="s">
        <v>253</v>
      </c>
      <c r="AI300" s="122" t="s">
        <v>9865</v>
      </c>
      <c r="AJ300" s="122" t="s">
        <v>7433</v>
      </c>
      <c r="AK300" s="122" t="s">
        <v>253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247</v>
      </c>
      <c r="AR300" s="141" t="s">
        <v>253</v>
      </c>
      <c r="AS300" s="141" t="s">
        <v>361</v>
      </c>
      <c r="AT300" s="141" t="s">
        <v>601</v>
      </c>
      <c r="AU300" s="141" t="s">
        <v>258</v>
      </c>
      <c r="AV300" s="122" t="s">
        <v>259</v>
      </c>
      <c r="AW300" s="122" t="s">
        <v>260</v>
      </c>
      <c r="AY300" s="141" t="s">
        <v>253</v>
      </c>
      <c r="AZ300" s="122" t="s">
        <v>9866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53</v>
      </c>
      <c r="BJ300" s="123">
        <v>42239</v>
      </c>
      <c r="BK300" s="139" t="s">
        <v>606</v>
      </c>
      <c r="BM300" s="122">
        <v>34</v>
      </c>
    </row>
    <row r="301" spans="1:66" x14ac:dyDescent="0.25">
      <c r="A301" s="122" t="s">
        <v>6513</v>
      </c>
      <c r="B301" s="122" t="s">
        <v>9867</v>
      </c>
      <c r="C301" s="122" t="s">
        <v>9868</v>
      </c>
      <c r="D301" s="122" t="s">
        <v>9869</v>
      </c>
      <c r="E301" s="123">
        <v>42226</v>
      </c>
      <c r="F301" s="122" t="s">
        <v>9870</v>
      </c>
      <c r="G301" s="122" t="s">
        <v>235</v>
      </c>
      <c r="H301" s="122" t="s">
        <v>9871</v>
      </c>
      <c r="I301" s="122" t="s">
        <v>9872</v>
      </c>
      <c r="K301" s="122" t="s">
        <v>3385</v>
      </c>
      <c r="L301" s="122" t="s">
        <v>3554</v>
      </c>
      <c r="M301" s="122" t="s">
        <v>3570</v>
      </c>
      <c r="O301" s="141" t="s">
        <v>299</v>
      </c>
      <c r="P301" s="141" t="s">
        <v>9873</v>
      </c>
      <c r="Q301" s="122" t="s">
        <v>3389</v>
      </c>
      <c r="R301" s="142">
        <v>54</v>
      </c>
      <c r="S301" s="122" t="s">
        <v>9874</v>
      </c>
      <c r="U301" s="122" t="s">
        <v>3538</v>
      </c>
      <c r="W301" s="122" t="s">
        <v>246</v>
      </c>
      <c r="X301" s="122" t="s">
        <v>1324</v>
      </c>
      <c r="Y301" s="141" t="s">
        <v>455</v>
      </c>
      <c r="Z301" s="122" t="s">
        <v>9875</v>
      </c>
      <c r="AA301" s="141" t="s">
        <v>457</v>
      </c>
      <c r="AB301" s="122" t="s">
        <v>9875</v>
      </c>
      <c r="AC301" s="141" t="s">
        <v>367</v>
      </c>
      <c r="AD301" s="122" t="s">
        <v>9876</v>
      </c>
      <c r="AE301" s="122" t="s">
        <v>235</v>
      </c>
      <c r="AF301" s="122" t="s">
        <v>9877</v>
      </c>
      <c r="AG301" s="122" t="s">
        <v>537</v>
      </c>
      <c r="AH301" s="122" t="s">
        <v>253</v>
      </c>
      <c r="AI301" s="122" t="s">
        <v>9781</v>
      </c>
      <c r="AJ301" s="122" t="s">
        <v>9878</v>
      </c>
      <c r="AK301" s="122" t="s">
        <v>253</v>
      </c>
      <c r="AL301" s="122" t="s">
        <v>253</v>
      </c>
      <c r="AM301" s="122" t="s">
        <v>253</v>
      </c>
      <c r="AN301" s="122" t="s">
        <v>253</v>
      </c>
      <c r="AO301" s="141" t="s">
        <v>253</v>
      </c>
      <c r="AP301" s="141" t="s">
        <v>253</v>
      </c>
      <c r="AQ301" s="141" t="s">
        <v>247</v>
      </c>
      <c r="AR301" s="141" t="s">
        <v>253</v>
      </c>
      <c r="AS301" s="141" t="s">
        <v>361</v>
      </c>
      <c r="AT301" s="141" t="s">
        <v>601</v>
      </c>
      <c r="AU301" s="141" t="s">
        <v>258</v>
      </c>
      <c r="AV301" s="122" t="s">
        <v>259</v>
      </c>
      <c r="AW301" s="122" t="s">
        <v>260</v>
      </c>
      <c r="AY301" s="141" t="s">
        <v>253</v>
      </c>
      <c r="AZ301" s="122" t="s">
        <v>9879</v>
      </c>
      <c r="BA301" s="122" t="s">
        <v>9879</v>
      </c>
      <c r="BB301" s="122" t="s">
        <v>9880</v>
      </c>
      <c r="BC301" s="141" t="s">
        <v>312</v>
      </c>
      <c r="BD301" s="122" t="s">
        <v>253</v>
      </c>
      <c r="BE301" s="122" t="s">
        <v>263</v>
      </c>
      <c r="BF301" s="122" t="s">
        <v>3547</v>
      </c>
      <c r="BH301" s="122" t="s">
        <v>3538</v>
      </c>
      <c r="BI301" s="142">
        <v>54</v>
      </c>
      <c r="BJ301" s="123">
        <v>42233</v>
      </c>
      <c r="BK301" s="139" t="s">
        <v>264</v>
      </c>
      <c r="BL301" s="140">
        <v>87.71</v>
      </c>
      <c r="BM301" s="122">
        <v>34</v>
      </c>
    </row>
    <row r="302" spans="1:66" x14ac:dyDescent="0.25">
      <c r="A302" s="122" t="s">
        <v>6513</v>
      </c>
      <c r="B302" s="122" t="s">
        <v>9881</v>
      </c>
      <c r="C302" s="122" t="s">
        <v>9882</v>
      </c>
      <c r="D302" s="122" t="s">
        <v>9883</v>
      </c>
      <c r="E302" s="123">
        <v>42226</v>
      </c>
      <c r="F302" s="122" t="s">
        <v>367</v>
      </c>
      <c r="G302" s="122" t="s">
        <v>235</v>
      </c>
      <c r="H302" s="122" t="s">
        <v>9884</v>
      </c>
      <c r="I302" s="122" t="s">
        <v>9885</v>
      </c>
      <c r="K302" s="122" t="s">
        <v>3385</v>
      </c>
      <c r="L302" s="122" t="s">
        <v>3386</v>
      </c>
      <c r="M302" s="122" t="s">
        <v>3486</v>
      </c>
      <c r="O302" s="141" t="s">
        <v>299</v>
      </c>
      <c r="P302" s="141" t="s">
        <v>9886</v>
      </c>
      <c r="Q302" s="122" t="s">
        <v>3389</v>
      </c>
      <c r="R302" s="142">
        <v>55</v>
      </c>
      <c r="S302" s="122" t="s">
        <v>9887</v>
      </c>
      <c r="T302" s="122" t="s">
        <v>9888</v>
      </c>
      <c r="U302" s="122" t="s">
        <v>3538</v>
      </c>
      <c r="W302" s="122" t="s">
        <v>246</v>
      </c>
      <c r="X302" s="122" t="s">
        <v>1121</v>
      </c>
      <c r="Y302" s="141" t="s">
        <v>457</v>
      </c>
      <c r="Z302" s="122" t="s">
        <v>9889</v>
      </c>
      <c r="AA302" s="141" t="s">
        <v>367</v>
      </c>
      <c r="AB302" s="122" t="s">
        <v>9890</v>
      </c>
      <c r="AC302" s="141" t="s">
        <v>3344</v>
      </c>
      <c r="AD302" s="122" t="s">
        <v>9891</v>
      </c>
      <c r="AE302" s="122" t="s">
        <v>235</v>
      </c>
      <c r="AF302" s="122" t="s">
        <v>9892</v>
      </c>
      <c r="AG302" s="122" t="s">
        <v>537</v>
      </c>
      <c r="AH302" s="122" t="s">
        <v>253</v>
      </c>
      <c r="AI302" s="122" t="s">
        <v>4288</v>
      </c>
      <c r="AJ302" s="122" t="s">
        <v>9893</v>
      </c>
      <c r="AK302" s="122" t="s">
        <v>253</v>
      </c>
      <c r="AL302" s="122" t="s">
        <v>253</v>
      </c>
      <c r="AM302" s="122" t="s">
        <v>253</v>
      </c>
      <c r="AN302" s="122" t="s">
        <v>253</v>
      </c>
      <c r="AO302" s="141" t="s">
        <v>247</v>
      </c>
      <c r="AP302" s="141" t="s">
        <v>253</v>
      </c>
      <c r="AQ302" s="141" t="s">
        <v>253</v>
      </c>
      <c r="AR302" s="141" t="s">
        <v>253</v>
      </c>
      <c r="AS302" s="141" t="s">
        <v>601</v>
      </c>
      <c r="AT302" s="141" t="s">
        <v>258</v>
      </c>
      <c r="AU302" s="141" t="s">
        <v>258</v>
      </c>
      <c r="AV302" s="122" t="s">
        <v>259</v>
      </c>
      <c r="AW302" s="122" t="s">
        <v>260</v>
      </c>
      <c r="AY302" s="141" t="s">
        <v>253</v>
      </c>
      <c r="AZ302" s="122" t="s">
        <v>9894</v>
      </c>
      <c r="BA302" s="122" t="s">
        <v>262</v>
      </c>
      <c r="BB302" s="122" t="s">
        <v>9895</v>
      </c>
      <c r="BC302" s="141" t="s">
        <v>312</v>
      </c>
      <c r="BD302" s="122" t="s">
        <v>253</v>
      </c>
      <c r="BE302" s="122" t="s">
        <v>263</v>
      </c>
      <c r="BF302" s="122" t="s">
        <v>3547</v>
      </c>
      <c r="BH302" s="122" t="s">
        <v>3538</v>
      </c>
      <c r="BI302" s="142">
        <v>55</v>
      </c>
      <c r="BJ302" s="123">
        <v>42239</v>
      </c>
      <c r="BK302" s="139" t="s">
        <v>264</v>
      </c>
      <c r="BL302" s="140">
        <v>183.58</v>
      </c>
      <c r="BM302" s="122">
        <v>34</v>
      </c>
    </row>
    <row r="303" spans="1:66" x14ac:dyDescent="0.25">
      <c r="A303" s="122" t="s">
        <v>6513</v>
      </c>
      <c r="B303" s="122" t="s">
        <v>9896</v>
      </c>
      <c r="C303" s="122" t="s">
        <v>9897</v>
      </c>
      <c r="D303" s="122" t="s">
        <v>9898</v>
      </c>
      <c r="E303" s="123">
        <v>42226</v>
      </c>
      <c r="F303" s="122" t="s">
        <v>9899</v>
      </c>
      <c r="G303" s="122" t="s">
        <v>235</v>
      </c>
      <c r="H303" s="122" t="s">
        <v>9900</v>
      </c>
      <c r="I303" s="122" t="s">
        <v>9901</v>
      </c>
      <c r="K303" s="122" t="s">
        <v>3452</v>
      </c>
      <c r="L303" s="122" t="s">
        <v>3453</v>
      </c>
      <c r="M303" s="122" t="s">
        <v>3454</v>
      </c>
      <c r="O303" s="141" t="s">
        <v>2055</v>
      </c>
      <c r="P303" s="141" t="s">
        <v>9902</v>
      </c>
      <c r="Q303" s="122" t="s">
        <v>3389</v>
      </c>
      <c r="R303" s="142">
        <v>56</v>
      </c>
      <c r="S303" s="122" t="s">
        <v>9903</v>
      </c>
      <c r="U303" s="122" t="s">
        <v>3538</v>
      </c>
      <c r="W303" s="122" t="s">
        <v>246</v>
      </c>
      <c r="X303" s="122" t="s">
        <v>1072</v>
      </c>
      <c r="Y303" s="141" t="s">
        <v>9904</v>
      </c>
      <c r="Z303" s="122" t="s">
        <v>249</v>
      </c>
      <c r="AA303" s="141" t="s">
        <v>3230</v>
      </c>
      <c r="AB303" s="122" t="s">
        <v>9905</v>
      </c>
      <c r="AC303" s="141" t="s">
        <v>4768</v>
      </c>
      <c r="AD303" s="122" t="s">
        <v>9906</v>
      </c>
      <c r="AE303" s="122" t="s">
        <v>235</v>
      </c>
      <c r="AF303" s="122" t="s">
        <v>9907</v>
      </c>
      <c r="AG303" s="122" t="s">
        <v>537</v>
      </c>
      <c r="AH303" s="122" t="s">
        <v>253</v>
      </c>
      <c r="AI303" s="122" t="s">
        <v>9908</v>
      </c>
      <c r="AJ303" s="122" t="s">
        <v>9909</v>
      </c>
      <c r="AK303" s="122" t="s">
        <v>253</v>
      </c>
      <c r="AL303" s="122" t="s">
        <v>9910</v>
      </c>
      <c r="AM303" s="122" t="s">
        <v>253</v>
      </c>
      <c r="AN303" s="122" t="s">
        <v>253</v>
      </c>
      <c r="AO303" s="141" t="s">
        <v>247</v>
      </c>
      <c r="AP303" s="141" t="s">
        <v>247</v>
      </c>
      <c r="AQ303" s="141" t="s">
        <v>247</v>
      </c>
      <c r="AR303" s="141" t="s">
        <v>253</v>
      </c>
      <c r="AS303" s="141" t="s">
        <v>601</v>
      </c>
      <c r="AT303" s="141" t="s">
        <v>601</v>
      </c>
      <c r="AU303" s="141" t="s">
        <v>258</v>
      </c>
      <c r="AV303" s="122" t="s">
        <v>259</v>
      </c>
      <c r="AW303" s="122" t="s">
        <v>260</v>
      </c>
      <c r="AX303" s="141" t="s">
        <v>1130</v>
      </c>
      <c r="AY303" s="141" t="s">
        <v>247</v>
      </c>
      <c r="AZ303" s="122" t="s">
        <v>9911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3547</v>
      </c>
      <c r="BH303" s="122" t="s">
        <v>3538</v>
      </c>
      <c r="BI303" s="142">
        <v>56</v>
      </c>
      <c r="BJ303" s="123">
        <v>42230</v>
      </c>
      <c r="BK303" s="139" t="s">
        <v>264</v>
      </c>
      <c r="BL303" s="140">
        <v>183.26</v>
      </c>
      <c r="BM303" s="122">
        <v>33</v>
      </c>
    </row>
    <row r="304" spans="1:66" x14ac:dyDescent="0.25">
      <c r="A304" s="122" t="s">
        <v>6513</v>
      </c>
      <c r="B304" s="122" t="s">
        <v>9912</v>
      </c>
      <c r="C304" s="122" t="s">
        <v>9913</v>
      </c>
      <c r="D304" s="122" t="s">
        <v>9914</v>
      </c>
      <c r="E304" s="123">
        <v>42226</v>
      </c>
      <c r="F304" s="122" t="s">
        <v>9915</v>
      </c>
      <c r="G304" s="122" t="s">
        <v>235</v>
      </c>
      <c r="H304" s="122" t="s">
        <v>9916</v>
      </c>
      <c r="I304" s="122" t="s">
        <v>9917</v>
      </c>
      <c r="J304" s="122" t="s">
        <v>9918</v>
      </c>
      <c r="K304" s="122" t="s">
        <v>3364</v>
      </c>
      <c r="L304" s="122" t="s">
        <v>3365</v>
      </c>
      <c r="M304" s="122" t="s">
        <v>3366</v>
      </c>
      <c r="O304" s="141" t="s">
        <v>613</v>
      </c>
      <c r="P304" s="141" t="s">
        <v>9919</v>
      </c>
      <c r="Q304" s="122" t="s">
        <v>3369</v>
      </c>
      <c r="R304" s="142">
        <v>57</v>
      </c>
      <c r="S304" s="122" t="s">
        <v>9920</v>
      </c>
      <c r="U304" s="122" t="s">
        <v>3538</v>
      </c>
      <c r="V304" s="122" t="s">
        <v>351</v>
      </c>
      <c r="W304" s="122" t="s">
        <v>246</v>
      </c>
      <c r="X304" s="122" t="s">
        <v>325</v>
      </c>
      <c r="Y304" s="141" t="s">
        <v>1612</v>
      </c>
      <c r="Z304" s="122" t="s">
        <v>9921</v>
      </c>
      <c r="AA304" s="141" t="s">
        <v>1291</v>
      </c>
      <c r="AB304" s="122" t="s">
        <v>9921</v>
      </c>
      <c r="AC304" s="141" t="s">
        <v>801</v>
      </c>
      <c r="AD304" s="122" t="s">
        <v>9921</v>
      </c>
      <c r="AE304" s="122" t="s">
        <v>235</v>
      </c>
      <c r="AF304" s="122" t="s">
        <v>9922</v>
      </c>
      <c r="AG304" s="122" t="s">
        <v>537</v>
      </c>
      <c r="AH304" s="122" t="s">
        <v>253</v>
      </c>
      <c r="AI304" s="122" t="s">
        <v>9923</v>
      </c>
      <c r="AJ304" s="122" t="s">
        <v>9924</v>
      </c>
      <c r="AK304" s="122" t="s">
        <v>253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253</v>
      </c>
      <c r="AQ304" s="141" t="s">
        <v>247</v>
      </c>
      <c r="AR304" s="141" t="s">
        <v>253</v>
      </c>
      <c r="AS304" s="141" t="s">
        <v>601</v>
      </c>
      <c r="AT304" s="141" t="s">
        <v>601</v>
      </c>
      <c r="AU304" s="141" t="s">
        <v>258</v>
      </c>
      <c r="AV304" s="122" t="s">
        <v>259</v>
      </c>
      <c r="AW304" s="122" t="s">
        <v>260</v>
      </c>
      <c r="AY304" s="141" t="s">
        <v>253</v>
      </c>
      <c r="AZ304" s="122" t="s">
        <v>9925</v>
      </c>
      <c r="BA304" s="122" t="s">
        <v>262</v>
      </c>
      <c r="BB304" s="122" t="s">
        <v>3956</v>
      </c>
      <c r="BC304" s="141" t="s">
        <v>312</v>
      </c>
      <c r="BD304" s="122" t="s">
        <v>253</v>
      </c>
      <c r="BE304" s="122" t="s">
        <v>263</v>
      </c>
      <c r="BF304" s="122" t="s">
        <v>3547</v>
      </c>
      <c r="BH304" s="122" t="s">
        <v>3538</v>
      </c>
      <c r="BI304" s="142">
        <v>57</v>
      </c>
      <c r="BJ304" s="123">
        <v>42239</v>
      </c>
      <c r="BK304" s="139" t="s">
        <v>606</v>
      </c>
      <c r="BM304" s="122">
        <v>34</v>
      </c>
    </row>
    <row r="305" spans="1:65" x14ac:dyDescent="0.25">
      <c r="A305" s="122" t="s">
        <v>6513</v>
      </c>
      <c r="B305" s="122" t="s">
        <v>9926</v>
      </c>
      <c r="C305" s="122" t="s">
        <v>9927</v>
      </c>
      <c r="D305" s="122" t="s">
        <v>9928</v>
      </c>
      <c r="E305" s="123">
        <v>42226</v>
      </c>
      <c r="F305" s="122" t="s">
        <v>1762</v>
      </c>
      <c r="G305" s="122" t="s">
        <v>235</v>
      </c>
      <c r="H305" s="122" t="s">
        <v>9929</v>
      </c>
      <c r="I305" s="122" t="s">
        <v>9930</v>
      </c>
      <c r="J305" s="122" t="s">
        <v>1053</v>
      </c>
      <c r="K305" s="122" t="s">
        <v>3385</v>
      </c>
      <c r="L305" s="122" t="s">
        <v>3554</v>
      </c>
      <c r="M305" s="122" t="s">
        <v>3570</v>
      </c>
      <c r="O305" s="141" t="s">
        <v>373</v>
      </c>
      <c r="P305" s="141" t="s">
        <v>9931</v>
      </c>
      <c r="Q305" s="122" t="s">
        <v>3389</v>
      </c>
      <c r="R305" s="142">
        <v>58</v>
      </c>
      <c r="S305" s="122" t="s">
        <v>9932</v>
      </c>
      <c r="U305" s="122" t="s">
        <v>3538</v>
      </c>
      <c r="W305" s="122" t="s">
        <v>246</v>
      </c>
      <c r="X305" s="122" t="s">
        <v>1324</v>
      </c>
      <c r="Y305" s="141" t="s">
        <v>2257</v>
      </c>
      <c r="Z305" s="122" t="s">
        <v>9933</v>
      </c>
      <c r="AA305" s="141" t="s">
        <v>511</v>
      </c>
      <c r="AB305" s="122" t="s">
        <v>6286</v>
      </c>
      <c r="AC305" s="141" t="s">
        <v>330</v>
      </c>
      <c r="AD305" s="122" t="s">
        <v>9934</v>
      </c>
      <c r="AE305" s="122" t="s">
        <v>235</v>
      </c>
      <c r="AF305" s="122" t="s">
        <v>9935</v>
      </c>
      <c r="AG305" s="122" t="s">
        <v>537</v>
      </c>
      <c r="AH305" s="122" t="s">
        <v>253</v>
      </c>
      <c r="AI305" s="122" t="s">
        <v>9936</v>
      </c>
      <c r="AJ305" s="122" t="s">
        <v>9937</v>
      </c>
      <c r="AK305" s="122" t="s">
        <v>253</v>
      </c>
      <c r="AL305" s="122" t="s">
        <v>253</v>
      </c>
      <c r="AM305" s="122" t="s">
        <v>253</v>
      </c>
      <c r="AN305" s="122" t="s">
        <v>253</v>
      </c>
      <c r="AO305" s="141" t="s">
        <v>253</v>
      </c>
      <c r="AP305" s="141" t="s">
        <v>253</v>
      </c>
      <c r="AQ305" s="141" t="s">
        <v>247</v>
      </c>
      <c r="AR305" s="141" t="s">
        <v>253</v>
      </c>
      <c r="AS305" s="141" t="s">
        <v>361</v>
      </c>
      <c r="AT305" s="141" t="s">
        <v>601</v>
      </c>
      <c r="AU305" s="141" t="s">
        <v>258</v>
      </c>
      <c r="AV305" s="122" t="s">
        <v>259</v>
      </c>
      <c r="AW305" s="122" t="s">
        <v>260</v>
      </c>
      <c r="AY305" s="141" t="s">
        <v>253</v>
      </c>
      <c r="AZ305" s="122" t="s">
        <v>9938</v>
      </c>
      <c r="BA305" s="122" t="s">
        <v>262</v>
      </c>
      <c r="BB305" s="122" t="s">
        <v>262</v>
      </c>
      <c r="BD305" s="122" t="s">
        <v>253</v>
      </c>
      <c r="BE305" s="122" t="s">
        <v>263</v>
      </c>
      <c r="BF305" s="122" t="s">
        <v>3547</v>
      </c>
      <c r="BH305" s="122" t="s">
        <v>3538</v>
      </c>
      <c r="BI305" s="142">
        <v>58</v>
      </c>
      <c r="BJ305" s="123">
        <v>42235</v>
      </c>
      <c r="BK305" s="139" t="s">
        <v>264</v>
      </c>
      <c r="BL305" s="140">
        <v>70.349999999999994</v>
      </c>
      <c r="BM305" s="122">
        <v>34</v>
      </c>
    </row>
    <row r="306" spans="1:65" x14ac:dyDescent="0.25">
      <c r="A306" s="122" t="s">
        <v>6513</v>
      </c>
      <c r="B306" s="122" t="s">
        <v>9939</v>
      </c>
      <c r="C306" s="122" t="s">
        <v>9940</v>
      </c>
      <c r="D306" s="122" t="s">
        <v>9941</v>
      </c>
      <c r="E306" s="123">
        <v>42226</v>
      </c>
      <c r="F306" s="122" t="s">
        <v>6772</v>
      </c>
      <c r="G306" s="122" t="s">
        <v>235</v>
      </c>
      <c r="H306" s="122" t="s">
        <v>9942</v>
      </c>
      <c r="I306" s="122" t="s">
        <v>3675</v>
      </c>
      <c r="J306" s="122" t="s">
        <v>9943</v>
      </c>
      <c r="K306" s="122" t="s">
        <v>3385</v>
      </c>
      <c r="L306" s="122" t="s">
        <v>3386</v>
      </c>
      <c r="M306" s="122" t="s">
        <v>3405</v>
      </c>
      <c r="O306" s="141" t="s">
        <v>373</v>
      </c>
      <c r="P306" s="141" t="s">
        <v>9944</v>
      </c>
      <c r="Q306" s="122" t="s">
        <v>3389</v>
      </c>
      <c r="R306" s="142">
        <v>59</v>
      </c>
      <c r="S306" s="122" t="s">
        <v>9945</v>
      </c>
      <c r="U306" s="122" t="s">
        <v>3538</v>
      </c>
      <c r="W306" s="122" t="s">
        <v>246</v>
      </c>
      <c r="X306" s="122" t="s">
        <v>1121</v>
      </c>
      <c r="Y306" s="141" t="s">
        <v>1876</v>
      </c>
      <c r="Z306" s="122" t="s">
        <v>9946</v>
      </c>
      <c r="AA306" s="141" t="s">
        <v>234</v>
      </c>
      <c r="AB306" s="122" t="s">
        <v>1326</v>
      </c>
      <c r="AC306" s="141" t="s">
        <v>2051</v>
      </c>
      <c r="AD306" s="122" t="s">
        <v>9947</v>
      </c>
      <c r="AE306" s="122" t="s">
        <v>235</v>
      </c>
      <c r="AF306" s="122" t="s">
        <v>9948</v>
      </c>
      <c r="AG306" s="122" t="s">
        <v>537</v>
      </c>
      <c r="AH306" s="122" t="s">
        <v>253</v>
      </c>
      <c r="AI306" s="122" t="s">
        <v>9949</v>
      </c>
      <c r="AJ306" s="122" t="s">
        <v>9950</v>
      </c>
      <c r="AK306" s="122" t="s">
        <v>253</v>
      </c>
      <c r="AL306" s="122" t="s">
        <v>253</v>
      </c>
      <c r="AM306" s="122" t="s">
        <v>253</v>
      </c>
      <c r="AN306" s="122" t="s">
        <v>253</v>
      </c>
      <c r="AO306" s="141" t="s">
        <v>253</v>
      </c>
      <c r="AP306" s="141" t="s">
        <v>253</v>
      </c>
      <c r="AQ306" s="141" t="s">
        <v>247</v>
      </c>
      <c r="AR306" s="141" t="s">
        <v>253</v>
      </c>
      <c r="AS306" s="141" t="s">
        <v>361</v>
      </c>
      <c r="AT306" s="141" t="s">
        <v>601</v>
      </c>
      <c r="AU306" s="141" t="s">
        <v>258</v>
      </c>
      <c r="AV306" s="122" t="s">
        <v>259</v>
      </c>
      <c r="AW306" s="122" t="s">
        <v>260</v>
      </c>
      <c r="AY306" s="141" t="s">
        <v>253</v>
      </c>
      <c r="AZ306" s="122" t="s">
        <v>9951</v>
      </c>
      <c r="BA306" s="122" t="s">
        <v>262</v>
      </c>
      <c r="BB306" s="122" t="s">
        <v>262</v>
      </c>
      <c r="BD306" s="122" t="s">
        <v>253</v>
      </c>
      <c r="BE306" s="122" t="s">
        <v>263</v>
      </c>
      <c r="BF306" s="122" t="s">
        <v>3547</v>
      </c>
      <c r="BH306" s="122" t="s">
        <v>3538</v>
      </c>
      <c r="BI306" s="142">
        <v>59</v>
      </c>
      <c r="BJ306" s="123">
        <v>42229</v>
      </c>
      <c r="BK306" s="139" t="s">
        <v>264</v>
      </c>
      <c r="BL306" s="140">
        <v>133.16</v>
      </c>
      <c r="BM306" s="122">
        <v>33</v>
      </c>
    </row>
    <row r="307" spans="1:65" x14ac:dyDescent="0.25">
      <c r="A307" s="122" t="s">
        <v>352</v>
      </c>
      <c r="B307" s="122" t="s">
        <v>9952</v>
      </c>
      <c r="C307" s="122" t="s">
        <v>9953</v>
      </c>
      <c r="D307" s="122" t="s">
        <v>9954</v>
      </c>
      <c r="E307" s="123">
        <v>42226</v>
      </c>
      <c r="F307" s="122" t="s">
        <v>9955</v>
      </c>
      <c r="G307" s="122" t="s">
        <v>235</v>
      </c>
      <c r="H307" s="122" t="s">
        <v>9956</v>
      </c>
      <c r="I307" s="122" t="s">
        <v>9957</v>
      </c>
      <c r="K307" s="122" t="s">
        <v>3385</v>
      </c>
      <c r="L307" s="122" t="s">
        <v>3386</v>
      </c>
      <c r="M307" s="122" t="s">
        <v>3486</v>
      </c>
      <c r="O307" s="141" t="s">
        <v>494</v>
      </c>
      <c r="P307" s="141" t="s">
        <v>9958</v>
      </c>
      <c r="Q307" s="122" t="s">
        <v>3389</v>
      </c>
      <c r="R307" s="142">
        <v>60</v>
      </c>
      <c r="S307" s="122" t="s">
        <v>9959</v>
      </c>
      <c r="U307" s="122" t="s">
        <v>3538</v>
      </c>
      <c r="W307" s="122" t="s">
        <v>246</v>
      </c>
      <c r="X307" s="122" t="s">
        <v>260</v>
      </c>
      <c r="Y307" s="141" t="s">
        <v>578</v>
      </c>
      <c r="Z307" s="122" t="s">
        <v>9960</v>
      </c>
      <c r="AA307" s="141" t="s">
        <v>1926</v>
      </c>
      <c r="AB307" s="122" t="s">
        <v>9961</v>
      </c>
      <c r="AC307" s="141" t="s">
        <v>234</v>
      </c>
      <c r="AD307" s="122" t="s">
        <v>9962</v>
      </c>
      <c r="AE307" s="122" t="s">
        <v>235</v>
      </c>
      <c r="AF307" s="122" t="s">
        <v>9963</v>
      </c>
      <c r="AG307" s="122" t="s">
        <v>253</v>
      </c>
      <c r="AH307" s="122" t="s">
        <v>253</v>
      </c>
      <c r="AI307" s="122" t="s">
        <v>9964</v>
      </c>
      <c r="AJ307" s="122" t="s">
        <v>9965</v>
      </c>
      <c r="AK307" s="122" t="s">
        <v>253</v>
      </c>
      <c r="AL307" s="122" t="s">
        <v>9966</v>
      </c>
      <c r="AM307" s="122" t="s">
        <v>253</v>
      </c>
      <c r="AN307" s="122" t="s">
        <v>253</v>
      </c>
      <c r="AO307" s="141" t="s">
        <v>247</v>
      </c>
      <c r="AP307" s="141" t="s">
        <v>253</v>
      </c>
      <c r="AQ307" s="141" t="s">
        <v>247</v>
      </c>
      <c r="AR307" s="141" t="s">
        <v>247</v>
      </c>
      <c r="AS307" s="141" t="s">
        <v>601</v>
      </c>
      <c r="AT307" s="141" t="s">
        <v>601</v>
      </c>
      <c r="AU307" s="141" t="s">
        <v>601</v>
      </c>
      <c r="AV307" s="122" t="s">
        <v>259</v>
      </c>
      <c r="AW307" s="122" t="s">
        <v>260</v>
      </c>
      <c r="AX307" s="141" t="s">
        <v>750</v>
      </c>
      <c r="AY307" s="141" t="s">
        <v>247</v>
      </c>
      <c r="AZ307" s="122" t="s">
        <v>9967</v>
      </c>
      <c r="BA307" s="122" t="s">
        <v>262</v>
      </c>
      <c r="BB307" s="122" t="s">
        <v>262</v>
      </c>
      <c r="BD307" s="122" t="s">
        <v>253</v>
      </c>
      <c r="BE307" s="122" t="s">
        <v>263</v>
      </c>
      <c r="BF307" s="122" t="s">
        <v>3547</v>
      </c>
      <c r="BH307" s="122" t="s">
        <v>3538</v>
      </c>
      <c r="BI307" s="142">
        <v>60</v>
      </c>
      <c r="BJ307" s="123">
        <v>42239</v>
      </c>
      <c r="BK307" s="139" t="s">
        <v>606</v>
      </c>
      <c r="BM307" s="122">
        <v>34</v>
      </c>
    </row>
    <row r="308" spans="1:65" x14ac:dyDescent="0.25">
      <c r="A308" s="122" t="s">
        <v>352</v>
      </c>
      <c r="B308" s="122" t="s">
        <v>9968</v>
      </c>
      <c r="C308" s="122" t="s">
        <v>9969</v>
      </c>
      <c r="D308" s="122" t="s">
        <v>9970</v>
      </c>
      <c r="E308" s="123">
        <v>42226</v>
      </c>
      <c r="F308" s="122" t="s">
        <v>742</v>
      </c>
      <c r="G308" s="122" t="s">
        <v>235</v>
      </c>
      <c r="H308" s="122" t="s">
        <v>9971</v>
      </c>
      <c r="I308" s="122" t="s">
        <v>9645</v>
      </c>
      <c r="J308" s="122" t="s">
        <v>9972</v>
      </c>
      <c r="K308" s="122" t="s">
        <v>3364</v>
      </c>
      <c r="L308" s="122" t="s">
        <v>3365</v>
      </c>
      <c r="M308" s="122" t="s">
        <v>3366</v>
      </c>
      <c r="O308" s="141" t="s">
        <v>566</v>
      </c>
      <c r="P308" s="141" t="s">
        <v>9973</v>
      </c>
      <c r="Q308" s="122" t="s">
        <v>3369</v>
      </c>
      <c r="R308" s="142">
        <v>61</v>
      </c>
      <c r="S308" s="122" t="s">
        <v>9974</v>
      </c>
      <c r="U308" s="122" t="s">
        <v>3538</v>
      </c>
      <c r="W308" s="122" t="s">
        <v>246</v>
      </c>
      <c r="X308" s="122" t="s">
        <v>1324</v>
      </c>
      <c r="Y308" s="141" t="s">
        <v>958</v>
      </c>
      <c r="Z308" s="122" t="s">
        <v>9975</v>
      </c>
      <c r="AB308" s="122" t="s">
        <v>250</v>
      </c>
      <c r="AD308" s="122" t="s">
        <v>250</v>
      </c>
      <c r="AE308" s="122" t="s">
        <v>235</v>
      </c>
      <c r="AF308" s="122" t="s">
        <v>9976</v>
      </c>
      <c r="AG308" s="122" t="s">
        <v>537</v>
      </c>
      <c r="AH308" s="122" t="s">
        <v>253</v>
      </c>
      <c r="AI308" s="122" t="s">
        <v>9977</v>
      </c>
      <c r="AJ308" s="122" t="s">
        <v>9977</v>
      </c>
      <c r="AK308" s="122" t="s">
        <v>253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247</v>
      </c>
      <c r="AS308" s="141" t="s">
        <v>601</v>
      </c>
      <c r="AT308" s="141" t="s">
        <v>601</v>
      </c>
      <c r="AU308" s="141" t="s">
        <v>601</v>
      </c>
      <c r="AV308" s="122" t="s">
        <v>259</v>
      </c>
      <c r="AW308" s="122" t="s">
        <v>260</v>
      </c>
      <c r="AY308" s="141" t="s">
        <v>253</v>
      </c>
      <c r="AZ308" s="122" t="s">
        <v>9978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3547</v>
      </c>
      <c r="BH308" s="122" t="s">
        <v>3538</v>
      </c>
      <c r="BI308" s="142">
        <v>61</v>
      </c>
      <c r="BJ308" s="123">
        <v>42239</v>
      </c>
      <c r="BK308" s="139" t="s">
        <v>606</v>
      </c>
      <c r="BM308" s="122">
        <v>34</v>
      </c>
    </row>
    <row r="309" spans="1:65" x14ac:dyDescent="0.25">
      <c r="A309" s="122" t="s">
        <v>352</v>
      </c>
      <c r="B309" s="122" t="s">
        <v>9979</v>
      </c>
      <c r="C309" s="122" t="s">
        <v>9980</v>
      </c>
      <c r="D309" s="122" t="s">
        <v>9981</v>
      </c>
      <c r="E309" s="123">
        <v>42226</v>
      </c>
      <c r="F309" s="122" t="s">
        <v>3802</v>
      </c>
      <c r="G309" s="122" t="s">
        <v>235</v>
      </c>
      <c r="H309" s="122" t="s">
        <v>9982</v>
      </c>
      <c r="I309" s="122" t="s">
        <v>9983</v>
      </c>
      <c r="J309" s="122" t="s">
        <v>370</v>
      </c>
      <c r="K309" s="122" t="s">
        <v>3385</v>
      </c>
      <c r="L309" s="122" t="s">
        <v>3386</v>
      </c>
      <c r="M309" s="122" t="s">
        <v>3486</v>
      </c>
      <c r="O309" s="141" t="s">
        <v>2559</v>
      </c>
      <c r="P309" s="141" t="s">
        <v>9984</v>
      </c>
      <c r="Q309" s="122" t="s">
        <v>3389</v>
      </c>
      <c r="R309" s="142">
        <v>62</v>
      </c>
      <c r="S309" s="122" t="s">
        <v>9985</v>
      </c>
      <c r="U309" s="122" t="s">
        <v>3538</v>
      </c>
      <c r="W309" s="122" t="s">
        <v>246</v>
      </c>
      <c r="X309" s="122" t="s">
        <v>4409</v>
      </c>
      <c r="Y309" s="141" t="s">
        <v>1596</v>
      </c>
      <c r="Z309" s="122" t="s">
        <v>1746</v>
      </c>
      <c r="AA309" s="141" t="s">
        <v>511</v>
      </c>
      <c r="AB309" s="122" t="s">
        <v>9986</v>
      </c>
      <c r="AC309" s="141" t="s">
        <v>819</v>
      </c>
      <c r="AD309" s="122" t="s">
        <v>9987</v>
      </c>
      <c r="AE309" s="122" t="s">
        <v>235</v>
      </c>
      <c r="AF309" s="122" t="s">
        <v>9988</v>
      </c>
      <c r="AG309" s="122" t="s">
        <v>537</v>
      </c>
      <c r="AH309" s="122" t="s">
        <v>253</v>
      </c>
      <c r="AI309" s="122" t="s">
        <v>9989</v>
      </c>
      <c r="AJ309" s="122" t="s">
        <v>9990</v>
      </c>
      <c r="AK309" s="122" t="s">
        <v>253</v>
      </c>
      <c r="AL309" s="122" t="s">
        <v>253</v>
      </c>
      <c r="AM309" s="122" t="s">
        <v>253</v>
      </c>
      <c r="AN309" s="122" t="s">
        <v>253</v>
      </c>
      <c r="AO309" s="141" t="s">
        <v>253</v>
      </c>
      <c r="AP309" s="141" t="s">
        <v>253</v>
      </c>
      <c r="AQ309" s="141" t="s">
        <v>247</v>
      </c>
      <c r="AR309" s="141" t="s">
        <v>253</v>
      </c>
      <c r="AS309" s="141" t="s">
        <v>361</v>
      </c>
      <c r="AT309" s="141" t="s">
        <v>601</v>
      </c>
      <c r="AU309" s="141" t="s">
        <v>258</v>
      </c>
      <c r="AV309" s="122" t="s">
        <v>259</v>
      </c>
      <c r="AW309" s="122" t="s">
        <v>260</v>
      </c>
      <c r="AY309" s="141" t="s">
        <v>253</v>
      </c>
      <c r="AZ309" s="122" t="s">
        <v>9991</v>
      </c>
      <c r="BA309" s="122" t="s">
        <v>262</v>
      </c>
      <c r="BB309" s="122" t="s">
        <v>262</v>
      </c>
      <c r="BD309" s="122" t="s">
        <v>253</v>
      </c>
      <c r="BE309" s="122" t="s">
        <v>263</v>
      </c>
      <c r="BF309" s="122" t="s">
        <v>3547</v>
      </c>
      <c r="BH309" s="122" t="s">
        <v>3538</v>
      </c>
      <c r="BI309" s="142">
        <v>62</v>
      </c>
      <c r="BJ309" s="123">
        <v>42234</v>
      </c>
      <c r="BK309" s="139" t="s">
        <v>264</v>
      </c>
      <c r="BL309" s="140">
        <v>77.61</v>
      </c>
      <c r="BM309" s="122">
        <v>34</v>
      </c>
    </row>
    <row r="310" spans="1:65" x14ac:dyDescent="0.25">
      <c r="A310" s="122" t="s">
        <v>352</v>
      </c>
      <c r="B310" s="122" t="s">
        <v>9992</v>
      </c>
      <c r="C310" s="122" t="s">
        <v>9993</v>
      </c>
      <c r="D310" s="122" t="s">
        <v>9994</v>
      </c>
      <c r="E310" s="123">
        <v>42226</v>
      </c>
      <c r="F310" s="122" t="s">
        <v>9995</v>
      </c>
      <c r="G310" s="122" t="s">
        <v>235</v>
      </c>
      <c r="H310" s="122" t="s">
        <v>9996</v>
      </c>
      <c r="I310" s="122" t="s">
        <v>9997</v>
      </c>
      <c r="K310" s="122" t="s">
        <v>3452</v>
      </c>
      <c r="L310" s="122" t="s">
        <v>3453</v>
      </c>
      <c r="M310" s="122" t="s">
        <v>3454</v>
      </c>
      <c r="O310" s="141" t="s">
        <v>494</v>
      </c>
      <c r="P310" s="141" t="s">
        <v>9998</v>
      </c>
      <c r="Q310" s="122" t="s">
        <v>3389</v>
      </c>
      <c r="R310" s="142">
        <v>63</v>
      </c>
      <c r="S310" s="122" t="s">
        <v>9999</v>
      </c>
      <c r="U310" s="122" t="s">
        <v>3538</v>
      </c>
      <c r="W310" s="122" t="s">
        <v>246</v>
      </c>
      <c r="X310" s="122" t="s">
        <v>278</v>
      </c>
      <c r="Y310" s="141" t="s">
        <v>1122</v>
      </c>
      <c r="Z310" s="122" t="s">
        <v>766</v>
      </c>
      <c r="AA310" s="141" t="s">
        <v>248</v>
      </c>
      <c r="AB310" s="122" t="s">
        <v>766</v>
      </c>
      <c r="AC310" s="141" t="s">
        <v>1289</v>
      </c>
      <c r="AD310" s="122" t="s">
        <v>766</v>
      </c>
      <c r="AE310" s="122" t="s">
        <v>235</v>
      </c>
      <c r="AF310" s="122" t="s">
        <v>10000</v>
      </c>
      <c r="AG310" s="122" t="s">
        <v>537</v>
      </c>
      <c r="AH310" s="122" t="s">
        <v>253</v>
      </c>
      <c r="AI310" s="122" t="s">
        <v>10001</v>
      </c>
      <c r="AJ310" s="122" t="s">
        <v>10002</v>
      </c>
      <c r="AK310" s="122" t="s">
        <v>6540</v>
      </c>
      <c r="AL310" s="122" t="s">
        <v>253</v>
      </c>
      <c r="AM310" s="122" t="s">
        <v>253</v>
      </c>
      <c r="AN310" s="122" t="s">
        <v>253</v>
      </c>
      <c r="AO310" s="141" t="s">
        <v>247</v>
      </c>
      <c r="AP310" s="141" t="s">
        <v>247</v>
      </c>
      <c r="AQ310" s="141" t="s">
        <v>247</v>
      </c>
      <c r="AR310" s="141" t="s">
        <v>247</v>
      </c>
      <c r="AS310" s="141" t="s">
        <v>601</v>
      </c>
      <c r="AT310" s="141" t="s">
        <v>601</v>
      </c>
      <c r="AU310" s="141" t="s">
        <v>601</v>
      </c>
      <c r="AV310" s="122" t="s">
        <v>259</v>
      </c>
      <c r="AW310" s="122" t="s">
        <v>260</v>
      </c>
      <c r="AX310" s="141" t="s">
        <v>750</v>
      </c>
      <c r="AY310" s="141" t="s">
        <v>247</v>
      </c>
      <c r="AZ310" s="122" t="s">
        <v>10003</v>
      </c>
      <c r="BA310" s="122" t="s">
        <v>262</v>
      </c>
      <c r="BB310" s="122" t="s">
        <v>10004</v>
      </c>
      <c r="BD310" s="122" t="s">
        <v>253</v>
      </c>
      <c r="BE310" s="122" t="s">
        <v>263</v>
      </c>
      <c r="BF310" s="122" t="s">
        <v>3547</v>
      </c>
      <c r="BH310" s="122" t="s">
        <v>3538</v>
      </c>
      <c r="BI310" s="142">
        <v>63</v>
      </c>
      <c r="BJ310" s="123">
        <v>42239</v>
      </c>
      <c r="BK310" s="139" t="s">
        <v>606</v>
      </c>
      <c r="BM310" s="122">
        <v>34</v>
      </c>
    </row>
    <row r="311" spans="1:65" x14ac:dyDescent="0.25">
      <c r="A311" s="122" t="s">
        <v>352</v>
      </c>
      <c r="B311" s="122" t="s">
        <v>10005</v>
      </c>
      <c r="C311" s="122" t="s">
        <v>10006</v>
      </c>
      <c r="D311" s="122" t="s">
        <v>10007</v>
      </c>
      <c r="E311" s="123">
        <v>42226</v>
      </c>
      <c r="F311" s="122" t="s">
        <v>833</v>
      </c>
      <c r="G311" s="122" t="s">
        <v>235</v>
      </c>
      <c r="H311" s="122" t="s">
        <v>448</v>
      </c>
      <c r="I311" s="122" t="s">
        <v>10008</v>
      </c>
      <c r="J311" s="122" t="s">
        <v>7716</v>
      </c>
      <c r="K311" s="122" t="s">
        <v>3385</v>
      </c>
      <c r="L311" s="122" t="s">
        <v>3386</v>
      </c>
      <c r="M311" s="122" t="s">
        <v>3486</v>
      </c>
      <c r="O311" s="141" t="s">
        <v>6941</v>
      </c>
      <c r="P311" s="141" t="s">
        <v>10009</v>
      </c>
      <c r="Q311" s="122" t="s">
        <v>3389</v>
      </c>
      <c r="R311" s="142">
        <v>64</v>
      </c>
      <c r="S311" s="122" t="s">
        <v>10010</v>
      </c>
      <c r="U311" s="122" t="s">
        <v>3538</v>
      </c>
      <c r="W311" s="122" t="s">
        <v>246</v>
      </c>
      <c r="X311" s="122" t="s">
        <v>2624</v>
      </c>
      <c r="Z311" s="122" t="s">
        <v>250</v>
      </c>
      <c r="AB311" s="122" t="s">
        <v>250</v>
      </c>
      <c r="AD311" s="122" t="s">
        <v>250</v>
      </c>
      <c r="AE311" s="122" t="s">
        <v>235</v>
      </c>
      <c r="AF311" s="122" t="s">
        <v>10011</v>
      </c>
      <c r="AG311" s="122" t="s">
        <v>537</v>
      </c>
      <c r="AH311" s="122" t="s">
        <v>253</v>
      </c>
      <c r="AI311" s="122" t="s">
        <v>10012</v>
      </c>
      <c r="AJ311" s="122" t="s">
        <v>10013</v>
      </c>
      <c r="AK311" s="122" t="s">
        <v>253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253</v>
      </c>
      <c r="AS311" s="141" t="s">
        <v>601</v>
      </c>
      <c r="AT311" s="141" t="s">
        <v>601</v>
      </c>
      <c r="AU311" s="141" t="s">
        <v>258</v>
      </c>
      <c r="AV311" s="122" t="s">
        <v>259</v>
      </c>
      <c r="AW311" s="122" t="s">
        <v>260</v>
      </c>
      <c r="AY311" s="141" t="s">
        <v>253</v>
      </c>
      <c r="AZ311" s="122" t="s">
        <v>262</v>
      </c>
      <c r="BA311" s="122" t="s">
        <v>262</v>
      </c>
      <c r="BB311" s="122" t="s">
        <v>262</v>
      </c>
      <c r="BD311" s="122" t="s">
        <v>253</v>
      </c>
      <c r="BE311" s="122" t="s">
        <v>263</v>
      </c>
      <c r="BF311" s="122" t="s">
        <v>3547</v>
      </c>
      <c r="BH311" s="122" t="s">
        <v>3538</v>
      </c>
      <c r="BI311" s="142">
        <v>64</v>
      </c>
      <c r="BJ311" s="123">
        <v>42239</v>
      </c>
      <c r="BK311" s="139" t="s">
        <v>606</v>
      </c>
      <c r="BM311" s="122">
        <v>34</v>
      </c>
    </row>
    <row r="312" spans="1:65" x14ac:dyDescent="0.25">
      <c r="A312" s="122" t="s">
        <v>352</v>
      </c>
      <c r="B312" s="122" t="s">
        <v>10014</v>
      </c>
      <c r="C312" s="122" t="s">
        <v>10015</v>
      </c>
      <c r="D312" s="122" t="s">
        <v>10016</v>
      </c>
      <c r="E312" s="123">
        <v>42226</v>
      </c>
      <c r="F312" s="122" t="s">
        <v>1596</v>
      </c>
      <c r="G312" s="122" t="s">
        <v>235</v>
      </c>
      <c r="H312" s="122" t="s">
        <v>10017</v>
      </c>
      <c r="I312" s="122" t="s">
        <v>10018</v>
      </c>
      <c r="J312" s="122" t="s">
        <v>370</v>
      </c>
      <c r="K312" s="122" t="s">
        <v>3385</v>
      </c>
      <c r="L312" s="122" t="s">
        <v>3386</v>
      </c>
      <c r="M312" s="122" t="s">
        <v>3486</v>
      </c>
      <c r="O312" s="141" t="s">
        <v>548</v>
      </c>
      <c r="P312" s="141" t="s">
        <v>10019</v>
      </c>
      <c r="Q312" s="122" t="s">
        <v>3389</v>
      </c>
      <c r="R312" s="142">
        <v>65</v>
      </c>
      <c r="S312" s="122" t="s">
        <v>10020</v>
      </c>
      <c r="U312" s="122" t="s">
        <v>3538</v>
      </c>
      <c r="W312" s="122" t="s">
        <v>246</v>
      </c>
      <c r="X312" s="122" t="s">
        <v>853</v>
      </c>
      <c r="Z312" s="122" t="s">
        <v>250</v>
      </c>
      <c r="AB312" s="122" t="s">
        <v>250</v>
      </c>
      <c r="AD312" s="122" t="s">
        <v>250</v>
      </c>
      <c r="AE312" s="122" t="s">
        <v>235</v>
      </c>
      <c r="AF312" s="122" t="s">
        <v>10021</v>
      </c>
      <c r="AG312" s="122" t="s">
        <v>537</v>
      </c>
      <c r="AH312" s="122" t="s">
        <v>253</v>
      </c>
      <c r="AI312" s="122" t="s">
        <v>10022</v>
      </c>
      <c r="AJ312" s="122" t="s">
        <v>10023</v>
      </c>
      <c r="AK312" s="122" t="s">
        <v>253</v>
      </c>
      <c r="AL312" s="122" t="s">
        <v>253</v>
      </c>
      <c r="AM312" s="122" t="s">
        <v>253</v>
      </c>
      <c r="AN312" s="122" t="s">
        <v>253</v>
      </c>
      <c r="AO312" s="141" t="s">
        <v>247</v>
      </c>
      <c r="AP312" s="141" t="s">
        <v>247</v>
      </c>
      <c r="AQ312" s="141" t="s">
        <v>247</v>
      </c>
      <c r="AR312" s="141" t="s">
        <v>247</v>
      </c>
      <c r="AS312" s="141" t="s">
        <v>601</v>
      </c>
      <c r="AT312" s="141" t="s">
        <v>601</v>
      </c>
      <c r="AU312" s="141" t="s">
        <v>257</v>
      </c>
      <c r="AV312" s="122" t="s">
        <v>259</v>
      </c>
      <c r="AW312" s="122" t="s">
        <v>260</v>
      </c>
      <c r="AY312" s="141" t="s">
        <v>253</v>
      </c>
      <c r="AZ312" s="122" t="s">
        <v>10024</v>
      </c>
      <c r="BA312" s="122" t="s">
        <v>262</v>
      </c>
      <c r="BB312" s="122" t="s">
        <v>262</v>
      </c>
      <c r="BD312" s="122" t="s">
        <v>253</v>
      </c>
      <c r="BE312" s="122" t="s">
        <v>263</v>
      </c>
      <c r="BF312" s="122" t="s">
        <v>3547</v>
      </c>
      <c r="BH312" s="122" t="s">
        <v>3538</v>
      </c>
      <c r="BI312" s="142">
        <v>65</v>
      </c>
      <c r="BJ312" s="123">
        <v>42239</v>
      </c>
      <c r="BK312" s="139" t="s">
        <v>264</v>
      </c>
      <c r="BL312" s="140">
        <v>380</v>
      </c>
      <c r="BM312" s="122">
        <v>34</v>
      </c>
    </row>
    <row r="313" spans="1:65" x14ac:dyDescent="0.25">
      <c r="A313" s="122" t="s">
        <v>352</v>
      </c>
      <c r="B313" s="122" t="s">
        <v>10025</v>
      </c>
      <c r="C313" s="122" t="s">
        <v>10026</v>
      </c>
      <c r="D313" s="122" t="s">
        <v>10027</v>
      </c>
      <c r="E313" s="123">
        <v>42226</v>
      </c>
      <c r="F313" s="122" t="s">
        <v>2363</v>
      </c>
      <c r="G313" s="122" t="s">
        <v>235</v>
      </c>
      <c r="H313" s="122" t="s">
        <v>10028</v>
      </c>
      <c r="I313" s="122" t="s">
        <v>10029</v>
      </c>
      <c r="J313" s="122" t="s">
        <v>5627</v>
      </c>
      <c r="K313" s="122" t="s">
        <v>3385</v>
      </c>
      <c r="L313" s="122" t="s">
        <v>3386</v>
      </c>
      <c r="M313" s="122" t="s">
        <v>3405</v>
      </c>
      <c r="Q313" s="122" t="s">
        <v>3389</v>
      </c>
      <c r="R313" s="142">
        <v>66</v>
      </c>
      <c r="S313" s="122" t="s">
        <v>10030</v>
      </c>
      <c r="U313" s="122" t="s">
        <v>3538</v>
      </c>
      <c r="W313" s="122" t="s">
        <v>246</v>
      </c>
      <c r="X313" s="122" t="s">
        <v>3147</v>
      </c>
      <c r="Y313" s="141" t="s">
        <v>511</v>
      </c>
      <c r="Z313" s="122" t="s">
        <v>10031</v>
      </c>
      <c r="AA313" s="141" t="s">
        <v>1090</v>
      </c>
      <c r="AB313" s="122" t="s">
        <v>10032</v>
      </c>
      <c r="AC313" s="141" t="s">
        <v>367</v>
      </c>
      <c r="AD313" s="122" t="s">
        <v>355</v>
      </c>
      <c r="AE313" s="122" t="s">
        <v>235</v>
      </c>
      <c r="AF313" s="122" t="s">
        <v>10033</v>
      </c>
      <c r="AG313" s="122" t="s">
        <v>537</v>
      </c>
      <c r="AH313" s="122" t="s">
        <v>253</v>
      </c>
      <c r="AI313" s="122" t="s">
        <v>10034</v>
      </c>
      <c r="AJ313" s="122" t="s">
        <v>10035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253</v>
      </c>
      <c r="AR313" s="141" t="s">
        <v>253</v>
      </c>
      <c r="AS313" s="141" t="s">
        <v>601</v>
      </c>
      <c r="AT313" s="141" t="s">
        <v>258</v>
      </c>
      <c r="AU313" s="141" t="s">
        <v>258</v>
      </c>
      <c r="AV313" s="122" t="s">
        <v>259</v>
      </c>
      <c r="AW313" s="122" t="s">
        <v>260</v>
      </c>
      <c r="AY313" s="141" t="s">
        <v>253</v>
      </c>
      <c r="AZ313" s="122" t="s">
        <v>10036</v>
      </c>
      <c r="BA313" s="122" t="s">
        <v>262</v>
      </c>
      <c r="BB313" s="122" t="s">
        <v>262</v>
      </c>
      <c r="BD313" s="122" t="s">
        <v>253</v>
      </c>
      <c r="BE313" s="122" t="s">
        <v>263</v>
      </c>
      <c r="BF313" s="122" t="s">
        <v>3547</v>
      </c>
      <c r="BH313" s="122" t="s">
        <v>3538</v>
      </c>
      <c r="BI313" s="142">
        <v>66</v>
      </c>
      <c r="BJ313" s="123">
        <v>42239</v>
      </c>
      <c r="BK313" s="139" t="s">
        <v>606</v>
      </c>
      <c r="BM313" s="122">
        <v>34</v>
      </c>
    </row>
    <row r="314" spans="1:65" x14ac:dyDescent="0.25">
      <c r="A314" s="122" t="s">
        <v>352</v>
      </c>
      <c r="B314" s="122" t="s">
        <v>10037</v>
      </c>
      <c r="C314" s="122" t="s">
        <v>10038</v>
      </c>
      <c r="D314" s="122" t="s">
        <v>10039</v>
      </c>
      <c r="E314" s="123">
        <v>42226</v>
      </c>
      <c r="F314" s="122" t="s">
        <v>10040</v>
      </c>
      <c r="G314" s="122" t="s">
        <v>235</v>
      </c>
      <c r="H314" s="122" t="s">
        <v>10041</v>
      </c>
      <c r="I314" s="122" t="s">
        <v>9338</v>
      </c>
      <c r="J314" s="122" t="s">
        <v>1239</v>
      </c>
      <c r="K314" s="122" t="s">
        <v>3385</v>
      </c>
      <c r="L314" s="122" t="s">
        <v>3386</v>
      </c>
      <c r="M314" s="122" t="s">
        <v>3486</v>
      </c>
      <c r="O314" s="141" t="s">
        <v>548</v>
      </c>
      <c r="P314" s="141" t="s">
        <v>10042</v>
      </c>
      <c r="Q314" s="122" t="s">
        <v>3389</v>
      </c>
      <c r="R314" s="142">
        <v>67</v>
      </c>
      <c r="S314" s="122" t="s">
        <v>10043</v>
      </c>
      <c r="U314" s="122" t="s">
        <v>3538</v>
      </c>
      <c r="W314" s="122" t="s">
        <v>246</v>
      </c>
      <c r="X314" s="122" t="s">
        <v>4409</v>
      </c>
      <c r="Y314" s="141" t="s">
        <v>1876</v>
      </c>
      <c r="Z314" s="122" t="s">
        <v>10044</v>
      </c>
      <c r="AA314" s="141" t="s">
        <v>2072</v>
      </c>
      <c r="AB314" s="122" t="s">
        <v>249</v>
      </c>
      <c r="AC314" s="141" t="s">
        <v>1090</v>
      </c>
      <c r="AD314" s="122" t="s">
        <v>10045</v>
      </c>
      <c r="AE314" s="122" t="s">
        <v>235</v>
      </c>
      <c r="AF314" s="122" t="s">
        <v>10046</v>
      </c>
      <c r="AG314" s="122" t="s">
        <v>537</v>
      </c>
      <c r="AH314" s="122" t="s">
        <v>253</v>
      </c>
      <c r="AI314" s="122" t="s">
        <v>10047</v>
      </c>
      <c r="AJ314" s="122" t="s">
        <v>10048</v>
      </c>
      <c r="AK314" s="122" t="s">
        <v>253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253</v>
      </c>
      <c r="AR314" s="141" t="s">
        <v>253</v>
      </c>
      <c r="AS314" s="141" t="s">
        <v>601</v>
      </c>
      <c r="AT314" s="141" t="s">
        <v>258</v>
      </c>
      <c r="AU314" s="141" t="s">
        <v>258</v>
      </c>
      <c r="AV314" s="122" t="s">
        <v>259</v>
      </c>
      <c r="AW314" s="122" t="s">
        <v>260</v>
      </c>
      <c r="AX314" s="141" t="s">
        <v>5018</v>
      </c>
      <c r="AY314" s="141" t="s">
        <v>247</v>
      </c>
      <c r="AZ314" s="122" t="s">
        <v>10049</v>
      </c>
      <c r="BA314" s="122" t="s">
        <v>262</v>
      </c>
      <c r="BB314" s="122" t="s">
        <v>10050</v>
      </c>
      <c r="BD314" s="122" t="s">
        <v>253</v>
      </c>
      <c r="BE314" s="122" t="s">
        <v>263</v>
      </c>
      <c r="BF314" s="122" t="s">
        <v>3547</v>
      </c>
      <c r="BH314" s="122" t="s">
        <v>3538</v>
      </c>
      <c r="BI314" s="142">
        <v>67</v>
      </c>
      <c r="BJ314" s="123">
        <v>42239</v>
      </c>
      <c r="BK314" s="139" t="s">
        <v>606</v>
      </c>
      <c r="BM314" s="122">
        <v>34</v>
      </c>
    </row>
    <row r="315" spans="1:65" x14ac:dyDescent="0.25">
      <c r="A315" s="122" t="s">
        <v>352</v>
      </c>
      <c r="B315" s="122" t="s">
        <v>10051</v>
      </c>
      <c r="C315" s="122" t="s">
        <v>10052</v>
      </c>
      <c r="D315" s="122" t="s">
        <v>10053</v>
      </c>
      <c r="E315" s="123">
        <v>42226</v>
      </c>
      <c r="F315" s="122" t="s">
        <v>10054</v>
      </c>
      <c r="G315" s="122" t="s">
        <v>235</v>
      </c>
      <c r="H315" s="122" t="s">
        <v>10055</v>
      </c>
      <c r="I315" s="122" t="s">
        <v>10056</v>
      </c>
      <c r="K315" s="122" t="s">
        <v>3385</v>
      </c>
      <c r="L315" s="122" t="s">
        <v>3554</v>
      </c>
      <c r="M315" s="122" t="s">
        <v>3736</v>
      </c>
      <c r="O315" s="141" t="s">
        <v>373</v>
      </c>
      <c r="P315" s="141" t="s">
        <v>10057</v>
      </c>
      <c r="Q315" s="122" t="s">
        <v>3389</v>
      </c>
      <c r="R315" s="142">
        <v>68</v>
      </c>
      <c r="S315" s="122" t="s">
        <v>10058</v>
      </c>
      <c r="U315" s="122" t="s">
        <v>3538</v>
      </c>
      <c r="W315" s="122" t="s">
        <v>246</v>
      </c>
      <c r="X315" s="122" t="s">
        <v>1324</v>
      </c>
      <c r="Y315" s="141" t="s">
        <v>1528</v>
      </c>
      <c r="Z315" s="122" t="s">
        <v>10059</v>
      </c>
      <c r="AA315" s="141" t="s">
        <v>457</v>
      </c>
      <c r="AB315" s="122" t="s">
        <v>3911</v>
      </c>
      <c r="AC315" s="141" t="s">
        <v>281</v>
      </c>
      <c r="AD315" s="122" t="s">
        <v>10060</v>
      </c>
      <c r="AE315" s="122" t="s">
        <v>235</v>
      </c>
      <c r="AF315" s="122" t="s">
        <v>10061</v>
      </c>
      <c r="AG315" s="122" t="s">
        <v>537</v>
      </c>
      <c r="AH315" s="122" t="s">
        <v>253</v>
      </c>
      <c r="AI315" s="122" t="s">
        <v>10062</v>
      </c>
      <c r="AJ315" s="122" t="s">
        <v>10063</v>
      </c>
      <c r="AK315" s="122" t="s">
        <v>253</v>
      </c>
      <c r="AL315" s="122" t="s">
        <v>253</v>
      </c>
      <c r="AM315" s="122" t="s">
        <v>253</v>
      </c>
      <c r="AN315" s="122" t="s">
        <v>253</v>
      </c>
      <c r="AO315" s="141" t="s">
        <v>253</v>
      </c>
      <c r="AP315" s="141" t="s">
        <v>253</v>
      </c>
      <c r="AQ315" s="141" t="s">
        <v>247</v>
      </c>
      <c r="AR315" s="141" t="s">
        <v>253</v>
      </c>
      <c r="AS315" s="141" t="s">
        <v>361</v>
      </c>
      <c r="AT315" s="141" t="s">
        <v>601</v>
      </c>
      <c r="AU315" s="141" t="s">
        <v>258</v>
      </c>
      <c r="AV315" s="122" t="s">
        <v>259</v>
      </c>
      <c r="AW315" s="122" t="s">
        <v>260</v>
      </c>
      <c r="AY315" s="141" t="s">
        <v>253</v>
      </c>
      <c r="AZ315" s="122" t="s">
        <v>10064</v>
      </c>
      <c r="BA315" s="122" t="s">
        <v>262</v>
      </c>
      <c r="BB315" s="122" t="s">
        <v>262</v>
      </c>
      <c r="BD315" s="122" t="s">
        <v>253</v>
      </c>
      <c r="BE315" s="122" t="s">
        <v>263</v>
      </c>
      <c r="BF315" s="122" t="s">
        <v>3547</v>
      </c>
      <c r="BH315" s="122" t="s">
        <v>3538</v>
      </c>
      <c r="BI315" s="142">
        <v>68</v>
      </c>
      <c r="BJ315" s="123">
        <v>42239</v>
      </c>
      <c r="BK315" s="139" t="s">
        <v>606</v>
      </c>
      <c r="BM315" s="122">
        <v>34</v>
      </c>
    </row>
    <row r="316" spans="1:65" x14ac:dyDescent="0.25">
      <c r="A316" s="122" t="s">
        <v>352</v>
      </c>
      <c r="B316" s="122" t="s">
        <v>10065</v>
      </c>
      <c r="C316" s="122" t="s">
        <v>10066</v>
      </c>
      <c r="D316" s="122" t="s">
        <v>10067</v>
      </c>
      <c r="E316" s="123">
        <v>42226</v>
      </c>
      <c r="F316" s="122" t="s">
        <v>10068</v>
      </c>
      <c r="G316" s="122" t="s">
        <v>235</v>
      </c>
      <c r="H316" s="122" t="s">
        <v>10069</v>
      </c>
      <c r="I316" s="122" t="s">
        <v>10070</v>
      </c>
      <c r="K316" s="122" t="s">
        <v>3364</v>
      </c>
      <c r="L316" s="122" t="s">
        <v>3365</v>
      </c>
      <c r="M316" s="122" t="s">
        <v>3366</v>
      </c>
      <c r="O316" s="141" t="s">
        <v>566</v>
      </c>
      <c r="P316" s="141" t="s">
        <v>10071</v>
      </c>
      <c r="Q316" s="122" t="s">
        <v>3369</v>
      </c>
      <c r="R316" s="142">
        <v>69</v>
      </c>
      <c r="S316" s="122" t="s">
        <v>10072</v>
      </c>
      <c r="U316" s="122" t="s">
        <v>3538</v>
      </c>
      <c r="W316" s="122" t="s">
        <v>246</v>
      </c>
      <c r="X316" s="122" t="s">
        <v>4409</v>
      </c>
      <c r="Y316" s="141" t="s">
        <v>3039</v>
      </c>
      <c r="Z316" s="122" t="s">
        <v>4057</v>
      </c>
      <c r="AA316" s="141" t="s">
        <v>784</v>
      </c>
      <c r="AB316" s="122" t="s">
        <v>10073</v>
      </c>
      <c r="AC316" s="141" t="s">
        <v>635</v>
      </c>
      <c r="AD316" s="122" t="s">
        <v>10074</v>
      </c>
      <c r="AE316" s="122" t="s">
        <v>235</v>
      </c>
      <c r="AF316" s="122" t="s">
        <v>10075</v>
      </c>
      <c r="AG316" s="122" t="s">
        <v>537</v>
      </c>
      <c r="AH316" s="122" t="s">
        <v>253</v>
      </c>
      <c r="AI316" s="122" t="s">
        <v>10076</v>
      </c>
      <c r="AJ316" s="122" t="s">
        <v>10077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247</v>
      </c>
      <c r="AQ316" s="141" t="s">
        <v>247</v>
      </c>
      <c r="AR316" s="141" t="s">
        <v>253</v>
      </c>
      <c r="AS316" s="141" t="s">
        <v>601</v>
      </c>
      <c r="AT316" s="141" t="s">
        <v>601</v>
      </c>
      <c r="AU316" s="141" t="s">
        <v>258</v>
      </c>
      <c r="AV316" s="122" t="s">
        <v>259</v>
      </c>
      <c r="AW316" s="122" t="s">
        <v>260</v>
      </c>
      <c r="AY316" s="141" t="s">
        <v>253</v>
      </c>
      <c r="AZ316" s="122" t="s">
        <v>10078</v>
      </c>
      <c r="BA316" s="122" t="s">
        <v>262</v>
      </c>
      <c r="BB316" s="122" t="s">
        <v>262</v>
      </c>
      <c r="BD316" s="122" t="s">
        <v>253</v>
      </c>
      <c r="BE316" s="122" t="s">
        <v>263</v>
      </c>
      <c r="BF316" s="122" t="s">
        <v>3547</v>
      </c>
      <c r="BH316" s="122" t="s">
        <v>3538</v>
      </c>
      <c r="BI316" s="142">
        <v>69</v>
      </c>
      <c r="BJ316" s="123">
        <v>42230</v>
      </c>
      <c r="BK316" s="139" t="s">
        <v>264</v>
      </c>
      <c r="BL316" s="140">
        <v>153.69999999999999</v>
      </c>
      <c r="BM316" s="122">
        <v>33</v>
      </c>
    </row>
    <row r="317" spans="1:65" x14ac:dyDescent="0.25">
      <c r="A317" s="122" t="s">
        <v>352</v>
      </c>
      <c r="B317" s="122" t="s">
        <v>10079</v>
      </c>
      <c r="C317" s="122" t="s">
        <v>10080</v>
      </c>
      <c r="D317" s="122" t="s">
        <v>10081</v>
      </c>
      <c r="E317" s="123">
        <v>42226</v>
      </c>
      <c r="F317" s="122" t="s">
        <v>455</v>
      </c>
      <c r="G317" s="122" t="s">
        <v>235</v>
      </c>
      <c r="H317" s="122" t="s">
        <v>10082</v>
      </c>
      <c r="I317" s="122" t="s">
        <v>9182</v>
      </c>
      <c r="J317" s="122" t="s">
        <v>8706</v>
      </c>
      <c r="K317" s="122" t="s">
        <v>3385</v>
      </c>
      <c r="L317" s="122" t="s">
        <v>3386</v>
      </c>
      <c r="M317" s="122" t="s">
        <v>3486</v>
      </c>
      <c r="O317" s="141" t="s">
        <v>373</v>
      </c>
      <c r="P317" s="141" t="s">
        <v>10083</v>
      </c>
      <c r="Q317" s="122" t="s">
        <v>3389</v>
      </c>
      <c r="R317" s="142">
        <v>70</v>
      </c>
      <c r="S317" s="122" t="s">
        <v>10084</v>
      </c>
      <c r="U317" s="122" t="s">
        <v>3538</v>
      </c>
      <c r="W317" s="122" t="s">
        <v>246</v>
      </c>
      <c r="X317" s="122" t="s">
        <v>4409</v>
      </c>
      <c r="Y317" s="141" t="s">
        <v>593</v>
      </c>
      <c r="Z317" s="122" t="s">
        <v>307</v>
      </c>
      <c r="AA317" s="141" t="s">
        <v>593</v>
      </c>
      <c r="AB317" s="122" t="s">
        <v>10085</v>
      </c>
      <c r="AC317" s="141" t="s">
        <v>2363</v>
      </c>
      <c r="AD317" s="122" t="s">
        <v>10086</v>
      </c>
      <c r="AE317" s="122" t="s">
        <v>235</v>
      </c>
      <c r="AF317" s="122" t="s">
        <v>10087</v>
      </c>
      <c r="AG317" s="122" t="s">
        <v>537</v>
      </c>
      <c r="AH317" s="122" t="s">
        <v>253</v>
      </c>
      <c r="AI317" s="122" t="s">
        <v>4427</v>
      </c>
      <c r="AJ317" s="122" t="s">
        <v>10088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253</v>
      </c>
      <c r="AP317" s="141" t="s">
        <v>253</v>
      </c>
      <c r="AQ317" s="141" t="s">
        <v>247</v>
      </c>
      <c r="AR317" s="141" t="s">
        <v>253</v>
      </c>
      <c r="AS317" s="141" t="s">
        <v>361</v>
      </c>
      <c r="AT317" s="141" t="s">
        <v>601</v>
      </c>
      <c r="AU317" s="141" t="s">
        <v>258</v>
      </c>
      <c r="AV317" s="122" t="s">
        <v>259</v>
      </c>
      <c r="AW317" s="122" t="s">
        <v>260</v>
      </c>
      <c r="AY317" s="141" t="s">
        <v>253</v>
      </c>
      <c r="AZ317" s="122" t="s">
        <v>10089</v>
      </c>
      <c r="BA317" s="122" t="s">
        <v>262</v>
      </c>
      <c r="BB317" s="122" t="s">
        <v>262</v>
      </c>
      <c r="BD317" s="122" t="s">
        <v>253</v>
      </c>
      <c r="BE317" s="122" t="s">
        <v>263</v>
      </c>
      <c r="BF317" s="122" t="s">
        <v>3547</v>
      </c>
      <c r="BH317" s="122" t="s">
        <v>3538</v>
      </c>
      <c r="BI317" s="142">
        <v>70</v>
      </c>
      <c r="BJ317" s="123">
        <v>42239</v>
      </c>
      <c r="BK317" s="139" t="s">
        <v>606</v>
      </c>
      <c r="BM317" s="122">
        <v>34</v>
      </c>
    </row>
    <row r="318" spans="1:65" x14ac:dyDescent="0.25">
      <c r="A318" s="122" t="s">
        <v>3037</v>
      </c>
      <c r="B318" s="122" t="s">
        <v>10090</v>
      </c>
      <c r="C318" s="122" t="s">
        <v>4402</v>
      </c>
      <c r="D318" s="122" t="s">
        <v>4403</v>
      </c>
      <c r="E318" s="123">
        <v>42226</v>
      </c>
      <c r="F318" s="122" t="s">
        <v>2701</v>
      </c>
      <c r="G318" s="122" t="s">
        <v>235</v>
      </c>
      <c r="H318" s="122" t="s">
        <v>4404</v>
      </c>
      <c r="I318" s="122" t="s">
        <v>4405</v>
      </c>
      <c r="K318" s="122" t="s">
        <v>3385</v>
      </c>
      <c r="L318" s="122" t="s">
        <v>3554</v>
      </c>
      <c r="M318" s="122" t="s">
        <v>3570</v>
      </c>
      <c r="O318" s="141" t="s">
        <v>451</v>
      </c>
      <c r="P318" s="141" t="s">
        <v>4406</v>
      </c>
      <c r="Q318" s="122" t="s">
        <v>3389</v>
      </c>
      <c r="R318" s="142">
        <v>71</v>
      </c>
      <c r="S318" s="122" t="s">
        <v>4407</v>
      </c>
      <c r="T318" s="122" t="s">
        <v>4408</v>
      </c>
      <c r="U318" s="122" t="s">
        <v>3538</v>
      </c>
      <c r="W318" s="122" t="s">
        <v>246</v>
      </c>
      <c r="X318" s="122" t="s">
        <v>4409</v>
      </c>
      <c r="Y318" s="141" t="s">
        <v>2257</v>
      </c>
      <c r="Z318" s="122" t="s">
        <v>4410</v>
      </c>
      <c r="AB318" s="122" t="s">
        <v>250</v>
      </c>
      <c r="AD318" s="122" t="s">
        <v>250</v>
      </c>
      <c r="AE318" s="122" t="s">
        <v>235</v>
      </c>
      <c r="AF318" s="122" t="s">
        <v>10091</v>
      </c>
      <c r="AG318" s="122" t="s">
        <v>537</v>
      </c>
      <c r="AH318" s="122" t="s">
        <v>253</v>
      </c>
      <c r="AI318" s="122" t="s">
        <v>4412</v>
      </c>
      <c r="AJ318" s="122" t="s">
        <v>4413</v>
      </c>
      <c r="AK318" s="122" t="s">
        <v>253</v>
      </c>
      <c r="AL318" s="122" t="s">
        <v>4414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247</v>
      </c>
      <c r="AS318" s="141" t="s">
        <v>601</v>
      </c>
      <c r="AT318" s="141" t="s">
        <v>601</v>
      </c>
      <c r="AU318" s="141" t="s">
        <v>601</v>
      </c>
      <c r="AV318" s="122" t="s">
        <v>259</v>
      </c>
      <c r="AW318" s="122" t="s">
        <v>556</v>
      </c>
      <c r="AX318" s="141" t="s">
        <v>1046</v>
      </c>
      <c r="AY318" s="141" t="s">
        <v>247</v>
      </c>
      <c r="AZ318" s="122" t="s">
        <v>4415</v>
      </c>
      <c r="BA318" s="122" t="s">
        <v>262</v>
      </c>
      <c r="BB318" s="122" t="s">
        <v>4416</v>
      </c>
      <c r="BD318" s="122" t="s">
        <v>253</v>
      </c>
      <c r="BE318" s="122" t="s">
        <v>263</v>
      </c>
      <c r="BF318" s="122" t="s">
        <v>3547</v>
      </c>
      <c r="BH318" s="122" t="s">
        <v>3538</v>
      </c>
      <c r="BI318" s="142">
        <v>71</v>
      </c>
      <c r="BK318" s="139" t="s">
        <v>558</v>
      </c>
    </row>
    <row r="319" spans="1:65" x14ac:dyDescent="0.25">
      <c r="A319" s="122" t="s">
        <v>1161</v>
      </c>
      <c r="B319" s="122" t="s">
        <v>10092</v>
      </c>
      <c r="C319" s="122" t="s">
        <v>10093</v>
      </c>
      <c r="D319" s="122" t="s">
        <v>10094</v>
      </c>
      <c r="E319" s="123">
        <v>42226</v>
      </c>
      <c r="F319" s="122" t="s">
        <v>1260</v>
      </c>
      <c r="G319" s="122" t="s">
        <v>235</v>
      </c>
      <c r="H319" s="122" t="s">
        <v>10095</v>
      </c>
      <c r="I319" s="122" t="s">
        <v>9207</v>
      </c>
      <c r="J319" s="122" t="s">
        <v>10096</v>
      </c>
      <c r="K319" s="122" t="s">
        <v>3385</v>
      </c>
      <c r="L319" s="122" t="s">
        <v>3386</v>
      </c>
      <c r="M319" s="122" t="s">
        <v>3486</v>
      </c>
      <c r="O319" s="141" t="s">
        <v>451</v>
      </c>
      <c r="P319" s="141" t="s">
        <v>10097</v>
      </c>
      <c r="Q319" s="122" t="s">
        <v>3389</v>
      </c>
      <c r="R319" s="142">
        <v>72</v>
      </c>
      <c r="S319" s="122" t="s">
        <v>10098</v>
      </c>
      <c r="T319" s="122" t="s">
        <v>10099</v>
      </c>
      <c r="U319" s="122" t="s">
        <v>3538</v>
      </c>
      <c r="W319" s="122" t="s">
        <v>246</v>
      </c>
      <c r="X319" s="122" t="s">
        <v>2657</v>
      </c>
      <c r="Z319" s="122" t="s">
        <v>250</v>
      </c>
      <c r="AB319" s="122" t="s">
        <v>250</v>
      </c>
      <c r="AD319" s="122" t="s">
        <v>250</v>
      </c>
      <c r="AE319" s="122" t="s">
        <v>235</v>
      </c>
      <c r="AF319" s="122" t="s">
        <v>10100</v>
      </c>
      <c r="AG319" s="122" t="s">
        <v>253</v>
      </c>
      <c r="AH319" s="122" t="s">
        <v>253</v>
      </c>
      <c r="AI319" s="122" t="s">
        <v>10101</v>
      </c>
      <c r="AJ319" s="122" t="s">
        <v>10102</v>
      </c>
      <c r="AK319" s="122" t="s">
        <v>10103</v>
      </c>
      <c r="AL319" s="122" t="s">
        <v>10104</v>
      </c>
      <c r="AM319" s="122" t="s">
        <v>253</v>
      </c>
      <c r="AN319" s="122" t="s">
        <v>253</v>
      </c>
      <c r="AO319" s="141" t="s">
        <v>253</v>
      </c>
      <c r="AP319" s="141" t="s">
        <v>253</v>
      </c>
      <c r="AQ319" s="141" t="s">
        <v>253</v>
      </c>
      <c r="AR319" s="141" t="s">
        <v>247</v>
      </c>
      <c r="AS319" s="141" t="s">
        <v>361</v>
      </c>
      <c r="AT319" s="141" t="s">
        <v>258</v>
      </c>
      <c r="AU319" s="141" t="s">
        <v>601</v>
      </c>
      <c r="AV319" s="122" t="s">
        <v>259</v>
      </c>
      <c r="AW319" s="122" t="s">
        <v>556</v>
      </c>
      <c r="AY319" s="141" t="s">
        <v>253</v>
      </c>
      <c r="AZ319" s="122" t="s">
        <v>10105</v>
      </c>
      <c r="BA319" s="122" t="s">
        <v>262</v>
      </c>
      <c r="BB319" s="122" t="s">
        <v>262</v>
      </c>
      <c r="BD319" s="122" t="s">
        <v>253</v>
      </c>
      <c r="BE319" s="122" t="s">
        <v>263</v>
      </c>
      <c r="BF319" s="122" t="s">
        <v>3547</v>
      </c>
      <c r="BH319" s="122" t="s">
        <v>3538</v>
      </c>
      <c r="BI319" s="142">
        <v>72</v>
      </c>
      <c r="BJ319" s="123">
        <v>42239</v>
      </c>
      <c r="BK319" s="139" t="s">
        <v>606</v>
      </c>
      <c r="BM319" s="122">
        <v>34</v>
      </c>
    </row>
    <row r="320" spans="1:65" x14ac:dyDescent="0.25">
      <c r="A320" s="122" t="s">
        <v>1161</v>
      </c>
      <c r="B320" s="122" t="s">
        <v>10106</v>
      </c>
      <c r="C320" s="122" t="s">
        <v>10107</v>
      </c>
      <c r="D320" s="122" t="s">
        <v>10108</v>
      </c>
      <c r="E320" s="123">
        <v>42226</v>
      </c>
      <c r="F320" s="122" t="s">
        <v>1143</v>
      </c>
      <c r="G320" s="122" t="s">
        <v>235</v>
      </c>
      <c r="H320" s="122" t="s">
        <v>10109</v>
      </c>
      <c r="I320" s="122" t="s">
        <v>4156</v>
      </c>
      <c r="J320" s="122" t="s">
        <v>9918</v>
      </c>
      <c r="K320" s="122" t="s">
        <v>3452</v>
      </c>
      <c r="L320" s="122" t="s">
        <v>3453</v>
      </c>
      <c r="M320" s="122" t="s">
        <v>3454</v>
      </c>
      <c r="O320" s="141" t="s">
        <v>566</v>
      </c>
      <c r="P320" s="141" t="s">
        <v>10110</v>
      </c>
      <c r="Q320" s="122" t="s">
        <v>3389</v>
      </c>
      <c r="R320" s="142">
        <v>73</v>
      </c>
      <c r="S320" s="122" t="s">
        <v>10111</v>
      </c>
      <c r="U320" s="122" t="s">
        <v>3538</v>
      </c>
      <c r="W320" s="122" t="s">
        <v>246</v>
      </c>
      <c r="X320" s="122" t="s">
        <v>433</v>
      </c>
      <c r="Z320" s="122" t="s">
        <v>250</v>
      </c>
      <c r="AB320" s="122" t="s">
        <v>250</v>
      </c>
      <c r="AD320" s="122" t="s">
        <v>250</v>
      </c>
      <c r="AE320" s="122" t="s">
        <v>235</v>
      </c>
      <c r="AF320" s="122" t="s">
        <v>10112</v>
      </c>
      <c r="AG320" s="122" t="s">
        <v>2943</v>
      </c>
      <c r="AH320" s="122" t="s">
        <v>253</v>
      </c>
      <c r="AI320" s="122" t="s">
        <v>10113</v>
      </c>
      <c r="AJ320" s="122" t="s">
        <v>10114</v>
      </c>
      <c r="AK320" s="122" t="s">
        <v>10115</v>
      </c>
      <c r="AL320" s="122" t="s">
        <v>253</v>
      </c>
      <c r="AM320" s="122" t="s">
        <v>253</v>
      </c>
      <c r="AN320" s="122" t="s">
        <v>253</v>
      </c>
      <c r="AO320" s="141" t="s">
        <v>253</v>
      </c>
      <c r="AP320" s="141" t="s">
        <v>253</v>
      </c>
      <c r="AQ320" s="141" t="s">
        <v>253</v>
      </c>
      <c r="AR320" s="141" t="s">
        <v>247</v>
      </c>
      <c r="AS320" s="141" t="s">
        <v>361</v>
      </c>
      <c r="AT320" s="141" t="s">
        <v>258</v>
      </c>
      <c r="AU320" s="141" t="s">
        <v>601</v>
      </c>
      <c r="AV320" s="122" t="s">
        <v>259</v>
      </c>
      <c r="AW320" s="122" t="s">
        <v>556</v>
      </c>
      <c r="AY320" s="141" t="s">
        <v>253</v>
      </c>
      <c r="AZ320" s="122" t="s">
        <v>10116</v>
      </c>
      <c r="BA320" s="122" t="s">
        <v>262</v>
      </c>
      <c r="BB320" s="122" t="s">
        <v>262</v>
      </c>
      <c r="BD320" s="122" t="s">
        <v>253</v>
      </c>
      <c r="BE320" s="122" t="s">
        <v>263</v>
      </c>
      <c r="BF320" s="122" t="s">
        <v>3547</v>
      </c>
      <c r="BH320" s="122" t="s">
        <v>3538</v>
      </c>
      <c r="BI320" s="142">
        <v>73</v>
      </c>
      <c r="BJ320" s="123">
        <v>42239</v>
      </c>
      <c r="BK320" s="139" t="s">
        <v>606</v>
      </c>
      <c r="BM320" s="122">
        <v>34</v>
      </c>
    </row>
    <row r="321" spans="1:65" x14ac:dyDescent="0.25">
      <c r="A321" s="122" t="s">
        <v>1161</v>
      </c>
      <c r="B321" s="122" t="s">
        <v>10117</v>
      </c>
      <c r="C321" s="122" t="s">
        <v>4519</v>
      </c>
      <c r="D321" s="122" t="s">
        <v>4520</v>
      </c>
      <c r="E321" s="123">
        <v>42226</v>
      </c>
      <c r="F321" s="122" t="s">
        <v>4521</v>
      </c>
      <c r="G321" s="122" t="s">
        <v>235</v>
      </c>
      <c r="H321" s="122" t="s">
        <v>4522</v>
      </c>
      <c r="I321" s="122" t="s">
        <v>4523</v>
      </c>
      <c r="J321" s="122" t="s">
        <v>1018</v>
      </c>
      <c r="K321" s="122" t="s">
        <v>3385</v>
      </c>
      <c r="L321" s="122" t="s">
        <v>3554</v>
      </c>
      <c r="M321" s="122" t="s">
        <v>3570</v>
      </c>
      <c r="O321" s="141" t="s">
        <v>494</v>
      </c>
      <c r="P321" s="141" t="s">
        <v>4524</v>
      </c>
      <c r="Q321" s="122" t="s">
        <v>3389</v>
      </c>
      <c r="R321" s="142">
        <v>74</v>
      </c>
      <c r="S321" s="122" t="s">
        <v>4525</v>
      </c>
      <c r="U321" s="122" t="s">
        <v>3538</v>
      </c>
      <c r="W321" s="122" t="s">
        <v>246</v>
      </c>
      <c r="X321" s="122" t="s">
        <v>590</v>
      </c>
      <c r="Y321" s="141" t="s">
        <v>1528</v>
      </c>
      <c r="Z321" s="122" t="s">
        <v>4526</v>
      </c>
      <c r="AA321" s="141" t="s">
        <v>457</v>
      </c>
      <c r="AB321" s="122" t="s">
        <v>4526</v>
      </c>
      <c r="AC321" s="141" t="s">
        <v>367</v>
      </c>
      <c r="AD321" s="122" t="s">
        <v>4526</v>
      </c>
      <c r="AE321" s="122" t="s">
        <v>235</v>
      </c>
      <c r="AF321" s="122" t="s">
        <v>4527</v>
      </c>
      <c r="AG321" s="122" t="s">
        <v>537</v>
      </c>
      <c r="AH321" s="122" t="s">
        <v>253</v>
      </c>
      <c r="AI321" s="122" t="s">
        <v>4528</v>
      </c>
      <c r="AJ321" s="122" t="s">
        <v>4529</v>
      </c>
      <c r="AK321" s="122" t="s">
        <v>253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253</v>
      </c>
      <c r="AQ321" s="141" t="s">
        <v>253</v>
      </c>
      <c r="AR321" s="141" t="s">
        <v>247</v>
      </c>
      <c r="AS321" s="141" t="s">
        <v>601</v>
      </c>
      <c r="AT321" s="141" t="s">
        <v>258</v>
      </c>
      <c r="AU321" s="141" t="s">
        <v>601</v>
      </c>
      <c r="AV321" s="122" t="s">
        <v>259</v>
      </c>
      <c r="AW321" s="122" t="s">
        <v>556</v>
      </c>
      <c r="AX321" s="141" t="s">
        <v>790</v>
      </c>
      <c r="AY321" s="141" t="s">
        <v>247</v>
      </c>
      <c r="AZ321" s="122" t="s">
        <v>4530</v>
      </c>
      <c r="BA321" s="122" t="s">
        <v>262</v>
      </c>
      <c r="BB321" s="122" t="s">
        <v>262</v>
      </c>
      <c r="BD321" s="122" t="s">
        <v>253</v>
      </c>
      <c r="BE321" s="122" t="s">
        <v>263</v>
      </c>
      <c r="BF321" s="122" t="s">
        <v>3547</v>
      </c>
      <c r="BH321" s="122" t="s">
        <v>3538</v>
      </c>
      <c r="BI321" s="142">
        <v>74</v>
      </c>
      <c r="BK321" s="139" t="s">
        <v>558</v>
      </c>
    </row>
    <row r="322" spans="1:65" x14ac:dyDescent="0.25">
      <c r="A322" s="122" t="s">
        <v>1161</v>
      </c>
      <c r="B322" s="122" t="s">
        <v>10118</v>
      </c>
      <c r="C322" s="122" t="s">
        <v>4548</v>
      </c>
      <c r="D322" s="122" t="s">
        <v>4549</v>
      </c>
      <c r="E322" s="123">
        <v>42226</v>
      </c>
      <c r="F322" s="122" t="s">
        <v>901</v>
      </c>
      <c r="G322" s="122" t="s">
        <v>235</v>
      </c>
      <c r="H322" s="122" t="s">
        <v>448</v>
      </c>
      <c r="I322" s="122" t="s">
        <v>4550</v>
      </c>
      <c r="K322" s="122" t="s">
        <v>3385</v>
      </c>
      <c r="L322" s="122" t="s">
        <v>3554</v>
      </c>
      <c r="M322" s="122" t="s">
        <v>3846</v>
      </c>
      <c r="O322" s="141" t="s">
        <v>451</v>
      </c>
      <c r="P322" s="141" t="s">
        <v>4551</v>
      </c>
      <c r="Q322" s="122" t="s">
        <v>3389</v>
      </c>
      <c r="R322" s="142">
        <v>75</v>
      </c>
      <c r="S322" s="122" t="s">
        <v>4552</v>
      </c>
      <c r="U322" s="122" t="s">
        <v>3538</v>
      </c>
      <c r="W322" s="122" t="s">
        <v>246</v>
      </c>
      <c r="X322" s="122" t="s">
        <v>1057</v>
      </c>
      <c r="Y322" s="141" t="s">
        <v>1162</v>
      </c>
      <c r="Z322" s="122" t="s">
        <v>4553</v>
      </c>
      <c r="AA322" s="141" t="s">
        <v>455</v>
      </c>
      <c r="AB322" s="122" t="s">
        <v>4554</v>
      </c>
      <c r="AC322" s="141" t="s">
        <v>595</v>
      </c>
      <c r="AD322" s="122" t="s">
        <v>1326</v>
      </c>
      <c r="AE322" s="122" t="s">
        <v>235</v>
      </c>
      <c r="AF322" s="122" t="s">
        <v>4555</v>
      </c>
      <c r="AG322" s="122" t="s">
        <v>747</v>
      </c>
      <c r="AH322" s="122" t="s">
        <v>253</v>
      </c>
      <c r="AI322" s="122" t="s">
        <v>4556</v>
      </c>
      <c r="AJ322" s="122" t="s">
        <v>3099</v>
      </c>
      <c r="AK322" s="122" t="s">
        <v>4557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247</v>
      </c>
      <c r="AQ322" s="141" t="s">
        <v>247</v>
      </c>
      <c r="AR322" s="141" t="s">
        <v>247</v>
      </c>
      <c r="AS322" s="141" t="s">
        <v>601</v>
      </c>
      <c r="AT322" s="141" t="s">
        <v>601</v>
      </c>
      <c r="AU322" s="141" t="s">
        <v>601</v>
      </c>
      <c r="AV322" s="122" t="s">
        <v>259</v>
      </c>
      <c r="AW322" s="122" t="s">
        <v>556</v>
      </c>
      <c r="AX322" s="141" t="s">
        <v>1130</v>
      </c>
      <c r="AY322" s="141" t="s">
        <v>603</v>
      </c>
      <c r="AZ322" s="122" t="s">
        <v>262</v>
      </c>
      <c r="BA322" s="122" t="s">
        <v>262</v>
      </c>
      <c r="BB322" s="122" t="s">
        <v>4558</v>
      </c>
      <c r="BD322" s="122" t="s">
        <v>247</v>
      </c>
      <c r="BE322" s="122" t="s">
        <v>263</v>
      </c>
      <c r="BF322" s="122" t="s">
        <v>3547</v>
      </c>
      <c r="BH322" s="122" t="s">
        <v>3538</v>
      </c>
      <c r="BI322" s="142">
        <v>75</v>
      </c>
      <c r="BK322" s="139" t="s">
        <v>558</v>
      </c>
    </row>
    <row r="323" spans="1:65" x14ac:dyDescent="0.25">
      <c r="A323" s="122" t="s">
        <v>1161</v>
      </c>
      <c r="B323" s="122" t="s">
        <v>10119</v>
      </c>
      <c r="C323" s="122" t="s">
        <v>4442</v>
      </c>
      <c r="D323" s="122" t="s">
        <v>4443</v>
      </c>
      <c r="E323" s="123">
        <v>42226</v>
      </c>
      <c r="F323" s="122" t="s">
        <v>4444</v>
      </c>
      <c r="G323" s="122" t="s">
        <v>235</v>
      </c>
      <c r="H323" s="122" t="s">
        <v>4267</v>
      </c>
      <c r="I323" s="122" t="s">
        <v>4445</v>
      </c>
      <c r="J323" s="122" t="s">
        <v>4446</v>
      </c>
      <c r="K323" s="122" t="s">
        <v>3385</v>
      </c>
      <c r="L323" s="122" t="s">
        <v>3386</v>
      </c>
      <c r="M323" s="122" t="s">
        <v>3405</v>
      </c>
      <c r="O323" s="141" t="s">
        <v>273</v>
      </c>
      <c r="P323" s="141" t="s">
        <v>4447</v>
      </c>
      <c r="Q323" s="122" t="s">
        <v>3389</v>
      </c>
      <c r="R323" s="142">
        <v>76</v>
      </c>
      <c r="S323" s="122" t="s">
        <v>4448</v>
      </c>
      <c r="U323" s="122" t="s">
        <v>3538</v>
      </c>
      <c r="W323" s="122" t="s">
        <v>246</v>
      </c>
      <c r="X323" s="122" t="s">
        <v>551</v>
      </c>
      <c r="Y323" s="141" t="s">
        <v>3230</v>
      </c>
      <c r="Z323" s="122" t="s">
        <v>4449</v>
      </c>
      <c r="AA323" s="141" t="s">
        <v>2804</v>
      </c>
      <c r="AB323" s="122" t="s">
        <v>4450</v>
      </c>
      <c r="AC323" s="141" t="s">
        <v>1325</v>
      </c>
      <c r="AD323" s="122" t="s">
        <v>4451</v>
      </c>
      <c r="AE323" s="122" t="s">
        <v>235</v>
      </c>
      <c r="AF323" s="122" t="s">
        <v>10120</v>
      </c>
      <c r="AG323" s="122" t="s">
        <v>537</v>
      </c>
      <c r="AH323" s="122" t="s">
        <v>253</v>
      </c>
      <c r="AI323" s="122" t="s">
        <v>4453</v>
      </c>
      <c r="AJ323" s="122" t="s">
        <v>4454</v>
      </c>
      <c r="AK323" s="122" t="s">
        <v>4455</v>
      </c>
      <c r="AL323" s="122" t="s">
        <v>253</v>
      </c>
      <c r="AM323" s="122" t="s">
        <v>253</v>
      </c>
      <c r="AN323" s="122" t="s">
        <v>253</v>
      </c>
      <c r="AO323" s="141" t="s">
        <v>247</v>
      </c>
      <c r="AP323" s="141" t="s">
        <v>247</v>
      </c>
      <c r="AQ323" s="141" t="s">
        <v>247</v>
      </c>
      <c r="AR323" s="141" t="s">
        <v>247</v>
      </c>
      <c r="AS323" s="141" t="s">
        <v>601</v>
      </c>
      <c r="AT323" s="141" t="s">
        <v>601</v>
      </c>
      <c r="AU323" s="141" t="s">
        <v>601</v>
      </c>
      <c r="AV323" s="122" t="s">
        <v>259</v>
      </c>
      <c r="AW323" s="122" t="s">
        <v>556</v>
      </c>
      <c r="AX323" s="141" t="s">
        <v>1130</v>
      </c>
      <c r="AY323" s="141" t="s">
        <v>603</v>
      </c>
      <c r="AZ323" s="122" t="s">
        <v>4279</v>
      </c>
      <c r="BA323" s="122" t="s">
        <v>262</v>
      </c>
      <c r="BB323" s="122" t="s">
        <v>4456</v>
      </c>
      <c r="BD323" s="122" t="s">
        <v>253</v>
      </c>
      <c r="BE323" s="122" t="s">
        <v>263</v>
      </c>
      <c r="BF323" s="122" t="s">
        <v>3547</v>
      </c>
      <c r="BH323" s="122" t="s">
        <v>3538</v>
      </c>
      <c r="BI323" s="142">
        <v>76</v>
      </c>
      <c r="BK323" s="139" t="s">
        <v>558</v>
      </c>
    </row>
    <row r="324" spans="1:65" x14ac:dyDescent="0.25">
      <c r="A324" s="122" t="s">
        <v>6735</v>
      </c>
      <c r="B324" s="122" t="s">
        <v>10121</v>
      </c>
      <c r="C324" s="122" t="s">
        <v>9298</v>
      </c>
      <c r="D324" s="122" t="s">
        <v>9299</v>
      </c>
      <c r="E324" s="123">
        <v>42226</v>
      </c>
      <c r="F324" s="122" t="s">
        <v>2373</v>
      </c>
      <c r="G324" s="122" t="s">
        <v>235</v>
      </c>
      <c r="H324" s="122" t="s">
        <v>9300</v>
      </c>
      <c r="I324" s="122" t="s">
        <v>9301</v>
      </c>
      <c r="K324" s="122" t="s">
        <v>3385</v>
      </c>
      <c r="L324" s="122" t="s">
        <v>3386</v>
      </c>
      <c r="M324" s="122" t="s">
        <v>3486</v>
      </c>
      <c r="O324" s="141" t="s">
        <v>566</v>
      </c>
      <c r="P324" s="141" t="s">
        <v>9302</v>
      </c>
      <c r="Q324" s="122" t="s">
        <v>3389</v>
      </c>
      <c r="R324" s="142">
        <v>77</v>
      </c>
      <c r="S324" s="122" t="s">
        <v>9303</v>
      </c>
      <c r="U324" s="122" t="s">
        <v>3538</v>
      </c>
      <c r="W324" s="122" t="s">
        <v>246</v>
      </c>
      <c r="X324" s="122" t="s">
        <v>739</v>
      </c>
      <c r="Y324" s="141" t="s">
        <v>973</v>
      </c>
      <c r="Z324" s="122" t="s">
        <v>355</v>
      </c>
      <c r="AA324" s="141" t="s">
        <v>593</v>
      </c>
      <c r="AB324" s="122" t="s">
        <v>355</v>
      </c>
      <c r="AC324" s="141" t="s">
        <v>356</v>
      </c>
      <c r="AD324" s="122" t="s">
        <v>9304</v>
      </c>
      <c r="AE324" s="122" t="s">
        <v>235</v>
      </c>
      <c r="AF324" s="122" t="s">
        <v>9305</v>
      </c>
      <c r="AG324" s="122" t="s">
        <v>537</v>
      </c>
      <c r="AH324" s="122" t="s">
        <v>253</v>
      </c>
      <c r="AI324" s="122" t="s">
        <v>9306</v>
      </c>
      <c r="AJ324" s="122" t="s">
        <v>9307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556</v>
      </c>
      <c r="AX324" s="141" t="s">
        <v>9308</v>
      </c>
      <c r="AY324" s="141" t="s">
        <v>247</v>
      </c>
      <c r="AZ324" s="122" t="s">
        <v>9309</v>
      </c>
      <c r="BA324" s="122" t="s">
        <v>262</v>
      </c>
      <c r="BB324" s="122" t="s">
        <v>9310</v>
      </c>
      <c r="BD324" s="122" t="s">
        <v>253</v>
      </c>
      <c r="BE324" s="122" t="s">
        <v>263</v>
      </c>
      <c r="BF324" s="122" t="s">
        <v>3547</v>
      </c>
      <c r="BH324" s="122" t="s">
        <v>3538</v>
      </c>
      <c r="BI324" s="142">
        <v>77</v>
      </c>
      <c r="BK324" s="139" t="s">
        <v>558</v>
      </c>
    </row>
    <row r="325" spans="1:65" x14ac:dyDescent="0.25">
      <c r="A325" s="122" t="s">
        <v>3037</v>
      </c>
      <c r="B325" s="122" t="s">
        <v>10122</v>
      </c>
      <c r="C325" s="122" t="s">
        <v>4325</v>
      </c>
      <c r="D325" s="122" t="s">
        <v>4326</v>
      </c>
      <c r="E325" s="123">
        <v>42226</v>
      </c>
      <c r="F325" s="122" t="s">
        <v>4327</v>
      </c>
      <c r="G325" s="122" t="s">
        <v>235</v>
      </c>
      <c r="H325" s="122" t="s">
        <v>4328</v>
      </c>
      <c r="I325" s="122" t="s">
        <v>4329</v>
      </c>
      <c r="K325" s="122" t="s">
        <v>3385</v>
      </c>
      <c r="L325" s="122" t="s">
        <v>3386</v>
      </c>
      <c r="M325" s="122" t="s">
        <v>3405</v>
      </c>
      <c r="O325" s="141" t="s">
        <v>299</v>
      </c>
      <c r="P325" s="141" t="s">
        <v>4330</v>
      </c>
      <c r="Q325" s="122" t="s">
        <v>3389</v>
      </c>
      <c r="R325" s="142">
        <v>78</v>
      </c>
      <c r="S325" s="122" t="s">
        <v>4331</v>
      </c>
      <c r="U325" s="122" t="s">
        <v>3538</v>
      </c>
      <c r="W325" s="122" t="s">
        <v>246</v>
      </c>
      <c r="X325" s="122" t="s">
        <v>278</v>
      </c>
      <c r="Y325" s="141" t="s">
        <v>2257</v>
      </c>
      <c r="Z325" s="122" t="s">
        <v>4332</v>
      </c>
      <c r="AA325" s="141" t="s">
        <v>234</v>
      </c>
      <c r="AB325" s="122" t="s">
        <v>355</v>
      </c>
      <c r="AC325" s="141" t="s">
        <v>901</v>
      </c>
      <c r="AD325" s="122" t="s">
        <v>4333</v>
      </c>
      <c r="AE325" s="122" t="s">
        <v>235</v>
      </c>
      <c r="AF325" s="122" t="s">
        <v>10123</v>
      </c>
      <c r="AG325" s="122" t="s">
        <v>537</v>
      </c>
      <c r="AH325" s="122" t="s">
        <v>253</v>
      </c>
      <c r="AI325" s="122" t="s">
        <v>4335</v>
      </c>
      <c r="AJ325" s="122" t="s">
        <v>4336</v>
      </c>
      <c r="AK325" s="122" t="s">
        <v>253</v>
      </c>
      <c r="AL325" s="122" t="s">
        <v>4337</v>
      </c>
      <c r="AM325" s="122" t="s">
        <v>253</v>
      </c>
      <c r="AN325" s="122" t="s">
        <v>253</v>
      </c>
      <c r="AO325" s="141" t="s">
        <v>247</v>
      </c>
      <c r="AP325" s="141" t="s">
        <v>247</v>
      </c>
      <c r="AQ325" s="141" t="s">
        <v>247</v>
      </c>
      <c r="AR325" s="141" t="s">
        <v>247</v>
      </c>
      <c r="AS325" s="141" t="s">
        <v>601</v>
      </c>
      <c r="AT325" s="141" t="s">
        <v>601</v>
      </c>
      <c r="AU325" s="141" t="s">
        <v>601</v>
      </c>
      <c r="AV325" s="122" t="s">
        <v>259</v>
      </c>
      <c r="AW325" s="122" t="s">
        <v>556</v>
      </c>
      <c r="AX325" s="141" t="s">
        <v>1046</v>
      </c>
      <c r="AY325" s="141" t="s">
        <v>247</v>
      </c>
      <c r="AZ325" s="122" t="s">
        <v>4338</v>
      </c>
      <c r="BA325" s="122" t="s">
        <v>262</v>
      </c>
      <c r="BB325" s="122" t="s">
        <v>262</v>
      </c>
      <c r="BC325" s="141" t="s">
        <v>312</v>
      </c>
      <c r="BD325" s="122" t="s">
        <v>253</v>
      </c>
      <c r="BE325" s="122" t="s">
        <v>263</v>
      </c>
      <c r="BF325" s="122" t="s">
        <v>3547</v>
      </c>
      <c r="BH325" s="122" t="s">
        <v>3538</v>
      </c>
      <c r="BI325" s="142">
        <v>78</v>
      </c>
      <c r="BK325" s="139" t="s">
        <v>558</v>
      </c>
    </row>
    <row r="326" spans="1:65" x14ac:dyDescent="0.25">
      <c r="A326" s="122" t="s">
        <v>6735</v>
      </c>
      <c r="B326" s="122" t="s">
        <v>10124</v>
      </c>
      <c r="C326" s="122" t="s">
        <v>9336</v>
      </c>
      <c r="D326" s="122" t="s">
        <v>9337</v>
      </c>
      <c r="E326" s="123">
        <v>42226</v>
      </c>
      <c r="F326" s="122" t="s">
        <v>5981</v>
      </c>
      <c r="G326" s="122" t="s">
        <v>235</v>
      </c>
      <c r="H326" s="122" t="s">
        <v>448</v>
      </c>
      <c r="I326" s="122" t="s">
        <v>9338</v>
      </c>
      <c r="J326" s="122" t="s">
        <v>370</v>
      </c>
      <c r="K326" s="122" t="s">
        <v>3385</v>
      </c>
      <c r="L326" s="122" t="s">
        <v>3386</v>
      </c>
      <c r="M326" s="122" t="s">
        <v>3486</v>
      </c>
      <c r="O326" s="141" t="s">
        <v>451</v>
      </c>
      <c r="P326" s="141" t="s">
        <v>9339</v>
      </c>
      <c r="Q326" s="122" t="s">
        <v>3389</v>
      </c>
      <c r="R326" s="142">
        <v>79</v>
      </c>
      <c r="S326" s="122" t="s">
        <v>9340</v>
      </c>
      <c r="U326" s="122" t="s">
        <v>3538</v>
      </c>
      <c r="W326" s="122" t="s">
        <v>246</v>
      </c>
      <c r="X326" s="122" t="s">
        <v>497</v>
      </c>
      <c r="Y326" s="141" t="s">
        <v>740</v>
      </c>
      <c r="Z326" s="122" t="s">
        <v>9341</v>
      </c>
      <c r="AA326" s="141" t="s">
        <v>705</v>
      </c>
      <c r="AB326" s="122" t="s">
        <v>355</v>
      </c>
      <c r="AC326" s="141" t="s">
        <v>742</v>
      </c>
      <c r="AD326" s="122" t="s">
        <v>9342</v>
      </c>
      <c r="AE326" s="122" t="s">
        <v>235</v>
      </c>
      <c r="AF326" s="122" t="s">
        <v>9343</v>
      </c>
      <c r="AG326" s="122" t="s">
        <v>9344</v>
      </c>
      <c r="AH326" s="122" t="s">
        <v>253</v>
      </c>
      <c r="AI326" s="122" t="s">
        <v>9345</v>
      </c>
      <c r="AJ326" s="122" t="s">
        <v>9346</v>
      </c>
      <c r="AK326" s="122" t="s">
        <v>253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247</v>
      </c>
      <c r="AS326" s="141" t="s">
        <v>601</v>
      </c>
      <c r="AT326" s="141" t="s">
        <v>601</v>
      </c>
      <c r="AU326" s="141" t="s">
        <v>601</v>
      </c>
      <c r="AV326" s="122" t="s">
        <v>259</v>
      </c>
      <c r="AW326" s="122" t="s">
        <v>556</v>
      </c>
      <c r="AY326" s="141" t="s">
        <v>253</v>
      </c>
      <c r="AZ326" s="122" t="s">
        <v>262</v>
      </c>
      <c r="BA326" s="122" t="s">
        <v>262</v>
      </c>
      <c r="BB326" s="122" t="s">
        <v>9347</v>
      </c>
      <c r="BD326" s="122" t="s">
        <v>247</v>
      </c>
      <c r="BE326" s="122" t="s">
        <v>263</v>
      </c>
      <c r="BF326" s="122" t="s">
        <v>3547</v>
      </c>
      <c r="BH326" s="122" t="s">
        <v>3538</v>
      </c>
      <c r="BI326" s="142">
        <v>79</v>
      </c>
      <c r="BK326" s="139" t="s">
        <v>558</v>
      </c>
    </row>
    <row r="327" spans="1:65" x14ac:dyDescent="0.25">
      <c r="A327" s="122" t="s">
        <v>6489</v>
      </c>
      <c r="B327" s="122" t="s">
        <v>10125</v>
      </c>
      <c r="C327" s="122" t="s">
        <v>9502</v>
      </c>
      <c r="D327" s="122" t="s">
        <v>9503</v>
      </c>
      <c r="E327" s="123">
        <v>42226</v>
      </c>
      <c r="F327" s="122" t="s">
        <v>855</v>
      </c>
      <c r="G327" s="122" t="s">
        <v>235</v>
      </c>
      <c r="H327" s="122" t="s">
        <v>9504</v>
      </c>
      <c r="I327" s="122" t="s">
        <v>9492</v>
      </c>
      <c r="J327" s="122" t="s">
        <v>2393</v>
      </c>
      <c r="K327" s="122" t="s">
        <v>3385</v>
      </c>
      <c r="L327" s="122" t="s">
        <v>3554</v>
      </c>
      <c r="M327" s="122" t="s">
        <v>3846</v>
      </c>
      <c r="O327" s="141" t="s">
        <v>451</v>
      </c>
      <c r="P327" s="141" t="s">
        <v>9505</v>
      </c>
      <c r="Q327" s="122" t="s">
        <v>3389</v>
      </c>
      <c r="R327" s="142">
        <v>80</v>
      </c>
      <c r="S327" s="122" t="s">
        <v>9506</v>
      </c>
      <c r="U327" s="122" t="s">
        <v>3538</v>
      </c>
      <c r="W327" s="122" t="s">
        <v>246</v>
      </c>
      <c r="X327" s="122" t="s">
        <v>2624</v>
      </c>
      <c r="Y327" s="141" t="s">
        <v>455</v>
      </c>
      <c r="Z327" s="122" t="s">
        <v>9507</v>
      </c>
      <c r="AA327" s="141" t="s">
        <v>685</v>
      </c>
      <c r="AB327" s="122" t="s">
        <v>9508</v>
      </c>
      <c r="AD327" s="122" t="s">
        <v>250</v>
      </c>
      <c r="AE327" s="122" t="s">
        <v>235</v>
      </c>
      <c r="AF327" s="122" t="s">
        <v>9509</v>
      </c>
      <c r="AG327" s="122" t="s">
        <v>537</v>
      </c>
      <c r="AH327" s="122" t="s">
        <v>253</v>
      </c>
      <c r="AI327" s="122" t="s">
        <v>9510</v>
      </c>
      <c r="AJ327" s="122" t="s">
        <v>9511</v>
      </c>
      <c r="AK327" s="122" t="s">
        <v>253</v>
      </c>
      <c r="AL327" s="122" t="s">
        <v>253</v>
      </c>
      <c r="AM327" s="122" t="s">
        <v>253</v>
      </c>
      <c r="AN327" s="122" t="s">
        <v>253</v>
      </c>
      <c r="AO327" s="141" t="s">
        <v>247</v>
      </c>
      <c r="AP327" s="141" t="s">
        <v>247</v>
      </c>
      <c r="AQ327" s="141" t="s">
        <v>247</v>
      </c>
      <c r="AR327" s="141" t="s">
        <v>247</v>
      </c>
      <c r="AS327" s="141" t="s">
        <v>601</v>
      </c>
      <c r="AT327" s="141" t="s">
        <v>601</v>
      </c>
      <c r="AU327" s="141" t="s">
        <v>601</v>
      </c>
      <c r="AV327" s="122" t="s">
        <v>259</v>
      </c>
      <c r="AW327" s="122" t="s">
        <v>556</v>
      </c>
      <c r="AY327" s="141" t="s">
        <v>253</v>
      </c>
      <c r="AZ327" s="122" t="s">
        <v>9512</v>
      </c>
      <c r="BA327" s="122" t="s">
        <v>262</v>
      </c>
      <c r="BB327" s="122" t="s">
        <v>262</v>
      </c>
      <c r="BD327" s="122" t="s">
        <v>253</v>
      </c>
      <c r="BE327" s="122" t="s">
        <v>263</v>
      </c>
      <c r="BF327" s="122" t="s">
        <v>3547</v>
      </c>
      <c r="BH327" s="122" t="s">
        <v>3538</v>
      </c>
      <c r="BI327" s="142">
        <v>80</v>
      </c>
      <c r="BK327" s="139" t="s">
        <v>558</v>
      </c>
    </row>
    <row r="328" spans="1:65" x14ac:dyDescent="0.25">
      <c r="A328" s="122" t="s">
        <v>6489</v>
      </c>
      <c r="B328" s="122" t="s">
        <v>10126</v>
      </c>
      <c r="C328" s="122" t="s">
        <v>9406</v>
      </c>
      <c r="D328" s="122" t="s">
        <v>9407</v>
      </c>
      <c r="E328" s="123">
        <v>42226</v>
      </c>
      <c r="F328" s="122" t="s">
        <v>668</v>
      </c>
      <c r="G328" s="122" t="s">
        <v>235</v>
      </c>
      <c r="H328" s="122" t="s">
        <v>9408</v>
      </c>
      <c r="I328" s="122" t="s">
        <v>9409</v>
      </c>
      <c r="J328" s="122" t="s">
        <v>370</v>
      </c>
      <c r="K328" s="122" t="s">
        <v>3385</v>
      </c>
      <c r="L328" s="122" t="s">
        <v>3554</v>
      </c>
      <c r="M328" s="122" t="s">
        <v>3570</v>
      </c>
      <c r="O328" s="141" t="s">
        <v>451</v>
      </c>
      <c r="P328" s="141" t="s">
        <v>9410</v>
      </c>
      <c r="Q328" s="122" t="s">
        <v>3389</v>
      </c>
      <c r="R328" s="142">
        <v>81</v>
      </c>
      <c r="S328" s="122" t="s">
        <v>9411</v>
      </c>
      <c r="U328" s="122" t="s">
        <v>3538</v>
      </c>
      <c r="W328" s="122" t="s">
        <v>246</v>
      </c>
      <c r="X328" s="122" t="s">
        <v>433</v>
      </c>
      <c r="Z328" s="122" t="s">
        <v>250</v>
      </c>
      <c r="AB328" s="122" t="s">
        <v>250</v>
      </c>
      <c r="AD328" s="122" t="s">
        <v>250</v>
      </c>
      <c r="AE328" s="122" t="s">
        <v>235</v>
      </c>
      <c r="AF328" s="122" t="s">
        <v>9412</v>
      </c>
      <c r="AG328" s="122" t="s">
        <v>537</v>
      </c>
      <c r="AH328" s="122" t="s">
        <v>253</v>
      </c>
      <c r="AI328" s="122" t="s">
        <v>9413</v>
      </c>
      <c r="AJ328" s="122" t="s">
        <v>9414</v>
      </c>
      <c r="AK328" s="122" t="s">
        <v>9415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247</v>
      </c>
      <c r="AQ328" s="141" t="s">
        <v>247</v>
      </c>
      <c r="AR328" s="141" t="s">
        <v>247</v>
      </c>
      <c r="AS328" s="141" t="s">
        <v>601</v>
      </c>
      <c r="AT328" s="141" t="s">
        <v>601</v>
      </c>
      <c r="AU328" s="141" t="s">
        <v>601</v>
      </c>
      <c r="AV328" s="122" t="s">
        <v>259</v>
      </c>
      <c r="AW328" s="122" t="s">
        <v>556</v>
      </c>
      <c r="AY328" s="141" t="s">
        <v>253</v>
      </c>
      <c r="AZ328" s="122" t="s">
        <v>9416</v>
      </c>
      <c r="BA328" s="122" t="s">
        <v>262</v>
      </c>
      <c r="BB328" s="122" t="s">
        <v>9417</v>
      </c>
      <c r="BD328" s="122" t="s">
        <v>253</v>
      </c>
      <c r="BE328" s="122" t="s">
        <v>263</v>
      </c>
      <c r="BF328" s="122" t="s">
        <v>3547</v>
      </c>
      <c r="BH328" s="122" t="s">
        <v>3538</v>
      </c>
      <c r="BI328" s="142">
        <v>81</v>
      </c>
      <c r="BK328" s="139" t="s">
        <v>558</v>
      </c>
    </row>
    <row r="329" spans="1:65" x14ac:dyDescent="0.25">
      <c r="A329" s="122" t="s">
        <v>352</v>
      </c>
      <c r="B329" s="122" t="s">
        <v>10127</v>
      </c>
      <c r="C329" s="122" t="s">
        <v>9669</v>
      </c>
      <c r="D329" s="122" t="s">
        <v>9670</v>
      </c>
      <c r="E329" s="123">
        <v>42226</v>
      </c>
      <c r="F329" s="122" t="s">
        <v>722</v>
      </c>
      <c r="G329" s="122" t="s">
        <v>235</v>
      </c>
      <c r="H329" s="122" t="s">
        <v>9671</v>
      </c>
      <c r="I329" s="122" t="s">
        <v>9672</v>
      </c>
      <c r="J329" s="122" t="s">
        <v>1053</v>
      </c>
      <c r="K329" s="122" t="s">
        <v>3385</v>
      </c>
      <c r="L329" s="122" t="s">
        <v>3554</v>
      </c>
      <c r="M329" s="122" t="s">
        <v>3555</v>
      </c>
      <c r="O329" s="141" t="s">
        <v>1253</v>
      </c>
      <c r="P329" s="141" t="s">
        <v>9673</v>
      </c>
      <c r="Q329" s="122" t="s">
        <v>3389</v>
      </c>
      <c r="R329" s="142">
        <v>82</v>
      </c>
      <c r="S329" s="122" t="s">
        <v>9674</v>
      </c>
      <c r="U329" s="122" t="s">
        <v>3538</v>
      </c>
      <c r="W329" s="122" t="s">
        <v>246</v>
      </c>
      <c r="X329" s="122" t="s">
        <v>853</v>
      </c>
      <c r="Y329" s="141" t="s">
        <v>740</v>
      </c>
      <c r="Z329" s="122" t="s">
        <v>9675</v>
      </c>
      <c r="AA329" s="141" t="s">
        <v>2105</v>
      </c>
      <c r="AB329" s="122" t="s">
        <v>9676</v>
      </c>
      <c r="AC329" s="141" t="s">
        <v>2429</v>
      </c>
      <c r="AD329" s="122" t="s">
        <v>9677</v>
      </c>
      <c r="AE329" s="122" t="s">
        <v>235</v>
      </c>
      <c r="AF329" s="122" t="s">
        <v>9678</v>
      </c>
      <c r="AG329" s="122" t="s">
        <v>537</v>
      </c>
      <c r="AH329" s="122" t="s">
        <v>253</v>
      </c>
      <c r="AI329" s="122" t="s">
        <v>9679</v>
      </c>
      <c r="AJ329" s="122" t="s">
        <v>9680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253</v>
      </c>
      <c r="AP329" s="141" t="s">
        <v>253</v>
      </c>
      <c r="AQ329" s="141" t="s">
        <v>247</v>
      </c>
      <c r="AR329" s="141" t="s">
        <v>247</v>
      </c>
      <c r="AS329" s="141" t="s">
        <v>361</v>
      </c>
      <c r="AT329" s="141" t="s">
        <v>601</v>
      </c>
      <c r="AU329" s="141" t="s">
        <v>601</v>
      </c>
      <c r="AV329" s="122" t="s">
        <v>259</v>
      </c>
      <c r="AW329" s="122" t="s">
        <v>556</v>
      </c>
      <c r="AY329" s="141" t="s">
        <v>253</v>
      </c>
      <c r="AZ329" s="122" t="s">
        <v>9681</v>
      </c>
      <c r="BA329" s="122" t="s">
        <v>262</v>
      </c>
      <c r="BB329" s="122" t="s">
        <v>9682</v>
      </c>
      <c r="BC329" s="141" t="s">
        <v>312</v>
      </c>
      <c r="BD329" s="122" t="s">
        <v>253</v>
      </c>
      <c r="BE329" s="122" t="s">
        <v>263</v>
      </c>
      <c r="BF329" s="122" t="s">
        <v>3547</v>
      </c>
      <c r="BH329" s="122" t="s">
        <v>3538</v>
      </c>
      <c r="BI329" s="142">
        <v>82</v>
      </c>
      <c r="BK329" s="139" t="s">
        <v>558</v>
      </c>
    </row>
    <row r="330" spans="1:65" x14ac:dyDescent="0.25">
      <c r="A330" s="122" t="s">
        <v>352</v>
      </c>
      <c r="B330" s="122" t="s">
        <v>10128</v>
      </c>
      <c r="C330" s="122" t="s">
        <v>9611</v>
      </c>
      <c r="D330" s="122" t="s">
        <v>9612</v>
      </c>
      <c r="E330" s="123">
        <v>42226</v>
      </c>
      <c r="F330" s="122" t="s">
        <v>9613</v>
      </c>
      <c r="G330" s="122" t="s">
        <v>235</v>
      </c>
      <c r="H330" s="122" t="s">
        <v>9614</v>
      </c>
      <c r="I330" s="122" t="s">
        <v>9615</v>
      </c>
      <c r="K330" s="122" t="s">
        <v>3385</v>
      </c>
      <c r="L330" s="122" t="s">
        <v>3386</v>
      </c>
      <c r="M330" s="122" t="s">
        <v>3486</v>
      </c>
      <c r="O330" s="141" t="s">
        <v>390</v>
      </c>
      <c r="P330" s="141" t="s">
        <v>9616</v>
      </c>
      <c r="Q330" s="122" t="s">
        <v>3389</v>
      </c>
      <c r="R330" s="142">
        <v>83</v>
      </c>
      <c r="S330" s="122" t="s">
        <v>9617</v>
      </c>
      <c r="U330" s="122" t="s">
        <v>3538</v>
      </c>
      <c r="W330" s="122" t="s">
        <v>246</v>
      </c>
      <c r="X330" s="122" t="s">
        <v>590</v>
      </c>
      <c r="Y330" s="141" t="s">
        <v>534</v>
      </c>
      <c r="Z330" s="122" t="s">
        <v>9618</v>
      </c>
      <c r="AA330" s="141" t="s">
        <v>304</v>
      </c>
      <c r="AB330" s="122" t="s">
        <v>9619</v>
      </c>
      <c r="AC330" s="141" t="s">
        <v>672</v>
      </c>
      <c r="AD330" s="122" t="s">
        <v>9620</v>
      </c>
      <c r="AE330" s="122" t="s">
        <v>235</v>
      </c>
      <c r="AF330" s="122" t="s">
        <v>9621</v>
      </c>
      <c r="AG330" s="122" t="s">
        <v>537</v>
      </c>
      <c r="AH330" s="122" t="s">
        <v>253</v>
      </c>
      <c r="AI330" s="122" t="s">
        <v>9622</v>
      </c>
      <c r="AJ330" s="122" t="s">
        <v>9623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247</v>
      </c>
      <c r="AP330" s="141" t="s">
        <v>247</v>
      </c>
      <c r="AQ330" s="141" t="s">
        <v>247</v>
      </c>
      <c r="AR330" s="141" t="s">
        <v>247</v>
      </c>
      <c r="AS330" s="141" t="s">
        <v>601</v>
      </c>
      <c r="AT330" s="141" t="s">
        <v>601</v>
      </c>
      <c r="AU330" s="141" t="s">
        <v>601</v>
      </c>
      <c r="AV330" s="122" t="s">
        <v>259</v>
      </c>
      <c r="AW330" s="122" t="s">
        <v>556</v>
      </c>
      <c r="AY330" s="141" t="s">
        <v>253</v>
      </c>
      <c r="AZ330" s="122" t="s">
        <v>9624</v>
      </c>
      <c r="BA330" s="122" t="s">
        <v>262</v>
      </c>
      <c r="BB330" s="122" t="s">
        <v>9625</v>
      </c>
      <c r="BD330" s="122" t="s">
        <v>253</v>
      </c>
      <c r="BE330" s="122" t="s">
        <v>263</v>
      </c>
      <c r="BF330" s="122" t="s">
        <v>3547</v>
      </c>
      <c r="BH330" s="122" t="s">
        <v>3538</v>
      </c>
      <c r="BI330" s="142">
        <v>83</v>
      </c>
      <c r="BK330" s="139" t="s">
        <v>558</v>
      </c>
    </row>
    <row r="331" spans="1:65" x14ac:dyDescent="0.25">
      <c r="A331" s="122" t="s">
        <v>3037</v>
      </c>
      <c r="B331" s="122" t="s">
        <v>10129</v>
      </c>
      <c r="C331" s="122" t="s">
        <v>10130</v>
      </c>
      <c r="D331" s="122" t="s">
        <v>10131</v>
      </c>
      <c r="E331" s="123">
        <v>42226</v>
      </c>
      <c r="F331" s="122" t="s">
        <v>10132</v>
      </c>
      <c r="G331" s="122" t="s">
        <v>235</v>
      </c>
      <c r="H331" s="122" t="s">
        <v>10133</v>
      </c>
      <c r="I331" s="122" t="s">
        <v>10134</v>
      </c>
      <c r="K331" s="122" t="s">
        <v>238</v>
      </c>
      <c r="L331" s="122" t="s">
        <v>530</v>
      </c>
      <c r="M331" s="122" t="s">
        <v>4994</v>
      </c>
      <c r="O331" s="141" t="s">
        <v>273</v>
      </c>
      <c r="P331" s="141" t="s">
        <v>10135</v>
      </c>
      <c r="Q331" s="122" t="s">
        <v>243</v>
      </c>
      <c r="R331" s="142">
        <v>1</v>
      </c>
      <c r="S331" s="122" t="s">
        <v>10136</v>
      </c>
      <c r="U331" s="122" t="s">
        <v>4681</v>
      </c>
      <c r="W331" s="122" t="s">
        <v>246</v>
      </c>
      <c r="X331" s="122" t="s">
        <v>302</v>
      </c>
      <c r="Y331" s="141" t="s">
        <v>1421</v>
      </c>
      <c r="Z331" s="122" t="s">
        <v>10137</v>
      </c>
      <c r="AA331" s="141" t="s">
        <v>283</v>
      </c>
      <c r="AB331" s="122" t="s">
        <v>10138</v>
      </c>
      <c r="AC331" s="141" t="s">
        <v>2250</v>
      </c>
      <c r="AD331" s="122" t="s">
        <v>10139</v>
      </c>
      <c r="AE331" s="122" t="s">
        <v>235</v>
      </c>
      <c r="AF331" s="122" t="s">
        <v>10140</v>
      </c>
      <c r="AG331" s="122" t="s">
        <v>253</v>
      </c>
      <c r="AH331" s="122" t="s">
        <v>253</v>
      </c>
      <c r="AI331" s="122" t="s">
        <v>10141</v>
      </c>
      <c r="AJ331" s="122" t="s">
        <v>10142</v>
      </c>
      <c r="AK331" s="122" t="s">
        <v>10143</v>
      </c>
      <c r="AL331" s="122" t="s">
        <v>253</v>
      </c>
      <c r="AM331" s="122" t="s">
        <v>253</v>
      </c>
      <c r="AN331" s="122" t="s">
        <v>253</v>
      </c>
      <c r="AO331" s="141" t="s">
        <v>247</v>
      </c>
      <c r="AP331" s="141" t="s">
        <v>247</v>
      </c>
      <c r="AQ331" s="141" t="s">
        <v>247</v>
      </c>
      <c r="AR331" s="141" t="s">
        <v>247</v>
      </c>
      <c r="AS331" s="141" t="s">
        <v>601</v>
      </c>
      <c r="AT331" s="141" t="s">
        <v>601</v>
      </c>
      <c r="AU331" s="141" t="s">
        <v>257</v>
      </c>
      <c r="AV331" s="122" t="s">
        <v>259</v>
      </c>
      <c r="AW331" s="122" t="s">
        <v>260</v>
      </c>
      <c r="AY331" s="141" t="s">
        <v>253</v>
      </c>
      <c r="AZ331" s="122" t="s">
        <v>10144</v>
      </c>
      <c r="BA331" s="122" t="s">
        <v>262</v>
      </c>
      <c r="BB331" s="122" t="s">
        <v>262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1</v>
      </c>
      <c r="BJ331" s="123">
        <v>42229</v>
      </c>
      <c r="BK331" s="139" t="s">
        <v>264</v>
      </c>
      <c r="BL331" s="140">
        <v>423.86</v>
      </c>
      <c r="BM331" s="122">
        <v>33</v>
      </c>
    </row>
    <row r="332" spans="1:65" x14ac:dyDescent="0.25">
      <c r="A332" s="122" t="s">
        <v>3037</v>
      </c>
      <c r="B332" s="122" t="s">
        <v>10145</v>
      </c>
      <c r="C332" s="122" t="s">
        <v>10146</v>
      </c>
      <c r="D332" s="122" t="s">
        <v>10147</v>
      </c>
      <c r="E332" s="123">
        <v>42226</v>
      </c>
      <c r="F332" s="122" t="s">
        <v>784</v>
      </c>
      <c r="G332" s="122" t="s">
        <v>235</v>
      </c>
      <c r="H332" s="122" t="s">
        <v>10148</v>
      </c>
      <c r="I332" s="122" t="s">
        <v>10149</v>
      </c>
      <c r="K332" s="122" t="s">
        <v>238</v>
      </c>
      <c r="L332" s="122" t="s">
        <v>371</v>
      </c>
      <c r="M332" s="122" t="s">
        <v>5135</v>
      </c>
      <c r="N332" s="122" t="s">
        <v>10150</v>
      </c>
      <c r="O332" s="141" t="s">
        <v>10151</v>
      </c>
      <c r="P332" s="141" t="s">
        <v>10152</v>
      </c>
      <c r="Q332" s="122" t="s">
        <v>243</v>
      </c>
      <c r="R332" s="142">
        <v>2</v>
      </c>
      <c r="S332" s="122" t="s">
        <v>10153</v>
      </c>
      <c r="U332" s="122" t="s">
        <v>4681</v>
      </c>
      <c r="W332" s="122" t="s">
        <v>246</v>
      </c>
      <c r="X332" s="122" t="s">
        <v>454</v>
      </c>
      <c r="Z332" s="122" t="s">
        <v>250</v>
      </c>
      <c r="AB332" s="122" t="s">
        <v>250</v>
      </c>
      <c r="AD332" s="122" t="s">
        <v>250</v>
      </c>
      <c r="AE332" s="122" t="s">
        <v>235</v>
      </c>
      <c r="AF332" s="122" t="s">
        <v>10154</v>
      </c>
      <c r="AG332" s="122" t="s">
        <v>537</v>
      </c>
      <c r="AH332" s="122" t="s">
        <v>253</v>
      </c>
      <c r="AI332" s="122" t="s">
        <v>10155</v>
      </c>
      <c r="AJ332" s="122" t="s">
        <v>10156</v>
      </c>
      <c r="AK332" s="122" t="s">
        <v>253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247</v>
      </c>
      <c r="AR332" s="141" t="s">
        <v>253</v>
      </c>
      <c r="AS332" s="141" t="s">
        <v>601</v>
      </c>
      <c r="AT332" s="141" t="s">
        <v>601</v>
      </c>
      <c r="AU332" s="141" t="s">
        <v>258</v>
      </c>
      <c r="AV332" s="122" t="s">
        <v>259</v>
      </c>
      <c r="AW332" s="122" t="s">
        <v>260</v>
      </c>
      <c r="AY332" s="141" t="s">
        <v>253</v>
      </c>
      <c r="AZ332" s="122" t="s">
        <v>10157</v>
      </c>
      <c r="BA332" s="122" t="s">
        <v>262</v>
      </c>
      <c r="BB332" s="122" t="s">
        <v>262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2</v>
      </c>
      <c r="BJ332" s="123">
        <v>42236</v>
      </c>
      <c r="BK332" s="139" t="s">
        <v>606</v>
      </c>
      <c r="BM332" s="122">
        <v>34</v>
      </c>
    </row>
    <row r="333" spans="1:65" x14ac:dyDescent="0.25">
      <c r="A333" s="122" t="s">
        <v>3037</v>
      </c>
      <c r="B333" s="122" t="s">
        <v>10158</v>
      </c>
      <c r="C333" s="122" t="s">
        <v>10159</v>
      </c>
      <c r="D333" s="122" t="s">
        <v>10160</v>
      </c>
      <c r="E333" s="123">
        <v>42226</v>
      </c>
      <c r="F333" s="122" t="s">
        <v>10161</v>
      </c>
      <c r="G333" s="122" t="s">
        <v>235</v>
      </c>
      <c r="H333" s="122" t="s">
        <v>10162</v>
      </c>
      <c r="I333" s="122" t="s">
        <v>10163</v>
      </c>
      <c r="J333" s="122" t="s">
        <v>10164</v>
      </c>
      <c r="K333" s="122" t="s">
        <v>238</v>
      </c>
      <c r="L333" s="122" t="s">
        <v>530</v>
      </c>
      <c r="M333" s="122" t="s">
        <v>4847</v>
      </c>
      <c r="O333" s="141" t="s">
        <v>548</v>
      </c>
      <c r="P333" s="141" t="s">
        <v>10165</v>
      </c>
      <c r="Q333" s="122" t="s">
        <v>243</v>
      </c>
      <c r="R333" s="142">
        <v>3</v>
      </c>
      <c r="S333" s="122" t="s">
        <v>10166</v>
      </c>
      <c r="U333" s="122" t="s">
        <v>4681</v>
      </c>
      <c r="W333" s="122" t="s">
        <v>246</v>
      </c>
      <c r="X333" s="122" t="s">
        <v>454</v>
      </c>
      <c r="Y333" s="141" t="s">
        <v>595</v>
      </c>
      <c r="Z333" s="122" t="s">
        <v>10167</v>
      </c>
      <c r="AA333" s="141" t="s">
        <v>1423</v>
      </c>
      <c r="AB333" s="122" t="s">
        <v>10168</v>
      </c>
      <c r="AC333" s="141" t="s">
        <v>283</v>
      </c>
      <c r="AD333" s="122" t="s">
        <v>10169</v>
      </c>
      <c r="AE333" s="122" t="s">
        <v>235</v>
      </c>
      <c r="AF333" s="122" t="s">
        <v>10170</v>
      </c>
      <c r="AG333" s="122" t="s">
        <v>537</v>
      </c>
      <c r="AH333" s="122" t="s">
        <v>253</v>
      </c>
      <c r="AI333" s="122" t="s">
        <v>10171</v>
      </c>
      <c r="AJ333" s="122" t="s">
        <v>10172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247</v>
      </c>
      <c r="AP333" s="141" t="s">
        <v>247</v>
      </c>
      <c r="AQ333" s="141" t="s">
        <v>253</v>
      </c>
      <c r="AR333" s="141" t="s">
        <v>253</v>
      </c>
      <c r="AS333" s="141" t="s">
        <v>601</v>
      </c>
      <c r="AT333" s="141" t="s">
        <v>258</v>
      </c>
      <c r="AU333" s="141" t="s">
        <v>258</v>
      </c>
      <c r="AV333" s="122" t="s">
        <v>259</v>
      </c>
      <c r="AW333" s="122" t="s">
        <v>260</v>
      </c>
      <c r="AY333" s="141" t="s">
        <v>253</v>
      </c>
      <c r="AZ333" s="122" t="s">
        <v>10173</v>
      </c>
      <c r="BA333" s="122" t="s">
        <v>262</v>
      </c>
      <c r="BB333" s="122" t="s">
        <v>262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3</v>
      </c>
    </row>
    <row r="334" spans="1:65" x14ac:dyDescent="0.25">
      <c r="A334" s="122" t="s">
        <v>3037</v>
      </c>
      <c r="B334" s="122" t="s">
        <v>10174</v>
      </c>
      <c r="C334" s="122" t="s">
        <v>10175</v>
      </c>
      <c r="D334" s="122" t="s">
        <v>10176</v>
      </c>
      <c r="E334" s="123">
        <v>42226</v>
      </c>
      <c r="F334" s="122" t="s">
        <v>1876</v>
      </c>
      <c r="G334" s="122" t="s">
        <v>235</v>
      </c>
      <c r="H334" s="122" t="s">
        <v>10177</v>
      </c>
      <c r="I334" s="122" t="s">
        <v>10178</v>
      </c>
      <c r="J334" s="122" t="s">
        <v>1239</v>
      </c>
      <c r="K334" s="122" t="s">
        <v>238</v>
      </c>
      <c r="L334" s="122" t="s">
        <v>371</v>
      </c>
      <c r="M334" s="122" t="s">
        <v>4763</v>
      </c>
      <c r="O334" s="141" t="s">
        <v>548</v>
      </c>
      <c r="P334" s="141" t="s">
        <v>10179</v>
      </c>
      <c r="Q334" s="122" t="s">
        <v>243</v>
      </c>
      <c r="R334" s="142">
        <v>4</v>
      </c>
      <c r="S334" s="122" t="s">
        <v>10180</v>
      </c>
      <c r="U334" s="122" t="s">
        <v>4681</v>
      </c>
      <c r="W334" s="122" t="s">
        <v>246</v>
      </c>
      <c r="X334" s="122" t="s">
        <v>433</v>
      </c>
      <c r="Z334" s="122" t="s">
        <v>250</v>
      </c>
      <c r="AB334" s="122" t="s">
        <v>250</v>
      </c>
      <c r="AD334" s="122" t="s">
        <v>250</v>
      </c>
      <c r="AE334" s="122" t="s">
        <v>235</v>
      </c>
      <c r="AF334" s="122" t="s">
        <v>10181</v>
      </c>
      <c r="AG334" s="122" t="s">
        <v>537</v>
      </c>
      <c r="AH334" s="122" t="s">
        <v>253</v>
      </c>
      <c r="AI334" s="122" t="s">
        <v>5337</v>
      </c>
      <c r="AJ334" s="122" t="s">
        <v>5338</v>
      </c>
      <c r="AK334" s="122" t="s">
        <v>253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247</v>
      </c>
      <c r="AQ334" s="141" t="s">
        <v>253</v>
      </c>
      <c r="AR334" s="141" t="s">
        <v>253</v>
      </c>
      <c r="AS334" s="141" t="s">
        <v>601</v>
      </c>
      <c r="AT334" s="141" t="s">
        <v>258</v>
      </c>
      <c r="AU334" s="141" t="s">
        <v>258</v>
      </c>
      <c r="AV334" s="122" t="s">
        <v>259</v>
      </c>
      <c r="AW334" s="122" t="s">
        <v>260</v>
      </c>
      <c r="AY334" s="141" t="s">
        <v>253</v>
      </c>
      <c r="AZ334" s="122" t="s">
        <v>10182</v>
      </c>
      <c r="BA334" s="122" t="s">
        <v>262</v>
      </c>
      <c r="BB334" s="122" t="s">
        <v>262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4</v>
      </c>
      <c r="BJ334" s="123">
        <v>42236</v>
      </c>
      <c r="BK334" s="139" t="s">
        <v>606</v>
      </c>
      <c r="BM334" s="122">
        <v>34</v>
      </c>
    </row>
    <row r="335" spans="1:65" x14ac:dyDescent="0.25">
      <c r="A335" s="122" t="s">
        <v>3037</v>
      </c>
      <c r="B335" s="122" t="s">
        <v>10183</v>
      </c>
      <c r="C335" s="122" t="s">
        <v>10184</v>
      </c>
      <c r="D335" s="122" t="s">
        <v>10185</v>
      </c>
      <c r="E335" s="123">
        <v>42226</v>
      </c>
      <c r="F335" s="122" t="s">
        <v>3079</v>
      </c>
      <c r="G335" s="122" t="s">
        <v>235</v>
      </c>
      <c r="H335" s="122" t="s">
        <v>10186</v>
      </c>
      <c r="I335" s="122" t="s">
        <v>10187</v>
      </c>
      <c r="K335" s="122" t="s">
        <v>238</v>
      </c>
      <c r="L335" s="122" t="s">
        <v>371</v>
      </c>
      <c r="M335" s="122" t="s">
        <v>10188</v>
      </c>
      <c r="N335" s="122" t="s">
        <v>10189</v>
      </c>
      <c r="O335" s="141" t="s">
        <v>451</v>
      </c>
      <c r="P335" s="141" t="s">
        <v>10190</v>
      </c>
      <c r="Q335" s="122" t="s">
        <v>243</v>
      </c>
      <c r="R335" s="142">
        <v>5</v>
      </c>
      <c r="S335" s="122" t="s">
        <v>10191</v>
      </c>
      <c r="U335" s="122" t="s">
        <v>4681</v>
      </c>
      <c r="W335" s="122" t="s">
        <v>246</v>
      </c>
      <c r="X335" s="122" t="s">
        <v>454</v>
      </c>
      <c r="Y335" s="141" t="s">
        <v>2804</v>
      </c>
      <c r="Z335" s="122" t="s">
        <v>10192</v>
      </c>
      <c r="AA335" s="141" t="s">
        <v>1423</v>
      </c>
      <c r="AB335" s="122" t="s">
        <v>10193</v>
      </c>
      <c r="AC335" s="141" t="s">
        <v>1981</v>
      </c>
      <c r="AD335" s="122" t="s">
        <v>10194</v>
      </c>
      <c r="AE335" s="122" t="s">
        <v>235</v>
      </c>
      <c r="AF335" s="122" t="s">
        <v>10195</v>
      </c>
      <c r="AG335" s="122" t="s">
        <v>537</v>
      </c>
      <c r="AH335" s="122" t="s">
        <v>253</v>
      </c>
      <c r="AI335" s="122" t="s">
        <v>10196</v>
      </c>
      <c r="AJ335" s="122" t="s">
        <v>10197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247</v>
      </c>
      <c r="AS335" s="141" t="s">
        <v>601</v>
      </c>
      <c r="AT335" s="141" t="s">
        <v>601</v>
      </c>
      <c r="AU335" s="141" t="s">
        <v>601</v>
      </c>
      <c r="AV335" s="122" t="s">
        <v>259</v>
      </c>
      <c r="AW335" s="122" t="s">
        <v>260</v>
      </c>
      <c r="AY335" s="141" t="s">
        <v>253</v>
      </c>
      <c r="AZ335" s="122" t="s">
        <v>10198</v>
      </c>
      <c r="BA335" s="122" t="s">
        <v>262</v>
      </c>
      <c r="BB335" s="122" t="s">
        <v>262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5</v>
      </c>
      <c r="BJ335" s="123">
        <v>42236</v>
      </c>
      <c r="BK335" s="139" t="s">
        <v>606</v>
      </c>
      <c r="BM335" s="122">
        <v>34</v>
      </c>
    </row>
    <row r="336" spans="1:65" x14ac:dyDescent="0.25">
      <c r="A336" s="122" t="s">
        <v>3037</v>
      </c>
      <c r="B336" s="122" t="s">
        <v>10199</v>
      </c>
      <c r="C336" s="122" t="s">
        <v>10200</v>
      </c>
      <c r="D336" s="122" t="s">
        <v>10201</v>
      </c>
      <c r="E336" s="123">
        <v>42226</v>
      </c>
      <c r="F336" s="122" t="s">
        <v>526</v>
      </c>
      <c r="G336" s="122" t="s">
        <v>235</v>
      </c>
      <c r="H336" s="122" t="s">
        <v>10202</v>
      </c>
      <c r="I336" s="122" t="s">
        <v>10203</v>
      </c>
      <c r="J336" s="122" t="s">
        <v>4007</v>
      </c>
      <c r="K336" s="122" t="s">
        <v>238</v>
      </c>
      <c r="L336" s="122" t="s">
        <v>371</v>
      </c>
      <c r="M336" s="122" t="s">
        <v>4820</v>
      </c>
      <c r="O336" s="141" t="s">
        <v>548</v>
      </c>
      <c r="P336" s="141" t="s">
        <v>10204</v>
      </c>
      <c r="Q336" s="122" t="s">
        <v>243</v>
      </c>
      <c r="R336" s="142">
        <v>6</v>
      </c>
      <c r="S336" s="122" t="s">
        <v>10205</v>
      </c>
      <c r="U336" s="122" t="s">
        <v>4681</v>
      </c>
      <c r="W336" s="122" t="s">
        <v>246</v>
      </c>
      <c r="X336" s="122" t="s">
        <v>1121</v>
      </c>
      <c r="Y336" s="141" t="s">
        <v>1440</v>
      </c>
      <c r="Z336" s="122" t="s">
        <v>10206</v>
      </c>
      <c r="AA336" s="141" t="s">
        <v>281</v>
      </c>
      <c r="AB336" s="122" t="s">
        <v>10207</v>
      </c>
      <c r="AC336" s="141" t="s">
        <v>1291</v>
      </c>
      <c r="AD336" s="122" t="s">
        <v>10206</v>
      </c>
      <c r="AE336" s="122" t="s">
        <v>235</v>
      </c>
      <c r="AF336" s="122" t="s">
        <v>10208</v>
      </c>
      <c r="AG336" s="122" t="s">
        <v>537</v>
      </c>
      <c r="AH336" s="122" t="s">
        <v>253</v>
      </c>
      <c r="AI336" s="122" t="s">
        <v>10209</v>
      </c>
      <c r="AJ336" s="122" t="s">
        <v>10210</v>
      </c>
      <c r="AK336" s="122" t="s">
        <v>253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253</v>
      </c>
      <c r="AS336" s="141" t="s">
        <v>601</v>
      </c>
      <c r="AT336" s="141" t="s">
        <v>601</v>
      </c>
      <c r="AU336" s="141" t="s">
        <v>258</v>
      </c>
      <c r="AV336" s="122" t="s">
        <v>259</v>
      </c>
      <c r="AW336" s="122" t="s">
        <v>260</v>
      </c>
      <c r="AY336" s="141" t="s">
        <v>253</v>
      </c>
      <c r="AZ336" s="122" t="s">
        <v>10211</v>
      </c>
      <c r="BA336" s="122" t="s">
        <v>262</v>
      </c>
      <c r="BB336" s="122" t="s">
        <v>262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6</v>
      </c>
      <c r="BJ336" s="123">
        <v>42236</v>
      </c>
      <c r="BK336" s="139" t="s">
        <v>606</v>
      </c>
      <c r="BM336" s="122">
        <v>34</v>
      </c>
    </row>
    <row r="337" spans="1:65" x14ac:dyDescent="0.25">
      <c r="A337" s="122" t="s">
        <v>3037</v>
      </c>
      <c r="B337" s="122" t="s">
        <v>10212</v>
      </c>
      <c r="C337" s="122" t="s">
        <v>10213</v>
      </c>
      <c r="D337" s="122" t="s">
        <v>10214</v>
      </c>
      <c r="E337" s="123">
        <v>42226</v>
      </c>
      <c r="F337" s="122" t="s">
        <v>10215</v>
      </c>
      <c r="G337" s="122" t="s">
        <v>235</v>
      </c>
      <c r="H337" s="122" t="s">
        <v>10216</v>
      </c>
      <c r="I337" s="122" t="s">
        <v>10217</v>
      </c>
      <c r="K337" s="122" t="s">
        <v>238</v>
      </c>
      <c r="L337" s="122" t="s">
        <v>530</v>
      </c>
      <c r="M337" s="122" t="s">
        <v>5175</v>
      </c>
      <c r="O337" s="141" t="s">
        <v>1253</v>
      </c>
      <c r="P337" s="141" t="s">
        <v>10218</v>
      </c>
      <c r="Q337" s="122" t="s">
        <v>243</v>
      </c>
      <c r="R337" s="142">
        <v>7</v>
      </c>
      <c r="S337" s="122" t="s">
        <v>10219</v>
      </c>
      <c r="U337" s="122" t="s">
        <v>4681</v>
      </c>
      <c r="W337" s="122" t="s">
        <v>246</v>
      </c>
      <c r="X337" s="122" t="s">
        <v>590</v>
      </c>
      <c r="Y337" s="141" t="s">
        <v>3039</v>
      </c>
      <c r="Z337" s="122" t="s">
        <v>10220</v>
      </c>
      <c r="AA337" s="141" t="s">
        <v>500</v>
      </c>
      <c r="AB337" s="122" t="s">
        <v>10221</v>
      </c>
      <c r="AC337" s="141" t="s">
        <v>635</v>
      </c>
      <c r="AD337" s="122" t="s">
        <v>10222</v>
      </c>
      <c r="AE337" s="122" t="s">
        <v>235</v>
      </c>
      <c r="AF337" s="122" t="s">
        <v>10223</v>
      </c>
      <c r="AG337" s="122" t="s">
        <v>537</v>
      </c>
      <c r="AH337" s="122" t="s">
        <v>253</v>
      </c>
      <c r="AI337" s="122" t="s">
        <v>10224</v>
      </c>
      <c r="AJ337" s="122" t="s">
        <v>10225</v>
      </c>
      <c r="AK337" s="122" t="s">
        <v>253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253</v>
      </c>
      <c r="AQ337" s="141" t="s">
        <v>247</v>
      </c>
      <c r="AR337" s="141" t="s">
        <v>247</v>
      </c>
      <c r="AS337" s="141" t="s">
        <v>601</v>
      </c>
      <c r="AT337" s="141" t="s">
        <v>601</v>
      </c>
      <c r="AU337" s="141" t="s">
        <v>601</v>
      </c>
      <c r="AV337" s="122" t="s">
        <v>259</v>
      </c>
      <c r="AW337" s="122" t="s">
        <v>260</v>
      </c>
      <c r="AY337" s="141" t="s">
        <v>253</v>
      </c>
      <c r="AZ337" s="122" t="s">
        <v>10226</v>
      </c>
      <c r="BA337" s="122" t="s">
        <v>262</v>
      </c>
      <c r="BB337" s="122" t="s">
        <v>262</v>
      </c>
      <c r="BC337" s="141" t="s">
        <v>312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7</v>
      </c>
    </row>
    <row r="338" spans="1:65" x14ac:dyDescent="0.25">
      <c r="A338" s="122" t="s">
        <v>1161</v>
      </c>
      <c r="B338" s="122" t="s">
        <v>10227</v>
      </c>
      <c r="C338" s="122" t="s">
        <v>10228</v>
      </c>
      <c r="D338" s="122" t="s">
        <v>10229</v>
      </c>
      <c r="E338" s="123">
        <v>42226</v>
      </c>
      <c r="F338" s="122" t="s">
        <v>1400</v>
      </c>
      <c r="G338" s="122" t="s">
        <v>235</v>
      </c>
      <c r="H338" s="122" t="s">
        <v>10230</v>
      </c>
      <c r="I338" s="122" t="s">
        <v>10231</v>
      </c>
      <c r="K338" s="122" t="s">
        <v>238</v>
      </c>
      <c r="L338" s="122" t="s">
        <v>530</v>
      </c>
      <c r="M338" s="122" t="s">
        <v>5009</v>
      </c>
      <c r="Q338" s="122" t="s">
        <v>243</v>
      </c>
      <c r="R338" s="142">
        <v>8</v>
      </c>
      <c r="S338" s="122" t="s">
        <v>10232</v>
      </c>
      <c r="T338" s="122" t="s">
        <v>10233</v>
      </c>
      <c r="U338" s="122" t="s">
        <v>4681</v>
      </c>
      <c r="W338" s="122" t="s">
        <v>246</v>
      </c>
      <c r="X338" s="122" t="s">
        <v>1057</v>
      </c>
      <c r="Y338" s="141" t="s">
        <v>534</v>
      </c>
      <c r="Z338" s="122" t="s">
        <v>355</v>
      </c>
      <c r="AA338" s="141" t="s">
        <v>234</v>
      </c>
      <c r="AB338" s="122" t="s">
        <v>10234</v>
      </c>
      <c r="AC338" s="141" t="s">
        <v>985</v>
      </c>
      <c r="AD338" s="122" t="s">
        <v>533</v>
      </c>
      <c r="AE338" s="122" t="s">
        <v>235</v>
      </c>
      <c r="AF338" s="122" t="s">
        <v>10235</v>
      </c>
      <c r="AG338" s="122" t="s">
        <v>537</v>
      </c>
      <c r="AH338" s="122" t="s">
        <v>253</v>
      </c>
      <c r="AI338" s="122" t="s">
        <v>1714</v>
      </c>
      <c r="AJ338" s="122" t="s">
        <v>10236</v>
      </c>
      <c r="AK338" s="122" t="s">
        <v>253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253</v>
      </c>
      <c r="AQ338" s="141" t="s">
        <v>253</v>
      </c>
      <c r="AR338" s="141" t="s">
        <v>253</v>
      </c>
      <c r="AS338" s="141" t="s">
        <v>601</v>
      </c>
      <c r="AT338" s="141" t="s">
        <v>258</v>
      </c>
      <c r="AU338" s="141" t="s">
        <v>258</v>
      </c>
      <c r="AV338" s="122" t="s">
        <v>259</v>
      </c>
      <c r="AW338" s="122" t="s">
        <v>260</v>
      </c>
      <c r="AY338" s="141" t="s">
        <v>253</v>
      </c>
      <c r="AZ338" s="122" t="s">
        <v>10237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8</v>
      </c>
    </row>
    <row r="339" spans="1:65" x14ac:dyDescent="0.25">
      <c r="A339" s="122" t="s">
        <v>1161</v>
      </c>
      <c r="B339" s="122" t="s">
        <v>10238</v>
      </c>
      <c r="C339" s="122" t="s">
        <v>10239</v>
      </c>
      <c r="D339" s="122" t="s">
        <v>10240</v>
      </c>
      <c r="E339" s="123">
        <v>42226</v>
      </c>
      <c r="F339" s="122" t="s">
        <v>10241</v>
      </c>
      <c r="G339" s="122" t="s">
        <v>235</v>
      </c>
      <c r="H339" s="122" t="s">
        <v>10242</v>
      </c>
      <c r="I339" s="122" t="s">
        <v>10243</v>
      </c>
      <c r="J339" s="122" t="s">
        <v>10244</v>
      </c>
      <c r="K339" s="122" t="s">
        <v>238</v>
      </c>
      <c r="L339" s="122" t="s">
        <v>530</v>
      </c>
      <c r="M339" s="122" t="s">
        <v>10245</v>
      </c>
      <c r="O339" s="141" t="s">
        <v>299</v>
      </c>
      <c r="P339" s="141" t="s">
        <v>10246</v>
      </c>
      <c r="Q339" s="122" t="s">
        <v>243</v>
      </c>
      <c r="R339" s="142">
        <v>9</v>
      </c>
      <c r="S339" s="122" t="s">
        <v>10247</v>
      </c>
      <c r="U339" s="122" t="s">
        <v>4681</v>
      </c>
      <c r="W339" s="122" t="s">
        <v>246</v>
      </c>
      <c r="X339" s="122" t="s">
        <v>1057</v>
      </c>
      <c r="Y339" s="141" t="s">
        <v>356</v>
      </c>
      <c r="Z339" s="122" t="s">
        <v>800</v>
      </c>
      <c r="AA339" s="141" t="s">
        <v>356</v>
      </c>
      <c r="AB339" s="122" t="s">
        <v>10248</v>
      </c>
      <c r="AC339" s="141" t="s">
        <v>1260</v>
      </c>
      <c r="AD339" s="122" t="s">
        <v>10248</v>
      </c>
      <c r="AE339" s="122" t="s">
        <v>235</v>
      </c>
      <c r="AF339" s="122" t="s">
        <v>10249</v>
      </c>
      <c r="AG339" s="122" t="s">
        <v>537</v>
      </c>
      <c r="AH339" s="122" t="s">
        <v>253</v>
      </c>
      <c r="AI339" s="122" t="s">
        <v>10250</v>
      </c>
      <c r="AJ339" s="122" t="s">
        <v>10251</v>
      </c>
      <c r="AK339" s="122" t="s">
        <v>253</v>
      </c>
      <c r="AL339" s="122" t="s">
        <v>253</v>
      </c>
      <c r="AM339" s="122" t="s">
        <v>253</v>
      </c>
      <c r="AN339" s="122" t="s">
        <v>253</v>
      </c>
      <c r="AO339" s="141" t="s">
        <v>247</v>
      </c>
      <c r="AP339" s="141" t="s">
        <v>247</v>
      </c>
      <c r="AQ339" s="141" t="s">
        <v>247</v>
      </c>
      <c r="AR339" s="141" t="s">
        <v>253</v>
      </c>
      <c r="AS339" s="141" t="s">
        <v>601</v>
      </c>
      <c r="AT339" s="141" t="s">
        <v>601</v>
      </c>
      <c r="AU339" s="141" t="s">
        <v>258</v>
      </c>
      <c r="AV339" s="122" t="s">
        <v>259</v>
      </c>
      <c r="AW339" s="122" t="s">
        <v>260</v>
      </c>
      <c r="AX339" s="141" t="s">
        <v>362</v>
      </c>
      <c r="AY339" s="141" t="s">
        <v>247</v>
      </c>
      <c r="AZ339" s="122" t="s">
        <v>10252</v>
      </c>
      <c r="BA339" s="122" t="s">
        <v>262</v>
      </c>
      <c r="BB339" s="122" t="s">
        <v>262</v>
      </c>
      <c r="BC339" s="141" t="s">
        <v>312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9</v>
      </c>
      <c r="BJ339" s="123">
        <v>42229</v>
      </c>
      <c r="BK339" s="139" t="s">
        <v>264</v>
      </c>
      <c r="BL339" s="140">
        <v>248.14</v>
      </c>
      <c r="BM339" s="122">
        <v>33</v>
      </c>
    </row>
    <row r="340" spans="1:65" x14ac:dyDescent="0.25">
      <c r="A340" s="122" t="s">
        <v>1161</v>
      </c>
      <c r="B340" s="122" t="s">
        <v>10253</v>
      </c>
      <c r="C340" s="122" t="s">
        <v>10254</v>
      </c>
      <c r="D340" s="122" t="s">
        <v>10255</v>
      </c>
      <c r="E340" s="123">
        <v>42226</v>
      </c>
      <c r="F340" s="122" t="s">
        <v>10256</v>
      </c>
      <c r="G340" s="122" t="s">
        <v>235</v>
      </c>
      <c r="H340" s="122" t="s">
        <v>10257</v>
      </c>
      <c r="I340" s="122" t="s">
        <v>10258</v>
      </c>
      <c r="K340" s="122" t="s">
        <v>238</v>
      </c>
      <c r="L340" s="122" t="s">
        <v>371</v>
      </c>
      <c r="M340" s="122" t="s">
        <v>4833</v>
      </c>
      <c r="O340" s="141" t="s">
        <v>273</v>
      </c>
      <c r="P340" s="141" t="s">
        <v>10259</v>
      </c>
      <c r="Q340" s="122" t="s">
        <v>243</v>
      </c>
      <c r="R340" s="142">
        <v>10</v>
      </c>
      <c r="S340" s="122" t="s">
        <v>10260</v>
      </c>
      <c r="U340" s="122" t="s">
        <v>4681</v>
      </c>
      <c r="W340" s="122" t="s">
        <v>246</v>
      </c>
      <c r="X340" s="122" t="s">
        <v>551</v>
      </c>
      <c r="Y340" s="141" t="s">
        <v>447</v>
      </c>
      <c r="Z340" s="122" t="s">
        <v>4300</v>
      </c>
      <c r="AA340" s="141" t="s">
        <v>1738</v>
      </c>
      <c r="AB340" s="122" t="s">
        <v>10261</v>
      </c>
      <c r="AD340" s="122" t="s">
        <v>250</v>
      </c>
      <c r="AE340" s="122" t="s">
        <v>235</v>
      </c>
      <c r="AF340" s="122" t="s">
        <v>10262</v>
      </c>
      <c r="AG340" s="122" t="s">
        <v>537</v>
      </c>
      <c r="AH340" s="122" t="s">
        <v>253</v>
      </c>
      <c r="AI340" s="122" t="s">
        <v>10263</v>
      </c>
      <c r="AJ340" s="122" t="s">
        <v>10264</v>
      </c>
      <c r="AK340" s="122" t="s">
        <v>10265</v>
      </c>
      <c r="AL340" s="122" t="s">
        <v>10266</v>
      </c>
      <c r="AM340" s="122" t="s">
        <v>10267</v>
      </c>
      <c r="AN340" s="122" t="s">
        <v>253</v>
      </c>
      <c r="AO340" s="141" t="s">
        <v>247</v>
      </c>
      <c r="AP340" s="141" t="s">
        <v>253</v>
      </c>
      <c r="AQ340" s="141" t="s">
        <v>247</v>
      </c>
      <c r="AR340" s="141" t="s">
        <v>247</v>
      </c>
      <c r="AS340" s="141" t="s">
        <v>601</v>
      </c>
      <c r="AT340" s="141" t="s">
        <v>601</v>
      </c>
      <c r="AU340" s="141" t="s">
        <v>601</v>
      </c>
      <c r="AV340" s="122" t="s">
        <v>259</v>
      </c>
      <c r="AW340" s="122" t="s">
        <v>260</v>
      </c>
      <c r="AY340" s="141" t="s">
        <v>253</v>
      </c>
      <c r="AZ340" s="122" t="s">
        <v>10268</v>
      </c>
      <c r="BA340" s="122" t="s">
        <v>262</v>
      </c>
      <c r="BB340" s="122" t="s">
        <v>10269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10</v>
      </c>
      <c r="BJ340" s="123">
        <v>42236</v>
      </c>
      <c r="BK340" s="139" t="s">
        <v>606</v>
      </c>
      <c r="BM340" s="122">
        <v>34</v>
      </c>
    </row>
    <row r="341" spans="1:65" x14ac:dyDescent="0.25">
      <c r="A341" s="122" t="s">
        <v>1161</v>
      </c>
      <c r="B341" s="122" t="s">
        <v>10270</v>
      </c>
      <c r="C341" s="122" t="s">
        <v>10271</v>
      </c>
      <c r="D341" s="122" t="s">
        <v>10272</v>
      </c>
      <c r="E341" s="123">
        <v>42226</v>
      </c>
      <c r="F341" s="122" t="s">
        <v>1398</v>
      </c>
      <c r="G341" s="122" t="s">
        <v>235</v>
      </c>
      <c r="H341" s="122" t="s">
        <v>10273</v>
      </c>
      <c r="I341" s="122" t="s">
        <v>10274</v>
      </c>
      <c r="K341" s="122" t="s">
        <v>238</v>
      </c>
      <c r="L341" s="122" t="s">
        <v>371</v>
      </c>
      <c r="M341" s="122" t="s">
        <v>10275</v>
      </c>
      <c r="O341" s="141" t="s">
        <v>451</v>
      </c>
      <c r="P341" s="141" t="s">
        <v>10276</v>
      </c>
      <c r="Q341" s="122" t="s">
        <v>243</v>
      </c>
      <c r="R341" s="142">
        <v>11</v>
      </c>
      <c r="S341" s="122" t="s">
        <v>10277</v>
      </c>
      <c r="U341" s="122" t="s">
        <v>4681</v>
      </c>
      <c r="W341" s="122" t="s">
        <v>246</v>
      </c>
      <c r="X341" s="122" t="s">
        <v>1643</v>
      </c>
      <c r="Y341" s="141" t="s">
        <v>591</v>
      </c>
      <c r="Z341" s="122" t="s">
        <v>10278</v>
      </c>
      <c r="AA341" s="141" t="s">
        <v>2133</v>
      </c>
      <c r="AB341" s="122" t="s">
        <v>10279</v>
      </c>
      <c r="AD341" s="122" t="s">
        <v>250</v>
      </c>
      <c r="AE341" s="122" t="s">
        <v>235</v>
      </c>
      <c r="AF341" s="122" t="s">
        <v>10280</v>
      </c>
      <c r="AG341" s="122" t="s">
        <v>253</v>
      </c>
      <c r="AH341" s="122" t="s">
        <v>253</v>
      </c>
      <c r="AI341" s="122" t="s">
        <v>10281</v>
      </c>
      <c r="AJ341" s="122" t="s">
        <v>10282</v>
      </c>
      <c r="AK341" s="122" t="s">
        <v>10283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253</v>
      </c>
      <c r="AQ341" s="141" t="s">
        <v>247</v>
      </c>
      <c r="AR341" s="141" t="s">
        <v>247</v>
      </c>
      <c r="AS341" s="141" t="s">
        <v>601</v>
      </c>
      <c r="AT341" s="141" t="s">
        <v>601</v>
      </c>
      <c r="AU341" s="141" t="s">
        <v>257</v>
      </c>
      <c r="AV341" s="122" t="s">
        <v>259</v>
      </c>
      <c r="AW341" s="122" t="s">
        <v>260</v>
      </c>
      <c r="AY341" s="141" t="s">
        <v>253</v>
      </c>
      <c r="AZ341" s="122" t="s">
        <v>10284</v>
      </c>
      <c r="BA341" s="122" t="s">
        <v>262</v>
      </c>
      <c r="BB341" s="122" t="s">
        <v>262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11</v>
      </c>
      <c r="BJ341" s="123">
        <v>42236</v>
      </c>
      <c r="BK341" s="139" t="s">
        <v>606</v>
      </c>
      <c r="BM341" s="122">
        <v>34</v>
      </c>
    </row>
    <row r="342" spans="1:65" x14ac:dyDescent="0.25">
      <c r="A342" s="122" t="s">
        <v>1161</v>
      </c>
      <c r="B342" s="122" t="s">
        <v>10285</v>
      </c>
      <c r="C342" s="122" t="s">
        <v>10286</v>
      </c>
      <c r="D342" s="122" t="s">
        <v>10287</v>
      </c>
      <c r="E342" s="123">
        <v>42226</v>
      </c>
      <c r="F342" s="122" t="s">
        <v>281</v>
      </c>
      <c r="G342" s="122" t="s">
        <v>235</v>
      </c>
      <c r="H342" s="122" t="s">
        <v>448</v>
      </c>
      <c r="I342" s="122" t="s">
        <v>4910</v>
      </c>
      <c r="J342" s="122" t="s">
        <v>10288</v>
      </c>
      <c r="K342" s="122" t="s">
        <v>238</v>
      </c>
      <c r="L342" s="122" t="s">
        <v>530</v>
      </c>
      <c r="M342" s="122" t="s">
        <v>4763</v>
      </c>
      <c r="N342" s="122" t="s">
        <v>4912</v>
      </c>
      <c r="O342" s="141" t="s">
        <v>548</v>
      </c>
      <c r="P342" s="141" t="s">
        <v>10289</v>
      </c>
      <c r="Q342" s="122" t="s">
        <v>243</v>
      </c>
      <c r="R342" s="142">
        <v>12</v>
      </c>
      <c r="S342" s="122" t="s">
        <v>10290</v>
      </c>
      <c r="U342" s="122" t="s">
        <v>4681</v>
      </c>
      <c r="W342" s="122" t="s">
        <v>246</v>
      </c>
      <c r="X342" s="122" t="s">
        <v>1057</v>
      </c>
      <c r="Y342" s="141" t="s">
        <v>2717</v>
      </c>
      <c r="Z342" s="122" t="s">
        <v>10291</v>
      </c>
      <c r="AA342" s="141" t="s">
        <v>1423</v>
      </c>
      <c r="AB342" s="122" t="s">
        <v>10292</v>
      </c>
      <c r="AC342" s="141" t="s">
        <v>687</v>
      </c>
      <c r="AD342" s="122" t="s">
        <v>2135</v>
      </c>
      <c r="AE342" s="122" t="s">
        <v>235</v>
      </c>
      <c r="AF342" s="122" t="s">
        <v>10293</v>
      </c>
      <c r="AG342" s="122" t="s">
        <v>537</v>
      </c>
      <c r="AH342" s="122" t="s">
        <v>253</v>
      </c>
      <c r="AI342" s="122" t="s">
        <v>10294</v>
      </c>
      <c r="AJ342" s="122" t="s">
        <v>10295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247</v>
      </c>
      <c r="AP342" s="141" t="s">
        <v>247</v>
      </c>
      <c r="AQ342" s="141" t="s">
        <v>247</v>
      </c>
      <c r="AR342" s="141" t="s">
        <v>247</v>
      </c>
      <c r="AS342" s="141" t="s">
        <v>601</v>
      </c>
      <c r="AT342" s="141" t="s">
        <v>601</v>
      </c>
      <c r="AU342" s="141" t="s">
        <v>601</v>
      </c>
      <c r="AV342" s="122" t="s">
        <v>259</v>
      </c>
      <c r="AW342" s="122" t="s">
        <v>260</v>
      </c>
      <c r="AY342" s="141" t="s">
        <v>253</v>
      </c>
      <c r="AZ342" s="122" t="s">
        <v>262</v>
      </c>
      <c r="BA342" s="122" t="s">
        <v>262</v>
      </c>
      <c r="BB342" s="122" t="s">
        <v>10296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12</v>
      </c>
    </row>
    <row r="343" spans="1:65" x14ac:dyDescent="0.25">
      <c r="A343" s="122" t="s">
        <v>6059</v>
      </c>
      <c r="B343" s="122" t="s">
        <v>10297</v>
      </c>
      <c r="C343" s="122" t="s">
        <v>10298</v>
      </c>
      <c r="D343" s="122" t="s">
        <v>10299</v>
      </c>
      <c r="E343" s="123">
        <v>42226</v>
      </c>
      <c r="F343" s="122" t="s">
        <v>10300</v>
      </c>
      <c r="G343" s="122" t="s">
        <v>235</v>
      </c>
      <c r="H343" s="122" t="s">
        <v>10301</v>
      </c>
      <c r="I343" s="122" t="s">
        <v>10302</v>
      </c>
      <c r="K343" s="122" t="s">
        <v>238</v>
      </c>
      <c r="L343" s="122" t="s">
        <v>530</v>
      </c>
      <c r="M343" s="122" t="s">
        <v>2913</v>
      </c>
      <c r="O343" s="141" t="s">
        <v>2254</v>
      </c>
      <c r="P343" s="141" t="s">
        <v>10303</v>
      </c>
      <c r="Q343" s="122" t="s">
        <v>243</v>
      </c>
      <c r="R343" s="142">
        <v>13</v>
      </c>
      <c r="S343" s="122" t="s">
        <v>10304</v>
      </c>
      <c r="U343" s="122" t="s">
        <v>4681</v>
      </c>
      <c r="W343" s="122" t="s">
        <v>246</v>
      </c>
      <c r="X343" s="122" t="s">
        <v>590</v>
      </c>
      <c r="Y343" s="141" t="s">
        <v>2717</v>
      </c>
      <c r="Z343" s="122" t="s">
        <v>10305</v>
      </c>
      <c r="AA343" s="141" t="s">
        <v>1498</v>
      </c>
      <c r="AB343" s="122" t="s">
        <v>10306</v>
      </c>
      <c r="AC343" s="141" t="s">
        <v>2429</v>
      </c>
      <c r="AD343" s="122" t="s">
        <v>3205</v>
      </c>
      <c r="AE343" s="122" t="s">
        <v>235</v>
      </c>
      <c r="AF343" s="122" t="s">
        <v>1970</v>
      </c>
      <c r="AG343" s="122" t="s">
        <v>537</v>
      </c>
      <c r="AH343" s="122" t="s">
        <v>253</v>
      </c>
      <c r="AI343" s="122" t="s">
        <v>1971</v>
      </c>
      <c r="AJ343" s="122" t="s">
        <v>1971</v>
      </c>
      <c r="AK343" s="122" t="s">
        <v>253</v>
      </c>
      <c r="AL343" s="122" t="s">
        <v>253</v>
      </c>
      <c r="AM343" s="122" t="s">
        <v>253</v>
      </c>
      <c r="AN343" s="122" t="s">
        <v>253</v>
      </c>
      <c r="AO343" s="141" t="s">
        <v>253</v>
      </c>
      <c r="AP343" s="141" t="s">
        <v>253</v>
      </c>
      <c r="AQ343" s="141" t="s">
        <v>247</v>
      </c>
      <c r="AR343" s="141" t="s">
        <v>253</v>
      </c>
      <c r="AS343" s="141" t="s">
        <v>361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Y343" s="141" t="s">
        <v>253</v>
      </c>
      <c r="AZ343" s="122" t="s">
        <v>10307</v>
      </c>
      <c r="BA343" s="122" t="s">
        <v>262</v>
      </c>
      <c r="BB343" s="122" t="s">
        <v>262</v>
      </c>
      <c r="BC343" s="141" t="s">
        <v>312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13</v>
      </c>
      <c r="BJ343" s="123">
        <v>42234</v>
      </c>
      <c r="BK343" s="139" t="s">
        <v>264</v>
      </c>
      <c r="BL343" s="140">
        <v>77.959999999999994</v>
      </c>
      <c r="BM343" s="122">
        <v>34</v>
      </c>
    </row>
    <row r="344" spans="1:65" x14ac:dyDescent="0.25">
      <c r="A344" s="122" t="s">
        <v>6059</v>
      </c>
      <c r="B344" s="122" t="s">
        <v>10308</v>
      </c>
      <c r="C344" s="122" t="s">
        <v>10309</v>
      </c>
      <c r="D344" s="122" t="s">
        <v>10310</v>
      </c>
      <c r="E344" s="123">
        <v>42226</v>
      </c>
      <c r="F344" s="122" t="s">
        <v>10311</v>
      </c>
      <c r="G344" s="122" t="s">
        <v>235</v>
      </c>
      <c r="H344" s="122" t="s">
        <v>10312</v>
      </c>
      <c r="I344" s="122" t="s">
        <v>10313</v>
      </c>
      <c r="K344" s="122" t="s">
        <v>238</v>
      </c>
      <c r="L344" s="122" t="s">
        <v>371</v>
      </c>
      <c r="M344" s="122" t="s">
        <v>4763</v>
      </c>
      <c r="N344" s="122" t="s">
        <v>10314</v>
      </c>
      <c r="O344" s="141" t="s">
        <v>6638</v>
      </c>
      <c r="P344" s="141" t="s">
        <v>10315</v>
      </c>
      <c r="Q344" s="122" t="s">
        <v>243</v>
      </c>
      <c r="R344" s="142">
        <v>14</v>
      </c>
      <c r="S344" s="122" t="s">
        <v>10316</v>
      </c>
      <c r="U344" s="122" t="s">
        <v>4681</v>
      </c>
      <c r="W344" s="122" t="s">
        <v>246</v>
      </c>
      <c r="X344" s="122" t="s">
        <v>1643</v>
      </c>
      <c r="Y344" s="141" t="s">
        <v>356</v>
      </c>
      <c r="Z344" s="122" t="s">
        <v>10317</v>
      </c>
      <c r="AA344" s="141" t="s">
        <v>2306</v>
      </c>
      <c r="AB344" s="122" t="s">
        <v>10317</v>
      </c>
      <c r="AC344" s="141" t="s">
        <v>1116</v>
      </c>
      <c r="AD344" s="122" t="s">
        <v>10318</v>
      </c>
      <c r="AE344" s="122" t="s">
        <v>235</v>
      </c>
      <c r="AF344" s="122" t="s">
        <v>10319</v>
      </c>
      <c r="AG344" s="122" t="s">
        <v>253</v>
      </c>
      <c r="AH344" s="122" t="s">
        <v>253</v>
      </c>
      <c r="AI344" s="122" t="s">
        <v>10320</v>
      </c>
      <c r="AJ344" s="122" t="s">
        <v>10321</v>
      </c>
      <c r="AK344" s="122" t="s">
        <v>5763</v>
      </c>
      <c r="AL344" s="122" t="s">
        <v>253</v>
      </c>
      <c r="AM344" s="122" t="s">
        <v>253</v>
      </c>
      <c r="AN344" s="122" t="s">
        <v>253</v>
      </c>
      <c r="AO344" s="141" t="s">
        <v>247</v>
      </c>
      <c r="AP344" s="141" t="s">
        <v>247</v>
      </c>
      <c r="AQ344" s="141" t="s">
        <v>253</v>
      </c>
      <c r="AR344" s="141" t="s">
        <v>253</v>
      </c>
      <c r="AS344" s="141" t="s">
        <v>601</v>
      </c>
      <c r="AT344" s="141" t="s">
        <v>258</v>
      </c>
      <c r="AU344" s="141" t="s">
        <v>258</v>
      </c>
      <c r="AV344" s="122" t="s">
        <v>259</v>
      </c>
      <c r="AW344" s="122" t="s">
        <v>260</v>
      </c>
      <c r="AY344" s="141" t="s">
        <v>253</v>
      </c>
      <c r="AZ344" s="122" t="s">
        <v>10322</v>
      </c>
      <c r="BA344" s="122" t="s">
        <v>262</v>
      </c>
      <c r="BB344" s="122" t="s">
        <v>262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14</v>
      </c>
      <c r="BJ344" s="123">
        <v>42236</v>
      </c>
      <c r="BK344" s="139" t="s">
        <v>606</v>
      </c>
      <c r="BM344" s="122">
        <v>34</v>
      </c>
    </row>
    <row r="345" spans="1:65" x14ac:dyDescent="0.25">
      <c r="A345" s="122" t="s">
        <v>6059</v>
      </c>
      <c r="B345" s="122" t="s">
        <v>10323</v>
      </c>
      <c r="C345" s="122" t="s">
        <v>10324</v>
      </c>
      <c r="D345" s="122" t="s">
        <v>10325</v>
      </c>
      <c r="E345" s="123">
        <v>42226</v>
      </c>
      <c r="F345" s="122" t="s">
        <v>3910</v>
      </c>
      <c r="G345" s="122" t="s">
        <v>235</v>
      </c>
      <c r="H345" s="122" t="s">
        <v>10326</v>
      </c>
      <c r="I345" s="122" t="s">
        <v>4910</v>
      </c>
      <c r="J345" s="122" t="s">
        <v>6742</v>
      </c>
      <c r="K345" s="122" t="s">
        <v>238</v>
      </c>
      <c r="L345" s="122" t="s">
        <v>530</v>
      </c>
      <c r="M345" s="122" t="s">
        <v>4763</v>
      </c>
      <c r="O345" s="141" t="s">
        <v>1240</v>
      </c>
      <c r="P345" s="141" t="s">
        <v>10327</v>
      </c>
      <c r="Q345" s="122" t="s">
        <v>243</v>
      </c>
      <c r="R345" s="142">
        <v>15</v>
      </c>
      <c r="S345" s="122" t="s">
        <v>10328</v>
      </c>
      <c r="U345" s="122" t="s">
        <v>4681</v>
      </c>
      <c r="W345" s="122" t="s">
        <v>246</v>
      </c>
      <c r="X345" s="122" t="s">
        <v>2624</v>
      </c>
      <c r="Y345" s="141" t="s">
        <v>1876</v>
      </c>
      <c r="Z345" s="122" t="s">
        <v>10329</v>
      </c>
      <c r="AA345" s="141" t="s">
        <v>742</v>
      </c>
      <c r="AB345" s="122" t="s">
        <v>10330</v>
      </c>
      <c r="AC345" s="141" t="s">
        <v>1179</v>
      </c>
      <c r="AD345" s="122" t="s">
        <v>10331</v>
      </c>
      <c r="AE345" s="122" t="s">
        <v>235</v>
      </c>
      <c r="AF345" s="122" t="s">
        <v>10332</v>
      </c>
      <c r="AG345" s="122" t="s">
        <v>537</v>
      </c>
      <c r="AH345" s="122" t="s">
        <v>253</v>
      </c>
      <c r="AI345" s="122" t="s">
        <v>10333</v>
      </c>
      <c r="AJ345" s="122" t="s">
        <v>10334</v>
      </c>
      <c r="AK345" s="122" t="s">
        <v>253</v>
      </c>
      <c r="AL345" s="122" t="s">
        <v>253</v>
      </c>
      <c r="AM345" s="122" t="s">
        <v>253</v>
      </c>
      <c r="AN345" s="122" t="s">
        <v>253</v>
      </c>
      <c r="AO345" s="141" t="s">
        <v>247</v>
      </c>
      <c r="AP345" s="141" t="s">
        <v>247</v>
      </c>
      <c r="AQ345" s="141" t="s">
        <v>247</v>
      </c>
      <c r="AR345" s="141" t="s">
        <v>247</v>
      </c>
      <c r="AS345" s="141" t="s">
        <v>601</v>
      </c>
      <c r="AT345" s="141" t="s">
        <v>601</v>
      </c>
      <c r="AU345" s="141" t="s">
        <v>601</v>
      </c>
      <c r="AV345" s="122" t="s">
        <v>259</v>
      </c>
      <c r="AW345" s="122" t="s">
        <v>260</v>
      </c>
      <c r="AX345" s="141" t="s">
        <v>10335</v>
      </c>
      <c r="AY345" s="141" t="s">
        <v>603</v>
      </c>
      <c r="AZ345" s="122" t="s">
        <v>10336</v>
      </c>
      <c r="BA345" s="122" t="s">
        <v>262</v>
      </c>
      <c r="BB345" s="122" t="s">
        <v>262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15</v>
      </c>
      <c r="BJ345" s="123">
        <v>42229</v>
      </c>
      <c r="BK345" s="139" t="s">
        <v>264</v>
      </c>
      <c r="BL345" s="140">
        <v>144.80000000000001</v>
      </c>
      <c r="BM345" s="122">
        <v>33</v>
      </c>
    </row>
    <row r="346" spans="1:65" x14ac:dyDescent="0.25">
      <c r="A346" s="122" t="s">
        <v>6059</v>
      </c>
      <c r="B346" s="122" t="s">
        <v>10337</v>
      </c>
      <c r="C346" s="122" t="s">
        <v>10338</v>
      </c>
      <c r="D346" s="122" t="s">
        <v>10339</v>
      </c>
      <c r="E346" s="123">
        <v>42226</v>
      </c>
      <c r="F346" s="122" t="s">
        <v>968</v>
      </c>
      <c r="G346" s="122" t="s">
        <v>235</v>
      </c>
      <c r="H346" s="122" t="s">
        <v>10340</v>
      </c>
      <c r="I346" s="122" t="s">
        <v>10341</v>
      </c>
      <c r="K346" s="122" t="s">
        <v>238</v>
      </c>
      <c r="L346" s="122" t="s">
        <v>371</v>
      </c>
      <c r="M346" s="122" t="s">
        <v>4833</v>
      </c>
      <c r="O346" s="141" t="s">
        <v>850</v>
      </c>
      <c r="P346" s="141" t="s">
        <v>10342</v>
      </c>
      <c r="Q346" s="122" t="s">
        <v>243</v>
      </c>
      <c r="R346" s="142">
        <v>16</v>
      </c>
      <c r="S346" s="122" t="s">
        <v>10343</v>
      </c>
      <c r="U346" s="122" t="s">
        <v>4681</v>
      </c>
      <c r="W346" s="122" t="s">
        <v>246</v>
      </c>
      <c r="X346" s="122" t="s">
        <v>590</v>
      </c>
      <c r="Y346" s="141" t="s">
        <v>534</v>
      </c>
      <c r="Z346" s="122" t="s">
        <v>355</v>
      </c>
      <c r="AA346" s="141" t="s">
        <v>1876</v>
      </c>
      <c r="AB346" s="122" t="s">
        <v>10344</v>
      </c>
      <c r="AC346" s="141" t="s">
        <v>1423</v>
      </c>
      <c r="AD346" s="122" t="s">
        <v>10345</v>
      </c>
      <c r="AE346" s="122" t="s">
        <v>235</v>
      </c>
      <c r="AF346" s="122" t="s">
        <v>10346</v>
      </c>
      <c r="AG346" s="122" t="s">
        <v>537</v>
      </c>
      <c r="AH346" s="122" t="s">
        <v>253</v>
      </c>
      <c r="AI346" s="122" t="s">
        <v>10347</v>
      </c>
      <c r="AJ346" s="122" t="s">
        <v>10348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247</v>
      </c>
      <c r="AP346" s="141" t="s">
        <v>247</v>
      </c>
      <c r="AQ346" s="141" t="s">
        <v>247</v>
      </c>
      <c r="AR346" s="141" t="s">
        <v>247</v>
      </c>
      <c r="AS346" s="141" t="s">
        <v>601</v>
      </c>
      <c r="AT346" s="141" t="s">
        <v>601</v>
      </c>
      <c r="AU346" s="141" t="s">
        <v>257</v>
      </c>
      <c r="AV346" s="122" t="s">
        <v>259</v>
      </c>
      <c r="AW346" s="122" t="s">
        <v>260</v>
      </c>
      <c r="AY346" s="141" t="s">
        <v>253</v>
      </c>
      <c r="AZ346" s="122" t="s">
        <v>10349</v>
      </c>
      <c r="BA346" s="122" t="s">
        <v>262</v>
      </c>
      <c r="BB346" s="122" t="s">
        <v>10350</v>
      </c>
      <c r="BC346" s="141" t="s">
        <v>312</v>
      </c>
      <c r="BD346" s="122" t="s">
        <v>253</v>
      </c>
      <c r="BE346" s="122" t="s">
        <v>263</v>
      </c>
      <c r="BF346" s="122" t="s">
        <v>4688</v>
      </c>
      <c r="BH346" s="122" t="s">
        <v>4681</v>
      </c>
      <c r="BI346" s="142">
        <v>16</v>
      </c>
      <c r="BJ346" s="123">
        <v>42236</v>
      </c>
      <c r="BK346" s="139" t="s">
        <v>606</v>
      </c>
      <c r="BM346" s="122">
        <v>34</v>
      </c>
    </row>
    <row r="347" spans="1:65" x14ac:dyDescent="0.25">
      <c r="A347" s="122" t="s">
        <v>6059</v>
      </c>
      <c r="B347" s="122" t="s">
        <v>10351</v>
      </c>
      <c r="C347" s="122" t="s">
        <v>10352</v>
      </c>
      <c r="D347" s="122" t="s">
        <v>10353</v>
      </c>
      <c r="E347" s="123">
        <v>42226</v>
      </c>
      <c r="F347" s="122" t="s">
        <v>2105</v>
      </c>
      <c r="G347" s="122" t="s">
        <v>235</v>
      </c>
      <c r="H347" s="122" t="s">
        <v>10354</v>
      </c>
      <c r="I347" s="122" t="s">
        <v>10355</v>
      </c>
      <c r="K347" s="122" t="s">
        <v>238</v>
      </c>
      <c r="L347" s="122" t="s">
        <v>530</v>
      </c>
      <c r="M347" s="122" t="s">
        <v>4942</v>
      </c>
      <c r="Q347" s="122" t="s">
        <v>243</v>
      </c>
      <c r="R347" s="142">
        <v>17</v>
      </c>
      <c r="S347" s="122" t="s">
        <v>10356</v>
      </c>
      <c r="U347" s="122" t="s">
        <v>4681</v>
      </c>
      <c r="W347" s="122" t="s">
        <v>246</v>
      </c>
      <c r="X347" s="122" t="s">
        <v>433</v>
      </c>
      <c r="Y347" s="141" t="s">
        <v>744</v>
      </c>
      <c r="Z347" s="122" t="s">
        <v>355</v>
      </c>
      <c r="AB347" s="122" t="s">
        <v>250</v>
      </c>
      <c r="AD347" s="122" t="s">
        <v>250</v>
      </c>
      <c r="AE347" s="122" t="s">
        <v>235</v>
      </c>
      <c r="AF347" s="122" t="s">
        <v>10357</v>
      </c>
      <c r="AG347" s="122" t="s">
        <v>537</v>
      </c>
      <c r="AH347" s="122" t="s">
        <v>253</v>
      </c>
      <c r="AI347" s="122" t="s">
        <v>10358</v>
      </c>
      <c r="AJ347" s="122" t="s">
        <v>3074</v>
      </c>
      <c r="AK347" s="122" t="s">
        <v>10359</v>
      </c>
      <c r="AL347" s="122" t="s">
        <v>253</v>
      </c>
      <c r="AM347" s="122" t="s">
        <v>253</v>
      </c>
      <c r="AN347" s="122" t="s">
        <v>253</v>
      </c>
      <c r="AO347" s="141" t="s">
        <v>247</v>
      </c>
      <c r="AP347" s="141" t="s">
        <v>253</v>
      </c>
      <c r="AQ347" s="141" t="s">
        <v>247</v>
      </c>
      <c r="AR347" s="141" t="s">
        <v>247</v>
      </c>
      <c r="AS347" s="141" t="s">
        <v>601</v>
      </c>
      <c r="AT347" s="141" t="s">
        <v>601</v>
      </c>
      <c r="AU347" s="141" t="s">
        <v>601</v>
      </c>
      <c r="AV347" s="122" t="s">
        <v>259</v>
      </c>
      <c r="AW347" s="122" t="s">
        <v>260</v>
      </c>
      <c r="AY347" s="141" t="s">
        <v>253</v>
      </c>
      <c r="AZ347" s="122" t="s">
        <v>10360</v>
      </c>
      <c r="BA347" s="122" t="s">
        <v>262</v>
      </c>
      <c r="BB347" s="122" t="s">
        <v>262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17</v>
      </c>
      <c r="BJ347" s="123">
        <v>42233</v>
      </c>
      <c r="BK347" s="139" t="s">
        <v>606</v>
      </c>
      <c r="BM347" s="122">
        <v>34</v>
      </c>
    </row>
    <row r="348" spans="1:65" x14ac:dyDescent="0.25">
      <c r="A348" s="122" t="s">
        <v>6735</v>
      </c>
      <c r="B348" s="122" t="s">
        <v>10361</v>
      </c>
      <c r="C348" s="122" t="s">
        <v>10362</v>
      </c>
      <c r="D348" s="122" t="s">
        <v>10363</v>
      </c>
      <c r="E348" s="123">
        <v>42226</v>
      </c>
      <c r="F348" s="122" t="s">
        <v>1484</v>
      </c>
      <c r="G348" s="122" t="s">
        <v>235</v>
      </c>
      <c r="H348" s="122" t="s">
        <v>10364</v>
      </c>
      <c r="I348" s="122" t="s">
        <v>10365</v>
      </c>
      <c r="K348" s="122" t="s">
        <v>238</v>
      </c>
      <c r="L348" s="122" t="s">
        <v>371</v>
      </c>
      <c r="M348" s="122" t="s">
        <v>5056</v>
      </c>
      <c r="O348" s="141" t="s">
        <v>548</v>
      </c>
      <c r="P348" s="141" t="s">
        <v>10366</v>
      </c>
      <c r="Q348" s="122" t="s">
        <v>243</v>
      </c>
      <c r="R348" s="142">
        <v>18</v>
      </c>
      <c r="S348" s="122" t="s">
        <v>10367</v>
      </c>
      <c r="U348" s="122" t="s">
        <v>4681</v>
      </c>
      <c r="W348" s="122" t="s">
        <v>246</v>
      </c>
      <c r="X348" s="122" t="s">
        <v>302</v>
      </c>
      <c r="Y348" s="141" t="s">
        <v>535</v>
      </c>
      <c r="Z348" s="122" t="s">
        <v>10368</v>
      </c>
      <c r="AA348" s="141" t="s">
        <v>1421</v>
      </c>
      <c r="AB348" s="122" t="s">
        <v>1792</v>
      </c>
      <c r="AC348" s="141" t="s">
        <v>2133</v>
      </c>
      <c r="AD348" s="122" t="s">
        <v>1792</v>
      </c>
      <c r="AE348" s="122" t="s">
        <v>235</v>
      </c>
      <c r="AF348" s="122" t="s">
        <v>10369</v>
      </c>
      <c r="AG348" s="122" t="s">
        <v>253</v>
      </c>
      <c r="AH348" s="122" t="s">
        <v>253</v>
      </c>
      <c r="AI348" s="122" t="s">
        <v>10370</v>
      </c>
      <c r="AJ348" s="122" t="s">
        <v>10371</v>
      </c>
      <c r="AK348" s="122" t="s">
        <v>10372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253</v>
      </c>
      <c r="AR348" s="141" t="s">
        <v>253</v>
      </c>
      <c r="AS348" s="141" t="s">
        <v>601</v>
      </c>
      <c r="AT348" s="141" t="s">
        <v>258</v>
      </c>
      <c r="AU348" s="141" t="s">
        <v>258</v>
      </c>
      <c r="AV348" s="122" t="s">
        <v>259</v>
      </c>
      <c r="AW348" s="122" t="s">
        <v>260</v>
      </c>
      <c r="AX348" s="141" t="s">
        <v>10373</v>
      </c>
      <c r="AY348" s="141" t="s">
        <v>603</v>
      </c>
      <c r="AZ348" s="122" t="s">
        <v>10374</v>
      </c>
      <c r="BA348" s="122" t="s">
        <v>262</v>
      </c>
      <c r="BB348" s="122" t="s">
        <v>262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18</v>
      </c>
      <c r="BJ348" s="123">
        <v>42236</v>
      </c>
      <c r="BK348" s="139" t="s">
        <v>606</v>
      </c>
      <c r="BM348" s="122">
        <v>34</v>
      </c>
    </row>
    <row r="349" spans="1:65" x14ac:dyDescent="0.25">
      <c r="A349" s="122" t="s">
        <v>6735</v>
      </c>
      <c r="B349" s="122" t="s">
        <v>10375</v>
      </c>
      <c r="C349" s="122" t="s">
        <v>10376</v>
      </c>
      <c r="D349" s="122" t="s">
        <v>10377</v>
      </c>
      <c r="E349" s="123">
        <v>42226</v>
      </c>
      <c r="F349" s="122" t="s">
        <v>10378</v>
      </c>
      <c r="G349" s="122" t="s">
        <v>235</v>
      </c>
      <c r="H349" s="122" t="s">
        <v>10379</v>
      </c>
      <c r="I349" s="122" t="s">
        <v>5379</v>
      </c>
      <c r="J349" s="122" t="s">
        <v>10380</v>
      </c>
      <c r="K349" s="122" t="s">
        <v>238</v>
      </c>
      <c r="L349" s="122" t="s">
        <v>530</v>
      </c>
      <c r="M349" s="122" t="s">
        <v>5009</v>
      </c>
      <c r="O349" s="141" t="s">
        <v>566</v>
      </c>
      <c r="P349" s="141" t="s">
        <v>10381</v>
      </c>
      <c r="Q349" s="122" t="s">
        <v>243</v>
      </c>
      <c r="R349" s="142">
        <v>19</v>
      </c>
      <c r="S349" s="122" t="s">
        <v>10382</v>
      </c>
      <c r="U349" s="122" t="s">
        <v>4681</v>
      </c>
      <c r="W349" s="122" t="s">
        <v>246</v>
      </c>
      <c r="X349" s="122" t="s">
        <v>1121</v>
      </c>
      <c r="Y349" s="141" t="s">
        <v>593</v>
      </c>
      <c r="Z349" s="122" t="s">
        <v>10383</v>
      </c>
      <c r="AA349" s="141" t="s">
        <v>511</v>
      </c>
      <c r="AB349" s="122" t="s">
        <v>10384</v>
      </c>
      <c r="AC349" s="141" t="s">
        <v>2259</v>
      </c>
      <c r="AD349" s="122" t="s">
        <v>10385</v>
      </c>
      <c r="AE349" s="122" t="s">
        <v>235</v>
      </c>
      <c r="AF349" s="122" t="s">
        <v>10386</v>
      </c>
      <c r="AG349" s="122" t="s">
        <v>537</v>
      </c>
      <c r="AH349" s="122" t="s">
        <v>253</v>
      </c>
      <c r="AI349" s="122" t="s">
        <v>10387</v>
      </c>
      <c r="AJ349" s="122" t="s">
        <v>2137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247</v>
      </c>
      <c r="AS349" s="141" t="s">
        <v>601</v>
      </c>
      <c r="AT349" s="141" t="s">
        <v>601</v>
      </c>
      <c r="AU349" s="141" t="s">
        <v>601</v>
      </c>
      <c r="AV349" s="122" t="s">
        <v>259</v>
      </c>
      <c r="AW349" s="122" t="s">
        <v>260</v>
      </c>
      <c r="AX349" s="141" t="s">
        <v>10388</v>
      </c>
      <c r="AY349" s="141" t="s">
        <v>247</v>
      </c>
      <c r="AZ349" s="122" t="s">
        <v>10389</v>
      </c>
      <c r="BA349" s="122" t="s">
        <v>262</v>
      </c>
      <c r="BB349" s="122" t="s">
        <v>10390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19</v>
      </c>
    </row>
    <row r="350" spans="1:65" x14ac:dyDescent="0.25">
      <c r="A350" s="122" t="s">
        <v>6735</v>
      </c>
      <c r="B350" s="122" t="s">
        <v>10391</v>
      </c>
      <c r="C350" s="122" t="s">
        <v>10392</v>
      </c>
      <c r="D350" s="122" t="s">
        <v>10393</v>
      </c>
      <c r="E350" s="123">
        <v>42226</v>
      </c>
      <c r="F350" s="122" t="s">
        <v>10394</v>
      </c>
      <c r="G350" s="122" t="s">
        <v>235</v>
      </c>
      <c r="H350" s="122" t="s">
        <v>10395</v>
      </c>
      <c r="I350" s="122" t="s">
        <v>10396</v>
      </c>
      <c r="K350" s="122" t="s">
        <v>238</v>
      </c>
      <c r="L350" s="122" t="s">
        <v>371</v>
      </c>
      <c r="M350" s="122" t="s">
        <v>10275</v>
      </c>
      <c r="O350" s="141" t="s">
        <v>3455</v>
      </c>
      <c r="P350" s="141" t="s">
        <v>10397</v>
      </c>
      <c r="Q350" s="122" t="s">
        <v>243</v>
      </c>
      <c r="R350" s="142">
        <v>20</v>
      </c>
      <c r="S350" s="122" t="s">
        <v>10398</v>
      </c>
      <c r="U350" s="122" t="s">
        <v>4681</v>
      </c>
      <c r="W350" s="122" t="s">
        <v>246</v>
      </c>
      <c r="X350" s="122" t="s">
        <v>1121</v>
      </c>
      <c r="Y350" s="141" t="s">
        <v>593</v>
      </c>
      <c r="Z350" s="122" t="s">
        <v>10399</v>
      </c>
      <c r="AA350" s="141" t="s">
        <v>1289</v>
      </c>
      <c r="AB350" s="122" t="s">
        <v>10400</v>
      </c>
      <c r="AC350" s="141" t="s">
        <v>1567</v>
      </c>
      <c r="AD350" s="122" t="s">
        <v>10400</v>
      </c>
      <c r="AE350" s="122" t="s">
        <v>235</v>
      </c>
      <c r="AF350" s="122" t="s">
        <v>10401</v>
      </c>
      <c r="AG350" s="122" t="s">
        <v>537</v>
      </c>
      <c r="AH350" s="122" t="s">
        <v>253</v>
      </c>
      <c r="AI350" s="122" t="s">
        <v>10402</v>
      </c>
      <c r="AJ350" s="122" t="s">
        <v>10403</v>
      </c>
      <c r="AK350" s="122" t="s">
        <v>253</v>
      </c>
      <c r="AL350" s="122" t="s">
        <v>253</v>
      </c>
      <c r="AM350" s="122" t="s">
        <v>253</v>
      </c>
      <c r="AN350" s="122" t="s">
        <v>253</v>
      </c>
      <c r="AO350" s="141" t="s">
        <v>247</v>
      </c>
      <c r="AP350" s="141" t="s">
        <v>253</v>
      </c>
      <c r="AQ350" s="141" t="s">
        <v>247</v>
      </c>
      <c r="AR350" s="141" t="s">
        <v>253</v>
      </c>
      <c r="AS350" s="141" t="s">
        <v>601</v>
      </c>
      <c r="AT350" s="141" t="s">
        <v>601</v>
      </c>
      <c r="AU350" s="141" t="s">
        <v>258</v>
      </c>
      <c r="AV350" s="122" t="s">
        <v>259</v>
      </c>
      <c r="AW350" s="122" t="s">
        <v>260</v>
      </c>
      <c r="AX350" s="141" t="s">
        <v>10404</v>
      </c>
      <c r="AY350" s="141" t="s">
        <v>247</v>
      </c>
      <c r="AZ350" s="122" t="s">
        <v>10405</v>
      </c>
      <c r="BA350" s="122" t="s">
        <v>262</v>
      </c>
      <c r="BB350" s="122" t="s">
        <v>262</v>
      </c>
      <c r="BC350" s="141" t="s">
        <v>312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20</v>
      </c>
      <c r="BJ350" s="123">
        <v>42232</v>
      </c>
      <c r="BK350" s="139" t="s">
        <v>264</v>
      </c>
      <c r="BL350" s="140">
        <v>319.56</v>
      </c>
      <c r="BM350" s="122">
        <v>33</v>
      </c>
    </row>
    <row r="351" spans="1:65" x14ac:dyDescent="0.25">
      <c r="A351" s="122" t="s">
        <v>6735</v>
      </c>
      <c r="B351" s="122" t="s">
        <v>10406</v>
      </c>
      <c r="C351" s="122" t="s">
        <v>10407</v>
      </c>
      <c r="D351" s="122" t="s">
        <v>10408</v>
      </c>
      <c r="E351" s="123">
        <v>42226</v>
      </c>
      <c r="F351" s="122" t="s">
        <v>2072</v>
      </c>
      <c r="G351" s="122" t="s">
        <v>235</v>
      </c>
      <c r="H351" s="122" t="s">
        <v>10409</v>
      </c>
      <c r="I351" s="122" t="s">
        <v>4894</v>
      </c>
      <c r="J351" s="122" t="s">
        <v>10410</v>
      </c>
      <c r="K351" s="122" t="s">
        <v>238</v>
      </c>
      <c r="L351" s="122" t="s">
        <v>530</v>
      </c>
      <c r="M351" s="122" t="s">
        <v>4763</v>
      </c>
      <c r="N351" s="122" t="s">
        <v>10411</v>
      </c>
      <c r="Q351" s="122" t="s">
        <v>243</v>
      </c>
      <c r="R351" s="142">
        <v>21</v>
      </c>
      <c r="S351" s="122" t="s">
        <v>10412</v>
      </c>
      <c r="U351" s="122" t="s">
        <v>4681</v>
      </c>
      <c r="W351" s="122" t="s">
        <v>246</v>
      </c>
      <c r="X351" s="122" t="s">
        <v>302</v>
      </c>
      <c r="Z351" s="122" t="s">
        <v>250</v>
      </c>
      <c r="AB351" s="122" t="s">
        <v>250</v>
      </c>
      <c r="AD351" s="122" t="s">
        <v>250</v>
      </c>
      <c r="AE351" s="122" t="s">
        <v>235</v>
      </c>
      <c r="AF351" s="122" t="s">
        <v>10413</v>
      </c>
      <c r="AG351" s="122" t="s">
        <v>253</v>
      </c>
      <c r="AH351" s="122" t="s">
        <v>253</v>
      </c>
      <c r="AI351" s="122" t="s">
        <v>10414</v>
      </c>
      <c r="AJ351" s="122" t="s">
        <v>10415</v>
      </c>
      <c r="AK351" s="122" t="s">
        <v>10416</v>
      </c>
      <c r="AL351" s="122" t="s">
        <v>253</v>
      </c>
      <c r="AM351" s="122" t="s">
        <v>253</v>
      </c>
      <c r="AN351" s="122" t="s">
        <v>253</v>
      </c>
      <c r="AO351" s="141" t="s">
        <v>253</v>
      </c>
      <c r="AP351" s="141" t="s">
        <v>253</v>
      </c>
      <c r="AQ351" s="141" t="s">
        <v>247</v>
      </c>
      <c r="AR351" s="141" t="s">
        <v>253</v>
      </c>
      <c r="AS351" s="141" t="s">
        <v>361</v>
      </c>
      <c r="AT351" s="141" t="s">
        <v>601</v>
      </c>
      <c r="AU351" s="141" t="s">
        <v>258</v>
      </c>
      <c r="AV351" s="122" t="s">
        <v>259</v>
      </c>
      <c r="AW351" s="122" t="s">
        <v>260</v>
      </c>
      <c r="AY351" s="141" t="s">
        <v>253</v>
      </c>
      <c r="AZ351" s="122" t="s">
        <v>10417</v>
      </c>
      <c r="BA351" s="122" t="s">
        <v>262</v>
      </c>
      <c r="BB351" s="122" t="s">
        <v>262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21</v>
      </c>
    </row>
    <row r="352" spans="1:65" x14ac:dyDescent="0.25">
      <c r="A352" s="122" t="s">
        <v>6735</v>
      </c>
      <c r="B352" s="122" t="s">
        <v>10418</v>
      </c>
      <c r="C352" s="122" t="s">
        <v>10419</v>
      </c>
      <c r="D352" s="122" t="s">
        <v>10420</v>
      </c>
      <c r="E352" s="123">
        <v>42226</v>
      </c>
      <c r="F352" s="122" t="s">
        <v>10421</v>
      </c>
      <c r="G352" s="122" t="s">
        <v>235</v>
      </c>
      <c r="H352" s="122" t="s">
        <v>10422</v>
      </c>
      <c r="I352" s="122" t="s">
        <v>5108</v>
      </c>
      <c r="J352" s="122" t="s">
        <v>2116</v>
      </c>
      <c r="K352" s="122" t="s">
        <v>238</v>
      </c>
      <c r="L352" s="122" t="s">
        <v>371</v>
      </c>
      <c r="M352" s="122" t="s">
        <v>4763</v>
      </c>
      <c r="Q352" s="122" t="s">
        <v>243</v>
      </c>
      <c r="R352" s="142">
        <v>22</v>
      </c>
      <c r="S352" s="122" t="s">
        <v>10423</v>
      </c>
      <c r="U352" s="122" t="s">
        <v>4681</v>
      </c>
      <c r="W352" s="122" t="s">
        <v>246</v>
      </c>
      <c r="X352" s="122" t="s">
        <v>497</v>
      </c>
      <c r="Y352" s="141" t="s">
        <v>248</v>
      </c>
      <c r="Z352" s="122" t="s">
        <v>10424</v>
      </c>
      <c r="AA352" s="141" t="s">
        <v>722</v>
      </c>
      <c r="AB352" s="122" t="s">
        <v>10424</v>
      </c>
      <c r="AC352" s="141" t="s">
        <v>1015</v>
      </c>
      <c r="AD352" s="122" t="s">
        <v>10425</v>
      </c>
      <c r="AE352" s="122" t="s">
        <v>235</v>
      </c>
      <c r="AF352" s="122" t="s">
        <v>10426</v>
      </c>
      <c r="AG352" s="122" t="s">
        <v>10427</v>
      </c>
      <c r="AH352" s="122" t="s">
        <v>253</v>
      </c>
      <c r="AI352" s="122" t="s">
        <v>5337</v>
      </c>
      <c r="AJ352" s="122" t="s">
        <v>10428</v>
      </c>
      <c r="AK352" s="122" t="s">
        <v>253</v>
      </c>
      <c r="AL352" s="122" t="s">
        <v>253</v>
      </c>
      <c r="AM352" s="122" t="s">
        <v>253</v>
      </c>
      <c r="AN352" s="122" t="s">
        <v>253</v>
      </c>
      <c r="AO352" s="141" t="s">
        <v>247</v>
      </c>
      <c r="AP352" s="141" t="s">
        <v>247</v>
      </c>
      <c r="AQ352" s="141" t="s">
        <v>253</v>
      </c>
      <c r="AR352" s="141" t="s">
        <v>253</v>
      </c>
      <c r="AS352" s="141" t="s">
        <v>601</v>
      </c>
      <c r="AT352" s="141" t="s">
        <v>258</v>
      </c>
      <c r="AU352" s="141" t="s">
        <v>258</v>
      </c>
      <c r="AV352" s="122" t="s">
        <v>259</v>
      </c>
      <c r="AW352" s="122" t="s">
        <v>260</v>
      </c>
      <c r="AX352" s="141" t="s">
        <v>10429</v>
      </c>
      <c r="AY352" s="141" t="s">
        <v>247</v>
      </c>
      <c r="AZ352" s="122" t="s">
        <v>10430</v>
      </c>
      <c r="BA352" s="122" t="s">
        <v>262</v>
      </c>
      <c r="BB352" s="122" t="s">
        <v>262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22</v>
      </c>
      <c r="BJ352" s="123">
        <v>42230</v>
      </c>
      <c r="BK352" s="139" t="s">
        <v>264</v>
      </c>
      <c r="BL352" s="140">
        <v>46.7</v>
      </c>
      <c r="BM352" s="122">
        <v>33</v>
      </c>
    </row>
    <row r="353" spans="1:65" x14ac:dyDescent="0.25">
      <c r="A353" s="122" t="s">
        <v>6489</v>
      </c>
      <c r="B353" s="122" t="s">
        <v>10431</v>
      </c>
      <c r="C353" s="122" t="s">
        <v>10432</v>
      </c>
      <c r="D353" s="122" t="s">
        <v>10433</v>
      </c>
      <c r="E353" s="123">
        <v>42226</v>
      </c>
      <c r="F353" s="122" t="s">
        <v>3960</v>
      </c>
      <c r="G353" s="122" t="s">
        <v>235</v>
      </c>
      <c r="H353" s="122" t="s">
        <v>10434</v>
      </c>
      <c r="I353" s="122" t="s">
        <v>10435</v>
      </c>
      <c r="J353" s="122" t="s">
        <v>1018</v>
      </c>
      <c r="K353" s="122" t="s">
        <v>238</v>
      </c>
      <c r="L353" s="122" t="s">
        <v>530</v>
      </c>
      <c r="M353" s="122" t="s">
        <v>10436</v>
      </c>
      <c r="O353" s="141" t="s">
        <v>665</v>
      </c>
      <c r="P353" s="141" t="s">
        <v>10437</v>
      </c>
      <c r="Q353" s="122" t="s">
        <v>243</v>
      </c>
      <c r="R353" s="142">
        <v>23</v>
      </c>
      <c r="S353" s="122" t="s">
        <v>10438</v>
      </c>
      <c r="U353" s="122" t="s">
        <v>4681</v>
      </c>
      <c r="W353" s="122" t="s">
        <v>246</v>
      </c>
      <c r="X353" s="122" t="s">
        <v>2624</v>
      </c>
      <c r="Y353" s="141" t="s">
        <v>455</v>
      </c>
      <c r="Z353" s="122" t="s">
        <v>10439</v>
      </c>
      <c r="AA353" s="141" t="s">
        <v>1896</v>
      </c>
      <c r="AB353" s="122" t="s">
        <v>10440</v>
      </c>
      <c r="AC353" s="141" t="s">
        <v>899</v>
      </c>
      <c r="AD353" s="122" t="s">
        <v>10441</v>
      </c>
      <c r="AE353" s="122" t="s">
        <v>235</v>
      </c>
      <c r="AF353" s="122" t="s">
        <v>10442</v>
      </c>
      <c r="AG353" s="122" t="s">
        <v>537</v>
      </c>
      <c r="AH353" s="122" t="s">
        <v>253</v>
      </c>
      <c r="AI353" s="122" t="s">
        <v>10443</v>
      </c>
      <c r="AJ353" s="122" t="s">
        <v>10444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247</v>
      </c>
      <c r="AQ353" s="141" t="s">
        <v>253</v>
      </c>
      <c r="AR353" s="141" t="s">
        <v>253</v>
      </c>
      <c r="AS353" s="141" t="s">
        <v>601</v>
      </c>
      <c r="AT353" s="141" t="s">
        <v>258</v>
      </c>
      <c r="AU353" s="141" t="s">
        <v>258</v>
      </c>
      <c r="AV353" s="122" t="s">
        <v>259</v>
      </c>
      <c r="AW353" s="122" t="s">
        <v>260</v>
      </c>
      <c r="AY353" s="141" t="s">
        <v>253</v>
      </c>
      <c r="AZ353" s="122" t="s">
        <v>10445</v>
      </c>
      <c r="BA353" s="122" t="s">
        <v>262</v>
      </c>
      <c r="BB353" s="122" t="s">
        <v>262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23</v>
      </c>
    </row>
    <row r="354" spans="1:65" x14ac:dyDescent="0.25">
      <c r="A354" s="122" t="s">
        <v>6489</v>
      </c>
      <c r="B354" s="122" t="s">
        <v>10446</v>
      </c>
      <c r="C354" s="122" t="s">
        <v>10447</v>
      </c>
      <c r="D354" s="122" t="s">
        <v>10448</v>
      </c>
      <c r="E354" s="123">
        <v>42226</v>
      </c>
      <c r="F354" s="122" t="s">
        <v>1876</v>
      </c>
      <c r="G354" s="122" t="s">
        <v>235</v>
      </c>
      <c r="H354" s="122" t="s">
        <v>10449</v>
      </c>
      <c r="I354" s="122" t="s">
        <v>10243</v>
      </c>
      <c r="J354" s="122" t="s">
        <v>10450</v>
      </c>
      <c r="K354" s="122" t="s">
        <v>238</v>
      </c>
      <c r="L354" s="122" t="s">
        <v>530</v>
      </c>
      <c r="M354" s="122" t="s">
        <v>10245</v>
      </c>
      <c r="O354" s="141" t="s">
        <v>373</v>
      </c>
      <c r="P354" s="141" t="s">
        <v>10451</v>
      </c>
      <c r="Q354" s="122" t="s">
        <v>243</v>
      </c>
      <c r="R354" s="142">
        <v>24</v>
      </c>
      <c r="S354" s="122" t="s">
        <v>10452</v>
      </c>
      <c r="U354" s="122" t="s">
        <v>4681</v>
      </c>
      <c r="W354" s="122" t="s">
        <v>246</v>
      </c>
      <c r="X354" s="122" t="s">
        <v>1643</v>
      </c>
      <c r="Y354" s="141" t="s">
        <v>9031</v>
      </c>
      <c r="Z354" s="122" t="s">
        <v>355</v>
      </c>
      <c r="AA354" s="141" t="s">
        <v>230</v>
      </c>
      <c r="AB354" s="122" t="s">
        <v>1792</v>
      </c>
      <c r="AC354" s="141" t="s">
        <v>2979</v>
      </c>
      <c r="AD354" s="122" t="s">
        <v>1792</v>
      </c>
      <c r="AE354" s="122" t="s">
        <v>235</v>
      </c>
      <c r="AF354" s="122" t="s">
        <v>10453</v>
      </c>
      <c r="AG354" s="122" t="s">
        <v>253</v>
      </c>
      <c r="AH354" s="122" t="s">
        <v>253</v>
      </c>
      <c r="AI354" s="122" t="s">
        <v>10454</v>
      </c>
      <c r="AJ354" s="122" t="s">
        <v>10455</v>
      </c>
      <c r="AK354" s="122" t="s">
        <v>10456</v>
      </c>
      <c r="AL354" s="122" t="s">
        <v>253</v>
      </c>
      <c r="AM354" s="122" t="s">
        <v>253</v>
      </c>
      <c r="AN354" s="122" t="s">
        <v>253</v>
      </c>
      <c r="AO354" s="141" t="s">
        <v>247</v>
      </c>
      <c r="AP354" s="141" t="s">
        <v>253</v>
      </c>
      <c r="AQ354" s="141" t="s">
        <v>247</v>
      </c>
      <c r="AR354" s="141" t="s">
        <v>253</v>
      </c>
      <c r="AS354" s="141" t="s">
        <v>601</v>
      </c>
      <c r="AT354" s="141" t="s">
        <v>601</v>
      </c>
      <c r="AU354" s="141" t="s">
        <v>258</v>
      </c>
      <c r="AV354" s="122" t="s">
        <v>259</v>
      </c>
      <c r="AW354" s="122" t="s">
        <v>260</v>
      </c>
      <c r="AX354" s="141" t="s">
        <v>5239</v>
      </c>
      <c r="AY354" s="141" t="s">
        <v>247</v>
      </c>
      <c r="AZ354" s="122" t="s">
        <v>10457</v>
      </c>
      <c r="BA354" s="122" t="s">
        <v>262</v>
      </c>
      <c r="BB354" s="122" t="s">
        <v>10458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24</v>
      </c>
    </row>
    <row r="355" spans="1:65" x14ac:dyDescent="0.25">
      <c r="A355" s="122" t="s">
        <v>6489</v>
      </c>
      <c r="B355" s="122" t="s">
        <v>10459</v>
      </c>
      <c r="C355" s="122" t="s">
        <v>10460</v>
      </c>
      <c r="D355" s="122" t="s">
        <v>10461</v>
      </c>
      <c r="E355" s="123">
        <v>42226</v>
      </c>
      <c r="F355" s="122" t="s">
        <v>10462</v>
      </c>
      <c r="G355" s="122" t="s">
        <v>235</v>
      </c>
      <c r="H355" s="122" t="s">
        <v>10463</v>
      </c>
      <c r="I355" s="122" t="s">
        <v>10464</v>
      </c>
      <c r="K355" s="122" t="s">
        <v>238</v>
      </c>
      <c r="L355" s="122" t="s">
        <v>371</v>
      </c>
      <c r="O355" s="141" t="s">
        <v>2055</v>
      </c>
      <c r="P355" s="141" t="s">
        <v>10465</v>
      </c>
      <c r="R355" s="142">
        <v>25</v>
      </c>
      <c r="S355" s="122" t="s">
        <v>10466</v>
      </c>
      <c r="U355" s="122" t="s">
        <v>4681</v>
      </c>
      <c r="W355" s="122" t="s">
        <v>246</v>
      </c>
      <c r="X355" s="122" t="s">
        <v>3147</v>
      </c>
      <c r="Y355" s="141" t="s">
        <v>888</v>
      </c>
      <c r="Z355" s="122" t="s">
        <v>10467</v>
      </c>
      <c r="AA355" s="141" t="s">
        <v>973</v>
      </c>
      <c r="AB355" s="122" t="s">
        <v>3925</v>
      </c>
      <c r="AC355" s="141" t="s">
        <v>1258</v>
      </c>
      <c r="AD355" s="122" t="s">
        <v>10468</v>
      </c>
      <c r="AE355" s="122" t="s">
        <v>235</v>
      </c>
      <c r="AF355" s="122" t="s">
        <v>10469</v>
      </c>
      <c r="AG355" s="122" t="s">
        <v>537</v>
      </c>
      <c r="AH355" s="122" t="s">
        <v>253</v>
      </c>
      <c r="AI355" s="122" t="s">
        <v>10470</v>
      </c>
      <c r="AJ355" s="122" t="s">
        <v>10471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247</v>
      </c>
      <c r="AP355" s="141" t="s">
        <v>247</v>
      </c>
      <c r="AQ355" s="141" t="s">
        <v>247</v>
      </c>
      <c r="AR355" s="141" t="s">
        <v>247</v>
      </c>
      <c r="AS355" s="141" t="s">
        <v>601</v>
      </c>
      <c r="AT355" s="141" t="s">
        <v>601</v>
      </c>
      <c r="AU355" s="141" t="s">
        <v>257</v>
      </c>
      <c r="AV355" s="122" t="s">
        <v>259</v>
      </c>
      <c r="AW355" s="122" t="s">
        <v>260</v>
      </c>
      <c r="AY355" s="141" t="s">
        <v>253</v>
      </c>
      <c r="AZ355" s="122" t="s">
        <v>10472</v>
      </c>
      <c r="BA355" s="122" t="s">
        <v>262</v>
      </c>
      <c r="BB355" s="122" t="s">
        <v>262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25</v>
      </c>
      <c r="BJ355" s="123">
        <v>42236</v>
      </c>
      <c r="BK355" s="139" t="s">
        <v>606</v>
      </c>
      <c r="BM355" s="122">
        <v>34</v>
      </c>
    </row>
    <row r="356" spans="1:65" x14ac:dyDescent="0.25">
      <c r="A356" s="122" t="s">
        <v>6489</v>
      </c>
      <c r="B356" s="122" t="s">
        <v>10473</v>
      </c>
      <c r="C356" s="122" t="s">
        <v>10474</v>
      </c>
      <c r="D356" s="122" t="s">
        <v>10475</v>
      </c>
      <c r="E356" s="123">
        <v>42226</v>
      </c>
      <c r="F356" s="122" t="s">
        <v>10476</v>
      </c>
      <c r="G356" s="122" t="s">
        <v>235</v>
      </c>
      <c r="H356" s="122" t="s">
        <v>10477</v>
      </c>
      <c r="I356" s="122" t="s">
        <v>10478</v>
      </c>
      <c r="K356" s="122" t="s">
        <v>238</v>
      </c>
      <c r="L356" s="122" t="s">
        <v>530</v>
      </c>
      <c r="M356" s="122" t="s">
        <v>4956</v>
      </c>
      <c r="O356" s="141" t="s">
        <v>390</v>
      </c>
      <c r="P356" s="141" t="s">
        <v>10479</v>
      </c>
      <c r="Q356" s="122" t="s">
        <v>243</v>
      </c>
      <c r="R356" s="142">
        <v>26</v>
      </c>
      <c r="S356" s="122" t="s">
        <v>10480</v>
      </c>
      <c r="U356" s="122" t="s">
        <v>4681</v>
      </c>
      <c r="W356" s="122" t="s">
        <v>246</v>
      </c>
      <c r="X356" s="122" t="s">
        <v>3147</v>
      </c>
      <c r="Y356" s="141" t="s">
        <v>593</v>
      </c>
      <c r="Z356" s="122" t="s">
        <v>10481</v>
      </c>
      <c r="AA356" s="141" t="s">
        <v>457</v>
      </c>
      <c r="AB356" s="122" t="s">
        <v>10482</v>
      </c>
      <c r="AC356" s="141" t="s">
        <v>1498</v>
      </c>
      <c r="AD356" s="122" t="s">
        <v>10483</v>
      </c>
      <c r="AE356" s="122" t="s">
        <v>235</v>
      </c>
      <c r="AF356" s="122" t="s">
        <v>10484</v>
      </c>
      <c r="AG356" s="122" t="s">
        <v>537</v>
      </c>
      <c r="AH356" s="122" t="s">
        <v>253</v>
      </c>
      <c r="AI356" s="122" t="s">
        <v>10485</v>
      </c>
      <c r="AJ356" s="122" t="s">
        <v>10486</v>
      </c>
      <c r="AK356" s="122" t="s">
        <v>253</v>
      </c>
      <c r="AL356" s="122" t="s">
        <v>253</v>
      </c>
      <c r="AM356" s="122" t="s">
        <v>253</v>
      </c>
      <c r="AN356" s="122" t="s">
        <v>253</v>
      </c>
      <c r="AO356" s="141" t="s">
        <v>247</v>
      </c>
      <c r="AP356" s="141" t="s">
        <v>247</v>
      </c>
      <c r="AQ356" s="141" t="s">
        <v>247</v>
      </c>
      <c r="AR356" s="141" t="s">
        <v>247</v>
      </c>
      <c r="AS356" s="141" t="s">
        <v>601</v>
      </c>
      <c r="AT356" s="141" t="s">
        <v>601</v>
      </c>
      <c r="AU356" s="141" t="s">
        <v>601</v>
      </c>
      <c r="AV356" s="122" t="s">
        <v>259</v>
      </c>
      <c r="AW356" s="122" t="s">
        <v>260</v>
      </c>
      <c r="AX356" s="141" t="s">
        <v>10487</v>
      </c>
      <c r="AY356" s="141" t="s">
        <v>442</v>
      </c>
      <c r="AZ356" s="122" t="s">
        <v>10488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26</v>
      </c>
      <c r="BJ356" s="123">
        <v>42237</v>
      </c>
      <c r="BK356" s="139" t="s">
        <v>2891</v>
      </c>
      <c r="BM356" s="122">
        <v>34</v>
      </c>
    </row>
    <row r="357" spans="1:65" x14ac:dyDescent="0.25">
      <c r="A357" s="122" t="s">
        <v>6489</v>
      </c>
      <c r="B357" s="122" t="s">
        <v>10489</v>
      </c>
      <c r="C357" s="122" t="s">
        <v>10490</v>
      </c>
      <c r="D357" s="122" t="s">
        <v>10491</v>
      </c>
      <c r="E357" s="123">
        <v>42226</v>
      </c>
      <c r="F357" s="122" t="s">
        <v>511</v>
      </c>
      <c r="G357" s="122" t="s">
        <v>235</v>
      </c>
      <c r="H357" s="122" t="s">
        <v>448</v>
      </c>
      <c r="I357" s="122" t="s">
        <v>10492</v>
      </c>
      <c r="K357" s="122" t="s">
        <v>238</v>
      </c>
      <c r="L357" s="122" t="s">
        <v>371</v>
      </c>
      <c r="M357" s="122" t="s">
        <v>5320</v>
      </c>
      <c r="O357" s="141" t="s">
        <v>10493</v>
      </c>
      <c r="P357" s="141" t="s">
        <v>10494</v>
      </c>
      <c r="Q357" s="122" t="s">
        <v>243</v>
      </c>
      <c r="R357" s="142">
        <v>27</v>
      </c>
      <c r="S357" s="122" t="s">
        <v>10495</v>
      </c>
      <c r="U357" s="122" t="s">
        <v>4681</v>
      </c>
      <c r="W357" s="122" t="s">
        <v>246</v>
      </c>
      <c r="X357" s="122" t="s">
        <v>3147</v>
      </c>
      <c r="Y357" s="141" t="s">
        <v>511</v>
      </c>
      <c r="Z357" s="122" t="s">
        <v>10496</v>
      </c>
      <c r="AA357" s="141" t="s">
        <v>3271</v>
      </c>
      <c r="AB357" s="122" t="s">
        <v>1994</v>
      </c>
      <c r="AD357" s="122" t="s">
        <v>250</v>
      </c>
      <c r="AE357" s="122" t="s">
        <v>235</v>
      </c>
      <c r="AF357" s="122" t="s">
        <v>10497</v>
      </c>
      <c r="AG357" s="122" t="s">
        <v>537</v>
      </c>
      <c r="AH357" s="122" t="s">
        <v>253</v>
      </c>
      <c r="AI357" s="122" t="s">
        <v>10498</v>
      </c>
      <c r="AJ357" s="122" t="s">
        <v>7255</v>
      </c>
      <c r="AK357" s="122" t="s">
        <v>253</v>
      </c>
      <c r="AL357" s="122" t="s">
        <v>253</v>
      </c>
      <c r="AM357" s="122" t="s">
        <v>253</v>
      </c>
      <c r="AN357" s="122" t="s">
        <v>253</v>
      </c>
      <c r="AO357" s="141" t="s">
        <v>253</v>
      </c>
      <c r="AP357" s="141" t="s">
        <v>253</v>
      </c>
      <c r="AQ357" s="141" t="s">
        <v>247</v>
      </c>
      <c r="AR357" s="141" t="s">
        <v>253</v>
      </c>
      <c r="AS357" s="141" t="s">
        <v>361</v>
      </c>
      <c r="AT357" s="141" t="s">
        <v>601</v>
      </c>
      <c r="AU357" s="141" t="s">
        <v>258</v>
      </c>
      <c r="AV357" s="122" t="s">
        <v>259</v>
      </c>
      <c r="AW357" s="122" t="s">
        <v>260</v>
      </c>
      <c r="AY357" s="141" t="s">
        <v>253</v>
      </c>
      <c r="AZ357" s="122" t="s">
        <v>262</v>
      </c>
      <c r="BA357" s="122" t="s">
        <v>262</v>
      </c>
      <c r="BB357" s="122" t="s">
        <v>262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27</v>
      </c>
      <c r="BJ357" s="123">
        <v>42230</v>
      </c>
      <c r="BK357" s="139" t="s">
        <v>264</v>
      </c>
      <c r="BL357" s="140">
        <v>108.85</v>
      </c>
      <c r="BM357" s="122">
        <v>33</v>
      </c>
    </row>
    <row r="358" spans="1:65" x14ac:dyDescent="0.25">
      <c r="A358" s="122" t="s">
        <v>6489</v>
      </c>
      <c r="B358" s="122" t="s">
        <v>10499</v>
      </c>
      <c r="C358" s="122" t="s">
        <v>10500</v>
      </c>
      <c r="D358" s="122" t="s">
        <v>10501</v>
      </c>
      <c r="E358" s="123">
        <v>42226</v>
      </c>
      <c r="F358" s="122" t="s">
        <v>2072</v>
      </c>
      <c r="G358" s="122" t="s">
        <v>235</v>
      </c>
      <c r="H358" s="122" t="s">
        <v>10502</v>
      </c>
      <c r="I358" s="122" t="s">
        <v>10503</v>
      </c>
      <c r="K358" s="122" t="s">
        <v>238</v>
      </c>
      <c r="L358" s="122" t="s">
        <v>371</v>
      </c>
      <c r="M358" s="122" t="s">
        <v>5135</v>
      </c>
      <c r="O358" s="141" t="s">
        <v>1055</v>
      </c>
      <c r="P358" s="141" t="s">
        <v>10504</v>
      </c>
      <c r="Q358" s="122" t="s">
        <v>243</v>
      </c>
      <c r="R358" s="142">
        <v>28</v>
      </c>
      <c r="S358" s="122" t="s">
        <v>10505</v>
      </c>
      <c r="U358" s="122" t="s">
        <v>4681</v>
      </c>
      <c r="W358" s="122" t="s">
        <v>246</v>
      </c>
      <c r="X358" s="122" t="s">
        <v>739</v>
      </c>
      <c r="Z358" s="122" t="s">
        <v>250</v>
      </c>
      <c r="AB358" s="122" t="s">
        <v>250</v>
      </c>
      <c r="AD358" s="122" t="s">
        <v>250</v>
      </c>
      <c r="AE358" s="122" t="s">
        <v>235</v>
      </c>
      <c r="AF358" s="122" t="s">
        <v>2367</v>
      </c>
      <c r="AG358" s="122" t="s">
        <v>537</v>
      </c>
      <c r="AH358" s="122" t="s">
        <v>253</v>
      </c>
      <c r="AI358" s="122" t="s">
        <v>1585</v>
      </c>
      <c r="AJ358" s="122" t="s">
        <v>2368</v>
      </c>
      <c r="AK358" s="122" t="s">
        <v>253</v>
      </c>
      <c r="AL358" s="122" t="s">
        <v>253</v>
      </c>
      <c r="AM358" s="122" t="s">
        <v>253</v>
      </c>
      <c r="AN358" s="122" t="s">
        <v>253</v>
      </c>
      <c r="AO358" s="141" t="s">
        <v>253</v>
      </c>
      <c r="AP358" s="141" t="s">
        <v>253</v>
      </c>
      <c r="AQ358" s="141" t="s">
        <v>247</v>
      </c>
      <c r="AR358" s="141" t="s">
        <v>253</v>
      </c>
      <c r="AS358" s="141" t="s">
        <v>361</v>
      </c>
      <c r="AT358" s="141" t="s">
        <v>601</v>
      </c>
      <c r="AU358" s="141" t="s">
        <v>258</v>
      </c>
      <c r="AV358" s="122" t="s">
        <v>259</v>
      </c>
      <c r="AW358" s="122" t="s">
        <v>260</v>
      </c>
      <c r="AY358" s="141" t="s">
        <v>253</v>
      </c>
      <c r="AZ358" s="122" t="s">
        <v>10506</v>
      </c>
      <c r="BA358" s="122" t="s">
        <v>262</v>
      </c>
      <c r="BB358" s="122" t="s">
        <v>262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28</v>
      </c>
      <c r="BJ358" s="123">
        <v>42234</v>
      </c>
      <c r="BK358" s="139" t="s">
        <v>264</v>
      </c>
      <c r="BL358" s="140">
        <v>140.47</v>
      </c>
      <c r="BM358" s="122">
        <v>34</v>
      </c>
    </row>
    <row r="359" spans="1:65" x14ac:dyDescent="0.25">
      <c r="A359" s="122" t="s">
        <v>6489</v>
      </c>
      <c r="B359" s="122" t="s">
        <v>10507</v>
      </c>
      <c r="C359" s="122" t="s">
        <v>10508</v>
      </c>
      <c r="D359" s="122" t="s">
        <v>10509</v>
      </c>
      <c r="E359" s="123">
        <v>42226</v>
      </c>
      <c r="F359" s="122" t="s">
        <v>10510</v>
      </c>
      <c r="G359" s="122" t="s">
        <v>235</v>
      </c>
      <c r="H359" s="122" t="s">
        <v>10511</v>
      </c>
      <c r="I359" s="122" t="s">
        <v>10512</v>
      </c>
      <c r="K359" s="122" t="s">
        <v>238</v>
      </c>
      <c r="L359" s="122" t="s">
        <v>371</v>
      </c>
      <c r="M359" s="122" t="s">
        <v>5160</v>
      </c>
      <c r="O359" s="141" t="s">
        <v>566</v>
      </c>
      <c r="P359" s="141" t="s">
        <v>10513</v>
      </c>
      <c r="Q359" s="122" t="s">
        <v>243</v>
      </c>
      <c r="R359" s="142">
        <v>29</v>
      </c>
      <c r="S359" s="122" t="s">
        <v>10514</v>
      </c>
      <c r="U359" s="122" t="s">
        <v>4681</v>
      </c>
      <c r="W359" s="122" t="s">
        <v>246</v>
      </c>
      <c r="X359" s="122" t="s">
        <v>3147</v>
      </c>
      <c r="Y359" s="141" t="s">
        <v>593</v>
      </c>
      <c r="Z359" s="122" t="s">
        <v>10515</v>
      </c>
      <c r="AA359" s="141" t="s">
        <v>2133</v>
      </c>
      <c r="AB359" s="122" t="s">
        <v>10516</v>
      </c>
      <c r="AC359" s="141" t="s">
        <v>1023</v>
      </c>
      <c r="AD359" s="122" t="s">
        <v>10517</v>
      </c>
      <c r="AE359" s="122" t="s">
        <v>235</v>
      </c>
      <c r="AF359" s="122" t="s">
        <v>10518</v>
      </c>
      <c r="AG359" s="122" t="s">
        <v>325</v>
      </c>
      <c r="AH359" s="122" t="s">
        <v>253</v>
      </c>
      <c r="AI359" s="122" t="s">
        <v>9388</v>
      </c>
      <c r="AJ359" s="122" t="s">
        <v>10519</v>
      </c>
      <c r="AK359" s="122" t="s">
        <v>253</v>
      </c>
      <c r="AL359" s="122" t="s">
        <v>253</v>
      </c>
      <c r="AM359" s="122" t="s">
        <v>253</v>
      </c>
      <c r="AN359" s="122" t="s">
        <v>253</v>
      </c>
      <c r="AO359" s="141" t="s">
        <v>247</v>
      </c>
      <c r="AP359" s="141" t="s">
        <v>247</v>
      </c>
      <c r="AQ359" s="141" t="s">
        <v>247</v>
      </c>
      <c r="AR359" s="141" t="s">
        <v>253</v>
      </c>
      <c r="AS359" s="141" t="s">
        <v>601</v>
      </c>
      <c r="AT359" s="141" t="s">
        <v>601</v>
      </c>
      <c r="AU359" s="141" t="s">
        <v>258</v>
      </c>
      <c r="AV359" s="122" t="s">
        <v>259</v>
      </c>
      <c r="AW359" s="122" t="s">
        <v>260</v>
      </c>
      <c r="AX359" s="141" t="s">
        <v>362</v>
      </c>
      <c r="AY359" s="141" t="s">
        <v>247</v>
      </c>
      <c r="AZ359" s="122" t="s">
        <v>10520</v>
      </c>
      <c r="BA359" s="122" t="s">
        <v>262</v>
      </c>
      <c r="BB359" s="122" t="s">
        <v>10521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29</v>
      </c>
      <c r="BJ359" s="123">
        <v>42236</v>
      </c>
      <c r="BK359" s="139" t="s">
        <v>606</v>
      </c>
      <c r="BM359" s="122">
        <v>34</v>
      </c>
    </row>
    <row r="360" spans="1:65" x14ac:dyDescent="0.25">
      <c r="A360" s="122" t="s">
        <v>6489</v>
      </c>
      <c r="B360" s="122" t="s">
        <v>10522</v>
      </c>
      <c r="C360" s="122" t="s">
        <v>10523</v>
      </c>
      <c r="D360" s="122" t="s">
        <v>10524</v>
      </c>
      <c r="E360" s="123">
        <v>42226</v>
      </c>
      <c r="F360" s="122" t="s">
        <v>10525</v>
      </c>
      <c r="G360" s="122" t="s">
        <v>235</v>
      </c>
      <c r="H360" s="122" t="s">
        <v>10526</v>
      </c>
      <c r="I360" s="122" t="s">
        <v>10527</v>
      </c>
      <c r="J360" s="122" t="s">
        <v>10528</v>
      </c>
      <c r="K360" s="122" t="s">
        <v>238</v>
      </c>
      <c r="L360" s="122" t="s">
        <v>371</v>
      </c>
      <c r="M360" s="122" t="s">
        <v>4820</v>
      </c>
      <c r="O360" s="141" t="s">
        <v>4709</v>
      </c>
      <c r="P360" s="141" t="s">
        <v>10529</v>
      </c>
      <c r="Q360" s="122" t="s">
        <v>243</v>
      </c>
      <c r="R360" s="142">
        <v>30</v>
      </c>
      <c r="S360" s="122" t="s">
        <v>10530</v>
      </c>
      <c r="U360" s="122" t="s">
        <v>4681</v>
      </c>
      <c r="W360" s="122" t="s">
        <v>246</v>
      </c>
      <c r="X360" s="122" t="s">
        <v>853</v>
      </c>
      <c r="Y360" s="141" t="s">
        <v>593</v>
      </c>
      <c r="Z360" s="122" t="s">
        <v>10531</v>
      </c>
      <c r="AA360" s="141" t="s">
        <v>2072</v>
      </c>
      <c r="AB360" s="122" t="s">
        <v>10532</v>
      </c>
      <c r="AC360" s="141" t="s">
        <v>2259</v>
      </c>
      <c r="AD360" s="122" t="s">
        <v>10533</v>
      </c>
      <c r="AE360" s="122" t="s">
        <v>235</v>
      </c>
      <c r="AF360" s="122" t="s">
        <v>10534</v>
      </c>
      <c r="AG360" s="122" t="s">
        <v>537</v>
      </c>
      <c r="AH360" s="122" t="s">
        <v>253</v>
      </c>
      <c r="AI360" s="122" t="s">
        <v>10535</v>
      </c>
      <c r="AJ360" s="122" t="s">
        <v>1278</v>
      </c>
      <c r="AK360" s="122" t="s">
        <v>253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253</v>
      </c>
      <c r="AS360" s="141" t="s">
        <v>601</v>
      </c>
      <c r="AT360" s="141" t="s">
        <v>601</v>
      </c>
      <c r="AU360" s="141" t="s">
        <v>258</v>
      </c>
      <c r="AV360" s="122" t="s">
        <v>259</v>
      </c>
      <c r="AW360" s="122" t="s">
        <v>260</v>
      </c>
      <c r="AY360" s="141" t="s">
        <v>253</v>
      </c>
      <c r="AZ360" s="122" t="s">
        <v>10536</v>
      </c>
      <c r="BA360" s="122" t="s">
        <v>262</v>
      </c>
      <c r="BB360" s="122" t="s">
        <v>10536</v>
      </c>
      <c r="BC360" s="141" t="s">
        <v>312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30</v>
      </c>
      <c r="BJ360" s="123">
        <v>42236</v>
      </c>
      <c r="BK360" s="139" t="s">
        <v>606</v>
      </c>
      <c r="BM360" s="122">
        <v>34</v>
      </c>
    </row>
    <row r="361" spans="1:65" x14ac:dyDescent="0.25">
      <c r="A361" s="122" t="s">
        <v>6513</v>
      </c>
      <c r="B361" s="122" t="s">
        <v>10537</v>
      </c>
      <c r="C361" s="122" t="s">
        <v>10538</v>
      </c>
      <c r="D361" s="122" t="s">
        <v>10539</v>
      </c>
      <c r="E361" s="123">
        <v>42226</v>
      </c>
      <c r="F361" s="122" t="s">
        <v>10540</v>
      </c>
      <c r="G361" s="122" t="s">
        <v>235</v>
      </c>
      <c r="H361" s="122" t="s">
        <v>10541</v>
      </c>
      <c r="I361" s="122" t="s">
        <v>10542</v>
      </c>
      <c r="K361" s="122" t="s">
        <v>238</v>
      </c>
      <c r="L361" s="122" t="s">
        <v>530</v>
      </c>
      <c r="M361" s="122" t="s">
        <v>10543</v>
      </c>
      <c r="O361" s="141" t="s">
        <v>1921</v>
      </c>
      <c r="P361" s="141" t="s">
        <v>10544</v>
      </c>
      <c r="Q361" s="122" t="s">
        <v>243</v>
      </c>
      <c r="R361" s="142">
        <v>31</v>
      </c>
      <c r="S361" s="122" t="s">
        <v>10545</v>
      </c>
      <c r="U361" s="122" t="s">
        <v>4681</v>
      </c>
      <c r="W361" s="122" t="s">
        <v>246</v>
      </c>
      <c r="X361" s="122" t="s">
        <v>1121</v>
      </c>
      <c r="Y361" s="141" t="s">
        <v>685</v>
      </c>
      <c r="Z361" s="122" t="s">
        <v>10546</v>
      </c>
      <c r="AA361" s="141" t="s">
        <v>920</v>
      </c>
      <c r="AB361" s="122" t="s">
        <v>10547</v>
      </c>
      <c r="AC361" s="141" t="s">
        <v>892</v>
      </c>
      <c r="AD361" s="122" t="s">
        <v>10548</v>
      </c>
      <c r="AE361" s="122" t="s">
        <v>235</v>
      </c>
      <c r="AF361" s="122" t="s">
        <v>10549</v>
      </c>
      <c r="AG361" s="122" t="s">
        <v>537</v>
      </c>
      <c r="AH361" s="122" t="s">
        <v>253</v>
      </c>
      <c r="AI361" s="122" t="s">
        <v>10550</v>
      </c>
      <c r="AJ361" s="122" t="s">
        <v>10551</v>
      </c>
      <c r="AK361" s="122" t="s">
        <v>253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247</v>
      </c>
      <c r="AR361" s="141" t="s">
        <v>253</v>
      </c>
      <c r="AS361" s="141" t="s">
        <v>601</v>
      </c>
      <c r="AT361" s="141" t="s">
        <v>601</v>
      </c>
      <c r="AU361" s="141" t="s">
        <v>258</v>
      </c>
      <c r="AV361" s="122" t="s">
        <v>259</v>
      </c>
      <c r="AW361" s="122" t="s">
        <v>260</v>
      </c>
      <c r="AY361" s="141" t="s">
        <v>253</v>
      </c>
      <c r="AZ361" s="122" t="s">
        <v>10552</v>
      </c>
      <c r="BA361" s="122" t="s">
        <v>10553</v>
      </c>
      <c r="BB361" s="122" t="s">
        <v>262</v>
      </c>
      <c r="BC361" s="141" t="s">
        <v>312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31</v>
      </c>
    </row>
    <row r="362" spans="1:65" x14ac:dyDescent="0.25">
      <c r="A362" s="122" t="s">
        <v>6513</v>
      </c>
      <c r="B362" s="122" t="s">
        <v>10554</v>
      </c>
      <c r="C362" s="122" t="s">
        <v>10555</v>
      </c>
      <c r="D362" s="122" t="s">
        <v>10556</v>
      </c>
      <c r="E362" s="123">
        <v>42226</v>
      </c>
      <c r="F362" s="122" t="s">
        <v>1498</v>
      </c>
      <c r="G362" s="122" t="s">
        <v>235</v>
      </c>
      <c r="H362" s="122" t="s">
        <v>10557</v>
      </c>
      <c r="I362" s="122" t="s">
        <v>10558</v>
      </c>
      <c r="J362" s="122" t="s">
        <v>370</v>
      </c>
      <c r="K362" s="122" t="s">
        <v>238</v>
      </c>
      <c r="L362" s="122" t="s">
        <v>371</v>
      </c>
      <c r="M362" s="122" t="s">
        <v>4763</v>
      </c>
      <c r="O362" s="141" t="s">
        <v>548</v>
      </c>
      <c r="P362" s="141" t="s">
        <v>10559</v>
      </c>
      <c r="Q362" s="122" t="s">
        <v>243</v>
      </c>
      <c r="R362" s="142">
        <v>32</v>
      </c>
      <c r="S362" s="122" t="s">
        <v>10560</v>
      </c>
      <c r="U362" s="122" t="s">
        <v>4681</v>
      </c>
      <c r="W362" s="122" t="s">
        <v>246</v>
      </c>
      <c r="X362" s="122" t="s">
        <v>260</v>
      </c>
      <c r="Y362" s="141" t="s">
        <v>9031</v>
      </c>
      <c r="Z362" s="122" t="s">
        <v>10561</v>
      </c>
      <c r="AA362" s="141" t="s">
        <v>784</v>
      </c>
      <c r="AB362" s="122" t="s">
        <v>10562</v>
      </c>
      <c r="AD362" s="122" t="s">
        <v>250</v>
      </c>
      <c r="AE362" s="122" t="s">
        <v>235</v>
      </c>
      <c r="AF362" s="122" t="s">
        <v>10563</v>
      </c>
      <c r="AG362" s="122" t="s">
        <v>253</v>
      </c>
      <c r="AH362" s="122" t="s">
        <v>253</v>
      </c>
      <c r="AI362" s="122" t="s">
        <v>10564</v>
      </c>
      <c r="AJ362" s="122" t="s">
        <v>10565</v>
      </c>
      <c r="AK362" s="122" t="s">
        <v>253</v>
      </c>
      <c r="AL362" s="122" t="s">
        <v>253</v>
      </c>
      <c r="AM362" s="122" t="s">
        <v>253</v>
      </c>
      <c r="AN362" s="122" t="s">
        <v>253</v>
      </c>
      <c r="AO362" s="141" t="s">
        <v>247</v>
      </c>
      <c r="AP362" s="141" t="s">
        <v>247</v>
      </c>
      <c r="AQ362" s="141" t="s">
        <v>247</v>
      </c>
      <c r="AR362" s="141" t="s">
        <v>247</v>
      </c>
      <c r="AS362" s="141" t="s">
        <v>601</v>
      </c>
      <c r="AT362" s="141" t="s">
        <v>601</v>
      </c>
      <c r="AU362" s="141" t="s">
        <v>601</v>
      </c>
      <c r="AV362" s="122" t="s">
        <v>259</v>
      </c>
      <c r="AW362" s="122" t="s">
        <v>260</v>
      </c>
      <c r="AY362" s="141" t="s">
        <v>253</v>
      </c>
      <c r="AZ362" s="122" t="s">
        <v>10566</v>
      </c>
      <c r="BA362" s="122" t="s">
        <v>262</v>
      </c>
      <c r="BB362" s="122" t="s">
        <v>10567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32</v>
      </c>
      <c r="BJ362" s="123">
        <v>42236</v>
      </c>
      <c r="BK362" s="139" t="s">
        <v>606</v>
      </c>
      <c r="BM362" s="122">
        <v>34</v>
      </c>
    </row>
    <row r="363" spans="1:65" x14ac:dyDescent="0.25">
      <c r="A363" s="122" t="s">
        <v>6513</v>
      </c>
      <c r="B363" s="122" t="s">
        <v>10568</v>
      </c>
      <c r="C363" s="122" t="s">
        <v>10569</v>
      </c>
      <c r="D363" s="122" t="s">
        <v>10570</v>
      </c>
      <c r="E363" s="123">
        <v>42226</v>
      </c>
      <c r="F363" s="122" t="s">
        <v>10571</v>
      </c>
      <c r="G363" s="122" t="s">
        <v>235</v>
      </c>
      <c r="H363" s="122" t="s">
        <v>10572</v>
      </c>
      <c r="I363" s="122" t="s">
        <v>10573</v>
      </c>
      <c r="K363" s="122" t="s">
        <v>238</v>
      </c>
      <c r="L363" s="122" t="s">
        <v>530</v>
      </c>
      <c r="M363" s="122" t="s">
        <v>5009</v>
      </c>
      <c r="N363" s="122" t="s">
        <v>10574</v>
      </c>
      <c r="O363" s="141" t="s">
        <v>665</v>
      </c>
      <c r="P363" s="141" t="s">
        <v>10575</v>
      </c>
      <c r="Q363" s="122" t="s">
        <v>243</v>
      </c>
      <c r="R363" s="142">
        <v>33</v>
      </c>
      <c r="S363" s="122" t="s">
        <v>10576</v>
      </c>
      <c r="T363" s="122" t="s">
        <v>1006</v>
      </c>
      <c r="U363" s="122" t="s">
        <v>4681</v>
      </c>
      <c r="W363" s="122" t="s">
        <v>246</v>
      </c>
      <c r="X363" s="122" t="s">
        <v>1057</v>
      </c>
      <c r="Y363" s="141" t="s">
        <v>973</v>
      </c>
      <c r="Z363" s="122" t="s">
        <v>741</v>
      </c>
      <c r="AA363" s="141" t="s">
        <v>356</v>
      </c>
      <c r="AB363" s="122" t="s">
        <v>10577</v>
      </c>
      <c r="AC363" s="141" t="s">
        <v>1344</v>
      </c>
      <c r="AD363" s="122" t="s">
        <v>10578</v>
      </c>
      <c r="AE363" s="122" t="s">
        <v>235</v>
      </c>
      <c r="AF363" s="122" t="s">
        <v>10579</v>
      </c>
      <c r="AG363" s="122" t="s">
        <v>537</v>
      </c>
      <c r="AH363" s="122" t="s">
        <v>253</v>
      </c>
      <c r="AI363" s="122" t="s">
        <v>10580</v>
      </c>
      <c r="AJ363" s="122" t="s">
        <v>10581</v>
      </c>
      <c r="AK363" s="122" t="s">
        <v>253</v>
      </c>
      <c r="AL363" s="122" t="s">
        <v>253</v>
      </c>
      <c r="AM363" s="122" t="s">
        <v>253</v>
      </c>
      <c r="AN363" s="122" t="s">
        <v>253</v>
      </c>
      <c r="AO363" s="141" t="s">
        <v>247</v>
      </c>
      <c r="AP363" s="141" t="s">
        <v>247</v>
      </c>
      <c r="AQ363" s="141" t="s">
        <v>247</v>
      </c>
      <c r="AR363" s="141" t="s">
        <v>253</v>
      </c>
      <c r="AS363" s="141" t="s">
        <v>601</v>
      </c>
      <c r="AT363" s="141" t="s">
        <v>601</v>
      </c>
      <c r="AU363" s="141" t="s">
        <v>258</v>
      </c>
      <c r="AV363" s="122" t="s">
        <v>259</v>
      </c>
      <c r="AW363" s="122" t="s">
        <v>260</v>
      </c>
      <c r="AY363" s="141" t="s">
        <v>253</v>
      </c>
      <c r="AZ363" s="122" t="s">
        <v>10582</v>
      </c>
      <c r="BA363" s="122" t="s">
        <v>262</v>
      </c>
      <c r="BB363" s="122" t="s">
        <v>262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33</v>
      </c>
    </row>
    <row r="364" spans="1:65" x14ac:dyDescent="0.25">
      <c r="A364" s="122" t="s">
        <v>6513</v>
      </c>
      <c r="B364" s="122" t="s">
        <v>10583</v>
      </c>
      <c r="C364" s="122" t="s">
        <v>10584</v>
      </c>
      <c r="D364" s="122" t="s">
        <v>10585</v>
      </c>
      <c r="E364" s="123">
        <v>42226</v>
      </c>
      <c r="F364" s="122" t="s">
        <v>744</v>
      </c>
      <c r="G364" s="122" t="s">
        <v>235</v>
      </c>
      <c r="H364" s="122" t="s">
        <v>10586</v>
      </c>
      <c r="I364" s="122" t="s">
        <v>10587</v>
      </c>
      <c r="K364" s="122" t="s">
        <v>238</v>
      </c>
      <c r="L364" s="122" t="s">
        <v>371</v>
      </c>
      <c r="M364" s="122" t="s">
        <v>4833</v>
      </c>
      <c r="O364" s="141" t="s">
        <v>566</v>
      </c>
      <c r="P364" s="141" t="s">
        <v>10588</v>
      </c>
      <c r="Q364" s="122" t="s">
        <v>243</v>
      </c>
      <c r="R364" s="142">
        <v>34</v>
      </c>
      <c r="S364" s="122" t="s">
        <v>10589</v>
      </c>
      <c r="U364" s="122" t="s">
        <v>4681</v>
      </c>
      <c r="W364" s="122" t="s">
        <v>246</v>
      </c>
      <c r="X364" s="122" t="s">
        <v>454</v>
      </c>
      <c r="Y364" s="141" t="s">
        <v>1258</v>
      </c>
      <c r="Z364" s="122" t="s">
        <v>10590</v>
      </c>
      <c r="AB364" s="122" t="s">
        <v>250</v>
      </c>
      <c r="AD364" s="122" t="s">
        <v>250</v>
      </c>
      <c r="AE364" s="122" t="s">
        <v>235</v>
      </c>
      <c r="AF364" s="122" t="s">
        <v>10591</v>
      </c>
      <c r="AG364" s="122" t="s">
        <v>537</v>
      </c>
      <c r="AH364" s="122" t="s">
        <v>253</v>
      </c>
      <c r="AI364" s="122" t="s">
        <v>10592</v>
      </c>
      <c r="AJ364" s="122" t="s">
        <v>10593</v>
      </c>
      <c r="AK364" s="122" t="s">
        <v>253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260</v>
      </c>
      <c r="AY364" s="141" t="s">
        <v>253</v>
      </c>
      <c r="AZ364" s="122" t="s">
        <v>10594</v>
      </c>
      <c r="BA364" s="122" t="s">
        <v>10595</v>
      </c>
      <c r="BB364" s="122" t="s">
        <v>10594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34</v>
      </c>
      <c r="BJ364" s="123">
        <v>42236</v>
      </c>
      <c r="BK364" s="139" t="s">
        <v>606</v>
      </c>
      <c r="BM364" s="122">
        <v>34</v>
      </c>
    </row>
    <row r="365" spans="1:65" x14ac:dyDescent="0.25">
      <c r="A365" s="122" t="s">
        <v>6513</v>
      </c>
      <c r="B365" s="122" t="s">
        <v>10596</v>
      </c>
      <c r="C365" s="122" t="s">
        <v>10597</v>
      </c>
      <c r="D365" s="122" t="s">
        <v>10598</v>
      </c>
      <c r="E365" s="123">
        <v>42226</v>
      </c>
      <c r="F365" s="122" t="s">
        <v>1638</v>
      </c>
      <c r="G365" s="122" t="s">
        <v>235</v>
      </c>
      <c r="H365" s="122" t="s">
        <v>10599</v>
      </c>
      <c r="I365" s="122" t="s">
        <v>10600</v>
      </c>
      <c r="K365" s="122" t="s">
        <v>238</v>
      </c>
      <c r="L365" s="122" t="s">
        <v>530</v>
      </c>
      <c r="M365" s="122" t="s">
        <v>4780</v>
      </c>
      <c r="O365" s="141" t="s">
        <v>1921</v>
      </c>
      <c r="P365" s="141" t="s">
        <v>10601</v>
      </c>
      <c r="Q365" s="122" t="s">
        <v>243</v>
      </c>
      <c r="R365" s="142">
        <v>35</v>
      </c>
      <c r="S365" s="122" t="s">
        <v>10602</v>
      </c>
      <c r="U365" s="122" t="s">
        <v>4681</v>
      </c>
      <c r="W365" s="122" t="s">
        <v>246</v>
      </c>
      <c r="X365" s="122" t="s">
        <v>972</v>
      </c>
      <c r="Y365" s="141" t="s">
        <v>1162</v>
      </c>
      <c r="Z365" s="122" t="s">
        <v>8065</v>
      </c>
      <c r="AA365" s="141" t="s">
        <v>2717</v>
      </c>
      <c r="AB365" s="122" t="s">
        <v>10603</v>
      </c>
      <c r="AC365" s="141" t="s">
        <v>1896</v>
      </c>
      <c r="AD365" s="122" t="s">
        <v>10604</v>
      </c>
      <c r="AE365" s="122" t="s">
        <v>235</v>
      </c>
      <c r="AF365" s="122" t="s">
        <v>10605</v>
      </c>
      <c r="AG365" s="122" t="s">
        <v>253</v>
      </c>
      <c r="AH365" s="122" t="s">
        <v>253</v>
      </c>
      <c r="AI365" s="122" t="s">
        <v>10606</v>
      </c>
      <c r="AJ365" s="122" t="s">
        <v>10607</v>
      </c>
      <c r="AK365" s="122" t="s">
        <v>10608</v>
      </c>
      <c r="AL365" s="122" t="s">
        <v>253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247</v>
      </c>
      <c r="AS365" s="141" t="s">
        <v>601</v>
      </c>
      <c r="AT365" s="141" t="s">
        <v>601</v>
      </c>
      <c r="AU365" s="141" t="s">
        <v>601</v>
      </c>
      <c r="AV365" s="122" t="s">
        <v>259</v>
      </c>
      <c r="AW365" s="122" t="s">
        <v>260</v>
      </c>
      <c r="AX365" s="141" t="s">
        <v>1130</v>
      </c>
      <c r="AY365" s="141" t="s">
        <v>247</v>
      </c>
      <c r="AZ365" s="122" t="s">
        <v>10609</v>
      </c>
      <c r="BA365" s="122" t="s">
        <v>262</v>
      </c>
      <c r="BB365" s="122" t="s">
        <v>3956</v>
      </c>
      <c r="BC365" s="141" t="s">
        <v>312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35</v>
      </c>
    </row>
    <row r="366" spans="1:65" x14ac:dyDescent="0.25">
      <c r="A366" s="122" t="s">
        <v>6513</v>
      </c>
      <c r="B366" s="122" t="s">
        <v>10610</v>
      </c>
      <c r="C366" s="122" t="s">
        <v>10611</v>
      </c>
      <c r="D366" s="122" t="s">
        <v>10612</v>
      </c>
      <c r="E366" s="123">
        <v>42226</v>
      </c>
      <c r="F366" s="122" t="s">
        <v>7158</v>
      </c>
      <c r="G366" s="122" t="s">
        <v>235</v>
      </c>
      <c r="H366" s="122" t="s">
        <v>10613</v>
      </c>
      <c r="I366" s="122" t="s">
        <v>10614</v>
      </c>
      <c r="J366" s="122" t="s">
        <v>10615</v>
      </c>
      <c r="K366" s="122" t="s">
        <v>238</v>
      </c>
      <c r="L366" s="122" t="s">
        <v>530</v>
      </c>
      <c r="M366" s="122" t="s">
        <v>5175</v>
      </c>
      <c r="O366" s="141" t="s">
        <v>273</v>
      </c>
      <c r="P366" s="141" t="s">
        <v>10616</v>
      </c>
      <c r="Q366" s="122" t="s">
        <v>243</v>
      </c>
      <c r="R366" s="142">
        <v>36</v>
      </c>
      <c r="S366" s="122" t="s">
        <v>10617</v>
      </c>
      <c r="U366" s="122" t="s">
        <v>4681</v>
      </c>
      <c r="W366" s="122" t="s">
        <v>246</v>
      </c>
      <c r="X366" s="122" t="s">
        <v>1324</v>
      </c>
      <c r="Y366" s="141" t="s">
        <v>2899</v>
      </c>
      <c r="Z366" s="122" t="s">
        <v>10618</v>
      </c>
      <c r="AA366" s="141" t="s">
        <v>2072</v>
      </c>
      <c r="AB366" s="122" t="s">
        <v>355</v>
      </c>
      <c r="AC366" s="141" t="s">
        <v>367</v>
      </c>
      <c r="AD366" s="122" t="s">
        <v>4541</v>
      </c>
      <c r="AE366" s="122" t="s">
        <v>235</v>
      </c>
      <c r="AF366" s="122" t="s">
        <v>10619</v>
      </c>
      <c r="AG366" s="122" t="s">
        <v>537</v>
      </c>
      <c r="AH366" s="122" t="s">
        <v>253</v>
      </c>
      <c r="AI366" s="122" t="s">
        <v>10620</v>
      </c>
      <c r="AJ366" s="122" t="s">
        <v>10621</v>
      </c>
      <c r="AK366" s="122" t="s">
        <v>253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247</v>
      </c>
      <c r="AR366" s="141" t="s">
        <v>253</v>
      </c>
      <c r="AS366" s="141" t="s">
        <v>601</v>
      </c>
      <c r="AT366" s="141" t="s">
        <v>601</v>
      </c>
      <c r="AU366" s="141" t="s">
        <v>258</v>
      </c>
      <c r="AV366" s="122" t="s">
        <v>259</v>
      </c>
      <c r="AW366" s="122" t="s">
        <v>260</v>
      </c>
      <c r="AY366" s="141" t="s">
        <v>253</v>
      </c>
      <c r="AZ366" s="122" t="s">
        <v>10622</v>
      </c>
      <c r="BA366" s="122" t="s">
        <v>262</v>
      </c>
      <c r="BB366" s="122" t="s">
        <v>262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36</v>
      </c>
    </row>
    <row r="367" spans="1:65" x14ac:dyDescent="0.25">
      <c r="A367" s="122" t="s">
        <v>352</v>
      </c>
      <c r="B367" s="122" t="s">
        <v>10623</v>
      </c>
      <c r="C367" s="122" t="s">
        <v>10624</v>
      </c>
      <c r="D367" s="122" t="s">
        <v>10625</v>
      </c>
      <c r="E367" s="123">
        <v>42226</v>
      </c>
      <c r="F367" s="122" t="s">
        <v>2010</v>
      </c>
      <c r="G367" s="122" t="s">
        <v>235</v>
      </c>
      <c r="H367" s="122" t="s">
        <v>10626</v>
      </c>
      <c r="I367" s="122" t="s">
        <v>10627</v>
      </c>
      <c r="J367" s="122" t="s">
        <v>1018</v>
      </c>
      <c r="K367" s="122" t="s">
        <v>238</v>
      </c>
      <c r="L367" s="122" t="s">
        <v>530</v>
      </c>
      <c r="M367" s="122" t="s">
        <v>4994</v>
      </c>
      <c r="O367" s="141" t="s">
        <v>10628</v>
      </c>
      <c r="P367" s="141" t="s">
        <v>10629</v>
      </c>
      <c r="Q367" s="122" t="s">
        <v>243</v>
      </c>
      <c r="R367" s="142">
        <v>37</v>
      </c>
      <c r="S367" s="122" t="s">
        <v>10630</v>
      </c>
      <c r="U367" s="122" t="s">
        <v>4681</v>
      </c>
      <c r="W367" s="122" t="s">
        <v>246</v>
      </c>
      <c r="X367" s="122" t="s">
        <v>4409</v>
      </c>
      <c r="Y367" s="141" t="s">
        <v>1039</v>
      </c>
      <c r="Z367" s="122" t="s">
        <v>355</v>
      </c>
      <c r="AA367" s="141" t="s">
        <v>1721</v>
      </c>
      <c r="AB367" s="122" t="s">
        <v>1746</v>
      </c>
      <c r="AC367" s="141" t="s">
        <v>9548</v>
      </c>
      <c r="AD367" s="122" t="s">
        <v>1091</v>
      </c>
      <c r="AE367" s="122" t="s">
        <v>235</v>
      </c>
      <c r="AF367" s="122" t="s">
        <v>10631</v>
      </c>
      <c r="AG367" s="122" t="s">
        <v>537</v>
      </c>
      <c r="AH367" s="122" t="s">
        <v>253</v>
      </c>
      <c r="AI367" s="122" t="s">
        <v>10632</v>
      </c>
      <c r="AJ367" s="122" t="s">
        <v>10633</v>
      </c>
      <c r="AK367" s="122" t="s">
        <v>253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253</v>
      </c>
      <c r="AR367" s="141" t="s">
        <v>253</v>
      </c>
      <c r="AS367" s="141" t="s">
        <v>601</v>
      </c>
      <c r="AT367" s="141" t="s">
        <v>258</v>
      </c>
      <c r="AU367" s="141" t="s">
        <v>258</v>
      </c>
      <c r="AV367" s="122" t="s">
        <v>259</v>
      </c>
      <c r="AW367" s="122" t="s">
        <v>260</v>
      </c>
      <c r="AY367" s="141" t="s">
        <v>253</v>
      </c>
      <c r="AZ367" s="122" t="s">
        <v>10634</v>
      </c>
      <c r="BA367" s="122" t="s">
        <v>262</v>
      </c>
      <c r="BB367" s="122" t="s">
        <v>262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37</v>
      </c>
    </row>
    <row r="368" spans="1:65" x14ac:dyDescent="0.25">
      <c r="A368" s="122" t="s">
        <v>352</v>
      </c>
      <c r="B368" s="122" t="s">
        <v>10635</v>
      </c>
      <c r="C368" s="122" t="s">
        <v>10636</v>
      </c>
      <c r="D368" s="122" t="s">
        <v>10637</v>
      </c>
      <c r="E368" s="123">
        <v>42226</v>
      </c>
      <c r="F368" s="122" t="s">
        <v>10638</v>
      </c>
      <c r="G368" s="122" t="s">
        <v>235</v>
      </c>
      <c r="H368" s="122" t="s">
        <v>448</v>
      </c>
      <c r="I368" s="122" t="s">
        <v>10639</v>
      </c>
      <c r="J368" s="122" t="s">
        <v>10640</v>
      </c>
      <c r="K368" s="122" t="s">
        <v>238</v>
      </c>
      <c r="L368" s="122" t="s">
        <v>530</v>
      </c>
      <c r="M368" s="122" t="s">
        <v>531</v>
      </c>
      <c r="O368" s="141" t="s">
        <v>373</v>
      </c>
      <c r="P368" s="141" t="s">
        <v>10641</v>
      </c>
      <c r="Q368" s="122" t="s">
        <v>243</v>
      </c>
      <c r="R368" s="142">
        <v>38</v>
      </c>
      <c r="S368" s="122" t="s">
        <v>10642</v>
      </c>
      <c r="U368" s="122" t="s">
        <v>4681</v>
      </c>
      <c r="W368" s="122" t="s">
        <v>246</v>
      </c>
      <c r="X368" s="122" t="s">
        <v>3147</v>
      </c>
      <c r="Y368" s="141" t="s">
        <v>498</v>
      </c>
      <c r="Z368" s="122" t="s">
        <v>10643</v>
      </c>
      <c r="AA368" s="141" t="s">
        <v>234</v>
      </c>
      <c r="AB368" s="122" t="s">
        <v>10644</v>
      </c>
      <c r="AC368" s="141" t="s">
        <v>892</v>
      </c>
      <c r="AD368" s="122" t="s">
        <v>10645</v>
      </c>
      <c r="AE368" s="122" t="s">
        <v>235</v>
      </c>
      <c r="AF368" s="122" t="s">
        <v>10646</v>
      </c>
      <c r="AG368" s="122" t="s">
        <v>537</v>
      </c>
      <c r="AH368" s="122" t="s">
        <v>253</v>
      </c>
      <c r="AI368" s="122" t="s">
        <v>8171</v>
      </c>
      <c r="AJ368" s="122" t="s">
        <v>6389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253</v>
      </c>
      <c r="AP368" s="141" t="s">
        <v>253</v>
      </c>
      <c r="AQ368" s="141" t="s">
        <v>247</v>
      </c>
      <c r="AR368" s="141" t="s">
        <v>253</v>
      </c>
      <c r="AS368" s="141" t="s">
        <v>361</v>
      </c>
      <c r="AT368" s="141" t="s">
        <v>601</v>
      </c>
      <c r="AU368" s="141" t="s">
        <v>258</v>
      </c>
      <c r="AV368" s="122" t="s">
        <v>259</v>
      </c>
      <c r="AW368" s="122" t="s">
        <v>260</v>
      </c>
      <c r="AY368" s="141" t="s">
        <v>253</v>
      </c>
      <c r="AZ368" s="122" t="s">
        <v>262</v>
      </c>
      <c r="BA368" s="122" t="s">
        <v>262</v>
      </c>
      <c r="BB368" s="122" t="s">
        <v>262</v>
      </c>
      <c r="BC368" s="141" t="s">
        <v>312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38</v>
      </c>
    </row>
    <row r="369" spans="1:65" x14ac:dyDescent="0.25">
      <c r="A369" s="122" t="s">
        <v>352</v>
      </c>
      <c r="B369" s="122" t="s">
        <v>10647</v>
      </c>
      <c r="C369" s="122" t="s">
        <v>10648</v>
      </c>
      <c r="D369" s="122" t="s">
        <v>10649</v>
      </c>
      <c r="E369" s="123">
        <v>42226</v>
      </c>
      <c r="F369" s="122" t="s">
        <v>10650</v>
      </c>
      <c r="G369" s="122" t="s">
        <v>235</v>
      </c>
      <c r="H369" s="122" t="s">
        <v>10651</v>
      </c>
      <c r="I369" s="122" t="s">
        <v>10652</v>
      </c>
      <c r="K369" s="122" t="s">
        <v>238</v>
      </c>
      <c r="L369" s="122" t="s">
        <v>371</v>
      </c>
      <c r="M369" s="122" t="s">
        <v>4833</v>
      </c>
      <c r="O369" s="141" t="s">
        <v>390</v>
      </c>
      <c r="P369" s="141" t="s">
        <v>10653</v>
      </c>
      <c r="Q369" s="122" t="s">
        <v>243</v>
      </c>
      <c r="R369" s="142">
        <v>39</v>
      </c>
      <c r="S369" s="122" t="s">
        <v>10654</v>
      </c>
      <c r="U369" s="122" t="s">
        <v>4681</v>
      </c>
      <c r="W369" s="122" t="s">
        <v>246</v>
      </c>
      <c r="X369" s="122" t="s">
        <v>4409</v>
      </c>
      <c r="Y369" s="141" t="s">
        <v>3039</v>
      </c>
      <c r="Z369" s="122" t="s">
        <v>10655</v>
      </c>
      <c r="AA369" s="141" t="s">
        <v>1423</v>
      </c>
      <c r="AB369" s="122" t="s">
        <v>10655</v>
      </c>
      <c r="AC369" s="141" t="s">
        <v>283</v>
      </c>
      <c r="AD369" s="122" t="s">
        <v>10656</v>
      </c>
      <c r="AE369" s="122" t="s">
        <v>235</v>
      </c>
      <c r="AF369" s="122" t="s">
        <v>10657</v>
      </c>
      <c r="AG369" s="122" t="s">
        <v>537</v>
      </c>
      <c r="AH369" s="122" t="s">
        <v>253</v>
      </c>
      <c r="AI369" s="122" t="s">
        <v>10658</v>
      </c>
      <c r="AJ369" s="122" t="s">
        <v>10659</v>
      </c>
      <c r="AK369" s="122" t="s">
        <v>253</v>
      </c>
      <c r="AL369" s="122" t="s">
        <v>253</v>
      </c>
      <c r="AM369" s="122" t="s">
        <v>253</v>
      </c>
      <c r="AN369" s="122" t="s">
        <v>253</v>
      </c>
      <c r="AO369" s="141" t="s">
        <v>247</v>
      </c>
      <c r="AP369" s="141" t="s">
        <v>247</v>
      </c>
      <c r="AQ369" s="141" t="s">
        <v>253</v>
      </c>
      <c r="AR369" s="141" t="s">
        <v>247</v>
      </c>
      <c r="AS369" s="141" t="s">
        <v>601</v>
      </c>
      <c r="AT369" s="141" t="s">
        <v>258</v>
      </c>
      <c r="AU369" s="141" t="s">
        <v>601</v>
      </c>
      <c r="AV369" s="122" t="s">
        <v>259</v>
      </c>
      <c r="AW369" s="122" t="s">
        <v>260</v>
      </c>
      <c r="AY369" s="141" t="s">
        <v>253</v>
      </c>
      <c r="AZ369" s="122" t="s">
        <v>10660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39</v>
      </c>
      <c r="BJ369" s="123">
        <v>42236</v>
      </c>
      <c r="BK369" s="139" t="s">
        <v>606</v>
      </c>
      <c r="BM369" s="122">
        <v>34</v>
      </c>
    </row>
    <row r="370" spans="1:65" x14ac:dyDescent="0.25">
      <c r="A370" s="122" t="s">
        <v>352</v>
      </c>
      <c r="B370" s="122" t="s">
        <v>10661</v>
      </c>
      <c r="C370" s="122" t="s">
        <v>10662</v>
      </c>
      <c r="D370" s="122" t="s">
        <v>10663</v>
      </c>
      <c r="E370" s="123">
        <v>42226</v>
      </c>
      <c r="F370" s="122" t="s">
        <v>3664</v>
      </c>
      <c r="G370" s="122" t="s">
        <v>235</v>
      </c>
      <c r="H370" s="122" t="s">
        <v>10664</v>
      </c>
      <c r="I370" s="122" t="s">
        <v>10665</v>
      </c>
      <c r="K370" s="122" t="s">
        <v>238</v>
      </c>
      <c r="L370" s="122" t="s">
        <v>530</v>
      </c>
      <c r="M370" s="122" t="s">
        <v>531</v>
      </c>
      <c r="N370" s="122" t="s">
        <v>10666</v>
      </c>
      <c r="O370" s="141" t="s">
        <v>373</v>
      </c>
      <c r="P370" s="141" t="s">
        <v>10667</v>
      </c>
      <c r="Q370" s="122" t="s">
        <v>243</v>
      </c>
      <c r="R370" s="142">
        <v>40</v>
      </c>
      <c r="S370" s="122" t="s">
        <v>10668</v>
      </c>
      <c r="U370" s="122" t="s">
        <v>4681</v>
      </c>
      <c r="W370" s="122" t="s">
        <v>246</v>
      </c>
      <c r="X370" s="122" t="s">
        <v>4409</v>
      </c>
      <c r="Y370" s="141" t="s">
        <v>705</v>
      </c>
      <c r="Z370" s="122" t="s">
        <v>10669</v>
      </c>
      <c r="AA370" s="141" t="s">
        <v>833</v>
      </c>
      <c r="AB370" s="122" t="s">
        <v>355</v>
      </c>
      <c r="AC370" s="141" t="s">
        <v>1325</v>
      </c>
      <c r="AD370" s="122" t="s">
        <v>533</v>
      </c>
      <c r="AE370" s="122" t="s">
        <v>235</v>
      </c>
      <c r="AF370" s="122" t="s">
        <v>10670</v>
      </c>
      <c r="AG370" s="122" t="s">
        <v>537</v>
      </c>
      <c r="AH370" s="122" t="s">
        <v>253</v>
      </c>
      <c r="AI370" s="122" t="s">
        <v>10671</v>
      </c>
      <c r="AJ370" s="122" t="s">
        <v>10672</v>
      </c>
      <c r="AK370" s="122" t="s">
        <v>253</v>
      </c>
      <c r="AL370" s="122" t="s">
        <v>253</v>
      </c>
      <c r="AM370" s="122" t="s">
        <v>253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260</v>
      </c>
      <c r="AY370" s="141" t="s">
        <v>253</v>
      </c>
      <c r="AZ370" s="122" t="s">
        <v>10673</v>
      </c>
      <c r="BA370" s="122" t="s">
        <v>262</v>
      </c>
      <c r="BB370" s="122" t="s">
        <v>262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40</v>
      </c>
    </row>
    <row r="371" spans="1:65" x14ac:dyDescent="0.25">
      <c r="A371" s="122" t="s">
        <v>352</v>
      </c>
      <c r="B371" s="122" t="s">
        <v>10674</v>
      </c>
      <c r="C371" s="122" t="s">
        <v>10675</v>
      </c>
      <c r="D371" s="122" t="s">
        <v>10676</v>
      </c>
      <c r="E371" s="123">
        <v>42226</v>
      </c>
      <c r="F371" s="122" t="s">
        <v>10677</v>
      </c>
      <c r="G371" s="122" t="s">
        <v>235</v>
      </c>
      <c r="H371" s="122" t="s">
        <v>448</v>
      </c>
      <c r="I371" s="122" t="s">
        <v>10678</v>
      </c>
      <c r="K371" s="122" t="s">
        <v>238</v>
      </c>
      <c r="L371" s="122" t="s">
        <v>371</v>
      </c>
      <c r="M371" s="122" t="s">
        <v>10679</v>
      </c>
      <c r="O371" s="141" t="s">
        <v>299</v>
      </c>
      <c r="P371" s="141" t="s">
        <v>10680</v>
      </c>
      <c r="Q371" s="122" t="s">
        <v>243</v>
      </c>
      <c r="R371" s="142">
        <v>41</v>
      </c>
      <c r="S371" s="122" t="s">
        <v>10681</v>
      </c>
      <c r="U371" s="122" t="s">
        <v>4681</v>
      </c>
      <c r="W371" s="122" t="s">
        <v>246</v>
      </c>
      <c r="X371" s="122" t="s">
        <v>2624</v>
      </c>
      <c r="Y371" s="141" t="s">
        <v>1125</v>
      </c>
      <c r="Z371" s="122" t="s">
        <v>8770</v>
      </c>
      <c r="AA371" s="141" t="s">
        <v>1926</v>
      </c>
      <c r="AB371" s="122" t="s">
        <v>8770</v>
      </c>
      <c r="AC371" s="141" t="s">
        <v>899</v>
      </c>
      <c r="AD371" s="122" t="s">
        <v>8770</v>
      </c>
      <c r="AE371" s="122" t="s">
        <v>235</v>
      </c>
      <c r="AF371" s="122" t="s">
        <v>10682</v>
      </c>
      <c r="AG371" s="122" t="s">
        <v>537</v>
      </c>
      <c r="AH371" s="122" t="s">
        <v>253</v>
      </c>
      <c r="AI371" s="122" t="s">
        <v>8530</v>
      </c>
      <c r="AJ371" s="122" t="s">
        <v>10683</v>
      </c>
      <c r="AK371" s="122" t="s">
        <v>253</v>
      </c>
      <c r="AL371" s="122" t="s">
        <v>253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253</v>
      </c>
      <c r="AR371" s="141" t="s">
        <v>253</v>
      </c>
      <c r="AS371" s="141" t="s">
        <v>601</v>
      </c>
      <c r="AT371" s="141" t="s">
        <v>258</v>
      </c>
      <c r="AU371" s="141" t="s">
        <v>258</v>
      </c>
      <c r="AV371" s="122" t="s">
        <v>259</v>
      </c>
      <c r="AW371" s="122" t="s">
        <v>260</v>
      </c>
      <c r="AX371" s="141" t="s">
        <v>10684</v>
      </c>
      <c r="AY371" s="141" t="s">
        <v>247</v>
      </c>
      <c r="AZ371" s="122" t="s">
        <v>262</v>
      </c>
      <c r="BA371" s="122" t="s">
        <v>262</v>
      </c>
      <c r="BB371" s="122" t="s">
        <v>10685</v>
      </c>
      <c r="BC371" s="141" t="s">
        <v>312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41</v>
      </c>
      <c r="BJ371" s="165">
        <v>42230</v>
      </c>
      <c r="BK371" s="166" t="s">
        <v>264</v>
      </c>
      <c r="BL371" s="167">
        <v>101.6</v>
      </c>
      <c r="BM371" s="168">
        <v>33</v>
      </c>
    </row>
    <row r="372" spans="1:65" x14ac:dyDescent="0.25">
      <c r="A372" s="122" t="s">
        <v>352</v>
      </c>
      <c r="B372" s="122" t="s">
        <v>10686</v>
      </c>
      <c r="C372" s="122" t="s">
        <v>10687</v>
      </c>
      <c r="D372" s="122" t="s">
        <v>10688</v>
      </c>
      <c r="E372" s="123">
        <v>42226</v>
      </c>
      <c r="F372" s="122" t="s">
        <v>855</v>
      </c>
      <c r="G372" s="122" t="s">
        <v>235</v>
      </c>
      <c r="H372" s="122" t="s">
        <v>448</v>
      </c>
      <c r="I372" s="122" t="s">
        <v>10689</v>
      </c>
      <c r="K372" s="122" t="s">
        <v>238</v>
      </c>
      <c r="L372" s="122" t="s">
        <v>371</v>
      </c>
      <c r="M372" s="122" t="s">
        <v>5041</v>
      </c>
      <c r="O372" s="141" t="s">
        <v>649</v>
      </c>
      <c r="P372" s="141" t="s">
        <v>10690</v>
      </c>
      <c r="Q372" s="122" t="s">
        <v>243</v>
      </c>
      <c r="R372" s="142">
        <v>42</v>
      </c>
      <c r="S372" s="122" t="s">
        <v>10691</v>
      </c>
      <c r="U372" s="122" t="s">
        <v>4681</v>
      </c>
      <c r="W372" s="122" t="s">
        <v>246</v>
      </c>
      <c r="X372" s="122" t="s">
        <v>2624</v>
      </c>
      <c r="Y372" s="141" t="s">
        <v>2804</v>
      </c>
      <c r="Z372" s="122" t="s">
        <v>1485</v>
      </c>
      <c r="AA372" s="141" t="s">
        <v>1896</v>
      </c>
      <c r="AB372" s="122" t="s">
        <v>1485</v>
      </c>
      <c r="AC372" s="141" t="s">
        <v>1291</v>
      </c>
      <c r="AD372" s="122" t="s">
        <v>854</v>
      </c>
      <c r="AE372" s="122" t="s">
        <v>235</v>
      </c>
      <c r="AF372" s="122" t="s">
        <v>10692</v>
      </c>
      <c r="AG372" s="122" t="s">
        <v>537</v>
      </c>
      <c r="AH372" s="122" t="s">
        <v>253</v>
      </c>
      <c r="AI372" s="122" t="s">
        <v>1585</v>
      </c>
      <c r="AJ372" s="122" t="s">
        <v>1585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253</v>
      </c>
      <c r="AP372" s="141" t="s">
        <v>253</v>
      </c>
      <c r="AQ372" s="141" t="s">
        <v>247</v>
      </c>
      <c r="AR372" s="141" t="s">
        <v>253</v>
      </c>
      <c r="AS372" s="141" t="s">
        <v>361</v>
      </c>
      <c r="AT372" s="141" t="s">
        <v>601</v>
      </c>
      <c r="AU372" s="141" t="s">
        <v>258</v>
      </c>
      <c r="AV372" s="122" t="s">
        <v>259</v>
      </c>
      <c r="AW372" s="122" t="s">
        <v>260</v>
      </c>
      <c r="AY372" s="141" t="s">
        <v>253</v>
      </c>
      <c r="AZ372" s="122" t="s">
        <v>262</v>
      </c>
      <c r="BA372" s="122" t="s">
        <v>262</v>
      </c>
      <c r="BB372" s="122" t="s">
        <v>10693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42</v>
      </c>
      <c r="BJ372" s="123">
        <v>42236</v>
      </c>
      <c r="BK372" s="139" t="s">
        <v>606</v>
      </c>
      <c r="BM372" s="122">
        <v>34</v>
      </c>
    </row>
    <row r="373" spans="1:65" x14ac:dyDescent="0.25">
      <c r="A373" s="122" t="s">
        <v>352</v>
      </c>
      <c r="B373" s="122" t="s">
        <v>10694</v>
      </c>
      <c r="C373" s="122" t="s">
        <v>10695</v>
      </c>
      <c r="D373" s="122" t="s">
        <v>10696</v>
      </c>
      <c r="E373" s="123">
        <v>42226</v>
      </c>
      <c r="F373" s="122" t="s">
        <v>10697</v>
      </c>
      <c r="G373" s="122" t="s">
        <v>235</v>
      </c>
      <c r="H373" s="122" t="s">
        <v>10698</v>
      </c>
      <c r="I373" s="122" t="s">
        <v>10699</v>
      </c>
      <c r="K373" s="122" t="s">
        <v>238</v>
      </c>
      <c r="L373" s="122" t="s">
        <v>530</v>
      </c>
      <c r="M373" s="122" t="s">
        <v>10543</v>
      </c>
      <c r="O373" s="141" t="s">
        <v>1921</v>
      </c>
      <c r="P373" s="141" t="s">
        <v>10700</v>
      </c>
      <c r="Q373" s="122" t="s">
        <v>243</v>
      </c>
      <c r="R373" s="142">
        <v>43</v>
      </c>
      <c r="S373" s="122" t="s">
        <v>10701</v>
      </c>
      <c r="U373" s="122" t="s">
        <v>4681</v>
      </c>
      <c r="W373" s="122" t="s">
        <v>246</v>
      </c>
      <c r="X373" s="122" t="s">
        <v>853</v>
      </c>
      <c r="Y373" s="141" t="s">
        <v>2979</v>
      </c>
      <c r="Z373" s="122" t="s">
        <v>10702</v>
      </c>
      <c r="AA373" s="141" t="s">
        <v>417</v>
      </c>
      <c r="AB373" s="122" t="s">
        <v>8065</v>
      </c>
      <c r="AC373" s="141" t="s">
        <v>1969</v>
      </c>
      <c r="AD373" s="122" t="s">
        <v>10703</v>
      </c>
      <c r="AE373" s="122" t="s">
        <v>235</v>
      </c>
      <c r="AF373" s="122" t="s">
        <v>10704</v>
      </c>
      <c r="AG373" s="122" t="s">
        <v>537</v>
      </c>
      <c r="AH373" s="122" t="s">
        <v>253</v>
      </c>
      <c r="AI373" s="122" t="s">
        <v>10705</v>
      </c>
      <c r="AJ373" s="122" t="s">
        <v>10706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260</v>
      </c>
      <c r="AY373" s="141" t="s">
        <v>253</v>
      </c>
      <c r="AZ373" s="122" t="s">
        <v>10707</v>
      </c>
      <c r="BA373" s="122" t="s">
        <v>262</v>
      </c>
      <c r="BB373" s="122" t="s">
        <v>262</v>
      </c>
      <c r="BC373" s="141" t="s">
        <v>312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43</v>
      </c>
      <c r="BJ373" s="165">
        <v>42229</v>
      </c>
      <c r="BK373" s="166" t="s">
        <v>264</v>
      </c>
      <c r="BL373" s="167">
        <v>232.99</v>
      </c>
      <c r="BM373" s="168">
        <v>33</v>
      </c>
    </row>
    <row r="374" spans="1:65" x14ac:dyDescent="0.25">
      <c r="A374" s="122" t="s">
        <v>352</v>
      </c>
      <c r="B374" s="122" t="s">
        <v>10708</v>
      </c>
      <c r="C374" s="122" t="s">
        <v>10709</v>
      </c>
      <c r="D374" s="122" t="s">
        <v>10710</v>
      </c>
      <c r="E374" s="123">
        <v>42226</v>
      </c>
      <c r="F374" s="122" t="s">
        <v>10711</v>
      </c>
      <c r="G374" s="122" t="s">
        <v>235</v>
      </c>
      <c r="H374" s="122" t="s">
        <v>448</v>
      </c>
      <c r="I374" s="122" t="s">
        <v>10712</v>
      </c>
      <c r="K374" s="122" t="s">
        <v>238</v>
      </c>
      <c r="L374" s="122" t="s">
        <v>371</v>
      </c>
      <c r="M374" s="122" t="s">
        <v>5160</v>
      </c>
      <c r="Q374" s="122" t="s">
        <v>243</v>
      </c>
      <c r="R374" s="142">
        <v>44</v>
      </c>
      <c r="S374" s="122" t="s">
        <v>10713</v>
      </c>
      <c r="U374" s="122" t="s">
        <v>4681</v>
      </c>
      <c r="W374" s="122" t="s">
        <v>246</v>
      </c>
      <c r="X374" s="122" t="s">
        <v>3147</v>
      </c>
      <c r="Y374" s="141" t="s">
        <v>705</v>
      </c>
      <c r="Z374" s="122" t="s">
        <v>8219</v>
      </c>
      <c r="AA374" s="141" t="s">
        <v>2717</v>
      </c>
      <c r="AB374" s="122" t="s">
        <v>8219</v>
      </c>
      <c r="AC374" s="141" t="s">
        <v>234</v>
      </c>
      <c r="AD374" s="122" t="s">
        <v>8219</v>
      </c>
      <c r="AE374" s="122" t="s">
        <v>235</v>
      </c>
      <c r="AF374" s="122" t="s">
        <v>10714</v>
      </c>
      <c r="AG374" s="122" t="s">
        <v>537</v>
      </c>
      <c r="AH374" s="122" t="s">
        <v>253</v>
      </c>
      <c r="AI374" s="122" t="s">
        <v>10715</v>
      </c>
      <c r="AJ374" s="122" t="s">
        <v>8053</v>
      </c>
      <c r="AK374" s="122" t="s">
        <v>253</v>
      </c>
      <c r="AL374" s="122" t="s">
        <v>253</v>
      </c>
      <c r="AM374" s="122" t="s">
        <v>253</v>
      </c>
      <c r="AN374" s="122" t="s">
        <v>253</v>
      </c>
      <c r="AO374" s="141" t="s">
        <v>247</v>
      </c>
      <c r="AP374" s="141" t="s">
        <v>253</v>
      </c>
      <c r="AQ374" s="141" t="s">
        <v>253</v>
      </c>
      <c r="AR374" s="141" t="s">
        <v>253</v>
      </c>
      <c r="AS374" s="141" t="s">
        <v>601</v>
      </c>
      <c r="AT374" s="141" t="s">
        <v>258</v>
      </c>
      <c r="AU374" s="141" t="s">
        <v>258</v>
      </c>
      <c r="AV374" s="122" t="s">
        <v>259</v>
      </c>
      <c r="AW374" s="122" t="s">
        <v>260</v>
      </c>
      <c r="AY374" s="141" t="s">
        <v>253</v>
      </c>
      <c r="AZ374" s="122" t="s">
        <v>262</v>
      </c>
      <c r="BA374" s="122" t="s">
        <v>262</v>
      </c>
      <c r="BB374" s="122" t="s">
        <v>10716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44</v>
      </c>
      <c r="BJ374" s="165">
        <v>42230</v>
      </c>
      <c r="BK374" s="166" t="s">
        <v>264</v>
      </c>
      <c r="BL374" s="167">
        <v>94.1</v>
      </c>
      <c r="BM374" s="168">
        <v>33</v>
      </c>
    </row>
    <row r="375" spans="1:65" x14ac:dyDescent="0.25">
      <c r="A375" s="122" t="s">
        <v>352</v>
      </c>
      <c r="B375" s="122" t="s">
        <v>10717</v>
      </c>
      <c r="C375" s="122" t="s">
        <v>10718</v>
      </c>
      <c r="D375" s="122" t="s">
        <v>10719</v>
      </c>
      <c r="E375" s="123">
        <v>42226</v>
      </c>
      <c r="F375" s="122" t="s">
        <v>763</v>
      </c>
      <c r="G375" s="122" t="s">
        <v>235</v>
      </c>
      <c r="H375" s="122" t="s">
        <v>10720</v>
      </c>
      <c r="I375" s="122" t="s">
        <v>10721</v>
      </c>
      <c r="J375" s="122" t="s">
        <v>1053</v>
      </c>
      <c r="K375" s="122" t="s">
        <v>238</v>
      </c>
      <c r="L375" s="122" t="s">
        <v>371</v>
      </c>
      <c r="M375" s="122" t="s">
        <v>4722</v>
      </c>
      <c r="O375" s="141" t="s">
        <v>373</v>
      </c>
      <c r="P375" s="141" t="s">
        <v>10722</v>
      </c>
      <c r="Q375" s="122" t="s">
        <v>243</v>
      </c>
      <c r="R375" s="142">
        <v>45</v>
      </c>
      <c r="S375" s="122" t="s">
        <v>10723</v>
      </c>
      <c r="U375" s="122" t="s">
        <v>4681</v>
      </c>
      <c r="W375" s="122" t="s">
        <v>246</v>
      </c>
      <c r="X375" s="122" t="s">
        <v>2624</v>
      </c>
      <c r="Y375" s="141" t="s">
        <v>633</v>
      </c>
      <c r="Z375" s="122" t="s">
        <v>10724</v>
      </c>
      <c r="AA375" s="141" t="s">
        <v>1260</v>
      </c>
      <c r="AB375" s="122" t="s">
        <v>10725</v>
      </c>
      <c r="AD375" s="122" t="s">
        <v>250</v>
      </c>
      <c r="AE375" s="122" t="s">
        <v>235</v>
      </c>
      <c r="AF375" s="122" t="s">
        <v>10726</v>
      </c>
      <c r="AG375" s="122" t="s">
        <v>537</v>
      </c>
      <c r="AH375" s="122" t="s">
        <v>253</v>
      </c>
      <c r="AI375" s="122" t="s">
        <v>10727</v>
      </c>
      <c r="AJ375" s="122" t="s">
        <v>10728</v>
      </c>
      <c r="AK375" s="122" t="s">
        <v>253</v>
      </c>
      <c r="AL375" s="122" t="s">
        <v>253</v>
      </c>
      <c r="AM375" s="122" t="s">
        <v>253</v>
      </c>
      <c r="AN375" s="122" t="s">
        <v>253</v>
      </c>
      <c r="AO375" s="141" t="s">
        <v>253</v>
      </c>
      <c r="AP375" s="141" t="s">
        <v>253</v>
      </c>
      <c r="AQ375" s="141" t="s">
        <v>247</v>
      </c>
      <c r="AR375" s="141" t="s">
        <v>253</v>
      </c>
      <c r="AS375" s="141" t="s">
        <v>361</v>
      </c>
      <c r="AT375" s="141" t="s">
        <v>601</v>
      </c>
      <c r="AU375" s="141" t="s">
        <v>258</v>
      </c>
      <c r="AV375" s="122" t="s">
        <v>259</v>
      </c>
      <c r="AW375" s="122" t="s">
        <v>260</v>
      </c>
      <c r="AY375" s="141" t="s">
        <v>253</v>
      </c>
      <c r="AZ375" s="122" t="s">
        <v>10729</v>
      </c>
      <c r="BA375" s="122" t="s">
        <v>262</v>
      </c>
      <c r="BB375" s="122" t="s">
        <v>262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45</v>
      </c>
      <c r="BJ375" s="123">
        <v>42236</v>
      </c>
      <c r="BK375" s="139" t="s">
        <v>606</v>
      </c>
      <c r="BM375" s="122">
        <v>34</v>
      </c>
    </row>
    <row r="376" spans="1:65" x14ac:dyDescent="0.25">
      <c r="A376" s="122" t="s">
        <v>3037</v>
      </c>
      <c r="B376" s="122" t="s">
        <v>10730</v>
      </c>
      <c r="C376" s="122" t="s">
        <v>10731</v>
      </c>
      <c r="D376" s="122" t="s">
        <v>10732</v>
      </c>
      <c r="E376" s="123">
        <v>42226</v>
      </c>
      <c r="F376" s="122" t="s">
        <v>1969</v>
      </c>
      <c r="G376" s="122" t="s">
        <v>235</v>
      </c>
      <c r="H376" s="122" t="s">
        <v>10733</v>
      </c>
      <c r="I376" s="122" t="s">
        <v>10734</v>
      </c>
      <c r="J376" s="122" t="s">
        <v>1358</v>
      </c>
      <c r="K376" s="122" t="s">
        <v>238</v>
      </c>
      <c r="L376" s="122" t="s">
        <v>530</v>
      </c>
      <c r="M376" s="122" t="s">
        <v>4708</v>
      </c>
      <c r="O376" s="141" t="s">
        <v>548</v>
      </c>
      <c r="P376" s="141" t="s">
        <v>10735</v>
      </c>
      <c r="Q376" s="122" t="s">
        <v>243</v>
      </c>
      <c r="R376" s="142">
        <v>46</v>
      </c>
      <c r="S376" s="122" t="s">
        <v>10736</v>
      </c>
      <c r="T376" s="122" t="s">
        <v>10737</v>
      </c>
      <c r="U376" s="122" t="s">
        <v>4681</v>
      </c>
      <c r="W376" s="122" t="s">
        <v>246</v>
      </c>
      <c r="X376" s="122" t="s">
        <v>302</v>
      </c>
      <c r="Y376" s="141" t="s">
        <v>1023</v>
      </c>
      <c r="Z376" s="122" t="s">
        <v>10738</v>
      </c>
      <c r="AB376" s="122" t="s">
        <v>250</v>
      </c>
      <c r="AD376" s="122" t="s">
        <v>250</v>
      </c>
      <c r="AE376" s="122" t="s">
        <v>235</v>
      </c>
      <c r="AF376" s="122" t="s">
        <v>10739</v>
      </c>
      <c r="AG376" s="122" t="s">
        <v>253</v>
      </c>
      <c r="AH376" s="122" t="s">
        <v>253</v>
      </c>
      <c r="AI376" s="122" t="s">
        <v>10740</v>
      </c>
      <c r="AJ376" s="122" t="s">
        <v>5310</v>
      </c>
      <c r="AK376" s="122" t="s">
        <v>8871</v>
      </c>
      <c r="AL376" s="122" t="s">
        <v>10741</v>
      </c>
      <c r="AM376" s="122" t="s">
        <v>253</v>
      </c>
      <c r="AN376" s="122" t="s">
        <v>253</v>
      </c>
      <c r="AO376" s="141" t="s">
        <v>253</v>
      </c>
      <c r="AP376" s="141" t="s">
        <v>253</v>
      </c>
      <c r="AQ376" s="141" t="s">
        <v>253</v>
      </c>
      <c r="AR376" s="141" t="s">
        <v>247</v>
      </c>
      <c r="AS376" s="141" t="s">
        <v>361</v>
      </c>
      <c r="AT376" s="141" t="s">
        <v>258</v>
      </c>
      <c r="AU376" s="141" t="s">
        <v>601</v>
      </c>
      <c r="AV376" s="122" t="s">
        <v>259</v>
      </c>
      <c r="AW376" s="122" t="s">
        <v>556</v>
      </c>
      <c r="AY376" s="141" t="s">
        <v>253</v>
      </c>
      <c r="AZ376" s="122" t="s">
        <v>10742</v>
      </c>
      <c r="BA376" s="122" t="s">
        <v>262</v>
      </c>
      <c r="BB376" s="122" t="s">
        <v>262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46</v>
      </c>
    </row>
    <row r="377" spans="1:65" x14ac:dyDescent="0.25">
      <c r="A377" s="122" t="s">
        <v>3037</v>
      </c>
      <c r="B377" s="122" t="s">
        <v>10743</v>
      </c>
      <c r="C377" s="122" t="s">
        <v>5256</v>
      </c>
      <c r="D377" s="122" t="s">
        <v>5257</v>
      </c>
      <c r="E377" s="123">
        <v>42226</v>
      </c>
      <c r="F377" s="122" t="s">
        <v>2098</v>
      </c>
      <c r="G377" s="122" t="s">
        <v>235</v>
      </c>
      <c r="H377" s="122" t="s">
        <v>5258</v>
      </c>
      <c r="I377" s="122" t="s">
        <v>5259</v>
      </c>
      <c r="K377" s="122" t="s">
        <v>238</v>
      </c>
      <c r="L377" s="122" t="s">
        <v>371</v>
      </c>
      <c r="M377" s="122" t="s">
        <v>5260</v>
      </c>
      <c r="O377" s="141" t="s">
        <v>2442</v>
      </c>
      <c r="P377" s="141" t="s">
        <v>5261</v>
      </c>
      <c r="Q377" s="122" t="s">
        <v>243</v>
      </c>
      <c r="R377" s="142">
        <v>47</v>
      </c>
      <c r="S377" s="122" t="s">
        <v>5262</v>
      </c>
      <c r="U377" s="122" t="s">
        <v>4681</v>
      </c>
      <c r="W377" s="122" t="s">
        <v>246</v>
      </c>
      <c r="X377" s="122" t="s">
        <v>1377</v>
      </c>
      <c r="Y377" s="141" t="s">
        <v>2979</v>
      </c>
      <c r="Z377" s="122" t="s">
        <v>5263</v>
      </c>
      <c r="AA377" s="141" t="s">
        <v>784</v>
      </c>
      <c r="AB377" s="122" t="s">
        <v>4333</v>
      </c>
      <c r="AC377" s="141" t="s">
        <v>635</v>
      </c>
      <c r="AD377" s="122" t="s">
        <v>5264</v>
      </c>
      <c r="AE377" s="122" t="s">
        <v>235</v>
      </c>
      <c r="AF377" s="122" t="s">
        <v>10744</v>
      </c>
      <c r="AG377" s="122" t="s">
        <v>537</v>
      </c>
      <c r="AH377" s="122" t="s">
        <v>253</v>
      </c>
      <c r="AI377" s="122" t="s">
        <v>3011</v>
      </c>
      <c r="AJ377" s="122" t="s">
        <v>5266</v>
      </c>
      <c r="AK377" s="122" t="s">
        <v>253</v>
      </c>
      <c r="AL377" s="122" t="s">
        <v>5267</v>
      </c>
      <c r="AM377" s="122" t="s">
        <v>253</v>
      </c>
      <c r="AN377" s="122" t="s">
        <v>253</v>
      </c>
      <c r="AO377" s="141" t="s">
        <v>247</v>
      </c>
      <c r="AP377" s="141" t="s">
        <v>247</v>
      </c>
      <c r="AQ377" s="141" t="s">
        <v>247</v>
      </c>
      <c r="AR377" s="141" t="s">
        <v>247</v>
      </c>
      <c r="AS377" s="141" t="s">
        <v>601</v>
      </c>
      <c r="AT377" s="141" t="s">
        <v>601</v>
      </c>
      <c r="AU377" s="141" t="s">
        <v>601</v>
      </c>
      <c r="AV377" s="122" t="s">
        <v>259</v>
      </c>
      <c r="AW377" s="122" t="s">
        <v>556</v>
      </c>
      <c r="AX377" s="141" t="s">
        <v>5239</v>
      </c>
      <c r="AY377" s="141" t="s">
        <v>603</v>
      </c>
      <c r="AZ377" s="122" t="s">
        <v>5268</v>
      </c>
      <c r="BA377" s="122" t="s">
        <v>262</v>
      </c>
      <c r="BB377" s="122" t="s">
        <v>5269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47</v>
      </c>
      <c r="BK377" s="139" t="s">
        <v>558</v>
      </c>
    </row>
    <row r="378" spans="1:65" x14ac:dyDescent="0.25">
      <c r="A378" s="122" t="s">
        <v>1161</v>
      </c>
      <c r="B378" s="122" t="s">
        <v>10745</v>
      </c>
      <c r="C378" s="122" t="s">
        <v>5303</v>
      </c>
      <c r="D378" s="122" t="s">
        <v>5304</v>
      </c>
      <c r="E378" s="123">
        <v>42226</v>
      </c>
      <c r="F378" s="122" t="s">
        <v>457</v>
      </c>
      <c r="G378" s="122" t="s">
        <v>235</v>
      </c>
      <c r="H378" s="122" t="s">
        <v>5305</v>
      </c>
      <c r="I378" s="122" t="s">
        <v>5306</v>
      </c>
      <c r="K378" s="122" t="s">
        <v>238</v>
      </c>
      <c r="L378" s="122" t="s">
        <v>371</v>
      </c>
      <c r="M378" s="122" t="s">
        <v>4833</v>
      </c>
      <c r="O378" s="141" t="s">
        <v>451</v>
      </c>
      <c r="P378" s="141" t="s">
        <v>5307</v>
      </c>
      <c r="Q378" s="122" t="s">
        <v>243</v>
      </c>
      <c r="R378" s="142">
        <v>48</v>
      </c>
      <c r="S378" s="122" t="s">
        <v>5308</v>
      </c>
      <c r="U378" s="122" t="s">
        <v>4681</v>
      </c>
      <c r="W378" s="122" t="s">
        <v>246</v>
      </c>
      <c r="X378" s="122" t="s">
        <v>260</v>
      </c>
      <c r="Y378" s="141" t="s">
        <v>500</v>
      </c>
      <c r="Z378" s="122" t="s">
        <v>571</v>
      </c>
      <c r="AB378" s="122" t="s">
        <v>250</v>
      </c>
      <c r="AD378" s="122" t="s">
        <v>250</v>
      </c>
      <c r="AE378" s="122" t="s">
        <v>235</v>
      </c>
      <c r="AF378" s="122" t="s">
        <v>5309</v>
      </c>
      <c r="AG378" s="122" t="s">
        <v>253</v>
      </c>
      <c r="AH378" s="122" t="s">
        <v>253</v>
      </c>
      <c r="AI378" s="122" t="s">
        <v>5310</v>
      </c>
      <c r="AJ378" s="122" t="s">
        <v>5311</v>
      </c>
      <c r="AK378" s="122" t="s">
        <v>10746</v>
      </c>
      <c r="AL378" s="122" t="s">
        <v>253</v>
      </c>
      <c r="AM378" s="122" t="s">
        <v>253</v>
      </c>
      <c r="AN378" s="122" t="s">
        <v>253</v>
      </c>
      <c r="AO378" s="141" t="s">
        <v>247</v>
      </c>
      <c r="AP378" s="141" t="s">
        <v>247</v>
      </c>
      <c r="AQ378" s="141" t="s">
        <v>247</v>
      </c>
      <c r="AR378" s="141" t="s">
        <v>247</v>
      </c>
      <c r="AS378" s="141" t="s">
        <v>601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41" t="s">
        <v>253</v>
      </c>
      <c r="AZ378" s="122" t="s">
        <v>5313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48</v>
      </c>
      <c r="BK378" s="139" t="s">
        <v>558</v>
      </c>
    </row>
    <row r="379" spans="1:65" x14ac:dyDescent="0.25">
      <c r="A379" s="122" t="s">
        <v>1161</v>
      </c>
      <c r="B379" s="122" t="s">
        <v>10747</v>
      </c>
      <c r="C379" s="122" t="s">
        <v>5340</v>
      </c>
      <c r="D379" s="122" t="s">
        <v>5341</v>
      </c>
      <c r="E379" s="123">
        <v>42226</v>
      </c>
      <c r="F379" s="122" t="s">
        <v>457</v>
      </c>
      <c r="G379" s="122" t="s">
        <v>235</v>
      </c>
      <c r="H379" s="122" t="s">
        <v>5342</v>
      </c>
      <c r="I379" s="122" t="s">
        <v>5343</v>
      </c>
      <c r="J379" s="122" t="s">
        <v>2005</v>
      </c>
      <c r="K379" s="122" t="s">
        <v>238</v>
      </c>
      <c r="L379" s="122" t="s">
        <v>530</v>
      </c>
      <c r="M379" s="122" t="s">
        <v>4708</v>
      </c>
      <c r="O379" s="141" t="s">
        <v>566</v>
      </c>
      <c r="P379" s="141" t="s">
        <v>5344</v>
      </c>
      <c r="Q379" s="122" t="s">
        <v>243</v>
      </c>
      <c r="R379" s="142">
        <v>49</v>
      </c>
      <c r="S379" s="122" t="s">
        <v>5345</v>
      </c>
      <c r="U379" s="122" t="s">
        <v>4681</v>
      </c>
      <c r="W379" s="122" t="s">
        <v>246</v>
      </c>
      <c r="X379" s="122" t="s">
        <v>260</v>
      </c>
      <c r="Z379" s="122" t="s">
        <v>250</v>
      </c>
      <c r="AB379" s="122" t="s">
        <v>250</v>
      </c>
      <c r="AD379" s="122" t="s">
        <v>250</v>
      </c>
      <c r="AE379" s="122" t="s">
        <v>235</v>
      </c>
      <c r="AF379" s="122" t="s">
        <v>5346</v>
      </c>
      <c r="AG379" s="122" t="s">
        <v>253</v>
      </c>
      <c r="AH379" s="122" t="s">
        <v>253</v>
      </c>
      <c r="AI379" s="122" t="s">
        <v>5347</v>
      </c>
      <c r="AJ379" s="122" t="s">
        <v>5348</v>
      </c>
      <c r="AK379" s="122" t="s">
        <v>5349</v>
      </c>
      <c r="AL379" s="122" t="s">
        <v>253</v>
      </c>
      <c r="AM379" s="122" t="s">
        <v>253</v>
      </c>
      <c r="AN379" s="122" t="s">
        <v>253</v>
      </c>
      <c r="AO379" s="141" t="s">
        <v>247</v>
      </c>
      <c r="AP379" s="141" t="s">
        <v>247</v>
      </c>
      <c r="AQ379" s="141" t="s">
        <v>247</v>
      </c>
      <c r="AR379" s="141" t="s">
        <v>247</v>
      </c>
      <c r="AS379" s="141" t="s">
        <v>601</v>
      </c>
      <c r="AT379" s="141" t="s">
        <v>601</v>
      </c>
      <c r="AU379" s="141" t="s">
        <v>601</v>
      </c>
      <c r="AV379" s="122" t="s">
        <v>259</v>
      </c>
      <c r="AW379" s="122" t="s">
        <v>556</v>
      </c>
      <c r="AY379" s="141" t="s">
        <v>253</v>
      </c>
      <c r="AZ379" s="122" t="s">
        <v>5350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49</v>
      </c>
      <c r="BK379" s="139" t="s">
        <v>558</v>
      </c>
    </row>
    <row r="380" spans="1:65" x14ac:dyDescent="0.25">
      <c r="A380" s="122" t="s">
        <v>6059</v>
      </c>
      <c r="B380" s="122" t="s">
        <v>10748</v>
      </c>
      <c r="C380" s="122" t="s">
        <v>10184</v>
      </c>
      <c r="D380" s="122" t="s">
        <v>10185</v>
      </c>
      <c r="E380" s="123">
        <v>42226</v>
      </c>
      <c r="F380" s="122" t="s">
        <v>3079</v>
      </c>
      <c r="G380" s="122" t="s">
        <v>235</v>
      </c>
      <c r="H380" s="122" t="s">
        <v>10186</v>
      </c>
      <c r="I380" s="122" t="s">
        <v>10187</v>
      </c>
      <c r="K380" s="122" t="s">
        <v>238</v>
      </c>
      <c r="L380" s="122" t="s">
        <v>371</v>
      </c>
      <c r="M380" s="122" t="s">
        <v>10188</v>
      </c>
      <c r="N380" s="122" t="s">
        <v>10189</v>
      </c>
      <c r="O380" s="141" t="s">
        <v>451</v>
      </c>
      <c r="P380" s="141" t="s">
        <v>10190</v>
      </c>
      <c r="Q380" s="122" t="s">
        <v>243</v>
      </c>
      <c r="R380" s="142">
        <v>50</v>
      </c>
      <c r="S380" s="122" t="s">
        <v>10191</v>
      </c>
      <c r="U380" s="122" t="s">
        <v>4681</v>
      </c>
      <c r="W380" s="122" t="s">
        <v>246</v>
      </c>
      <c r="X380" s="122" t="s">
        <v>454</v>
      </c>
      <c r="Y380" s="141" t="s">
        <v>2804</v>
      </c>
      <c r="Z380" s="122" t="s">
        <v>10192</v>
      </c>
      <c r="AA380" s="141" t="s">
        <v>1423</v>
      </c>
      <c r="AB380" s="122" t="s">
        <v>10193</v>
      </c>
      <c r="AC380" s="141" t="s">
        <v>1981</v>
      </c>
      <c r="AD380" s="122" t="s">
        <v>10194</v>
      </c>
      <c r="AE380" s="122" t="s">
        <v>235</v>
      </c>
      <c r="AF380" s="122" t="s">
        <v>10195</v>
      </c>
      <c r="AG380" s="122" t="s">
        <v>537</v>
      </c>
      <c r="AH380" s="122" t="s">
        <v>253</v>
      </c>
      <c r="AI380" s="122" t="s">
        <v>10196</v>
      </c>
      <c r="AJ380" s="122" t="s">
        <v>10197</v>
      </c>
      <c r="AK380" s="122" t="s">
        <v>253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41" t="s">
        <v>253</v>
      </c>
      <c r="AZ380" s="122" t="s">
        <v>10198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50</v>
      </c>
      <c r="BK380" s="139" t="s">
        <v>558</v>
      </c>
    </row>
    <row r="381" spans="1:65" x14ac:dyDescent="0.25">
      <c r="A381" s="122" t="s">
        <v>6059</v>
      </c>
      <c r="B381" s="122" t="s">
        <v>10749</v>
      </c>
      <c r="C381" s="122" t="s">
        <v>10213</v>
      </c>
      <c r="D381" s="122" t="s">
        <v>10214</v>
      </c>
      <c r="E381" s="123">
        <v>42226</v>
      </c>
      <c r="F381" s="122" t="s">
        <v>10215</v>
      </c>
      <c r="G381" s="122" t="s">
        <v>235</v>
      </c>
      <c r="H381" s="122" t="s">
        <v>10216</v>
      </c>
      <c r="I381" s="122" t="s">
        <v>10217</v>
      </c>
      <c r="K381" s="122" t="s">
        <v>238</v>
      </c>
      <c r="L381" s="122" t="s">
        <v>530</v>
      </c>
      <c r="M381" s="122" t="s">
        <v>5175</v>
      </c>
      <c r="O381" s="141" t="s">
        <v>1253</v>
      </c>
      <c r="P381" s="141" t="s">
        <v>10218</v>
      </c>
      <c r="Q381" s="122" t="s">
        <v>243</v>
      </c>
      <c r="R381" s="142">
        <v>51</v>
      </c>
      <c r="S381" s="122" t="s">
        <v>10219</v>
      </c>
      <c r="U381" s="122" t="s">
        <v>4681</v>
      </c>
      <c r="W381" s="122" t="s">
        <v>246</v>
      </c>
      <c r="X381" s="122" t="s">
        <v>590</v>
      </c>
      <c r="Y381" s="141" t="s">
        <v>3039</v>
      </c>
      <c r="Z381" s="122" t="s">
        <v>10220</v>
      </c>
      <c r="AA381" s="141" t="s">
        <v>500</v>
      </c>
      <c r="AB381" s="122" t="s">
        <v>10221</v>
      </c>
      <c r="AC381" s="141" t="s">
        <v>635</v>
      </c>
      <c r="AD381" s="122" t="s">
        <v>10222</v>
      </c>
      <c r="AE381" s="122" t="s">
        <v>235</v>
      </c>
      <c r="AF381" s="122" t="s">
        <v>10223</v>
      </c>
      <c r="AG381" s="122" t="s">
        <v>537</v>
      </c>
      <c r="AH381" s="122" t="s">
        <v>253</v>
      </c>
      <c r="AI381" s="122" t="s">
        <v>10224</v>
      </c>
      <c r="AJ381" s="122" t="s">
        <v>10225</v>
      </c>
      <c r="AK381" s="122" t="s">
        <v>253</v>
      </c>
      <c r="AL381" s="122" t="s">
        <v>253</v>
      </c>
      <c r="AM381" s="122" t="s">
        <v>253</v>
      </c>
      <c r="AN381" s="122" t="s">
        <v>253</v>
      </c>
      <c r="AO381" s="141" t="s">
        <v>247</v>
      </c>
      <c r="AP381" s="141" t="s">
        <v>253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556</v>
      </c>
      <c r="AY381" s="141" t="s">
        <v>253</v>
      </c>
      <c r="AZ381" s="122" t="s">
        <v>10226</v>
      </c>
      <c r="BA381" s="122" t="s">
        <v>262</v>
      </c>
      <c r="BB381" s="122" t="s">
        <v>262</v>
      </c>
      <c r="BC381" s="141" t="s">
        <v>312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51</v>
      </c>
      <c r="BK381" s="139" t="s">
        <v>558</v>
      </c>
    </row>
    <row r="382" spans="1:65" x14ac:dyDescent="0.25">
      <c r="A382" s="122" t="s">
        <v>6059</v>
      </c>
      <c r="B382" s="122" t="s">
        <v>10750</v>
      </c>
      <c r="C382" s="122" t="s">
        <v>10751</v>
      </c>
      <c r="D382" s="122" t="s">
        <v>10752</v>
      </c>
      <c r="E382" s="123">
        <v>42226</v>
      </c>
      <c r="F382" s="122" t="s">
        <v>10753</v>
      </c>
      <c r="G382" s="122" t="s">
        <v>235</v>
      </c>
      <c r="H382" s="122" t="s">
        <v>10754</v>
      </c>
      <c r="I382" s="122" t="s">
        <v>10755</v>
      </c>
      <c r="K382" s="122" t="s">
        <v>238</v>
      </c>
      <c r="L382" s="122" t="s">
        <v>530</v>
      </c>
      <c r="M382" s="122" t="s">
        <v>4795</v>
      </c>
      <c r="O382" s="141" t="s">
        <v>10756</v>
      </c>
      <c r="P382" s="141" t="s">
        <v>10757</v>
      </c>
      <c r="Q382" s="122" t="s">
        <v>243</v>
      </c>
      <c r="R382" s="142">
        <v>52</v>
      </c>
      <c r="S382" s="122" t="s">
        <v>10758</v>
      </c>
      <c r="U382" s="122" t="s">
        <v>4681</v>
      </c>
      <c r="W382" s="122" t="s">
        <v>246</v>
      </c>
      <c r="X382" s="122" t="s">
        <v>590</v>
      </c>
      <c r="Y382" s="141" t="s">
        <v>705</v>
      </c>
      <c r="Z382" s="122" t="s">
        <v>10759</v>
      </c>
      <c r="AA382" s="141" t="s">
        <v>304</v>
      </c>
      <c r="AB382" s="122" t="s">
        <v>10760</v>
      </c>
      <c r="AC382" s="141" t="s">
        <v>234</v>
      </c>
      <c r="AD382" s="122" t="s">
        <v>10761</v>
      </c>
      <c r="AE382" s="122" t="s">
        <v>235</v>
      </c>
      <c r="AF382" s="122" t="s">
        <v>10762</v>
      </c>
      <c r="AG382" s="122" t="s">
        <v>537</v>
      </c>
      <c r="AH382" s="122" t="s">
        <v>253</v>
      </c>
      <c r="AI382" s="122" t="s">
        <v>10763</v>
      </c>
      <c r="AJ382" s="122" t="s">
        <v>10764</v>
      </c>
      <c r="AK382" s="122" t="s">
        <v>253</v>
      </c>
      <c r="AL382" s="122" t="s">
        <v>253</v>
      </c>
      <c r="AM382" s="122" t="s">
        <v>253</v>
      </c>
      <c r="AN382" s="122" t="s">
        <v>253</v>
      </c>
      <c r="AO382" s="141" t="s">
        <v>253</v>
      </c>
      <c r="AP382" s="141" t="s">
        <v>253</v>
      </c>
      <c r="AQ382" s="141" t="s">
        <v>247</v>
      </c>
      <c r="AR382" s="141" t="s">
        <v>247</v>
      </c>
      <c r="AS382" s="141" t="s">
        <v>361</v>
      </c>
      <c r="AT382" s="141" t="s">
        <v>601</v>
      </c>
      <c r="AU382" s="141" t="s">
        <v>601</v>
      </c>
      <c r="AV382" s="122" t="s">
        <v>259</v>
      </c>
      <c r="AW382" s="122" t="s">
        <v>556</v>
      </c>
      <c r="AY382" s="141" t="s">
        <v>253</v>
      </c>
      <c r="AZ382" s="122" t="s">
        <v>10765</v>
      </c>
      <c r="BA382" s="122" t="s">
        <v>262</v>
      </c>
      <c r="BB382" s="122" t="s">
        <v>3956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52</v>
      </c>
    </row>
    <row r="383" spans="1:65" x14ac:dyDescent="0.25">
      <c r="A383" s="122" t="s">
        <v>6735</v>
      </c>
      <c r="B383" s="122" t="s">
        <v>10766</v>
      </c>
      <c r="C383" s="122" t="s">
        <v>10254</v>
      </c>
      <c r="D383" s="122" t="s">
        <v>10255</v>
      </c>
      <c r="E383" s="123">
        <v>42226</v>
      </c>
      <c r="F383" s="122" t="s">
        <v>10256</v>
      </c>
      <c r="G383" s="122" t="s">
        <v>235</v>
      </c>
      <c r="H383" s="122" t="s">
        <v>10257</v>
      </c>
      <c r="I383" s="122" t="s">
        <v>10258</v>
      </c>
      <c r="K383" s="122" t="s">
        <v>238</v>
      </c>
      <c r="L383" s="122" t="s">
        <v>371</v>
      </c>
      <c r="M383" s="122" t="s">
        <v>4833</v>
      </c>
      <c r="O383" s="141" t="s">
        <v>273</v>
      </c>
      <c r="P383" s="141" t="s">
        <v>10259</v>
      </c>
      <c r="Q383" s="122" t="s">
        <v>243</v>
      </c>
      <c r="R383" s="142">
        <v>53</v>
      </c>
      <c r="S383" s="122" t="s">
        <v>10260</v>
      </c>
      <c r="U383" s="122" t="s">
        <v>4681</v>
      </c>
      <c r="W383" s="122" t="s">
        <v>246</v>
      </c>
      <c r="X383" s="122" t="s">
        <v>551</v>
      </c>
      <c r="Y383" s="141" t="s">
        <v>447</v>
      </c>
      <c r="Z383" s="122" t="s">
        <v>4300</v>
      </c>
      <c r="AA383" s="141" t="s">
        <v>1738</v>
      </c>
      <c r="AB383" s="122" t="s">
        <v>10261</v>
      </c>
      <c r="AD383" s="122" t="s">
        <v>250</v>
      </c>
      <c r="AE383" s="122" t="s">
        <v>235</v>
      </c>
      <c r="AF383" s="122" t="s">
        <v>10262</v>
      </c>
      <c r="AG383" s="122" t="s">
        <v>537</v>
      </c>
      <c r="AH383" s="122" t="s">
        <v>253</v>
      </c>
      <c r="AI383" s="122" t="s">
        <v>10263</v>
      </c>
      <c r="AJ383" s="122" t="s">
        <v>10264</v>
      </c>
      <c r="AK383" s="122" t="s">
        <v>10265</v>
      </c>
      <c r="AL383" s="122" t="s">
        <v>10266</v>
      </c>
      <c r="AM383" s="122" t="s">
        <v>10267</v>
      </c>
      <c r="AN383" s="122" t="s">
        <v>253</v>
      </c>
      <c r="AO383" s="141" t="s">
        <v>247</v>
      </c>
      <c r="AP383" s="141" t="s">
        <v>253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601</v>
      </c>
      <c r="AV383" s="122" t="s">
        <v>259</v>
      </c>
      <c r="AW383" s="122" t="s">
        <v>556</v>
      </c>
      <c r="AY383" s="141" t="s">
        <v>253</v>
      </c>
      <c r="AZ383" s="122" t="s">
        <v>10268</v>
      </c>
      <c r="BA383" s="122" t="s">
        <v>262</v>
      </c>
      <c r="BB383" s="122" t="s">
        <v>10269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53</v>
      </c>
      <c r="BK383" s="139" t="s">
        <v>558</v>
      </c>
    </row>
    <row r="384" spans="1:65" x14ac:dyDescent="0.25">
      <c r="A384" s="122" t="s">
        <v>6735</v>
      </c>
      <c r="B384" s="122" t="s">
        <v>10767</v>
      </c>
      <c r="C384" s="122" t="s">
        <v>10286</v>
      </c>
      <c r="D384" s="122" t="s">
        <v>10287</v>
      </c>
      <c r="E384" s="123">
        <v>42226</v>
      </c>
      <c r="F384" s="122" t="s">
        <v>281</v>
      </c>
      <c r="G384" s="122" t="s">
        <v>235</v>
      </c>
      <c r="H384" s="122" t="s">
        <v>448</v>
      </c>
      <c r="I384" s="122" t="s">
        <v>4910</v>
      </c>
      <c r="J384" s="122" t="s">
        <v>10288</v>
      </c>
      <c r="K384" s="122" t="s">
        <v>238</v>
      </c>
      <c r="L384" s="122" t="s">
        <v>530</v>
      </c>
      <c r="M384" s="122" t="s">
        <v>4763</v>
      </c>
      <c r="N384" s="122" t="s">
        <v>4912</v>
      </c>
      <c r="O384" s="141" t="s">
        <v>548</v>
      </c>
      <c r="P384" s="141" t="s">
        <v>10289</v>
      </c>
      <c r="Q384" s="122" t="s">
        <v>243</v>
      </c>
      <c r="R384" s="142">
        <v>54</v>
      </c>
      <c r="S384" s="122" t="s">
        <v>10290</v>
      </c>
      <c r="U384" s="122" t="s">
        <v>4681</v>
      </c>
      <c r="W384" s="122" t="s">
        <v>246</v>
      </c>
      <c r="X384" s="122" t="s">
        <v>1057</v>
      </c>
      <c r="Y384" s="141" t="s">
        <v>2717</v>
      </c>
      <c r="Z384" s="122" t="s">
        <v>10291</v>
      </c>
      <c r="AA384" s="141" t="s">
        <v>1423</v>
      </c>
      <c r="AB384" s="122" t="s">
        <v>10292</v>
      </c>
      <c r="AC384" s="141" t="s">
        <v>687</v>
      </c>
      <c r="AD384" s="122" t="s">
        <v>2135</v>
      </c>
      <c r="AE384" s="122" t="s">
        <v>235</v>
      </c>
      <c r="AF384" s="122" t="s">
        <v>10293</v>
      </c>
      <c r="AG384" s="122" t="s">
        <v>537</v>
      </c>
      <c r="AH384" s="122" t="s">
        <v>253</v>
      </c>
      <c r="AI384" s="122" t="s">
        <v>10294</v>
      </c>
      <c r="AJ384" s="122" t="s">
        <v>10295</v>
      </c>
      <c r="AK384" s="122" t="s">
        <v>253</v>
      </c>
      <c r="AL384" s="122" t="s">
        <v>253</v>
      </c>
      <c r="AM384" s="122" t="s">
        <v>253</v>
      </c>
      <c r="AN384" s="122" t="s">
        <v>253</v>
      </c>
      <c r="AO384" s="141" t="s">
        <v>247</v>
      </c>
      <c r="AP384" s="141" t="s">
        <v>247</v>
      </c>
      <c r="AQ384" s="141" t="s">
        <v>247</v>
      </c>
      <c r="AR384" s="141" t="s">
        <v>247</v>
      </c>
      <c r="AS384" s="141" t="s">
        <v>601</v>
      </c>
      <c r="AT384" s="141" t="s">
        <v>601</v>
      </c>
      <c r="AU384" s="141" t="s">
        <v>601</v>
      </c>
      <c r="AV384" s="122" t="s">
        <v>259</v>
      </c>
      <c r="AW384" s="122" t="s">
        <v>556</v>
      </c>
      <c r="AY384" s="141" t="s">
        <v>253</v>
      </c>
      <c r="AZ384" s="122" t="s">
        <v>262</v>
      </c>
      <c r="BA384" s="122" t="s">
        <v>262</v>
      </c>
      <c r="BB384" s="122" t="s">
        <v>10296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54</v>
      </c>
      <c r="BK384" s="139" t="s">
        <v>558</v>
      </c>
    </row>
    <row r="385" spans="1:65" x14ac:dyDescent="0.25">
      <c r="A385" s="122" t="s">
        <v>6489</v>
      </c>
      <c r="B385" s="122" t="s">
        <v>10768</v>
      </c>
      <c r="C385" s="122" t="s">
        <v>10352</v>
      </c>
      <c r="D385" s="122" t="s">
        <v>10353</v>
      </c>
      <c r="E385" s="123">
        <v>42226</v>
      </c>
      <c r="F385" s="122" t="s">
        <v>2105</v>
      </c>
      <c r="G385" s="122" t="s">
        <v>235</v>
      </c>
      <c r="H385" s="122" t="s">
        <v>10354</v>
      </c>
      <c r="I385" s="122" t="s">
        <v>10355</v>
      </c>
      <c r="K385" s="122" t="s">
        <v>238</v>
      </c>
      <c r="L385" s="122" t="s">
        <v>530</v>
      </c>
      <c r="M385" s="122" t="s">
        <v>4942</v>
      </c>
      <c r="Q385" s="122" t="s">
        <v>243</v>
      </c>
      <c r="R385" s="142">
        <v>55</v>
      </c>
      <c r="S385" s="122" t="s">
        <v>10356</v>
      </c>
      <c r="U385" s="122" t="s">
        <v>4681</v>
      </c>
      <c r="W385" s="122" t="s">
        <v>246</v>
      </c>
      <c r="X385" s="122" t="s">
        <v>433</v>
      </c>
      <c r="Y385" s="141" t="s">
        <v>744</v>
      </c>
      <c r="Z385" s="122" t="s">
        <v>355</v>
      </c>
      <c r="AB385" s="122" t="s">
        <v>250</v>
      </c>
      <c r="AD385" s="122" t="s">
        <v>250</v>
      </c>
      <c r="AE385" s="122" t="s">
        <v>235</v>
      </c>
      <c r="AF385" s="122" t="s">
        <v>10357</v>
      </c>
      <c r="AG385" s="122" t="s">
        <v>537</v>
      </c>
      <c r="AH385" s="122" t="s">
        <v>253</v>
      </c>
      <c r="AI385" s="122" t="s">
        <v>10358</v>
      </c>
      <c r="AJ385" s="122" t="s">
        <v>3074</v>
      </c>
      <c r="AK385" s="122" t="s">
        <v>10359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253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556</v>
      </c>
      <c r="AY385" s="141" t="s">
        <v>253</v>
      </c>
      <c r="AZ385" s="122" t="s">
        <v>10360</v>
      </c>
      <c r="BA385" s="122" t="s">
        <v>262</v>
      </c>
      <c r="BB385" s="122" t="s">
        <v>262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55</v>
      </c>
      <c r="BK385" s="139" t="s">
        <v>558</v>
      </c>
    </row>
    <row r="386" spans="1:65" x14ac:dyDescent="0.25">
      <c r="A386" s="122" t="s">
        <v>6489</v>
      </c>
      <c r="B386" s="122" t="s">
        <v>10769</v>
      </c>
      <c r="C386" s="122" t="s">
        <v>10324</v>
      </c>
      <c r="D386" s="122" t="s">
        <v>10325</v>
      </c>
      <c r="E386" s="123">
        <v>42226</v>
      </c>
      <c r="F386" s="122" t="s">
        <v>3910</v>
      </c>
      <c r="G386" s="122" t="s">
        <v>235</v>
      </c>
      <c r="H386" s="122" t="s">
        <v>10326</v>
      </c>
      <c r="I386" s="122" t="s">
        <v>4910</v>
      </c>
      <c r="J386" s="122" t="s">
        <v>6742</v>
      </c>
      <c r="K386" s="122" t="s">
        <v>238</v>
      </c>
      <c r="L386" s="122" t="s">
        <v>530</v>
      </c>
      <c r="M386" s="122" t="s">
        <v>4763</v>
      </c>
      <c r="O386" s="141" t="s">
        <v>1240</v>
      </c>
      <c r="P386" s="141" t="s">
        <v>10327</v>
      </c>
      <c r="Q386" s="122" t="s">
        <v>243</v>
      </c>
      <c r="R386" s="142">
        <v>56</v>
      </c>
      <c r="S386" s="122" t="s">
        <v>10328</v>
      </c>
      <c r="U386" s="122" t="s">
        <v>4681</v>
      </c>
      <c r="W386" s="122" t="s">
        <v>246</v>
      </c>
      <c r="X386" s="122" t="s">
        <v>2624</v>
      </c>
      <c r="Y386" s="141" t="s">
        <v>1876</v>
      </c>
      <c r="Z386" s="122" t="s">
        <v>10329</v>
      </c>
      <c r="AA386" s="141" t="s">
        <v>742</v>
      </c>
      <c r="AB386" s="122" t="s">
        <v>10330</v>
      </c>
      <c r="AC386" s="141" t="s">
        <v>1179</v>
      </c>
      <c r="AD386" s="122" t="s">
        <v>10331</v>
      </c>
      <c r="AE386" s="122" t="s">
        <v>235</v>
      </c>
      <c r="AF386" s="122" t="s">
        <v>10332</v>
      </c>
      <c r="AG386" s="122" t="s">
        <v>537</v>
      </c>
      <c r="AH386" s="122" t="s">
        <v>253</v>
      </c>
      <c r="AI386" s="122" t="s">
        <v>10333</v>
      </c>
      <c r="AJ386" s="122" t="s">
        <v>10334</v>
      </c>
      <c r="AK386" s="122" t="s">
        <v>253</v>
      </c>
      <c r="AL386" s="122" t="s">
        <v>253</v>
      </c>
      <c r="AM386" s="122" t="s">
        <v>253</v>
      </c>
      <c r="AN386" s="122" t="s">
        <v>253</v>
      </c>
      <c r="AO386" s="141" t="s">
        <v>247</v>
      </c>
      <c r="AP386" s="141" t="s">
        <v>247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601</v>
      </c>
      <c r="AV386" s="122" t="s">
        <v>259</v>
      </c>
      <c r="AW386" s="122" t="s">
        <v>556</v>
      </c>
      <c r="AX386" s="141" t="s">
        <v>10335</v>
      </c>
      <c r="AY386" s="141" t="s">
        <v>603</v>
      </c>
      <c r="AZ386" s="122" t="s">
        <v>10336</v>
      </c>
      <c r="BA386" s="122" t="s">
        <v>262</v>
      </c>
      <c r="BB386" s="122" t="s">
        <v>262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56</v>
      </c>
      <c r="BK386" s="139" t="s">
        <v>558</v>
      </c>
    </row>
    <row r="387" spans="1:65" x14ac:dyDescent="0.25">
      <c r="A387" s="122" t="s">
        <v>6513</v>
      </c>
      <c r="B387" s="122" t="s">
        <v>10770</v>
      </c>
      <c r="C387" s="122" t="s">
        <v>10376</v>
      </c>
      <c r="D387" s="122" t="s">
        <v>10377</v>
      </c>
      <c r="E387" s="123">
        <v>42226</v>
      </c>
      <c r="F387" s="122" t="s">
        <v>10378</v>
      </c>
      <c r="G387" s="122" t="s">
        <v>235</v>
      </c>
      <c r="H387" s="122" t="s">
        <v>10379</v>
      </c>
      <c r="I387" s="122" t="s">
        <v>5379</v>
      </c>
      <c r="J387" s="122" t="s">
        <v>10380</v>
      </c>
      <c r="K387" s="122" t="s">
        <v>238</v>
      </c>
      <c r="L387" s="122" t="s">
        <v>530</v>
      </c>
      <c r="M387" s="122" t="s">
        <v>5009</v>
      </c>
      <c r="O387" s="141" t="s">
        <v>566</v>
      </c>
      <c r="P387" s="141" t="s">
        <v>10381</v>
      </c>
      <c r="Q387" s="122" t="s">
        <v>243</v>
      </c>
      <c r="R387" s="142">
        <v>57</v>
      </c>
      <c r="S387" s="122" t="s">
        <v>10382</v>
      </c>
      <c r="U387" s="122" t="s">
        <v>4681</v>
      </c>
      <c r="W387" s="122" t="s">
        <v>246</v>
      </c>
      <c r="X387" s="122" t="s">
        <v>1121</v>
      </c>
      <c r="Y387" s="141" t="s">
        <v>593</v>
      </c>
      <c r="Z387" s="122" t="s">
        <v>10383</v>
      </c>
      <c r="AA387" s="141" t="s">
        <v>511</v>
      </c>
      <c r="AB387" s="122" t="s">
        <v>10384</v>
      </c>
      <c r="AC387" s="141" t="s">
        <v>2259</v>
      </c>
      <c r="AD387" s="122" t="s">
        <v>10385</v>
      </c>
      <c r="AE387" s="122" t="s">
        <v>235</v>
      </c>
      <c r="AF387" s="122" t="s">
        <v>10386</v>
      </c>
      <c r="AG387" s="122" t="s">
        <v>537</v>
      </c>
      <c r="AH387" s="122" t="s">
        <v>253</v>
      </c>
      <c r="AI387" s="122" t="s">
        <v>10387</v>
      </c>
      <c r="AJ387" s="122" t="s">
        <v>2137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247</v>
      </c>
      <c r="AQ387" s="141" t="s">
        <v>247</v>
      </c>
      <c r="AR387" s="141" t="s">
        <v>247</v>
      </c>
      <c r="AS387" s="141" t="s">
        <v>601</v>
      </c>
      <c r="AT387" s="141" t="s">
        <v>601</v>
      </c>
      <c r="AU387" s="141" t="s">
        <v>601</v>
      </c>
      <c r="AV387" s="122" t="s">
        <v>259</v>
      </c>
      <c r="AW387" s="122" t="s">
        <v>556</v>
      </c>
      <c r="AX387" s="141" t="s">
        <v>10388</v>
      </c>
      <c r="AY387" s="141" t="s">
        <v>247</v>
      </c>
      <c r="AZ387" s="122" t="s">
        <v>10389</v>
      </c>
      <c r="BA387" s="122" t="s">
        <v>262</v>
      </c>
      <c r="BB387" s="122" t="s">
        <v>10390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57</v>
      </c>
      <c r="BK387" s="139" t="s">
        <v>558</v>
      </c>
    </row>
    <row r="388" spans="1:65" x14ac:dyDescent="0.25">
      <c r="A388" s="122" t="s">
        <v>352</v>
      </c>
      <c r="B388" s="122" t="s">
        <v>10771</v>
      </c>
      <c r="C388" s="122" t="s">
        <v>10474</v>
      </c>
      <c r="D388" s="122" t="s">
        <v>10475</v>
      </c>
      <c r="E388" s="123">
        <v>42226</v>
      </c>
      <c r="F388" s="122" t="s">
        <v>10476</v>
      </c>
      <c r="G388" s="122" t="s">
        <v>235</v>
      </c>
      <c r="H388" s="122" t="s">
        <v>10477</v>
      </c>
      <c r="I388" s="122" t="s">
        <v>10478</v>
      </c>
      <c r="K388" s="122" t="s">
        <v>238</v>
      </c>
      <c r="L388" s="122" t="s">
        <v>530</v>
      </c>
      <c r="M388" s="122" t="s">
        <v>4956</v>
      </c>
      <c r="O388" s="141" t="s">
        <v>390</v>
      </c>
      <c r="P388" s="141" t="s">
        <v>10479</v>
      </c>
      <c r="Q388" s="122" t="s">
        <v>243</v>
      </c>
      <c r="R388" s="142">
        <v>58</v>
      </c>
      <c r="S388" s="122" t="s">
        <v>10480</v>
      </c>
      <c r="U388" s="122" t="s">
        <v>4681</v>
      </c>
      <c r="W388" s="122" t="s">
        <v>246</v>
      </c>
      <c r="X388" s="122" t="s">
        <v>3147</v>
      </c>
      <c r="Y388" s="141" t="s">
        <v>593</v>
      </c>
      <c r="Z388" s="122" t="s">
        <v>10481</v>
      </c>
      <c r="AA388" s="141" t="s">
        <v>457</v>
      </c>
      <c r="AB388" s="122" t="s">
        <v>10482</v>
      </c>
      <c r="AC388" s="141" t="s">
        <v>1498</v>
      </c>
      <c r="AD388" s="122" t="s">
        <v>10483</v>
      </c>
      <c r="AE388" s="122" t="s">
        <v>235</v>
      </c>
      <c r="AF388" s="122" t="s">
        <v>10484</v>
      </c>
      <c r="AG388" s="122" t="s">
        <v>537</v>
      </c>
      <c r="AH388" s="122" t="s">
        <v>253</v>
      </c>
      <c r="AI388" s="122" t="s">
        <v>10485</v>
      </c>
      <c r="AJ388" s="122" t="s">
        <v>10486</v>
      </c>
      <c r="AK388" s="122" t="s">
        <v>253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247</v>
      </c>
      <c r="AS388" s="141" t="s">
        <v>601</v>
      </c>
      <c r="AT388" s="141" t="s">
        <v>601</v>
      </c>
      <c r="AU388" s="141" t="s">
        <v>601</v>
      </c>
      <c r="AV388" s="122" t="s">
        <v>259</v>
      </c>
      <c r="AW388" s="122" t="s">
        <v>556</v>
      </c>
      <c r="AX388" s="141" t="s">
        <v>10487</v>
      </c>
      <c r="AY388" s="141" t="s">
        <v>442</v>
      </c>
      <c r="AZ388" s="122" t="s">
        <v>10488</v>
      </c>
      <c r="BA388" s="122" t="s">
        <v>262</v>
      </c>
      <c r="BB388" s="122" t="s">
        <v>262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58</v>
      </c>
      <c r="BK388" s="139" t="s">
        <v>558</v>
      </c>
    </row>
    <row r="389" spans="1:65" x14ac:dyDescent="0.25">
      <c r="A389" s="122" t="s">
        <v>3037</v>
      </c>
      <c r="B389" s="122" t="s">
        <v>10772</v>
      </c>
      <c r="C389" s="122" t="s">
        <v>10773</v>
      </c>
      <c r="D389" s="122" t="s">
        <v>10774</v>
      </c>
      <c r="E389" s="123">
        <v>42226</v>
      </c>
      <c r="F389" s="122" t="s">
        <v>10775</v>
      </c>
      <c r="G389" s="122" t="s">
        <v>235</v>
      </c>
      <c r="H389" s="122" t="s">
        <v>10776</v>
      </c>
      <c r="I389" s="122" t="s">
        <v>10777</v>
      </c>
      <c r="K389" s="122" t="s">
        <v>5565</v>
      </c>
      <c r="L389" s="122" t="s">
        <v>5566</v>
      </c>
      <c r="M389" s="122" t="s">
        <v>5567</v>
      </c>
      <c r="O389" s="141" t="s">
        <v>273</v>
      </c>
      <c r="P389" s="141" t="s">
        <v>10778</v>
      </c>
      <c r="Q389" s="122" t="s">
        <v>3389</v>
      </c>
      <c r="R389" s="142">
        <v>59</v>
      </c>
      <c r="S389" s="122" t="s">
        <v>10779</v>
      </c>
      <c r="U389" s="122" t="s">
        <v>4681</v>
      </c>
      <c r="W389" s="122" t="s">
        <v>246</v>
      </c>
      <c r="X389" s="122" t="s">
        <v>590</v>
      </c>
      <c r="Y389" s="141" t="s">
        <v>2257</v>
      </c>
      <c r="Z389" s="122" t="s">
        <v>10780</v>
      </c>
      <c r="AA389" s="141" t="s">
        <v>1269</v>
      </c>
      <c r="AB389" s="122" t="s">
        <v>10781</v>
      </c>
      <c r="AC389" s="141" t="s">
        <v>7268</v>
      </c>
      <c r="AD389" s="122" t="s">
        <v>10782</v>
      </c>
      <c r="AE389" s="122" t="s">
        <v>235</v>
      </c>
      <c r="AF389" s="122" t="s">
        <v>10783</v>
      </c>
      <c r="AG389" s="122" t="s">
        <v>537</v>
      </c>
      <c r="AH389" s="122" t="s">
        <v>253</v>
      </c>
      <c r="AI389" s="122" t="s">
        <v>10784</v>
      </c>
      <c r="AJ389" s="122" t="s">
        <v>10785</v>
      </c>
      <c r="AK389" s="122" t="s">
        <v>253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253</v>
      </c>
      <c r="AQ389" s="141" t="s">
        <v>247</v>
      </c>
      <c r="AR389" s="141" t="s">
        <v>253</v>
      </c>
      <c r="AS389" s="141" t="s">
        <v>601</v>
      </c>
      <c r="AT389" s="141" t="s">
        <v>601</v>
      </c>
      <c r="AU389" s="141" t="s">
        <v>258</v>
      </c>
      <c r="AV389" s="122" t="s">
        <v>259</v>
      </c>
      <c r="AW389" s="122" t="s">
        <v>260</v>
      </c>
      <c r="AY389" s="141" t="s">
        <v>253</v>
      </c>
      <c r="AZ389" s="122" t="s">
        <v>10786</v>
      </c>
      <c r="BA389" s="122" t="s">
        <v>262</v>
      </c>
      <c r="BB389" s="122" t="s">
        <v>262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59</v>
      </c>
    </row>
    <row r="390" spans="1:65" x14ac:dyDescent="0.25">
      <c r="A390" s="122" t="s">
        <v>3037</v>
      </c>
      <c r="B390" s="122" t="s">
        <v>10787</v>
      </c>
      <c r="C390" s="122" t="s">
        <v>10788</v>
      </c>
      <c r="D390" s="122" t="s">
        <v>10789</v>
      </c>
      <c r="E390" s="123">
        <v>42226</v>
      </c>
      <c r="F390" s="122" t="s">
        <v>1143</v>
      </c>
      <c r="G390" s="122" t="s">
        <v>235</v>
      </c>
      <c r="H390" s="122" t="s">
        <v>10790</v>
      </c>
      <c r="I390" s="122" t="s">
        <v>10791</v>
      </c>
      <c r="J390" s="122" t="s">
        <v>10792</v>
      </c>
      <c r="K390" s="122" t="s">
        <v>5565</v>
      </c>
      <c r="L390" s="122" t="s">
        <v>5566</v>
      </c>
      <c r="M390" s="122" t="s">
        <v>5567</v>
      </c>
      <c r="O390" s="141" t="s">
        <v>273</v>
      </c>
      <c r="P390" s="141" t="s">
        <v>10793</v>
      </c>
      <c r="Q390" s="122" t="s">
        <v>3389</v>
      </c>
      <c r="R390" s="142">
        <v>60</v>
      </c>
      <c r="S390" s="122" t="s">
        <v>10794</v>
      </c>
      <c r="U390" s="122" t="s">
        <v>4681</v>
      </c>
      <c r="W390" s="122" t="s">
        <v>246</v>
      </c>
      <c r="X390" s="122" t="s">
        <v>433</v>
      </c>
      <c r="Y390" s="141" t="s">
        <v>593</v>
      </c>
      <c r="Z390" s="122" t="s">
        <v>10795</v>
      </c>
      <c r="AA390" s="141" t="s">
        <v>670</v>
      </c>
      <c r="AB390" s="122" t="s">
        <v>10796</v>
      </c>
      <c r="AC390" s="141" t="s">
        <v>5981</v>
      </c>
      <c r="AD390" s="122" t="s">
        <v>1326</v>
      </c>
      <c r="AE390" s="122" t="s">
        <v>235</v>
      </c>
      <c r="AF390" s="122" t="s">
        <v>2919</v>
      </c>
      <c r="AG390" s="122" t="s">
        <v>537</v>
      </c>
      <c r="AH390" s="122" t="s">
        <v>253</v>
      </c>
      <c r="AI390" s="122" t="s">
        <v>9706</v>
      </c>
      <c r="AJ390" s="122" t="s">
        <v>10797</v>
      </c>
      <c r="AK390" s="122" t="s">
        <v>253</v>
      </c>
      <c r="AL390" s="122" t="s">
        <v>253</v>
      </c>
      <c r="AM390" s="122" t="s">
        <v>253</v>
      </c>
      <c r="AN390" s="122" t="s">
        <v>253</v>
      </c>
      <c r="AO390" s="141" t="s">
        <v>247</v>
      </c>
      <c r="AP390" s="141" t="s">
        <v>247</v>
      </c>
      <c r="AQ390" s="141" t="s">
        <v>247</v>
      </c>
      <c r="AR390" s="141" t="s">
        <v>253</v>
      </c>
      <c r="AS390" s="141" t="s">
        <v>601</v>
      </c>
      <c r="AT390" s="141" t="s">
        <v>601</v>
      </c>
      <c r="AU390" s="141" t="s">
        <v>258</v>
      </c>
      <c r="AV390" s="122" t="s">
        <v>259</v>
      </c>
      <c r="AW390" s="122" t="s">
        <v>260</v>
      </c>
      <c r="AY390" s="141" t="s">
        <v>253</v>
      </c>
      <c r="AZ390" s="122" t="s">
        <v>10798</v>
      </c>
      <c r="BA390" s="122" t="s">
        <v>262</v>
      </c>
      <c r="BB390" s="122" t="s">
        <v>262</v>
      </c>
      <c r="BD390" s="122" t="s">
        <v>253</v>
      </c>
      <c r="BE390" s="122" t="s">
        <v>263</v>
      </c>
      <c r="BF390" s="122" t="s">
        <v>4688</v>
      </c>
      <c r="BH390" s="122" t="s">
        <v>4681</v>
      </c>
      <c r="BI390" s="142">
        <v>60</v>
      </c>
    </row>
    <row r="391" spans="1:65" x14ac:dyDescent="0.25">
      <c r="A391" s="122" t="s">
        <v>3037</v>
      </c>
      <c r="B391" s="122" t="s">
        <v>10799</v>
      </c>
      <c r="C391" s="122" t="s">
        <v>10800</v>
      </c>
      <c r="D391" s="122" t="s">
        <v>10801</v>
      </c>
      <c r="E391" s="123">
        <v>42226</v>
      </c>
      <c r="F391" s="122" t="s">
        <v>10802</v>
      </c>
      <c r="G391" s="122" t="s">
        <v>235</v>
      </c>
      <c r="H391" s="122" t="s">
        <v>10803</v>
      </c>
      <c r="I391" s="122" t="s">
        <v>10804</v>
      </c>
      <c r="K391" s="122" t="s">
        <v>5800</v>
      </c>
      <c r="L391" s="122" t="s">
        <v>5801</v>
      </c>
      <c r="M391" s="122" t="s">
        <v>6146</v>
      </c>
      <c r="O391" s="141" t="s">
        <v>2559</v>
      </c>
      <c r="P391" s="141" t="s">
        <v>10805</v>
      </c>
      <c r="Q391" s="122" t="s">
        <v>5805</v>
      </c>
      <c r="R391" s="142">
        <v>61</v>
      </c>
      <c r="S391" s="122" t="s">
        <v>10806</v>
      </c>
      <c r="U391" s="122" t="s">
        <v>4681</v>
      </c>
      <c r="W391" s="122" t="s">
        <v>246</v>
      </c>
      <c r="X391" s="122" t="s">
        <v>590</v>
      </c>
      <c r="Y391" s="141" t="s">
        <v>1209</v>
      </c>
      <c r="Z391" s="122" t="s">
        <v>10807</v>
      </c>
      <c r="AA391" s="141" t="s">
        <v>328</v>
      </c>
      <c r="AB391" s="122" t="s">
        <v>10808</v>
      </c>
      <c r="AC391" s="141" t="s">
        <v>742</v>
      </c>
      <c r="AD391" s="122" t="s">
        <v>518</v>
      </c>
      <c r="AE391" s="122" t="s">
        <v>235</v>
      </c>
      <c r="AF391" s="122" t="s">
        <v>10809</v>
      </c>
      <c r="AG391" s="122" t="s">
        <v>537</v>
      </c>
      <c r="AH391" s="122" t="s">
        <v>253</v>
      </c>
      <c r="AI391" s="122" t="s">
        <v>10810</v>
      </c>
      <c r="AJ391" s="122" t="s">
        <v>9694</v>
      </c>
      <c r="AK391" s="122" t="s">
        <v>253</v>
      </c>
      <c r="AL391" s="122" t="s">
        <v>253</v>
      </c>
      <c r="AM391" s="122" t="s">
        <v>253</v>
      </c>
      <c r="AN391" s="122" t="s">
        <v>253</v>
      </c>
      <c r="AO391" s="141" t="s">
        <v>253</v>
      </c>
      <c r="AP391" s="141" t="s">
        <v>253</v>
      </c>
      <c r="AQ391" s="141" t="s">
        <v>247</v>
      </c>
      <c r="AR391" s="141" t="s">
        <v>253</v>
      </c>
      <c r="AS391" s="141" t="s">
        <v>361</v>
      </c>
      <c r="AT391" s="141" t="s">
        <v>601</v>
      </c>
      <c r="AU391" s="141" t="s">
        <v>258</v>
      </c>
      <c r="AV391" s="122" t="s">
        <v>259</v>
      </c>
      <c r="AW391" s="122" t="s">
        <v>260</v>
      </c>
      <c r="AY391" s="141" t="s">
        <v>253</v>
      </c>
      <c r="AZ391" s="122" t="s">
        <v>10811</v>
      </c>
      <c r="BA391" s="122" t="s">
        <v>10812</v>
      </c>
      <c r="BB391" s="122" t="s">
        <v>262</v>
      </c>
      <c r="BD391" s="122" t="s">
        <v>253</v>
      </c>
      <c r="BE391" s="122" t="s">
        <v>263</v>
      </c>
      <c r="BF391" s="122" t="s">
        <v>4688</v>
      </c>
      <c r="BH391" s="122" t="s">
        <v>4681</v>
      </c>
      <c r="BI391" s="142">
        <v>61</v>
      </c>
      <c r="BJ391" s="123">
        <v>42238</v>
      </c>
      <c r="BK391" s="139" t="s">
        <v>606</v>
      </c>
      <c r="BM391" s="122">
        <v>34</v>
      </c>
    </row>
    <row r="392" spans="1:65" x14ac:dyDescent="0.25">
      <c r="A392" s="122" t="s">
        <v>3037</v>
      </c>
      <c r="B392" s="122" t="s">
        <v>10813</v>
      </c>
      <c r="C392" s="122" t="s">
        <v>10814</v>
      </c>
      <c r="D392" s="122" t="s">
        <v>10815</v>
      </c>
      <c r="E392" s="123">
        <v>42226</v>
      </c>
      <c r="F392" s="122" t="s">
        <v>784</v>
      </c>
      <c r="G392" s="122" t="s">
        <v>235</v>
      </c>
      <c r="H392" s="122" t="s">
        <v>448</v>
      </c>
      <c r="I392" s="122" t="s">
        <v>10816</v>
      </c>
      <c r="K392" s="122" t="s">
        <v>3419</v>
      </c>
      <c r="L392" s="122" t="s">
        <v>3503</v>
      </c>
      <c r="M392" s="122" t="s">
        <v>3504</v>
      </c>
      <c r="O392" s="141" t="s">
        <v>566</v>
      </c>
      <c r="P392" s="141" t="s">
        <v>10817</v>
      </c>
      <c r="Q392" s="122" t="s">
        <v>3424</v>
      </c>
      <c r="R392" s="142">
        <v>62</v>
      </c>
      <c r="S392" s="122" t="s">
        <v>10818</v>
      </c>
      <c r="U392" s="122" t="s">
        <v>4681</v>
      </c>
      <c r="W392" s="122" t="s">
        <v>246</v>
      </c>
      <c r="X392" s="122" t="s">
        <v>454</v>
      </c>
      <c r="Y392" s="141" t="s">
        <v>593</v>
      </c>
      <c r="Z392" s="122" t="s">
        <v>818</v>
      </c>
      <c r="AB392" s="122" t="s">
        <v>250</v>
      </c>
      <c r="AD392" s="122" t="s">
        <v>250</v>
      </c>
      <c r="AE392" s="122" t="s">
        <v>235</v>
      </c>
      <c r="AF392" s="122" t="s">
        <v>10819</v>
      </c>
      <c r="AG392" s="122" t="s">
        <v>10820</v>
      </c>
      <c r="AH392" s="122" t="s">
        <v>253</v>
      </c>
      <c r="AI392" s="122" t="s">
        <v>10821</v>
      </c>
      <c r="AJ392" s="122" t="s">
        <v>10822</v>
      </c>
      <c r="AK392" s="122" t="s">
        <v>253</v>
      </c>
      <c r="AL392" s="122" t="s">
        <v>253</v>
      </c>
      <c r="AM392" s="122" t="s">
        <v>253</v>
      </c>
      <c r="AN392" s="122" t="s">
        <v>253</v>
      </c>
      <c r="AO392" s="141" t="s">
        <v>247</v>
      </c>
      <c r="AP392" s="141" t="s">
        <v>247</v>
      </c>
      <c r="AQ392" s="141" t="s">
        <v>253</v>
      </c>
      <c r="AR392" s="141" t="s">
        <v>253</v>
      </c>
      <c r="AS392" s="141" t="s">
        <v>601</v>
      </c>
      <c r="AT392" s="141" t="s">
        <v>258</v>
      </c>
      <c r="AU392" s="141" t="s">
        <v>258</v>
      </c>
      <c r="AV392" s="122" t="s">
        <v>259</v>
      </c>
      <c r="AW392" s="122" t="s">
        <v>260</v>
      </c>
      <c r="AY392" s="141" t="s">
        <v>253</v>
      </c>
      <c r="AZ392" s="122" t="s">
        <v>262</v>
      </c>
      <c r="BA392" s="122" t="s">
        <v>262</v>
      </c>
      <c r="BB392" s="122" t="s">
        <v>262</v>
      </c>
      <c r="BD392" s="122" t="s">
        <v>253</v>
      </c>
      <c r="BE392" s="122" t="s">
        <v>263</v>
      </c>
      <c r="BF392" s="122" t="s">
        <v>4688</v>
      </c>
      <c r="BH392" s="122" t="s">
        <v>4681</v>
      </c>
      <c r="BI392" s="142">
        <v>62</v>
      </c>
    </row>
    <row r="393" spans="1:65" x14ac:dyDescent="0.25">
      <c r="A393" s="122" t="s">
        <v>3037</v>
      </c>
      <c r="B393" s="122" t="s">
        <v>10823</v>
      </c>
      <c r="C393" s="122" t="s">
        <v>10824</v>
      </c>
      <c r="D393" s="122" t="s">
        <v>10825</v>
      </c>
      <c r="E393" s="123">
        <v>42226</v>
      </c>
      <c r="F393" s="122" t="s">
        <v>10826</v>
      </c>
      <c r="G393" s="122" t="s">
        <v>235</v>
      </c>
      <c r="H393" s="122" t="s">
        <v>10827</v>
      </c>
      <c r="I393" s="122" t="s">
        <v>10828</v>
      </c>
      <c r="K393" s="122" t="s">
        <v>3419</v>
      </c>
      <c r="L393" s="122" t="s">
        <v>3503</v>
      </c>
      <c r="M393" s="122" t="s">
        <v>3504</v>
      </c>
      <c r="O393" s="141" t="s">
        <v>850</v>
      </c>
      <c r="P393" s="141" t="s">
        <v>10829</v>
      </c>
      <c r="Q393" s="122" t="s">
        <v>3424</v>
      </c>
      <c r="R393" s="142">
        <v>63</v>
      </c>
      <c r="S393" s="122" t="s">
        <v>10830</v>
      </c>
      <c r="U393" s="122" t="s">
        <v>4681</v>
      </c>
      <c r="W393" s="122" t="s">
        <v>246</v>
      </c>
      <c r="X393" s="122" t="s">
        <v>590</v>
      </c>
      <c r="Y393" s="141" t="s">
        <v>593</v>
      </c>
      <c r="Z393" s="122" t="s">
        <v>10831</v>
      </c>
      <c r="AA393" s="141" t="s">
        <v>356</v>
      </c>
      <c r="AB393" s="122" t="s">
        <v>10832</v>
      </c>
      <c r="AC393" s="141" t="s">
        <v>7483</v>
      </c>
      <c r="AD393" s="122" t="s">
        <v>10833</v>
      </c>
      <c r="AE393" s="122" t="s">
        <v>235</v>
      </c>
      <c r="AF393" s="122" t="s">
        <v>10834</v>
      </c>
      <c r="AG393" s="122" t="s">
        <v>537</v>
      </c>
      <c r="AH393" s="122" t="s">
        <v>253</v>
      </c>
      <c r="AI393" s="122" t="s">
        <v>10835</v>
      </c>
      <c r="AJ393" s="122" t="s">
        <v>10836</v>
      </c>
      <c r="AK393" s="122" t="s">
        <v>253</v>
      </c>
      <c r="AL393" s="122" t="s">
        <v>253</v>
      </c>
      <c r="AM393" s="122" t="s">
        <v>253</v>
      </c>
      <c r="AN393" s="122" t="s">
        <v>253</v>
      </c>
      <c r="AO393" s="141" t="s">
        <v>247</v>
      </c>
      <c r="AP393" s="141" t="s">
        <v>247</v>
      </c>
      <c r="AQ393" s="141" t="s">
        <v>247</v>
      </c>
      <c r="AR393" s="141" t="s">
        <v>253</v>
      </c>
      <c r="AS393" s="141" t="s">
        <v>601</v>
      </c>
      <c r="AT393" s="141" t="s">
        <v>601</v>
      </c>
      <c r="AU393" s="141" t="s">
        <v>258</v>
      </c>
      <c r="AV393" s="122" t="s">
        <v>259</v>
      </c>
      <c r="AW393" s="122" t="s">
        <v>260</v>
      </c>
      <c r="AY393" s="141" t="s">
        <v>253</v>
      </c>
      <c r="AZ393" s="122" t="s">
        <v>10837</v>
      </c>
      <c r="BA393" s="122" t="s">
        <v>262</v>
      </c>
      <c r="BB393" s="122" t="s">
        <v>262</v>
      </c>
      <c r="BC393" s="141" t="s">
        <v>312</v>
      </c>
      <c r="BD393" s="122" t="s">
        <v>253</v>
      </c>
      <c r="BE393" s="122" t="s">
        <v>263</v>
      </c>
      <c r="BF393" s="122" t="s">
        <v>4688</v>
      </c>
      <c r="BH393" s="122" t="s">
        <v>4681</v>
      </c>
      <c r="BI393" s="142">
        <v>63</v>
      </c>
      <c r="BJ393" s="123">
        <v>42237</v>
      </c>
      <c r="BK393" s="139" t="s">
        <v>606</v>
      </c>
      <c r="BM393" s="122">
        <v>34</v>
      </c>
    </row>
    <row r="394" spans="1:65" x14ac:dyDescent="0.25">
      <c r="A394" s="122" t="s">
        <v>3037</v>
      </c>
      <c r="B394" s="122" t="s">
        <v>10838</v>
      </c>
      <c r="C394" s="122" t="s">
        <v>10839</v>
      </c>
      <c r="D394" s="122" t="s">
        <v>10840</v>
      </c>
      <c r="E394" s="123">
        <v>42226</v>
      </c>
      <c r="F394" s="122" t="s">
        <v>10841</v>
      </c>
      <c r="G394" s="122" t="s">
        <v>235</v>
      </c>
      <c r="H394" s="122" t="s">
        <v>10842</v>
      </c>
      <c r="I394" s="122" t="s">
        <v>10843</v>
      </c>
      <c r="K394" s="122" t="s">
        <v>5673</v>
      </c>
      <c r="L394" s="122" t="s">
        <v>5674</v>
      </c>
      <c r="M394" s="122" t="s">
        <v>5675</v>
      </c>
      <c r="O394" s="141" t="s">
        <v>1921</v>
      </c>
      <c r="P394" s="141" t="s">
        <v>10844</v>
      </c>
      <c r="Q394" s="122" t="s">
        <v>5677</v>
      </c>
      <c r="R394" s="142">
        <v>64</v>
      </c>
      <c r="S394" s="122" t="s">
        <v>10845</v>
      </c>
      <c r="U394" s="122" t="s">
        <v>4681</v>
      </c>
      <c r="W394" s="122" t="s">
        <v>246</v>
      </c>
      <c r="X394" s="122" t="s">
        <v>454</v>
      </c>
      <c r="Y394" s="141" t="s">
        <v>570</v>
      </c>
      <c r="Z394" s="122" t="s">
        <v>10846</v>
      </c>
      <c r="AA394" s="141" t="s">
        <v>920</v>
      </c>
      <c r="AB394" s="122" t="s">
        <v>10847</v>
      </c>
      <c r="AC394" s="141" t="s">
        <v>1379</v>
      </c>
      <c r="AD394" s="122" t="s">
        <v>10848</v>
      </c>
      <c r="AE394" s="122" t="s">
        <v>235</v>
      </c>
      <c r="AF394" s="122" t="s">
        <v>10849</v>
      </c>
      <c r="AG394" s="122" t="s">
        <v>537</v>
      </c>
      <c r="AH394" s="122" t="s">
        <v>253</v>
      </c>
      <c r="AI394" s="122" t="s">
        <v>10850</v>
      </c>
      <c r="AJ394" s="122" t="s">
        <v>10851</v>
      </c>
      <c r="AK394" s="122" t="s">
        <v>253</v>
      </c>
      <c r="AL394" s="122" t="s">
        <v>253</v>
      </c>
      <c r="AM394" s="122" t="s">
        <v>253</v>
      </c>
      <c r="AN394" s="122" t="s">
        <v>253</v>
      </c>
      <c r="AO394" s="141" t="s">
        <v>247</v>
      </c>
      <c r="AP394" s="141" t="s">
        <v>253</v>
      </c>
      <c r="AQ394" s="141" t="s">
        <v>253</v>
      </c>
      <c r="AR394" s="141" t="s">
        <v>247</v>
      </c>
      <c r="AS394" s="141" t="s">
        <v>601</v>
      </c>
      <c r="AT394" s="141" t="s">
        <v>258</v>
      </c>
      <c r="AU394" s="141" t="s">
        <v>601</v>
      </c>
      <c r="AV394" s="122" t="s">
        <v>259</v>
      </c>
      <c r="AW394" s="122" t="s">
        <v>260</v>
      </c>
      <c r="AY394" s="141" t="s">
        <v>253</v>
      </c>
      <c r="AZ394" s="122" t="s">
        <v>10852</v>
      </c>
      <c r="BA394" s="122" t="s">
        <v>262</v>
      </c>
      <c r="BB394" s="122" t="s">
        <v>262</v>
      </c>
      <c r="BC394" s="141" t="s">
        <v>312</v>
      </c>
      <c r="BD394" s="122" t="s">
        <v>253</v>
      </c>
      <c r="BE394" s="122" t="s">
        <v>263</v>
      </c>
      <c r="BF394" s="122" t="s">
        <v>4688</v>
      </c>
      <c r="BH394" s="122" t="s">
        <v>4681</v>
      </c>
      <c r="BI394" s="142">
        <v>64</v>
      </c>
      <c r="BJ394" s="123">
        <v>42234</v>
      </c>
      <c r="BK394" s="139" t="s">
        <v>264</v>
      </c>
      <c r="BL394" s="140">
        <v>256</v>
      </c>
      <c r="BM394" s="122">
        <v>34</v>
      </c>
    </row>
    <row r="395" spans="1:65" x14ac:dyDescent="0.25">
      <c r="A395" s="122" t="s">
        <v>3037</v>
      </c>
      <c r="B395" s="122" t="s">
        <v>10853</v>
      </c>
      <c r="C395" s="122" t="s">
        <v>10854</v>
      </c>
      <c r="D395" s="122" t="s">
        <v>10855</v>
      </c>
      <c r="E395" s="123">
        <v>42226</v>
      </c>
      <c r="F395" s="122" t="s">
        <v>1125</v>
      </c>
      <c r="G395" s="122" t="s">
        <v>235</v>
      </c>
      <c r="H395" s="122" t="s">
        <v>10856</v>
      </c>
      <c r="I395" s="122" t="s">
        <v>10857</v>
      </c>
      <c r="K395" s="122" t="s">
        <v>3419</v>
      </c>
      <c r="L395" s="122" t="s">
        <v>3420</v>
      </c>
      <c r="M395" s="122" t="s">
        <v>3421</v>
      </c>
      <c r="O395" s="141" t="s">
        <v>850</v>
      </c>
      <c r="P395" s="141" t="s">
        <v>10858</v>
      </c>
      <c r="Q395" s="122" t="s">
        <v>3424</v>
      </c>
      <c r="R395" s="142">
        <v>65</v>
      </c>
      <c r="S395" s="122" t="s">
        <v>10859</v>
      </c>
      <c r="U395" s="122" t="s">
        <v>4681</v>
      </c>
      <c r="W395" s="122" t="s">
        <v>246</v>
      </c>
      <c r="X395" s="122" t="s">
        <v>590</v>
      </c>
      <c r="Y395" s="141" t="s">
        <v>668</v>
      </c>
      <c r="Z395" s="122" t="s">
        <v>307</v>
      </c>
      <c r="AA395" s="141" t="s">
        <v>668</v>
      </c>
      <c r="AB395" s="122" t="s">
        <v>10860</v>
      </c>
      <c r="AC395" s="141" t="s">
        <v>2804</v>
      </c>
      <c r="AD395" s="122" t="s">
        <v>10861</v>
      </c>
      <c r="AE395" s="122" t="s">
        <v>235</v>
      </c>
      <c r="AF395" s="122" t="s">
        <v>10862</v>
      </c>
      <c r="AG395" s="122" t="s">
        <v>537</v>
      </c>
      <c r="AH395" s="122" t="s">
        <v>253</v>
      </c>
      <c r="AI395" s="122" t="s">
        <v>10863</v>
      </c>
      <c r="AJ395" s="122" t="s">
        <v>10864</v>
      </c>
      <c r="AK395" s="122" t="s">
        <v>253</v>
      </c>
      <c r="AL395" s="122" t="s">
        <v>253</v>
      </c>
      <c r="AM395" s="122" t="s">
        <v>253</v>
      </c>
      <c r="AN395" s="122" t="s">
        <v>253</v>
      </c>
      <c r="AO395" s="141" t="s">
        <v>253</v>
      </c>
      <c r="AP395" s="141" t="s">
        <v>253</v>
      </c>
      <c r="AQ395" s="141" t="s">
        <v>247</v>
      </c>
      <c r="AR395" s="141" t="s">
        <v>253</v>
      </c>
      <c r="AS395" s="141" t="s">
        <v>361</v>
      </c>
      <c r="AT395" s="141" t="s">
        <v>601</v>
      </c>
      <c r="AU395" s="141" t="s">
        <v>258</v>
      </c>
      <c r="AV395" s="122" t="s">
        <v>259</v>
      </c>
      <c r="AW395" s="122" t="s">
        <v>260</v>
      </c>
      <c r="AY395" s="141" t="s">
        <v>253</v>
      </c>
      <c r="AZ395" s="122" t="s">
        <v>10865</v>
      </c>
      <c r="BA395" s="122" t="s">
        <v>262</v>
      </c>
      <c r="BB395" s="122" t="s">
        <v>262</v>
      </c>
      <c r="BD395" s="122" t="s">
        <v>253</v>
      </c>
      <c r="BE395" s="122" t="s">
        <v>263</v>
      </c>
      <c r="BF395" s="122" t="s">
        <v>4688</v>
      </c>
      <c r="BH395" s="122" t="s">
        <v>4681</v>
      </c>
      <c r="BI395" s="142">
        <v>65</v>
      </c>
      <c r="BJ395" s="123">
        <v>42237</v>
      </c>
      <c r="BK395" s="139" t="s">
        <v>606</v>
      </c>
      <c r="BM395" s="122">
        <v>34</v>
      </c>
    </row>
    <row r="396" spans="1:65" x14ac:dyDescent="0.25">
      <c r="A396" s="122" t="s">
        <v>3037</v>
      </c>
      <c r="B396" s="122" t="s">
        <v>10866</v>
      </c>
      <c r="C396" s="122" t="s">
        <v>10867</v>
      </c>
      <c r="D396" s="122" t="s">
        <v>10868</v>
      </c>
      <c r="E396" s="123">
        <v>42226</v>
      </c>
      <c r="F396" s="122" t="s">
        <v>10869</v>
      </c>
      <c r="G396" s="122" t="s">
        <v>235</v>
      </c>
      <c r="H396" s="122" t="s">
        <v>10870</v>
      </c>
      <c r="I396" s="122" t="s">
        <v>10871</v>
      </c>
      <c r="K396" s="122" t="s">
        <v>3419</v>
      </c>
      <c r="L396" s="122" t="s">
        <v>3503</v>
      </c>
      <c r="M396" s="122" t="s">
        <v>3504</v>
      </c>
      <c r="O396" s="141" t="s">
        <v>373</v>
      </c>
      <c r="P396" s="141" t="s">
        <v>10872</v>
      </c>
      <c r="Q396" s="122" t="s">
        <v>3424</v>
      </c>
      <c r="R396" s="142">
        <v>66</v>
      </c>
      <c r="S396" s="122" t="s">
        <v>10873</v>
      </c>
      <c r="U396" s="122" t="s">
        <v>4681</v>
      </c>
      <c r="W396" s="122" t="s">
        <v>246</v>
      </c>
      <c r="X396" s="122" t="s">
        <v>590</v>
      </c>
      <c r="Y396" s="141" t="s">
        <v>378</v>
      </c>
      <c r="Z396" s="122" t="s">
        <v>10874</v>
      </c>
      <c r="AA396" s="141" t="s">
        <v>1258</v>
      </c>
      <c r="AB396" s="122" t="s">
        <v>10875</v>
      </c>
      <c r="AC396" s="141" t="s">
        <v>234</v>
      </c>
      <c r="AD396" s="122" t="s">
        <v>10876</v>
      </c>
      <c r="AE396" s="122" t="s">
        <v>235</v>
      </c>
      <c r="AF396" s="122" t="s">
        <v>10877</v>
      </c>
      <c r="AG396" s="122" t="s">
        <v>537</v>
      </c>
      <c r="AH396" s="122" t="s">
        <v>253</v>
      </c>
      <c r="AI396" s="122" t="s">
        <v>8615</v>
      </c>
      <c r="AJ396" s="122" t="s">
        <v>10878</v>
      </c>
      <c r="AK396" s="122" t="s">
        <v>253</v>
      </c>
      <c r="AL396" s="122" t="s">
        <v>253</v>
      </c>
      <c r="AM396" s="122" t="s">
        <v>253</v>
      </c>
      <c r="AN396" s="122" t="s">
        <v>253</v>
      </c>
      <c r="AO396" s="141" t="s">
        <v>247</v>
      </c>
      <c r="AP396" s="141" t="s">
        <v>253</v>
      </c>
      <c r="AQ396" s="141" t="s">
        <v>247</v>
      </c>
      <c r="AR396" s="141" t="s">
        <v>253</v>
      </c>
      <c r="AS396" s="141" t="s">
        <v>601</v>
      </c>
      <c r="AT396" s="141" t="s">
        <v>601</v>
      </c>
      <c r="AU396" s="141" t="s">
        <v>258</v>
      </c>
      <c r="AV396" s="122" t="s">
        <v>259</v>
      </c>
      <c r="AW396" s="122" t="s">
        <v>260</v>
      </c>
      <c r="AX396" s="141" t="s">
        <v>362</v>
      </c>
      <c r="AY396" s="141" t="s">
        <v>247</v>
      </c>
      <c r="AZ396" s="122" t="s">
        <v>10879</v>
      </c>
      <c r="BA396" s="122" t="s">
        <v>262</v>
      </c>
      <c r="BB396" s="122" t="s">
        <v>262</v>
      </c>
      <c r="BD396" s="122" t="s">
        <v>253</v>
      </c>
      <c r="BE396" s="122" t="s">
        <v>263</v>
      </c>
      <c r="BF396" s="122" t="s">
        <v>4688</v>
      </c>
      <c r="BH396" s="122" t="s">
        <v>4681</v>
      </c>
      <c r="BI396" s="142">
        <v>66</v>
      </c>
      <c r="BJ396" s="123">
        <v>42239</v>
      </c>
      <c r="BK396" s="139" t="s">
        <v>606</v>
      </c>
      <c r="BM396" s="122">
        <v>34</v>
      </c>
    </row>
    <row r="397" spans="1:65" x14ac:dyDescent="0.25">
      <c r="A397" s="122" t="s">
        <v>3037</v>
      </c>
      <c r="B397" s="122" t="s">
        <v>10880</v>
      </c>
      <c r="C397" s="122" t="s">
        <v>10881</v>
      </c>
      <c r="D397" s="122" t="s">
        <v>10882</v>
      </c>
      <c r="E397" s="123">
        <v>42226</v>
      </c>
      <c r="F397" s="122" t="s">
        <v>819</v>
      </c>
      <c r="G397" s="122" t="s">
        <v>235</v>
      </c>
      <c r="H397" s="122" t="s">
        <v>10883</v>
      </c>
      <c r="I397" s="122" t="s">
        <v>10884</v>
      </c>
      <c r="K397" s="122" t="s">
        <v>3419</v>
      </c>
      <c r="L397" s="122" t="s">
        <v>3503</v>
      </c>
      <c r="M397" s="122" t="s">
        <v>3504</v>
      </c>
      <c r="O397" s="141" t="s">
        <v>548</v>
      </c>
      <c r="P397" s="141" t="s">
        <v>10885</v>
      </c>
      <c r="Q397" s="122" t="s">
        <v>3424</v>
      </c>
      <c r="R397" s="142">
        <v>67</v>
      </c>
      <c r="S397" s="122" t="s">
        <v>10886</v>
      </c>
      <c r="U397" s="122" t="s">
        <v>4681</v>
      </c>
      <c r="V397" s="122" t="s">
        <v>351</v>
      </c>
      <c r="W397" s="122" t="s">
        <v>246</v>
      </c>
      <c r="X397" s="122" t="s">
        <v>631</v>
      </c>
      <c r="Y397" s="141" t="s">
        <v>1423</v>
      </c>
      <c r="Z397" s="122" t="s">
        <v>518</v>
      </c>
      <c r="AB397" s="122" t="s">
        <v>250</v>
      </c>
      <c r="AD397" s="122" t="s">
        <v>250</v>
      </c>
      <c r="AE397" s="122" t="s">
        <v>235</v>
      </c>
      <c r="AF397" s="122" t="s">
        <v>10887</v>
      </c>
      <c r="AG397" s="122" t="s">
        <v>253</v>
      </c>
      <c r="AH397" s="122" t="s">
        <v>10888</v>
      </c>
      <c r="AI397" s="122" t="s">
        <v>10889</v>
      </c>
      <c r="AJ397" s="122" t="s">
        <v>10890</v>
      </c>
      <c r="AK397" s="122" t="s">
        <v>9137</v>
      </c>
      <c r="AL397" s="122" t="s">
        <v>253</v>
      </c>
      <c r="AM397" s="122" t="s">
        <v>253</v>
      </c>
      <c r="AN397" s="122" t="s">
        <v>253</v>
      </c>
      <c r="AO397" s="141" t="s">
        <v>247</v>
      </c>
      <c r="AP397" s="141" t="s">
        <v>247</v>
      </c>
      <c r="AQ397" s="141" t="s">
        <v>247</v>
      </c>
      <c r="AR397" s="141" t="s">
        <v>247</v>
      </c>
      <c r="AS397" s="141" t="s">
        <v>601</v>
      </c>
      <c r="AT397" s="141" t="s">
        <v>601</v>
      </c>
      <c r="AU397" s="141" t="s">
        <v>601</v>
      </c>
      <c r="AV397" s="122" t="s">
        <v>259</v>
      </c>
      <c r="AW397" s="122" t="s">
        <v>260</v>
      </c>
      <c r="AY397" s="141" t="s">
        <v>253</v>
      </c>
      <c r="AZ397" s="122" t="s">
        <v>10891</v>
      </c>
      <c r="BA397" s="122" t="s">
        <v>262</v>
      </c>
      <c r="BB397" s="122" t="s">
        <v>262</v>
      </c>
      <c r="BD397" s="122" t="s">
        <v>253</v>
      </c>
      <c r="BE397" s="122" t="s">
        <v>263</v>
      </c>
      <c r="BF397" s="122" t="s">
        <v>4688</v>
      </c>
      <c r="BH397" s="122" t="s">
        <v>4681</v>
      </c>
      <c r="BI397" s="142">
        <v>67</v>
      </c>
      <c r="BJ397" s="123">
        <v>42239</v>
      </c>
      <c r="BK397" s="139" t="s">
        <v>2891</v>
      </c>
      <c r="BM397" s="122">
        <v>34</v>
      </c>
    </row>
    <row r="398" spans="1:65" x14ac:dyDescent="0.25">
      <c r="A398" s="122" t="s">
        <v>1161</v>
      </c>
      <c r="B398" s="122" t="s">
        <v>10892</v>
      </c>
      <c r="C398" s="122" t="s">
        <v>10893</v>
      </c>
      <c r="D398" s="122" t="s">
        <v>10894</v>
      </c>
      <c r="E398" s="123">
        <v>42226</v>
      </c>
      <c r="F398" s="122" t="s">
        <v>10895</v>
      </c>
      <c r="G398" s="122" t="s">
        <v>235</v>
      </c>
      <c r="H398" s="122" t="s">
        <v>10896</v>
      </c>
      <c r="I398" s="122" t="s">
        <v>10897</v>
      </c>
      <c r="K398" s="122" t="s">
        <v>3419</v>
      </c>
      <c r="L398" s="122" t="s">
        <v>3503</v>
      </c>
      <c r="M398" s="122" t="s">
        <v>3421</v>
      </c>
      <c r="Q398" s="122" t="s">
        <v>3424</v>
      </c>
      <c r="R398" s="142">
        <v>68</v>
      </c>
      <c r="S398" s="122" t="s">
        <v>10898</v>
      </c>
      <c r="U398" s="122" t="s">
        <v>4681</v>
      </c>
      <c r="W398" s="122" t="s">
        <v>246</v>
      </c>
      <c r="X398" s="122" t="s">
        <v>1057</v>
      </c>
      <c r="Y398" s="141" t="s">
        <v>2133</v>
      </c>
      <c r="Z398" s="122" t="s">
        <v>10899</v>
      </c>
      <c r="AA398" s="141" t="s">
        <v>877</v>
      </c>
      <c r="AB398" s="122" t="s">
        <v>10900</v>
      </c>
      <c r="AC398" s="141" t="s">
        <v>1400</v>
      </c>
      <c r="AD398" s="122" t="s">
        <v>10900</v>
      </c>
      <c r="AE398" s="122" t="s">
        <v>235</v>
      </c>
      <c r="AF398" s="122" t="s">
        <v>10901</v>
      </c>
      <c r="AG398" s="122" t="s">
        <v>537</v>
      </c>
      <c r="AH398" s="122" t="s">
        <v>253</v>
      </c>
      <c r="AI398" s="122" t="s">
        <v>4288</v>
      </c>
      <c r="AJ398" s="122" t="s">
        <v>10902</v>
      </c>
      <c r="AK398" s="122" t="s">
        <v>253</v>
      </c>
      <c r="AL398" s="122" t="s">
        <v>253</v>
      </c>
      <c r="AM398" s="122" t="s">
        <v>253</v>
      </c>
      <c r="AN398" s="122" t="s">
        <v>253</v>
      </c>
      <c r="AO398" s="141" t="s">
        <v>247</v>
      </c>
      <c r="AP398" s="141" t="s">
        <v>253</v>
      </c>
      <c r="AQ398" s="141" t="s">
        <v>253</v>
      </c>
      <c r="AR398" s="141" t="s">
        <v>253</v>
      </c>
      <c r="AS398" s="141" t="s">
        <v>601</v>
      </c>
      <c r="AT398" s="141" t="s">
        <v>258</v>
      </c>
      <c r="AU398" s="141" t="s">
        <v>258</v>
      </c>
      <c r="AV398" s="122" t="s">
        <v>259</v>
      </c>
      <c r="AW398" s="122" t="s">
        <v>260</v>
      </c>
      <c r="AX398" s="141" t="s">
        <v>7811</v>
      </c>
      <c r="AY398" s="141" t="s">
        <v>247</v>
      </c>
      <c r="AZ398" s="122" t="s">
        <v>10903</v>
      </c>
      <c r="BA398" s="122" t="s">
        <v>262</v>
      </c>
      <c r="BB398" s="122" t="s">
        <v>262</v>
      </c>
      <c r="BD398" s="122" t="s">
        <v>253</v>
      </c>
      <c r="BE398" s="122" t="s">
        <v>263</v>
      </c>
      <c r="BF398" s="122" t="s">
        <v>4688</v>
      </c>
      <c r="BH398" s="122" t="s">
        <v>4681</v>
      </c>
      <c r="BI398" s="142">
        <v>68</v>
      </c>
      <c r="BJ398" s="123">
        <v>42237</v>
      </c>
      <c r="BK398" s="139" t="s">
        <v>606</v>
      </c>
      <c r="BM398" s="122">
        <v>34</v>
      </c>
    </row>
    <row r="399" spans="1:65" x14ac:dyDescent="0.25">
      <c r="A399" s="122" t="s">
        <v>1161</v>
      </c>
      <c r="B399" s="122" t="s">
        <v>10904</v>
      </c>
      <c r="C399" s="122" t="s">
        <v>10905</v>
      </c>
      <c r="D399" s="122" t="s">
        <v>10906</v>
      </c>
      <c r="E399" s="123">
        <v>42226</v>
      </c>
      <c r="F399" s="122" t="s">
        <v>10907</v>
      </c>
      <c r="G399" s="122" t="s">
        <v>235</v>
      </c>
      <c r="H399" s="122" t="s">
        <v>10908</v>
      </c>
      <c r="I399" s="122" t="s">
        <v>10909</v>
      </c>
      <c r="K399" s="122" t="s">
        <v>3419</v>
      </c>
      <c r="L399" s="122" t="s">
        <v>3420</v>
      </c>
      <c r="M399" s="122" t="s">
        <v>3421</v>
      </c>
      <c r="O399" s="141" t="s">
        <v>5420</v>
      </c>
      <c r="P399" s="141" t="s">
        <v>10910</v>
      </c>
      <c r="Q399" s="122" t="s">
        <v>3424</v>
      </c>
      <c r="R399" s="142">
        <v>69</v>
      </c>
      <c r="S399" s="122" t="s">
        <v>10911</v>
      </c>
      <c r="U399" s="122" t="s">
        <v>4681</v>
      </c>
      <c r="W399" s="122" t="s">
        <v>246</v>
      </c>
      <c r="X399" s="122" t="s">
        <v>853</v>
      </c>
      <c r="Y399" s="141" t="s">
        <v>6735</v>
      </c>
      <c r="Z399" s="122" t="s">
        <v>10912</v>
      </c>
      <c r="AA399" s="141" t="s">
        <v>2133</v>
      </c>
      <c r="AB399" s="122" t="s">
        <v>10913</v>
      </c>
      <c r="AC399" s="141" t="s">
        <v>2051</v>
      </c>
      <c r="AD399" s="122" t="s">
        <v>10914</v>
      </c>
      <c r="AE399" s="122" t="s">
        <v>235</v>
      </c>
      <c r="AF399" s="122" t="s">
        <v>10915</v>
      </c>
      <c r="AG399" s="122" t="s">
        <v>537</v>
      </c>
      <c r="AH399" s="122" t="s">
        <v>253</v>
      </c>
      <c r="AI399" s="122" t="s">
        <v>10916</v>
      </c>
      <c r="AJ399" s="122" t="s">
        <v>10917</v>
      </c>
      <c r="AK399" s="122" t="s">
        <v>10918</v>
      </c>
      <c r="AL399" s="122" t="s">
        <v>253</v>
      </c>
      <c r="AM399" s="122" t="s">
        <v>253</v>
      </c>
      <c r="AN399" s="122" t="s">
        <v>253</v>
      </c>
      <c r="AO399" s="141" t="s">
        <v>247</v>
      </c>
      <c r="AP399" s="141" t="s">
        <v>247</v>
      </c>
      <c r="AQ399" s="141" t="s">
        <v>247</v>
      </c>
      <c r="AR399" s="141" t="s">
        <v>247</v>
      </c>
      <c r="AS399" s="141" t="s">
        <v>601</v>
      </c>
      <c r="AT399" s="141" t="s">
        <v>601</v>
      </c>
      <c r="AU399" s="141" t="s">
        <v>601</v>
      </c>
      <c r="AV399" s="122" t="s">
        <v>259</v>
      </c>
      <c r="AW399" s="122" t="s">
        <v>260</v>
      </c>
      <c r="AX399" s="141" t="s">
        <v>790</v>
      </c>
      <c r="AY399" s="141" t="s">
        <v>442</v>
      </c>
      <c r="AZ399" s="122" t="s">
        <v>10919</v>
      </c>
      <c r="BA399" s="122" t="s">
        <v>10920</v>
      </c>
      <c r="BB399" s="122" t="s">
        <v>3956</v>
      </c>
      <c r="BD399" s="122" t="s">
        <v>253</v>
      </c>
      <c r="BE399" s="122" t="s">
        <v>263</v>
      </c>
      <c r="BF399" s="122" t="s">
        <v>4688</v>
      </c>
      <c r="BH399" s="122" t="s">
        <v>4681</v>
      </c>
      <c r="BI399" s="142">
        <v>69</v>
      </c>
      <c r="BJ399" s="123">
        <v>42230</v>
      </c>
      <c r="BK399" s="139" t="s">
        <v>264</v>
      </c>
      <c r="BL399" s="140">
        <v>34.47</v>
      </c>
      <c r="BM399" s="122">
        <v>33</v>
      </c>
    </row>
    <row r="400" spans="1:65" x14ac:dyDescent="0.25">
      <c r="A400" s="122" t="s">
        <v>1161</v>
      </c>
      <c r="B400" s="122" t="s">
        <v>10921</v>
      </c>
      <c r="C400" s="122" t="s">
        <v>10922</v>
      </c>
      <c r="D400" s="122" t="s">
        <v>10923</v>
      </c>
      <c r="E400" s="123">
        <v>42226</v>
      </c>
      <c r="F400" s="122" t="s">
        <v>899</v>
      </c>
      <c r="G400" s="122" t="s">
        <v>235</v>
      </c>
      <c r="H400" s="122" t="s">
        <v>10924</v>
      </c>
      <c r="I400" s="122" t="s">
        <v>10925</v>
      </c>
      <c r="J400" s="122" t="s">
        <v>1560</v>
      </c>
      <c r="K400" s="122" t="s">
        <v>3419</v>
      </c>
      <c r="L400" s="122" t="s">
        <v>3503</v>
      </c>
      <c r="M400" s="122" t="s">
        <v>3421</v>
      </c>
      <c r="O400" s="141" t="s">
        <v>6229</v>
      </c>
      <c r="P400" s="141" t="s">
        <v>10926</v>
      </c>
      <c r="Q400" s="122" t="s">
        <v>3424</v>
      </c>
      <c r="R400" s="142">
        <v>70</v>
      </c>
      <c r="S400" s="122" t="s">
        <v>10927</v>
      </c>
      <c r="U400" s="122" t="s">
        <v>4681</v>
      </c>
      <c r="W400" s="122" t="s">
        <v>246</v>
      </c>
      <c r="X400" s="122" t="s">
        <v>325</v>
      </c>
      <c r="Y400" s="141" t="s">
        <v>707</v>
      </c>
      <c r="Z400" s="122" t="s">
        <v>10928</v>
      </c>
      <c r="AB400" s="122" t="s">
        <v>250</v>
      </c>
      <c r="AD400" s="122" t="s">
        <v>250</v>
      </c>
      <c r="AE400" s="122" t="s">
        <v>235</v>
      </c>
      <c r="AF400" s="122" t="s">
        <v>10929</v>
      </c>
      <c r="AG400" s="122" t="s">
        <v>537</v>
      </c>
      <c r="AH400" s="122" t="s">
        <v>253</v>
      </c>
      <c r="AI400" s="122" t="s">
        <v>10415</v>
      </c>
      <c r="AJ400" s="122" t="s">
        <v>10930</v>
      </c>
      <c r="AK400" s="122" t="s">
        <v>253</v>
      </c>
      <c r="AL400" s="122" t="s">
        <v>253</v>
      </c>
      <c r="AM400" s="122" t="s">
        <v>253</v>
      </c>
      <c r="AN400" s="122" t="s">
        <v>253</v>
      </c>
      <c r="AO400" s="141" t="s">
        <v>253</v>
      </c>
      <c r="AP400" s="141" t="s">
        <v>253</v>
      </c>
      <c r="AQ400" s="141" t="s">
        <v>247</v>
      </c>
      <c r="AR400" s="141" t="s">
        <v>253</v>
      </c>
      <c r="AS400" s="141" t="s">
        <v>361</v>
      </c>
      <c r="AT400" s="141" t="s">
        <v>601</v>
      </c>
      <c r="AU400" s="141" t="s">
        <v>258</v>
      </c>
      <c r="AV400" s="122" t="s">
        <v>259</v>
      </c>
      <c r="AW400" s="122" t="s">
        <v>260</v>
      </c>
      <c r="AY400" s="141" t="s">
        <v>253</v>
      </c>
      <c r="AZ400" s="122" t="s">
        <v>10931</v>
      </c>
      <c r="BA400" s="122" t="s">
        <v>262</v>
      </c>
      <c r="BB400" s="122" t="s">
        <v>262</v>
      </c>
      <c r="BD400" s="122" t="s">
        <v>253</v>
      </c>
      <c r="BE400" s="122" t="s">
        <v>263</v>
      </c>
      <c r="BF400" s="122" t="s">
        <v>4688</v>
      </c>
      <c r="BH400" s="122" t="s">
        <v>4681</v>
      </c>
      <c r="BI400" s="142">
        <v>70</v>
      </c>
      <c r="BJ400" s="123">
        <v>42236</v>
      </c>
      <c r="BK400" s="139" t="s">
        <v>264</v>
      </c>
      <c r="BL400" s="140">
        <v>186.13</v>
      </c>
      <c r="BM400" s="122">
        <v>34</v>
      </c>
    </row>
    <row r="401" spans="1:66" x14ac:dyDescent="0.25">
      <c r="A401" s="122" t="s">
        <v>1161</v>
      </c>
      <c r="B401" s="122" t="s">
        <v>10932</v>
      </c>
      <c r="C401" s="122" t="s">
        <v>10933</v>
      </c>
      <c r="D401" s="122" t="s">
        <v>10934</v>
      </c>
      <c r="E401" s="123">
        <v>42226</v>
      </c>
      <c r="F401" s="122" t="s">
        <v>6397</v>
      </c>
      <c r="G401" s="122" t="s">
        <v>235</v>
      </c>
      <c r="H401" s="122" t="s">
        <v>10935</v>
      </c>
      <c r="I401" s="122" t="s">
        <v>10936</v>
      </c>
      <c r="K401" s="122" t="s">
        <v>5800</v>
      </c>
      <c r="L401" s="122" t="s">
        <v>5801</v>
      </c>
      <c r="M401" s="122" t="s">
        <v>6146</v>
      </c>
      <c r="O401" s="141" t="s">
        <v>273</v>
      </c>
      <c r="P401" s="141" t="s">
        <v>10937</v>
      </c>
      <c r="Q401" s="122" t="s">
        <v>5805</v>
      </c>
      <c r="R401" s="142">
        <v>71</v>
      </c>
      <c r="S401" s="122" t="s">
        <v>10938</v>
      </c>
      <c r="U401" s="122" t="s">
        <v>4681</v>
      </c>
      <c r="W401" s="122" t="s">
        <v>246</v>
      </c>
      <c r="X401" s="122" t="s">
        <v>853</v>
      </c>
      <c r="Y401" s="141" t="s">
        <v>2010</v>
      </c>
      <c r="Z401" s="122" t="s">
        <v>10939</v>
      </c>
      <c r="AA401" s="141" t="s">
        <v>819</v>
      </c>
      <c r="AB401" s="122" t="s">
        <v>10939</v>
      </c>
      <c r="AC401" s="141" t="s">
        <v>459</v>
      </c>
      <c r="AD401" s="122" t="s">
        <v>10939</v>
      </c>
      <c r="AE401" s="122" t="s">
        <v>235</v>
      </c>
      <c r="AF401" s="122" t="s">
        <v>10940</v>
      </c>
      <c r="AG401" s="122" t="s">
        <v>537</v>
      </c>
      <c r="AH401" s="122" t="s">
        <v>253</v>
      </c>
      <c r="AI401" s="122" t="s">
        <v>10941</v>
      </c>
      <c r="AJ401" s="122" t="s">
        <v>10942</v>
      </c>
      <c r="AK401" s="122" t="s">
        <v>253</v>
      </c>
      <c r="AL401" s="122" t="s">
        <v>253</v>
      </c>
      <c r="AM401" s="122" t="s">
        <v>253</v>
      </c>
      <c r="AN401" s="122" t="s">
        <v>253</v>
      </c>
      <c r="AO401" s="141" t="s">
        <v>247</v>
      </c>
      <c r="AP401" s="141" t="s">
        <v>247</v>
      </c>
      <c r="AQ401" s="141" t="s">
        <v>247</v>
      </c>
      <c r="AR401" s="141" t="s">
        <v>253</v>
      </c>
      <c r="AS401" s="141" t="s">
        <v>601</v>
      </c>
      <c r="AT401" s="141" t="s">
        <v>601</v>
      </c>
      <c r="AU401" s="141" t="s">
        <v>258</v>
      </c>
      <c r="AV401" s="122" t="s">
        <v>259</v>
      </c>
      <c r="AW401" s="122" t="s">
        <v>260</v>
      </c>
      <c r="AX401" s="141" t="s">
        <v>790</v>
      </c>
      <c r="AY401" s="141" t="s">
        <v>247</v>
      </c>
      <c r="AZ401" s="122" t="s">
        <v>10943</v>
      </c>
      <c r="BA401" s="122" t="s">
        <v>262</v>
      </c>
      <c r="BB401" s="122" t="s">
        <v>262</v>
      </c>
      <c r="BD401" s="122" t="s">
        <v>253</v>
      </c>
      <c r="BE401" s="122" t="s">
        <v>263</v>
      </c>
      <c r="BF401" s="122" t="s">
        <v>4688</v>
      </c>
      <c r="BH401" s="122" t="s">
        <v>4681</v>
      </c>
      <c r="BI401" s="142">
        <v>71</v>
      </c>
      <c r="BJ401" s="123">
        <v>42238</v>
      </c>
      <c r="BK401" s="139" t="s">
        <v>606</v>
      </c>
      <c r="BM401" s="122">
        <v>34</v>
      </c>
    </row>
    <row r="402" spans="1:66" x14ac:dyDescent="0.25">
      <c r="A402" s="122" t="s">
        <v>1161</v>
      </c>
      <c r="B402" s="122" t="s">
        <v>10944</v>
      </c>
      <c r="C402" s="122" t="s">
        <v>10945</v>
      </c>
      <c r="D402" s="122" t="s">
        <v>10946</v>
      </c>
      <c r="E402" s="123">
        <v>42226</v>
      </c>
      <c r="F402" s="122" t="s">
        <v>10947</v>
      </c>
      <c r="G402" s="122" t="s">
        <v>235</v>
      </c>
      <c r="H402" s="122" t="s">
        <v>10948</v>
      </c>
      <c r="I402" s="122" t="s">
        <v>5756</v>
      </c>
      <c r="J402" s="122" t="s">
        <v>10949</v>
      </c>
      <c r="K402" s="122" t="s">
        <v>5673</v>
      </c>
      <c r="L402" s="122" t="s">
        <v>5674</v>
      </c>
      <c r="M402" s="122" t="s">
        <v>5757</v>
      </c>
      <c r="Q402" s="122" t="s">
        <v>5677</v>
      </c>
      <c r="R402" s="142">
        <v>72</v>
      </c>
      <c r="S402" s="122" t="s">
        <v>10950</v>
      </c>
      <c r="U402" s="122" t="s">
        <v>4681</v>
      </c>
      <c r="W402" s="122" t="s">
        <v>246</v>
      </c>
      <c r="X402" s="122" t="s">
        <v>497</v>
      </c>
      <c r="Y402" s="141" t="s">
        <v>1421</v>
      </c>
      <c r="Z402" s="122" t="s">
        <v>10951</v>
      </c>
      <c r="AA402" s="141" t="s">
        <v>1289</v>
      </c>
      <c r="AB402" s="122" t="s">
        <v>10951</v>
      </c>
      <c r="AC402" s="141" t="s">
        <v>1143</v>
      </c>
      <c r="AD402" s="122" t="s">
        <v>10951</v>
      </c>
      <c r="AE402" s="122" t="s">
        <v>235</v>
      </c>
      <c r="AF402" s="122" t="s">
        <v>10952</v>
      </c>
      <c r="AG402" s="122" t="s">
        <v>537</v>
      </c>
      <c r="AH402" s="122" t="s">
        <v>253</v>
      </c>
      <c r="AI402" s="122" t="s">
        <v>10953</v>
      </c>
      <c r="AJ402" s="122" t="s">
        <v>10954</v>
      </c>
      <c r="AK402" s="122" t="s">
        <v>253</v>
      </c>
      <c r="AL402" s="122" t="s">
        <v>253</v>
      </c>
      <c r="AM402" s="122" t="s">
        <v>253</v>
      </c>
      <c r="AN402" s="122" t="s">
        <v>253</v>
      </c>
      <c r="AO402" s="141" t="s">
        <v>247</v>
      </c>
      <c r="AP402" s="141" t="s">
        <v>253</v>
      </c>
      <c r="AQ402" s="141" t="s">
        <v>253</v>
      </c>
      <c r="AR402" s="141" t="s">
        <v>253</v>
      </c>
      <c r="AS402" s="141" t="s">
        <v>601</v>
      </c>
      <c r="AT402" s="141" t="s">
        <v>258</v>
      </c>
      <c r="AU402" s="141" t="s">
        <v>258</v>
      </c>
      <c r="AV402" s="122" t="s">
        <v>259</v>
      </c>
      <c r="AW402" s="122" t="s">
        <v>260</v>
      </c>
      <c r="AX402" s="141" t="s">
        <v>10955</v>
      </c>
      <c r="AY402" s="141" t="s">
        <v>247</v>
      </c>
      <c r="AZ402" s="122" t="s">
        <v>10956</v>
      </c>
      <c r="BA402" s="122" t="s">
        <v>262</v>
      </c>
      <c r="BB402" s="122" t="s">
        <v>262</v>
      </c>
      <c r="BD402" s="122" t="s">
        <v>253</v>
      </c>
      <c r="BE402" s="122" t="s">
        <v>263</v>
      </c>
      <c r="BF402" s="122" t="s">
        <v>4688</v>
      </c>
      <c r="BH402" s="122" t="s">
        <v>4681</v>
      </c>
      <c r="BI402" s="142">
        <v>72</v>
      </c>
    </row>
    <row r="403" spans="1:66" x14ac:dyDescent="0.25">
      <c r="A403" s="122" t="s">
        <v>1161</v>
      </c>
      <c r="B403" s="122" t="s">
        <v>10957</v>
      </c>
      <c r="C403" s="122" t="s">
        <v>10958</v>
      </c>
      <c r="D403" s="122" t="s">
        <v>10959</v>
      </c>
      <c r="E403" s="123">
        <v>42226</v>
      </c>
      <c r="F403" s="122" t="s">
        <v>9657</v>
      </c>
      <c r="G403" s="122" t="s">
        <v>235</v>
      </c>
      <c r="H403" s="122" t="s">
        <v>448</v>
      </c>
      <c r="I403" s="122" t="s">
        <v>10960</v>
      </c>
      <c r="J403" s="122" t="s">
        <v>10961</v>
      </c>
      <c r="K403" s="122" t="s">
        <v>5879</v>
      </c>
      <c r="L403" s="122" t="s">
        <v>5880</v>
      </c>
      <c r="M403" s="122" t="s">
        <v>5881</v>
      </c>
      <c r="O403" s="141" t="s">
        <v>2559</v>
      </c>
      <c r="P403" s="141" t="s">
        <v>10962</v>
      </c>
      <c r="Q403" s="122" t="s">
        <v>5883</v>
      </c>
      <c r="R403" s="142">
        <v>73</v>
      </c>
      <c r="S403" s="122" t="s">
        <v>10963</v>
      </c>
      <c r="U403" s="122" t="s">
        <v>4681</v>
      </c>
      <c r="W403" s="122" t="s">
        <v>246</v>
      </c>
      <c r="X403" s="122" t="s">
        <v>853</v>
      </c>
      <c r="Y403" s="141" t="s">
        <v>2010</v>
      </c>
      <c r="Z403" s="122" t="s">
        <v>10964</v>
      </c>
      <c r="AA403" s="141" t="s">
        <v>819</v>
      </c>
      <c r="AB403" s="122" t="s">
        <v>10964</v>
      </c>
      <c r="AC403" s="141" t="s">
        <v>459</v>
      </c>
      <c r="AD403" s="122" t="s">
        <v>10964</v>
      </c>
      <c r="AE403" s="122" t="s">
        <v>235</v>
      </c>
      <c r="AF403" s="122" t="s">
        <v>10965</v>
      </c>
      <c r="AG403" s="122" t="s">
        <v>537</v>
      </c>
      <c r="AH403" s="122" t="s">
        <v>253</v>
      </c>
      <c r="AI403" s="122" t="s">
        <v>10966</v>
      </c>
      <c r="AJ403" s="122" t="s">
        <v>10967</v>
      </c>
      <c r="AK403" s="122" t="s">
        <v>253</v>
      </c>
      <c r="AL403" s="122" t="s">
        <v>253</v>
      </c>
      <c r="AM403" s="122" t="s">
        <v>253</v>
      </c>
      <c r="AN403" s="122" t="s">
        <v>253</v>
      </c>
      <c r="AO403" s="141" t="s">
        <v>253</v>
      </c>
      <c r="AP403" s="141" t="s">
        <v>253</v>
      </c>
      <c r="AQ403" s="141" t="s">
        <v>247</v>
      </c>
      <c r="AR403" s="141" t="s">
        <v>253</v>
      </c>
      <c r="AS403" s="141" t="s">
        <v>361</v>
      </c>
      <c r="AT403" s="141" t="s">
        <v>601</v>
      </c>
      <c r="AU403" s="141" t="s">
        <v>258</v>
      </c>
      <c r="AV403" s="122" t="s">
        <v>259</v>
      </c>
      <c r="AW403" s="122" t="s">
        <v>260</v>
      </c>
      <c r="AX403" s="141" t="s">
        <v>790</v>
      </c>
      <c r="AY403" s="141" t="s">
        <v>247</v>
      </c>
      <c r="AZ403" s="122" t="s">
        <v>262</v>
      </c>
      <c r="BA403" s="122" t="s">
        <v>262</v>
      </c>
      <c r="BB403" s="122" t="s">
        <v>10968</v>
      </c>
      <c r="BD403" s="122" t="s">
        <v>253</v>
      </c>
      <c r="BE403" s="122" t="s">
        <v>263</v>
      </c>
      <c r="BF403" s="122" t="s">
        <v>4688</v>
      </c>
      <c r="BH403" s="122" t="s">
        <v>4681</v>
      </c>
      <c r="BI403" s="142">
        <v>73</v>
      </c>
      <c r="BK403" s="139" t="s">
        <v>1029</v>
      </c>
      <c r="BN403" s="122" t="s">
        <v>10969</v>
      </c>
    </row>
    <row r="404" spans="1:66" x14ac:dyDescent="0.25">
      <c r="A404" s="122" t="s">
        <v>1161</v>
      </c>
      <c r="B404" s="122" t="s">
        <v>10970</v>
      </c>
      <c r="C404" s="122" t="s">
        <v>10971</v>
      </c>
      <c r="D404" s="122" t="s">
        <v>10972</v>
      </c>
      <c r="E404" s="123">
        <v>42226</v>
      </c>
      <c r="F404" s="122" t="s">
        <v>10973</v>
      </c>
      <c r="G404" s="122" t="s">
        <v>235</v>
      </c>
      <c r="H404" s="122" t="s">
        <v>10974</v>
      </c>
      <c r="I404" s="122" t="s">
        <v>10975</v>
      </c>
      <c r="K404" s="122" t="s">
        <v>5673</v>
      </c>
      <c r="L404" s="122" t="s">
        <v>5674</v>
      </c>
      <c r="M404" s="122" t="s">
        <v>5757</v>
      </c>
      <c r="O404" s="141" t="s">
        <v>1921</v>
      </c>
      <c r="P404" s="141" t="s">
        <v>10976</v>
      </c>
      <c r="Q404" s="122" t="s">
        <v>5677</v>
      </c>
      <c r="R404" s="142">
        <v>74</v>
      </c>
      <c r="S404" s="122" t="s">
        <v>10977</v>
      </c>
      <c r="U404" s="122" t="s">
        <v>4681</v>
      </c>
      <c r="W404" s="122" t="s">
        <v>246</v>
      </c>
      <c r="X404" s="122" t="s">
        <v>1057</v>
      </c>
      <c r="Y404" s="141" t="s">
        <v>3039</v>
      </c>
      <c r="Z404" s="122" t="s">
        <v>10978</v>
      </c>
      <c r="AA404" s="141" t="s">
        <v>500</v>
      </c>
      <c r="AB404" s="122" t="s">
        <v>10978</v>
      </c>
      <c r="AC404" s="141" t="s">
        <v>234</v>
      </c>
      <c r="AD404" s="122" t="s">
        <v>10979</v>
      </c>
      <c r="AE404" s="122" t="s">
        <v>235</v>
      </c>
      <c r="AF404" s="122" t="s">
        <v>10980</v>
      </c>
      <c r="AG404" s="122" t="s">
        <v>537</v>
      </c>
      <c r="AH404" s="122" t="s">
        <v>253</v>
      </c>
      <c r="AI404" s="122" t="s">
        <v>10981</v>
      </c>
      <c r="AJ404" s="122" t="s">
        <v>10982</v>
      </c>
      <c r="AK404" s="122" t="s">
        <v>253</v>
      </c>
      <c r="AL404" s="122" t="s">
        <v>253</v>
      </c>
      <c r="AM404" s="122" t="s">
        <v>253</v>
      </c>
      <c r="AN404" s="122" t="s">
        <v>253</v>
      </c>
      <c r="AO404" s="141" t="s">
        <v>247</v>
      </c>
      <c r="AP404" s="141" t="s">
        <v>247</v>
      </c>
      <c r="AQ404" s="141" t="s">
        <v>247</v>
      </c>
      <c r="AR404" s="141" t="s">
        <v>247</v>
      </c>
      <c r="AS404" s="141" t="s">
        <v>601</v>
      </c>
      <c r="AT404" s="141" t="s">
        <v>601</v>
      </c>
      <c r="AU404" s="141" t="s">
        <v>257</v>
      </c>
      <c r="AV404" s="122" t="s">
        <v>259</v>
      </c>
      <c r="AW404" s="122" t="s">
        <v>260</v>
      </c>
      <c r="AX404" s="141" t="s">
        <v>362</v>
      </c>
      <c r="AY404" s="141" t="s">
        <v>442</v>
      </c>
      <c r="AZ404" s="122" t="s">
        <v>10983</v>
      </c>
      <c r="BA404" s="122" t="s">
        <v>262</v>
      </c>
      <c r="BB404" s="122" t="s">
        <v>262</v>
      </c>
      <c r="BC404" s="141" t="s">
        <v>312</v>
      </c>
      <c r="BD404" s="122" t="s">
        <v>253</v>
      </c>
      <c r="BE404" s="122" t="s">
        <v>263</v>
      </c>
      <c r="BF404" s="122" t="s">
        <v>4688</v>
      </c>
      <c r="BH404" s="122" t="s">
        <v>4681</v>
      </c>
      <c r="BI404" s="142">
        <v>74</v>
      </c>
      <c r="BJ404" s="123">
        <v>42234</v>
      </c>
      <c r="BK404" s="139" t="s">
        <v>264</v>
      </c>
      <c r="BL404" s="140">
        <v>503.63</v>
      </c>
      <c r="BM404" s="122">
        <v>34</v>
      </c>
    </row>
    <row r="405" spans="1:66" x14ac:dyDescent="0.25">
      <c r="A405" s="122" t="s">
        <v>1161</v>
      </c>
      <c r="B405" s="122" t="s">
        <v>10984</v>
      </c>
      <c r="C405" s="122" t="s">
        <v>10985</v>
      </c>
      <c r="D405" s="122" t="s">
        <v>10986</v>
      </c>
      <c r="E405" s="123">
        <v>42226</v>
      </c>
      <c r="F405" s="122" t="s">
        <v>1423</v>
      </c>
      <c r="G405" s="122" t="s">
        <v>235</v>
      </c>
      <c r="H405" s="122" t="s">
        <v>10987</v>
      </c>
      <c r="I405" s="122" t="s">
        <v>10988</v>
      </c>
      <c r="K405" s="122" t="s">
        <v>3419</v>
      </c>
      <c r="L405" s="122" t="s">
        <v>3503</v>
      </c>
      <c r="M405" s="122" t="s">
        <v>3504</v>
      </c>
      <c r="O405" s="141" t="s">
        <v>10493</v>
      </c>
      <c r="P405" s="141" t="s">
        <v>10989</v>
      </c>
      <c r="Q405" s="122" t="s">
        <v>3424</v>
      </c>
      <c r="R405" s="142">
        <v>75</v>
      </c>
      <c r="S405" s="122" t="s">
        <v>10990</v>
      </c>
      <c r="U405" s="122" t="s">
        <v>4681</v>
      </c>
      <c r="V405" s="122" t="s">
        <v>351</v>
      </c>
      <c r="W405" s="122" t="s">
        <v>246</v>
      </c>
      <c r="X405" s="122" t="s">
        <v>1643</v>
      </c>
      <c r="Y405" s="141" t="s">
        <v>707</v>
      </c>
      <c r="Z405" s="122" t="s">
        <v>518</v>
      </c>
      <c r="AB405" s="122" t="s">
        <v>250</v>
      </c>
      <c r="AD405" s="122" t="s">
        <v>250</v>
      </c>
      <c r="AE405" s="122" t="s">
        <v>235</v>
      </c>
      <c r="AF405" s="122" t="s">
        <v>10991</v>
      </c>
      <c r="AG405" s="122" t="s">
        <v>253</v>
      </c>
      <c r="AH405" s="122" t="s">
        <v>253</v>
      </c>
      <c r="AI405" s="122" t="s">
        <v>10992</v>
      </c>
      <c r="AJ405" s="122" t="s">
        <v>10993</v>
      </c>
      <c r="AK405" s="122" t="s">
        <v>10994</v>
      </c>
      <c r="AL405" s="122" t="s">
        <v>253</v>
      </c>
      <c r="AM405" s="122" t="s">
        <v>253</v>
      </c>
      <c r="AN405" s="122" t="s">
        <v>253</v>
      </c>
      <c r="AO405" s="141" t="s">
        <v>247</v>
      </c>
      <c r="AP405" s="141" t="s">
        <v>253</v>
      </c>
      <c r="AQ405" s="141" t="s">
        <v>247</v>
      </c>
      <c r="AR405" s="141" t="s">
        <v>253</v>
      </c>
      <c r="AS405" s="141" t="s">
        <v>601</v>
      </c>
      <c r="AT405" s="141" t="s">
        <v>601</v>
      </c>
      <c r="AU405" s="141" t="s">
        <v>258</v>
      </c>
      <c r="AV405" s="122" t="s">
        <v>259</v>
      </c>
      <c r="AW405" s="122" t="s">
        <v>260</v>
      </c>
      <c r="AY405" s="141" t="s">
        <v>253</v>
      </c>
      <c r="AZ405" s="122" t="s">
        <v>10995</v>
      </c>
      <c r="BA405" s="122" t="s">
        <v>262</v>
      </c>
      <c r="BB405" s="122" t="s">
        <v>262</v>
      </c>
      <c r="BD405" s="122" t="s">
        <v>253</v>
      </c>
      <c r="BE405" s="122" t="s">
        <v>263</v>
      </c>
      <c r="BF405" s="122" t="s">
        <v>4688</v>
      </c>
      <c r="BH405" s="122" t="s">
        <v>4681</v>
      </c>
      <c r="BI405" s="142">
        <v>75</v>
      </c>
      <c r="BJ405" s="123">
        <v>42239</v>
      </c>
      <c r="BK405" s="139" t="s">
        <v>2891</v>
      </c>
      <c r="BM405" s="122">
        <v>34</v>
      </c>
    </row>
    <row r="406" spans="1:66" x14ac:dyDescent="0.25">
      <c r="A406" s="122" t="s">
        <v>1161</v>
      </c>
      <c r="B406" s="122" t="s">
        <v>10996</v>
      </c>
      <c r="C406" s="122" t="s">
        <v>10997</v>
      </c>
      <c r="D406" s="122" t="s">
        <v>10998</v>
      </c>
      <c r="E406" s="123">
        <v>42226</v>
      </c>
      <c r="F406" s="122" t="s">
        <v>10999</v>
      </c>
      <c r="G406" s="122" t="s">
        <v>235</v>
      </c>
      <c r="H406" s="122" t="s">
        <v>11000</v>
      </c>
      <c r="I406" s="122" t="s">
        <v>11001</v>
      </c>
      <c r="K406" s="122" t="s">
        <v>3419</v>
      </c>
      <c r="L406" s="122" t="s">
        <v>3420</v>
      </c>
      <c r="M406" s="122" t="s">
        <v>3421</v>
      </c>
      <c r="O406" s="141" t="s">
        <v>548</v>
      </c>
      <c r="P406" s="141" t="s">
        <v>11002</v>
      </c>
      <c r="Q406" s="122" t="s">
        <v>3424</v>
      </c>
      <c r="R406" s="142">
        <v>76</v>
      </c>
      <c r="S406" s="122" t="s">
        <v>11003</v>
      </c>
      <c r="U406" s="122" t="s">
        <v>4681</v>
      </c>
      <c r="W406" s="122" t="s">
        <v>246</v>
      </c>
      <c r="X406" s="122" t="s">
        <v>497</v>
      </c>
      <c r="Y406" s="141" t="s">
        <v>973</v>
      </c>
      <c r="Z406" s="122" t="s">
        <v>11004</v>
      </c>
      <c r="AA406" s="141" t="s">
        <v>1969</v>
      </c>
      <c r="AB406" s="122" t="s">
        <v>11004</v>
      </c>
      <c r="AC406" s="141" t="s">
        <v>1116</v>
      </c>
      <c r="AD406" s="122" t="s">
        <v>11005</v>
      </c>
      <c r="AE406" s="122" t="s">
        <v>235</v>
      </c>
      <c r="AF406" s="122" t="s">
        <v>11006</v>
      </c>
      <c r="AG406" s="122" t="s">
        <v>537</v>
      </c>
      <c r="AH406" s="122" t="s">
        <v>253</v>
      </c>
      <c r="AI406" s="122" t="s">
        <v>11007</v>
      </c>
      <c r="AJ406" s="122" t="s">
        <v>11008</v>
      </c>
      <c r="AK406" s="122" t="s">
        <v>253</v>
      </c>
      <c r="AL406" s="122" t="s">
        <v>253</v>
      </c>
      <c r="AM406" s="122" t="s">
        <v>253</v>
      </c>
      <c r="AN406" s="122" t="s">
        <v>253</v>
      </c>
      <c r="AO406" s="141" t="s">
        <v>247</v>
      </c>
      <c r="AP406" s="141" t="s">
        <v>247</v>
      </c>
      <c r="AQ406" s="141" t="s">
        <v>247</v>
      </c>
      <c r="AR406" s="141" t="s">
        <v>253</v>
      </c>
      <c r="AS406" s="141" t="s">
        <v>601</v>
      </c>
      <c r="AT406" s="141" t="s">
        <v>601</v>
      </c>
      <c r="AU406" s="141" t="s">
        <v>258</v>
      </c>
      <c r="AV406" s="122" t="s">
        <v>259</v>
      </c>
      <c r="AW406" s="122" t="s">
        <v>260</v>
      </c>
      <c r="AY406" s="141" t="s">
        <v>253</v>
      </c>
      <c r="AZ406" s="122" t="s">
        <v>11009</v>
      </c>
      <c r="BA406" s="122" t="s">
        <v>262</v>
      </c>
      <c r="BB406" s="122" t="s">
        <v>262</v>
      </c>
      <c r="BD406" s="122" t="s">
        <v>253</v>
      </c>
      <c r="BE406" s="122" t="s">
        <v>263</v>
      </c>
      <c r="BF406" s="122" t="s">
        <v>4688</v>
      </c>
      <c r="BH406" s="122" t="s">
        <v>4681</v>
      </c>
      <c r="BI406" s="142">
        <v>76</v>
      </c>
      <c r="BJ406" s="123">
        <v>42237</v>
      </c>
      <c r="BK406" s="139" t="s">
        <v>606</v>
      </c>
      <c r="BM406" s="122">
        <v>34</v>
      </c>
    </row>
    <row r="407" spans="1:66" x14ac:dyDescent="0.25">
      <c r="A407" s="122" t="s">
        <v>1161</v>
      </c>
      <c r="B407" s="122" t="s">
        <v>11010</v>
      </c>
      <c r="C407" s="122" t="s">
        <v>11011</v>
      </c>
      <c r="D407" s="122" t="s">
        <v>11012</v>
      </c>
      <c r="E407" s="123">
        <v>42226</v>
      </c>
      <c r="F407" s="122" t="s">
        <v>2010</v>
      </c>
      <c r="G407" s="122" t="s">
        <v>235</v>
      </c>
      <c r="H407" s="122" t="s">
        <v>448</v>
      </c>
      <c r="I407" s="122" t="s">
        <v>11013</v>
      </c>
      <c r="K407" s="122" t="s">
        <v>3419</v>
      </c>
      <c r="L407" s="122" t="s">
        <v>3420</v>
      </c>
      <c r="M407" s="122" t="s">
        <v>3421</v>
      </c>
      <c r="O407" s="141" t="s">
        <v>6941</v>
      </c>
      <c r="P407" s="141" t="s">
        <v>11014</v>
      </c>
      <c r="Q407" s="122" t="s">
        <v>3424</v>
      </c>
      <c r="R407" s="142">
        <v>77</v>
      </c>
      <c r="S407" s="122" t="s">
        <v>11015</v>
      </c>
      <c r="U407" s="122" t="s">
        <v>4681</v>
      </c>
      <c r="W407" s="122" t="s">
        <v>246</v>
      </c>
      <c r="X407" s="122" t="s">
        <v>631</v>
      </c>
      <c r="Z407" s="122" t="s">
        <v>250</v>
      </c>
      <c r="AB407" s="122" t="s">
        <v>250</v>
      </c>
      <c r="AD407" s="122" t="s">
        <v>250</v>
      </c>
      <c r="AE407" s="122" t="s">
        <v>235</v>
      </c>
      <c r="AF407" s="122" t="s">
        <v>11016</v>
      </c>
      <c r="AG407" s="122" t="s">
        <v>253</v>
      </c>
      <c r="AH407" s="122" t="s">
        <v>253</v>
      </c>
      <c r="AI407" s="122" t="s">
        <v>4426</v>
      </c>
      <c r="AJ407" s="122" t="s">
        <v>4427</v>
      </c>
      <c r="AK407" s="122" t="s">
        <v>6193</v>
      </c>
      <c r="AL407" s="122" t="s">
        <v>253</v>
      </c>
      <c r="AM407" s="122" t="s">
        <v>253</v>
      </c>
      <c r="AN407" s="122" t="s">
        <v>253</v>
      </c>
      <c r="AO407" s="141" t="s">
        <v>253</v>
      </c>
      <c r="AP407" s="141" t="s">
        <v>253</v>
      </c>
      <c r="AQ407" s="141" t="s">
        <v>247</v>
      </c>
      <c r="AR407" s="141" t="s">
        <v>253</v>
      </c>
      <c r="AS407" s="141" t="s">
        <v>361</v>
      </c>
      <c r="AT407" s="141" t="s">
        <v>601</v>
      </c>
      <c r="AU407" s="141" t="s">
        <v>258</v>
      </c>
      <c r="AV407" s="122" t="s">
        <v>259</v>
      </c>
      <c r="AW407" s="122" t="s">
        <v>260</v>
      </c>
      <c r="AY407" s="141" t="s">
        <v>253</v>
      </c>
      <c r="AZ407" s="122" t="s">
        <v>262</v>
      </c>
      <c r="BA407" s="122" t="s">
        <v>262</v>
      </c>
      <c r="BB407" s="122" t="s">
        <v>11017</v>
      </c>
      <c r="BD407" s="122" t="s">
        <v>253</v>
      </c>
      <c r="BE407" s="122" t="s">
        <v>263</v>
      </c>
      <c r="BF407" s="122" t="s">
        <v>4688</v>
      </c>
      <c r="BH407" s="122" t="s">
        <v>4681</v>
      </c>
      <c r="BI407" s="142">
        <v>77</v>
      </c>
      <c r="BJ407" s="123">
        <v>42237</v>
      </c>
      <c r="BK407" s="139" t="s">
        <v>606</v>
      </c>
      <c r="BM407" s="122">
        <v>34</v>
      </c>
    </row>
    <row r="408" spans="1:66" x14ac:dyDescent="0.25">
      <c r="A408" s="122" t="s">
        <v>6059</v>
      </c>
      <c r="B408" s="122" t="s">
        <v>11018</v>
      </c>
      <c r="C408" s="122" t="s">
        <v>11019</v>
      </c>
      <c r="D408" s="122" t="s">
        <v>11020</v>
      </c>
      <c r="E408" s="123">
        <v>42226</v>
      </c>
      <c r="F408" s="122" t="s">
        <v>3079</v>
      </c>
      <c r="G408" s="122" t="s">
        <v>235</v>
      </c>
      <c r="H408" s="122" t="s">
        <v>11021</v>
      </c>
      <c r="I408" s="122" t="s">
        <v>11022</v>
      </c>
      <c r="K408" s="122" t="s">
        <v>5565</v>
      </c>
      <c r="L408" s="122" t="s">
        <v>5566</v>
      </c>
      <c r="M408" s="122" t="s">
        <v>5567</v>
      </c>
      <c r="O408" s="141" t="s">
        <v>273</v>
      </c>
      <c r="P408" s="141" t="s">
        <v>11023</v>
      </c>
      <c r="Q408" s="122" t="s">
        <v>3389</v>
      </c>
      <c r="R408" s="142">
        <v>78</v>
      </c>
      <c r="S408" s="122" t="s">
        <v>11024</v>
      </c>
      <c r="U408" s="122" t="s">
        <v>4681</v>
      </c>
      <c r="W408" s="122" t="s">
        <v>246</v>
      </c>
      <c r="X408" s="122" t="s">
        <v>454</v>
      </c>
      <c r="Y408" s="141" t="s">
        <v>535</v>
      </c>
      <c r="Z408" s="122" t="s">
        <v>11025</v>
      </c>
      <c r="AA408" s="141" t="s">
        <v>367</v>
      </c>
      <c r="AB408" s="122" t="s">
        <v>11026</v>
      </c>
      <c r="AC408" s="141" t="s">
        <v>1629</v>
      </c>
      <c r="AD408" s="122" t="s">
        <v>11026</v>
      </c>
      <c r="AE408" s="122" t="s">
        <v>235</v>
      </c>
      <c r="AF408" s="122" t="s">
        <v>11027</v>
      </c>
      <c r="AG408" s="122" t="s">
        <v>537</v>
      </c>
      <c r="AH408" s="122" t="s">
        <v>253</v>
      </c>
      <c r="AI408" s="122" t="s">
        <v>11028</v>
      </c>
      <c r="AJ408" s="122" t="s">
        <v>11029</v>
      </c>
      <c r="AK408" s="122" t="s">
        <v>253</v>
      </c>
      <c r="AL408" s="122" t="s">
        <v>253</v>
      </c>
      <c r="AM408" s="122" t="s">
        <v>253</v>
      </c>
      <c r="AN408" s="122" t="s">
        <v>253</v>
      </c>
      <c r="AO408" s="141" t="s">
        <v>247</v>
      </c>
      <c r="AP408" s="141" t="s">
        <v>247</v>
      </c>
      <c r="AQ408" s="141" t="s">
        <v>247</v>
      </c>
      <c r="AR408" s="141" t="s">
        <v>253</v>
      </c>
      <c r="AS408" s="141" t="s">
        <v>601</v>
      </c>
      <c r="AT408" s="141" t="s">
        <v>601</v>
      </c>
      <c r="AU408" s="141" t="s">
        <v>258</v>
      </c>
      <c r="AV408" s="122" t="s">
        <v>259</v>
      </c>
      <c r="AW408" s="122" t="s">
        <v>260</v>
      </c>
      <c r="AY408" s="141" t="s">
        <v>253</v>
      </c>
      <c r="AZ408" s="122" t="s">
        <v>11030</v>
      </c>
      <c r="BA408" s="122" t="s">
        <v>262</v>
      </c>
      <c r="BB408" s="122" t="s">
        <v>262</v>
      </c>
      <c r="BD408" s="122" t="s">
        <v>253</v>
      </c>
      <c r="BE408" s="122" t="s">
        <v>263</v>
      </c>
      <c r="BF408" s="122" t="s">
        <v>4688</v>
      </c>
      <c r="BH408" s="122" t="s">
        <v>4681</v>
      </c>
      <c r="BI408" s="142">
        <v>78</v>
      </c>
      <c r="BJ408" s="123">
        <v>42230</v>
      </c>
      <c r="BK408" s="139" t="s">
        <v>264</v>
      </c>
      <c r="BL408" s="140">
        <v>275.70999999999998</v>
      </c>
      <c r="BM408" s="122">
        <v>33</v>
      </c>
    </row>
    <row r="409" spans="1:66" x14ac:dyDescent="0.25">
      <c r="A409" s="122" t="s">
        <v>6059</v>
      </c>
      <c r="B409" s="122" t="s">
        <v>11031</v>
      </c>
      <c r="C409" s="122" t="s">
        <v>11032</v>
      </c>
      <c r="D409" s="122" t="s">
        <v>11033</v>
      </c>
      <c r="E409" s="123">
        <v>42226</v>
      </c>
      <c r="F409" s="122" t="s">
        <v>11034</v>
      </c>
      <c r="G409" s="122" t="s">
        <v>235</v>
      </c>
      <c r="H409" s="122" t="s">
        <v>11035</v>
      </c>
      <c r="I409" s="122" t="s">
        <v>11036</v>
      </c>
      <c r="K409" s="122" t="s">
        <v>5673</v>
      </c>
      <c r="L409" s="122" t="s">
        <v>5674</v>
      </c>
      <c r="M409" s="122" t="s">
        <v>11037</v>
      </c>
      <c r="O409" s="141" t="s">
        <v>665</v>
      </c>
      <c r="P409" s="141" t="s">
        <v>11038</v>
      </c>
      <c r="Q409" s="122" t="s">
        <v>5805</v>
      </c>
      <c r="R409" s="142">
        <v>79</v>
      </c>
      <c r="S409" s="122" t="s">
        <v>11039</v>
      </c>
      <c r="U409" s="122" t="s">
        <v>4681</v>
      </c>
      <c r="W409" s="122" t="s">
        <v>246</v>
      </c>
      <c r="X409" s="122" t="s">
        <v>433</v>
      </c>
      <c r="Y409" s="141" t="s">
        <v>593</v>
      </c>
      <c r="Z409" s="122" t="s">
        <v>11040</v>
      </c>
      <c r="AA409" s="141" t="s">
        <v>304</v>
      </c>
      <c r="AB409" s="122" t="s">
        <v>11041</v>
      </c>
      <c r="AC409" s="141" t="s">
        <v>899</v>
      </c>
      <c r="AD409" s="122" t="s">
        <v>11042</v>
      </c>
      <c r="AE409" s="122" t="s">
        <v>235</v>
      </c>
      <c r="AF409" s="122" t="s">
        <v>11043</v>
      </c>
      <c r="AG409" s="122" t="s">
        <v>537</v>
      </c>
      <c r="AH409" s="122" t="s">
        <v>253</v>
      </c>
      <c r="AI409" s="122" t="s">
        <v>11044</v>
      </c>
      <c r="AJ409" s="122" t="s">
        <v>11045</v>
      </c>
      <c r="AK409" s="122" t="s">
        <v>253</v>
      </c>
      <c r="AL409" s="122" t="s">
        <v>253</v>
      </c>
      <c r="AM409" s="122" t="s">
        <v>253</v>
      </c>
      <c r="AN409" s="122" t="s">
        <v>253</v>
      </c>
      <c r="AO409" s="141" t="s">
        <v>247</v>
      </c>
      <c r="AP409" s="141" t="s">
        <v>247</v>
      </c>
      <c r="AQ409" s="141" t="s">
        <v>253</v>
      </c>
      <c r="AR409" s="141" t="s">
        <v>247</v>
      </c>
      <c r="AS409" s="141" t="s">
        <v>601</v>
      </c>
      <c r="AT409" s="141" t="s">
        <v>258</v>
      </c>
      <c r="AU409" s="141" t="s">
        <v>601</v>
      </c>
      <c r="AV409" s="122" t="s">
        <v>259</v>
      </c>
      <c r="AW409" s="122" t="s">
        <v>260</v>
      </c>
      <c r="AY409" s="141" t="s">
        <v>253</v>
      </c>
      <c r="AZ409" s="122" t="s">
        <v>11046</v>
      </c>
      <c r="BA409" s="122" t="s">
        <v>262</v>
      </c>
      <c r="BB409" s="122" t="s">
        <v>11047</v>
      </c>
      <c r="BD409" s="122" t="s">
        <v>253</v>
      </c>
      <c r="BE409" s="122" t="s">
        <v>263</v>
      </c>
      <c r="BF409" s="122" t="s">
        <v>4688</v>
      </c>
      <c r="BH409" s="122" t="s">
        <v>4681</v>
      </c>
      <c r="BI409" s="142">
        <v>79</v>
      </c>
    </row>
    <row r="410" spans="1:66" x14ac:dyDescent="0.25">
      <c r="A410" s="122" t="s">
        <v>6059</v>
      </c>
      <c r="B410" s="122" t="s">
        <v>11048</v>
      </c>
      <c r="C410" s="122" t="s">
        <v>11049</v>
      </c>
      <c r="D410" s="122" t="s">
        <v>11050</v>
      </c>
      <c r="E410" s="123">
        <v>42226</v>
      </c>
      <c r="F410" s="122" t="s">
        <v>304</v>
      </c>
      <c r="G410" s="122" t="s">
        <v>235</v>
      </c>
      <c r="H410" s="122" t="s">
        <v>11051</v>
      </c>
      <c r="I410" s="122" t="s">
        <v>11052</v>
      </c>
      <c r="K410" s="122" t="s">
        <v>5800</v>
      </c>
      <c r="L410" s="122" t="s">
        <v>5801</v>
      </c>
      <c r="M410" s="122" t="s">
        <v>5802</v>
      </c>
      <c r="Q410" s="122" t="s">
        <v>5805</v>
      </c>
      <c r="R410" s="142">
        <v>80</v>
      </c>
      <c r="S410" s="122" t="s">
        <v>11053</v>
      </c>
      <c r="U410" s="122" t="s">
        <v>4681</v>
      </c>
      <c r="W410" s="122" t="s">
        <v>246</v>
      </c>
      <c r="X410" s="122" t="s">
        <v>1643</v>
      </c>
      <c r="Z410" s="122" t="s">
        <v>250</v>
      </c>
      <c r="AB410" s="122" t="s">
        <v>250</v>
      </c>
      <c r="AD410" s="122" t="s">
        <v>250</v>
      </c>
      <c r="AE410" s="122" t="s">
        <v>235</v>
      </c>
      <c r="AF410" s="122" t="s">
        <v>11054</v>
      </c>
      <c r="AG410" s="122" t="s">
        <v>253</v>
      </c>
      <c r="AH410" s="122" t="s">
        <v>253</v>
      </c>
      <c r="AI410" s="122" t="s">
        <v>3682</v>
      </c>
      <c r="AJ410" s="122" t="s">
        <v>11055</v>
      </c>
      <c r="AK410" s="122" t="s">
        <v>11056</v>
      </c>
      <c r="AL410" s="122" t="s">
        <v>253</v>
      </c>
      <c r="AM410" s="122" t="s">
        <v>253</v>
      </c>
      <c r="AN410" s="122" t="s">
        <v>253</v>
      </c>
      <c r="AO410" s="141" t="s">
        <v>253</v>
      </c>
      <c r="AP410" s="141" t="s">
        <v>253</v>
      </c>
      <c r="AQ410" s="141" t="s">
        <v>247</v>
      </c>
      <c r="AR410" s="141" t="s">
        <v>253</v>
      </c>
      <c r="AS410" s="141" t="s">
        <v>361</v>
      </c>
      <c r="AT410" s="141" t="s">
        <v>601</v>
      </c>
      <c r="AU410" s="141" t="s">
        <v>258</v>
      </c>
      <c r="AV410" s="122" t="s">
        <v>259</v>
      </c>
      <c r="AW410" s="122" t="s">
        <v>260</v>
      </c>
      <c r="AY410" s="141" t="s">
        <v>253</v>
      </c>
      <c r="AZ410" s="122" t="s">
        <v>11057</v>
      </c>
      <c r="BA410" s="122" t="s">
        <v>262</v>
      </c>
      <c r="BB410" s="122" t="s">
        <v>262</v>
      </c>
      <c r="BD410" s="122" t="s">
        <v>253</v>
      </c>
      <c r="BE410" s="122" t="s">
        <v>263</v>
      </c>
      <c r="BF410" s="122" t="s">
        <v>4688</v>
      </c>
      <c r="BH410" s="122" t="s">
        <v>4681</v>
      </c>
      <c r="BI410" s="142">
        <v>80</v>
      </c>
      <c r="BJ410" s="123">
        <v>42236</v>
      </c>
      <c r="BK410" s="139" t="s">
        <v>264</v>
      </c>
      <c r="BL410" s="140">
        <v>171.05</v>
      </c>
      <c r="BM410" s="122">
        <v>34</v>
      </c>
    </row>
    <row r="411" spans="1:66" x14ac:dyDescent="0.25">
      <c r="A411" s="122" t="s">
        <v>6059</v>
      </c>
      <c r="B411" s="122" t="s">
        <v>11058</v>
      </c>
      <c r="C411" s="122" t="s">
        <v>11059</v>
      </c>
      <c r="D411" s="122" t="s">
        <v>11060</v>
      </c>
      <c r="E411" s="123">
        <v>42226</v>
      </c>
      <c r="F411" s="122" t="s">
        <v>11061</v>
      </c>
      <c r="G411" s="122" t="s">
        <v>235</v>
      </c>
      <c r="H411" s="122" t="s">
        <v>11062</v>
      </c>
      <c r="I411" s="122" t="s">
        <v>11063</v>
      </c>
      <c r="K411" s="122" t="s">
        <v>3419</v>
      </c>
      <c r="L411" s="122" t="s">
        <v>3420</v>
      </c>
      <c r="M411" s="122" t="s">
        <v>3504</v>
      </c>
      <c r="O411" s="141" t="s">
        <v>2038</v>
      </c>
      <c r="P411" s="141" t="s">
        <v>11064</v>
      </c>
      <c r="Q411" s="122" t="s">
        <v>3424</v>
      </c>
      <c r="R411" s="142">
        <v>81</v>
      </c>
      <c r="S411" s="122" t="s">
        <v>11065</v>
      </c>
      <c r="U411" s="122" t="s">
        <v>4681</v>
      </c>
      <c r="W411" s="122" t="s">
        <v>246</v>
      </c>
      <c r="X411" s="122" t="s">
        <v>433</v>
      </c>
      <c r="Y411" s="141" t="s">
        <v>705</v>
      </c>
      <c r="Z411" s="122" t="s">
        <v>305</v>
      </c>
      <c r="AA411" s="141" t="s">
        <v>595</v>
      </c>
      <c r="AB411" s="122" t="s">
        <v>7498</v>
      </c>
      <c r="AC411" s="141" t="s">
        <v>595</v>
      </c>
      <c r="AD411" s="122" t="s">
        <v>1144</v>
      </c>
      <c r="AE411" s="122" t="s">
        <v>235</v>
      </c>
      <c r="AF411" s="122" t="s">
        <v>11066</v>
      </c>
      <c r="AG411" s="122" t="s">
        <v>11067</v>
      </c>
      <c r="AH411" s="122" t="s">
        <v>253</v>
      </c>
      <c r="AI411" s="122" t="s">
        <v>11068</v>
      </c>
      <c r="AJ411" s="122" t="s">
        <v>11069</v>
      </c>
      <c r="AK411" s="122" t="s">
        <v>253</v>
      </c>
      <c r="AL411" s="122" t="s">
        <v>253</v>
      </c>
      <c r="AM411" s="122" t="s">
        <v>253</v>
      </c>
      <c r="AN411" s="122" t="s">
        <v>253</v>
      </c>
      <c r="AO411" s="141" t="s">
        <v>247</v>
      </c>
      <c r="AP411" s="141" t="s">
        <v>247</v>
      </c>
      <c r="AQ411" s="141" t="s">
        <v>253</v>
      </c>
      <c r="AR411" s="141" t="s">
        <v>247</v>
      </c>
      <c r="AS411" s="141" t="s">
        <v>601</v>
      </c>
      <c r="AT411" s="141" t="s">
        <v>258</v>
      </c>
      <c r="AU411" s="141" t="s">
        <v>257</v>
      </c>
      <c r="AV411" s="122" t="s">
        <v>259</v>
      </c>
      <c r="AW411" s="122" t="s">
        <v>260</v>
      </c>
      <c r="AY411" s="141" t="s">
        <v>253</v>
      </c>
      <c r="AZ411" s="122" t="s">
        <v>11070</v>
      </c>
      <c r="BA411" s="122" t="s">
        <v>262</v>
      </c>
      <c r="BB411" s="122" t="s">
        <v>262</v>
      </c>
      <c r="BD411" s="122" t="s">
        <v>253</v>
      </c>
      <c r="BE411" s="122" t="s">
        <v>263</v>
      </c>
      <c r="BF411" s="122" t="s">
        <v>4688</v>
      </c>
      <c r="BH411" s="122" t="s">
        <v>4681</v>
      </c>
      <c r="BI411" s="142">
        <v>81</v>
      </c>
      <c r="BJ411" s="123">
        <v>42239</v>
      </c>
      <c r="BK411" s="139" t="s">
        <v>606</v>
      </c>
      <c r="BM411" s="122">
        <v>34</v>
      </c>
    </row>
    <row r="412" spans="1:66" x14ac:dyDescent="0.25">
      <c r="A412" s="122" t="s">
        <v>6059</v>
      </c>
      <c r="B412" s="122" t="s">
        <v>11071</v>
      </c>
      <c r="C412" s="122" t="s">
        <v>11072</v>
      </c>
      <c r="D412" s="122" t="s">
        <v>11073</v>
      </c>
      <c r="E412" s="123">
        <v>42226</v>
      </c>
      <c r="F412" s="122" t="s">
        <v>11074</v>
      </c>
      <c r="G412" s="122" t="s">
        <v>235</v>
      </c>
      <c r="H412" s="122" t="s">
        <v>11075</v>
      </c>
      <c r="I412" s="122" t="s">
        <v>11076</v>
      </c>
      <c r="J412" s="122" t="s">
        <v>2158</v>
      </c>
      <c r="K412" s="122" t="s">
        <v>5800</v>
      </c>
      <c r="L412" s="122" t="s">
        <v>5801</v>
      </c>
      <c r="M412" s="122" t="s">
        <v>5802</v>
      </c>
      <c r="O412" s="141" t="s">
        <v>566</v>
      </c>
      <c r="P412" s="141" t="s">
        <v>11077</v>
      </c>
      <c r="Q412" s="122" t="s">
        <v>5805</v>
      </c>
      <c r="R412" s="142">
        <v>82</v>
      </c>
      <c r="S412" s="122" t="s">
        <v>11078</v>
      </c>
      <c r="U412" s="122" t="s">
        <v>4681</v>
      </c>
      <c r="W412" s="122" t="s">
        <v>246</v>
      </c>
      <c r="X412" s="122" t="s">
        <v>2624</v>
      </c>
      <c r="Y412" s="141" t="s">
        <v>1440</v>
      </c>
      <c r="Z412" s="122" t="s">
        <v>11079</v>
      </c>
      <c r="AA412" s="141" t="s">
        <v>356</v>
      </c>
      <c r="AB412" s="122" t="s">
        <v>9662</v>
      </c>
      <c r="AC412" s="141" t="s">
        <v>234</v>
      </c>
      <c r="AD412" s="122" t="s">
        <v>11080</v>
      </c>
      <c r="AE412" s="122" t="s">
        <v>235</v>
      </c>
      <c r="AF412" s="122" t="s">
        <v>11081</v>
      </c>
      <c r="AG412" s="122" t="s">
        <v>11082</v>
      </c>
      <c r="AH412" s="122" t="s">
        <v>253</v>
      </c>
      <c r="AI412" s="122" t="s">
        <v>11083</v>
      </c>
      <c r="AJ412" s="122" t="s">
        <v>11084</v>
      </c>
      <c r="AK412" s="122" t="s">
        <v>253</v>
      </c>
      <c r="AL412" s="122" t="s">
        <v>253</v>
      </c>
      <c r="AM412" s="122" t="s">
        <v>253</v>
      </c>
      <c r="AN412" s="122" t="s">
        <v>253</v>
      </c>
      <c r="AO412" s="141" t="s">
        <v>247</v>
      </c>
      <c r="AP412" s="141" t="s">
        <v>247</v>
      </c>
      <c r="AQ412" s="141" t="s">
        <v>247</v>
      </c>
      <c r="AR412" s="141" t="s">
        <v>253</v>
      </c>
      <c r="AS412" s="141" t="s">
        <v>601</v>
      </c>
      <c r="AT412" s="141" t="s">
        <v>601</v>
      </c>
      <c r="AU412" s="141" t="s">
        <v>258</v>
      </c>
      <c r="AV412" s="122" t="s">
        <v>259</v>
      </c>
      <c r="AW412" s="122" t="s">
        <v>260</v>
      </c>
      <c r="AY412" s="141" t="s">
        <v>253</v>
      </c>
      <c r="AZ412" s="122" t="s">
        <v>11085</v>
      </c>
      <c r="BA412" s="122" t="s">
        <v>262</v>
      </c>
      <c r="BB412" s="122" t="s">
        <v>262</v>
      </c>
      <c r="BD412" s="122" t="s">
        <v>253</v>
      </c>
      <c r="BE412" s="122" t="s">
        <v>263</v>
      </c>
      <c r="BF412" s="122" t="s">
        <v>4688</v>
      </c>
      <c r="BH412" s="122" t="s">
        <v>4681</v>
      </c>
      <c r="BI412" s="142">
        <v>82</v>
      </c>
      <c r="BJ412" s="123">
        <v>42238</v>
      </c>
      <c r="BK412" s="139" t="s">
        <v>606</v>
      </c>
      <c r="BM412" s="122">
        <v>34</v>
      </c>
    </row>
    <row r="413" spans="1:66" x14ac:dyDescent="0.25">
      <c r="A413" s="122" t="s">
        <v>6059</v>
      </c>
      <c r="B413" s="122" t="s">
        <v>11086</v>
      </c>
      <c r="C413" s="122" t="s">
        <v>11087</v>
      </c>
      <c r="D413" s="122" t="s">
        <v>11088</v>
      </c>
      <c r="E413" s="123">
        <v>42226</v>
      </c>
      <c r="F413" s="122" t="s">
        <v>744</v>
      </c>
      <c r="G413" s="122" t="s">
        <v>235</v>
      </c>
      <c r="H413" s="122" t="s">
        <v>11089</v>
      </c>
      <c r="I413" s="122" t="s">
        <v>11090</v>
      </c>
      <c r="J413" s="122" t="s">
        <v>1053</v>
      </c>
      <c r="K413" s="122" t="s">
        <v>3419</v>
      </c>
      <c r="L413" s="122" t="s">
        <v>3503</v>
      </c>
      <c r="M413" s="122" t="s">
        <v>3504</v>
      </c>
      <c r="O413" s="141" t="s">
        <v>373</v>
      </c>
      <c r="P413" s="141" t="s">
        <v>11091</v>
      </c>
      <c r="Q413" s="122" t="s">
        <v>3424</v>
      </c>
      <c r="R413" s="142">
        <v>83</v>
      </c>
      <c r="S413" s="122" t="s">
        <v>11092</v>
      </c>
      <c r="U413" s="122" t="s">
        <v>4681</v>
      </c>
      <c r="W413" s="122" t="s">
        <v>246</v>
      </c>
      <c r="X413" s="122" t="s">
        <v>454</v>
      </c>
      <c r="Y413" s="141" t="s">
        <v>457</v>
      </c>
      <c r="Z413" s="122" t="s">
        <v>11093</v>
      </c>
      <c r="AB413" s="122" t="s">
        <v>250</v>
      </c>
      <c r="AD413" s="122" t="s">
        <v>250</v>
      </c>
      <c r="AE413" s="122" t="s">
        <v>235</v>
      </c>
      <c r="AF413" s="122" t="s">
        <v>11094</v>
      </c>
      <c r="AG413" s="122" t="s">
        <v>537</v>
      </c>
      <c r="AH413" s="122" t="s">
        <v>253</v>
      </c>
      <c r="AI413" s="122" t="s">
        <v>11095</v>
      </c>
      <c r="AJ413" s="122" t="s">
        <v>11096</v>
      </c>
      <c r="AK413" s="122" t="s">
        <v>253</v>
      </c>
      <c r="AL413" s="122" t="s">
        <v>253</v>
      </c>
      <c r="AM413" s="122" t="s">
        <v>253</v>
      </c>
      <c r="AN413" s="122" t="s">
        <v>253</v>
      </c>
      <c r="AO413" s="141" t="s">
        <v>247</v>
      </c>
      <c r="AP413" s="141" t="s">
        <v>247</v>
      </c>
      <c r="AQ413" s="141" t="s">
        <v>247</v>
      </c>
      <c r="AR413" s="141" t="s">
        <v>253</v>
      </c>
      <c r="AS413" s="141" t="s">
        <v>601</v>
      </c>
      <c r="AT413" s="141" t="s">
        <v>601</v>
      </c>
      <c r="AU413" s="141" t="s">
        <v>258</v>
      </c>
      <c r="AV413" s="122" t="s">
        <v>259</v>
      </c>
      <c r="AW413" s="122" t="s">
        <v>260</v>
      </c>
      <c r="AY413" s="141" t="s">
        <v>253</v>
      </c>
      <c r="AZ413" s="122" t="s">
        <v>11097</v>
      </c>
      <c r="BA413" s="122" t="s">
        <v>262</v>
      </c>
      <c r="BB413" s="122" t="s">
        <v>262</v>
      </c>
      <c r="BD413" s="122" t="s">
        <v>253</v>
      </c>
      <c r="BE413" s="122" t="s">
        <v>263</v>
      </c>
      <c r="BF413" s="122" t="s">
        <v>4688</v>
      </c>
      <c r="BH413" s="122" t="s">
        <v>4681</v>
      </c>
      <c r="BI413" s="142">
        <v>83</v>
      </c>
      <c r="BJ413" s="123">
        <v>42237</v>
      </c>
      <c r="BK413" s="139" t="s">
        <v>606</v>
      </c>
      <c r="BM413" s="122">
        <v>34</v>
      </c>
    </row>
    <row r="414" spans="1:66" x14ac:dyDescent="0.25">
      <c r="A414" s="122" t="s">
        <v>6059</v>
      </c>
      <c r="B414" s="122" t="s">
        <v>11098</v>
      </c>
      <c r="C414" s="122" t="s">
        <v>11099</v>
      </c>
      <c r="D414" s="122" t="s">
        <v>11100</v>
      </c>
      <c r="E414" s="123">
        <v>42226</v>
      </c>
      <c r="F414" s="122" t="s">
        <v>10826</v>
      </c>
      <c r="G414" s="122" t="s">
        <v>235</v>
      </c>
      <c r="H414" s="122" t="s">
        <v>448</v>
      </c>
      <c r="I414" s="122" t="s">
        <v>10960</v>
      </c>
      <c r="J414" s="122" t="s">
        <v>11101</v>
      </c>
      <c r="K414" s="122" t="s">
        <v>5879</v>
      </c>
      <c r="L414" s="122" t="s">
        <v>5880</v>
      </c>
      <c r="M414" s="122" t="s">
        <v>5881</v>
      </c>
      <c r="O414" s="141" t="s">
        <v>873</v>
      </c>
      <c r="P414" s="141" t="s">
        <v>11102</v>
      </c>
      <c r="Q414" s="122" t="s">
        <v>5883</v>
      </c>
      <c r="R414" s="142">
        <v>84</v>
      </c>
      <c r="S414" s="122" t="s">
        <v>11103</v>
      </c>
      <c r="U414" s="122" t="s">
        <v>4681</v>
      </c>
      <c r="W414" s="122" t="s">
        <v>246</v>
      </c>
      <c r="X414" s="122" t="s">
        <v>590</v>
      </c>
      <c r="Y414" s="141" t="s">
        <v>378</v>
      </c>
      <c r="Z414" s="122" t="s">
        <v>11104</v>
      </c>
      <c r="AA414" s="141" t="s">
        <v>2701</v>
      </c>
      <c r="AB414" s="122" t="s">
        <v>11105</v>
      </c>
      <c r="AC414" s="141" t="s">
        <v>4082</v>
      </c>
      <c r="AD414" s="122" t="s">
        <v>11106</v>
      </c>
      <c r="AE414" s="122" t="s">
        <v>235</v>
      </c>
      <c r="AF414" s="122" t="s">
        <v>9554</v>
      </c>
      <c r="AG414" s="122" t="s">
        <v>537</v>
      </c>
      <c r="AH414" s="122" t="s">
        <v>253</v>
      </c>
      <c r="AI414" s="122" t="s">
        <v>11107</v>
      </c>
      <c r="AJ414" s="122" t="s">
        <v>11108</v>
      </c>
      <c r="AK414" s="122" t="s">
        <v>253</v>
      </c>
      <c r="AL414" s="122" t="s">
        <v>253</v>
      </c>
      <c r="AM414" s="122" t="s">
        <v>253</v>
      </c>
      <c r="AN414" s="122" t="s">
        <v>253</v>
      </c>
      <c r="AO414" s="141" t="s">
        <v>247</v>
      </c>
      <c r="AP414" s="141" t="s">
        <v>247</v>
      </c>
      <c r="AQ414" s="141" t="s">
        <v>247</v>
      </c>
      <c r="AR414" s="141" t="s">
        <v>253</v>
      </c>
      <c r="AS414" s="141" t="s">
        <v>601</v>
      </c>
      <c r="AT414" s="141" t="s">
        <v>601</v>
      </c>
      <c r="AU414" s="141" t="s">
        <v>258</v>
      </c>
      <c r="AV414" s="122" t="s">
        <v>259</v>
      </c>
      <c r="AW414" s="122" t="s">
        <v>260</v>
      </c>
      <c r="AY414" s="141" t="s">
        <v>253</v>
      </c>
      <c r="AZ414" s="122" t="s">
        <v>262</v>
      </c>
      <c r="BA414" s="122" t="s">
        <v>262</v>
      </c>
      <c r="BB414" s="122" t="s">
        <v>11109</v>
      </c>
      <c r="BD414" s="122" t="s">
        <v>253</v>
      </c>
      <c r="BE414" s="122" t="s">
        <v>263</v>
      </c>
      <c r="BF414" s="122" t="s">
        <v>4688</v>
      </c>
      <c r="BH414" s="122" t="s">
        <v>4681</v>
      </c>
      <c r="BI414" s="142">
        <v>84</v>
      </c>
      <c r="BK414" s="139" t="s">
        <v>1029</v>
      </c>
      <c r="BN414" s="122" t="s">
        <v>11110</v>
      </c>
    </row>
    <row r="415" spans="1:66" x14ac:dyDescent="0.25">
      <c r="A415" s="122" t="s">
        <v>6059</v>
      </c>
      <c r="B415" s="122" t="s">
        <v>11111</v>
      </c>
      <c r="C415" s="122" t="s">
        <v>11112</v>
      </c>
      <c r="D415" s="122" t="s">
        <v>11113</v>
      </c>
      <c r="E415" s="123">
        <v>42226</v>
      </c>
      <c r="F415" s="122" t="s">
        <v>11114</v>
      </c>
      <c r="G415" s="122" t="s">
        <v>235</v>
      </c>
      <c r="H415" s="122" t="s">
        <v>11115</v>
      </c>
      <c r="I415" s="122" t="s">
        <v>11116</v>
      </c>
      <c r="K415" s="122" t="s">
        <v>3419</v>
      </c>
      <c r="L415" s="122" t="s">
        <v>3503</v>
      </c>
      <c r="M415" s="122" t="s">
        <v>3504</v>
      </c>
      <c r="O415" s="141" t="s">
        <v>916</v>
      </c>
      <c r="P415" s="141" t="s">
        <v>11117</v>
      </c>
      <c r="Q415" s="122" t="s">
        <v>3424</v>
      </c>
      <c r="R415" s="142">
        <v>85</v>
      </c>
      <c r="S415" s="122" t="s">
        <v>11118</v>
      </c>
      <c r="U415" s="122" t="s">
        <v>4681</v>
      </c>
      <c r="W415" s="122" t="s">
        <v>246</v>
      </c>
      <c r="X415" s="122" t="s">
        <v>2624</v>
      </c>
      <c r="Y415" s="141" t="s">
        <v>705</v>
      </c>
      <c r="Z415" s="122" t="s">
        <v>11119</v>
      </c>
      <c r="AA415" s="141" t="s">
        <v>2133</v>
      </c>
      <c r="AB415" s="122" t="s">
        <v>11120</v>
      </c>
      <c r="AC415" s="141" t="s">
        <v>1023</v>
      </c>
      <c r="AD415" s="122" t="s">
        <v>11121</v>
      </c>
      <c r="AE415" s="122" t="s">
        <v>235</v>
      </c>
      <c r="AF415" s="122" t="s">
        <v>11122</v>
      </c>
      <c r="AG415" s="122" t="s">
        <v>537</v>
      </c>
      <c r="AH415" s="122" t="s">
        <v>253</v>
      </c>
      <c r="AI415" s="122" t="s">
        <v>11123</v>
      </c>
      <c r="AJ415" s="122" t="s">
        <v>11124</v>
      </c>
      <c r="AK415" s="122" t="s">
        <v>253</v>
      </c>
      <c r="AL415" s="122" t="s">
        <v>253</v>
      </c>
      <c r="AM415" s="122" t="s">
        <v>253</v>
      </c>
      <c r="AN415" s="122" t="s">
        <v>253</v>
      </c>
      <c r="AO415" s="141" t="s">
        <v>247</v>
      </c>
      <c r="AP415" s="141" t="s">
        <v>247</v>
      </c>
      <c r="AQ415" s="141" t="s">
        <v>247</v>
      </c>
      <c r="AR415" s="141" t="s">
        <v>247</v>
      </c>
      <c r="AS415" s="141" t="s">
        <v>601</v>
      </c>
      <c r="AT415" s="141" t="s">
        <v>601</v>
      </c>
      <c r="AU415" s="141" t="s">
        <v>601</v>
      </c>
      <c r="AV415" s="122" t="s">
        <v>259</v>
      </c>
      <c r="AW415" s="122" t="s">
        <v>260</v>
      </c>
      <c r="AY415" s="141" t="s">
        <v>253</v>
      </c>
      <c r="AZ415" s="122" t="s">
        <v>11125</v>
      </c>
      <c r="BA415" s="122" t="s">
        <v>262</v>
      </c>
      <c r="BB415" s="122" t="s">
        <v>11126</v>
      </c>
      <c r="BD415" s="122" t="s">
        <v>253</v>
      </c>
      <c r="BE415" s="122" t="s">
        <v>263</v>
      </c>
      <c r="BF415" s="122" t="s">
        <v>4688</v>
      </c>
      <c r="BH415" s="122" t="s">
        <v>4681</v>
      </c>
      <c r="BI415" s="142">
        <v>85</v>
      </c>
      <c r="BJ415" s="123">
        <v>42231</v>
      </c>
      <c r="BK415" s="139" t="s">
        <v>264</v>
      </c>
      <c r="BL415" s="140">
        <v>170.02</v>
      </c>
      <c r="BM415" s="122">
        <v>33</v>
      </c>
    </row>
    <row r="416" spans="1:66" x14ac:dyDescent="0.25">
      <c r="A416" s="122" t="s">
        <v>6059</v>
      </c>
      <c r="B416" s="122" t="s">
        <v>11127</v>
      </c>
      <c r="C416" s="122" t="s">
        <v>11128</v>
      </c>
      <c r="D416" s="122" t="s">
        <v>11129</v>
      </c>
      <c r="E416" s="123">
        <v>42226</v>
      </c>
      <c r="F416" s="122" t="s">
        <v>11130</v>
      </c>
      <c r="G416" s="122" t="s">
        <v>235</v>
      </c>
      <c r="H416" s="122" t="s">
        <v>448</v>
      </c>
      <c r="I416" s="122" t="s">
        <v>11131</v>
      </c>
      <c r="K416" s="122" t="s">
        <v>11132</v>
      </c>
      <c r="L416" s="122" t="s">
        <v>11133</v>
      </c>
      <c r="M416" s="122" t="s">
        <v>3504</v>
      </c>
      <c r="N416" s="122" t="s">
        <v>11134</v>
      </c>
      <c r="O416" s="141" t="s">
        <v>241</v>
      </c>
      <c r="P416" s="141" t="s">
        <v>11135</v>
      </c>
      <c r="Q416" s="122" t="s">
        <v>3424</v>
      </c>
      <c r="R416" s="142">
        <v>86</v>
      </c>
      <c r="S416" s="122" t="s">
        <v>11136</v>
      </c>
      <c r="U416" s="122" t="s">
        <v>4681</v>
      </c>
      <c r="W416" s="122" t="s">
        <v>246</v>
      </c>
      <c r="X416" s="122" t="s">
        <v>590</v>
      </c>
      <c r="Y416" s="141" t="s">
        <v>378</v>
      </c>
      <c r="Z416" s="122" t="s">
        <v>11137</v>
      </c>
      <c r="AA416" s="141" t="s">
        <v>511</v>
      </c>
      <c r="AB416" s="122" t="s">
        <v>355</v>
      </c>
      <c r="AC416" s="141" t="s">
        <v>502</v>
      </c>
      <c r="AD416" s="122" t="s">
        <v>11138</v>
      </c>
      <c r="AE416" s="122" t="s">
        <v>235</v>
      </c>
      <c r="AF416" s="122" t="s">
        <v>11139</v>
      </c>
      <c r="AG416" s="122" t="s">
        <v>537</v>
      </c>
      <c r="AH416" s="122" t="s">
        <v>253</v>
      </c>
      <c r="AI416" s="122" t="s">
        <v>11140</v>
      </c>
      <c r="AJ416" s="122" t="s">
        <v>11141</v>
      </c>
      <c r="AK416" s="122" t="s">
        <v>253</v>
      </c>
      <c r="AL416" s="122" t="s">
        <v>253</v>
      </c>
      <c r="AM416" s="122" t="s">
        <v>253</v>
      </c>
      <c r="AN416" s="122" t="s">
        <v>253</v>
      </c>
      <c r="AO416" s="141" t="s">
        <v>253</v>
      </c>
      <c r="AP416" s="141" t="s">
        <v>253</v>
      </c>
      <c r="AQ416" s="141" t="s">
        <v>247</v>
      </c>
      <c r="AR416" s="141" t="s">
        <v>253</v>
      </c>
      <c r="AS416" s="141" t="s">
        <v>361</v>
      </c>
      <c r="AT416" s="141" t="s">
        <v>601</v>
      </c>
      <c r="AU416" s="141" t="s">
        <v>258</v>
      </c>
      <c r="AV416" s="122" t="s">
        <v>259</v>
      </c>
      <c r="AW416" s="122" t="s">
        <v>260</v>
      </c>
      <c r="AX416" s="141" t="s">
        <v>11142</v>
      </c>
      <c r="AY416" s="141" t="s">
        <v>247</v>
      </c>
      <c r="AZ416" s="122" t="s">
        <v>262</v>
      </c>
      <c r="BA416" s="122" t="s">
        <v>262</v>
      </c>
      <c r="BB416" s="122" t="s">
        <v>11143</v>
      </c>
      <c r="BD416" s="122" t="s">
        <v>253</v>
      </c>
      <c r="BE416" s="122" t="s">
        <v>263</v>
      </c>
      <c r="BF416" s="122" t="s">
        <v>4688</v>
      </c>
      <c r="BH416" s="122" t="s">
        <v>4681</v>
      </c>
      <c r="BI416" s="142">
        <v>86</v>
      </c>
      <c r="BJ416" s="123">
        <v>42239</v>
      </c>
      <c r="BK416" s="139" t="s">
        <v>606</v>
      </c>
      <c r="BM416" s="122">
        <v>34</v>
      </c>
    </row>
    <row r="417" spans="1:65" x14ac:dyDescent="0.25">
      <c r="A417" s="122" t="s">
        <v>6735</v>
      </c>
      <c r="B417" s="122" t="s">
        <v>11144</v>
      </c>
      <c r="C417" s="122" t="s">
        <v>11145</v>
      </c>
      <c r="D417" s="122" t="s">
        <v>11146</v>
      </c>
      <c r="E417" s="123">
        <v>42226</v>
      </c>
      <c r="F417" s="122" t="s">
        <v>857</v>
      </c>
      <c r="G417" s="122" t="s">
        <v>235</v>
      </c>
      <c r="H417" s="122" t="s">
        <v>11147</v>
      </c>
      <c r="I417" s="122" t="s">
        <v>11148</v>
      </c>
      <c r="K417" s="122" t="s">
        <v>5673</v>
      </c>
      <c r="L417" s="122" t="s">
        <v>5674</v>
      </c>
      <c r="M417" s="122" t="s">
        <v>11037</v>
      </c>
      <c r="O417" s="141" t="s">
        <v>1055</v>
      </c>
      <c r="P417" s="141" t="s">
        <v>11149</v>
      </c>
      <c r="Q417" s="122" t="s">
        <v>5805</v>
      </c>
      <c r="R417" s="142">
        <v>87</v>
      </c>
      <c r="S417" s="122" t="s">
        <v>11150</v>
      </c>
      <c r="U417" s="122" t="s">
        <v>4681</v>
      </c>
      <c r="W417" s="122" t="s">
        <v>246</v>
      </c>
      <c r="X417" s="122" t="s">
        <v>1057</v>
      </c>
      <c r="Y417" s="141" t="s">
        <v>2717</v>
      </c>
      <c r="Z417" s="122" t="s">
        <v>11151</v>
      </c>
      <c r="AA417" s="141" t="s">
        <v>985</v>
      </c>
      <c r="AB417" s="122" t="s">
        <v>673</v>
      </c>
      <c r="AD417" s="122" t="s">
        <v>250</v>
      </c>
      <c r="AE417" s="122" t="s">
        <v>235</v>
      </c>
      <c r="AF417" s="122" t="s">
        <v>2903</v>
      </c>
      <c r="AG417" s="122" t="s">
        <v>537</v>
      </c>
      <c r="AH417" s="122" t="s">
        <v>253</v>
      </c>
      <c r="AI417" s="122" t="s">
        <v>8157</v>
      </c>
      <c r="AJ417" s="122" t="s">
        <v>11152</v>
      </c>
      <c r="AK417" s="122" t="s">
        <v>253</v>
      </c>
      <c r="AL417" s="122" t="s">
        <v>253</v>
      </c>
      <c r="AM417" s="122" t="s">
        <v>253</v>
      </c>
      <c r="AN417" s="122" t="s">
        <v>253</v>
      </c>
      <c r="AO417" s="141" t="s">
        <v>253</v>
      </c>
      <c r="AP417" s="141" t="s">
        <v>253</v>
      </c>
      <c r="AQ417" s="141" t="s">
        <v>247</v>
      </c>
      <c r="AR417" s="141" t="s">
        <v>253</v>
      </c>
      <c r="AS417" s="141" t="s">
        <v>361</v>
      </c>
      <c r="AT417" s="141" t="s">
        <v>601</v>
      </c>
      <c r="AU417" s="141" t="s">
        <v>258</v>
      </c>
      <c r="AV417" s="122" t="s">
        <v>259</v>
      </c>
      <c r="AW417" s="122" t="s">
        <v>260</v>
      </c>
      <c r="AY417" s="141" t="s">
        <v>253</v>
      </c>
      <c r="AZ417" s="122" t="s">
        <v>11153</v>
      </c>
      <c r="BA417" s="122" t="s">
        <v>262</v>
      </c>
      <c r="BB417" s="122" t="s">
        <v>262</v>
      </c>
      <c r="BD417" s="122" t="s">
        <v>253</v>
      </c>
      <c r="BE417" s="122" t="s">
        <v>263</v>
      </c>
      <c r="BF417" s="122" t="s">
        <v>4688</v>
      </c>
      <c r="BH417" s="122" t="s">
        <v>4681</v>
      </c>
      <c r="BI417" s="142">
        <v>87</v>
      </c>
      <c r="BJ417" s="123">
        <v>42234</v>
      </c>
      <c r="BK417" s="139" t="s">
        <v>264</v>
      </c>
      <c r="BL417" s="140">
        <v>136.74</v>
      </c>
      <c r="BM417" s="122">
        <v>34</v>
      </c>
    </row>
    <row r="418" spans="1:65" x14ac:dyDescent="0.25">
      <c r="A418" s="122" t="s">
        <v>6735</v>
      </c>
      <c r="B418" s="122" t="s">
        <v>11154</v>
      </c>
      <c r="C418" s="122" t="s">
        <v>11155</v>
      </c>
      <c r="D418" s="122" t="s">
        <v>11156</v>
      </c>
      <c r="E418" s="123">
        <v>42226</v>
      </c>
      <c r="F418" s="122" t="s">
        <v>3807</v>
      </c>
      <c r="G418" s="122" t="s">
        <v>235</v>
      </c>
      <c r="H418" s="122" t="s">
        <v>11157</v>
      </c>
      <c r="I418" s="122" t="s">
        <v>11158</v>
      </c>
      <c r="K418" s="122" t="s">
        <v>5673</v>
      </c>
      <c r="L418" s="122" t="s">
        <v>5674</v>
      </c>
      <c r="M418" s="122" t="s">
        <v>5757</v>
      </c>
      <c r="Q418" s="122" t="s">
        <v>5677</v>
      </c>
      <c r="R418" s="142">
        <v>88</v>
      </c>
      <c r="S418" s="122" t="s">
        <v>11159</v>
      </c>
      <c r="U418" s="122" t="s">
        <v>4681</v>
      </c>
      <c r="W418" s="122" t="s">
        <v>246</v>
      </c>
      <c r="X418" s="122" t="s">
        <v>569</v>
      </c>
      <c r="Y418" s="141" t="s">
        <v>6551</v>
      </c>
      <c r="Z418" s="122" t="s">
        <v>11160</v>
      </c>
      <c r="AA418" s="141" t="s">
        <v>707</v>
      </c>
      <c r="AB418" s="122" t="s">
        <v>11161</v>
      </c>
      <c r="AC418" s="141" t="s">
        <v>500</v>
      </c>
      <c r="AD418" s="122" t="s">
        <v>11162</v>
      </c>
      <c r="AE418" s="122" t="s">
        <v>235</v>
      </c>
      <c r="AF418" s="122" t="s">
        <v>11163</v>
      </c>
      <c r="AG418" s="122" t="s">
        <v>253</v>
      </c>
      <c r="AH418" s="122" t="s">
        <v>253</v>
      </c>
      <c r="AI418" s="122" t="s">
        <v>11164</v>
      </c>
      <c r="AJ418" s="122" t="s">
        <v>11165</v>
      </c>
      <c r="AK418" s="122" t="s">
        <v>11166</v>
      </c>
      <c r="AL418" s="122" t="s">
        <v>253</v>
      </c>
      <c r="AM418" s="122" t="s">
        <v>253</v>
      </c>
      <c r="AN418" s="122" t="s">
        <v>253</v>
      </c>
      <c r="AO418" s="141" t="s">
        <v>247</v>
      </c>
      <c r="AP418" s="141" t="s">
        <v>253</v>
      </c>
      <c r="AQ418" s="141" t="s">
        <v>253</v>
      </c>
      <c r="AR418" s="141" t="s">
        <v>253</v>
      </c>
      <c r="AS418" s="141" t="s">
        <v>601</v>
      </c>
      <c r="AT418" s="141" t="s">
        <v>258</v>
      </c>
      <c r="AU418" s="141" t="s">
        <v>258</v>
      </c>
      <c r="AV418" s="122" t="s">
        <v>259</v>
      </c>
      <c r="AW418" s="122" t="s">
        <v>260</v>
      </c>
      <c r="AX418" s="141" t="s">
        <v>2029</v>
      </c>
      <c r="AY418" s="141" t="s">
        <v>442</v>
      </c>
      <c r="AZ418" s="122" t="s">
        <v>11167</v>
      </c>
      <c r="BA418" s="122" t="s">
        <v>262</v>
      </c>
      <c r="BB418" s="122" t="s">
        <v>262</v>
      </c>
      <c r="BD418" s="122" t="s">
        <v>253</v>
      </c>
      <c r="BE418" s="122" t="s">
        <v>263</v>
      </c>
      <c r="BF418" s="122" t="s">
        <v>4688</v>
      </c>
      <c r="BH418" s="122" t="s">
        <v>4681</v>
      </c>
      <c r="BI418" s="142">
        <v>88</v>
      </c>
    </row>
    <row r="419" spans="1:65" x14ac:dyDescent="0.25">
      <c r="A419" s="122" t="s">
        <v>6735</v>
      </c>
      <c r="B419" s="122" t="s">
        <v>11168</v>
      </c>
      <c r="C419" s="122" t="s">
        <v>11169</v>
      </c>
      <c r="D419" s="122" t="s">
        <v>11170</v>
      </c>
      <c r="E419" s="123">
        <v>42226</v>
      </c>
      <c r="F419" s="122" t="s">
        <v>2585</v>
      </c>
      <c r="G419" s="122" t="s">
        <v>235</v>
      </c>
      <c r="H419" s="122" t="s">
        <v>448</v>
      </c>
      <c r="I419" s="122" t="s">
        <v>11171</v>
      </c>
      <c r="K419" s="122" t="s">
        <v>5673</v>
      </c>
      <c r="L419" s="122" t="s">
        <v>5674</v>
      </c>
      <c r="M419" s="122" t="s">
        <v>5757</v>
      </c>
      <c r="O419" s="141" t="s">
        <v>548</v>
      </c>
      <c r="P419" s="141" t="s">
        <v>11172</v>
      </c>
      <c r="Q419" s="122" t="s">
        <v>5677</v>
      </c>
      <c r="R419" s="142">
        <v>89</v>
      </c>
      <c r="S419" s="122" t="s">
        <v>11173</v>
      </c>
      <c r="U419" s="122" t="s">
        <v>4681</v>
      </c>
      <c r="W419" s="122" t="s">
        <v>246</v>
      </c>
      <c r="X419" s="122" t="s">
        <v>497</v>
      </c>
      <c r="Y419" s="141" t="s">
        <v>784</v>
      </c>
      <c r="Z419" s="122" t="s">
        <v>11174</v>
      </c>
      <c r="AA419" s="141" t="s">
        <v>1090</v>
      </c>
      <c r="AB419" s="122" t="s">
        <v>11175</v>
      </c>
      <c r="AC419" s="141" t="s">
        <v>1327</v>
      </c>
      <c r="AD419" s="122" t="s">
        <v>11176</v>
      </c>
      <c r="AE419" s="122" t="s">
        <v>235</v>
      </c>
      <c r="AF419" s="122" t="s">
        <v>11177</v>
      </c>
      <c r="AG419" s="122" t="s">
        <v>537</v>
      </c>
      <c r="AH419" s="122" t="s">
        <v>253</v>
      </c>
      <c r="AI419" s="122" t="s">
        <v>11178</v>
      </c>
      <c r="AJ419" s="122" t="s">
        <v>11179</v>
      </c>
      <c r="AK419" s="122" t="s">
        <v>253</v>
      </c>
      <c r="AL419" s="122" t="s">
        <v>253</v>
      </c>
      <c r="AM419" s="122" t="s">
        <v>253</v>
      </c>
      <c r="AN419" s="122" t="s">
        <v>253</v>
      </c>
      <c r="AO419" s="141" t="s">
        <v>247</v>
      </c>
      <c r="AP419" s="141" t="s">
        <v>247</v>
      </c>
      <c r="AQ419" s="141" t="s">
        <v>253</v>
      </c>
      <c r="AR419" s="141" t="s">
        <v>247</v>
      </c>
      <c r="AS419" s="141" t="s">
        <v>601</v>
      </c>
      <c r="AT419" s="141" t="s">
        <v>258</v>
      </c>
      <c r="AU419" s="141" t="s">
        <v>601</v>
      </c>
      <c r="AV419" s="122" t="s">
        <v>259</v>
      </c>
      <c r="AW419" s="122" t="s">
        <v>260</v>
      </c>
      <c r="AY419" s="141" t="s">
        <v>253</v>
      </c>
      <c r="AZ419" s="122" t="s">
        <v>262</v>
      </c>
      <c r="BA419" s="122" t="s">
        <v>262</v>
      </c>
      <c r="BB419" s="122" t="s">
        <v>11180</v>
      </c>
      <c r="BD419" s="122" t="s">
        <v>253</v>
      </c>
      <c r="BE419" s="122" t="s">
        <v>263</v>
      </c>
      <c r="BF419" s="122" t="s">
        <v>4688</v>
      </c>
      <c r="BH419" s="122" t="s">
        <v>4681</v>
      </c>
      <c r="BI419" s="142">
        <v>89</v>
      </c>
    </row>
    <row r="420" spans="1:65" x14ac:dyDescent="0.25">
      <c r="A420" s="122" t="s">
        <v>6735</v>
      </c>
      <c r="B420" s="122" t="s">
        <v>11181</v>
      </c>
      <c r="C420" s="122" t="s">
        <v>11182</v>
      </c>
      <c r="D420" s="122" t="s">
        <v>11183</v>
      </c>
      <c r="E420" s="123">
        <v>42226</v>
      </c>
      <c r="F420" s="122" t="s">
        <v>901</v>
      </c>
      <c r="G420" s="122" t="s">
        <v>235</v>
      </c>
      <c r="H420" s="122" t="s">
        <v>11184</v>
      </c>
      <c r="I420" s="122" t="s">
        <v>11185</v>
      </c>
      <c r="K420" s="122" t="s">
        <v>3419</v>
      </c>
      <c r="L420" s="122" t="s">
        <v>3420</v>
      </c>
      <c r="M420" s="122" t="s">
        <v>3421</v>
      </c>
      <c r="O420" s="141" t="s">
        <v>566</v>
      </c>
      <c r="P420" s="141" t="s">
        <v>11186</v>
      </c>
      <c r="Q420" s="122" t="s">
        <v>3424</v>
      </c>
      <c r="R420" s="142">
        <v>90</v>
      </c>
      <c r="S420" s="122" t="s">
        <v>11187</v>
      </c>
      <c r="U420" s="122" t="s">
        <v>4681</v>
      </c>
      <c r="W420" s="122" t="s">
        <v>246</v>
      </c>
      <c r="X420" s="122" t="s">
        <v>1057</v>
      </c>
      <c r="Y420" s="141" t="s">
        <v>570</v>
      </c>
      <c r="Z420" s="122" t="s">
        <v>7619</v>
      </c>
      <c r="AB420" s="122" t="s">
        <v>250</v>
      </c>
      <c r="AD420" s="122" t="s">
        <v>250</v>
      </c>
      <c r="AE420" s="122" t="s">
        <v>235</v>
      </c>
      <c r="AF420" s="122" t="s">
        <v>11188</v>
      </c>
      <c r="AG420" s="122" t="s">
        <v>537</v>
      </c>
      <c r="AH420" s="122" t="s">
        <v>253</v>
      </c>
      <c r="AI420" s="122" t="s">
        <v>11189</v>
      </c>
      <c r="AJ420" s="122" t="s">
        <v>11190</v>
      </c>
      <c r="AK420" s="122" t="s">
        <v>253</v>
      </c>
      <c r="AL420" s="122" t="s">
        <v>253</v>
      </c>
      <c r="AM420" s="122" t="s">
        <v>253</v>
      </c>
      <c r="AN420" s="122" t="s">
        <v>253</v>
      </c>
      <c r="AO420" s="141" t="s">
        <v>247</v>
      </c>
      <c r="AP420" s="141" t="s">
        <v>247</v>
      </c>
      <c r="AQ420" s="141" t="s">
        <v>247</v>
      </c>
      <c r="AR420" s="141" t="s">
        <v>253</v>
      </c>
      <c r="AS420" s="141" t="s">
        <v>601</v>
      </c>
      <c r="AT420" s="141" t="s">
        <v>601</v>
      </c>
      <c r="AU420" s="141" t="s">
        <v>258</v>
      </c>
      <c r="AV420" s="122" t="s">
        <v>259</v>
      </c>
      <c r="AW420" s="122" t="s">
        <v>260</v>
      </c>
      <c r="AY420" s="141" t="s">
        <v>253</v>
      </c>
      <c r="AZ420" s="122" t="s">
        <v>11191</v>
      </c>
      <c r="BA420" s="122" t="s">
        <v>262</v>
      </c>
      <c r="BB420" s="122" t="s">
        <v>262</v>
      </c>
      <c r="BD420" s="122" t="s">
        <v>253</v>
      </c>
      <c r="BE420" s="122" t="s">
        <v>263</v>
      </c>
      <c r="BF420" s="122" t="s">
        <v>4688</v>
      </c>
      <c r="BH420" s="122" t="s">
        <v>4681</v>
      </c>
      <c r="BI420" s="142">
        <v>90</v>
      </c>
    </row>
    <row r="421" spans="1:65" x14ac:dyDescent="0.25">
      <c r="A421" s="122" t="s">
        <v>6735</v>
      </c>
      <c r="B421" s="122" t="s">
        <v>11192</v>
      </c>
      <c r="C421" s="122" t="s">
        <v>11193</v>
      </c>
      <c r="D421" s="122" t="s">
        <v>11194</v>
      </c>
      <c r="E421" s="123">
        <v>42226</v>
      </c>
      <c r="F421" s="122" t="s">
        <v>511</v>
      </c>
      <c r="G421" s="122" t="s">
        <v>235</v>
      </c>
      <c r="H421" s="122" t="s">
        <v>11195</v>
      </c>
      <c r="I421" s="122" t="s">
        <v>11196</v>
      </c>
      <c r="K421" s="122" t="s">
        <v>3419</v>
      </c>
      <c r="L421" s="122" t="s">
        <v>3420</v>
      </c>
      <c r="M421" s="122" t="s">
        <v>3421</v>
      </c>
      <c r="O421" s="141" t="s">
        <v>451</v>
      </c>
      <c r="P421" s="141" t="s">
        <v>11197</v>
      </c>
      <c r="Q421" s="122" t="s">
        <v>3424</v>
      </c>
      <c r="R421" s="142">
        <v>91</v>
      </c>
      <c r="S421" s="122" t="s">
        <v>11198</v>
      </c>
      <c r="U421" s="122" t="s">
        <v>4681</v>
      </c>
      <c r="W421" s="122" t="s">
        <v>246</v>
      </c>
      <c r="X421" s="122" t="s">
        <v>1121</v>
      </c>
      <c r="Y421" s="141" t="s">
        <v>2133</v>
      </c>
      <c r="Z421" s="122" t="s">
        <v>11199</v>
      </c>
      <c r="AA421" s="141" t="s">
        <v>3344</v>
      </c>
      <c r="AB421" s="122" t="s">
        <v>11200</v>
      </c>
      <c r="AC421" s="141" t="s">
        <v>1916</v>
      </c>
      <c r="AD421" s="122" t="s">
        <v>249</v>
      </c>
      <c r="AE421" s="122" t="s">
        <v>235</v>
      </c>
      <c r="AF421" s="122" t="s">
        <v>11201</v>
      </c>
      <c r="AG421" s="122" t="s">
        <v>537</v>
      </c>
      <c r="AH421" s="122" t="s">
        <v>253</v>
      </c>
      <c r="AI421" s="122" t="s">
        <v>11202</v>
      </c>
      <c r="AJ421" s="122" t="s">
        <v>11203</v>
      </c>
      <c r="AK421" s="122" t="s">
        <v>253</v>
      </c>
      <c r="AL421" s="122" t="s">
        <v>253</v>
      </c>
      <c r="AM421" s="122" t="s">
        <v>253</v>
      </c>
      <c r="AN421" s="122" t="s">
        <v>253</v>
      </c>
      <c r="AO421" s="141" t="s">
        <v>247</v>
      </c>
      <c r="AP421" s="141" t="s">
        <v>247</v>
      </c>
      <c r="AQ421" s="141" t="s">
        <v>247</v>
      </c>
      <c r="AR421" s="141" t="s">
        <v>247</v>
      </c>
      <c r="AS421" s="141" t="s">
        <v>601</v>
      </c>
      <c r="AT421" s="141" t="s">
        <v>601</v>
      </c>
      <c r="AU421" s="141" t="s">
        <v>601</v>
      </c>
      <c r="AV421" s="122" t="s">
        <v>259</v>
      </c>
      <c r="AW421" s="122" t="s">
        <v>260</v>
      </c>
      <c r="AX421" s="141" t="s">
        <v>11204</v>
      </c>
      <c r="AY421" s="141" t="s">
        <v>260</v>
      </c>
      <c r="AZ421" s="122" t="s">
        <v>11205</v>
      </c>
      <c r="BA421" s="122" t="s">
        <v>262</v>
      </c>
      <c r="BB421" s="122" t="s">
        <v>262</v>
      </c>
      <c r="BD421" s="122" t="s">
        <v>253</v>
      </c>
      <c r="BE421" s="122" t="s">
        <v>263</v>
      </c>
      <c r="BF421" s="122" t="s">
        <v>4688</v>
      </c>
      <c r="BH421" s="122" t="s">
        <v>4681</v>
      </c>
      <c r="BI421" s="142">
        <v>91</v>
      </c>
      <c r="BJ421" s="123">
        <v>42239</v>
      </c>
      <c r="BK421" s="139" t="s">
        <v>606</v>
      </c>
      <c r="BM421" s="122">
        <v>34</v>
      </c>
    </row>
    <row r="422" spans="1:65" x14ac:dyDescent="0.25">
      <c r="A422" s="122" t="s">
        <v>6735</v>
      </c>
      <c r="B422" s="122" t="s">
        <v>11206</v>
      </c>
      <c r="C422" s="122" t="s">
        <v>11207</v>
      </c>
      <c r="D422" s="122" t="s">
        <v>11208</v>
      </c>
      <c r="E422" s="123">
        <v>42226</v>
      </c>
      <c r="F422" s="122" t="s">
        <v>11209</v>
      </c>
      <c r="G422" s="122" t="s">
        <v>235</v>
      </c>
      <c r="H422" s="122" t="s">
        <v>11210</v>
      </c>
      <c r="I422" s="122" t="s">
        <v>11211</v>
      </c>
      <c r="K422" s="122" t="s">
        <v>5800</v>
      </c>
      <c r="L422" s="122" t="s">
        <v>5801</v>
      </c>
      <c r="M422" s="122" t="s">
        <v>6146</v>
      </c>
      <c r="O422" s="141" t="s">
        <v>11212</v>
      </c>
      <c r="P422" s="141" t="s">
        <v>11213</v>
      </c>
      <c r="Q422" s="122" t="s">
        <v>5805</v>
      </c>
      <c r="R422" s="142">
        <v>92</v>
      </c>
      <c r="S422" s="122" t="s">
        <v>11214</v>
      </c>
      <c r="U422" s="122" t="s">
        <v>4681</v>
      </c>
      <c r="W422" s="122" t="s">
        <v>246</v>
      </c>
      <c r="X422" s="122" t="s">
        <v>551</v>
      </c>
      <c r="Y422" s="141" t="s">
        <v>593</v>
      </c>
      <c r="Z422" s="122" t="s">
        <v>11215</v>
      </c>
      <c r="AA422" s="141" t="s">
        <v>722</v>
      </c>
      <c r="AB422" s="122" t="s">
        <v>1792</v>
      </c>
      <c r="AC422" s="141" t="s">
        <v>1423</v>
      </c>
      <c r="AD422" s="122" t="s">
        <v>800</v>
      </c>
      <c r="AE422" s="122" t="s">
        <v>235</v>
      </c>
      <c r="AF422" s="122" t="s">
        <v>11216</v>
      </c>
      <c r="AG422" s="122" t="s">
        <v>537</v>
      </c>
      <c r="AH422" s="122" t="s">
        <v>253</v>
      </c>
      <c r="AI422" s="122" t="s">
        <v>11217</v>
      </c>
      <c r="AJ422" s="122" t="s">
        <v>11218</v>
      </c>
      <c r="AK422" s="122" t="s">
        <v>253</v>
      </c>
      <c r="AL422" s="122" t="s">
        <v>11219</v>
      </c>
      <c r="AM422" s="122" t="s">
        <v>253</v>
      </c>
      <c r="AN422" s="122" t="s">
        <v>253</v>
      </c>
      <c r="AO422" s="141" t="s">
        <v>247</v>
      </c>
      <c r="AP422" s="141" t="s">
        <v>247</v>
      </c>
      <c r="AQ422" s="141" t="s">
        <v>247</v>
      </c>
      <c r="AR422" s="141" t="s">
        <v>247</v>
      </c>
      <c r="AS422" s="141" t="s">
        <v>601</v>
      </c>
      <c r="AT422" s="141" t="s">
        <v>601</v>
      </c>
      <c r="AU422" s="141" t="s">
        <v>601</v>
      </c>
      <c r="AV422" s="122" t="s">
        <v>259</v>
      </c>
      <c r="AW422" s="122" t="s">
        <v>260</v>
      </c>
      <c r="AX422" s="141" t="s">
        <v>2029</v>
      </c>
      <c r="AY422" s="141" t="s">
        <v>247</v>
      </c>
      <c r="AZ422" s="122" t="s">
        <v>11220</v>
      </c>
      <c r="BA422" s="122" t="s">
        <v>11221</v>
      </c>
      <c r="BB422" s="122" t="s">
        <v>262</v>
      </c>
      <c r="BC422" s="141" t="s">
        <v>312</v>
      </c>
      <c r="BD422" s="122" t="s">
        <v>253</v>
      </c>
      <c r="BE422" s="122" t="s">
        <v>263</v>
      </c>
      <c r="BF422" s="122" t="s">
        <v>4688</v>
      </c>
      <c r="BH422" s="122" t="s">
        <v>4681</v>
      </c>
      <c r="BI422" s="142">
        <v>92</v>
      </c>
      <c r="BJ422" s="123">
        <v>42238</v>
      </c>
      <c r="BK422" s="139" t="s">
        <v>606</v>
      </c>
      <c r="BM422" s="122">
        <v>34</v>
      </c>
    </row>
    <row r="423" spans="1:65" x14ac:dyDescent="0.25">
      <c r="A423" s="122" t="s">
        <v>6735</v>
      </c>
      <c r="B423" s="122" t="s">
        <v>11222</v>
      </c>
      <c r="C423" s="122" t="s">
        <v>11223</v>
      </c>
      <c r="D423" s="122" t="s">
        <v>11224</v>
      </c>
      <c r="E423" s="123">
        <v>42226</v>
      </c>
      <c r="F423" s="122" t="s">
        <v>4768</v>
      </c>
      <c r="G423" s="122" t="s">
        <v>235</v>
      </c>
      <c r="H423" s="122" t="s">
        <v>11225</v>
      </c>
      <c r="I423" s="122" t="s">
        <v>11226</v>
      </c>
      <c r="K423" s="122" t="s">
        <v>5800</v>
      </c>
      <c r="L423" s="122" t="s">
        <v>5801</v>
      </c>
      <c r="M423" s="122" t="s">
        <v>5802</v>
      </c>
      <c r="O423" s="141" t="s">
        <v>1240</v>
      </c>
      <c r="P423" s="141" t="s">
        <v>11227</v>
      </c>
      <c r="Q423" s="122" t="s">
        <v>5805</v>
      </c>
      <c r="R423" s="142">
        <v>93</v>
      </c>
      <c r="S423" s="122" t="s">
        <v>11228</v>
      </c>
      <c r="U423" s="122" t="s">
        <v>4681</v>
      </c>
      <c r="W423" s="122" t="s">
        <v>246</v>
      </c>
      <c r="X423" s="122" t="s">
        <v>497</v>
      </c>
      <c r="Y423" s="141" t="s">
        <v>378</v>
      </c>
      <c r="Z423" s="122" t="s">
        <v>11229</v>
      </c>
      <c r="AB423" s="122" t="s">
        <v>250</v>
      </c>
      <c r="AD423" s="122" t="s">
        <v>250</v>
      </c>
      <c r="AE423" s="122" t="s">
        <v>235</v>
      </c>
      <c r="AF423" s="122" t="s">
        <v>11230</v>
      </c>
      <c r="AG423" s="122" t="s">
        <v>537</v>
      </c>
      <c r="AH423" s="122" t="s">
        <v>253</v>
      </c>
      <c r="AI423" s="122" t="s">
        <v>11231</v>
      </c>
      <c r="AJ423" s="122" t="s">
        <v>11232</v>
      </c>
      <c r="AK423" s="122" t="s">
        <v>253</v>
      </c>
      <c r="AL423" s="122" t="s">
        <v>253</v>
      </c>
      <c r="AM423" s="122" t="s">
        <v>253</v>
      </c>
      <c r="AN423" s="122" t="s">
        <v>253</v>
      </c>
      <c r="AO423" s="141" t="s">
        <v>247</v>
      </c>
      <c r="AP423" s="141" t="s">
        <v>247</v>
      </c>
      <c r="AQ423" s="141" t="s">
        <v>247</v>
      </c>
      <c r="AR423" s="141" t="s">
        <v>247</v>
      </c>
      <c r="AS423" s="141" t="s">
        <v>601</v>
      </c>
      <c r="AT423" s="141" t="s">
        <v>601</v>
      </c>
      <c r="AU423" s="141" t="s">
        <v>601</v>
      </c>
      <c r="AV423" s="122" t="s">
        <v>259</v>
      </c>
      <c r="AW423" s="122" t="s">
        <v>260</v>
      </c>
      <c r="AY423" s="141" t="s">
        <v>253</v>
      </c>
      <c r="AZ423" s="122" t="s">
        <v>11233</v>
      </c>
      <c r="BA423" s="122" t="s">
        <v>262</v>
      </c>
      <c r="BB423" s="122" t="s">
        <v>262</v>
      </c>
      <c r="BD423" s="122" t="s">
        <v>253</v>
      </c>
      <c r="BE423" s="122" t="s">
        <v>263</v>
      </c>
      <c r="BF423" s="122" t="s">
        <v>4688</v>
      </c>
      <c r="BH423" s="122" t="s">
        <v>4681</v>
      </c>
      <c r="BI423" s="142">
        <v>93</v>
      </c>
      <c r="BJ423" s="123">
        <v>42238</v>
      </c>
      <c r="BK423" s="139" t="s">
        <v>606</v>
      </c>
      <c r="BM423" s="122">
        <v>34</v>
      </c>
    </row>
    <row r="424" spans="1:65" x14ac:dyDescent="0.25">
      <c r="A424" s="122" t="s">
        <v>6735</v>
      </c>
      <c r="B424" s="122" t="s">
        <v>11234</v>
      </c>
      <c r="C424" s="122" t="s">
        <v>11235</v>
      </c>
      <c r="D424" s="122" t="s">
        <v>11236</v>
      </c>
      <c r="E424" s="123">
        <v>42226</v>
      </c>
      <c r="F424" s="122" t="s">
        <v>248</v>
      </c>
      <c r="G424" s="122" t="s">
        <v>235</v>
      </c>
      <c r="H424" s="122" t="s">
        <v>11237</v>
      </c>
      <c r="I424" s="122" t="s">
        <v>11238</v>
      </c>
      <c r="K424" s="122" t="s">
        <v>3419</v>
      </c>
      <c r="L424" s="122" t="s">
        <v>3503</v>
      </c>
      <c r="M424" s="122" t="s">
        <v>3421</v>
      </c>
      <c r="Q424" s="122" t="s">
        <v>3424</v>
      </c>
      <c r="R424" s="142">
        <v>94</v>
      </c>
      <c r="S424" s="122" t="s">
        <v>11239</v>
      </c>
      <c r="U424" s="122" t="s">
        <v>4681</v>
      </c>
      <c r="W424" s="122" t="s">
        <v>246</v>
      </c>
      <c r="X424" s="122" t="s">
        <v>497</v>
      </c>
      <c r="Z424" s="122" t="s">
        <v>250</v>
      </c>
      <c r="AB424" s="122" t="s">
        <v>250</v>
      </c>
      <c r="AD424" s="122" t="s">
        <v>250</v>
      </c>
      <c r="AE424" s="122" t="s">
        <v>235</v>
      </c>
      <c r="AF424" s="122" t="s">
        <v>11240</v>
      </c>
      <c r="AG424" s="122" t="s">
        <v>537</v>
      </c>
      <c r="AH424" s="122" t="s">
        <v>253</v>
      </c>
      <c r="AI424" s="122" t="s">
        <v>2579</v>
      </c>
      <c r="AJ424" s="122" t="s">
        <v>11241</v>
      </c>
      <c r="AK424" s="122" t="s">
        <v>253</v>
      </c>
      <c r="AL424" s="122" t="s">
        <v>253</v>
      </c>
      <c r="AM424" s="122" t="s">
        <v>253</v>
      </c>
      <c r="AN424" s="122" t="s">
        <v>253</v>
      </c>
      <c r="AO424" s="141" t="s">
        <v>253</v>
      </c>
      <c r="AP424" s="141" t="s">
        <v>253</v>
      </c>
      <c r="AQ424" s="141" t="s">
        <v>247</v>
      </c>
      <c r="AR424" s="141" t="s">
        <v>253</v>
      </c>
      <c r="AS424" s="141" t="s">
        <v>361</v>
      </c>
      <c r="AT424" s="141" t="s">
        <v>601</v>
      </c>
      <c r="AU424" s="141" t="s">
        <v>258</v>
      </c>
      <c r="AV424" s="122" t="s">
        <v>259</v>
      </c>
      <c r="AW424" s="122" t="s">
        <v>260</v>
      </c>
      <c r="AY424" s="141" t="s">
        <v>253</v>
      </c>
      <c r="AZ424" s="122" t="s">
        <v>11242</v>
      </c>
      <c r="BA424" s="122" t="s">
        <v>262</v>
      </c>
      <c r="BB424" s="122" t="s">
        <v>262</v>
      </c>
      <c r="BD424" s="122" t="s">
        <v>253</v>
      </c>
      <c r="BE424" s="122" t="s">
        <v>263</v>
      </c>
      <c r="BF424" s="122" t="s">
        <v>4688</v>
      </c>
      <c r="BH424" s="122" t="s">
        <v>4681</v>
      </c>
      <c r="BI424" s="142">
        <v>94</v>
      </c>
      <c r="BJ424" s="123">
        <v>42239</v>
      </c>
      <c r="BK424" s="139" t="s">
        <v>606</v>
      </c>
      <c r="BM424" s="122">
        <v>34</v>
      </c>
    </row>
    <row r="425" spans="1:65" x14ac:dyDescent="0.25">
      <c r="A425" s="122" t="s">
        <v>6735</v>
      </c>
      <c r="B425" s="122" t="s">
        <v>11243</v>
      </c>
      <c r="C425" s="122" t="s">
        <v>11244</v>
      </c>
      <c r="D425" s="122" t="s">
        <v>11245</v>
      </c>
      <c r="E425" s="123">
        <v>42226</v>
      </c>
      <c r="F425" s="122" t="s">
        <v>478</v>
      </c>
      <c r="G425" s="122" t="s">
        <v>235</v>
      </c>
      <c r="H425" s="122" t="s">
        <v>11246</v>
      </c>
      <c r="I425" s="122" t="s">
        <v>11247</v>
      </c>
      <c r="K425" s="122" t="s">
        <v>5800</v>
      </c>
      <c r="L425" s="122" t="s">
        <v>5801</v>
      </c>
      <c r="M425" s="122" t="s">
        <v>5802</v>
      </c>
      <c r="O425" s="141" t="s">
        <v>451</v>
      </c>
      <c r="P425" s="141" t="s">
        <v>11248</v>
      </c>
      <c r="Q425" s="122" t="s">
        <v>5805</v>
      </c>
      <c r="R425" s="142">
        <v>95</v>
      </c>
      <c r="S425" s="122" t="s">
        <v>11249</v>
      </c>
      <c r="U425" s="122" t="s">
        <v>4681</v>
      </c>
      <c r="W425" s="122" t="s">
        <v>246</v>
      </c>
      <c r="X425" s="122" t="s">
        <v>497</v>
      </c>
      <c r="Y425" s="141" t="s">
        <v>1421</v>
      </c>
      <c r="Z425" s="122" t="s">
        <v>571</v>
      </c>
      <c r="AB425" s="122" t="s">
        <v>250</v>
      </c>
      <c r="AD425" s="122" t="s">
        <v>250</v>
      </c>
      <c r="AE425" s="122" t="s">
        <v>235</v>
      </c>
      <c r="AF425" s="122" t="s">
        <v>11250</v>
      </c>
      <c r="AG425" s="122" t="s">
        <v>11082</v>
      </c>
      <c r="AH425" s="122" t="s">
        <v>253</v>
      </c>
      <c r="AI425" s="122" t="s">
        <v>11251</v>
      </c>
      <c r="AJ425" s="122" t="s">
        <v>11252</v>
      </c>
      <c r="AK425" s="122" t="s">
        <v>253</v>
      </c>
      <c r="AL425" s="122" t="s">
        <v>253</v>
      </c>
      <c r="AM425" s="122" t="s">
        <v>253</v>
      </c>
      <c r="AN425" s="122" t="s">
        <v>253</v>
      </c>
      <c r="AO425" s="141" t="s">
        <v>247</v>
      </c>
      <c r="AP425" s="141" t="s">
        <v>247</v>
      </c>
      <c r="AQ425" s="141" t="s">
        <v>247</v>
      </c>
      <c r="AR425" s="141" t="s">
        <v>247</v>
      </c>
      <c r="AS425" s="141" t="s">
        <v>601</v>
      </c>
      <c r="AT425" s="141" t="s">
        <v>601</v>
      </c>
      <c r="AU425" s="141" t="s">
        <v>601</v>
      </c>
      <c r="AV425" s="122" t="s">
        <v>259</v>
      </c>
      <c r="AW425" s="122" t="s">
        <v>260</v>
      </c>
      <c r="AY425" s="141" t="s">
        <v>253</v>
      </c>
      <c r="AZ425" s="122" t="s">
        <v>11253</v>
      </c>
      <c r="BA425" s="122" t="s">
        <v>262</v>
      </c>
      <c r="BB425" s="122" t="s">
        <v>262</v>
      </c>
      <c r="BD425" s="122" t="s">
        <v>253</v>
      </c>
      <c r="BE425" s="122" t="s">
        <v>263</v>
      </c>
      <c r="BF425" s="122" t="s">
        <v>4688</v>
      </c>
      <c r="BH425" s="122" t="s">
        <v>4681</v>
      </c>
      <c r="BI425" s="142">
        <v>95</v>
      </c>
      <c r="BJ425" s="123">
        <v>42238</v>
      </c>
      <c r="BK425" s="139" t="s">
        <v>264</v>
      </c>
      <c r="BL425" s="140">
        <v>313.52</v>
      </c>
      <c r="BM425" s="122">
        <v>34</v>
      </c>
    </row>
    <row r="426" spans="1:65" x14ac:dyDescent="0.25">
      <c r="A426" s="122" t="s">
        <v>6735</v>
      </c>
      <c r="B426" s="122" t="s">
        <v>11254</v>
      </c>
      <c r="C426" s="122" t="s">
        <v>11255</v>
      </c>
      <c r="D426" s="122" t="s">
        <v>11256</v>
      </c>
      <c r="E426" s="123">
        <v>42226</v>
      </c>
      <c r="F426" s="122" t="s">
        <v>1015</v>
      </c>
      <c r="G426" s="122" t="s">
        <v>235</v>
      </c>
      <c r="H426" s="122" t="s">
        <v>11257</v>
      </c>
      <c r="I426" s="122" t="s">
        <v>11258</v>
      </c>
      <c r="J426" s="122" t="s">
        <v>1053</v>
      </c>
      <c r="K426" s="122" t="s">
        <v>3419</v>
      </c>
      <c r="L426" s="122" t="s">
        <v>3420</v>
      </c>
      <c r="M426" s="122" t="s">
        <v>3504</v>
      </c>
      <c r="O426" s="141" t="s">
        <v>373</v>
      </c>
      <c r="P426" s="141" t="s">
        <v>11259</v>
      </c>
      <c r="Q426" s="122" t="s">
        <v>3424</v>
      </c>
      <c r="R426" s="142">
        <v>96</v>
      </c>
      <c r="S426" s="122" t="s">
        <v>11260</v>
      </c>
      <c r="T426" s="122" t="s">
        <v>11261</v>
      </c>
      <c r="U426" s="122" t="s">
        <v>4681</v>
      </c>
      <c r="W426" s="122" t="s">
        <v>246</v>
      </c>
      <c r="X426" s="122" t="s">
        <v>325</v>
      </c>
      <c r="Y426" s="141" t="s">
        <v>593</v>
      </c>
      <c r="Z426" s="122" t="s">
        <v>10517</v>
      </c>
      <c r="AA426" s="141" t="s">
        <v>500</v>
      </c>
      <c r="AB426" s="122" t="s">
        <v>11262</v>
      </c>
      <c r="AC426" s="141" t="s">
        <v>281</v>
      </c>
      <c r="AD426" s="122" t="s">
        <v>518</v>
      </c>
      <c r="AE426" s="122" t="s">
        <v>235</v>
      </c>
      <c r="AF426" s="122" t="s">
        <v>11263</v>
      </c>
      <c r="AG426" s="122" t="s">
        <v>1225</v>
      </c>
      <c r="AH426" s="122" t="s">
        <v>253</v>
      </c>
      <c r="AI426" s="122" t="s">
        <v>11264</v>
      </c>
      <c r="AJ426" s="122" t="s">
        <v>11265</v>
      </c>
      <c r="AK426" s="122" t="s">
        <v>253</v>
      </c>
      <c r="AL426" s="122" t="s">
        <v>253</v>
      </c>
      <c r="AM426" s="122" t="s">
        <v>253</v>
      </c>
      <c r="AN426" s="122" t="s">
        <v>253</v>
      </c>
      <c r="AO426" s="141" t="s">
        <v>253</v>
      </c>
      <c r="AP426" s="141" t="s">
        <v>253</v>
      </c>
      <c r="AQ426" s="141" t="s">
        <v>247</v>
      </c>
      <c r="AR426" s="141" t="s">
        <v>253</v>
      </c>
      <c r="AS426" s="141" t="s">
        <v>361</v>
      </c>
      <c r="AT426" s="141" t="s">
        <v>601</v>
      </c>
      <c r="AU426" s="141" t="s">
        <v>258</v>
      </c>
      <c r="AV426" s="122" t="s">
        <v>259</v>
      </c>
      <c r="AW426" s="122" t="s">
        <v>260</v>
      </c>
      <c r="AX426" s="141" t="s">
        <v>2029</v>
      </c>
      <c r="AY426" s="141" t="s">
        <v>247</v>
      </c>
      <c r="AZ426" s="122" t="s">
        <v>11266</v>
      </c>
      <c r="BA426" s="122" t="s">
        <v>262</v>
      </c>
      <c r="BB426" s="122" t="s">
        <v>262</v>
      </c>
      <c r="BD426" s="122" t="s">
        <v>253</v>
      </c>
      <c r="BE426" s="122" t="s">
        <v>263</v>
      </c>
      <c r="BF426" s="122" t="s">
        <v>4688</v>
      </c>
      <c r="BH426" s="122" t="s">
        <v>4681</v>
      </c>
      <c r="BI426" s="142">
        <v>96</v>
      </c>
      <c r="BJ426" s="123">
        <v>42237</v>
      </c>
      <c r="BK426" s="139" t="s">
        <v>606</v>
      </c>
      <c r="BM426" s="122">
        <v>34</v>
      </c>
    </row>
    <row r="427" spans="1:65" x14ac:dyDescent="0.25">
      <c r="A427" s="122" t="s">
        <v>6489</v>
      </c>
      <c r="B427" s="122" t="s">
        <v>11267</v>
      </c>
      <c r="C427" s="122" t="s">
        <v>11268</v>
      </c>
      <c r="D427" s="122" t="s">
        <v>11269</v>
      </c>
      <c r="E427" s="123">
        <v>42226</v>
      </c>
      <c r="F427" s="122" t="s">
        <v>248</v>
      </c>
      <c r="G427" s="122" t="s">
        <v>235</v>
      </c>
      <c r="H427" s="122" t="s">
        <v>11270</v>
      </c>
      <c r="I427" s="122" t="s">
        <v>11271</v>
      </c>
      <c r="K427" s="122" t="s">
        <v>3419</v>
      </c>
      <c r="L427" s="122" t="s">
        <v>3420</v>
      </c>
      <c r="M427" s="122" t="s">
        <v>3421</v>
      </c>
      <c r="O427" s="141" t="s">
        <v>566</v>
      </c>
      <c r="P427" s="141" t="s">
        <v>11272</v>
      </c>
      <c r="Q427" s="122" t="s">
        <v>3424</v>
      </c>
      <c r="R427" s="142">
        <v>97</v>
      </c>
      <c r="S427" s="122" t="s">
        <v>11273</v>
      </c>
      <c r="U427" s="122" t="s">
        <v>4681</v>
      </c>
      <c r="W427" s="122" t="s">
        <v>246</v>
      </c>
      <c r="X427" s="122" t="s">
        <v>590</v>
      </c>
      <c r="Z427" s="122" t="s">
        <v>250</v>
      </c>
      <c r="AB427" s="122" t="s">
        <v>250</v>
      </c>
      <c r="AD427" s="122" t="s">
        <v>250</v>
      </c>
      <c r="AE427" s="122" t="s">
        <v>235</v>
      </c>
      <c r="AF427" s="122" t="s">
        <v>11274</v>
      </c>
      <c r="AG427" s="122" t="s">
        <v>11275</v>
      </c>
      <c r="AH427" s="122" t="s">
        <v>253</v>
      </c>
      <c r="AI427" s="122" t="s">
        <v>11276</v>
      </c>
      <c r="AJ427" s="122" t="s">
        <v>11179</v>
      </c>
      <c r="AK427" s="122" t="s">
        <v>253</v>
      </c>
      <c r="AL427" s="122" t="s">
        <v>253</v>
      </c>
      <c r="AM427" s="122" t="s">
        <v>253</v>
      </c>
      <c r="AN427" s="122" t="s">
        <v>253</v>
      </c>
      <c r="AO427" s="141" t="s">
        <v>247</v>
      </c>
      <c r="AP427" s="141" t="s">
        <v>247</v>
      </c>
      <c r="AQ427" s="141" t="s">
        <v>247</v>
      </c>
      <c r="AR427" s="141" t="s">
        <v>247</v>
      </c>
      <c r="AS427" s="141" t="s">
        <v>601</v>
      </c>
      <c r="AT427" s="141" t="s">
        <v>601</v>
      </c>
      <c r="AU427" s="141" t="s">
        <v>601</v>
      </c>
      <c r="AV427" s="122" t="s">
        <v>259</v>
      </c>
      <c r="AW427" s="122" t="s">
        <v>260</v>
      </c>
      <c r="AY427" s="141" t="s">
        <v>253</v>
      </c>
      <c r="AZ427" s="122" t="s">
        <v>11277</v>
      </c>
      <c r="BA427" s="122" t="s">
        <v>262</v>
      </c>
      <c r="BB427" s="122" t="s">
        <v>262</v>
      </c>
      <c r="BD427" s="122" t="s">
        <v>253</v>
      </c>
      <c r="BE427" s="122" t="s">
        <v>263</v>
      </c>
      <c r="BF427" s="122" t="s">
        <v>4688</v>
      </c>
      <c r="BH427" s="122" t="s">
        <v>4681</v>
      </c>
      <c r="BI427" s="142">
        <v>97</v>
      </c>
      <c r="BJ427" s="123">
        <v>42237</v>
      </c>
      <c r="BK427" s="139" t="s">
        <v>606</v>
      </c>
      <c r="BM427" s="122">
        <v>34</v>
      </c>
    </row>
    <row r="428" spans="1:65" x14ac:dyDescent="0.25">
      <c r="A428" s="122" t="s">
        <v>6489</v>
      </c>
      <c r="B428" s="122" t="s">
        <v>11278</v>
      </c>
      <c r="C428" s="122" t="s">
        <v>11279</v>
      </c>
      <c r="D428" s="122" t="s">
        <v>11280</v>
      </c>
      <c r="E428" s="123">
        <v>42226</v>
      </c>
      <c r="F428" s="122" t="s">
        <v>248</v>
      </c>
      <c r="G428" s="122" t="s">
        <v>235</v>
      </c>
      <c r="H428" s="122" t="s">
        <v>11281</v>
      </c>
      <c r="I428" s="122" t="s">
        <v>11282</v>
      </c>
      <c r="J428" s="122" t="s">
        <v>11283</v>
      </c>
      <c r="K428" s="122" t="s">
        <v>5879</v>
      </c>
      <c r="L428" s="122" t="s">
        <v>5880</v>
      </c>
      <c r="M428" s="122" t="s">
        <v>5881</v>
      </c>
      <c r="O428" s="141" t="s">
        <v>2378</v>
      </c>
      <c r="P428" s="141" t="s">
        <v>11284</v>
      </c>
      <c r="Q428" s="122" t="s">
        <v>5883</v>
      </c>
      <c r="R428" s="142">
        <v>98</v>
      </c>
      <c r="S428" s="122" t="s">
        <v>11285</v>
      </c>
      <c r="U428" s="122" t="s">
        <v>4681</v>
      </c>
      <c r="W428" s="122" t="s">
        <v>246</v>
      </c>
      <c r="X428" s="122" t="s">
        <v>590</v>
      </c>
      <c r="Z428" s="122" t="s">
        <v>250</v>
      </c>
      <c r="AB428" s="122" t="s">
        <v>250</v>
      </c>
      <c r="AD428" s="122" t="s">
        <v>250</v>
      </c>
      <c r="AE428" s="122" t="s">
        <v>235</v>
      </c>
      <c r="AF428" s="122" t="s">
        <v>11286</v>
      </c>
      <c r="AG428" s="122" t="s">
        <v>537</v>
      </c>
      <c r="AH428" s="122" t="s">
        <v>253</v>
      </c>
      <c r="AI428" s="122" t="s">
        <v>11287</v>
      </c>
      <c r="AJ428" s="122" t="s">
        <v>11288</v>
      </c>
      <c r="AK428" s="122" t="s">
        <v>253</v>
      </c>
      <c r="AL428" s="122" t="s">
        <v>253</v>
      </c>
      <c r="AM428" s="122" t="s">
        <v>253</v>
      </c>
      <c r="AN428" s="122" t="s">
        <v>253</v>
      </c>
      <c r="AO428" s="141" t="s">
        <v>253</v>
      </c>
      <c r="AP428" s="141" t="s">
        <v>253</v>
      </c>
      <c r="AQ428" s="141" t="s">
        <v>247</v>
      </c>
      <c r="AR428" s="141" t="s">
        <v>253</v>
      </c>
      <c r="AS428" s="141" t="s">
        <v>361</v>
      </c>
      <c r="AT428" s="141" t="s">
        <v>601</v>
      </c>
      <c r="AU428" s="141" t="s">
        <v>258</v>
      </c>
      <c r="AV428" s="122" t="s">
        <v>259</v>
      </c>
      <c r="AW428" s="122" t="s">
        <v>260</v>
      </c>
      <c r="AY428" s="141" t="s">
        <v>253</v>
      </c>
      <c r="AZ428" s="122" t="s">
        <v>11289</v>
      </c>
      <c r="BA428" s="122" t="s">
        <v>262</v>
      </c>
      <c r="BB428" s="122" t="s">
        <v>262</v>
      </c>
      <c r="BD428" s="122" t="s">
        <v>253</v>
      </c>
      <c r="BE428" s="122" t="s">
        <v>263</v>
      </c>
      <c r="BF428" s="122" t="s">
        <v>4688</v>
      </c>
      <c r="BH428" s="122" t="s">
        <v>4681</v>
      </c>
      <c r="BI428" s="142">
        <v>98</v>
      </c>
      <c r="BJ428" s="123">
        <v>42234</v>
      </c>
      <c r="BK428" s="139" t="s">
        <v>2891</v>
      </c>
      <c r="BM428" s="122">
        <v>34</v>
      </c>
    </row>
    <row r="429" spans="1:65" x14ac:dyDescent="0.25">
      <c r="A429" s="122" t="s">
        <v>6489</v>
      </c>
      <c r="B429" s="122" t="s">
        <v>11290</v>
      </c>
      <c r="C429" s="122" t="s">
        <v>11291</v>
      </c>
      <c r="D429" s="122" t="s">
        <v>11292</v>
      </c>
      <c r="E429" s="123">
        <v>42226</v>
      </c>
      <c r="F429" s="122" t="s">
        <v>633</v>
      </c>
      <c r="G429" s="122" t="s">
        <v>235</v>
      </c>
      <c r="H429" s="122" t="s">
        <v>11293</v>
      </c>
      <c r="I429" s="122" t="s">
        <v>11294</v>
      </c>
      <c r="K429" s="122" t="s">
        <v>3419</v>
      </c>
      <c r="L429" s="122" t="s">
        <v>3420</v>
      </c>
      <c r="M429" s="122" t="s">
        <v>3504</v>
      </c>
      <c r="O429" s="141" t="s">
        <v>299</v>
      </c>
      <c r="P429" s="141" t="s">
        <v>11295</v>
      </c>
      <c r="Q429" s="122" t="s">
        <v>3424</v>
      </c>
      <c r="R429" s="142">
        <v>99</v>
      </c>
      <c r="S429" s="122" t="s">
        <v>11296</v>
      </c>
      <c r="U429" s="122" t="s">
        <v>4681</v>
      </c>
      <c r="W429" s="122" t="s">
        <v>246</v>
      </c>
      <c r="X429" s="122" t="s">
        <v>325</v>
      </c>
      <c r="Z429" s="122" t="s">
        <v>250</v>
      </c>
      <c r="AB429" s="122" t="s">
        <v>250</v>
      </c>
      <c r="AD429" s="122" t="s">
        <v>250</v>
      </c>
      <c r="AE429" s="122" t="s">
        <v>235</v>
      </c>
      <c r="AF429" s="122" t="s">
        <v>11297</v>
      </c>
      <c r="AG429" s="122" t="s">
        <v>537</v>
      </c>
      <c r="AH429" s="122" t="s">
        <v>253</v>
      </c>
      <c r="AI429" s="122" t="s">
        <v>3796</v>
      </c>
      <c r="AJ429" s="122" t="s">
        <v>2931</v>
      </c>
      <c r="AK429" s="122" t="s">
        <v>253</v>
      </c>
      <c r="AL429" s="122" t="s">
        <v>253</v>
      </c>
      <c r="AM429" s="122" t="s">
        <v>253</v>
      </c>
      <c r="AN429" s="122" t="s">
        <v>253</v>
      </c>
      <c r="AO429" s="141" t="s">
        <v>253</v>
      </c>
      <c r="AP429" s="141" t="s">
        <v>253</v>
      </c>
      <c r="AQ429" s="141" t="s">
        <v>247</v>
      </c>
      <c r="AR429" s="141" t="s">
        <v>253</v>
      </c>
      <c r="AS429" s="141" t="s">
        <v>361</v>
      </c>
      <c r="AT429" s="141" t="s">
        <v>601</v>
      </c>
      <c r="AU429" s="141" t="s">
        <v>258</v>
      </c>
      <c r="AV429" s="122" t="s">
        <v>259</v>
      </c>
      <c r="AW429" s="122" t="s">
        <v>260</v>
      </c>
      <c r="AY429" s="141" t="s">
        <v>253</v>
      </c>
      <c r="AZ429" s="122" t="s">
        <v>11298</v>
      </c>
      <c r="BA429" s="122" t="s">
        <v>262</v>
      </c>
      <c r="BB429" s="122" t="s">
        <v>262</v>
      </c>
      <c r="BC429" s="141" t="s">
        <v>312</v>
      </c>
      <c r="BD429" s="122" t="s">
        <v>253</v>
      </c>
      <c r="BE429" s="122" t="s">
        <v>263</v>
      </c>
      <c r="BF429" s="122" t="s">
        <v>4688</v>
      </c>
      <c r="BH429" s="122" t="s">
        <v>4681</v>
      </c>
      <c r="BI429" s="142">
        <v>99</v>
      </c>
      <c r="BJ429" s="123">
        <v>42239</v>
      </c>
      <c r="BK429" s="139" t="s">
        <v>606</v>
      </c>
      <c r="BM429" s="122">
        <v>34</v>
      </c>
    </row>
    <row r="430" spans="1:65" x14ac:dyDescent="0.25">
      <c r="A430" s="122" t="s">
        <v>6489</v>
      </c>
      <c r="B430" s="122" t="s">
        <v>11299</v>
      </c>
      <c r="C430" s="122" t="s">
        <v>11300</v>
      </c>
      <c r="D430" s="122" t="s">
        <v>11301</v>
      </c>
      <c r="E430" s="123">
        <v>42226</v>
      </c>
      <c r="F430" s="122" t="s">
        <v>11302</v>
      </c>
      <c r="G430" s="122" t="s">
        <v>235</v>
      </c>
      <c r="H430" s="122" t="s">
        <v>11303</v>
      </c>
      <c r="I430" s="122" t="s">
        <v>11304</v>
      </c>
      <c r="K430" s="122" t="s">
        <v>5800</v>
      </c>
      <c r="L430" s="122" t="s">
        <v>5801</v>
      </c>
      <c r="M430" s="122" t="s">
        <v>6146</v>
      </c>
      <c r="O430" s="141" t="s">
        <v>373</v>
      </c>
      <c r="P430" s="141" t="s">
        <v>11305</v>
      </c>
      <c r="Q430" s="122" t="s">
        <v>5805</v>
      </c>
      <c r="R430" s="142">
        <v>100</v>
      </c>
      <c r="S430" s="122" t="s">
        <v>11306</v>
      </c>
      <c r="U430" s="122" t="s">
        <v>4681</v>
      </c>
      <c r="W430" s="122" t="s">
        <v>246</v>
      </c>
      <c r="X430" s="122" t="s">
        <v>3147</v>
      </c>
      <c r="Y430" s="141" t="s">
        <v>2979</v>
      </c>
      <c r="Z430" s="122" t="s">
        <v>11307</v>
      </c>
      <c r="AA430" s="141" t="s">
        <v>784</v>
      </c>
      <c r="AB430" s="122" t="s">
        <v>1091</v>
      </c>
      <c r="AC430" s="141" t="s">
        <v>1423</v>
      </c>
      <c r="AD430" s="122" t="s">
        <v>11308</v>
      </c>
      <c r="AE430" s="122" t="s">
        <v>235</v>
      </c>
      <c r="AF430" s="122" t="s">
        <v>11309</v>
      </c>
      <c r="AG430" s="122" t="s">
        <v>537</v>
      </c>
      <c r="AH430" s="122" t="s">
        <v>253</v>
      </c>
      <c r="AI430" s="122" t="s">
        <v>11310</v>
      </c>
      <c r="AJ430" s="122" t="s">
        <v>11311</v>
      </c>
      <c r="AK430" s="122" t="s">
        <v>253</v>
      </c>
      <c r="AL430" s="122" t="s">
        <v>253</v>
      </c>
      <c r="AM430" s="122" t="s">
        <v>253</v>
      </c>
      <c r="AN430" s="122" t="s">
        <v>253</v>
      </c>
      <c r="AO430" s="141" t="s">
        <v>253</v>
      </c>
      <c r="AP430" s="141" t="s">
        <v>253</v>
      </c>
      <c r="AQ430" s="141" t="s">
        <v>247</v>
      </c>
      <c r="AR430" s="141" t="s">
        <v>253</v>
      </c>
      <c r="AS430" s="141" t="s">
        <v>361</v>
      </c>
      <c r="AT430" s="141" t="s">
        <v>601</v>
      </c>
      <c r="AU430" s="141" t="s">
        <v>258</v>
      </c>
      <c r="AV430" s="122" t="s">
        <v>259</v>
      </c>
      <c r="AW430" s="122" t="s">
        <v>260</v>
      </c>
      <c r="AY430" s="141" t="s">
        <v>253</v>
      </c>
      <c r="AZ430" s="122" t="s">
        <v>11312</v>
      </c>
      <c r="BA430" s="122" t="s">
        <v>262</v>
      </c>
      <c r="BB430" s="122" t="s">
        <v>11312</v>
      </c>
      <c r="BD430" s="122" t="s">
        <v>253</v>
      </c>
      <c r="BE430" s="122" t="s">
        <v>263</v>
      </c>
      <c r="BF430" s="122" t="s">
        <v>4688</v>
      </c>
      <c r="BH430" s="122" t="s">
        <v>4681</v>
      </c>
      <c r="BI430" s="142">
        <v>100</v>
      </c>
      <c r="BJ430" s="123">
        <v>42238</v>
      </c>
      <c r="BK430" s="139" t="s">
        <v>606</v>
      </c>
      <c r="BM430" s="122">
        <v>34</v>
      </c>
    </row>
    <row r="431" spans="1:65" x14ac:dyDescent="0.25">
      <c r="A431" s="122" t="s">
        <v>6489</v>
      </c>
      <c r="B431" s="122" t="s">
        <v>11313</v>
      </c>
      <c r="C431" s="122" t="s">
        <v>11314</v>
      </c>
      <c r="D431" s="122" t="s">
        <v>11315</v>
      </c>
      <c r="E431" s="123">
        <v>42226</v>
      </c>
      <c r="F431" s="122" t="s">
        <v>480</v>
      </c>
      <c r="G431" s="122" t="s">
        <v>235</v>
      </c>
      <c r="H431" s="122" t="s">
        <v>11316</v>
      </c>
      <c r="I431" s="122" t="s">
        <v>11317</v>
      </c>
      <c r="K431" s="122" t="s">
        <v>3419</v>
      </c>
      <c r="L431" s="122" t="s">
        <v>3503</v>
      </c>
      <c r="M431" s="122" t="s">
        <v>3421</v>
      </c>
      <c r="O431" s="141" t="s">
        <v>373</v>
      </c>
      <c r="P431" s="141" t="s">
        <v>11318</v>
      </c>
      <c r="Q431" s="122" t="s">
        <v>3424</v>
      </c>
      <c r="R431" s="142">
        <v>101</v>
      </c>
      <c r="S431" s="122" t="s">
        <v>11319</v>
      </c>
      <c r="U431" s="122" t="s">
        <v>4681</v>
      </c>
      <c r="W431" s="122" t="s">
        <v>246</v>
      </c>
      <c r="X431" s="122" t="s">
        <v>853</v>
      </c>
      <c r="Y431" s="141" t="s">
        <v>511</v>
      </c>
      <c r="Z431" s="122" t="s">
        <v>11320</v>
      </c>
      <c r="AA431" s="141" t="s">
        <v>1327</v>
      </c>
      <c r="AB431" s="122" t="s">
        <v>11321</v>
      </c>
      <c r="AD431" s="122" t="s">
        <v>250</v>
      </c>
      <c r="AE431" s="122" t="s">
        <v>235</v>
      </c>
      <c r="AF431" s="122" t="s">
        <v>11322</v>
      </c>
      <c r="AG431" s="122" t="s">
        <v>537</v>
      </c>
      <c r="AH431" s="122" t="s">
        <v>253</v>
      </c>
      <c r="AI431" s="122" t="s">
        <v>11323</v>
      </c>
      <c r="AJ431" s="122" t="s">
        <v>11324</v>
      </c>
      <c r="AK431" s="122" t="s">
        <v>253</v>
      </c>
      <c r="AL431" s="122" t="s">
        <v>253</v>
      </c>
      <c r="AM431" s="122" t="s">
        <v>253</v>
      </c>
      <c r="AN431" s="122" t="s">
        <v>253</v>
      </c>
      <c r="AO431" s="141" t="s">
        <v>253</v>
      </c>
      <c r="AP431" s="141" t="s">
        <v>253</v>
      </c>
      <c r="AQ431" s="141" t="s">
        <v>247</v>
      </c>
      <c r="AR431" s="141" t="s">
        <v>253</v>
      </c>
      <c r="AS431" s="141" t="s">
        <v>361</v>
      </c>
      <c r="AT431" s="141" t="s">
        <v>601</v>
      </c>
      <c r="AU431" s="141" t="s">
        <v>258</v>
      </c>
      <c r="AV431" s="122" t="s">
        <v>259</v>
      </c>
      <c r="AW431" s="122" t="s">
        <v>260</v>
      </c>
      <c r="AY431" s="141" t="s">
        <v>253</v>
      </c>
      <c r="AZ431" s="122" t="s">
        <v>11325</v>
      </c>
      <c r="BA431" s="122" t="s">
        <v>262</v>
      </c>
      <c r="BB431" s="122" t="s">
        <v>262</v>
      </c>
      <c r="BD431" s="122" t="s">
        <v>253</v>
      </c>
      <c r="BE431" s="122" t="s">
        <v>263</v>
      </c>
      <c r="BF431" s="122" t="s">
        <v>4688</v>
      </c>
      <c r="BH431" s="122" t="s">
        <v>4681</v>
      </c>
      <c r="BI431" s="142">
        <v>101</v>
      </c>
      <c r="BJ431" s="123">
        <v>42239</v>
      </c>
      <c r="BK431" s="139" t="s">
        <v>264</v>
      </c>
      <c r="BL431" s="140">
        <v>118.3</v>
      </c>
      <c r="BM431" s="122">
        <v>34</v>
      </c>
    </row>
    <row r="432" spans="1:65" x14ac:dyDescent="0.25">
      <c r="A432" s="122" t="s">
        <v>6489</v>
      </c>
      <c r="B432" s="122" t="s">
        <v>11326</v>
      </c>
      <c r="C432" s="122" t="s">
        <v>11327</v>
      </c>
      <c r="D432" s="122" t="s">
        <v>11328</v>
      </c>
      <c r="E432" s="123">
        <v>42226</v>
      </c>
      <c r="F432" s="122" t="s">
        <v>2766</v>
      </c>
      <c r="G432" s="122" t="s">
        <v>235</v>
      </c>
      <c r="H432" s="122" t="s">
        <v>11329</v>
      </c>
      <c r="I432" s="122" t="s">
        <v>11330</v>
      </c>
      <c r="J432" s="122" t="s">
        <v>11331</v>
      </c>
      <c r="K432" s="122" t="s">
        <v>5879</v>
      </c>
      <c r="L432" s="122" t="s">
        <v>5880</v>
      </c>
      <c r="M432" s="122" t="s">
        <v>5881</v>
      </c>
      <c r="O432" s="141" t="s">
        <v>373</v>
      </c>
      <c r="P432" s="141" t="s">
        <v>11332</v>
      </c>
      <c r="Q432" s="122" t="s">
        <v>5883</v>
      </c>
      <c r="R432" s="142">
        <v>102</v>
      </c>
      <c r="S432" s="122" t="s">
        <v>11333</v>
      </c>
      <c r="U432" s="122" t="s">
        <v>4681</v>
      </c>
      <c r="W432" s="122" t="s">
        <v>246</v>
      </c>
      <c r="X432" s="122" t="s">
        <v>853</v>
      </c>
      <c r="Y432" s="141" t="s">
        <v>833</v>
      </c>
      <c r="Z432" s="122" t="s">
        <v>5997</v>
      </c>
      <c r="AA432" s="141" t="s">
        <v>330</v>
      </c>
      <c r="AB432" s="122" t="s">
        <v>11334</v>
      </c>
      <c r="AC432" s="141" t="s">
        <v>9522</v>
      </c>
      <c r="AD432" s="122" t="s">
        <v>11335</v>
      </c>
      <c r="AE432" s="122" t="s">
        <v>235</v>
      </c>
      <c r="AF432" s="122" t="s">
        <v>6192</v>
      </c>
      <c r="AG432" s="122" t="s">
        <v>537</v>
      </c>
      <c r="AH432" s="122" t="s">
        <v>253</v>
      </c>
      <c r="AI432" s="122" t="s">
        <v>4427</v>
      </c>
      <c r="AJ432" s="122" t="s">
        <v>6193</v>
      </c>
      <c r="AK432" s="122" t="s">
        <v>253</v>
      </c>
      <c r="AL432" s="122" t="s">
        <v>253</v>
      </c>
      <c r="AM432" s="122" t="s">
        <v>253</v>
      </c>
      <c r="AN432" s="122" t="s">
        <v>253</v>
      </c>
      <c r="AO432" s="141" t="s">
        <v>253</v>
      </c>
      <c r="AP432" s="141" t="s">
        <v>253</v>
      </c>
      <c r="AQ432" s="141" t="s">
        <v>247</v>
      </c>
      <c r="AR432" s="141" t="s">
        <v>253</v>
      </c>
      <c r="AS432" s="141" t="s">
        <v>361</v>
      </c>
      <c r="AT432" s="141" t="s">
        <v>601</v>
      </c>
      <c r="AU432" s="141" t="s">
        <v>258</v>
      </c>
      <c r="AV432" s="122" t="s">
        <v>259</v>
      </c>
      <c r="AW432" s="122" t="s">
        <v>260</v>
      </c>
      <c r="AY432" s="141" t="s">
        <v>253</v>
      </c>
      <c r="AZ432" s="122" t="s">
        <v>11336</v>
      </c>
      <c r="BA432" s="122" t="s">
        <v>262</v>
      </c>
      <c r="BB432" s="122" t="s">
        <v>262</v>
      </c>
      <c r="BD432" s="122" t="s">
        <v>253</v>
      </c>
      <c r="BE432" s="122" t="s">
        <v>263</v>
      </c>
      <c r="BF432" s="122" t="s">
        <v>4688</v>
      </c>
      <c r="BH432" s="122" t="s">
        <v>4681</v>
      </c>
      <c r="BI432" s="142">
        <v>102</v>
      </c>
      <c r="BJ432" s="123">
        <v>42233</v>
      </c>
      <c r="BK432" s="139" t="s">
        <v>264</v>
      </c>
      <c r="BL432" s="140">
        <v>98.79</v>
      </c>
      <c r="BM432" s="122">
        <v>34</v>
      </c>
    </row>
    <row r="433" spans="1:65" x14ac:dyDescent="0.25">
      <c r="A433" s="122" t="s">
        <v>6489</v>
      </c>
      <c r="B433" s="122" t="s">
        <v>11337</v>
      </c>
      <c r="C433" s="122" t="s">
        <v>11338</v>
      </c>
      <c r="D433" s="122" t="s">
        <v>11339</v>
      </c>
      <c r="E433" s="123">
        <v>42226</v>
      </c>
      <c r="F433" s="122" t="s">
        <v>11340</v>
      </c>
      <c r="G433" s="122" t="s">
        <v>235</v>
      </c>
      <c r="H433" s="122" t="s">
        <v>448</v>
      </c>
      <c r="I433" s="122" t="s">
        <v>11341</v>
      </c>
      <c r="K433" s="122" t="s">
        <v>5565</v>
      </c>
      <c r="L433" s="122" t="s">
        <v>5566</v>
      </c>
      <c r="M433" s="122" t="s">
        <v>5567</v>
      </c>
      <c r="O433" s="141" t="s">
        <v>373</v>
      </c>
      <c r="P433" s="141" t="s">
        <v>11342</v>
      </c>
      <c r="Q433" s="122" t="s">
        <v>3389</v>
      </c>
      <c r="R433" s="142">
        <v>103</v>
      </c>
      <c r="S433" s="122" t="s">
        <v>11343</v>
      </c>
      <c r="U433" s="122" t="s">
        <v>4681</v>
      </c>
      <c r="W433" s="122" t="s">
        <v>246</v>
      </c>
      <c r="X433" s="122" t="s">
        <v>2624</v>
      </c>
      <c r="Y433" s="141" t="s">
        <v>1440</v>
      </c>
      <c r="Z433" s="122" t="s">
        <v>11344</v>
      </c>
      <c r="AA433" s="141" t="s">
        <v>670</v>
      </c>
      <c r="AB433" s="122" t="s">
        <v>11345</v>
      </c>
      <c r="AC433" s="141" t="s">
        <v>763</v>
      </c>
      <c r="AD433" s="122" t="s">
        <v>11346</v>
      </c>
      <c r="AE433" s="122" t="s">
        <v>235</v>
      </c>
      <c r="AF433" s="122" t="s">
        <v>11347</v>
      </c>
      <c r="AG433" s="122" t="s">
        <v>537</v>
      </c>
      <c r="AH433" s="122" t="s">
        <v>253</v>
      </c>
      <c r="AI433" s="122" t="s">
        <v>11348</v>
      </c>
      <c r="AJ433" s="122" t="s">
        <v>11349</v>
      </c>
      <c r="AK433" s="122" t="s">
        <v>253</v>
      </c>
      <c r="AL433" s="122" t="s">
        <v>253</v>
      </c>
      <c r="AM433" s="122" t="s">
        <v>253</v>
      </c>
      <c r="AN433" s="122" t="s">
        <v>253</v>
      </c>
      <c r="AO433" s="141" t="s">
        <v>247</v>
      </c>
      <c r="AP433" s="141" t="s">
        <v>247</v>
      </c>
      <c r="AQ433" s="141" t="s">
        <v>247</v>
      </c>
      <c r="AR433" s="141" t="s">
        <v>253</v>
      </c>
      <c r="AS433" s="141" t="s">
        <v>601</v>
      </c>
      <c r="AT433" s="141" t="s">
        <v>601</v>
      </c>
      <c r="AU433" s="141" t="s">
        <v>258</v>
      </c>
      <c r="AV433" s="122" t="s">
        <v>259</v>
      </c>
      <c r="AW433" s="122" t="s">
        <v>260</v>
      </c>
      <c r="AY433" s="141" t="s">
        <v>253</v>
      </c>
      <c r="AZ433" s="122" t="s">
        <v>262</v>
      </c>
      <c r="BA433" s="122" t="s">
        <v>262</v>
      </c>
      <c r="BB433" s="122" t="s">
        <v>11350</v>
      </c>
      <c r="BC433" s="141" t="s">
        <v>312</v>
      </c>
      <c r="BD433" s="122" t="s">
        <v>253</v>
      </c>
      <c r="BE433" s="122" t="s">
        <v>263</v>
      </c>
      <c r="BF433" s="122" t="s">
        <v>4688</v>
      </c>
      <c r="BH433" s="122" t="s">
        <v>4681</v>
      </c>
      <c r="BI433" s="142">
        <v>103</v>
      </c>
    </row>
    <row r="434" spans="1:65" x14ac:dyDescent="0.25">
      <c r="A434" s="122" t="s">
        <v>6489</v>
      </c>
      <c r="B434" s="122" t="s">
        <v>11351</v>
      </c>
      <c r="C434" s="122" t="s">
        <v>11352</v>
      </c>
      <c r="D434" s="122" t="s">
        <v>11353</v>
      </c>
      <c r="E434" s="123">
        <v>42226</v>
      </c>
      <c r="F434" s="122" t="s">
        <v>248</v>
      </c>
      <c r="G434" s="122" t="s">
        <v>235</v>
      </c>
      <c r="H434" s="122" t="s">
        <v>11354</v>
      </c>
      <c r="I434" s="122" t="s">
        <v>11355</v>
      </c>
      <c r="K434" s="122" t="s">
        <v>3419</v>
      </c>
      <c r="L434" s="122" t="s">
        <v>3420</v>
      </c>
      <c r="M434" s="122" t="s">
        <v>3504</v>
      </c>
      <c r="Q434" s="122" t="s">
        <v>3424</v>
      </c>
      <c r="R434" s="142">
        <v>104</v>
      </c>
      <c r="S434" s="122" t="s">
        <v>11356</v>
      </c>
      <c r="U434" s="122" t="s">
        <v>4681</v>
      </c>
      <c r="W434" s="122" t="s">
        <v>246</v>
      </c>
      <c r="X434" s="122" t="s">
        <v>590</v>
      </c>
      <c r="Z434" s="122" t="s">
        <v>250</v>
      </c>
      <c r="AB434" s="122" t="s">
        <v>250</v>
      </c>
      <c r="AD434" s="122" t="s">
        <v>250</v>
      </c>
      <c r="AE434" s="122" t="s">
        <v>235</v>
      </c>
      <c r="AF434" s="122" t="s">
        <v>11357</v>
      </c>
      <c r="AG434" s="122" t="s">
        <v>537</v>
      </c>
      <c r="AH434" s="122" t="s">
        <v>253</v>
      </c>
      <c r="AI434" s="122" t="s">
        <v>11358</v>
      </c>
      <c r="AJ434" s="122" t="s">
        <v>11359</v>
      </c>
      <c r="AK434" s="122" t="s">
        <v>253</v>
      </c>
      <c r="AL434" s="122" t="s">
        <v>253</v>
      </c>
      <c r="AM434" s="122" t="s">
        <v>253</v>
      </c>
      <c r="AN434" s="122" t="s">
        <v>253</v>
      </c>
      <c r="AO434" s="141" t="s">
        <v>247</v>
      </c>
      <c r="AP434" s="141" t="s">
        <v>253</v>
      </c>
      <c r="AQ434" s="141" t="s">
        <v>253</v>
      </c>
      <c r="AR434" s="141" t="s">
        <v>253</v>
      </c>
      <c r="AS434" s="141" t="s">
        <v>601</v>
      </c>
      <c r="AT434" s="141" t="s">
        <v>258</v>
      </c>
      <c r="AU434" s="141" t="s">
        <v>258</v>
      </c>
      <c r="AV434" s="122" t="s">
        <v>259</v>
      </c>
      <c r="AW434" s="122" t="s">
        <v>260</v>
      </c>
      <c r="AY434" s="141" t="s">
        <v>253</v>
      </c>
      <c r="AZ434" s="122" t="s">
        <v>11360</v>
      </c>
      <c r="BA434" s="122" t="s">
        <v>262</v>
      </c>
      <c r="BB434" s="122" t="s">
        <v>262</v>
      </c>
      <c r="BD434" s="122" t="s">
        <v>253</v>
      </c>
      <c r="BE434" s="122" t="s">
        <v>263</v>
      </c>
      <c r="BF434" s="122" t="s">
        <v>4688</v>
      </c>
      <c r="BH434" s="122" t="s">
        <v>4681</v>
      </c>
      <c r="BI434" s="142">
        <v>104</v>
      </c>
      <c r="BJ434" s="123">
        <v>42238</v>
      </c>
      <c r="BK434" s="139" t="s">
        <v>264</v>
      </c>
      <c r="BL434" s="140">
        <v>65.900000000000006</v>
      </c>
      <c r="BM434" s="122">
        <v>34</v>
      </c>
    </row>
    <row r="435" spans="1:65" x14ac:dyDescent="0.25">
      <c r="A435" s="122" t="s">
        <v>6513</v>
      </c>
      <c r="B435" s="122" t="s">
        <v>11361</v>
      </c>
      <c r="C435" s="122" t="s">
        <v>11362</v>
      </c>
      <c r="D435" s="122" t="s">
        <v>11363</v>
      </c>
      <c r="E435" s="123">
        <v>42226</v>
      </c>
      <c r="F435" s="122" t="s">
        <v>2072</v>
      </c>
      <c r="G435" s="122" t="s">
        <v>235</v>
      </c>
      <c r="H435" s="122" t="s">
        <v>11364</v>
      </c>
      <c r="I435" s="122" t="s">
        <v>11365</v>
      </c>
      <c r="K435" s="122" t="s">
        <v>3419</v>
      </c>
      <c r="L435" s="122" t="s">
        <v>3503</v>
      </c>
      <c r="M435" s="122" t="s">
        <v>3504</v>
      </c>
      <c r="Q435" s="122" t="s">
        <v>3424</v>
      </c>
      <c r="R435" s="142">
        <v>105</v>
      </c>
      <c r="S435" s="122" t="s">
        <v>11366</v>
      </c>
      <c r="U435" s="122" t="s">
        <v>4681</v>
      </c>
      <c r="W435" s="122" t="s">
        <v>246</v>
      </c>
      <c r="X435" s="122" t="s">
        <v>1324</v>
      </c>
      <c r="Y435" s="141" t="s">
        <v>304</v>
      </c>
      <c r="Z435" s="122" t="s">
        <v>11367</v>
      </c>
      <c r="AA435" s="141" t="s">
        <v>2051</v>
      </c>
      <c r="AB435" s="122" t="s">
        <v>355</v>
      </c>
      <c r="AC435" s="141" t="s">
        <v>880</v>
      </c>
      <c r="AD435" s="122" t="s">
        <v>11368</v>
      </c>
      <c r="AE435" s="122" t="s">
        <v>235</v>
      </c>
      <c r="AF435" s="122" t="s">
        <v>11369</v>
      </c>
      <c r="AG435" s="122" t="s">
        <v>537</v>
      </c>
      <c r="AH435" s="122" t="s">
        <v>253</v>
      </c>
      <c r="AI435" s="122" t="s">
        <v>11370</v>
      </c>
      <c r="AJ435" s="122" t="s">
        <v>11371</v>
      </c>
      <c r="AK435" s="122" t="s">
        <v>253</v>
      </c>
      <c r="AL435" s="122" t="s">
        <v>253</v>
      </c>
      <c r="AM435" s="122" t="s">
        <v>253</v>
      </c>
      <c r="AN435" s="122" t="s">
        <v>253</v>
      </c>
      <c r="AO435" s="141" t="s">
        <v>247</v>
      </c>
      <c r="AP435" s="141" t="s">
        <v>253</v>
      </c>
      <c r="AQ435" s="141" t="s">
        <v>247</v>
      </c>
      <c r="AR435" s="141" t="s">
        <v>253</v>
      </c>
      <c r="AS435" s="141" t="s">
        <v>601</v>
      </c>
      <c r="AT435" s="141" t="s">
        <v>601</v>
      </c>
      <c r="AU435" s="141" t="s">
        <v>258</v>
      </c>
      <c r="AV435" s="122" t="s">
        <v>259</v>
      </c>
      <c r="AW435" s="122" t="s">
        <v>260</v>
      </c>
      <c r="AY435" s="141" t="s">
        <v>253</v>
      </c>
      <c r="AZ435" s="122" t="s">
        <v>11372</v>
      </c>
      <c r="BA435" s="122" t="s">
        <v>262</v>
      </c>
      <c r="BB435" s="122" t="s">
        <v>11373</v>
      </c>
      <c r="BD435" s="122" t="s">
        <v>253</v>
      </c>
      <c r="BE435" s="122" t="s">
        <v>263</v>
      </c>
      <c r="BF435" s="122" t="s">
        <v>4688</v>
      </c>
      <c r="BH435" s="122" t="s">
        <v>4681</v>
      </c>
      <c r="BI435" s="142">
        <v>105</v>
      </c>
      <c r="BJ435" s="123">
        <v>42237</v>
      </c>
      <c r="BK435" s="139" t="s">
        <v>606</v>
      </c>
      <c r="BM435" s="122">
        <v>34</v>
      </c>
    </row>
    <row r="436" spans="1:65" x14ac:dyDescent="0.25">
      <c r="A436" s="122" t="s">
        <v>6513</v>
      </c>
      <c r="B436" s="122" t="s">
        <v>11374</v>
      </c>
      <c r="C436" s="122" t="s">
        <v>11375</v>
      </c>
      <c r="D436" s="122" t="s">
        <v>11376</v>
      </c>
      <c r="E436" s="123">
        <v>42226</v>
      </c>
      <c r="F436" s="122" t="s">
        <v>11377</v>
      </c>
      <c r="G436" s="122" t="s">
        <v>235</v>
      </c>
      <c r="H436" s="122" t="s">
        <v>11378</v>
      </c>
      <c r="I436" s="122" t="s">
        <v>11379</v>
      </c>
      <c r="K436" s="122" t="s">
        <v>3419</v>
      </c>
      <c r="L436" s="122" t="s">
        <v>3503</v>
      </c>
      <c r="M436" s="122" t="s">
        <v>3421</v>
      </c>
      <c r="O436" s="141" t="s">
        <v>850</v>
      </c>
      <c r="P436" s="141" t="s">
        <v>11380</v>
      </c>
      <c r="Q436" s="122" t="s">
        <v>3424</v>
      </c>
      <c r="R436" s="142">
        <v>106</v>
      </c>
      <c r="S436" s="122" t="s">
        <v>11381</v>
      </c>
      <c r="U436" s="122" t="s">
        <v>4681</v>
      </c>
      <c r="W436" s="122" t="s">
        <v>246</v>
      </c>
      <c r="X436" s="122" t="s">
        <v>497</v>
      </c>
      <c r="Y436" s="141" t="s">
        <v>378</v>
      </c>
      <c r="Z436" s="122" t="s">
        <v>8891</v>
      </c>
      <c r="AA436" s="141" t="s">
        <v>500</v>
      </c>
      <c r="AB436" s="122" t="s">
        <v>11382</v>
      </c>
      <c r="AC436" s="141" t="s">
        <v>281</v>
      </c>
      <c r="AD436" s="122" t="s">
        <v>11383</v>
      </c>
      <c r="AE436" s="122" t="s">
        <v>235</v>
      </c>
      <c r="AF436" s="122" t="s">
        <v>11384</v>
      </c>
      <c r="AG436" s="122" t="s">
        <v>537</v>
      </c>
      <c r="AH436" s="122" t="s">
        <v>253</v>
      </c>
      <c r="AI436" s="122" t="s">
        <v>11385</v>
      </c>
      <c r="AJ436" s="122" t="s">
        <v>11386</v>
      </c>
      <c r="AK436" s="122" t="s">
        <v>253</v>
      </c>
      <c r="AL436" s="122" t="s">
        <v>253</v>
      </c>
      <c r="AM436" s="122" t="s">
        <v>253</v>
      </c>
      <c r="AN436" s="122" t="s">
        <v>253</v>
      </c>
      <c r="AO436" s="141" t="s">
        <v>253</v>
      </c>
      <c r="AP436" s="141" t="s">
        <v>253</v>
      </c>
      <c r="AQ436" s="141" t="s">
        <v>247</v>
      </c>
      <c r="AR436" s="141" t="s">
        <v>253</v>
      </c>
      <c r="AS436" s="141" t="s">
        <v>361</v>
      </c>
      <c r="AT436" s="141" t="s">
        <v>601</v>
      </c>
      <c r="AU436" s="141" t="s">
        <v>258</v>
      </c>
      <c r="AV436" s="122" t="s">
        <v>259</v>
      </c>
      <c r="AW436" s="122" t="s">
        <v>260</v>
      </c>
      <c r="AY436" s="141" t="s">
        <v>253</v>
      </c>
      <c r="AZ436" s="122" t="s">
        <v>11387</v>
      </c>
      <c r="BA436" s="122" t="s">
        <v>262</v>
      </c>
      <c r="BB436" s="122" t="s">
        <v>262</v>
      </c>
      <c r="BD436" s="122" t="s">
        <v>253</v>
      </c>
      <c r="BE436" s="122" t="s">
        <v>263</v>
      </c>
      <c r="BF436" s="122" t="s">
        <v>4688</v>
      </c>
      <c r="BH436" s="122" t="s">
        <v>4681</v>
      </c>
      <c r="BI436" s="142">
        <v>106</v>
      </c>
      <c r="BJ436" s="123">
        <v>42229</v>
      </c>
      <c r="BK436" s="139" t="s">
        <v>264</v>
      </c>
      <c r="BL436" s="140">
        <v>184.15</v>
      </c>
      <c r="BM436" s="122">
        <v>33</v>
      </c>
    </row>
    <row r="437" spans="1:65" x14ac:dyDescent="0.25">
      <c r="A437" s="122" t="s">
        <v>6513</v>
      </c>
      <c r="B437" s="122" t="s">
        <v>11388</v>
      </c>
      <c r="C437" s="122" t="s">
        <v>11389</v>
      </c>
      <c r="D437" s="122" t="s">
        <v>11390</v>
      </c>
      <c r="E437" s="123">
        <v>42226</v>
      </c>
      <c r="F437" s="122" t="s">
        <v>11391</v>
      </c>
      <c r="G437" s="122" t="s">
        <v>235</v>
      </c>
      <c r="H437" s="122" t="s">
        <v>448</v>
      </c>
      <c r="I437" s="122" t="s">
        <v>11392</v>
      </c>
      <c r="K437" s="122" t="s">
        <v>5800</v>
      </c>
      <c r="L437" s="122" t="s">
        <v>5801</v>
      </c>
      <c r="M437" s="122" t="s">
        <v>6146</v>
      </c>
      <c r="O437" s="141" t="s">
        <v>241</v>
      </c>
      <c r="P437" s="141" t="s">
        <v>11393</v>
      </c>
      <c r="Q437" s="122" t="s">
        <v>5805</v>
      </c>
      <c r="R437" s="142">
        <v>107</v>
      </c>
      <c r="S437" s="122" t="s">
        <v>11394</v>
      </c>
      <c r="U437" s="122" t="s">
        <v>4681</v>
      </c>
      <c r="W437" s="122" t="s">
        <v>246</v>
      </c>
      <c r="X437" s="122" t="s">
        <v>4409</v>
      </c>
      <c r="Y437" s="141" t="s">
        <v>1421</v>
      </c>
      <c r="Z437" s="122" t="s">
        <v>1568</v>
      </c>
      <c r="AA437" s="141" t="s">
        <v>744</v>
      </c>
      <c r="AB437" s="122" t="s">
        <v>1568</v>
      </c>
      <c r="AC437" s="141" t="s">
        <v>1015</v>
      </c>
      <c r="AD437" s="122" t="s">
        <v>1568</v>
      </c>
      <c r="AE437" s="122" t="s">
        <v>235</v>
      </c>
      <c r="AF437" s="122" t="s">
        <v>11395</v>
      </c>
      <c r="AG437" s="122" t="s">
        <v>537</v>
      </c>
      <c r="AH437" s="122" t="s">
        <v>253</v>
      </c>
      <c r="AI437" s="122" t="s">
        <v>11396</v>
      </c>
      <c r="AJ437" s="122" t="s">
        <v>11397</v>
      </c>
      <c r="AK437" s="122" t="s">
        <v>253</v>
      </c>
      <c r="AL437" s="122" t="s">
        <v>253</v>
      </c>
      <c r="AM437" s="122" t="s">
        <v>253</v>
      </c>
      <c r="AN437" s="122" t="s">
        <v>253</v>
      </c>
      <c r="AO437" s="141" t="s">
        <v>253</v>
      </c>
      <c r="AP437" s="141" t="s">
        <v>253</v>
      </c>
      <c r="AQ437" s="141" t="s">
        <v>247</v>
      </c>
      <c r="AR437" s="141" t="s">
        <v>253</v>
      </c>
      <c r="AS437" s="141" t="s">
        <v>361</v>
      </c>
      <c r="AT437" s="141" t="s">
        <v>601</v>
      </c>
      <c r="AU437" s="141" t="s">
        <v>258</v>
      </c>
      <c r="AV437" s="122" t="s">
        <v>259</v>
      </c>
      <c r="AW437" s="122" t="s">
        <v>260</v>
      </c>
      <c r="AX437" s="141" t="s">
        <v>9814</v>
      </c>
      <c r="AY437" s="141" t="s">
        <v>247</v>
      </c>
      <c r="AZ437" s="122" t="s">
        <v>262</v>
      </c>
      <c r="BA437" s="122" t="s">
        <v>262</v>
      </c>
      <c r="BB437" s="122" t="s">
        <v>262</v>
      </c>
      <c r="BC437" s="141" t="s">
        <v>312</v>
      </c>
      <c r="BD437" s="122" t="s">
        <v>253</v>
      </c>
      <c r="BE437" s="122" t="s">
        <v>263</v>
      </c>
      <c r="BF437" s="122" t="s">
        <v>4688</v>
      </c>
      <c r="BH437" s="122" t="s">
        <v>4681</v>
      </c>
      <c r="BI437" s="142">
        <v>107</v>
      </c>
      <c r="BJ437" s="123">
        <v>42232</v>
      </c>
      <c r="BK437" s="139" t="s">
        <v>264</v>
      </c>
      <c r="BL437" s="140">
        <v>77.989999999999995</v>
      </c>
      <c r="BM437" s="122">
        <v>33</v>
      </c>
    </row>
    <row r="438" spans="1:65" x14ac:dyDescent="0.25">
      <c r="A438" s="122" t="s">
        <v>6513</v>
      </c>
      <c r="B438" s="122" t="s">
        <v>11398</v>
      </c>
      <c r="C438" s="122" t="s">
        <v>11399</v>
      </c>
      <c r="D438" s="122" t="s">
        <v>11400</v>
      </c>
      <c r="E438" s="123">
        <v>42226</v>
      </c>
      <c r="F438" s="122" t="s">
        <v>1318</v>
      </c>
      <c r="G438" s="122" t="s">
        <v>235</v>
      </c>
      <c r="H438" s="122" t="s">
        <v>11401</v>
      </c>
      <c r="I438" s="122" t="s">
        <v>11402</v>
      </c>
      <c r="K438" s="122" t="s">
        <v>3419</v>
      </c>
      <c r="L438" s="122" t="s">
        <v>3420</v>
      </c>
      <c r="M438" s="122" t="s">
        <v>3421</v>
      </c>
      <c r="O438" s="141" t="s">
        <v>2559</v>
      </c>
      <c r="P438" s="141" t="s">
        <v>11403</v>
      </c>
      <c r="Q438" s="122" t="s">
        <v>3424</v>
      </c>
      <c r="R438" s="142">
        <v>108</v>
      </c>
      <c r="S438" s="122" t="s">
        <v>11404</v>
      </c>
      <c r="U438" s="122" t="s">
        <v>4681</v>
      </c>
      <c r="W438" s="122" t="s">
        <v>246</v>
      </c>
      <c r="X438" s="122" t="s">
        <v>1324</v>
      </c>
      <c r="Y438" s="141" t="s">
        <v>1528</v>
      </c>
      <c r="Z438" s="122" t="s">
        <v>7096</v>
      </c>
      <c r="AA438" s="141" t="s">
        <v>570</v>
      </c>
      <c r="AB438" s="122" t="s">
        <v>3823</v>
      </c>
      <c r="AC438" s="141" t="s">
        <v>819</v>
      </c>
      <c r="AD438" s="122" t="s">
        <v>3697</v>
      </c>
      <c r="AE438" s="122" t="s">
        <v>235</v>
      </c>
      <c r="AF438" s="122" t="s">
        <v>11405</v>
      </c>
      <c r="AG438" s="122" t="s">
        <v>537</v>
      </c>
      <c r="AH438" s="122" t="s">
        <v>253</v>
      </c>
      <c r="AI438" s="122" t="s">
        <v>9936</v>
      </c>
      <c r="AJ438" s="122" t="s">
        <v>11406</v>
      </c>
      <c r="AK438" s="122" t="s">
        <v>253</v>
      </c>
      <c r="AL438" s="122" t="s">
        <v>253</v>
      </c>
      <c r="AM438" s="122" t="s">
        <v>253</v>
      </c>
      <c r="AN438" s="122" t="s">
        <v>253</v>
      </c>
      <c r="AO438" s="141" t="s">
        <v>253</v>
      </c>
      <c r="AP438" s="141" t="s">
        <v>253</v>
      </c>
      <c r="AQ438" s="141" t="s">
        <v>247</v>
      </c>
      <c r="AR438" s="141" t="s">
        <v>253</v>
      </c>
      <c r="AS438" s="141" t="s">
        <v>361</v>
      </c>
      <c r="AT438" s="141" t="s">
        <v>601</v>
      </c>
      <c r="AU438" s="141" t="s">
        <v>258</v>
      </c>
      <c r="AV438" s="122" t="s">
        <v>259</v>
      </c>
      <c r="AW438" s="122" t="s">
        <v>260</v>
      </c>
      <c r="AY438" s="141" t="s">
        <v>253</v>
      </c>
      <c r="AZ438" s="122" t="s">
        <v>11407</v>
      </c>
      <c r="BA438" s="122" t="s">
        <v>262</v>
      </c>
      <c r="BB438" s="122" t="s">
        <v>262</v>
      </c>
      <c r="BD438" s="122" t="s">
        <v>253</v>
      </c>
      <c r="BE438" s="122" t="s">
        <v>263</v>
      </c>
      <c r="BF438" s="122" t="s">
        <v>4688</v>
      </c>
      <c r="BH438" s="122" t="s">
        <v>4681</v>
      </c>
      <c r="BI438" s="142">
        <v>108</v>
      </c>
      <c r="BJ438" s="123">
        <v>42239</v>
      </c>
      <c r="BK438" s="139" t="s">
        <v>606</v>
      </c>
      <c r="BM438" s="122">
        <v>34</v>
      </c>
    </row>
    <row r="439" spans="1:65" x14ac:dyDescent="0.25">
      <c r="A439" s="122" t="s">
        <v>6513</v>
      </c>
      <c r="B439" s="122" t="s">
        <v>11408</v>
      </c>
      <c r="C439" s="122" t="s">
        <v>11409</v>
      </c>
      <c r="D439" s="122" t="s">
        <v>11410</v>
      </c>
      <c r="E439" s="123">
        <v>42226</v>
      </c>
      <c r="F439" s="122" t="s">
        <v>11411</v>
      </c>
      <c r="G439" s="122" t="s">
        <v>235</v>
      </c>
      <c r="H439" s="122" t="s">
        <v>11412</v>
      </c>
      <c r="I439" s="122" t="s">
        <v>11413</v>
      </c>
      <c r="K439" s="122" t="s">
        <v>3419</v>
      </c>
      <c r="L439" s="122" t="s">
        <v>3420</v>
      </c>
      <c r="M439" s="122" t="s">
        <v>3421</v>
      </c>
      <c r="O439" s="141" t="s">
        <v>3777</v>
      </c>
      <c r="P439" s="141" t="s">
        <v>11414</v>
      </c>
      <c r="Q439" s="122" t="s">
        <v>3424</v>
      </c>
      <c r="R439" s="142">
        <v>109</v>
      </c>
      <c r="S439" s="122" t="s">
        <v>11415</v>
      </c>
      <c r="U439" s="122" t="s">
        <v>4681</v>
      </c>
      <c r="W439" s="122" t="s">
        <v>246</v>
      </c>
      <c r="X439" s="122" t="s">
        <v>1324</v>
      </c>
      <c r="Y439" s="141" t="s">
        <v>248</v>
      </c>
      <c r="Z439" s="122" t="s">
        <v>11416</v>
      </c>
      <c r="AA439" s="141" t="s">
        <v>1547</v>
      </c>
      <c r="AB439" s="122" t="s">
        <v>11417</v>
      </c>
      <c r="AC439" s="141" t="s">
        <v>6691</v>
      </c>
      <c r="AD439" s="122" t="s">
        <v>11418</v>
      </c>
      <c r="AE439" s="122" t="s">
        <v>235</v>
      </c>
      <c r="AF439" s="122" t="s">
        <v>11419</v>
      </c>
      <c r="AG439" s="122" t="s">
        <v>537</v>
      </c>
      <c r="AH439" s="122" t="s">
        <v>253</v>
      </c>
      <c r="AI439" s="122" t="s">
        <v>11420</v>
      </c>
      <c r="AJ439" s="122" t="s">
        <v>11421</v>
      </c>
      <c r="AK439" s="122" t="s">
        <v>253</v>
      </c>
      <c r="AL439" s="122" t="s">
        <v>253</v>
      </c>
      <c r="AM439" s="122" t="s">
        <v>253</v>
      </c>
      <c r="AN439" s="122" t="s">
        <v>253</v>
      </c>
      <c r="AO439" s="141" t="s">
        <v>247</v>
      </c>
      <c r="AP439" s="141" t="s">
        <v>247</v>
      </c>
      <c r="AQ439" s="141" t="s">
        <v>247</v>
      </c>
      <c r="AR439" s="141" t="s">
        <v>253</v>
      </c>
      <c r="AS439" s="141" t="s">
        <v>601</v>
      </c>
      <c r="AT439" s="141" t="s">
        <v>601</v>
      </c>
      <c r="AU439" s="141" t="s">
        <v>258</v>
      </c>
      <c r="AV439" s="122" t="s">
        <v>259</v>
      </c>
      <c r="AW439" s="122" t="s">
        <v>260</v>
      </c>
      <c r="AX439" s="141" t="s">
        <v>840</v>
      </c>
      <c r="AY439" s="141" t="s">
        <v>247</v>
      </c>
      <c r="AZ439" s="122" t="s">
        <v>11422</v>
      </c>
      <c r="BA439" s="122" t="s">
        <v>262</v>
      </c>
      <c r="BB439" s="122" t="s">
        <v>11423</v>
      </c>
      <c r="BC439" s="141" t="s">
        <v>312</v>
      </c>
      <c r="BD439" s="122" t="s">
        <v>253</v>
      </c>
      <c r="BE439" s="122" t="s">
        <v>263</v>
      </c>
      <c r="BF439" s="122" t="s">
        <v>4688</v>
      </c>
      <c r="BH439" s="122" t="s">
        <v>4681</v>
      </c>
      <c r="BI439" s="142">
        <v>109</v>
      </c>
      <c r="BJ439" s="123">
        <v>42238</v>
      </c>
      <c r="BK439" s="139" t="s">
        <v>264</v>
      </c>
      <c r="BL439" s="140">
        <v>291.12</v>
      </c>
      <c r="BM439" s="122">
        <v>34</v>
      </c>
    </row>
    <row r="440" spans="1:65" x14ac:dyDescent="0.25">
      <c r="A440" s="122" t="s">
        <v>6513</v>
      </c>
      <c r="B440" s="122" t="s">
        <v>11424</v>
      </c>
      <c r="C440" s="122" t="s">
        <v>11425</v>
      </c>
      <c r="D440" s="122" t="s">
        <v>11426</v>
      </c>
      <c r="E440" s="123">
        <v>42226</v>
      </c>
      <c r="F440" s="122" t="s">
        <v>3689</v>
      </c>
      <c r="G440" s="122" t="s">
        <v>235</v>
      </c>
      <c r="H440" s="122" t="s">
        <v>448</v>
      </c>
      <c r="I440" s="122" t="s">
        <v>11427</v>
      </c>
      <c r="K440" s="122" t="s">
        <v>5800</v>
      </c>
      <c r="L440" s="122" t="s">
        <v>5801</v>
      </c>
      <c r="M440" s="122" t="s">
        <v>5802</v>
      </c>
      <c r="O440" s="141" t="s">
        <v>451</v>
      </c>
      <c r="P440" s="141" t="s">
        <v>11428</v>
      </c>
      <c r="Q440" s="122" t="s">
        <v>5805</v>
      </c>
      <c r="R440" s="142">
        <v>110</v>
      </c>
      <c r="S440" s="122" t="s">
        <v>11429</v>
      </c>
      <c r="U440" s="122" t="s">
        <v>4681</v>
      </c>
      <c r="W440" s="122" t="s">
        <v>246</v>
      </c>
      <c r="X440" s="122" t="s">
        <v>376</v>
      </c>
      <c r="Y440" s="141" t="s">
        <v>888</v>
      </c>
      <c r="Z440" s="122" t="s">
        <v>11430</v>
      </c>
      <c r="AA440" s="141" t="s">
        <v>668</v>
      </c>
      <c r="AB440" s="122" t="s">
        <v>11431</v>
      </c>
      <c r="AC440" s="141" t="s">
        <v>1762</v>
      </c>
      <c r="AD440" s="122" t="s">
        <v>11432</v>
      </c>
      <c r="AE440" s="122" t="s">
        <v>235</v>
      </c>
      <c r="AF440" s="122" t="s">
        <v>11433</v>
      </c>
      <c r="AG440" s="122" t="s">
        <v>253</v>
      </c>
      <c r="AH440" s="122" t="s">
        <v>253</v>
      </c>
      <c r="AI440" s="122" t="s">
        <v>11434</v>
      </c>
      <c r="AJ440" s="122" t="s">
        <v>253</v>
      </c>
      <c r="AK440" s="122" t="s">
        <v>253</v>
      </c>
      <c r="AL440" s="122" t="s">
        <v>253</v>
      </c>
      <c r="AM440" s="122" t="s">
        <v>11435</v>
      </c>
      <c r="AN440" s="122" t="s">
        <v>253</v>
      </c>
      <c r="AO440" s="141" t="s">
        <v>247</v>
      </c>
      <c r="AP440" s="141" t="s">
        <v>247</v>
      </c>
      <c r="AQ440" s="141" t="s">
        <v>247</v>
      </c>
      <c r="AR440" s="141" t="s">
        <v>247</v>
      </c>
      <c r="AS440" s="141" t="s">
        <v>601</v>
      </c>
      <c r="AT440" s="141" t="s">
        <v>601</v>
      </c>
      <c r="AU440" s="141" t="s">
        <v>601</v>
      </c>
      <c r="AV440" s="122" t="s">
        <v>259</v>
      </c>
      <c r="AW440" s="122" t="s">
        <v>260</v>
      </c>
      <c r="AX440" s="141" t="s">
        <v>3169</v>
      </c>
      <c r="AY440" s="141" t="s">
        <v>603</v>
      </c>
      <c r="AZ440" s="122" t="s">
        <v>262</v>
      </c>
      <c r="BA440" s="122" t="s">
        <v>262</v>
      </c>
      <c r="BB440" s="122" t="s">
        <v>11436</v>
      </c>
      <c r="BD440" s="122" t="s">
        <v>253</v>
      </c>
      <c r="BE440" s="122" t="s">
        <v>263</v>
      </c>
      <c r="BF440" s="122" t="s">
        <v>4688</v>
      </c>
      <c r="BH440" s="122" t="s">
        <v>4681</v>
      </c>
      <c r="BI440" s="142">
        <v>110</v>
      </c>
      <c r="BJ440" s="123">
        <v>42235</v>
      </c>
      <c r="BK440" s="139" t="s">
        <v>5154</v>
      </c>
      <c r="BM440" s="122">
        <v>34</v>
      </c>
    </row>
    <row r="441" spans="1:65" x14ac:dyDescent="0.25">
      <c r="A441" s="122" t="s">
        <v>6513</v>
      </c>
      <c r="B441" s="122" t="s">
        <v>11437</v>
      </c>
      <c r="C441" s="122" t="s">
        <v>11438</v>
      </c>
      <c r="D441" s="122" t="s">
        <v>11439</v>
      </c>
      <c r="E441" s="123">
        <v>42226</v>
      </c>
      <c r="F441" s="122" t="s">
        <v>892</v>
      </c>
      <c r="G441" s="122" t="s">
        <v>235</v>
      </c>
      <c r="H441" s="122" t="s">
        <v>11440</v>
      </c>
      <c r="I441" s="122" t="s">
        <v>11441</v>
      </c>
      <c r="K441" s="122" t="s">
        <v>3419</v>
      </c>
      <c r="L441" s="122" t="s">
        <v>3503</v>
      </c>
      <c r="M441" s="122" t="s">
        <v>3504</v>
      </c>
      <c r="O441" s="141" t="s">
        <v>390</v>
      </c>
      <c r="P441" s="141" t="s">
        <v>11442</v>
      </c>
      <c r="Q441" s="122" t="s">
        <v>3424</v>
      </c>
      <c r="R441" s="142">
        <v>111</v>
      </c>
      <c r="S441" s="122" t="s">
        <v>11443</v>
      </c>
      <c r="U441" s="122" t="s">
        <v>4681</v>
      </c>
      <c r="W441" s="122" t="s">
        <v>246</v>
      </c>
      <c r="X441" s="122" t="s">
        <v>260</v>
      </c>
      <c r="Y441" s="141" t="s">
        <v>1122</v>
      </c>
      <c r="Z441" s="122" t="s">
        <v>11444</v>
      </c>
      <c r="AA441" s="141" t="s">
        <v>670</v>
      </c>
      <c r="AB441" s="122" t="s">
        <v>3459</v>
      </c>
      <c r="AC441" s="141" t="s">
        <v>1398</v>
      </c>
      <c r="AD441" s="122" t="s">
        <v>11445</v>
      </c>
      <c r="AE441" s="122" t="s">
        <v>235</v>
      </c>
      <c r="AF441" s="122" t="s">
        <v>11446</v>
      </c>
      <c r="AG441" s="122" t="s">
        <v>253</v>
      </c>
      <c r="AH441" s="122" t="s">
        <v>253</v>
      </c>
      <c r="AI441" s="122" t="s">
        <v>11447</v>
      </c>
      <c r="AJ441" s="122" t="s">
        <v>11448</v>
      </c>
      <c r="AK441" s="122" t="s">
        <v>253</v>
      </c>
      <c r="AL441" s="122" t="s">
        <v>11449</v>
      </c>
      <c r="AM441" s="122" t="s">
        <v>253</v>
      </c>
      <c r="AN441" s="122" t="s">
        <v>253</v>
      </c>
      <c r="AO441" s="141" t="s">
        <v>247</v>
      </c>
      <c r="AP441" s="141" t="s">
        <v>247</v>
      </c>
      <c r="AQ441" s="141" t="s">
        <v>247</v>
      </c>
      <c r="AR441" s="141" t="s">
        <v>247</v>
      </c>
      <c r="AS441" s="141" t="s">
        <v>601</v>
      </c>
      <c r="AT441" s="141" t="s">
        <v>601</v>
      </c>
      <c r="AU441" s="141" t="s">
        <v>601</v>
      </c>
      <c r="AV441" s="122" t="s">
        <v>259</v>
      </c>
      <c r="AW441" s="122" t="s">
        <v>260</v>
      </c>
      <c r="AX441" s="141" t="s">
        <v>1130</v>
      </c>
      <c r="AY441" s="141" t="s">
        <v>247</v>
      </c>
      <c r="AZ441" s="122" t="s">
        <v>11450</v>
      </c>
      <c r="BA441" s="122" t="s">
        <v>262</v>
      </c>
      <c r="BB441" s="122" t="s">
        <v>11450</v>
      </c>
      <c r="BD441" s="122" t="s">
        <v>253</v>
      </c>
      <c r="BE441" s="122" t="s">
        <v>263</v>
      </c>
      <c r="BF441" s="122" t="s">
        <v>4688</v>
      </c>
      <c r="BH441" s="122" t="s">
        <v>4681</v>
      </c>
      <c r="BI441" s="142">
        <v>111</v>
      </c>
      <c r="BJ441" s="123">
        <v>42239</v>
      </c>
      <c r="BK441" s="139" t="s">
        <v>606</v>
      </c>
      <c r="BM441" s="122">
        <v>34</v>
      </c>
    </row>
    <row r="442" spans="1:65" x14ac:dyDescent="0.25">
      <c r="A442" s="122" t="s">
        <v>6513</v>
      </c>
      <c r="B442" s="122" t="s">
        <v>11451</v>
      </c>
      <c r="C442" s="122" t="s">
        <v>11452</v>
      </c>
      <c r="D442" s="122" t="s">
        <v>11453</v>
      </c>
      <c r="E442" s="123">
        <v>42226</v>
      </c>
      <c r="F442" s="122" t="s">
        <v>2717</v>
      </c>
      <c r="G442" s="122" t="s">
        <v>235</v>
      </c>
      <c r="H442" s="122" t="s">
        <v>11454</v>
      </c>
      <c r="I442" s="122" t="s">
        <v>11455</v>
      </c>
      <c r="K442" s="122" t="s">
        <v>3419</v>
      </c>
      <c r="L442" s="122" t="s">
        <v>3503</v>
      </c>
      <c r="M442" s="122" t="s">
        <v>3504</v>
      </c>
      <c r="O442" s="141" t="s">
        <v>566</v>
      </c>
      <c r="P442" s="141" t="s">
        <v>11456</v>
      </c>
      <c r="Q442" s="122" t="s">
        <v>3424</v>
      </c>
      <c r="R442" s="142">
        <v>112</v>
      </c>
      <c r="S442" s="122" t="s">
        <v>11457</v>
      </c>
      <c r="U442" s="122" t="s">
        <v>4681</v>
      </c>
      <c r="W442" s="122" t="s">
        <v>246</v>
      </c>
      <c r="X442" s="122" t="s">
        <v>1057</v>
      </c>
      <c r="Y442" s="141" t="s">
        <v>378</v>
      </c>
      <c r="Z442" s="122" t="s">
        <v>518</v>
      </c>
      <c r="AB442" s="122" t="s">
        <v>250</v>
      </c>
      <c r="AD442" s="122" t="s">
        <v>250</v>
      </c>
      <c r="AE442" s="122" t="s">
        <v>235</v>
      </c>
      <c r="AF442" s="122" t="s">
        <v>11458</v>
      </c>
      <c r="AG442" s="122" t="s">
        <v>11459</v>
      </c>
      <c r="AH442" s="122" t="s">
        <v>253</v>
      </c>
      <c r="AI442" s="122" t="s">
        <v>11460</v>
      </c>
      <c r="AJ442" s="122" t="s">
        <v>11461</v>
      </c>
      <c r="AK442" s="122" t="s">
        <v>253</v>
      </c>
      <c r="AL442" s="122" t="s">
        <v>253</v>
      </c>
      <c r="AM442" s="122" t="s">
        <v>253</v>
      </c>
      <c r="AN442" s="122" t="s">
        <v>253</v>
      </c>
      <c r="AO442" s="141" t="s">
        <v>247</v>
      </c>
      <c r="AP442" s="141" t="s">
        <v>247</v>
      </c>
      <c r="AQ442" s="141" t="s">
        <v>247</v>
      </c>
      <c r="AR442" s="141" t="s">
        <v>247</v>
      </c>
      <c r="AS442" s="141" t="s">
        <v>601</v>
      </c>
      <c r="AT442" s="141" t="s">
        <v>601</v>
      </c>
      <c r="AU442" s="141" t="s">
        <v>257</v>
      </c>
      <c r="AV442" s="122" t="s">
        <v>259</v>
      </c>
      <c r="AW442" s="122" t="s">
        <v>260</v>
      </c>
      <c r="AY442" s="141" t="s">
        <v>253</v>
      </c>
      <c r="AZ442" s="122" t="s">
        <v>11462</v>
      </c>
      <c r="BA442" s="122" t="s">
        <v>262</v>
      </c>
      <c r="BB442" s="122" t="s">
        <v>262</v>
      </c>
      <c r="BD442" s="122" t="s">
        <v>253</v>
      </c>
      <c r="BE442" s="122" t="s">
        <v>263</v>
      </c>
      <c r="BF442" s="122" t="s">
        <v>4688</v>
      </c>
      <c r="BH442" s="122" t="s">
        <v>4681</v>
      </c>
      <c r="BI442" s="142">
        <v>112</v>
      </c>
      <c r="BJ442" s="123">
        <v>42239</v>
      </c>
      <c r="BK442" s="139" t="s">
        <v>606</v>
      </c>
      <c r="BM442" s="122">
        <v>34</v>
      </c>
    </row>
    <row r="443" spans="1:65" x14ac:dyDescent="0.25">
      <c r="A443" s="122" t="s">
        <v>6513</v>
      </c>
      <c r="B443" s="122" t="s">
        <v>11463</v>
      </c>
      <c r="C443" s="122" t="s">
        <v>11464</v>
      </c>
      <c r="D443" s="122" t="s">
        <v>11465</v>
      </c>
      <c r="E443" s="123">
        <v>42226</v>
      </c>
      <c r="F443" s="122" t="s">
        <v>6772</v>
      </c>
      <c r="G443" s="122" t="s">
        <v>235</v>
      </c>
      <c r="H443" s="122" t="s">
        <v>11466</v>
      </c>
      <c r="I443" s="122" t="s">
        <v>11467</v>
      </c>
      <c r="K443" s="122" t="s">
        <v>3419</v>
      </c>
      <c r="L443" s="122" t="s">
        <v>3503</v>
      </c>
      <c r="M443" s="122" t="s">
        <v>3504</v>
      </c>
      <c r="O443" s="141" t="s">
        <v>5366</v>
      </c>
      <c r="P443" s="141" t="s">
        <v>11468</v>
      </c>
      <c r="Q443" s="122" t="s">
        <v>3424</v>
      </c>
      <c r="R443" s="142">
        <v>113</v>
      </c>
      <c r="S443" s="122" t="s">
        <v>11469</v>
      </c>
      <c r="U443" s="122" t="s">
        <v>4681</v>
      </c>
      <c r="W443" s="122" t="s">
        <v>246</v>
      </c>
      <c r="X443" s="122" t="s">
        <v>1121</v>
      </c>
      <c r="Y443" s="141" t="s">
        <v>2717</v>
      </c>
      <c r="Z443" s="122" t="s">
        <v>11470</v>
      </c>
      <c r="AA443" s="141" t="s">
        <v>1325</v>
      </c>
      <c r="AB443" s="122" t="s">
        <v>11471</v>
      </c>
      <c r="AC443" s="141" t="s">
        <v>1015</v>
      </c>
      <c r="AD443" s="122" t="s">
        <v>11471</v>
      </c>
      <c r="AE443" s="122" t="s">
        <v>235</v>
      </c>
      <c r="AF443" s="122" t="s">
        <v>11472</v>
      </c>
      <c r="AG443" s="122" t="s">
        <v>537</v>
      </c>
      <c r="AH443" s="122" t="s">
        <v>253</v>
      </c>
      <c r="AI443" s="122" t="s">
        <v>9136</v>
      </c>
      <c r="AJ443" s="122" t="s">
        <v>11473</v>
      </c>
      <c r="AK443" s="122" t="s">
        <v>253</v>
      </c>
      <c r="AL443" s="122" t="s">
        <v>253</v>
      </c>
      <c r="AM443" s="122" t="s">
        <v>253</v>
      </c>
      <c r="AN443" s="122" t="s">
        <v>253</v>
      </c>
      <c r="AO443" s="141" t="s">
        <v>253</v>
      </c>
      <c r="AP443" s="141" t="s">
        <v>253</v>
      </c>
      <c r="AQ443" s="141" t="s">
        <v>247</v>
      </c>
      <c r="AR443" s="141" t="s">
        <v>253</v>
      </c>
      <c r="AS443" s="141" t="s">
        <v>361</v>
      </c>
      <c r="AT443" s="141" t="s">
        <v>601</v>
      </c>
      <c r="AU443" s="141" t="s">
        <v>258</v>
      </c>
      <c r="AV443" s="122" t="s">
        <v>259</v>
      </c>
      <c r="AW443" s="122" t="s">
        <v>260</v>
      </c>
      <c r="AY443" s="141" t="s">
        <v>253</v>
      </c>
      <c r="AZ443" s="122" t="s">
        <v>11474</v>
      </c>
      <c r="BA443" s="122" t="s">
        <v>262</v>
      </c>
      <c r="BB443" s="122" t="s">
        <v>262</v>
      </c>
      <c r="BD443" s="122" t="s">
        <v>253</v>
      </c>
      <c r="BE443" s="122" t="s">
        <v>263</v>
      </c>
      <c r="BF443" s="122" t="s">
        <v>4688</v>
      </c>
      <c r="BH443" s="122" t="s">
        <v>4681</v>
      </c>
      <c r="BI443" s="142">
        <v>113</v>
      </c>
      <c r="BJ443" s="123">
        <v>42237</v>
      </c>
      <c r="BK443" s="139" t="s">
        <v>606</v>
      </c>
      <c r="BM443" s="122">
        <v>34</v>
      </c>
    </row>
    <row r="444" spans="1:65" x14ac:dyDescent="0.25">
      <c r="A444" s="122" t="s">
        <v>6513</v>
      </c>
      <c r="B444" s="122" t="s">
        <v>11475</v>
      </c>
      <c r="C444" s="122" t="s">
        <v>11476</v>
      </c>
      <c r="D444" s="122" t="s">
        <v>11477</v>
      </c>
      <c r="E444" s="123">
        <v>42226</v>
      </c>
      <c r="F444" s="122" t="s">
        <v>11478</v>
      </c>
      <c r="G444" s="122" t="s">
        <v>235</v>
      </c>
      <c r="H444" s="122" t="s">
        <v>11479</v>
      </c>
      <c r="I444" s="122" t="s">
        <v>11480</v>
      </c>
      <c r="K444" s="122" t="s">
        <v>3419</v>
      </c>
      <c r="L444" s="122" t="s">
        <v>3503</v>
      </c>
      <c r="M444" s="122" t="s">
        <v>3421</v>
      </c>
      <c r="O444" s="141" t="s">
        <v>373</v>
      </c>
      <c r="P444" s="141" t="s">
        <v>11481</v>
      </c>
      <c r="Q444" s="122" t="s">
        <v>3424</v>
      </c>
      <c r="R444" s="142">
        <v>114</v>
      </c>
      <c r="S444" s="122" t="s">
        <v>11482</v>
      </c>
      <c r="U444" s="122" t="s">
        <v>4681</v>
      </c>
      <c r="W444" s="122" t="s">
        <v>246</v>
      </c>
      <c r="X444" s="122" t="s">
        <v>1057</v>
      </c>
      <c r="Y444" s="141" t="s">
        <v>740</v>
      </c>
      <c r="Z444" s="122" t="s">
        <v>1792</v>
      </c>
      <c r="AA444" s="141" t="s">
        <v>595</v>
      </c>
      <c r="AB444" s="122" t="s">
        <v>1792</v>
      </c>
      <c r="AC444" s="141" t="s">
        <v>819</v>
      </c>
      <c r="AD444" s="122" t="s">
        <v>1792</v>
      </c>
      <c r="AE444" s="122" t="s">
        <v>235</v>
      </c>
      <c r="AF444" s="122" t="s">
        <v>11483</v>
      </c>
      <c r="AG444" s="122" t="s">
        <v>537</v>
      </c>
      <c r="AH444" s="122" t="s">
        <v>253</v>
      </c>
      <c r="AI444" s="122" t="s">
        <v>11484</v>
      </c>
      <c r="AJ444" s="122" t="s">
        <v>11485</v>
      </c>
      <c r="AK444" s="122" t="s">
        <v>253</v>
      </c>
      <c r="AL444" s="122" t="s">
        <v>253</v>
      </c>
      <c r="AM444" s="122" t="s">
        <v>253</v>
      </c>
      <c r="AN444" s="122" t="s">
        <v>253</v>
      </c>
      <c r="AO444" s="141" t="s">
        <v>247</v>
      </c>
      <c r="AP444" s="141" t="s">
        <v>253</v>
      </c>
      <c r="AQ444" s="141" t="s">
        <v>247</v>
      </c>
      <c r="AR444" s="141" t="s">
        <v>253</v>
      </c>
      <c r="AS444" s="141" t="s">
        <v>601</v>
      </c>
      <c r="AT444" s="141" t="s">
        <v>601</v>
      </c>
      <c r="AU444" s="141" t="s">
        <v>258</v>
      </c>
      <c r="AV444" s="122" t="s">
        <v>259</v>
      </c>
      <c r="AW444" s="122" t="s">
        <v>260</v>
      </c>
      <c r="AX444" s="141" t="s">
        <v>11486</v>
      </c>
      <c r="AY444" s="141" t="s">
        <v>247</v>
      </c>
      <c r="AZ444" s="122" t="s">
        <v>11487</v>
      </c>
      <c r="BA444" s="122" t="s">
        <v>262</v>
      </c>
      <c r="BB444" s="122" t="s">
        <v>262</v>
      </c>
      <c r="BD444" s="122" t="s">
        <v>253</v>
      </c>
      <c r="BE444" s="122" t="s">
        <v>263</v>
      </c>
      <c r="BF444" s="122" t="s">
        <v>4688</v>
      </c>
      <c r="BH444" s="122" t="s">
        <v>4681</v>
      </c>
      <c r="BI444" s="142">
        <v>114</v>
      </c>
      <c r="BJ444" s="123">
        <v>42239</v>
      </c>
      <c r="BK444" s="139" t="s">
        <v>606</v>
      </c>
      <c r="BM444" s="122">
        <v>34</v>
      </c>
    </row>
    <row r="445" spans="1:65" x14ac:dyDescent="0.25">
      <c r="A445" s="122" t="s">
        <v>6513</v>
      </c>
      <c r="B445" s="122" t="s">
        <v>11488</v>
      </c>
      <c r="C445" s="122" t="s">
        <v>11489</v>
      </c>
      <c r="D445" s="122" t="s">
        <v>11490</v>
      </c>
      <c r="E445" s="123">
        <v>42226</v>
      </c>
      <c r="F445" s="122" t="s">
        <v>11491</v>
      </c>
      <c r="G445" s="122" t="s">
        <v>235</v>
      </c>
      <c r="H445" s="122" t="s">
        <v>11492</v>
      </c>
      <c r="I445" s="122" t="s">
        <v>11493</v>
      </c>
      <c r="J445" s="122" t="s">
        <v>6372</v>
      </c>
      <c r="K445" s="122" t="s">
        <v>5800</v>
      </c>
      <c r="L445" s="122" t="s">
        <v>5801</v>
      </c>
      <c r="M445" s="122" t="s">
        <v>5802</v>
      </c>
      <c r="O445" s="141" t="s">
        <v>373</v>
      </c>
      <c r="P445" s="141" t="s">
        <v>11494</v>
      </c>
      <c r="Q445" s="122" t="s">
        <v>5805</v>
      </c>
      <c r="R445" s="142">
        <v>115</v>
      </c>
      <c r="S445" s="122" t="s">
        <v>11495</v>
      </c>
      <c r="U445" s="122" t="s">
        <v>4681</v>
      </c>
      <c r="W445" s="122" t="s">
        <v>246</v>
      </c>
      <c r="X445" s="122" t="s">
        <v>1324</v>
      </c>
      <c r="Y445" s="141" t="s">
        <v>956</v>
      </c>
      <c r="Z445" s="122" t="s">
        <v>11496</v>
      </c>
      <c r="AA445" s="141" t="s">
        <v>367</v>
      </c>
      <c r="AB445" s="122" t="s">
        <v>11497</v>
      </c>
      <c r="AC445" s="141" t="s">
        <v>1629</v>
      </c>
      <c r="AD445" s="122" t="s">
        <v>11498</v>
      </c>
      <c r="AE445" s="122" t="s">
        <v>235</v>
      </c>
      <c r="AF445" s="122" t="s">
        <v>11499</v>
      </c>
      <c r="AG445" s="122" t="s">
        <v>537</v>
      </c>
      <c r="AH445" s="122" t="s">
        <v>253</v>
      </c>
      <c r="AI445" s="122" t="s">
        <v>11500</v>
      </c>
      <c r="AJ445" s="122" t="s">
        <v>3475</v>
      </c>
      <c r="AK445" s="122" t="s">
        <v>253</v>
      </c>
      <c r="AL445" s="122" t="s">
        <v>253</v>
      </c>
      <c r="AM445" s="122" t="s">
        <v>253</v>
      </c>
      <c r="AN445" s="122" t="s">
        <v>253</v>
      </c>
      <c r="AO445" s="141" t="s">
        <v>253</v>
      </c>
      <c r="AP445" s="141" t="s">
        <v>253</v>
      </c>
      <c r="AQ445" s="141" t="s">
        <v>247</v>
      </c>
      <c r="AR445" s="141" t="s">
        <v>247</v>
      </c>
      <c r="AS445" s="141" t="s">
        <v>361</v>
      </c>
      <c r="AT445" s="141" t="s">
        <v>601</v>
      </c>
      <c r="AU445" s="141" t="s">
        <v>601</v>
      </c>
      <c r="AV445" s="122" t="s">
        <v>259</v>
      </c>
      <c r="AW445" s="122" t="s">
        <v>260</v>
      </c>
      <c r="AY445" s="141" t="s">
        <v>253</v>
      </c>
      <c r="AZ445" s="122" t="s">
        <v>11501</v>
      </c>
      <c r="BA445" s="122" t="s">
        <v>262</v>
      </c>
      <c r="BB445" s="122" t="s">
        <v>262</v>
      </c>
      <c r="BD445" s="122" t="s">
        <v>253</v>
      </c>
      <c r="BE445" s="122" t="s">
        <v>263</v>
      </c>
      <c r="BF445" s="122" t="s">
        <v>4688</v>
      </c>
      <c r="BH445" s="122" t="s">
        <v>4681</v>
      </c>
      <c r="BI445" s="142">
        <v>115</v>
      </c>
      <c r="BJ445" s="123">
        <v>42236</v>
      </c>
      <c r="BK445" s="139" t="s">
        <v>264</v>
      </c>
      <c r="BL445" s="140">
        <v>158.74</v>
      </c>
      <c r="BM445" s="122">
        <v>34</v>
      </c>
    </row>
    <row r="446" spans="1:65" x14ac:dyDescent="0.25">
      <c r="A446" s="122" t="s">
        <v>6513</v>
      </c>
      <c r="B446" s="122" t="s">
        <v>11502</v>
      </c>
      <c r="C446" s="122" t="s">
        <v>11503</v>
      </c>
      <c r="D446" s="122" t="s">
        <v>11504</v>
      </c>
      <c r="E446" s="123">
        <v>42226</v>
      </c>
      <c r="F446" s="122" t="s">
        <v>7863</v>
      </c>
      <c r="G446" s="122" t="s">
        <v>235</v>
      </c>
      <c r="H446" s="122" t="s">
        <v>11505</v>
      </c>
      <c r="I446" s="122" t="s">
        <v>11506</v>
      </c>
      <c r="K446" s="122" t="s">
        <v>3419</v>
      </c>
      <c r="L446" s="122" t="s">
        <v>3420</v>
      </c>
      <c r="M446" s="122" t="s">
        <v>3421</v>
      </c>
      <c r="Q446" s="122" t="s">
        <v>3424</v>
      </c>
      <c r="R446" s="142">
        <v>116</v>
      </c>
      <c r="S446" s="122" t="s">
        <v>11507</v>
      </c>
      <c r="U446" s="122" t="s">
        <v>4681</v>
      </c>
      <c r="W446" s="122" t="s">
        <v>246</v>
      </c>
      <c r="X446" s="122" t="s">
        <v>1324</v>
      </c>
      <c r="Y446" s="141" t="s">
        <v>2979</v>
      </c>
      <c r="Z446" s="122" t="s">
        <v>11508</v>
      </c>
      <c r="AA446" s="141" t="s">
        <v>248</v>
      </c>
      <c r="AB446" s="122" t="s">
        <v>11509</v>
      </c>
      <c r="AC446" s="141" t="s">
        <v>2700</v>
      </c>
      <c r="AD446" s="122" t="s">
        <v>800</v>
      </c>
      <c r="AE446" s="122" t="s">
        <v>235</v>
      </c>
      <c r="AF446" s="122" t="s">
        <v>11510</v>
      </c>
      <c r="AG446" s="122" t="s">
        <v>537</v>
      </c>
      <c r="AH446" s="122" t="s">
        <v>253</v>
      </c>
      <c r="AI446" s="122" t="s">
        <v>11511</v>
      </c>
      <c r="AJ446" s="122" t="s">
        <v>11512</v>
      </c>
      <c r="AK446" s="122" t="s">
        <v>253</v>
      </c>
      <c r="AL446" s="122" t="s">
        <v>253</v>
      </c>
      <c r="AM446" s="122" t="s">
        <v>253</v>
      </c>
      <c r="AN446" s="122" t="s">
        <v>253</v>
      </c>
      <c r="AO446" s="141" t="s">
        <v>247</v>
      </c>
      <c r="AP446" s="141" t="s">
        <v>253</v>
      </c>
      <c r="AQ446" s="141" t="s">
        <v>253</v>
      </c>
      <c r="AR446" s="141" t="s">
        <v>253</v>
      </c>
      <c r="AS446" s="141" t="s">
        <v>601</v>
      </c>
      <c r="AT446" s="141" t="s">
        <v>258</v>
      </c>
      <c r="AU446" s="141" t="s">
        <v>258</v>
      </c>
      <c r="AV446" s="122" t="s">
        <v>259</v>
      </c>
      <c r="AW446" s="122" t="s">
        <v>260</v>
      </c>
      <c r="AY446" s="141" t="s">
        <v>253</v>
      </c>
      <c r="AZ446" s="122" t="s">
        <v>11513</v>
      </c>
      <c r="BA446" s="122" t="s">
        <v>262</v>
      </c>
      <c r="BB446" s="122" t="s">
        <v>262</v>
      </c>
      <c r="BD446" s="122" t="s">
        <v>253</v>
      </c>
      <c r="BE446" s="122" t="s">
        <v>263</v>
      </c>
      <c r="BF446" s="122" t="s">
        <v>4688</v>
      </c>
      <c r="BH446" s="122" t="s">
        <v>4681</v>
      </c>
      <c r="BI446" s="142">
        <v>116</v>
      </c>
      <c r="BJ446" s="123">
        <v>42237</v>
      </c>
      <c r="BK446" s="139" t="s">
        <v>606</v>
      </c>
      <c r="BM446" s="122">
        <v>34</v>
      </c>
    </row>
    <row r="447" spans="1:65" x14ac:dyDescent="0.25">
      <c r="A447" s="122" t="s">
        <v>6513</v>
      </c>
      <c r="B447" s="122" t="s">
        <v>11514</v>
      </c>
      <c r="C447" s="122" t="s">
        <v>11515</v>
      </c>
      <c r="D447" s="122" t="s">
        <v>11516</v>
      </c>
      <c r="E447" s="123">
        <v>42226</v>
      </c>
      <c r="F447" s="122" t="s">
        <v>11517</v>
      </c>
      <c r="G447" s="122" t="s">
        <v>235</v>
      </c>
      <c r="H447" s="122" t="s">
        <v>11518</v>
      </c>
      <c r="I447" s="122" t="s">
        <v>11519</v>
      </c>
      <c r="K447" s="122" t="s">
        <v>5800</v>
      </c>
      <c r="L447" s="122" t="s">
        <v>5801</v>
      </c>
      <c r="M447" s="122" t="s">
        <v>6146</v>
      </c>
      <c r="O447" s="141" t="s">
        <v>665</v>
      </c>
      <c r="P447" s="141" t="s">
        <v>11520</v>
      </c>
      <c r="Q447" s="122" t="s">
        <v>5805</v>
      </c>
      <c r="R447" s="142">
        <v>117</v>
      </c>
      <c r="S447" s="122" t="s">
        <v>11521</v>
      </c>
      <c r="U447" s="122" t="s">
        <v>4681</v>
      </c>
      <c r="W447" s="122" t="s">
        <v>246</v>
      </c>
      <c r="X447" s="122" t="s">
        <v>1324</v>
      </c>
      <c r="Y447" s="141" t="s">
        <v>591</v>
      </c>
      <c r="Z447" s="122" t="s">
        <v>11522</v>
      </c>
      <c r="AA447" s="141" t="s">
        <v>511</v>
      </c>
      <c r="AB447" s="122" t="s">
        <v>11523</v>
      </c>
      <c r="AC447" s="141" t="s">
        <v>1498</v>
      </c>
      <c r="AD447" s="122" t="s">
        <v>11524</v>
      </c>
      <c r="AE447" s="122" t="s">
        <v>235</v>
      </c>
      <c r="AF447" s="122" t="s">
        <v>11525</v>
      </c>
      <c r="AG447" s="122" t="s">
        <v>537</v>
      </c>
      <c r="AH447" s="122" t="s">
        <v>253</v>
      </c>
      <c r="AI447" s="122" t="s">
        <v>11526</v>
      </c>
      <c r="AJ447" s="122" t="s">
        <v>11527</v>
      </c>
      <c r="AK447" s="122" t="s">
        <v>253</v>
      </c>
      <c r="AL447" s="122" t="s">
        <v>253</v>
      </c>
      <c r="AM447" s="122" t="s">
        <v>253</v>
      </c>
      <c r="AN447" s="122" t="s">
        <v>253</v>
      </c>
      <c r="AO447" s="141" t="s">
        <v>247</v>
      </c>
      <c r="AP447" s="141" t="s">
        <v>247</v>
      </c>
      <c r="AQ447" s="141" t="s">
        <v>247</v>
      </c>
      <c r="AR447" s="141" t="s">
        <v>253</v>
      </c>
      <c r="AS447" s="141" t="s">
        <v>601</v>
      </c>
      <c r="AT447" s="141" t="s">
        <v>601</v>
      </c>
      <c r="AU447" s="141" t="s">
        <v>258</v>
      </c>
      <c r="AV447" s="122" t="s">
        <v>259</v>
      </c>
      <c r="AW447" s="122" t="s">
        <v>260</v>
      </c>
      <c r="AY447" s="141" t="s">
        <v>253</v>
      </c>
      <c r="AZ447" s="122" t="s">
        <v>11528</v>
      </c>
      <c r="BA447" s="122" t="s">
        <v>262</v>
      </c>
      <c r="BB447" s="122" t="s">
        <v>11529</v>
      </c>
      <c r="BD447" s="122" t="s">
        <v>253</v>
      </c>
      <c r="BE447" s="122" t="s">
        <v>263</v>
      </c>
      <c r="BF447" s="122" t="s">
        <v>4688</v>
      </c>
      <c r="BH447" s="122" t="s">
        <v>4681</v>
      </c>
      <c r="BI447" s="142">
        <v>117</v>
      </c>
      <c r="BJ447" s="123">
        <v>42238</v>
      </c>
      <c r="BK447" s="139" t="s">
        <v>606</v>
      </c>
      <c r="BM447" s="122">
        <v>34</v>
      </c>
    </row>
    <row r="448" spans="1:65" x14ac:dyDescent="0.25">
      <c r="A448" s="122" t="s">
        <v>352</v>
      </c>
      <c r="B448" s="122" t="s">
        <v>11530</v>
      </c>
      <c r="C448" s="122" t="s">
        <v>11531</v>
      </c>
      <c r="D448" s="122" t="s">
        <v>11532</v>
      </c>
      <c r="E448" s="123">
        <v>42226</v>
      </c>
      <c r="F448" s="122" t="s">
        <v>1596</v>
      </c>
      <c r="G448" s="122" t="s">
        <v>235</v>
      </c>
      <c r="H448" s="122" t="s">
        <v>11533</v>
      </c>
      <c r="I448" s="122" t="s">
        <v>11534</v>
      </c>
      <c r="K448" s="122" t="s">
        <v>3419</v>
      </c>
      <c r="L448" s="122" t="s">
        <v>3503</v>
      </c>
      <c r="M448" s="122" t="s">
        <v>3504</v>
      </c>
      <c r="O448" s="141" t="s">
        <v>548</v>
      </c>
      <c r="P448" s="141" t="s">
        <v>11535</v>
      </c>
      <c r="Q448" s="122" t="s">
        <v>3424</v>
      </c>
      <c r="R448" s="142">
        <v>118</v>
      </c>
      <c r="S448" s="122" t="s">
        <v>11536</v>
      </c>
      <c r="U448" s="122" t="s">
        <v>4681</v>
      </c>
      <c r="W448" s="122" t="s">
        <v>246</v>
      </c>
      <c r="X448" s="122" t="s">
        <v>853</v>
      </c>
      <c r="Z448" s="122" t="s">
        <v>250</v>
      </c>
      <c r="AB448" s="122" t="s">
        <v>250</v>
      </c>
      <c r="AD448" s="122" t="s">
        <v>250</v>
      </c>
      <c r="AE448" s="122" t="s">
        <v>235</v>
      </c>
      <c r="AF448" s="122" t="s">
        <v>11537</v>
      </c>
      <c r="AG448" s="122" t="s">
        <v>537</v>
      </c>
      <c r="AH448" s="122" t="s">
        <v>253</v>
      </c>
      <c r="AI448" s="122" t="s">
        <v>11538</v>
      </c>
      <c r="AJ448" s="122" t="s">
        <v>4571</v>
      </c>
      <c r="AK448" s="122" t="s">
        <v>253</v>
      </c>
      <c r="AL448" s="122" t="s">
        <v>253</v>
      </c>
      <c r="AM448" s="122" t="s">
        <v>253</v>
      </c>
      <c r="AN448" s="122" t="s">
        <v>253</v>
      </c>
      <c r="AO448" s="141" t="s">
        <v>247</v>
      </c>
      <c r="AP448" s="141" t="s">
        <v>247</v>
      </c>
      <c r="AQ448" s="141" t="s">
        <v>247</v>
      </c>
      <c r="AR448" s="141" t="s">
        <v>247</v>
      </c>
      <c r="AS448" s="141" t="s">
        <v>601</v>
      </c>
      <c r="AT448" s="141" t="s">
        <v>601</v>
      </c>
      <c r="AU448" s="141" t="s">
        <v>257</v>
      </c>
      <c r="AV448" s="122" t="s">
        <v>259</v>
      </c>
      <c r="AW448" s="122" t="s">
        <v>260</v>
      </c>
      <c r="AY448" s="141" t="s">
        <v>253</v>
      </c>
      <c r="AZ448" s="122" t="s">
        <v>11539</v>
      </c>
      <c r="BA448" s="122" t="s">
        <v>262</v>
      </c>
      <c r="BB448" s="122" t="s">
        <v>262</v>
      </c>
      <c r="BD448" s="122" t="s">
        <v>253</v>
      </c>
      <c r="BE448" s="122" t="s">
        <v>263</v>
      </c>
      <c r="BF448" s="122" t="s">
        <v>4688</v>
      </c>
      <c r="BH448" s="122" t="s">
        <v>4681</v>
      </c>
      <c r="BI448" s="142">
        <v>118</v>
      </c>
      <c r="BJ448" s="123">
        <v>42239</v>
      </c>
      <c r="BK448" s="139" t="s">
        <v>606</v>
      </c>
      <c r="BM448" s="122">
        <v>34</v>
      </c>
    </row>
    <row r="449" spans="1:65" x14ac:dyDescent="0.25">
      <c r="A449" s="122" t="s">
        <v>352</v>
      </c>
      <c r="B449" s="122" t="s">
        <v>11540</v>
      </c>
      <c r="C449" s="122" t="s">
        <v>11541</v>
      </c>
      <c r="D449" s="122" t="s">
        <v>11542</v>
      </c>
      <c r="E449" s="123">
        <v>42226</v>
      </c>
      <c r="F449" s="122" t="s">
        <v>8188</v>
      </c>
      <c r="G449" s="122" t="s">
        <v>235</v>
      </c>
      <c r="H449" s="122" t="s">
        <v>448</v>
      </c>
      <c r="I449" s="122" t="s">
        <v>11543</v>
      </c>
      <c r="K449" s="122" t="s">
        <v>3419</v>
      </c>
      <c r="L449" s="122" t="s">
        <v>3420</v>
      </c>
      <c r="M449" s="122" t="s">
        <v>3421</v>
      </c>
      <c r="O449" s="141" t="s">
        <v>2055</v>
      </c>
      <c r="P449" s="141" t="s">
        <v>11544</v>
      </c>
      <c r="Q449" s="122" t="s">
        <v>3424</v>
      </c>
      <c r="R449" s="142">
        <v>119</v>
      </c>
      <c r="S449" s="122" t="s">
        <v>11545</v>
      </c>
      <c r="U449" s="122" t="s">
        <v>4681</v>
      </c>
      <c r="W449" s="122" t="s">
        <v>246</v>
      </c>
      <c r="X449" s="122" t="s">
        <v>4409</v>
      </c>
      <c r="Y449" s="141" t="s">
        <v>591</v>
      </c>
      <c r="Z449" s="122" t="s">
        <v>11546</v>
      </c>
      <c r="AA449" s="141" t="s">
        <v>784</v>
      </c>
      <c r="AB449" s="122" t="s">
        <v>11547</v>
      </c>
      <c r="AC449" s="141" t="s">
        <v>1090</v>
      </c>
      <c r="AD449" s="122" t="s">
        <v>11548</v>
      </c>
      <c r="AE449" s="122" t="s">
        <v>235</v>
      </c>
      <c r="AF449" s="122" t="s">
        <v>11549</v>
      </c>
      <c r="AG449" s="122" t="s">
        <v>537</v>
      </c>
      <c r="AH449" s="122" t="s">
        <v>253</v>
      </c>
      <c r="AI449" s="122" t="s">
        <v>11550</v>
      </c>
      <c r="AJ449" s="122" t="s">
        <v>11551</v>
      </c>
      <c r="AK449" s="122" t="s">
        <v>253</v>
      </c>
      <c r="AL449" s="122" t="s">
        <v>253</v>
      </c>
      <c r="AM449" s="122" t="s">
        <v>253</v>
      </c>
      <c r="AN449" s="122" t="s">
        <v>253</v>
      </c>
      <c r="AO449" s="141" t="s">
        <v>247</v>
      </c>
      <c r="AP449" s="141" t="s">
        <v>247</v>
      </c>
      <c r="AQ449" s="141" t="s">
        <v>247</v>
      </c>
      <c r="AR449" s="141" t="s">
        <v>247</v>
      </c>
      <c r="AS449" s="141" t="s">
        <v>601</v>
      </c>
      <c r="AT449" s="141" t="s">
        <v>601</v>
      </c>
      <c r="AU449" s="141" t="s">
        <v>601</v>
      </c>
      <c r="AV449" s="122" t="s">
        <v>259</v>
      </c>
      <c r="AW449" s="122" t="s">
        <v>260</v>
      </c>
      <c r="AY449" s="141" t="s">
        <v>253</v>
      </c>
      <c r="AZ449" s="122" t="s">
        <v>262</v>
      </c>
      <c r="BA449" s="122" t="s">
        <v>11552</v>
      </c>
      <c r="BB449" s="122" t="s">
        <v>262</v>
      </c>
      <c r="BD449" s="122" t="s">
        <v>253</v>
      </c>
      <c r="BE449" s="122" t="s">
        <v>263</v>
      </c>
      <c r="BF449" s="122" t="s">
        <v>4688</v>
      </c>
      <c r="BH449" s="122" t="s">
        <v>4681</v>
      </c>
      <c r="BI449" s="142">
        <v>119</v>
      </c>
      <c r="BJ449" s="123">
        <v>42235</v>
      </c>
      <c r="BK449" s="139" t="s">
        <v>264</v>
      </c>
      <c r="BL449" s="140">
        <v>357.25</v>
      </c>
      <c r="BM449" s="122">
        <v>34</v>
      </c>
    </row>
    <row r="450" spans="1:65" x14ac:dyDescent="0.25">
      <c r="A450" s="122" t="s">
        <v>352</v>
      </c>
      <c r="B450" s="122" t="s">
        <v>11553</v>
      </c>
      <c r="C450" s="122" t="s">
        <v>11554</v>
      </c>
      <c r="D450" s="122" t="s">
        <v>11555</v>
      </c>
      <c r="E450" s="123">
        <v>42226</v>
      </c>
      <c r="F450" s="122" t="s">
        <v>6974</v>
      </c>
      <c r="G450" s="122" t="s">
        <v>235</v>
      </c>
      <c r="H450" s="122" t="s">
        <v>11556</v>
      </c>
      <c r="I450" s="122" t="s">
        <v>11557</v>
      </c>
      <c r="K450" s="122" t="s">
        <v>5800</v>
      </c>
      <c r="L450" s="122" t="s">
        <v>5801</v>
      </c>
      <c r="M450" s="122" t="s">
        <v>6146</v>
      </c>
      <c r="O450" s="141" t="s">
        <v>5803</v>
      </c>
      <c r="P450" s="141" t="s">
        <v>11558</v>
      </c>
      <c r="Q450" s="122" t="s">
        <v>5805</v>
      </c>
      <c r="R450" s="142">
        <v>120</v>
      </c>
      <c r="S450" s="122" t="s">
        <v>11559</v>
      </c>
      <c r="T450" s="122" t="s">
        <v>11560</v>
      </c>
      <c r="U450" s="122" t="s">
        <v>4681</v>
      </c>
      <c r="W450" s="122" t="s">
        <v>246</v>
      </c>
      <c r="X450" s="122" t="s">
        <v>4409</v>
      </c>
      <c r="Y450" s="141" t="s">
        <v>2010</v>
      </c>
      <c r="Z450" s="122" t="s">
        <v>11561</v>
      </c>
      <c r="AA450" s="141" t="s">
        <v>1291</v>
      </c>
      <c r="AB450" s="122" t="s">
        <v>11562</v>
      </c>
      <c r="AC450" s="141" t="s">
        <v>3590</v>
      </c>
      <c r="AD450" s="122" t="s">
        <v>11561</v>
      </c>
      <c r="AE450" s="122" t="s">
        <v>235</v>
      </c>
      <c r="AF450" s="122" t="s">
        <v>11563</v>
      </c>
      <c r="AG450" s="122" t="s">
        <v>537</v>
      </c>
      <c r="AH450" s="122" t="s">
        <v>253</v>
      </c>
      <c r="AI450" s="122" t="s">
        <v>11564</v>
      </c>
      <c r="AJ450" s="122" t="s">
        <v>5114</v>
      </c>
      <c r="AK450" s="122" t="s">
        <v>253</v>
      </c>
      <c r="AL450" s="122" t="s">
        <v>253</v>
      </c>
      <c r="AM450" s="122" t="s">
        <v>253</v>
      </c>
      <c r="AN450" s="122" t="s">
        <v>253</v>
      </c>
      <c r="AO450" s="141" t="s">
        <v>247</v>
      </c>
      <c r="AP450" s="141" t="s">
        <v>247</v>
      </c>
      <c r="AQ450" s="141" t="s">
        <v>247</v>
      </c>
      <c r="AR450" s="141" t="s">
        <v>253</v>
      </c>
      <c r="AS450" s="141" t="s">
        <v>601</v>
      </c>
      <c r="AT450" s="141" t="s">
        <v>601</v>
      </c>
      <c r="AU450" s="141" t="s">
        <v>258</v>
      </c>
      <c r="AV450" s="122" t="s">
        <v>259</v>
      </c>
      <c r="AW450" s="122" t="s">
        <v>260</v>
      </c>
      <c r="AY450" s="141" t="s">
        <v>253</v>
      </c>
      <c r="AZ450" s="122" t="s">
        <v>11565</v>
      </c>
      <c r="BA450" s="122" t="s">
        <v>262</v>
      </c>
      <c r="BB450" s="122" t="s">
        <v>11566</v>
      </c>
      <c r="BC450" s="141" t="s">
        <v>312</v>
      </c>
      <c r="BD450" s="122" t="s">
        <v>253</v>
      </c>
      <c r="BE450" s="122" t="s">
        <v>263</v>
      </c>
      <c r="BF450" s="122" t="s">
        <v>4688</v>
      </c>
      <c r="BH450" s="122" t="s">
        <v>4681</v>
      </c>
      <c r="BI450" s="142">
        <v>120</v>
      </c>
      <c r="BJ450" s="123">
        <v>42238</v>
      </c>
      <c r="BK450" s="139" t="s">
        <v>606</v>
      </c>
      <c r="BM450" s="122">
        <v>34</v>
      </c>
    </row>
    <row r="451" spans="1:65" x14ac:dyDescent="0.25">
      <c r="A451" s="122" t="s">
        <v>352</v>
      </c>
      <c r="B451" s="122" t="s">
        <v>11567</v>
      </c>
      <c r="C451" s="122" t="s">
        <v>11568</v>
      </c>
      <c r="D451" s="122" t="s">
        <v>11569</v>
      </c>
      <c r="E451" s="123">
        <v>42226</v>
      </c>
      <c r="F451" s="122" t="s">
        <v>234</v>
      </c>
      <c r="G451" s="122" t="s">
        <v>235</v>
      </c>
      <c r="H451" s="122" t="s">
        <v>448</v>
      </c>
      <c r="I451" s="122" t="s">
        <v>11570</v>
      </c>
      <c r="K451" s="122" t="s">
        <v>3419</v>
      </c>
      <c r="L451" s="122" t="s">
        <v>3420</v>
      </c>
      <c r="M451" s="122" t="s">
        <v>3421</v>
      </c>
      <c r="O451" s="141" t="s">
        <v>1055</v>
      </c>
      <c r="P451" s="141" t="s">
        <v>11571</v>
      </c>
      <c r="Q451" s="122" t="s">
        <v>3424</v>
      </c>
      <c r="R451" s="142">
        <v>121</v>
      </c>
      <c r="S451" s="122" t="s">
        <v>11572</v>
      </c>
      <c r="U451" s="122" t="s">
        <v>4681</v>
      </c>
      <c r="W451" s="122" t="s">
        <v>246</v>
      </c>
      <c r="X451" s="122" t="s">
        <v>247</v>
      </c>
      <c r="Y451" s="141" t="s">
        <v>1122</v>
      </c>
      <c r="Z451" s="122" t="s">
        <v>11573</v>
      </c>
      <c r="AB451" s="122" t="s">
        <v>250</v>
      </c>
      <c r="AD451" s="122" t="s">
        <v>250</v>
      </c>
      <c r="AE451" s="122" t="s">
        <v>235</v>
      </c>
      <c r="AF451" s="122" t="s">
        <v>11574</v>
      </c>
      <c r="AG451" s="122" t="s">
        <v>253</v>
      </c>
      <c r="AH451" s="122" t="s">
        <v>253</v>
      </c>
      <c r="AI451" s="122" t="s">
        <v>11575</v>
      </c>
      <c r="AJ451" s="122" t="s">
        <v>11576</v>
      </c>
      <c r="AK451" s="122" t="s">
        <v>253</v>
      </c>
      <c r="AL451" s="122" t="s">
        <v>11577</v>
      </c>
      <c r="AM451" s="122" t="s">
        <v>253</v>
      </c>
      <c r="AN451" s="122" t="s">
        <v>253</v>
      </c>
      <c r="AO451" s="141" t="s">
        <v>253</v>
      </c>
      <c r="AP451" s="141" t="s">
        <v>253</v>
      </c>
      <c r="AQ451" s="141" t="s">
        <v>247</v>
      </c>
      <c r="AR451" s="141" t="s">
        <v>253</v>
      </c>
      <c r="AS451" s="141" t="s">
        <v>361</v>
      </c>
      <c r="AT451" s="141" t="s">
        <v>601</v>
      </c>
      <c r="AU451" s="141" t="s">
        <v>258</v>
      </c>
      <c r="AV451" s="122" t="s">
        <v>259</v>
      </c>
      <c r="AW451" s="122" t="s">
        <v>260</v>
      </c>
      <c r="AX451" s="141" t="s">
        <v>750</v>
      </c>
      <c r="AY451" s="141" t="s">
        <v>247</v>
      </c>
      <c r="AZ451" s="122" t="s">
        <v>262</v>
      </c>
      <c r="BA451" s="122" t="s">
        <v>262</v>
      </c>
      <c r="BB451" s="122" t="s">
        <v>11578</v>
      </c>
      <c r="BC451" s="141" t="s">
        <v>312</v>
      </c>
      <c r="BD451" s="122" t="s">
        <v>253</v>
      </c>
      <c r="BE451" s="122" t="s">
        <v>263</v>
      </c>
      <c r="BF451" s="122" t="s">
        <v>4688</v>
      </c>
      <c r="BH451" s="122" t="s">
        <v>4681</v>
      </c>
      <c r="BI451" s="142">
        <v>121</v>
      </c>
      <c r="BJ451" s="123">
        <v>42237</v>
      </c>
      <c r="BK451" s="139" t="s">
        <v>606</v>
      </c>
      <c r="BM451" s="122">
        <v>34</v>
      </c>
    </row>
    <row r="452" spans="1:65" x14ac:dyDescent="0.25">
      <c r="A452" s="122" t="s">
        <v>352</v>
      </c>
      <c r="B452" s="122" t="s">
        <v>11579</v>
      </c>
      <c r="C452" s="122" t="s">
        <v>11580</v>
      </c>
      <c r="D452" s="122" t="s">
        <v>11581</v>
      </c>
      <c r="E452" s="123">
        <v>42226</v>
      </c>
      <c r="F452" s="122" t="s">
        <v>633</v>
      </c>
      <c r="G452" s="122" t="s">
        <v>235</v>
      </c>
      <c r="H452" s="122" t="s">
        <v>448</v>
      </c>
      <c r="I452" s="122" t="s">
        <v>11582</v>
      </c>
      <c r="K452" s="122" t="s">
        <v>5800</v>
      </c>
      <c r="L452" s="122" t="s">
        <v>5801</v>
      </c>
      <c r="M452" s="122" t="s">
        <v>5802</v>
      </c>
      <c r="O452" s="141" t="s">
        <v>451</v>
      </c>
      <c r="P452" s="141" t="s">
        <v>11583</v>
      </c>
      <c r="Q452" s="122" t="s">
        <v>5805</v>
      </c>
      <c r="R452" s="142">
        <v>122</v>
      </c>
      <c r="S452" s="122" t="s">
        <v>11584</v>
      </c>
      <c r="U452" s="122" t="s">
        <v>4681</v>
      </c>
      <c r="W452" s="122" t="s">
        <v>246</v>
      </c>
      <c r="X452" s="122" t="s">
        <v>1225</v>
      </c>
      <c r="Y452" s="141" t="s">
        <v>1161</v>
      </c>
      <c r="Z452" s="122" t="s">
        <v>766</v>
      </c>
      <c r="AB452" s="122" t="s">
        <v>250</v>
      </c>
      <c r="AD452" s="122" t="s">
        <v>250</v>
      </c>
      <c r="AE452" s="122" t="s">
        <v>235</v>
      </c>
      <c r="AF452" s="122" t="s">
        <v>11585</v>
      </c>
      <c r="AG452" s="122" t="s">
        <v>7128</v>
      </c>
      <c r="AH452" s="122" t="s">
        <v>253</v>
      </c>
      <c r="AI452" s="122" t="s">
        <v>11586</v>
      </c>
      <c r="AJ452" s="122" t="s">
        <v>11587</v>
      </c>
      <c r="AK452" s="122" t="s">
        <v>253</v>
      </c>
      <c r="AL452" s="122" t="s">
        <v>253</v>
      </c>
      <c r="AM452" s="122" t="s">
        <v>253</v>
      </c>
      <c r="AN452" s="122" t="s">
        <v>253</v>
      </c>
      <c r="AO452" s="141" t="s">
        <v>247</v>
      </c>
      <c r="AP452" s="141" t="s">
        <v>247</v>
      </c>
      <c r="AQ452" s="141" t="s">
        <v>247</v>
      </c>
      <c r="AR452" s="141" t="s">
        <v>247</v>
      </c>
      <c r="AS452" s="141" t="s">
        <v>601</v>
      </c>
      <c r="AT452" s="141" t="s">
        <v>601</v>
      </c>
      <c r="AU452" s="141" t="s">
        <v>257</v>
      </c>
      <c r="AV452" s="122" t="s">
        <v>259</v>
      </c>
      <c r="AW452" s="122" t="s">
        <v>260</v>
      </c>
      <c r="AY452" s="141" t="s">
        <v>253</v>
      </c>
      <c r="AZ452" s="122" t="s">
        <v>262</v>
      </c>
      <c r="BA452" s="122" t="s">
        <v>262</v>
      </c>
      <c r="BB452" s="122" t="s">
        <v>11588</v>
      </c>
      <c r="BD452" s="122" t="s">
        <v>253</v>
      </c>
      <c r="BE452" s="122" t="s">
        <v>263</v>
      </c>
      <c r="BF452" s="122" t="s">
        <v>4688</v>
      </c>
      <c r="BH452" s="122" t="s">
        <v>4681</v>
      </c>
      <c r="BI452" s="142">
        <v>122</v>
      </c>
      <c r="BJ452" s="123">
        <v>42238</v>
      </c>
      <c r="BK452" s="139" t="s">
        <v>264</v>
      </c>
      <c r="BL452" s="140">
        <v>612.4</v>
      </c>
      <c r="BM452" s="122">
        <v>34</v>
      </c>
    </row>
    <row r="453" spans="1:65" x14ac:dyDescent="0.25">
      <c r="A453" s="122" t="s">
        <v>352</v>
      </c>
      <c r="B453" s="122" t="s">
        <v>11589</v>
      </c>
      <c r="C453" s="122" t="s">
        <v>11590</v>
      </c>
      <c r="D453" s="122" t="s">
        <v>11591</v>
      </c>
      <c r="E453" s="123">
        <v>42226</v>
      </c>
      <c r="F453" s="122" t="s">
        <v>11592</v>
      </c>
      <c r="G453" s="122" t="s">
        <v>235</v>
      </c>
      <c r="H453" s="122" t="s">
        <v>11593</v>
      </c>
      <c r="I453" s="122" t="s">
        <v>11594</v>
      </c>
      <c r="K453" s="122" t="s">
        <v>5800</v>
      </c>
      <c r="L453" s="122" t="s">
        <v>5801</v>
      </c>
      <c r="M453" s="122" t="s">
        <v>5802</v>
      </c>
      <c r="O453" s="141" t="s">
        <v>373</v>
      </c>
      <c r="P453" s="141" t="s">
        <v>11595</v>
      </c>
      <c r="Q453" s="122" t="s">
        <v>5805</v>
      </c>
      <c r="R453" s="142">
        <v>123</v>
      </c>
      <c r="S453" s="122" t="s">
        <v>11596</v>
      </c>
      <c r="U453" s="122" t="s">
        <v>4681</v>
      </c>
      <c r="W453" s="122" t="s">
        <v>246</v>
      </c>
      <c r="X453" s="122" t="s">
        <v>4409</v>
      </c>
      <c r="Y453" s="141" t="s">
        <v>591</v>
      </c>
      <c r="Z453" s="122" t="s">
        <v>11597</v>
      </c>
      <c r="AA453" s="141" t="s">
        <v>668</v>
      </c>
      <c r="AB453" s="122" t="s">
        <v>4824</v>
      </c>
      <c r="AC453" s="141" t="s">
        <v>2010</v>
      </c>
      <c r="AD453" s="122" t="s">
        <v>11598</v>
      </c>
      <c r="AE453" s="122" t="s">
        <v>235</v>
      </c>
      <c r="AF453" s="122" t="s">
        <v>5734</v>
      </c>
      <c r="AG453" s="122" t="s">
        <v>537</v>
      </c>
      <c r="AH453" s="122" t="s">
        <v>253</v>
      </c>
      <c r="AI453" s="122" t="s">
        <v>11599</v>
      </c>
      <c r="AJ453" s="122" t="s">
        <v>11600</v>
      </c>
      <c r="AK453" s="122" t="s">
        <v>253</v>
      </c>
      <c r="AL453" s="122" t="s">
        <v>253</v>
      </c>
      <c r="AM453" s="122" t="s">
        <v>253</v>
      </c>
      <c r="AN453" s="122" t="s">
        <v>253</v>
      </c>
      <c r="AO453" s="141" t="s">
        <v>253</v>
      </c>
      <c r="AP453" s="141" t="s">
        <v>253</v>
      </c>
      <c r="AQ453" s="141" t="s">
        <v>247</v>
      </c>
      <c r="AR453" s="141" t="s">
        <v>253</v>
      </c>
      <c r="AS453" s="141" t="s">
        <v>361</v>
      </c>
      <c r="AT453" s="141" t="s">
        <v>601</v>
      </c>
      <c r="AU453" s="141" t="s">
        <v>258</v>
      </c>
      <c r="AV453" s="122" t="s">
        <v>259</v>
      </c>
      <c r="AW453" s="122" t="s">
        <v>260</v>
      </c>
      <c r="AY453" s="141" t="s">
        <v>253</v>
      </c>
      <c r="AZ453" s="122" t="s">
        <v>11601</v>
      </c>
      <c r="BA453" s="122" t="s">
        <v>262</v>
      </c>
      <c r="BB453" s="122" t="s">
        <v>262</v>
      </c>
      <c r="BD453" s="122" t="s">
        <v>253</v>
      </c>
      <c r="BE453" s="122" t="s">
        <v>263</v>
      </c>
      <c r="BF453" s="122" t="s">
        <v>4688</v>
      </c>
      <c r="BH453" s="122" t="s">
        <v>4681</v>
      </c>
      <c r="BI453" s="142">
        <v>123</v>
      </c>
      <c r="BJ453" s="123">
        <v>42230</v>
      </c>
      <c r="BK453" s="139" t="s">
        <v>264</v>
      </c>
      <c r="BL453" s="140">
        <v>90.32</v>
      </c>
      <c r="BM453" s="122">
        <v>33</v>
      </c>
    </row>
    <row r="454" spans="1:65" x14ac:dyDescent="0.25">
      <c r="A454" s="122" t="s">
        <v>352</v>
      </c>
      <c r="B454" s="122" t="s">
        <v>11602</v>
      </c>
      <c r="C454" s="122" t="s">
        <v>11603</v>
      </c>
      <c r="D454" s="122" t="s">
        <v>11604</v>
      </c>
      <c r="E454" s="123">
        <v>42226</v>
      </c>
      <c r="F454" s="122" t="s">
        <v>833</v>
      </c>
      <c r="G454" s="122" t="s">
        <v>235</v>
      </c>
      <c r="H454" s="122" t="s">
        <v>11605</v>
      </c>
      <c r="I454" s="122" t="s">
        <v>11606</v>
      </c>
      <c r="K454" s="122" t="s">
        <v>3419</v>
      </c>
      <c r="L454" s="122" t="s">
        <v>3503</v>
      </c>
      <c r="M454" s="122" t="s">
        <v>3504</v>
      </c>
      <c r="O454" s="141" t="s">
        <v>548</v>
      </c>
      <c r="P454" s="141" t="s">
        <v>11607</v>
      </c>
      <c r="Q454" s="122" t="s">
        <v>3424</v>
      </c>
      <c r="R454" s="142">
        <v>124</v>
      </c>
      <c r="S454" s="122" t="s">
        <v>11608</v>
      </c>
      <c r="U454" s="122" t="s">
        <v>4681</v>
      </c>
      <c r="W454" s="122" t="s">
        <v>246</v>
      </c>
      <c r="X454" s="122" t="s">
        <v>2624</v>
      </c>
      <c r="Z454" s="122" t="s">
        <v>250</v>
      </c>
      <c r="AB454" s="122" t="s">
        <v>250</v>
      </c>
      <c r="AD454" s="122" t="s">
        <v>250</v>
      </c>
      <c r="AE454" s="122" t="s">
        <v>235</v>
      </c>
      <c r="AF454" s="122" t="s">
        <v>11609</v>
      </c>
      <c r="AG454" s="122" t="s">
        <v>537</v>
      </c>
      <c r="AH454" s="122" t="s">
        <v>253</v>
      </c>
      <c r="AI454" s="122" t="s">
        <v>11610</v>
      </c>
      <c r="AJ454" s="122" t="s">
        <v>11611</v>
      </c>
      <c r="AK454" s="122" t="s">
        <v>253</v>
      </c>
      <c r="AL454" s="122" t="s">
        <v>253</v>
      </c>
      <c r="AM454" s="122" t="s">
        <v>253</v>
      </c>
      <c r="AN454" s="122" t="s">
        <v>253</v>
      </c>
      <c r="AO454" s="141" t="s">
        <v>247</v>
      </c>
      <c r="AP454" s="141" t="s">
        <v>247</v>
      </c>
      <c r="AQ454" s="141" t="s">
        <v>247</v>
      </c>
      <c r="AR454" s="141" t="s">
        <v>247</v>
      </c>
      <c r="AS454" s="141" t="s">
        <v>601</v>
      </c>
      <c r="AT454" s="141" t="s">
        <v>601</v>
      </c>
      <c r="AU454" s="141" t="s">
        <v>257</v>
      </c>
      <c r="AV454" s="122" t="s">
        <v>259</v>
      </c>
      <c r="AW454" s="122" t="s">
        <v>260</v>
      </c>
      <c r="AY454" s="141" t="s">
        <v>253</v>
      </c>
      <c r="AZ454" s="122" t="s">
        <v>11612</v>
      </c>
      <c r="BA454" s="122" t="s">
        <v>262</v>
      </c>
      <c r="BB454" s="122" t="s">
        <v>262</v>
      </c>
      <c r="BD454" s="122" t="s">
        <v>253</v>
      </c>
      <c r="BE454" s="122" t="s">
        <v>263</v>
      </c>
      <c r="BF454" s="122" t="s">
        <v>4688</v>
      </c>
      <c r="BH454" s="122" t="s">
        <v>4681</v>
      </c>
      <c r="BI454" s="142">
        <v>124</v>
      </c>
      <c r="BJ454" s="123">
        <v>42239</v>
      </c>
      <c r="BK454" s="139" t="s">
        <v>606</v>
      </c>
      <c r="BM454" s="122">
        <v>34</v>
      </c>
    </row>
    <row r="455" spans="1:65" x14ac:dyDescent="0.25">
      <c r="A455" s="122" t="s">
        <v>352</v>
      </c>
      <c r="B455" s="122" t="s">
        <v>11613</v>
      </c>
      <c r="C455" s="122" t="s">
        <v>11614</v>
      </c>
      <c r="D455" s="122" t="s">
        <v>11615</v>
      </c>
      <c r="E455" s="123">
        <v>42226</v>
      </c>
      <c r="F455" s="122" t="s">
        <v>5523</v>
      </c>
      <c r="G455" s="122" t="s">
        <v>235</v>
      </c>
      <c r="H455" s="122" t="s">
        <v>11616</v>
      </c>
      <c r="I455" s="122" t="s">
        <v>11617</v>
      </c>
      <c r="K455" s="122" t="s">
        <v>3419</v>
      </c>
      <c r="L455" s="122" t="s">
        <v>3503</v>
      </c>
      <c r="M455" s="122" t="s">
        <v>3504</v>
      </c>
      <c r="O455" s="141" t="s">
        <v>390</v>
      </c>
      <c r="P455" s="141" t="s">
        <v>11618</v>
      </c>
      <c r="Q455" s="122" t="s">
        <v>3424</v>
      </c>
      <c r="R455" s="142">
        <v>125</v>
      </c>
      <c r="S455" s="122" t="s">
        <v>11619</v>
      </c>
      <c r="U455" s="122" t="s">
        <v>4681</v>
      </c>
      <c r="W455" s="122" t="s">
        <v>246</v>
      </c>
      <c r="X455" s="122" t="s">
        <v>3147</v>
      </c>
      <c r="Y455" s="141" t="s">
        <v>740</v>
      </c>
      <c r="Z455" s="122" t="s">
        <v>11620</v>
      </c>
      <c r="AA455" s="141" t="s">
        <v>570</v>
      </c>
      <c r="AB455" s="122" t="s">
        <v>11621</v>
      </c>
      <c r="AC455" s="141" t="s">
        <v>570</v>
      </c>
      <c r="AD455" s="122" t="s">
        <v>11622</v>
      </c>
      <c r="AE455" s="122" t="s">
        <v>235</v>
      </c>
      <c r="AF455" s="122" t="s">
        <v>11623</v>
      </c>
      <c r="AG455" s="122" t="s">
        <v>537</v>
      </c>
      <c r="AH455" s="122" t="s">
        <v>253</v>
      </c>
      <c r="AI455" s="122" t="s">
        <v>11624</v>
      </c>
      <c r="AJ455" s="122" t="s">
        <v>11625</v>
      </c>
      <c r="AK455" s="122" t="s">
        <v>253</v>
      </c>
      <c r="AL455" s="122" t="s">
        <v>253</v>
      </c>
      <c r="AM455" s="122" t="s">
        <v>253</v>
      </c>
      <c r="AN455" s="122" t="s">
        <v>253</v>
      </c>
      <c r="AO455" s="141" t="s">
        <v>247</v>
      </c>
      <c r="AP455" s="141" t="s">
        <v>247</v>
      </c>
      <c r="AQ455" s="141" t="s">
        <v>247</v>
      </c>
      <c r="AR455" s="141" t="s">
        <v>247</v>
      </c>
      <c r="AS455" s="141" t="s">
        <v>601</v>
      </c>
      <c r="AT455" s="141" t="s">
        <v>601</v>
      </c>
      <c r="AU455" s="141" t="s">
        <v>601</v>
      </c>
      <c r="AV455" s="122" t="s">
        <v>259</v>
      </c>
      <c r="AW455" s="122" t="s">
        <v>260</v>
      </c>
      <c r="AY455" s="141" t="s">
        <v>253</v>
      </c>
      <c r="AZ455" s="122" t="s">
        <v>11626</v>
      </c>
      <c r="BA455" s="122" t="s">
        <v>262</v>
      </c>
      <c r="BB455" s="122" t="s">
        <v>262</v>
      </c>
      <c r="BD455" s="122" t="s">
        <v>253</v>
      </c>
      <c r="BE455" s="122" t="s">
        <v>263</v>
      </c>
      <c r="BF455" s="122" t="s">
        <v>4688</v>
      </c>
      <c r="BH455" s="122" t="s">
        <v>4681</v>
      </c>
      <c r="BI455" s="142">
        <v>125</v>
      </c>
      <c r="BJ455" s="123">
        <v>42239</v>
      </c>
      <c r="BK455" s="139" t="s">
        <v>264</v>
      </c>
      <c r="BL455" s="140">
        <v>335.73</v>
      </c>
      <c r="BM455" s="122">
        <v>34</v>
      </c>
    </row>
    <row r="456" spans="1:65" x14ac:dyDescent="0.25">
      <c r="A456" s="122" t="s">
        <v>352</v>
      </c>
      <c r="B456" s="122" t="s">
        <v>11627</v>
      </c>
      <c r="C456" s="122" t="s">
        <v>11628</v>
      </c>
      <c r="D456" s="122" t="s">
        <v>11629</v>
      </c>
      <c r="E456" s="123">
        <v>42226</v>
      </c>
      <c r="F456" s="122" t="s">
        <v>5523</v>
      </c>
      <c r="G456" s="122" t="s">
        <v>235</v>
      </c>
      <c r="H456" s="122" t="s">
        <v>11630</v>
      </c>
      <c r="I456" s="122" t="s">
        <v>11631</v>
      </c>
      <c r="K456" s="122" t="s">
        <v>3419</v>
      </c>
      <c r="L456" s="122" t="s">
        <v>3503</v>
      </c>
      <c r="M456" s="122" t="s">
        <v>3504</v>
      </c>
      <c r="O456" s="141" t="s">
        <v>5366</v>
      </c>
      <c r="P456" s="141" t="s">
        <v>11632</v>
      </c>
      <c r="Q456" s="122" t="s">
        <v>3424</v>
      </c>
      <c r="R456" s="142">
        <v>126</v>
      </c>
      <c r="S456" s="122" t="s">
        <v>11633</v>
      </c>
      <c r="U456" s="122" t="s">
        <v>4681</v>
      </c>
      <c r="W456" s="122" t="s">
        <v>246</v>
      </c>
      <c r="X456" s="122" t="s">
        <v>3147</v>
      </c>
      <c r="Y456" s="141" t="s">
        <v>2717</v>
      </c>
      <c r="Z456" s="122" t="s">
        <v>11634</v>
      </c>
      <c r="AA456" s="141" t="s">
        <v>1325</v>
      </c>
      <c r="AB456" s="122" t="s">
        <v>11635</v>
      </c>
      <c r="AC456" s="141" t="s">
        <v>2720</v>
      </c>
      <c r="AD456" s="122" t="s">
        <v>11636</v>
      </c>
      <c r="AE456" s="122" t="s">
        <v>235</v>
      </c>
      <c r="AF456" s="122" t="s">
        <v>11637</v>
      </c>
      <c r="AG456" s="122" t="s">
        <v>537</v>
      </c>
      <c r="AH456" s="122" t="s">
        <v>253</v>
      </c>
      <c r="AI456" s="122" t="s">
        <v>11638</v>
      </c>
      <c r="AJ456" s="122" t="s">
        <v>11639</v>
      </c>
      <c r="AK456" s="122" t="s">
        <v>253</v>
      </c>
      <c r="AL456" s="122" t="s">
        <v>253</v>
      </c>
      <c r="AM456" s="122" t="s">
        <v>253</v>
      </c>
      <c r="AN456" s="122" t="s">
        <v>253</v>
      </c>
      <c r="AO456" s="141" t="s">
        <v>253</v>
      </c>
      <c r="AP456" s="141" t="s">
        <v>253</v>
      </c>
      <c r="AQ456" s="141" t="s">
        <v>247</v>
      </c>
      <c r="AR456" s="141" t="s">
        <v>253</v>
      </c>
      <c r="AS456" s="141" t="s">
        <v>361</v>
      </c>
      <c r="AT456" s="141" t="s">
        <v>601</v>
      </c>
      <c r="AU456" s="141" t="s">
        <v>258</v>
      </c>
      <c r="AV456" s="122" t="s">
        <v>259</v>
      </c>
      <c r="AW456" s="122" t="s">
        <v>260</v>
      </c>
      <c r="AY456" s="141" t="s">
        <v>253</v>
      </c>
      <c r="AZ456" s="122" t="s">
        <v>11640</v>
      </c>
      <c r="BA456" s="122" t="s">
        <v>262</v>
      </c>
      <c r="BB456" s="122" t="s">
        <v>262</v>
      </c>
      <c r="BD456" s="122" t="s">
        <v>253</v>
      </c>
      <c r="BE456" s="122" t="s">
        <v>263</v>
      </c>
      <c r="BF456" s="122" t="s">
        <v>4688</v>
      </c>
      <c r="BH456" s="122" t="s">
        <v>4681</v>
      </c>
      <c r="BI456" s="142">
        <v>126</v>
      </c>
    </row>
    <row r="457" spans="1:65" x14ac:dyDescent="0.25">
      <c r="A457" s="122" t="s">
        <v>352</v>
      </c>
      <c r="B457" s="122" t="s">
        <v>11641</v>
      </c>
      <c r="C457" s="122" t="s">
        <v>11642</v>
      </c>
      <c r="D457" s="122" t="s">
        <v>11643</v>
      </c>
      <c r="E457" s="123">
        <v>42226</v>
      </c>
      <c r="F457" s="122" t="s">
        <v>6974</v>
      </c>
      <c r="G457" s="122" t="s">
        <v>235</v>
      </c>
      <c r="H457" s="122" t="s">
        <v>11644</v>
      </c>
      <c r="I457" s="122" t="s">
        <v>11645</v>
      </c>
      <c r="K457" s="122" t="s">
        <v>3419</v>
      </c>
      <c r="L457" s="122" t="s">
        <v>3420</v>
      </c>
      <c r="M457" s="122" t="s">
        <v>3504</v>
      </c>
      <c r="O457" s="141" t="s">
        <v>5420</v>
      </c>
      <c r="P457" s="141" t="s">
        <v>11646</v>
      </c>
      <c r="Q457" s="122" t="s">
        <v>3424</v>
      </c>
      <c r="R457" s="142">
        <v>127</v>
      </c>
      <c r="S457" s="122" t="s">
        <v>11647</v>
      </c>
      <c r="U457" s="122" t="s">
        <v>4681</v>
      </c>
      <c r="W457" s="122" t="s">
        <v>246</v>
      </c>
      <c r="X457" s="122" t="s">
        <v>590</v>
      </c>
      <c r="Y457" s="141" t="s">
        <v>2804</v>
      </c>
      <c r="Z457" s="122" t="s">
        <v>11648</v>
      </c>
      <c r="AA457" s="141" t="s">
        <v>417</v>
      </c>
      <c r="AB457" s="122" t="s">
        <v>11649</v>
      </c>
      <c r="AC457" s="141" t="s">
        <v>1023</v>
      </c>
      <c r="AD457" s="122" t="s">
        <v>11650</v>
      </c>
      <c r="AE457" s="122" t="s">
        <v>235</v>
      </c>
      <c r="AF457" s="122" t="s">
        <v>11651</v>
      </c>
      <c r="AG457" s="122" t="s">
        <v>537</v>
      </c>
      <c r="AH457" s="122" t="s">
        <v>253</v>
      </c>
      <c r="AI457" s="122" t="s">
        <v>11652</v>
      </c>
      <c r="AJ457" s="122" t="s">
        <v>11653</v>
      </c>
      <c r="AK457" s="122" t="s">
        <v>253</v>
      </c>
      <c r="AL457" s="122" t="s">
        <v>253</v>
      </c>
      <c r="AM457" s="122" t="s">
        <v>253</v>
      </c>
      <c r="AN457" s="122" t="s">
        <v>253</v>
      </c>
      <c r="AO457" s="141" t="s">
        <v>253</v>
      </c>
      <c r="AP457" s="141" t="s">
        <v>253</v>
      </c>
      <c r="AQ457" s="141" t="s">
        <v>247</v>
      </c>
      <c r="AR457" s="141" t="s">
        <v>247</v>
      </c>
      <c r="AS457" s="141" t="s">
        <v>361</v>
      </c>
      <c r="AT457" s="141" t="s">
        <v>601</v>
      </c>
      <c r="AU457" s="141" t="s">
        <v>601</v>
      </c>
      <c r="AV457" s="122" t="s">
        <v>259</v>
      </c>
      <c r="AW457" s="122" t="s">
        <v>260</v>
      </c>
      <c r="AY457" s="141" t="s">
        <v>253</v>
      </c>
      <c r="AZ457" s="122" t="s">
        <v>11654</v>
      </c>
      <c r="BA457" s="122" t="s">
        <v>262</v>
      </c>
      <c r="BB457" s="122" t="s">
        <v>11654</v>
      </c>
      <c r="BC457" s="141" t="s">
        <v>312</v>
      </c>
      <c r="BD457" s="122" t="s">
        <v>253</v>
      </c>
      <c r="BE457" s="122" t="s">
        <v>263</v>
      </c>
      <c r="BF457" s="122" t="s">
        <v>4688</v>
      </c>
      <c r="BH457" s="122" t="s">
        <v>4681</v>
      </c>
      <c r="BI457" s="142">
        <v>127</v>
      </c>
      <c r="BJ457" s="123">
        <v>42239</v>
      </c>
      <c r="BK457" s="139" t="s">
        <v>606</v>
      </c>
      <c r="BM457" s="122">
        <v>34</v>
      </c>
    </row>
    <row r="458" spans="1:65" x14ac:dyDescent="0.25">
      <c r="A458" s="122" t="s">
        <v>352</v>
      </c>
      <c r="B458" s="122" t="s">
        <v>11655</v>
      </c>
      <c r="C458" s="122" t="s">
        <v>11656</v>
      </c>
      <c r="D458" s="122" t="s">
        <v>11657</v>
      </c>
      <c r="E458" s="123">
        <v>42226</v>
      </c>
      <c r="F458" s="122" t="s">
        <v>11658</v>
      </c>
      <c r="G458" s="122" t="s">
        <v>235</v>
      </c>
      <c r="H458" s="122" t="s">
        <v>11659</v>
      </c>
      <c r="I458" s="122" t="s">
        <v>11660</v>
      </c>
      <c r="K458" s="122" t="s">
        <v>5879</v>
      </c>
      <c r="L458" s="122" t="s">
        <v>5880</v>
      </c>
      <c r="M458" s="122" t="s">
        <v>5881</v>
      </c>
      <c r="O458" s="141" t="s">
        <v>2442</v>
      </c>
      <c r="P458" s="141" t="s">
        <v>11661</v>
      </c>
      <c r="Q458" s="122" t="s">
        <v>5883</v>
      </c>
      <c r="R458" s="142">
        <v>128</v>
      </c>
      <c r="S458" s="122" t="s">
        <v>11662</v>
      </c>
      <c r="U458" s="122" t="s">
        <v>4681</v>
      </c>
      <c r="W458" s="122" t="s">
        <v>246</v>
      </c>
      <c r="X458" s="122" t="s">
        <v>3147</v>
      </c>
      <c r="Y458" s="141" t="s">
        <v>534</v>
      </c>
      <c r="Z458" s="122" t="s">
        <v>11383</v>
      </c>
      <c r="AA458" s="141" t="s">
        <v>707</v>
      </c>
      <c r="AB458" s="122" t="s">
        <v>11383</v>
      </c>
      <c r="AC458" s="141" t="s">
        <v>367</v>
      </c>
      <c r="AD458" s="122" t="s">
        <v>11663</v>
      </c>
      <c r="AE458" s="122" t="s">
        <v>235</v>
      </c>
      <c r="AF458" s="122" t="s">
        <v>11664</v>
      </c>
      <c r="AG458" s="122" t="s">
        <v>537</v>
      </c>
      <c r="AH458" s="122" t="s">
        <v>253</v>
      </c>
      <c r="AI458" s="122" t="s">
        <v>11665</v>
      </c>
      <c r="AJ458" s="122" t="s">
        <v>10863</v>
      </c>
      <c r="AK458" s="122" t="s">
        <v>253</v>
      </c>
      <c r="AL458" s="122" t="s">
        <v>253</v>
      </c>
      <c r="AM458" s="122" t="s">
        <v>253</v>
      </c>
      <c r="AN458" s="122" t="s">
        <v>253</v>
      </c>
      <c r="AO458" s="141" t="s">
        <v>253</v>
      </c>
      <c r="AP458" s="141" t="s">
        <v>253</v>
      </c>
      <c r="AQ458" s="141" t="s">
        <v>247</v>
      </c>
      <c r="AR458" s="141" t="s">
        <v>253</v>
      </c>
      <c r="AS458" s="141" t="s">
        <v>361</v>
      </c>
      <c r="AT458" s="141" t="s">
        <v>601</v>
      </c>
      <c r="AU458" s="141" t="s">
        <v>258</v>
      </c>
      <c r="AV458" s="122" t="s">
        <v>259</v>
      </c>
      <c r="AW458" s="122" t="s">
        <v>260</v>
      </c>
      <c r="AY458" s="141" t="s">
        <v>253</v>
      </c>
      <c r="AZ458" s="122" t="s">
        <v>11666</v>
      </c>
      <c r="BA458" s="122" t="s">
        <v>262</v>
      </c>
      <c r="BB458" s="122" t="s">
        <v>262</v>
      </c>
      <c r="BD458" s="122" t="s">
        <v>253</v>
      </c>
      <c r="BE458" s="122" t="s">
        <v>263</v>
      </c>
      <c r="BF458" s="122" t="s">
        <v>4688</v>
      </c>
      <c r="BH458" s="122" t="s">
        <v>4681</v>
      </c>
      <c r="BI458" s="142">
        <v>128</v>
      </c>
      <c r="BJ458" s="123">
        <v>42229</v>
      </c>
      <c r="BK458" s="139" t="s">
        <v>264</v>
      </c>
      <c r="BL458" s="140">
        <v>89.39</v>
      </c>
      <c r="BM458" s="122">
        <v>33</v>
      </c>
    </row>
    <row r="459" spans="1:65" x14ac:dyDescent="0.25">
      <c r="A459" s="122" t="s">
        <v>352</v>
      </c>
      <c r="B459" s="122" t="s">
        <v>11667</v>
      </c>
      <c r="C459" s="122" t="s">
        <v>11668</v>
      </c>
      <c r="D459" s="122" t="s">
        <v>11669</v>
      </c>
      <c r="E459" s="123">
        <v>42226</v>
      </c>
      <c r="F459" s="122" t="s">
        <v>11670</v>
      </c>
      <c r="G459" s="122" t="s">
        <v>235</v>
      </c>
      <c r="H459" s="122" t="s">
        <v>448</v>
      </c>
      <c r="I459" s="122" t="s">
        <v>11671</v>
      </c>
      <c r="K459" s="122" t="s">
        <v>3419</v>
      </c>
      <c r="L459" s="122" t="s">
        <v>3420</v>
      </c>
      <c r="M459" s="122" t="s">
        <v>3421</v>
      </c>
      <c r="O459" s="141" t="s">
        <v>1921</v>
      </c>
      <c r="P459" s="141" t="s">
        <v>11672</v>
      </c>
      <c r="Q459" s="122" t="s">
        <v>3424</v>
      </c>
      <c r="R459" s="142">
        <v>129</v>
      </c>
      <c r="S459" s="122" t="s">
        <v>11673</v>
      </c>
      <c r="U459" s="122" t="s">
        <v>4681</v>
      </c>
      <c r="W459" s="122" t="s">
        <v>246</v>
      </c>
      <c r="X459" s="122" t="s">
        <v>4409</v>
      </c>
      <c r="Y459" s="141" t="s">
        <v>1039</v>
      </c>
      <c r="Z459" s="122" t="s">
        <v>249</v>
      </c>
      <c r="AA459" s="141" t="s">
        <v>2804</v>
      </c>
      <c r="AB459" s="122" t="s">
        <v>11674</v>
      </c>
      <c r="AC459" s="141" t="s">
        <v>1015</v>
      </c>
      <c r="AD459" s="122" t="s">
        <v>11675</v>
      </c>
      <c r="AE459" s="122" t="s">
        <v>235</v>
      </c>
      <c r="AF459" s="122" t="s">
        <v>11676</v>
      </c>
      <c r="AG459" s="122" t="s">
        <v>537</v>
      </c>
      <c r="AH459" s="122" t="s">
        <v>253</v>
      </c>
      <c r="AI459" s="122" t="s">
        <v>11677</v>
      </c>
      <c r="AJ459" s="122" t="s">
        <v>11678</v>
      </c>
      <c r="AK459" s="122" t="s">
        <v>253</v>
      </c>
      <c r="AL459" s="122" t="s">
        <v>253</v>
      </c>
      <c r="AM459" s="122" t="s">
        <v>253</v>
      </c>
      <c r="AN459" s="122" t="s">
        <v>253</v>
      </c>
      <c r="AO459" s="141" t="s">
        <v>247</v>
      </c>
      <c r="AP459" s="141" t="s">
        <v>247</v>
      </c>
      <c r="AQ459" s="141" t="s">
        <v>247</v>
      </c>
      <c r="AR459" s="141" t="s">
        <v>247</v>
      </c>
      <c r="AS459" s="141" t="s">
        <v>601</v>
      </c>
      <c r="AT459" s="141" t="s">
        <v>601</v>
      </c>
      <c r="AU459" s="141" t="s">
        <v>601</v>
      </c>
      <c r="AV459" s="122" t="s">
        <v>259</v>
      </c>
      <c r="AW459" s="122" t="s">
        <v>260</v>
      </c>
      <c r="AX459" s="141" t="s">
        <v>3580</v>
      </c>
      <c r="AY459" s="141" t="s">
        <v>603</v>
      </c>
      <c r="AZ459" s="122" t="s">
        <v>262</v>
      </c>
      <c r="BA459" s="122" t="s">
        <v>262</v>
      </c>
      <c r="BB459" s="122" t="s">
        <v>262</v>
      </c>
      <c r="BC459" s="141" t="s">
        <v>312</v>
      </c>
      <c r="BD459" s="122" t="s">
        <v>253</v>
      </c>
      <c r="BE459" s="122" t="s">
        <v>263</v>
      </c>
      <c r="BF459" s="122" t="s">
        <v>4688</v>
      </c>
      <c r="BH459" s="122" t="s">
        <v>4681</v>
      </c>
      <c r="BI459" s="142">
        <v>129</v>
      </c>
      <c r="BJ459" s="123">
        <v>42237</v>
      </c>
      <c r="BK459" s="139" t="s">
        <v>606</v>
      </c>
      <c r="BM459" s="122">
        <v>34</v>
      </c>
    </row>
    <row r="460" spans="1:65" x14ac:dyDescent="0.25">
      <c r="A460" s="122" t="s">
        <v>352</v>
      </c>
      <c r="B460" s="122" t="s">
        <v>11679</v>
      </c>
      <c r="C460" s="122" t="s">
        <v>11680</v>
      </c>
      <c r="D460" s="122" t="s">
        <v>11681</v>
      </c>
      <c r="E460" s="123">
        <v>42226</v>
      </c>
      <c r="F460" s="122" t="s">
        <v>2700</v>
      </c>
      <c r="G460" s="122" t="s">
        <v>235</v>
      </c>
      <c r="H460" s="122" t="s">
        <v>11682</v>
      </c>
      <c r="I460" s="122" t="s">
        <v>11683</v>
      </c>
      <c r="J460" s="122" t="s">
        <v>1053</v>
      </c>
      <c r="K460" s="122" t="s">
        <v>3419</v>
      </c>
      <c r="L460" s="122" t="s">
        <v>3420</v>
      </c>
      <c r="M460" s="122" t="s">
        <v>3504</v>
      </c>
      <c r="O460" s="141" t="s">
        <v>241</v>
      </c>
      <c r="P460" s="141" t="s">
        <v>11684</v>
      </c>
      <c r="Q460" s="122" t="s">
        <v>3424</v>
      </c>
      <c r="R460" s="142">
        <v>130</v>
      </c>
      <c r="S460" s="122" t="s">
        <v>11685</v>
      </c>
      <c r="U460" s="122" t="s">
        <v>4681</v>
      </c>
      <c r="W460" s="122" t="s">
        <v>246</v>
      </c>
      <c r="X460" s="122" t="s">
        <v>853</v>
      </c>
      <c r="Y460" s="141" t="s">
        <v>4768</v>
      </c>
      <c r="Z460" s="122" t="s">
        <v>518</v>
      </c>
      <c r="AB460" s="122" t="s">
        <v>250</v>
      </c>
      <c r="AD460" s="122" t="s">
        <v>250</v>
      </c>
      <c r="AE460" s="122" t="s">
        <v>235</v>
      </c>
      <c r="AF460" s="122" t="s">
        <v>11686</v>
      </c>
      <c r="AG460" s="122" t="s">
        <v>11687</v>
      </c>
      <c r="AH460" s="122" t="s">
        <v>253</v>
      </c>
      <c r="AI460" s="122" t="s">
        <v>11688</v>
      </c>
      <c r="AJ460" s="122" t="s">
        <v>11689</v>
      </c>
      <c r="AK460" s="122" t="s">
        <v>9150</v>
      </c>
      <c r="AL460" s="122" t="s">
        <v>253</v>
      </c>
      <c r="AM460" s="122" t="s">
        <v>253</v>
      </c>
      <c r="AN460" s="122" t="s">
        <v>253</v>
      </c>
      <c r="AO460" s="141" t="s">
        <v>247</v>
      </c>
      <c r="AP460" s="141" t="s">
        <v>247</v>
      </c>
      <c r="AQ460" s="141" t="s">
        <v>247</v>
      </c>
      <c r="AR460" s="141" t="s">
        <v>253</v>
      </c>
      <c r="AS460" s="141" t="s">
        <v>601</v>
      </c>
      <c r="AT460" s="141" t="s">
        <v>601</v>
      </c>
      <c r="AU460" s="141" t="s">
        <v>258</v>
      </c>
      <c r="AV460" s="122" t="s">
        <v>259</v>
      </c>
      <c r="AW460" s="122" t="s">
        <v>260</v>
      </c>
      <c r="AY460" s="141" t="s">
        <v>253</v>
      </c>
      <c r="AZ460" s="122" t="s">
        <v>11690</v>
      </c>
      <c r="BA460" s="122" t="s">
        <v>262</v>
      </c>
      <c r="BB460" s="122" t="s">
        <v>262</v>
      </c>
      <c r="BC460" s="141" t="s">
        <v>312</v>
      </c>
      <c r="BD460" s="122" t="s">
        <v>253</v>
      </c>
      <c r="BE460" s="122" t="s">
        <v>263</v>
      </c>
      <c r="BF460" s="122" t="s">
        <v>4688</v>
      </c>
      <c r="BH460" s="122" t="s">
        <v>4681</v>
      </c>
      <c r="BI460" s="142">
        <v>130</v>
      </c>
      <c r="BJ460" s="123">
        <v>42236</v>
      </c>
      <c r="BK460" s="139" t="s">
        <v>264</v>
      </c>
      <c r="BL460" s="140">
        <v>372</v>
      </c>
      <c r="BM460" s="122">
        <v>34</v>
      </c>
    </row>
    <row r="461" spans="1:65" x14ac:dyDescent="0.25">
      <c r="A461" s="122" t="s">
        <v>352</v>
      </c>
      <c r="B461" s="122" t="s">
        <v>11691</v>
      </c>
      <c r="C461" s="122" t="s">
        <v>11692</v>
      </c>
      <c r="D461" s="122" t="s">
        <v>11693</v>
      </c>
      <c r="E461" s="123">
        <v>42226</v>
      </c>
      <c r="F461" s="122" t="s">
        <v>11694</v>
      </c>
      <c r="G461" s="122" t="s">
        <v>235</v>
      </c>
      <c r="H461" s="122" t="s">
        <v>11695</v>
      </c>
      <c r="I461" s="122" t="s">
        <v>11696</v>
      </c>
      <c r="K461" s="122" t="s">
        <v>3419</v>
      </c>
      <c r="L461" s="122" t="s">
        <v>3420</v>
      </c>
      <c r="M461" s="122" t="s">
        <v>3504</v>
      </c>
      <c r="O461" s="141" t="s">
        <v>10756</v>
      </c>
      <c r="P461" s="141" t="s">
        <v>11697</v>
      </c>
      <c r="Q461" s="122" t="s">
        <v>3424</v>
      </c>
      <c r="R461" s="142">
        <v>131</v>
      </c>
      <c r="S461" s="122" t="s">
        <v>11698</v>
      </c>
      <c r="U461" s="122" t="s">
        <v>4681</v>
      </c>
      <c r="W461" s="122" t="s">
        <v>246</v>
      </c>
      <c r="X461" s="122" t="s">
        <v>739</v>
      </c>
      <c r="Y461" s="141" t="s">
        <v>2979</v>
      </c>
      <c r="Z461" s="122" t="s">
        <v>818</v>
      </c>
      <c r="AA461" s="141" t="s">
        <v>593</v>
      </c>
      <c r="AB461" s="122" t="s">
        <v>11699</v>
      </c>
      <c r="AC461" s="141" t="s">
        <v>1125</v>
      </c>
      <c r="AD461" s="122" t="s">
        <v>11699</v>
      </c>
      <c r="AE461" s="122" t="s">
        <v>235</v>
      </c>
      <c r="AF461" s="122" t="s">
        <v>11700</v>
      </c>
      <c r="AG461" s="122" t="s">
        <v>11701</v>
      </c>
      <c r="AH461" s="122" t="s">
        <v>253</v>
      </c>
      <c r="AI461" s="122" t="s">
        <v>11702</v>
      </c>
      <c r="AJ461" s="122" t="s">
        <v>11703</v>
      </c>
      <c r="AK461" s="122" t="s">
        <v>253</v>
      </c>
      <c r="AL461" s="122" t="s">
        <v>253</v>
      </c>
      <c r="AM461" s="122" t="s">
        <v>253</v>
      </c>
      <c r="AN461" s="122" t="s">
        <v>253</v>
      </c>
      <c r="AO461" s="141" t="s">
        <v>247</v>
      </c>
      <c r="AP461" s="141" t="s">
        <v>253</v>
      </c>
      <c r="AQ461" s="141" t="s">
        <v>253</v>
      </c>
      <c r="AR461" s="141" t="s">
        <v>253</v>
      </c>
      <c r="AS461" s="141" t="s">
        <v>601</v>
      </c>
      <c r="AT461" s="141" t="s">
        <v>258</v>
      </c>
      <c r="AU461" s="141" t="s">
        <v>258</v>
      </c>
      <c r="AV461" s="122" t="s">
        <v>259</v>
      </c>
      <c r="AW461" s="122" t="s">
        <v>260</v>
      </c>
      <c r="AX461" s="141" t="s">
        <v>1130</v>
      </c>
      <c r="AY461" s="141" t="s">
        <v>603</v>
      </c>
      <c r="AZ461" s="122" t="s">
        <v>11704</v>
      </c>
      <c r="BA461" s="122" t="s">
        <v>262</v>
      </c>
      <c r="BB461" s="122" t="s">
        <v>262</v>
      </c>
      <c r="BD461" s="122" t="s">
        <v>253</v>
      </c>
      <c r="BE461" s="122" t="s">
        <v>263</v>
      </c>
      <c r="BF461" s="122" t="s">
        <v>4688</v>
      </c>
      <c r="BH461" s="122" t="s">
        <v>4681</v>
      </c>
      <c r="BI461" s="142">
        <v>131</v>
      </c>
      <c r="BJ461" s="123">
        <v>42239</v>
      </c>
      <c r="BK461" s="139" t="s">
        <v>606</v>
      </c>
      <c r="BM461" s="122">
        <v>34</v>
      </c>
    </row>
    <row r="462" spans="1:65" x14ac:dyDescent="0.25">
      <c r="A462" s="122" t="s">
        <v>352</v>
      </c>
      <c r="B462" s="122" t="s">
        <v>11705</v>
      </c>
      <c r="C462" s="122" t="s">
        <v>11706</v>
      </c>
      <c r="D462" s="122" t="s">
        <v>11707</v>
      </c>
      <c r="E462" s="123">
        <v>42226</v>
      </c>
      <c r="F462" s="122" t="s">
        <v>10256</v>
      </c>
      <c r="G462" s="122" t="s">
        <v>235</v>
      </c>
      <c r="H462" s="122" t="s">
        <v>11708</v>
      </c>
      <c r="I462" s="122" t="s">
        <v>11709</v>
      </c>
      <c r="K462" s="122" t="s">
        <v>3419</v>
      </c>
      <c r="L462" s="122" t="s">
        <v>3503</v>
      </c>
      <c r="M462" s="122" t="s">
        <v>3421</v>
      </c>
      <c r="O462" s="141" t="s">
        <v>390</v>
      </c>
      <c r="P462" s="141" t="s">
        <v>11710</v>
      </c>
      <c r="Q462" s="122" t="s">
        <v>3424</v>
      </c>
      <c r="R462" s="142">
        <v>132</v>
      </c>
      <c r="S462" s="122" t="s">
        <v>11711</v>
      </c>
      <c r="U462" s="122" t="s">
        <v>4681</v>
      </c>
      <c r="W462" s="122" t="s">
        <v>246</v>
      </c>
      <c r="X462" s="122" t="s">
        <v>853</v>
      </c>
      <c r="Y462" s="141" t="s">
        <v>958</v>
      </c>
      <c r="Z462" s="122" t="s">
        <v>10085</v>
      </c>
      <c r="AA462" s="141" t="s">
        <v>328</v>
      </c>
      <c r="AB462" s="122" t="s">
        <v>11712</v>
      </c>
      <c r="AC462" s="141" t="s">
        <v>1629</v>
      </c>
      <c r="AD462" s="122" t="s">
        <v>11713</v>
      </c>
      <c r="AE462" s="122" t="s">
        <v>235</v>
      </c>
      <c r="AF462" s="122" t="s">
        <v>11714</v>
      </c>
      <c r="AG462" s="122" t="s">
        <v>537</v>
      </c>
      <c r="AH462" s="122" t="s">
        <v>253</v>
      </c>
      <c r="AI462" s="122" t="s">
        <v>11715</v>
      </c>
      <c r="AJ462" s="122" t="s">
        <v>11716</v>
      </c>
      <c r="AK462" s="122" t="s">
        <v>253</v>
      </c>
      <c r="AL462" s="122" t="s">
        <v>253</v>
      </c>
      <c r="AM462" s="122" t="s">
        <v>253</v>
      </c>
      <c r="AN462" s="122" t="s">
        <v>253</v>
      </c>
      <c r="AO462" s="141" t="s">
        <v>253</v>
      </c>
      <c r="AP462" s="141" t="s">
        <v>253</v>
      </c>
      <c r="AQ462" s="141" t="s">
        <v>247</v>
      </c>
      <c r="AR462" s="141" t="s">
        <v>247</v>
      </c>
      <c r="AS462" s="141" t="s">
        <v>361</v>
      </c>
      <c r="AT462" s="141" t="s">
        <v>601</v>
      </c>
      <c r="AU462" s="141" t="s">
        <v>257</v>
      </c>
      <c r="AV462" s="122" t="s">
        <v>259</v>
      </c>
      <c r="AW462" s="122" t="s">
        <v>260</v>
      </c>
      <c r="AY462" s="141" t="s">
        <v>253</v>
      </c>
      <c r="AZ462" s="122" t="s">
        <v>11717</v>
      </c>
      <c r="BA462" s="122" t="s">
        <v>262</v>
      </c>
      <c r="BB462" s="122" t="s">
        <v>262</v>
      </c>
      <c r="BD462" s="122" t="s">
        <v>253</v>
      </c>
      <c r="BE462" s="122" t="s">
        <v>263</v>
      </c>
      <c r="BF462" s="122" t="s">
        <v>4688</v>
      </c>
      <c r="BH462" s="122" t="s">
        <v>4681</v>
      </c>
      <c r="BI462" s="142">
        <v>132</v>
      </c>
      <c r="BJ462" s="123">
        <v>42239</v>
      </c>
      <c r="BK462" s="139" t="s">
        <v>2891</v>
      </c>
      <c r="BM462" s="122">
        <v>34</v>
      </c>
    </row>
    <row r="463" spans="1:65" x14ac:dyDescent="0.25">
      <c r="A463" s="122" t="s">
        <v>352</v>
      </c>
      <c r="B463" s="122" t="s">
        <v>11718</v>
      </c>
      <c r="C463" s="122" t="s">
        <v>11719</v>
      </c>
      <c r="D463" s="122" t="s">
        <v>11720</v>
      </c>
      <c r="E463" s="123">
        <v>42226</v>
      </c>
      <c r="F463" s="122" t="s">
        <v>11721</v>
      </c>
      <c r="G463" s="122" t="s">
        <v>235</v>
      </c>
      <c r="H463" s="122" t="s">
        <v>11722</v>
      </c>
      <c r="I463" s="122" t="s">
        <v>11723</v>
      </c>
      <c r="K463" s="122" t="s">
        <v>5673</v>
      </c>
      <c r="L463" s="122" t="s">
        <v>5674</v>
      </c>
      <c r="M463" s="122" t="s">
        <v>5757</v>
      </c>
      <c r="O463" s="141" t="s">
        <v>299</v>
      </c>
      <c r="P463" s="141" t="s">
        <v>11724</v>
      </c>
      <c r="Q463" s="122" t="s">
        <v>5677</v>
      </c>
      <c r="R463" s="142">
        <v>133</v>
      </c>
      <c r="S463" s="122" t="s">
        <v>11725</v>
      </c>
      <c r="U463" s="122" t="s">
        <v>4681</v>
      </c>
      <c r="W463" s="122" t="s">
        <v>246</v>
      </c>
      <c r="X463" s="122" t="s">
        <v>4409</v>
      </c>
      <c r="Y463" s="141" t="s">
        <v>591</v>
      </c>
      <c r="Z463" s="122" t="s">
        <v>11726</v>
      </c>
      <c r="AA463" s="141" t="s">
        <v>511</v>
      </c>
      <c r="AB463" s="122" t="s">
        <v>11727</v>
      </c>
      <c r="AC463" s="141" t="s">
        <v>367</v>
      </c>
      <c r="AD463" s="122" t="s">
        <v>11728</v>
      </c>
      <c r="AE463" s="122" t="s">
        <v>235</v>
      </c>
      <c r="AF463" s="122" t="s">
        <v>11729</v>
      </c>
      <c r="AG463" s="122" t="s">
        <v>11730</v>
      </c>
      <c r="AH463" s="122" t="s">
        <v>253</v>
      </c>
      <c r="AI463" s="122" t="s">
        <v>11731</v>
      </c>
      <c r="AJ463" s="122" t="s">
        <v>11732</v>
      </c>
      <c r="AK463" s="122" t="s">
        <v>11733</v>
      </c>
      <c r="AL463" s="122" t="s">
        <v>253</v>
      </c>
      <c r="AM463" s="122" t="s">
        <v>253</v>
      </c>
      <c r="AN463" s="122" t="s">
        <v>253</v>
      </c>
      <c r="AO463" s="141" t="s">
        <v>247</v>
      </c>
      <c r="AP463" s="141" t="s">
        <v>247</v>
      </c>
      <c r="AQ463" s="141" t="s">
        <v>247</v>
      </c>
      <c r="AR463" s="141" t="s">
        <v>253</v>
      </c>
      <c r="AS463" s="141" t="s">
        <v>601</v>
      </c>
      <c r="AT463" s="141" t="s">
        <v>601</v>
      </c>
      <c r="AU463" s="141" t="s">
        <v>258</v>
      </c>
      <c r="AV463" s="122" t="s">
        <v>259</v>
      </c>
      <c r="AW463" s="122" t="s">
        <v>260</v>
      </c>
      <c r="AY463" s="141" t="s">
        <v>253</v>
      </c>
      <c r="AZ463" s="122" t="s">
        <v>11734</v>
      </c>
      <c r="BA463" s="122" t="s">
        <v>262</v>
      </c>
      <c r="BB463" s="122" t="s">
        <v>11735</v>
      </c>
      <c r="BC463" s="141" t="s">
        <v>312</v>
      </c>
      <c r="BD463" s="122" t="s">
        <v>253</v>
      </c>
      <c r="BE463" s="122" t="s">
        <v>263</v>
      </c>
      <c r="BF463" s="122" t="s">
        <v>4688</v>
      </c>
      <c r="BH463" s="122" t="s">
        <v>4681</v>
      </c>
      <c r="BI463" s="142">
        <v>133</v>
      </c>
    </row>
    <row r="464" spans="1:65" x14ac:dyDescent="0.25">
      <c r="A464" s="122" t="s">
        <v>352</v>
      </c>
      <c r="B464" s="122" t="s">
        <v>11736</v>
      </c>
      <c r="C464" s="122" t="s">
        <v>11737</v>
      </c>
      <c r="D464" s="122" t="s">
        <v>11738</v>
      </c>
      <c r="E464" s="123">
        <v>42226</v>
      </c>
      <c r="F464" s="122" t="s">
        <v>11739</v>
      </c>
      <c r="G464" s="122" t="s">
        <v>235</v>
      </c>
      <c r="H464" s="122" t="s">
        <v>448</v>
      </c>
      <c r="I464" s="122" t="s">
        <v>11740</v>
      </c>
      <c r="K464" s="122" t="s">
        <v>3419</v>
      </c>
      <c r="L464" s="122" t="s">
        <v>3420</v>
      </c>
      <c r="M464" s="122" t="s">
        <v>3421</v>
      </c>
      <c r="N464" s="122" t="s">
        <v>11741</v>
      </c>
      <c r="O464" s="141" t="s">
        <v>299</v>
      </c>
      <c r="P464" s="141" t="s">
        <v>11742</v>
      </c>
      <c r="Q464" s="122" t="s">
        <v>3424</v>
      </c>
      <c r="R464" s="142">
        <v>134</v>
      </c>
      <c r="S464" s="122" t="s">
        <v>11743</v>
      </c>
      <c r="U464" s="122" t="s">
        <v>4681</v>
      </c>
      <c r="W464" s="122" t="s">
        <v>246</v>
      </c>
      <c r="X464" s="122" t="s">
        <v>3147</v>
      </c>
      <c r="Y464" s="141" t="s">
        <v>1440</v>
      </c>
      <c r="Z464" s="122" t="s">
        <v>11744</v>
      </c>
      <c r="AA464" s="141" t="s">
        <v>1090</v>
      </c>
      <c r="AB464" s="122" t="s">
        <v>11745</v>
      </c>
      <c r="AC464" s="141" t="s">
        <v>234</v>
      </c>
      <c r="AD464" s="122" t="s">
        <v>11746</v>
      </c>
      <c r="AE464" s="122" t="s">
        <v>235</v>
      </c>
      <c r="AF464" s="122" t="s">
        <v>11747</v>
      </c>
      <c r="AG464" s="122" t="s">
        <v>537</v>
      </c>
      <c r="AH464" s="122" t="s">
        <v>253</v>
      </c>
      <c r="AI464" s="122" t="s">
        <v>11748</v>
      </c>
      <c r="AJ464" s="122" t="s">
        <v>11749</v>
      </c>
      <c r="AK464" s="122" t="s">
        <v>253</v>
      </c>
      <c r="AL464" s="122" t="s">
        <v>253</v>
      </c>
      <c r="AM464" s="122" t="s">
        <v>253</v>
      </c>
      <c r="AN464" s="122" t="s">
        <v>253</v>
      </c>
      <c r="AO464" s="141" t="s">
        <v>247</v>
      </c>
      <c r="AP464" s="141" t="s">
        <v>247</v>
      </c>
      <c r="AQ464" s="141" t="s">
        <v>247</v>
      </c>
      <c r="AR464" s="141" t="s">
        <v>253</v>
      </c>
      <c r="AS464" s="141" t="s">
        <v>601</v>
      </c>
      <c r="AT464" s="141" t="s">
        <v>601</v>
      </c>
      <c r="AU464" s="141" t="s">
        <v>258</v>
      </c>
      <c r="AV464" s="122" t="s">
        <v>259</v>
      </c>
      <c r="AW464" s="122" t="s">
        <v>260</v>
      </c>
      <c r="AX464" s="141" t="s">
        <v>11750</v>
      </c>
      <c r="AY464" s="141" t="s">
        <v>260</v>
      </c>
      <c r="AZ464" s="122" t="s">
        <v>262</v>
      </c>
      <c r="BA464" s="122" t="s">
        <v>262</v>
      </c>
      <c r="BB464" s="122" t="s">
        <v>11751</v>
      </c>
      <c r="BC464" s="141" t="s">
        <v>312</v>
      </c>
      <c r="BD464" s="122" t="s">
        <v>253</v>
      </c>
      <c r="BE464" s="122" t="s">
        <v>263</v>
      </c>
      <c r="BF464" s="122" t="s">
        <v>4688</v>
      </c>
      <c r="BH464" s="122" t="s">
        <v>4681</v>
      </c>
      <c r="BI464" s="142">
        <v>134</v>
      </c>
      <c r="BJ464" s="123">
        <v>42239</v>
      </c>
      <c r="BK464" s="139" t="s">
        <v>606</v>
      </c>
      <c r="BM464" s="122">
        <v>34</v>
      </c>
    </row>
    <row r="465" spans="1:65" x14ac:dyDescent="0.25">
      <c r="A465" s="122" t="s">
        <v>3037</v>
      </c>
      <c r="B465" s="122" t="s">
        <v>11752</v>
      </c>
      <c r="C465" s="122" t="s">
        <v>11753</v>
      </c>
      <c r="D465" s="122" t="s">
        <v>11754</v>
      </c>
      <c r="E465" s="123">
        <v>42226</v>
      </c>
      <c r="F465" s="122" t="s">
        <v>3720</v>
      </c>
      <c r="G465" s="122" t="s">
        <v>235</v>
      </c>
      <c r="H465" s="122" t="s">
        <v>11755</v>
      </c>
      <c r="I465" s="122" t="s">
        <v>11756</v>
      </c>
      <c r="K465" s="122" t="s">
        <v>5800</v>
      </c>
      <c r="L465" s="122" t="s">
        <v>5801</v>
      </c>
      <c r="M465" s="122" t="s">
        <v>5802</v>
      </c>
      <c r="O465" s="141" t="s">
        <v>613</v>
      </c>
      <c r="P465" s="141" t="s">
        <v>11757</v>
      </c>
      <c r="Q465" s="122" t="s">
        <v>5805</v>
      </c>
      <c r="R465" s="142">
        <v>135</v>
      </c>
      <c r="S465" s="122" t="s">
        <v>11758</v>
      </c>
      <c r="U465" s="122" t="s">
        <v>4681</v>
      </c>
      <c r="W465" s="122" t="s">
        <v>246</v>
      </c>
      <c r="X465" s="122" t="s">
        <v>302</v>
      </c>
      <c r="Y465" s="141" t="s">
        <v>1896</v>
      </c>
      <c r="Z465" s="122" t="s">
        <v>669</v>
      </c>
      <c r="AA465" s="141" t="s">
        <v>1327</v>
      </c>
      <c r="AB465" s="122" t="s">
        <v>1792</v>
      </c>
      <c r="AC465" s="141" t="s">
        <v>3590</v>
      </c>
      <c r="AD465" s="122" t="s">
        <v>3351</v>
      </c>
      <c r="AE465" s="122" t="s">
        <v>235</v>
      </c>
      <c r="AF465" s="122" t="s">
        <v>11759</v>
      </c>
      <c r="AG465" s="122" t="s">
        <v>253</v>
      </c>
      <c r="AH465" s="122" t="s">
        <v>253</v>
      </c>
      <c r="AI465" s="122" t="s">
        <v>11760</v>
      </c>
      <c r="AJ465" s="122" t="s">
        <v>11761</v>
      </c>
      <c r="AK465" s="122" t="s">
        <v>11762</v>
      </c>
      <c r="AL465" s="122" t="s">
        <v>11763</v>
      </c>
      <c r="AM465" s="122" t="s">
        <v>253</v>
      </c>
      <c r="AN465" s="122" t="s">
        <v>253</v>
      </c>
      <c r="AO465" s="141" t="s">
        <v>253</v>
      </c>
      <c r="AP465" s="141" t="s">
        <v>253</v>
      </c>
      <c r="AQ465" s="141" t="s">
        <v>253</v>
      </c>
      <c r="AR465" s="141" t="s">
        <v>247</v>
      </c>
      <c r="AS465" s="141" t="s">
        <v>361</v>
      </c>
      <c r="AT465" s="141" t="s">
        <v>258</v>
      </c>
      <c r="AU465" s="141" t="s">
        <v>601</v>
      </c>
      <c r="AV465" s="122" t="s">
        <v>259</v>
      </c>
      <c r="AW465" s="122" t="s">
        <v>556</v>
      </c>
      <c r="AY465" s="141" t="s">
        <v>253</v>
      </c>
      <c r="AZ465" s="122" t="s">
        <v>11764</v>
      </c>
      <c r="BA465" s="122" t="s">
        <v>262</v>
      </c>
      <c r="BB465" s="122" t="s">
        <v>262</v>
      </c>
      <c r="BC465" s="141" t="s">
        <v>312</v>
      </c>
      <c r="BD465" s="122" t="s">
        <v>253</v>
      </c>
      <c r="BE465" s="122" t="s">
        <v>263</v>
      </c>
      <c r="BF465" s="122" t="s">
        <v>4688</v>
      </c>
      <c r="BH465" s="122" t="s">
        <v>4681</v>
      </c>
      <c r="BI465" s="142">
        <v>135</v>
      </c>
      <c r="BJ465" s="123">
        <v>42238</v>
      </c>
      <c r="BK465" s="139" t="s">
        <v>606</v>
      </c>
      <c r="BM465" s="122">
        <v>34</v>
      </c>
    </row>
    <row r="466" spans="1:65" x14ac:dyDescent="0.25">
      <c r="A466" s="122" t="s">
        <v>3037</v>
      </c>
      <c r="B466" s="122" t="s">
        <v>11765</v>
      </c>
      <c r="C466" s="122" t="s">
        <v>6066</v>
      </c>
      <c r="D466" s="122" t="s">
        <v>6067</v>
      </c>
      <c r="E466" s="123">
        <v>42226</v>
      </c>
      <c r="F466" s="122" t="s">
        <v>6068</v>
      </c>
      <c r="G466" s="122" t="s">
        <v>235</v>
      </c>
      <c r="H466" s="122" t="s">
        <v>6069</v>
      </c>
      <c r="I466" s="122" t="s">
        <v>6070</v>
      </c>
      <c r="J466" s="122" t="s">
        <v>6071</v>
      </c>
      <c r="K466" s="122" t="s">
        <v>5565</v>
      </c>
      <c r="L466" s="122" t="s">
        <v>5566</v>
      </c>
      <c r="M466" s="122" t="s">
        <v>5567</v>
      </c>
      <c r="O466" s="141" t="s">
        <v>1240</v>
      </c>
      <c r="P466" s="141" t="s">
        <v>6072</v>
      </c>
      <c r="Q466" s="122" t="s">
        <v>3389</v>
      </c>
      <c r="R466" s="142">
        <v>136</v>
      </c>
      <c r="S466" s="122" t="s">
        <v>6073</v>
      </c>
      <c r="U466" s="122" t="s">
        <v>4681</v>
      </c>
      <c r="W466" s="122" t="s">
        <v>246</v>
      </c>
      <c r="X466" s="122" t="s">
        <v>603</v>
      </c>
      <c r="Y466" s="141" t="s">
        <v>1141</v>
      </c>
      <c r="Z466" s="122" t="s">
        <v>6074</v>
      </c>
      <c r="AA466" s="141" t="s">
        <v>1325</v>
      </c>
      <c r="AB466" s="122" t="s">
        <v>6075</v>
      </c>
      <c r="AC466" s="141" t="s">
        <v>1023</v>
      </c>
      <c r="AD466" s="122" t="s">
        <v>6076</v>
      </c>
      <c r="AE466" s="122" t="s">
        <v>235</v>
      </c>
      <c r="AF466" s="122" t="s">
        <v>6077</v>
      </c>
      <c r="AG466" s="122" t="s">
        <v>253</v>
      </c>
      <c r="AH466" s="122" t="s">
        <v>253</v>
      </c>
      <c r="AI466" s="122" t="s">
        <v>6078</v>
      </c>
      <c r="AJ466" s="122" t="s">
        <v>6079</v>
      </c>
      <c r="AK466" s="122" t="s">
        <v>253</v>
      </c>
      <c r="AL466" s="122" t="s">
        <v>6080</v>
      </c>
      <c r="AM466" s="122" t="s">
        <v>253</v>
      </c>
      <c r="AN466" s="122" t="s">
        <v>253</v>
      </c>
      <c r="AO466" s="141" t="s">
        <v>247</v>
      </c>
      <c r="AP466" s="141" t="s">
        <v>247</v>
      </c>
      <c r="AQ466" s="141" t="s">
        <v>247</v>
      </c>
      <c r="AR466" s="141" t="s">
        <v>247</v>
      </c>
      <c r="AS466" s="141" t="s">
        <v>601</v>
      </c>
      <c r="AT466" s="141" t="s">
        <v>601</v>
      </c>
      <c r="AU466" s="141" t="s">
        <v>601</v>
      </c>
      <c r="AV466" s="122" t="s">
        <v>259</v>
      </c>
      <c r="AW466" s="122" t="s">
        <v>556</v>
      </c>
      <c r="AX466" s="141" t="s">
        <v>1046</v>
      </c>
      <c r="AY466" s="141" t="s">
        <v>442</v>
      </c>
      <c r="AZ466" s="122" t="s">
        <v>6081</v>
      </c>
      <c r="BA466" s="122" t="s">
        <v>262</v>
      </c>
      <c r="BB466" s="122" t="s">
        <v>262</v>
      </c>
      <c r="BD466" s="122" t="s">
        <v>253</v>
      </c>
      <c r="BE466" s="122" t="s">
        <v>263</v>
      </c>
      <c r="BF466" s="122" t="s">
        <v>4688</v>
      </c>
      <c r="BH466" s="122" t="s">
        <v>4681</v>
      </c>
      <c r="BI466" s="142">
        <v>136</v>
      </c>
      <c r="BK466" s="139" t="s">
        <v>558</v>
      </c>
    </row>
    <row r="467" spans="1:65" x14ac:dyDescent="0.25">
      <c r="A467" s="122" t="s">
        <v>3037</v>
      </c>
      <c r="B467" s="122" t="s">
        <v>11766</v>
      </c>
      <c r="C467" s="122" t="s">
        <v>6099</v>
      </c>
      <c r="D467" s="122" t="s">
        <v>6100</v>
      </c>
      <c r="E467" s="123">
        <v>42226</v>
      </c>
      <c r="F467" s="122" t="s">
        <v>6101</v>
      </c>
      <c r="G467" s="122" t="s">
        <v>235</v>
      </c>
      <c r="H467" s="122" t="s">
        <v>6102</v>
      </c>
      <c r="I467" s="122" t="s">
        <v>6103</v>
      </c>
      <c r="K467" s="122" t="s">
        <v>3419</v>
      </c>
      <c r="L467" s="122" t="s">
        <v>3420</v>
      </c>
      <c r="M467" s="122" t="s">
        <v>3504</v>
      </c>
      <c r="O467" s="141" t="s">
        <v>566</v>
      </c>
      <c r="P467" s="141" t="s">
        <v>6104</v>
      </c>
      <c r="Q467" s="122" t="s">
        <v>3424</v>
      </c>
      <c r="R467" s="142">
        <v>137</v>
      </c>
      <c r="S467" s="122" t="s">
        <v>6105</v>
      </c>
      <c r="U467" s="122" t="s">
        <v>4681</v>
      </c>
      <c r="W467" s="122" t="s">
        <v>246</v>
      </c>
      <c r="X467" s="122" t="s">
        <v>569</v>
      </c>
      <c r="Y467" s="141" t="s">
        <v>1141</v>
      </c>
      <c r="Z467" s="122" t="s">
        <v>6106</v>
      </c>
      <c r="AA467" s="141" t="s">
        <v>1896</v>
      </c>
      <c r="AB467" s="122" t="s">
        <v>6107</v>
      </c>
      <c r="AC467" s="141" t="s">
        <v>672</v>
      </c>
      <c r="AD467" s="122" t="s">
        <v>355</v>
      </c>
      <c r="AE467" s="122" t="s">
        <v>235</v>
      </c>
      <c r="AF467" s="122" t="s">
        <v>6108</v>
      </c>
      <c r="AG467" s="122" t="s">
        <v>253</v>
      </c>
      <c r="AH467" s="122" t="s">
        <v>253</v>
      </c>
      <c r="AI467" s="122" t="s">
        <v>6109</v>
      </c>
      <c r="AJ467" s="122" t="s">
        <v>6110</v>
      </c>
      <c r="AK467" s="122" t="s">
        <v>253</v>
      </c>
      <c r="AL467" s="122" t="s">
        <v>6111</v>
      </c>
      <c r="AM467" s="122" t="s">
        <v>253</v>
      </c>
      <c r="AN467" s="122" t="s">
        <v>253</v>
      </c>
      <c r="AO467" s="141" t="s">
        <v>247</v>
      </c>
      <c r="AP467" s="141" t="s">
        <v>247</v>
      </c>
      <c r="AQ467" s="141" t="s">
        <v>247</v>
      </c>
      <c r="AR467" s="141" t="s">
        <v>247</v>
      </c>
      <c r="AS467" s="141" t="s">
        <v>601</v>
      </c>
      <c r="AT467" s="141" t="s">
        <v>601</v>
      </c>
      <c r="AU467" s="141" t="s">
        <v>601</v>
      </c>
      <c r="AV467" s="122" t="s">
        <v>259</v>
      </c>
      <c r="AW467" s="122" t="s">
        <v>556</v>
      </c>
      <c r="AX467" s="141" t="s">
        <v>1046</v>
      </c>
      <c r="AY467" s="141" t="s">
        <v>247</v>
      </c>
      <c r="AZ467" s="122" t="s">
        <v>6112</v>
      </c>
      <c r="BA467" s="122" t="s">
        <v>6113</v>
      </c>
      <c r="BB467" s="122" t="s">
        <v>6114</v>
      </c>
      <c r="BD467" s="122" t="s">
        <v>253</v>
      </c>
      <c r="BE467" s="122" t="s">
        <v>263</v>
      </c>
      <c r="BF467" s="122" t="s">
        <v>4688</v>
      </c>
      <c r="BH467" s="122" t="s">
        <v>4681</v>
      </c>
      <c r="BI467" s="142">
        <v>137</v>
      </c>
      <c r="BK467" s="139" t="s">
        <v>558</v>
      </c>
    </row>
    <row r="468" spans="1:65" x14ac:dyDescent="0.25">
      <c r="A468" s="122" t="s">
        <v>3037</v>
      </c>
      <c r="B468" s="122" t="s">
        <v>11767</v>
      </c>
      <c r="C468" s="122" t="s">
        <v>6116</v>
      </c>
      <c r="D468" s="122" t="s">
        <v>6117</v>
      </c>
      <c r="E468" s="123">
        <v>42226</v>
      </c>
      <c r="F468" s="122" t="s">
        <v>985</v>
      </c>
      <c r="G468" s="122" t="s">
        <v>235</v>
      </c>
      <c r="H468" s="122" t="s">
        <v>6118</v>
      </c>
      <c r="I468" s="122" t="s">
        <v>6119</v>
      </c>
      <c r="K468" s="122" t="s">
        <v>3419</v>
      </c>
      <c r="L468" s="122" t="s">
        <v>3503</v>
      </c>
      <c r="M468" s="122" t="s">
        <v>3504</v>
      </c>
      <c r="O468" s="141" t="s">
        <v>390</v>
      </c>
      <c r="P468" s="141" t="s">
        <v>6120</v>
      </c>
      <c r="Q468" s="122" t="s">
        <v>3424</v>
      </c>
      <c r="R468" s="142">
        <v>138</v>
      </c>
      <c r="S468" s="122" t="s">
        <v>6121</v>
      </c>
      <c r="U468" s="122" t="s">
        <v>4681</v>
      </c>
      <c r="W468" s="122" t="s">
        <v>246</v>
      </c>
      <c r="X468" s="122" t="s">
        <v>1377</v>
      </c>
      <c r="Y468" s="141" t="s">
        <v>1141</v>
      </c>
      <c r="Z468" s="122" t="s">
        <v>6122</v>
      </c>
      <c r="AB468" s="122" t="s">
        <v>250</v>
      </c>
      <c r="AD468" s="122" t="s">
        <v>250</v>
      </c>
      <c r="AE468" s="122" t="s">
        <v>235</v>
      </c>
      <c r="AF468" s="122" t="s">
        <v>11768</v>
      </c>
      <c r="AG468" s="122" t="s">
        <v>537</v>
      </c>
      <c r="AH468" s="122" t="s">
        <v>253</v>
      </c>
      <c r="AI468" s="122" t="s">
        <v>6124</v>
      </c>
      <c r="AJ468" s="122" t="s">
        <v>6125</v>
      </c>
      <c r="AK468" s="122" t="s">
        <v>253</v>
      </c>
      <c r="AL468" s="122" t="s">
        <v>6126</v>
      </c>
      <c r="AM468" s="122" t="s">
        <v>253</v>
      </c>
      <c r="AN468" s="122" t="s">
        <v>253</v>
      </c>
      <c r="AO468" s="141" t="s">
        <v>247</v>
      </c>
      <c r="AP468" s="141" t="s">
        <v>247</v>
      </c>
      <c r="AQ468" s="141" t="s">
        <v>247</v>
      </c>
      <c r="AR468" s="141" t="s">
        <v>247</v>
      </c>
      <c r="AS468" s="141" t="s">
        <v>601</v>
      </c>
      <c r="AT468" s="141" t="s">
        <v>601</v>
      </c>
      <c r="AU468" s="141" t="s">
        <v>601</v>
      </c>
      <c r="AV468" s="122" t="s">
        <v>259</v>
      </c>
      <c r="AW468" s="122" t="s">
        <v>556</v>
      </c>
      <c r="AX468" s="141" t="s">
        <v>1046</v>
      </c>
      <c r="AY468" s="141" t="s">
        <v>247</v>
      </c>
      <c r="AZ468" s="122" t="s">
        <v>6127</v>
      </c>
      <c r="BA468" s="122" t="s">
        <v>262</v>
      </c>
      <c r="BB468" s="122" t="s">
        <v>6128</v>
      </c>
      <c r="BD468" s="122" t="s">
        <v>253</v>
      </c>
      <c r="BE468" s="122" t="s">
        <v>263</v>
      </c>
      <c r="BF468" s="122" t="s">
        <v>4688</v>
      </c>
      <c r="BH468" s="122" t="s">
        <v>4681</v>
      </c>
      <c r="BI468" s="142">
        <v>138</v>
      </c>
      <c r="BK468" s="139" t="s">
        <v>558</v>
      </c>
    </row>
    <row r="469" spans="1:65" x14ac:dyDescent="0.25">
      <c r="A469" s="122" t="s">
        <v>6059</v>
      </c>
      <c r="B469" s="122" t="s">
        <v>11769</v>
      </c>
      <c r="C469" s="122" t="s">
        <v>10839</v>
      </c>
      <c r="D469" s="122" t="s">
        <v>10840</v>
      </c>
      <c r="E469" s="123">
        <v>42226</v>
      </c>
      <c r="F469" s="122" t="s">
        <v>10841</v>
      </c>
      <c r="G469" s="122" t="s">
        <v>235</v>
      </c>
      <c r="H469" s="122" t="s">
        <v>10842</v>
      </c>
      <c r="I469" s="122" t="s">
        <v>10843</v>
      </c>
      <c r="K469" s="122" t="s">
        <v>5673</v>
      </c>
      <c r="L469" s="122" t="s">
        <v>5674</v>
      </c>
      <c r="M469" s="122" t="s">
        <v>5675</v>
      </c>
      <c r="O469" s="141" t="s">
        <v>1921</v>
      </c>
      <c r="P469" s="141" t="s">
        <v>10844</v>
      </c>
      <c r="Q469" s="122" t="s">
        <v>5677</v>
      </c>
      <c r="R469" s="142">
        <v>139</v>
      </c>
      <c r="S469" s="122" t="s">
        <v>10845</v>
      </c>
      <c r="U469" s="122" t="s">
        <v>4681</v>
      </c>
      <c r="W469" s="122" t="s">
        <v>246</v>
      </c>
      <c r="X469" s="122" t="s">
        <v>454</v>
      </c>
      <c r="Y469" s="141" t="s">
        <v>570</v>
      </c>
      <c r="Z469" s="122" t="s">
        <v>10846</v>
      </c>
      <c r="AA469" s="141" t="s">
        <v>920</v>
      </c>
      <c r="AB469" s="122" t="s">
        <v>10847</v>
      </c>
      <c r="AC469" s="141" t="s">
        <v>1379</v>
      </c>
      <c r="AD469" s="122" t="s">
        <v>10848</v>
      </c>
      <c r="AE469" s="122" t="s">
        <v>235</v>
      </c>
      <c r="AF469" s="122" t="s">
        <v>10849</v>
      </c>
      <c r="AG469" s="122" t="s">
        <v>537</v>
      </c>
      <c r="AH469" s="122" t="s">
        <v>253</v>
      </c>
      <c r="AI469" s="122" t="s">
        <v>10850</v>
      </c>
      <c r="AJ469" s="122" t="s">
        <v>10851</v>
      </c>
      <c r="AK469" s="122" t="s">
        <v>253</v>
      </c>
      <c r="AL469" s="122" t="s">
        <v>253</v>
      </c>
      <c r="AM469" s="122" t="s">
        <v>253</v>
      </c>
      <c r="AN469" s="122" t="s">
        <v>253</v>
      </c>
      <c r="AO469" s="141" t="s">
        <v>247</v>
      </c>
      <c r="AP469" s="141" t="s">
        <v>253</v>
      </c>
      <c r="AQ469" s="141" t="s">
        <v>253</v>
      </c>
      <c r="AR469" s="141" t="s">
        <v>247</v>
      </c>
      <c r="AS469" s="141" t="s">
        <v>601</v>
      </c>
      <c r="AT469" s="141" t="s">
        <v>258</v>
      </c>
      <c r="AU469" s="141" t="s">
        <v>601</v>
      </c>
      <c r="AV469" s="122" t="s">
        <v>259</v>
      </c>
      <c r="AW469" s="122" t="s">
        <v>556</v>
      </c>
      <c r="AY469" s="141" t="s">
        <v>253</v>
      </c>
      <c r="AZ469" s="122" t="s">
        <v>10852</v>
      </c>
      <c r="BA469" s="122" t="s">
        <v>262</v>
      </c>
      <c r="BB469" s="122" t="s">
        <v>262</v>
      </c>
      <c r="BC469" s="141" t="s">
        <v>312</v>
      </c>
      <c r="BD469" s="122" t="s">
        <v>253</v>
      </c>
      <c r="BE469" s="122" t="s">
        <v>263</v>
      </c>
      <c r="BF469" s="122" t="s">
        <v>4688</v>
      </c>
      <c r="BH469" s="122" t="s">
        <v>4681</v>
      </c>
      <c r="BI469" s="142">
        <v>139</v>
      </c>
      <c r="BK469" s="139" t="s">
        <v>558</v>
      </c>
    </row>
    <row r="470" spans="1:65" x14ac:dyDescent="0.25">
      <c r="A470" s="122" t="s">
        <v>6059</v>
      </c>
      <c r="B470" s="122" t="s">
        <v>11770</v>
      </c>
      <c r="C470" s="122" t="s">
        <v>10881</v>
      </c>
      <c r="D470" s="122" t="s">
        <v>10882</v>
      </c>
      <c r="E470" s="123">
        <v>42226</v>
      </c>
      <c r="F470" s="122" t="s">
        <v>819</v>
      </c>
      <c r="G470" s="122" t="s">
        <v>235</v>
      </c>
      <c r="H470" s="122" t="s">
        <v>10883</v>
      </c>
      <c r="I470" s="122" t="s">
        <v>10884</v>
      </c>
      <c r="K470" s="122" t="s">
        <v>3419</v>
      </c>
      <c r="L470" s="122" t="s">
        <v>3503</v>
      </c>
      <c r="M470" s="122" t="s">
        <v>3504</v>
      </c>
      <c r="O470" s="141" t="s">
        <v>548</v>
      </c>
      <c r="P470" s="141" t="s">
        <v>10885</v>
      </c>
      <c r="Q470" s="122" t="s">
        <v>3424</v>
      </c>
      <c r="R470" s="142">
        <v>140</v>
      </c>
      <c r="S470" s="122" t="s">
        <v>10886</v>
      </c>
      <c r="U470" s="122" t="s">
        <v>4681</v>
      </c>
      <c r="V470" s="122" t="s">
        <v>351</v>
      </c>
      <c r="W470" s="122" t="s">
        <v>246</v>
      </c>
      <c r="X470" s="122" t="s">
        <v>631</v>
      </c>
      <c r="Y470" s="141" t="s">
        <v>1423</v>
      </c>
      <c r="Z470" s="122" t="s">
        <v>518</v>
      </c>
      <c r="AB470" s="122" t="s">
        <v>250</v>
      </c>
      <c r="AD470" s="122" t="s">
        <v>250</v>
      </c>
      <c r="AE470" s="122" t="s">
        <v>235</v>
      </c>
      <c r="AF470" s="122" t="s">
        <v>10887</v>
      </c>
      <c r="AG470" s="122" t="s">
        <v>253</v>
      </c>
      <c r="AH470" s="122" t="s">
        <v>10888</v>
      </c>
      <c r="AI470" s="122" t="s">
        <v>10889</v>
      </c>
      <c r="AJ470" s="122" t="s">
        <v>10890</v>
      </c>
      <c r="AK470" s="122" t="s">
        <v>9137</v>
      </c>
      <c r="AL470" s="122" t="s">
        <v>253</v>
      </c>
      <c r="AM470" s="122" t="s">
        <v>253</v>
      </c>
      <c r="AN470" s="122" t="s">
        <v>253</v>
      </c>
      <c r="AO470" s="141" t="s">
        <v>247</v>
      </c>
      <c r="AP470" s="141" t="s">
        <v>247</v>
      </c>
      <c r="AQ470" s="141" t="s">
        <v>247</v>
      </c>
      <c r="AR470" s="141" t="s">
        <v>247</v>
      </c>
      <c r="AS470" s="141" t="s">
        <v>601</v>
      </c>
      <c r="AT470" s="141" t="s">
        <v>601</v>
      </c>
      <c r="AU470" s="141" t="s">
        <v>601</v>
      </c>
      <c r="AV470" s="122" t="s">
        <v>259</v>
      </c>
      <c r="AW470" s="122" t="s">
        <v>556</v>
      </c>
      <c r="AY470" s="141" t="s">
        <v>253</v>
      </c>
      <c r="AZ470" s="122" t="s">
        <v>10891</v>
      </c>
      <c r="BA470" s="122" t="s">
        <v>262</v>
      </c>
      <c r="BB470" s="122" t="s">
        <v>262</v>
      </c>
      <c r="BD470" s="122" t="s">
        <v>253</v>
      </c>
      <c r="BE470" s="122" t="s">
        <v>263</v>
      </c>
      <c r="BF470" s="122" t="s">
        <v>4688</v>
      </c>
      <c r="BH470" s="122" t="s">
        <v>4681</v>
      </c>
      <c r="BI470" s="142">
        <v>140</v>
      </c>
      <c r="BK470" s="139" t="s">
        <v>558</v>
      </c>
    </row>
    <row r="471" spans="1:65" x14ac:dyDescent="0.25">
      <c r="A471" s="122" t="s">
        <v>6735</v>
      </c>
      <c r="B471" s="122" t="s">
        <v>11771</v>
      </c>
      <c r="C471" s="122" t="s">
        <v>10905</v>
      </c>
      <c r="D471" s="122" t="s">
        <v>10906</v>
      </c>
      <c r="E471" s="123">
        <v>42226</v>
      </c>
      <c r="F471" s="122" t="s">
        <v>10907</v>
      </c>
      <c r="G471" s="122" t="s">
        <v>235</v>
      </c>
      <c r="H471" s="122" t="s">
        <v>10908</v>
      </c>
      <c r="I471" s="122" t="s">
        <v>10909</v>
      </c>
      <c r="K471" s="122" t="s">
        <v>3419</v>
      </c>
      <c r="L471" s="122" t="s">
        <v>3420</v>
      </c>
      <c r="M471" s="122" t="s">
        <v>3421</v>
      </c>
      <c r="O471" s="141" t="s">
        <v>5420</v>
      </c>
      <c r="P471" s="141" t="s">
        <v>10910</v>
      </c>
      <c r="Q471" s="122" t="s">
        <v>3424</v>
      </c>
      <c r="R471" s="142">
        <v>141</v>
      </c>
      <c r="S471" s="122" t="s">
        <v>10911</v>
      </c>
      <c r="U471" s="122" t="s">
        <v>4681</v>
      </c>
      <c r="W471" s="122" t="s">
        <v>246</v>
      </c>
      <c r="X471" s="122" t="s">
        <v>853</v>
      </c>
      <c r="Y471" s="141" t="s">
        <v>6735</v>
      </c>
      <c r="Z471" s="122" t="s">
        <v>10912</v>
      </c>
      <c r="AA471" s="141" t="s">
        <v>2133</v>
      </c>
      <c r="AB471" s="122" t="s">
        <v>10913</v>
      </c>
      <c r="AC471" s="141" t="s">
        <v>2051</v>
      </c>
      <c r="AD471" s="122" t="s">
        <v>10914</v>
      </c>
      <c r="AE471" s="122" t="s">
        <v>235</v>
      </c>
      <c r="AF471" s="122" t="s">
        <v>10915</v>
      </c>
      <c r="AG471" s="122" t="s">
        <v>537</v>
      </c>
      <c r="AH471" s="122" t="s">
        <v>253</v>
      </c>
      <c r="AI471" s="122" t="s">
        <v>10916</v>
      </c>
      <c r="AJ471" s="122" t="s">
        <v>10917</v>
      </c>
      <c r="AK471" s="122" t="s">
        <v>10918</v>
      </c>
      <c r="AL471" s="122" t="s">
        <v>253</v>
      </c>
      <c r="AM471" s="122" t="s">
        <v>253</v>
      </c>
      <c r="AN471" s="122" t="s">
        <v>253</v>
      </c>
      <c r="AO471" s="141" t="s">
        <v>247</v>
      </c>
      <c r="AP471" s="141" t="s">
        <v>247</v>
      </c>
      <c r="AQ471" s="141" t="s">
        <v>247</v>
      </c>
      <c r="AR471" s="141" t="s">
        <v>247</v>
      </c>
      <c r="AS471" s="141" t="s">
        <v>601</v>
      </c>
      <c r="AT471" s="141" t="s">
        <v>601</v>
      </c>
      <c r="AU471" s="141" t="s">
        <v>601</v>
      </c>
      <c r="AV471" s="122" t="s">
        <v>259</v>
      </c>
      <c r="AW471" s="122" t="s">
        <v>556</v>
      </c>
      <c r="AX471" s="141" t="s">
        <v>790</v>
      </c>
      <c r="AY471" s="141" t="s">
        <v>442</v>
      </c>
      <c r="AZ471" s="122" t="s">
        <v>10919</v>
      </c>
      <c r="BA471" s="122" t="s">
        <v>10920</v>
      </c>
      <c r="BB471" s="122" t="s">
        <v>3956</v>
      </c>
      <c r="BD471" s="122" t="s">
        <v>253</v>
      </c>
      <c r="BE471" s="122" t="s">
        <v>263</v>
      </c>
      <c r="BF471" s="122" t="s">
        <v>4688</v>
      </c>
      <c r="BH471" s="122" t="s">
        <v>4681</v>
      </c>
      <c r="BI471" s="142">
        <v>141</v>
      </c>
      <c r="BK471" s="139" t="s">
        <v>558</v>
      </c>
    </row>
    <row r="472" spans="1:65" x14ac:dyDescent="0.25">
      <c r="A472" s="122" t="s">
        <v>6489</v>
      </c>
      <c r="B472" s="122" t="s">
        <v>11772</v>
      </c>
      <c r="C472" s="122" t="s">
        <v>11773</v>
      </c>
      <c r="D472" s="122" t="s">
        <v>11774</v>
      </c>
      <c r="E472" s="123">
        <v>42226</v>
      </c>
      <c r="F472" s="122" t="s">
        <v>304</v>
      </c>
      <c r="G472" s="122" t="s">
        <v>235</v>
      </c>
      <c r="H472" s="122" t="s">
        <v>11775</v>
      </c>
      <c r="I472" s="122" t="s">
        <v>11776</v>
      </c>
      <c r="K472" s="122" t="s">
        <v>3419</v>
      </c>
      <c r="L472" s="122" t="s">
        <v>3503</v>
      </c>
      <c r="M472" s="122" t="s">
        <v>3421</v>
      </c>
      <c r="O472" s="141" t="s">
        <v>1240</v>
      </c>
      <c r="P472" s="141" t="s">
        <v>11777</v>
      </c>
      <c r="Q472" s="122" t="s">
        <v>3424</v>
      </c>
      <c r="R472" s="142">
        <v>142</v>
      </c>
      <c r="S472" s="122" t="s">
        <v>11778</v>
      </c>
      <c r="U472" s="122" t="s">
        <v>4681</v>
      </c>
      <c r="W472" s="122" t="s">
        <v>246</v>
      </c>
      <c r="X472" s="122" t="s">
        <v>1643</v>
      </c>
      <c r="Z472" s="122" t="s">
        <v>250</v>
      </c>
      <c r="AB472" s="122" t="s">
        <v>250</v>
      </c>
      <c r="AD472" s="122" t="s">
        <v>250</v>
      </c>
      <c r="AE472" s="122" t="s">
        <v>235</v>
      </c>
      <c r="AF472" s="122" t="s">
        <v>11779</v>
      </c>
      <c r="AG472" s="122" t="s">
        <v>253</v>
      </c>
      <c r="AH472" s="122" t="s">
        <v>253</v>
      </c>
      <c r="AI472" s="122" t="s">
        <v>11780</v>
      </c>
      <c r="AJ472" s="122" t="s">
        <v>11781</v>
      </c>
      <c r="AK472" s="122" t="s">
        <v>11782</v>
      </c>
      <c r="AL472" s="122" t="s">
        <v>253</v>
      </c>
      <c r="AM472" s="122" t="s">
        <v>253</v>
      </c>
      <c r="AN472" s="122" t="s">
        <v>253</v>
      </c>
      <c r="AO472" s="141" t="s">
        <v>247</v>
      </c>
      <c r="AP472" s="141" t="s">
        <v>247</v>
      </c>
      <c r="AQ472" s="141" t="s">
        <v>247</v>
      </c>
      <c r="AR472" s="141" t="s">
        <v>247</v>
      </c>
      <c r="AS472" s="141" t="s">
        <v>257</v>
      </c>
      <c r="AT472" s="141" t="s">
        <v>257</v>
      </c>
      <c r="AU472" s="141" t="s">
        <v>601</v>
      </c>
      <c r="AV472" s="122" t="s">
        <v>259</v>
      </c>
      <c r="AW472" s="122" t="s">
        <v>556</v>
      </c>
      <c r="AY472" s="141" t="s">
        <v>253</v>
      </c>
      <c r="AZ472" s="122" t="s">
        <v>11783</v>
      </c>
      <c r="BA472" s="122" t="s">
        <v>262</v>
      </c>
      <c r="BB472" s="122" t="s">
        <v>262</v>
      </c>
      <c r="BD472" s="122" t="s">
        <v>253</v>
      </c>
      <c r="BE472" s="122" t="s">
        <v>263</v>
      </c>
      <c r="BF472" s="122" t="s">
        <v>4688</v>
      </c>
      <c r="BH472" s="122" t="s">
        <v>4681</v>
      </c>
      <c r="BI472" s="142">
        <v>142</v>
      </c>
    </row>
    <row r="473" spans="1:65" x14ac:dyDescent="0.25">
      <c r="A473" s="122" t="s">
        <v>6489</v>
      </c>
      <c r="B473" s="122" t="s">
        <v>11784</v>
      </c>
      <c r="C473" s="122" t="s">
        <v>11112</v>
      </c>
      <c r="D473" s="122" t="s">
        <v>11113</v>
      </c>
      <c r="E473" s="123">
        <v>42226</v>
      </c>
      <c r="F473" s="122" t="s">
        <v>11114</v>
      </c>
      <c r="G473" s="122" t="s">
        <v>235</v>
      </c>
      <c r="H473" s="122" t="s">
        <v>11115</v>
      </c>
      <c r="I473" s="122" t="s">
        <v>11116</v>
      </c>
      <c r="K473" s="122" t="s">
        <v>3419</v>
      </c>
      <c r="L473" s="122" t="s">
        <v>3503</v>
      </c>
      <c r="M473" s="122" t="s">
        <v>3504</v>
      </c>
      <c r="O473" s="141" t="s">
        <v>916</v>
      </c>
      <c r="P473" s="141" t="s">
        <v>11117</v>
      </c>
      <c r="Q473" s="122" t="s">
        <v>3424</v>
      </c>
      <c r="R473" s="142">
        <v>143</v>
      </c>
      <c r="S473" s="122" t="s">
        <v>11118</v>
      </c>
      <c r="U473" s="122" t="s">
        <v>4681</v>
      </c>
      <c r="W473" s="122" t="s">
        <v>246</v>
      </c>
      <c r="X473" s="122" t="s">
        <v>2624</v>
      </c>
      <c r="Y473" s="141" t="s">
        <v>705</v>
      </c>
      <c r="Z473" s="122" t="s">
        <v>11119</v>
      </c>
      <c r="AA473" s="141" t="s">
        <v>2133</v>
      </c>
      <c r="AB473" s="122" t="s">
        <v>11120</v>
      </c>
      <c r="AC473" s="141" t="s">
        <v>1023</v>
      </c>
      <c r="AD473" s="122" t="s">
        <v>11121</v>
      </c>
      <c r="AE473" s="122" t="s">
        <v>235</v>
      </c>
      <c r="AF473" s="122" t="s">
        <v>11122</v>
      </c>
      <c r="AG473" s="122" t="s">
        <v>537</v>
      </c>
      <c r="AH473" s="122" t="s">
        <v>253</v>
      </c>
      <c r="AI473" s="122" t="s">
        <v>11123</v>
      </c>
      <c r="AJ473" s="122" t="s">
        <v>11124</v>
      </c>
      <c r="AK473" s="122" t="s">
        <v>253</v>
      </c>
      <c r="AL473" s="122" t="s">
        <v>253</v>
      </c>
      <c r="AM473" s="122" t="s">
        <v>253</v>
      </c>
      <c r="AN473" s="122" t="s">
        <v>253</v>
      </c>
      <c r="AO473" s="141" t="s">
        <v>247</v>
      </c>
      <c r="AP473" s="141" t="s">
        <v>247</v>
      </c>
      <c r="AQ473" s="141" t="s">
        <v>247</v>
      </c>
      <c r="AR473" s="141" t="s">
        <v>247</v>
      </c>
      <c r="AS473" s="141" t="s">
        <v>601</v>
      </c>
      <c r="AT473" s="141" t="s">
        <v>601</v>
      </c>
      <c r="AU473" s="141" t="s">
        <v>601</v>
      </c>
      <c r="AV473" s="122" t="s">
        <v>259</v>
      </c>
      <c r="AW473" s="122" t="s">
        <v>556</v>
      </c>
      <c r="AY473" s="141" t="s">
        <v>253</v>
      </c>
      <c r="AZ473" s="122" t="s">
        <v>11125</v>
      </c>
      <c r="BA473" s="122" t="s">
        <v>262</v>
      </c>
      <c r="BB473" s="122" t="s">
        <v>11126</v>
      </c>
      <c r="BD473" s="122" t="s">
        <v>253</v>
      </c>
      <c r="BE473" s="122" t="s">
        <v>263</v>
      </c>
      <c r="BF473" s="122" t="s">
        <v>4688</v>
      </c>
      <c r="BH473" s="122" t="s">
        <v>4681</v>
      </c>
      <c r="BI473" s="142">
        <v>143</v>
      </c>
      <c r="BK473" s="139" t="s">
        <v>558</v>
      </c>
    </row>
    <row r="474" spans="1:65" x14ac:dyDescent="0.25">
      <c r="A474" s="122" t="s">
        <v>6489</v>
      </c>
      <c r="B474" s="122" t="s">
        <v>11785</v>
      </c>
      <c r="C474" s="122" t="s">
        <v>11032</v>
      </c>
      <c r="D474" s="122" t="s">
        <v>11033</v>
      </c>
      <c r="E474" s="123">
        <v>42226</v>
      </c>
      <c r="F474" s="122" t="s">
        <v>11034</v>
      </c>
      <c r="G474" s="122" t="s">
        <v>235</v>
      </c>
      <c r="H474" s="122" t="s">
        <v>11035</v>
      </c>
      <c r="I474" s="122" t="s">
        <v>11036</v>
      </c>
      <c r="K474" s="122" t="s">
        <v>5673</v>
      </c>
      <c r="L474" s="122" t="s">
        <v>5674</v>
      </c>
      <c r="M474" s="122" t="s">
        <v>11037</v>
      </c>
      <c r="O474" s="141" t="s">
        <v>665</v>
      </c>
      <c r="P474" s="141" t="s">
        <v>11038</v>
      </c>
      <c r="Q474" s="122" t="s">
        <v>5805</v>
      </c>
      <c r="R474" s="142">
        <v>144</v>
      </c>
      <c r="S474" s="122" t="s">
        <v>11039</v>
      </c>
      <c r="U474" s="122" t="s">
        <v>4681</v>
      </c>
      <c r="W474" s="122" t="s">
        <v>246</v>
      </c>
      <c r="X474" s="122" t="s">
        <v>433</v>
      </c>
      <c r="Y474" s="141" t="s">
        <v>593</v>
      </c>
      <c r="Z474" s="122" t="s">
        <v>11040</v>
      </c>
      <c r="AA474" s="141" t="s">
        <v>304</v>
      </c>
      <c r="AB474" s="122" t="s">
        <v>11041</v>
      </c>
      <c r="AC474" s="141" t="s">
        <v>899</v>
      </c>
      <c r="AD474" s="122" t="s">
        <v>11042</v>
      </c>
      <c r="AE474" s="122" t="s">
        <v>235</v>
      </c>
      <c r="AF474" s="122" t="s">
        <v>11043</v>
      </c>
      <c r="AG474" s="122" t="s">
        <v>537</v>
      </c>
      <c r="AH474" s="122" t="s">
        <v>253</v>
      </c>
      <c r="AI474" s="122" t="s">
        <v>11044</v>
      </c>
      <c r="AJ474" s="122" t="s">
        <v>11045</v>
      </c>
      <c r="AK474" s="122" t="s">
        <v>253</v>
      </c>
      <c r="AL474" s="122" t="s">
        <v>253</v>
      </c>
      <c r="AM474" s="122" t="s">
        <v>253</v>
      </c>
      <c r="AN474" s="122" t="s">
        <v>253</v>
      </c>
      <c r="AO474" s="141" t="s">
        <v>247</v>
      </c>
      <c r="AP474" s="141" t="s">
        <v>247</v>
      </c>
      <c r="AQ474" s="141" t="s">
        <v>253</v>
      </c>
      <c r="AR474" s="141" t="s">
        <v>247</v>
      </c>
      <c r="AS474" s="141" t="s">
        <v>601</v>
      </c>
      <c r="AT474" s="141" t="s">
        <v>258</v>
      </c>
      <c r="AU474" s="141" t="s">
        <v>601</v>
      </c>
      <c r="AV474" s="122" t="s">
        <v>259</v>
      </c>
      <c r="AW474" s="122" t="s">
        <v>556</v>
      </c>
      <c r="AY474" s="141" t="s">
        <v>253</v>
      </c>
      <c r="AZ474" s="122" t="s">
        <v>11046</v>
      </c>
      <c r="BA474" s="122" t="s">
        <v>262</v>
      </c>
      <c r="BB474" s="122" t="s">
        <v>11047</v>
      </c>
      <c r="BD474" s="122" t="s">
        <v>253</v>
      </c>
      <c r="BE474" s="122" t="s">
        <v>263</v>
      </c>
      <c r="BF474" s="122" t="s">
        <v>4688</v>
      </c>
      <c r="BH474" s="122" t="s">
        <v>4681</v>
      </c>
      <c r="BI474" s="142">
        <v>144</v>
      </c>
      <c r="BK474" s="139" t="s">
        <v>558</v>
      </c>
    </row>
    <row r="475" spans="1:65" x14ac:dyDescent="0.25">
      <c r="A475" s="122" t="s">
        <v>6513</v>
      </c>
      <c r="B475" s="122" t="s">
        <v>11786</v>
      </c>
      <c r="C475" s="122" t="s">
        <v>11169</v>
      </c>
      <c r="D475" s="122" t="s">
        <v>11170</v>
      </c>
      <c r="E475" s="123">
        <v>42226</v>
      </c>
      <c r="F475" s="122" t="s">
        <v>2585</v>
      </c>
      <c r="G475" s="122" t="s">
        <v>235</v>
      </c>
      <c r="H475" s="122" t="s">
        <v>448</v>
      </c>
      <c r="I475" s="122" t="s">
        <v>11171</v>
      </c>
      <c r="K475" s="122" t="s">
        <v>5673</v>
      </c>
      <c r="L475" s="122" t="s">
        <v>5674</v>
      </c>
      <c r="M475" s="122" t="s">
        <v>5757</v>
      </c>
      <c r="O475" s="141" t="s">
        <v>548</v>
      </c>
      <c r="P475" s="141" t="s">
        <v>11172</v>
      </c>
      <c r="Q475" s="122" t="s">
        <v>5677</v>
      </c>
      <c r="R475" s="142">
        <v>145</v>
      </c>
      <c r="S475" s="122" t="s">
        <v>11173</v>
      </c>
      <c r="U475" s="122" t="s">
        <v>4681</v>
      </c>
      <c r="W475" s="122" t="s">
        <v>246</v>
      </c>
      <c r="X475" s="122" t="s">
        <v>497</v>
      </c>
      <c r="Y475" s="141" t="s">
        <v>784</v>
      </c>
      <c r="Z475" s="122" t="s">
        <v>11174</v>
      </c>
      <c r="AA475" s="141" t="s">
        <v>1090</v>
      </c>
      <c r="AB475" s="122" t="s">
        <v>11175</v>
      </c>
      <c r="AC475" s="141" t="s">
        <v>1327</v>
      </c>
      <c r="AD475" s="122" t="s">
        <v>11176</v>
      </c>
      <c r="AE475" s="122" t="s">
        <v>235</v>
      </c>
      <c r="AF475" s="122" t="s">
        <v>11177</v>
      </c>
      <c r="AG475" s="122" t="s">
        <v>537</v>
      </c>
      <c r="AH475" s="122" t="s">
        <v>253</v>
      </c>
      <c r="AI475" s="122" t="s">
        <v>11178</v>
      </c>
      <c r="AJ475" s="122" t="s">
        <v>11179</v>
      </c>
      <c r="AK475" s="122" t="s">
        <v>253</v>
      </c>
      <c r="AL475" s="122" t="s">
        <v>253</v>
      </c>
      <c r="AM475" s="122" t="s">
        <v>253</v>
      </c>
      <c r="AN475" s="122" t="s">
        <v>253</v>
      </c>
      <c r="AO475" s="141" t="s">
        <v>247</v>
      </c>
      <c r="AP475" s="141" t="s">
        <v>247</v>
      </c>
      <c r="AQ475" s="141" t="s">
        <v>253</v>
      </c>
      <c r="AR475" s="141" t="s">
        <v>247</v>
      </c>
      <c r="AS475" s="141" t="s">
        <v>601</v>
      </c>
      <c r="AT475" s="141" t="s">
        <v>258</v>
      </c>
      <c r="AU475" s="141" t="s">
        <v>601</v>
      </c>
      <c r="AV475" s="122" t="s">
        <v>259</v>
      </c>
      <c r="AW475" s="122" t="s">
        <v>556</v>
      </c>
      <c r="AY475" s="141" t="s">
        <v>253</v>
      </c>
      <c r="AZ475" s="122" t="s">
        <v>262</v>
      </c>
      <c r="BA475" s="122" t="s">
        <v>262</v>
      </c>
      <c r="BB475" s="122" t="s">
        <v>11180</v>
      </c>
      <c r="BD475" s="122" t="s">
        <v>253</v>
      </c>
      <c r="BE475" s="122" t="s">
        <v>263</v>
      </c>
      <c r="BF475" s="122" t="s">
        <v>4688</v>
      </c>
      <c r="BH475" s="122" t="s">
        <v>4681</v>
      </c>
      <c r="BI475" s="142">
        <v>145</v>
      </c>
      <c r="BK475" s="139" t="s">
        <v>558</v>
      </c>
    </row>
    <row r="476" spans="1:65" x14ac:dyDescent="0.25">
      <c r="A476" s="122" t="s">
        <v>6513</v>
      </c>
      <c r="B476" s="122" t="s">
        <v>11787</v>
      </c>
      <c r="C476" s="122" t="s">
        <v>11193</v>
      </c>
      <c r="D476" s="122" t="s">
        <v>11194</v>
      </c>
      <c r="E476" s="123">
        <v>42226</v>
      </c>
      <c r="F476" s="122" t="s">
        <v>511</v>
      </c>
      <c r="G476" s="122" t="s">
        <v>235</v>
      </c>
      <c r="H476" s="122" t="s">
        <v>11195</v>
      </c>
      <c r="I476" s="122" t="s">
        <v>11196</v>
      </c>
      <c r="K476" s="122" t="s">
        <v>3419</v>
      </c>
      <c r="L476" s="122" t="s">
        <v>3420</v>
      </c>
      <c r="M476" s="122" t="s">
        <v>3421</v>
      </c>
      <c r="O476" s="141" t="s">
        <v>451</v>
      </c>
      <c r="P476" s="141" t="s">
        <v>11197</v>
      </c>
      <c r="Q476" s="122" t="s">
        <v>3424</v>
      </c>
      <c r="R476" s="142">
        <v>146</v>
      </c>
      <c r="S476" s="122" t="s">
        <v>11198</v>
      </c>
      <c r="U476" s="122" t="s">
        <v>4681</v>
      </c>
      <c r="W476" s="122" t="s">
        <v>246</v>
      </c>
      <c r="X476" s="122" t="s">
        <v>1121</v>
      </c>
      <c r="Y476" s="141" t="s">
        <v>2133</v>
      </c>
      <c r="Z476" s="122" t="s">
        <v>11199</v>
      </c>
      <c r="AA476" s="141" t="s">
        <v>3344</v>
      </c>
      <c r="AB476" s="122" t="s">
        <v>11200</v>
      </c>
      <c r="AC476" s="141" t="s">
        <v>1916</v>
      </c>
      <c r="AD476" s="122" t="s">
        <v>249</v>
      </c>
      <c r="AE476" s="122" t="s">
        <v>235</v>
      </c>
      <c r="AF476" s="122" t="s">
        <v>11201</v>
      </c>
      <c r="AG476" s="122" t="s">
        <v>537</v>
      </c>
      <c r="AH476" s="122" t="s">
        <v>253</v>
      </c>
      <c r="AI476" s="122" t="s">
        <v>11202</v>
      </c>
      <c r="AJ476" s="122" t="s">
        <v>11203</v>
      </c>
      <c r="AK476" s="122" t="s">
        <v>253</v>
      </c>
      <c r="AL476" s="122" t="s">
        <v>253</v>
      </c>
      <c r="AM476" s="122" t="s">
        <v>253</v>
      </c>
      <c r="AN476" s="122" t="s">
        <v>253</v>
      </c>
      <c r="AO476" s="141" t="s">
        <v>247</v>
      </c>
      <c r="AP476" s="141" t="s">
        <v>247</v>
      </c>
      <c r="AQ476" s="141" t="s">
        <v>247</v>
      </c>
      <c r="AR476" s="141" t="s">
        <v>247</v>
      </c>
      <c r="AS476" s="141" t="s">
        <v>601</v>
      </c>
      <c r="AT476" s="141" t="s">
        <v>601</v>
      </c>
      <c r="AU476" s="141" t="s">
        <v>601</v>
      </c>
      <c r="AV476" s="122" t="s">
        <v>259</v>
      </c>
      <c r="AW476" s="122" t="s">
        <v>556</v>
      </c>
      <c r="AX476" s="141" t="s">
        <v>11204</v>
      </c>
      <c r="AY476" s="141" t="s">
        <v>260</v>
      </c>
      <c r="AZ476" s="122" t="s">
        <v>11205</v>
      </c>
      <c r="BA476" s="122" t="s">
        <v>262</v>
      </c>
      <c r="BB476" s="122" t="s">
        <v>262</v>
      </c>
      <c r="BD476" s="122" t="s">
        <v>253</v>
      </c>
      <c r="BE476" s="122" t="s">
        <v>263</v>
      </c>
      <c r="BF476" s="122" t="s">
        <v>4688</v>
      </c>
      <c r="BH476" s="122" t="s">
        <v>4681</v>
      </c>
      <c r="BI476" s="142">
        <v>146</v>
      </c>
      <c r="BK476" s="139" t="s">
        <v>558</v>
      </c>
    </row>
    <row r="477" spans="1:65" x14ac:dyDescent="0.25">
      <c r="A477" s="122" t="s">
        <v>6513</v>
      </c>
      <c r="B477" s="122" t="s">
        <v>11788</v>
      </c>
      <c r="C477" s="122" t="s">
        <v>11207</v>
      </c>
      <c r="D477" s="122" t="s">
        <v>11208</v>
      </c>
      <c r="E477" s="123">
        <v>42226</v>
      </c>
      <c r="F477" s="122" t="s">
        <v>11209</v>
      </c>
      <c r="G477" s="122" t="s">
        <v>235</v>
      </c>
      <c r="H477" s="122" t="s">
        <v>11210</v>
      </c>
      <c r="I477" s="122" t="s">
        <v>11211</v>
      </c>
      <c r="K477" s="122" t="s">
        <v>5800</v>
      </c>
      <c r="L477" s="122" t="s">
        <v>5801</v>
      </c>
      <c r="M477" s="122" t="s">
        <v>6146</v>
      </c>
      <c r="O477" s="141" t="s">
        <v>11212</v>
      </c>
      <c r="P477" s="141" t="s">
        <v>11213</v>
      </c>
      <c r="Q477" s="122" t="s">
        <v>5805</v>
      </c>
      <c r="R477" s="142">
        <v>147</v>
      </c>
      <c r="S477" s="122" t="s">
        <v>11214</v>
      </c>
      <c r="U477" s="122" t="s">
        <v>4681</v>
      </c>
      <c r="W477" s="122" t="s">
        <v>246</v>
      </c>
      <c r="X477" s="122" t="s">
        <v>551</v>
      </c>
      <c r="Y477" s="141" t="s">
        <v>593</v>
      </c>
      <c r="Z477" s="122" t="s">
        <v>11215</v>
      </c>
      <c r="AA477" s="141" t="s">
        <v>722</v>
      </c>
      <c r="AB477" s="122" t="s">
        <v>1792</v>
      </c>
      <c r="AC477" s="141" t="s">
        <v>1423</v>
      </c>
      <c r="AD477" s="122" t="s">
        <v>800</v>
      </c>
      <c r="AE477" s="122" t="s">
        <v>235</v>
      </c>
      <c r="AF477" s="122" t="s">
        <v>11216</v>
      </c>
      <c r="AG477" s="122" t="s">
        <v>537</v>
      </c>
      <c r="AH477" s="122" t="s">
        <v>253</v>
      </c>
      <c r="AI477" s="122" t="s">
        <v>11217</v>
      </c>
      <c r="AJ477" s="122" t="s">
        <v>11218</v>
      </c>
      <c r="AK477" s="122" t="s">
        <v>253</v>
      </c>
      <c r="AL477" s="122" t="s">
        <v>11219</v>
      </c>
      <c r="AM477" s="122" t="s">
        <v>253</v>
      </c>
      <c r="AN477" s="122" t="s">
        <v>253</v>
      </c>
      <c r="AO477" s="141" t="s">
        <v>247</v>
      </c>
      <c r="AP477" s="141" t="s">
        <v>247</v>
      </c>
      <c r="AQ477" s="141" t="s">
        <v>247</v>
      </c>
      <c r="AR477" s="141" t="s">
        <v>247</v>
      </c>
      <c r="AS477" s="141" t="s">
        <v>601</v>
      </c>
      <c r="AT477" s="141" t="s">
        <v>601</v>
      </c>
      <c r="AU477" s="141" t="s">
        <v>601</v>
      </c>
      <c r="AV477" s="122" t="s">
        <v>259</v>
      </c>
      <c r="AW477" s="122" t="s">
        <v>556</v>
      </c>
      <c r="AX477" s="141" t="s">
        <v>2029</v>
      </c>
      <c r="AY477" s="141" t="s">
        <v>247</v>
      </c>
      <c r="AZ477" s="122" t="s">
        <v>11220</v>
      </c>
      <c r="BA477" s="122" t="s">
        <v>11221</v>
      </c>
      <c r="BB477" s="122" t="s">
        <v>262</v>
      </c>
      <c r="BC477" s="141" t="s">
        <v>312</v>
      </c>
      <c r="BD477" s="122" t="s">
        <v>253</v>
      </c>
      <c r="BE477" s="122" t="s">
        <v>263</v>
      </c>
      <c r="BF477" s="122" t="s">
        <v>4688</v>
      </c>
      <c r="BH477" s="122" t="s">
        <v>4681</v>
      </c>
      <c r="BI477" s="142">
        <v>147</v>
      </c>
      <c r="BK477" s="139" t="s">
        <v>558</v>
      </c>
    </row>
    <row r="478" spans="1:65" x14ac:dyDescent="0.25">
      <c r="A478" s="122" t="s">
        <v>6513</v>
      </c>
      <c r="B478" s="122" t="s">
        <v>11789</v>
      </c>
      <c r="C478" s="122" t="s">
        <v>11223</v>
      </c>
      <c r="D478" s="122" t="s">
        <v>11224</v>
      </c>
      <c r="E478" s="123">
        <v>42226</v>
      </c>
      <c r="F478" s="122" t="s">
        <v>4768</v>
      </c>
      <c r="G478" s="122" t="s">
        <v>235</v>
      </c>
      <c r="H478" s="122" t="s">
        <v>11225</v>
      </c>
      <c r="I478" s="122" t="s">
        <v>11226</v>
      </c>
      <c r="K478" s="122" t="s">
        <v>5800</v>
      </c>
      <c r="L478" s="122" t="s">
        <v>5801</v>
      </c>
      <c r="M478" s="122" t="s">
        <v>5802</v>
      </c>
      <c r="O478" s="141" t="s">
        <v>1240</v>
      </c>
      <c r="P478" s="141" t="s">
        <v>11227</v>
      </c>
      <c r="Q478" s="122" t="s">
        <v>5805</v>
      </c>
      <c r="R478" s="142">
        <v>148</v>
      </c>
      <c r="S478" s="122" t="s">
        <v>11228</v>
      </c>
      <c r="U478" s="122" t="s">
        <v>4681</v>
      </c>
      <c r="W478" s="122" t="s">
        <v>246</v>
      </c>
      <c r="X478" s="122" t="s">
        <v>497</v>
      </c>
      <c r="Y478" s="141" t="s">
        <v>378</v>
      </c>
      <c r="Z478" s="122" t="s">
        <v>11229</v>
      </c>
      <c r="AB478" s="122" t="s">
        <v>250</v>
      </c>
      <c r="AD478" s="122" t="s">
        <v>250</v>
      </c>
      <c r="AE478" s="122" t="s">
        <v>235</v>
      </c>
      <c r="AF478" s="122" t="s">
        <v>11230</v>
      </c>
      <c r="AG478" s="122" t="s">
        <v>537</v>
      </c>
      <c r="AH478" s="122" t="s">
        <v>253</v>
      </c>
      <c r="AI478" s="122" t="s">
        <v>11231</v>
      </c>
      <c r="AJ478" s="122" t="s">
        <v>11232</v>
      </c>
      <c r="AK478" s="122" t="s">
        <v>253</v>
      </c>
      <c r="AL478" s="122" t="s">
        <v>253</v>
      </c>
      <c r="AM478" s="122" t="s">
        <v>253</v>
      </c>
      <c r="AN478" s="122" t="s">
        <v>253</v>
      </c>
      <c r="AO478" s="141" t="s">
        <v>247</v>
      </c>
      <c r="AP478" s="141" t="s">
        <v>247</v>
      </c>
      <c r="AQ478" s="141" t="s">
        <v>247</v>
      </c>
      <c r="AR478" s="141" t="s">
        <v>247</v>
      </c>
      <c r="AS478" s="141" t="s">
        <v>601</v>
      </c>
      <c r="AT478" s="141" t="s">
        <v>601</v>
      </c>
      <c r="AU478" s="141" t="s">
        <v>601</v>
      </c>
      <c r="AV478" s="122" t="s">
        <v>259</v>
      </c>
      <c r="AW478" s="122" t="s">
        <v>556</v>
      </c>
      <c r="AY478" s="141" t="s">
        <v>253</v>
      </c>
      <c r="AZ478" s="122" t="s">
        <v>11233</v>
      </c>
      <c r="BA478" s="122" t="s">
        <v>262</v>
      </c>
      <c r="BB478" s="122" t="s">
        <v>262</v>
      </c>
      <c r="BD478" s="122" t="s">
        <v>253</v>
      </c>
      <c r="BE478" s="122" t="s">
        <v>263</v>
      </c>
      <c r="BF478" s="122" t="s">
        <v>4688</v>
      </c>
      <c r="BH478" s="122" t="s">
        <v>4681</v>
      </c>
      <c r="BI478" s="142">
        <v>148</v>
      </c>
      <c r="BK478" s="139" t="s">
        <v>558</v>
      </c>
    </row>
    <row r="479" spans="1:65" x14ac:dyDescent="0.25">
      <c r="A479" s="122" t="s">
        <v>6513</v>
      </c>
      <c r="B479" s="122" t="s">
        <v>11790</v>
      </c>
      <c r="C479" s="122" t="s">
        <v>11791</v>
      </c>
      <c r="D479" s="122" t="s">
        <v>11792</v>
      </c>
      <c r="E479" s="123">
        <v>42226</v>
      </c>
      <c r="F479" s="122" t="s">
        <v>11793</v>
      </c>
      <c r="G479" s="122" t="s">
        <v>235</v>
      </c>
      <c r="H479" s="122" t="s">
        <v>11794</v>
      </c>
      <c r="I479" s="122" t="s">
        <v>11795</v>
      </c>
      <c r="K479" s="122" t="s">
        <v>3419</v>
      </c>
      <c r="L479" s="122" t="s">
        <v>3503</v>
      </c>
      <c r="M479" s="122" t="s">
        <v>3504</v>
      </c>
      <c r="O479" s="141" t="s">
        <v>1921</v>
      </c>
      <c r="P479" s="141" t="s">
        <v>11796</v>
      </c>
      <c r="Q479" s="122" t="s">
        <v>3424</v>
      </c>
      <c r="R479" s="142">
        <v>149</v>
      </c>
      <c r="S479" s="122" t="s">
        <v>11797</v>
      </c>
      <c r="U479" s="122" t="s">
        <v>4681</v>
      </c>
      <c r="W479" s="122" t="s">
        <v>246</v>
      </c>
      <c r="X479" s="122" t="s">
        <v>454</v>
      </c>
      <c r="Y479" s="141" t="s">
        <v>404</v>
      </c>
      <c r="Z479" s="122" t="s">
        <v>11798</v>
      </c>
      <c r="AA479" s="141" t="s">
        <v>956</v>
      </c>
      <c r="AB479" s="122" t="s">
        <v>11799</v>
      </c>
      <c r="AC479" s="141" t="s">
        <v>500</v>
      </c>
      <c r="AD479" s="122" t="s">
        <v>355</v>
      </c>
      <c r="AE479" s="122" t="s">
        <v>235</v>
      </c>
      <c r="AF479" s="122" t="s">
        <v>11800</v>
      </c>
      <c r="AG479" s="122" t="s">
        <v>537</v>
      </c>
      <c r="AH479" s="122" t="s">
        <v>253</v>
      </c>
      <c r="AI479" s="122" t="s">
        <v>11801</v>
      </c>
      <c r="AJ479" s="122" t="s">
        <v>11802</v>
      </c>
      <c r="AK479" s="122" t="s">
        <v>253</v>
      </c>
      <c r="AL479" s="122" t="s">
        <v>253</v>
      </c>
      <c r="AM479" s="122" t="s">
        <v>253</v>
      </c>
      <c r="AN479" s="122" t="s">
        <v>253</v>
      </c>
      <c r="AO479" s="141" t="s">
        <v>253</v>
      </c>
      <c r="AP479" s="141" t="s">
        <v>253</v>
      </c>
      <c r="AQ479" s="141" t="s">
        <v>253</v>
      </c>
      <c r="AR479" s="141" t="s">
        <v>247</v>
      </c>
      <c r="AS479" s="141" t="s">
        <v>361</v>
      </c>
      <c r="AT479" s="141" t="s">
        <v>258</v>
      </c>
      <c r="AU479" s="141" t="s">
        <v>601</v>
      </c>
      <c r="AV479" s="122" t="s">
        <v>259</v>
      </c>
      <c r="AW479" s="122" t="s">
        <v>556</v>
      </c>
      <c r="AY479" s="141" t="s">
        <v>253</v>
      </c>
      <c r="AZ479" s="122" t="s">
        <v>11803</v>
      </c>
      <c r="BA479" s="122" t="s">
        <v>262</v>
      </c>
      <c r="BB479" s="122" t="s">
        <v>262</v>
      </c>
      <c r="BC479" s="141" t="s">
        <v>312</v>
      </c>
      <c r="BD479" s="122" t="s">
        <v>253</v>
      </c>
      <c r="BE479" s="122" t="s">
        <v>263</v>
      </c>
      <c r="BF479" s="122" t="s">
        <v>4688</v>
      </c>
      <c r="BH479" s="122" t="s">
        <v>4681</v>
      </c>
      <c r="BI479" s="142">
        <v>149</v>
      </c>
      <c r="BJ479" s="123">
        <v>42239</v>
      </c>
      <c r="BK479" s="139" t="s">
        <v>606</v>
      </c>
      <c r="BM479" s="122">
        <v>34</v>
      </c>
    </row>
    <row r="480" spans="1:65" x14ac:dyDescent="0.25">
      <c r="A480" s="122" t="s">
        <v>6513</v>
      </c>
      <c r="B480" s="122" t="s">
        <v>11804</v>
      </c>
      <c r="C480" s="122" t="s">
        <v>11244</v>
      </c>
      <c r="D480" s="122" t="s">
        <v>11245</v>
      </c>
      <c r="E480" s="123">
        <v>42226</v>
      </c>
      <c r="F480" s="122" t="s">
        <v>478</v>
      </c>
      <c r="G480" s="122" t="s">
        <v>235</v>
      </c>
      <c r="H480" s="122" t="s">
        <v>11246</v>
      </c>
      <c r="I480" s="122" t="s">
        <v>11247</v>
      </c>
      <c r="K480" s="122" t="s">
        <v>5800</v>
      </c>
      <c r="L480" s="122" t="s">
        <v>5801</v>
      </c>
      <c r="M480" s="122" t="s">
        <v>5802</v>
      </c>
      <c r="O480" s="141" t="s">
        <v>451</v>
      </c>
      <c r="P480" s="141" t="s">
        <v>11248</v>
      </c>
      <c r="Q480" s="122" t="s">
        <v>5805</v>
      </c>
      <c r="R480" s="142">
        <v>150</v>
      </c>
      <c r="S480" s="122" t="s">
        <v>11249</v>
      </c>
      <c r="U480" s="122" t="s">
        <v>4681</v>
      </c>
      <c r="W480" s="122" t="s">
        <v>246</v>
      </c>
      <c r="X480" s="122" t="s">
        <v>497</v>
      </c>
      <c r="Y480" s="141" t="s">
        <v>1421</v>
      </c>
      <c r="Z480" s="122" t="s">
        <v>571</v>
      </c>
      <c r="AB480" s="122" t="s">
        <v>250</v>
      </c>
      <c r="AD480" s="122" t="s">
        <v>250</v>
      </c>
      <c r="AE480" s="122" t="s">
        <v>235</v>
      </c>
      <c r="AF480" s="122" t="s">
        <v>11250</v>
      </c>
      <c r="AG480" s="122" t="s">
        <v>11082</v>
      </c>
      <c r="AH480" s="122" t="s">
        <v>253</v>
      </c>
      <c r="AI480" s="122" t="s">
        <v>11251</v>
      </c>
      <c r="AJ480" s="122" t="s">
        <v>11252</v>
      </c>
      <c r="AK480" s="122" t="s">
        <v>253</v>
      </c>
      <c r="AL480" s="122" t="s">
        <v>253</v>
      </c>
      <c r="AM480" s="122" t="s">
        <v>253</v>
      </c>
      <c r="AN480" s="122" t="s">
        <v>253</v>
      </c>
      <c r="AO480" s="141" t="s">
        <v>247</v>
      </c>
      <c r="AP480" s="141" t="s">
        <v>247</v>
      </c>
      <c r="AQ480" s="141" t="s">
        <v>247</v>
      </c>
      <c r="AR480" s="141" t="s">
        <v>247</v>
      </c>
      <c r="AS480" s="141" t="s">
        <v>601</v>
      </c>
      <c r="AT480" s="141" t="s">
        <v>601</v>
      </c>
      <c r="AU480" s="141" t="s">
        <v>601</v>
      </c>
      <c r="AV480" s="122" t="s">
        <v>259</v>
      </c>
      <c r="AW480" s="122" t="s">
        <v>556</v>
      </c>
      <c r="AY480" s="141" t="s">
        <v>253</v>
      </c>
      <c r="AZ480" s="122" t="s">
        <v>11253</v>
      </c>
      <c r="BA480" s="122" t="s">
        <v>262</v>
      </c>
      <c r="BB480" s="122" t="s">
        <v>262</v>
      </c>
      <c r="BD480" s="122" t="s">
        <v>253</v>
      </c>
      <c r="BE480" s="122" t="s">
        <v>263</v>
      </c>
      <c r="BF480" s="122" t="s">
        <v>4688</v>
      </c>
      <c r="BH480" s="122" t="s">
        <v>4681</v>
      </c>
      <c r="BI480" s="142">
        <v>150</v>
      </c>
      <c r="BK480" s="139" t="s">
        <v>558</v>
      </c>
    </row>
    <row r="481" spans="1:64" x14ac:dyDescent="0.25">
      <c r="A481" s="122" t="s">
        <v>352</v>
      </c>
      <c r="B481" s="122" t="s">
        <v>11805</v>
      </c>
      <c r="C481" s="122" t="s">
        <v>11268</v>
      </c>
      <c r="D481" s="122" t="s">
        <v>11269</v>
      </c>
      <c r="E481" s="123">
        <v>42226</v>
      </c>
      <c r="F481" s="122" t="s">
        <v>248</v>
      </c>
      <c r="G481" s="122" t="s">
        <v>235</v>
      </c>
      <c r="H481" s="122" t="s">
        <v>11270</v>
      </c>
      <c r="I481" s="122" t="s">
        <v>11271</v>
      </c>
      <c r="K481" s="122" t="s">
        <v>3419</v>
      </c>
      <c r="L481" s="122" t="s">
        <v>3420</v>
      </c>
      <c r="M481" s="122" t="s">
        <v>3421</v>
      </c>
      <c r="O481" s="141" t="s">
        <v>566</v>
      </c>
      <c r="P481" s="141" t="s">
        <v>11272</v>
      </c>
      <c r="Q481" s="122" t="s">
        <v>3424</v>
      </c>
      <c r="R481" s="142">
        <v>151</v>
      </c>
      <c r="S481" s="122" t="s">
        <v>11273</v>
      </c>
      <c r="U481" s="122" t="s">
        <v>4681</v>
      </c>
      <c r="W481" s="122" t="s">
        <v>246</v>
      </c>
      <c r="X481" s="122" t="s">
        <v>590</v>
      </c>
      <c r="Z481" s="122" t="s">
        <v>250</v>
      </c>
      <c r="AB481" s="122" t="s">
        <v>250</v>
      </c>
      <c r="AD481" s="122" t="s">
        <v>250</v>
      </c>
      <c r="AE481" s="122" t="s">
        <v>235</v>
      </c>
      <c r="AF481" s="122" t="s">
        <v>11274</v>
      </c>
      <c r="AG481" s="122" t="s">
        <v>11275</v>
      </c>
      <c r="AH481" s="122" t="s">
        <v>253</v>
      </c>
      <c r="AI481" s="122" t="s">
        <v>11276</v>
      </c>
      <c r="AJ481" s="122" t="s">
        <v>11179</v>
      </c>
      <c r="AK481" s="122" t="s">
        <v>253</v>
      </c>
      <c r="AL481" s="122" t="s">
        <v>253</v>
      </c>
      <c r="AM481" s="122" t="s">
        <v>253</v>
      </c>
      <c r="AN481" s="122" t="s">
        <v>253</v>
      </c>
      <c r="AO481" s="141" t="s">
        <v>247</v>
      </c>
      <c r="AP481" s="141" t="s">
        <v>247</v>
      </c>
      <c r="AQ481" s="141" t="s">
        <v>247</v>
      </c>
      <c r="AR481" s="141" t="s">
        <v>247</v>
      </c>
      <c r="AS481" s="141" t="s">
        <v>601</v>
      </c>
      <c r="AT481" s="141" t="s">
        <v>601</v>
      </c>
      <c r="AU481" s="141" t="s">
        <v>601</v>
      </c>
      <c r="AV481" s="122" t="s">
        <v>259</v>
      </c>
      <c r="AW481" s="122" t="s">
        <v>556</v>
      </c>
      <c r="AY481" s="141" t="s">
        <v>253</v>
      </c>
      <c r="AZ481" s="122" t="s">
        <v>11277</v>
      </c>
      <c r="BA481" s="122" t="s">
        <v>262</v>
      </c>
      <c r="BB481" s="122" t="s">
        <v>262</v>
      </c>
      <c r="BD481" s="122" t="s">
        <v>253</v>
      </c>
      <c r="BE481" s="122" t="s">
        <v>263</v>
      </c>
      <c r="BF481" s="122" t="s">
        <v>4688</v>
      </c>
      <c r="BH481" s="122" t="s">
        <v>4681</v>
      </c>
      <c r="BI481" s="142">
        <v>151</v>
      </c>
      <c r="BK481" s="139" t="s">
        <v>558</v>
      </c>
    </row>
    <row r="482" spans="1:64" x14ac:dyDescent="0.25">
      <c r="BJ482" s="122"/>
      <c r="BK482" s="122"/>
      <c r="BL482" s="122"/>
    </row>
    <row r="483" spans="1:64" x14ac:dyDescent="0.25">
      <c r="BJ483" s="122"/>
      <c r="BK483" s="122"/>
      <c r="BL483" s="122"/>
    </row>
    <row r="484" spans="1:64" x14ac:dyDescent="0.25">
      <c r="BJ484" s="122"/>
      <c r="BK484" s="122"/>
      <c r="BL484" s="122"/>
    </row>
    <row r="485" spans="1:64" x14ac:dyDescent="0.25">
      <c r="BJ485" s="122"/>
      <c r="BK485" s="122"/>
      <c r="BL485" s="122"/>
    </row>
    <row r="486" spans="1:64" x14ac:dyDescent="0.25">
      <c r="BJ486" s="122"/>
      <c r="BK486" s="122"/>
      <c r="BL486" s="122"/>
    </row>
    <row r="487" spans="1:64" x14ac:dyDescent="0.25">
      <c r="BJ487" s="122"/>
      <c r="BK487" s="122"/>
      <c r="BL487" s="122"/>
    </row>
    <row r="488" spans="1:64" x14ac:dyDescent="0.25">
      <c r="BJ488" s="122"/>
      <c r="BK488" s="122"/>
      <c r="BL488" s="122"/>
    </row>
    <row r="489" spans="1:64" x14ac:dyDescent="0.25">
      <c r="BJ489" s="122"/>
      <c r="BK489" s="122"/>
      <c r="BL489" s="122"/>
    </row>
    <row r="490" spans="1:64" x14ac:dyDescent="0.25">
      <c r="BJ490" s="122"/>
      <c r="BK490" s="122"/>
      <c r="BL490" s="122"/>
    </row>
    <row r="491" spans="1:64" x14ac:dyDescent="0.25">
      <c r="BJ491" s="122"/>
      <c r="BK491" s="122"/>
      <c r="BL491" s="122"/>
    </row>
    <row r="492" spans="1:64" x14ac:dyDescent="0.25">
      <c r="BJ492" s="122"/>
      <c r="BK492" s="122"/>
      <c r="BL492" s="122"/>
    </row>
    <row r="493" spans="1:64" x14ac:dyDescent="0.25">
      <c r="BJ493" s="122"/>
      <c r="BK493" s="122"/>
      <c r="BL493" s="122"/>
    </row>
    <row r="494" spans="1:64" x14ac:dyDescent="0.25">
      <c r="BJ494" s="122"/>
      <c r="BK494" s="122"/>
      <c r="BL494" s="122"/>
    </row>
    <row r="495" spans="1:64" x14ac:dyDescent="0.25">
      <c r="BJ495" s="122"/>
      <c r="BK495" s="122"/>
      <c r="BL495" s="122"/>
    </row>
    <row r="496" spans="1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pans="62:64" x14ac:dyDescent="0.25">
      <c r="BJ1281" s="122"/>
      <c r="BK1281" s="122"/>
      <c r="BL1281" s="122"/>
    </row>
    <row r="1282" spans="62:64" x14ac:dyDescent="0.25">
      <c r="BJ1282" s="122"/>
      <c r="BK1282" s="122"/>
      <c r="BL1282" s="122"/>
    </row>
    <row r="1283" spans="62:64" x14ac:dyDescent="0.25">
      <c r="BJ1283" s="122"/>
      <c r="BK1283" s="122"/>
      <c r="BL1283" s="122"/>
    </row>
    <row r="1284" spans="62:64" x14ac:dyDescent="0.25">
      <c r="BJ1284" s="122"/>
      <c r="BK1284" s="122"/>
      <c r="BL1284" s="122"/>
    </row>
    <row r="1285" spans="62:64" x14ac:dyDescent="0.25">
      <c r="BJ1285" s="122"/>
      <c r="BK1285" s="122"/>
      <c r="BL1285" s="122"/>
    </row>
    <row r="1286" spans="62:64" x14ac:dyDescent="0.25">
      <c r="BJ1286" s="122"/>
      <c r="BK1286" s="122"/>
      <c r="BL1286" s="122"/>
    </row>
    <row r="1287" spans="62:64" x14ac:dyDescent="0.25">
      <c r="BJ1287" s="122"/>
      <c r="BK1287" s="122"/>
      <c r="BL1287" s="122"/>
    </row>
    <row r="1288" spans="62:64" x14ac:dyDescent="0.25">
      <c r="BJ1288" s="122"/>
      <c r="BK1288" s="122"/>
      <c r="BL1288" s="122"/>
    </row>
    <row r="1289" spans="62:64" x14ac:dyDescent="0.25">
      <c r="BJ1289" s="122"/>
      <c r="BK1289" s="122"/>
      <c r="BL1289" s="122"/>
    </row>
    <row r="1297" spans="62:64" x14ac:dyDescent="0.25">
      <c r="BJ1297" s="122"/>
      <c r="BK1297" s="122"/>
      <c r="BL1297" s="122"/>
    </row>
    <row r="1298" spans="62:64" x14ac:dyDescent="0.25">
      <c r="BJ1298" s="122"/>
      <c r="BK1298" s="122"/>
      <c r="BL1298" s="122"/>
    </row>
    <row r="1299" spans="62:64" x14ac:dyDescent="0.25">
      <c r="BJ1299" s="122"/>
      <c r="BK1299" s="122"/>
      <c r="BL1299" s="122"/>
    </row>
    <row r="1300" spans="62:64" x14ac:dyDescent="0.25">
      <c r="BJ1300" s="122"/>
      <c r="BK1300" s="122"/>
      <c r="BL1300" s="122"/>
    </row>
    <row r="1301" spans="62:64" x14ac:dyDescent="0.25">
      <c r="BJ1301" s="122"/>
      <c r="BK1301" s="122"/>
      <c r="BL1301" s="12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N1284"/>
  <sheetViews>
    <sheetView workbookViewId="0">
      <selection activeCell="BG1" sqref="BG1"/>
    </sheetView>
  </sheetViews>
  <sheetFormatPr defaultRowHeight="15" x14ac:dyDescent="0.25"/>
  <cols>
    <col min="1" max="1" width="10.5703125" style="122" bestFit="1" customWidth="1"/>
    <col min="2" max="2" width="18" style="122" bestFit="1" customWidth="1"/>
    <col min="3" max="3" width="14.85546875" style="122" bestFit="1" customWidth="1"/>
    <col min="4" max="4" width="20.7109375" style="122" bestFit="1" customWidth="1"/>
    <col min="5" max="5" width="12.7109375" style="122" bestFit="1" customWidth="1"/>
    <col min="6" max="8" width="0" style="122" hidden="1" customWidth="1"/>
    <col min="9" max="9" width="26.140625" style="122" bestFit="1" customWidth="1"/>
    <col min="10" max="15" width="0" style="122" hidden="1" customWidth="1"/>
    <col min="16" max="16" width="25.42578125" style="122" hidden="1" customWidth="1"/>
    <col min="17" max="57" width="0" style="122" hidden="1" customWidth="1"/>
    <col min="58" max="61" width="9.140625" style="122"/>
    <col min="62" max="62" width="9.5703125" style="123" bestFit="1" customWidth="1"/>
    <col min="63" max="63" width="9.140625" style="139"/>
    <col min="64" max="64" width="9.140625" style="140"/>
    <col min="65" max="16384" width="9.140625" style="122"/>
  </cols>
  <sheetData>
    <row r="1" spans="1:66" x14ac:dyDescent="0.25">
      <c r="A1" s="122" t="s">
        <v>166</v>
      </c>
      <c r="B1" s="122" t="s">
        <v>167</v>
      </c>
      <c r="C1" s="122" t="s">
        <v>168</v>
      </c>
      <c r="D1" s="122" t="s">
        <v>169</v>
      </c>
      <c r="E1" s="122" t="s">
        <v>170</v>
      </c>
      <c r="F1" s="122" t="s">
        <v>171</v>
      </c>
      <c r="G1" s="122" t="s">
        <v>172</v>
      </c>
      <c r="H1" s="122" t="s">
        <v>173</v>
      </c>
      <c r="I1" s="122" t="s">
        <v>174</v>
      </c>
      <c r="J1" s="122" t="s">
        <v>175</v>
      </c>
      <c r="K1" s="122" t="s">
        <v>176</v>
      </c>
      <c r="L1" s="122" t="s">
        <v>177</v>
      </c>
      <c r="M1" s="122" t="s">
        <v>178</v>
      </c>
      <c r="N1" s="122" t="s">
        <v>179</v>
      </c>
      <c r="O1" s="122" t="s">
        <v>180</v>
      </c>
      <c r="P1" s="122" t="s">
        <v>181</v>
      </c>
      <c r="Q1" s="122" t="s">
        <v>182</v>
      </c>
      <c r="R1" s="122" t="s">
        <v>183</v>
      </c>
      <c r="S1" s="122" t="s">
        <v>184</v>
      </c>
      <c r="T1" s="122" t="s">
        <v>185</v>
      </c>
      <c r="U1" s="122" t="s">
        <v>186</v>
      </c>
      <c r="V1" s="122" t="s">
        <v>187</v>
      </c>
      <c r="X1" s="122" t="s">
        <v>189</v>
      </c>
      <c r="Y1" s="122" t="s">
        <v>190</v>
      </c>
      <c r="Z1" s="122" t="s">
        <v>191</v>
      </c>
      <c r="AA1" s="122" t="s">
        <v>192</v>
      </c>
      <c r="AB1" s="122" t="s">
        <v>193</v>
      </c>
      <c r="AC1" s="122" t="s">
        <v>194</v>
      </c>
      <c r="AD1" s="122" t="s">
        <v>195</v>
      </c>
      <c r="AE1" s="122" t="s">
        <v>196</v>
      </c>
      <c r="AF1" s="122" t="s">
        <v>197</v>
      </c>
      <c r="AG1" s="122" t="s">
        <v>198</v>
      </c>
      <c r="AH1" s="122" t="s">
        <v>199</v>
      </c>
      <c r="AI1" s="122" t="s">
        <v>200</v>
      </c>
      <c r="AJ1" s="122" t="s">
        <v>201</v>
      </c>
      <c r="AK1" s="122" t="s">
        <v>202</v>
      </c>
      <c r="AL1" s="122" t="s">
        <v>203</v>
      </c>
      <c r="AM1" s="122" t="s">
        <v>204</v>
      </c>
      <c r="AN1" s="122" t="s">
        <v>205</v>
      </c>
      <c r="AO1" s="122" t="s">
        <v>206</v>
      </c>
      <c r="AP1" s="122" t="s">
        <v>207</v>
      </c>
      <c r="AQ1" s="122" t="s">
        <v>208</v>
      </c>
      <c r="AR1" s="122" t="s">
        <v>209</v>
      </c>
      <c r="AS1" s="122" t="s">
        <v>210</v>
      </c>
      <c r="AT1" s="122" t="s">
        <v>211</v>
      </c>
      <c r="AU1" s="122" t="s">
        <v>212</v>
      </c>
      <c r="AV1" s="122" t="s">
        <v>213</v>
      </c>
      <c r="AW1" s="122" t="s">
        <v>214</v>
      </c>
      <c r="AX1" s="122" t="s">
        <v>215</v>
      </c>
      <c r="AY1" s="122" t="s">
        <v>216</v>
      </c>
      <c r="AZ1" s="122" t="s">
        <v>217</v>
      </c>
      <c r="BA1" s="122" t="s">
        <v>218</v>
      </c>
      <c r="BB1" s="122" t="s">
        <v>219</v>
      </c>
      <c r="BC1" s="122" t="s">
        <v>220</v>
      </c>
      <c r="BD1" s="122" t="s">
        <v>221</v>
      </c>
      <c r="BE1" s="122" t="s">
        <v>222</v>
      </c>
      <c r="BF1" s="122" t="s">
        <v>223</v>
      </c>
      <c r="BG1" s="122" t="s">
        <v>224</v>
      </c>
      <c r="BH1" s="122" t="s">
        <v>186</v>
      </c>
      <c r="BI1" s="122" t="s">
        <v>183</v>
      </c>
      <c r="BJ1" s="123" t="s">
        <v>225</v>
      </c>
      <c r="BK1" s="139" t="s">
        <v>226</v>
      </c>
      <c r="BL1" s="140" t="s">
        <v>227</v>
      </c>
      <c r="BM1" s="122" t="s">
        <v>228</v>
      </c>
      <c r="BN1" s="122" t="s">
        <v>229</v>
      </c>
    </row>
    <row r="2" spans="1:66" x14ac:dyDescent="0.25">
      <c r="A2" s="122" t="s">
        <v>279</v>
      </c>
      <c r="B2" s="122" t="s">
        <v>11806</v>
      </c>
      <c r="C2" s="122" t="s">
        <v>11807</v>
      </c>
      <c r="D2" s="122" t="s">
        <v>11808</v>
      </c>
      <c r="E2" s="123">
        <v>42233</v>
      </c>
      <c r="F2" s="122" t="s">
        <v>535</v>
      </c>
      <c r="G2" s="122" t="s">
        <v>235</v>
      </c>
      <c r="H2" s="122" t="s">
        <v>11809</v>
      </c>
      <c r="I2" s="122" t="s">
        <v>11810</v>
      </c>
      <c r="K2" s="122" t="s">
        <v>238</v>
      </c>
      <c r="L2" s="122" t="s">
        <v>271</v>
      </c>
      <c r="M2" s="122" t="s">
        <v>11811</v>
      </c>
      <c r="O2" s="141" t="s">
        <v>3777</v>
      </c>
      <c r="P2" s="141" t="s">
        <v>11812</v>
      </c>
      <c r="Q2" s="122" t="s">
        <v>243</v>
      </c>
      <c r="R2" s="142">
        <v>6</v>
      </c>
      <c r="S2" s="122" t="s">
        <v>11813</v>
      </c>
      <c r="U2" s="122" t="s">
        <v>245</v>
      </c>
      <c r="W2" s="122" t="s">
        <v>246</v>
      </c>
      <c r="X2" s="122" t="s">
        <v>1121</v>
      </c>
      <c r="Z2" s="122" t="s">
        <v>250</v>
      </c>
      <c r="AB2" s="122" t="s">
        <v>250</v>
      </c>
      <c r="AD2" s="122" t="s">
        <v>250</v>
      </c>
      <c r="AE2" s="122" t="s">
        <v>235</v>
      </c>
      <c r="AF2" s="122" t="s">
        <v>3616</v>
      </c>
      <c r="AG2" s="122" t="s">
        <v>252</v>
      </c>
      <c r="AH2" s="122" t="s">
        <v>253</v>
      </c>
      <c r="AI2" s="122" t="s">
        <v>3812</v>
      </c>
      <c r="AJ2" s="122" t="s">
        <v>6275</v>
      </c>
      <c r="AK2" s="122" t="s">
        <v>253</v>
      </c>
      <c r="AL2" s="122" t="s">
        <v>253</v>
      </c>
      <c r="AM2" s="122" t="s">
        <v>253</v>
      </c>
      <c r="AN2" s="122" t="s">
        <v>253</v>
      </c>
      <c r="AO2" s="141" t="s">
        <v>253</v>
      </c>
      <c r="AP2" s="141" t="s">
        <v>253</v>
      </c>
      <c r="AQ2" s="141" t="s">
        <v>247</v>
      </c>
      <c r="AR2" s="141" t="s">
        <v>253</v>
      </c>
      <c r="AS2" s="141" t="s">
        <v>361</v>
      </c>
      <c r="AT2" s="141" t="s">
        <v>257</v>
      </c>
      <c r="AU2" s="141" t="s">
        <v>258</v>
      </c>
      <c r="AV2" s="122" t="s">
        <v>259</v>
      </c>
      <c r="AW2" s="122" t="s">
        <v>260</v>
      </c>
      <c r="AY2" s="122" t="s">
        <v>253</v>
      </c>
      <c r="AZ2" s="122" t="s">
        <v>11814</v>
      </c>
      <c r="BA2" s="122" t="s">
        <v>262</v>
      </c>
      <c r="BB2" s="122" t="s">
        <v>262</v>
      </c>
      <c r="BC2" s="141" t="s">
        <v>312</v>
      </c>
      <c r="BD2" s="122" t="s">
        <v>253</v>
      </c>
      <c r="BE2" s="122" t="s">
        <v>263</v>
      </c>
      <c r="BF2" s="122" t="s">
        <v>11</v>
      </c>
      <c r="BH2" s="122" t="s">
        <v>245</v>
      </c>
      <c r="BI2" s="142">
        <v>6</v>
      </c>
      <c r="BJ2" s="123">
        <v>42234</v>
      </c>
      <c r="BK2" s="139" t="s">
        <v>264</v>
      </c>
      <c r="BL2" s="140">
        <v>157.96</v>
      </c>
      <c r="BM2" s="122">
        <v>34</v>
      </c>
    </row>
    <row r="3" spans="1:66" x14ac:dyDescent="0.25">
      <c r="A3" s="122" t="s">
        <v>279</v>
      </c>
      <c r="B3" s="122" t="s">
        <v>11815</v>
      </c>
      <c r="C3" s="122" t="s">
        <v>11816</v>
      </c>
      <c r="D3" s="122" t="s">
        <v>11817</v>
      </c>
      <c r="E3" s="123">
        <v>42233</v>
      </c>
      <c r="F3" s="122" t="s">
        <v>4082</v>
      </c>
      <c r="G3" s="122" t="s">
        <v>235</v>
      </c>
      <c r="H3" s="122" t="s">
        <v>11818</v>
      </c>
      <c r="I3" s="122" t="s">
        <v>11819</v>
      </c>
      <c r="J3" s="122" t="s">
        <v>1018</v>
      </c>
      <c r="K3" s="122" t="s">
        <v>238</v>
      </c>
      <c r="L3" s="122" t="s">
        <v>297</v>
      </c>
      <c r="M3" s="122" t="s">
        <v>2481</v>
      </c>
      <c r="O3" s="141" t="s">
        <v>451</v>
      </c>
      <c r="P3" s="141" t="s">
        <v>11820</v>
      </c>
      <c r="Q3" s="122" t="s">
        <v>243</v>
      </c>
      <c r="R3" s="142">
        <v>21</v>
      </c>
      <c r="S3" s="122" t="s">
        <v>11821</v>
      </c>
      <c r="U3" s="122" t="s">
        <v>245</v>
      </c>
      <c r="V3" s="122" t="s">
        <v>276</v>
      </c>
      <c r="W3" s="122" t="s">
        <v>277</v>
      </c>
      <c r="X3" s="122" t="s">
        <v>278</v>
      </c>
      <c r="Y3" s="141" t="s">
        <v>11822</v>
      </c>
      <c r="Z3" s="122" t="s">
        <v>1834</v>
      </c>
      <c r="AA3" s="141" t="s">
        <v>11822</v>
      </c>
      <c r="AB3" s="122" t="s">
        <v>3489</v>
      </c>
      <c r="AC3" s="141" t="s">
        <v>1256</v>
      </c>
      <c r="AD3" s="122" t="s">
        <v>11823</v>
      </c>
      <c r="AE3" s="122" t="s">
        <v>235</v>
      </c>
      <c r="AF3" s="122" t="s">
        <v>11824</v>
      </c>
      <c r="AG3" s="122" t="s">
        <v>11825</v>
      </c>
      <c r="AH3" s="122" t="s">
        <v>253</v>
      </c>
      <c r="AI3" s="122" t="s">
        <v>11826</v>
      </c>
      <c r="AJ3" s="122" t="s">
        <v>253</v>
      </c>
      <c r="AK3" s="122" t="s">
        <v>253</v>
      </c>
      <c r="AL3" s="122" t="s">
        <v>253</v>
      </c>
      <c r="AM3" s="122" t="s">
        <v>253</v>
      </c>
      <c r="AN3" s="122" t="s">
        <v>253</v>
      </c>
      <c r="AO3" s="141" t="s">
        <v>247</v>
      </c>
      <c r="AP3" s="141" t="s">
        <v>247</v>
      </c>
      <c r="AQ3" s="141" t="s">
        <v>247</v>
      </c>
      <c r="AR3" s="141" t="s">
        <v>247</v>
      </c>
      <c r="AS3" s="141" t="s">
        <v>257</v>
      </c>
      <c r="AT3" s="141" t="s">
        <v>257</v>
      </c>
      <c r="AU3" s="141" t="s">
        <v>257</v>
      </c>
      <c r="AV3" s="122" t="s">
        <v>259</v>
      </c>
      <c r="AW3" s="122" t="s">
        <v>260</v>
      </c>
      <c r="AY3" s="141" t="s">
        <v>253</v>
      </c>
      <c r="AZ3" s="122" t="s">
        <v>11827</v>
      </c>
      <c r="BA3" s="122" t="s">
        <v>262</v>
      </c>
      <c r="BB3" s="122" t="s">
        <v>262</v>
      </c>
      <c r="BD3" s="122" t="s">
        <v>253</v>
      </c>
      <c r="BE3" s="122" t="s">
        <v>263</v>
      </c>
      <c r="BF3" s="122" t="s">
        <v>11</v>
      </c>
      <c r="BH3" s="122" t="s">
        <v>245</v>
      </c>
      <c r="BI3" s="142">
        <v>21</v>
      </c>
      <c r="BJ3" s="123">
        <v>42233</v>
      </c>
      <c r="BK3" s="139" t="s">
        <v>264</v>
      </c>
      <c r="BL3" s="140">
        <v>100.97</v>
      </c>
      <c r="BM3" s="122">
        <v>34</v>
      </c>
    </row>
    <row r="4" spans="1:66" x14ac:dyDescent="0.25">
      <c r="A4" s="122" t="s">
        <v>326</v>
      </c>
      <c r="B4" s="122">
        <v>25700294</v>
      </c>
      <c r="C4" s="122" t="s">
        <v>11828</v>
      </c>
      <c r="D4" s="122" t="s">
        <v>11829</v>
      </c>
      <c r="E4" s="123">
        <v>42233</v>
      </c>
      <c r="F4" s="122" t="s">
        <v>11830</v>
      </c>
      <c r="G4" s="122" t="s">
        <v>235</v>
      </c>
      <c r="H4" s="122" t="s">
        <v>448</v>
      </c>
      <c r="I4" s="122" t="s">
        <v>11831</v>
      </c>
      <c r="K4" s="122" t="s">
        <v>238</v>
      </c>
      <c r="L4" s="122" t="s">
        <v>371</v>
      </c>
      <c r="M4" s="122" t="s">
        <v>4880</v>
      </c>
      <c r="O4" s="141" t="s">
        <v>665</v>
      </c>
      <c r="P4" s="141" t="s">
        <v>11832</v>
      </c>
      <c r="Q4" s="122" t="s">
        <v>243</v>
      </c>
      <c r="R4" s="142">
        <v>29</v>
      </c>
      <c r="S4" s="122" t="s">
        <v>11833</v>
      </c>
      <c r="U4" s="122" t="s">
        <v>245</v>
      </c>
      <c r="V4" s="122" t="s">
        <v>276</v>
      </c>
      <c r="W4" s="122" t="s">
        <v>277</v>
      </c>
      <c r="X4" s="122" t="s">
        <v>1377</v>
      </c>
      <c r="Y4" s="141" t="s">
        <v>11822</v>
      </c>
      <c r="Z4" s="122" t="s">
        <v>11834</v>
      </c>
      <c r="AA4" s="141" t="s">
        <v>1039</v>
      </c>
      <c r="AB4" s="122" t="s">
        <v>11835</v>
      </c>
      <c r="AC4" s="141" t="s">
        <v>248</v>
      </c>
      <c r="AD4" s="122" t="s">
        <v>11836</v>
      </c>
      <c r="AE4" s="122" t="s">
        <v>235</v>
      </c>
      <c r="AF4" s="122" t="s">
        <v>11837</v>
      </c>
      <c r="AG4" s="122" t="s">
        <v>11838</v>
      </c>
      <c r="AH4" s="122" t="s">
        <v>253</v>
      </c>
      <c r="AI4" s="122" t="s">
        <v>11839</v>
      </c>
      <c r="AJ4" s="122" t="s">
        <v>253</v>
      </c>
      <c r="AK4" s="122" t="s">
        <v>253</v>
      </c>
      <c r="AL4" s="122" t="s">
        <v>253</v>
      </c>
      <c r="AM4" s="122" t="s">
        <v>253</v>
      </c>
      <c r="AN4" s="122" t="s">
        <v>253</v>
      </c>
      <c r="AO4" s="141" t="s">
        <v>247</v>
      </c>
      <c r="AP4" s="141" t="s">
        <v>247</v>
      </c>
      <c r="AQ4" s="141" t="s">
        <v>247</v>
      </c>
      <c r="AR4" s="141" t="s">
        <v>247</v>
      </c>
      <c r="AS4" s="141" t="s">
        <v>257</v>
      </c>
      <c r="AT4" s="141" t="s">
        <v>257</v>
      </c>
      <c r="AU4" s="141" t="s">
        <v>257</v>
      </c>
      <c r="AV4" s="122" t="s">
        <v>259</v>
      </c>
      <c r="AW4" s="122" t="s">
        <v>260</v>
      </c>
      <c r="AY4" s="141" t="s">
        <v>253</v>
      </c>
      <c r="AZ4" s="122" t="s">
        <v>262</v>
      </c>
      <c r="BA4" s="122" t="s">
        <v>262</v>
      </c>
      <c r="BB4" s="122" t="s">
        <v>11840</v>
      </c>
      <c r="BD4" s="122" t="s">
        <v>253</v>
      </c>
      <c r="BE4" s="122" t="s">
        <v>263</v>
      </c>
      <c r="BF4" s="122" t="s">
        <v>11</v>
      </c>
      <c r="BH4" s="122" t="s">
        <v>245</v>
      </c>
      <c r="BI4" s="142">
        <v>29</v>
      </c>
      <c r="BJ4" s="123">
        <v>42233</v>
      </c>
      <c r="BK4" s="139" t="s">
        <v>264</v>
      </c>
      <c r="BL4" s="140">
        <v>159.08000000000001</v>
      </c>
      <c r="BM4" s="122">
        <v>34</v>
      </c>
    </row>
    <row r="5" spans="1:66" x14ac:dyDescent="0.25">
      <c r="A5" s="122" t="s">
        <v>11841</v>
      </c>
      <c r="B5" s="122" t="s">
        <v>11842</v>
      </c>
      <c r="C5" s="122" t="s">
        <v>11843</v>
      </c>
      <c r="D5" s="122" t="s">
        <v>11844</v>
      </c>
      <c r="E5" s="123">
        <v>42233</v>
      </c>
      <c r="F5" s="122" t="s">
        <v>11845</v>
      </c>
      <c r="G5" s="122" t="s">
        <v>235</v>
      </c>
      <c r="H5" s="122" t="s">
        <v>11846</v>
      </c>
      <c r="I5" s="122" t="s">
        <v>11847</v>
      </c>
      <c r="K5" s="122" t="s">
        <v>238</v>
      </c>
      <c r="L5" s="122" t="s">
        <v>271</v>
      </c>
      <c r="M5" s="122" t="s">
        <v>11811</v>
      </c>
      <c r="O5" s="141" t="s">
        <v>390</v>
      </c>
      <c r="P5" s="141" t="s">
        <v>11848</v>
      </c>
      <c r="Q5" s="122" t="s">
        <v>243</v>
      </c>
      <c r="R5" s="142">
        <v>51</v>
      </c>
      <c r="S5" s="122" t="s">
        <v>11849</v>
      </c>
      <c r="T5" s="122" t="s">
        <v>11850</v>
      </c>
      <c r="U5" s="122" t="s">
        <v>245</v>
      </c>
      <c r="V5" s="122" t="s">
        <v>276</v>
      </c>
      <c r="W5" s="122" t="s">
        <v>277</v>
      </c>
      <c r="X5" s="122" t="s">
        <v>1225</v>
      </c>
      <c r="Y5" s="141" t="s">
        <v>11851</v>
      </c>
      <c r="Z5" s="122" t="s">
        <v>11852</v>
      </c>
      <c r="AA5" s="141" t="s">
        <v>1039</v>
      </c>
      <c r="AB5" s="122" t="s">
        <v>11853</v>
      </c>
      <c r="AC5" s="141" t="s">
        <v>500</v>
      </c>
      <c r="AD5" s="122" t="s">
        <v>11853</v>
      </c>
      <c r="AE5" s="122" t="s">
        <v>235</v>
      </c>
      <c r="AF5" s="122" t="s">
        <v>11854</v>
      </c>
      <c r="AG5" s="122" t="s">
        <v>252</v>
      </c>
      <c r="AH5" s="122" t="s">
        <v>253</v>
      </c>
      <c r="AI5" s="122" t="s">
        <v>1971</v>
      </c>
      <c r="AJ5" s="122" t="s">
        <v>11855</v>
      </c>
      <c r="AK5" s="122" t="s">
        <v>253</v>
      </c>
      <c r="AL5" s="122" t="s">
        <v>253</v>
      </c>
      <c r="AM5" s="122" t="s">
        <v>253</v>
      </c>
      <c r="AN5" s="122" t="s">
        <v>253</v>
      </c>
      <c r="AO5" s="141" t="s">
        <v>253</v>
      </c>
      <c r="AP5" s="141" t="s">
        <v>253</v>
      </c>
      <c r="AQ5" s="141" t="s">
        <v>247</v>
      </c>
      <c r="AR5" s="141" t="s">
        <v>253</v>
      </c>
      <c r="AS5" s="141" t="s">
        <v>361</v>
      </c>
      <c r="AT5" s="141" t="s">
        <v>257</v>
      </c>
      <c r="AU5" s="141" t="s">
        <v>258</v>
      </c>
      <c r="AV5" s="122" t="s">
        <v>259</v>
      </c>
      <c r="AW5" s="122" t="s">
        <v>260</v>
      </c>
      <c r="AY5" s="141" t="s">
        <v>253</v>
      </c>
      <c r="AZ5" s="122" t="s">
        <v>11856</v>
      </c>
      <c r="BA5" s="122" t="s">
        <v>262</v>
      </c>
      <c r="BB5" s="122" t="s">
        <v>262</v>
      </c>
      <c r="BD5" s="122" t="s">
        <v>253</v>
      </c>
      <c r="BE5" s="122" t="s">
        <v>263</v>
      </c>
      <c r="BF5" s="122" t="s">
        <v>11</v>
      </c>
      <c r="BH5" s="122" t="s">
        <v>245</v>
      </c>
      <c r="BI5" s="142">
        <v>51</v>
      </c>
      <c r="BJ5" s="123">
        <v>42233</v>
      </c>
      <c r="BK5" s="139" t="s">
        <v>264</v>
      </c>
      <c r="BL5" s="140">
        <v>39</v>
      </c>
      <c r="BM5" s="122">
        <v>34</v>
      </c>
    </row>
    <row r="6" spans="1:66" x14ac:dyDescent="0.25">
      <c r="A6" s="122" t="s">
        <v>9031</v>
      </c>
      <c r="B6" s="122" t="s">
        <v>11857</v>
      </c>
      <c r="C6" s="122" t="s">
        <v>11858</v>
      </c>
      <c r="D6" s="122" t="s">
        <v>11859</v>
      </c>
      <c r="E6" s="123">
        <v>42233</v>
      </c>
      <c r="F6" s="122" t="s">
        <v>11860</v>
      </c>
      <c r="G6" s="122" t="s">
        <v>235</v>
      </c>
      <c r="H6" s="122" t="s">
        <v>11861</v>
      </c>
      <c r="I6" s="122" t="s">
        <v>11862</v>
      </c>
      <c r="K6" s="122" t="s">
        <v>472</v>
      </c>
      <c r="L6" s="122" t="s">
        <v>473</v>
      </c>
      <c r="M6" s="122" t="s">
        <v>474</v>
      </c>
      <c r="O6" s="141" t="s">
        <v>613</v>
      </c>
      <c r="P6" s="141" t="s">
        <v>11863</v>
      </c>
      <c r="Q6" s="122" t="s">
        <v>243</v>
      </c>
      <c r="R6" s="142">
        <v>95</v>
      </c>
      <c r="S6" s="122" t="s">
        <v>11864</v>
      </c>
      <c r="U6" s="122" t="s">
        <v>245</v>
      </c>
      <c r="W6" s="122" t="s">
        <v>246</v>
      </c>
      <c r="X6" s="122" t="s">
        <v>551</v>
      </c>
      <c r="Y6" s="141" t="s">
        <v>11865</v>
      </c>
      <c r="Z6" s="122" t="s">
        <v>11866</v>
      </c>
      <c r="AA6" s="141" t="s">
        <v>1141</v>
      </c>
      <c r="AB6" s="122" t="s">
        <v>9067</v>
      </c>
      <c r="AC6" s="141" t="s">
        <v>2717</v>
      </c>
      <c r="AD6" s="122" t="s">
        <v>1746</v>
      </c>
      <c r="AE6" s="122" t="s">
        <v>235</v>
      </c>
      <c r="AF6" s="122" t="s">
        <v>11867</v>
      </c>
      <c r="AG6" s="122" t="s">
        <v>537</v>
      </c>
      <c r="AH6" s="122" t="s">
        <v>253</v>
      </c>
      <c r="AI6" s="122" t="s">
        <v>1714</v>
      </c>
      <c r="AJ6" s="122" t="s">
        <v>253</v>
      </c>
      <c r="AK6" s="122" t="s">
        <v>253</v>
      </c>
      <c r="AL6" s="122" t="s">
        <v>253</v>
      </c>
      <c r="AM6" s="122" t="s">
        <v>253</v>
      </c>
      <c r="AN6" s="122" t="s">
        <v>253</v>
      </c>
      <c r="AO6" s="141" t="s">
        <v>247</v>
      </c>
      <c r="AP6" s="141" t="s">
        <v>253</v>
      </c>
      <c r="AQ6" s="141" t="s">
        <v>253</v>
      </c>
      <c r="AR6" s="141" t="s">
        <v>253</v>
      </c>
      <c r="AS6" s="141" t="s">
        <v>257</v>
      </c>
      <c r="AT6" s="141" t="s">
        <v>258</v>
      </c>
      <c r="AU6" s="141" t="s">
        <v>258</v>
      </c>
      <c r="AV6" s="122" t="s">
        <v>259</v>
      </c>
      <c r="AW6" s="122" t="s">
        <v>260</v>
      </c>
      <c r="AY6" s="122" t="s">
        <v>253</v>
      </c>
      <c r="AZ6" s="122" t="s">
        <v>11868</v>
      </c>
      <c r="BA6" s="122" t="s">
        <v>262</v>
      </c>
      <c r="BB6" s="122" t="s">
        <v>262</v>
      </c>
      <c r="BC6" s="141" t="s">
        <v>312</v>
      </c>
      <c r="BD6" s="122" t="s">
        <v>253</v>
      </c>
      <c r="BE6" s="122" t="s">
        <v>263</v>
      </c>
      <c r="BF6" s="122" t="s">
        <v>11</v>
      </c>
      <c r="BH6" s="122" t="s">
        <v>245</v>
      </c>
      <c r="BI6" s="142">
        <v>95</v>
      </c>
      <c r="BJ6" s="123">
        <v>42234</v>
      </c>
      <c r="BK6" s="139" t="s">
        <v>264</v>
      </c>
      <c r="BL6" s="140">
        <v>95.32</v>
      </c>
      <c r="BM6" s="122">
        <v>34</v>
      </c>
    </row>
    <row r="7" spans="1:66" x14ac:dyDescent="0.25">
      <c r="A7" s="122" t="s">
        <v>9031</v>
      </c>
      <c r="B7" s="122" t="s">
        <v>11869</v>
      </c>
      <c r="C7" s="122" t="s">
        <v>11870</v>
      </c>
      <c r="D7" s="122" t="s">
        <v>11871</v>
      </c>
      <c r="E7" s="123">
        <v>42233</v>
      </c>
      <c r="F7" s="122" t="s">
        <v>11872</v>
      </c>
      <c r="G7" s="122" t="s">
        <v>235</v>
      </c>
      <c r="H7" s="122" t="s">
        <v>11873</v>
      </c>
      <c r="I7" s="122" t="s">
        <v>11874</v>
      </c>
      <c r="K7" s="122" t="s">
        <v>238</v>
      </c>
      <c r="L7" s="122" t="s">
        <v>271</v>
      </c>
      <c r="M7" s="122" t="s">
        <v>1593</v>
      </c>
      <c r="O7" s="141" t="s">
        <v>494</v>
      </c>
      <c r="P7" s="141" t="s">
        <v>11875</v>
      </c>
      <c r="Q7" s="122" t="s">
        <v>243</v>
      </c>
      <c r="R7" s="142">
        <v>101</v>
      </c>
      <c r="S7" s="122" t="s">
        <v>11876</v>
      </c>
      <c r="U7" s="122" t="s">
        <v>245</v>
      </c>
      <c r="V7" s="122" t="s">
        <v>276</v>
      </c>
      <c r="W7" s="122" t="s">
        <v>277</v>
      </c>
      <c r="X7" s="122" t="s">
        <v>603</v>
      </c>
      <c r="Y7" s="141" t="s">
        <v>11822</v>
      </c>
      <c r="Z7" s="122" t="s">
        <v>2106</v>
      </c>
      <c r="AA7" s="141" t="s">
        <v>1256</v>
      </c>
      <c r="AB7" s="122" t="s">
        <v>669</v>
      </c>
      <c r="AC7" s="141" t="s">
        <v>593</v>
      </c>
      <c r="AD7" s="122" t="s">
        <v>249</v>
      </c>
      <c r="AE7" s="122" t="s">
        <v>235</v>
      </c>
      <c r="AF7" s="122" t="s">
        <v>11877</v>
      </c>
      <c r="AG7" s="122" t="s">
        <v>359</v>
      </c>
      <c r="AH7" s="122" t="s">
        <v>253</v>
      </c>
      <c r="AI7" s="122" t="s">
        <v>11878</v>
      </c>
      <c r="AJ7" s="122" t="s">
        <v>253</v>
      </c>
      <c r="AK7" s="122" t="s">
        <v>253</v>
      </c>
      <c r="AL7" s="122" t="s">
        <v>253</v>
      </c>
      <c r="AM7" s="122" t="s">
        <v>253</v>
      </c>
      <c r="AN7" s="122" t="s">
        <v>253</v>
      </c>
      <c r="AO7" s="141" t="s">
        <v>247</v>
      </c>
      <c r="AP7" s="141" t="s">
        <v>253</v>
      </c>
      <c r="AQ7" s="141" t="s">
        <v>247</v>
      </c>
      <c r="AR7" s="141" t="s">
        <v>247</v>
      </c>
      <c r="AS7" s="141" t="s">
        <v>257</v>
      </c>
      <c r="AT7" s="141" t="s">
        <v>257</v>
      </c>
      <c r="AU7" s="141" t="s">
        <v>257</v>
      </c>
      <c r="AV7" s="122" t="s">
        <v>259</v>
      </c>
      <c r="AW7" s="122" t="s">
        <v>260</v>
      </c>
      <c r="AX7" s="141" t="s">
        <v>5018</v>
      </c>
      <c r="AY7" s="141" t="s">
        <v>631</v>
      </c>
      <c r="AZ7" s="122" t="s">
        <v>11879</v>
      </c>
      <c r="BA7" s="122" t="s">
        <v>262</v>
      </c>
      <c r="BB7" s="122" t="s">
        <v>262</v>
      </c>
      <c r="BD7" s="122" t="s">
        <v>253</v>
      </c>
      <c r="BE7" s="122" t="s">
        <v>263</v>
      </c>
      <c r="BF7" s="122" t="s">
        <v>11</v>
      </c>
      <c r="BH7" s="122" t="s">
        <v>245</v>
      </c>
      <c r="BI7" s="142">
        <v>101</v>
      </c>
      <c r="BJ7" s="123">
        <v>42233</v>
      </c>
      <c r="BK7" s="139" t="s">
        <v>264</v>
      </c>
      <c r="BL7" s="140">
        <v>241</v>
      </c>
      <c r="BM7" s="122">
        <v>34</v>
      </c>
    </row>
    <row r="8" spans="1:66" x14ac:dyDescent="0.25">
      <c r="A8" s="122" t="s">
        <v>11880</v>
      </c>
      <c r="B8" s="122" t="s">
        <v>11881</v>
      </c>
      <c r="C8" s="122" t="s">
        <v>11882</v>
      </c>
      <c r="D8" s="122" t="s">
        <v>11883</v>
      </c>
      <c r="E8" s="123">
        <v>42233</v>
      </c>
      <c r="F8" s="122" t="s">
        <v>668</v>
      </c>
      <c r="G8" s="122" t="s">
        <v>235</v>
      </c>
      <c r="H8" s="122" t="s">
        <v>11884</v>
      </c>
      <c r="I8" s="122" t="s">
        <v>7343</v>
      </c>
      <c r="J8" s="122" t="s">
        <v>11885</v>
      </c>
      <c r="K8" s="122" t="s">
        <v>238</v>
      </c>
      <c r="L8" s="122" t="s">
        <v>271</v>
      </c>
      <c r="M8" s="122" t="s">
        <v>7345</v>
      </c>
      <c r="O8" s="141" t="s">
        <v>451</v>
      </c>
      <c r="P8" s="141" t="s">
        <v>11886</v>
      </c>
      <c r="Q8" s="122" t="s">
        <v>243</v>
      </c>
      <c r="R8" s="142">
        <v>118</v>
      </c>
      <c r="S8" s="122" t="s">
        <v>11887</v>
      </c>
      <c r="U8" s="122" t="s">
        <v>245</v>
      </c>
      <c r="V8" s="122" t="s">
        <v>276</v>
      </c>
      <c r="W8" s="122" t="s">
        <v>277</v>
      </c>
      <c r="X8" s="122" t="s">
        <v>278</v>
      </c>
      <c r="Z8" s="122" t="s">
        <v>250</v>
      </c>
      <c r="AB8" s="122" t="s">
        <v>250</v>
      </c>
      <c r="AD8" s="122" t="s">
        <v>250</v>
      </c>
      <c r="AE8" s="122" t="s">
        <v>235</v>
      </c>
      <c r="AF8" s="122" t="s">
        <v>11888</v>
      </c>
      <c r="AG8" s="122" t="s">
        <v>11889</v>
      </c>
      <c r="AH8" s="122" t="s">
        <v>253</v>
      </c>
      <c r="AI8" s="122" t="s">
        <v>11890</v>
      </c>
      <c r="AJ8" s="122" t="s">
        <v>11891</v>
      </c>
      <c r="AK8" s="122" t="s">
        <v>253</v>
      </c>
      <c r="AL8" s="122" t="s">
        <v>253</v>
      </c>
      <c r="AM8" s="122" t="s">
        <v>253</v>
      </c>
      <c r="AN8" s="122" t="s">
        <v>253</v>
      </c>
      <c r="AO8" s="141" t="s">
        <v>247</v>
      </c>
      <c r="AP8" s="141" t="s">
        <v>247</v>
      </c>
      <c r="AQ8" s="141" t="s">
        <v>247</v>
      </c>
      <c r="AR8" s="141" t="s">
        <v>247</v>
      </c>
      <c r="AS8" s="141" t="s">
        <v>257</v>
      </c>
      <c r="AT8" s="141" t="s">
        <v>257</v>
      </c>
      <c r="AU8" s="141" t="s">
        <v>257</v>
      </c>
      <c r="AV8" s="122" t="s">
        <v>259</v>
      </c>
      <c r="AW8" s="122" t="s">
        <v>260</v>
      </c>
      <c r="AY8" s="141" t="s">
        <v>253</v>
      </c>
      <c r="AZ8" s="122" t="s">
        <v>11892</v>
      </c>
      <c r="BA8" s="122" t="s">
        <v>262</v>
      </c>
      <c r="BB8" s="122" t="s">
        <v>262</v>
      </c>
      <c r="BD8" s="122" t="s">
        <v>253</v>
      </c>
      <c r="BE8" s="122" t="s">
        <v>263</v>
      </c>
      <c r="BF8" s="122" t="s">
        <v>11</v>
      </c>
      <c r="BH8" s="122" t="s">
        <v>245</v>
      </c>
      <c r="BI8" s="142">
        <v>118</v>
      </c>
      <c r="BJ8" s="123">
        <v>42233</v>
      </c>
      <c r="BK8" s="139" t="s">
        <v>264</v>
      </c>
      <c r="BL8" s="140">
        <v>156.28</v>
      </c>
      <c r="BM8" s="122">
        <v>34</v>
      </c>
    </row>
    <row r="9" spans="1:66" x14ac:dyDescent="0.25">
      <c r="A9" s="122" t="s">
        <v>9904</v>
      </c>
      <c r="B9" s="122" t="s">
        <v>11893</v>
      </c>
      <c r="C9" s="122" t="s">
        <v>11894</v>
      </c>
      <c r="D9" s="122" t="s">
        <v>11895</v>
      </c>
      <c r="E9" s="123">
        <v>42233</v>
      </c>
      <c r="F9" s="122" t="s">
        <v>958</v>
      </c>
      <c r="G9" s="122" t="s">
        <v>235</v>
      </c>
      <c r="H9" s="122" t="s">
        <v>11896</v>
      </c>
      <c r="I9" s="122" t="s">
        <v>11897</v>
      </c>
      <c r="J9" s="122" t="s">
        <v>370</v>
      </c>
      <c r="K9" s="122" t="s">
        <v>238</v>
      </c>
      <c r="L9" s="122" t="s">
        <v>388</v>
      </c>
      <c r="M9" s="122" t="s">
        <v>1624</v>
      </c>
      <c r="N9" s="122" t="s">
        <v>11898</v>
      </c>
      <c r="O9" s="141" t="s">
        <v>873</v>
      </c>
      <c r="P9" s="141" t="s">
        <v>11899</v>
      </c>
      <c r="Q9" s="122" t="s">
        <v>243</v>
      </c>
      <c r="R9" s="142">
        <v>134</v>
      </c>
      <c r="S9" s="122" t="s">
        <v>11900</v>
      </c>
      <c r="U9" s="122" t="s">
        <v>245</v>
      </c>
      <c r="W9" s="122" t="s">
        <v>246</v>
      </c>
      <c r="X9" s="122" t="s">
        <v>1377</v>
      </c>
      <c r="Z9" s="122" t="s">
        <v>250</v>
      </c>
      <c r="AB9" s="122" t="s">
        <v>250</v>
      </c>
      <c r="AD9" s="122" t="s">
        <v>250</v>
      </c>
      <c r="AE9" s="122" t="s">
        <v>235</v>
      </c>
      <c r="AF9" s="122" t="s">
        <v>11901</v>
      </c>
      <c r="AG9" s="122" t="s">
        <v>252</v>
      </c>
      <c r="AH9" s="122" t="s">
        <v>253</v>
      </c>
      <c r="AI9" s="122" t="s">
        <v>11902</v>
      </c>
      <c r="AJ9" s="122" t="s">
        <v>11903</v>
      </c>
      <c r="AK9" s="122" t="s">
        <v>253</v>
      </c>
      <c r="AL9" s="122" t="s">
        <v>253</v>
      </c>
      <c r="AM9" s="122" t="s">
        <v>253</v>
      </c>
      <c r="AN9" s="122" t="s">
        <v>253</v>
      </c>
      <c r="AO9" s="141" t="s">
        <v>247</v>
      </c>
      <c r="AP9" s="141" t="s">
        <v>247</v>
      </c>
      <c r="AQ9" s="141" t="s">
        <v>253</v>
      </c>
      <c r="AR9" s="141" t="s">
        <v>253</v>
      </c>
      <c r="AS9" s="141" t="s">
        <v>257</v>
      </c>
      <c r="AT9" s="141" t="s">
        <v>258</v>
      </c>
      <c r="AU9" s="141" t="s">
        <v>258</v>
      </c>
      <c r="AV9" s="122" t="s">
        <v>259</v>
      </c>
      <c r="AW9" s="122" t="s">
        <v>260</v>
      </c>
      <c r="AY9" s="122" t="s">
        <v>253</v>
      </c>
      <c r="AZ9" s="122" t="s">
        <v>11904</v>
      </c>
      <c r="BA9" s="122" t="s">
        <v>262</v>
      </c>
      <c r="BB9" s="122" t="s">
        <v>262</v>
      </c>
      <c r="BD9" s="122" t="s">
        <v>253</v>
      </c>
      <c r="BE9" s="122" t="s">
        <v>263</v>
      </c>
      <c r="BF9" s="122" t="s">
        <v>11</v>
      </c>
      <c r="BH9" s="122" t="s">
        <v>245</v>
      </c>
      <c r="BI9" s="142">
        <v>134</v>
      </c>
      <c r="BJ9" s="123">
        <v>42234</v>
      </c>
      <c r="BK9" s="139" t="s">
        <v>264</v>
      </c>
      <c r="BL9" s="140">
        <v>100</v>
      </c>
      <c r="BM9" s="122">
        <v>34</v>
      </c>
    </row>
    <row r="10" spans="1:66" x14ac:dyDescent="0.25">
      <c r="A10" s="122" t="s">
        <v>9904</v>
      </c>
      <c r="B10" s="122" t="s">
        <v>11905</v>
      </c>
      <c r="C10" s="122" t="s">
        <v>11906</v>
      </c>
      <c r="D10" s="122" t="s">
        <v>11907</v>
      </c>
      <c r="E10" s="123">
        <v>42233</v>
      </c>
      <c r="F10" s="122" t="s">
        <v>958</v>
      </c>
      <c r="G10" s="122" t="s">
        <v>235</v>
      </c>
      <c r="H10" s="122" t="s">
        <v>11908</v>
      </c>
      <c r="I10" s="122" t="s">
        <v>11909</v>
      </c>
      <c r="K10" s="122" t="s">
        <v>238</v>
      </c>
      <c r="L10" s="122" t="s">
        <v>346</v>
      </c>
      <c r="M10" s="122" t="s">
        <v>3242</v>
      </c>
      <c r="O10" s="141" t="s">
        <v>2526</v>
      </c>
      <c r="P10" s="141" t="s">
        <v>11910</v>
      </c>
      <c r="Q10" s="122" t="s">
        <v>243</v>
      </c>
      <c r="R10" s="142">
        <v>156</v>
      </c>
      <c r="S10" s="122" t="s">
        <v>11911</v>
      </c>
      <c r="T10" s="122" t="s">
        <v>11912</v>
      </c>
      <c r="U10" s="122" t="s">
        <v>245</v>
      </c>
      <c r="V10" s="122" t="s">
        <v>276</v>
      </c>
      <c r="W10" s="122" t="s">
        <v>277</v>
      </c>
      <c r="X10" s="122" t="s">
        <v>1377</v>
      </c>
      <c r="Y10" s="141" t="s">
        <v>2804</v>
      </c>
      <c r="Z10" s="122" t="s">
        <v>1091</v>
      </c>
      <c r="AB10" s="122" t="s">
        <v>250</v>
      </c>
      <c r="AD10" s="122" t="s">
        <v>250</v>
      </c>
      <c r="AE10" s="122" t="s">
        <v>235</v>
      </c>
      <c r="AF10" s="122" t="s">
        <v>11913</v>
      </c>
      <c r="AG10" s="122" t="s">
        <v>252</v>
      </c>
      <c r="AH10" s="122" t="s">
        <v>253</v>
      </c>
      <c r="AI10" s="122" t="s">
        <v>11914</v>
      </c>
      <c r="AJ10" s="122" t="s">
        <v>11915</v>
      </c>
      <c r="AK10" s="122" t="s">
        <v>253</v>
      </c>
      <c r="AL10" s="122" t="s">
        <v>253</v>
      </c>
      <c r="AM10" s="122" t="s">
        <v>253</v>
      </c>
      <c r="AN10" s="122" t="s">
        <v>253</v>
      </c>
      <c r="AO10" s="141" t="s">
        <v>247</v>
      </c>
      <c r="AP10" s="141" t="s">
        <v>247</v>
      </c>
      <c r="AQ10" s="141" t="s">
        <v>253</v>
      </c>
      <c r="AR10" s="141" t="s">
        <v>253</v>
      </c>
      <c r="AS10" s="141" t="s">
        <v>257</v>
      </c>
      <c r="AT10" s="141" t="s">
        <v>258</v>
      </c>
      <c r="AU10" s="141" t="s">
        <v>258</v>
      </c>
      <c r="AV10" s="122" t="s">
        <v>259</v>
      </c>
      <c r="AW10" s="122" t="s">
        <v>260</v>
      </c>
      <c r="AY10" s="141" t="s">
        <v>253</v>
      </c>
      <c r="AZ10" s="122" t="s">
        <v>11916</v>
      </c>
      <c r="BA10" s="122" t="s">
        <v>262</v>
      </c>
      <c r="BB10" s="122" t="s">
        <v>11917</v>
      </c>
      <c r="BD10" s="122" t="s">
        <v>253</v>
      </c>
      <c r="BE10" s="122" t="s">
        <v>263</v>
      </c>
      <c r="BF10" s="122" t="s">
        <v>11</v>
      </c>
      <c r="BH10" s="122" t="s">
        <v>245</v>
      </c>
      <c r="BI10" s="142">
        <v>156</v>
      </c>
      <c r="BJ10" s="123">
        <v>42233</v>
      </c>
      <c r="BK10" s="139" t="s">
        <v>264</v>
      </c>
      <c r="BL10" s="140">
        <v>59.22</v>
      </c>
      <c r="BM10" s="122">
        <v>34</v>
      </c>
    </row>
    <row r="11" spans="1:66" x14ac:dyDescent="0.25">
      <c r="A11" s="122" t="s">
        <v>6466</v>
      </c>
      <c r="B11" s="122" t="s">
        <v>11918</v>
      </c>
      <c r="C11" s="122" t="s">
        <v>11919</v>
      </c>
      <c r="D11" s="122" t="s">
        <v>11920</v>
      </c>
      <c r="E11" s="123">
        <v>42233</v>
      </c>
      <c r="F11" s="122" t="s">
        <v>1361</v>
      </c>
      <c r="G11" s="122" t="s">
        <v>235</v>
      </c>
      <c r="H11" s="122" t="s">
        <v>11921</v>
      </c>
      <c r="I11" s="122" t="s">
        <v>11922</v>
      </c>
      <c r="K11" s="122" t="s">
        <v>238</v>
      </c>
      <c r="L11" s="122" t="s">
        <v>271</v>
      </c>
      <c r="M11" s="122" t="s">
        <v>2441</v>
      </c>
      <c r="O11" s="141" t="s">
        <v>273</v>
      </c>
      <c r="P11" s="141" t="s">
        <v>11923</v>
      </c>
      <c r="Q11" s="122" t="s">
        <v>243</v>
      </c>
      <c r="R11" s="142">
        <v>159</v>
      </c>
      <c r="S11" s="122" t="s">
        <v>11924</v>
      </c>
      <c r="T11" s="122" t="s">
        <v>11925</v>
      </c>
      <c r="U11" s="122" t="s">
        <v>245</v>
      </c>
      <c r="V11" s="122" t="s">
        <v>276</v>
      </c>
      <c r="W11" s="122" t="s">
        <v>277</v>
      </c>
      <c r="X11" s="122" t="s">
        <v>569</v>
      </c>
      <c r="Y11" s="141" t="s">
        <v>404</v>
      </c>
      <c r="Z11" s="122" t="s">
        <v>11926</v>
      </c>
      <c r="AA11" s="141" t="s">
        <v>668</v>
      </c>
      <c r="AB11" s="122" t="s">
        <v>1792</v>
      </c>
      <c r="AC11" s="141" t="s">
        <v>417</v>
      </c>
      <c r="AD11" s="122" t="s">
        <v>7780</v>
      </c>
      <c r="AE11" s="122" t="s">
        <v>235</v>
      </c>
      <c r="AF11" s="122" t="s">
        <v>11927</v>
      </c>
      <c r="AG11" s="122" t="s">
        <v>252</v>
      </c>
      <c r="AH11" s="122" t="s">
        <v>253</v>
      </c>
      <c r="AI11" s="122" t="s">
        <v>11928</v>
      </c>
      <c r="AJ11" s="122" t="s">
        <v>11461</v>
      </c>
      <c r="AK11" s="122" t="s">
        <v>253</v>
      </c>
      <c r="AL11" s="122" t="s">
        <v>253</v>
      </c>
      <c r="AM11" s="122" t="s">
        <v>253</v>
      </c>
      <c r="AN11" s="122" t="s">
        <v>253</v>
      </c>
      <c r="AO11" s="141" t="s">
        <v>247</v>
      </c>
      <c r="AP11" s="141" t="s">
        <v>247</v>
      </c>
      <c r="AQ11" s="141" t="s">
        <v>247</v>
      </c>
      <c r="AR11" s="141" t="s">
        <v>253</v>
      </c>
      <c r="AS11" s="141" t="s">
        <v>257</v>
      </c>
      <c r="AT11" s="141" t="s">
        <v>257</v>
      </c>
      <c r="AU11" s="141" t="s">
        <v>258</v>
      </c>
      <c r="AV11" s="122" t="s">
        <v>259</v>
      </c>
      <c r="AW11" s="122" t="s">
        <v>260</v>
      </c>
      <c r="AY11" s="141" t="s">
        <v>253</v>
      </c>
      <c r="AZ11" s="122" t="s">
        <v>11929</v>
      </c>
      <c r="BA11" s="122" t="s">
        <v>11929</v>
      </c>
      <c r="BB11" s="122" t="s">
        <v>262</v>
      </c>
      <c r="BD11" s="122" t="s">
        <v>253</v>
      </c>
      <c r="BE11" s="122" t="s">
        <v>263</v>
      </c>
      <c r="BF11" s="122" t="s">
        <v>11</v>
      </c>
      <c r="BH11" s="122" t="s">
        <v>245</v>
      </c>
      <c r="BI11" s="142">
        <v>159</v>
      </c>
      <c r="BJ11" s="123">
        <v>42233</v>
      </c>
      <c r="BK11" s="139" t="s">
        <v>264</v>
      </c>
      <c r="BL11" s="140">
        <v>250</v>
      </c>
      <c r="BM11" s="122">
        <v>34</v>
      </c>
    </row>
    <row r="12" spans="1:66" x14ac:dyDescent="0.25">
      <c r="A12" s="122" t="s">
        <v>6466</v>
      </c>
      <c r="B12" s="122" t="s">
        <v>11930</v>
      </c>
      <c r="C12" s="122" t="s">
        <v>11931</v>
      </c>
      <c r="D12" s="122" t="s">
        <v>11932</v>
      </c>
      <c r="E12" s="123">
        <v>42233</v>
      </c>
      <c r="F12" s="122" t="s">
        <v>4082</v>
      </c>
      <c r="G12" s="122" t="s">
        <v>235</v>
      </c>
      <c r="H12" s="122" t="s">
        <v>11933</v>
      </c>
      <c r="I12" s="122" t="s">
        <v>11934</v>
      </c>
      <c r="K12" s="122" t="s">
        <v>238</v>
      </c>
      <c r="L12" s="122" t="s">
        <v>388</v>
      </c>
      <c r="M12" s="122" t="s">
        <v>2237</v>
      </c>
      <c r="O12" s="141" t="s">
        <v>273</v>
      </c>
      <c r="P12" s="141" t="s">
        <v>11935</v>
      </c>
      <c r="Q12" s="122" t="s">
        <v>243</v>
      </c>
      <c r="R12" s="142">
        <v>165</v>
      </c>
      <c r="S12" s="122" t="s">
        <v>11936</v>
      </c>
      <c r="T12" s="122" t="s">
        <v>11937</v>
      </c>
      <c r="U12" s="122" t="s">
        <v>245</v>
      </c>
      <c r="V12" s="122" t="s">
        <v>276</v>
      </c>
      <c r="W12" s="122" t="s">
        <v>277</v>
      </c>
      <c r="X12" s="122" t="s">
        <v>1072</v>
      </c>
      <c r="Y12" s="141" t="s">
        <v>11822</v>
      </c>
      <c r="Z12" s="122" t="s">
        <v>355</v>
      </c>
      <c r="AA12" s="141" t="s">
        <v>352</v>
      </c>
      <c r="AB12" s="122" t="s">
        <v>355</v>
      </c>
      <c r="AC12" s="141" t="s">
        <v>1122</v>
      </c>
      <c r="AD12" s="122" t="s">
        <v>571</v>
      </c>
      <c r="AE12" s="122" t="s">
        <v>235</v>
      </c>
      <c r="AF12" s="122" t="s">
        <v>11938</v>
      </c>
      <c r="AG12" s="122" t="s">
        <v>252</v>
      </c>
      <c r="AH12" s="122" t="s">
        <v>253</v>
      </c>
      <c r="AI12" s="122" t="s">
        <v>11939</v>
      </c>
      <c r="AJ12" s="122" t="s">
        <v>253</v>
      </c>
      <c r="AK12" s="122" t="s">
        <v>253</v>
      </c>
      <c r="AL12" s="122" t="s">
        <v>253</v>
      </c>
      <c r="AM12" s="122" t="s">
        <v>253</v>
      </c>
      <c r="AN12" s="122" t="s">
        <v>253</v>
      </c>
      <c r="AO12" s="141" t="s">
        <v>247</v>
      </c>
      <c r="AP12" s="141" t="s">
        <v>247</v>
      </c>
      <c r="AQ12" s="141" t="s">
        <v>253</v>
      </c>
      <c r="AR12" s="141" t="s">
        <v>253</v>
      </c>
      <c r="AS12" s="141" t="s">
        <v>257</v>
      </c>
      <c r="AT12" s="141" t="s">
        <v>258</v>
      </c>
      <c r="AU12" s="141" t="s">
        <v>258</v>
      </c>
      <c r="AV12" s="122" t="s">
        <v>259</v>
      </c>
      <c r="AW12" s="122" t="s">
        <v>260</v>
      </c>
      <c r="AY12" s="141" t="s">
        <v>253</v>
      </c>
      <c r="AZ12" s="122" t="s">
        <v>11940</v>
      </c>
      <c r="BA12" s="122" t="s">
        <v>262</v>
      </c>
      <c r="BB12" s="122" t="s">
        <v>262</v>
      </c>
      <c r="BD12" s="122" t="s">
        <v>253</v>
      </c>
      <c r="BE12" s="122" t="s">
        <v>263</v>
      </c>
      <c r="BF12" s="122" t="s">
        <v>11</v>
      </c>
      <c r="BH12" s="122" t="s">
        <v>245</v>
      </c>
      <c r="BI12" s="142">
        <v>165</v>
      </c>
      <c r="BJ12" s="123">
        <v>42233</v>
      </c>
      <c r="BK12" s="139" t="s">
        <v>264</v>
      </c>
      <c r="BL12" s="140">
        <v>100</v>
      </c>
      <c r="BM12" s="122">
        <v>34</v>
      </c>
    </row>
    <row r="13" spans="1:66" x14ac:dyDescent="0.25">
      <c r="A13" s="122" t="s">
        <v>6466</v>
      </c>
      <c r="B13" s="122" t="s">
        <v>11941</v>
      </c>
      <c r="C13" s="122" t="s">
        <v>11942</v>
      </c>
      <c r="D13" s="122" t="s">
        <v>11943</v>
      </c>
      <c r="E13" s="123">
        <v>42233</v>
      </c>
      <c r="F13" s="122" t="s">
        <v>1291</v>
      </c>
      <c r="G13" s="122" t="s">
        <v>235</v>
      </c>
      <c r="H13" s="122" t="s">
        <v>11944</v>
      </c>
      <c r="I13" s="122" t="s">
        <v>11945</v>
      </c>
      <c r="K13" s="122" t="s">
        <v>238</v>
      </c>
      <c r="L13" s="122" t="s">
        <v>388</v>
      </c>
      <c r="M13" s="122" t="s">
        <v>2329</v>
      </c>
      <c r="O13" s="141" t="s">
        <v>373</v>
      </c>
      <c r="P13" s="141" t="s">
        <v>11946</v>
      </c>
      <c r="Q13" s="122" t="s">
        <v>243</v>
      </c>
      <c r="R13" s="142">
        <v>166</v>
      </c>
      <c r="S13" s="122" t="s">
        <v>11947</v>
      </c>
      <c r="U13" s="122" t="s">
        <v>245</v>
      </c>
      <c r="V13" s="122" t="s">
        <v>276</v>
      </c>
      <c r="W13" s="122" t="s">
        <v>277</v>
      </c>
      <c r="X13" s="122" t="s">
        <v>1225</v>
      </c>
      <c r="Y13" s="141" t="s">
        <v>1421</v>
      </c>
      <c r="Z13" s="122" t="s">
        <v>11948</v>
      </c>
      <c r="AB13" s="122" t="s">
        <v>250</v>
      </c>
      <c r="AD13" s="122" t="s">
        <v>250</v>
      </c>
      <c r="AE13" s="122" t="s">
        <v>235</v>
      </c>
      <c r="AF13" s="122" t="s">
        <v>11949</v>
      </c>
      <c r="AG13" s="122" t="s">
        <v>252</v>
      </c>
      <c r="AH13" s="122" t="s">
        <v>253</v>
      </c>
      <c r="AI13" s="122" t="s">
        <v>1971</v>
      </c>
      <c r="AJ13" s="122" t="s">
        <v>9729</v>
      </c>
      <c r="AK13" s="122" t="s">
        <v>253</v>
      </c>
      <c r="AL13" s="122" t="s">
        <v>253</v>
      </c>
      <c r="AM13" s="122" t="s">
        <v>253</v>
      </c>
      <c r="AN13" s="122" t="s">
        <v>253</v>
      </c>
      <c r="AO13" s="141" t="s">
        <v>253</v>
      </c>
      <c r="AP13" s="141" t="s">
        <v>253</v>
      </c>
      <c r="AQ13" s="141" t="s">
        <v>247</v>
      </c>
      <c r="AR13" s="141" t="s">
        <v>253</v>
      </c>
      <c r="AS13" s="141" t="s">
        <v>361</v>
      </c>
      <c r="AT13" s="141" t="s">
        <v>257</v>
      </c>
      <c r="AU13" s="141" t="s">
        <v>258</v>
      </c>
      <c r="AV13" s="122" t="s">
        <v>259</v>
      </c>
      <c r="AW13" s="122" t="s">
        <v>260</v>
      </c>
      <c r="AY13" s="141" t="s">
        <v>253</v>
      </c>
      <c r="AZ13" s="122" t="s">
        <v>11950</v>
      </c>
      <c r="BA13" s="122" t="s">
        <v>262</v>
      </c>
      <c r="BB13" s="122" t="s">
        <v>262</v>
      </c>
      <c r="BC13" s="141" t="s">
        <v>312</v>
      </c>
      <c r="BD13" s="122" t="s">
        <v>253</v>
      </c>
      <c r="BE13" s="122" t="s">
        <v>263</v>
      </c>
      <c r="BF13" s="122" t="s">
        <v>11</v>
      </c>
      <c r="BH13" s="122" t="s">
        <v>245</v>
      </c>
      <c r="BI13" s="142">
        <v>166</v>
      </c>
      <c r="BJ13" s="123">
        <v>42233</v>
      </c>
      <c r="BK13" s="139" t="s">
        <v>264</v>
      </c>
      <c r="BL13" s="140">
        <v>78.959999999999994</v>
      </c>
      <c r="BM13" s="122">
        <v>34</v>
      </c>
    </row>
    <row r="14" spans="1:66" x14ac:dyDescent="0.25">
      <c r="A14" s="122" t="s">
        <v>6466</v>
      </c>
      <c r="B14" s="122" t="s">
        <v>11951</v>
      </c>
      <c r="C14" s="122" t="s">
        <v>11952</v>
      </c>
      <c r="D14" s="122" t="s">
        <v>11953</v>
      </c>
      <c r="E14" s="123">
        <v>42233</v>
      </c>
      <c r="F14" s="122" t="s">
        <v>8035</v>
      </c>
      <c r="G14" s="122" t="s">
        <v>235</v>
      </c>
      <c r="H14" s="122" t="s">
        <v>11954</v>
      </c>
      <c r="I14" s="122" t="s">
        <v>11955</v>
      </c>
      <c r="K14" s="122" t="s">
        <v>238</v>
      </c>
      <c r="L14" s="122" t="s">
        <v>530</v>
      </c>
      <c r="M14" s="122" t="s">
        <v>5175</v>
      </c>
      <c r="O14" s="141" t="s">
        <v>1240</v>
      </c>
      <c r="P14" s="141" t="s">
        <v>11956</v>
      </c>
      <c r="Q14" s="122" t="s">
        <v>243</v>
      </c>
      <c r="R14" s="142">
        <v>167</v>
      </c>
      <c r="S14" s="122" t="s">
        <v>11957</v>
      </c>
      <c r="U14" s="122" t="s">
        <v>245</v>
      </c>
      <c r="V14" s="122" t="s">
        <v>276</v>
      </c>
      <c r="W14" s="122" t="s">
        <v>277</v>
      </c>
      <c r="X14" s="122" t="s">
        <v>4409</v>
      </c>
      <c r="Y14" s="141" t="s">
        <v>11822</v>
      </c>
      <c r="Z14" s="122" t="s">
        <v>11958</v>
      </c>
      <c r="AA14" s="141" t="s">
        <v>1039</v>
      </c>
      <c r="AB14" s="122" t="s">
        <v>11959</v>
      </c>
      <c r="AC14" s="141" t="s">
        <v>457</v>
      </c>
      <c r="AD14" s="122" t="s">
        <v>11959</v>
      </c>
      <c r="AE14" s="122" t="s">
        <v>235</v>
      </c>
      <c r="AF14" s="122" t="s">
        <v>11960</v>
      </c>
      <c r="AG14" s="122" t="s">
        <v>252</v>
      </c>
      <c r="AH14" s="122" t="s">
        <v>253</v>
      </c>
      <c r="AI14" s="122" t="s">
        <v>11961</v>
      </c>
      <c r="AJ14" s="122" t="s">
        <v>253</v>
      </c>
      <c r="AK14" s="122" t="s">
        <v>253</v>
      </c>
      <c r="AL14" s="122" t="s">
        <v>253</v>
      </c>
      <c r="AM14" s="122" t="s">
        <v>253</v>
      </c>
      <c r="AN14" s="122" t="s">
        <v>253</v>
      </c>
      <c r="AO14" s="141" t="s">
        <v>247</v>
      </c>
      <c r="AP14" s="141" t="s">
        <v>247</v>
      </c>
      <c r="AQ14" s="141" t="s">
        <v>247</v>
      </c>
      <c r="AR14" s="141" t="s">
        <v>247</v>
      </c>
      <c r="AS14" s="141" t="s">
        <v>257</v>
      </c>
      <c r="AT14" s="141" t="s">
        <v>257</v>
      </c>
      <c r="AU14" s="141" t="s">
        <v>257</v>
      </c>
      <c r="AV14" s="122" t="s">
        <v>259</v>
      </c>
      <c r="AW14" s="122" t="s">
        <v>260</v>
      </c>
      <c r="AY14" s="141" t="s">
        <v>253</v>
      </c>
      <c r="AZ14" s="122" t="s">
        <v>11962</v>
      </c>
      <c r="BA14" s="122" t="s">
        <v>262</v>
      </c>
      <c r="BB14" s="122" t="s">
        <v>262</v>
      </c>
      <c r="BD14" s="122" t="s">
        <v>253</v>
      </c>
      <c r="BE14" s="122" t="s">
        <v>263</v>
      </c>
      <c r="BF14" s="122" t="s">
        <v>11</v>
      </c>
      <c r="BH14" s="122" t="s">
        <v>245</v>
      </c>
      <c r="BI14" s="142">
        <v>167</v>
      </c>
      <c r="BJ14" s="123">
        <v>42233</v>
      </c>
      <c r="BK14" s="139" t="s">
        <v>264</v>
      </c>
      <c r="BL14" s="140">
        <v>208.54</v>
      </c>
      <c r="BM14" s="122">
        <v>34</v>
      </c>
    </row>
    <row r="15" spans="1:66" x14ac:dyDescent="0.25">
      <c r="A15" s="122" t="s">
        <v>6466</v>
      </c>
      <c r="B15" s="122" t="s">
        <v>11963</v>
      </c>
      <c r="C15" s="122" t="s">
        <v>11964</v>
      </c>
      <c r="D15" s="122" t="s">
        <v>11965</v>
      </c>
      <c r="E15" s="123">
        <v>42233</v>
      </c>
      <c r="F15" s="122" t="s">
        <v>633</v>
      </c>
      <c r="G15" s="122" t="s">
        <v>235</v>
      </c>
      <c r="H15" s="122" t="s">
        <v>11966</v>
      </c>
      <c r="I15" s="122" t="s">
        <v>11967</v>
      </c>
      <c r="J15" s="122" t="s">
        <v>370</v>
      </c>
      <c r="K15" s="122" t="s">
        <v>238</v>
      </c>
      <c r="L15" s="122" t="s">
        <v>239</v>
      </c>
      <c r="M15" s="122" t="s">
        <v>719</v>
      </c>
      <c r="N15" s="122" t="s">
        <v>11968</v>
      </c>
      <c r="O15" s="141" t="s">
        <v>373</v>
      </c>
      <c r="P15" s="141" t="s">
        <v>11969</v>
      </c>
      <c r="Q15" s="122" t="s">
        <v>243</v>
      </c>
      <c r="R15" s="142">
        <v>168</v>
      </c>
      <c r="S15" s="122" t="s">
        <v>11970</v>
      </c>
      <c r="U15" s="122" t="s">
        <v>245</v>
      </c>
      <c r="V15" s="122" t="s">
        <v>276</v>
      </c>
      <c r="W15" s="122" t="s">
        <v>277</v>
      </c>
      <c r="X15" s="122" t="s">
        <v>1225</v>
      </c>
      <c r="Y15" s="141" t="s">
        <v>11822</v>
      </c>
      <c r="Z15" s="122" t="s">
        <v>11971</v>
      </c>
      <c r="AA15" s="141" t="s">
        <v>685</v>
      </c>
      <c r="AB15" s="122" t="s">
        <v>518</v>
      </c>
      <c r="AD15" s="122" t="s">
        <v>250</v>
      </c>
      <c r="AE15" s="122" t="s">
        <v>235</v>
      </c>
      <c r="AF15" s="122" t="s">
        <v>11972</v>
      </c>
      <c r="AG15" s="122" t="s">
        <v>252</v>
      </c>
      <c r="AH15" s="122" t="s">
        <v>253</v>
      </c>
      <c r="AI15" s="122" t="s">
        <v>11973</v>
      </c>
      <c r="AJ15" s="122" t="s">
        <v>253</v>
      </c>
      <c r="AK15" s="122" t="s">
        <v>253</v>
      </c>
      <c r="AL15" s="122" t="s">
        <v>253</v>
      </c>
      <c r="AM15" s="122" t="s">
        <v>253</v>
      </c>
      <c r="AN15" s="122" t="s">
        <v>253</v>
      </c>
      <c r="AO15" s="141" t="s">
        <v>253</v>
      </c>
      <c r="AP15" s="141" t="s">
        <v>253</v>
      </c>
      <c r="AQ15" s="141" t="s">
        <v>247</v>
      </c>
      <c r="AR15" s="141" t="s">
        <v>253</v>
      </c>
      <c r="AS15" s="141" t="s">
        <v>361</v>
      </c>
      <c r="AT15" s="141" t="s">
        <v>257</v>
      </c>
      <c r="AU15" s="141" t="s">
        <v>258</v>
      </c>
      <c r="AV15" s="122" t="s">
        <v>259</v>
      </c>
      <c r="AW15" s="122" t="s">
        <v>260</v>
      </c>
      <c r="AY15" s="141" t="s">
        <v>253</v>
      </c>
      <c r="AZ15" s="122" t="s">
        <v>11974</v>
      </c>
      <c r="BA15" s="122" t="s">
        <v>262</v>
      </c>
      <c r="BB15" s="122" t="s">
        <v>262</v>
      </c>
      <c r="BD15" s="122" t="s">
        <v>253</v>
      </c>
      <c r="BE15" s="122" t="s">
        <v>263</v>
      </c>
      <c r="BF15" s="122" t="s">
        <v>11</v>
      </c>
      <c r="BH15" s="122" t="s">
        <v>245</v>
      </c>
      <c r="BI15" s="142">
        <v>168</v>
      </c>
      <c r="BJ15" s="123">
        <v>42233</v>
      </c>
      <c r="BK15" s="139" t="s">
        <v>264</v>
      </c>
      <c r="BL15" s="140">
        <v>49</v>
      </c>
      <c r="BM15" s="122">
        <v>34</v>
      </c>
    </row>
    <row r="16" spans="1:66" x14ac:dyDescent="0.25">
      <c r="A16" s="122" t="s">
        <v>6466</v>
      </c>
      <c r="B16" s="122" t="s">
        <v>11975</v>
      </c>
      <c r="C16" s="122" t="s">
        <v>11976</v>
      </c>
      <c r="D16" s="122" t="s">
        <v>11977</v>
      </c>
      <c r="E16" s="123">
        <v>42233</v>
      </c>
      <c r="F16" s="122" t="s">
        <v>11978</v>
      </c>
      <c r="G16" s="122" t="s">
        <v>235</v>
      </c>
      <c r="H16" s="122" t="s">
        <v>11979</v>
      </c>
      <c r="I16" s="122" t="s">
        <v>11980</v>
      </c>
      <c r="K16" s="122" t="s">
        <v>238</v>
      </c>
      <c r="L16" s="122" t="s">
        <v>346</v>
      </c>
      <c r="M16" s="122" t="s">
        <v>3018</v>
      </c>
      <c r="N16" s="122" t="s">
        <v>11981</v>
      </c>
      <c r="O16" s="141" t="s">
        <v>5598</v>
      </c>
      <c r="P16" s="141" t="s">
        <v>11982</v>
      </c>
      <c r="Q16" s="122" t="s">
        <v>243</v>
      </c>
      <c r="R16" s="142">
        <v>180</v>
      </c>
      <c r="S16" s="122" t="s">
        <v>11983</v>
      </c>
      <c r="U16" s="122" t="s">
        <v>245</v>
      </c>
      <c r="W16" s="122" t="s">
        <v>246</v>
      </c>
      <c r="X16" s="122" t="s">
        <v>278</v>
      </c>
      <c r="Y16" s="141" t="s">
        <v>11865</v>
      </c>
      <c r="Z16" s="122" t="s">
        <v>800</v>
      </c>
      <c r="AA16" s="141" t="s">
        <v>2899</v>
      </c>
      <c r="AB16" s="122" t="s">
        <v>355</v>
      </c>
      <c r="AC16" s="141" t="s">
        <v>2717</v>
      </c>
      <c r="AD16" s="122" t="s">
        <v>11984</v>
      </c>
      <c r="AE16" s="122" t="s">
        <v>235</v>
      </c>
      <c r="AF16" s="122" t="s">
        <v>11985</v>
      </c>
      <c r="AG16" s="122" t="s">
        <v>438</v>
      </c>
      <c r="AH16" s="122" t="s">
        <v>253</v>
      </c>
      <c r="AI16" s="122" t="s">
        <v>11986</v>
      </c>
      <c r="AJ16" s="122" t="s">
        <v>253</v>
      </c>
      <c r="AK16" s="122" t="s">
        <v>253</v>
      </c>
      <c r="AL16" s="122" t="s">
        <v>253</v>
      </c>
      <c r="AM16" s="122" t="s">
        <v>253</v>
      </c>
      <c r="AN16" s="122" t="s">
        <v>253</v>
      </c>
      <c r="AO16" s="141" t="s">
        <v>247</v>
      </c>
      <c r="AP16" s="141" t="s">
        <v>253</v>
      </c>
      <c r="AQ16" s="141" t="s">
        <v>253</v>
      </c>
      <c r="AR16" s="141" t="s">
        <v>247</v>
      </c>
      <c r="AS16" s="141" t="s">
        <v>257</v>
      </c>
      <c r="AT16" s="141" t="s">
        <v>258</v>
      </c>
      <c r="AU16" s="141" t="s">
        <v>257</v>
      </c>
      <c r="AV16" s="122" t="s">
        <v>259</v>
      </c>
      <c r="AW16" s="122" t="s">
        <v>260</v>
      </c>
      <c r="AX16" s="141" t="s">
        <v>11987</v>
      </c>
      <c r="AY16" s="122" t="s">
        <v>247</v>
      </c>
      <c r="AZ16" s="122" t="s">
        <v>11988</v>
      </c>
      <c r="BA16" s="122" t="s">
        <v>262</v>
      </c>
      <c r="BB16" s="122" t="s">
        <v>262</v>
      </c>
      <c r="BD16" s="122" t="s">
        <v>253</v>
      </c>
      <c r="BE16" s="122" t="s">
        <v>263</v>
      </c>
      <c r="BF16" s="122" t="s">
        <v>11</v>
      </c>
      <c r="BH16" s="122" t="s">
        <v>245</v>
      </c>
      <c r="BI16" s="142">
        <v>180</v>
      </c>
      <c r="BJ16" s="123">
        <v>42234</v>
      </c>
      <c r="BK16" s="139" t="s">
        <v>264</v>
      </c>
      <c r="BL16" s="140">
        <v>120</v>
      </c>
      <c r="BM16" s="122">
        <v>34</v>
      </c>
    </row>
    <row r="17" spans="1:63" x14ac:dyDescent="0.25">
      <c r="A17" s="122" t="s">
        <v>11841</v>
      </c>
      <c r="B17" s="122" t="s">
        <v>11989</v>
      </c>
      <c r="C17" s="122" t="s">
        <v>11816</v>
      </c>
      <c r="D17" s="122" t="s">
        <v>11817</v>
      </c>
      <c r="E17" s="123">
        <v>42233</v>
      </c>
      <c r="F17" s="122" t="s">
        <v>4082</v>
      </c>
      <c r="G17" s="122" t="s">
        <v>235</v>
      </c>
      <c r="H17" s="122" t="s">
        <v>11818</v>
      </c>
      <c r="I17" s="122" t="s">
        <v>11819</v>
      </c>
      <c r="J17" s="122" t="s">
        <v>1018</v>
      </c>
      <c r="K17" s="122" t="s">
        <v>238</v>
      </c>
      <c r="L17" s="122" t="s">
        <v>297</v>
      </c>
      <c r="M17" s="122" t="s">
        <v>2481</v>
      </c>
      <c r="O17" s="141" t="s">
        <v>451</v>
      </c>
      <c r="P17" s="141" t="s">
        <v>11820</v>
      </c>
      <c r="Q17" s="122" t="s">
        <v>243</v>
      </c>
      <c r="R17" s="142">
        <v>205</v>
      </c>
      <c r="S17" s="122" t="s">
        <v>11821</v>
      </c>
      <c r="U17" s="122" t="s">
        <v>245</v>
      </c>
      <c r="V17" s="122" t="s">
        <v>276</v>
      </c>
      <c r="W17" s="122" t="s">
        <v>277</v>
      </c>
      <c r="X17" s="122" t="s">
        <v>278</v>
      </c>
      <c r="Y17" s="141" t="s">
        <v>11822</v>
      </c>
      <c r="Z17" s="122" t="s">
        <v>1834</v>
      </c>
      <c r="AA17" s="141" t="s">
        <v>11822</v>
      </c>
      <c r="AB17" s="122" t="s">
        <v>3489</v>
      </c>
      <c r="AC17" s="141" t="s">
        <v>1256</v>
      </c>
      <c r="AD17" s="122" t="s">
        <v>11823</v>
      </c>
      <c r="AE17" s="122" t="s">
        <v>235</v>
      </c>
      <c r="AF17" s="122" t="s">
        <v>11824</v>
      </c>
      <c r="AG17" s="122" t="s">
        <v>11825</v>
      </c>
      <c r="AH17" s="122" t="s">
        <v>253</v>
      </c>
      <c r="AI17" s="122" t="s">
        <v>11826</v>
      </c>
      <c r="AJ17" s="122" t="s">
        <v>253</v>
      </c>
      <c r="AK17" s="122" t="s">
        <v>253</v>
      </c>
      <c r="AL17" s="122" t="s">
        <v>253</v>
      </c>
      <c r="AM17" s="122" t="s">
        <v>253</v>
      </c>
      <c r="AN17" s="122" t="s">
        <v>253</v>
      </c>
      <c r="AO17" s="141" t="s">
        <v>247</v>
      </c>
      <c r="AP17" s="141" t="s">
        <v>247</v>
      </c>
      <c r="AQ17" s="141" t="s">
        <v>247</v>
      </c>
      <c r="AR17" s="141" t="s">
        <v>247</v>
      </c>
      <c r="AS17" s="141" t="s">
        <v>257</v>
      </c>
      <c r="AT17" s="141" t="s">
        <v>257</v>
      </c>
      <c r="AU17" s="141" t="s">
        <v>257</v>
      </c>
      <c r="AV17" s="122" t="s">
        <v>259</v>
      </c>
      <c r="AW17" s="122" t="s">
        <v>556</v>
      </c>
      <c r="AY17" s="141" t="s">
        <v>253</v>
      </c>
      <c r="AZ17" s="122" t="s">
        <v>11827</v>
      </c>
      <c r="BA17" s="122" t="s">
        <v>262</v>
      </c>
      <c r="BB17" s="122" t="s">
        <v>262</v>
      </c>
      <c r="BD17" s="122" t="s">
        <v>253</v>
      </c>
      <c r="BE17" s="122" t="s">
        <v>263</v>
      </c>
      <c r="BF17" s="122" t="s">
        <v>11</v>
      </c>
      <c r="BH17" s="122" t="s">
        <v>245</v>
      </c>
      <c r="BI17" s="142">
        <v>205</v>
      </c>
      <c r="BK17" s="139" t="s">
        <v>558</v>
      </c>
    </row>
    <row r="18" spans="1:63" x14ac:dyDescent="0.25">
      <c r="A18" s="122" t="s">
        <v>9904</v>
      </c>
      <c r="B18" s="122" t="s">
        <v>11990</v>
      </c>
      <c r="C18" s="122" t="s">
        <v>11870</v>
      </c>
      <c r="D18" s="122" t="s">
        <v>11871</v>
      </c>
      <c r="E18" s="123">
        <v>42233</v>
      </c>
      <c r="F18" s="122" t="s">
        <v>11872</v>
      </c>
      <c r="G18" s="122" t="s">
        <v>235</v>
      </c>
      <c r="H18" s="122" t="s">
        <v>11873</v>
      </c>
      <c r="I18" s="122" t="s">
        <v>11874</v>
      </c>
      <c r="K18" s="122" t="s">
        <v>238</v>
      </c>
      <c r="L18" s="122" t="s">
        <v>271</v>
      </c>
      <c r="M18" s="122" t="s">
        <v>1593</v>
      </c>
      <c r="O18" s="141" t="s">
        <v>494</v>
      </c>
      <c r="P18" s="141" t="s">
        <v>11875</v>
      </c>
      <c r="Q18" s="122" t="s">
        <v>243</v>
      </c>
      <c r="R18" s="142">
        <v>220</v>
      </c>
      <c r="S18" s="122" t="s">
        <v>11876</v>
      </c>
      <c r="U18" s="122" t="s">
        <v>245</v>
      </c>
      <c r="V18" s="122" t="s">
        <v>276</v>
      </c>
      <c r="W18" s="122" t="s">
        <v>277</v>
      </c>
      <c r="X18" s="122" t="s">
        <v>603</v>
      </c>
      <c r="Y18" s="141" t="s">
        <v>11822</v>
      </c>
      <c r="Z18" s="122" t="s">
        <v>2106</v>
      </c>
      <c r="AA18" s="141" t="s">
        <v>1256</v>
      </c>
      <c r="AB18" s="122" t="s">
        <v>669</v>
      </c>
      <c r="AC18" s="141" t="s">
        <v>593</v>
      </c>
      <c r="AD18" s="122" t="s">
        <v>249</v>
      </c>
      <c r="AE18" s="122" t="s">
        <v>235</v>
      </c>
      <c r="AF18" s="122" t="s">
        <v>11877</v>
      </c>
      <c r="AG18" s="122" t="s">
        <v>359</v>
      </c>
      <c r="AH18" s="122" t="s">
        <v>253</v>
      </c>
      <c r="AI18" s="122" t="s">
        <v>11878</v>
      </c>
      <c r="AJ18" s="122" t="s">
        <v>253</v>
      </c>
      <c r="AK18" s="122" t="s">
        <v>253</v>
      </c>
      <c r="AL18" s="122" t="s">
        <v>253</v>
      </c>
      <c r="AM18" s="122" t="s">
        <v>253</v>
      </c>
      <c r="AN18" s="122" t="s">
        <v>253</v>
      </c>
      <c r="AO18" s="141" t="s">
        <v>247</v>
      </c>
      <c r="AP18" s="141" t="s">
        <v>253</v>
      </c>
      <c r="AQ18" s="141" t="s">
        <v>247</v>
      </c>
      <c r="AR18" s="141" t="s">
        <v>247</v>
      </c>
      <c r="AS18" s="141" t="s">
        <v>257</v>
      </c>
      <c r="AT18" s="141" t="s">
        <v>257</v>
      </c>
      <c r="AU18" s="141" t="s">
        <v>257</v>
      </c>
      <c r="AV18" s="122" t="s">
        <v>259</v>
      </c>
      <c r="AW18" s="122" t="s">
        <v>556</v>
      </c>
      <c r="AX18" s="141" t="s">
        <v>5018</v>
      </c>
      <c r="AY18" s="141" t="s">
        <v>631</v>
      </c>
      <c r="AZ18" s="122" t="s">
        <v>11879</v>
      </c>
      <c r="BA18" s="122" t="s">
        <v>262</v>
      </c>
      <c r="BB18" s="122" t="s">
        <v>262</v>
      </c>
      <c r="BD18" s="122" t="s">
        <v>253</v>
      </c>
      <c r="BE18" s="122" t="s">
        <v>263</v>
      </c>
      <c r="BF18" s="122" t="s">
        <v>11</v>
      </c>
      <c r="BH18" s="122" t="s">
        <v>245</v>
      </c>
      <c r="BI18" s="142">
        <v>220</v>
      </c>
      <c r="BK18" s="139" t="s">
        <v>558</v>
      </c>
    </row>
    <row r="19" spans="1:63" x14ac:dyDescent="0.25">
      <c r="A19" s="122" t="s">
        <v>6466</v>
      </c>
      <c r="B19" s="122" t="s">
        <v>11991</v>
      </c>
      <c r="C19" s="122" t="s">
        <v>11882</v>
      </c>
      <c r="D19" s="122" t="s">
        <v>11883</v>
      </c>
      <c r="E19" s="123">
        <v>42233</v>
      </c>
      <c r="F19" s="122" t="s">
        <v>668</v>
      </c>
      <c r="G19" s="122" t="s">
        <v>235</v>
      </c>
      <c r="H19" s="122" t="s">
        <v>11884</v>
      </c>
      <c r="I19" s="122" t="s">
        <v>7343</v>
      </c>
      <c r="J19" s="122" t="s">
        <v>11885</v>
      </c>
      <c r="K19" s="122" t="s">
        <v>238</v>
      </c>
      <c r="L19" s="122" t="s">
        <v>271</v>
      </c>
      <c r="M19" s="122" t="s">
        <v>7345</v>
      </c>
      <c r="O19" s="141" t="s">
        <v>451</v>
      </c>
      <c r="P19" s="141" t="s">
        <v>11886</v>
      </c>
      <c r="Q19" s="122" t="s">
        <v>243</v>
      </c>
      <c r="R19" s="142">
        <v>234</v>
      </c>
      <c r="S19" s="122" t="s">
        <v>11887</v>
      </c>
      <c r="U19" s="122" t="s">
        <v>245</v>
      </c>
      <c r="V19" s="122" t="s">
        <v>276</v>
      </c>
      <c r="W19" s="122" t="s">
        <v>277</v>
      </c>
      <c r="X19" s="122" t="s">
        <v>278</v>
      </c>
      <c r="Z19" s="122" t="s">
        <v>250</v>
      </c>
      <c r="AB19" s="122" t="s">
        <v>250</v>
      </c>
      <c r="AD19" s="122" t="s">
        <v>250</v>
      </c>
      <c r="AE19" s="122" t="s">
        <v>235</v>
      </c>
      <c r="AF19" s="122" t="s">
        <v>11888</v>
      </c>
      <c r="AG19" s="122" t="s">
        <v>11889</v>
      </c>
      <c r="AH19" s="122" t="s">
        <v>253</v>
      </c>
      <c r="AI19" s="122" t="s">
        <v>11890</v>
      </c>
      <c r="AJ19" s="122" t="s">
        <v>11891</v>
      </c>
      <c r="AK19" s="122" t="s">
        <v>253</v>
      </c>
      <c r="AL19" s="122" t="s">
        <v>253</v>
      </c>
      <c r="AM19" s="122" t="s">
        <v>253</v>
      </c>
      <c r="AN19" s="122" t="s">
        <v>253</v>
      </c>
      <c r="AO19" s="141" t="s">
        <v>247</v>
      </c>
      <c r="AP19" s="141" t="s">
        <v>247</v>
      </c>
      <c r="AQ19" s="141" t="s">
        <v>247</v>
      </c>
      <c r="AR19" s="141" t="s">
        <v>247</v>
      </c>
      <c r="AS19" s="141" t="s">
        <v>257</v>
      </c>
      <c r="AT19" s="141" t="s">
        <v>257</v>
      </c>
      <c r="AU19" s="141" t="s">
        <v>257</v>
      </c>
      <c r="AV19" s="122" t="s">
        <v>259</v>
      </c>
      <c r="AW19" s="122" t="s">
        <v>556</v>
      </c>
      <c r="AY19" s="141" t="s">
        <v>253</v>
      </c>
      <c r="AZ19" s="122" t="s">
        <v>11892</v>
      </c>
      <c r="BA19" s="122" t="s">
        <v>262</v>
      </c>
      <c r="BB19" s="122" t="s">
        <v>262</v>
      </c>
      <c r="BD19" s="122" t="s">
        <v>253</v>
      </c>
      <c r="BE19" s="122" t="s">
        <v>263</v>
      </c>
      <c r="BF19" s="122" t="s">
        <v>11</v>
      </c>
      <c r="BH19" s="122" t="s">
        <v>245</v>
      </c>
      <c r="BI19" s="142">
        <v>234</v>
      </c>
      <c r="BK19" s="139" t="s">
        <v>558</v>
      </c>
    </row>
    <row r="20" spans="1:63" x14ac:dyDescent="0.25">
      <c r="A20" s="122" t="s">
        <v>279</v>
      </c>
      <c r="B20" s="122" t="s">
        <v>11992</v>
      </c>
      <c r="C20" s="122" t="s">
        <v>11993</v>
      </c>
      <c r="D20" s="122" t="s">
        <v>11994</v>
      </c>
      <c r="E20" s="123">
        <v>42233</v>
      </c>
      <c r="F20" s="122" t="s">
        <v>11995</v>
      </c>
      <c r="G20" s="122" t="s">
        <v>235</v>
      </c>
      <c r="H20" s="122" t="s">
        <v>11996</v>
      </c>
      <c r="I20" s="122" t="s">
        <v>11997</v>
      </c>
      <c r="J20" s="122" t="s">
        <v>11998</v>
      </c>
      <c r="K20" s="122" t="s">
        <v>238</v>
      </c>
      <c r="L20" s="122" t="s">
        <v>320</v>
      </c>
      <c r="M20" s="122" t="s">
        <v>702</v>
      </c>
      <c r="O20" s="141" t="s">
        <v>548</v>
      </c>
      <c r="P20" s="141" t="s">
        <v>11999</v>
      </c>
      <c r="Q20" s="122" t="s">
        <v>243</v>
      </c>
      <c r="R20" s="142">
        <v>1</v>
      </c>
      <c r="S20" s="122" t="s">
        <v>12000</v>
      </c>
      <c r="U20" s="122" t="s">
        <v>589</v>
      </c>
      <c r="W20" s="122" t="s">
        <v>246</v>
      </c>
      <c r="X20" s="122" t="s">
        <v>1324</v>
      </c>
      <c r="Y20" s="141" t="s">
        <v>591</v>
      </c>
      <c r="Z20" s="122" t="s">
        <v>12001</v>
      </c>
      <c r="AA20" s="141" t="s">
        <v>570</v>
      </c>
      <c r="AB20" s="122" t="s">
        <v>12002</v>
      </c>
      <c r="AC20" s="141" t="s">
        <v>570</v>
      </c>
      <c r="AD20" s="122" t="s">
        <v>355</v>
      </c>
      <c r="AE20" s="122" t="s">
        <v>235</v>
      </c>
      <c r="AF20" s="122" t="s">
        <v>12003</v>
      </c>
      <c r="AG20" s="122" t="s">
        <v>537</v>
      </c>
      <c r="AH20" s="122" t="s">
        <v>253</v>
      </c>
      <c r="AI20" s="122" t="s">
        <v>12004</v>
      </c>
      <c r="AJ20" s="122" t="s">
        <v>12005</v>
      </c>
      <c r="AK20" s="122" t="s">
        <v>253</v>
      </c>
      <c r="AL20" s="122" t="s">
        <v>253</v>
      </c>
      <c r="AM20" s="122" t="s">
        <v>253</v>
      </c>
      <c r="AN20" s="122" t="s">
        <v>253</v>
      </c>
      <c r="AO20" s="141" t="s">
        <v>247</v>
      </c>
      <c r="AP20" s="141" t="s">
        <v>247</v>
      </c>
      <c r="AQ20" s="141" t="s">
        <v>247</v>
      </c>
      <c r="AR20" s="141" t="s">
        <v>253</v>
      </c>
      <c r="AS20" s="141" t="s">
        <v>601</v>
      </c>
      <c r="AT20" s="141" t="s">
        <v>601</v>
      </c>
      <c r="AU20" s="141" t="s">
        <v>258</v>
      </c>
      <c r="AV20" s="122" t="s">
        <v>259</v>
      </c>
      <c r="AW20" s="122" t="s">
        <v>260</v>
      </c>
      <c r="AY20" s="122" t="s">
        <v>253</v>
      </c>
      <c r="AZ20" s="122" t="s">
        <v>12006</v>
      </c>
      <c r="BA20" s="122" t="s">
        <v>262</v>
      </c>
      <c r="BB20" s="122" t="s">
        <v>262</v>
      </c>
      <c r="BD20" s="122" t="s">
        <v>253</v>
      </c>
      <c r="BE20" s="122" t="s">
        <v>263</v>
      </c>
      <c r="BF20" s="122" t="s">
        <v>605</v>
      </c>
      <c r="BH20" s="122" t="s">
        <v>589</v>
      </c>
      <c r="BI20" s="142">
        <v>1</v>
      </c>
    </row>
    <row r="21" spans="1:63" x14ac:dyDescent="0.25">
      <c r="A21" s="122" t="s">
        <v>279</v>
      </c>
      <c r="B21" s="122" t="s">
        <v>12007</v>
      </c>
      <c r="C21" s="122" t="s">
        <v>12008</v>
      </c>
      <c r="D21" s="122" t="s">
        <v>12009</v>
      </c>
      <c r="E21" s="123">
        <v>42233</v>
      </c>
      <c r="F21" s="122" t="s">
        <v>1337</v>
      </c>
      <c r="G21" s="122" t="s">
        <v>235</v>
      </c>
      <c r="H21" s="122" t="s">
        <v>448</v>
      </c>
      <c r="I21" s="122" t="s">
        <v>12010</v>
      </c>
      <c r="K21" s="122" t="s">
        <v>238</v>
      </c>
      <c r="L21" s="122" t="s">
        <v>320</v>
      </c>
      <c r="M21" s="122" t="s">
        <v>411</v>
      </c>
      <c r="O21" s="141" t="s">
        <v>548</v>
      </c>
      <c r="P21" s="141" t="s">
        <v>12011</v>
      </c>
      <c r="Q21" s="122" t="s">
        <v>243</v>
      </c>
      <c r="R21" s="142">
        <v>2</v>
      </c>
      <c r="S21" s="122" t="s">
        <v>12012</v>
      </c>
      <c r="U21" s="122" t="s">
        <v>589</v>
      </c>
      <c r="W21" s="122" t="s">
        <v>246</v>
      </c>
      <c r="X21" s="122" t="s">
        <v>1121</v>
      </c>
      <c r="Y21" s="141" t="s">
        <v>2717</v>
      </c>
      <c r="Z21" s="122" t="s">
        <v>6804</v>
      </c>
      <c r="AA21" s="141" t="s">
        <v>1423</v>
      </c>
      <c r="AB21" s="122" t="s">
        <v>6804</v>
      </c>
      <c r="AC21" s="141" t="s">
        <v>1398</v>
      </c>
      <c r="AD21" s="122" t="s">
        <v>6804</v>
      </c>
      <c r="AE21" s="122" t="s">
        <v>235</v>
      </c>
      <c r="AF21" s="122" t="s">
        <v>12013</v>
      </c>
      <c r="AG21" s="122" t="s">
        <v>537</v>
      </c>
      <c r="AH21" s="122" t="s">
        <v>253</v>
      </c>
      <c r="AI21" s="122" t="s">
        <v>12014</v>
      </c>
      <c r="AJ21" s="122" t="s">
        <v>12015</v>
      </c>
      <c r="AK21" s="122" t="s">
        <v>253</v>
      </c>
      <c r="AL21" s="122" t="s">
        <v>253</v>
      </c>
      <c r="AM21" s="122" t="s">
        <v>253</v>
      </c>
      <c r="AN21" s="122" t="s">
        <v>253</v>
      </c>
      <c r="AO21" s="141" t="s">
        <v>247</v>
      </c>
      <c r="AP21" s="141" t="s">
        <v>247</v>
      </c>
      <c r="AQ21" s="141" t="s">
        <v>253</v>
      </c>
      <c r="AR21" s="141" t="s">
        <v>253</v>
      </c>
      <c r="AS21" s="141" t="s">
        <v>601</v>
      </c>
      <c r="AT21" s="141" t="s">
        <v>258</v>
      </c>
      <c r="AU21" s="141" t="s">
        <v>258</v>
      </c>
      <c r="AV21" s="122" t="s">
        <v>259</v>
      </c>
      <c r="AW21" s="122" t="s">
        <v>260</v>
      </c>
      <c r="AY21" s="122" t="s">
        <v>253</v>
      </c>
      <c r="AZ21" s="122" t="s">
        <v>262</v>
      </c>
      <c r="BA21" s="122" t="s">
        <v>262</v>
      </c>
      <c r="BB21" s="122" t="s">
        <v>262</v>
      </c>
      <c r="BD21" s="122" t="s">
        <v>253</v>
      </c>
      <c r="BE21" s="122" t="s">
        <v>263</v>
      </c>
      <c r="BF21" s="122" t="s">
        <v>605</v>
      </c>
      <c r="BH21" s="122" t="s">
        <v>589</v>
      </c>
      <c r="BI21" s="142">
        <v>2</v>
      </c>
    </row>
    <row r="22" spans="1:63" x14ac:dyDescent="0.25">
      <c r="A22" s="122" t="s">
        <v>279</v>
      </c>
      <c r="B22" s="122" t="s">
        <v>12016</v>
      </c>
      <c r="C22" s="122" t="s">
        <v>12017</v>
      </c>
      <c r="D22" s="122" t="s">
        <v>12018</v>
      </c>
      <c r="E22" s="123">
        <v>42233</v>
      </c>
      <c r="F22" s="122" t="s">
        <v>12019</v>
      </c>
      <c r="G22" s="122" t="s">
        <v>235</v>
      </c>
      <c r="H22" s="122" t="s">
        <v>448</v>
      </c>
      <c r="I22" s="122" t="s">
        <v>12020</v>
      </c>
      <c r="K22" s="122" t="s">
        <v>238</v>
      </c>
      <c r="L22" s="122" t="s">
        <v>320</v>
      </c>
      <c r="M22" s="122" t="s">
        <v>612</v>
      </c>
      <c r="O22" s="141" t="s">
        <v>12021</v>
      </c>
      <c r="P22" s="141" t="s">
        <v>12022</v>
      </c>
      <c r="Q22" s="122" t="s">
        <v>243</v>
      </c>
      <c r="R22" s="142">
        <v>3</v>
      </c>
      <c r="S22" s="122" t="s">
        <v>12023</v>
      </c>
      <c r="T22" s="122" t="s">
        <v>12024</v>
      </c>
      <c r="U22" s="122" t="s">
        <v>589</v>
      </c>
      <c r="W22" s="122" t="s">
        <v>246</v>
      </c>
      <c r="X22" s="122" t="s">
        <v>278</v>
      </c>
      <c r="Y22" s="141" t="s">
        <v>740</v>
      </c>
      <c r="Z22" s="122" t="s">
        <v>1144</v>
      </c>
      <c r="AA22" s="141" t="s">
        <v>685</v>
      </c>
      <c r="AB22" s="122" t="s">
        <v>4541</v>
      </c>
      <c r="AC22" s="141" t="s">
        <v>356</v>
      </c>
      <c r="AD22" s="122" t="s">
        <v>518</v>
      </c>
      <c r="AE22" s="122" t="s">
        <v>235</v>
      </c>
      <c r="AF22" s="122" t="s">
        <v>12025</v>
      </c>
      <c r="AG22" s="122" t="s">
        <v>537</v>
      </c>
      <c r="AH22" s="122" t="s">
        <v>253</v>
      </c>
      <c r="AI22" s="122" t="s">
        <v>619</v>
      </c>
      <c r="AJ22" s="122" t="s">
        <v>12026</v>
      </c>
      <c r="AK22" s="122" t="s">
        <v>253</v>
      </c>
      <c r="AL22" s="122" t="s">
        <v>253</v>
      </c>
      <c r="AM22" s="122" t="s">
        <v>253</v>
      </c>
      <c r="AN22" s="122" t="s">
        <v>253</v>
      </c>
      <c r="AO22" s="141" t="s">
        <v>247</v>
      </c>
      <c r="AP22" s="141" t="s">
        <v>253</v>
      </c>
      <c r="AQ22" s="141" t="s">
        <v>253</v>
      </c>
      <c r="AR22" s="141" t="s">
        <v>253</v>
      </c>
      <c r="AS22" s="141" t="s">
        <v>601</v>
      </c>
      <c r="AT22" s="141" t="s">
        <v>258</v>
      </c>
      <c r="AU22" s="141" t="s">
        <v>258</v>
      </c>
      <c r="AV22" s="122" t="s">
        <v>259</v>
      </c>
      <c r="AW22" s="122" t="s">
        <v>260</v>
      </c>
      <c r="AY22" s="122" t="s">
        <v>253</v>
      </c>
      <c r="AZ22" s="122" t="s">
        <v>262</v>
      </c>
      <c r="BA22" s="122" t="s">
        <v>262</v>
      </c>
      <c r="BB22" s="122" t="s">
        <v>262</v>
      </c>
      <c r="BD22" s="122" t="s">
        <v>253</v>
      </c>
      <c r="BE22" s="122" t="s">
        <v>263</v>
      </c>
      <c r="BF22" s="122" t="s">
        <v>605</v>
      </c>
      <c r="BH22" s="122" t="s">
        <v>589</v>
      </c>
      <c r="BI22" s="142">
        <v>3</v>
      </c>
    </row>
    <row r="23" spans="1:63" x14ac:dyDescent="0.25">
      <c r="A23" s="122" t="s">
        <v>326</v>
      </c>
      <c r="B23" s="122" t="s">
        <v>12027</v>
      </c>
      <c r="C23" s="122" t="s">
        <v>12028</v>
      </c>
      <c r="D23" s="122" t="s">
        <v>12029</v>
      </c>
      <c r="E23" s="123">
        <v>42233</v>
      </c>
      <c r="F23" s="122" t="s">
        <v>12030</v>
      </c>
      <c r="G23" s="122" t="s">
        <v>235</v>
      </c>
      <c r="H23" s="122" t="s">
        <v>12031</v>
      </c>
      <c r="I23" s="122" t="s">
        <v>12032</v>
      </c>
      <c r="J23" s="122" t="s">
        <v>12033</v>
      </c>
      <c r="K23" s="122" t="s">
        <v>238</v>
      </c>
      <c r="L23" s="122" t="s">
        <v>239</v>
      </c>
      <c r="M23" s="122" t="s">
        <v>240</v>
      </c>
      <c r="O23" s="141" t="s">
        <v>665</v>
      </c>
      <c r="P23" s="141" t="s">
        <v>12034</v>
      </c>
      <c r="Q23" s="122" t="s">
        <v>243</v>
      </c>
      <c r="R23" s="142">
        <v>4</v>
      </c>
      <c r="S23" s="122" t="s">
        <v>12035</v>
      </c>
      <c r="T23" s="122" t="s">
        <v>12036</v>
      </c>
      <c r="U23" s="122" t="s">
        <v>589</v>
      </c>
      <c r="W23" s="122" t="s">
        <v>246</v>
      </c>
      <c r="X23" s="122" t="s">
        <v>1377</v>
      </c>
      <c r="Y23" s="141" t="s">
        <v>707</v>
      </c>
      <c r="Z23" s="122" t="s">
        <v>12037</v>
      </c>
      <c r="AA23" s="141" t="s">
        <v>2225</v>
      </c>
      <c r="AB23" s="122" t="s">
        <v>1746</v>
      </c>
      <c r="AC23" s="141" t="s">
        <v>5523</v>
      </c>
      <c r="AD23" s="122" t="s">
        <v>1678</v>
      </c>
      <c r="AE23" s="122" t="s">
        <v>235</v>
      </c>
      <c r="AF23" s="122" t="s">
        <v>12038</v>
      </c>
      <c r="AG23" s="122" t="s">
        <v>537</v>
      </c>
      <c r="AH23" s="122" t="s">
        <v>253</v>
      </c>
      <c r="AI23" s="122" t="s">
        <v>12039</v>
      </c>
      <c r="AJ23" s="122" t="s">
        <v>12040</v>
      </c>
      <c r="AK23" s="122" t="s">
        <v>253</v>
      </c>
      <c r="AL23" s="122" t="s">
        <v>253</v>
      </c>
      <c r="AM23" s="122" t="s">
        <v>253</v>
      </c>
      <c r="AN23" s="122" t="s">
        <v>253</v>
      </c>
      <c r="AO23" s="141" t="s">
        <v>247</v>
      </c>
      <c r="AP23" s="141" t="s">
        <v>247</v>
      </c>
      <c r="AQ23" s="141" t="s">
        <v>253</v>
      </c>
      <c r="AR23" s="141" t="s">
        <v>253</v>
      </c>
      <c r="AS23" s="141" t="s">
        <v>601</v>
      </c>
      <c r="AT23" s="141" t="s">
        <v>258</v>
      </c>
      <c r="AU23" s="141" t="s">
        <v>258</v>
      </c>
      <c r="AV23" s="122" t="s">
        <v>259</v>
      </c>
      <c r="AW23" s="122" t="s">
        <v>260</v>
      </c>
      <c r="AY23" s="122" t="s">
        <v>253</v>
      </c>
      <c r="AZ23" s="122" t="s">
        <v>12041</v>
      </c>
      <c r="BA23" s="122" t="s">
        <v>12042</v>
      </c>
      <c r="BB23" s="122" t="s">
        <v>12043</v>
      </c>
      <c r="BD23" s="122" t="s">
        <v>253</v>
      </c>
      <c r="BE23" s="122" t="s">
        <v>263</v>
      </c>
      <c r="BF23" s="122" t="s">
        <v>605</v>
      </c>
      <c r="BH23" s="122" t="s">
        <v>589</v>
      </c>
      <c r="BI23" s="142">
        <v>4</v>
      </c>
    </row>
    <row r="24" spans="1:63" x14ac:dyDescent="0.25">
      <c r="A24" s="122" t="s">
        <v>326</v>
      </c>
      <c r="B24" s="122" t="s">
        <v>12044</v>
      </c>
      <c r="C24" s="122" t="s">
        <v>12045</v>
      </c>
      <c r="D24" s="122" t="s">
        <v>12046</v>
      </c>
      <c r="E24" s="123">
        <v>42233</v>
      </c>
      <c r="F24" s="122" t="s">
        <v>1258</v>
      </c>
      <c r="G24" s="122" t="s">
        <v>235</v>
      </c>
      <c r="H24" s="122" t="s">
        <v>12047</v>
      </c>
      <c r="I24" s="122" t="s">
        <v>12048</v>
      </c>
      <c r="K24" s="122" t="s">
        <v>238</v>
      </c>
      <c r="L24" s="122" t="s">
        <v>320</v>
      </c>
      <c r="M24" s="122" t="s">
        <v>915</v>
      </c>
      <c r="Q24" s="122" t="s">
        <v>243</v>
      </c>
      <c r="R24" s="142">
        <v>5</v>
      </c>
      <c r="S24" s="122" t="s">
        <v>12049</v>
      </c>
      <c r="T24" s="122" t="s">
        <v>12050</v>
      </c>
      <c r="U24" s="122" t="s">
        <v>589</v>
      </c>
      <c r="W24" s="122" t="s">
        <v>246</v>
      </c>
      <c r="X24" s="122" t="s">
        <v>1377</v>
      </c>
      <c r="Y24" s="141" t="s">
        <v>595</v>
      </c>
      <c r="Z24" s="122" t="s">
        <v>355</v>
      </c>
      <c r="AA24" s="141" t="s">
        <v>595</v>
      </c>
      <c r="AB24" s="122" t="s">
        <v>12051</v>
      </c>
      <c r="AC24" s="141" t="s">
        <v>855</v>
      </c>
      <c r="AD24" s="122" t="s">
        <v>395</v>
      </c>
      <c r="AE24" s="122" t="s">
        <v>235</v>
      </c>
      <c r="AF24" s="122" t="s">
        <v>12052</v>
      </c>
      <c r="AG24" s="122" t="s">
        <v>537</v>
      </c>
      <c r="AH24" s="122" t="s">
        <v>253</v>
      </c>
      <c r="AI24" s="122" t="s">
        <v>619</v>
      </c>
      <c r="AJ24" s="122" t="s">
        <v>12053</v>
      </c>
      <c r="AK24" s="122" t="s">
        <v>253</v>
      </c>
      <c r="AL24" s="122" t="s">
        <v>253</v>
      </c>
      <c r="AM24" s="122" t="s">
        <v>253</v>
      </c>
      <c r="AN24" s="122" t="s">
        <v>253</v>
      </c>
      <c r="AO24" s="141" t="s">
        <v>247</v>
      </c>
      <c r="AP24" s="141" t="s">
        <v>253</v>
      </c>
      <c r="AQ24" s="141" t="s">
        <v>253</v>
      </c>
      <c r="AR24" s="141" t="s">
        <v>253</v>
      </c>
      <c r="AS24" s="141" t="s">
        <v>601</v>
      </c>
      <c r="AT24" s="141" t="s">
        <v>258</v>
      </c>
      <c r="AU24" s="141" t="s">
        <v>258</v>
      </c>
      <c r="AV24" s="122" t="s">
        <v>259</v>
      </c>
      <c r="AW24" s="122" t="s">
        <v>260</v>
      </c>
      <c r="AX24" s="141" t="s">
        <v>7915</v>
      </c>
      <c r="AY24" s="122" t="s">
        <v>603</v>
      </c>
      <c r="AZ24" s="122" t="s">
        <v>12054</v>
      </c>
      <c r="BA24" s="122" t="s">
        <v>262</v>
      </c>
      <c r="BB24" s="122" t="s">
        <v>12055</v>
      </c>
      <c r="BD24" s="122" t="s">
        <v>253</v>
      </c>
      <c r="BE24" s="122" t="s">
        <v>263</v>
      </c>
      <c r="BF24" s="122" t="s">
        <v>605</v>
      </c>
      <c r="BH24" s="122" t="s">
        <v>589</v>
      </c>
      <c r="BI24" s="142">
        <v>5</v>
      </c>
    </row>
    <row r="25" spans="1:63" x14ac:dyDescent="0.25">
      <c r="A25" s="122" t="s">
        <v>326</v>
      </c>
      <c r="B25" s="122" t="s">
        <v>12056</v>
      </c>
      <c r="C25" s="122" t="s">
        <v>12057</v>
      </c>
      <c r="D25" s="122" t="s">
        <v>12058</v>
      </c>
      <c r="E25" s="123">
        <v>42233</v>
      </c>
      <c r="F25" s="122" t="s">
        <v>2363</v>
      </c>
      <c r="G25" s="122" t="s">
        <v>235</v>
      </c>
      <c r="H25" s="122" t="s">
        <v>12059</v>
      </c>
      <c r="I25" s="122" t="s">
        <v>12060</v>
      </c>
      <c r="K25" s="122" t="s">
        <v>238</v>
      </c>
      <c r="L25" s="122" t="s">
        <v>320</v>
      </c>
      <c r="M25" s="122" t="s">
        <v>648</v>
      </c>
      <c r="O25" s="141" t="s">
        <v>390</v>
      </c>
      <c r="P25" s="141" t="s">
        <v>12061</v>
      </c>
      <c r="Q25" s="122" t="s">
        <v>243</v>
      </c>
      <c r="R25" s="142">
        <v>6</v>
      </c>
      <c r="S25" s="122" t="s">
        <v>12062</v>
      </c>
      <c r="U25" s="122" t="s">
        <v>589</v>
      </c>
      <c r="W25" s="122" t="s">
        <v>246</v>
      </c>
      <c r="X25" s="122" t="s">
        <v>3147</v>
      </c>
      <c r="Y25" s="141" t="s">
        <v>2899</v>
      </c>
      <c r="Z25" s="122" t="s">
        <v>12063</v>
      </c>
      <c r="AA25" s="141" t="s">
        <v>784</v>
      </c>
      <c r="AB25" s="122" t="s">
        <v>12064</v>
      </c>
      <c r="AC25" s="141" t="s">
        <v>744</v>
      </c>
      <c r="AD25" s="122" t="s">
        <v>11093</v>
      </c>
      <c r="AE25" s="122" t="s">
        <v>235</v>
      </c>
      <c r="AF25" s="122" t="s">
        <v>12065</v>
      </c>
      <c r="AG25" s="122" t="s">
        <v>537</v>
      </c>
      <c r="AH25" s="122" t="s">
        <v>253</v>
      </c>
      <c r="AI25" s="122" t="s">
        <v>12066</v>
      </c>
      <c r="AJ25" s="122" t="s">
        <v>12067</v>
      </c>
      <c r="AK25" s="122" t="s">
        <v>253</v>
      </c>
      <c r="AL25" s="122" t="s">
        <v>253</v>
      </c>
      <c r="AM25" s="122" t="s">
        <v>253</v>
      </c>
      <c r="AN25" s="122" t="s">
        <v>253</v>
      </c>
      <c r="AO25" s="141" t="s">
        <v>247</v>
      </c>
      <c r="AP25" s="141" t="s">
        <v>247</v>
      </c>
      <c r="AQ25" s="141" t="s">
        <v>247</v>
      </c>
      <c r="AR25" s="141" t="s">
        <v>247</v>
      </c>
      <c r="AS25" s="141" t="s">
        <v>601</v>
      </c>
      <c r="AT25" s="141" t="s">
        <v>601</v>
      </c>
      <c r="AU25" s="141" t="s">
        <v>257</v>
      </c>
      <c r="AV25" s="122" t="s">
        <v>259</v>
      </c>
      <c r="AW25" s="122" t="s">
        <v>260</v>
      </c>
      <c r="AY25" s="122" t="s">
        <v>253</v>
      </c>
      <c r="AZ25" s="122" t="s">
        <v>12068</v>
      </c>
      <c r="BA25" s="122" t="s">
        <v>262</v>
      </c>
      <c r="BB25" s="122" t="s">
        <v>262</v>
      </c>
      <c r="BD25" s="122" t="s">
        <v>253</v>
      </c>
      <c r="BE25" s="122" t="s">
        <v>263</v>
      </c>
      <c r="BF25" s="122" t="s">
        <v>605</v>
      </c>
      <c r="BH25" s="122" t="s">
        <v>589</v>
      </c>
      <c r="BI25" s="142">
        <v>6</v>
      </c>
    </row>
    <row r="26" spans="1:63" x14ac:dyDescent="0.25">
      <c r="A26" s="122" t="s">
        <v>326</v>
      </c>
      <c r="B26" s="122" t="s">
        <v>12069</v>
      </c>
      <c r="C26" s="122" t="s">
        <v>12070</v>
      </c>
      <c r="D26" s="122" t="s">
        <v>12071</v>
      </c>
      <c r="E26" s="123">
        <v>42233</v>
      </c>
      <c r="F26" s="122" t="s">
        <v>417</v>
      </c>
      <c r="G26" s="122" t="s">
        <v>235</v>
      </c>
      <c r="H26" s="122" t="s">
        <v>448</v>
      </c>
      <c r="I26" s="122" t="s">
        <v>12072</v>
      </c>
      <c r="K26" s="122" t="s">
        <v>238</v>
      </c>
      <c r="L26" s="122" t="s">
        <v>320</v>
      </c>
      <c r="M26" s="122" t="s">
        <v>1019</v>
      </c>
      <c r="O26" s="141" t="s">
        <v>373</v>
      </c>
      <c r="P26" s="141" t="s">
        <v>12073</v>
      </c>
      <c r="Q26" s="122" t="s">
        <v>243</v>
      </c>
      <c r="R26" s="142">
        <v>7</v>
      </c>
      <c r="S26" s="122" t="s">
        <v>12074</v>
      </c>
      <c r="U26" s="122" t="s">
        <v>589</v>
      </c>
      <c r="W26" s="122" t="s">
        <v>246</v>
      </c>
      <c r="X26" s="122" t="s">
        <v>4409</v>
      </c>
      <c r="Y26" s="141" t="s">
        <v>2979</v>
      </c>
      <c r="Z26" s="122" t="s">
        <v>1568</v>
      </c>
      <c r="AB26" s="122" t="s">
        <v>250</v>
      </c>
      <c r="AD26" s="122" t="s">
        <v>250</v>
      </c>
      <c r="AE26" s="122" t="s">
        <v>235</v>
      </c>
      <c r="AF26" s="122" t="s">
        <v>12075</v>
      </c>
      <c r="AG26" s="122" t="s">
        <v>537</v>
      </c>
      <c r="AH26" s="122" t="s">
        <v>253</v>
      </c>
      <c r="AI26" s="122" t="s">
        <v>12076</v>
      </c>
      <c r="AJ26" s="122" t="s">
        <v>12077</v>
      </c>
      <c r="AK26" s="122" t="s">
        <v>253</v>
      </c>
      <c r="AL26" s="122" t="s">
        <v>253</v>
      </c>
      <c r="AM26" s="122" t="s">
        <v>253</v>
      </c>
      <c r="AN26" s="122" t="s">
        <v>253</v>
      </c>
      <c r="AO26" s="141" t="s">
        <v>253</v>
      </c>
      <c r="AP26" s="141" t="s">
        <v>253</v>
      </c>
      <c r="AQ26" s="141" t="s">
        <v>247</v>
      </c>
      <c r="AR26" s="141" t="s">
        <v>253</v>
      </c>
      <c r="AS26" s="141" t="s">
        <v>361</v>
      </c>
      <c r="AT26" s="141" t="s">
        <v>601</v>
      </c>
      <c r="AU26" s="141" t="s">
        <v>258</v>
      </c>
      <c r="AV26" s="122" t="s">
        <v>259</v>
      </c>
      <c r="AW26" s="122" t="s">
        <v>260</v>
      </c>
      <c r="AY26" s="122" t="s">
        <v>253</v>
      </c>
      <c r="AZ26" s="122" t="s">
        <v>262</v>
      </c>
      <c r="BA26" s="122" t="s">
        <v>262</v>
      </c>
      <c r="BB26" s="122" t="s">
        <v>12078</v>
      </c>
      <c r="BD26" s="122" t="s">
        <v>253</v>
      </c>
      <c r="BE26" s="122" t="s">
        <v>263</v>
      </c>
      <c r="BF26" s="122" t="s">
        <v>605</v>
      </c>
      <c r="BH26" s="122" t="s">
        <v>589</v>
      </c>
      <c r="BI26" s="142">
        <v>7</v>
      </c>
    </row>
    <row r="27" spans="1:63" x14ac:dyDescent="0.25">
      <c r="A27" s="122" t="s">
        <v>11841</v>
      </c>
      <c r="B27" s="122" t="s">
        <v>12079</v>
      </c>
      <c r="C27" s="122" t="s">
        <v>12080</v>
      </c>
      <c r="D27" s="122" t="s">
        <v>12081</v>
      </c>
      <c r="E27" s="123">
        <v>42233</v>
      </c>
      <c r="F27" s="122" t="s">
        <v>672</v>
      </c>
      <c r="G27" s="122" t="s">
        <v>235</v>
      </c>
      <c r="H27" s="122" t="s">
        <v>12082</v>
      </c>
      <c r="I27" s="122" t="s">
        <v>12083</v>
      </c>
      <c r="J27" s="122" t="s">
        <v>1053</v>
      </c>
      <c r="K27" s="122" t="s">
        <v>238</v>
      </c>
      <c r="L27" s="122" t="s">
        <v>239</v>
      </c>
      <c r="M27" s="122" t="s">
        <v>240</v>
      </c>
      <c r="O27" s="141" t="s">
        <v>1240</v>
      </c>
      <c r="P27" s="141" t="s">
        <v>12084</v>
      </c>
      <c r="Q27" s="122" t="s">
        <v>243</v>
      </c>
      <c r="R27" s="142">
        <v>8</v>
      </c>
      <c r="S27" s="122" t="s">
        <v>12085</v>
      </c>
      <c r="U27" s="122" t="s">
        <v>589</v>
      </c>
      <c r="W27" s="122" t="s">
        <v>246</v>
      </c>
      <c r="X27" s="122" t="s">
        <v>278</v>
      </c>
      <c r="Y27" s="141" t="s">
        <v>591</v>
      </c>
      <c r="Z27" s="122" t="s">
        <v>12086</v>
      </c>
      <c r="AA27" s="141" t="s">
        <v>707</v>
      </c>
      <c r="AB27" s="122" t="s">
        <v>1792</v>
      </c>
      <c r="AC27" s="141" t="s">
        <v>901</v>
      </c>
      <c r="AD27" s="122" t="s">
        <v>355</v>
      </c>
      <c r="AE27" s="122" t="s">
        <v>235</v>
      </c>
      <c r="AF27" s="122" t="s">
        <v>12087</v>
      </c>
      <c r="AG27" s="122" t="s">
        <v>12088</v>
      </c>
      <c r="AH27" s="122" t="s">
        <v>253</v>
      </c>
      <c r="AI27" s="122" t="s">
        <v>12089</v>
      </c>
      <c r="AJ27" s="122" t="s">
        <v>12090</v>
      </c>
      <c r="AK27" s="122" t="s">
        <v>253</v>
      </c>
      <c r="AL27" s="122" t="s">
        <v>253</v>
      </c>
      <c r="AM27" s="122" t="s">
        <v>253</v>
      </c>
      <c r="AN27" s="122" t="s">
        <v>253</v>
      </c>
      <c r="AO27" s="141" t="s">
        <v>247</v>
      </c>
      <c r="AP27" s="141" t="s">
        <v>247</v>
      </c>
      <c r="AQ27" s="141" t="s">
        <v>247</v>
      </c>
      <c r="AR27" s="141" t="s">
        <v>247</v>
      </c>
      <c r="AS27" s="141" t="s">
        <v>601</v>
      </c>
      <c r="AT27" s="141" t="s">
        <v>601</v>
      </c>
      <c r="AU27" s="141" t="s">
        <v>601</v>
      </c>
      <c r="AV27" s="122" t="s">
        <v>259</v>
      </c>
      <c r="AW27" s="122" t="s">
        <v>260</v>
      </c>
      <c r="AY27" s="122" t="s">
        <v>253</v>
      </c>
      <c r="AZ27" s="122" t="s">
        <v>12091</v>
      </c>
      <c r="BA27" s="122" t="s">
        <v>262</v>
      </c>
      <c r="BB27" s="122" t="s">
        <v>12091</v>
      </c>
      <c r="BD27" s="122" t="s">
        <v>253</v>
      </c>
      <c r="BE27" s="122" t="s">
        <v>263</v>
      </c>
      <c r="BF27" s="122" t="s">
        <v>605</v>
      </c>
      <c r="BH27" s="122" t="s">
        <v>589</v>
      </c>
      <c r="BI27" s="142">
        <v>8</v>
      </c>
    </row>
    <row r="28" spans="1:63" x14ac:dyDescent="0.25">
      <c r="A28" s="122" t="s">
        <v>11841</v>
      </c>
      <c r="B28" s="122" t="s">
        <v>12092</v>
      </c>
      <c r="C28" s="122" t="s">
        <v>12093</v>
      </c>
      <c r="D28" s="122" t="s">
        <v>12094</v>
      </c>
      <c r="E28" s="123">
        <v>42233</v>
      </c>
      <c r="F28" s="122" t="s">
        <v>12095</v>
      </c>
      <c r="G28" s="122" t="s">
        <v>235</v>
      </c>
      <c r="H28" s="122" t="s">
        <v>12096</v>
      </c>
      <c r="I28" s="122" t="s">
        <v>12097</v>
      </c>
      <c r="K28" s="122" t="s">
        <v>238</v>
      </c>
      <c r="L28" s="122" t="s">
        <v>320</v>
      </c>
      <c r="M28" s="122" t="s">
        <v>612</v>
      </c>
      <c r="N28" s="122" t="s">
        <v>12098</v>
      </c>
      <c r="O28" s="141" t="s">
        <v>273</v>
      </c>
      <c r="P28" s="141" t="s">
        <v>12099</v>
      </c>
      <c r="Q28" s="122" t="s">
        <v>243</v>
      </c>
      <c r="R28" s="142">
        <v>9</v>
      </c>
      <c r="S28" s="122" t="s">
        <v>12100</v>
      </c>
      <c r="U28" s="122" t="s">
        <v>589</v>
      </c>
      <c r="W28" s="122" t="s">
        <v>246</v>
      </c>
      <c r="X28" s="122" t="s">
        <v>551</v>
      </c>
      <c r="Y28" s="141" t="s">
        <v>6551</v>
      </c>
      <c r="Z28" s="122" t="s">
        <v>12101</v>
      </c>
      <c r="AA28" s="141" t="s">
        <v>248</v>
      </c>
      <c r="AB28" s="122" t="s">
        <v>12101</v>
      </c>
      <c r="AC28" s="141" t="s">
        <v>1325</v>
      </c>
      <c r="AD28" s="122" t="s">
        <v>12101</v>
      </c>
      <c r="AE28" s="122" t="s">
        <v>235</v>
      </c>
      <c r="AF28" s="122" t="s">
        <v>1531</v>
      </c>
      <c r="AG28" s="122" t="s">
        <v>537</v>
      </c>
      <c r="AH28" s="122" t="s">
        <v>253</v>
      </c>
      <c r="AI28" s="122" t="s">
        <v>12102</v>
      </c>
      <c r="AJ28" s="122" t="s">
        <v>859</v>
      </c>
      <c r="AK28" s="122" t="s">
        <v>253</v>
      </c>
      <c r="AL28" s="122" t="s">
        <v>253</v>
      </c>
      <c r="AM28" s="122" t="s">
        <v>253</v>
      </c>
      <c r="AN28" s="122" t="s">
        <v>253</v>
      </c>
      <c r="AO28" s="141" t="s">
        <v>247</v>
      </c>
      <c r="AP28" s="141" t="s">
        <v>247</v>
      </c>
      <c r="AQ28" s="141" t="s">
        <v>247</v>
      </c>
      <c r="AR28" s="141" t="s">
        <v>253</v>
      </c>
      <c r="AS28" s="141" t="s">
        <v>601</v>
      </c>
      <c r="AT28" s="141" t="s">
        <v>601</v>
      </c>
      <c r="AU28" s="141" t="s">
        <v>258</v>
      </c>
      <c r="AV28" s="122" t="s">
        <v>259</v>
      </c>
      <c r="AW28" s="122" t="s">
        <v>260</v>
      </c>
      <c r="AX28" s="141" t="s">
        <v>5239</v>
      </c>
      <c r="AY28" s="122" t="s">
        <v>247</v>
      </c>
      <c r="AZ28" s="122" t="s">
        <v>12103</v>
      </c>
      <c r="BA28" s="122" t="s">
        <v>262</v>
      </c>
      <c r="BB28" s="122" t="s">
        <v>262</v>
      </c>
      <c r="BD28" s="122" t="s">
        <v>253</v>
      </c>
      <c r="BE28" s="122" t="s">
        <v>263</v>
      </c>
      <c r="BF28" s="122" t="s">
        <v>605</v>
      </c>
      <c r="BH28" s="122" t="s">
        <v>589</v>
      </c>
      <c r="BI28" s="142">
        <v>9</v>
      </c>
    </row>
    <row r="29" spans="1:63" x14ac:dyDescent="0.25">
      <c r="A29" s="122" t="s">
        <v>11841</v>
      </c>
      <c r="B29" s="122" t="s">
        <v>12104</v>
      </c>
      <c r="C29" s="122" t="s">
        <v>12105</v>
      </c>
      <c r="D29" s="122" t="s">
        <v>12106</v>
      </c>
      <c r="E29" s="123">
        <v>42233</v>
      </c>
      <c r="F29" s="122" t="s">
        <v>1289</v>
      </c>
      <c r="G29" s="122" t="s">
        <v>235</v>
      </c>
      <c r="H29" s="122" t="s">
        <v>12107</v>
      </c>
      <c r="I29" s="122" t="s">
        <v>12108</v>
      </c>
      <c r="J29" s="122" t="s">
        <v>12109</v>
      </c>
      <c r="K29" s="122" t="s">
        <v>238</v>
      </c>
      <c r="L29" s="122" t="s">
        <v>320</v>
      </c>
      <c r="M29" s="122" t="s">
        <v>585</v>
      </c>
      <c r="Q29" s="122" t="s">
        <v>243</v>
      </c>
      <c r="R29" s="142">
        <v>10</v>
      </c>
      <c r="S29" s="122" t="s">
        <v>12110</v>
      </c>
      <c r="T29" s="122" t="s">
        <v>12111</v>
      </c>
      <c r="U29" s="122" t="s">
        <v>589</v>
      </c>
      <c r="W29" s="122" t="s">
        <v>246</v>
      </c>
      <c r="X29" s="122" t="s">
        <v>278</v>
      </c>
      <c r="Y29" s="141" t="s">
        <v>9173</v>
      </c>
      <c r="Z29" s="122" t="s">
        <v>355</v>
      </c>
      <c r="AA29" s="141" t="s">
        <v>230</v>
      </c>
      <c r="AB29" s="122" t="s">
        <v>12112</v>
      </c>
      <c r="AC29" s="141" t="s">
        <v>3039</v>
      </c>
      <c r="AD29" s="122" t="s">
        <v>395</v>
      </c>
      <c r="AE29" s="122" t="s">
        <v>235</v>
      </c>
      <c r="AF29" s="122" t="s">
        <v>12113</v>
      </c>
      <c r="AG29" s="122" t="s">
        <v>12114</v>
      </c>
      <c r="AH29" s="122" t="s">
        <v>253</v>
      </c>
      <c r="AI29" s="122" t="s">
        <v>12115</v>
      </c>
      <c r="AJ29" s="122" t="s">
        <v>12116</v>
      </c>
      <c r="AK29" s="122" t="s">
        <v>253</v>
      </c>
      <c r="AL29" s="122" t="s">
        <v>253</v>
      </c>
      <c r="AM29" s="122" t="s">
        <v>253</v>
      </c>
      <c r="AN29" s="122" t="s">
        <v>253</v>
      </c>
      <c r="AO29" s="141" t="s">
        <v>247</v>
      </c>
      <c r="AP29" s="141" t="s">
        <v>247</v>
      </c>
      <c r="AQ29" s="141" t="s">
        <v>247</v>
      </c>
      <c r="AR29" s="141" t="s">
        <v>247</v>
      </c>
      <c r="AS29" s="141" t="s">
        <v>601</v>
      </c>
      <c r="AT29" s="141" t="s">
        <v>601</v>
      </c>
      <c r="AU29" s="141" t="s">
        <v>257</v>
      </c>
      <c r="AV29" s="122" t="s">
        <v>259</v>
      </c>
      <c r="AW29" s="122" t="s">
        <v>260</v>
      </c>
      <c r="AY29" s="122" t="s">
        <v>253</v>
      </c>
      <c r="AZ29" s="122" t="s">
        <v>12117</v>
      </c>
      <c r="BA29" s="122" t="s">
        <v>262</v>
      </c>
      <c r="BB29" s="122" t="s">
        <v>262</v>
      </c>
      <c r="BD29" s="122" t="s">
        <v>253</v>
      </c>
      <c r="BE29" s="122" t="s">
        <v>263</v>
      </c>
      <c r="BF29" s="122" t="s">
        <v>605</v>
      </c>
      <c r="BH29" s="122" t="s">
        <v>589</v>
      </c>
      <c r="BI29" s="142">
        <v>10</v>
      </c>
    </row>
    <row r="30" spans="1:63" x14ac:dyDescent="0.25">
      <c r="A30" s="122" t="s">
        <v>11841</v>
      </c>
      <c r="B30" s="122" t="s">
        <v>12118</v>
      </c>
      <c r="C30" s="122" t="s">
        <v>12119</v>
      </c>
      <c r="D30" s="122" t="s">
        <v>12120</v>
      </c>
      <c r="E30" s="123">
        <v>42233</v>
      </c>
      <c r="F30" s="122" t="s">
        <v>12121</v>
      </c>
      <c r="G30" s="122" t="s">
        <v>235</v>
      </c>
      <c r="H30" s="122" t="s">
        <v>12122</v>
      </c>
      <c r="I30" s="122" t="s">
        <v>12123</v>
      </c>
      <c r="J30" s="122" t="s">
        <v>1239</v>
      </c>
      <c r="K30" s="122" t="s">
        <v>238</v>
      </c>
      <c r="L30" s="122" t="s">
        <v>320</v>
      </c>
      <c r="M30" s="122" t="s">
        <v>1019</v>
      </c>
      <c r="O30" s="141" t="s">
        <v>10493</v>
      </c>
      <c r="P30" s="141" t="s">
        <v>12124</v>
      </c>
      <c r="Q30" s="122" t="s">
        <v>243</v>
      </c>
      <c r="R30" s="142">
        <v>11</v>
      </c>
      <c r="S30" s="122" t="s">
        <v>12125</v>
      </c>
      <c r="U30" s="122" t="s">
        <v>589</v>
      </c>
      <c r="W30" s="122" t="s">
        <v>246</v>
      </c>
      <c r="X30" s="122" t="s">
        <v>2624</v>
      </c>
      <c r="Y30" s="141" t="s">
        <v>511</v>
      </c>
      <c r="Z30" s="122" t="s">
        <v>12126</v>
      </c>
      <c r="AA30" s="141" t="s">
        <v>819</v>
      </c>
      <c r="AB30" s="122" t="s">
        <v>12127</v>
      </c>
      <c r="AC30" s="141" t="s">
        <v>1179</v>
      </c>
      <c r="AD30" s="122" t="s">
        <v>12128</v>
      </c>
      <c r="AE30" s="122" t="s">
        <v>235</v>
      </c>
      <c r="AF30" s="122" t="s">
        <v>12129</v>
      </c>
      <c r="AG30" s="122" t="s">
        <v>253</v>
      </c>
      <c r="AH30" s="122" t="s">
        <v>253</v>
      </c>
      <c r="AI30" s="122" t="s">
        <v>12130</v>
      </c>
      <c r="AJ30" s="122" t="s">
        <v>12131</v>
      </c>
      <c r="AK30" s="122" t="s">
        <v>12132</v>
      </c>
      <c r="AL30" s="122" t="s">
        <v>253</v>
      </c>
      <c r="AM30" s="122" t="s">
        <v>253</v>
      </c>
      <c r="AN30" s="122" t="s">
        <v>253</v>
      </c>
      <c r="AO30" s="141" t="s">
        <v>247</v>
      </c>
      <c r="AP30" s="141" t="s">
        <v>247</v>
      </c>
      <c r="AQ30" s="141" t="s">
        <v>247</v>
      </c>
      <c r="AR30" s="141" t="s">
        <v>253</v>
      </c>
      <c r="AS30" s="141" t="s">
        <v>601</v>
      </c>
      <c r="AT30" s="141" t="s">
        <v>601</v>
      </c>
      <c r="AU30" s="141" t="s">
        <v>258</v>
      </c>
      <c r="AV30" s="122" t="s">
        <v>259</v>
      </c>
      <c r="AW30" s="122" t="s">
        <v>260</v>
      </c>
      <c r="AY30" s="122" t="s">
        <v>253</v>
      </c>
      <c r="AZ30" s="122" t="s">
        <v>12133</v>
      </c>
      <c r="BA30" s="122" t="s">
        <v>262</v>
      </c>
      <c r="BB30" s="122" t="s">
        <v>12133</v>
      </c>
      <c r="BC30" s="141" t="s">
        <v>312</v>
      </c>
      <c r="BD30" s="122" t="s">
        <v>253</v>
      </c>
      <c r="BE30" s="122" t="s">
        <v>263</v>
      </c>
      <c r="BF30" s="122" t="s">
        <v>605</v>
      </c>
      <c r="BH30" s="122" t="s">
        <v>589</v>
      </c>
      <c r="BI30" s="142">
        <v>11</v>
      </c>
    </row>
    <row r="31" spans="1:63" x14ac:dyDescent="0.25">
      <c r="A31" s="122" t="s">
        <v>11841</v>
      </c>
      <c r="B31" s="122" t="s">
        <v>12134</v>
      </c>
      <c r="C31" s="122" t="s">
        <v>12135</v>
      </c>
      <c r="D31" s="122" t="s">
        <v>12136</v>
      </c>
      <c r="E31" s="123">
        <v>42233</v>
      </c>
      <c r="F31" s="122" t="s">
        <v>12137</v>
      </c>
      <c r="G31" s="122" t="s">
        <v>235</v>
      </c>
      <c r="H31" s="122" t="s">
        <v>12138</v>
      </c>
      <c r="I31" s="122" t="s">
        <v>12139</v>
      </c>
      <c r="J31" s="122" t="s">
        <v>12140</v>
      </c>
      <c r="K31" s="122" t="s">
        <v>238</v>
      </c>
      <c r="L31" s="122" t="s">
        <v>239</v>
      </c>
      <c r="M31" s="122" t="s">
        <v>814</v>
      </c>
      <c r="O31" s="141" t="s">
        <v>613</v>
      </c>
      <c r="P31" s="141" t="s">
        <v>12141</v>
      </c>
      <c r="Q31" s="122" t="s">
        <v>243</v>
      </c>
      <c r="R31" s="142">
        <v>12</v>
      </c>
      <c r="S31" s="122" t="s">
        <v>12142</v>
      </c>
      <c r="U31" s="122" t="s">
        <v>589</v>
      </c>
      <c r="W31" s="122" t="s">
        <v>246</v>
      </c>
      <c r="X31" s="122" t="s">
        <v>1225</v>
      </c>
      <c r="Y31" s="141" t="s">
        <v>578</v>
      </c>
      <c r="Z31" s="122" t="s">
        <v>5013</v>
      </c>
      <c r="AA31" s="141" t="s">
        <v>304</v>
      </c>
      <c r="AB31" s="122" t="s">
        <v>12143</v>
      </c>
      <c r="AC31" s="141" t="s">
        <v>3574</v>
      </c>
      <c r="AD31" s="122" t="s">
        <v>11041</v>
      </c>
      <c r="AE31" s="122" t="s">
        <v>235</v>
      </c>
      <c r="AF31" s="122" t="s">
        <v>12144</v>
      </c>
      <c r="AG31" s="122" t="s">
        <v>638</v>
      </c>
      <c r="AH31" s="122" t="s">
        <v>253</v>
      </c>
      <c r="AI31" s="122" t="s">
        <v>12145</v>
      </c>
      <c r="AJ31" s="122" t="s">
        <v>12146</v>
      </c>
      <c r="AK31" s="122" t="s">
        <v>253</v>
      </c>
      <c r="AL31" s="122" t="s">
        <v>253</v>
      </c>
      <c r="AM31" s="122" t="s">
        <v>253</v>
      </c>
      <c r="AN31" s="122" t="s">
        <v>253</v>
      </c>
      <c r="AO31" s="141" t="s">
        <v>247</v>
      </c>
      <c r="AP31" s="141" t="s">
        <v>253</v>
      </c>
      <c r="AQ31" s="141" t="s">
        <v>253</v>
      </c>
      <c r="AR31" s="141" t="s">
        <v>247</v>
      </c>
      <c r="AS31" s="141" t="s">
        <v>601</v>
      </c>
      <c r="AT31" s="141" t="s">
        <v>258</v>
      </c>
      <c r="AU31" s="141" t="s">
        <v>601</v>
      </c>
      <c r="AV31" s="122" t="s">
        <v>259</v>
      </c>
      <c r="AW31" s="122" t="s">
        <v>260</v>
      </c>
      <c r="AY31" s="122" t="s">
        <v>253</v>
      </c>
      <c r="AZ31" s="122" t="s">
        <v>12147</v>
      </c>
      <c r="BA31" s="122" t="s">
        <v>262</v>
      </c>
      <c r="BB31" s="122" t="s">
        <v>12148</v>
      </c>
      <c r="BC31" s="141" t="s">
        <v>312</v>
      </c>
      <c r="BD31" s="122" t="s">
        <v>253</v>
      </c>
      <c r="BE31" s="122" t="s">
        <v>263</v>
      </c>
      <c r="BF31" s="122" t="s">
        <v>605</v>
      </c>
      <c r="BH31" s="122" t="s">
        <v>589</v>
      </c>
      <c r="BI31" s="142">
        <v>12</v>
      </c>
    </row>
    <row r="32" spans="1:63" x14ac:dyDescent="0.25">
      <c r="A32" s="122" t="s">
        <v>11841</v>
      </c>
      <c r="B32" s="122" t="s">
        <v>12149</v>
      </c>
      <c r="C32" s="122" t="s">
        <v>12150</v>
      </c>
      <c r="D32" s="122" t="s">
        <v>12151</v>
      </c>
      <c r="E32" s="123">
        <v>42233</v>
      </c>
      <c r="F32" s="122" t="s">
        <v>670</v>
      </c>
      <c r="G32" s="122" t="s">
        <v>235</v>
      </c>
      <c r="H32" s="122" t="s">
        <v>12152</v>
      </c>
      <c r="I32" s="122" t="s">
        <v>12153</v>
      </c>
      <c r="J32" s="122" t="s">
        <v>1053</v>
      </c>
      <c r="K32" s="122" t="s">
        <v>238</v>
      </c>
      <c r="L32" s="122" t="s">
        <v>239</v>
      </c>
      <c r="M32" s="122" t="s">
        <v>240</v>
      </c>
      <c r="O32" s="141" t="s">
        <v>2378</v>
      </c>
      <c r="P32" s="141" t="s">
        <v>12154</v>
      </c>
      <c r="Q32" s="122" t="s">
        <v>243</v>
      </c>
      <c r="R32" s="142">
        <v>13</v>
      </c>
      <c r="S32" s="122" t="s">
        <v>12155</v>
      </c>
      <c r="U32" s="122" t="s">
        <v>589</v>
      </c>
      <c r="W32" s="122" t="s">
        <v>246</v>
      </c>
      <c r="X32" s="122" t="s">
        <v>278</v>
      </c>
      <c r="Y32" s="141" t="s">
        <v>535</v>
      </c>
      <c r="Z32" s="122" t="s">
        <v>12156</v>
      </c>
      <c r="AB32" s="122" t="s">
        <v>250</v>
      </c>
      <c r="AD32" s="122" t="s">
        <v>250</v>
      </c>
      <c r="AE32" s="122" t="s">
        <v>235</v>
      </c>
      <c r="AF32" s="122" t="s">
        <v>12157</v>
      </c>
      <c r="AG32" s="122" t="s">
        <v>537</v>
      </c>
      <c r="AH32" s="122" t="s">
        <v>253</v>
      </c>
      <c r="AI32" s="122" t="s">
        <v>12158</v>
      </c>
      <c r="AJ32" s="122" t="s">
        <v>12159</v>
      </c>
      <c r="AK32" s="122" t="s">
        <v>253</v>
      </c>
      <c r="AL32" s="122" t="s">
        <v>253</v>
      </c>
      <c r="AM32" s="122" t="s">
        <v>253</v>
      </c>
      <c r="AN32" s="122" t="s">
        <v>253</v>
      </c>
      <c r="AO32" s="141" t="s">
        <v>253</v>
      </c>
      <c r="AP32" s="141" t="s">
        <v>253</v>
      </c>
      <c r="AQ32" s="141" t="s">
        <v>247</v>
      </c>
      <c r="AR32" s="141" t="s">
        <v>253</v>
      </c>
      <c r="AS32" s="141" t="s">
        <v>361</v>
      </c>
      <c r="AT32" s="141" t="s">
        <v>601</v>
      </c>
      <c r="AU32" s="141" t="s">
        <v>258</v>
      </c>
      <c r="AV32" s="122" t="s">
        <v>259</v>
      </c>
      <c r="AW32" s="122" t="s">
        <v>260</v>
      </c>
      <c r="AY32" s="122" t="s">
        <v>253</v>
      </c>
      <c r="AZ32" s="122" t="s">
        <v>12160</v>
      </c>
      <c r="BA32" s="122" t="s">
        <v>262</v>
      </c>
      <c r="BB32" s="122" t="s">
        <v>262</v>
      </c>
      <c r="BD32" s="122" t="s">
        <v>253</v>
      </c>
      <c r="BE32" s="122" t="s">
        <v>263</v>
      </c>
      <c r="BF32" s="122" t="s">
        <v>605</v>
      </c>
      <c r="BH32" s="122" t="s">
        <v>589</v>
      </c>
      <c r="BI32" s="142">
        <v>13</v>
      </c>
    </row>
    <row r="33" spans="1:65" x14ac:dyDescent="0.25">
      <c r="A33" s="122" t="s">
        <v>9031</v>
      </c>
      <c r="B33" s="122" t="s">
        <v>12161</v>
      </c>
      <c r="C33" s="122" t="s">
        <v>12162</v>
      </c>
      <c r="D33" s="122" t="s">
        <v>12163</v>
      </c>
      <c r="E33" s="123">
        <v>42233</v>
      </c>
      <c r="F33" s="122" t="s">
        <v>685</v>
      </c>
      <c r="G33" s="122" t="s">
        <v>235</v>
      </c>
      <c r="H33" s="122" t="s">
        <v>12164</v>
      </c>
      <c r="I33" s="122" t="s">
        <v>12165</v>
      </c>
      <c r="K33" s="122" t="s">
        <v>238</v>
      </c>
      <c r="L33" s="122" t="s">
        <v>320</v>
      </c>
      <c r="M33" s="122" t="s">
        <v>12166</v>
      </c>
      <c r="O33" s="141" t="s">
        <v>566</v>
      </c>
      <c r="P33" s="141" t="s">
        <v>12167</v>
      </c>
      <c r="Q33" s="122" t="s">
        <v>243</v>
      </c>
      <c r="R33" s="142">
        <v>14</v>
      </c>
      <c r="S33" s="122" t="s">
        <v>12168</v>
      </c>
      <c r="T33" s="122" t="s">
        <v>12169</v>
      </c>
      <c r="U33" s="122" t="s">
        <v>589</v>
      </c>
      <c r="W33" s="122" t="s">
        <v>246</v>
      </c>
      <c r="X33" s="122" t="s">
        <v>551</v>
      </c>
      <c r="Y33" s="141" t="s">
        <v>3881</v>
      </c>
      <c r="Z33" s="122" t="s">
        <v>12170</v>
      </c>
      <c r="AA33" s="141" t="s">
        <v>12171</v>
      </c>
      <c r="AB33" s="122" t="s">
        <v>7362</v>
      </c>
      <c r="AC33" s="141" t="s">
        <v>12172</v>
      </c>
      <c r="AD33" s="122" t="s">
        <v>12173</v>
      </c>
      <c r="AE33" s="122" t="s">
        <v>235</v>
      </c>
      <c r="AF33" s="122" t="s">
        <v>12174</v>
      </c>
      <c r="AG33" s="122" t="s">
        <v>537</v>
      </c>
      <c r="AH33" s="122" t="s">
        <v>253</v>
      </c>
      <c r="AI33" s="122" t="s">
        <v>12175</v>
      </c>
      <c r="AJ33" s="122" t="s">
        <v>12176</v>
      </c>
      <c r="AK33" s="122" t="s">
        <v>253</v>
      </c>
      <c r="AL33" s="122" t="s">
        <v>253</v>
      </c>
      <c r="AM33" s="122" t="s">
        <v>253</v>
      </c>
      <c r="AN33" s="122" t="s">
        <v>253</v>
      </c>
      <c r="AO33" s="141" t="s">
        <v>247</v>
      </c>
      <c r="AP33" s="141" t="s">
        <v>247</v>
      </c>
      <c r="AQ33" s="141" t="s">
        <v>247</v>
      </c>
      <c r="AR33" s="141" t="s">
        <v>253</v>
      </c>
      <c r="AS33" s="141" t="s">
        <v>601</v>
      </c>
      <c r="AT33" s="141" t="s">
        <v>601</v>
      </c>
      <c r="AU33" s="141" t="s">
        <v>258</v>
      </c>
      <c r="AV33" s="122" t="s">
        <v>259</v>
      </c>
      <c r="AW33" s="122" t="s">
        <v>260</v>
      </c>
      <c r="AX33" s="141" t="s">
        <v>1810</v>
      </c>
      <c r="AY33" s="122" t="s">
        <v>247</v>
      </c>
      <c r="AZ33" s="122" t="s">
        <v>12177</v>
      </c>
      <c r="BA33" s="122" t="s">
        <v>262</v>
      </c>
      <c r="BB33" s="122" t="s">
        <v>12177</v>
      </c>
      <c r="BD33" s="122" t="s">
        <v>253</v>
      </c>
      <c r="BE33" s="122" t="s">
        <v>263</v>
      </c>
      <c r="BF33" s="122" t="s">
        <v>605</v>
      </c>
      <c r="BH33" s="122" t="s">
        <v>589</v>
      </c>
      <c r="BI33" s="142">
        <v>14</v>
      </c>
    </row>
    <row r="34" spans="1:65" x14ac:dyDescent="0.25">
      <c r="A34" s="122" t="s">
        <v>11880</v>
      </c>
      <c r="B34" s="122" t="s">
        <v>12178</v>
      </c>
      <c r="C34" s="122" t="s">
        <v>12179</v>
      </c>
      <c r="D34" s="122" t="s">
        <v>12180</v>
      </c>
      <c r="E34" s="123">
        <v>42233</v>
      </c>
      <c r="F34" s="122" t="s">
        <v>12181</v>
      </c>
      <c r="G34" s="122" t="s">
        <v>235</v>
      </c>
      <c r="H34" s="122" t="s">
        <v>12182</v>
      </c>
      <c r="I34" s="122" t="s">
        <v>12183</v>
      </c>
      <c r="K34" s="122" t="s">
        <v>238</v>
      </c>
      <c r="L34" s="122" t="s">
        <v>239</v>
      </c>
      <c r="M34" s="122" t="s">
        <v>935</v>
      </c>
      <c r="O34" s="141" t="s">
        <v>6638</v>
      </c>
      <c r="P34" s="141" t="s">
        <v>12184</v>
      </c>
      <c r="Q34" s="122" t="s">
        <v>243</v>
      </c>
      <c r="R34" s="142">
        <v>15</v>
      </c>
      <c r="S34" s="122" t="s">
        <v>12185</v>
      </c>
      <c r="U34" s="122" t="s">
        <v>589</v>
      </c>
      <c r="W34" s="122" t="s">
        <v>246</v>
      </c>
      <c r="X34" s="122" t="s">
        <v>853</v>
      </c>
      <c r="Y34" s="141" t="s">
        <v>535</v>
      </c>
      <c r="Z34" s="122" t="s">
        <v>12186</v>
      </c>
      <c r="AA34" s="141" t="s">
        <v>1896</v>
      </c>
      <c r="AB34" s="122" t="s">
        <v>2411</v>
      </c>
      <c r="AC34" s="141" t="s">
        <v>1698</v>
      </c>
      <c r="AD34" s="122" t="s">
        <v>12187</v>
      </c>
      <c r="AE34" s="122" t="s">
        <v>235</v>
      </c>
      <c r="AF34" s="122" t="s">
        <v>12188</v>
      </c>
      <c r="AG34" s="122" t="s">
        <v>253</v>
      </c>
      <c r="AH34" s="122" t="s">
        <v>253</v>
      </c>
      <c r="AI34" s="122" t="s">
        <v>12189</v>
      </c>
      <c r="AJ34" s="122" t="s">
        <v>12190</v>
      </c>
      <c r="AK34" s="122" t="s">
        <v>10295</v>
      </c>
      <c r="AL34" s="122" t="s">
        <v>12191</v>
      </c>
      <c r="AM34" s="122" t="s">
        <v>253</v>
      </c>
      <c r="AN34" s="122" t="s">
        <v>253</v>
      </c>
      <c r="AO34" s="141" t="s">
        <v>247</v>
      </c>
      <c r="AP34" s="141" t="s">
        <v>247</v>
      </c>
      <c r="AQ34" s="141" t="s">
        <v>247</v>
      </c>
      <c r="AR34" s="141" t="s">
        <v>253</v>
      </c>
      <c r="AS34" s="141" t="s">
        <v>601</v>
      </c>
      <c r="AT34" s="141" t="s">
        <v>601</v>
      </c>
      <c r="AU34" s="141" t="s">
        <v>258</v>
      </c>
      <c r="AV34" s="122" t="s">
        <v>259</v>
      </c>
      <c r="AW34" s="122" t="s">
        <v>260</v>
      </c>
      <c r="AY34" s="122" t="s">
        <v>253</v>
      </c>
      <c r="AZ34" s="122" t="s">
        <v>12192</v>
      </c>
      <c r="BA34" s="122" t="s">
        <v>12193</v>
      </c>
      <c r="BB34" s="122" t="s">
        <v>262</v>
      </c>
      <c r="BD34" s="122" t="s">
        <v>253</v>
      </c>
      <c r="BE34" s="122" t="s">
        <v>263</v>
      </c>
      <c r="BF34" s="122" t="s">
        <v>605</v>
      </c>
      <c r="BH34" s="122" t="s">
        <v>589</v>
      </c>
      <c r="BI34" s="142">
        <v>15</v>
      </c>
    </row>
    <row r="35" spans="1:65" x14ac:dyDescent="0.25">
      <c r="A35" s="122" t="s">
        <v>11880</v>
      </c>
      <c r="B35" s="122" t="s">
        <v>12194</v>
      </c>
      <c r="C35" s="122" t="s">
        <v>12195</v>
      </c>
      <c r="D35" s="122" t="s">
        <v>12196</v>
      </c>
      <c r="E35" s="123">
        <v>42233</v>
      </c>
      <c r="F35" s="122" t="s">
        <v>12197</v>
      </c>
      <c r="G35" s="122" t="s">
        <v>235</v>
      </c>
      <c r="H35" s="122" t="s">
        <v>12198</v>
      </c>
      <c r="I35" s="122" t="s">
        <v>12199</v>
      </c>
      <c r="K35" s="122" t="s">
        <v>238</v>
      </c>
      <c r="L35" s="122" t="s">
        <v>239</v>
      </c>
      <c r="M35" s="122" t="s">
        <v>719</v>
      </c>
      <c r="O35" s="141" t="s">
        <v>1253</v>
      </c>
      <c r="P35" s="141" t="s">
        <v>12200</v>
      </c>
      <c r="Q35" s="122" t="s">
        <v>243</v>
      </c>
      <c r="R35" s="142">
        <v>16</v>
      </c>
      <c r="S35" s="122" t="s">
        <v>12201</v>
      </c>
      <c r="U35" s="122" t="s">
        <v>589</v>
      </c>
      <c r="W35" s="122" t="s">
        <v>246</v>
      </c>
      <c r="X35" s="122" t="s">
        <v>1057</v>
      </c>
      <c r="Y35" s="141" t="s">
        <v>2899</v>
      </c>
      <c r="Z35" s="122" t="s">
        <v>12202</v>
      </c>
      <c r="AA35" s="141" t="s">
        <v>1090</v>
      </c>
      <c r="AB35" s="122" t="s">
        <v>12202</v>
      </c>
      <c r="AC35" s="141" t="s">
        <v>7483</v>
      </c>
      <c r="AD35" s="122" t="s">
        <v>12203</v>
      </c>
      <c r="AE35" s="122" t="s">
        <v>235</v>
      </c>
      <c r="AF35" s="122" t="s">
        <v>12204</v>
      </c>
      <c r="AG35" s="122" t="s">
        <v>253</v>
      </c>
      <c r="AH35" s="122" t="s">
        <v>253</v>
      </c>
      <c r="AI35" s="122" t="s">
        <v>12205</v>
      </c>
      <c r="AJ35" s="122" t="s">
        <v>12206</v>
      </c>
      <c r="AK35" s="122" t="s">
        <v>12207</v>
      </c>
      <c r="AL35" s="122" t="s">
        <v>253</v>
      </c>
      <c r="AM35" s="122" t="s">
        <v>253</v>
      </c>
      <c r="AN35" s="122" t="s">
        <v>253</v>
      </c>
      <c r="AO35" s="141" t="s">
        <v>247</v>
      </c>
      <c r="AP35" s="141" t="s">
        <v>247</v>
      </c>
      <c r="AQ35" s="141" t="s">
        <v>247</v>
      </c>
      <c r="AR35" s="141" t="s">
        <v>247</v>
      </c>
      <c r="AS35" s="141" t="s">
        <v>601</v>
      </c>
      <c r="AT35" s="141" t="s">
        <v>601</v>
      </c>
      <c r="AU35" s="141" t="s">
        <v>601</v>
      </c>
      <c r="AV35" s="122" t="s">
        <v>259</v>
      </c>
      <c r="AW35" s="122" t="s">
        <v>260</v>
      </c>
      <c r="AY35" s="122" t="s">
        <v>253</v>
      </c>
      <c r="AZ35" s="122" t="s">
        <v>12208</v>
      </c>
      <c r="BA35" s="122" t="s">
        <v>262</v>
      </c>
      <c r="BB35" s="122" t="s">
        <v>12209</v>
      </c>
      <c r="BD35" s="122" t="s">
        <v>253</v>
      </c>
      <c r="BE35" s="122" t="s">
        <v>263</v>
      </c>
      <c r="BF35" s="122" t="s">
        <v>605</v>
      </c>
      <c r="BH35" s="122" t="s">
        <v>589</v>
      </c>
      <c r="BI35" s="142">
        <v>16</v>
      </c>
    </row>
    <row r="36" spans="1:65" x14ac:dyDescent="0.25">
      <c r="A36" s="122" t="s">
        <v>11880</v>
      </c>
      <c r="B36" s="122" t="s">
        <v>12210</v>
      </c>
      <c r="C36" s="122" t="s">
        <v>12211</v>
      </c>
      <c r="D36" s="122" t="s">
        <v>12212</v>
      </c>
      <c r="E36" s="123">
        <v>42233</v>
      </c>
      <c r="F36" s="122" t="s">
        <v>330</v>
      </c>
      <c r="G36" s="122" t="s">
        <v>235</v>
      </c>
      <c r="H36" s="122" t="s">
        <v>12213</v>
      </c>
      <c r="I36" s="122" t="s">
        <v>12214</v>
      </c>
      <c r="K36" s="122" t="s">
        <v>238</v>
      </c>
      <c r="L36" s="122" t="s">
        <v>320</v>
      </c>
      <c r="M36" s="122" t="s">
        <v>702</v>
      </c>
      <c r="O36" s="141" t="s">
        <v>2559</v>
      </c>
      <c r="P36" s="141" t="s">
        <v>12215</v>
      </c>
      <c r="Q36" s="122" t="s">
        <v>243</v>
      </c>
      <c r="R36" s="142">
        <v>17</v>
      </c>
      <c r="S36" s="122" t="s">
        <v>12216</v>
      </c>
      <c r="U36" s="122" t="s">
        <v>589</v>
      </c>
      <c r="W36" s="122" t="s">
        <v>246</v>
      </c>
      <c r="X36" s="122" t="s">
        <v>376</v>
      </c>
      <c r="Y36" s="141" t="s">
        <v>6551</v>
      </c>
      <c r="Z36" s="122" t="s">
        <v>3086</v>
      </c>
      <c r="AA36" s="141" t="s">
        <v>534</v>
      </c>
      <c r="AB36" s="122" t="s">
        <v>12217</v>
      </c>
      <c r="AD36" s="122" t="s">
        <v>250</v>
      </c>
      <c r="AE36" s="122" t="s">
        <v>235</v>
      </c>
      <c r="AF36" s="122" t="s">
        <v>12218</v>
      </c>
      <c r="AG36" s="122" t="s">
        <v>253</v>
      </c>
      <c r="AH36" s="122" t="s">
        <v>253</v>
      </c>
      <c r="AI36" s="122" t="s">
        <v>289</v>
      </c>
      <c r="AJ36" s="122" t="s">
        <v>12219</v>
      </c>
      <c r="AK36" s="122" t="s">
        <v>253</v>
      </c>
      <c r="AL36" s="122" t="s">
        <v>12220</v>
      </c>
      <c r="AM36" s="122" t="s">
        <v>253</v>
      </c>
      <c r="AN36" s="122" t="s">
        <v>253</v>
      </c>
      <c r="AO36" s="141" t="s">
        <v>253</v>
      </c>
      <c r="AP36" s="141" t="s">
        <v>253</v>
      </c>
      <c r="AQ36" s="141" t="s">
        <v>247</v>
      </c>
      <c r="AR36" s="141" t="s">
        <v>253</v>
      </c>
      <c r="AS36" s="141" t="s">
        <v>361</v>
      </c>
      <c r="AT36" s="141" t="s">
        <v>601</v>
      </c>
      <c r="AU36" s="141" t="s">
        <v>258</v>
      </c>
      <c r="AV36" s="122" t="s">
        <v>259</v>
      </c>
      <c r="AW36" s="122" t="s">
        <v>260</v>
      </c>
      <c r="AX36" s="141" t="s">
        <v>3169</v>
      </c>
      <c r="AY36" s="122" t="s">
        <v>247</v>
      </c>
      <c r="AZ36" s="122" t="s">
        <v>12221</v>
      </c>
      <c r="BA36" s="122" t="s">
        <v>262</v>
      </c>
      <c r="BB36" s="122" t="s">
        <v>262</v>
      </c>
      <c r="BD36" s="122" t="s">
        <v>253</v>
      </c>
      <c r="BE36" s="122" t="s">
        <v>263</v>
      </c>
      <c r="BF36" s="122" t="s">
        <v>605</v>
      </c>
      <c r="BH36" s="122" t="s">
        <v>589</v>
      </c>
      <c r="BI36" s="142">
        <v>17</v>
      </c>
    </row>
    <row r="37" spans="1:65" x14ac:dyDescent="0.25">
      <c r="A37" s="122" t="s">
        <v>9904</v>
      </c>
      <c r="B37" s="122" t="s">
        <v>12222</v>
      </c>
      <c r="C37" s="122" t="s">
        <v>12223</v>
      </c>
      <c r="D37" s="122" t="s">
        <v>12224</v>
      </c>
      <c r="E37" s="123">
        <v>42233</v>
      </c>
      <c r="F37" s="122" t="s">
        <v>12225</v>
      </c>
      <c r="G37" s="122" t="s">
        <v>235</v>
      </c>
      <c r="H37" s="122" t="s">
        <v>12226</v>
      </c>
      <c r="I37" s="122" t="s">
        <v>12227</v>
      </c>
      <c r="J37" s="122" t="s">
        <v>1358</v>
      </c>
      <c r="K37" s="122" t="s">
        <v>238</v>
      </c>
      <c r="L37" s="122" t="s">
        <v>320</v>
      </c>
      <c r="M37" s="122" t="s">
        <v>779</v>
      </c>
      <c r="O37" s="141" t="s">
        <v>548</v>
      </c>
      <c r="P37" s="141" t="s">
        <v>12228</v>
      </c>
      <c r="Q37" s="122" t="s">
        <v>243</v>
      </c>
      <c r="R37" s="142">
        <v>18</v>
      </c>
      <c r="S37" s="122" t="s">
        <v>12229</v>
      </c>
      <c r="U37" s="122" t="s">
        <v>589</v>
      </c>
      <c r="W37" s="122" t="s">
        <v>246</v>
      </c>
      <c r="X37" s="122" t="s">
        <v>1072</v>
      </c>
      <c r="Y37" s="141" t="s">
        <v>3037</v>
      </c>
      <c r="Z37" s="122" t="s">
        <v>12230</v>
      </c>
      <c r="AA37" s="141" t="s">
        <v>1926</v>
      </c>
      <c r="AB37" s="122" t="s">
        <v>12231</v>
      </c>
      <c r="AC37" s="141" t="s">
        <v>1762</v>
      </c>
      <c r="AD37" s="122" t="s">
        <v>12230</v>
      </c>
      <c r="AE37" s="122" t="s">
        <v>235</v>
      </c>
      <c r="AF37" s="122" t="s">
        <v>12232</v>
      </c>
      <c r="AG37" s="122" t="s">
        <v>537</v>
      </c>
      <c r="AH37" s="122" t="s">
        <v>253</v>
      </c>
      <c r="AI37" s="122" t="s">
        <v>10471</v>
      </c>
      <c r="AJ37" s="122" t="s">
        <v>12233</v>
      </c>
      <c r="AK37" s="122" t="s">
        <v>253</v>
      </c>
      <c r="AL37" s="122" t="s">
        <v>253</v>
      </c>
      <c r="AM37" s="122" t="s">
        <v>253</v>
      </c>
      <c r="AN37" s="122" t="s">
        <v>253</v>
      </c>
      <c r="AO37" s="141" t="s">
        <v>247</v>
      </c>
      <c r="AP37" s="141" t="s">
        <v>247</v>
      </c>
      <c r="AQ37" s="141" t="s">
        <v>247</v>
      </c>
      <c r="AR37" s="141" t="s">
        <v>253</v>
      </c>
      <c r="AS37" s="141" t="s">
        <v>601</v>
      </c>
      <c r="AT37" s="141" t="s">
        <v>601</v>
      </c>
      <c r="AU37" s="141" t="s">
        <v>258</v>
      </c>
      <c r="AV37" s="122" t="s">
        <v>259</v>
      </c>
      <c r="AW37" s="122" t="s">
        <v>260</v>
      </c>
      <c r="AY37" s="122" t="s">
        <v>253</v>
      </c>
      <c r="AZ37" s="122" t="s">
        <v>12234</v>
      </c>
      <c r="BA37" s="122" t="s">
        <v>262</v>
      </c>
      <c r="BB37" s="122" t="s">
        <v>262</v>
      </c>
      <c r="BD37" s="122" t="s">
        <v>253</v>
      </c>
      <c r="BE37" s="122" t="s">
        <v>263</v>
      </c>
      <c r="BF37" s="122" t="s">
        <v>605</v>
      </c>
      <c r="BH37" s="122" t="s">
        <v>589</v>
      </c>
      <c r="BI37" s="142">
        <v>18</v>
      </c>
    </row>
    <row r="38" spans="1:65" x14ac:dyDescent="0.25">
      <c r="A38" s="122" t="s">
        <v>9904</v>
      </c>
      <c r="B38" s="122" t="s">
        <v>12235</v>
      </c>
      <c r="C38" s="122" t="s">
        <v>12236</v>
      </c>
      <c r="D38" s="122" t="s">
        <v>12237</v>
      </c>
      <c r="E38" s="123">
        <v>42233</v>
      </c>
      <c r="F38" s="122" t="s">
        <v>12238</v>
      </c>
      <c r="G38" s="122" t="s">
        <v>235</v>
      </c>
      <c r="H38" s="122" t="s">
        <v>12239</v>
      </c>
      <c r="I38" s="122" t="s">
        <v>12240</v>
      </c>
      <c r="J38" s="122" t="s">
        <v>1053</v>
      </c>
      <c r="K38" s="122" t="s">
        <v>238</v>
      </c>
      <c r="L38" s="122" t="s">
        <v>320</v>
      </c>
      <c r="M38" s="122" t="s">
        <v>988</v>
      </c>
      <c r="O38" s="141" t="s">
        <v>566</v>
      </c>
      <c r="P38" s="141" t="s">
        <v>12241</v>
      </c>
      <c r="Q38" s="122" t="s">
        <v>243</v>
      </c>
      <c r="R38" s="142">
        <v>19</v>
      </c>
      <c r="S38" s="122" t="s">
        <v>12242</v>
      </c>
      <c r="U38" s="122" t="s">
        <v>589</v>
      </c>
      <c r="W38" s="122" t="s">
        <v>246</v>
      </c>
      <c r="X38" s="122" t="s">
        <v>1072</v>
      </c>
      <c r="Y38" s="141" t="s">
        <v>591</v>
      </c>
      <c r="Z38" s="122" t="s">
        <v>12243</v>
      </c>
      <c r="AA38" s="141" t="s">
        <v>595</v>
      </c>
      <c r="AB38" s="122" t="s">
        <v>12244</v>
      </c>
      <c r="AC38" s="141" t="s">
        <v>1762</v>
      </c>
      <c r="AD38" s="122" t="s">
        <v>12245</v>
      </c>
      <c r="AE38" s="122" t="s">
        <v>235</v>
      </c>
      <c r="AF38" s="122" t="s">
        <v>12246</v>
      </c>
      <c r="AG38" s="122" t="s">
        <v>537</v>
      </c>
      <c r="AH38" s="122" t="s">
        <v>253</v>
      </c>
      <c r="AI38" s="122" t="s">
        <v>12247</v>
      </c>
      <c r="AJ38" s="122" t="s">
        <v>12248</v>
      </c>
      <c r="AK38" s="122" t="s">
        <v>253</v>
      </c>
      <c r="AL38" s="122" t="s">
        <v>253</v>
      </c>
      <c r="AM38" s="122" t="s">
        <v>253</v>
      </c>
      <c r="AN38" s="122" t="s">
        <v>253</v>
      </c>
      <c r="AO38" s="141" t="s">
        <v>247</v>
      </c>
      <c r="AP38" s="141" t="s">
        <v>247</v>
      </c>
      <c r="AQ38" s="141" t="s">
        <v>247</v>
      </c>
      <c r="AR38" s="141" t="s">
        <v>253</v>
      </c>
      <c r="AS38" s="141" t="s">
        <v>601</v>
      </c>
      <c r="AT38" s="141" t="s">
        <v>601</v>
      </c>
      <c r="AU38" s="141" t="s">
        <v>258</v>
      </c>
      <c r="AV38" s="122" t="s">
        <v>259</v>
      </c>
      <c r="AW38" s="122" t="s">
        <v>260</v>
      </c>
      <c r="AX38" s="141" t="s">
        <v>362</v>
      </c>
      <c r="AY38" s="122" t="s">
        <v>247</v>
      </c>
      <c r="AZ38" s="122" t="s">
        <v>12249</v>
      </c>
      <c r="BA38" s="122" t="s">
        <v>262</v>
      </c>
      <c r="BB38" s="122" t="s">
        <v>262</v>
      </c>
      <c r="BD38" s="122" t="s">
        <v>253</v>
      </c>
      <c r="BE38" s="122" t="s">
        <v>263</v>
      </c>
      <c r="BF38" s="122" t="s">
        <v>605</v>
      </c>
      <c r="BH38" s="122" t="s">
        <v>589</v>
      </c>
      <c r="BI38" s="142">
        <v>19</v>
      </c>
    </row>
    <row r="39" spans="1:65" x14ac:dyDescent="0.25">
      <c r="A39" s="122" t="s">
        <v>9904</v>
      </c>
      <c r="B39" s="122" t="s">
        <v>12250</v>
      </c>
      <c r="C39" s="122" t="s">
        <v>12251</v>
      </c>
      <c r="D39" s="122" t="s">
        <v>12252</v>
      </c>
      <c r="E39" s="123">
        <v>42233</v>
      </c>
      <c r="F39" s="122" t="s">
        <v>689</v>
      </c>
      <c r="G39" s="122" t="s">
        <v>235</v>
      </c>
      <c r="H39" s="122" t="s">
        <v>12253</v>
      </c>
      <c r="I39" s="122" t="s">
        <v>12254</v>
      </c>
      <c r="K39" s="122" t="s">
        <v>238</v>
      </c>
      <c r="L39" s="122" t="s">
        <v>239</v>
      </c>
      <c r="M39" s="122" t="s">
        <v>935</v>
      </c>
      <c r="O39" s="141" t="s">
        <v>2378</v>
      </c>
      <c r="P39" s="141" t="s">
        <v>12255</v>
      </c>
      <c r="Q39" s="122" t="s">
        <v>243</v>
      </c>
      <c r="R39" s="142">
        <v>20</v>
      </c>
      <c r="S39" s="122" t="s">
        <v>12256</v>
      </c>
      <c r="U39" s="122" t="s">
        <v>589</v>
      </c>
      <c r="W39" s="122" t="s">
        <v>246</v>
      </c>
      <c r="X39" s="122" t="s">
        <v>551</v>
      </c>
      <c r="Y39" s="141" t="s">
        <v>1256</v>
      </c>
      <c r="Z39" s="122" t="s">
        <v>12257</v>
      </c>
      <c r="AA39" s="141" t="s">
        <v>535</v>
      </c>
      <c r="AB39" s="122" t="s">
        <v>249</v>
      </c>
      <c r="AC39" s="141" t="s">
        <v>1289</v>
      </c>
      <c r="AD39" s="122" t="s">
        <v>12258</v>
      </c>
      <c r="AE39" s="122" t="s">
        <v>235</v>
      </c>
      <c r="AF39" s="122" t="s">
        <v>12259</v>
      </c>
      <c r="AG39" s="122" t="s">
        <v>537</v>
      </c>
      <c r="AH39" s="122" t="s">
        <v>253</v>
      </c>
      <c r="AI39" s="122" t="s">
        <v>9540</v>
      </c>
      <c r="AJ39" s="122" t="s">
        <v>12260</v>
      </c>
      <c r="AK39" s="122" t="s">
        <v>253</v>
      </c>
      <c r="AL39" s="122" t="s">
        <v>253</v>
      </c>
      <c r="AM39" s="122" t="s">
        <v>253</v>
      </c>
      <c r="AN39" s="122" t="s">
        <v>253</v>
      </c>
      <c r="AO39" s="141" t="s">
        <v>247</v>
      </c>
      <c r="AP39" s="141" t="s">
        <v>247</v>
      </c>
      <c r="AQ39" s="141" t="s">
        <v>247</v>
      </c>
      <c r="AR39" s="141" t="s">
        <v>247</v>
      </c>
      <c r="AS39" s="141" t="s">
        <v>601</v>
      </c>
      <c r="AT39" s="141" t="s">
        <v>601</v>
      </c>
      <c r="AU39" s="141" t="s">
        <v>601</v>
      </c>
      <c r="AV39" s="122" t="s">
        <v>259</v>
      </c>
      <c r="AW39" s="122" t="s">
        <v>260</v>
      </c>
      <c r="AY39" s="122" t="s">
        <v>253</v>
      </c>
      <c r="AZ39" s="122" t="s">
        <v>12261</v>
      </c>
      <c r="BA39" s="122" t="s">
        <v>262</v>
      </c>
      <c r="BB39" s="122" t="s">
        <v>262</v>
      </c>
      <c r="BD39" s="122" t="s">
        <v>253</v>
      </c>
      <c r="BE39" s="122" t="s">
        <v>263</v>
      </c>
      <c r="BF39" s="122" t="s">
        <v>605</v>
      </c>
      <c r="BH39" s="122" t="s">
        <v>589</v>
      </c>
      <c r="BI39" s="142">
        <v>20</v>
      </c>
    </row>
    <row r="40" spans="1:65" x14ac:dyDescent="0.25">
      <c r="A40" s="122" t="s">
        <v>9904</v>
      </c>
      <c r="B40" s="122" t="s">
        <v>12262</v>
      </c>
      <c r="C40" s="122" t="s">
        <v>12263</v>
      </c>
      <c r="D40" s="122" t="s">
        <v>12264</v>
      </c>
      <c r="E40" s="123">
        <v>42233</v>
      </c>
      <c r="F40" s="122" t="s">
        <v>12030</v>
      </c>
      <c r="G40" s="122" t="s">
        <v>235</v>
      </c>
      <c r="H40" s="122" t="s">
        <v>448</v>
      </c>
      <c r="I40" s="122" t="s">
        <v>12265</v>
      </c>
      <c r="J40" s="122" t="s">
        <v>12266</v>
      </c>
      <c r="K40" s="122" t="s">
        <v>238</v>
      </c>
      <c r="L40" s="122" t="s">
        <v>239</v>
      </c>
      <c r="M40" s="122" t="s">
        <v>240</v>
      </c>
      <c r="Q40" s="122" t="s">
        <v>243</v>
      </c>
      <c r="R40" s="142">
        <v>21</v>
      </c>
      <c r="S40" s="122" t="s">
        <v>12267</v>
      </c>
      <c r="U40" s="122" t="s">
        <v>589</v>
      </c>
      <c r="W40" s="122" t="s">
        <v>246</v>
      </c>
      <c r="X40" s="122" t="s">
        <v>260</v>
      </c>
      <c r="Y40" s="141" t="s">
        <v>9173</v>
      </c>
      <c r="Z40" s="122" t="s">
        <v>818</v>
      </c>
      <c r="AA40" s="141" t="s">
        <v>9031</v>
      </c>
      <c r="AB40" s="122" t="s">
        <v>818</v>
      </c>
      <c r="AC40" s="141" t="s">
        <v>2133</v>
      </c>
      <c r="AD40" s="122" t="s">
        <v>723</v>
      </c>
      <c r="AE40" s="122" t="s">
        <v>235</v>
      </c>
      <c r="AF40" s="122" t="s">
        <v>12268</v>
      </c>
      <c r="AG40" s="122" t="s">
        <v>253</v>
      </c>
      <c r="AH40" s="122" t="s">
        <v>253</v>
      </c>
      <c r="AI40" s="122" t="s">
        <v>1983</v>
      </c>
      <c r="AJ40" s="122" t="s">
        <v>619</v>
      </c>
      <c r="AK40" s="122" t="s">
        <v>12269</v>
      </c>
      <c r="AL40" s="122" t="s">
        <v>253</v>
      </c>
      <c r="AM40" s="122" t="s">
        <v>253</v>
      </c>
      <c r="AN40" s="122" t="s">
        <v>253</v>
      </c>
      <c r="AO40" s="141" t="s">
        <v>247</v>
      </c>
      <c r="AP40" s="141" t="s">
        <v>253</v>
      </c>
      <c r="AQ40" s="141" t="s">
        <v>253</v>
      </c>
      <c r="AR40" s="141" t="s">
        <v>253</v>
      </c>
      <c r="AS40" s="141" t="s">
        <v>601</v>
      </c>
      <c r="AT40" s="141" t="s">
        <v>258</v>
      </c>
      <c r="AU40" s="141" t="s">
        <v>258</v>
      </c>
      <c r="AV40" s="122" t="s">
        <v>259</v>
      </c>
      <c r="AW40" s="122" t="s">
        <v>260</v>
      </c>
      <c r="AY40" s="122" t="s">
        <v>253</v>
      </c>
      <c r="AZ40" s="122" t="s">
        <v>262</v>
      </c>
      <c r="BA40" s="122" t="s">
        <v>262</v>
      </c>
      <c r="BB40" s="122" t="s">
        <v>12270</v>
      </c>
      <c r="BD40" s="122" t="s">
        <v>253</v>
      </c>
      <c r="BE40" s="122" t="s">
        <v>263</v>
      </c>
      <c r="BF40" s="122" t="s">
        <v>605</v>
      </c>
      <c r="BH40" s="122" t="s">
        <v>589</v>
      </c>
      <c r="BI40" s="142">
        <v>21</v>
      </c>
    </row>
    <row r="41" spans="1:65" x14ac:dyDescent="0.25">
      <c r="A41" s="122" t="s">
        <v>9904</v>
      </c>
      <c r="B41" s="122" t="s">
        <v>12271</v>
      </c>
      <c r="C41" s="122" t="s">
        <v>12272</v>
      </c>
      <c r="D41" s="122" t="s">
        <v>12273</v>
      </c>
      <c r="E41" s="123">
        <v>42233</v>
      </c>
      <c r="F41" s="122" t="s">
        <v>2804</v>
      </c>
      <c r="G41" s="122" t="s">
        <v>235</v>
      </c>
      <c r="H41" s="122" t="s">
        <v>12274</v>
      </c>
      <c r="I41" s="122" t="s">
        <v>12275</v>
      </c>
      <c r="J41" s="122" t="s">
        <v>12276</v>
      </c>
      <c r="K41" s="122" t="s">
        <v>238</v>
      </c>
      <c r="L41" s="122" t="s">
        <v>320</v>
      </c>
      <c r="M41" s="122" t="s">
        <v>321</v>
      </c>
      <c r="O41" s="141" t="s">
        <v>2055</v>
      </c>
      <c r="P41" s="141" t="s">
        <v>12277</v>
      </c>
      <c r="Q41" s="122" t="s">
        <v>243</v>
      </c>
      <c r="R41" s="142">
        <v>22</v>
      </c>
      <c r="S41" s="122" t="s">
        <v>12278</v>
      </c>
      <c r="T41" s="122" t="s">
        <v>12278</v>
      </c>
      <c r="U41" s="122" t="s">
        <v>589</v>
      </c>
      <c r="W41" s="122" t="s">
        <v>246</v>
      </c>
      <c r="X41" s="122" t="s">
        <v>853</v>
      </c>
      <c r="Z41" s="122" t="s">
        <v>250</v>
      </c>
      <c r="AB41" s="122" t="s">
        <v>250</v>
      </c>
      <c r="AD41" s="122" t="s">
        <v>250</v>
      </c>
      <c r="AE41" s="122" t="s">
        <v>235</v>
      </c>
      <c r="AF41" s="122" t="s">
        <v>12279</v>
      </c>
      <c r="AG41" s="122" t="s">
        <v>253</v>
      </c>
      <c r="AH41" s="122" t="s">
        <v>253</v>
      </c>
      <c r="AI41" s="122" t="s">
        <v>12280</v>
      </c>
      <c r="AJ41" s="122" t="s">
        <v>12281</v>
      </c>
      <c r="AK41" s="122" t="s">
        <v>12282</v>
      </c>
      <c r="AL41" s="122" t="s">
        <v>253</v>
      </c>
      <c r="AM41" s="122" t="s">
        <v>253</v>
      </c>
      <c r="AN41" s="122" t="s">
        <v>253</v>
      </c>
      <c r="AO41" s="141" t="s">
        <v>247</v>
      </c>
      <c r="AP41" s="141" t="s">
        <v>253</v>
      </c>
      <c r="AQ41" s="141" t="s">
        <v>247</v>
      </c>
      <c r="AR41" s="141" t="s">
        <v>247</v>
      </c>
      <c r="AS41" s="141" t="s">
        <v>601</v>
      </c>
      <c r="AT41" s="141" t="s">
        <v>601</v>
      </c>
      <c r="AU41" s="141" t="s">
        <v>257</v>
      </c>
      <c r="AV41" s="122" t="s">
        <v>259</v>
      </c>
      <c r="AW41" s="122" t="s">
        <v>260</v>
      </c>
      <c r="AY41" s="122" t="s">
        <v>253</v>
      </c>
      <c r="AZ41" s="122" t="s">
        <v>12283</v>
      </c>
      <c r="BA41" s="122" t="s">
        <v>262</v>
      </c>
      <c r="BB41" s="122" t="s">
        <v>12284</v>
      </c>
      <c r="BD41" s="122" t="s">
        <v>253</v>
      </c>
      <c r="BE41" s="122" t="s">
        <v>263</v>
      </c>
      <c r="BF41" s="122" t="s">
        <v>605</v>
      </c>
      <c r="BH41" s="122" t="s">
        <v>589</v>
      </c>
      <c r="BI41" s="142">
        <v>22</v>
      </c>
    </row>
    <row r="42" spans="1:65" x14ac:dyDescent="0.25">
      <c r="A42" s="122" t="s">
        <v>9904</v>
      </c>
      <c r="B42" s="122" t="s">
        <v>12285</v>
      </c>
      <c r="C42" s="122" t="s">
        <v>12286</v>
      </c>
      <c r="D42" s="122" t="s">
        <v>12287</v>
      </c>
      <c r="E42" s="123">
        <v>42233</v>
      </c>
      <c r="F42" s="122" t="s">
        <v>304</v>
      </c>
      <c r="G42" s="122" t="s">
        <v>235</v>
      </c>
      <c r="H42" s="122" t="s">
        <v>12288</v>
      </c>
      <c r="I42" s="122" t="s">
        <v>12289</v>
      </c>
      <c r="K42" s="122" t="s">
        <v>238</v>
      </c>
      <c r="L42" s="122" t="s">
        <v>320</v>
      </c>
      <c r="M42" s="122" t="s">
        <v>1003</v>
      </c>
      <c r="N42" s="122" t="s">
        <v>12290</v>
      </c>
      <c r="O42" s="141" t="s">
        <v>2378</v>
      </c>
      <c r="P42" s="141" t="s">
        <v>12291</v>
      </c>
      <c r="Q42" s="122" t="s">
        <v>243</v>
      </c>
      <c r="R42" s="142">
        <v>23</v>
      </c>
      <c r="S42" s="122" t="s">
        <v>12292</v>
      </c>
      <c r="T42" s="122" t="s">
        <v>12293</v>
      </c>
      <c r="U42" s="122" t="s">
        <v>589</v>
      </c>
      <c r="W42" s="122" t="s">
        <v>246</v>
      </c>
      <c r="X42" s="122" t="s">
        <v>1072</v>
      </c>
      <c r="Y42" s="141" t="s">
        <v>511</v>
      </c>
      <c r="Z42" s="122" t="s">
        <v>305</v>
      </c>
      <c r="AA42" s="141" t="s">
        <v>511</v>
      </c>
      <c r="AB42" s="122" t="s">
        <v>12294</v>
      </c>
      <c r="AC42" s="141" t="s">
        <v>2306</v>
      </c>
      <c r="AD42" s="122" t="s">
        <v>12295</v>
      </c>
      <c r="AE42" s="122" t="s">
        <v>235</v>
      </c>
      <c r="AF42" s="122" t="s">
        <v>12296</v>
      </c>
      <c r="AG42" s="122" t="s">
        <v>537</v>
      </c>
      <c r="AH42" s="122" t="s">
        <v>253</v>
      </c>
      <c r="AI42" s="122" t="s">
        <v>12297</v>
      </c>
      <c r="AJ42" s="122" t="s">
        <v>12298</v>
      </c>
      <c r="AK42" s="122" t="s">
        <v>253</v>
      </c>
      <c r="AL42" s="122" t="s">
        <v>253</v>
      </c>
      <c r="AM42" s="122" t="s">
        <v>253</v>
      </c>
      <c r="AN42" s="122" t="s">
        <v>253</v>
      </c>
      <c r="AO42" s="141" t="s">
        <v>247</v>
      </c>
      <c r="AP42" s="141" t="s">
        <v>247</v>
      </c>
      <c r="AQ42" s="141" t="s">
        <v>247</v>
      </c>
      <c r="AR42" s="141" t="s">
        <v>247</v>
      </c>
      <c r="AS42" s="141" t="s">
        <v>601</v>
      </c>
      <c r="AT42" s="141" t="s">
        <v>601</v>
      </c>
      <c r="AU42" s="141" t="s">
        <v>601</v>
      </c>
      <c r="AV42" s="122" t="s">
        <v>259</v>
      </c>
      <c r="AW42" s="122" t="s">
        <v>260</v>
      </c>
      <c r="AY42" s="122" t="s">
        <v>253</v>
      </c>
      <c r="AZ42" s="122" t="s">
        <v>12299</v>
      </c>
      <c r="BA42" s="122" t="s">
        <v>12300</v>
      </c>
      <c r="BB42" s="122" t="s">
        <v>262</v>
      </c>
      <c r="BD42" s="122" t="s">
        <v>253</v>
      </c>
      <c r="BE42" s="122" t="s">
        <v>263</v>
      </c>
      <c r="BF42" s="122" t="s">
        <v>605</v>
      </c>
      <c r="BH42" s="122" t="s">
        <v>589</v>
      </c>
      <c r="BI42" s="142">
        <v>23</v>
      </c>
    </row>
    <row r="43" spans="1:65" x14ac:dyDescent="0.25">
      <c r="A43" s="122" t="s">
        <v>9904</v>
      </c>
      <c r="B43" s="122" t="s">
        <v>12301</v>
      </c>
      <c r="C43" s="122" t="s">
        <v>12302</v>
      </c>
      <c r="D43" s="122" t="s">
        <v>12303</v>
      </c>
      <c r="E43" s="123">
        <v>42233</v>
      </c>
      <c r="F43" s="122" t="s">
        <v>7507</v>
      </c>
      <c r="G43" s="122" t="s">
        <v>235</v>
      </c>
      <c r="H43" s="122" t="s">
        <v>12304</v>
      </c>
      <c r="I43" s="122" t="s">
        <v>12305</v>
      </c>
      <c r="K43" s="122" t="s">
        <v>238</v>
      </c>
      <c r="L43" s="122" t="s">
        <v>239</v>
      </c>
      <c r="M43" s="122" t="s">
        <v>547</v>
      </c>
      <c r="O43" s="141" t="s">
        <v>373</v>
      </c>
      <c r="P43" s="141" t="s">
        <v>12306</v>
      </c>
      <c r="Q43" s="122" t="s">
        <v>243</v>
      </c>
      <c r="R43" s="142">
        <v>24</v>
      </c>
      <c r="S43" s="122" t="s">
        <v>12307</v>
      </c>
      <c r="U43" s="122" t="s">
        <v>589</v>
      </c>
      <c r="W43" s="122" t="s">
        <v>246</v>
      </c>
      <c r="X43" s="122" t="s">
        <v>278</v>
      </c>
      <c r="Y43" s="141" t="s">
        <v>2979</v>
      </c>
      <c r="Z43" s="122" t="s">
        <v>249</v>
      </c>
      <c r="AA43" s="141" t="s">
        <v>535</v>
      </c>
      <c r="AB43" s="122" t="s">
        <v>741</v>
      </c>
      <c r="AC43" s="141" t="s">
        <v>417</v>
      </c>
      <c r="AD43" s="122" t="s">
        <v>12308</v>
      </c>
      <c r="AE43" s="122" t="s">
        <v>235</v>
      </c>
      <c r="AF43" s="122" t="s">
        <v>12309</v>
      </c>
      <c r="AG43" s="122" t="s">
        <v>747</v>
      </c>
      <c r="AH43" s="122" t="s">
        <v>253</v>
      </c>
      <c r="AI43" s="122" t="s">
        <v>12310</v>
      </c>
      <c r="AJ43" s="122" t="s">
        <v>12311</v>
      </c>
      <c r="AK43" s="122" t="s">
        <v>253</v>
      </c>
      <c r="AL43" s="122" t="s">
        <v>253</v>
      </c>
      <c r="AM43" s="122" t="s">
        <v>253</v>
      </c>
      <c r="AN43" s="122" t="s">
        <v>253</v>
      </c>
      <c r="AO43" s="141" t="s">
        <v>253</v>
      </c>
      <c r="AP43" s="141" t="s">
        <v>253</v>
      </c>
      <c r="AQ43" s="141" t="s">
        <v>247</v>
      </c>
      <c r="AR43" s="141" t="s">
        <v>253</v>
      </c>
      <c r="AS43" s="141" t="s">
        <v>361</v>
      </c>
      <c r="AT43" s="141" t="s">
        <v>601</v>
      </c>
      <c r="AU43" s="141" t="s">
        <v>258</v>
      </c>
      <c r="AV43" s="122" t="s">
        <v>259</v>
      </c>
      <c r="AW43" s="122" t="s">
        <v>260</v>
      </c>
      <c r="AX43" s="141" t="s">
        <v>8160</v>
      </c>
      <c r="AY43" s="122" t="s">
        <v>247</v>
      </c>
      <c r="AZ43" s="122" t="s">
        <v>12312</v>
      </c>
      <c r="BA43" s="122" t="s">
        <v>262</v>
      </c>
      <c r="BB43" s="122" t="s">
        <v>262</v>
      </c>
      <c r="BD43" s="122" t="s">
        <v>253</v>
      </c>
      <c r="BE43" s="122" t="s">
        <v>263</v>
      </c>
      <c r="BF43" s="122" t="s">
        <v>605</v>
      </c>
      <c r="BH43" s="122" t="s">
        <v>589</v>
      </c>
      <c r="BI43" s="142">
        <v>24</v>
      </c>
    </row>
    <row r="44" spans="1:65" x14ac:dyDescent="0.25">
      <c r="A44" s="122" t="s">
        <v>6466</v>
      </c>
      <c r="B44" s="122" t="s">
        <v>12313</v>
      </c>
      <c r="C44" s="122" t="s">
        <v>12314</v>
      </c>
      <c r="D44" s="122" t="s">
        <v>12315</v>
      </c>
      <c r="E44" s="123">
        <v>42233</v>
      </c>
      <c r="F44" s="122" t="s">
        <v>248</v>
      </c>
      <c r="G44" s="122" t="s">
        <v>235</v>
      </c>
      <c r="H44" s="122" t="s">
        <v>448</v>
      </c>
      <c r="I44" s="122" t="s">
        <v>12316</v>
      </c>
      <c r="J44" s="122" t="s">
        <v>2158</v>
      </c>
      <c r="K44" s="122" t="s">
        <v>238</v>
      </c>
      <c r="L44" s="122" t="s">
        <v>239</v>
      </c>
      <c r="M44" s="122" t="s">
        <v>935</v>
      </c>
      <c r="O44" s="141" t="s">
        <v>373</v>
      </c>
      <c r="P44" s="141" t="s">
        <v>12317</v>
      </c>
      <c r="Q44" s="122" t="s">
        <v>243</v>
      </c>
      <c r="R44" s="142">
        <v>25</v>
      </c>
      <c r="S44" s="122" t="s">
        <v>12318</v>
      </c>
      <c r="T44" s="122" t="s">
        <v>12319</v>
      </c>
      <c r="U44" s="122" t="s">
        <v>589</v>
      </c>
      <c r="W44" s="122" t="s">
        <v>246</v>
      </c>
      <c r="X44" s="122" t="s">
        <v>972</v>
      </c>
      <c r="Z44" s="122" t="s">
        <v>250</v>
      </c>
      <c r="AB44" s="122" t="s">
        <v>250</v>
      </c>
      <c r="AD44" s="122" t="s">
        <v>250</v>
      </c>
      <c r="AE44" s="122" t="s">
        <v>235</v>
      </c>
      <c r="AF44" s="122" t="s">
        <v>12320</v>
      </c>
      <c r="AG44" s="122" t="s">
        <v>537</v>
      </c>
      <c r="AH44" s="122" t="s">
        <v>253</v>
      </c>
      <c r="AI44" s="122" t="s">
        <v>12321</v>
      </c>
      <c r="AJ44" s="122" t="s">
        <v>12322</v>
      </c>
      <c r="AK44" s="122" t="s">
        <v>253</v>
      </c>
      <c r="AL44" s="122" t="s">
        <v>253</v>
      </c>
      <c r="AM44" s="122" t="s">
        <v>253</v>
      </c>
      <c r="AN44" s="122" t="s">
        <v>253</v>
      </c>
      <c r="AO44" s="141" t="s">
        <v>247</v>
      </c>
      <c r="AP44" s="141" t="s">
        <v>247</v>
      </c>
      <c r="AQ44" s="141" t="s">
        <v>247</v>
      </c>
      <c r="AR44" s="141" t="s">
        <v>253</v>
      </c>
      <c r="AS44" s="141" t="s">
        <v>601</v>
      </c>
      <c r="AT44" s="141" t="s">
        <v>601</v>
      </c>
      <c r="AU44" s="141" t="s">
        <v>258</v>
      </c>
      <c r="AV44" s="122" t="s">
        <v>259</v>
      </c>
      <c r="AW44" s="122" t="s">
        <v>260</v>
      </c>
      <c r="AX44" s="141" t="s">
        <v>2029</v>
      </c>
      <c r="AY44" s="122" t="s">
        <v>247</v>
      </c>
      <c r="AZ44" s="122" t="s">
        <v>262</v>
      </c>
      <c r="BA44" s="122" t="s">
        <v>262</v>
      </c>
      <c r="BB44" s="122" t="s">
        <v>12323</v>
      </c>
      <c r="BD44" s="122" t="s">
        <v>253</v>
      </c>
      <c r="BE44" s="122" t="s">
        <v>263</v>
      </c>
      <c r="BF44" s="122" t="s">
        <v>605</v>
      </c>
      <c r="BH44" s="122" t="s">
        <v>589</v>
      </c>
      <c r="BI44" s="142">
        <v>25</v>
      </c>
    </row>
    <row r="45" spans="1:65" x14ac:dyDescent="0.25">
      <c r="A45" s="122" t="s">
        <v>6466</v>
      </c>
      <c r="B45" s="122" t="s">
        <v>12324</v>
      </c>
      <c r="C45" s="122" t="s">
        <v>12325</v>
      </c>
      <c r="D45" s="122" t="s">
        <v>12326</v>
      </c>
      <c r="E45" s="123">
        <v>42233</v>
      </c>
      <c r="F45" s="122" t="s">
        <v>534</v>
      </c>
      <c r="G45" s="122" t="s">
        <v>235</v>
      </c>
      <c r="H45" s="122" t="s">
        <v>12327</v>
      </c>
      <c r="I45" s="122" t="s">
        <v>12328</v>
      </c>
      <c r="K45" s="122" t="s">
        <v>238</v>
      </c>
      <c r="L45" s="122" t="s">
        <v>239</v>
      </c>
      <c r="M45" s="122" t="s">
        <v>240</v>
      </c>
      <c r="O45" s="141" t="s">
        <v>2378</v>
      </c>
      <c r="P45" s="141" t="s">
        <v>12329</v>
      </c>
      <c r="Q45" s="122" t="s">
        <v>243</v>
      </c>
      <c r="R45" s="142">
        <v>26</v>
      </c>
      <c r="S45" s="122" t="s">
        <v>12330</v>
      </c>
      <c r="T45" s="122" t="s">
        <v>12331</v>
      </c>
      <c r="U45" s="122" t="s">
        <v>589</v>
      </c>
      <c r="W45" s="122" t="s">
        <v>246</v>
      </c>
      <c r="X45" s="122" t="s">
        <v>569</v>
      </c>
      <c r="Y45" s="141" t="s">
        <v>534</v>
      </c>
      <c r="Z45" s="122" t="s">
        <v>12332</v>
      </c>
      <c r="AB45" s="122" t="s">
        <v>250</v>
      </c>
      <c r="AD45" s="122" t="s">
        <v>250</v>
      </c>
      <c r="AE45" s="122" t="s">
        <v>235</v>
      </c>
      <c r="AF45" s="122" t="s">
        <v>12333</v>
      </c>
      <c r="AG45" s="122" t="s">
        <v>537</v>
      </c>
      <c r="AH45" s="122" t="s">
        <v>253</v>
      </c>
      <c r="AI45" s="122" t="s">
        <v>2180</v>
      </c>
      <c r="AJ45" s="122" t="s">
        <v>12334</v>
      </c>
      <c r="AK45" s="122" t="s">
        <v>253</v>
      </c>
      <c r="AL45" s="122" t="s">
        <v>253</v>
      </c>
      <c r="AM45" s="122" t="s">
        <v>253</v>
      </c>
      <c r="AN45" s="122" t="s">
        <v>253</v>
      </c>
      <c r="AO45" s="141" t="s">
        <v>253</v>
      </c>
      <c r="AP45" s="141" t="s">
        <v>253</v>
      </c>
      <c r="AQ45" s="141" t="s">
        <v>247</v>
      </c>
      <c r="AR45" s="141" t="s">
        <v>253</v>
      </c>
      <c r="AS45" s="141" t="s">
        <v>361</v>
      </c>
      <c r="AT45" s="141" t="s">
        <v>601</v>
      </c>
      <c r="AU45" s="141" t="s">
        <v>258</v>
      </c>
      <c r="AV45" s="122" t="s">
        <v>259</v>
      </c>
      <c r="AW45" s="122" t="s">
        <v>260</v>
      </c>
      <c r="AY45" s="122" t="s">
        <v>253</v>
      </c>
      <c r="AZ45" s="122" t="s">
        <v>12335</v>
      </c>
      <c r="BA45" s="122" t="s">
        <v>262</v>
      </c>
      <c r="BB45" s="122" t="s">
        <v>262</v>
      </c>
      <c r="BD45" s="122" t="s">
        <v>253</v>
      </c>
      <c r="BE45" s="122" t="s">
        <v>263</v>
      </c>
      <c r="BF45" s="122" t="s">
        <v>605</v>
      </c>
      <c r="BH45" s="122" t="s">
        <v>589</v>
      </c>
      <c r="BI45" s="142">
        <v>26</v>
      </c>
    </row>
    <row r="46" spans="1:65" x14ac:dyDescent="0.25">
      <c r="A46" s="122" t="s">
        <v>6466</v>
      </c>
      <c r="B46" s="122" t="s">
        <v>12336</v>
      </c>
      <c r="C46" s="122" t="s">
        <v>12337</v>
      </c>
      <c r="D46" s="122" t="s">
        <v>12338</v>
      </c>
      <c r="E46" s="123">
        <v>42233</v>
      </c>
      <c r="F46" s="122" t="s">
        <v>12339</v>
      </c>
      <c r="G46" s="122" t="s">
        <v>235</v>
      </c>
      <c r="H46" s="122" t="s">
        <v>12340</v>
      </c>
      <c r="I46" s="122" t="s">
        <v>12341</v>
      </c>
      <c r="K46" s="122" t="s">
        <v>238</v>
      </c>
      <c r="L46" s="122" t="s">
        <v>239</v>
      </c>
      <c r="M46" s="122" t="s">
        <v>6637</v>
      </c>
      <c r="O46" s="141" t="s">
        <v>1055</v>
      </c>
      <c r="P46" s="141" t="s">
        <v>12342</v>
      </c>
      <c r="Q46" s="122" t="s">
        <v>243</v>
      </c>
      <c r="R46" s="142">
        <v>27</v>
      </c>
      <c r="S46" s="122" t="s">
        <v>12343</v>
      </c>
      <c r="U46" s="122" t="s">
        <v>589</v>
      </c>
      <c r="W46" s="122" t="s">
        <v>246</v>
      </c>
      <c r="X46" s="122" t="s">
        <v>569</v>
      </c>
      <c r="Y46" s="141" t="s">
        <v>2899</v>
      </c>
      <c r="Z46" s="122" t="s">
        <v>12344</v>
      </c>
      <c r="AA46" s="141" t="s">
        <v>834</v>
      </c>
      <c r="AB46" s="122" t="s">
        <v>12345</v>
      </c>
      <c r="AC46" s="141" t="s">
        <v>2225</v>
      </c>
      <c r="AD46" s="122" t="s">
        <v>12346</v>
      </c>
      <c r="AE46" s="122" t="s">
        <v>235</v>
      </c>
      <c r="AF46" s="122" t="s">
        <v>12347</v>
      </c>
      <c r="AG46" s="122" t="s">
        <v>537</v>
      </c>
      <c r="AH46" s="122" t="s">
        <v>253</v>
      </c>
      <c r="AI46" s="122" t="s">
        <v>12348</v>
      </c>
      <c r="AJ46" s="122" t="s">
        <v>12349</v>
      </c>
      <c r="AK46" s="122" t="s">
        <v>253</v>
      </c>
      <c r="AL46" s="122" t="s">
        <v>253</v>
      </c>
      <c r="AM46" s="122" t="s">
        <v>253</v>
      </c>
      <c r="AN46" s="122" t="s">
        <v>253</v>
      </c>
      <c r="AO46" s="141" t="s">
        <v>253</v>
      </c>
      <c r="AP46" s="141" t="s">
        <v>253</v>
      </c>
      <c r="AQ46" s="141" t="s">
        <v>247</v>
      </c>
      <c r="AR46" s="141" t="s">
        <v>253</v>
      </c>
      <c r="AS46" s="141" t="s">
        <v>361</v>
      </c>
      <c r="AT46" s="141" t="s">
        <v>601</v>
      </c>
      <c r="AU46" s="141" t="s">
        <v>258</v>
      </c>
      <c r="AV46" s="122" t="s">
        <v>259</v>
      </c>
      <c r="AW46" s="122" t="s">
        <v>260</v>
      </c>
      <c r="AY46" s="122" t="s">
        <v>253</v>
      </c>
      <c r="AZ46" s="122" t="s">
        <v>12350</v>
      </c>
      <c r="BA46" s="122" t="s">
        <v>262</v>
      </c>
      <c r="BB46" s="122" t="s">
        <v>12351</v>
      </c>
      <c r="BD46" s="122" t="s">
        <v>253</v>
      </c>
      <c r="BE46" s="122" t="s">
        <v>263</v>
      </c>
      <c r="BF46" s="122" t="s">
        <v>605</v>
      </c>
      <c r="BH46" s="122" t="s">
        <v>589</v>
      </c>
      <c r="BI46" s="142">
        <v>27</v>
      </c>
      <c r="BJ46" s="123">
        <v>42237</v>
      </c>
      <c r="BK46" s="139" t="s">
        <v>264</v>
      </c>
      <c r="BL46" s="140">
        <v>200</v>
      </c>
      <c r="BM46" s="122">
        <v>34</v>
      </c>
    </row>
    <row r="47" spans="1:65" x14ac:dyDescent="0.25">
      <c r="A47" s="122" t="s">
        <v>6466</v>
      </c>
      <c r="B47" s="122" t="s">
        <v>12352</v>
      </c>
      <c r="C47" s="122" t="s">
        <v>12353</v>
      </c>
      <c r="D47" s="122" t="s">
        <v>12354</v>
      </c>
      <c r="E47" s="123">
        <v>42233</v>
      </c>
      <c r="F47" s="122" t="s">
        <v>1125</v>
      </c>
      <c r="G47" s="122" t="s">
        <v>235</v>
      </c>
      <c r="H47" s="122" t="s">
        <v>12355</v>
      </c>
      <c r="I47" s="122" t="s">
        <v>913</v>
      </c>
      <c r="J47" s="122" t="s">
        <v>12356</v>
      </c>
      <c r="K47" s="122" t="s">
        <v>238</v>
      </c>
      <c r="L47" s="122" t="s">
        <v>320</v>
      </c>
      <c r="M47" s="122" t="s">
        <v>915</v>
      </c>
      <c r="O47" s="141" t="s">
        <v>566</v>
      </c>
      <c r="P47" s="141" t="s">
        <v>12357</v>
      </c>
      <c r="Q47" s="122" t="s">
        <v>243</v>
      </c>
      <c r="R47" s="142">
        <v>28</v>
      </c>
      <c r="S47" s="122" t="s">
        <v>12358</v>
      </c>
      <c r="T47" s="122" t="s">
        <v>12359</v>
      </c>
      <c r="U47" s="122" t="s">
        <v>589</v>
      </c>
      <c r="W47" s="122" t="s">
        <v>246</v>
      </c>
      <c r="X47" s="122" t="s">
        <v>1225</v>
      </c>
      <c r="Z47" s="122" t="s">
        <v>250</v>
      </c>
      <c r="AB47" s="122" t="s">
        <v>250</v>
      </c>
      <c r="AD47" s="122" t="s">
        <v>250</v>
      </c>
      <c r="AE47" s="122" t="s">
        <v>235</v>
      </c>
      <c r="AF47" s="122" t="s">
        <v>12360</v>
      </c>
      <c r="AG47" s="122" t="s">
        <v>1881</v>
      </c>
      <c r="AH47" s="122" t="s">
        <v>253</v>
      </c>
      <c r="AI47" s="122" t="s">
        <v>12361</v>
      </c>
      <c r="AJ47" s="122" t="s">
        <v>12362</v>
      </c>
      <c r="AK47" s="122" t="s">
        <v>253</v>
      </c>
      <c r="AL47" s="122" t="s">
        <v>253</v>
      </c>
      <c r="AM47" s="122" t="s">
        <v>253</v>
      </c>
      <c r="AN47" s="122" t="s">
        <v>253</v>
      </c>
      <c r="AO47" s="141" t="s">
        <v>247</v>
      </c>
      <c r="AP47" s="141" t="s">
        <v>247</v>
      </c>
      <c r="AQ47" s="141" t="s">
        <v>247</v>
      </c>
      <c r="AR47" s="141" t="s">
        <v>247</v>
      </c>
      <c r="AS47" s="141" t="s">
        <v>601</v>
      </c>
      <c r="AT47" s="141" t="s">
        <v>601</v>
      </c>
      <c r="AU47" s="141" t="s">
        <v>601</v>
      </c>
      <c r="AV47" s="122" t="s">
        <v>259</v>
      </c>
      <c r="AW47" s="122" t="s">
        <v>260</v>
      </c>
      <c r="AY47" s="122" t="s">
        <v>253</v>
      </c>
      <c r="AZ47" s="122" t="s">
        <v>12363</v>
      </c>
      <c r="BA47" s="122" t="s">
        <v>262</v>
      </c>
      <c r="BB47" s="122" t="s">
        <v>262</v>
      </c>
      <c r="BD47" s="122" t="s">
        <v>253</v>
      </c>
      <c r="BE47" s="122" t="s">
        <v>263</v>
      </c>
      <c r="BF47" s="122" t="s">
        <v>605</v>
      </c>
      <c r="BH47" s="122" t="s">
        <v>589</v>
      </c>
      <c r="BI47" s="142">
        <v>28</v>
      </c>
    </row>
    <row r="48" spans="1:65" x14ac:dyDescent="0.25">
      <c r="A48" s="122" t="s">
        <v>279</v>
      </c>
      <c r="B48" s="122" t="s">
        <v>12364</v>
      </c>
      <c r="C48" s="122" t="s">
        <v>6997</v>
      </c>
      <c r="D48" s="122" t="s">
        <v>6998</v>
      </c>
      <c r="E48" s="123">
        <v>42233</v>
      </c>
      <c r="F48" s="122" t="s">
        <v>1421</v>
      </c>
      <c r="G48" s="122" t="s">
        <v>235</v>
      </c>
      <c r="H48" s="122" t="s">
        <v>6999</v>
      </c>
      <c r="I48" s="122" t="s">
        <v>7000</v>
      </c>
      <c r="K48" s="122" t="s">
        <v>238</v>
      </c>
      <c r="L48" s="122" t="s">
        <v>320</v>
      </c>
      <c r="M48" s="122" t="s">
        <v>779</v>
      </c>
      <c r="O48" s="141" t="s">
        <v>548</v>
      </c>
      <c r="P48" s="141" t="s">
        <v>7001</v>
      </c>
      <c r="Q48" s="122" t="s">
        <v>243</v>
      </c>
      <c r="R48" s="142">
        <v>29</v>
      </c>
      <c r="S48" s="122" t="s">
        <v>7002</v>
      </c>
      <c r="U48" s="122" t="s">
        <v>589</v>
      </c>
      <c r="W48" s="122" t="s">
        <v>246</v>
      </c>
      <c r="X48" s="122" t="s">
        <v>325</v>
      </c>
      <c r="Z48" s="122" t="s">
        <v>250</v>
      </c>
      <c r="AB48" s="122" t="s">
        <v>250</v>
      </c>
      <c r="AD48" s="122" t="s">
        <v>250</v>
      </c>
      <c r="AE48" s="122" t="s">
        <v>235</v>
      </c>
      <c r="AF48" s="122" t="s">
        <v>12365</v>
      </c>
      <c r="AG48" s="122" t="s">
        <v>253</v>
      </c>
      <c r="AH48" s="122" t="s">
        <v>253</v>
      </c>
      <c r="AI48" s="122" t="s">
        <v>12366</v>
      </c>
      <c r="AJ48" s="122" t="s">
        <v>7004</v>
      </c>
      <c r="AK48" s="122" t="s">
        <v>7005</v>
      </c>
      <c r="AL48" s="122" t="s">
        <v>253</v>
      </c>
      <c r="AM48" s="122" t="s">
        <v>253</v>
      </c>
      <c r="AN48" s="122" t="s">
        <v>253</v>
      </c>
      <c r="AO48" s="141" t="s">
        <v>247</v>
      </c>
      <c r="AP48" s="141" t="s">
        <v>247</v>
      </c>
      <c r="AQ48" s="141" t="s">
        <v>247</v>
      </c>
      <c r="AR48" s="141" t="s">
        <v>247</v>
      </c>
      <c r="AS48" s="141" t="s">
        <v>601</v>
      </c>
      <c r="AT48" s="141" t="s">
        <v>601</v>
      </c>
      <c r="AU48" s="141" t="s">
        <v>601</v>
      </c>
      <c r="AV48" s="122" t="s">
        <v>259</v>
      </c>
      <c r="AW48" s="122" t="s">
        <v>556</v>
      </c>
      <c r="AY48" s="122" t="s">
        <v>253</v>
      </c>
      <c r="AZ48" s="122" t="s">
        <v>7006</v>
      </c>
      <c r="BA48" s="122" t="s">
        <v>262</v>
      </c>
      <c r="BB48" s="122" t="s">
        <v>262</v>
      </c>
      <c r="BD48" s="122" t="s">
        <v>253</v>
      </c>
      <c r="BE48" s="122" t="s">
        <v>263</v>
      </c>
      <c r="BF48" s="122" t="s">
        <v>605</v>
      </c>
      <c r="BH48" s="122" t="s">
        <v>589</v>
      </c>
      <c r="BI48" s="142">
        <v>29</v>
      </c>
      <c r="BK48" s="139" t="s">
        <v>558</v>
      </c>
    </row>
    <row r="49" spans="1:65" x14ac:dyDescent="0.25">
      <c r="A49" s="122" t="s">
        <v>279</v>
      </c>
      <c r="B49" s="122" t="s">
        <v>12367</v>
      </c>
      <c r="C49" s="122" t="s">
        <v>7008</v>
      </c>
      <c r="D49" s="122" t="s">
        <v>7009</v>
      </c>
      <c r="E49" s="123">
        <v>42233</v>
      </c>
      <c r="F49" s="122" t="s">
        <v>7010</v>
      </c>
      <c r="G49" s="122" t="s">
        <v>235</v>
      </c>
      <c r="H49" s="122" t="s">
        <v>7011</v>
      </c>
      <c r="I49" s="122" t="s">
        <v>7012</v>
      </c>
      <c r="J49" s="122" t="s">
        <v>7013</v>
      </c>
      <c r="K49" s="122" t="s">
        <v>238</v>
      </c>
      <c r="L49" s="122" t="s">
        <v>239</v>
      </c>
      <c r="M49" s="122" t="s">
        <v>849</v>
      </c>
      <c r="O49" s="141" t="s">
        <v>665</v>
      </c>
      <c r="P49" s="141" t="s">
        <v>7014</v>
      </c>
      <c r="Q49" s="122" t="s">
        <v>243</v>
      </c>
      <c r="R49" s="142">
        <v>30</v>
      </c>
      <c r="S49" s="122" t="s">
        <v>7015</v>
      </c>
      <c r="U49" s="122" t="s">
        <v>589</v>
      </c>
      <c r="W49" s="122" t="s">
        <v>246</v>
      </c>
      <c r="X49" s="122" t="s">
        <v>1377</v>
      </c>
      <c r="Y49" s="141" t="s">
        <v>973</v>
      </c>
      <c r="Z49" s="122" t="s">
        <v>7016</v>
      </c>
      <c r="AA49" s="141" t="s">
        <v>784</v>
      </c>
      <c r="AB49" s="122" t="s">
        <v>7017</v>
      </c>
      <c r="AC49" s="141" t="s">
        <v>281</v>
      </c>
      <c r="AD49" s="122" t="s">
        <v>7018</v>
      </c>
      <c r="AE49" s="122" t="s">
        <v>235</v>
      </c>
      <c r="AF49" s="122" t="s">
        <v>7019</v>
      </c>
      <c r="AG49" s="122" t="s">
        <v>537</v>
      </c>
      <c r="AH49" s="122" t="s">
        <v>253</v>
      </c>
      <c r="AI49" s="122" t="s">
        <v>7020</v>
      </c>
      <c r="AJ49" s="122" t="s">
        <v>7021</v>
      </c>
      <c r="AK49" s="122" t="s">
        <v>7022</v>
      </c>
      <c r="AL49" s="122" t="s">
        <v>253</v>
      </c>
      <c r="AM49" s="122" t="s">
        <v>253</v>
      </c>
      <c r="AN49" s="122" t="s">
        <v>253</v>
      </c>
      <c r="AO49" s="141" t="s">
        <v>247</v>
      </c>
      <c r="AP49" s="141" t="s">
        <v>247</v>
      </c>
      <c r="AQ49" s="141" t="s">
        <v>247</v>
      </c>
      <c r="AR49" s="141" t="s">
        <v>247</v>
      </c>
      <c r="AS49" s="141" t="s">
        <v>601</v>
      </c>
      <c r="AT49" s="141" t="s">
        <v>601</v>
      </c>
      <c r="AU49" s="141" t="s">
        <v>601</v>
      </c>
      <c r="AV49" s="122" t="s">
        <v>259</v>
      </c>
      <c r="AW49" s="122" t="s">
        <v>556</v>
      </c>
      <c r="AX49" s="141" t="s">
        <v>1130</v>
      </c>
      <c r="AY49" s="122" t="s">
        <v>247</v>
      </c>
      <c r="AZ49" s="122" t="s">
        <v>7023</v>
      </c>
      <c r="BA49" s="122" t="s">
        <v>262</v>
      </c>
      <c r="BB49" s="122" t="s">
        <v>262</v>
      </c>
      <c r="BD49" s="122" t="s">
        <v>253</v>
      </c>
      <c r="BE49" s="122" t="s">
        <v>263</v>
      </c>
      <c r="BF49" s="122" t="s">
        <v>605</v>
      </c>
      <c r="BH49" s="122" t="s">
        <v>589</v>
      </c>
      <c r="BI49" s="142">
        <v>30</v>
      </c>
      <c r="BK49" s="139" t="s">
        <v>558</v>
      </c>
    </row>
    <row r="50" spans="1:65" x14ac:dyDescent="0.25">
      <c r="A50" s="122" t="s">
        <v>11880</v>
      </c>
      <c r="B50" s="122" t="s">
        <v>12368</v>
      </c>
      <c r="C50" s="122" t="s">
        <v>12080</v>
      </c>
      <c r="D50" s="122" t="s">
        <v>12081</v>
      </c>
      <c r="E50" s="123">
        <v>42233</v>
      </c>
      <c r="F50" s="122" t="s">
        <v>672</v>
      </c>
      <c r="G50" s="122" t="s">
        <v>235</v>
      </c>
      <c r="H50" s="122" t="s">
        <v>12082</v>
      </c>
      <c r="I50" s="122" t="s">
        <v>12083</v>
      </c>
      <c r="J50" s="122" t="s">
        <v>1053</v>
      </c>
      <c r="K50" s="122" t="s">
        <v>238</v>
      </c>
      <c r="L50" s="122" t="s">
        <v>239</v>
      </c>
      <c r="M50" s="122" t="s">
        <v>240</v>
      </c>
      <c r="O50" s="141" t="s">
        <v>1240</v>
      </c>
      <c r="P50" s="141" t="s">
        <v>12084</v>
      </c>
      <c r="Q50" s="122" t="s">
        <v>243</v>
      </c>
      <c r="R50" s="142">
        <v>31</v>
      </c>
      <c r="S50" s="122" t="s">
        <v>12085</v>
      </c>
      <c r="U50" s="122" t="s">
        <v>589</v>
      </c>
      <c r="W50" s="122" t="s">
        <v>246</v>
      </c>
      <c r="X50" s="122" t="s">
        <v>278</v>
      </c>
      <c r="Y50" s="141" t="s">
        <v>591</v>
      </c>
      <c r="Z50" s="122" t="s">
        <v>12086</v>
      </c>
      <c r="AA50" s="141" t="s">
        <v>707</v>
      </c>
      <c r="AB50" s="122" t="s">
        <v>1792</v>
      </c>
      <c r="AC50" s="141" t="s">
        <v>901</v>
      </c>
      <c r="AD50" s="122" t="s">
        <v>355</v>
      </c>
      <c r="AE50" s="122" t="s">
        <v>235</v>
      </c>
      <c r="AF50" s="122" t="s">
        <v>12087</v>
      </c>
      <c r="AG50" s="122" t="s">
        <v>12088</v>
      </c>
      <c r="AH50" s="122" t="s">
        <v>253</v>
      </c>
      <c r="AI50" s="122" t="s">
        <v>12089</v>
      </c>
      <c r="AJ50" s="122" t="s">
        <v>12090</v>
      </c>
      <c r="AK50" s="122" t="s">
        <v>253</v>
      </c>
      <c r="AL50" s="122" t="s">
        <v>253</v>
      </c>
      <c r="AM50" s="122" t="s">
        <v>253</v>
      </c>
      <c r="AN50" s="122" t="s">
        <v>253</v>
      </c>
      <c r="AO50" s="141" t="s">
        <v>247</v>
      </c>
      <c r="AP50" s="141" t="s">
        <v>247</v>
      </c>
      <c r="AQ50" s="141" t="s">
        <v>247</v>
      </c>
      <c r="AR50" s="141" t="s">
        <v>247</v>
      </c>
      <c r="AS50" s="141" t="s">
        <v>601</v>
      </c>
      <c r="AT50" s="141" t="s">
        <v>601</v>
      </c>
      <c r="AU50" s="141" t="s">
        <v>601</v>
      </c>
      <c r="AV50" s="122" t="s">
        <v>259</v>
      </c>
      <c r="AW50" s="122" t="s">
        <v>556</v>
      </c>
      <c r="AY50" s="122" t="s">
        <v>253</v>
      </c>
      <c r="AZ50" s="122" t="s">
        <v>12091</v>
      </c>
      <c r="BA50" s="122" t="s">
        <v>262</v>
      </c>
      <c r="BB50" s="122" t="s">
        <v>12091</v>
      </c>
      <c r="BD50" s="122" t="s">
        <v>253</v>
      </c>
      <c r="BE50" s="122" t="s">
        <v>263</v>
      </c>
      <c r="BF50" s="122" t="s">
        <v>605</v>
      </c>
      <c r="BH50" s="122" t="s">
        <v>589</v>
      </c>
      <c r="BI50" s="142">
        <v>31</v>
      </c>
      <c r="BK50" s="139" t="s">
        <v>558</v>
      </c>
    </row>
    <row r="51" spans="1:65" x14ac:dyDescent="0.25">
      <c r="A51" s="122" t="s">
        <v>11880</v>
      </c>
      <c r="B51" s="122" t="s">
        <v>12369</v>
      </c>
      <c r="C51" s="122" t="s">
        <v>12135</v>
      </c>
      <c r="D51" s="122" t="s">
        <v>12136</v>
      </c>
      <c r="E51" s="123">
        <v>42233</v>
      </c>
      <c r="F51" s="122" t="s">
        <v>12137</v>
      </c>
      <c r="G51" s="122" t="s">
        <v>235</v>
      </c>
      <c r="H51" s="122" t="s">
        <v>12138</v>
      </c>
      <c r="I51" s="122" t="s">
        <v>12139</v>
      </c>
      <c r="J51" s="122" t="s">
        <v>12140</v>
      </c>
      <c r="K51" s="122" t="s">
        <v>238</v>
      </c>
      <c r="L51" s="122" t="s">
        <v>239</v>
      </c>
      <c r="M51" s="122" t="s">
        <v>814</v>
      </c>
      <c r="O51" s="141" t="s">
        <v>613</v>
      </c>
      <c r="P51" s="141" t="s">
        <v>12141</v>
      </c>
      <c r="Q51" s="122" t="s">
        <v>243</v>
      </c>
      <c r="R51" s="142">
        <v>32</v>
      </c>
      <c r="S51" s="122" t="s">
        <v>12142</v>
      </c>
      <c r="U51" s="122" t="s">
        <v>589</v>
      </c>
      <c r="W51" s="122" t="s">
        <v>246</v>
      </c>
      <c r="X51" s="122" t="s">
        <v>1225</v>
      </c>
      <c r="Y51" s="141" t="s">
        <v>578</v>
      </c>
      <c r="Z51" s="122" t="s">
        <v>5013</v>
      </c>
      <c r="AA51" s="141" t="s">
        <v>304</v>
      </c>
      <c r="AB51" s="122" t="s">
        <v>12143</v>
      </c>
      <c r="AC51" s="141" t="s">
        <v>3574</v>
      </c>
      <c r="AD51" s="122" t="s">
        <v>11041</v>
      </c>
      <c r="AE51" s="122" t="s">
        <v>235</v>
      </c>
      <c r="AF51" s="122" t="s">
        <v>12144</v>
      </c>
      <c r="AG51" s="122" t="s">
        <v>638</v>
      </c>
      <c r="AH51" s="122" t="s">
        <v>253</v>
      </c>
      <c r="AI51" s="122" t="s">
        <v>12145</v>
      </c>
      <c r="AJ51" s="122" t="s">
        <v>12146</v>
      </c>
      <c r="AK51" s="122" t="s">
        <v>253</v>
      </c>
      <c r="AL51" s="122" t="s">
        <v>253</v>
      </c>
      <c r="AM51" s="122" t="s">
        <v>253</v>
      </c>
      <c r="AN51" s="122" t="s">
        <v>253</v>
      </c>
      <c r="AO51" s="141" t="s">
        <v>247</v>
      </c>
      <c r="AP51" s="141" t="s">
        <v>253</v>
      </c>
      <c r="AQ51" s="141" t="s">
        <v>253</v>
      </c>
      <c r="AR51" s="141" t="s">
        <v>247</v>
      </c>
      <c r="AS51" s="141" t="s">
        <v>601</v>
      </c>
      <c r="AT51" s="141" t="s">
        <v>258</v>
      </c>
      <c r="AU51" s="141" t="s">
        <v>601</v>
      </c>
      <c r="AV51" s="122" t="s">
        <v>259</v>
      </c>
      <c r="AW51" s="122" t="s">
        <v>556</v>
      </c>
      <c r="AY51" s="122" t="s">
        <v>253</v>
      </c>
      <c r="AZ51" s="122" t="s">
        <v>12147</v>
      </c>
      <c r="BA51" s="122" t="s">
        <v>262</v>
      </c>
      <c r="BB51" s="122" t="s">
        <v>12148</v>
      </c>
      <c r="BC51" s="141" t="s">
        <v>312</v>
      </c>
      <c r="BD51" s="122" t="s">
        <v>253</v>
      </c>
      <c r="BE51" s="122" t="s">
        <v>263</v>
      </c>
      <c r="BF51" s="122" t="s">
        <v>605</v>
      </c>
      <c r="BH51" s="122" t="s">
        <v>589</v>
      </c>
      <c r="BI51" s="142">
        <v>32</v>
      </c>
      <c r="BK51" s="139" t="s">
        <v>558</v>
      </c>
    </row>
    <row r="52" spans="1:65" x14ac:dyDescent="0.25">
      <c r="A52" s="122" t="s">
        <v>6466</v>
      </c>
      <c r="B52" s="122" t="s">
        <v>12370</v>
      </c>
      <c r="C52" s="122" t="s">
        <v>12371</v>
      </c>
      <c r="D52" s="122" t="s">
        <v>12372</v>
      </c>
      <c r="E52" s="123">
        <v>42233</v>
      </c>
      <c r="F52" s="122" t="s">
        <v>12373</v>
      </c>
      <c r="G52" s="122" t="s">
        <v>235</v>
      </c>
      <c r="H52" s="122" t="s">
        <v>12374</v>
      </c>
      <c r="I52" s="122" t="s">
        <v>12375</v>
      </c>
      <c r="J52" s="122" t="s">
        <v>12376</v>
      </c>
      <c r="K52" s="122" t="s">
        <v>238</v>
      </c>
      <c r="L52" s="122" t="s">
        <v>239</v>
      </c>
      <c r="M52" s="122" t="s">
        <v>719</v>
      </c>
      <c r="Q52" s="122" t="s">
        <v>243</v>
      </c>
      <c r="R52" s="142">
        <v>33</v>
      </c>
      <c r="S52" s="122" t="s">
        <v>12377</v>
      </c>
      <c r="U52" s="122" t="s">
        <v>589</v>
      </c>
      <c r="V52" s="122" t="s">
        <v>351</v>
      </c>
      <c r="W52" s="122" t="s">
        <v>246</v>
      </c>
      <c r="X52" s="122" t="s">
        <v>551</v>
      </c>
      <c r="Y52" s="141" t="s">
        <v>535</v>
      </c>
      <c r="Z52" s="122" t="s">
        <v>12378</v>
      </c>
      <c r="AA52" s="141" t="s">
        <v>535</v>
      </c>
      <c r="AB52" s="122" t="s">
        <v>355</v>
      </c>
      <c r="AC52" s="141" t="s">
        <v>877</v>
      </c>
      <c r="AD52" s="122" t="s">
        <v>12379</v>
      </c>
      <c r="AE52" s="122" t="s">
        <v>235</v>
      </c>
      <c r="AF52" s="122" t="s">
        <v>12380</v>
      </c>
      <c r="AG52" s="122" t="s">
        <v>12381</v>
      </c>
      <c r="AH52" s="122" t="s">
        <v>253</v>
      </c>
      <c r="AI52" s="122" t="s">
        <v>12382</v>
      </c>
      <c r="AJ52" s="122" t="s">
        <v>12383</v>
      </c>
      <c r="AK52" s="122" t="s">
        <v>12384</v>
      </c>
      <c r="AL52" s="122" t="s">
        <v>253</v>
      </c>
      <c r="AM52" s="122" t="s">
        <v>253</v>
      </c>
      <c r="AN52" s="122" t="s">
        <v>253</v>
      </c>
      <c r="AO52" s="141" t="s">
        <v>253</v>
      </c>
      <c r="AP52" s="141" t="s">
        <v>253</v>
      </c>
      <c r="AQ52" s="141" t="s">
        <v>253</v>
      </c>
      <c r="AR52" s="141" t="s">
        <v>247</v>
      </c>
      <c r="AS52" s="141" t="s">
        <v>361</v>
      </c>
      <c r="AT52" s="141" t="s">
        <v>258</v>
      </c>
      <c r="AU52" s="141" t="s">
        <v>601</v>
      </c>
      <c r="AV52" s="122" t="s">
        <v>259</v>
      </c>
      <c r="AW52" s="122" t="s">
        <v>556</v>
      </c>
      <c r="AX52" s="141" t="s">
        <v>12385</v>
      </c>
      <c r="AY52" s="122" t="s">
        <v>247</v>
      </c>
      <c r="AZ52" s="122" t="s">
        <v>12386</v>
      </c>
      <c r="BA52" s="122" t="s">
        <v>12387</v>
      </c>
      <c r="BB52" s="122" t="s">
        <v>12388</v>
      </c>
      <c r="BD52" s="122" t="s">
        <v>253</v>
      </c>
      <c r="BE52" s="122" t="s">
        <v>263</v>
      </c>
      <c r="BF52" s="122" t="s">
        <v>605</v>
      </c>
      <c r="BH52" s="122" t="s">
        <v>589</v>
      </c>
      <c r="BI52" s="142">
        <v>33</v>
      </c>
    </row>
    <row r="53" spans="1:65" x14ac:dyDescent="0.25">
      <c r="A53" s="122" t="s">
        <v>6466</v>
      </c>
      <c r="B53" s="122" t="s">
        <v>12389</v>
      </c>
      <c r="C53" s="122" t="s">
        <v>12195</v>
      </c>
      <c r="D53" s="122" t="s">
        <v>12196</v>
      </c>
      <c r="E53" s="123">
        <v>42233</v>
      </c>
      <c r="F53" s="122" t="s">
        <v>12197</v>
      </c>
      <c r="G53" s="122" t="s">
        <v>235</v>
      </c>
      <c r="H53" s="122" t="s">
        <v>12198</v>
      </c>
      <c r="I53" s="122" t="s">
        <v>12199</v>
      </c>
      <c r="K53" s="122" t="s">
        <v>238</v>
      </c>
      <c r="L53" s="122" t="s">
        <v>239</v>
      </c>
      <c r="M53" s="122" t="s">
        <v>719</v>
      </c>
      <c r="O53" s="141" t="s">
        <v>1253</v>
      </c>
      <c r="P53" s="141" t="s">
        <v>12200</v>
      </c>
      <c r="Q53" s="122" t="s">
        <v>243</v>
      </c>
      <c r="R53" s="142">
        <v>34</v>
      </c>
      <c r="S53" s="122" t="s">
        <v>12201</v>
      </c>
      <c r="U53" s="122" t="s">
        <v>589</v>
      </c>
      <c r="W53" s="122" t="s">
        <v>246</v>
      </c>
      <c r="X53" s="122" t="s">
        <v>1057</v>
      </c>
      <c r="Y53" s="141" t="s">
        <v>2899</v>
      </c>
      <c r="Z53" s="122" t="s">
        <v>12202</v>
      </c>
      <c r="AA53" s="141" t="s">
        <v>1090</v>
      </c>
      <c r="AB53" s="122" t="s">
        <v>12202</v>
      </c>
      <c r="AC53" s="141" t="s">
        <v>7483</v>
      </c>
      <c r="AD53" s="122" t="s">
        <v>12203</v>
      </c>
      <c r="AE53" s="122" t="s">
        <v>235</v>
      </c>
      <c r="AF53" s="122" t="s">
        <v>12204</v>
      </c>
      <c r="AG53" s="122" t="s">
        <v>253</v>
      </c>
      <c r="AH53" s="122" t="s">
        <v>253</v>
      </c>
      <c r="AI53" s="122" t="s">
        <v>12205</v>
      </c>
      <c r="AJ53" s="122" t="s">
        <v>12206</v>
      </c>
      <c r="AK53" s="122" t="s">
        <v>12207</v>
      </c>
      <c r="AL53" s="122" t="s">
        <v>253</v>
      </c>
      <c r="AM53" s="122" t="s">
        <v>253</v>
      </c>
      <c r="AN53" s="122" t="s">
        <v>253</v>
      </c>
      <c r="AO53" s="141" t="s">
        <v>247</v>
      </c>
      <c r="AP53" s="141" t="s">
        <v>247</v>
      </c>
      <c r="AQ53" s="141" t="s">
        <v>247</v>
      </c>
      <c r="AR53" s="141" t="s">
        <v>247</v>
      </c>
      <c r="AS53" s="141" t="s">
        <v>601</v>
      </c>
      <c r="AT53" s="141" t="s">
        <v>601</v>
      </c>
      <c r="AU53" s="141" t="s">
        <v>601</v>
      </c>
      <c r="AV53" s="122" t="s">
        <v>259</v>
      </c>
      <c r="AW53" s="122" t="s">
        <v>556</v>
      </c>
      <c r="AY53" s="122" t="s">
        <v>253</v>
      </c>
      <c r="AZ53" s="122" t="s">
        <v>12208</v>
      </c>
      <c r="BA53" s="122" t="s">
        <v>262</v>
      </c>
      <c r="BB53" s="122" t="s">
        <v>12209</v>
      </c>
      <c r="BD53" s="122" t="s">
        <v>253</v>
      </c>
      <c r="BE53" s="122" t="s">
        <v>263</v>
      </c>
      <c r="BF53" s="122" t="s">
        <v>605</v>
      </c>
      <c r="BH53" s="122" t="s">
        <v>589</v>
      </c>
      <c r="BI53" s="142">
        <v>34</v>
      </c>
      <c r="BK53" s="139" t="s">
        <v>558</v>
      </c>
    </row>
    <row r="54" spans="1:65" x14ac:dyDescent="0.25">
      <c r="A54" s="122" t="s">
        <v>279</v>
      </c>
      <c r="B54" s="122" t="s">
        <v>12390</v>
      </c>
      <c r="C54" s="122" t="s">
        <v>12391</v>
      </c>
      <c r="D54" s="122" t="s">
        <v>12392</v>
      </c>
      <c r="E54" s="123">
        <v>42233</v>
      </c>
      <c r="F54" s="122" t="s">
        <v>7557</v>
      </c>
      <c r="G54" s="122" t="s">
        <v>235</v>
      </c>
      <c r="H54" s="122" t="s">
        <v>12393</v>
      </c>
      <c r="I54" s="122" t="s">
        <v>12394</v>
      </c>
      <c r="J54" s="122" t="s">
        <v>2271</v>
      </c>
      <c r="K54" s="122" t="s">
        <v>238</v>
      </c>
      <c r="L54" s="122" t="s">
        <v>429</v>
      </c>
      <c r="M54" s="122" t="s">
        <v>565</v>
      </c>
      <c r="O54" s="141" t="s">
        <v>548</v>
      </c>
      <c r="P54" s="141" t="s">
        <v>12395</v>
      </c>
      <c r="Q54" s="122" t="s">
        <v>243</v>
      </c>
      <c r="R54" s="142">
        <v>5</v>
      </c>
      <c r="S54" s="122" t="s">
        <v>12396</v>
      </c>
      <c r="U54" s="122" t="s">
        <v>1420</v>
      </c>
      <c r="W54" s="122" t="s">
        <v>246</v>
      </c>
      <c r="X54" s="122" t="s">
        <v>302</v>
      </c>
      <c r="Y54" s="141" t="s">
        <v>534</v>
      </c>
      <c r="Z54" s="122" t="s">
        <v>12397</v>
      </c>
      <c r="AA54" s="141" t="s">
        <v>593</v>
      </c>
      <c r="AB54" s="122" t="s">
        <v>303</v>
      </c>
      <c r="AC54" s="141" t="s">
        <v>593</v>
      </c>
      <c r="AD54" s="122" t="s">
        <v>518</v>
      </c>
      <c r="AE54" s="122" t="s">
        <v>235</v>
      </c>
      <c r="AF54" s="122" t="s">
        <v>12398</v>
      </c>
      <c r="AG54" s="122" t="s">
        <v>253</v>
      </c>
      <c r="AH54" s="122" t="s">
        <v>253</v>
      </c>
      <c r="AI54" s="122" t="s">
        <v>12399</v>
      </c>
      <c r="AJ54" s="122" t="s">
        <v>12400</v>
      </c>
      <c r="AK54" s="122" t="s">
        <v>12401</v>
      </c>
      <c r="AL54" s="122" t="s">
        <v>253</v>
      </c>
      <c r="AM54" s="122" t="s">
        <v>253</v>
      </c>
      <c r="AN54" s="122" t="s">
        <v>253</v>
      </c>
      <c r="AO54" s="141" t="s">
        <v>247</v>
      </c>
      <c r="AP54" s="141" t="s">
        <v>247</v>
      </c>
      <c r="AQ54" s="141" t="s">
        <v>253</v>
      </c>
      <c r="AR54" s="141" t="s">
        <v>253</v>
      </c>
      <c r="AS54" s="141" t="s">
        <v>601</v>
      </c>
      <c r="AT54" s="141" t="s">
        <v>258</v>
      </c>
      <c r="AU54" s="141" t="s">
        <v>258</v>
      </c>
      <c r="AV54" s="122" t="s">
        <v>259</v>
      </c>
      <c r="AW54" s="122" t="s">
        <v>260</v>
      </c>
      <c r="AY54" s="122" t="s">
        <v>253</v>
      </c>
      <c r="AZ54" s="122" t="s">
        <v>12402</v>
      </c>
      <c r="BA54" s="122" t="s">
        <v>262</v>
      </c>
      <c r="BB54" s="122" t="s">
        <v>262</v>
      </c>
      <c r="BD54" s="122" t="s">
        <v>247</v>
      </c>
      <c r="BE54" s="122" t="s">
        <v>263</v>
      </c>
      <c r="BF54" s="122" t="s">
        <v>1430</v>
      </c>
      <c r="BH54" s="122" t="s">
        <v>1420</v>
      </c>
      <c r="BI54" s="142">
        <v>5</v>
      </c>
    </row>
    <row r="55" spans="1:65" x14ac:dyDescent="0.25">
      <c r="A55" s="122" t="s">
        <v>279</v>
      </c>
      <c r="B55" s="122" t="s">
        <v>12403</v>
      </c>
      <c r="C55" s="122" t="s">
        <v>12404</v>
      </c>
      <c r="D55" s="122" t="s">
        <v>12405</v>
      </c>
      <c r="E55" s="123">
        <v>42233</v>
      </c>
      <c r="F55" s="122" t="s">
        <v>2098</v>
      </c>
      <c r="G55" s="122" t="s">
        <v>235</v>
      </c>
      <c r="H55" s="122" t="s">
        <v>12406</v>
      </c>
      <c r="I55" s="122" t="s">
        <v>12407</v>
      </c>
      <c r="K55" s="122" t="s">
        <v>238</v>
      </c>
      <c r="L55" s="122" t="s">
        <v>297</v>
      </c>
      <c r="M55" s="122" t="s">
        <v>2006</v>
      </c>
      <c r="N55" s="122" t="s">
        <v>12408</v>
      </c>
      <c r="O55" s="141" t="s">
        <v>373</v>
      </c>
      <c r="P55" s="141" t="s">
        <v>12409</v>
      </c>
      <c r="Q55" s="122" t="s">
        <v>243</v>
      </c>
      <c r="R55" s="142">
        <v>6</v>
      </c>
      <c r="S55" s="122" t="s">
        <v>12410</v>
      </c>
      <c r="U55" s="122" t="s">
        <v>1420</v>
      </c>
      <c r="W55" s="122" t="s">
        <v>246</v>
      </c>
      <c r="X55" s="122" t="s">
        <v>278</v>
      </c>
      <c r="Y55" s="141" t="s">
        <v>511</v>
      </c>
      <c r="Z55" s="122" t="s">
        <v>2362</v>
      </c>
      <c r="AA55" s="141" t="s">
        <v>672</v>
      </c>
      <c r="AB55" s="122" t="s">
        <v>12411</v>
      </c>
      <c r="AC55" s="141" t="s">
        <v>6691</v>
      </c>
      <c r="AD55" s="122" t="s">
        <v>12412</v>
      </c>
      <c r="AE55" s="122" t="s">
        <v>235</v>
      </c>
      <c r="AF55" s="122" t="s">
        <v>11396</v>
      </c>
      <c r="AG55" s="122" t="s">
        <v>537</v>
      </c>
      <c r="AH55" s="122" t="s">
        <v>253</v>
      </c>
      <c r="AI55" s="122" t="s">
        <v>1795</v>
      </c>
      <c r="AJ55" s="122" t="s">
        <v>2368</v>
      </c>
      <c r="AK55" s="122" t="s">
        <v>253</v>
      </c>
      <c r="AL55" s="122" t="s">
        <v>253</v>
      </c>
      <c r="AM55" s="122" t="s">
        <v>253</v>
      </c>
      <c r="AN55" s="122" t="s">
        <v>253</v>
      </c>
      <c r="AO55" s="141" t="s">
        <v>253</v>
      </c>
      <c r="AP55" s="141" t="s">
        <v>253</v>
      </c>
      <c r="AQ55" s="141" t="s">
        <v>247</v>
      </c>
      <c r="AR55" s="141" t="s">
        <v>253</v>
      </c>
      <c r="AS55" s="141" t="s">
        <v>361</v>
      </c>
      <c r="AT55" s="141" t="s">
        <v>601</v>
      </c>
      <c r="AU55" s="141" t="s">
        <v>258</v>
      </c>
      <c r="AV55" s="122" t="s">
        <v>259</v>
      </c>
      <c r="AW55" s="122" t="s">
        <v>260</v>
      </c>
      <c r="AX55" s="141" t="s">
        <v>12413</v>
      </c>
      <c r="AY55" s="122" t="s">
        <v>247</v>
      </c>
      <c r="AZ55" s="122" t="s">
        <v>12414</v>
      </c>
      <c r="BA55" s="122" t="s">
        <v>262</v>
      </c>
      <c r="BB55" s="122" t="s">
        <v>262</v>
      </c>
      <c r="BD55" s="122" t="s">
        <v>253</v>
      </c>
      <c r="BE55" s="122" t="s">
        <v>263</v>
      </c>
      <c r="BF55" s="122" t="s">
        <v>1430</v>
      </c>
      <c r="BH55" s="122" t="s">
        <v>1420</v>
      </c>
      <c r="BI55" s="142">
        <v>6</v>
      </c>
    </row>
    <row r="56" spans="1:65" x14ac:dyDescent="0.25">
      <c r="A56" s="122" t="s">
        <v>279</v>
      </c>
      <c r="B56" s="122" t="s">
        <v>12415</v>
      </c>
      <c r="C56" s="122" t="s">
        <v>12416</v>
      </c>
      <c r="D56" s="122" t="s">
        <v>12417</v>
      </c>
      <c r="E56" s="123">
        <v>42233</v>
      </c>
      <c r="F56" s="122" t="s">
        <v>2355</v>
      </c>
      <c r="G56" s="122" t="s">
        <v>235</v>
      </c>
      <c r="H56" s="122" t="s">
        <v>12418</v>
      </c>
      <c r="I56" s="122" t="s">
        <v>12419</v>
      </c>
      <c r="J56" s="122" t="s">
        <v>12420</v>
      </c>
      <c r="K56" s="122" t="s">
        <v>238</v>
      </c>
      <c r="L56" s="122" t="s">
        <v>271</v>
      </c>
      <c r="M56" s="122" t="s">
        <v>2715</v>
      </c>
      <c r="O56" s="141" t="s">
        <v>2175</v>
      </c>
      <c r="P56" s="141" t="s">
        <v>12421</v>
      </c>
      <c r="Q56" s="122" t="s">
        <v>243</v>
      </c>
      <c r="R56" s="142">
        <v>7</v>
      </c>
      <c r="S56" s="122" t="s">
        <v>12422</v>
      </c>
      <c r="U56" s="122" t="s">
        <v>1420</v>
      </c>
      <c r="V56" s="122" t="s">
        <v>351</v>
      </c>
      <c r="W56" s="122" t="s">
        <v>246</v>
      </c>
      <c r="X56" s="122" t="s">
        <v>433</v>
      </c>
      <c r="Y56" s="141" t="s">
        <v>1440</v>
      </c>
      <c r="Z56" s="122" t="s">
        <v>12423</v>
      </c>
      <c r="AA56" s="141" t="s">
        <v>367</v>
      </c>
      <c r="AB56" s="122" t="s">
        <v>12424</v>
      </c>
      <c r="AC56" s="141" t="s">
        <v>763</v>
      </c>
      <c r="AD56" s="122" t="s">
        <v>12425</v>
      </c>
      <c r="AE56" s="122" t="s">
        <v>235</v>
      </c>
      <c r="AF56" s="122" t="s">
        <v>12426</v>
      </c>
      <c r="AG56" s="122" t="s">
        <v>253</v>
      </c>
      <c r="AH56" s="122" t="s">
        <v>253</v>
      </c>
      <c r="AI56" s="122" t="s">
        <v>12427</v>
      </c>
      <c r="AJ56" s="122" t="s">
        <v>12428</v>
      </c>
      <c r="AK56" s="122" t="s">
        <v>12429</v>
      </c>
      <c r="AL56" s="122" t="s">
        <v>253</v>
      </c>
      <c r="AM56" s="122" t="s">
        <v>253</v>
      </c>
      <c r="AN56" s="122" t="s">
        <v>253</v>
      </c>
      <c r="AO56" s="141" t="s">
        <v>247</v>
      </c>
      <c r="AP56" s="141" t="s">
        <v>253</v>
      </c>
      <c r="AQ56" s="141" t="s">
        <v>247</v>
      </c>
      <c r="AR56" s="141" t="s">
        <v>253</v>
      </c>
      <c r="AS56" s="141" t="s">
        <v>601</v>
      </c>
      <c r="AT56" s="141" t="s">
        <v>601</v>
      </c>
      <c r="AU56" s="141" t="s">
        <v>258</v>
      </c>
      <c r="AV56" s="122" t="s">
        <v>259</v>
      </c>
      <c r="AW56" s="122" t="s">
        <v>260</v>
      </c>
      <c r="AY56" s="122" t="s">
        <v>253</v>
      </c>
      <c r="AZ56" s="122" t="s">
        <v>12430</v>
      </c>
      <c r="BA56" s="122" t="s">
        <v>262</v>
      </c>
      <c r="BB56" s="122" t="s">
        <v>262</v>
      </c>
      <c r="BD56" s="122" t="s">
        <v>253</v>
      </c>
      <c r="BE56" s="122" t="s">
        <v>263</v>
      </c>
      <c r="BF56" s="122" t="s">
        <v>1430</v>
      </c>
      <c r="BH56" s="122" t="s">
        <v>1420</v>
      </c>
      <c r="BI56" s="142">
        <v>7</v>
      </c>
    </row>
    <row r="57" spans="1:65" x14ac:dyDescent="0.25">
      <c r="A57" s="122" t="s">
        <v>279</v>
      </c>
      <c r="B57" s="122" t="s">
        <v>12431</v>
      </c>
      <c r="C57" s="122" t="s">
        <v>12432</v>
      </c>
      <c r="D57" s="122" t="s">
        <v>12433</v>
      </c>
      <c r="E57" s="123">
        <v>42233</v>
      </c>
      <c r="F57" s="122" t="s">
        <v>12434</v>
      </c>
      <c r="G57" s="122" t="s">
        <v>235</v>
      </c>
      <c r="H57" s="122" t="s">
        <v>12435</v>
      </c>
      <c r="I57" s="122" t="s">
        <v>12436</v>
      </c>
      <c r="J57" s="122" t="s">
        <v>12437</v>
      </c>
      <c r="K57" s="122" t="s">
        <v>238</v>
      </c>
      <c r="L57" s="122" t="s">
        <v>271</v>
      </c>
      <c r="M57" s="122" t="s">
        <v>12438</v>
      </c>
      <c r="N57" s="122" t="s">
        <v>12439</v>
      </c>
      <c r="Q57" s="122" t="s">
        <v>243</v>
      </c>
      <c r="R57" s="142">
        <v>8</v>
      </c>
      <c r="S57" s="122" t="s">
        <v>12440</v>
      </c>
      <c r="U57" s="122" t="s">
        <v>1420</v>
      </c>
      <c r="W57" s="122" t="s">
        <v>246</v>
      </c>
      <c r="X57" s="122" t="s">
        <v>1057</v>
      </c>
      <c r="Y57" s="141" t="s">
        <v>511</v>
      </c>
      <c r="Z57" s="122" t="s">
        <v>2318</v>
      </c>
      <c r="AA57" s="141" t="s">
        <v>1969</v>
      </c>
      <c r="AB57" s="122" t="s">
        <v>2318</v>
      </c>
      <c r="AC57" s="141" t="s">
        <v>1015</v>
      </c>
      <c r="AD57" s="122" t="s">
        <v>2318</v>
      </c>
      <c r="AE57" s="122" t="s">
        <v>235</v>
      </c>
      <c r="AF57" s="122" t="s">
        <v>12441</v>
      </c>
      <c r="AG57" s="122" t="s">
        <v>253</v>
      </c>
      <c r="AH57" s="122" t="s">
        <v>253</v>
      </c>
      <c r="AI57" s="122" t="s">
        <v>942</v>
      </c>
      <c r="AJ57" s="122" t="s">
        <v>12442</v>
      </c>
      <c r="AK57" s="122" t="s">
        <v>12443</v>
      </c>
      <c r="AL57" s="122" t="s">
        <v>253</v>
      </c>
      <c r="AM57" s="122" t="s">
        <v>253</v>
      </c>
      <c r="AN57" s="122" t="s">
        <v>253</v>
      </c>
      <c r="AO57" s="141" t="s">
        <v>247</v>
      </c>
      <c r="AP57" s="141" t="s">
        <v>253</v>
      </c>
      <c r="AQ57" s="141" t="s">
        <v>253</v>
      </c>
      <c r="AR57" s="141" t="s">
        <v>253</v>
      </c>
      <c r="AS57" s="141" t="s">
        <v>601</v>
      </c>
      <c r="AT57" s="141" t="s">
        <v>258</v>
      </c>
      <c r="AU57" s="141" t="s">
        <v>258</v>
      </c>
      <c r="AV57" s="122" t="s">
        <v>259</v>
      </c>
      <c r="AW57" s="122" t="s">
        <v>260</v>
      </c>
      <c r="AY57" s="122" t="s">
        <v>253</v>
      </c>
      <c r="AZ57" s="122" t="s">
        <v>12444</v>
      </c>
      <c r="BA57" s="122" t="s">
        <v>262</v>
      </c>
      <c r="BB57" s="122" t="s">
        <v>262</v>
      </c>
      <c r="BD57" s="122" t="s">
        <v>253</v>
      </c>
      <c r="BE57" s="122" t="s">
        <v>263</v>
      </c>
      <c r="BF57" s="122" t="s">
        <v>1430</v>
      </c>
      <c r="BH57" s="122" t="s">
        <v>1420</v>
      </c>
      <c r="BI57" s="142">
        <v>8</v>
      </c>
    </row>
    <row r="58" spans="1:65" x14ac:dyDescent="0.25">
      <c r="A58" s="122" t="s">
        <v>279</v>
      </c>
      <c r="B58" s="122" t="s">
        <v>12445</v>
      </c>
      <c r="C58" s="122" t="s">
        <v>12446</v>
      </c>
      <c r="D58" s="122" t="s">
        <v>12447</v>
      </c>
      <c r="E58" s="123">
        <v>42233</v>
      </c>
      <c r="F58" s="122" t="s">
        <v>4082</v>
      </c>
      <c r="G58" s="122" t="s">
        <v>235</v>
      </c>
      <c r="H58" s="122" t="s">
        <v>12448</v>
      </c>
      <c r="I58" s="122" t="s">
        <v>6532</v>
      </c>
      <c r="J58" s="122" t="s">
        <v>4446</v>
      </c>
      <c r="K58" s="122" t="s">
        <v>238</v>
      </c>
      <c r="L58" s="122" t="s">
        <v>271</v>
      </c>
      <c r="M58" s="122" t="s">
        <v>2069</v>
      </c>
      <c r="O58" s="141" t="s">
        <v>566</v>
      </c>
      <c r="P58" s="141" t="s">
        <v>12449</v>
      </c>
      <c r="Q58" s="122" t="s">
        <v>243</v>
      </c>
      <c r="R58" s="142">
        <v>9</v>
      </c>
      <c r="S58" s="122" t="s">
        <v>12450</v>
      </c>
      <c r="U58" s="122" t="s">
        <v>1420</v>
      </c>
      <c r="W58" s="122" t="s">
        <v>246</v>
      </c>
      <c r="X58" s="122" t="s">
        <v>278</v>
      </c>
      <c r="Y58" s="141" t="s">
        <v>6551</v>
      </c>
      <c r="Z58" s="122" t="s">
        <v>3350</v>
      </c>
      <c r="AA58" s="141" t="s">
        <v>1258</v>
      </c>
      <c r="AB58" s="122" t="s">
        <v>800</v>
      </c>
      <c r="AC58" s="141" t="s">
        <v>1023</v>
      </c>
      <c r="AD58" s="122" t="s">
        <v>9691</v>
      </c>
      <c r="AE58" s="122" t="s">
        <v>235</v>
      </c>
      <c r="AF58" s="122" t="s">
        <v>12451</v>
      </c>
      <c r="AG58" s="122" t="s">
        <v>537</v>
      </c>
      <c r="AH58" s="122" t="s">
        <v>253</v>
      </c>
      <c r="AI58" s="122" t="s">
        <v>12452</v>
      </c>
      <c r="AJ58" s="122" t="s">
        <v>6994</v>
      </c>
      <c r="AK58" s="122" t="s">
        <v>253</v>
      </c>
      <c r="AL58" s="122" t="s">
        <v>253</v>
      </c>
      <c r="AM58" s="122" t="s">
        <v>253</v>
      </c>
      <c r="AN58" s="122" t="s">
        <v>253</v>
      </c>
      <c r="AO58" s="141" t="s">
        <v>247</v>
      </c>
      <c r="AP58" s="141" t="s">
        <v>247</v>
      </c>
      <c r="AQ58" s="141" t="s">
        <v>247</v>
      </c>
      <c r="AR58" s="141" t="s">
        <v>247</v>
      </c>
      <c r="AS58" s="141" t="s">
        <v>601</v>
      </c>
      <c r="AT58" s="141" t="s">
        <v>601</v>
      </c>
      <c r="AU58" s="141" t="s">
        <v>601</v>
      </c>
      <c r="AV58" s="122" t="s">
        <v>259</v>
      </c>
      <c r="AW58" s="122" t="s">
        <v>260</v>
      </c>
      <c r="AY58" s="122" t="s">
        <v>253</v>
      </c>
      <c r="AZ58" s="122" t="s">
        <v>12453</v>
      </c>
      <c r="BA58" s="122" t="s">
        <v>262</v>
      </c>
      <c r="BB58" s="122" t="s">
        <v>262</v>
      </c>
      <c r="BD58" s="122" t="s">
        <v>253</v>
      </c>
      <c r="BE58" s="122" t="s">
        <v>263</v>
      </c>
      <c r="BF58" s="122" t="s">
        <v>1430</v>
      </c>
      <c r="BH58" s="122" t="s">
        <v>1420</v>
      </c>
      <c r="BI58" s="142">
        <v>9</v>
      </c>
    </row>
    <row r="59" spans="1:65" x14ac:dyDescent="0.25">
      <c r="A59" s="122" t="s">
        <v>279</v>
      </c>
      <c r="B59" s="122" t="s">
        <v>12454</v>
      </c>
      <c r="C59" s="122" t="s">
        <v>12455</v>
      </c>
      <c r="D59" s="122" t="s">
        <v>12456</v>
      </c>
      <c r="E59" s="123">
        <v>42233</v>
      </c>
      <c r="F59" s="122" t="s">
        <v>1896</v>
      </c>
      <c r="G59" s="122" t="s">
        <v>235</v>
      </c>
      <c r="H59" s="122" t="s">
        <v>12457</v>
      </c>
      <c r="I59" s="122" t="s">
        <v>12458</v>
      </c>
      <c r="K59" s="122" t="s">
        <v>238</v>
      </c>
      <c r="L59" s="122" t="s">
        <v>297</v>
      </c>
      <c r="M59" s="122" t="s">
        <v>298</v>
      </c>
      <c r="O59" s="141" t="s">
        <v>1055</v>
      </c>
      <c r="P59" s="141" t="s">
        <v>12459</v>
      </c>
      <c r="Q59" s="122" t="s">
        <v>243</v>
      </c>
      <c r="R59" s="142">
        <v>10</v>
      </c>
      <c r="S59" s="122" t="s">
        <v>12460</v>
      </c>
      <c r="U59" s="122" t="s">
        <v>1420</v>
      </c>
      <c r="W59" s="122" t="s">
        <v>246</v>
      </c>
      <c r="X59" s="122" t="s">
        <v>1121</v>
      </c>
      <c r="Y59" s="141" t="s">
        <v>570</v>
      </c>
      <c r="Z59" s="122" t="s">
        <v>12461</v>
      </c>
      <c r="AB59" s="122" t="s">
        <v>250</v>
      </c>
      <c r="AD59" s="122" t="s">
        <v>250</v>
      </c>
      <c r="AE59" s="122" t="s">
        <v>235</v>
      </c>
      <c r="AF59" s="122" t="s">
        <v>2367</v>
      </c>
      <c r="AG59" s="122" t="s">
        <v>537</v>
      </c>
      <c r="AH59" s="122" t="s">
        <v>253</v>
      </c>
      <c r="AI59" s="122" t="s">
        <v>1585</v>
      </c>
      <c r="AJ59" s="122" t="s">
        <v>2368</v>
      </c>
      <c r="AK59" s="122" t="s">
        <v>253</v>
      </c>
      <c r="AL59" s="122" t="s">
        <v>253</v>
      </c>
      <c r="AM59" s="122" t="s">
        <v>253</v>
      </c>
      <c r="AN59" s="122" t="s">
        <v>253</v>
      </c>
      <c r="AO59" s="141" t="s">
        <v>253</v>
      </c>
      <c r="AP59" s="141" t="s">
        <v>253</v>
      </c>
      <c r="AQ59" s="141" t="s">
        <v>247</v>
      </c>
      <c r="AR59" s="141" t="s">
        <v>253</v>
      </c>
      <c r="AS59" s="141" t="s">
        <v>361</v>
      </c>
      <c r="AT59" s="141" t="s">
        <v>601</v>
      </c>
      <c r="AU59" s="141" t="s">
        <v>258</v>
      </c>
      <c r="AV59" s="122" t="s">
        <v>259</v>
      </c>
      <c r="AW59" s="122" t="s">
        <v>260</v>
      </c>
      <c r="AY59" s="122" t="s">
        <v>253</v>
      </c>
      <c r="AZ59" s="122" t="s">
        <v>12462</v>
      </c>
      <c r="BA59" s="122" t="s">
        <v>262</v>
      </c>
      <c r="BB59" s="122" t="s">
        <v>262</v>
      </c>
      <c r="BD59" s="122" t="s">
        <v>253</v>
      </c>
      <c r="BE59" s="122" t="s">
        <v>263</v>
      </c>
      <c r="BF59" s="122" t="s">
        <v>1430</v>
      </c>
      <c r="BH59" s="122" t="s">
        <v>1420</v>
      </c>
      <c r="BI59" s="142">
        <v>10</v>
      </c>
    </row>
    <row r="60" spans="1:65" x14ac:dyDescent="0.25">
      <c r="A60" s="122" t="s">
        <v>279</v>
      </c>
      <c r="B60" s="122" t="s">
        <v>12463</v>
      </c>
      <c r="C60" s="122" t="s">
        <v>12464</v>
      </c>
      <c r="D60" s="122" t="s">
        <v>12465</v>
      </c>
      <c r="E60" s="123">
        <v>42233</v>
      </c>
      <c r="F60" s="122" t="s">
        <v>12466</v>
      </c>
      <c r="G60" s="122" t="s">
        <v>235</v>
      </c>
      <c r="H60" s="122" t="s">
        <v>12467</v>
      </c>
      <c r="I60" s="122" t="s">
        <v>12468</v>
      </c>
      <c r="K60" s="122" t="s">
        <v>238</v>
      </c>
      <c r="L60" s="122" t="s">
        <v>388</v>
      </c>
      <c r="M60" s="122" t="s">
        <v>1891</v>
      </c>
      <c r="O60" s="141" t="s">
        <v>566</v>
      </c>
      <c r="P60" s="141" t="s">
        <v>12469</v>
      </c>
      <c r="Q60" s="122" t="s">
        <v>243</v>
      </c>
      <c r="R60" s="142">
        <v>11</v>
      </c>
      <c r="S60" s="122" t="s">
        <v>12470</v>
      </c>
      <c r="U60" s="122" t="s">
        <v>1420</v>
      </c>
      <c r="W60" s="122" t="s">
        <v>246</v>
      </c>
      <c r="X60" s="122" t="s">
        <v>278</v>
      </c>
      <c r="Y60" s="141" t="s">
        <v>2979</v>
      </c>
      <c r="Z60" s="122" t="s">
        <v>1091</v>
      </c>
      <c r="AA60" s="141" t="s">
        <v>740</v>
      </c>
      <c r="AB60" s="122" t="s">
        <v>5324</v>
      </c>
      <c r="AC60" s="141" t="s">
        <v>511</v>
      </c>
      <c r="AD60" s="122" t="s">
        <v>4541</v>
      </c>
      <c r="AE60" s="122" t="s">
        <v>235</v>
      </c>
      <c r="AF60" s="122" t="s">
        <v>12471</v>
      </c>
      <c r="AG60" s="122" t="s">
        <v>537</v>
      </c>
      <c r="AH60" s="122" t="s">
        <v>253</v>
      </c>
      <c r="AI60" s="122" t="s">
        <v>12472</v>
      </c>
      <c r="AJ60" s="122" t="s">
        <v>12473</v>
      </c>
      <c r="AK60" s="122" t="s">
        <v>12474</v>
      </c>
      <c r="AL60" s="122" t="s">
        <v>253</v>
      </c>
      <c r="AM60" s="122" t="s">
        <v>253</v>
      </c>
      <c r="AN60" s="122" t="s">
        <v>253</v>
      </c>
      <c r="AO60" s="141" t="s">
        <v>247</v>
      </c>
      <c r="AP60" s="141" t="s">
        <v>247</v>
      </c>
      <c r="AQ60" s="141" t="s">
        <v>253</v>
      </c>
      <c r="AR60" s="141" t="s">
        <v>253</v>
      </c>
      <c r="AS60" s="141" t="s">
        <v>601</v>
      </c>
      <c r="AT60" s="141" t="s">
        <v>258</v>
      </c>
      <c r="AU60" s="141" t="s">
        <v>258</v>
      </c>
      <c r="AV60" s="122" t="s">
        <v>259</v>
      </c>
      <c r="AW60" s="122" t="s">
        <v>260</v>
      </c>
      <c r="AY60" s="122" t="s">
        <v>253</v>
      </c>
      <c r="AZ60" s="122" t="s">
        <v>12475</v>
      </c>
      <c r="BA60" s="122" t="s">
        <v>262</v>
      </c>
      <c r="BB60" s="122" t="s">
        <v>12476</v>
      </c>
      <c r="BD60" s="122" t="s">
        <v>253</v>
      </c>
      <c r="BE60" s="122" t="s">
        <v>263</v>
      </c>
      <c r="BF60" s="122" t="s">
        <v>1430</v>
      </c>
      <c r="BH60" s="122" t="s">
        <v>1420</v>
      </c>
      <c r="BI60" s="142">
        <v>11</v>
      </c>
    </row>
    <row r="61" spans="1:65" x14ac:dyDescent="0.25">
      <c r="A61" s="122" t="s">
        <v>326</v>
      </c>
      <c r="B61" s="122" t="s">
        <v>12477</v>
      </c>
      <c r="C61" s="122" t="s">
        <v>12478</v>
      </c>
      <c r="D61" s="122" t="s">
        <v>12479</v>
      </c>
      <c r="E61" s="123">
        <v>42233</v>
      </c>
      <c r="F61" s="122" t="s">
        <v>457</v>
      </c>
      <c r="G61" s="122" t="s">
        <v>235</v>
      </c>
      <c r="H61" s="122" t="s">
        <v>12480</v>
      </c>
      <c r="I61" s="122" t="s">
        <v>12481</v>
      </c>
      <c r="J61" s="122" t="s">
        <v>12482</v>
      </c>
      <c r="K61" s="122" t="s">
        <v>238</v>
      </c>
      <c r="L61" s="122" t="s">
        <v>297</v>
      </c>
      <c r="M61" s="122" t="s">
        <v>298</v>
      </c>
      <c r="Q61" s="122" t="s">
        <v>243</v>
      </c>
      <c r="R61" s="142">
        <v>12</v>
      </c>
      <c r="S61" s="122" t="s">
        <v>12483</v>
      </c>
      <c r="U61" s="122" t="s">
        <v>1420</v>
      </c>
      <c r="W61" s="122" t="s">
        <v>246</v>
      </c>
      <c r="X61" s="122" t="s">
        <v>3147</v>
      </c>
      <c r="Z61" s="122" t="s">
        <v>250</v>
      </c>
      <c r="AB61" s="122" t="s">
        <v>250</v>
      </c>
      <c r="AD61" s="122" t="s">
        <v>250</v>
      </c>
      <c r="AE61" s="122" t="s">
        <v>235</v>
      </c>
      <c r="AF61" s="122" t="s">
        <v>12484</v>
      </c>
      <c r="AG61" s="122" t="s">
        <v>537</v>
      </c>
      <c r="AH61" s="122" t="s">
        <v>253</v>
      </c>
      <c r="AI61" s="122" t="s">
        <v>1715</v>
      </c>
      <c r="AJ61" s="122" t="s">
        <v>12485</v>
      </c>
      <c r="AK61" s="122" t="s">
        <v>253</v>
      </c>
      <c r="AL61" s="122" t="s">
        <v>253</v>
      </c>
      <c r="AM61" s="122" t="s">
        <v>253</v>
      </c>
      <c r="AN61" s="122" t="s">
        <v>253</v>
      </c>
      <c r="AO61" s="141" t="s">
        <v>247</v>
      </c>
      <c r="AP61" s="141" t="s">
        <v>253</v>
      </c>
      <c r="AQ61" s="141" t="s">
        <v>253</v>
      </c>
      <c r="AR61" s="141" t="s">
        <v>253</v>
      </c>
      <c r="AS61" s="141" t="s">
        <v>601</v>
      </c>
      <c r="AT61" s="141" t="s">
        <v>258</v>
      </c>
      <c r="AU61" s="141" t="s">
        <v>258</v>
      </c>
      <c r="AV61" s="122" t="s">
        <v>259</v>
      </c>
      <c r="AW61" s="122" t="s">
        <v>260</v>
      </c>
      <c r="AY61" s="122" t="s">
        <v>253</v>
      </c>
      <c r="AZ61" s="122" t="s">
        <v>12486</v>
      </c>
      <c r="BA61" s="122" t="s">
        <v>262</v>
      </c>
      <c r="BB61" s="122" t="s">
        <v>262</v>
      </c>
      <c r="BD61" s="122" t="s">
        <v>253</v>
      </c>
      <c r="BE61" s="122" t="s">
        <v>263</v>
      </c>
      <c r="BF61" s="122" t="s">
        <v>1430</v>
      </c>
      <c r="BH61" s="122" t="s">
        <v>1420</v>
      </c>
      <c r="BI61" s="142">
        <v>12</v>
      </c>
    </row>
    <row r="62" spans="1:65" x14ac:dyDescent="0.25">
      <c r="A62" s="122" t="s">
        <v>326</v>
      </c>
      <c r="B62" s="122" t="s">
        <v>12487</v>
      </c>
      <c r="C62" s="122" t="s">
        <v>12488</v>
      </c>
      <c r="D62" s="122" t="s">
        <v>12489</v>
      </c>
      <c r="E62" s="123">
        <v>42233</v>
      </c>
      <c r="F62" s="122" t="s">
        <v>12490</v>
      </c>
      <c r="G62" s="122" t="s">
        <v>235</v>
      </c>
      <c r="H62" s="122" t="s">
        <v>12491</v>
      </c>
      <c r="I62" s="122" t="s">
        <v>12492</v>
      </c>
      <c r="K62" s="122" t="s">
        <v>238</v>
      </c>
      <c r="L62" s="122" t="s">
        <v>271</v>
      </c>
      <c r="M62" s="122" t="s">
        <v>1965</v>
      </c>
      <c r="O62" s="141" t="s">
        <v>2542</v>
      </c>
      <c r="P62" s="141" t="s">
        <v>12493</v>
      </c>
      <c r="Q62" s="122" t="s">
        <v>243</v>
      </c>
      <c r="R62" s="142">
        <v>13</v>
      </c>
      <c r="S62" s="122" t="s">
        <v>12494</v>
      </c>
      <c r="T62" s="122" t="s">
        <v>12495</v>
      </c>
      <c r="U62" s="122" t="s">
        <v>1420</v>
      </c>
      <c r="W62" s="122" t="s">
        <v>246</v>
      </c>
      <c r="X62" s="122" t="s">
        <v>433</v>
      </c>
      <c r="Y62" s="141" t="s">
        <v>2010</v>
      </c>
      <c r="Z62" s="122" t="s">
        <v>12496</v>
      </c>
      <c r="AA62" s="141" t="s">
        <v>1090</v>
      </c>
      <c r="AB62" s="122" t="s">
        <v>12496</v>
      </c>
      <c r="AC62" s="141" t="s">
        <v>9522</v>
      </c>
      <c r="AD62" s="122" t="s">
        <v>12497</v>
      </c>
      <c r="AE62" s="122" t="s">
        <v>235</v>
      </c>
      <c r="AF62" s="122" t="s">
        <v>12498</v>
      </c>
      <c r="AG62" s="122" t="s">
        <v>253</v>
      </c>
      <c r="AH62" s="122" t="s">
        <v>253</v>
      </c>
      <c r="AI62" s="122" t="s">
        <v>12499</v>
      </c>
      <c r="AJ62" s="122" t="s">
        <v>12500</v>
      </c>
      <c r="AK62" s="122" t="s">
        <v>12501</v>
      </c>
      <c r="AL62" s="122" t="s">
        <v>253</v>
      </c>
      <c r="AM62" s="122" t="s">
        <v>253</v>
      </c>
      <c r="AN62" s="122" t="s">
        <v>253</v>
      </c>
      <c r="AO62" s="141" t="s">
        <v>247</v>
      </c>
      <c r="AP62" s="141" t="s">
        <v>247</v>
      </c>
      <c r="AQ62" s="141" t="s">
        <v>247</v>
      </c>
      <c r="AR62" s="141" t="s">
        <v>247</v>
      </c>
      <c r="AS62" s="141" t="s">
        <v>601</v>
      </c>
      <c r="AT62" s="141" t="s">
        <v>601</v>
      </c>
      <c r="AU62" s="141" t="s">
        <v>601</v>
      </c>
      <c r="AV62" s="122" t="s">
        <v>259</v>
      </c>
      <c r="AW62" s="122" t="s">
        <v>260</v>
      </c>
      <c r="AX62" s="141" t="s">
        <v>12502</v>
      </c>
      <c r="AY62" s="122" t="s">
        <v>247</v>
      </c>
      <c r="AZ62" s="122" t="s">
        <v>12503</v>
      </c>
      <c r="BA62" s="122" t="s">
        <v>262</v>
      </c>
      <c r="BB62" s="122" t="s">
        <v>12504</v>
      </c>
      <c r="BC62" s="141" t="s">
        <v>312</v>
      </c>
      <c r="BD62" s="122" t="s">
        <v>253</v>
      </c>
      <c r="BE62" s="122" t="s">
        <v>263</v>
      </c>
      <c r="BF62" s="122" t="s">
        <v>1430</v>
      </c>
      <c r="BH62" s="122" t="s">
        <v>1420</v>
      </c>
      <c r="BI62" s="142">
        <v>13</v>
      </c>
    </row>
    <row r="63" spans="1:65" x14ac:dyDescent="0.25">
      <c r="A63" s="122" t="s">
        <v>326</v>
      </c>
      <c r="B63" s="122" t="s">
        <v>12505</v>
      </c>
      <c r="C63" s="122" t="s">
        <v>12506</v>
      </c>
      <c r="D63" s="122" t="s">
        <v>12507</v>
      </c>
      <c r="E63" s="123">
        <v>42233</v>
      </c>
      <c r="F63" s="122" t="s">
        <v>1372</v>
      </c>
      <c r="G63" s="122" t="s">
        <v>235</v>
      </c>
      <c r="H63" s="122" t="s">
        <v>448</v>
      </c>
      <c r="I63" s="122" t="s">
        <v>12508</v>
      </c>
      <c r="K63" s="122" t="s">
        <v>238</v>
      </c>
      <c r="L63" s="122" t="s">
        <v>297</v>
      </c>
      <c r="M63" s="122" t="s">
        <v>298</v>
      </c>
      <c r="O63" s="141" t="s">
        <v>1240</v>
      </c>
      <c r="P63" s="141" t="s">
        <v>12509</v>
      </c>
      <c r="Q63" s="122" t="s">
        <v>243</v>
      </c>
      <c r="R63" s="142">
        <v>14</v>
      </c>
      <c r="S63" s="122" t="s">
        <v>12510</v>
      </c>
      <c r="U63" s="122" t="s">
        <v>1420</v>
      </c>
      <c r="W63" s="122" t="s">
        <v>246</v>
      </c>
      <c r="X63" s="122" t="s">
        <v>1377</v>
      </c>
      <c r="Y63" s="141" t="s">
        <v>740</v>
      </c>
      <c r="Z63" s="122" t="s">
        <v>12511</v>
      </c>
      <c r="AA63" s="141" t="s">
        <v>354</v>
      </c>
      <c r="AB63" s="122" t="s">
        <v>355</v>
      </c>
      <c r="AC63" s="141" t="s">
        <v>304</v>
      </c>
      <c r="AD63" s="122" t="s">
        <v>12512</v>
      </c>
      <c r="AE63" s="122" t="s">
        <v>235</v>
      </c>
      <c r="AF63" s="122" t="s">
        <v>12513</v>
      </c>
      <c r="AG63" s="122" t="s">
        <v>537</v>
      </c>
      <c r="AH63" s="122" t="s">
        <v>253</v>
      </c>
      <c r="AI63" s="122" t="s">
        <v>12514</v>
      </c>
      <c r="AJ63" s="122" t="s">
        <v>3166</v>
      </c>
      <c r="AK63" s="122" t="s">
        <v>253</v>
      </c>
      <c r="AL63" s="122" t="s">
        <v>253</v>
      </c>
      <c r="AM63" s="122" t="s">
        <v>253</v>
      </c>
      <c r="AN63" s="122" t="s">
        <v>253</v>
      </c>
      <c r="AO63" s="141" t="s">
        <v>253</v>
      </c>
      <c r="AP63" s="141" t="s">
        <v>253</v>
      </c>
      <c r="AQ63" s="141" t="s">
        <v>247</v>
      </c>
      <c r="AR63" s="141" t="s">
        <v>247</v>
      </c>
      <c r="AS63" s="141" t="s">
        <v>361</v>
      </c>
      <c r="AT63" s="141" t="s">
        <v>601</v>
      </c>
      <c r="AU63" s="141" t="s">
        <v>601</v>
      </c>
      <c r="AV63" s="122" t="s">
        <v>259</v>
      </c>
      <c r="AW63" s="122" t="s">
        <v>260</v>
      </c>
      <c r="AX63" s="141" t="s">
        <v>771</v>
      </c>
      <c r="AY63" s="122" t="s">
        <v>603</v>
      </c>
      <c r="AZ63" s="122" t="s">
        <v>262</v>
      </c>
      <c r="BA63" s="122" t="s">
        <v>262</v>
      </c>
      <c r="BB63" s="122" t="s">
        <v>262</v>
      </c>
      <c r="BD63" s="122" t="s">
        <v>253</v>
      </c>
      <c r="BE63" s="122" t="s">
        <v>263</v>
      </c>
      <c r="BF63" s="122" t="s">
        <v>1430</v>
      </c>
      <c r="BH63" s="122" t="s">
        <v>1420</v>
      </c>
      <c r="BI63" s="142">
        <v>14</v>
      </c>
      <c r="BJ63" s="123">
        <v>42236</v>
      </c>
      <c r="BK63" s="139" t="s">
        <v>264</v>
      </c>
      <c r="BL63" s="140">
        <v>156.97</v>
      </c>
      <c r="BM63" s="122">
        <v>34</v>
      </c>
    </row>
    <row r="64" spans="1:65" x14ac:dyDescent="0.25">
      <c r="A64" s="122" t="s">
        <v>326</v>
      </c>
      <c r="B64" s="122" t="s">
        <v>12515</v>
      </c>
      <c r="C64" s="122" t="s">
        <v>12516</v>
      </c>
      <c r="D64" s="122" t="s">
        <v>12517</v>
      </c>
      <c r="E64" s="123">
        <v>42233</v>
      </c>
      <c r="F64" s="122" t="s">
        <v>356</v>
      </c>
      <c r="G64" s="122" t="s">
        <v>235</v>
      </c>
      <c r="H64" s="122" t="s">
        <v>12518</v>
      </c>
      <c r="I64" s="122" t="s">
        <v>12519</v>
      </c>
      <c r="K64" s="122" t="s">
        <v>238</v>
      </c>
      <c r="L64" s="122" t="s">
        <v>388</v>
      </c>
      <c r="M64" s="122" t="s">
        <v>1624</v>
      </c>
      <c r="N64" s="122" t="s">
        <v>12520</v>
      </c>
      <c r="O64" s="141" t="s">
        <v>566</v>
      </c>
      <c r="P64" s="141" t="s">
        <v>12521</v>
      </c>
      <c r="Q64" s="122" t="s">
        <v>243</v>
      </c>
      <c r="R64" s="142">
        <v>15</v>
      </c>
      <c r="S64" s="122" t="s">
        <v>12522</v>
      </c>
      <c r="T64" s="122" t="s">
        <v>12523</v>
      </c>
      <c r="U64" s="122" t="s">
        <v>1420</v>
      </c>
      <c r="W64" s="122" t="s">
        <v>246</v>
      </c>
      <c r="X64" s="122" t="s">
        <v>1377</v>
      </c>
      <c r="Y64" s="141" t="s">
        <v>740</v>
      </c>
      <c r="Z64" s="122" t="s">
        <v>3698</v>
      </c>
      <c r="AA64" s="141" t="s">
        <v>511</v>
      </c>
      <c r="AB64" s="122" t="s">
        <v>12524</v>
      </c>
      <c r="AC64" s="141" t="s">
        <v>744</v>
      </c>
      <c r="AD64" s="122" t="s">
        <v>355</v>
      </c>
      <c r="AE64" s="122" t="s">
        <v>235</v>
      </c>
      <c r="AF64" s="122" t="s">
        <v>12525</v>
      </c>
      <c r="AG64" s="122" t="s">
        <v>537</v>
      </c>
      <c r="AH64" s="122" t="s">
        <v>253</v>
      </c>
      <c r="AI64" s="122" t="s">
        <v>12526</v>
      </c>
      <c r="AJ64" s="122" t="s">
        <v>9541</v>
      </c>
      <c r="AK64" s="122" t="s">
        <v>12527</v>
      </c>
      <c r="AL64" s="122" t="s">
        <v>253</v>
      </c>
      <c r="AM64" s="122" t="s">
        <v>253</v>
      </c>
      <c r="AN64" s="122" t="s">
        <v>253</v>
      </c>
      <c r="AO64" s="141" t="s">
        <v>247</v>
      </c>
      <c r="AP64" s="141" t="s">
        <v>247</v>
      </c>
      <c r="AQ64" s="141" t="s">
        <v>253</v>
      </c>
      <c r="AR64" s="141" t="s">
        <v>253</v>
      </c>
      <c r="AS64" s="141" t="s">
        <v>601</v>
      </c>
      <c r="AT64" s="141" t="s">
        <v>258</v>
      </c>
      <c r="AU64" s="141" t="s">
        <v>258</v>
      </c>
      <c r="AV64" s="122" t="s">
        <v>259</v>
      </c>
      <c r="AW64" s="122" t="s">
        <v>260</v>
      </c>
      <c r="AY64" s="122" t="s">
        <v>253</v>
      </c>
      <c r="AZ64" s="122" t="s">
        <v>12528</v>
      </c>
      <c r="BA64" s="122" t="s">
        <v>262</v>
      </c>
      <c r="BB64" s="122" t="s">
        <v>262</v>
      </c>
      <c r="BD64" s="122" t="s">
        <v>253</v>
      </c>
      <c r="BE64" s="122" t="s">
        <v>263</v>
      </c>
      <c r="BF64" s="122" t="s">
        <v>1430</v>
      </c>
      <c r="BH64" s="122" t="s">
        <v>1420</v>
      </c>
      <c r="BI64" s="142">
        <v>15</v>
      </c>
    </row>
    <row r="65" spans="1:65" x14ac:dyDescent="0.25">
      <c r="A65" s="122" t="s">
        <v>326</v>
      </c>
      <c r="B65" s="122" t="s">
        <v>12529</v>
      </c>
      <c r="C65" s="122" t="s">
        <v>12530</v>
      </c>
      <c r="D65" s="122" t="s">
        <v>12531</v>
      </c>
      <c r="E65" s="123">
        <v>42233</v>
      </c>
      <c r="F65" s="122" t="s">
        <v>4534</v>
      </c>
      <c r="G65" s="122" t="s">
        <v>235</v>
      </c>
      <c r="H65" s="122" t="s">
        <v>12532</v>
      </c>
      <c r="I65" s="122" t="s">
        <v>12533</v>
      </c>
      <c r="J65" s="122" t="s">
        <v>370</v>
      </c>
      <c r="K65" s="122" t="s">
        <v>238</v>
      </c>
      <c r="L65" s="122" t="s">
        <v>271</v>
      </c>
      <c r="M65" s="122" t="s">
        <v>1965</v>
      </c>
      <c r="O65" s="141" t="s">
        <v>273</v>
      </c>
      <c r="P65" s="141" t="s">
        <v>12534</v>
      </c>
      <c r="Q65" s="122" t="s">
        <v>243</v>
      </c>
      <c r="R65" s="142">
        <v>16</v>
      </c>
      <c r="S65" s="122" t="s">
        <v>12535</v>
      </c>
      <c r="U65" s="122" t="s">
        <v>1420</v>
      </c>
      <c r="W65" s="122" t="s">
        <v>246</v>
      </c>
      <c r="X65" s="122" t="s">
        <v>4409</v>
      </c>
      <c r="Y65" s="141" t="s">
        <v>740</v>
      </c>
      <c r="Z65" s="122" t="s">
        <v>12536</v>
      </c>
      <c r="AA65" s="141" t="s">
        <v>595</v>
      </c>
      <c r="AB65" s="122" t="s">
        <v>12537</v>
      </c>
      <c r="AC65" s="141" t="s">
        <v>1291</v>
      </c>
      <c r="AD65" s="122" t="s">
        <v>12538</v>
      </c>
      <c r="AE65" s="122" t="s">
        <v>235</v>
      </c>
      <c r="AF65" s="122" t="s">
        <v>12539</v>
      </c>
      <c r="AG65" s="122" t="s">
        <v>537</v>
      </c>
      <c r="AH65" s="122" t="s">
        <v>253</v>
      </c>
      <c r="AI65" s="122" t="s">
        <v>12540</v>
      </c>
      <c r="AJ65" s="122" t="s">
        <v>5545</v>
      </c>
      <c r="AK65" s="122" t="s">
        <v>253</v>
      </c>
      <c r="AL65" s="122" t="s">
        <v>253</v>
      </c>
      <c r="AM65" s="122" t="s">
        <v>253</v>
      </c>
      <c r="AN65" s="122" t="s">
        <v>253</v>
      </c>
      <c r="AO65" s="141" t="s">
        <v>247</v>
      </c>
      <c r="AP65" s="141" t="s">
        <v>247</v>
      </c>
      <c r="AQ65" s="141" t="s">
        <v>247</v>
      </c>
      <c r="AR65" s="141" t="s">
        <v>247</v>
      </c>
      <c r="AS65" s="141" t="s">
        <v>601</v>
      </c>
      <c r="AT65" s="141" t="s">
        <v>601</v>
      </c>
      <c r="AU65" s="141" t="s">
        <v>601</v>
      </c>
      <c r="AV65" s="122" t="s">
        <v>259</v>
      </c>
      <c r="AW65" s="122" t="s">
        <v>260</v>
      </c>
      <c r="AY65" s="122" t="s">
        <v>253</v>
      </c>
      <c r="AZ65" s="122" t="s">
        <v>12541</v>
      </c>
      <c r="BA65" s="122" t="s">
        <v>262</v>
      </c>
      <c r="BB65" s="122" t="s">
        <v>12541</v>
      </c>
      <c r="BD65" s="122" t="s">
        <v>247</v>
      </c>
      <c r="BE65" s="122" t="s">
        <v>263</v>
      </c>
      <c r="BF65" s="122" t="s">
        <v>1430</v>
      </c>
      <c r="BH65" s="122" t="s">
        <v>1420</v>
      </c>
      <c r="BI65" s="142">
        <v>16</v>
      </c>
    </row>
    <row r="66" spans="1:65" x14ac:dyDescent="0.25">
      <c r="A66" s="122" t="s">
        <v>326</v>
      </c>
      <c r="B66" s="122" t="s">
        <v>12542</v>
      </c>
      <c r="C66" s="122" t="s">
        <v>12543</v>
      </c>
      <c r="D66" s="122" t="s">
        <v>12544</v>
      </c>
      <c r="E66" s="123">
        <v>42233</v>
      </c>
      <c r="F66" s="122" t="s">
        <v>478</v>
      </c>
      <c r="G66" s="122" t="s">
        <v>235</v>
      </c>
      <c r="H66" s="122" t="s">
        <v>12545</v>
      </c>
      <c r="I66" s="122" t="s">
        <v>12546</v>
      </c>
      <c r="K66" s="122" t="s">
        <v>238</v>
      </c>
      <c r="L66" s="122" t="s">
        <v>388</v>
      </c>
      <c r="M66" s="122" t="s">
        <v>411</v>
      </c>
      <c r="O66" s="141" t="s">
        <v>548</v>
      </c>
      <c r="P66" s="141" t="s">
        <v>12547</v>
      </c>
      <c r="Q66" s="122" t="s">
        <v>243</v>
      </c>
      <c r="R66" s="142">
        <v>17</v>
      </c>
      <c r="S66" s="122" t="s">
        <v>12548</v>
      </c>
      <c r="U66" s="122" t="s">
        <v>1420</v>
      </c>
      <c r="W66" s="122" t="s">
        <v>246</v>
      </c>
      <c r="X66" s="122" t="s">
        <v>497</v>
      </c>
      <c r="Z66" s="122" t="s">
        <v>250</v>
      </c>
      <c r="AB66" s="122" t="s">
        <v>250</v>
      </c>
      <c r="AD66" s="122" t="s">
        <v>250</v>
      </c>
      <c r="AE66" s="122" t="s">
        <v>235</v>
      </c>
      <c r="AF66" s="122" t="s">
        <v>12549</v>
      </c>
      <c r="AG66" s="122" t="s">
        <v>253</v>
      </c>
      <c r="AH66" s="122" t="s">
        <v>253</v>
      </c>
      <c r="AI66" s="122" t="s">
        <v>12550</v>
      </c>
      <c r="AJ66" s="122" t="s">
        <v>12551</v>
      </c>
      <c r="AK66" s="122" t="s">
        <v>3194</v>
      </c>
      <c r="AL66" s="122" t="s">
        <v>253</v>
      </c>
      <c r="AM66" s="122" t="s">
        <v>253</v>
      </c>
      <c r="AN66" s="122" t="s">
        <v>253</v>
      </c>
      <c r="AO66" s="141" t="s">
        <v>247</v>
      </c>
      <c r="AP66" s="141" t="s">
        <v>253</v>
      </c>
      <c r="AQ66" s="141" t="s">
        <v>253</v>
      </c>
      <c r="AR66" s="141" t="s">
        <v>247</v>
      </c>
      <c r="AS66" s="141" t="s">
        <v>601</v>
      </c>
      <c r="AT66" s="141" t="s">
        <v>258</v>
      </c>
      <c r="AU66" s="141" t="s">
        <v>257</v>
      </c>
      <c r="AV66" s="122" t="s">
        <v>259</v>
      </c>
      <c r="AW66" s="122" t="s">
        <v>260</v>
      </c>
      <c r="AY66" s="122" t="s">
        <v>253</v>
      </c>
      <c r="AZ66" s="122" t="s">
        <v>12552</v>
      </c>
      <c r="BA66" s="122" t="s">
        <v>262</v>
      </c>
      <c r="BB66" s="122" t="s">
        <v>262</v>
      </c>
      <c r="BD66" s="122" t="s">
        <v>253</v>
      </c>
      <c r="BE66" s="122" t="s">
        <v>263</v>
      </c>
      <c r="BF66" s="122" t="s">
        <v>1430</v>
      </c>
      <c r="BH66" s="122" t="s">
        <v>1420</v>
      </c>
      <c r="BI66" s="142">
        <v>17</v>
      </c>
    </row>
    <row r="67" spans="1:65" x14ac:dyDescent="0.25">
      <c r="A67" s="122" t="s">
        <v>326</v>
      </c>
      <c r="B67" s="122" t="s">
        <v>12553</v>
      </c>
      <c r="C67" s="122" t="s">
        <v>12554</v>
      </c>
      <c r="D67" s="122" t="s">
        <v>12555</v>
      </c>
      <c r="E67" s="123">
        <v>42233</v>
      </c>
      <c r="F67" s="122" t="s">
        <v>12556</v>
      </c>
      <c r="G67" s="122" t="s">
        <v>235</v>
      </c>
      <c r="H67" s="122" t="s">
        <v>12557</v>
      </c>
      <c r="I67" s="122" t="s">
        <v>12558</v>
      </c>
      <c r="K67" s="122" t="s">
        <v>238</v>
      </c>
      <c r="L67" s="122" t="s">
        <v>271</v>
      </c>
      <c r="M67" s="122" t="s">
        <v>2589</v>
      </c>
      <c r="O67" s="141" t="s">
        <v>273</v>
      </c>
      <c r="P67" s="141" t="s">
        <v>12559</v>
      </c>
      <c r="Q67" s="122" t="s">
        <v>243</v>
      </c>
      <c r="R67" s="142">
        <v>18</v>
      </c>
      <c r="S67" s="122" t="s">
        <v>12560</v>
      </c>
      <c r="U67" s="122" t="s">
        <v>1420</v>
      </c>
      <c r="W67" s="122" t="s">
        <v>246</v>
      </c>
      <c r="X67" s="122" t="s">
        <v>4409</v>
      </c>
      <c r="Y67" s="141" t="s">
        <v>3520</v>
      </c>
      <c r="Z67" s="122" t="s">
        <v>12561</v>
      </c>
      <c r="AA67" s="141" t="s">
        <v>417</v>
      </c>
      <c r="AB67" s="122" t="s">
        <v>12561</v>
      </c>
      <c r="AC67" s="141" t="s">
        <v>899</v>
      </c>
      <c r="AD67" s="122" t="s">
        <v>12562</v>
      </c>
      <c r="AE67" s="122" t="s">
        <v>235</v>
      </c>
      <c r="AF67" s="122" t="s">
        <v>12563</v>
      </c>
      <c r="AG67" s="122" t="s">
        <v>11637</v>
      </c>
      <c r="AH67" s="122" t="s">
        <v>253</v>
      </c>
      <c r="AI67" s="122" t="s">
        <v>12564</v>
      </c>
      <c r="AJ67" s="122" t="s">
        <v>12565</v>
      </c>
      <c r="AK67" s="122" t="s">
        <v>253</v>
      </c>
      <c r="AL67" s="122" t="s">
        <v>253</v>
      </c>
      <c r="AM67" s="122" t="s">
        <v>253</v>
      </c>
      <c r="AN67" s="122" t="s">
        <v>253</v>
      </c>
      <c r="AO67" s="141" t="s">
        <v>247</v>
      </c>
      <c r="AP67" s="141" t="s">
        <v>247</v>
      </c>
      <c r="AQ67" s="141" t="s">
        <v>247</v>
      </c>
      <c r="AR67" s="141" t="s">
        <v>253</v>
      </c>
      <c r="AS67" s="141" t="s">
        <v>601</v>
      </c>
      <c r="AT67" s="141" t="s">
        <v>601</v>
      </c>
      <c r="AU67" s="141" t="s">
        <v>258</v>
      </c>
      <c r="AV67" s="122" t="s">
        <v>259</v>
      </c>
      <c r="AW67" s="122" t="s">
        <v>260</v>
      </c>
      <c r="AY67" s="122" t="s">
        <v>253</v>
      </c>
      <c r="AZ67" s="122" t="s">
        <v>12566</v>
      </c>
      <c r="BA67" s="122" t="s">
        <v>262</v>
      </c>
      <c r="BB67" s="122" t="s">
        <v>12567</v>
      </c>
      <c r="BD67" s="122" t="s">
        <v>253</v>
      </c>
      <c r="BE67" s="122" t="s">
        <v>263</v>
      </c>
      <c r="BF67" s="122" t="s">
        <v>1430</v>
      </c>
      <c r="BH67" s="122" t="s">
        <v>1420</v>
      </c>
      <c r="BI67" s="142">
        <v>18</v>
      </c>
    </row>
    <row r="68" spans="1:65" x14ac:dyDescent="0.25">
      <c r="A68" s="122" t="s">
        <v>11841</v>
      </c>
      <c r="B68" s="122" t="s">
        <v>12568</v>
      </c>
      <c r="C68" s="122" t="s">
        <v>12569</v>
      </c>
      <c r="D68" s="122" t="s">
        <v>12570</v>
      </c>
      <c r="E68" s="123">
        <v>42233</v>
      </c>
      <c r="F68" s="122" t="s">
        <v>670</v>
      </c>
      <c r="G68" s="122" t="s">
        <v>235</v>
      </c>
      <c r="H68" s="122" t="s">
        <v>12571</v>
      </c>
      <c r="I68" s="122" t="s">
        <v>12572</v>
      </c>
      <c r="K68" s="122" t="s">
        <v>238</v>
      </c>
      <c r="L68" s="122" t="s">
        <v>271</v>
      </c>
      <c r="M68" s="122" t="s">
        <v>1907</v>
      </c>
      <c r="O68" s="141" t="s">
        <v>2526</v>
      </c>
      <c r="P68" s="141" t="s">
        <v>12573</v>
      </c>
      <c r="Q68" s="122" t="s">
        <v>243</v>
      </c>
      <c r="R68" s="142">
        <v>19</v>
      </c>
      <c r="S68" s="122" t="s">
        <v>12574</v>
      </c>
      <c r="U68" s="122" t="s">
        <v>1420</v>
      </c>
      <c r="W68" s="122" t="s">
        <v>246</v>
      </c>
      <c r="X68" s="122" t="s">
        <v>278</v>
      </c>
      <c r="Y68" s="141" t="s">
        <v>417</v>
      </c>
      <c r="Z68" s="122" t="s">
        <v>518</v>
      </c>
      <c r="AB68" s="122" t="s">
        <v>250</v>
      </c>
      <c r="AD68" s="122" t="s">
        <v>250</v>
      </c>
      <c r="AE68" s="122" t="s">
        <v>235</v>
      </c>
      <c r="AF68" s="122" t="s">
        <v>12575</v>
      </c>
      <c r="AG68" s="122" t="s">
        <v>537</v>
      </c>
      <c r="AH68" s="122" t="s">
        <v>253</v>
      </c>
      <c r="AI68" s="122" t="s">
        <v>12576</v>
      </c>
      <c r="AJ68" s="122" t="s">
        <v>12577</v>
      </c>
      <c r="AK68" s="122" t="s">
        <v>12578</v>
      </c>
      <c r="AL68" s="122" t="s">
        <v>253</v>
      </c>
      <c r="AM68" s="122" t="s">
        <v>253</v>
      </c>
      <c r="AN68" s="122" t="s">
        <v>253</v>
      </c>
      <c r="AO68" s="141" t="s">
        <v>247</v>
      </c>
      <c r="AP68" s="141" t="s">
        <v>247</v>
      </c>
      <c r="AQ68" s="141" t="s">
        <v>247</v>
      </c>
      <c r="AR68" s="141" t="s">
        <v>253</v>
      </c>
      <c r="AS68" s="141" t="s">
        <v>601</v>
      </c>
      <c r="AT68" s="141" t="s">
        <v>601</v>
      </c>
      <c r="AU68" s="141" t="s">
        <v>258</v>
      </c>
      <c r="AV68" s="122" t="s">
        <v>259</v>
      </c>
      <c r="AW68" s="122" t="s">
        <v>260</v>
      </c>
      <c r="AY68" s="122" t="s">
        <v>253</v>
      </c>
      <c r="AZ68" s="122" t="s">
        <v>12579</v>
      </c>
      <c r="BA68" s="122" t="s">
        <v>262</v>
      </c>
      <c r="BB68" s="122" t="s">
        <v>262</v>
      </c>
      <c r="BD68" s="122" t="s">
        <v>253</v>
      </c>
      <c r="BE68" s="122" t="s">
        <v>263</v>
      </c>
      <c r="BF68" s="122" t="s">
        <v>1430</v>
      </c>
      <c r="BH68" s="122" t="s">
        <v>1420</v>
      </c>
      <c r="BI68" s="142">
        <v>19</v>
      </c>
    </row>
    <row r="69" spans="1:65" x14ac:dyDescent="0.25">
      <c r="A69" s="122" t="s">
        <v>11841</v>
      </c>
      <c r="B69" s="122" t="s">
        <v>12580</v>
      </c>
      <c r="C69" s="122" t="s">
        <v>12581</v>
      </c>
      <c r="D69" s="122" t="s">
        <v>12582</v>
      </c>
      <c r="E69" s="123">
        <v>42233</v>
      </c>
      <c r="F69" s="122" t="s">
        <v>12583</v>
      </c>
      <c r="G69" s="122" t="s">
        <v>235</v>
      </c>
      <c r="H69" s="122" t="s">
        <v>12584</v>
      </c>
      <c r="I69" s="122" t="s">
        <v>12585</v>
      </c>
      <c r="J69" s="122" t="s">
        <v>370</v>
      </c>
      <c r="K69" s="122" t="s">
        <v>238</v>
      </c>
      <c r="L69" s="122" t="s">
        <v>388</v>
      </c>
      <c r="M69" s="122" t="s">
        <v>389</v>
      </c>
      <c r="O69" s="141" t="s">
        <v>373</v>
      </c>
      <c r="P69" s="141" t="s">
        <v>12586</v>
      </c>
      <c r="Q69" s="122" t="s">
        <v>243</v>
      </c>
      <c r="R69" s="142">
        <v>20</v>
      </c>
      <c r="S69" s="122" t="s">
        <v>12587</v>
      </c>
      <c r="U69" s="122" t="s">
        <v>1420</v>
      </c>
      <c r="W69" s="122" t="s">
        <v>246</v>
      </c>
      <c r="X69" s="122" t="s">
        <v>1324</v>
      </c>
      <c r="Y69" s="141" t="s">
        <v>1421</v>
      </c>
      <c r="Z69" s="122" t="s">
        <v>4396</v>
      </c>
      <c r="AA69" s="141" t="s">
        <v>2105</v>
      </c>
      <c r="AB69" s="122" t="s">
        <v>4396</v>
      </c>
      <c r="AC69" s="141" t="s">
        <v>1015</v>
      </c>
      <c r="AD69" s="122" t="s">
        <v>4396</v>
      </c>
      <c r="AE69" s="122" t="s">
        <v>235</v>
      </c>
      <c r="AF69" s="122" t="s">
        <v>7992</v>
      </c>
      <c r="AG69" s="122" t="s">
        <v>537</v>
      </c>
      <c r="AH69" s="122" t="s">
        <v>253</v>
      </c>
      <c r="AI69" s="122" t="s">
        <v>2309</v>
      </c>
      <c r="AJ69" s="122" t="s">
        <v>4399</v>
      </c>
      <c r="AK69" s="122" t="s">
        <v>253</v>
      </c>
      <c r="AL69" s="122" t="s">
        <v>253</v>
      </c>
      <c r="AM69" s="122" t="s">
        <v>253</v>
      </c>
      <c r="AN69" s="122" t="s">
        <v>253</v>
      </c>
      <c r="AO69" s="141" t="s">
        <v>253</v>
      </c>
      <c r="AP69" s="141" t="s">
        <v>253</v>
      </c>
      <c r="AQ69" s="141" t="s">
        <v>247</v>
      </c>
      <c r="AR69" s="141" t="s">
        <v>253</v>
      </c>
      <c r="AS69" s="141" t="s">
        <v>361</v>
      </c>
      <c r="AT69" s="141" t="s">
        <v>601</v>
      </c>
      <c r="AU69" s="141" t="s">
        <v>258</v>
      </c>
      <c r="AV69" s="122" t="s">
        <v>259</v>
      </c>
      <c r="AW69" s="122" t="s">
        <v>260</v>
      </c>
      <c r="AY69" s="122" t="s">
        <v>253</v>
      </c>
      <c r="AZ69" s="122" t="s">
        <v>12588</v>
      </c>
      <c r="BA69" s="122" t="s">
        <v>262</v>
      </c>
      <c r="BB69" s="122" t="s">
        <v>262</v>
      </c>
      <c r="BD69" s="122" t="s">
        <v>253</v>
      </c>
      <c r="BE69" s="122" t="s">
        <v>263</v>
      </c>
      <c r="BF69" s="122" t="s">
        <v>1430</v>
      </c>
      <c r="BH69" s="122" t="s">
        <v>1420</v>
      </c>
      <c r="BI69" s="142">
        <v>20</v>
      </c>
    </row>
    <row r="70" spans="1:65" x14ac:dyDescent="0.25">
      <c r="A70" s="122" t="s">
        <v>11841</v>
      </c>
      <c r="B70" s="122" t="s">
        <v>12589</v>
      </c>
      <c r="C70" s="122" t="s">
        <v>12590</v>
      </c>
      <c r="D70" s="122" t="s">
        <v>12591</v>
      </c>
      <c r="E70" s="123">
        <v>42233</v>
      </c>
      <c r="F70" s="122" t="s">
        <v>2735</v>
      </c>
      <c r="G70" s="122" t="s">
        <v>235</v>
      </c>
      <c r="H70" s="122" t="s">
        <v>12592</v>
      </c>
      <c r="I70" s="122" t="s">
        <v>7160</v>
      </c>
      <c r="J70" s="122" t="s">
        <v>1053</v>
      </c>
      <c r="K70" s="122" t="s">
        <v>238</v>
      </c>
      <c r="L70" s="122" t="s">
        <v>388</v>
      </c>
      <c r="M70" s="122" t="s">
        <v>7161</v>
      </c>
      <c r="O70" s="141" t="s">
        <v>299</v>
      </c>
      <c r="P70" s="141" t="s">
        <v>12593</v>
      </c>
      <c r="Q70" s="122" t="s">
        <v>243</v>
      </c>
      <c r="R70" s="142">
        <v>21</v>
      </c>
      <c r="S70" s="122" t="s">
        <v>12594</v>
      </c>
      <c r="U70" s="122" t="s">
        <v>1420</v>
      </c>
      <c r="W70" s="122" t="s">
        <v>246</v>
      </c>
      <c r="X70" s="122" t="s">
        <v>590</v>
      </c>
      <c r="Y70" s="141" t="s">
        <v>973</v>
      </c>
      <c r="Z70" s="122" t="s">
        <v>12595</v>
      </c>
      <c r="AA70" s="141" t="s">
        <v>304</v>
      </c>
      <c r="AB70" s="122" t="s">
        <v>12596</v>
      </c>
      <c r="AC70" s="141" t="s">
        <v>367</v>
      </c>
      <c r="AD70" s="122" t="s">
        <v>12597</v>
      </c>
      <c r="AE70" s="122" t="s">
        <v>235</v>
      </c>
      <c r="AF70" s="122" t="s">
        <v>12598</v>
      </c>
      <c r="AG70" s="122" t="s">
        <v>253</v>
      </c>
      <c r="AH70" s="122" t="s">
        <v>253</v>
      </c>
      <c r="AI70" s="122" t="s">
        <v>12599</v>
      </c>
      <c r="AJ70" s="122" t="s">
        <v>12600</v>
      </c>
      <c r="AK70" s="122" t="s">
        <v>12601</v>
      </c>
      <c r="AL70" s="122" t="s">
        <v>253</v>
      </c>
      <c r="AM70" s="122" t="s">
        <v>253</v>
      </c>
      <c r="AN70" s="122" t="s">
        <v>253</v>
      </c>
      <c r="AO70" s="141" t="s">
        <v>247</v>
      </c>
      <c r="AP70" s="141" t="s">
        <v>247</v>
      </c>
      <c r="AQ70" s="141" t="s">
        <v>247</v>
      </c>
      <c r="AR70" s="141" t="s">
        <v>247</v>
      </c>
      <c r="AS70" s="141" t="s">
        <v>601</v>
      </c>
      <c r="AT70" s="141" t="s">
        <v>601</v>
      </c>
      <c r="AU70" s="141" t="s">
        <v>601</v>
      </c>
      <c r="AV70" s="122" t="s">
        <v>259</v>
      </c>
      <c r="AW70" s="122" t="s">
        <v>260</v>
      </c>
      <c r="AY70" s="122" t="s">
        <v>253</v>
      </c>
      <c r="AZ70" s="122" t="s">
        <v>12602</v>
      </c>
      <c r="BA70" s="122" t="s">
        <v>262</v>
      </c>
      <c r="BB70" s="122" t="s">
        <v>262</v>
      </c>
      <c r="BC70" s="141" t="s">
        <v>312</v>
      </c>
      <c r="BD70" s="122" t="s">
        <v>253</v>
      </c>
      <c r="BE70" s="122" t="s">
        <v>263</v>
      </c>
      <c r="BF70" s="122" t="s">
        <v>1430</v>
      </c>
      <c r="BH70" s="122" t="s">
        <v>1420</v>
      </c>
      <c r="BI70" s="142">
        <v>21</v>
      </c>
      <c r="BJ70" s="123">
        <v>42238</v>
      </c>
      <c r="BK70" s="139" t="s">
        <v>264</v>
      </c>
      <c r="BL70" s="140">
        <v>520</v>
      </c>
      <c r="BM70" s="122">
        <v>34</v>
      </c>
    </row>
    <row r="71" spans="1:65" x14ac:dyDescent="0.25">
      <c r="A71" s="122" t="s">
        <v>11841</v>
      </c>
      <c r="B71" s="122" t="s">
        <v>12603</v>
      </c>
      <c r="C71" s="122" t="s">
        <v>12604</v>
      </c>
      <c r="D71" s="122" t="s">
        <v>12605</v>
      </c>
      <c r="E71" s="123">
        <v>42233</v>
      </c>
      <c r="F71" s="122" t="s">
        <v>12606</v>
      </c>
      <c r="G71" s="122" t="s">
        <v>235</v>
      </c>
      <c r="H71" s="122" t="s">
        <v>448</v>
      </c>
      <c r="I71" s="122" t="s">
        <v>12607</v>
      </c>
      <c r="K71" s="122" t="s">
        <v>238</v>
      </c>
      <c r="L71" s="122" t="s">
        <v>429</v>
      </c>
      <c r="M71" s="122" t="s">
        <v>7614</v>
      </c>
      <c r="O71" s="141" t="s">
        <v>451</v>
      </c>
      <c r="P71" s="141" t="s">
        <v>12608</v>
      </c>
      <c r="Q71" s="122" t="s">
        <v>243</v>
      </c>
      <c r="R71" s="142">
        <v>22</v>
      </c>
      <c r="S71" s="122" t="s">
        <v>12609</v>
      </c>
      <c r="U71" s="122" t="s">
        <v>1420</v>
      </c>
      <c r="W71" s="122" t="s">
        <v>246</v>
      </c>
      <c r="X71" s="122" t="s">
        <v>1225</v>
      </c>
      <c r="Y71" s="141" t="s">
        <v>593</v>
      </c>
      <c r="Z71" s="122" t="s">
        <v>12610</v>
      </c>
      <c r="AA71" s="141" t="s">
        <v>2072</v>
      </c>
      <c r="AB71" s="122" t="s">
        <v>12611</v>
      </c>
      <c r="AC71" s="141" t="s">
        <v>595</v>
      </c>
      <c r="AD71" s="122" t="s">
        <v>12612</v>
      </c>
      <c r="AE71" s="122" t="s">
        <v>235</v>
      </c>
      <c r="AF71" s="122" t="s">
        <v>12613</v>
      </c>
      <c r="AG71" s="122" t="s">
        <v>537</v>
      </c>
      <c r="AH71" s="122" t="s">
        <v>253</v>
      </c>
      <c r="AI71" s="122" t="s">
        <v>12614</v>
      </c>
      <c r="AJ71" s="122" t="s">
        <v>12615</v>
      </c>
      <c r="AK71" s="122" t="s">
        <v>253</v>
      </c>
      <c r="AL71" s="122" t="s">
        <v>253</v>
      </c>
      <c r="AM71" s="122" t="s">
        <v>253</v>
      </c>
      <c r="AN71" s="122" t="s">
        <v>253</v>
      </c>
      <c r="AO71" s="141" t="s">
        <v>253</v>
      </c>
      <c r="AP71" s="141" t="s">
        <v>253</v>
      </c>
      <c r="AQ71" s="141" t="s">
        <v>247</v>
      </c>
      <c r="AR71" s="141" t="s">
        <v>247</v>
      </c>
      <c r="AS71" s="141" t="s">
        <v>361</v>
      </c>
      <c r="AT71" s="141" t="s">
        <v>601</v>
      </c>
      <c r="AU71" s="141" t="s">
        <v>601</v>
      </c>
      <c r="AV71" s="122" t="s">
        <v>259</v>
      </c>
      <c r="AW71" s="122" t="s">
        <v>260</v>
      </c>
      <c r="AY71" s="122" t="s">
        <v>253</v>
      </c>
      <c r="AZ71" s="122" t="s">
        <v>262</v>
      </c>
      <c r="BA71" s="122" t="s">
        <v>262</v>
      </c>
      <c r="BB71" s="122" t="s">
        <v>12616</v>
      </c>
      <c r="BD71" s="122" t="s">
        <v>253</v>
      </c>
      <c r="BE71" s="122" t="s">
        <v>263</v>
      </c>
      <c r="BF71" s="122" t="s">
        <v>1430</v>
      </c>
      <c r="BH71" s="122" t="s">
        <v>1420</v>
      </c>
      <c r="BI71" s="142">
        <v>22</v>
      </c>
    </row>
    <row r="72" spans="1:65" x14ac:dyDescent="0.25">
      <c r="A72" s="122" t="s">
        <v>11841</v>
      </c>
      <c r="B72" s="122" t="s">
        <v>12617</v>
      </c>
      <c r="C72" s="122" t="s">
        <v>12618</v>
      </c>
      <c r="D72" s="122" t="s">
        <v>12619</v>
      </c>
      <c r="E72" s="123">
        <v>42233</v>
      </c>
      <c r="F72" s="122" t="s">
        <v>535</v>
      </c>
      <c r="G72" s="122" t="s">
        <v>235</v>
      </c>
      <c r="H72" s="122" t="s">
        <v>12620</v>
      </c>
      <c r="I72" s="122" t="s">
        <v>12533</v>
      </c>
      <c r="J72" s="122" t="s">
        <v>5627</v>
      </c>
      <c r="K72" s="122" t="s">
        <v>238</v>
      </c>
      <c r="L72" s="122" t="s">
        <v>271</v>
      </c>
      <c r="M72" s="122" t="s">
        <v>1965</v>
      </c>
      <c r="O72" s="141" t="s">
        <v>273</v>
      </c>
      <c r="P72" s="141" t="s">
        <v>12621</v>
      </c>
      <c r="Q72" s="122" t="s">
        <v>243</v>
      </c>
      <c r="R72" s="142">
        <v>23</v>
      </c>
      <c r="S72" s="122" t="s">
        <v>12622</v>
      </c>
      <c r="U72" s="122" t="s">
        <v>1420</v>
      </c>
      <c r="W72" s="122" t="s">
        <v>246</v>
      </c>
      <c r="X72" s="122" t="s">
        <v>1121</v>
      </c>
      <c r="Z72" s="122" t="s">
        <v>250</v>
      </c>
      <c r="AB72" s="122" t="s">
        <v>250</v>
      </c>
      <c r="AD72" s="122" t="s">
        <v>250</v>
      </c>
      <c r="AE72" s="122" t="s">
        <v>235</v>
      </c>
      <c r="AF72" s="122" t="s">
        <v>12623</v>
      </c>
      <c r="AG72" s="122" t="s">
        <v>537</v>
      </c>
      <c r="AH72" s="122" t="s">
        <v>253</v>
      </c>
      <c r="AI72" s="122" t="s">
        <v>12624</v>
      </c>
      <c r="AJ72" s="122" t="s">
        <v>12625</v>
      </c>
      <c r="AK72" s="122" t="s">
        <v>253</v>
      </c>
      <c r="AL72" s="122" t="s">
        <v>253</v>
      </c>
      <c r="AM72" s="122" t="s">
        <v>253</v>
      </c>
      <c r="AN72" s="122" t="s">
        <v>253</v>
      </c>
      <c r="AO72" s="141" t="s">
        <v>247</v>
      </c>
      <c r="AP72" s="141" t="s">
        <v>247</v>
      </c>
      <c r="AQ72" s="141" t="s">
        <v>247</v>
      </c>
      <c r="AR72" s="141" t="s">
        <v>253</v>
      </c>
      <c r="AS72" s="141" t="s">
        <v>601</v>
      </c>
      <c r="AT72" s="141" t="s">
        <v>601</v>
      </c>
      <c r="AU72" s="141" t="s">
        <v>258</v>
      </c>
      <c r="AV72" s="122" t="s">
        <v>259</v>
      </c>
      <c r="AW72" s="122" t="s">
        <v>260</v>
      </c>
      <c r="AY72" s="122" t="s">
        <v>253</v>
      </c>
      <c r="AZ72" s="122" t="s">
        <v>12626</v>
      </c>
      <c r="BA72" s="122" t="s">
        <v>262</v>
      </c>
      <c r="BB72" s="122" t="s">
        <v>262</v>
      </c>
      <c r="BD72" s="122" t="s">
        <v>253</v>
      </c>
      <c r="BE72" s="122" t="s">
        <v>263</v>
      </c>
      <c r="BF72" s="122" t="s">
        <v>1430</v>
      </c>
      <c r="BH72" s="122" t="s">
        <v>1420</v>
      </c>
      <c r="BI72" s="142">
        <v>23</v>
      </c>
    </row>
    <row r="73" spans="1:65" x14ac:dyDescent="0.25">
      <c r="A73" s="122" t="s">
        <v>11841</v>
      </c>
      <c r="B73" s="122" t="s">
        <v>12627</v>
      </c>
      <c r="C73" s="122" t="s">
        <v>12628</v>
      </c>
      <c r="D73" s="122" t="s">
        <v>12629</v>
      </c>
      <c r="E73" s="123">
        <v>42233</v>
      </c>
      <c r="F73" s="122" t="s">
        <v>12630</v>
      </c>
      <c r="G73" s="122" t="s">
        <v>235</v>
      </c>
      <c r="H73" s="122" t="s">
        <v>12631</v>
      </c>
      <c r="I73" s="122" t="s">
        <v>12632</v>
      </c>
      <c r="K73" s="122" t="s">
        <v>238</v>
      </c>
      <c r="L73" s="122" t="s">
        <v>388</v>
      </c>
      <c r="M73" s="122" t="s">
        <v>1891</v>
      </c>
      <c r="Q73" s="122" t="s">
        <v>243</v>
      </c>
      <c r="R73" s="142">
        <v>24</v>
      </c>
      <c r="S73" s="122" t="s">
        <v>12633</v>
      </c>
      <c r="U73" s="122" t="s">
        <v>1420</v>
      </c>
      <c r="W73" s="122" t="s">
        <v>246</v>
      </c>
      <c r="X73" s="122" t="s">
        <v>590</v>
      </c>
      <c r="Y73" s="141" t="s">
        <v>457</v>
      </c>
      <c r="Z73" s="122" t="s">
        <v>12634</v>
      </c>
      <c r="AA73" s="141" t="s">
        <v>367</v>
      </c>
      <c r="AB73" s="122" t="s">
        <v>12635</v>
      </c>
      <c r="AC73" s="141" t="s">
        <v>1327</v>
      </c>
      <c r="AD73" s="122" t="s">
        <v>12636</v>
      </c>
      <c r="AE73" s="122" t="s">
        <v>235</v>
      </c>
      <c r="AF73" s="122" t="s">
        <v>12637</v>
      </c>
      <c r="AG73" s="122" t="s">
        <v>253</v>
      </c>
      <c r="AH73" s="122" t="s">
        <v>253</v>
      </c>
      <c r="AI73" s="122" t="s">
        <v>439</v>
      </c>
      <c r="AJ73" s="122" t="s">
        <v>12638</v>
      </c>
      <c r="AK73" s="122" t="s">
        <v>12639</v>
      </c>
      <c r="AL73" s="122" t="s">
        <v>253</v>
      </c>
      <c r="AM73" s="122" t="s">
        <v>253</v>
      </c>
      <c r="AN73" s="122" t="s">
        <v>253</v>
      </c>
      <c r="AO73" s="141" t="s">
        <v>247</v>
      </c>
      <c r="AP73" s="141" t="s">
        <v>253</v>
      </c>
      <c r="AQ73" s="141" t="s">
        <v>253</v>
      </c>
      <c r="AR73" s="141" t="s">
        <v>253</v>
      </c>
      <c r="AS73" s="141" t="s">
        <v>601</v>
      </c>
      <c r="AT73" s="141" t="s">
        <v>258</v>
      </c>
      <c r="AU73" s="141" t="s">
        <v>258</v>
      </c>
      <c r="AV73" s="122" t="s">
        <v>259</v>
      </c>
      <c r="AW73" s="122" t="s">
        <v>260</v>
      </c>
      <c r="AY73" s="122" t="s">
        <v>253</v>
      </c>
      <c r="AZ73" s="122" t="s">
        <v>12640</v>
      </c>
      <c r="BA73" s="122" t="s">
        <v>262</v>
      </c>
      <c r="BB73" s="122" t="s">
        <v>262</v>
      </c>
      <c r="BD73" s="122" t="s">
        <v>253</v>
      </c>
      <c r="BE73" s="122" t="s">
        <v>263</v>
      </c>
      <c r="BF73" s="122" t="s">
        <v>1430</v>
      </c>
      <c r="BH73" s="122" t="s">
        <v>1420</v>
      </c>
      <c r="BI73" s="142">
        <v>24</v>
      </c>
    </row>
    <row r="74" spans="1:65" x14ac:dyDescent="0.25">
      <c r="A74" s="122" t="s">
        <v>11841</v>
      </c>
      <c r="B74" s="122" t="s">
        <v>12641</v>
      </c>
      <c r="C74" s="122" t="s">
        <v>12642</v>
      </c>
      <c r="D74" s="122" t="s">
        <v>12643</v>
      </c>
      <c r="E74" s="123">
        <v>42233</v>
      </c>
      <c r="F74" s="122" t="s">
        <v>4082</v>
      </c>
      <c r="G74" s="122" t="s">
        <v>235</v>
      </c>
      <c r="H74" s="122" t="s">
        <v>12644</v>
      </c>
      <c r="I74" s="122" t="s">
        <v>12645</v>
      </c>
      <c r="J74" s="122" t="s">
        <v>1053</v>
      </c>
      <c r="K74" s="122" t="s">
        <v>238</v>
      </c>
      <c r="L74" s="122" t="s">
        <v>297</v>
      </c>
      <c r="M74" s="122" t="s">
        <v>2021</v>
      </c>
      <c r="N74" s="122" t="s">
        <v>2343</v>
      </c>
      <c r="O74" s="141" t="s">
        <v>548</v>
      </c>
      <c r="P74" s="141" t="s">
        <v>12646</v>
      </c>
      <c r="Q74" s="122" t="s">
        <v>243</v>
      </c>
      <c r="R74" s="142">
        <v>25</v>
      </c>
      <c r="S74" s="122" t="s">
        <v>12647</v>
      </c>
      <c r="U74" s="122" t="s">
        <v>1420</v>
      </c>
      <c r="W74" s="122" t="s">
        <v>246</v>
      </c>
      <c r="X74" s="122" t="s">
        <v>278</v>
      </c>
      <c r="Y74" s="141" t="s">
        <v>2899</v>
      </c>
      <c r="Z74" s="122" t="s">
        <v>12648</v>
      </c>
      <c r="AA74" s="141" t="s">
        <v>1039</v>
      </c>
      <c r="AB74" s="122" t="s">
        <v>1326</v>
      </c>
      <c r="AC74" s="141" t="s">
        <v>570</v>
      </c>
      <c r="AD74" s="122" t="s">
        <v>2851</v>
      </c>
      <c r="AE74" s="122" t="s">
        <v>235</v>
      </c>
      <c r="AF74" s="122" t="s">
        <v>12649</v>
      </c>
      <c r="AG74" s="122" t="s">
        <v>537</v>
      </c>
      <c r="AH74" s="122" t="s">
        <v>253</v>
      </c>
      <c r="AI74" s="122" t="s">
        <v>12650</v>
      </c>
      <c r="AJ74" s="122" t="s">
        <v>12651</v>
      </c>
      <c r="AK74" s="122" t="s">
        <v>1121</v>
      </c>
      <c r="AL74" s="122" t="s">
        <v>253</v>
      </c>
      <c r="AM74" s="122" t="s">
        <v>253</v>
      </c>
      <c r="AN74" s="122" t="s">
        <v>253</v>
      </c>
      <c r="AO74" s="141" t="s">
        <v>247</v>
      </c>
      <c r="AP74" s="141" t="s">
        <v>247</v>
      </c>
      <c r="AQ74" s="141" t="s">
        <v>253</v>
      </c>
      <c r="AR74" s="141" t="s">
        <v>253</v>
      </c>
      <c r="AS74" s="141" t="s">
        <v>601</v>
      </c>
      <c r="AT74" s="141" t="s">
        <v>258</v>
      </c>
      <c r="AU74" s="141" t="s">
        <v>258</v>
      </c>
      <c r="AV74" s="122" t="s">
        <v>259</v>
      </c>
      <c r="AW74" s="122" t="s">
        <v>260</v>
      </c>
      <c r="AY74" s="122" t="s">
        <v>253</v>
      </c>
      <c r="AZ74" s="122" t="s">
        <v>12652</v>
      </c>
      <c r="BA74" s="122" t="s">
        <v>262</v>
      </c>
      <c r="BB74" s="122" t="s">
        <v>262</v>
      </c>
      <c r="BD74" s="122" t="s">
        <v>253</v>
      </c>
      <c r="BE74" s="122" t="s">
        <v>263</v>
      </c>
      <c r="BF74" s="122" t="s">
        <v>1430</v>
      </c>
      <c r="BH74" s="122" t="s">
        <v>1420</v>
      </c>
      <c r="BI74" s="142">
        <v>25</v>
      </c>
    </row>
    <row r="75" spans="1:65" x14ac:dyDescent="0.25">
      <c r="A75" s="122" t="s">
        <v>11841</v>
      </c>
      <c r="B75" s="122" t="s">
        <v>12653</v>
      </c>
      <c r="C75" s="122" t="s">
        <v>12654</v>
      </c>
      <c r="D75" s="122" t="s">
        <v>12655</v>
      </c>
      <c r="E75" s="123">
        <v>42233</v>
      </c>
      <c r="F75" s="122" t="s">
        <v>12656</v>
      </c>
      <c r="G75" s="122" t="s">
        <v>235</v>
      </c>
      <c r="H75" s="122" t="s">
        <v>12657</v>
      </c>
      <c r="I75" s="122" t="s">
        <v>12658</v>
      </c>
      <c r="K75" s="122" t="s">
        <v>238</v>
      </c>
      <c r="L75" s="122" t="s">
        <v>271</v>
      </c>
      <c r="M75" s="122" t="s">
        <v>1711</v>
      </c>
      <c r="N75" s="122" t="s">
        <v>12659</v>
      </c>
      <c r="O75" s="141" t="s">
        <v>11212</v>
      </c>
      <c r="P75" s="141" t="s">
        <v>12660</v>
      </c>
      <c r="Q75" s="122" t="s">
        <v>243</v>
      </c>
      <c r="R75" s="142">
        <v>26</v>
      </c>
      <c r="S75" s="122" t="s">
        <v>12661</v>
      </c>
      <c r="U75" s="122" t="s">
        <v>1420</v>
      </c>
      <c r="W75" s="122" t="s">
        <v>246</v>
      </c>
      <c r="X75" s="122" t="s">
        <v>497</v>
      </c>
      <c r="Y75" s="141" t="s">
        <v>12662</v>
      </c>
      <c r="Z75" s="122" t="s">
        <v>12663</v>
      </c>
      <c r="AA75" s="141" t="s">
        <v>12664</v>
      </c>
      <c r="AB75" s="122" t="s">
        <v>12663</v>
      </c>
      <c r="AC75" s="141" t="s">
        <v>12665</v>
      </c>
      <c r="AD75" s="122" t="s">
        <v>12663</v>
      </c>
      <c r="AE75" s="122" t="s">
        <v>235</v>
      </c>
      <c r="AF75" s="122" t="s">
        <v>12666</v>
      </c>
      <c r="AG75" s="122" t="s">
        <v>253</v>
      </c>
      <c r="AH75" s="122" t="s">
        <v>253</v>
      </c>
      <c r="AI75" s="122" t="s">
        <v>1714</v>
      </c>
      <c r="AJ75" s="122" t="s">
        <v>1715</v>
      </c>
      <c r="AK75" s="122" t="s">
        <v>7239</v>
      </c>
      <c r="AL75" s="122" t="s">
        <v>253</v>
      </c>
      <c r="AM75" s="122" t="s">
        <v>253</v>
      </c>
      <c r="AN75" s="122" t="s">
        <v>253</v>
      </c>
      <c r="AO75" s="141" t="s">
        <v>247</v>
      </c>
      <c r="AP75" s="141" t="s">
        <v>253</v>
      </c>
      <c r="AQ75" s="141" t="s">
        <v>253</v>
      </c>
      <c r="AR75" s="141" t="s">
        <v>253</v>
      </c>
      <c r="AS75" s="141" t="s">
        <v>601</v>
      </c>
      <c r="AT75" s="141" t="s">
        <v>258</v>
      </c>
      <c r="AU75" s="141" t="s">
        <v>258</v>
      </c>
      <c r="AV75" s="122" t="s">
        <v>259</v>
      </c>
      <c r="AW75" s="122" t="s">
        <v>260</v>
      </c>
      <c r="AY75" s="122" t="s">
        <v>253</v>
      </c>
      <c r="AZ75" s="122" t="s">
        <v>12667</v>
      </c>
      <c r="BA75" s="122" t="s">
        <v>262</v>
      </c>
      <c r="BB75" s="122" t="s">
        <v>262</v>
      </c>
      <c r="BC75" s="141" t="s">
        <v>312</v>
      </c>
      <c r="BD75" s="122" t="s">
        <v>253</v>
      </c>
      <c r="BE75" s="122" t="s">
        <v>263</v>
      </c>
      <c r="BF75" s="122" t="s">
        <v>1430</v>
      </c>
      <c r="BH75" s="122" t="s">
        <v>1420</v>
      </c>
      <c r="BI75" s="142">
        <v>26</v>
      </c>
    </row>
    <row r="76" spans="1:65" x14ac:dyDescent="0.25">
      <c r="A76" s="122" t="s">
        <v>11841</v>
      </c>
      <c r="B76" s="122" t="s">
        <v>12668</v>
      </c>
      <c r="C76" s="122" t="s">
        <v>12669</v>
      </c>
      <c r="D76" s="122" t="s">
        <v>12670</v>
      </c>
      <c r="E76" s="123">
        <v>42233</v>
      </c>
      <c r="F76" s="122" t="s">
        <v>12671</v>
      </c>
      <c r="G76" s="122" t="s">
        <v>235</v>
      </c>
      <c r="H76" s="122" t="s">
        <v>12672</v>
      </c>
      <c r="I76" s="122" t="s">
        <v>12673</v>
      </c>
      <c r="K76" s="122" t="s">
        <v>238</v>
      </c>
      <c r="L76" s="122" t="s">
        <v>271</v>
      </c>
      <c r="M76" s="122" t="s">
        <v>1803</v>
      </c>
      <c r="O76" s="141" t="s">
        <v>4592</v>
      </c>
      <c r="P76" s="141" t="s">
        <v>12674</v>
      </c>
      <c r="Q76" s="122" t="s">
        <v>243</v>
      </c>
      <c r="R76" s="142">
        <v>27</v>
      </c>
      <c r="S76" s="122" t="s">
        <v>12675</v>
      </c>
      <c r="U76" s="122" t="s">
        <v>1420</v>
      </c>
      <c r="W76" s="122" t="s">
        <v>246</v>
      </c>
      <c r="X76" s="122" t="s">
        <v>1225</v>
      </c>
      <c r="Y76" s="141" t="s">
        <v>2257</v>
      </c>
      <c r="Z76" s="122" t="s">
        <v>12676</v>
      </c>
      <c r="AA76" s="141" t="s">
        <v>2717</v>
      </c>
      <c r="AB76" s="122" t="s">
        <v>355</v>
      </c>
      <c r="AC76" s="141" t="s">
        <v>2133</v>
      </c>
      <c r="AD76" s="122" t="s">
        <v>12677</v>
      </c>
      <c r="AE76" s="122" t="s">
        <v>235</v>
      </c>
      <c r="AF76" s="122" t="s">
        <v>12678</v>
      </c>
      <c r="AG76" s="122" t="s">
        <v>12679</v>
      </c>
      <c r="AH76" s="122" t="s">
        <v>253</v>
      </c>
      <c r="AI76" s="122" t="s">
        <v>12680</v>
      </c>
      <c r="AJ76" s="122" t="s">
        <v>12681</v>
      </c>
      <c r="AK76" s="122" t="s">
        <v>253</v>
      </c>
      <c r="AL76" s="122" t="s">
        <v>253</v>
      </c>
      <c r="AM76" s="122" t="s">
        <v>253</v>
      </c>
      <c r="AN76" s="122" t="s">
        <v>253</v>
      </c>
      <c r="AO76" s="141" t="s">
        <v>247</v>
      </c>
      <c r="AP76" s="141" t="s">
        <v>247</v>
      </c>
      <c r="AQ76" s="141" t="s">
        <v>247</v>
      </c>
      <c r="AR76" s="141" t="s">
        <v>247</v>
      </c>
      <c r="AS76" s="141" t="s">
        <v>601</v>
      </c>
      <c r="AT76" s="141" t="s">
        <v>601</v>
      </c>
      <c r="AU76" s="141" t="s">
        <v>601</v>
      </c>
      <c r="AV76" s="122" t="s">
        <v>259</v>
      </c>
      <c r="AW76" s="122" t="s">
        <v>260</v>
      </c>
      <c r="AY76" s="122" t="s">
        <v>253</v>
      </c>
      <c r="AZ76" s="122" t="s">
        <v>12682</v>
      </c>
      <c r="BA76" s="122" t="s">
        <v>262</v>
      </c>
      <c r="BB76" s="122" t="s">
        <v>262</v>
      </c>
      <c r="BD76" s="122" t="s">
        <v>253</v>
      </c>
      <c r="BE76" s="122" t="s">
        <v>263</v>
      </c>
      <c r="BF76" s="122" t="s">
        <v>1430</v>
      </c>
      <c r="BH76" s="122" t="s">
        <v>1420</v>
      </c>
      <c r="BI76" s="142">
        <v>27</v>
      </c>
    </row>
    <row r="77" spans="1:65" x14ac:dyDescent="0.25">
      <c r="A77" s="122" t="s">
        <v>11841</v>
      </c>
      <c r="B77" s="122" t="s">
        <v>12683</v>
      </c>
      <c r="C77" s="122" t="s">
        <v>12684</v>
      </c>
      <c r="D77" s="122" t="s">
        <v>12685</v>
      </c>
      <c r="E77" s="123">
        <v>42233</v>
      </c>
      <c r="F77" s="122" t="s">
        <v>742</v>
      </c>
      <c r="G77" s="122" t="s">
        <v>235</v>
      </c>
      <c r="H77" s="122" t="s">
        <v>448</v>
      </c>
      <c r="I77" s="122" t="s">
        <v>12686</v>
      </c>
      <c r="K77" s="122" t="s">
        <v>238</v>
      </c>
      <c r="L77" s="122" t="s">
        <v>271</v>
      </c>
      <c r="M77" s="122" t="s">
        <v>2069</v>
      </c>
      <c r="N77" s="122" t="s">
        <v>7866</v>
      </c>
      <c r="O77" s="141" t="s">
        <v>2378</v>
      </c>
      <c r="P77" s="141" t="s">
        <v>12687</v>
      </c>
      <c r="Q77" s="122" t="s">
        <v>243</v>
      </c>
      <c r="R77" s="142">
        <v>28</v>
      </c>
      <c r="S77" s="122" t="s">
        <v>12688</v>
      </c>
      <c r="U77" s="122" t="s">
        <v>1420</v>
      </c>
      <c r="W77" s="122" t="s">
        <v>246</v>
      </c>
      <c r="X77" s="122" t="s">
        <v>1324</v>
      </c>
      <c r="Y77" s="141" t="s">
        <v>354</v>
      </c>
      <c r="Z77" s="122" t="s">
        <v>12689</v>
      </c>
      <c r="AB77" s="122" t="s">
        <v>250</v>
      </c>
      <c r="AD77" s="122" t="s">
        <v>250</v>
      </c>
      <c r="AE77" s="122" t="s">
        <v>235</v>
      </c>
      <c r="AF77" s="122" t="s">
        <v>12690</v>
      </c>
      <c r="AG77" s="122" t="s">
        <v>537</v>
      </c>
      <c r="AH77" s="122" t="s">
        <v>253</v>
      </c>
      <c r="AI77" s="122" t="s">
        <v>10498</v>
      </c>
      <c r="AJ77" s="122" t="s">
        <v>10498</v>
      </c>
      <c r="AK77" s="122" t="s">
        <v>253</v>
      </c>
      <c r="AL77" s="122" t="s">
        <v>253</v>
      </c>
      <c r="AM77" s="122" t="s">
        <v>253</v>
      </c>
      <c r="AN77" s="122" t="s">
        <v>253</v>
      </c>
      <c r="AO77" s="141" t="s">
        <v>253</v>
      </c>
      <c r="AP77" s="141" t="s">
        <v>253</v>
      </c>
      <c r="AQ77" s="141" t="s">
        <v>247</v>
      </c>
      <c r="AR77" s="141" t="s">
        <v>253</v>
      </c>
      <c r="AS77" s="141" t="s">
        <v>361</v>
      </c>
      <c r="AT77" s="141" t="s">
        <v>601</v>
      </c>
      <c r="AU77" s="141" t="s">
        <v>258</v>
      </c>
      <c r="AV77" s="122" t="s">
        <v>259</v>
      </c>
      <c r="AW77" s="122" t="s">
        <v>260</v>
      </c>
      <c r="AY77" s="122" t="s">
        <v>253</v>
      </c>
      <c r="AZ77" s="122" t="s">
        <v>262</v>
      </c>
      <c r="BA77" s="122" t="s">
        <v>262</v>
      </c>
      <c r="BB77" s="122" t="s">
        <v>262</v>
      </c>
      <c r="BD77" s="122" t="s">
        <v>253</v>
      </c>
      <c r="BE77" s="122" t="s">
        <v>263</v>
      </c>
      <c r="BF77" s="122" t="s">
        <v>1430</v>
      </c>
      <c r="BH77" s="122" t="s">
        <v>1420</v>
      </c>
      <c r="BI77" s="142">
        <v>28</v>
      </c>
    </row>
    <row r="78" spans="1:65" x14ac:dyDescent="0.25">
      <c r="A78" s="122" t="s">
        <v>9031</v>
      </c>
      <c r="B78" s="122" t="s">
        <v>12691</v>
      </c>
      <c r="C78" s="122" t="s">
        <v>12692</v>
      </c>
      <c r="D78" s="122" t="s">
        <v>12693</v>
      </c>
      <c r="E78" s="123">
        <v>42233</v>
      </c>
      <c r="F78" s="122" t="s">
        <v>5506</v>
      </c>
      <c r="G78" s="122" t="s">
        <v>235</v>
      </c>
      <c r="H78" s="122" t="s">
        <v>12694</v>
      </c>
      <c r="I78" s="122" t="s">
        <v>12695</v>
      </c>
      <c r="K78" s="122" t="s">
        <v>238</v>
      </c>
      <c r="L78" s="122" t="s">
        <v>297</v>
      </c>
      <c r="M78" s="122" t="s">
        <v>12696</v>
      </c>
      <c r="N78" s="122" t="s">
        <v>12697</v>
      </c>
      <c r="O78" s="141" t="s">
        <v>548</v>
      </c>
      <c r="P78" s="141" t="s">
        <v>12698</v>
      </c>
      <c r="Q78" s="122" t="s">
        <v>243</v>
      </c>
      <c r="R78" s="142">
        <v>29</v>
      </c>
      <c r="S78" s="122" t="s">
        <v>12699</v>
      </c>
      <c r="U78" s="122" t="s">
        <v>1420</v>
      </c>
      <c r="W78" s="122" t="s">
        <v>246</v>
      </c>
      <c r="X78" s="122" t="s">
        <v>325</v>
      </c>
      <c r="Y78" s="141" t="s">
        <v>1039</v>
      </c>
      <c r="Z78" s="122" t="s">
        <v>571</v>
      </c>
      <c r="AA78" s="141" t="s">
        <v>1125</v>
      </c>
      <c r="AB78" s="122" t="s">
        <v>800</v>
      </c>
      <c r="AC78" s="141" t="s">
        <v>328</v>
      </c>
      <c r="AD78" s="122" t="s">
        <v>669</v>
      </c>
      <c r="AE78" s="122" t="s">
        <v>235</v>
      </c>
      <c r="AF78" s="122" t="s">
        <v>12700</v>
      </c>
      <c r="AG78" s="122" t="s">
        <v>253</v>
      </c>
      <c r="AH78" s="122" t="s">
        <v>253</v>
      </c>
      <c r="AI78" s="122" t="s">
        <v>12701</v>
      </c>
      <c r="AJ78" s="122" t="s">
        <v>12702</v>
      </c>
      <c r="AK78" s="122" t="s">
        <v>12703</v>
      </c>
      <c r="AL78" s="122" t="s">
        <v>253</v>
      </c>
      <c r="AM78" s="122" t="s">
        <v>253</v>
      </c>
      <c r="AN78" s="122" t="s">
        <v>253</v>
      </c>
      <c r="AO78" s="141" t="s">
        <v>247</v>
      </c>
      <c r="AP78" s="141" t="s">
        <v>247</v>
      </c>
      <c r="AQ78" s="141" t="s">
        <v>247</v>
      </c>
      <c r="AR78" s="141" t="s">
        <v>247</v>
      </c>
      <c r="AS78" s="141" t="s">
        <v>601</v>
      </c>
      <c r="AT78" s="141" t="s">
        <v>601</v>
      </c>
      <c r="AU78" s="141" t="s">
        <v>601</v>
      </c>
      <c r="AV78" s="122" t="s">
        <v>259</v>
      </c>
      <c r="AW78" s="122" t="s">
        <v>260</v>
      </c>
      <c r="AY78" s="122" t="s">
        <v>253</v>
      </c>
      <c r="AZ78" s="122" t="s">
        <v>12704</v>
      </c>
      <c r="BA78" s="122" t="s">
        <v>262</v>
      </c>
      <c r="BB78" s="122" t="s">
        <v>12704</v>
      </c>
      <c r="BD78" s="122" t="s">
        <v>253</v>
      </c>
      <c r="BE78" s="122" t="s">
        <v>263</v>
      </c>
      <c r="BF78" s="122" t="s">
        <v>1430</v>
      </c>
      <c r="BH78" s="122" t="s">
        <v>1420</v>
      </c>
      <c r="BI78" s="142">
        <v>29</v>
      </c>
      <c r="BJ78" s="123">
        <v>42238</v>
      </c>
      <c r="BK78" s="139" t="s">
        <v>264</v>
      </c>
      <c r="BL78" s="140">
        <v>595.66999999999996</v>
      </c>
      <c r="BM78" s="122">
        <v>34</v>
      </c>
    </row>
    <row r="79" spans="1:65" x14ac:dyDescent="0.25">
      <c r="A79" s="122" t="s">
        <v>9031</v>
      </c>
      <c r="B79" s="122" t="s">
        <v>12705</v>
      </c>
      <c r="C79" s="122" t="s">
        <v>12706</v>
      </c>
      <c r="D79" s="122" t="s">
        <v>12707</v>
      </c>
      <c r="E79" s="123">
        <v>42233</v>
      </c>
      <c r="F79" s="122" t="s">
        <v>744</v>
      </c>
      <c r="G79" s="122" t="s">
        <v>235</v>
      </c>
      <c r="H79" s="122" t="s">
        <v>448</v>
      </c>
      <c r="I79" s="122" t="s">
        <v>12708</v>
      </c>
      <c r="J79" s="122" t="s">
        <v>9602</v>
      </c>
      <c r="K79" s="122" t="s">
        <v>238</v>
      </c>
      <c r="L79" s="122" t="s">
        <v>388</v>
      </c>
      <c r="M79" s="122" t="s">
        <v>1624</v>
      </c>
      <c r="N79" s="122" t="s">
        <v>12709</v>
      </c>
      <c r="Q79" s="122" t="s">
        <v>243</v>
      </c>
      <c r="R79" s="142">
        <v>30</v>
      </c>
      <c r="U79" s="122" t="s">
        <v>1420</v>
      </c>
      <c r="W79" s="122" t="s">
        <v>246</v>
      </c>
      <c r="X79" s="122" t="s">
        <v>454</v>
      </c>
      <c r="Y79" s="141" t="s">
        <v>230</v>
      </c>
      <c r="Z79" s="122" t="s">
        <v>12710</v>
      </c>
      <c r="AB79" s="122" t="s">
        <v>250</v>
      </c>
      <c r="AD79" s="122" t="s">
        <v>250</v>
      </c>
      <c r="AE79" s="122" t="s">
        <v>235</v>
      </c>
      <c r="AF79" s="122" t="s">
        <v>12711</v>
      </c>
      <c r="AG79" s="122" t="s">
        <v>253</v>
      </c>
      <c r="AH79" s="122" t="s">
        <v>253</v>
      </c>
      <c r="AI79" s="122" t="s">
        <v>12712</v>
      </c>
      <c r="AJ79" s="122" t="s">
        <v>1983</v>
      </c>
      <c r="AK79" s="122" t="s">
        <v>12713</v>
      </c>
      <c r="AL79" s="122" t="s">
        <v>253</v>
      </c>
      <c r="AM79" s="122" t="s">
        <v>253</v>
      </c>
      <c r="AN79" s="122" t="s">
        <v>253</v>
      </c>
      <c r="AO79" s="141" t="s">
        <v>247</v>
      </c>
      <c r="AP79" s="141" t="s">
        <v>253</v>
      </c>
      <c r="AQ79" s="141" t="s">
        <v>253</v>
      </c>
      <c r="AR79" s="141" t="s">
        <v>253</v>
      </c>
      <c r="AS79" s="141" t="s">
        <v>601</v>
      </c>
      <c r="AT79" s="141" t="s">
        <v>258</v>
      </c>
      <c r="AU79" s="141" t="s">
        <v>258</v>
      </c>
      <c r="AV79" s="122" t="s">
        <v>259</v>
      </c>
      <c r="AW79" s="122" t="s">
        <v>260</v>
      </c>
      <c r="AX79" s="141" t="s">
        <v>3027</v>
      </c>
      <c r="AY79" s="122" t="s">
        <v>247</v>
      </c>
      <c r="AZ79" s="122" t="s">
        <v>262</v>
      </c>
      <c r="BA79" s="122" t="s">
        <v>262</v>
      </c>
      <c r="BB79" s="122" t="s">
        <v>12714</v>
      </c>
      <c r="BD79" s="122" t="s">
        <v>253</v>
      </c>
      <c r="BE79" s="122" t="s">
        <v>263</v>
      </c>
      <c r="BF79" s="122" t="s">
        <v>1430</v>
      </c>
      <c r="BH79" s="122" t="s">
        <v>1420</v>
      </c>
      <c r="BI79" s="142">
        <v>30</v>
      </c>
    </row>
    <row r="80" spans="1:65" x14ac:dyDescent="0.25">
      <c r="A80" s="122" t="s">
        <v>9031</v>
      </c>
      <c r="B80" s="122" t="s">
        <v>12715</v>
      </c>
      <c r="C80" s="122" t="s">
        <v>12716</v>
      </c>
      <c r="D80" s="122" t="s">
        <v>12717</v>
      </c>
      <c r="E80" s="123">
        <v>42233</v>
      </c>
      <c r="F80" s="122" t="s">
        <v>12718</v>
      </c>
      <c r="G80" s="122" t="s">
        <v>235</v>
      </c>
      <c r="H80" s="122" t="s">
        <v>12719</v>
      </c>
      <c r="I80" s="122" t="s">
        <v>12720</v>
      </c>
      <c r="K80" s="122" t="s">
        <v>238</v>
      </c>
      <c r="L80" s="122" t="s">
        <v>388</v>
      </c>
      <c r="M80" s="122" t="s">
        <v>2329</v>
      </c>
      <c r="O80" s="141" t="s">
        <v>1174</v>
      </c>
      <c r="P80" s="141" t="s">
        <v>12721</v>
      </c>
      <c r="Q80" s="122" t="s">
        <v>243</v>
      </c>
      <c r="R80" s="142">
        <v>31</v>
      </c>
      <c r="S80" s="122" t="s">
        <v>12722</v>
      </c>
      <c r="U80" s="122" t="s">
        <v>1420</v>
      </c>
      <c r="W80" s="122" t="s">
        <v>246</v>
      </c>
      <c r="X80" s="122" t="s">
        <v>551</v>
      </c>
      <c r="Y80" s="141" t="s">
        <v>2979</v>
      </c>
      <c r="Z80" s="122" t="s">
        <v>3966</v>
      </c>
      <c r="AA80" s="141" t="s">
        <v>685</v>
      </c>
      <c r="AB80" s="122" t="s">
        <v>12723</v>
      </c>
      <c r="AC80" s="141" t="s">
        <v>1327</v>
      </c>
      <c r="AD80" s="122" t="s">
        <v>8891</v>
      </c>
      <c r="AE80" s="122" t="s">
        <v>235</v>
      </c>
      <c r="AF80" s="122" t="s">
        <v>12724</v>
      </c>
      <c r="AG80" s="122" t="s">
        <v>537</v>
      </c>
      <c r="AH80" s="122" t="s">
        <v>253</v>
      </c>
      <c r="AI80" s="122" t="s">
        <v>12725</v>
      </c>
      <c r="AJ80" s="122" t="s">
        <v>12726</v>
      </c>
      <c r="AK80" s="122" t="s">
        <v>253</v>
      </c>
      <c r="AL80" s="122" t="s">
        <v>253</v>
      </c>
      <c r="AM80" s="122" t="s">
        <v>253</v>
      </c>
      <c r="AN80" s="122" t="s">
        <v>253</v>
      </c>
      <c r="AO80" s="141" t="s">
        <v>253</v>
      </c>
      <c r="AP80" s="141" t="s">
        <v>253</v>
      </c>
      <c r="AQ80" s="141" t="s">
        <v>247</v>
      </c>
      <c r="AR80" s="141" t="s">
        <v>253</v>
      </c>
      <c r="AS80" s="141" t="s">
        <v>361</v>
      </c>
      <c r="AT80" s="141" t="s">
        <v>601</v>
      </c>
      <c r="AU80" s="141" t="s">
        <v>258</v>
      </c>
      <c r="AV80" s="122" t="s">
        <v>259</v>
      </c>
      <c r="AW80" s="122" t="s">
        <v>260</v>
      </c>
      <c r="AY80" s="122" t="s">
        <v>253</v>
      </c>
      <c r="AZ80" s="122" t="s">
        <v>12727</v>
      </c>
      <c r="BA80" s="122" t="s">
        <v>262</v>
      </c>
      <c r="BB80" s="122" t="s">
        <v>262</v>
      </c>
      <c r="BC80" s="141" t="s">
        <v>312</v>
      </c>
      <c r="BD80" s="122" t="s">
        <v>253</v>
      </c>
      <c r="BE80" s="122" t="s">
        <v>263</v>
      </c>
      <c r="BF80" s="122" t="s">
        <v>1430</v>
      </c>
      <c r="BH80" s="122" t="s">
        <v>1420</v>
      </c>
      <c r="BI80" s="142">
        <v>31</v>
      </c>
    </row>
    <row r="81" spans="1:65" x14ac:dyDescent="0.25">
      <c r="A81" s="122" t="s">
        <v>9031</v>
      </c>
      <c r="B81" s="122" t="s">
        <v>12728</v>
      </c>
      <c r="C81" s="122" t="s">
        <v>12729</v>
      </c>
      <c r="D81" s="122" t="s">
        <v>12730</v>
      </c>
      <c r="E81" s="123">
        <v>42233</v>
      </c>
      <c r="F81" s="122" t="s">
        <v>12731</v>
      </c>
      <c r="G81" s="122" t="s">
        <v>235</v>
      </c>
      <c r="H81" s="122" t="s">
        <v>12732</v>
      </c>
      <c r="I81" s="122" t="s">
        <v>12733</v>
      </c>
      <c r="J81" s="122" t="s">
        <v>1053</v>
      </c>
      <c r="K81" s="122" t="s">
        <v>238</v>
      </c>
      <c r="L81" s="122" t="s">
        <v>388</v>
      </c>
      <c r="M81" s="122" t="s">
        <v>1624</v>
      </c>
      <c r="N81" s="122" t="s">
        <v>12734</v>
      </c>
      <c r="O81" s="141" t="s">
        <v>373</v>
      </c>
      <c r="P81" s="141" t="s">
        <v>12735</v>
      </c>
      <c r="Q81" s="122" t="s">
        <v>243</v>
      </c>
      <c r="R81" s="142">
        <v>32</v>
      </c>
      <c r="S81" s="122" t="s">
        <v>12736</v>
      </c>
      <c r="U81" s="122" t="s">
        <v>1420</v>
      </c>
      <c r="W81" s="122" t="s">
        <v>246</v>
      </c>
      <c r="X81" s="122" t="s">
        <v>603</v>
      </c>
      <c r="Y81" s="141" t="s">
        <v>230</v>
      </c>
      <c r="Z81" s="122" t="s">
        <v>12737</v>
      </c>
      <c r="AA81" s="141" t="s">
        <v>1896</v>
      </c>
      <c r="AB81" s="122" t="s">
        <v>12738</v>
      </c>
      <c r="AC81" s="141" t="s">
        <v>1896</v>
      </c>
      <c r="AD81" s="122" t="s">
        <v>12739</v>
      </c>
      <c r="AE81" s="122" t="s">
        <v>235</v>
      </c>
      <c r="AF81" s="122" t="s">
        <v>12740</v>
      </c>
      <c r="AG81" s="122" t="s">
        <v>537</v>
      </c>
      <c r="AH81" s="122" t="s">
        <v>253</v>
      </c>
      <c r="AI81" s="122" t="s">
        <v>12741</v>
      </c>
      <c r="AJ81" s="122" t="s">
        <v>253</v>
      </c>
      <c r="AK81" s="122" t="s">
        <v>253</v>
      </c>
      <c r="AL81" s="122" t="s">
        <v>12742</v>
      </c>
      <c r="AM81" s="122" t="s">
        <v>253</v>
      </c>
      <c r="AN81" s="122" t="s">
        <v>253</v>
      </c>
      <c r="AO81" s="141" t="s">
        <v>247</v>
      </c>
      <c r="AP81" s="141" t="s">
        <v>247</v>
      </c>
      <c r="AQ81" s="141" t="s">
        <v>247</v>
      </c>
      <c r="AR81" s="141" t="s">
        <v>253</v>
      </c>
      <c r="AS81" s="141" t="s">
        <v>601</v>
      </c>
      <c r="AT81" s="141" t="s">
        <v>601</v>
      </c>
      <c r="AU81" s="141" t="s">
        <v>258</v>
      </c>
      <c r="AV81" s="122" t="s">
        <v>259</v>
      </c>
      <c r="AW81" s="122" t="s">
        <v>260</v>
      </c>
      <c r="AX81" s="141" t="s">
        <v>3027</v>
      </c>
      <c r="AY81" s="122" t="s">
        <v>247</v>
      </c>
      <c r="AZ81" s="122" t="s">
        <v>12743</v>
      </c>
      <c r="BA81" s="122" t="s">
        <v>262</v>
      </c>
      <c r="BB81" s="122" t="s">
        <v>262</v>
      </c>
      <c r="BD81" s="122" t="s">
        <v>253</v>
      </c>
      <c r="BE81" s="122" t="s">
        <v>263</v>
      </c>
      <c r="BF81" s="122" t="s">
        <v>1430</v>
      </c>
      <c r="BH81" s="122" t="s">
        <v>1420</v>
      </c>
      <c r="BI81" s="142">
        <v>32</v>
      </c>
    </row>
    <row r="82" spans="1:65" x14ac:dyDescent="0.25">
      <c r="A82" s="122" t="s">
        <v>9031</v>
      </c>
      <c r="B82" s="122" t="s">
        <v>12744</v>
      </c>
      <c r="C82" s="122" t="s">
        <v>12745</v>
      </c>
      <c r="D82" s="122" t="s">
        <v>12746</v>
      </c>
      <c r="E82" s="123">
        <v>42233</v>
      </c>
      <c r="F82" s="122" t="s">
        <v>12747</v>
      </c>
      <c r="G82" s="122" t="s">
        <v>235</v>
      </c>
      <c r="H82" s="122" t="s">
        <v>12748</v>
      </c>
      <c r="I82" s="122" t="s">
        <v>12749</v>
      </c>
      <c r="K82" s="122" t="s">
        <v>238</v>
      </c>
      <c r="L82" s="122" t="s">
        <v>388</v>
      </c>
      <c r="M82" s="122" t="s">
        <v>2237</v>
      </c>
      <c r="O82" s="141" t="s">
        <v>390</v>
      </c>
      <c r="P82" s="141" t="s">
        <v>12750</v>
      </c>
      <c r="Q82" s="122" t="s">
        <v>243</v>
      </c>
      <c r="R82" s="142">
        <v>33</v>
      </c>
      <c r="S82" s="122" t="s">
        <v>12751</v>
      </c>
      <c r="U82" s="122" t="s">
        <v>1420</v>
      </c>
      <c r="W82" s="122" t="s">
        <v>246</v>
      </c>
      <c r="X82" s="122" t="s">
        <v>853</v>
      </c>
      <c r="Y82" s="141" t="s">
        <v>591</v>
      </c>
      <c r="Z82" s="122" t="s">
        <v>12752</v>
      </c>
      <c r="AA82" s="141" t="s">
        <v>570</v>
      </c>
      <c r="AB82" s="122" t="s">
        <v>12753</v>
      </c>
      <c r="AC82" s="141" t="s">
        <v>1926</v>
      </c>
      <c r="AD82" s="122" t="s">
        <v>355</v>
      </c>
      <c r="AE82" s="122" t="s">
        <v>235</v>
      </c>
      <c r="AF82" s="122" t="s">
        <v>12754</v>
      </c>
      <c r="AG82" s="122" t="s">
        <v>253</v>
      </c>
      <c r="AH82" s="122" t="s">
        <v>253</v>
      </c>
      <c r="AI82" s="122" t="s">
        <v>12755</v>
      </c>
      <c r="AJ82" s="122" t="s">
        <v>12756</v>
      </c>
      <c r="AK82" s="122" t="s">
        <v>7551</v>
      </c>
      <c r="AL82" s="122" t="s">
        <v>253</v>
      </c>
      <c r="AM82" s="122" t="s">
        <v>253</v>
      </c>
      <c r="AN82" s="122" t="s">
        <v>253</v>
      </c>
      <c r="AO82" s="141" t="s">
        <v>247</v>
      </c>
      <c r="AP82" s="141" t="s">
        <v>247</v>
      </c>
      <c r="AQ82" s="141" t="s">
        <v>253</v>
      </c>
      <c r="AR82" s="141" t="s">
        <v>247</v>
      </c>
      <c r="AS82" s="141" t="s">
        <v>601</v>
      </c>
      <c r="AT82" s="141" t="s">
        <v>258</v>
      </c>
      <c r="AU82" s="141" t="s">
        <v>257</v>
      </c>
      <c r="AV82" s="122" t="s">
        <v>259</v>
      </c>
      <c r="AW82" s="122" t="s">
        <v>260</v>
      </c>
      <c r="AX82" s="141" t="s">
        <v>12757</v>
      </c>
      <c r="AY82" s="122" t="s">
        <v>603</v>
      </c>
      <c r="AZ82" s="122" t="s">
        <v>12758</v>
      </c>
      <c r="BA82" s="122" t="s">
        <v>262</v>
      </c>
      <c r="BB82" s="122" t="s">
        <v>262</v>
      </c>
      <c r="BD82" s="122" t="s">
        <v>253</v>
      </c>
      <c r="BE82" s="122" t="s">
        <v>263</v>
      </c>
      <c r="BF82" s="122" t="s">
        <v>1430</v>
      </c>
      <c r="BH82" s="122" t="s">
        <v>1420</v>
      </c>
      <c r="BI82" s="142">
        <v>33</v>
      </c>
    </row>
    <row r="83" spans="1:65" x14ac:dyDescent="0.25">
      <c r="A83" s="122" t="s">
        <v>9031</v>
      </c>
      <c r="B83" s="122" t="s">
        <v>12759</v>
      </c>
      <c r="C83" s="122" t="s">
        <v>12760</v>
      </c>
      <c r="D83" s="122" t="s">
        <v>12761</v>
      </c>
      <c r="E83" s="123">
        <v>42233</v>
      </c>
      <c r="F83" s="122" t="s">
        <v>12762</v>
      </c>
      <c r="G83" s="122" t="s">
        <v>235</v>
      </c>
      <c r="H83" s="122" t="s">
        <v>448</v>
      </c>
      <c r="I83" s="122" t="s">
        <v>7791</v>
      </c>
      <c r="J83" s="122" t="s">
        <v>12763</v>
      </c>
      <c r="K83" s="122" t="s">
        <v>238</v>
      </c>
      <c r="L83" s="122" t="s">
        <v>271</v>
      </c>
      <c r="M83" s="122" t="s">
        <v>1593</v>
      </c>
      <c r="Q83" s="122" t="s">
        <v>243</v>
      </c>
      <c r="R83" s="142">
        <v>34</v>
      </c>
      <c r="S83" s="122" t="s">
        <v>12764</v>
      </c>
      <c r="U83" s="122" t="s">
        <v>1420</v>
      </c>
      <c r="W83" s="122" t="s">
        <v>246</v>
      </c>
      <c r="X83" s="122" t="s">
        <v>1377</v>
      </c>
      <c r="Y83" s="141" t="s">
        <v>4229</v>
      </c>
      <c r="Z83" s="122" t="s">
        <v>12765</v>
      </c>
      <c r="AA83" s="141" t="s">
        <v>784</v>
      </c>
      <c r="AB83" s="122" t="s">
        <v>305</v>
      </c>
      <c r="AC83" s="141" t="s">
        <v>784</v>
      </c>
      <c r="AD83" s="122" t="s">
        <v>12766</v>
      </c>
      <c r="AE83" s="122" t="s">
        <v>235</v>
      </c>
      <c r="AF83" s="122" t="s">
        <v>12767</v>
      </c>
      <c r="AG83" s="122" t="s">
        <v>537</v>
      </c>
      <c r="AH83" s="122" t="s">
        <v>253</v>
      </c>
      <c r="AI83" s="122" t="s">
        <v>12768</v>
      </c>
      <c r="AJ83" s="122" t="s">
        <v>12769</v>
      </c>
      <c r="AK83" s="122" t="s">
        <v>253</v>
      </c>
      <c r="AL83" s="122" t="s">
        <v>253</v>
      </c>
      <c r="AM83" s="122" t="s">
        <v>253</v>
      </c>
      <c r="AN83" s="122" t="s">
        <v>253</v>
      </c>
      <c r="AO83" s="141" t="s">
        <v>247</v>
      </c>
      <c r="AP83" s="141" t="s">
        <v>247</v>
      </c>
      <c r="AQ83" s="141" t="s">
        <v>247</v>
      </c>
      <c r="AR83" s="141" t="s">
        <v>253</v>
      </c>
      <c r="AS83" s="141" t="s">
        <v>601</v>
      </c>
      <c r="AT83" s="141" t="s">
        <v>601</v>
      </c>
      <c r="AU83" s="141" t="s">
        <v>258</v>
      </c>
      <c r="AV83" s="122" t="s">
        <v>259</v>
      </c>
      <c r="AW83" s="122" t="s">
        <v>260</v>
      </c>
      <c r="AY83" s="122" t="s">
        <v>253</v>
      </c>
      <c r="AZ83" s="122" t="s">
        <v>262</v>
      </c>
      <c r="BA83" s="122" t="s">
        <v>262</v>
      </c>
      <c r="BB83" s="122" t="s">
        <v>262</v>
      </c>
      <c r="BD83" s="122" t="s">
        <v>253</v>
      </c>
      <c r="BE83" s="122" t="s">
        <v>263</v>
      </c>
      <c r="BF83" s="122" t="s">
        <v>1430</v>
      </c>
      <c r="BH83" s="122" t="s">
        <v>1420</v>
      </c>
      <c r="BI83" s="142">
        <v>34</v>
      </c>
    </row>
    <row r="84" spans="1:65" x14ac:dyDescent="0.25">
      <c r="A84" s="122" t="s">
        <v>9031</v>
      </c>
      <c r="B84" s="122" t="s">
        <v>12770</v>
      </c>
      <c r="C84" s="122" t="s">
        <v>12771</v>
      </c>
      <c r="D84" s="122" t="s">
        <v>12772</v>
      </c>
      <c r="E84" s="123">
        <v>42233</v>
      </c>
      <c r="F84" s="122" t="s">
        <v>12773</v>
      </c>
      <c r="G84" s="122" t="s">
        <v>235</v>
      </c>
      <c r="H84" s="122" t="s">
        <v>12774</v>
      </c>
      <c r="I84" s="122" t="s">
        <v>12775</v>
      </c>
      <c r="K84" s="122" t="s">
        <v>238</v>
      </c>
      <c r="L84" s="122" t="s">
        <v>1872</v>
      </c>
      <c r="M84" s="122" t="s">
        <v>1979</v>
      </c>
      <c r="O84" s="141" t="s">
        <v>373</v>
      </c>
      <c r="P84" s="141" t="s">
        <v>12776</v>
      </c>
      <c r="Q84" s="122" t="s">
        <v>243</v>
      </c>
      <c r="R84" s="142">
        <v>35</v>
      </c>
      <c r="S84" s="122" t="s">
        <v>12777</v>
      </c>
      <c r="U84" s="122" t="s">
        <v>1420</v>
      </c>
      <c r="W84" s="122" t="s">
        <v>246</v>
      </c>
      <c r="X84" s="122" t="s">
        <v>551</v>
      </c>
      <c r="Y84" s="141" t="s">
        <v>541</v>
      </c>
      <c r="Z84" s="122" t="s">
        <v>12778</v>
      </c>
      <c r="AA84" s="141" t="s">
        <v>2072</v>
      </c>
      <c r="AB84" s="122" t="s">
        <v>12779</v>
      </c>
      <c r="AC84" s="141" t="s">
        <v>1291</v>
      </c>
      <c r="AD84" s="122" t="s">
        <v>12780</v>
      </c>
      <c r="AE84" s="122" t="s">
        <v>235</v>
      </c>
      <c r="AF84" s="122" t="s">
        <v>12781</v>
      </c>
      <c r="AG84" s="122" t="s">
        <v>638</v>
      </c>
      <c r="AH84" s="122" t="s">
        <v>253</v>
      </c>
      <c r="AI84" s="122" t="s">
        <v>12782</v>
      </c>
      <c r="AJ84" s="122" t="s">
        <v>8826</v>
      </c>
      <c r="AK84" s="122" t="s">
        <v>253</v>
      </c>
      <c r="AL84" s="122" t="s">
        <v>253</v>
      </c>
      <c r="AM84" s="122" t="s">
        <v>253</v>
      </c>
      <c r="AN84" s="122" t="s">
        <v>253</v>
      </c>
      <c r="AO84" s="141" t="s">
        <v>247</v>
      </c>
      <c r="AP84" s="141" t="s">
        <v>247</v>
      </c>
      <c r="AQ84" s="141" t="s">
        <v>247</v>
      </c>
      <c r="AR84" s="141" t="s">
        <v>253</v>
      </c>
      <c r="AS84" s="141" t="s">
        <v>601</v>
      </c>
      <c r="AT84" s="141" t="s">
        <v>601</v>
      </c>
      <c r="AU84" s="141" t="s">
        <v>258</v>
      </c>
      <c r="AV84" s="122" t="s">
        <v>259</v>
      </c>
      <c r="AW84" s="122" t="s">
        <v>260</v>
      </c>
      <c r="AY84" s="122" t="s">
        <v>253</v>
      </c>
      <c r="AZ84" s="122" t="s">
        <v>12783</v>
      </c>
      <c r="BA84" s="122" t="s">
        <v>262</v>
      </c>
      <c r="BB84" s="122" t="s">
        <v>262</v>
      </c>
      <c r="BD84" s="122" t="s">
        <v>253</v>
      </c>
      <c r="BE84" s="122" t="s">
        <v>263</v>
      </c>
      <c r="BF84" s="122" t="s">
        <v>1430</v>
      </c>
      <c r="BH84" s="122" t="s">
        <v>1420</v>
      </c>
      <c r="BI84" s="142">
        <v>35</v>
      </c>
      <c r="BJ84" s="123">
        <v>42235</v>
      </c>
      <c r="BK84" s="139" t="s">
        <v>264</v>
      </c>
      <c r="BL84" s="140">
        <v>106.61</v>
      </c>
      <c r="BM84" s="122">
        <v>34</v>
      </c>
    </row>
    <row r="85" spans="1:65" x14ac:dyDescent="0.25">
      <c r="A85" s="122" t="s">
        <v>9031</v>
      </c>
      <c r="B85" s="122" t="s">
        <v>12784</v>
      </c>
      <c r="C85" s="122" t="s">
        <v>12785</v>
      </c>
      <c r="D85" s="122" t="s">
        <v>12786</v>
      </c>
      <c r="E85" s="123">
        <v>42233</v>
      </c>
      <c r="F85" s="122" t="s">
        <v>354</v>
      </c>
      <c r="G85" s="122" t="s">
        <v>235</v>
      </c>
      <c r="H85" s="122" t="s">
        <v>12787</v>
      </c>
      <c r="I85" s="122" t="s">
        <v>12788</v>
      </c>
      <c r="K85" s="122" t="s">
        <v>238</v>
      </c>
      <c r="L85" s="122" t="s">
        <v>297</v>
      </c>
      <c r="M85" s="122" t="s">
        <v>1920</v>
      </c>
      <c r="O85" s="141" t="s">
        <v>566</v>
      </c>
      <c r="P85" s="141" t="s">
        <v>12789</v>
      </c>
      <c r="Q85" s="122" t="s">
        <v>243</v>
      </c>
      <c r="R85" s="142">
        <v>36</v>
      </c>
      <c r="S85" s="122" t="s">
        <v>12790</v>
      </c>
      <c r="U85" s="122" t="s">
        <v>1420</v>
      </c>
      <c r="W85" s="122" t="s">
        <v>246</v>
      </c>
      <c r="X85" s="122" t="s">
        <v>4409</v>
      </c>
      <c r="Z85" s="122" t="s">
        <v>250</v>
      </c>
      <c r="AB85" s="122" t="s">
        <v>250</v>
      </c>
      <c r="AD85" s="122" t="s">
        <v>250</v>
      </c>
      <c r="AE85" s="122" t="s">
        <v>235</v>
      </c>
      <c r="AF85" s="122" t="s">
        <v>12791</v>
      </c>
      <c r="AG85" s="122" t="s">
        <v>537</v>
      </c>
      <c r="AH85" s="122" t="s">
        <v>253</v>
      </c>
      <c r="AI85" s="122" t="s">
        <v>3607</v>
      </c>
      <c r="AJ85" s="122" t="s">
        <v>12792</v>
      </c>
      <c r="AK85" s="122" t="s">
        <v>253</v>
      </c>
      <c r="AL85" s="122" t="s">
        <v>253</v>
      </c>
      <c r="AM85" s="122" t="s">
        <v>253</v>
      </c>
      <c r="AN85" s="122" t="s">
        <v>253</v>
      </c>
      <c r="AO85" s="141" t="s">
        <v>247</v>
      </c>
      <c r="AP85" s="141" t="s">
        <v>247</v>
      </c>
      <c r="AQ85" s="141" t="s">
        <v>247</v>
      </c>
      <c r="AR85" s="141" t="s">
        <v>253</v>
      </c>
      <c r="AS85" s="141" t="s">
        <v>601</v>
      </c>
      <c r="AT85" s="141" t="s">
        <v>601</v>
      </c>
      <c r="AU85" s="141" t="s">
        <v>258</v>
      </c>
      <c r="AV85" s="122" t="s">
        <v>259</v>
      </c>
      <c r="AW85" s="122" t="s">
        <v>260</v>
      </c>
      <c r="AY85" s="122" t="s">
        <v>253</v>
      </c>
      <c r="AZ85" s="122" t="s">
        <v>12793</v>
      </c>
      <c r="BA85" s="122" t="s">
        <v>262</v>
      </c>
      <c r="BB85" s="122" t="s">
        <v>262</v>
      </c>
      <c r="BD85" s="122" t="s">
        <v>253</v>
      </c>
      <c r="BE85" s="122" t="s">
        <v>263</v>
      </c>
      <c r="BF85" s="122" t="s">
        <v>1430</v>
      </c>
      <c r="BH85" s="122" t="s">
        <v>1420</v>
      </c>
      <c r="BI85" s="142">
        <v>36</v>
      </c>
    </row>
    <row r="86" spans="1:65" x14ac:dyDescent="0.25">
      <c r="A86" s="122" t="s">
        <v>9031</v>
      </c>
      <c r="B86" s="122" t="s">
        <v>12794</v>
      </c>
      <c r="C86" s="122" t="s">
        <v>12795</v>
      </c>
      <c r="D86" s="122" t="s">
        <v>12796</v>
      </c>
      <c r="E86" s="123">
        <v>42233</v>
      </c>
      <c r="F86" s="122" t="s">
        <v>1023</v>
      </c>
      <c r="G86" s="122" t="s">
        <v>235</v>
      </c>
      <c r="H86" s="122" t="s">
        <v>12797</v>
      </c>
      <c r="I86" s="122" t="s">
        <v>12798</v>
      </c>
      <c r="K86" s="122" t="s">
        <v>238</v>
      </c>
      <c r="L86" s="122" t="s">
        <v>388</v>
      </c>
      <c r="M86" s="122" t="s">
        <v>2237</v>
      </c>
      <c r="N86" s="122" t="s">
        <v>12799</v>
      </c>
      <c r="O86" s="141" t="s">
        <v>273</v>
      </c>
      <c r="P86" s="141" t="s">
        <v>12800</v>
      </c>
      <c r="Q86" s="122" t="s">
        <v>243</v>
      </c>
      <c r="R86" s="142">
        <v>37</v>
      </c>
      <c r="S86" s="122" t="s">
        <v>12801</v>
      </c>
      <c r="U86" s="122" t="s">
        <v>1420</v>
      </c>
      <c r="W86" s="122" t="s">
        <v>246</v>
      </c>
      <c r="X86" s="122" t="s">
        <v>260</v>
      </c>
      <c r="Y86" s="141" t="s">
        <v>230</v>
      </c>
      <c r="Z86" s="122" t="s">
        <v>741</v>
      </c>
      <c r="AA86" s="141" t="s">
        <v>234</v>
      </c>
      <c r="AB86" s="122" t="s">
        <v>518</v>
      </c>
      <c r="AC86" s="141" t="s">
        <v>234</v>
      </c>
      <c r="AD86" s="122" t="s">
        <v>12802</v>
      </c>
      <c r="AE86" s="122" t="s">
        <v>235</v>
      </c>
      <c r="AF86" s="122" t="s">
        <v>12803</v>
      </c>
      <c r="AG86" s="122" t="s">
        <v>253</v>
      </c>
      <c r="AH86" s="122" t="s">
        <v>253</v>
      </c>
      <c r="AI86" s="122" t="s">
        <v>12804</v>
      </c>
      <c r="AJ86" s="122" t="s">
        <v>12805</v>
      </c>
      <c r="AK86" s="122" t="s">
        <v>253</v>
      </c>
      <c r="AL86" s="122" t="s">
        <v>12806</v>
      </c>
      <c r="AM86" s="122" t="s">
        <v>253</v>
      </c>
      <c r="AN86" s="122" t="s">
        <v>253</v>
      </c>
      <c r="AO86" s="141" t="s">
        <v>247</v>
      </c>
      <c r="AP86" s="141" t="s">
        <v>247</v>
      </c>
      <c r="AQ86" s="141" t="s">
        <v>253</v>
      </c>
      <c r="AR86" s="141" t="s">
        <v>253</v>
      </c>
      <c r="AS86" s="141" t="s">
        <v>601</v>
      </c>
      <c r="AT86" s="141" t="s">
        <v>258</v>
      </c>
      <c r="AU86" s="141" t="s">
        <v>258</v>
      </c>
      <c r="AV86" s="122" t="s">
        <v>259</v>
      </c>
      <c r="AW86" s="122" t="s">
        <v>260</v>
      </c>
      <c r="AX86" s="141" t="s">
        <v>3027</v>
      </c>
      <c r="AY86" s="122" t="s">
        <v>247</v>
      </c>
      <c r="AZ86" s="122" t="s">
        <v>12807</v>
      </c>
      <c r="BA86" s="122" t="s">
        <v>262</v>
      </c>
      <c r="BB86" s="122" t="s">
        <v>12807</v>
      </c>
      <c r="BD86" s="122" t="s">
        <v>253</v>
      </c>
      <c r="BE86" s="122" t="s">
        <v>263</v>
      </c>
      <c r="BF86" s="122" t="s">
        <v>1430</v>
      </c>
      <c r="BH86" s="122" t="s">
        <v>1420</v>
      </c>
      <c r="BI86" s="142">
        <v>37</v>
      </c>
    </row>
    <row r="87" spans="1:65" x14ac:dyDescent="0.25">
      <c r="A87" s="122" t="s">
        <v>9031</v>
      </c>
      <c r="B87" s="122" t="s">
        <v>12808</v>
      </c>
      <c r="C87" s="122" t="s">
        <v>12809</v>
      </c>
      <c r="D87" s="122" t="s">
        <v>12810</v>
      </c>
      <c r="E87" s="123">
        <v>42233</v>
      </c>
      <c r="F87" s="122" t="s">
        <v>12811</v>
      </c>
      <c r="G87" s="122" t="s">
        <v>235</v>
      </c>
      <c r="H87" s="122" t="s">
        <v>12812</v>
      </c>
      <c r="I87" s="122" t="s">
        <v>12813</v>
      </c>
      <c r="J87" s="122" t="s">
        <v>12814</v>
      </c>
      <c r="K87" s="122" t="s">
        <v>238</v>
      </c>
      <c r="L87" s="122" t="s">
        <v>271</v>
      </c>
      <c r="M87" s="122" t="s">
        <v>2589</v>
      </c>
      <c r="O87" s="141" t="s">
        <v>613</v>
      </c>
      <c r="P87" s="141" t="s">
        <v>12815</v>
      </c>
      <c r="Q87" s="122" t="s">
        <v>243</v>
      </c>
      <c r="R87" s="142">
        <v>38</v>
      </c>
      <c r="S87" s="122" t="s">
        <v>12816</v>
      </c>
      <c r="U87" s="122" t="s">
        <v>1420</v>
      </c>
      <c r="W87" s="122" t="s">
        <v>246</v>
      </c>
      <c r="X87" s="122" t="s">
        <v>603</v>
      </c>
      <c r="Y87" s="141" t="s">
        <v>1162</v>
      </c>
      <c r="Z87" s="122" t="s">
        <v>12817</v>
      </c>
      <c r="AA87" s="141" t="s">
        <v>535</v>
      </c>
      <c r="AB87" s="122" t="s">
        <v>1792</v>
      </c>
      <c r="AC87" s="141" t="s">
        <v>670</v>
      </c>
      <c r="AD87" s="122" t="s">
        <v>1792</v>
      </c>
      <c r="AE87" s="122" t="s">
        <v>235</v>
      </c>
      <c r="AF87" s="122" t="s">
        <v>12818</v>
      </c>
      <c r="AG87" s="122" t="s">
        <v>537</v>
      </c>
      <c r="AH87" s="122" t="s">
        <v>253</v>
      </c>
      <c r="AI87" s="122" t="s">
        <v>12819</v>
      </c>
      <c r="AJ87" s="122" t="s">
        <v>12820</v>
      </c>
      <c r="AK87" s="122" t="s">
        <v>253</v>
      </c>
      <c r="AL87" s="122" t="s">
        <v>253</v>
      </c>
      <c r="AM87" s="122" t="s">
        <v>253</v>
      </c>
      <c r="AN87" s="122" t="s">
        <v>253</v>
      </c>
      <c r="AO87" s="141" t="s">
        <v>247</v>
      </c>
      <c r="AP87" s="141" t="s">
        <v>247</v>
      </c>
      <c r="AQ87" s="141" t="s">
        <v>247</v>
      </c>
      <c r="AR87" s="141" t="s">
        <v>253</v>
      </c>
      <c r="AS87" s="141" t="s">
        <v>601</v>
      </c>
      <c r="AT87" s="141" t="s">
        <v>601</v>
      </c>
      <c r="AU87" s="141" t="s">
        <v>258</v>
      </c>
      <c r="AV87" s="122" t="s">
        <v>259</v>
      </c>
      <c r="AW87" s="122" t="s">
        <v>260</v>
      </c>
      <c r="AX87" s="141" t="s">
        <v>12821</v>
      </c>
      <c r="AY87" s="122" t="s">
        <v>603</v>
      </c>
      <c r="AZ87" s="122" t="s">
        <v>12822</v>
      </c>
      <c r="BA87" s="122" t="s">
        <v>262</v>
      </c>
      <c r="BB87" s="122" t="s">
        <v>12822</v>
      </c>
      <c r="BC87" s="141" t="s">
        <v>312</v>
      </c>
      <c r="BD87" s="122" t="s">
        <v>253</v>
      </c>
      <c r="BE87" s="122" t="s">
        <v>263</v>
      </c>
      <c r="BF87" s="122" t="s">
        <v>1430</v>
      </c>
      <c r="BH87" s="122" t="s">
        <v>1420</v>
      </c>
      <c r="BI87" s="142">
        <v>38</v>
      </c>
    </row>
    <row r="88" spans="1:65" x14ac:dyDescent="0.25">
      <c r="A88" s="122" t="s">
        <v>9031</v>
      </c>
      <c r="B88" s="122" t="s">
        <v>12823</v>
      </c>
      <c r="C88" s="122" t="s">
        <v>12824</v>
      </c>
      <c r="D88" s="122" t="s">
        <v>12825</v>
      </c>
      <c r="E88" s="123">
        <v>42233</v>
      </c>
      <c r="F88" s="122" t="s">
        <v>1402</v>
      </c>
      <c r="G88" s="122" t="s">
        <v>235</v>
      </c>
      <c r="H88" s="122" t="s">
        <v>12826</v>
      </c>
      <c r="I88" s="122" t="s">
        <v>12827</v>
      </c>
      <c r="J88" s="122" t="s">
        <v>2116</v>
      </c>
      <c r="K88" s="122" t="s">
        <v>238</v>
      </c>
      <c r="L88" s="122" t="s">
        <v>429</v>
      </c>
      <c r="M88" s="122" t="s">
        <v>7414</v>
      </c>
      <c r="O88" s="141" t="s">
        <v>1205</v>
      </c>
      <c r="P88" s="141" t="s">
        <v>12828</v>
      </c>
      <c r="Q88" s="122" t="s">
        <v>243</v>
      </c>
      <c r="R88" s="142">
        <v>39</v>
      </c>
      <c r="S88" s="122" t="s">
        <v>12829</v>
      </c>
      <c r="T88" s="122" t="s">
        <v>12830</v>
      </c>
      <c r="U88" s="122" t="s">
        <v>1420</v>
      </c>
      <c r="W88" s="122" t="s">
        <v>246</v>
      </c>
      <c r="X88" s="122" t="s">
        <v>551</v>
      </c>
      <c r="Y88" s="141" t="s">
        <v>1421</v>
      </c>
      <c r="Z88" s="122" t="s">
        <v>12831</v>
      </c>
      <c r="AA88" s="141" t="s">
        <v>744</v>
      </c>
      <c r="AB88" s="122" t="s">
        <v>3205</v>
      </c>
      <c r="AC88" s="141" t="s">
        <v>2363</v>
      </c>
      <c r="AD88" s="122" t="s">
        <v>12832</v>
      </c>
      <c r="AE88" s="122" t="s">
        <v>235</v>
      </c>
      <c r="AF88" s="122" t="s">
        <v>12833</v>
      </c>
      <c r="AG88" s="122" t="s">
        <v>537</v>
      </c>
      <c r="AH88" s="122" t="s">
        <v>253</v>
      </c>
      <c r="AI88" s="122" t="s">
        <v>3796</v>
      </c>
      <c r="AJ88" s="122" t="s">
        <v>12834</v>
      </c>
      <c r="AK88" s="122" t="s">
        <v>253</v>
      </c>
      <c r="AL88" s="122" t="s">
        <v>253</v>
      </c>
      <c r="AM88" s="122" t="s">
        <v>253</v>
      </c>
      <c r="AN88" s="122" t="s">
        <v>253</v>
      </c>
      <c r="AO88" s="141" t="s">
        <v>253</v>
      </c>
      <c r="AP88" s="141" t="s">
        <v>253</v>
      </c>
      <c r="AQ88" s="141" t="s">
        <v>247</v>
      </c>
      <c r="AR88" s="141" t="s">
        <v>253</v>
      </c>
      <c r="AS88" s="141" t="s">
        <v>361</v>
      </c>
      <c r="AT88" s="141" t="s">
        <v>601</v>
      </c>
      <c r="AU88" s="141" t="s">
        <v>258</v>
      </c>
      <c r="AV88" s="122" t="s">
        <v>259</v>
      </c>
      <c r="AW88" s="122" t="s">
        <v>260</v>
      </c>
      <c r="AY88" s="122" t="s">
        <v>253</v>
      </c>
      <c r="AZ88" s="122" t="s">
        <v>12835</v>
      </c>
      <c r="BA88" s="122" t="s">
        <v>262</v>
      </c>
      <c r="BB88" s="122" t="s">
        <v>262</v>
      </c>
      <c r="BC88" s="141" t="s">
        <v>312</v>
      </c>
      <c r="BD88" s="122" t="s">
        <v>253</v>
      </c>
      <c r="BE88" s="122" t="s">
        <v>263</v>
      </c>
      <c r="BF88" s="122" t="s">
        <v>1430</v>
      </c>
      <c r="BH88" s="122" t="s">
        <v>1420</v>
      </c>
      <c r="BI88" s="142">
        <v>39</v>
      </c>
    </row>
    <row r="89" spans="1:65" x14ac:dyDescent="0.25">
      <c r="A89" s="122" t="s">
        <v>9031</v>
      </c>
      <c r="B89" s="122" t="s">
        <v>12836</v>
      </c>
      <c r="C89" s="122" t="s">
        <v>12837</v>
      </c>
      <c r="D89" s="122" t="s">
        <v>12838</v>
      </c>
      <c r="E89" s="123">
        <v>42233</v>
      </c>
      <c r="F89" s="122" t="s">
        <v>689</v>
      </c>
      <c r="G89" s="122" t="s">
        <v>235</v>
      </c>
      <c r="H89" s="122" t="s">
        <v>448</v>
      </c>
      <c r="I89" s="122" t="s">
        <v>12839</v>
      </c>
      <c r="K89" s="122" t="s">
        <v>238</v>
      </c>
      <c r="L89" s="122" t="s">
        <v>388</v>
      </c>
      <c r="M89" s="122" t="s">
        <v>2749</v>
      </c>
      <c r="O89" s="141" t="s">
        <v>373</v>
      </c>
      <c r="P89" s="141" t="s">
        <v>12840</v>
      </c>
      <c r="Q89" s="122" t="s">
        <v>243</v>
      </c>
      <c r="R89" s="142">
        <v>40</v>
      </c>
      <c r="S89" s="122" t="s">
        <v>12841</v>
      </c>
      <c r="U89" s="122" t="s">
        <v>1420</v>
      </c>
      <c r="W89" s="122" t="s">
        <v>246</v>
      </c>
      <c r="X89" s="122" t="s">
        <v>551</v>
      </c>
      <c r="Y89" s="141" t="s">
        <v>973</v>
      </c>
      <c r="Z89" s="122" t="s">
        <v>12842</v>
      </c>
      <c r="AA89" s="141" t="s">
        <v>1421</v>
      </c>
      <c r="AB89" s="122" t="s">
        <v>12843</v>
      </c>
      <c r="AC89" s="141" t="s">
        <v>722</v>
      </c>
      <c r="AD89" s="122" t="s">
        <v>12844</v>
      </c>
      <c r="AE89" s="122" t="s">
        <v>235</v>
      </c>
      <c r="AF89" s="122" t="s">
        <v>12845</v>
      </c>
      <c r="AG89" s="122" t="s">
        <v>537</v>
      </c>
      <c r="AH89" s="122" t="s">
        <v>253</v>
      </c>
      <c r="AI89" s="122" t="s">
        <v>1585</v>
      </c>
      <c r="AJ89" s="122" t="s">
        <v>12846</v>
      </c>
      <c r="AK89" s="122" t="s">
        <v>253</v>
      </c>
      <c r="AL89" s="122" t="s">
        <v>253</v>
      </c>
      <c r="AM89" s="122" t="s">
        <v>253</v>
      </c>
      <c r="AN89" s="122" t="s">
        <v>253</v>
      </c>
      <c r="AO89" s="141" t="s">
        <v>253</v>
      </c>
      <c r="AP89" s="141" t="s">
        <v>253</v>
      </c>
      <c r="AQ89" s="141" t="s">
        <v>247</v>
      </c>
      <c r="AR89" s="141" t="s">
        <v>253</v>
      </c>
      <c r="AS89" s="141" t="s">
        <v>361</v>
      </c>
      <c r="AT89" s="141" t="s">
        <v>601</v>
      </c>
      <c r="AU89" s="141" t="s">
        <v>258</v>
      </c>
      <c r="AV89" s="122" t="s">
        <v>259</v>
      </c>
      <c r="AW89" s="122" t="s">
        <v>260</v>
      </c>
      <c r="AY89" s="122" t="s">
        <v>253</v>
      </c>
      <c r="AZ89" s="122" t="s">
        <v>262</v>
      </c>
      <c r="BA89" s="122" t="s">
        <v>262</v>
      </c>
      <c r="BB89" s="122" t="s">
        <v>12847</v>
      </c>
      <c r="BD89" s="122" t="s">
        <v>253</v>
      </c>
      <c r="BE89" s="122" t="s">
        <v>263</v>
      </c>
      <c r="BF89" s="122" t="s">
        <v>1430</v>
      </c>
      <c r="BH89" s="122" t="s">
        <v>1420</v>
      </c>
      <c r="BI89" s="142">
        <v>40</v>
      </c>
    </row>
    <row r="90" spans="1:65" x14ac:dyDescent="0.25">
      <c r="A90" s="122" t="s">
        <v>11880</v>
      </c>
      <c r="B90" s="122" t="s">
        <v>12848</v>
      </c>
      <c r="C90" s="122" t="s">
        <v>12849</v>
      </c>
      <c r="D90" s="122" t="s">
        <v>12850</v>
      </c>
      <c r="E90" s="123">
        <v>42233</v>
      </c>
      <c r="F90" s="122" t="s">
        <v>12851</v>
      </c>
      <c r="G90" s="122" t="s">
        <v>235</v>
      </c>
      <c r="H90" s="122" t="s">
        <v>12852</v>
      </c>
      <c r="I90" s="122" t="s">
        <v>12853</v>
      </c>
      <c r="K90" s="122" t="s">
        <v>238</v>
      </c>
      <c r="L90" s="122" t="s">
        <v>297</v>
      </c>
      <c r="M90" s="122" t="s">
        <v>12854</v>
      </c>
      <c r="O90" s="141" t="s">
        <v>953</v>
      </c>
      <c r="P90" s="141" t="s">
        <v>12855</v>
      </c>
      <c r="Q90" s="122" t="s">
        <v>243</v>
      </c>
      <c r="R90" s="142">
        <v>41</v>
      </c>
      <c r="S90" s="122" t="s">
        <v>12856</v>
      </c>
      <c r="U90" s="122" t="s">
        <v>1420</v>
      </c>
      <c r="W90" s="122" t="s">
        <v>246</v>
      </c>
      <c r="X90" s="122" t="s">
        <v>376</v>
      </c>
      <c r="Y90" s="141" t="s">
        <v>404</v>
      </c>
      <c r="Z90" s="122" t="s">
        <v>12857</v>
      </c>
      <c r="AA90" s="141" t="s">
        <v>354</v>
      </c>
      <c r="AB90" s="122" t="s">
        <v>2366</v>
      </c>
      <c r="AC90" s="141" t="s">
        <v>722</v>
      </c>
      <c r="AD90" s="122" t="s">
        <v>3459</v>
      </c>
      <c r="AE90" s="122" t="s">
        <v>235</v>
      </c>
      <c r="AF90" s="122" t="s">
        <v>12858</v>
      </c>
      <c r="AG90" s="122" t="s">
        <v>253</v>
      </c>
      <c r="AH90" s="122" t="s">
        <v>253</v>
      </c>
      <c r="AI90" s="122" t="s">
        <v>12859</v>
      </c>
      <c r="AJ90" s="122" t="s">
        <v>12860</v>
      </c>
      <c r="AK90" s="122" t="s">
        <v>12861</v>
      </c>
      <c r="AL90" s="122" t="s">
        <v>253</v>
      </c>
      <c r="AM90" s="122" t="s">
        <v>253</v>
      </c>
      <c r="AN90" s="122" t="s">
        <v>253</v>
      </c>
      <c r="AO90" s="141" t="s">
        <v>247</v>
      </c>
      <c r="AP90" s="141" t="s">
        <v>247</v>
      </c>
      <c r="AQ90" s="141" t="s">
        <v>247</v>
      </c>
      <c r="AR90" s="141" t="s">
        <v>247</v>
      </c>
      <c r="AS90" s="141" t="s">
        <v>601</v>
      </c>
      <c r="AT90" s="141" t="s">
        <v>601</v>
      </c>
      <c r="AU90" s="141" t="s">
        <v>601</v>
      </c>
      <c r="AV90" s="122" t="s">
        <v>259</v>
      </c>
      <c r="AW90" s="122" t="s">
        <v>260</v>
      </c>
      <c r="AX90" s="141" t="s">
        <v>3169</v>
      </c>
      <c r="AY90" s="122" t="s">
        <v>442</v>
      </c>
      <c r="AZ90" s="122" t="s">
        <v>12862</v>
      </c>
      <c r="BA90" s="122" t="s">
        <v>262</v>
      </c>
      <c r="BB90" s="122" t="s">
        <v>12862</v>
      </c>
      <c r="BD90" s="122" t="s">
        <v>253</v>
      </c>
      <c r="BE90" s="122" t="s">
        <v>263</v>
      </c>
      <c r="BF90" s="122" t="s">
        <v>1430</v>
      </c>
      <c r="BH90" s="122" t="s">
        <v>1420</v>
      </c>
      <c r="BI90" s="142">
        <v>41</v>
      </c>
    </row>
    <row r="91" spans="1:65" x14ac:dyDescent="0.25">
      <c r="A91" s="122" t="s">
        <v>11880</v>
      </c>
      <c r="B91" s="122" t="s">
        <v>12863</v>
      </c>
      <c r="C91" s="122" t="s">
        <v>12864</v>
      </c>
      <c r="D91" s="122" t="s">
        <v>12865</v>
      </c>
      <c r="E91" s="123">
        <v>42233</v>
      </c>
      <c r="F91" s="122" t="s">
        <v>9156</v>
      </c>
      <c r="G91" s="122" t="s">
        <v>235</v>
      </c>
      <c r="H91" s="122" t="s">
        <v>12866</v>
      </c>
      <c r="I91" s="122" t="s">
        <v>12867</v>
      </c>
      <c r="K91" s="122" t="s">
        <v>238</v>
      </c>
      <c r="L91" s="122" t="s">
        <v>429</v>
      </c>
      <c r="M91" s="122" t="s">
        <v>430</v>
      </c>
      <c r="O91" s="141" t="s">
        <v>494</v>
      </c>
      <c r="P91" s="141" t="s">
        <v>12868</v>
      </c>
      <c r="Q91" s="122" t="s">
        <v>243</v>
      </c>
      <c r="R91" s="142">
        <v>42</v>
      </c>
      <c r="S91" s="122" t="s">
        <v>12869</v>
      </c>
      <c r="U91" s="122" t="s">
        <v>1420</v>
      </c>
      <c r="W91" s="122" t="s">
        <v>246</v>
      </c>
      <c r="X91" s="122" t="s">
        <v>1324</v>
      </c>
      <c r="Y91" s="141" t="s">
        <v>973</v>
      </c>
      <c r="Z91" s="122" t="s">
        <v>12870</v>
      </c>
      <c r="AA91" s="141" t="s">
        <v>956</v>
      </c>
      <c r="AB91" s="122" t="s">
        <v>1678</v>
      </c>
      <c r="AC91" s="141" t="s">
        <v>500</v>
      </c>
      <c r="AD91" s="122" t="s">
        <v>1678</v>
      </c>
      <c r="AE91" s="122" t="s">
        <v>235</v>
      </c>
      <c r="AF91" s="122" t="s">
        <v>12871</v>
      </c>
      <c r="AG91" s="122" t="s">
        <v>537</v>
      </c>
      <c r="AH91" s="122" t="s">
        <v>253</v>
      </c>
      <c r="AI91" s="122" t="s">
        <v>12872</v>
      </c>
      <c r="AJ91" s="122" t="s">
        <v>12873</v>
      </c>
      <c r="AK91" s="122" t="s">
        <v>253</v>
      </c>
      <c r="AL91" s="122" t="s">
        <v>253</v>
      </c>
      <c r="AM91" s="122" t="s">
        <v>253</v>
      </c>
      <c r="AN91" s="122" t="s">
        <v>253</v>
      </c>
      <c r="AO91" s="141" t="s">
        <v>247</v>
      </c>
      <c r="AP91" s="141" t="s">
        <v>247</v>
      </c>
      <c r="AQ91" s="141" t="s">
        <v>247</v>
      </c>
      <c r="AR91" s="141" t="s">
        <v>247</v>
      </c>
      <c r="AS91" s="141" t="s">
        <v>601</v>
      </c>
      <c r="AT91" s="141" t="s">
        <v>601</v>
      </c>
      <c r="AU91" s="141" t="s">
        <v>601</v>
      </c>
      <c r="AV91" s="122" t="s">
        <v>259</v>
      </c>
      <c r="AW91" s="122" t="s">
        <v>260</v>
      </c>
      <c r="AY91" s="122" t="s">
        <v>253</v>
      </c>
      <c r="AZ91" s="122" t="s">
        <v>12874</v>
      </c>
      <c r="BA91" s="122" t="s">
        <v>262</v>
      </c>
      <c r="BB91" s="122" t="s">
        <v>262</v>
      </c>
      <c r="BD91" s="122" t="s">
        <v>253</v>
      </c>
      <c r="BE91" s="122" t="s">
        <v>263</v>
      </c>
      <c r="BF91" s="122" t="s">
        <v>1430</v>
      </c>
      <c r="BH91" s="122" t="s">
        <v>1420</v>
      </c>
      <c r="BI91" s="142">
        <v>42</v>
      </c>
      <c r="BJ91" s="123">
        <v>42237</v>
      </c>
      <c r="BK91" s="139" t="s">
        <v>264</v>
      </c>
      <c r="BL91" s="140">
        <v>250</v>
      </c>
      <c r="BM91" s="122">
        <v>34</v>
      </c>
    </row>
    <row r="92" spans="1:65" x14ac:dyDescent="0.25">
      <c r="A92" s="122" t="s">
        <v>11880</v>
      </c>
      <c r="B92" s="122" t="s">
        <v>12875</v>
      </c>
      <c r="C92" s="122" t="s">
        <v>12876</v>
      </c>
      <c r="D92" s="122" t="s">
        <v>12877</v>
      </c>
      <c r="E92" s="123">
        <v>42233</v>
      </c>
      <c r="F92" s="122" t="s">
        <v>670</v>
      </c>
      <c r="G92" s="122" t="s">
        <v>235</v>
      </c>
      <c r="H92" s="122" t="s">
        <v>12878</v>
      </c>
      <c r="I92" s="122" t="s">
        <v>12879</v>
      </c>
      <c r="K92" s="122" t="s">
        <v>238</v>
      </c>
      <c r="L92" s="122" t="s">
        <v>271</v>
      </c>
      <c r="M92" s="122" t="s">
        <v>1509</v>
      </c>
      <c r="O92" s="141" t="s">
        <v>1055</v>
      </c>
      <c r="P92" s="141" t="s">
        <v>12880</v>
      </c>
      <c r="Q92" s="122" t="s">
        <v>243</v>
      </c>
      <c r="R92" s="142">
        <v>43</v>
      </c>
      <c r="S92" s="122" t="s">
        <v>12881</v>
      </c>
      <c r="U92" s="122" t="s">
        <v>1420</v>
      </c>
      <c r="W92" s="122" t="s">
        <v>246</v>
      </c>
      <c r="X92" s="122" t="s">
        <v>278</v>
      </c>
      <c r="Y92" s="141" t="s">
        <v>248</v>
      </c>
      <c r="Z92" s="122" t="s">
        <v>7719</v>
      </c>
      <c r="AA92" s="141" t="s">
        <v>633</v>
      </c>
      <c r="AB92" s="122" t="s">
        <v>518</v>
      </c>
      <c r="AD92" s="122" t="s">
        <v>250</v>
      </c>
      <c r="AE92" s="122" t="s">
        <v>235</v>
      </c>
      <c r="AF92" s="122" t="s">
        <v>12882</v>
      </c>
      <c r="AG92" s="122" t="s">
        <v>8881</v>
      </c>
      <c r="AH92" s="122" t="s">
        <v>253</v>
      </c>
      <c r="AI92" s="122" t="s">
        <v>12883</v>
      </c>
      <c r="AJ92" s="122" t="s">
        <v>7722</v>
      </c>
      <c r="AK92" s="122" t="s">
        <v>253</v>
      </c>
      <c r="AL92" s="122" t="s">
        <v>253</v>
      </c>
      <c r="AM92" s="122" t="s">
        <v>253</v>
      </c>
      <c r="AN92" s="122" t="s">
        <v>253</v>
      </c>
      <c r="AO92" s="141" t="s">
        <v>247</v>
      </c>
      <c r="AP92" s="141" t="s">
        <v>247</v>
      </c>
      <c r="AQ92" s="141" t="s">
        <v>247</v>
      </c>
      <c r="AR92" s="141" t="s">
        <v>253</v>
      </c>
      <c r="AS92" s="141" t="s">
        <v>601</v>
      </c>
      <c r="AT92" s="141" t="s">
        <v>601</v>
      </c>
      <c r="AU92" s="141" t="s">
        <v>258</v>
      </c>
      <c r="AV92" s="122" t="s">
        <v>259</v>
      </c>
      <c r="AW92" s="122" t="s">
        <v>260</v>
      </c>
      <c r="AY92" s="122" t="s">
        <v>253</v>
      </c>
      <c r="AZ92" s="122" t="s">
        <v>12884</v>
      </c>
      <c r="BA92" s="122" t="s">
        <v>262</v>
      </c>
      <c r="BB92" s="122" t="s">
        <v>262</v>
      </c>
      <c r="BD92" s="122" t="s">
        <v>253</v>
      </c>
      <c r="BE92" s="122" t="s">
        <v>263</v>
      </c>
      <c r="BF92" s="122" t="s">
        <v>1430</v>
      </c>
      <c r="BH92" s="122" t="s">
        <v>1420</v>
      </c>
      <c r="BI92" s="142">
        <v>43</v>
      </c>
      <c r="BJ92" s="123">
        <v>42236</v>
      </c>
      <c r="BK92" s="139" t="s">
        <v>264</v>
      </c>
      <c r="BL92" s="140">
        <v>98.65</v>
      </c>
      <c r="BM92" s="122">
        <v>34</v>
      </c>
    </row>
    <row r="93" spans="1:65" x14ac:dyDescent="0.25">
      <c r="A93" s="122" t="s">
        <v>11880</v>
      </c>
      <c r="B93" s="122" t="s">
        <v>12885</v>
      </c>
      <c r="C93" s="122" t="s">
        <v>12886</v>
      </c>
      <c r="D93" s="122" t="s">
        <v>12887</v>
      </c>
      <c r="E93" s="123">
        <v>42233</v>
      </c>
      <c r="F93" s="122" t="s">
        <v>8188</v>
      </c>
      <c r="G93" s="122" t="s">
        <v>235</v>
      </c>
      <c r="H93" s="122" t="s">
        <v>448</v>
      </c>
      <c r="I93" s="122" t="s">
        <v>12888</v>
      </c>
      <c r="K93" s="122" t="s">
        <v>238</v>
      </c>
      <c r="L93" s="122" t="s">
        <v>388</v>
      </c>
      <c r="M93" s="122" t="s">
        <v>1891</v>
      </c>
      <c r="Q93" s="122" t="s">
        <v>243</v>
      </c>
      <c r="R93" s="142">
        <v>44</v>
      </c>
      <c r="S93" s="122" t="s">
        <v>12889</v>
      </c>
      <c r="U93" s="122" t="s">
        <v>1420</v>
      </c>
      <c r="W93" s="122" t="s">
        <v>246</v>
      </c>
      <c r="X93" s="122" t="s">
        <v>739</v>
      </c>
      <c r="Y93" s="141" t="s">
        <v>888</v>
      </c>
      <c r="Z93" s="122" t="s">
        <v>12890</v>
      </c>
      <c r="AA93" s="141" t="s">
        <v>888</v>
      </c>
      <c r="AB93" s="122" t="s">
        <v>12891</v>
      </c>
      <c r="AC93" s="141" t="s">
        <v>742</v>
      </c>
      <c r="AD93" s="122" t="s">
        <v>12892</v>
      </c>
      <c r="AE93" s="122" t="s">
        <v>235</v>
      </c>
      <c r="AF93" s="122" t="s">
        <v>12893</v>
      </c>
      <c r="AG93" s="122" t="s">
        <v>253</v>
      </c>
      <c r="AH93" s="122" t="s">
        <v>253</v>
      </c>
      <c r="AI93" s="122" t="s">
        <v>12894</v>
      </c>
      <c r="AJ93" s="122" t="s">
        <v>253</v>
      </c>
      <c r="AK93" s="122" t="s">
        <v>253</v>
      </c>
      <c r="AL93" s="122" t="s">
        <v>12895</v>
      </c>
      <c r="AM93" s="122" t="s">
        <v>253</v>
      </c>
      <c r="AN93" s="122" t="s">
        <v>253</v>
      </c>
      <c r="AO93" s="141" t="s">
        <v>247</v>
      </c>
      <c r="AP93" s="141" t="s">
        <v>253</v>
      </c>
      <c r="AQ93" s="141" t="s">
        <v>253</v>
      </c>
      <c r="AR93" s="141" t="s">
        <v>253</v>
      </c>
      <c r="AS93" s="141" t="s">
        <v>601</v>
      </c>
      <c r="AT93" s="141" t="s">
        <v>258</v>
      </c>
      <c r="AU93" s="141" t="s">
        <v>258</v>
      </c>
      <c r="AV93" s="122" t="s">
        <v>259</v>
      </c>
      <c r="AW93" s="122" t="s">
        <v>260</v>
      </c>
      <c r="AX93" s="141" t="s">
        <v>3169</v>
      </c>
      <c r="AY93" s="122" t="s">
        <v>247</v>
      </c>
      <c r="AZ93" s="122" t="s">
        <v>262</v>
      </c>
      <c r="BA93" s="122" t="s">
        <v>12896</v>
      </c>
      <c r="BB93" s="122" t="s">
        <v>262</v>
      </c>
      <c r="BD93" s="122" t="s">
        <v>253</v>
      </c>
      <c r="BE93" s="122" t="s">
        <v>263</v>
      </c>
      <c r="BF93" s="122" t="s">
        <v>1430</v>
      </c>
      <c r="BH93" s="122" t="s">
        <v>1420</v>
      </c>
      <c r="BI93" s="142">
        <v>44</v>
      </c>
    </row>
    <row r="94" spans="1:65" x14ac:dyDescent="0.25">
      <c r="A94" s="122" t="s">
        <v>11880</v>
      </c>
      <c r="B94" s="122" t="s">
        <v>12897</v>
      </c>
      <c r="C94" s="122" t="s">
        <v>12898</v>
      </c>
      <c r="D94" s="122" t="s">
        <v>12899</v>
      </c>
      <c r="E94" s="123">
        <v>42233</v>
      </c>
      <c r="F94" s="122" t="s">
        <v>672</v>
      </c>
      <c r="G94" s="122" t="s">
        <v>235</v>
      </c>
      <c r="H94" s="122" t="s">
        <v>448</v>
      </c>
      <c r="I94" s="122" t="s">
        <v>12900</v>
      </c>
      <c r="K94" s="122" t="s">
        <v>472</v>
      </c>
      <c r="L94" s="122" t="s">
        <v>473</v>
      </c>
      <c r="M94" s="122" t="s">
        <v>1640</v>
      </c>
      <c r="N94" s="122" t="s">
        <v>12901</v>
      </c>
      <c r="O94" s="141" t="s">
        <v>451</v>
      </c>
      <c r="P94" s="141" t="s">
        <v>12902</v>
      </c>
      <c r="Q94" s="122" t="s">
        <v>243</v>
      </c>
      <c r="R94" s="142">
        <v>45</v>
      </c>
      <c r="S94" s="122" t="s">
        <v>12903</v>
      </c>
      <c r="U94" s="122" t="s">
        <v>1420</v>
      </c>
      <c r="W94" s="122" t="s">
        <v>246</v>
      </c>
      <c r="X94" s="122" t="s">
        <v>278</v>
      </c>
      <c r="Y94" s="141" t="s">
        <v>593</v>
      </c>
      <c r="Z94" s="122" t="s">
        <v>3055</v>
      </c>
      <c r="AA94" s="141" t="s">
        <v>742</v>
      </c>
      <c r="AB94" s="122" t="s">
        <v>12904</v>
      </c>
      <c r="AC94" s="141" t="s">
        <v>1698</v>
      </c>
      <c r="AD94" s="122" t="s">
        <v>12905</v>
      </c>
      <c r="AE94" s="122" t="s">
        <v>235</v>
      </c>
      <c r="AF94" s="122" t="s">
        <v>12906</v>
      </c>
      <c r="AG94" s="122" t="s">
        <v>537</v>
      </c>
      <c r="AH94" s="122" t="s">
        <v>253</v>
      </c>
      <c r="AI94" s="122" t="s">
        <v>12907</v>
      </c>
      <c r="AJ94" s="122" t="s">
        <v>12908</v>
      </c>
      <c r="AK94" s="122" t="s">
        <v>253</v>
      </c>
      <c r="AL94" s="122" t="s">
        <v>253</v>
      </c>
      <c r="AM94" s="122" t="s">
        <v>253</v>
      </c>
      <c r="AN94" s="122" t="s">
        <v>253</v>
      </c>
      <c r="AO94" s="141" t="s">
        <v>247</v>
      </c>
      <c r="AP94" s="141" t="s">
        <v>247</v>
      </c>
      <c r="AQ94" s="141" t="s">
        <v>247</v>
      </c>
      <c r="AR94" s="141" t="s">
        <v>247</v>
      </c>
      <c r="AS94" s="141" t="s">
        <v>601</v>
      </c>
      <c r="AT94" s="141" t="s">
        <v>601</v>
      </c>
      <c r="AU94" s="141" t="s">
        <v>601</v>
      </c>
      <c r="AV94" s="122" t="s">
        <v>259</v>
      </c>
      <c r="AW94" s="122" t="s">
        <v>260</v>
      </c>
      <c r="AY94" s="122" t="s">
        <v>253</v>
      </c>
      <c r="AZ94" s="122" t="s">
        <v>262</v>
      </c>
      <c r="BA94" s="122" t="s">
        <v>262</v>
      </c>
      <c r="BB94" s="122" t="s">
        <v>12909</v>
      </c>
      <c r="BD94" s="122" t="s">
        <v>253</v>
      </c>
      <c r="BE94" s="122" t="s">
        <v>263</v>
      </c>
      <c r="BF94" s="122" t="s">
        <v>1430</v>
      </c>
      <c r="BH94" s="122" t="s">
        <v>1420</v>
      </c>
      <c r="BI94" s="142">
        <v>45</v>
      </c>
    </row>
    <row r="95" spans="1:65" x14ac:dyDescent="0.25">
      <c r="A95" s="122" t="s">
        <v>11880</v>
      </c>
      <c r="B95" s="122" t="s">
        <v>12910</v>
      </c>
      <c r="C95" s="122" t="s">
        <v>12911</v>
      </c>
      <c r="D95" s="122" t="s">
        <v>12912</v>
      </c>
      <c r="E95" s="123">
        <v>42233</v>
      </c>
      <c r="F95" s="122" t="s">
        <v>755</v>
      </c>
      <c r="G95" s="122" t="s">
        <v>235</v>
      </c>
      <c r="H95" s="122" t="s">
        <v>12913</v>
      </c>
      <c r="I95" s="122" t="s">
        <v>12914</v>
      </c>
      <c r="J95" s="122" t="s">
        <v>12915</v>
      </c>
      <c r="K95" s="122" t="s">
        <v>238</v>
      </c>
      <c r="L95" s="122" t="s">
        <v>429</v>
      </c>
      <c r="M95" s="122" t="s">
        <v>565</v>
      </c>
      <c r="O95" s="141" t="s">
        <v>299</v>
      </c>
      <c r="P95" s="141" t="s">
        <v>12916</v>
      </c>
      <c r="Q95" s="122" t="s">
        <v>243</v>
      </c>
      <c r="R95" s="142">
        <v>46</v>
      </c>
      <c r="S95" s="122" t="s">
        <v>12917</v>
      </c>
      <c r="U95" s="122" t="s">
        <v>1420</v>
      </c>
      <c r="W95" s="122" t="s">
        <v>246</v>
      </c>
      <c r="X95" s="122" t="s">
        <v>1057</v>
      </c>
      <c r="Y95" s="141" t="s">
        <v>1440</v>
      </c>
      <c r="Z95" s="122" t="s">
        <v>12918</v>
      </c>
      <c r="AA95" s="141" t="s">
        <v>744</v>
      </c>
      <c r="AB95" s="122" t="s">
        <v>12918</v>
      </c>
      <c r="AC95" s="141" t="s">
        <v>5981</v>
      </c>
      <c r="AD95" s="122" t="s">
        <v>12918</v>
      </c>
      <c r="AE95" s="122" t="s">
        <v>235</v>
      </c>
      <c r="AF95" s="122" t="s">
        <v>12919</v>
      </c>
      <c r="AG95" s="122" t="s">
        <v>253</v>
      </c>
      <c r="AH95" s="122" t="s">
        <v>253</v>
      </c>
      <c r="AI95" s="122" t="s">
        <v>12920</v>
      </c>
      <c r="AJ95" s="122" t="s">
        <v>12921</v>
      </c>
      <c r="AK95" s="122" t="s">
        <v>12922</v>
      </c>
      <c r="AL95" s="122" t="s">
        <v>253</v>
      </c>
      <c r="AM95" s="122" t="s">
        <v>253</v>
      </c>
      <c r="AN95" s="122" t="s">
        <v>253</v>
      </c>
      <c r="AO95" s="141" t="s">
        <v>247</v>
      </c>
      <c r="AP95" s="141" t="s">
        <v>253</v>
      </c>
      <c r="AQ95" s="141" t="s">
        <v>247</v>
      </c>
      <c r="AR95" s="141" t="s">
        <v>253</v>
      </c>
      <c r="AS95" s="141" t="s">
        <v>601</v>
      </c>
      <c r="AT95" s="141" t="s">
        <v>601</v>
      </c>
      <c r="AU95" s="141" t="s">
        <v>258</v>
      </c>
      <c r="AV95" s="122" t="s">
        <v>259</v>
      </c>
      <c r="AW95" s="122" t="s">
        <v>260</v>
      </c>
      <c r="AY95" s="122" t="s">
        <v>253</v>
      </c>
      <c r="AZ95" s="122" t="s">
        <v>12923</v>
      </c>
      <c r="BA95" s="122" t="s">
        <v>262</v>
      </c>
      <c r="BB95" s="122" t="s">
        <v>262</v>
      </c>
      <c r="BC95" s="141" t="s">
        <v>312</v>
      </c>
      <c r="BD95" s="122" t="s">
        <v>253</v>
      </c>
      <c r="BE95" s="122" t="s">
        <v>263</v>
      </c>
      <c r="BF95" s="122" t="s">
        <v>1430</v>
      </c>
      <c r="BH95" s="122" t="s">
        <v>1420</v>
      </c>
      <c r="BI95" s="142">
        <v>46</v>
      </c>
    </row>
    <row r="96" spans="1:65" x14ac:dyDescent="0.25">
      <c r="A96" s="122" t="s">
        <v>9904</v>
      </c>
      <c r="B96" s="122" t="s">
        <v>12924</v>
      </c>
      <c r="C96" s="122" t="s">
        <v>12925</v>
      </c>
      <c r="D96" s="122" t="s">
        <v>12926</v>
      </c>
      <c r="E96" s="123">
        <v>42233</v>
      </c>
      <c r="F96" s="122" t="s">
        <v>12927</v>
      </c>
      <c r="G96" s="122" t="s">
        <v>235</v>
      </c>
      <c r="H96" s="122" t="s">
        <v>12928</v>
      </c>
      <c r="I96" s="122" t="s">
        <v>12929</v>
      </c>
      <c r="K96" s="122" t="s">
        <v>238</v>
      </c>
      <c r="L96" s="122" t="s">
        <v>429</v>
      </c>
      <c r="M96" s="122" t="s">
        <v>1525</v>
      </c>
      <c r="Q96" s="122" t="s">
        <v>243</v>
      </c>
      <c r="R96" s="142">
        <v>47</v>
      </c>
      <c r="S96" s="122" t="s">
        <v>12930</v>
      </c>
      <c r="U96" s="122" t="s">
        <v>1420</v>
      </c>
      <c r="W96" s="122" t="s">
        <v>246</v>
      </c>
      <c r="X96" s="122" t="s">
        <v>551</v>
      </c>
      <c r="Y96" s="141" t="s">
        <v>593</v>
      </c>
      <c r="Z96" s="122" t="s">
        <v>12931</v>
      </c>
      <c r="AA96" s="141" t="s">
        <v>417</v>
      </c>
      <c r="AB96" s="122" t="s">
        <v>12932</v>
      </c>
      <c r="AC96" s="141" t="s">
        <v>635</v>
      </c>
      <c r="AD96" s="122" t="s">
        <v>12933</v>
      </c>
      <c r="AE96" s="122" t="s">
        <v>235</v>
      </c>
      <c r="AF96" s="122" t="s">
        <v>12934</v>
      </c>
      <c r="AG96" s="122" t="s">
        <v>537</v>
      </c>
      <c r="AH96" s="122" t="s">
        <v>253</v>
      </c>
      <c r="AI96" s="122" t="s">
        <v>12935</v>
      </c>
      <c r="AJ96" s="122" t="s">
        <v>12936</v>
      </c>
      <c r="AK96" s="122" t="s">
        <v>253</v>
      </c>
      <c r="AL96" s="122" t="s">
        <v>253</v>
      </c>
      <c r="AM96" s="122" t="s">
        <v>253</v>
      </c>
      <c r="AN96" s="122" t="s">
        <v>253</v>
      </c>
      <c r="AO96" s="141" t="s">
        <v>253</v>
      </c>
      <c r="AP96" s="141" t="s">
        <v>253</v>
      </c>
      <c r="AQ96" s="141" t="s">
        <v>247</v>
      </c>
      <c r="AR96" s="141" t="s">
        <v>253</v>
      </c>
      <c r="AS96" s="141" t="s">
        <v>361</v>
      </c>
      <c r="AT96" s="141" t="s">
        <v>601</v>
      </c>
      <c r="AU96" s="141" t="s">
        <v>258</v>
      </c>
      <c r="AV96" s="122" t="s">
        <v>259</v>
      </c>
      <c r="AW96" s="122" t="s">
        <v>260</v>
      </c>
      <c r="AY96" s="122" t="s">
        <v>253</v>
      </c>
      <c r="AZ96" s="122" t="s">
        <v>12937</v>
      </c>
      <c r="BA96" s="122" t="s">
        <v>262</v>
      </c>
      <c r="BB96" s="122" t="s">
        <v>12938</v>
      </c>
      <c r="BD96" s="122" t="s">
        <v>253</v>
      </c>
      <c r="BE96" s="122" t="s">
        <v>263</v>
      </c>
      <c r="BF96" s="122" t="s">
        <v>1430</v>
      </c>
      <c r="BH96" s="122" t="s">
        <v>1420</v>
      </c>
      <c r="BI96" s="142">
        <v>47</v>
      </c>
    </row>
    <row r="97" spans="1:65" x14ac:dyDescent="0.25">
      <c r="A97" s="122" t="s">
        <v>9904</v>
      </c>
      <c r="B97" s="122" t="s">
        <v>12939</v>
      </c>
      <c r="C97" s="122" t="s">
        <v>12940</v>
      </c>
      <c r="D97" s="122" t="s">
        <v>12941</v>
      </c>
      <c r="E97" s="123">
        <v>42233</v>
      </c>
      <c r="F97" s="122" t="s">
        <v>12942</v>
      </c>
      <c r="G97" s="122" t="s">
        <v>235</v>
      </c>
      <c r="H97" s="122" t="s">
        <v>12943</v>
      </c>
      <c r="I97" s="122" t="s">
        <v>12944</v>
      </c>
      <c r="K97" s="122" t="s">
        <v>238</v>
      </c>
      <c r="L97" s="122" t="s">
        <v>271</v>
      </c>
      <c r="M97" s="122" t="s">
        <v>12438</v>
      </c>
      <c r="O97" s="141" t="s">
        <v>2831</v>
      </c>
      <c r="P97" s="141" t="s">
        <v>12945</v>
      </c>
      <c r="Q97" s="122" t="s">
        <v>243</v>
      </c>
      <c r="R97" s="142">
        <v>48</v>
      </c>
      <c r="S97" s="122" t="s">
        <v>12946</v>
      </c>
      <c r="U97" s="122" t="s">
        <v>1420</v>
      </c>
      <c r="W97" s="122" t="s">
        <v>246</v>
      </c>
      <c r="X97" s="122" t="s">
        <v>551</v>
      </c>
      <c r="Y97" s="141" t="s">
        <v>2072</v>
      </c>
      <c r="Z97" s="122" t="s">
        <v>12947</v>
      </c>
      <c r="AA97" s="141" t="s">
        <v>877</v>
      </c>
      <c r="AB97" s="122" t="s">
        <v>12948</v>
      </c>
      <c r="AC97" s="141" t="s">
        <v>6772</v>
      </c>
      <c r="AD97" s="122" t="s">
        <v>12949</v>
      </c>
      <c r="AE97" s="122" t="s">
        <v>235</v>
      </c>
      <c r="AF97" s="122" t="s">
        <v>12950</v>
      </c>
      <c r="AG97" s="122" t="s">
        <v>537</v>
      </c>
      <c r="AH97" s="122" t="s">
        <v>253</v>
      </c>
      <c r="AI97" s="122" t="s">
        <v>2309</v>
      </c>
      <c r="AJ97" s="122" t="s">
        <v>12951</v>
      </c>
      <c r="AK97" s="122" t="s">
        <v>253</v>
      </c>
      <c r="AL97" s="122" t="s">
        <v>253</v>
      </c>
      <c r="AM97" s="122" t="s">
        <v>253</v>
      </c>
      <c r="AN97" s="122" t="s">
        <v>253</v>
      </c>
      <c r="AO97" s="141" t="s">
        <v>253</v>
      </c>
      <c r="AP97" s="141" t="s">
        <v>253</v>
      </c>
      <c r="AQ97" s="141" t="s">
        <v>247</v>
      </c>
      <c r="AR97" s="141" t="s">
        <v>253</v>
      </c>
      <c r="AS97" s="141" t="s">
        <v>361</v>
      </c>
      <c r="AT97" s="141" t="s">
        <v>601</v>
      </c>
      <c r="AU97" s="141" t="s">
        <v>258</v>
      </c>
      <c r="AV97" s="122" t="s">
        <v>259</v>
      </c>
      <c r="AW97" s="122" t="s">
        <v>260</v>
      </c>
      <c r="AY97" s="122" t="s">
        <v>253</v>
      </c>
      <c r="AZ97" s="122" t="s">
        <v>12952</v>
      </c>
      <c r="BA97" s="122" t="s">
        <v>12952</v>
      </c>
      <c r="BB97" s="122" t="s">
        <v>12953</v>
      </c>
      <c r="BC97" s="141" t="s">
        <v>312</v>
      </c>
      <c r="BD97" s="122" t="s">
        <v>253</v>
      </c>
      <c r="BE97" s="122" t="s">
        <v>263</v>
      </c>
      <c r="BF97" s="122" t="s">
        <v>1430</v>
      </c>
      <c r="BH97" s="122" t="s">
        <v>1420</v>
      </c>
      <c r="BI97" s="142">
        <v>48</v>
      </c>
    </row>
    <row r="98" spans="1:65" x14ac:dyDescent="0.25">
      <c r="A98" s="122" t="s">
        <v>9904</v>
      </c>
      <c r="B98" s="122" t="s">
        <v>12954</v>
      </c>
      <c r="C98" s="122" t="s">
        <v>12955</v>
      </c>
      <c r="D98" s="122" t="s">
        <v>12956</v>
      </c>
      <c r="E98" s="123">
        <v>42233</v>
      </c>
      <c r="F98" s="122" t="s">
        <v>3819</v>
      </c>
      <c r="G98" s="122" t="s">
        <v>235</v>
      </c>
      <c r="H98" s="122" t="s">
        <v>448</v>
      </c>
      <c r="I98" s="122" t="s">
        <v>12957</v>
      </c>
      <c r="K98" s="122" t="s">
        <v>238</v>
      </c>
      <c r="L98" s="122" t="s">
        <v>429</v>
      </c>
      <c r="M98" s="122" t="s">
        <v>2084</v>
      </c>
      <c r="O98" s="141" t="s">
        <v>241</v>
      </c>
      <c r="P98" s="141" t="s">
        <v>12958</v>
      </c>
      <c r="Q98" s="122" t="s">
        <v>243</v>
      </c>
      <c r="R98" s="142">
        <v>49</v>
      </c>
      <c r="S98" s="122" t="s">
        <v>12959</v>
      </c>
      <c r="U98" s="122" t="s">
        <v>1420</v>
      </c>
      <c r="W98" s="122" t="s">
        <v>246</v>
      </c>
      <c r="X98" s="122" t="s">
        <v>247</v>
      </c>
      <c r="Y98" s="141" t="s">
        <v>888</v>
      </c>
      <c r="Z98" s="122" t="s">
        <v>1091</v>
      </c>
      <c r="AA98" s="141" t="s">
        <v>2979</v>
      </c>
      <c r="AB98" s="122" t="s">
        <v>8065</v>
      </c>
      <c r="AC98" s="141" t="s">
        <v>633</v>
      </c>
      <c r="AD98" s="122" t="s">
        <v>12960</v>
      </c>
      <c r="AE98" s="122" t="s">
        <v>235</v>
      </c>
      <c r="AF98" s="122" t="s">
        <v>12961</v>
      </c>
      <c r="AG98" s="122" t="s">
        <v>537</v>
      </c>
      <c r="AH98" s="122" t="s">
        <v>253</v>
      </c>
      <c r="AI98" s="122" t="s">
        <v>12962</v>
      </c>
      <c r="AJ98" s="122" t="s">
        <v>12963</v>
      </c>
      <c r="AK98" s="122" t="s">
        <v>253</v>
      </c>
      <c r="AL98" s="122" t="s">
        <v>10608</v>
      </c>
      <c r="AM98" s="122" t="s">
        <v>253</v>
      </c>
      <c r="AN98" s="122" t="s">
        <v>253</v>
      </c>
      <c r="AO98" s="141" t="s">
        <v>247</v>
      </c>
      <c r="AP98" s="141" t="s">
        <v>247</v>
      </c>
      <c r="AQ98" s="141" t="s">
        <v>247</v>
      </c>
      <c r="AR98" s="141" t="s">
        <v>253</v>
      </c>
      <c r="AS98" s="141" t="s">
        <v>601</v>
      </c>
      <c r="AT98" s="141" t="s">
        <v>601</v>
      </c>
      <c r="AU98" s="141" t="s">
        <v>258</v>
      </c>
      <c r="AV98" s="122" t="s">
        <v>259</v>
      </c>
      <c r="AW98" s="122" t="s">
        <v>260</v>
      </c>
      <c r="AX98" s="141" t="s">
        <v>8160</v>
      </c>
      <c r="AY98" s="122" t="s">
        <v>603</v>
      </c>
      <c r="AZ98" s="122" t="s">
        <v>262</v>
      </c>
      <c r="BA98" s="122" t="s">
        <v>262</v>
      </c>
      <c r="BB98" s="122" t="s">
        <v>262</v>
      </c>
      <c r="BC98" s="141" t="s">
        <v>312</v>
      </c>
      <c r="BD98" s="122" t="s">
        <v>253</v>
      </c>
      <c r="BE98" s="122" t="s">
        <v>263</v>
      </c>
      <c r="BF98" s="122" t="s">
        <v>1430</v>
      </c>
      <c r="BH98" s="122" t="s">
        <v>1420</v>
      </c>
      <c r="BI98" s="142">
        <v>49</v>
      </c>
    </row>
    <row r="99" spans="1:65" x14ac:dyDescent="0.25">
      <c r="A99" s="122" t="s">
        <v>9904</v>
      </c>
      <c r="B99" s="122" t="s">
        <v>12964</v>
      </c>
      <c r="C99" s="122" t="s">
        <v>12965</v>
      </c>
      <c r="D99" s="122" t="s">
        <v>12966</v>
      </c>
      <c r="E99" s="123">
        <v>42233</v>
      </c>
      <c r="F99" s="122" t="s">
        <v>234</v>
      </c>
      <c r="G99" s="122" t="s">
        <v>235</v>
      </c>
      <c r="H99" s="122" t="s">
        <v>448</v>
      </c>
      <c r="I99" s="122" t="s">
        <v>12967</v>
      </c>
      <c r="K99" s="122" t="s">
        <v>238</v>
      </c>
      <c r="L99" s="122" t="s">
        <v>388</v>
      </c>
      <c r="M99" s="122" t="s">
        <v>1891</v>
      </c>
      <c r="O99" s="141" t="s">
        <v>566</v>
      </c>
      <c r="P99" s="141" t="s">
        <v>12968</v>
      </c>
      <c r="Q99" s="122" t="s">
        <v>243</v>
      </c>
      <c r="R99" s="142">
        <v>50</v>
      </c>
      <c r="S99" s="122" t="s">
        <v>12969</v>
      </c>
      <c r="U99" s="122" t="s">
        <v>1420</v>
      </c>
      <c r="W99" s="122" t="s">
        <v>246</v>
      </c>
      <c r="X99" s="122" t="s">
        <v>247</v>
      </c>
      <c r="Y99" s="141" t="s">
        <v>404</v>
      </c>
      <c r="Z99" s="122" t="s">
        <v>12970</v>
      </c>
      <c r="AB99" s="122" t="s">
        <v>250</v>
      </c>
      <c r="AD99" s="122" t="s">
        <v>250</v>
      </c>
      <c r="AE99" s="122" t="s">
        <v>235</v>
      </c>
      <c r="AF99" s="122" t="s">
        <v>12971</v>
      </c>
      <c r="AG99" s="122" t="s">
        <v>537</v>
      </c>
      <c r="AH99" s="122" t="s">
        <v>253</v>
      </c>
      <c r="AI99" s="122" t="s">
        <v>12972</v>
      </c>
      <c r="AJ99" s="122" t="s">
        <v>253</v>
      </c>
      <c r="AK99" s="122" t="s">
        <v>253</v>
      </c>
      <c r="AL99" s="122" t="s">
        <v>12973</v>
      </c>
      <c r="AM99" s="122" t="s">
        <v>253</v>
      </c>
      <c r="AN99" s="122" t="s">
        <v>253</v>
      </c>
      <c r="AO99" s="141" t="s">
        <v>247</v>
      </c>
      <c r="AP99" s="141" t="s">
        <v>247</v>
      </c>
      <c r="AQ99" s="141" t="s">
        <v>253</v>
      </c>
      <c r="AR99" s="141" t="s">
        <v>247</v>
      </c>
      <c r="AS99" s="141" t="s">
        <v>601</v>
      </c>
      <c r="AT99" s="141" t="s">
        <v>258</v>
      </c>
      <c r="AU99" s="141" t="s">
        <v>601</v>
      </c>
      <c r="AV99" s="122" t="s">
        <v>259</v>
      </c>
      <c r="AW99" s="122" t="s">
        <v>260</v>
      </c>
      <c r="AX99" s="141" t="s">
        <v>8160</v>
      </c>
      <c r="AY99" s="122" t="s">
        <v>247</v>
      </c>
      <c r="AZ99" s="122" t="s">
        <v>262</v>
      </c>
      <c r="BA99" s="122" t="s">
        <v>262</v>
      </c>
      <c r="BB99" s="122" t="s">
        <v>12974</v>
      </c>
      <c r="BD99" s="122" t="s">
        <v>253</v>
      </c>
      <c r="BE99" s="122" t="s">
        <v>263</v>
      </c>
      <c r="BF99" s="122" t="s">
        <v>1430</v>
      </c>
      <c r="BH99" s="122" t="s">
        <v>1420</v>
      </c>
      <c r="BI99" s="142">
        <v>50</v>
      </c>
    </row>
    <row r="100" spans="1:65" x14ac:dyDescent="0.25">
      <c r="A100" s="122" t="s">
        <v>9904</v>
      </c>
      <c r="B100" s="122" t="s">
        <v>12975</v>
      </c>
      <c r="C100" s="122" t="s">
        <v>12976</v>
      </c>
      <c r="D100" s="122" t="s">
        <v>12977</v>
      </c>
      <c r="E100" s="123">
        <v>42233</v>
      </c>
      <c r="F100" s="122" t="s">
        <v>670</v>
      </c>
      <c r="G100" s="122" t="s">
        <v>235</v>
      </c>
      <c r="H100" s="122" t="s">
        <v>12978</v>
      </c>
      <c r="I100" s="122" t="s">
        <v>12979</v>
      </c>
      <c r="K100" s="122" t="s">
        <v>238</v>
      </c>
      <c r="L100" s="122" t="s">
        <v>429</v>
      </c>
      <c r="M100" s="122" t="s">
        <v>1525</v>
      </c>
      <c r="N100" s="122" t="s">
        <v>12980</v>
      </c>
      <c r="O100" s="141" t="s">
        <v>548</v>
      </c>
      <c r="P100" s="141" t="s">
        <v>12981</v>
      </c>
      <c r="Q100" s="122" t="s">
        <v>243</v>
      </c>
      <c r="R100" s="142">
        <v>51</v>
      </c>
      <c r="S100" s="122" t="s">
        <v>12982</v>
      </c>
      <c r="U100" s="122" t="s">
        <v>1420</v>
      </c>
      <c r="W100" s="122" t="s">
        <v>246</v>
      </c>
      <c r="X100" s="122" t="s">
        <v>1072</v>
      </c>
      <c r="Y100" s="141" t="s">
        <v>1596</v>
      </c>
      <c r="Z100" s="122" t="s">
        <v>1091</v>
      </c>
      <c r="AA100" s="141" t="s">
        <v>417</v>
      </c>
      <c r="AB100" s="122" t="s">
        <v>3489</v>
      </c>
      <c r="AC100" s="141" t="s">
        <v>1738</v>
      </c>
      <c r="AD100" s="122" t="s">
        <v>395</v>
      </c>
      <c r="AE100" s="122" t="s">
        <v>235</v>
      </c>
      <c r="AF100" s="122" t="s">
        <v>12983</v>
      </c>
      <c r="AG100" s="122" t="s">
        <v>537</v>
      </c>
      <c r="AH100" s="122" t="s">
        <v>253</v>
      </c>
      <c r="AI100" s="122" t="s">
        <v>5337</v>
      </c>
      <c r="AJ100" s="122" t="s">
        <v>12984</v>
      </c>
      <c r="AK100" s="122" t="s">
        <v>253</v>
      </c>
      <c r="AL100" s="122" t="s">
        <v>253</v>
      </c>
      <c r="AM100" s="122" t="s">
        <v>253</v>
      </c>
      <c r="AN100" s="122" t="s">
        <v>253</v>
      </c>
      <c r="AO100" s="141" t="s">
        <v>247</v>
      </c>
      <c r="AP100" s="141" t="s">
        <v>247</v>
      </c>
      <c r="AQ100" s="141" t="s">
        <v>253</v>
      </c>
      <c r="AR100" s="141" t="s">
        <v>253</v>
      </c>
      <c r="AS100" s="141" t="s">
        <v>601</v>
      </c>
      <c r="AT100" s="141" t="s">
        <v>258</v>
      </c>
      <c r="AU100" s="141" t="s">
        <v>258</v>
      </c>
      <c r="AV100" s="122" t="s">
        <v>259</v>
      </c>
      <c r="AW100" s="122" t="s">
        <v>260</v>
      </c>
      <c r="AY100" s="122" t="s">
        <v>253</v>
      </c>
      <c r="AZ100" s="122" t="s">
        <v>12985</v>
      </c>
      <c r="BA100" s="122" t="s">
        <v>262</v>
      </c>
      <c r="BB100" s="122" t="s">
        <v>262</v>
      </c>
      <c r="BD100" s="122" t="s">
        <v>253</v>
      </c>
      <c r="BE100" s="122" t="s">
        <v>263</v>
      </c>
      <c r="BF100" s="122" t="s">
        <v>1430</v>
      </c>
      <c r="BH100" s="122" t="s">
        <v>1420</v>
      </c>
      <c r="BI100" s="142">
        <v>51</v>
      </c>
    </row>
    <row r="101" spans="1:65" x14ac:dyDescent="0.25">
      <c r="A101" s="122" t="s">
        <v>9904</v>
      </c>
      <c r="B101" s="122" t="s">
        <v>12986</v>
      </c>
      <c r="C101" s="122" t="s">
        <v>12987</v>
      </c>
      <c r="D101" s="122" t="s">
        <v>12988</v>
      </c>
      <c r="E101" s="123">
        <v>42233</v>
      </c>
      <c r="F101" s="122" t="s">
        <v>330</v>
      </c>
      <c r="G101" s="122" t="s">
        <v>235</v>
      </c>
      <c r="H101" s="122" t="s">
        <v>12989</v>
      </c>
      <c r="I101" s="122" t="s">
        <v>12990</v>
      </c>
      <c r="K101" s="122" t="s">
        <v>238</v>
      </c>
      <c r="L101" s="122" t="s">
        <v>297</v>
      </c>
      <c r="M101" s="122" t="s">
        <v>2496</v>
      </c>
      <c r="N101" s="122" t="s">
        <v>12991</v>
      </c>
      <c r="O101" s="141" t="s">
        <v>566</v>
      </c>
      <c r="P101" s="141" t="s">
        <v>12992</v>
      </c>
      <c r="Q101" s="122" t="s">
        <v>243</v>
      </c>
      <c r="R101" s="142">
        <v>52</v>
      </c>
      <c r="S101" s="122" t="s">
        <v>12993</v>
      </c>
      <c r="U101" s="122" t="s">
        <v>1420</v>
      </c>
      <c r="W101" s="122" t="s">
        <v>246</v>
      </c>
      <c r="X101" s="122" t="s">
        <v>1072</v>
      </c>
      <c r="Y101" s="141" t="s">
        <v>11822</v>
      </c>
      <c r="Z101" s="122" t="s">
        <v>12994</v>
      </c>
      <c r="AA101" s="141" t="s">
        <v>6551</v>
      </c>
      <c r="AB101" s="122" t="s">
        <v>12995</v>
      </c>
      <c r="AC101" s="141" t="s">
        <v>535</v>
      </c>
      <c r="AD101" s="122" t="s">
        <v>1792</v>
      </c>
      <c r="AE101" s="122" t="s">
        <v>235</v>
      </c>
      <c r="AF101" s="122" t="s">
        <v>12996</v>
      </c>
      <c r="AG101" s="122" t="s">
        <v>12997</v>
      </c>
      <c r="AH101" s="122" t="s">
        <v>253</v>
      </c>
      <c r="AI101" s="122" t="s">
        <v>12998</v>
      </c>
      <c r="AJ101" s="122" t="s">
        <v>12999</v>
      </c>
      <c r="AK101" s="122" t="s">
        <v>253</v>
      </c>
      <c r="AL101" s="122" t="s">
        <v>253</v>
      </c>
      <c r="AM101" s="122" t="s">
        <v>253</v>
      </c>
      <c r="AN101" s="122" t="s">
        <v>253</v>
      </c>
      <c r="AO101" s="141" t="s">
        <v>247</v>
      </c>
      <c r="AP101" s="141" t="s">
        <v>247</v>
      </c>
      <c r="AQ101" s="141" t="s">
        <v>247</v>
      </c>
      <c r="AR101" s="141" t="s">
        <v>247</v>
      </c>
      <c r="AS101" s="141" t="s">
        <v>601</v>
      </c>
      <c r="AT101" s="141" t="s">
        <v>601</v>
      </c>
      <c r="AU101" s="141" t="s">
        <v>257</v>
      </c>
      <c r="AV101" s="122" t="s">
        <v>259</v>
      </c>
      <c r="AW101" s="122" t="s">
        <v>260</v>
      </c>
      <c r="AY101" s="122" t="s">
        <v>253</v>
      </c>
      <c r="AZ101" s="122" t="s">
        <v>13000</v>
      </c>
      <c r="BA101" s="122" t="s">
        <v>262</v>
      </c>
      <c r="BB101" s="122" t="s">
        <v>262</v>
      </c>
      <c r="BD101" s="122" t="s">
        <v>253</v>
      </c>
      <c r="BE101" s="122" t="s">
        <v>263</v>
      </c>
      <c r="BF101" s="122" t="s">
        <v>1430</v>
      </c>
      <c r="BH101" s="122" t="s">
        <v>1420</v>
      </c>
      <c r="BI101" s="142">
        <v>52</v>
      </c>
      <c r="BJ101" s="123">
        <v>42238</v>
      </c>
      <c r="BK101" s="139" t="s">
        <v>264</v>
      </c>
      <c r="BL101" s="140">
        <v>112.6</v>
      </c>
      <c r="BM101" s="122">
        <v>34</v>
      </c>
    </row>
    <row r="102" spans="1:65" x14ac:dyDescent="0.25">
      <c r="A102" s="122" t="s">
        <v>9904</v>
      </c>
      <c r="B102" s="122" t="s">
        <v>13001</v>
      </c>
      <c r="C102" s="122" t="s">
        <v>13002</v>
      </c>
      <c r="D102" s="122" t="s">
        <v>13003</v>
      </c>
      <c r="E102" s="123">
        <v>42233</v>
      </c>
      <c r="F102" s="122" t="s">
        <v>13004</v>
      </c>
      <c r="G102" s="122" t="s">
        <v>235</v>
      </c>
      <c r="H102" s="122" t="s">
        <v>13005</v>
      </c>
      <c r="I102" s="122" t="s">
        <v>13006</v>
      </c>
      <c r="K102" s="122" t="s">
        <v>238</v>
      </c>
      <c r="L102" s="122" t="s">
        <v>429</v>
      </c>
      <c r="M102" s="122" t="s">
        <v>1525</v>
      </c>
      <c r="Q102" s="122" t="s">
        <v>243</v>
      </c>
      <c r="R102" s="142">
        <v>53</v>
      </c>
      <c r="S102" s="122" t="s">
        <v>13007</v>
      </c>
      <c r="U102" s="122" t="s">
        <v>1420</v>
      </c>
      <c r="W102" s="122" t="s">
        <v>246</v>
      </c>
      <c r="X102" s="122" t="s">
        <v>1072</v>
      </c>
      <c r="Y102" s="141" t="s">
        <v>404</v>
      </c>
      <c r="Z102" s="122" t="s">
        <v>6610</v>
      </c>
      <c r="AA102" s="141" t="s">
        <v>1209</v>
      </c>
      <c r="AB102" s="122" t="s">
        <v>8051</v>
      </c>
      <c r="AC102" s="141" t="s">
        <v>417</v>
      </c>
      <c r="AD102" s="122" t="s">
        <v>8219</v>
      </c>
      <c r="AE102" s="122" t="s">
        <v>235</v>
      </c>
      <c r="AF102" s="122" t="s">
        <v>8052</v>
      </c>
      <c r="AG102" s="122" t="s">
        <v>537</v>
      </c>
      <c r="AH102" s="122" t="s">
        <v>253</v>
      </c>
      <c r="AI102" s="122" t="s">
        <v>1714</v>
      </c>
      <c r="AJ102" s="122" t="s">
        <v>8053</v>
      </c>
      <c r="AK102" s="122" t="s">
        <v>253</v>
      </c>
      <c r="AL102" s="122" t="s">
        <v>253</v>
      </c>
      <c r="AM102" s="122" t="s">
        <v>253</v>
      </c>
      <c r="AN102" s="122" t="s">
        <v>253</v>
      </c>
      <c r="AO102" s="141" t="s">
        <v>247</v>
      </c>
      <c r="AP102" s="141" t="s">
        <v>253</v>
      </c>
      <c r="AQ102" s="141" t="s">
        <v>253</v>
      </c>
      <c r="AR102" s="141" t="s">
        <v>253</v>
      </c>
      <c r="AS102" s="141" t="s">
        <v>601</v>
      </c>
      <c r="AT102" s="141" t="s">
        <v>258</v>
      </c>
      <c r="AU102" s="141" t="s">
        <v>258</v>
      </c>
      <c r="AV102" s="122" t="s">
        <v>259</v>
      </c>
      <c r="AW102" s="122" t="s">
        <v>260</v>
      </c>
      <c r="AY102" s="122" t="s">
        <v>253</v>
      </c>
      <c r="AZ102" s="122" t="s">
        <v>13008</v>
      </c>
      <c r="BA102" s="122" t="s">
        <v>262</v>
      </c>
      <c r="BB102" s="122" t="s">
        <v>262</v>
      </c>
      <c r="BD102" s="122" t="s">
        <v>253</v>
      </c>
      <c r="BE102" s="122" t="s">
        <v>263</v>
      </c>
      <c r="BF102" s="122" t="s">
        <v>1430</v>
      </c>
      <c r="BH102" s="122" t="s">
        <v>1420</v>
      </c>
      <c r="BI102" s="142">
        <v>53</v>
      </c>
      <c r="BJ102" s="123">
        <v>42237</v>
      </c>
      <c r="BK102" s="139" t="s">
        <v>264</v>
      </c>
      <c r="BL102" s="140">
        <v>94.1</v>
      </c>
      <c r="BM102" s="122">
        <v>34</v>
      </c>
    </row>
    <row r="103" spans="1:65" x14ac:dyDescent="0.25">
      <c r="A103" s="122" t="s">
        <v>9904</v>
      </c>
      <c r="B103" s="122" t="s">
        <v>13009</v>
      </c>
      <c r="C103" s="122" t="s">
        <v>13010</v>
      </c>
      <c r="D103" s="122" t="s">
        <v>13011</v>
      </c>
      <c r="E103" s="123">
        <v>42233</v>
      </c>
      <c r="F103" s="122" t="s">
        <v>13012</v>
      </c>
      <c r="G103" s="122" t="s">
        <v>235</v>
      </c>
      <c r="H103" s="122" t="s">
        <v>13013</v>
      </c>
      <c r="I103" s="122" t="s">
        <v>13014</v>
      </c>
      <c r="K103" s="122" t="s">
        <v>238</v>
      </c>
      <c r="L103" s="122" t="s">
        <v>271</v>
      </c>
      <c r="M103" s="122" t="s">
        <v>2221</v>
      </c>
      <c r="Q103" s="122" t="s">
        <v>243</v>
      </c>
      <c r="R103" s="142">
        <v>54</v>
      </c>
      <c r="S103" s="122" t="s">
        <v>13015</v>
      </c>
      <c r="U103" s="122" t="s">
        <v>1420</v>
      </c>
      <c r="W103" s="122" t="s">
        <v>246</v>
      </c>
      <c r="X103" s="122" t="s">
        <v>1072</v>
      </c>
      <c r="Y103" s="141" t="s">
        <v>888</v>
      </c>
      <c r="Z103" s="122" t="s">
        <v>8219</v>
      </c>
      <c r="AA103" s="141" t="s">
        <v>685</v>
      </c>
      <c r="AB103" s="122" t="s">
        <v>8219</v>
      </c>
      <c r="AC103" s="141" t="s">
        <v>1023</v>
      </c>
      <c r="AD103" s="122" t="s">
        <v>8219</v>
      </c>
      <c r="AE103" s="122" t="s">
        <v>235</v>
      </c>
      <c r="AF103" s="122" t="s">
        <v>10714</v>
      </c>
      <c r="AG103" s="122" t="s">
        <v>537</v>
      </c>
      <c r="AH103" s="122" t="s">
        <v>253</v>
      </c>
      <c r="AI103" s="122" t="s">
        <v>538</v>
      </c>
      <c r="AJ103" s="122" t="s">
        <v>13016</v>
      </c>
      <c r="AK103" s="122" t="s">
        <v>253</v>
      </c>
      <c r="AL103" s="122" t="s">
        <v>253</v>
      </c>
      <c r="AM103" s="122" t="s">
        <v>253</v>
      </c>
      <c r="AN103" s="122" t="s">
        <v>253</v>
      </c>
      <c r="AO103" s="141" t="s">
        <v>247</v>
      </c>
      <c r="AP103" s="141" t="s">
        <v>253</v>
      </c>
      <c r="AQ103" s="141" t="s">
        <v>253</v>
      </c>
      <c r="AR103" s="141" t="s">
        <v>253</v>
      </c>
      <c r="AS103" s="141" t="s">
        <v>601</v>
      </c>
      <c r="AT103" s="141" t="s">
        <v>258</v>
      </c>
      <c r="AU103" s="141" t="s">
        <v>258</v>
      </c>
      <c r="AV103" s="122" t="s">
        <v>259</v>
      </c>
      <c r="AW103" s="122" t="s">
        <v>260</v>
      </c>
      <c r="AY103" s="122" t="s">
        <v>253</v>
      </c>
      <c r="AZ103" s="122" t="s">
        <v>13017</v>
      </c>
      <c r="BA103" s="122" t="s">
        <v>262</v>
      </c>
      <c r="BB103" s="122" t="s">
        <v>262</v>
      </c>
      <c r="BD103" s="122" t="s">
        <v>253</v>
      </c>
      <c r="BE103" s="122" t="s">
        <v>263</v>
      </c>
      <c r="BF103" s="122" t="s">
        <v>1430</v>
      </c>
      <c r="BH103" s="122" t="s">
        <v>1420</v>
      </c>
      <c r="BI103" s="142">
        <v>54</v>
      </c>
      <c r="BJ103" s="123">
        <v>42238</v>
      </c>
      <c r="BK103" s="139" t="s">
        <v>264</v>
      </c>
      <c r="BL103" s="140">
        <v>89.11</v>
      </c>
      <c r="BM103" s="122">
        <v>34</v>
      </c>
    </row>
    <row r="104" spans="1:65" x14ac:dyDescent="0.25">
      <c r="A104" s="122" t="s">
        <v>9904</v>
      </c>
      <c r="B104" s="122" t="s">
        <v>13018</v>
      </c>
      <c r="C104" s="122" t="s">
        <v>13019</v>
      </c>
      <c r="D104" s="122" t="s">
        <v>13020</v>
      </c>
      <c r="E104" s="123">
        <v>42233</v>
      </c>
      <c r="F104" s="122" t="s">
        <v>7036</v>
      </c>
      <c r="G104" s="122" t="s">
        <v>235</v>
      </c>
      <c r="H104" s="122" t="s">
        <v>13021</v>
      </c>
      <c r="I104" s="122" t="s">
        <v>13022</v>
      </c>
      <c r="K104" s="122" t="s">
        <v>238</v>
      </c>
      <c r="L104" s="122" t="s">
        <v>388</v>
      </c>
      <c r="M104" s="122" t="s">
        <v>1891</v>
      </c>
      <c r="N104" s="122" t="s">
        <v>13023</v>
      </c>
      <c r="O104" s="141" t="s">
        <v>2055</v>
      </c>
      <c r="P104" s="141" t="s">
        <v>13024</v>
      </c>
      <c r="Q104" s="122" t="s">
        <v>243</v>
      </c>
      <c r="R104" s="142">
        <v>55</v>
      </c>
      <c r="S104" s="122" t="s">
        <v>13025</v>
      </c>
      <c r="U104" s="122" t="s">
        <v>1420</v>
      </c>
      <c r="W104" s="122" t="s">
        <v>246</v>
      </c>
      <c r="X104" s="122" t="s">
        <v>551</v>
      </c>
      <c r="Y104" s="141" t="s">
        <v>705</v>
      </c>
      <c r="Z104" s="122" t="s">
        <v>13026</v>
      </c>
      <c r="AA104" s="141" t="s">
        <v>1023</v>
      </c>
      <c r="AB104" s="122" t="s">
        <v>13027</v>
      </c>
      <c r="AC104" s="141" t="s">
        <v>1379</v>
      </c>
      <c r="AD104" s="122" t="s">
        <v>13028</v>
      </c>
      <c r="AE104" s="122" t="s">
        <v>235</v>
      </c>
      <c r="AF104" s="122" t="s">
        <v>3650</v>
      </c>
      <c r="AG104" s="122" t="s">
        <v>537</v>
      </c>
      <c r="AH104" s="122" t="s">
        <v>253</v>
      </c>
      <c r="AI104" s="122" t="s">
        <v>13029</v>
      </c>
      <c r="AJ104" s="122" t="s">
        <v>13030</v>
      </c>
      <c r="AK104" s="122" t="s">
        <v>253</v>
      </c>
      <c r="AL104" s="122" t="s">
        <v>253</v>
      </c>
      <c r="AM104" s="122" t="s">
        <v>253</v>
      </c>
      <c r="AN104" s="122" t="s">
        <v>253</v>
      </c>
      <c r="AO104" s="141" t="s">
        <v>247</v>
      </c>
      <c r="AP104" s="141" t="s">
        <v>247</v>
      </c>
      <c r="AQ104" s="141" t="s">
        <v>247</v>
      </c>
      <c r="AR104" s="141" t="s">
        <v>253</v>
      </c>
      <c r="AS104" s="141" t="s">
        <v>601</v>
      </c>
      <c r="AT104" s="141" t="s">
        <v>601</v>
      </c>
      <c r="AU104" s="141" t="s">
        <v>258</v>
      </c>
      <c r="AV104" s="122" t="s">
        <v>259</v>
      </c>
      <c r="AW104" s="122" t="s">
        <v>260</v>
      </c>
      <c r="AY104" s="122" t="s">
        <v>253</v>
      </c>
      <c r="AZ104" s="122" t="s">
        <v>13031</v>
      </c>
      <c r="BA104" s="122" t="s">
        <v>262</v>
      </c>
      <c r="BB104" s="122" t="s">
        <v>262</v>
      </c>
      <c r="BD104" s="122" t="s">
        <v>253</v>
      </c>
      <c r="BE104" s="122" t="s">
        <v>263</v>
      </c>
      <c r="BF104" s="122" t="s">
        <v>1430</v>
      </c>
      <c r="BH104" s="122" t="s">
        <v>1420</v>
      </c>
      <c r="BI104" s="142">
        <v>55</v>
      </c>
    </row>
    <row r="105" spans="1:65" x14ac:dyDescent="0.25">
      <c r="A105" s="122" t="s">
        <v>9904</v>
      </c>
      <c r="B105" s="122" t="s">
        <v>13032</v>
      </c>
      <c r="C105" s="122" t="s">
        <v>13033</v>
      </c>
      <c r="D105" s="122" t="s">
        <v>13034</v>
      </c>
      <c r="E105" s="123">
        <v>42233</v>
      </c>
      <c r="F105" s="122" t="s">
        <v>354</v>
      </c>
      <c r="G105" s="122" t="s">
        <v>235</v>
      </c>
      <c r="H105" s="122" t="s">
        <v>13035</v>
      </c>
      <c r="I105" s="122" t="s">
        <v>1938</v>
      </c>
      <c r="J105" s="122" t="s">
        <v>13036</v>
      </c>
      <c r="K105" s="122" t="s">
        <v>238</v>
      </c>
      <c r="L105" s="122" t="s">
        <v>429</v>
      </c>
      <c r="M105" s="122" t="s">
        <v>779</v>
      </c>
      <c r="O105" s="141" t="s">
        <v>548</v>
      </c>
      <c r="P105" s="141" t="s">
        <v>13037</v>
      </c>
      <c r="Q105" s="122" t="s">
        <v>243</v>
      </c>
      <c r="R105" s="142">
        <v>56</v>
      </c>
      <c r="S105" s="122" t="s">
        <v>13038</v>
      </c>
      <c r="U105" s="122" t="s">
        <v>1420</v>
      </c>
      <c r="W105" s="122" t="s">
        <v>246</v>
      </c>
      <c r="X105" s="122" t="s">
        <v>4409</v>
      </c>
      <c r="Z105" s="122" t="s">
        <v>250</v>
      </c>
      <c r="AB105" s="122" t="s">
        <v>250</v>
      </c>
      <c r="AD105" s="122" t="s">
        <v>250</v>
      </c>
      <c r="AE105" s="122" t="s">
        <v>235</v>
      </c>
      <c r="AF105" s="122" t="s">
        <v>13039</v>
      </c>
      <c r="AG105" s="122" t="s">
        <v>537</v>
      </c>
      <c r="AH105" s="122" t="s">
        <v>253</v>
      </c>
      <c r="AI105" s="122" t="s">
        <v>13040</v>
      </c>
      <c r="AJ105" s="122" t="s">
        <v>13041</v>
      </c>
      <c r="AK105" s="122" t="s">
        <v>253</v>
      </c>
      <c r="AL105" s="122" t="s">
        <v>253</v>
      </c>
      <c r="AM105" s="122" t="s">
        <v>253</v>
      </c>
      <c r="AN105" s="122" t="s">
        <v>253</v>
      </c>
      <c r="AO105" s="141" t="s">
        <v>247</v>
      </c>
      <c r="AP105" s="141" t="s">
        <v>247</v>
      </c>
      <c r="AQ105" s="141" t="s">
        <v>247</v>
      </c>
      <c r="AR105" s="141" t="s">
        <v>247</v>
      </c>
      <c r="AS105" s="141" t="s">
        <v>601</v>
      </c>
      <c r="AT105" s="141" t="s">
        <v>601</v>
      </c>
      <c r="AU105" s="141" t="s">
        <v>601</v>
      </c>
      <c r="AV105" s="122" t="s">
        <v>259</v>
      </c>
      <c r="AW105" s="122" t="s">
        <v>260</v>
      </c>
      <c r="AY105" s="122" t="s">
        <v>253</v>
      </c>
      <c r="AZ105" s="122" t="s">
        <v>13042</v>
      </c>
      <c r="BA105" s="122" t="s">
        <v>262</v>
      </c>
      <c r="BB105" s="122" t="s">
        <v>262</v>
      </c>
      <c r="BD105" s="122" t="s">
        <v>253</v>
      </c>
      <c r="BE105" s="122" t="s">
        <v>263</v>
      </c>
      <c r="BF105" s="122" t="s">
        <v>1430</v>
      </c>
      <c r="BH105" s="122" t="s">
        <v>1420</v>
      </c>
      <c r="BI105" s="142">
        <v>56</v>
      </c>
    </row>
    <row r="106" spans="1:65" x14ac:dyDescent="0.25">
      <c r="A106" s="122" t="s">
        <v>6466</v>
      </c>
      <c r="B106" s="122" t="s">
        <v>13043</v>
      </c>
      <c r="C106" s="122" t="s">
        <v>13044</v>
      </c>
      <c r="D106" s="122" t="s">
        <v>13045</v>
      </c>
      <c r="E106" s="123">
        <v>42233</v>
      </c>
      <c r="F106" s="122" t="s">
        <v>13046</v>
      </c>
      <c r="G106" s="122" t="s">
        <v>235</v>
      </c>
      <c r="H106" s="122" t="s">
        <v>13047</v>
      </c>
      <c r="I106" s="122" t="s">
        <v>13048</v>
      </c>
      <c r="K106" s="122" t="s">
        <v>238</v>
      </c>
      <c r="L106" s="122" t="s">
        <v>271</v>
      </c>
      <c r="M106" s="122" t="s">
        <v>2589</v>
      </c>
      <c r="N106" s="122" t="s">
        <v>13049</v>
      </c>
      <c r="O106" s="141" t="s">
        <v>373</v>
      </c>
      <c r="P106" s="141" t="s">
        <v>13050</v>
      </c>
      <c r="Q106" s="122" t="s">
        <v>243</v>
      </c>
      <c r="R106" s="142">
        <v>57</v>
      </c>
      <c r="S106" s="122" t="s">
        <v>13051</v>
      </c>
      <c r="T106" s="122" t="s">
        <v>13051</v>
      </c>
      <c r="U106" s="122" t="s">
        <v>1420</v>
      </c>
      <c r="W106" s="122" t="s">
        <v>246</v>
      </c>
      <c r="X106" s="122" t="s">
        <v>569</v>
      </c>
      <c r="Y106" s="141" t="s">
        <v>1141</v>
      </c>
      <c r="Z106" s="122" t="s">
        <v>355</v>
      </c>
      <c r="AA106" s="141" t="s">
        <v>248</v>
      </c>
      <c r="AB106" s="122" t="s">
        <v>435</v>
      </c>
      <c r="AC106" s="141" t="s">
        <v>367</v>
      </c>
      <c r="AD106" s="122" t="s">
        <v>13052</v>
      </c>
      <c r="AE106" s="122" t="s">
        <v>235</v>
      </c>
      <c r="AF106" s="122" t="s">
        <v>13053</v>
      </c>
      <c r="AG106" s="122" t="s">
        <v>537</v>
      </c>
      <c r="AH106" s="122" t="s">
        <v>253</v>
      </c>
      <c r="AI106" s="122" t="s">
        <v>13054</v>
      </c>
      <c r="AJ106" s="122" t="s">
        <v>13055</v>
      </c>
      <c r="AK106" s="122" t="s">
        <v>253</v>
      </c>
      <c r="AL106" s="122" t="s">
        <v>253</v>
      </c>
      <c r="AM106" s="122" t="s">
        <v>253</v>
      </c>
      <c r="AN106" s="122" t="s">
        <v>253</v>
      </c>
      <c r="AO106" s="141" t="s">
        <v>253</v>
      </c>
      <c r="AP106" s="141" t="s">
        <v>253</v>
      </c>
      <c r="AQ106" s="141" t="s">
        <v>247</v>
      </c>
      <c r="AR106" s="141" t="s">
        <v>253</v>
      </c>
      <c r="AS106" s="141" t="s">
        <v>361</v>
      </c>
      <c r="AT106" s="141" t="s">
        <v>601</v>
      </c>
      <c r="AU106" s="141" t="s">
        <v>258</v>
      </c>
      <c r="AV106" s="122" t="s">
        <v>259</v>
      </c>
      <c r="AW106" s="122" t="s">
        <v>260</v>
      </c>
      <c r="AY106" s="122" t="s">
        <v>253</v>
      </c>
      <c r="AZ106" s="122" t="s">
        <v>13056</v>
      </c>
      <c r="BA106" s="122" t="s">
        <v>262</v>
      </c>
      <c r="BB106" s="122" t="s">
        <v>262</v>
      </c>
      <c r="BD106" s="122" t="s">
        <v>253</v>
      </c>
      <c r="BE106" s="122" t="s">
        <v>263</v>
      </c>
      <c r="BF106" s="122" t="s">
        <v>1430</v>
      </c>
      <c r="BH106" s="122" t="s">
        <v>1420</v>
      </c>
      <c r="BI106" s="142">
        <v>57</v>
      </c>
    </row>
    <row r="107" spans="1:65" x14ac:dyDescent="0.25">
      <c r="A107" s="122" t="s">
        <v>6466</v>
      </c>
      <c r="B107" s="122" t="s">
        <v>13057</v>
      </c>
      <c r="C107" s="122" t="s">
        <v>13058</v>
      </c>
      <c r="D107" s="122" t="s">
        <v>13059</v>
      </c>
      <c r="E107" s="123">
        <v>42233</v>
      </c>
      <c r="F107" s="122" t="s">
        <v>1125</v>
      </c>
      <c r="G107" s="122" t="s">
        <v>235</v>
      </c>
      <c r="H107" s="122" t="s">
        <v>13060</v>
      </c>
      <c r="I107" s="122" t="s">
        <v>8415</v>
      </c>
      <c r="J107" s="122" t="s">
        <v>5174</v>
      </c>
      <c r="K107" s="122" t="s">
        <v>472</v>
      </c>
      <c r="L107" s="122" t="s">
        <v>473</v>
      </c>
      <c r="M107" s="122" t="s">
        <v>2272</v>
      </c>
      <c r="O107" s="141" t="s">
        <v>273</v>
      </c>
      <c r="P107" s="141" t="s">
        <v>13061</v>
      </c>
      <c r="Q107" s="122" t="s">
        <v>243</v>
      </c>
      <c r="R107" s="142">
        <v>58</v>
      </c>
      <c r="S107" s="122" t="s">
        <v>13062</v>
      </c>
      <c r="U107" s="122" t="s">
        <v>1420</v>
      </c>
      <c r="W107" s="122" t="s">
        <v>246</v>
      </c>
      <c r="X107" s="122" t="s">
        <v>1225</v>
      </c>
      <c r="Z107" s="122" t="s">
        <v>250</v>
      </c>
      <c r="AB107" s="122" t="s">
        <v>250</v>
      </c>
      <c r="AD107" s="122" t="s">
        <v>250</v>
      </c>
      <c r="AE107" s="122" t="s">
        <v>235</v>
      </c>
      <c r="AF107" s="122" t="s">
        <v>13063</v>
      </c>
      <c r="AG107" s="122" t="s">
        <v>537</v>
      </c>
      <c r="AH107" s="122" t="s">
        <v>253</v>
      </c>
      <c r="AI107" s="122" t="s">
        <v>13064</v>
      </c>
      <c r="AJ107" s="122" t="s">
        <v>5312</v>
      </c>
      <c r="AK107" s="122" t="s">
        <v>253</v>
      </c>
      <c r="AL107" s="122" t="s">
        <v>253</v>
      </c>
      <c r="AM107" s="122" t="s">
        <v>253</v>
      </c>
      <c r="AN107" s="122" t="s">
        <v>253</v>
      </c>
      <c r="AO107" s="141" t="s">
        <v>247</v>
      </c>
      <c r="AP107" s="141" t="s">
        <v>247</v>
      </c>
      <c r="AQ107" s="141" t="s">
        <v>247</v>
      </c>
      <c r="AR107" s="141" t="s">
        <v>247</v>
      </c>
      <c r="AS107" s="141" t="s">
        <v>601</v>
      </c>
      <c r="AT107" s="141" t="s">
        <v>601</v>
      </c>
      <c r="AU107" s="141" t="s">
        <v>601</v>
      </c>
      <c r="AV107" s="122" t="s">
        <v>259</v>
      </c>
      <c r="AW107" s="122" t="s">
        <v>260</v>
      </c>
      <c r="AY107" s="122" t="s">
        <v>253</v>
      </c>
      <c r="AZ107" s="122" t="s">
        <v>13065</v>
      </c>
      <c r="BA107" s="122" t="s">
        <v>262</v>
      </c>
      <c r="BB107" s="122" t="s">
        <v>262</v>
      </c>
      <c r="BD107" s="122" t="s">
        <v>253</v>
      </c>
      <c r="BE107" s="122" t="s">
        <v>263</v>
      </c>
      <c r="BF107" s="122" t="s">
        <v>1430</v>
      </c>
      <c r="BH107" s="122" t="s">
        <v>1420</v>
      </c>
      <c r="BI107" s="142">
        <v>58</v>
      </c>
    </row>
    <row r="108" spans="1:65" x14ac:dyDescent="0.25">
      <c r="A108" s="122" t="s">
        <v>6466</v>
      </c>
      <c r="B108" s="122" t="s">
        <v>13066</v>
      </c>
      <c r="C108" s="122" t="s">
        <v>13067</v>
      </c>
      <c r="D108" s="122" t="s">
        <v>13068</v>
      </c>
      <c r="E108" s="123">
        <v>42233</v>
      </c>
      <c r="F108" s="122" t="s">
        <v>685</v>
      </c>
      <c r="G108" s="122" t="s">
        <v>235</v>
      </c>
      <c r="H108" s="122" t="s">
        <v>13069</v>
      </c>
      <c r="I108" s="122" t="s">
        <v>13070</v>
      </c>
      <c r="K108" s="122" t="s">
        <v>238</v>
      </c>
      <c r="L108" s="122" t="s">
        <v>297</v>
      </c>
      <c r="M108" s="122" t="s">
        <v>2205</v>
      </c>
      <c r="Q108" s="122" t="s">
        <v>243</v>
      </c>
      <c r="R108" s="142">
        <v>59</v>
      </c>
      <c r="S108" s="122" t="s">
        <v>13071</v>
      </c>
      <c r="U108" s="122" t="s">
        <v>1420</v>
      </c>
      <c r="W108" s="122" t="s">
        <v>246</v>
      </c>
      <c r="X108" s="122" t="s">
        <v>569</v>
      </c>
      <c r="Y108" s="141" t="s">
        <v>352</v>
      </c>
      <c r="Z108" s="122" t="s">
        <v>11621</v>
      </c>
      <c r="AA108" s="141" t="s">
        <v>685</v>
      </c>
      <c r="AB108" s="122" t="s">
        <v>13072</v>
      </c>
      <c r="AC108" s="141" t="s">
        <v>968</v>
      </c>
      <c r="AD108" s="122" t="s">
        <v>518</v>
      </c>
      <c r="AE108" s="122" t="s">
        <v>235</v>
      </c>
      <c r="AF108" s="122" t="s">
        <v>9320</v>
      </c>
      <c r="AG108" s="122" t="s">
        <v>537</v>
      </c>
      <c r="AH108" s="122" t="s">
        <v>253</v>
      </c>
      <c r="AI108" s="122" t="s">
        <v>12442</v>
      </c>
      <c r="AJ108" s="122" t="s">
        <v>13073</v>
      </c>
      <c r="AK108" s="122" t="s">
        <v>253</v>
      </c>
      <c r="AL108" s="122" t="s">
        <v>253</v>
      </c>
      <c r="AM108" s="122" t="s">
        <v>253</v>
      </c>
      <c r="AN108" s="122" t="s">
        <v>253</v>
      </c>
      <c r="AO108" s="141" t="s">
        <v>247</v>
      </c>
      <c r="AP108" s="141" t="s">
        <v>253</v>
      </c>
      <c r="AQ108" s="141" t="s">
        <v>253</v>
      </c>
      <c r="AR108" s="141" t="s">
        <v>253</v>
      </c>
      <c r="AS108" s="141" t="s">
        <v>601</v>
      </c>
      <c r="AT108" s="141" t="s">
        <v>258</v>
      </c>
      <c r="AU108" s="141" t="s">
        <v>258</v>
      </c>
      <c r="AV108" s="122" t="s">
        <v>259</v>
      </c>
      <c r="AW108" s="122" t="s">
        <v>260</v>
      </c>
      <c r="AY108" s="122" t="s">
        <v>253</v>
      </c>
      <c r="AZ108" s="122" t="s">
        <v>13074</v>
      </c>
      <c r="BA108" s="122" t="s">
        <v>13075</v>
      </c>
      <c r="BB108" s="122" t="s">
        <v>13075</v>
      </c>
      <c r="BD108" s="122" t="s">
        <v>253</v>
      </c>
      <c r="BE108" s="122" t="s">
        <v>263</v>
      </c>
      <c r="BF108" s="122" t="s">
        <v>1430</v>
      </c>
      <c r="BH108" s="122" t="s">
        <v>1420</v>
      </c>
      <c r="BI108" s="142">
        <v>59</v>
      </c>
    </row>
    <row r="109" spans="1:65" x14ac:dyDescent="0.25">
      <c r="A109" s="122" t="s">
        <v>6466</v>
      </c>
      <c r="B109" s="122" t="s">
        <v>13076</v>
      </c>
      <c r="C109" s="122" t="s">
        <v>13077</v>
      </c>
      <c r="D109" s="122" t="s">
        <v>13078</v>
      </c>
      <c r="E109" s="123">
        <v>42233</v>
      </c>
      <c r="F109" s="122" t="s">
        <v>1762</v>
      </c>
      <c r="G109" s="122" t="s">
        <v>235</v>
      </c>
      <c r="H109" s="122" t="s">
        <v>448</v>
      </c>
      <c r="I109" s="122" t="s">
        <v>13079</v>
      </c>
      <c r="K109" s="122" t="s">
        <v>238</v>
      </c>
      <c r="L109" s="122" t="s">
        <v>429</v>
      </c>
      <c r="M109" s="122" t="s">
        <v>430</v>
      </c>
      <c r="O109" s="141" t="s">
        <v>451</v>
      </c>
      <c r="P109" s="141" t="s">
        <v>13080</v>
      </c>
      <c r="Q109" s="122" t="s">
        <v>243</v>
      </c>
      <c r="R109" s="142">
        <v>60</v>
      </c>
      <c r="S109" s="122" t="s">
        <v>13081</v>
      </c>
      <c r="U109" s="122" t="s">
        <v>1420</v>
      </c>
      <c r="W109" s="122" t="s">
        <v>246</v>
      </c>
      <c r="X109" s="122" t="s">
        <v>569</v>
      </c>
      <c r="Y109" s="141" t="s">
        <v>578</v>
      </c>
      <c r="Z109" s="122" t="s">
        <v>13082</v>
      </c>
      <c r="AA109" s="141" t="s">
        <v>2804</v>
      </c>
      <c r="AB109" s="122" t="s">
        <v>13083</v>
      </c>
      <c r="AD109" s="122" t="s">
        <v>250</v>
      </c>
      <c r="AE109" s="122" t="s">
        <v>235</v>
      </c>
      <c r="AF109" s="122" t="s">
        <v>13084</v>
      </c>
      <c r="AG109" s="122" t="s">
        <v>747</v>
      </c>
      <c r="AH109" s="122" t="s">
        <v>253</v>
      </c>
      <c r="AI109" s="122" t="s">
        <v>13085</v>
      </c>
      <c r="AJ109" s="122" t="s">
        <v>13086</v>
      </c>
      <c r="AK109" s="122" t="s">
        <v>253</v>
      </c>
      <c r="AL109" s="122" t="s">
        <v>253</v>
      </c>
      <c r="AM109" s="122" t="s">
        <v>253</v>
      </c>
      <c r="AN109" s="122" t="s">
        <v>253</v>
      </c>
      <c r="AO109" s="141" t="s">
        <v>247</v>
      </c>
      <c r="AP109" s="141" t="s">
        <v>247</v>
      </c>
      <c r="AQ109" s="141" t="s">
        <v>247</v>
      </c>
      <c r="AR109" s="141" t="s">
        <v>247</v>
      </c>
      <c r="AS109" s="141" t="s">
        <v>601</v>
      </c>
      <c r="AT109" s="141" t="s">
        <v>601</v>
      </c>
      <c r="AU109" s="141" t="s">
        <v>601</v>
      </c>
      <c r="AV109" s="122" t="s">
        <v>259</v>
      </c>
      <c r="AW109" s="122" t="s">
        <v>260</v>
      </c>
      <c r="AX109" s="141" t="s">
        <v>7222</v>
      </c>
      <c r="AY109" s="122" t="s">
        <v>603</v>
      </c>
      <c r="AZ109" s="122" t="s">
        <v>262</v>
      </c>
      <c r="BA109" s="122" t="s">
        <v>262</v>
      </c>
      <c r="BB109" s="122" t="s">
        <v>262</v>
      </c>
      <c r="BD109" s="122" t="s">
        <v>253</v>
      </c>
      <c r="BE109" s="122" t="s">
        <v>263</v>
      </c>
      <c r="BF109" s="122" t="s">
        <v>1430</v>
      </c>
      <c r="BH109" s="122" t="s">
        <v>1420</v>
      </c>
      <c r="BI109" s="142">
        <v>60</v>
      </c>
    </row>
    <row r="110" spans="1:65" x14ac:dyDescent="0.25">
      <c r="A110" s="122" t="s">
        <v>6466</v>
      </c>
      <c r="B110" s="122" t="s">
        <v>13087</v>
      </c>
      <c r="C110" s="122" t="s">
        <v>13088</v>
      </c>
      <c r="D110" s="122" t="s">
        <v>13089</v>
      </c>
      <c r="E110" s="123">
        <v>42233</v>
      </c>
      <c r="F110" s="122" t="s">
        <v>13090</v>
      </c>
      <c r="G110" s="122" t="s">
        <v>235</v>
      </c>
      <c r="H110" s="122" t="s">
        <v>13091</v>
      </c>
      <c r="I110" s="122" t="s">
        <v>13092</v>
      </c>
      <c r="K110" s="122" t="s">
        <v>238</v>
      </c>
      <c r="L110" s="122" t="s">
        <v>429</v>
      </c>
      <c r="M110" s="122" t="s">
        <v>430</v>
      </c>
      <c r="O110" s="141" t="s">
        <v>299</v>
      </c>
      <c r="P110" s="141" t="s">
        <v>13093</v>
      </c>
      <c r="Q110" s="122" t="s">
        <v>243</v>
      </c>
      <c r="R110" s="142">
        <v>61</v>
      </c>
      <c r="S110" s="122" t="s">
        <v>13094</v>
      </c>
      <c r="U110" s="122" t="s">
        <v>1420</v>
      </c>
      <c r="W110" s="122" t="s">
        <v>246</v>
      </c>
      <c r="X110" s="122" t="s">
        <v>3147</v>
      </c>
      <c r="Y110" s="141" t="s">
        <v>304</v>
      </c>
      <c r="Z110" s="122" t="s">
        <v>2929</v>
      </c>
      <c r="AA110" s="141" t="s">
        <v>281</v>
      </c>
      <c r="AB110" s="122" t="s">
        <v>2929</v>
      </c>
      <c r="AC110" s="141" t="s">
        <v>1398</v>
      </c>
      <c r="AD110" s="122" t="s">
        <v>2929</v>
      </c>
      <c r="AE110" s="122" t="s">
        <v>235</v>
      </c>
      <c r="AF110" s="122" t="s">
        <v>13095</v>
      </c>
      <c r="AG110" s="122" t="s">
        <v>537</v>
      </c>
      <c r="AH110" s="122" t="s">
        <v>253</v>
      </c>
      <c r="AI110" s="122" t="s">
        <v>1715</v>
      </c>
      <c r="AJ110" s="122" t="s">
        <v>2931</v>
      </c>
      <c r="AK110" s="122" t="s">
        <v>253</v>
      </c>
      <c r="AL110" s="122" t="s">
        <v>253</v>
      </c>
      <c r="AM110" s="122" t="s">
        <v>253</v>
      </c>
      <c r="AN110" s="122" t="s">
        <v>253</v>
      </c>
      <c r="AO110" s="141" t="s">
        <v>247</v>
      </c>
      <c r="AP110" s="141" t="s">
        <v>253</v>
      </c>
      <c r="AQ110" s="141" t="s">
        <v>253</v>
      </c>
      <c r="AR110" s="141" t="s">
        <v>253</v>
      </c>
      <c r="AS110" s="141" t="s">
        <v>601</v>
      </c>
      <c r="AT110" s="141" t="s">
        <v>258</v>
      </c>
      <c r="AU110" s="141" t="s">
        <v>258</v>
      </c>
      <c r="AV110" s="122" t="s">
        <v>259</v>
      </c>
      <c r="AW110" s="122" t="s">
        <v>260</v>
      </c>
      <c r="AY110" s="122" t="s">
        <v>253</v>
      </c>
      <c r="AZ110" s="122" t="s">
        <v>13096</v>
      </c>
      <c r="BA110" s="122" t="s">
        <v>262</v>
      </c>
      <c r="BB110" s="122" t="s">
        <v>262</v>
      </c>
      <c r="BC110" s="141" t="s">
        <v>312</v>
      </c>
      <c r="BD110" s="122" t="s">
        <v>253</v>
      </c>
      <c r="BE110" s="122" t="s">
        <v>263</v>
      </c>
      <c r="BF110" s="122" t="s">
        <v>1430</v>
      </c>
      <c r="BH110" s="122" t="s">
        <v>1420</v>
      </c>
      <c r="BI110" s="142">
        <v>61</v>
      </c>
      <c r="BJ110" s="123">
        <v>42238</v>
      </c>
      <c r="BK110" s="139" t="s">
        <v>264</v>
      </c>
      <c r="BL110" s="140">
        <v>268.35000000000002</v>
      </c>
      <c r="BM110" s="122">
        <v>34</v>
      </c>
    </row>
    <row r="111" spans="1:65" x14ac:dyDescent="0.25">
      <c r="A111" s="122" t="s">
        <v>6466</v>
      </c>
      <c r="B111" s="122" t="s">
        <v>13097</v>
      </c>
      <c r="C111" s="122" t="s">
        <v>13098</v>
      </c>
      <c r="D111" s="122" t="s">
        <v>13099</v>
      </c>
      <c r="E111" s="123">
        <v>42233</v>
      </c>
      <c r="F111" s="122" t="s">
        <v>478</v>
      </c>
      <c r="G111" s="122" t="s">
        <v>235</v>
      </c>
      <c r="H111" s="122" t="s">
        <v>13100</v>
      </c>
      <c r="I111" s="122" t="s">
        <v>13101</v>
      </c>
      <c r="K111" s="122" t="s">
        <v>238</v>
      </c>
      <c r="L111" s="122" t="s">
        <v>297</v>
      </c>
      <c r="M111" s="122" t="s">
        <v>2481</v>
      </c>
      <c r="O111" s="141" t="s">
        <v>373</v>
      </c>
      <c r="P111" s="141" t="s">
        <v>13102</v>
      </c>
      <c r="Q111" s="122" t="s">
        <v>243</v>
      </c>
      <c r="R111" s="142">
        <v>62</v>
      </c>
      <c r="S111" s="122" t="s">
        <v>13103</v>
      </c>
      <c r="U111" s="122" t="s">
        <v>1420</v>
      </c>
      <c r="W111" s="122" t="s">
        <v>246</v>
      </c>
      <c r="X111" s="122" t="s">
        <v>1225</v>
      </c>
      <c r="Y111" s="141" t="s">
        <v>595</v>
      </c>
      <c r="Z111" s="122" t="s">
        <v>518</v>
      </c>
      <c r="AA111" s="141" t="s">
        <v>1969</v>
      </c>
      <c r="AB111" s="122" t="s">
        <v>818</v>
      </c>
      <c r="AC111" s="141" t="s">
        <v>459</v>
      </c>
      <c r="AD111" s="122" t="s">
        <v>395</v>
      </c>
      <c r="AE111" s="122" t="s">
        <v>235</v>
      </c>
      <c r="AF111" s="122" t="s">
        <v>13104</v>
      </c>
      <c r="AG111" s="122" t="s">
        <v>537</v>
      </c>
      <c r="AH111" s="122" t="s">
        <v>253</v>
      </c>
      <c r="AI111" s="122" t="s">
        <v>1795</v>
      </c>
      <c r="AJ111" s="122" t="s">
        <v>13105</v>
      </c>
      <c r="AK111" s="122" t="s">
        <v>253</v>
      </c>
      <c r="AL111" s="122" t="s">
        <v>253</v>
      </c>
      <c r="AM111" s="122" t="s">
        <v>253</v>
      </c>
      <c r="AN111" s="122" t="s">
        <v>253</v>
      </c>
      <c r="AO111" s="141" t="s">
        <v>253</v>
      </c>
      <c r="AP111" s="141" t="s">
        <v>253</v>
      </c>
      <c r="AQ111" s="141" t="s">
        <v>247</v>
      </c>
      <c r="AR111" s="141" t="s">
        <v>253</v>
      </c>
      <c r="AS111" s="141" t="s">
        <v>361</v>
      </c>
      <c r="AT111" s="141" t="s">
        <v>601</v>
      </c>
      <c r="AU111" s="141" t="s">
        <v>258</v>
      </c>
      <c r="AV111" s="122" t="s">
        <v>259</v>
      </c>
      <c r="AW111" s="122" t="s">
        <v>260</v>
      </c>
      <c r="AY111" s="122" t="s">
        <v>253</v>
      </c>
      <c r="AZ111" s="122" t="s">
        <v>13106</v>
      </c>
      <c r="BA111" s="122" t="s">
        <v>262</v>
      </c>
      <c r="BB111" s="122" t="s">
        <v>262</v>
      </c>
      <c r="BD111" s="122" t="s">
        <v>253</v>
      </c>
      <c r="BE111" s="122" t="s">
        <v>263</v>
      </c>
      <c r="BF111" s="122" t="s">
        <v>1430</v>
      </c>
      <c r="BH111" s="122" t="s">
        <v>1420</v>
      </c>
      <c r="BI111" s="142">
        <v>62</v>
      </c>
    </row>
    <row r="112" spans="1:65" x14ac:dyDescent="0.25">
      <c r="A112" s="122" t="s">
        <v>6466</v>
      </c>
      <c r="B112" s="122" t="s">
        <v>13107</v>
      </c>
      <c r="C112" s="122" t="s">
        <v>13108</v>
      </c>
      <c r="D112" s="122" t="s">
        <v>13109</v>
      </c>
      <c r="E112" s="123">
        <v>42233</v>
      </c>
      <c r="F112" s="122" t="s">
        <v>13110</v>
      </c>
      <c r="G112" s="122" t="s">
        <v>235</v>
      </c>
      <c r="H112" s="122" t="s">
        <v>13111</v>
      </c>
      <c r="I112" s="122" t="s">
        <v>13112</v>
      </c>
      <c r="K112" s="122" t="s">
        <v>238</v>
      </c>
      <c r="L112" s="122" t="s">
        <v>388</v>
      </c>
      <c r="M112" s="122" t="s">
        <v>7161</v>
      </c>
      <c r="O112" s="141" t="s">
        <v>1562</v>
      </c>
      <c r="P112" s="141" t="s">
        <v>13113</v>
      </c>
      <c r="Q112" s="122" t="s">
        <v>243</v>
      </c>
      <c r="R112" s="142">
        <v>63</v>
      </c>
      <c r="S112" s="122" t="s">
        <v>13114</v>
      </c>
      <c r="U112" s="122" t="s">
        <v>1420</v>
      </c>
      <c r="W112" s="122" t="s">
        <v>246</v>
      </c>
      <c r="X112" s="122" t="s">
        <v>569</v>
      </c>
      <c r="Y112" s="141" t="s">
        <v>1440</v>
      </c>
      <c r="Z112" s="122" t="s">
        <v>706</v>
      </c>
      <c r="AA112" s="141" t="s">
        <v>1498</v>
      </c>
      <c r="AB112" s="122" t="s">
        <v>11307</v>
      </c>
      <c r="AC112" s="141" t="s">
        <v>2250</v>
      </c>
      <c r="AD112" s="122" t="s">
        <v>13115</v>
      </c>
      <c r="AE112" s="122" t="s">
        <v>235</v>
      </c>
      <c r="AF112" s="122" t="s">
        <v>5326</v>
      </c>
      <c r="AG112" s="122" t="s">
        <v>537</v>
      </c>
      <c r="AH112" s="122" t="s">
        <v>253</v>
      </c>
      <c r="AI112" s="122" t="s">
        <v>3812</v>
      </c>
      <c r="AJ112" s="122" t="s">
        <v>710</v>
      </c>
      <c r="AK112" s="122" t="s">
        <v>253</v>
      </c>
      <c r="AL112" s="122" t="s">
        <v>253</v>
      </c>
      <c r="AM112" s="122" t="s">
        <v>253</v>
      </c>
      <c r="AN112" s="122" t="s">
        <v>253</v>
      </c>
      <c r="AO112" s="141" t="s">
        <v>253</v>
      </c>
      <c r="AP112" s="141" t="s">
        <v>253</v>
      </c>
      <c r="AQ112" s="141" t="s">
        <v>247</v>
      </c>
      <c r="AR112" s="141" t="s">
        <v>253</v>
      </c>
      <c r="AS112" s="141" t="s">
        <v>361</v>
      </c>
      <c r="AT112" s="141" t="s">
        <v>601</v>
      </c>
      <c r="AU112" s="141" t="s">
        <v>258</v>
      </c>
      <c r="AV112" s="122" t="s">
        <v>259</v>
      </c>
      <c r="AW112" s="122" t="s">
        <v>260</v>
      </c>
      <c r="AY112" s="122" t="s">
        <v>253</v>
      </c>
      <c r="AZ112" s="122" t="s">
        <v>13116</v>
      </c>
      <c r="BA112" s="122" t="s">
        <v>262</v>
      </c>
      <c r="BB112" s="122" t="s">
        <v>262</v>
      </c>
      <c r="BC112" s="141" t="s">
        <v>312</v>
      </c>
      <c r="BD112" s="122" t="s">
        <v>253</v>
      </c>
      <c r="BE112" s="122" t="s">
        <v>263</v>
      </c>
      <c r="BF112" s="122" t="s">
        <v>1430</v>
      </c>
      <c r="BH112" s="122" t="s">
        <v>1420</v>
      </c>
      <c r="BI112" s="142">
        <v>63</v>
      </c>
      <c r="BJ112" s="123">
        <v>42235</v>
      </c>
      <c r="BK112" s="139" t="s">
        <v>264</v>
      </c>
      <c r="BL112" s="140">
        <v>100</v>
      </c>
      <c r="BM112" s="122">
        <v>34</v>
      </c>
    </row>
    <row r="113" spans="1:65" x14ac:dyDescent="0.25">
      <c r="A113" s="122" t="s">
        <v>6466</v>
      </c>
      <c r="B113" s="122" t="s">
        <v>13117</v>
      </c>
      <c r="C113" s="122" t="s">
        <v>13118</v>
      </c>
      <c r="D113" s="122" t="s">
        <v>13119</v>
      </c>
      <c r="E113" s="123">
        <v>42233</v>
      </c>
      <c r="F113" s="122" t="s">
        <v>13120</v>
      </c>
      <c r="G113" s="122" t="s">
        <v>235</v>
      </c>
      <c r="H113" s="122" t="s">
        <v>13121</v>
      </c>
      <c r="I113" s="122" t="s">
        <v>7451</v>
      </c>
      <c r="J113" s="122" t="s">
        <v>13122</v>
      </c>
      <c r="K113" s="122" t="s">
        <v>238</v>
      </c>
      <c r="L113" s="122" t="s">
        <v>271</v>
      </c>
      <c r="M113" s="122" t="s">
        <v>2441</v>
      </c>
      <c r="O113" s="141" t="s">
        <v>299</v>
      </c>
      <c r="P113" s="141" t="s">
        <v>13123</v>
      </c>
      <c r="Q113" s="122" t="s">
        <v>243</v>
      </c>
      <c r="R113" s="142">
        <v>64</v>
      </c>
      <c r="S113" s="122" t="s">
        <v>13124</v>
      </c>
      <c r="U113" s="122" t="s">
        <v>1420</v>
      </c>
      <c r="W113" s="122" t="s">
        <v>246</v>
      </c>
      <c r="X113" s="122" t="s">
        <v>569</v>
      </c>
      <c r="Y113" s="141" t="s">
        <v>6551</v>
      </c>
      <c r="Z113" s="122" t="s">
        <v>13125</v>
      </c>
      <c r="AA113" s="141" t="s">
        <v>478</v>
      </c>
      <c r="AB113" s="122" t="s">
        <v>13126</v>
      </c>
      <c r="AC113" s="141" t="s">
        <v>3574</v>
      </c>
      <c r="AD113" s="122" t="s">
        <v>13127</v>
      </c>
      <c r="AE113" s="122" t="s">
        <v>235</v>
      </c>
      <c r="AF113" s="122" t="s">
        <v>13128</v>
      </c>
      <c r="AG113" s="122" t="s">
        <v>537</v>
      </c>
      <c r="AH113" s="122" t="s">
        <v>253</v>
      </c>
      <c r="AI113" s="122" t="s">
        <v>13129</v>
      </c>
      <c r="AJ113" s="122" t="s">
        <v>13130</v>
      </c>
      <c r="AK113" s="122" t="s">
        <v>253</v>
      </c>
      <c r="AL113" s="122" t="s">
        <v>253</v>
      </c>
      <c r="AM113" s="122" t="s">
        <v>253</v>
      </c>
      <c r="AN113" s="122" t="s">
        <v>253</v>
      </c>
      <c r="AO113" s="141" t="s">
        <v>247</v>
      </c>
      <c r="AP113" s="141" t="s">
        <v>247</v>
      </c>
      <c r="AQ113" s="141" t="s">
        <v>247</v>
      </c>
      <c r="AR113" s="141" t="s">
        <v>253</v>
      </c>
      <c r="AS113" s="141" t="s">
        <v>601</v>
      </c>
      <c r="AT113" s="141" t="s">
        <v>601</v>
      </c>
      <c r="AU113" s="141" t="s">
        <v>258</v>
      </c>
      <c r="AV113" s="122" t="s">
        <v>259</v>
      </c>
      <c r="AW113" s="122" t="s">
        <v>260</v>
      </c>
      <c r="AY113" s="122" t="s">
        <v>253</v>
      </c>
      <c r="AZ113" s="122" t="s">
        <v>13131</v>
      </c>
      <c r="BA113" s="122" t="s">
        <v>262</v>
      </c>
      <c r="BB113" s="122" t="s">
        <v>262</v>
      </c>
      <c r="BC113" s="141" t="s">
        <v>312</v>
      </c>
      <c r="BD113" s="122" t="s">
        <v>253</v>
      </c>
      <c r="BE113" s="122" t="s">
        <v>263</v>
      </c>
      <c r="BF113" s="122" t="s">
        <v>1430</v>
      </c>
      <c r="BH113" s="122" t="s">
        <v>1420</v>
      </c>
      <c r="BI113" s="142">
        <v>64</v>
      </c>
      <c r="BJ113" s="123">
        <v>42236</v>
      </c>
      <c r="BK113" s="139" t="s">
        <v>264</v>
      </c>
      <c r="BL113" s="140">
        <v>136.09</v>
      </c>
      <c r="BM113" s="122">
        <v>34</v>
      </c>
    </row>
    <row r="114" spans="1:65" x14ac:dyDescent="0.25">
      <c r="A114" s="122" t="s">
        <v>6466</v>
      </c>
      <c r="B114" s="122" t="s">
        <v>13132</v>
      </c>
      <c r="C114" s="122" t="s">
        <v>13133</v>
      </c>
      <c r="D114" s="122" t="s">
        <v>13134</v>
      </c>
      <c r="E114" s="123">
        <v>42233</v>
      </c>
      <c r="F114" s="122" t="s">
        <v>5523</v>
      </c>
      <c r="G114" s="122" t="s">
        <v>235</v>
      </c>
      <c r="H114" s="122" t="s">
        <v>448</v>
      </c>
      <c r="I114" s="122" t="s">
        <v>13135</v>
      </c>
      <c r="K114" s="122" t="s">
        <v>238</v>
      </c>
      <c r="L114" s="122" t="s">
        <v>388</v>
      </c>
      <c r="M114" s="122" t="s">
        <v>2237</v>
      </c>
      <c r="O114" s="141" t="s">
        <v>665</v>
      </c>
      <c r="P114" s="141" t="s">
        <v>13136</v>
      </c>
      <c r="Q114" s="122" t="s">
        <v>243</v>
      </c>
      <c r="R114" s="142">
        <v>65</v>
      </c>
      <c r="S114" s="122" t="s">
        <v>13137</v>
      </c>
      <c r="U114" s="122" t="s">
        <v>1420</v>
      </c>
      <c r="W114" s="122" t="s">
        <v>246</v>
      </c>
      <c r="X114" s="122" t="s">
        <v>3147</v>
      </c>
      <c r="Y114" s="141" t="s">
        <v>593</v>
      </c>
      <c r="Z114" s="122" t="s">
        <v>13138</v>
      </c>
      <c r="AA114" s="141" t="s">
        <v>1896</v>
      </c>
      <c r="AB114" s="122" t="s">
        <v>13139</v>
      </c>
      <c r="AC114" s="141" t="s">
        <v>744</v>
      </c>
      <c r="AD114" s="122" t="s">
        <v>13140</v>
      </c>
      <c r="AE114" s="122" t="s">
        <v>235</v>
      </c>
      <c r="AF114" s="122" t="s">
        <v>13141</v>
      </c>
      <c r="AG114" s="122" t="s">
        <v>537</v>
      </c>
      <c r="AH114" s="122" t="s">
        <v>253</v>
      </c>
      <c r="AI114" s="122" t="s">
        <v>13142</v>
      </c>
      <c r="AJ114" s="122" t="s">
        <v>13143</v>
      </c>
      <c r="AK114" s="122" t="s">
        <v>253</v>
      </c>
      <c r="AL114" s="122" t="s">
        <v>253</v>
      </c>
      <c r="AM114" s="122" t="s">
        <v>253</v>
      </c>
      <c r="AN114" s="122" t="s">
        <v>253</v>
      </c>
      <c r="AO114" s="141" t="s">
        <v>247</v>
      </c>
      <c r="AP114" s="141" t="s">
        <v>247</v>
      </c>
      <c r="AQ114" s="141" t="s">
        <v>247</v>
      </c>
      <c r="AR114" s="141" t="s">
        <v>247</v>
      </c>
      <c r="AS114" s="141" t="s">
        <v>601</v>
      </c>
      <c r="AT114" s="141" t="s">
        <v>601</v>
      </c>
      <c r="AU114" s="141" t="s">
        <v>601</v>
      </c>
      <c r="AV114" s="122" t="s">
        <v>259</v>
      </c>
      <c r="AW114" s="122" t="s">
        <v>260</v>
      </c>
      <c r="AY114" s="122" t="s">
        <v>253</v>
      </c>
      <c r="AZ114" s="122" t="s">
        <v>262</v>
      </c>
      <c r="BA114" s="122" t="s">
        <v>262</v>
      </c>
      <c r="BB114" s="122" t="s">
        <v>13144</v>
      </c>
      <c r="BD114" s="122" t="s">
        <v>253</v>
      </c>
      <c r="BE114" s="122" t="s">
        <v>263</v>
      </c>
      <c r="BF114" s="122" t="s">
        <v>1430</v>
      </c>
      <c r="BH114" s="122" t="s">
        <v>1420</v>
      </c>
      <c r="BI114" s="142">
        <v>65</v>
      </c>
    </row>
    <row r="115" spans="1:65" x14ac:dyDescent="0.25">
      <c r="A115" s="122" t="s">
        <v>6466</v>
      </c>
      <c r="B115" s="122" t="s">
        <v>13145</v>
      </c>
      <c r="C115" s="122" t="s">
        <v>13146</v>
      </c>
      <c r="D115" s="122" t="s">
        <v>13147</v>
      </c>
      <c r="E115" s="123">
        <v>42233</v>
      </c>
      <c r="F115" s="122" t="s">
        <v>13148</v>
      </c>
      <c r="G115" s="122" t="s">
        <v>235</v>
      </c>
      <c r="H115" s="122" t="s">
        <v>13149</v>
      </c>
      <c r="I115" s="122" t="s">
        <v>13150</v>
      </c>
      <c r="K115" s="122" t="s">
        <v>238</v>
      </c>
      <c r="L115" s="122" t="s">
        <v>297</v>
      </c>
      <c r="M115" s="122" t="s">
        <v>2021</v>
      </c>
      <c r="O115" s="141" t="s">
        <v>13151</v>
      </c>
      <c r="P115" s="141" t="s">
        <v>13152</v>
      </c>
      <c r="Q115" s="122" t="s">
        <v>243</v>
      </c>
      <c r="R115" s="142">
        <v>66</v>
      </c>
      <c r="S115" s="122" t="s">
        <v>13153</v>
      </c>
      <c r="U115" s="122" t="s">
        <v>1420</v>
      </c>
      <c r="W115" s="122" t="s">
        <v>246</v>
      </c>
      <c r="X115" s="122" t="s">
        <v>569</v>
      </c>
      <c r="Y115" s="141" t="s">
        <v>593</v>
      </c>
      <c r="Z115" s="122" t="s">
        <v>13154</v>
      </c>
      <c r="AA115" s="141" t="s">
        <v>742</v>
      </c>
      <c r="AB115" s="122" t="s">
        <v>4597</v>
      </c>
      <c r="AC115" s="141" t="s">
        <v>1423</v>
      </c>
      <c r="AD115" s="122" t="s">
        <v>13155</v>
      </c>
      <c r="AE115" s="122" t="s">
        <v>235</v>
      </c>
      <c r="AF115" s="122" t="s">
        <v>13156</v>
      </c>
      <c r="AG115" s="122" t="s">
        <v>537</v>
      </c>
      <c r="AH115" s="122" t="s">
        <v>253</v>
      </c>
      <c r="AI115" s="122" t="s">
        <v>13157</v>
      </c>
      <c r="AJ115" s="122" t="s">
        <v>13157</v>
      </c>
      <c r="AK115" s="122" t="s">
        <v>253</v>
      </c>
      <c r="AL115" s="122" t="s">
        <v>253</v>
      </c>
      <c r="AM115" s="122" t="s">
        <v>253</v>
      </c>
      <c r="AN115" s="122" t="s">
        <v>253</v>
      </c>
      <c r="AO115" s="141" t="s">
        <v>253</v>
      </c>
      <c r="AP115" s="141" t="s">
        <v>253</v>
      </c>
      <c r="AQ115" s="141" t="s">
        <v>247</v>
      </c>
      <c r="AR115" s="141" t="s">
        <v>253</v>
      </c>
      <c r="AS115" s="141" t="s">
        <v>361</v>
      </c>
      <c r="AT115" s="141" t="s">
        <v>601</v>
      </c>
      <c r="AU115" s="141" t="s">
        <v>258</v>
      </c>
      <c r="AV115" s="122" t="s">
        <v>259</v>
      </c>
      <c r="AW115" s="122" t="s">
        <v>260</v>
      </c>
      <c r="AY115" s="122" t="s">
        <v>253</v>
      </c>
      <c r="AZ115" s="122" t="s">
        <v>13158</v>
      </c>
      <c r="BA115" s="122" t="s">
        <v>262</v>
      </c>
      <c r="BB115" s="122" t="s">
        <v>262</v>
      </c>
      <c r="BC115" s="141" t="s">
        <v>312</v>
      </c>
      <c r="BD115" s="122" t="s">
        <v>253</v>
      </c>
      <c r="BE115" s="122" t="s">
        <v>263</v>
      </c>
      <c r="BF115" s="122" t="s">
        <v>1430</v>
      </c>
      <c r="BH115" s="122" t="s">
        <v>1420</v>
      </c>
      <c r="BI115" s="142">
        <v>66</v>
      </c>
    </row>
    <row r="116" spans="1:65" x14ac:dyDescent="0.25">
      <c r="A116" s="122" t="s">
        <v>279</v>
      </c>
      <c r="B116" s="122" t="s">
        <v>13159</v>
      </c>
      <c r="C116" s="122" t="s">
        <v>8057</v>
      </c>
      <c r="D116" s="122" t="s">
        <v>8058</v>
      </c>
      <c r="E116" s="123">
        <v>42233</v>
      </c>
      <c r="F116" s="122" t="s">
        <v>8059</v>
      </c>
      <c r="G116" s="122" t="s">
        <v>235</v>
      </c>
      <c r="H116" s="122" t="s">
        <v>8060</v>
      </c>
      <c r="I116" s="122" t="s">
        <v>8061</v>
      </c>
      <c r="K116" s="122" t="s">
        <v>238</v>
      </c>
      <c r="L116" s="122" t="s">
        <v>297</v>
      </c>
      <c r="M116" s="122" t="s">
        <v>2496</v>
      </c>
      <c r="O116" s="141" t="s">
        <v>7762</v>
      </c>
      <c r="P116" s="141" t="s">
        <v>8062</v>
      </c>
      <c r="Q116" s="122" t="s">
        <v>243</v>
      </c>
      <c r="R116" s="142">
        <v>67</v>
      </c>
      <c r="S116" s="122" t="s">
        <v>8063</v>
      </c>
      <c r="U116" s="122" t="s">
        <v>1420</v>
      </c>
      <c r="W116" s="122" t="s">
        <v>246</v>
      </c>
      <c r="X116" s="122" t="s">
        <v>497</v>
      </c>
      <c r="Y116" s="141" t="s">
        <v>973</v>
      </c>
      <c r="Z116" s="122" t="s">
        <v>8064</v>
      </c>
      <c r="AA116" s="141" t="s">
        <v>784</v>
      </c>
      <c r="AB116" s="122" t="s">
        <v>8065</v>
      </c>
      <c r="AC116" s="141" t="s">
        <v>1423</v>
      </c>
      <c r="AD116" s="122" t="s">
        <v>8066</v>
      </c>
      <c r="AE116" s="122" t="s">
        <v>235</v>
      </c>
      <c r="AF116" s="122" t="s">
        <v>13160</v>
      </c>
      <c r="AG116" s="122" t="s">
        <v>253</v>
      </c>
      <c r="AH116" s="122" t="s">
        <v>253</v>
      </c>
      <c r="AI116" s="122" t="s">
        <v>13161</v>
      </c>
      <c r="AJ116" s="122" t="s">
        <v>8068</v>
      </c>
      <c r="AK116" s="122" t="s">
        <v>8069</v>
      </c>
      <c r="AL116" s="122" t="s">
        <v>253</v>
      </c>
      <c r="AM116" s="122" t="s">
        <v>253</v>
      </c>
      <c r="AN116" s="122" t="s">
        <v>253</v>
      </c>
      <c r="AO116" s="141" t="s">
        <v>247</v>
      </c>
      <c r="AP116" s="141" t="s">
        <v>247</v>
      </c>
      <c r="AQ116" s="141" t="s">
        <v>247</v>
      </c>
      <c r="AR116" s="141" t="s">
        <v>247</v>
      </c>
      <c r="AS116" s="141" t="s">
        <v>601</v>
      </c>
      <c r="AT116" s="141" t="s">
        <v>601</v>
      </c>
      <c r="AU116" s="141" t="s">
        <v>601</v>
      </c>
      <c r="AV116" s="122" t="s">
        <v>259</v>
      </c>
      <c r="AW116" s="122" t="s">
        <v>556</v>
      </c>
      <c r="AY116" s="122" t="s">
        <v>253</v>
      </c>
      <c r="AZ116" s="122" t="s">
        <v>8070</v>
      </c>
      <c r="BA116" s="122" t="s">
        <v>8071</v>
      </c>
      <c r="BB116" s="122" t="s">
        <v>8070</v>
      </c>
      <c r="BC116" s="141" t="s">
        <v>312</v>
      </c>
      <c r="BD116" s="122" t="s">
        <v>253</v>
      </c>
      <c r="BE116" s="122" t="s">
        <v>263</v>
      </c>
      <c r="BF116" s="122" t="s">
        <v>1430</v>
      </c>
      <c r="BH116" s="122" t="s">
        <v>1420</v>
      </c>
      <c r="BI116" s="142">
        <v>67</v>
      </c>
      <c r="BK116" s="139" t="s">
        <v>558</v>
      </c>
    </row>
    <row r="117" spans="1:65" x14ac:dyDescent="0.25">
      <c r="A117" s="122" t="s">
        <v>326</v>
      </c>
      <c r="B117" s="122" t="s">
        <v>13162</v>
      </c>
      <c r="C117" s="122" t="s">
        <v>7119</v>
      </c>
      <c r="D117" s="122" t="s">
        <v>7120</v>
      </c>
      <c r="E117" s="123">
        <v>42233</v>
      </c>
      <c r="F117" s="122" t="s">
        <v>6974</v>
      </c>
      <c r="G117" s="122" t="s">
        <v>235</v>
      </c>
      <c r="H117" s="122" t="s">
        <v>7121</v>
      </c>
      <c r="I117" s="122" t="s">
        <v>7122</v>
      </c>
      <c r="K117" s="122" t="s">
        <v>238</v>
      </c>
      <c r="L117" s="122" t="s">
        <v>388</v>
      </c>
      <c r="M117" s="122" t="s">
        <v>411</v>
      </c>
      <c r="O117" s="141" t="s">
        <v>548</v>
      </c>
      <c r="P117" s="141" t="s">
        <v>7123</v>
      </c>
      <c r="Q117" s="122" t="s">
        <v>243</v>
      </c>
      <c r="R117" s="142">
        <v>68</v>
      </c>
      <c r="S117" s="122" t="s">
        <v>7124</v>
      </c>
      <c r="T117" s="122" t="s">
        <v>7125</v>
      </c>
      <c r="U117" s="122" t="s">
        <v>1420</v>
      </c>
      <c r="W117" s="122" t="s">
        <v>246</v>
      </c>
      <c r="X117" s="122" t="s">
        <v>325</v>
      </c>
      <c r="Y117" s="141" t="s">
        <v>378</v>
      </c>
      <c r="Z117" s="122" t="s">
        <v>4318</v>
      </c>
      <c r="AA117" s="141" t="s">
        <v>457</v>
      </c>
      <c r="AB117" s="122" t="s">
        <v>3740</v>
      </c>
      <c r="AC117" s="141" t="s">
        <v>234</v>
      </c>
      <c r="AD117" s="122" t="s">
        <v>7126</v>
      </c>
      <c r="AE117" s="122" t="s">
        <v>235</v>
      </c>
      <c r="AF117" s="122" t="s">
        <v>13163</v>
      </c>
      <c r="AG117" s="122" t="s">
        <v>253</v>
      </c>
      <c r="AH117" s="122" t="s">
        <v>253</v>
      </c>
      <c r="AI117" s="122" t="s">
        <v>13164</v>
      </c>
      <c r="AJ117" s="122" t="s">
        <v>7129</v>
      </c>
      <c r="AK117" s="122" t="s">
        <v>7130</v>
      </c>
      <c r="AL117" s="122" t="s">
        <v>253</v>
      </c>
      <c r="AM117" s="122" t="s">
        <v>253</v>
      </c>
      <c r="AN117" s="122" t="s">
        <v>253</v>
      </c>
      <c r="AO117" s="141" t="s">
        <v>247</v>
      </c>
      <c r="AP117" s="141" t="s">
        <v>247</v>
      </c>
      <c r="AQ117" s="141" t="s">
        <v>247</v>
      </c>
      <c r="AR117" s="141" t="s">
        <v>247</v>
      </c>
      <c r="AS117" s="141" t="s">
        <v>601</v>
      </c>
      <c r="AT117" s="141" t="s">
        <v>601</v>
      </c>
      <c r="AU117" s="141" t="s">
        <v>601</v>
      </c>
      <c r="AV117" s="122" t="s">
        <v>259</v>
      </c>
      <c r="AW117" s="122" t="s">
        <v>556</v>
      </c>
      <c r="AY117" s="122" t="s">
        <v>253</v>
      </c>
      <c r="AZ117" s="122" t="s">
        <v>7131</v>
      </c>
      <c r="BA117" s="122" t="s">
        <v>262</v>
      </c>
      <c r="BB117" s="122" t="s">
        <v>262</v>
      </c>
      <c r="BD117" s="122" t="s">
        <v>253</v>
      </c>
      <c r="BE117" s="122" t="s">
        <v>263</v>
      </c>
      <c r="BF117" s="122" t="s">
        <v>1430</v>
      </c>
      <c r="BH117" s="122" t="s">
        <v>1420</v>
      </c>
      <c r="BI117" s="142">
        <v>68</v>
      </c>
      <c r="BK117" s="139" t="s">
        <v>558</v>
      </c>
    </row>
    <row r="118" spans="1:65" x14ac:dyDescent="0.25">
      <c r="A118" s="122" t="s">
        <v>326</v>
      </c>
      <c r="B118" s="122" t="s">
        <v>13165</v>
      </c>
      <c r="C118" s="122" t="s">
        <v>13166</v>
      </c>
      <c r="D118" s="122" t="s">
        <v>13167</v>
      </c>
      <c r="E118" s="123">
        <v>42233</v>
      </c>
      <c r="F118" s="122" t="s">
        <v>13168</v>
      </c>
      <c r="G118" s="122" t="s">
        <v>235</v>
      </c>
      <c r="H118" s="122" t="s">
        <v>13169</v>
      </c>
      <c r="I118" s="122" t="s">
        <v>13170</v>
      </c>
      <c r="K118" s="122" t="s">
        <v>238</v>
      </c>
      <c r="L118" s="122" t="s">
        <v>297</v>
      </c>
      <c r="M118" s="122" t="s">
        <v>2205</v>
      </c>
      <c r="O118" s="141" t="s">
        <v>1921</v>
      </c>
      <c r="P118" s="141" t="s">
        <v>13171</v>
      </c>
      <c r="Q118" s="122" t="s">
        <v>243</v>
      </c>
      <c r="R118" s="142">
        <v>69</v>
      </c>
      <c r="S118" s="122" t="s">
        <v>13172</v>
      </c>
      <c r="U118" s="122" t="s">
        <v>1420</v>
      </c>
      <c r="W118" s="122" t="s">
        <v>246</v>
      </c>
      <c r="X118" s="122" t="s">
        <v>1377</v>
      </c>
      <c r="Y118" s="141" t="s">
        <v>541</v>
      </c>
      <c r="Z118" s="122" t="s">
        <v>518</v>
      </c>
      <c r="AA118" s="141" t="s">
        <v>478</v>
      </c>
      <c r="AB118" s="122" t="s">
        <v>13173</v>
      </c>
      <c r="AC118" s="141" t="s">
        <v>819</v>
      </c>
      <c r="AD118" s="122" t="s">
        <v>13174</v>
      </c>
      <c r="AE118" s="122" t="s">
        <v>235</v>
      </c>
      <c r="AF118" s="122" t="s">
        <v>13175</v>
      </c>
      <c r="AG118" s="122" t="s">
        <v>13176</v>
      </c>
      <c r="AH118" s="122" t="s">
        <v>253</v>
      </c>
      <c r="AI118" s="122" t="s">
        <v>13177</v>
      </c>
      <c r="AJ118" s="122" t="s">
        <v>13178</v>
      </c>
      <c r="AK118" s="122" t="s">
        <v>253</v>
      </c>
      <c r="AL118" s="122" t="s">
        <v>253</v>
      </c>
      <c r="AM118" s="122" t="s">
        <v>253</v>
      </c>
      <c r="AN118" s="122" t="s">
        <v>253</v>
      </c>
      <c r="AO118" s="141" t="s">
        <v>253</v>
      </c>
      <c r="AP118" s="141" t="s">
        <v>253</v>
      </c>
      <c r="AQ118" s="141" t="s">
        <v>253</v>
      </c>
      <c r="AR118" s="141" t="s">
        <v>247</v>
      </c>
      <c r="AS118" s="141" t="s">
        <v>361</v>
      </c>
      <c r="AT118" s="141" t="s">
        <v>258</v>
      </c>
      <c r="AU118" s="141" t="s">
        <v>601</v>
      </c>
      <c r="AV118" s="122" t="s">
        <v>259</v>
      </c>
      <c r="AW118" s="122" t="s">
        <v>556</v>
      </c>
      <c r="AX118" s="141" t="s">
        <v>13179</v>
      </c>
      <c r="AY118" s="122" t="s">
        <v>260</v>
      </c>
      <c r="AZ118" s="122" t="s">
        <v>13180</v>
      </c>
      <c r="BA118" s="122" t="s">
        <v>262</v>
      </c>
      <c r="BB118" s="122" t="s">
        <v>11840</v>
      </c>
      <c r="BC118" s="141" t="s">
        <v>312</v>
      </c>
      <c r="BD118" s="122" t="s">
        <v>253</v>
      </c>
      <c r="BE118" s="122" t="s">
        <v>263</v>
      </c>
      <c r="BF118" s="122" t="s">
        <v>1430</v>
      </c>
      <c r="BH118" s="122" t="s">
        <v>1420</v>
      </c>
      <c r="BI118" s="142">
        <v>69</v>
      </c>
    </row>
    <row r="119" spans="1:65" x14ac:dyDescent="0.25">
      <c r="A119" s="122" t="s">
        <v>11841</v>
      </c>
      <c r="B119" s="122" t="s">
        <v>13181</v>
      </c>
      <c r="C119" s="122" t="s">
        <v>12446</v>
      </c>
      <c r="D119" s="122" t="s">
        <v>12447</v>
      </c>
      <c r="E119" s="123">
        <v>42233</v>
      </c>
      <c r="F119" s="122" t="s">
        <v>4082</v>
      </c>
      <c r="G119" s="122" t="s">
        <v>235</v>
      </c>
      <c r="H119" s="122" t="s">
        <v>12448</v>
      </c>
      <c r="I119" s="122" t="s">
        <v>6532</v>
      </c>
      <c r="J119" s="122" t="s">
        <v>4446</v>
      </c>
      <c r="K119" s="122" t="s">
        <v>238</v>
      </c>
      <c r="L119" s="122" t="s">
        <v>271</v>
      </c>
      <c r="M119" s="122" t="s">
        <v>2069</v>
      </c>
      <c r="O119" s="141" t="s">
        <v>566</v>
      </c>
      <c r="P119" s="141" t="s">
        <v>12449</v>
      </c>
      <c r="Q119" s="122" t="s">
        <v>243</v>
      </c>
      <c r="R119" s="142">
        <v>70</v>
      </c>
      <c r="S119" s="122" t="s">
        <v>12450</v>
      </c>
      <c r="U119" s="122" t="s">
        <v>1420</v>
      </c>
      <c r="W119" s="122" t="s">
        <v>246</v>
      </c>
      <c r="X119" s="122" t="s">
        <v>278</v>
      </c>
      <c r="Y119" s="141" t="s">
        <v>6551</v>
      </c>
      <c r="Z119" s="122" t="s">
        <v>3350</v>
      </c>
      <c r="AA119" s="141" t="s">
        <v>1258</v>
      </c>
      <c r="AB119" s="122" t="s">
        <v>800</v>
      </c>
      <c r="AC119" s="141" t="s">
        <v>1023</v>
      </c>
      <c r="AD119" s="122" t="s">
        <v>9691</v>
      </c>
      <c r="AE119" s="122" t="s">
        <v>235</v>
      </c>
      <c r="AF119" s="122" t="s">
        <v>12451</v>
      </c>
      <c r="AG119" s="122" t="s">
        <v>537</v>
      </c>
      <c r="AH119" s="122" t="s">
        <v>253</v>
      </c>
      <c r="AI119" s="122" t="s">
        <v>12452</v>
      </c>
      <c r="AJ119" s="122" t="s">
        <v>6994</v>
      </c>
      <c r="AK119" s="122" t="s">
        <v>253</v>
      </c>
      <c r="AL119" s="122" t="s">
        <v>253</v>
      </c>
      <c r="AM119" s="122" t="s">
        <v>253</v>
      </c>
      <c r="AN119" s="122" t="s">
        <v>253</v>
      </c>
      <c r="AO119" s="141" t="s">
        <v>247</v>
      </c>
      <c r="AP119" s="141" t="s">
        <v>247</v>
      </c>
      <c r="AQ119" s="141" t="s">
        <v>247</v>
      </c>
      <c r="AR119" s="141" t="s">
        <v>247</v>
      </c>
      <c r="AS119" s="141" t="s">
        <v>601</v>
      </c>
      <c r="AT119" s="141" t="s">
        <v>601</v>
      </c>
      <c r="AU119" s="141" t="s">
        <v>601</v>
      </c>
      <c r="AV119" s="122" t="s">
        <v>259</v>
      </c>
      <c r="AW119" s="122" t="s">
        <v>556</v>
      </c>
      <c r="AY119" s="122" t="s">
        <v>253</v>
      </c>
      <c r="AZ119" s="122" t="s">
        <v>12453</v>
      </c>
      <c r="BA119" s="122" t="s">
        <v>262</v>
      </c>
      <c r="BB119" s="122" t="s">
        <v>262</v>
      </c>
      <c r="BD119" s="122" t="s">
        <v>253</v>
      </c>
      <c r="BE119" s="122" t="s">
        <v>263</v>
      </c>
      <c r="BF119" s="122" t="s">
        <v>1430</v>
      </c>
      <c r="BH119" s="122" t="s">
        <v>1420</v>
      </c>
      <c r="BI119" s="142">
        <v>70</v>
      </c>
      <c r="BK119" s="139" t="s">
        <v>558</v>
      </c>
    </row>
    <row r="120" spans="1:65" x14ac:dyDescent="0.25">
      <c r="A120" s="122" t="s">
        <v>9031</v>
      </c>
      <c r="B120" s="122" t="s">
        <v>13182</v>
      </c>
      <c r="C120" s="122" t="s">
        <v>12488</v>
      </c>
      <c r="D120" s="122" t="s">
        <v>12489</v>
      </c>
      <c r="E120" s="123">
        <v>42233</v>
      </c>
      <c r="F120" s="122" t="s">
        <v>12490</v>
      </c>
      <c r="G120" s="122" t="s">
        <v>235</v>
      </c>
      <c r="H120" s="122" t="s">
        <v>12491</v>
      </c>
      <c r="I120" s="122" t="s">
        <v>12492</v>
      </c>
      <c r="K120" s="122" t="s">
        <v>238</v>
      </c>
      <c r="L120" s="122" t="s">
        <v>271</v>
      </c>
      <c r="M120" s="122" t="s">
        <v>1965</v>
      </c>
      <c r="O120" s="141" t="s">
        <v>2542</v>
      </c>
      <c r="P120" s="141" t="s">
        <v>12493</v>
      </c>
      <c r="Q120" s="122" t="s">
        <v>243</v>
      </c>
      <c r="R120" s="142">
        <v>71</v>
      </c>
      <c r="S120" s="122" t="s">
        <v>12494</v>
      </c>
      <c r="T120" s="122" t="s">
        <v>12495</v>
      </c>
      <c r="U120" s="122" t="s">
        <v>1420</v>
      </c>
      <c r="W120" s="122" t="s">
        <v>246</v>
      </c>
      <c r="X120" s="122" t="s">
        <v>433</v>
      </c>
      <c r="Y120" s="141" t="s">
        <v>2010</v>
      </c>
      <c r="Z120" s="122" t="s">
        <v>12496</v>
      </c>
      <c r="AA120" s="141" t="s">
        <v>1090</v>
      </c>
      <c r="AB120" s="122" t="s">
        <v>12496</v>
      </c>
      <c r="AC120" s="141" t="s">
        <v>9522</v>
      </c>
      <c r="AD120" s="122" t="s">
        <v>12497</v>
      </c>
      <c r="AE120" s="122" t="s">
        <v>235</v>
      </c>
      <c r="AF120" s="122" t="s">
        <v>12498</v>
      </c>
      <c r="AG120" s="122" t="s">
        <v>253</v>
      </c>
      <c r="AH120" s="122" t="s">
        <v>253</v>
      </c>
      <c r="AI120" s="122" t="s">
        <v>12499</v>
      </c>
      <c r="AJ120" s="122" t="s">
        <v>12500</v>
      </c>
      <c r="AK120" s="122" t="s">
        <v>12501</v>
      </c>
      <c r="AL120" s="122" t="s">
        <v>253</v>
      </c>
      <c r="AM120" s="122" t="s">
        <v>253</v>
      </c>
      <c r="AN120" s="122" t="s">
        <v>253</v>
      </c>
      <c r="AO120" s="141" t="s">
        <v>247</v>
      </c>
      <c r="AP120" s="141" t="s">
        <v>247</v>
      </c>
      <c r="AQ120" s="141" t="s">
        <v>247</v>
      </c>
      <c r="AR120" s="141" t="s">
        <v>247</v>
      </c>
      <c r="AS120" s="141" t="s">
        <v>601</v>
      </c>
      <c r="AT120" s="141" t="s">
        <v>601</v>
      </c>
      <c r="AU120" s="141" t="s">
        <v>601</v>
      </c>
      <c r="AV120" s="122" t="s">
        <v>259</v>
      </c>
      <c r="AW120" s="122" t="s">
        <v>556</v>
      </c>
      <c r="AX120" s="141" t="s">
        <v>12502</v>
      </c>
      <c r="AY120" s="122" t="s">
        <v>247</v>
      </c>
      <c r="AZ120" s="122" t="s">
        <v>12503</v>
      </c>
      <c r="BA120" s="122" t="s">
        <v>262</v>
      </c>
      <c r="BB120" s="122" t="s">
        <v>12504</v>
      </c>
      <c r="BC120" s="141" t="s">
        <v>312</v>
      </c>
      <c r="BD120" s="122" t="s">
        <v>253</v>
      </c>
      <c r="BE120" s="122" t="s">
        <v>263</v>
      </c>
      <c r="BF120" s="122" t="s">
        <v>1430</v>
      </c>
      <c r="BH120" s="122" t="s">
        <v>1420</v>
      </c>
      <c r="BI120" s="142">
        <v>71</v>
      </c>
      <c r="BK120" s="139" t="s">
        <v>558</v>
      </c>
    </row>
    <row r="121" spans="1:65" x14ac:dyDescent="0.25">
      <c r="A121" s="122" t="s">
        <v>9031</v>
      </c>
      <c r="B121" s="122" t="s">
        <v>13183</v>
      </c>
      <c r="C121" s="122" t="s">
        <v>12506</v>
      </c>
      <c r="D121" s="122" t="s">
        <v>12507</v>
      </c>
      <c r="E121" s="123">
        <v>42233</v>
      </c>
      <c r="F121" s="122" t="s">
        <v>1372</v>
      </c>
      <c r="G121" s="122" t="s">
        <v>235</v>
      </c>
      <c r="H121" s="122" t="s">
        <v>448</v>
      </c>
      <c r="I121" s="122" t="s">
        <v>12508</v>
      </c>
      <c r="K121" s="122" t="s">
        <v>238</v>
      </c>
      <c r="L121" s="122" t="s">
        <v>297</v>
      </c>
      <c r="M121" s="122" t="s">
        <v>298</v>
      </c>
      <c r="O121" s="141" t="s">
        <v>1240</v>
      </c>
      <c r="P121" s="141" t="s">
        <v>12509</v>
      </c>
      <c r="Q121" s="122" t="s">
        <v>243</v>
      </c>
      <c r="R121" s="142">
        <v>72</v>
      </c>
      <c r="S121" s="122" t="s">
        <v>12510</v>
      </c>
      <c r="U121" s="122" t="s">
        <v>1420</v>
      </c>
      <c r="W121" s="122" t="s">
        <v>246</v>
      </c>
      <c r="X121" s="122" t="s">
        <v>1377</v>
      </c>
      <c r="Y121" s="141" t="s">
        <v>740</v>
      </c>
      <c r="Z121" s="122" t="s">
        <v>12511</v>
      </c>
      <c r="AA121" s="141" t="s">
        <v>354</v>
      </c>
      <c r="AB121" s="122" t="s">
        <v>355</v>
      </c>
      <c r="AC121" s="141" t="s">
        <v>304</v>
      </c>
      <c r="AD121" s="122" t="s">
        <v>12512</v>
      </c>
      <c r="AE121" s="122" t="s">
        <v>235</v>
      </c>
      <c r="AF121" s="122" t="s">
        <v>12513</v>
      </c>
      <c r="AG121" s="122" t="s">
        <v>537</v>
      </c>
      <c r="AH121" s="122" t="s">
        <v>253</v>
      </c>
      <c r="AI121" s="122" t="s">
        <v>12514</v>
      </c>
      <c r="AJ121" s="122" t="s">
        <v>3166</v>
      </c>
      <c r="AK121" s="122" t="s">
        <v>253</v>
      </c>
      <c r="AL121" s="122" t="s">
        <v>253</v>
      </c>
      <c r="AM121" s="122" t="s">
        <v>253</v>
      </c>
      <c r="AN121" s="122" t="s">
        <v>253</v>
      </c>
      <c r="AO121" s="141" t="s">
        <v>253</v>
      </c>
      <c r="AP121" s="141" t="s">
        <v>253</v>
      </c>
      <c r="AQ121" s="141" t="s">
        <v>247</v>
      </c>
      <c r="AR121" s="141" t="s">
        <v>247</v>
      </c>
      <c r="AS121" s="141" t="s">
        <v>361</v>
      </c>
      <c r="AT121" s="141" t="s">
        <v>601</v>
      </c>
      <c r="AU121" s="141" t="s">
        <v>601</v>
      </c>
      <c r="AV121" s="122" t="s">
        <v>259</v>
      </c>
      <c r="AW121" s="122" t="s">
        <v>556</v>
      </c>
      <c r="AX121" s="141" t="s">
        <v>771</v>
      </c>
      <c r="AY121" s="122" t="s">
        <v>603</v>
      </c>
      <c r="AZ121" s="122" t="s">
        <v>262</v>
      </c>
      <c r="BA121" s="122" t="s">
        <v>262</v>
      </c>
      <c r="BB121" s="122" t="s">
        <v>262</v>
      </c>
      <c r="BD121" s="122" t="s">
        <v>253</v>
      </c>
      <c r="BE121" s="122" t="s">
        <v>263</v>
      </c>
      <c r="BF121" s="122" t="s">
        <v>1430</v>
      </c>
      <c r="BH121" s="122" t="s">
        <v>1420</v>
      </c>
      <c r="BI121" s="142">
        <v>72</v>
      </c>
      <c r="BK121" s="139" t="s">
        <v>558</v>
      </c>
    </row>
    <row r="122" spans="1:65" x14ac:dyDescent="0.25">
      <c r="A122" s="122" t="s">
        <v>9031</v>
      </c>
      <c r="B122" s="122" t="s">
        <v>13184</v>
      </c>
      <c r="C122" s="122" t="s">
        <v>12530</v>
      </c>
      <c r="D122" s="122" t="s">
        <v>12531</v>
      </c>
      <c r="E122" s="123">
        <v>42233</v>
      </c>
      <c r="F122" s="122" t="s">
        <v>4534</v>
      </c>
      <c r="G122" s="122" t="s">
        <v>235</v>
      </c>
      <c r="H122" s="122" t="s">
        <v>12532</v>
      </c>
      <c r="I122" s="122" t="s">
        <v>12533</v>
      </c>
      <c r="J122" s="122" t="s">
        <v>370</v>
      </c>
      <c r="K122" s="122" t="s">
        <v>238</v>
      </c>
      <c r="L122" s="122" t="s">
        <v>271</v>
      </c>
      <c r="M122" s="122" t="s">
        <v>1965</v>
      </c>
      <c r="O122" s="141" t="s">
        <v>273</v>
      </c>
      <c r="P122" s="141" t="s">
        <v>12534</v>
      </c>
      <c r="Q122" s="122" t="s">
        <v>243</v>
      </c>
      <c r="R122" s="142">
        <v>73</v>
      </c>
      <c r="S122" s="122" t="s">
        <v>12535</v>
      </c>
      <c r="U122" s="122" t="s">
        <v>1420</v>
      </c>
      <c r="W122" s="122" t="s">
        <v>246</v>
      </c>
      <c r="X122" s="122" t="s">
        <v>4409</v>
      </c>
      <c r="Y122" s="141" t="s">
        <v>740</v>
      </c>
      <c r="Z122" s="122" t="s">
        <v>12536</v>
      </c>
      <c r="AA122" s="141" t="s">
        <v>595</v>
      </c>
      <c r="AB122" s="122" t="s">
        <v>12537</v>
      </c>
      <c r="AC122" s="141" t="s">
        <v>1291</v>
      </c>
      <c r="AD122" s="122" t="s">
        <v>12538</v>
      </c>
      <c r="AE122" s="122" t="s">
        <v>235</v>
      </c>
      <c r="AF122" s="122" t="s">
        <v>12539</v>
      </c>
      <c r="AG122" s="122" t="s">
        <v>537</v>
      </c>
      <c r="AH122" s="122" t="s">
        <v>253</v>
      </c>
      <c r="AI122" s="122" t="s">
        <v>12540</v>
      </c>
      <c r="AJ122" s="122" t="s">
        <v>5545</v>
      </c>
      <c r="AK122" s="122" t="s">
        <v>253</v>
      </c>
      <c r="AL122" s="122" t="s">
        <v>253</v>
      </c>
      <c r="AM122" s="122" t="s">
        <v>253</v>
      </c>
      <c r="AN122" s="122" t="s">
        <v>253</v>
      </c>
      <c r="AO122" s="141" t="s">
        <v>247</v>
      </c>
      <c r="AP122" s="141" t="s">
        <v>247</v>
      </c>
      <c r="AQ122" s="141" t="s">
        <v>247</v>
      </c>
      <c r="AR122" s="141" t="s">
        <v>247</v>
      </c>
      <c r="AS122" s="141" t="s">
        <v>601</v>
      </c>
      <c r="AT122" s="141" t="s">
        <v>601</v>
      </c>
      <c r="AU122" s="141" t="s">
        <v>601</v>
      </c>
      <c r="AV122" s="122" t="s">
        <v>259</v>
      </c>
      <c r="AW122" s="122" t="s">
        <v>556</v>
      </c>
      <c r="AY122" s="122" t="s">
        <v>253</v>
      </c>
      <c r="AZ122" s="122" t="s">
        <v>12541</v>
      </c>
      <c r="BA122" s="122" t="s">
        <v>262</v>
      </c>
      <c r="BB122" s="122" t="s">
        <v>12541</v>
      </c>
      <c r="BD122" s="122" t="s">
        <v>247</v>
      </c>
      <c r="BE122" s="122" t="s">
        <v>263</v>
      </c>
      <c r="BF122" s="122" t="s">
        <v>1430</v>
      </c>
      <c r="BH122" s="122" t="s">
        <v>1420</v>
      </c>
      <c r="BI122" s="142">
        <v>73</v>
      </c>
      <c r="BK122" s="139" t="s">
        <v>558</v>
      </c>
    </row>
    <row r="123" spans="1:65" x14ac:dyDescent="0.25">
      <c r="A123" s="122" t="s">
        <v>11880</v>
      </c>
      <c r="B123" s="122" t="s">
        <v>13185</v>
      </c>
      <c r="C123" s="122" t="s">
        <v>12590</v>
      </c>
      <c r="D123" s="122" t="s">
        <v>12591</v>
      </c>
      <c r="E123" s="123">
        <v>42233</v>
      </c>
      <c r="F123" s="122" t="s">
        <v>2735</v>
      </c>
      <c r="G123" s="122" t="s">
        <v>235</v>
      </c>
      <c r="H123" s="122" t="s">
        <v>12592</v>
      </c>
      <c r="I123" s="122" t="s">
        <v>7160</v>
      </c>
      <c r="J123" s="122" t="s">
        <v>1053</v>
      </c>
      <c r="K123" s="122" t="s">
        <v>238</v>
      </c>
      <c r="L123" s="122" t="s">
        <v>388</v>
      </c>
      <c r="M123" s="122" t="s">
        <v>7161</v>
      </c>
      <c r="O123" s="141" t="s">
        <v>299</v>
      </c>
      <c r="P123" s="141" t="s">
        <v>12593</v>
      </c>
      <c r="Q123" s="122" t="s">
        <v>243</v>
      </c>
      <c r="R123" s="142">
        <v>74</v>
      </c>
      <c r="S123" s="122" t="s">
        <v>12594</v>
      </c>
      <c r="U123" s="122" t="s">
        <v>1420</v>
      </c>
      <c r="W123" s="122" t="s">
        <v>246</v>
      </c>
      <c r="X123" s="122" t="s">
        <v>590</v>
      </c>
      <c r="Y123" s="141" t="s">
        <v>973</v>
      </c>
      <c r="Z123" s="122" t="s">
        <v>12595</v>
      </c>
      <c r="AA123" s="141" t="s">
        <v>304</v>
      </c>
      <c r="AB123" s="122" t="s">
        <v>12596</v>
      </c>
      <c r="AC123" s="141" t="s">
        <v>367</v>
      </c>
      <c r="AD123" s="122" t="s">
        <v>12597</v>
      </c>
      <c r="AE123" s="122" t="s">
        <v>235</v>
      </c>
      <c r="AF123" s="122" t="s">
        <v>12598</v>
      </c>
      <c r="AG123" s="122" t="s">
        <v>253</v>
      </c>
      <c r="AH123" s="122" t="s">
        <v>253</v>
      </c>
      <c r="AI123" s="122" t="s">
        <v>12599</v>
      </c>
      <c r="AJ123" s="122" t="s">
        <v>12600</v>
      </c>
      <c r="AK123" s="122" t="s">
        <v>12601</v>
      </c>
      <c r="AL123" s="122" t="s">
        <v>253</v>
      </c>
      <c r="AM123" s="122" t="s">
        <v>253</v>
      </c>
      <c r="AN123" s="122" t="s">
        <v>253</v>
      </c>
      <c r="AO123" s="141" t="s">
        <v>247</v>
      </c>
      <c r="AP123" s="141" t="s">
        <v>247</v>
      </c>
      <c r="AQ123" s="141" t="s">
        <v>247</v>
      </c>
      <c r="AR123" s="141" t="s">
        <v>247</v>
      </c>
      <c r="AS123" s="141" t="s">
        <v>601</v>
      </c>
      <c r="AT123" s="141" t="s">
        <v>601</v>
      </c>
      <c r="AU123" s="141" t="s">
        <v>601</v>
      </c>
      <c r="AV123" s="122" t="s">
        <v>259</v>
      </c>
      <c r="AW123" s="122" t="s">
        <v>556</v>
      </c>
      <c r="AY123" s="122" t="s">
        <v>253</v>
      </c>
      <c r="AZ123" s="122" t="s">
        <v>12602</v>
      </c>
      <c r="BA123" s="122" t="s">
        <v>262</v>
      </c>
      <c r="BB123" s="122" t="s">
        <v>262</v>
      </c>
      <c r="BC123" s="141" t="s">
        <v>312</v>
      </c>
      <c r="BD123" s="122" t="s">
        <v>253</v>
      </c>
      <c r="BE123" s="122" t="s">
        <v>263</v>
      </c>
      <c r="BF123" s="122" t="s">
        <v>1430</v>
      </c>
      <c r="BH123" s="122" t="s">
        <v>1420</v>
      </c>
      <c r="BI123" s="142">
        <v>74</v>
      </c>
      <c r="BK123" s="139" t="s">
        <v>558</v>
      </c>
    </row>
    <row r="124" spans="1:65" x14ac:dyDescent="0.25">
      <c r="A124" s="122" t="s">
        <v>11880</v>
      </c>
      <c r="B124" s="122" t="s">
        <v>13186</v>
      </c>
      <c r="C124" s="122" t="s">
        <v>12604</v>
      </c>
      <c r="D124" s="122" t="s">
        <v>12605</v>
      </c>
      <c r="E124" s="123">
        <v>42233</v>
      </c>
      <c r="F124" s="122" t="s">
        <v>12606</v>
      </c>
      <c r="G124" s="122" t="s">
        <v>235</v>
      </c>
      <c r="H124" s="122" t="s">
        <v>448</v>
      </c>
      <c r="I124" s="122" t="s">
        <v>12607</v>
      </c>
      <c r="K124" s="122" t="s">
        <v>238</v>
      </c>
      <c r="L124" s="122" t="s">
        <v>429</v>
      </c>
      <c r="M124" s="122" t="s">
        <v>7614</v>
      </c>
      <c r="O124" s="141" t="s">
        <v>451</v>
      </c>
      <c r="P124" s="141" t="s">
        <v>12608</v>
      </c>
      <c r="Q124" s="122" t="s">
        <v>243</v>
      </c>
      <c r="R124" s="142">
        <v>75</v>
      </c>
      <c r="S124" s="122" t="s">
        <v>12609</v>
      </c>
      <c r="U124" s="122" t="s">
        <v>1420</v>
      </c>
      <c r="W124" s="122" t="s">
        <v>246</v>
      </c>
      <c r="X124" s="122" t="s">
        <v>1225</v>
      </c>
      <c r="Y124" s="141" t="s">
        <v>593</v>
      </c>
      <c r="Z124" s="122" t="s">
        <v>12610</v>
      </c>
      <c r="AA124" s="141" t="s">
        <v>2072</v>
      </c>
      <c r="AB124" s="122" t="s">
        <v>12611</v>
      </c>
      <c r="AC124" s="141" t="s">
        <v>595</v>
      </c>
      <c r="AD124" s="122" t="s">
        <v>12612</v>
      </c>
      <c r="AE124" s="122" t="s">
        <v>235</v>
      </c>
      <c r="AF124" s="122" t="s">
        <v>12613</v>
      </c>
      <c r="AG124" s="122" t="s">
        <v>537</v>
      </c>
      <c r="AH124" s="122" t="s">
        <v>253</v>
      </c>
      <c r="AI124" s="122" t="s">
        <v>12614</v>
      </c>
      <c r="AJ124" s="122" t="s">
        <v>12615</v>
      </c>
      <c r="AK124" s="122" t="s">
        <v>253</v>
      </c>
      <c r="AL124" s="122" t="s">
        <v>253</v>
      </c>
      <c r="AM124" s="122" t="s">
        <v>253</v>
      </c>
      <c r="AN124" s="122" t="s">
        <v>253</v>
      </c>
      <c r="AO124" s="141" t="s">
        <v>253</v>
      </c>
      <c r="AP124" s="141" t="s">
        <v>253</v>
      </c>
      <c r="AQ124" s="141" t="s">
        <v>247</v>
      </c>
      <c r="AR124" s="141" t="s">
        <v>247</v>
      </c>
      <c r="AS124" s="141" t="s">
        <v>361</v>
      </c>
      <c r="AT124" s="141" t="s">
        <v>601</v>
      </c>
      <c r="AU124" s="141" t="s">
        <v>601</v>
      </c>
      <c r="AV124" s="122" t="s">
        <v>259</v>
      </c>
      <c r="AW124" s="122" t="s">
        <v>556</v>
      </c>
      <c r="AY124" s="122" t="s">
        <v>253</v>
      </c>
      <c r="AZ124" s="122" t="s">
        <v>262</v>
      </c>
      <c r="BA124" s="122" t="s">
        <v>262</v>
      </c>
      <c r="BB124" s="122" t="s">
        <v>12616</v>
      </c>
      <c r="BD124" s="122" t="s">
        <v>253</v>
      </c>
      <c r="BE124" s="122" t="s">
        <v>263</v>
      </c>
      <c r="BF124" s="122" t="s">
        <v>1430</v>
      </c>
      <c r="BH124" s="122" t="s">
        <v>1420</v>
      </c>
      <c r="BI124" s="142">
        <v>75</v>
      </c>
      <c r="BK124" s="139" t="s">
        <v>558</v>
      </c>
    </row>
    <row r="125" spans="1:65" x14ac:dyDescent="0.25">
      <c r="A125" s="122" t="s">
        <v>11880</v>
      </c>
      <c r="B125" s="122" t="s">
        <v>13187</v>
      </c>
      <c r="C125" s="122" t="s">
        <v>12669</v>
      </c>
      <c r="D125" s="122" t="s">
        <v>12670</v>
      </c>
      <c r="E125" s="123">
        <v>42233</v>
      </c>
      <c r="F125" s="122" t="s">
        <v>12671</v>
      </c>
      <c r="G125" s="122" t="s">
        <v>235</v>
      </c>
      <c r="H125" s="122" t="s">
        <v>12672</v>
      </c>
      <c r="I125" s="122" t="s">
        <v>12673</v>
      </c>
      <c r="K125" s="122" t="s">
        <v>238</v>
      </c>
      <c r="L125" s="122" t="s">
        <v>271</v>
      </c>
      <c r="M125" s="122" t="s">
        <v>1803</v>
      </c>
      <c r="O125" s="141" t="s">
        <v>4592</v>
      </c>
      <c r="P125" s="141" t="s">
        <v>12674</v>
      </c>
      <c r="Q125" s="122" t="s">
        <v>243</v>
      </c>
      <c r="R125" s="142">
        <v>76</v>
      </c>
      <c r="S125" s="122" t="s">
        <v>12675</v>
      </c>
      <c r="U125" s="122" t="s">
        <v>1420</v>
      </c>
      <c r="W125" s="122" t="s">
        <v>246</v>
      </c>
      <c r="X125" s="122" t="s">
        <v>1225</v>
      </c>
      <c r="Y125" s="141" t="s">
        <v>2257</v>
      </c>
      <c r="Z125" s="122" t="s">
        <v>12676</v>
      </c>
      <c r="AA125" s="141" t="s">
        <v>2717</v>
      </c>
      <c r="AB125" s="122" t="s">
        <v>355</v>
      </c>
      <c r="AC125" s="141" t="s">
        <v>2133</v>
      </c>
      <c r="AD125" s="122" t="s">
        <v>12677</v>
      </c>
      <c r="AE125" s="122" t="s">
        <v>235</v>
      </c>
      <c r="AF125" s="122" t="s">
        <v>12678</v>
      </c>
      <c r="AG125" s="122" t="s">
        <v>12679</v>
      </c>
      <c r="AH125" s="122" t="s">
        <v>253</v>
      </c>
      <c r="AI125" s="122" t="s">
        <v>12680</v>
      </c>
      <c r="AJ125" s="122" t="s">
        <v>12681</v>
      </c>
      <c r="AK125" s="122" t="s">
        <v>253</v>
      </c>
      <c r="AL125" s="122" t="s">
        <v>253</v>
      </c>
      <c r="AM125" s="122" t="s">
        <v>253</v>
      </c>
      <c r="AN125" s="122" t="s">
        <v>253</v>
      </c>
      <c r="AO125" s="141" t="s">
        <v>247</v>
      </c>
      <c r="AP125" s="141" t="s">
        <v>247</v>
      </c>
      <c r="AQ125" s="141" t="s">
        <v>247</v>
      </c>
      <c r="AR125" s="141" t="s">
        <v>247</v>
      </c>
      <c r="AS125" s="141" t="s">
        <v>601</v>
      </c>
      <c r="AT125" s="141" t="s">
        <v>601</v>
      </c>
      <c r="AU125" s="141" t="s">
        <v>601</v>
      </c>
      <c r="AV125" s="122" t="s">
        <v>259</v>
      </c>
      <c r="AW125" s="122" t="s">
        <v>556</v>
      </c>
      <c r="AY125" s="122" t="s">
        <v>253</v>
      </c>
      <c r="AZ125" s="122" t="s">
        <v>12682</v>
      </c>
      <c r="BA125" s="122" t="s">
        <v>262</v>
      </c>
      <c r="BB125" s="122" t="s">
        <v>262</v>
      </c>
      <c r="BD125" s="122" t="s">
        <v>253</v>
      </c>
      <c r="BE125" s="122" t="s">
        <v>263</v>
      </c>
      <c r="BF125" s="122" t="s">
        <v>1430</v>
      </c>
      <c r="BH125" s="122" t="s">
        <v>1420</v>
      </c>
      <c r="BI125" s="142">
        <v>76</v>
      </c>
      <c r="BK125" s="139" t="s">
        <v>558</v>
      </c>
    </row>
    <row r="126" spans="1:65" x14ac:dyDescent="0.25">
      <c r="A126" s="122" t="s">
        <v>9904</v>
      </c>
      <c r="B126" s="122" t="s">
        <v>13188</v>
      </c>
      <c r="C126" s="122" t="s">
        <v>13189</v>
      </c>
      <c r="D126" s="122" t="s">
        <v>13190</v>
      </c>
      <c r="E126" s="123">
        <v>42233</v>
      </c>
      <c r="F126" s="122" t="s">
        <v>742</v>
      </c>
      <c r="G126" s="122" t="s">
        <v>235</v>
      </c>
      <c r="H126" s="122" t="s">
        <v>13191</v>
      </c>
      <c r="I126" s="122" t="s">
        <v>13192</v>
      </c>
      <c r="J126" s="122" t="s">
        <v>13193</v>
      </c>
      <c r="K126" s="122" t="s">
        <v>238</v>
      </c>
      <c r="L126" s="122" t="s">
        <v>271</v>
      </c>
      <c r="M126" s="122" t="s">
        <v>2715</v>
      </c>
      <c r="O126" s="141" t="s">
        <v>451</v>
      </c>
      <c r="P126" s="141" t="s">
        <v>13194</v>
      </c>
      <c r="Q126" s="122" t="s">
        <v>243</v>
      </c>
      <c r="R126" s="142">
        <v>77</v>
      </c>
      <c r="S126" s="122" t="s">
        <v>13195</v>
      </c>
      <c r="U126" s="122" t="s">
        <v>1420</v>
      </c>
      <c r="W126" s="122" t="s">
        <v>246</v>
      </c>
      <c r="X126" s="122" t="s">
        <v>1324</v>
      </c>
      <c r="Z126" s="122" t="s">
        <v>250</v>
      </c>
      <c r="AB126" s="122" t="s">
        <v>250</v>
      </c>
      <c r="AD126" s="122" t="s">
        <v>250</v>
      </c>
      <c r="AE126" s="122" t="s">
        <v>235</v>
      </c>
      <c r="AF126" s="122" t="s">
        <v>13196</v>
      </c>
      <c r="AG126" s="122" t="s">
        <v>13197</v>
      </c>
      <c r="AH126" s="122" t="s">
        <v>253</v>
      </c>
      <c r="AI126" s="122" t="s">
        <v>13198</v>
      </c>
      <c r="AJ126" s="122" t="s">
        <v>13199</v>
      </c>
      <c r="AK126" s="122" t="s">
        <v>13200</v>
      </c>
      <c r="AL126" s="122" t="s">
        <v>253</v>
      </c>
      <c r="AM126" s="122" t="s">
        <v>253</v>
      </c>
      <c r="AN126" s="122" t="s">
        <v>253</v>
      </c>
      <c r="AO126" s="141" t="s">
        <v>253</v>
      </c>
      <c r="AP126" s="141" t="s">
        <v>253</v>
      </c>
      <c r="AQ126" s="141" t="s">
        <v>253</v>
      </c>
      <c r="AR126" s="141" t="s">
        <v>247</v>
      </c>
      <c r="AS126" s="141" t="s">
        <v>361</v>
      </c>
      <c r="AT126" s="141" t="s">
        <v>258</v>
      </c>
      <c r="AU126" s="141" t="s">
        <v>601</v>
      </c>
      <c r="AV126" s="122" t="s">
        <v>259</v>
      </c>
      <c r="AW126" s="122" t="s">
        <v>556</v>
      </c>
      <c r="AY126" s="122" t="s">
        <v>253</v>
      </c>
      <c r="AZ126" s="122" t="s">
        <v>13201</v>
      </c>
      <c r="BA126" s="122" t="s">
        <v>262</v>
      </c>
      <c r="BB126" s="122" t="s">
        <v>13202</v>
      </c>
      <c r="BD126" s="122" t="s">
        <v>253</v>
      </c>
      <c r="BE126" s="122" t="s">
        <v>263</v>
      </c>
      <c r="BF126" s="122" t="s">
        <v>1430</v>
      </c>
      <c r="BH126" s="122" t="s">
        <v>1420</v>
      </c>
      <c r="BI126" s="142">
        <v>77</v>
      </c>
    </row>
    <row r="127" spans="1:65" x14ac:dyDescent="0.25">
      <c r="A127" s="122" t="s">
        <v>9904</v>
      </c>
      <c r="B127" s="122" t="s">
        <v>13203</v>
      </c>
      <c r="C127" s="122" t="s">
        <v>12692</v>
      </c>
      <c r="D127" s="122" t="s">
        <v>12693</v>
      </c>
      <c r="E127" s="123">
        <v>42233</v>
      </c>
      <c r="F127" s="122" t="s">
        <v>5506</v>
      </c>
      <c r="G127" s="122" t="s">
        <v>235</v>
      </c>
      <c r="H127" s="122" t="s">
        <v>12694</v>
      </c>
      <c r="I127" s="122" t="s">
        <v>12695</v>
      </c>
      <c r="K127" s="122" t="s">
        <v>238</v>
      </c>
      <c r="L127" s="122" t="s">
        <v>297</v>
      </c>
      <c r="M127" s="122" t="s">
        <v>12696</v>
      </c>
      <c r="N127" s="122" t="s">
        <v>12697</v>
      </c>
      <c r="O127" s="141" t="s">
        <v>548</v>
      </c>
      <c r="P127" s="141" t="s">
        <v>12698</v>
      </c>
      <c r="Q127" s="122" t="s">
        <v>243</v>
      </c>
      <c r="R127" s="142">
        <v>78</v>
      </c>
      <c r="S127" s="122" t="s">
        <v>12699</v>
      </c>
      <c r="U127" s="122" t="s">
        <v>1420</v>
      </c>
      <c r="W127" s="122" t="s">
        <v>246</v>
      </c>
      <c r="X127" s="122" t="s">
        <v>325</v>
      </c>
      <c r="Y127" s="141" t="s">
        <v>1039</v>
      </c>
      <c r="Z127" s="122" t="s">
        <v>571</v>
      </c>
      <c r="AA127" s="141" t="s">
        <v>1125</v>
      </c>
      <c r="AB127" s="122" t="s">
        <v>800</v>
      </c>
      <c r="AC127" s="141" t="s">
        <v>328</v>
      </c>
      <c r="AD127" s="122" t="s">
        <v>669</v>
      </c>
      <c r="AE127" s="122" t="s">
        <v>235</v>
      </c>
      <c r="AF127" s="122" t="s">
        <v>12700</v>
      </c>
      <c r="AG127" s="122" t="s">
        <v>253</v>
      </c>
      <c r="AH127" s="122" t="s">
        <v>253</v>
      </c>
      <c r="AI127" s="122" t="s">
        <v>12701</v>
      </c>
      <c r="AJ127" s="122" t="s">
        <v>12702</v>
      </c>
      <c r="AK127" s="122" t="s">
        <v>12703</v>
      </c>
      <c r="AL127" s="122" t="s">
        <v>253</v>
      </c>
      <c r="AM127" s="122" t="s">
        <v>253</v>
      </c>
      <c r="AN127" s="122" t="s">
        <v>253</v>
      </c>
      <c r="AO127" s="141" t="s">
        <v>247</v>
      </c>
      <c r="AP127" s="141" t="s">
        <v>247</v>
      </c>
      <c r="AQ127" s="141" t="s">
        <v>247</v>
      </c>
      <c r="AR127" s="141" t="s">
        <v>247</v>
      </c>
      <c r="AS127" s="141" t="s">
        <v>601</v>
      </c>
      <c r="AT127" s="141" t="s">
        <v>601</v>
      </c>
      <c r="AU127" s="141" t="s">
        <v>601</v>
      </c>
      <c r="AV127" s="122" t="s">
        <v>259</v>
      </c>
      <c r="AW127" s="122" t="s">
        <v>556</v>
      </c>
      <c r="AY127" s="122" t="s">
        <v>253</v>
      </c>
      <c r="AZ127" s="122" t="s">
        <v>12704</v>
      </c>
      <c r="BA127" s="122" t="s">
        <v>262</v>
      </c>
      <c r="BB127" s="122" t="s">
        <v>12704</v>
      </c>
      <c r="BD127" s="122" t="s">
        <v>253</v>
      </c>
      <c r="BE127" s="122" t="s">
        <v>263</v>
      </c>
      <c r="BF127" s="122" t="s">
        <v>1430</v>
      </c>
      <c r="BH127" s="122" t="s">
        <v>1420</v>
      </c>
      <c r="BI127" s="142">
        <v>78</v>
      </c>
      <c r="BK127" s="139" t="s">
        <v>558</v>
      </c>
    </row>
    <row r="128" spans="1:65" x14ac:dyDescent="0.25">
      <c r="A128" s="122" t="s">
        <v>6466</v>
      </c>
      <c r="B128" s="122" t="s">
        <v>13204</v>
      </c>
      <c r="C128" s="122" t="s">
        <v>12849</v>
      </c>
      <c r="D128" s="122" t="s">
        <v>12850</v>
      </c>
      <c r="E128" s="123">
        <v>42233</v>
      </c>
      <c r="F128" s="122" t="s">
        <v>12851</v>
      </c>
      <c r="G128" s="122" t="s">
        <v>235</v>
      </c>
      <c r="H128" s="122" t="s">
        <v>12852</v>
      </c>
      <c r="I128" s="122" t="s">
        <v>12853</v>
      </c>
      <c r="K128" s="122" t="s">
        <v>238</v>
      </c>
      <c r="L128" s="122" t="s">
        <v>297</v>
      </c>
      <c r="M128" s="122" t="s">
        <v>12854</v>
      </c>
      <c r="O128" s="141" t="s">
        <v>953</v>
      </c>
      <c r="P128" s="141" t="s">
        <v>12855</v>
      </c>
      <c r="Q128" s="122" t="s">
        <v>243</v>
      </c>
      <c r="R128" s="142">
        <v>79</v>
      </c>
      <c r="S128" s="122" t="s">
        <v>12856</v>
      </c>
      <c r="U128" s="122" t="s">
        <v>1420</v>
      </c>
      <c r="W128" s="122" t="s">
        <v>246</v>
      </c>
      <c r="X128" s="122" t="s">
        <v>376</v>
      </c>
      <c r="Y128" s="141" t="s">
        <v>404</v>
      </c>
      <c r="Z128" s="122" t="s">
        <v>12857</v>
      </c>
      <c r="AA128" s="141" t="s">
        <v>354</v>
      </c>
      <c r="AB128" s="122" t="s">
        <v>2366</v>
      </c>
      <c r="AC128" s="141" t="s">
        <v>722</v>
      </c>
      <c r="AD128" s="122" t="s">
        <v>3459</v>
      </c>
      <c r="AE128" s="122" t="s">
        <v>235</v>
      </c>
      <c r="AF128" s="122" t="s">
        <v>12858</v>
      </c>
      <c r="AG128" s="122" t="s">
        <v>253</v>
      </c>
      <c r="AH128" s="122" t="s">
        <v>253</v>
      </c>
      <c r="AI128" s="122" t="s">
        <v>12859</v>
      </c>
      <c r="AJ128" s="122" t="s">
        <v>12860</v>
      </c>
      <c r="AK128" s="122" t="s">
        <v>12861</v>
      </c>
      <c r="AL128" s="122" t="s">
        <v>253</v>
      </c>
      <c r="AM128" s="122" t="s">
        <v>253</v>
      </c>
      <c r="AN128" s="122" t="s">
        <v>253</v>
      </c>
      <c r="AO128" s="141" t="s">
        <v>247</v>
      </c>
      <c r="AP128" s="141" t="s">
        <v>247</v>
      </c>
      <c r="AQ128" s="141" t="s">
        <v>247</v>
      </c>
      <c r="AR128" s="141" t="s">
        <v>247</v>
      </c>
      <c r="AS128" s="141" t="s">
        <v>601</v>
      </c>
      <c r="AT128" s="141" t="s">
        <v>601</v>
      </c>
      <c r="AU128" s="141" t="s">
        <v>601</v>
      </c>
      <c r="AV128" s="122" t="s">
        <v>259</v>
      </c>
      <c r="AW128" s="122" t="s">
        <v>556</v>
      </c>
      <c r="AX128" s="141" t="s">
        <v>3169</v>
      </c>
      <c r="AY128" s="122" t="s">
        <v>442</v>
      </c>
      <c r="AZ128" s="122" t="s">
        <v>12862</v>
      </c>
      <c r="BA128" s="122" t="s">
        <v>262</v>
      </c>
      <c r="BB128" s="122" t="s">
        <v>12862</v>
      </c>
      <c r="BD128" s="122" t="s">
        <v>253</v>
      </c>
      <c r="BE128" s="122" t="s">
        <v>263</v>
      </c>
      <c r="BF128" s="122" t="s">
        <v>1430</v>
      </c>
      <c r="BH128" s="122" t="s">
        <v>1420</v>
      </c>
      <c r="BI128" s="142">
        <v>79</v>
      </c>
      <c r="BK128" s="139" t="s">
        <v>558</v>
      </c>
    </row>
    <row r="129" spans="1:65" x14ac:dyDescent="0.25">
      <c r="A129" s="122" t="s">
        <v>6466</v>
      </c>
      <c r="B129" s="122" t="s">
        <v>13205</v>
      </c>
      <c r="C129" s="122" t="s">
        <v>12898</v>
      </c>
      <c r="D129" s="122" t="s">
        <v>12899</v>
      </c>
      <c r="E129" s="123">
        <v>42233</v>
      </c>
      <c r="F129" s="122" t="s">
        <v>672</v>
      </c>
      <c r="G129" s="122" t="s">
        <v>235</v>
      </c>
      <c r="H129" s="122" t="s">
        <v>448</v>
      </c>
      <c r="I129" s="122" t="s">
        <v>12900</v>
      </c>
      <c r="K129" s="122" t="s">
        <v>472</v>
      </c>
      <c r="L129" s="122" t="s">
        <v>473</v>
      </c>
      <c r="M129" s="122" t="s">
        <v>1640</v>
      </c>
      <c r="N129" s="122" t="s">
        <v>12901</v>
      </c>
      <c r="O129" s="141" t="s">
        <v>451</v>
      </c>
      <c r="P129" s="141" t="s">
        <v>12902</v>
      </c>
      <c r="Q129" s="122" t="s">
        <v>243</v>
      </c>
      <c r="R129" s="142">
        <v>80</v>
      </c>
      <c r="S129" s="122" t="s">
        <v>12903</v>
      </c>
      <c r="U129" s="122" t="s">
        <v>1420</v>
      </c>
      <c r="W129" s="122" t="s">
        <v>246</v>
      </c>
      <c r="X129" s="122" t="s">
        <v>278</v>
      </c>
      <c r="Y129" s="141" t="s">
        <v>593</v>
      </c>
      <c r="Z129" s="122" t="s">
        <v>3055</v>
      </c>
      <c r="AA129" s="141" t="s">
        <v>742</v>
      </c>
      <c r="AB129" s="122" t="s">
        <v>12904</v>
      </c>
      <c r="AC129" s="141" t="s">
        <v>1698</v>
      </c>
      <c r="AD129" s="122" t="s">
        <v>12905</v>
      </c>
      <c r="AE129" s="122" t="s">
        <v>235</v>
      </c>
      <c r="AF129" s="122" t="s">
        <v>12906</v>
      </c>
      <c r="AG129" s="122" t="s">
        <v>537</v>
      </c>
      <c r="AH129" s="122" t="s">
        <v>253</v>
      </c>
      <c r="AI129" s="122" t="s">
        <v>12907</v>
      </c>
      <c r="AJ129" s="122" t="s">
        <v>12908</v>
      </c>
      <c r="AK129" s="122" t="s">
        <v>253</v>
      </c>
      <c r="AL129" s="122" t="s">
        <v>253</v>
      </c>
      <c r="AM129" s="122" t="s">
        <v>253</v>
      </c>
      <c r="AN129" s="122" t="s">
        <v>253</v>
      </c>
      <c r="AO129" s="141" t="s">
        <v>247</v>
      </c>
      <c r="AP129" s="141" t="s">
        <v>247</v>
      </c>
      <c r="AQ129" s="141" t="s">
        <v>247</v>
      </c>
      <c r="AR129" s="141" t="s">
        <v>247</v>
      </c>
      <c r="AS129" s="141" t="s">
        <v>601</v>
      </c>
      <c r="AT129" s="141" t="s">
        <v>601</v>
      </c>
      <c r="AU129" s="141" t="s">
        <v>601</v>
      </c>
      <c r="AV129" s="122" t="s">
        <v>259</v>
      </c>
      <c r="AW129" s="122" t="s">
        <v>556</v>
      </c>
      <c r="AY129" s="122" t="s">
        <v>253</v>
      </c>
      <c r="AZ129" s="122" t="s">
        <v>262</v>
      </c>
      <c r="BA129" s="122" t="s">
        <v>262</v>
      </c>
      <c r="BB129" s="122" t="s">
        <v>12909</v>
      </c>
      <c r="BD129" s="122" t="s">
        <v>253</v>
      </c>
      <c r="BE129" s="122" t="s">
        <v>263</v>
      </c>
      <c r="BF129" s="122" t="s">
        <v>1430</v>
      </c>
      <c r="BH129" s="122" t="s">
        <v>1420</v>
      </c>
      <c r="BI129" s="142">
        <v>80</v>
      </c>
      <c r="BK129" s="139" t="s">
        <v>558</v>
      </c>
    </row>
    <row r="130" spans="1:65" x14ac:dyDescent="0.25">
      <c r="A130" s="122" t="s">
        <v>6466</v>
      </c>
      <c r="B130" s="122" t="s">
        <v>13206</v>
      </c>
      <c r="C130" s="122" t="s">
        <v>12864</v>
      </c>
      <c r="D130" s="122" t="s">
        <v>12865</v>
      </c>
      <c r="E130" s="123">
        <v>42233</v>
      </c>
      <c r="F130" s="122" t="s">
        <v>9156</v>
      </c>
      <c r="G130" s="122" t="s">
        <v>235</v>
      </c>
      <c r="H130" s="122" t="s">
        <v>12866</v>
      </c>
      <c r="I130" s="122" t="s">
        <v>12867</v>
      </c>
      <c r="K130" s="122" t="s">
        <v>238</v>
      </c>
      <c r="L130" s="122" t="s">
        <v>429</v>
      </c>
      <c r="M130" s="122" t="s">
        <v>430</v>
      </c>
      <c r="O130" s="141" t="s">
        <v>494</v>
      </c>
      <c r="P130" s="141" t="s">
        <v>12868</v>
      </c>
      <c r="Q130" s="122" t="s">
        <v>243</v>
      </c>
      <c r="R130" s="142">
        <v>81</v>
      </c>
      <c r="S130" s="122" t="s">
        <v>12869</v>
      </c>
      <c r="U130" s="122" t="s">
        <v>1420</v>
      </c>
      <c r="W130" s="122" t="s">
        <v>246</v>
      </c>
      <c r="X130" s="122" t="s">
        <v>1324</v>
      </c>
      <c r="Y130" s="141" t="s">
        <v>973</v>
      </c>
      <c r="Z130" s="122" t="s">
        <v>12870</v>
      </c>
      <c r="AA130" s="141" t="s">
        <v>956</v>
      </c>
      <c r="AB130" s="122" t="s">
        <v>1678</v>
      </c>
      <c r="AC130" s="141" t="s">
        <v>500</v>
      </c>
      <c r="AD130" s="122" t="s">
        <v>1678</v>
      </c>
      <c r="AE130" s="122" t="s">
        <v>235</v>
      </c>
      <c r="AF130" s="122" t="s">
        <v>12871</v>
      </c>
      <c r="AG130" s="122" t="s">
        <v>537</v>
      </c>
      <c r="AH130" s="122" t="s">
        <v>253</v>
      </c>
      <c r="AI130" s="122" t="s">
        <v>12872</v>
      </c>
      <c r="AJ130" s="122" t="s">
        <v>12873</v>
      </c>
      <c r="AK130" s="122" t="s">
        <v>253</v>
      </c>
      <c r="AL130" s="122" t="s">
        <v>253</v>
      </c>
      <c r="AM130" s="122" t="s">
        <v>253</v>
      </c>
      <c r="AN130" s="122" t="s">
        <v>253</v>
      </c>
      <c r="AO130" s="141" t="s">
        <v>247</v>
      </c>
      <c r="AP130" s="141" t="s">
        <v>247</v>
      </c>
      <c r="AQ130" s="141" t="s">
        <v>247</v>
      </c>
      <c r="AR130" s="141" t="s">
        <v>247</v>
      </c>
      <c r="AS130" s="141" t="s">
        <v>601</v>
      </c>
      <c r="AT130" s="141" t="s">
        <v>601</v>
      </c>
      <c r="AU130" s="141" t="s">
        <v>601</v>
      </c>
      <c r="AV130" s="122" t="s">
        <v>259</v>
      </c>
      <c r="AW130" s="122" t="s">
        <v>556</v>
      </c>
      <c r="AY130" s="122" t="s">
        <v>253</v>
      </c>
      <c r="AZ130" s="122" t="s">
        <v>12874</v>
      </c>
      <c r="BA130" s="122" t="s">
        <v>262</v>
      </c>
      <c r="BB130" s="122" t="s">
        <v>262</v>
      </c>
      <c r="BD130" s="122" t="s">
        <v>253</v>
      </c>
      <c r="BE130" s="122" t="s">
        <v>263</v>
      </c>
      <c r="BF130" s="122" t="s">
        <v>1430</v>
      </c>
      <c r="BH130" s="122" t="s">
        <v>1420</v>
      </c>
      <c r="BI130" s="142">
        <v>81</v>
      </c>
      <c r="BK130" s="139" t="s">
        <v>558</v>
      </c>
    </row>
    <row r="131" spans="1:65" x14ac:dyDescent="0.25">
      <c r="A131" s="122" t="s">
        <v>279</v>
      </c>
      <c r="B131" s="122" t="s">
        <v>13207</v>
      </c>
      <c r="C131" s="122" t="s">
        <v>13208</v>
      </c>
      <c r="D131" s="122" t="s">
        <v>13209</v>
      </c>
      <c r="E131" s="123">
        <v>42233</v>
      </c>
      <c r="F131" s="122" t="s">
        <v>8803</v>
      </c>
      <c r="G131" s="122" t="s">
        <v>235</v>
      </c>
      <c r="H131" s="122" t="s">
        <v>13210</v>
      </c>
      <c r="I131" s="122" t="s">
        <v>2950</v>
      </c>
      <c r="J131" s="122" t="s">
        <v>13211</v>
      </c>
      <c r="K131" s="122" t="s">
        <v>238</v>
      </c>
      <c r="L131" s="122" t="s">
        <v>346</v>
      </c>
      <c r="M131" s="122" t="s">
        <v>2830</v>
      </c>
      <c r="Q131" s="122" t="s">
        <v>243</v>
      </c>
      <c r="R131" s="142">
        <v>4</v>
      </c>
      <c r="S131" s="122" t="s">
        <v>13212</v>
      </c>
      <c r="U131" s="122" t="s">
        <v>2802</v>
      </c>
      <c r="W131" s="122" t="s">
        <v>246</v>
      </c>
      <c r="X131" s="122" t="s">
        <v>278</v>
      </c>
      <c r="Y131" s="141" t="s">
        <v>2899</v>
      </c>
      <c r="Z131" s="122" t="s">
        <v>9890</v>
      </c>
      <c r="AA131" s="141" t="s">
        <v>591</v>
      </c>
      <c r="AB131" s="122" t="s">
        <v>818</v>
      </c>
      <c r="AC131" s="141" t="s">
        <v>742</v>
      </c>
      <c r="AD131" s="122" t="s">
        <v>2929</v>
      </c>
      <c r="AE131" s="122" t="s">
        <v>235</v>
      </c>
      <c r="AF131" s="122" t="s">
        <v>13213</v>
      </c>
      <c r="AG131" s="122" t="s">
        <v>537</v>
      </c>
      <c r="AH131" s="122" t="s">
        <v>253</v>
      </c>
      <c r="AI131" s="122" t="s">
        <v>1714</v>
      </c>
      <c r="AJ131" s="122" t="s">
        <v>13214</v>
      </c>
      <c r="AK131" s="122" t="s">
        <v>253</v>
      </c>
      <c r="AL131" s="122" t="s">
        <v>253</v>
      </c>
      <c r="AM131" s="122" t="s">
        <v>253</v>
      </c>
      <c r="AN131" s="122" t="s">
        <v>253</v>
      </c>
      <c r="AO131" s="141" t="s">
        <v>247</v>
      </c>
      <c r="AP131" s="141" t="s">
        <v>253</v>
      </c>
      <c r="AQ131" s="141" t="s">
        <v>253</v>
      </c>
      <c r="AR131" s="141" t="s">
        <v>253</v>
      </c>
      <c r="AS131" s="141" t="s">
        <v>601</v>
      </c>
      <c r="AT131" s="141" t="s">
        <v>258</v>
      </c>
      <c r="AU131" s="141" t="s">
        <v>258</v>
      </c>
      <c r="AV131" s="122" t="s">
        <v>259</v>
      </c>
      <c r="AW131" s="122" t="s">
        <v>260</v>
      </c>
      <c r="AY131" s="122" t="s">
        <v>253</v>
      </c>
      <c r="AZ131" s="122" t="s">
        <v>13215</v>
      </c>
      <c r="BA131" s="122" t="s">
        <v>262</v>
      </c>
      <c r="BB131" s="122" t="s">
        <v>262</v>
      </c>
      <c r="BD131" s="122" t="s">
        <v>253</v>
      </c>
      <c r="BE131" s="122" t="s">
        <v>263</v>
      </c>
      <c r="BF131" s="122" t="s">
        <v>2811</v>
      </c>
      <c r="BH131" s="122" t="s">
        <v>2802</v>
      </c>
      <c r="BI131" s="142">
        <v>4</v>
      </c>
    </row>
    <row r="132" spans="1:65" x14ac:dyDescent="0.25">
      <c r="A132" s="122" t="s">
        <v>279</v>
      </c>
      <c r="B132" s="122" t="s">
        <v>13216</v>
      </c>
      <c r="C132" s="122" t="s">
        <v>13217</v>
      </c>
      <c r="D132" s="122" t="s">
        <v>13218</v>
      </c>
      <c r="E132" s="123">
        <v>42233</v>
      </c>
      <c r="F132" s="122" t="s">
        <v>2225</v>
      </c>
      <c r="G132" s="122" t="s">
        <v>235</v>
      </c>
      <c r="H132" s="122" t="s">
        <v>448</v>
      </c>
      <c r="I132" s="122" t="s">
        <v>3081</v>
      </c>
      <c r="J132" s="122" t="s">
        <v>13219</v>
      </c>
      <c r="K132" s="122" t="s">
        <v>238</v>
      </c>
      <c r="L132" s="122" t="s">
        <v>346</v>
      </c>
      <c r="M132" s="122" t="s">
        <v>347</v>
      </c>
      <c r="O132" s="141" t="s">
        <v>548</v>
      </c>
      <c r="P132" s="141" t="s">
        <v>13220</v>
      </c>
      <c r="Q132" s="122" t="s">
        <v>243</v>
      </c>
      <c r="R132" s="142">
        <v>5</v>
      </c>
      <c r="S132" s="122" t="s">
        <v>13221</v>
      </c>
      <c r="U132" s="122" t="s">
        <v>2802</v>
      </c>
      <c r="W132" s="122" t="s">
        <v>246</v>
      </c>
      <c r="X132" s="122" t="s">
        <v>1324</v>
      </c>
      <c r="Y132" s="141" t="s">
        <v>6551</v>
      </c>
      <c r="Z132" s="122" t="s">
        <v>518</v>
      </c>
      <c r="AA132" s="141" t="s">
        <v>1039</v>
      </c>
      <c r="AB132" s="122" t="s">
        <v>13222</v>
      </c>
      <c r="AC132" s="141" t="s">
        <v>593</v>
      </c>
      <c r="AD132" s="122" t="s">
        <v>307</v>
      </c>
      <c r="AE132" s="122" t="s">
        <v>235</v>
      </c>
      <c r="AF132" s="122" t="s">
        <v>13223</v>
      </c>
      <c r="AG132" s="122" t="s">
        <v>537</v>
      </c>
      <c r="AH132" s="122" t="s">
        <v>253</v>
      </c>
      <c r="AI132" s="122" t="s">
        <v>13224</v>
      </c>
      <c r="AJ132" s="122" t="s">
        <v>11461</v>
      </c>
      <c r="AK132" s="122" t="s">
        <v>253</v>
      </c>
      <c r="AL132" s="122" t="s">
        <v>253</v>
      </c>
      <c r="AM132" s="122" t="s">
        <v>253</v>
      </c>
      <c r="AN132" s="122" t="s">
        <v>253</v>
      </c>
      <c r="AO132" s="141" t="s">
        <v>247</v>
      </c>
      <c r="AP132" s="141" t="s">
        <v>247</v>
      </c>
      <c r="AQ132" s="141" t="s">
        <v>247</v>
      </c>
      <c r="AR132" s="141" t="s">
        <v>253</v>
      </c>
      <c r="AS132" s="141" t="s">
        <v>601</v>
      </c>
      <c r="AT132" s="141" t="s">
        <v>601</v>
      </c>
      <c r="AU132" s="141" t="s">
        <v>258</v>
      </c>
      <c r="AV132" s="122" t="s">
        <v>259</v>
      </c>
      <c r="AW132" s="122" t="s">
        <v>260</v>
      </c>
      <c r="AY132" s="122" t="s">
        <v>253</v>
      </c>
      <c r="AZ132" s="122" t="s">
        <v>262</v>
      </c>
      <c r="BA132" s="122" t="s">
        <v>13225</v>
      </c>
      <c r="BB132" s="122" t="s">
        <v>262</v>
      </c>
      <c r="BD132" s="122" t="s">
        <v>253</v>
      </c>
      <c r="BE132" s="122" t="s">
        <v>263</v>
      </c>
      <c r="BF132" s="122" t="s">
        <v>2811</v>
      </c>
      <c r="BH132" s="122" t="s">
        <v>2802</v>
      </c>
      <c r="BI132" s="142">
        <v>5</v>
      </c>
    </row>
    <row r="133" spans="1:65" x14ac:dyDescent="0.25">
      <c r="A133" s="122" t="s">
        <v>279</v>
      </c>
      <c r="B133" s="122" t="s">
        <v>13226</v>
      </c>
      <c r="C133" s="122" t="s">
        <v>13227</v>
      </c>
      <c r="D133" s="122" t="s">
        <v>13228</v>
      </c>
      <c r="E133" s="123">
        <v>42233</v>
      </c>
      <c r="F133" s="122" t="s">
        <v>13229</v>
      </c>
      <c r="G133" s="122" t="s">
        <v>235</v>
      </c>
      <c r="H133" s="122" t="s">
        <v>13230</v>
      </c>
      <c r="I133" s="122" t="s">
        <v>13231</v>
      </c>
      <c r="K133" s="122" t="s">
        <v>238</v>
      </c>
      <c r="L133" s="122" t="s">
        <v>346</v>
      </c>
      <c r="M133" s="122" t="s">
        <v>8834</v>
      </c>
      <c r="O133" s="141" t="s">
        <v>6638</v>
      </c>
      <c r="P133" s="141" t="s">
        <v>13232</v>
      </c>
      <c r="Q133" s="122" t="s">
        <v>243</v>
      </c>
      <c r="R133" s="142">
        <v>6</v>
      </c>
      <c r="S133" s="122" t="s">
        <v>13233</v>
      </c>
      <c r="U133" s="122" t="s">
        <v>2802</v>
      </c>
      <c r="W133" s="122" t="s">
        <v>246</v>
      </c>
      <c r="X133" s="122" t="s">
        <v>278</v>
      </c>
      <c r="Y133" s="141" t="s">
        <v>973</v>
      </c>
      <c r="Z133" s="122" t="s">
        <v>13234</v>
      </c>
      <c r="AA133" s="141" t="s">
        <v>1876</v>
      </c>
      <c r="AB133" s="122" t="s">
        <v>13235</v>
      </c>
      <c r="AC133" s="141" t="s">
        <v>722</v>
      </c>
      <c r="AD133" s="122" t="s">
        <v>13236</v>
      </c>
      <c r="AE133" s="122" t="s">
        <v>235</v>
      </c>
      <c r="AF133" s="122" t="s">
        <v>13237</v>
      </c>
      <c r="AG133" s="122" t="s">
        <v>537</v>
      </c>
      <c r="AH133" s="122" t="s">
        <v>253</v>
      </c>
      <c r="AI133" s="122" t="s">
        <v>13238</v>
      </c>
      <c r="AJ133" s="122" t="s">
        <v>13239</v>
      </c>
      <c r="AK133" s="122" t="s">
        <v>253</v>
      </c>
      <c r="AL133" s="122" t="s">
        <v>253</v>
      </c>
      <c r="AM133" s="122" t="s">
        <v>253</v>
      </c>
      <c r="AN133" s="122" t="s">
        <v>253</v>
      </c>
      <c r="AO133" s="141" t="s">
        <v>247</v>
      </c>
      <c r="AP133" s="141" t="s">
        <v>247</v>
      </c>
      <c r="AQ133" s="141" t="s">
        <v>247</v>
      </c>
      <c r="AR133" s="141" t="s">
        <v>247</v>
      </c>
      <c r="AS133" s="141" t="s">
        <v>601</v>
      </c>
      <c r="AT133" s="141" t="s">
        <v>601</v>
      </c>
      <c r="AU133" s="141" t="s">
        <v>601</v>
      </c>
      <c r="AV133" s="122" t="s">
        <v>259</v>
      </c>
      <c r="AW133" s="122" t="s">
        <v>260</v>
      </c>
      <c r="AY133" s="122" t="s">
        <v>253</v>
      </c>
      <c r="AZ133" s="122" t="s">
        <v>13240</v>
      </c>
      <c r="BA133" s="122" t="s">
        <v>262</v>
      </c>
      <c r="BB133" s="122" t="s">
        <v>13240</v>
      </c>
      <c r="BD133" s="122" t="s">
        <v>253</v>
      </c>
      <c r="BE133" s="122" t="s">
        <v>263</v>
      </c>
      <c r="BF133" s="122" t="s">
        <v>2811</v>
      </c>
      <c r="BH133" s="122" t="s">
        <v>2802</v>
      </c>
      <c r="BI133" s="142">
        <v>6</v>
      </c>
      <c r="BJ133" s="123">
        <v>42236</v>
      </c>
      <c r="BK133" s="139" t="s">
        <v>264</v>
      </c>
      <c r="BL133" s="140">
        <v>231.72</v>
      </c>
      <c r="BM133" s="122">
        <v>34</v>
      </c>
    </row>
    <row r="134" spans="1:65" x14ac:dyDescent="0.25">
      <c r="A134" s="122" t="s">
        <v>279</v>
      </c>
      <c r="B134" s="122" t="s">
        <v>13241</v>
      </c>
      <c r="C134" s="122" t="s">
        <v>13242</v>
      </c>
      <c r="D134" s="122" t="s">
        <v>13243</v>
      </c>
      <c r="E134" s="123">
        <v>42233</v>
      </c>
      <c r="F134" s="122" t="s">
        <v>3647</v>
      </c>
      <c r="G134" s="122" t="s">
        <v>235</v>
      </c>
      <c r="H134" s="122" t="s">
        <v>13244</v>
      </c>
      <c r="I134" s="122" t="s">
        <v>13245</v>
      </c>
      <c r="K134" s="122" t="s">
        <v>238</v>
      </c>
      <c r="L134" s="122" t="s">
        <v>346</v>
      </c>
      <c r="M134" s="122" t="s">
        <v>2862</v>
      </c>
      <c r="O134" s="141" t="s">
        <v>566</v>
      </c>
      <c r="P134" s="141" t="s">
        <v>13246</v>
      </c>
      <c r="Q134" s="122" t="s">
        <v>243</v>
      </c>
      <c r="R134" s="142">
        <v>7</v>
      </c>
      <c r="S134" s="122" t="s">
        <v>13247</v>
      </c>
      <c r="U134" s="122" t="s">
        <v>2802</v>
      </c>
      <c r="W134" s="122" t="s">
        <v>246</v>
      </c>
      <c r="X134" s="122" t="s">
        <v>1324</v>
      </c>
      <c r="Y134" s="141" t="s">
        <v>740</v>
      </c>
      <c r="Z134" s="122" t="s">
        <v>10424</v>
      </c>
      <c r="AA134" s="141" t="s">
        <v>834</v>
      </c>
      <c r="AB134" s="122" t="s">
        <v>10424</v>
      </c>
      <c r="AC134" s="141" t="s">
        <v>901</v>
      </c>
      <c r="AD134" s="122" t="s">
        <v>10424</v>
      </c>
      <c r="AE134" s="122" t="s">
        <v>235</v>
      </c>
      <c r="AF134" s="122" t="s">
        <v>13248</v>
      </c>
      <c r="AG134" s="122" t="s">
        <v>537</v>
      </c>
      <c r="AH134" s="122" t="s">
        <v>253</v>
      </c>
      <c r="AI134" s="122" t="s">
        <v>13249</v>
      </c>
      <c r="AJ134" s="122" t="s">
        <v>13250</v>
      </c>
      <c r="AK134" s="122" t="s">
        <v>253</v>
      </c>
      <c r="AL134" s="122" t="s">
        <v>253</v>
      </c>
      <c r="AM134" s="122" t="s">
        <v>253</v>
      </c>
      <c r="AN134" s="122" t="s">
        <v>253</v>
      </c>
      <c r="AO134" s="141" t="s">
        <v>247</v>
      </c>
      <c r="AP134" s="141" t="s">
        <v>247</v>
      </c>
      <c r="AQ134" s="141" t="s">
        <v>253</v>
      </c>
      <c r="AR134" s="141" t="s">
        <v>253</v>
      </c>
      <c r="AS134" s="141" t="s">
        <v>601</v>
      </c>
      <c r="AT134" s="141" t="s">
        <v>258</v>
      </c>
      <c r="AU134" s="141" t="s">
        <v>258</v>
      </c>
      <c r="AV134" s="122" t="s">
        <v>259</v>
      </c>
      <c r="AW134" s="122" t="s">
        <v>260</v>
      </c>
      <c r="AY134" s="122" t="s">
        <v>253</v>
      </c>
      <c r="AZ134" s="122" t="s">
        <v>13251</v>
      </c>
      <c r="BA134" s="122" t="s">
        <v>262</v>
      </c>
      <c r="BB134" s="122" t="s">
        <v>262</v>
      </c>
      <c r="BD134" s="122" t="s">
        <v>253</v>
      </c>
      <c r="BE134" s="122" t="s">
        <v>263</v>
      </c>
      <c r="BF134" s="122" t="s">
        <v>2811</v>
      </c>
      <c r="BH134" s="122" t="s">
        <v>2802</v>
      </c>
      <c r="BI134" s="142">
        <v>7</v>
      </c>
    </row>
    <row r="135" spans="1:65" x14ac:dyDescent="0.25">
      <c r="A135" s="122" t="s">
        <v>279</v>
      </c>
      <c r="B135" s="122" t="s">
        <v>13252</v>
      </c>
      <c r="C135" s="122" t="s">
        <v>13253</v>
      </c>
      <c r="D135" s="122" t="s">
        <v>13254</v>
      </c>
      <c r="E135" s="123">
        <v>42233</v>
      </c>
      <c r="F135" s="122" t="s">
        <v>1888</v>
      </c>
      <c r="G135" s="122" t="s">
        <v>235</v>
      </c>
      <c r="H135" s="122" t="s">
        <v>13255</v>
      </c>
      <c r="I135" s="122" t="s">
        <v>13256</v>
      </c>
      <c r="K135" s="122" t="s">
        <v>238</v>
      </c>
      <c r="L135" s="122" t="s">
        <v>346</v>
      </c>
      <c r="M135" s="122" t="s">
        <v>3018</v>
      </c>
      <c r="O135" s="141" t="s">
        <v>5644</v>
      </c>
      <c r="P135" s="141" t="s">
        <v>13257</v>
      </c>
      <c r="Q135" s="122" t="s">
        <v>243</v>
      </c>
      <c r="R135" s="142">
        <v>8</v>
      </c>
      <c r="S135" s="122" t="s">
        <v>13258</v>
      </c>
      <c r="U135" s="122" t="s">
        <v>2802</v>
      </c>
      <c r="W135" s="122" t="s">
        <v>246</v>
      </c>
      <c r="X135" s="122" t="s">
        <v>1377</v>
      </c>
      <c r="Y135" s="141" t="s">
        <v>888</v>
      </c>
      <c r="Z135" s="122" t="s">
        <v>1792</v>
      </c>
      <c r="AA135" s="141" t="s">
        <v>973</v>
      </c>
      <c r="AB135" s="122" t="s">
        <v>1792</v>
      </c>
      <c r="AC135" s="141" t="s">
        <v>784</v>
      </c>
      <c r="AD135" s="122" t="s">
        <v>13259</v>
      </c>
      <c r="AE135" s="122" t="s">
        <v>235</v>
      </c>
      <c r="AF135" s="122" t="s">
        <v>13260</v>
      </c>
      <c r="AG135" s="122" t="s">
        <v>537</v>
      </c>
      <c r="AH135" s="122" t="s">
        <v>253</v>
      </c>
      <c r="AI135" s="122" t="s">
        <v>13261</v>
      </c>
      <c r="AJ135" s="122" t="s">
        <v>13262</v>
      </c>
      <c r="AK135" s="122" t="s">
        <v>253</v>
      </c>
      <c r="AL135" s="122" t="s">
        <v>253</v>
      </c>
      <c r="AM135" s="122" t="s">
        <v>253</v>
      </c>
      <c r="AN135" s="122" t="s">
        <v>253</v>
      </c>
      <c r="AO135" s="141" t="s">
        <v>247</v>
      </c>
      <c r="AP135" s="141" t="s">
        <v>247</v>
      </c>
      <c r="AQ135" s="141" t="s">
        <v>247</v>
      </c>
      <c r="AR135" s="141" t="s">
        <v>253</v>
      </c>
      <c r="AS135" s="141" t="s">
        <v>601</v>
      </c>
      <c r="AT135" s="141" t="s">
        <v>601</v>
      </c>
      <c r="AU135" s="141" t="s">
        <v>258</v>
      </c>
      <c r="AV135" s="122" t="s">
        <v>259</v>
      </c>
      <c r="AW135" s="122" t="s">
        <v>260</v>
      </c>
      <c r="AX135" s="141" t="s">
        <v>980</v>
      </c>
      <c r="AY135" s="122" t="s">
        <v>247</v>
      </c>
      <c r="AZ135" s="122" t="s">
        <v>13263</v>
      </c>
      <c r="BA135" s="122" t="s">
        <v>262</v>
      </c>
      <c r="BB135" s="122" t="s">
        <v>262</v>
      </c>
      <c r="BD135" s="122" t="s">
        <v>253</v>
      </c>
      <c r="BE135" s="122" t="s">
        <v>263</v>
      </c>
      <c r="BF135" s="122" t="s">
        <v>2811</v>
      </c>
      <c r="BH135" s="122" t="s">
        <v>2802</v>
      </c>
      <c r="BI135" s="142">
        <v>8</v>
      </c>
    </row>
    <row r="136" spans="1:65" x14ac:dyDescent="0.25">
      <c r="A136" s="122" t="s">
        <v>326</v>
      </c>
      <c r="B136" s="122" t="s">
        <v>13264</v>
      </c>
      <c r="C136" s="122" t="s">
        <v>13265</v>
      </c>
      <c r="D136" s="122" t="s">
        <v>13266</v>
      </c>
      <c r="E136" s="123">
        <v>42233</v>
      </c>
      <c r="F136" s="122" t="s">
        <v>13267</v>
      </c>
      <c r="G136" s="122" t="s">
        <v>235</v>
      </c>
      <c r="H136" s="122" t="s">
        <v>13268</v>
      </c>
      <c r="I136" s="122" t="s">
        <v>13269</v>
      </c>
      <c r="K136" s="122" t="s">
        <v>238</v>
      </c>
      <c r="L136" s="122" t="s">
        <v>346</v>
      </c>
      <c r="M136" s="122" t="s">
        <v>1054</v>
      </c>
      <c r="O136" s="141" t="s">
        <v>273</v>
      </c>
      <c r="P136" s="141" t="s">
        <v>13270</v>
      </c>
      <c r="Q136" s="122" t="s">
        <v>243</v>
      </c>
      <c r="R136" s="142">
        <v>9</v>
      </c>
      <c r="S136" s="122" t="s">
        <v>13271</v>
      </c>
      <c r="U136" s="122" t="s">
        <v>2802</v>
      </c>
      <c r="W136" s="122" t="s">
        <v>246</v>
      </c>
      <c r="X136" s="122" t="s">
        <v>2624</v>
      </c>
      <c r="Y136" s="141" t="s">
        <v>2010</v>
      </c>
      <c r="Z136" s="122" t="s">
        <v>13272</v>
      </c>
      <c r="AA136" s="141" t="s">
        <v>234</v>
      </c>
      <c r="AB136" s="122" t="s">
        <v>13273</v>
      </c>
      <c r="AC136" s="141" t="s">
        <v>920</v>
      </c>
      <c r="AD136" s="122" t="s">
        <v>13272</v>
      </c>
      <c r="AE136" s="122" t="s">
        <v>235</v>
      </c>
      <c r="AF136" s="122" t="s">
        <v>13274</v>
      </c>
      <c r="AG136" s="122" t="s">
        <v>253</v>
      </c>
      <c r="AH136" s="122" t="s">
        <v>253</v>
      </c>
      <c r="AI136" s="122" t="s">
        <v>13275</v>
      </c>
      <c r="AJ136" s="122" t="s">
        <v>13276</v>
      </c>
      <c r="AK136" s="122" t="s">
        <v>13277</v>
      </c>
      <c r="AL136" s="122" t="s">
        <v>253</v>
      </c>
      <c r="AM136" s="122" t="s">
        <v>253</v>
      </c>
      <c r="AN136" s="122" t="s">
        <v>253</v>
      </c>
      <c r="AO136" s="141" t="s">
        <v>247</v>
      </c>
      <c r="AP136" s="141" t="s">
        <v>247</v>
      </c>
      <c r="AQ136" s="141" t="s">
        <v>253</v>
      </c>
      <c r="AR136" s="141" t="s">
        <v>253</v>
      </c>
      <c r="AS136" s="141" t="s">
        <v>601</v>
      </c>
      <c r="AT136" s="141" t="s">
        <v>258</v>
      </c>
      <c r="AU136" s="141" t="s">
        <v>258</v>
      </c>
      <c r="AV136" s="122" t="s">
        <v>259</v>
      </c>
      <c r="AW136" s="122" t="s">
        <v>260</v>
      </c>
      <c r="AY136" s="122" t="s">
        <v>253</v>
      </c>
      <c r="AZ136" s="122" t="s">
        <v>13278</v>
      </c>
      <c r="BA136" s="122" t="s">
        <v>262</v>
      </c>
      <c r="BB136" s="122" t="s">
        <v>262</v>
      </c>
      <c r="BD136" s="122" t="s">
        <v>253</v>
      </c>
      <c r="BE136" s="122" t="s">
        <v>263</v>
      </c>
      <c r="BF136" s="122" t="s">
        <v>2811</v>
      </c>
      <c r="BH136" s="122" t="s">
        <v>2802</v>
      </c>
      <c r="BI136" s="142">
        <v>9</v>
      </c>
    </row>
    <row r="137" spans="1:65" x14ac:dyDescent="0.25">
      <c r="A137" s="122" t="s">
        <v>326</v>
      </c>
      <c r="B137" s="122" t="s">
        <v>13279</v>
      </c>
      <c r="C137" s="122" t="s">
        <v>13280</v>
      </c>
      <c r="D137" s="122" t="s">
        <v>13281</v>
      </c>
      <c r="E137" s="123">
        <v>42233</v>
      </c>
      <c r="F137" s="122" t="s">
        <v>1596</v>
      </c>
      <c r="G137" s="122" t="s">
        <v>235</v>
      </c>
      <c r="H137" s="122" t="s">
        <v>448</v>
      </c>
      <c r="I137" s="122" t="s">
        <v>13282</v>
      </c>
      <c r="K137" s="122" t="s">
        <v>238</v>
      </c>
      <c r="L137" s="122" t="s">
        <v>346</v>
      </c>
      <c r="M137" s="122" t="s">
        <v>2830</v>
      </c>
      <c r="O137" s="141" t="s">
        <v>566</v>
      </c>
      <c r="P137" s="141" t="s">
        <v>13283</v>
      </c>
      <c r="Q137" s="122" t="s">
        <v>243</v>
      </c>
      <c r="R137" s="142">
        <v>10</v>
      </c>
      <c r="S137" s="122" t="s">
        <v>13284</v>
      </c>
      <c r="U137" s="122" t="s">
        <v>2802</v>
      </c>
      <c r="W137" s="122" t="s">
        <v>246</v>
      </c>
      <c r="X137" s="122" t="s">
        <v>853</v>
      </c>
      <c r="Z137" s="122" t="s">
        <v>250</v>
      </c>
      <c r="AB137" s="122" t="s">
        <v>250</v>
      </c>
      <c r="AD137" s="122" t="s">
        <v>250</v>
      </c>
      <c r="AE137" s="122" t="s">
        <v>235</v>
      </c>
      <c r="AF137" s="122" t="s">
        <v>13285</v>
      </c>
      <c r="AG137" s="122" t="s">
        <v>253</v>
      </c>
      <c r="AH137" s="122" t="s">
        <v>253</v>
      </c>
      <c r="AI137" s="122" t="s">
        <v>1943</v>
      </c>
      <c r="AJ137" s="122" t="s">
        <v>5998</v>
      </c>
      <c r="AK137" s="122" t="s">
        <v>1945</v>
      </c>
      <c r="AL137" s="122" t="s">
        <v>253</v>
      </c>
      <c r="AM137" s="122" t="s">
        <v>253</v>
      </c>
      <c r="AN137" s="122" t="s">
        <v>253</v>
      </c>
      <c r="AO137" s="141" t="s">
        <v>247</v>
      </c>
      <c r="AP137" s="141" t="s">
        <v>247</v>
      </c>
      <c r="AQ137" s="141" t="s">
        <v>247</v>
      </c>
      <c r="AR137" s="141" t="s">
        <v>247</v>
      </c>
      <c r="AS137" s="141" t="s">
        <v>601</v>
      </c>
      <c r="AT137" s="141" t="s">
        <v>601</v>
      </c>
      <c r="AU137" s="141" t="s">
        <v>601</v>
      </c>
      <c r="AV137" s="122" t="s">
        <v>259</v>
      </c>
      <c r="AW137" s="122" t="s">
        <v>260</v>
      </c>
      <c r="AY137" s="122" t="s">
        <v>253</v>
      </c>
      <c r="AZ137" s="122" t="s">
        <v>262</v>
      </c>
      <c r="BA137" s="122" t="s">
        <v>262</v>
      </c>
      <c r="BB137" s="122" t="s">
        <v>262</v>
      </c>
      <c r="BD137" s="122" t="s">
        <v>253</v>
      </c>
      <c r="BE137" s="122" t="s">
        <v>263</v>
      </c>
      <c r="BF137" s="122" t="s">
        <v>2811</v>
      </c>
      <c r="BH137" s="122" t="s">
        <v>2802</v>
      </c>
      <c r="BI137" s="142">
        <v>10</v>
      </c>
    </row>
    <row r="138" spans="1:65" x14ac:dyDescent="0.25">
      <c r="A138" s="122" t="s">
        <v>326</v>
      </c>
      <c r="B138" s="122" t="s">
        <v>13286</v>
      </c>
      <c r="C138" s="122" t="s">
        <v>13287</v>
      </c>
      <c r="D138" s="122" t="s">
        <v>13288</v>
      </c>
      <c r="E138" s="123">
        <v>42233</v>
      </c>
      <c r="F138" s="122" t="s">
        <v>2804</v>
      </c>
      <c r="G138" s="122" t="s">
        <v>235</v>
      </c>
      <c r="H138" s="122" t="s">
        <v>13289</v>
      </c>
      <c r="I138" s="122" t="s">
        <v>13290</v>
      </c>
      <c r="J138" s="122" t="s">
        <v>13291</v>
      </c>
      <c r="K138" s="122" t="s">
        <v>238</v>
      </c>
      <c r="L138" s="122" t="s">
        <v>346</v>
      </c>
      <c r="M138" s="122" t="s">
        <v>585</v>
      </c>
      <c r="O138" s="141" t="s">
        <v>566</v>
      </c>
      <c r="P138" s="141" t="s">
        <v>13292</v>
      </c>
      <c r="Q138" s="122" t="s">
        <v>243</v>
      </c>
      <c r="R138" s="142">
        <v>11</v>
      </c>
      <c r="S138" s="122" t="s">
        <v>13293</v>
      </c>
      <c r="U138" s="122" t="s">
        <v>2802</v>
      </c>
      <c r="W138" s="122" t="s">
        <v>246</v>
      </c>
      <c r="X138" s="122" t="s">
        <v>3147</v>
      </c>
      <c r="Y138" s="141" t="s">
        <v>833</v>
      </c>
      <c r="Z138" s="122" t="s">
        <v>307</v>
      </c>
      <c r="AB138" s="122" t="s">
        <v>250</v>
      </c>
      <c r="AD138" s="122" t="s">
        <v>250</v>
      </c>
      <c r="AE138" s="122" t="s">
        <v>235</v>
      </c>
      <c r="AF138" s="122" t="s">
        <v>13294</v>
      </c>
      <c r="AG138" s="122" t="s">
        <v>537</v>
      </c>
      <c r="AH138" s="122" t="s">
        <v>5913</v>
      </c>
      <c r="AI138" s="122" t="s">
        <v>6220</v>
      </c>
      <c r="AJ138" s="122" t="s">
        <v>6222</v>
      </c>
      <c r="AK138" s="122" t="s">
        <v>253</v>
      </c>
      <c r="AL138" s="122" t="s">
        <v>253</v>
      </c>
      <c r="AM138" s="122" t="s">
        <v>253</v>
      </c>
      <c r="AN138" s="122" t="s">
        <v>253</v>
      </c>
      <c r="AO138" s="141" t="s">
        <v>247</v>
      </c>
      <c r="AP138" s="141" t="s">
        <v>247</v>
      </c>
      <c r="AQ138" s="141" t="s">
        <v>247</v>
      </c>
      <c r="AR138" s="141" t="s">
        <v>253</v>
      </c>
      <c r="AS138" s="141" t="s">
        <v>601</v>
      </c>
      <c r="AT138" s="141" t="s">
        <v>601</v>
      </c>
      <c r="AU138" s="141" t="s">
        <v>258</v>
      </c>
      <c r="AV138" s="122" t="s">
        <v>259</v>
      </c>
      <c r="AW138" s="122" t="s">
        <v>260</v>
      </c>
      <c r="AY138" s="122" t="s">
        <v>253</v>
      </c>
      <c r="AZ138" s="122" t="s">
        <v>13295</v>
      </c>
      <c r="BA138" s="122" t="s">
        <v>262</v>
      </c>
      <c r="BB138" s="122" t="s">
        <v>13296</v>
      </c>
      <c r="BD138" s="122" t="s">
        <v>253</v>
      </c>
      <c r="BE138" s="122" t="s">
        <v>263</v>
      </c>
      <c r="BF138" s="122" t="s">
        <v>2811</v>
      </c>
      <c r="BH138" s="122" t="s">
        <v>2802</v>
      </c>
      <c r="BI138" s="142">
        <v>11</v>
      </c>
    </row>
    <row r="139" spans="1:65" x14ac:dyDescent="0.25">
      <c r="A139" s="122" t="s">
        <v>11841</v>
      </c>
      <c r="B139" s="122" t="s">
        <v>13297</v>
      </c>
      <c r="C139" s="122" t="s">
        <v>13298</v>
      </c>
      <c r="D139" s="122" t="s">
        <v>13299</v>
      </c>
      <c r="E139" s="123">
        <v>42233</v>
      </c>
      <c r="F139" s="122" t="s">
        <v>13300</v>
      </c>
      <c r="G139" s="122" t="s">
        <v>235</v>
      </c>
      <c r="H139" s="122" t="s">
        <v>448</v>
      </c>
      <c r="I139" s="122" t="s">
        <v>13301</v>
      </c>
      <c r="K139" s="122" t="s">
        <v>238</v>
      </c>
      <c r="L139" s="122" t="s">
        <v>346</v>
      </c>
      <c r="M139" s="122" t="s">
        <v>8834</v>
      </c>
      <c r="O139" s="141" t="s">
        <v>566</v>
      </c>
      <c r="P139" s="141" t="s">
        <v>13302</v>
      </c>
      <c r="Q139" s="122" t="s">
        <v>243</v>
      </c>
      <c r="R139" s="142">
        <v>12</v>
      </c>
      <c r="S139" s="122" t="s">
        <v>13303</v>
      </c>
      <c r="U139" s="122" t="s">
        <v>2802</v>
      </c>
      <c r="W139" s="122" t="s">
        <v>246</v>
      </c>
      <c r="X139" s="122" t="s">
        <v>1121</v>
      </c>
      <c r="Y139" s="141" t="s">
        <v>2072</v>
      </c>
      <c r="Z139" s="122" t="s">
        <v>13304</v>
      </c>
      <c r="AA139" s="141" t="s">
        <v>1090</v>
      </c>
      <c r="AB139" s="122" t="s">
        <v>1792</v>
      </c>
      <c r="AC139" s="141" t="s">
        <v>5981</v>
      </c>
      <c r="AD139" s="122" t="s">
        <v>800</v>
      </c>
      <c r="AE139" s="122" t="s">
        <v>235</v>
      </c>
      <c r="AF139" s="122" t="s">
        <v>13305</v>
      </c>
      <c r="AG139" s="122" t="s">
        <v>537</v>
      </c>
      <c r="AH139" s="122" t="s">
        <v>253</v>
      </c>
      <c r="AI139" s="122" t="s">
        <v>13306</v>
      </c>
      <c r="AJ139" s="122" t="s">
        <v>13307</v>
      </c>
      <c r="AK139" s="122" t="s">
        <v>253</v>
      </c>
      <c r="AL139" s="122" t="s">
        <v>253</v>
      </c>
      <c r="AM139" s="122" t="s">
        <v>253</v>
      </c>
      <c r="AN139" s="122" t="s">
        <v>253</v>
      </c>
      <c r="AO139" s="141" t="s">
        <v>247</v>
      </c>
      <c r="AP139" s="141" t="s">
        <v>247</v>
      </c>
      <c r="AQ139" s="141" t="s">
        <v>247</v>
      </c>
      <c r="AR139" s="141" t="s">
        <v>253</v>
      </c>
      <c r="AS139" s="141" t="s">
        <v>601</v>
      </c>
      <c r="AT139" s="141" t="s">
        <v>601</v>
      </c>
      <c r="AU139" s="141" t="s">
        <v>258</v>
      </c>
      <c r="AV139" s="122" t="s">
        <v>259</v>
      </c>
      <c r="AW139" s="122" t="s">
        <v>260</v>
      </c>
      <c r="AY139" s="122" t="s">
        <v>253</v>
      </c>
      <c r="AZ139" s="122" t="s">
        <v>262</v>
      </c>
      <c r="BA139" s="122" t="s">
        <v>262</v>
      </c>
      <c r="BB139" s="122" t="s">
        <v>13308</v>
      </c>
      <c r="BD139" s="122" t="s">
        <v>253</v>
      </c>
      <c r="BE139" s="122" t="s">
        <v>263</v>
      </c>
      <c r="BF139" s="122" t="s">
        <v>2811</v>
      </c>
      <c r="BH139" s="122" t="s">
        <v>2802</v>
      </c>
      <c r="BI139" s="142">
        <v>12</v>
      </c>
    </row>
    <row r="140" spans="1:65" x14ac:dyDescent="0.25">
      <c r="A140" s="122" t="s">
        <v>11841</v>
      </c>
      <c r="B140" s="122" t="s">
        <v>13309</v>
      </c>
      <c r="C140" s="122" t="s">
        <v>13310</v>
      </c>
      <c r="D140" s="122" t="s">
        <v>13034</v>
      </c>
      <c r="E140" s="123">
        <v>42233</v>
      </c>
      <c r="F140" s="122" t="s">
        <v>3520</v>
      </c>
      <c r="G140" s="122" t="s">
        <v>235</v>
      </c>
      <c r="H140" s="122" t="s">
        <v>13311</v>
      </c>
      <c r="I140" s="122" t="s">
        <v>13312</v>
      </c>
      <c r="K140" s="122" t="s">
        <v>238</v>
      </c>
      <c r="L140" s="122" t="s">
        <v>346</v>
      </c>
      <c r="M140" s="122" t="s">
        <v>2847</v>
      </c>
      <c r="O140" s="141" t="s">
        <v>665</v>
      </c>
      <c r="P140" s="141" t="s">
        <v>13313</v>
      </c>
      <c r="Q140" s="122" t="s">
        <v>243</v>
      </c>
      <c r="R140" s="142">
        <v>13</v>
      </c>
      <c r="S140" s="122" t="s">
        <v>13314</v>
      </c>
      <c r="U140" s="122" t="s">
        <v>2802</v>
      </c>
      <c r="W140" s="122" t="s">
        <v>246</v>
      </c>
      <c r="X140" s="122" t="s">
        <v>1324</v>
      </c>
      <c r="Z140" s="122" t="s">
        <v>250</v>
      </c>
      <c r="AB140" s="122" t="s">
        <v>250</v>
      </c>
      <c r="AD140" s="122" t="s">
        <v>250</v>
      </c>
      <c r="AE140" s="122" t="s">
        <v>235</v>
      </c>
      <c r="AF140" s="122" t="s">
        <v>13315</v>
      </c>
      <c r="AG140" s="122" t="s">
        <v>537</v>
      </c>
      <c r="AH140" s="122" t="s">
        <v>253</v>
      </c>
      <c r="AI140" s="122" t="s">
        <v>13316</v>
      </c>
      <c r="AJ140" s="122" t="s">
        <v>1945</v>
      </c>
      <c r="AK140" s="122" t="s">
        <v>253</v>
      </c>
      <c r="AL140" s="122" t="s">
        <v>253</v>
      </c>
      <c r="AM140" s="122" t="s">
        <v>253</v>
      </c>
      <c r="AN140" s="122" t="s">
        <v>253</v>
      </c>
      <c r="AO140" s="141" t="s">
        <v>247</v>
      </c>
      <c r="AP140" s="141" t="s">
        <v>247</v>
      </c>
      <c r="AQ140" s="141" t="s">
        <v>247</v>
      </c>
      <c r="AR140" s="141" t="s">
        <v>247</v>
      </c>
      <c r="AS140" s="141" t="s">
        <v>601</v>
      </c>
      <c r="AT140" s="141" t="s">
        <v>601</v>
      </c>
      <c r="AU140" s="141" t="s">
        <v>601</v>
      </c>
      <c r="AV140" s="122" t="s">
        <v>259</v>
      </c>
      <c r="AW140" s="122" t="s">
        <v>260</v>
      </c>
      <c r="AY140" s="122" t="s">
        <v>253</v>
      </c>
      <c r="AZ140" s="122" t="s">
        <v>13317</v>
      </c>
      <c r="BA140" s="122" t="s">
        <v>262</v>
      </c>
      <c r="BB140" s="122" t="s">
        <v>262</v>
      </c>
      <c r="BD140" s="122" t="s">
        <v>253</v>
      </c>
      <c r="BE140" s="122" t="s">
        <v>263</v>
      </c>
      <c r="BF140" s="122" t="s">
        <v>2811</v>
      </c>
      <c r="BH140" s="122" t="s">
        <v>2802</v>
      </c>
      <c r="BI140" s="142">
        <v>13</v>
      </c>
    </row>
    <row r="141" spans="1:65" x14ac:dyDescent="0.25">
      <c r="A141" s="122" t="s">
        <v>11841</v>
      </c>
      <c r="B141" s="122" t="s">
        <v>13318</v>
      </c>
      <c r="C141" s="122" t="s">
        <v>13319</v>
      </c>
      <c r="D141" s="122" t="s">
        <v>13320</v>
      </c>
      <c r="E141" s="123">
        <v>42233</v>
      </c>
      <c r="F141" s="122" t="s">
        <v>13321</v>
      </c>
      <c r="G141" s="122" t="s">
        <v>235</v>
      </c>
      <c r="H141" s="122" t="s">
        <v>13322</v>
      </c>
      <c r="I141" s="122" t="s">
        <v>13323</v>
      </c>
      <c r="K141" s="122" t="s">
        <v>238</v>
      </c>
      <c r="L141" s="122" t="s">
        <v>346</v>
      </c>
      <c r="M141" s="122" t="s">
        <v>2862</v>
      </c>
      <c r="O141" s="141" t="s">
        <v>566</v>
      </c>
      <c r="P141" s="141" t="s">
        <v>13324</v>
      </c>
      <c r="Q141" s="122" t="s">
        <v>243</v>
      </c>
      <c r="R141" s="142">
        <v>14</v>
      </c>
      <c r="S141" s="122" t="s">
        <v>13325</v>
      </c>
      <c r="U141" s="122" t="s">
        <v>2802</v>
      </c>
      <c r="W141" s="122" t="s">
        <v>246</v>
      </c>
      <c r="X141" s="122" t="s">
        <v>551</v>
      </c>
      <c r="Y141" s="141" t="s">
        <v>230</v>
      </c>
      <c r="Z141" s="122" t="s">
        <v>13326</v>
      </c>
      <c r="AA141" s="141" t="s">
        <v>2257</v>
      </c>
      <c r="AB141" s="122" t="s">
        <v>1792</v>
      </c>
      <c r="AC141" s="141" t="s">
        <v>457</v>
      </c>
      <c r="AD141" s="122" t="s">
        <v>13327</v>
      </c>
      <c r="AE141" s="122" t="s">
        <v>235</v>
      </c>
      <c r="AF141" s="122" t="s">
        <v>13328</v>
      </c>
      <c r="AG141" s="122" t="s">
        <v>537</v>
      </c>
      <c r="AH141" s="122" t="s">
        <v>253</v>
      </c>
      <c r="AI141" s="122" t="s">
        <v>13329</v>
      </c>
      <c r="AJ141" s="122" t="s">
        <v>13330</v>
      </c>
      <c r="AK141" s="122" t="s">
        <v>253</v>
      </c>
      <c r="AL141" s="122" t="s">
        <v>253</v>
      </c>
      <c r="AM141" s="122" t="s">
        <v>253</v>
      </c>
      <c r="AN141" s="122" t="s">
        <v>253</v>
      </c>
      <c r="AO141" s="141" t="s">
        <v>247</v>
      </c>
      <c r="AP141" s="141" t="s">
        <v>247</v>
      </c>
      <c r="AQ141" s="141" t="s">
        <v>247</v>
      </c>
      <c r="AR141" s="141" t="s">
        <v>253</v>
      </c>
      <c r="AS141" s="141" t="s">
        <v>601</v>
      </c>
      <c r="AT141" s="141" t="s">
        <v>601</v>
      </c>
      <c r="AU141" s="141" t="s">
        <v>258</v>
      </c>
      <c r="AV141" s="122" t="s">
        <v>259</v>
      </c>
      <c r="AW141" s="122" t="s">
        <v>260</v>
      </c>
      <c r="AX141" s="141" t="s">
        <v>1130</v>
      </c>
      <c r="AY141" s="122" t="s">
        <v>603</v>
      </c>
      <c r="AZ141" s="122" t="s">
        <v>13331</v>
      </c>
      <c r="BA141" s="122" t="s">
        <v>13331</v>
      </c>
      <c r="BB141" s="122" t="s">
        <v>13332</v>
      </c>
      <c r="BD141" s="122" t="s">
        <v>253</v>
      </c>
      <c r="BE141" s="122" t="s">
        <v>263</v>
      </c>
      <c r="BF141" s="122" t="s">
        <v>2811</v>
      </c>
      <c r="BH141" s="122" t="s">
        <v>2802</v>
      </c>
      <c r="BI141" s="142">
        <v>14</v>
      </c>
    </row>
    <row r="142" spans="1:65" x14ac:dyDescent="0.25">
      <c r="A142" s="122" t="s">
        <v>9031</v>
      </c>
      <c r="B142" s="122" t="s">
        <v>13333</v>
      </c>
      <c r="C142" s="122" t="s">
        <v>13334</v>
      </c>
      <c r="D142" s="122" t="s">
        <v>13335</v>
      </c>
      <c r="E142" s="123">
        <v>42233</v>
      </c>
      <c r="F142" s="122" t="s">
        <v>5523</v>
      </c>
      <c r="G142" s="122" t="s">
        <v>235</v>
      </c>
      <c r="H142" s="122" t="s">
        <v>13336</v>
      </c>
      <c r="I142" s="122" t="s">
        <v>13337</v>
      </c>
      <c r="K142" s="122" t="s">
        <v>238</v>
      </c>
      <c r="L142" s="122" t="s">
        <v>346</v>
      </c>
      <c r="M142" s="122" t="s">
        <v>2963</v>
      </c>
      <c r="O142" s="141" t="s">
        <v>1240</v>
      </c>
      <c r="P142" s="141" t="s">
        <v>13338</v>
      </c>
      <c r="Q142" s="122" t="s">
        <v>243</v>
      </c>
      <c r="R142" s="142">
        <v>15</v>
      </c>
      <c r="S142" s="122" t="s">
        <v>13339</v>
      </c>
      <c r="U142" s="122" t="s">
        <v>2802</v>
      </c>
      <c r="W142" s="122" t="s">
        <v>246</v>
      </c>
      <c r="X142" s="122" t="s">
        <v>3147</v>
      </c>
      <c r="Y142" s="141" t="s">
        <v>1256</v>
      </c>
      <c r="Z142" s="122" t="s">
        <v>13340</v>
      </c>
      <c r="AA142" s="141" t="s">
        <v>595</v>
      </c>
      <c r="AB142" s="122" t="s">
        <v>8650</v>
      </c>
      <c r="AC142" s="141" t="s">
        <v>1567</v>
      </c>
      <c r="AD142" s="122" t="s">
        <v>13341</v>
      </c>
      <c r="AE142" s="122" t="s">
        <v>235</v>
      </c>
      <c r="AF142" s="122" t="s">
        <v>13342</v>
      </c>
      <c r="AG142" s="122" t="s">
        <v>747</v>
      </c>
      <c r="AH142" s="122" t="s">
        <v>253</v>
      </c>
      <c r="AI142" s="122" t="s">
        <v>13343</v>
      </c>
      <c r="AJ142" s="122" t="s">
        <v>13344</v>
      </c>
      <c r="AK142" s="122" t="s">
        <v>253</v>
      </c>
      <c r="AL142" s="122" t="s">
        <v>253</v>
      </c>
      <c r="AM142" s="122" t="s">
        <v>253</v>
      </c>
      <c r="AN142" s="122" t="s">
        <v>253</v>
      </c>
      <c r="AO142" s="141" t="s">
        <v>247</v>
      </c>
      <c r="AP142" s="141" t="s">
        <v>247</v>
      </c>
      <c r="AQ142" s="141" t="s">
        <v>247</v>
      </c>
      <c r="AR142" s="141" t="s">
        <v>247</v>
      </c>
      <c r="AS142" s="141" t="s">
        <v>601</v>
      </c>
      <c r="AT142" s="141" t="s">
        <v>601</v>
      </c>
      <c r="AU142" s="141" t="s">
        <v>601</v>
      </c>
      <c r="AV142" s="122" t="s">
        <v>259</v>
      </c>
      <c r="AW142" s="122" t="s">
        <v>260</v>
      </c>
      <c r="AX142" s="141" t="s">
        <v>3027</v>
      </c>
      <c r="AY142" s="122" t="s">
        <v>247</v>
      </c>
      <c r="AZ142" s="122" t="s">
        <v>13345</v>
      </c>
      <c r="BA142" s="122" t="s">
        <v>13345</v>
      </c>
      <c r="BB142" s="122" t="s">
        <v>13345</v>
      </c>
      <c r="BD142" s="122" t="s">
        <v>253</v>
      </c>
      <c r="BE142" s="122" t="s">
        <v>263</v>
      </c>
      <c r="BF142" s="122" t="s">
        <v>2811</v>
      </c>
      <c r="BH142" s="122" t="s">
        <v>2802</v>
      </c>
      <c r="BI142" s="142">
        <v>15</v>
      </c>
    </row>
    <row r="143" spans="1:65" x14ac:dyDescent="0.25">
      <c r="A143" s="122" t="s">
        <v>9031</v>
      </c>
      <c r="B143" s="122" t="s">
        <v>13346</v>
      </c>
      <c r="C143" s="122" t="s">
        <v>13347</v>
      </c>
      <c r="D143" s="122" t="s">
        <v>13348</v>
      </c>
      <c r="E143" s="123">
        <v>42233</v>
      </c>
      <c r="F143" s="122" t="s">
        <v>1179</v>
      </c>
      <c r="G143" s="122" t="s">
        <v>235</v>
      </c>
      <c r="H143" s="122" t="s">
        <v>13349</v>
      </c>
      <c r="I143" s="122" t="s">
        <v>13350</v>
      </c>
      <c r="K143" s="122" t="s">
        <v>238</v>
      </c>
      <c r="L143" s="122" t="s">
        <v>346</v>
      </c>
      <c r="M143" s="122" t="s">
        <v>1054</v>
      </c>
      <c r="O143" s="141" t="s">
        <v>451</v>
      </c>
      <c r="P143" s="141" t="s">
        <v>13351</v>
      </c>
      <c r="Q143" s="122" t="s">
        <v>243</v>
      </c>
      <c r="R143" s="142">
        <v>16</v>
      </c>
      <c r="S143" s="122" t="s">
        <v>13352</v>
      </c>
      <c r="U143" s="122" t="s">
        <v>2802</v>
      </c>
      <c r="W143" s="122" t="s">
        <v>246</v>
      </c>
      <c r="X143" s="122" t="s">
        <v>247</v>
      </c>
      <c r="Y143" s="141" t="s">
        <v>1440</v>
      </c>
      <c r="Z143" s="122" t="s">
        <v>13353</v>
      </c>
      <c r="AA143" s="141" t="s">
        <v>330</v>
      </c>
      <c r="AB143" s="122" t="s">
        <v>12890</v>
      </c>
      <c r="AD143" s="122" t="s">
        <v>250</v>
      </c>
      <c r="AE143" s="122" t="s">
        <v>235</v>
      </c>
      <c r="AF143" s="122" t="s">
        <v>13354</v>
      </c>
      <c r="AG143" s="122" t="s">
        <v>537</v>
      </c>
      <c r="AH143" s="122" t="s">
        <v>253</v>
      </c>
      <c r="AI143" s="122" t="s">
        <v>13355</v>
      </c>
      <c r="AJ143" s="122" t="s">
        <v>13356</v>
      </c>
      <c r="AK143" s="122" t="s">
        <v>13357</v>
      </c>
      <c r="AL143" s="122" t="s">
        <v>253</v>
      </c>
      <c r="AM143" s="122" t="s">
        <v>253</v>
      </c>
      <c r="AN143" s="122" t="s">
        <v>253</v>
      </c>
      <c r="AO143" s="141" t="s">
        <v>247</v>
      </c>
      <c r="AP143" s="141" t="s">
        <v>247</v>
      </c>
      <c r="AQ143" s="141" t="s">
        <v>247</v>
      </c>
      <c r="AR143" s="141" t="s">
        <v>247</v>
      </c>
      <c r="AS143" s="141" t="s">
        <v>601</v>
      </c>
      <c r="AT143" s="141" t="s">
        <v>601</v>
      </c>
      <c r="AU143" s="141" t="s">
        <v>601</v>
      </c>
      <c r="AV143" s="122" t="s">
        <v>259</v>
      </c>
      <c r="AW143" s="122" t="s">
        <v>260</v>
      </c>
      <c r="AY143" s="122" t="s">
        <v>253</v>
      </c>
      <c r="AZ143" s="122" t="s">
        <v>13358</v>
      </c>
      <c r="BA143" s="122" t="s">
        <v>262</v>
      </c>
      <c r="BB143" s="122" t="s">
        <v>262</v>
      </c>
      <c r="BD143" s="122" t="s">
        <v>253</v>
      </c>
      <c r="BE143" s="122" t="s">
        <v>263</v>
      </c>
      <c r="BF143" s="122" t="s">
        <v>2811</v>
      </c>
      <c r="BH143" s="122" t="s">
        <v>2802</v>
      </c>
      <c r="BI143" s="142">
        <v>16</v>
      </c>
    </row>
    <row r="144" spans="1:65" x14ac:dyDescent="0.25">
      <c r="A144" s="122" t="s">
        <v>9031</v>
      </c>
      <c r="B144" s="122" t="s">
        <v>13359</v>
      </c>
      <c r="C144" s="122" t="s">
        <v>13360</v>
      </c>
      <c r="D144" s="122" t="s">
        <v>13361</v>
      </c>
      <c r="E144" s="123">
        <v>42233</v>
      </c>
      <c r="F144" s="122" t="s">
        <v>5981</v>
      </c>
      <c r="G144" s="122" t="s">
        <v>235</v>
      </c>
      <c r="H144" s="122" t="s">
        <v>13362</v>
      </c>
      <c r="I144" s="122" t="s">
        <v>13363</v>
      </c>
      <c r="K144" s="122" t="s">
        <v>238</v>
      </c>
      <c r="L144" s="122" t="s">
        <v>346</v>
      </c>
      <c r="M144" s="122" t="s">
        <v>3176</v>
      </c>
      <c r="O144" s="141" t="s">
        <v>451</v>
      </c>
      <c r="P144" s="141" t="s">
        <v>13364</v>
      </c>
      <c r="Q144" s="122" t="s">
        <v>243</v>
      </c>
      <c r="R144" s="142">
        <v>17</v>
      </c>
      <c r="S144" s="122" t="s">
        <v>13365</v>
      </c>
      <c r="U144" s="122" t="s">
        <v>2802</v>
      </c>
      <c r="W144" s="122" t="s">
        <v>246</v>
      </c>
      <c r="X144" s="122" t="s">
        <v>497</v>
      </c>
      <c r="Y144" s="141" t="s">
        <v>3039</v>
      </c>
      <c r="Z144" s="122" t="s">
        <v>434</v>
      </c>
      <c r="AA144" s="141" t="s">
        <v>819</v>
      </c>
      <c r="AB144" s="122" t="s">
        <v>13366</v>
      </c>
      <c r="AD144" s="122" t="s">
        <v>250</v>
      </c>
      <c r="AE144" s="122" t="s">
        <v>235</v>
      </c>
      <c r="AF144" s="122" t="s">
        <v>13367</v>
      </c>
      <c r="AG144" s="122" t="s">
        <v>253</v>
      </c>
      <c r="AH144" s="122" t="s">
        <v>253</v>
      </c>
      <c r="AI144" s="122" t="s">
        <v>13368</v>
      </c>
      <c r="AJ144" s="122" t="s">
        <v>13369</v>
      </c>
      <c r="AK144" s="122" t="s">
        <v>13370</v>
      </c>
      <c r="AL144" s="122" t="s">
        <v>253</v>
      </c>
      <c r="AM144" s="122" t="s">
        <v>253</v>
      </c>
      <c r="AN144" s="122" t="s">
        <v>253</v>
      </c>
      <c r="AO144" s="141" t="s">
        <v>247</v>
      </c>
      <c r="AP144" s="141" t="s">
        <v>247</v>
      </c>
      <c r="AQ144" s="141" t="s">
        <v>247</v>
      </c>
      <c r="AR144" s="141" t="s">
        <v>247</v>
      </c>
      <c r="AS144" s="141" t="s">
        <v>601</v>
      </c>
      <c r="AT144" s="141" t="s">
        <v>601</v>
      </c>
      <c r="AU144" s="141" t="s">
        <v>601</v>
      </c>
      <c r="AV144" s="122" t="s">
        <v>259</v>
      </c>
      <c r="AW144" s="122" t="s">
        <v>260</v>
      </c>
      <c r="AY144" s="122" t="s">
        <v>253</v>
      </c>
      <c r="AZ144" s="122" t="s">
        <v>13371</v>
      </c>
      <c r="BA144" s="122" t="s">
        <v>262</v>
      </c>
      <c r="BB144" s="122" t="s">
        <v>262</v>
      </c>
      <c r="BD144" s="122" t="s">
        <v>253</v>
      </c>
      <c r="BE144" s="122" t="s">
        <v>263</v>
      </c>
      <c r="BF144" s="122" t="s">
        <v>2811</v>
      </c>
      <c r="BH144" s="122" t="s">
        <v>2802</v>
      </c>
      <c r="BI144" s="142">
        <v>17</v>
      </c>
    </row>
    <row r="145" spans="1:65" x14ac:dyDescent="0.25">
      <c r="A145" s="122" t="s">
        <v>9031</v>
      </c>
      <c r="B145" s="122" t="s">
        <v>13372</v>
      </c>
      <c r="C145" s="122" t="s">
        <v>13373</v>
      </c>
      <c r="D145" s="122" t="s">
        <v>13374</v>
      </c>
      <c r="E145" s="123">
        <v>42233</v>
      </c>
      <c r="F145" s="122" t="s">
        <v>13375</v>
      </c>
      <c r="G145" s="122" t="s">
        <v>235</v>
      </c>
      <c r="H145" s="122" t="s">
        <v>13376</v>
      </c>
      <c r="I145" s="122" t="s">
        <v>13377</v>
      </c>
      <c r="K145" s="122" t="s">
        <v>238</v>
      </c>
      <c r="L145" s="122" t="s">
        <v>346</v>
      </c>
      <c r="M145" s="122" t="s">
        <v>2862</v>
      </c>
      <c r="Q145" s="122" t="s">
        <v>243</v>
      </c>
      <c r="R145" s="142">
        <v>18</v>
      </c>
      <c r="S145" s="122" t="s">
        <v>13378</v>
      </c>
      <c r="U145" s="122" t="s">
        <v>2802</v>
      </c>
      <c r="W145" s="122" t="s">
        <v>246</v>
      </c>
      <c r="X145" s="122" t="s">
        <v>1377</v>
      </c>
      <c r="Y145" s="141" t="s">
        <v>668</v>
      </c>
      <c r="Z145" s="122" t="s">
        <v>13379</v>
      </c>
      <c r="AA145" s="141" t="s">
        <v>304</v>
      </c>
      <c r="AB145" s="122" t="s">
        <v>4466</v>
      </c>
      <c r="AC145" s="141" t="s">
        <v>1423</v>
      </c>
      <c r="AD145" s="122" t="s">
        <v>4466</v>
      </c>
      <c r="AE145" s="122" t="s">
        <v>235</v>
      </c>
      <c r="AF145" s="122" t="s">
        <v>13380</v>
      </c>
      <c r="AG145" s="122" t="s">
        <v>537</v>
      </c>
      <c r="AH145" s="122" t="s">
        <v>253</v>
      </c>
      <c r="AI145" s="122" t="s">
        <v>619</v>
      </c>
      <c r="AJ145" s="122" t="s">
        <v>13381</v>
      </c>
      <c r="AK145" s="122" t="s">
        <v>253</v>
      </c>
      <c r="AL145" s="122" t="s">
        <v>253</v>
      </c>
      <c r="AM145" s="122" t="s">
        <v>253</v>
      </c>
      <c r="AN145" s="122" t="s">
        <v>253</v>
      </c>
      <c r="AO145" s="141" t="s">
        <v>247</v>
      </c>
      <c r="AP145" s="141" t="s">
        <v>253</v>
      </c>
      <c r="AQ145" s="141" t="s">
        <v>253</v>
      </c>
      <c r="AR145" s="141" t="s">
        <v>253</v>
      </c>
      <c r="AS145" s="141" t="s">
        <v>601</v>
      </c>
      <c r="AT145" s="141" t="s">
        <v>258</v>
      </c>
      <c r="AU145" s="141" t="s">
        <v>258</v>
      </c>
      <c r="AV145" s="122" t="s">
        <v>259</v>
      </c>
      <c r="AW145" s="122" t="s">
        <v>260</v>
      </c>
      <c r="AY145" s="122" t="s">
        <v>253</v>
      </c>
      <c r="AZ145" s="122" t="s">
        <v>13382</v>
      </c>
      <c r="BA145" s="122" t="s">
        <v>262</v>
      </c>
      <c r="BB145" s="122" t="s">
        <v>262</v>
      </c>
      <c r="BD145" s="122" t="s">
        <v>253</v>
      </c>
      <c r="BE145" s="122" t="s">
        <v>263</v>
      </c>
      <c r="BF145" s="122" t="s">
        <v>2811</v>
      </c>
      <c r="BH145" s="122" t="s">
        <v>2802</v>
      </c>
      <c r="BI145" s="142">
        <v>18</v>
      </c>
    </row>
    <row r="146" spans="1:65" x14ac:dyDescent="0.25">
      <c r="A146" s="122" t="s">
        <v>9031</v>
      </c>
      <c r="B146" s="122" t="s">
        <v>13383</v>
      </c>
      <c r="C146" s="122" t="s">
        <v>13384</v>
      </c>
      <c r="D146" s="122" t="s">
        <v>13385</v>
      </c>
      <c r="E146" s="123">
        <v>42233</v>
      </c>
      <c r="F146" s="122" t="s">
        <v>635</v>
      </c>
      <c r="G146" s="122" t="s">
        <v>235</v>
      </c>
      <c r="H146" s="122" t="s">
        <v>13386</v>
      </c>
      <c r="I146" s="122" t="s">
        <v>2950</v>
      </c>
      <c r="J146" s="122" t="s">
        <v>13387</v>
      </c>
      <c r="K146" s="122" t="s">
        <v>238</v>
      </c>
      <c r="L146" s="122" t="s">
        <v>346</v>
      </c>
      <c r="M146" s="122" t="s">
        <v>2830</v>
      </c>
      <c r="O146" s="141" t="s">
        <v>1240</v>
      </c>
      <c r="P146" s="141" t="s">
        <v>13388</v>
      </c>
      <c r="Q146" s="122" t="s">
        <v>243</v>
      </c>
      <c r="R146" s="142">
        <v>19</v>
      </c>
      <c r="S146" s="122" t="s">
        <v>13389</v>
      </c>
      <c r="U146" s="122" t="s">
        <v>2802</v>
      </c>
      <c r="W146" s="122" t="s">
        <v>246</v>
      </c>
      <c r="X146" s="122" t="s">
        <v>1377</v>
      </c>
      <c r="Y146" s="141" t="s">
        <v>2979</v>
      </c>
      <c r="Z146" s="122" t="s">
        <v>13390</v>
      </c>
      <c r="AA146" s="141" t="s">
        <v>742</v>
      </c>
      <c r="AB146" s="122" t="s">
        <v>13391</v>
      </c>
      <c r="AD146" s="122" t="s">
        <v>250</v>
      </c>
      <c r="AE146" s="122" t="s">
        <v>235</v>
      </c>
      <c r="AF146" s="122" t="s">
        <v>13392</v>
      </c>
      <c r="AG146" s="122" t="s">
        <v>537</v>
      </c>
      <c r="AH146" s="122" t="s">
        <v>253</v>
      </c>
      <c r="AI146" s="122" t="s">
        <v>13393</v>
      </c>
      <c r="AJ146" s="122" t="s">
        <v>13394</v>
      </c>
      <c r="AK146" s="122" t="s">
        <v>253</v>
      </c>
      <c r="AL146" s="122" t="s">
        <v>253</v>
      </c>
      <c r="AM146" s="122" t="s">
        <v>253</v>
      </c>
      <c r="AN146" s="122" t="s">
        <v>253</v>
      </c>
      <c r="AO146" s="141" t="s">
        <v>247</v>
      </c>
      <c r="AP146" s="141" t="s">
        <v>247</v>
      </c>
      <c r="AQ146" s="141" t="s">
        <v>247</v>
      </c>
      <c r="AR146" s="141" t="s">
        <v>247</v>
      </c>
      <c r="AS146" s="141" t="s">
        <v>601</v>
      </c>
      <c r="AT146" s="141" t="s">
        <v>601</v>
      </c>
      <c r="AU146" s="141" t="s">
        <v>257</v>
      </c>
      <c r="AV146" s="122" t="s">
        <v>259</v>
      </c>
      <c r="AW146" s="122" t="s">
        <v>260</v>
      </c>
      <c r="AY146" s="122" t="s">
        <v>253</v>
      </c>
      <c r="AZ146" s="122" t="s">
        <v>13395</v>
      </c>
      <c r="BA146" s="122" t="s">
        <v>262</v>
      </c>
      <c r="BB146" s="122" t="s">
        <v>262</v>
      </c>
      <c r="BD146" s="122" t="s">
        <v>253</v>
      </c>
      <c r="BE146" s="122" t="s">
        <v>263</v>
      </c>
      <c r="BF146" s="122" t="s">
        <v>2811</v>
      </c>
      <c r="BH146" s="122" t="s">
        <v>2802</v>
      </c>
      <c r="BI146" s="142">
        <v>19</v>
      </c>
    </row>
    <row r="147" spans="1:65" x14ac:dyDescent="0.25">
      <c r="A147" s="122" t="s">
        <v>9031</v>
      </c>
      <c r="B147" s="122" t="s">
        <v>13396</v>
      </c>
      <c r="C147" s="122" t="s">
        <v>13397</v>
      </c>
      <c r="D147" s="122" t="s">
        <v>13398</v>
      </c>
      <c r="E147" s="123">
        <v>42233</v>
      </c>
      <c r="F147" s="122" t="s">
        <v>354</v>
      </c>
      <c r="G147" s="122" t="s">
        <v>235</v>
      </c>
      <c r="H147" s="122" t="s">
        <v>448</v>
      </c>
      <c r="I147" s="122" t="s">
        <v>3081</v>
      </c>
      <c r="J147" s="122" t="s">
        <v>13399</v>
      </c>
      <c r="K147" s="122" t="s">
        <v>238</v>
      </c>
      <c r="L147" s="122" t="s">
        <v>346</v>
      </c>
      <c r="M147" s="122" t="s">
        <v>2963</v>
      </c>
      <c r="O147" s="141" t="s">
        <v>2526</v>
      </c>
      <c r="P147" s="141" t="s">
        <v>13400</v>
      </c>
      <c r="Q147" s="122" t="s">
        <v>243</v>
      </c>
      <c r="R147" s="142">
        <v>20</v>
      </c>
      <c r="S147" s="122" t="s">
        <v>13401</v>
      </c>
      <c r="U147" s="122" t="s">
        <v>2802</v>
      </c>
      <c r="W147" s="122" t="s">
        <v>246</v>
      </c>
      <c r="X147" s="122" t="s">
        <v>4409</v>
      </c>
      <c r="Z147" s="122" t="s">
        <v>250</v>
      </c>
      <c r="AB147" s="122" t="s">
        <v>250</v>
      </c>
      <c r="AD147" s="122" t="s">
        <v>250</v>
      </c>
      <c r="AE147" s="122" t="s">
        <v>235</v>
      </c>
      <c r="AF147" s="122" t="s">
        <v>2955</v>
      </c>
      <c r="AG147" s="122" t="s">
        <v>537</v>
      </c>
      <c r="AH147" s="122" t="s">
        <v>253</v>
      </c>
      <c r="AI147" s="122" t="s">
        <v>2074</v>
      </c>
      <c r="AJ147" s="122" t="s">
        <v>2956</v>
      </c>
      <c r="AK147" s="122" t="s">
        <v>253</v>
      </c>
      <c r="AL147" s="122" t="s">
        <v>253</v>
      </c>
      <c r="AM147" s="122" t="s">
        <v>253</v>
      </c>
      <c r="AN147" s="122" t="s">
        <v>253</v>
      </c>
      <c r="AO147" s="141" t="s">
        <v>247</v>
      </c>
      <c r="AP147" s="141" t="s">
        <v>247</v>
      </c>
      <c r="AQ147" s="141" t="s">
        <v>253</v>
      </c>
      <c r="AR147" s="141" t="s">
        <v>253</v>
      </c>
      <c r="AS147" s="141" t="s">
        <v>601</v>
      </c>
      <c r="AT147" s="141" t="s">
        <v>258</v>
      </c>
      <c r="AU147" s="141" t="s">
        <v>258</v>
      </c>
      <c r="AV147" s="122" t="s">
        <v>259</v>
      </c>
      <c r="AW147" s="122" t="s">
        <v>260</v>
      </c>
      <c r="AY147" s="122" t="s">
        <v>253</v>
      </c>
      <c r="AZ147" s="122" t="s">
        <v>262</v>
      </c>
      <c r="BA147" s="122" t="s">
        <v>262</v>
      </c>
      <c r="BB147" s="122" t="s">
        <v>262</v>
      </c>
      <c r="BD147" s="122" t="s">
        <v>253</v>
      </c>
      <c r="BE147" s="122" t="s">
        <v>263</v>
      </c>
      <c r="BF147" s="122" t="s">
        <v>2811</v>
      </c>
      <c r="BH147" s="122" t="s">
        <v>2802</v>
      </c>
      <c r="BI147" s="142">
        <v>20</v>
      </c>
    </row>
    <row r="148" spans="1:65" x14ac:dyDescent="0.25">
      <c r="A148" s="122" t="s">
        <v>11880</v>
      </c>
      <c r="B148" s="122" t="s">
        <v>13402</v>
      </c>
      <c r="C148" s="122" t="s">
        <v>13403</v>
      </c>
      <c r="D148" s="122" t="s">
        <v>13404</v>
      </c>
      <c r="E148" s="123">
        <v>42233</v>
      </c>
      <c r="F148" s="122" t="s">
        <v>868</v>
      </c>
      <c r="G148" s="122" t="s">
        <v>235</v>
      </c>
      <c r="H148" s="122" t="s">
        <v>13405</v>
      </c>
      <c r="I148" s="122" t="s">
        <v>13406</v>
      </c>
      <c r="K148" s="122" t="s">
        <v>238</v>
      </c>
      <c r="L148" s="122" t="s">
        <v>346</v>
      </c>
      <c r="M148" s="122" t="s">
        <v>3018</v>
      </c>
      <c r="O148" s="141" t="s">
        <v>1240</v>
      </c>
      <c r="P148" s="141" t="s">
        <v>13407</v>
      </c>
      <c r="Q148" s="122" t="s">
        <v>243</v>
      </c>
      <c r="R148" s="142">
        <v>21</v>
      </c>
      <c r="S148" s="122" t="s">
        <v>13408</v>
      </c>
      <c r="U148" s="122" t="s">
        <v>2802</v>
      </c>
      <c r="W148" s="122" t="s">
        <v>246</v>
      </c>
      <c r="X148" s="122" t="s">
        <v>442</v>
      </c>
      <c r="Y148" s="141" t="s">
        <v>230</v>
      </c>
      <c r="Z148" s="122" t="s">
        <v>13409</v>
      </c>
      <c r="AA148" s="141" t="s">
        <v>230</v>
      </c>
      <c r="AB148" s="122" t="s">
        <v>1144</v>
      </c>
      <c r="AC148" s="141" t="s">
        <v>230</v>
      </c>
      <c r="AD148" s="122" t="s">
        <v>7926</v>
      </c>
      <c r="AE148" s="122" t="s">
        <v>235</v>
      </c>
      <c r="AF148" s="122" t="s">
        <v>13410</v>
      </c>
      <c r="AG148" s="122" t="s">
        <v>13411</v>
      </c>
      <c r="AH148" s="122" t="s">
        <v>253</v>
      </c>
      <c r="AI148" s="122" t="s">
        <v>13412</v>
      </c>
      <c r="AJ148" s="122" t="s">
        <v>8505</v>
      </c>
      <c r="AK148" s="122" t="s">
        <v>253</v>
      </c>
      <c r="AL148" s="122" t="s">
        <v>253</v>
      </c>
      <c r="AM148" s="122" t="s">
        <v>253</v>
      </c>
      <c r="AN148" s="122" t="s">
        <v>253</v>
      </c>
      <c r="AO148" s="141" t="s">
        <v>247</v>
      </c>
      <c r="AP148" s="141" t="s">
        <v>247</v>
      </c>
      <c r="AQ148" s="141" t="s">
        <v>247</v>
      </c>
      <c r="AR148" s="141" t="s">
        <v>247</v>
      </c>
      <c r="AS148" s="141" t="s">
        <v>601</v>
      </c>
      <c r="AT148" s="141" t="s">
        <v>601</v>
      </c>
      <c r="AU148" s="141" t="s">
        <v>601</v>
      </c>
      <c r="AV148" s="122" t="s">
        <v>259</v>
      </c>
      <c r="AW148" s="122" t="s">
        <v>260</v>
      </c>
      <c r="AX148" s="141" t="s">
        <v>711</v>
      </c>
      <c r="AY148" s="122" t="s">
        <v>442</v>
      </c>
      <c r="AZ148" s="122" t="s">
        <v>13413</v>
      </c>
      <c r="BA148" s="122" t="s">
        <v>262</v>
      </c>
      <c r="BB148" s="122" t="s">
        <v>262</v>
      </c>
      <c r="BD148" s="122" t="s">
        <v>253</v>
      </c>
      <c r="BE148" s="122" t="s">
        <v>263</v>
      </c>
      <c r="BF148" s="122" t="s">
        <v>2811</v>
      </c>
      <c r="BH148" s="122" t="s">
        <v>2802</v>
      </c>
      <c r="BI148" s="142">
        <v>21</v>
      </c>
      <c r="BJ148" s="123">
        <v>42235</v>
      </c>
      <c r="BK148" s="139" t="s">
        <v>264</v>
      </c>
      <c r="BL148" s="140">
        <v>189.67</v>
      </c>
      <c r="BM148" s="122">
        <v>34</v>
      </c>
    </row>
    <row r="149" spans="1:65" x14ac:dyDescent="0.25">
      <c r="A149" s="122" t="s">
        <v>11880</v>
      </c>
      <c r="B149" s="122" t="s">
        <v>13414</v>
      </c>
      <c r="C149" s="122" t="s">
        <v>13415</v>
      </c>
      <c r="D149" s="122" t="s">
        <v>13416</v>
      </c>
      <c r="E149" s="123">
        <v>42233</v>
      </c>
      <c r="F149" s="122" t="s">
        <v>668</v>
      </c>
      <c r="G149" s="122" t="s">
        <v>235</v>
      </c>
      <c r="H149" s="122" t="s">
        <v>13417</v>
      </c>
      <c r="I149" s="122" t="s">
        <v>13418</v>
      </c>
      <c r="K149" s="122" t="s">
        <v>238</v>
      </c>
      <c r="L149" s="122" t="s">
        <v>346</v>
      </c>
      <c r="M149" s="122" t="s">
        <v>3176</v>
      </c>
      <c r="O149" s="141" t="s">
        <v>13419</v>
      </c>
      <c r="P149" s="141" t="s">
        <v>13420</v>
      </c>
      <c r="Q149" s="122" t="s">
        <v>243</v>
      </c>
      <c r="R149" s="142">
        <v>22</v>
      </c>
      <c r="S149" s="122" t="s">
        <v>13421</v>
      </c>
      <c r="T149" s="122" t="s">
        <v>13422</v>
      </c>
      <c r="U149" s="122" t="s">
        <v>2802</v>
      </c>
      <c r="W149" s="122" t="s">
        <v>246</v>
      </c>
      <c r="X149" s="122" t="s">
        <v>278</v>
      </c>
      <c r="Z149" s="122" t="s">
        <v>250</v>
      </c>
      <c r="AB149" s="122" t="s">
        <v>250</v>
      </c>
      <c r="AD149" s="122" t="s">
        <v>250</v>
      </c>
      <c r="AE149" s="122" t="s">
        <v>235</v>
      </c>
      <c r="AF149" s="122" t="s">
        <v>13423</v>
      </c>
      <c r="AG149" s="122" t="s">
        <v>13411</v>
      </c>
      <c r="AH149" s="122" t="s">
        <v>253</v>
      </c>
      <c r="AI149" s="122" t="s">
        <v>13424</v>
      </c>
      <c r="AJ149" s="122" t="s">
        <v>13425</v>
      </c>
      <c r="AK149" s="122" t="s">
        <v>253</v>
      </c>
      <c r="AL149" s="122" t="s">
        <v>253</v>
      </c>
      <c r="AM149" s="122" t="s">
        <v>253</v>
      </c>
      <c r="AN149" s="122" t="s">
        <v>253</v>
      </c>
      <c r="AO149" s="141" t="s">
        <v>247</v>
      </c>
      <c r="AP149" s="141" t="s">
        <v>247</v>
      </c>
      <c r="AQ149" s="141" t="s">
        <v>247</v>
      </c>
      <c r="AR149" s="141" t="s">
        <v>247</v>
      </c>
      <c r="AS149" s="141" t="s">
        <v>601</v>
      </c>
      <c r="AT149" s="141" t="s">
        <v>601</v>
      </c>
      <c r="AU149" s="141" t="s">
        <v>257</v>
      </c>
      <c r="AV149" s="122" t="s">
        <v>259</v>
      </c>
      <c r="AW149" s="122" t="s">
        <v>260</v>
      </c>
      <c r="AY149" s="122" t="s">
        <v>253</v>
      </c>
      <c r="AZ149" s="122" t="s">
        <v>13426</v>
      </c>
      <c r="BA149" s="122" t="s">
        <v>262</v>
      </c>
      <c r="BB149" s="122" t="s">
        <v>13426</v>
      </c>
      <c r="BC149" s="141" t="s">
        <v>312</v>
      </c>
      <c r="BD149" s="122" t="s">
        <v>253</v>
      </c>
      <c r="BE149" s="122" t="s">
        <v>263</v>
      </c>
      <c r="BF149" s="122" t="s">
        <v>2811</v>
      </c>
      <c r="BH149" s="122" t="s">
        <v>2802</v>
      </c>
      <c r="BI149" s="142">
        <v>22</v>
      </c>
    </row>
    <row r="150" spans="1:65" x14ac:dyDescent="0.25">
      <c r="A150" s="122" t="s">
        <v>11880</v>
      </c>
      <c r="B150" s="122" t="s">
        <v>13427</v>
      </c>
      <c r="C150" s="122" t="s">
        <v>13428</v>
      </c>
      <c r="D150" s="122" t="s">
        <v>13429</v>
      </c>
      <c r="E150" s="123">
        <v>42233</v>
      </c>
      <c r="F150" s="122" t="s">
        <v>2098</v>
      </c>
      <c r="G150" s="122" t="s">
        <v>235</v>
      </c>
      <c r="H150" s="122" t="s">
        <v>13430</v>
      </c>
      <c r="I150" s="122" t="s">
        <v>13431</v>
      </c>
      <c r="K150" s="122" t="s">
        <v>238</v>
      </c>
      <c r="L150" s="122" t="s">
        <v>346</v>
      </c>
      <c r="M150" s="122" t="s">
        <v>2830</v>
      </c>
      <c r="O150" s="141" t="s">
        <v>613</v>
      </c>
      <c r="P150" s="141" t="s">
        <v>13432</v>
      </c>
      <c r="Q150" s="122" t="s">
        <v>243</v>
      </c>
      <c r="R150" s="142">
        <v>23</v>
      </c>
      <c r="S150" s="122" t="s">
        <v>13433</v>
      </c>
      <c r="U150" s="122" t="s">
        <v>2802</v>
      </c>
      <c r="W150" s="122" t="s">
        <v>246</v>
      </c>
      <c r="X150" s="122" t="s">
        <v>853</v>
      </c>
      <c r="Y150" s="141" t="s">
        <v>668</v>
      </c>
      <c r="Z150" s="122" t="s">
        <v>13434</v>
      </c>
      <c r="AA150" s="141" t="s">
        <v>1926</v>
      </c>
      <c r="AB150" s="122" t="s">
        <v>13435</v>
      </c>
      <c r="AC150" s="141" t="s">
        <v>1260</v>
      </c>
      <c r="AD150" s="122" t="s">
        <v>13436</v>
      </c>
      <c r="AE150" s="122" t="s">
        <v>235</v>
      </c>
      <c r="AF150" s="122" t="s">
        <v>13437</v>
      </c>
      <c r="AG150" s="122" t="s">
        <v>253</v>
      </c>
      <c r="AH150" s="122" t="s">
        <v>253</v>
      </c>
      <c r="AI150" s="122" t="s">
        <v>13438</v>
      </c>
      <c r="AJ150" s="122" t="s">
        <v>13439</v>
      </c>
      <c r="AK150" s="122" t="s">
        <v>12920</v>
      </c>
      <c r="AL150" s="122" t="s">
        <v>253</v>
      </c>
      <c r="AM150" s="122" t="s">
        <v>253</v>
      </c>
      <c r="AN150" s="122" t="s">
        <v>253</v>
      </c>
      <c r="AO150" s="141" t="s">
        <v>247</v>
      </c>
      <c r="AP150" s="141" t="s">
        <v>253</v>
      </c>
      <c r="AQ150" s="141" t="s">
        <v>247</v>
      </c>
      <c r="AR150" s="141" t="s">
        <v>253</v>
      </c>
      <c r="AS150" s="141" t="s">
        <v>601</v>
      </c>
      <c r="AT150" s="141" t="s">
        <v>601</v>
      </c>
      <c r="AU150" s="141" t="s">
        <v>258</v>
      </c>
      <c r="AV150" s="122" t="s">
        <v>259</v>
      </c>
      <c r="AW150" s="122" t="s">
        <v>260</v>
      </c>
      <c r="AY150" s="122" t="s">
        <v>253</v>
      </c>
      <c r="AZ150" s="122" t="s">
        <v>13440</v>
      </c>
      <c r="BA150" s="122" t="s">
        <v>262</v>
      </c>
      <c r="BB150" s="122" t="s">
        <v>262</v>
      </c>
      <c r="BC150" s="141" t="s">
        <v>312</v>
      </c>
      <c r="BD150" s="122" t="s">
        <v>253</v>
      </c>
      <c r="BE150" s="122" t="s">
        <v>263</v>
      </c>
      <c r="BF150" s="122" t="s">
        <v>2811</v>
      </c>
      <c r="BH150" s="122" t="s">
        <v>2802</v>
      </c>
      <c r="BI150" s="142">
        <v>23</v>
      </c>
    </row>
    <row r="151" spans="1:65" x14ac:dyDescent="0.25">
      <c r="A151" s="122" t="s">
        <v>11880</v>
      </c>
      <c r="B151" s="122" t="s">
        <v>13441</v>
      </c>
      <c r="C151" s="122" t="s">
        <v>13442</v>
      </c>
      <c r="D151" s="122" t="s">
        <v>13443</v>
      </c>
      <c r="E151" s="123">
        <v>42233</v>
      </c>
      <c r="F151" s="122" t="s">
        <v>13444</v>
      </c>
      <c r="G151" s="122" t="s">
        <v>235</v>
      </c>
      <c r="H151" s="122" t="s">
        <v>13445</v>
      </c>
      <c r="I151" s="122" t="s">
        <v>13446</v>
      </c>
      <c r="K151" s="122" t="s">
        <v>238</v>
      </c>
      <c r="L151" s="122" t="s">
        <v>346</v>
      </c>
      <c r="M151" s="122" t="s">
        <v>2237</v>
      </c>
      <c r="O151" s="141" t="s">
        <v>548</v>
      </c>
      <c r="P151" s="141" t="s">
        <v>13447</v>
      </c>
      <c r="Q151" s="122" t="s">
        <v>243</v>
      </c>
      <c r="R151" s="142">
        <v>24</v>
      </c>
      <c r="S151" s="122" t="s">
        <v>13448</v>
      </c>
      <c r="U151" s="122" t="s">
        <v>2802</v>
      </c>
      <c r="W151" s="122" t="s">
        <v>246</v>
      </c>
      <c r="X151" s="122" t="s">
        <v>1377</v>
      </c>
      <c r="Y151" s="141" t="s">
        <v>230</v>
      </c>
      <c r="Z151" s="122" t="s">
        <v>1994</v>
      </c>
      <c r="AA151" s="141" t="s">
        <v>3230</v>
      </c>
      <c r="AB151" s="122" t="s">
        <v>1792</v>
      </c>
      <c r="AC151" s="141" t="s">
        <v>784</v>
      </c>
      <c r="AD151" s="122" t="s">
        <v>8978</v>
      </c>
      <c r="AE151" s="122" t="s">
        <v>235</v>
      </c>
      <c r="AF151" s="122" t="s">
        <v>13449</v>
      </c>
      <c r="AG151" s="122" t="s">
        <v>747</v>
      </c>
      <c r="AH151" s="122" t="s">
        <v>253</v>
      </c>
      <c r="AI151" s="122" t="s">
        <v>13450</v>
      </c>
      <c r="AJ151" s="122" t="s">
        <v>13451</v>
      </c>
      <c r="AK151" s="122" t="s">
        <v>13452</v>
      </c>
      <c r="AL151" s="122" t="s">
        <v>13453</v>
      </c>
      <c r="AM151" s="122" t="s">
        <v>253</v>
      </c>
      <c r="AN151" s="122" t="s">
        <v>253</v>
      </c>
      <c r="AO151" s="141" t="s">
        <v>247</v>
      </c>
      <c r="AP151" s="141" t="s">
        <v>247</v>
      </c>
      <c r="AQ151" s="141" t="s">
        <v>247</v>
      </c>
      <c r="AR151" s="141" t="s">
        <v>253</v>
      </c>
      <c r="AS151" s="141" t="s">
        <v>601</v>
      </c>
      <c r="AT151" s="141" t="s">
        <v>601</v>
      </c>
      <c r="AU151" s="141" t="s">
        <v>258</v>
      </c>
      <c r="AV151" s="122" t="s">
        <v>259</v>
      </c>
      <c r="AW151" s="122" t="s">
        <v>260</v>
      </c>
      <c r="AX151" s="141" t="s">
        <v>3027</v>
      </c>
      <c r="AY151" s="122" t="s">
        <v>721</v>
      </c>
      <c r="AZ151" s="122" t="s">
        <v>13454</v>
      </c>
      <c r="BA151" s="122" t="s">
        <v>262</v>
      </c>
      <c r="BB151" s="122" t="s">
        <v>262</v>
      </c>
      <c r="BD151" s="122" t="s">
        <v>253</v>
      </c>
      <c r="BE151" s="122" t="s">
        <v>263</v>
      </c>
      <c r="BF151" s="122" t="s">
        <v>2811</v>
      </c>
      <c r="BH151" s="122" t="s">
        <v>2802</v>
      </c>
      <c r="BI151" s="142">
        <v>24</v>
      </c>
    </row>
    <row r="152" spans="1:65" x14ac:dyDescent="0.25">
      <c r="A152" s="122" t="s">
        <v>9904</v>
      </c>
      <c r="B152" s="122" t="s">
        <v>13455</v>
      </c>
      <c r="C152" s="122" t="s">
        <v>13456</v>
      </c>
      <c r="D152" s="122" t="s">
        <v>13457</v>
      </c>
      <c r="E152" s="123">
        <v>42233</v>
      </c>
      <c r="F152" s="122" t="s">
        <v>13458</v>
      </c>
      <c r="G152" s="122" t="s">
        <v>235</v>
      </c>
      <c r="H152" s="122" t="s">
        <v>13459</v>
      </c>
      <c r="I152" s="122" t="s">
        <v>13460</v>
      </c>
      <c r="K152" s="122" t="s">
        <v>238</v>
      </c>
      <c r="L152" s="122" t="s">
        <v>346</v>
      </c>
      <c r="M152" s="122" t="s">
        <v>514</v>
      </c>
      <c r="O152" s="141" t="s">
        <v>373</v>
      </c>
      <c r="P152" s="141" t="s">
        <v>13461</v>
      </c>
      <c r="Q152" s="122" t="s">
        <v>243</v>
      </c>
      <c r="R152" s="142">
        <v>25</v>
      </c>
      <c r="S152" s="122" t="s">
        <v>13462</v>
      </c>
      <c r="T152" s="122" t="s">
        <v>13463</v>
      </c>
      <c r="U152" s="122" t="s">
        <v>2802</v>
      </c>
      <c r="W152" s="122" t="s">
        <v>246</v>
      </c>
      <c r="X152" s="122" t="s">
        <v>1072</v>
      </c>
      <c r="Y152" s="141" t="s">
        <v>1141</v>
      </c>
      <c r="Z152" s="122" t="s">
        <v>13464</v>
      </c>
      <c r="AA152" s="141" t="s">
        <v>248</v>
      </c>
      <c r="AB152" s="122" t="s">
        <v>13465</v>
      </c>
      <c r="AC152" s="141" t="s">
        <v>1090</v>
      </c>
      <c r="AD152" s="122" t="s">
        <v>249</v>
      </c>
      <c r="AE152" s="122" t="s">
        <v>235</v>
      </c>
      <c r="AF152" s="122" t="s">
        <v>13466</v>
      </c>
      <c r="AG152" s="122" t="s">
        <v>537</v>
      </c>
      <c r="AH152" s="122" t="s">
        <v>253</v>
      </c>
      <c r="AI152" s="122" t="s">
        <v>13467</v>
      </c>
      <c r="AJ152" s="122" t="s">
        <v>13468</v>
      </c>
      <c r="AK152" s="122" t="s">
        <v>253</v>
      </c>
      <c r="AL152" s="122" t="s">
        <v>253</v>
      </c>
      <c r="AM152" s="122" t="s">
        <v>253</v>
      </c>
      <c r="AN152" s="122" t="s">
        <v>253</v>
      </c>
      <c r="AO152" s="141" t="s">
        <v>247</v>
      </c>
      <c r="AP152" s="141" t="s">
        <v>253</v>
      </c>
      <c r="AQ152" s="141" t="s">
        <v>247</v>
      </c>
      <c r="AR152" s="141" t="s">
        <v>253</v>
      </c>
      <c r="AS152" s="141" t="s">
        <v>601</v>
      </c>
      <c r="AT152" s="141" t="s">
        <v>601</v>
      </c>
      <c r="AU152" s="141" t="s">
        <v>258</v>
      </c>
      <c r="AV152" s="122" t="s">
        <v>259</v>
      </c>
      <c r="AW152" s="122" t="s">
        <v>260</v>
      </c>
      <c r="AY152" s="122" t="s">
        <v>253</v>
      </c>
      <c r="AZ152" s="122" t="s">
        <v>13469</v>
      </c>
      <c r="BA152" s="122" t="s">
        <v>262</v>
      </c>
      <c r="BB152" s="122" t="s">
        <v>262</v>
      </c>
      <c r="BD152" s="122" t="s">
        <v>253</v>
      </c>
      <c r="BE152" s="122" t="s">
        <v>263</v>
      </c>
      <c r="BF152" s="122" t="s">
        <v>2811</v>
      </c>
      <c r="BH152" s="122" t="s">
        <v>2802</v>
      </c>
      <c r="BI152" s="142">
        <v>25</v>
      </c>
      <c r="BJ152" s="123">
        <v>42237</v>
      </c>
      <c r="BK152" s="139" t="s">
        <v>264</v>
      </c>
      <c r="BL152" s="140">
        <v>200</v>
      </c>
      <c r="BM152" s="122">
        <v>34</v>
      </c>
    </row>
    <row r="153" spans="1:65" x14ac:dyDescent="0.25">
      <c r="A153" s="122" t="s">
        <v>9904</v>
      </c>
      <c r="B153" s="122" t="s">
        <v>13470</v>
      </c>
      <c r="C153" s="122" t="s">
        <v>13471</v>
      </c>
      <c r="D153" s="122" t="s">
        <v>13472</v>
      </c>
      <c r="E153" s="123">
        <v>42233</v>
      </c>
      <c r="F153" s="122" t="s">
        <v>2735</v>
      </c>
      <c r="G153" s="122" t="s">
        <v>235</v>
      </c>
      <c r="H153" s="122" t="s">
        <v>13473</v>
      </c>
      <c r="I153" s="122" t="s">
        <v>13474</v>
      </c>
      <c r="K153" s="122" t="s">
        <v>238</v>
      </c>
      <c r="L153" s="122" t="s">
        <v>346</v>
      </c>
      <c r="M153" s="122" t="s">
        <v>3050</v>
      </c>
      <c r="O153" s="141" t="s">
        <v>373</v>
      </c>
      <c r="P153" s="141" t="s">
        <v>13475</v>
      </c>
      <c r="Q153" s="122" t="s">
        <v>243</v>
      </c>
      <c r="R153" s="142">
        <v>26</v>
      </c>
      <c r="S153" s="122" t="s">
        <v>13476</v>
      </c>
      <c r="U153" s="122" t="s">
        <v>2802</v>
      </c>
      <c r="W153" s="122" t="s">
        <v>246</v>
      </c>
      <c r="X153" s="122" t="s">
        <v>1072</v>
      </c>
      <c r="Y153" s="141" t="s">
        <v>1039</v>
      </c>
      <c r="Z153" s="122" t="s">
        <v>11853</v>
      </c>
      <c r="AA153" s="141" t="s">
        <v>784</v>
      </c>
      <c r="AB153" s="122" t="s">
        <v>6726</v>
      </c>
      <c r="AC153" s="141" t="s">
        <v>877</v>
      </c>
      <c r="AD153" s="122" t="s">
        <v>11948</v>
      </c>
      <c r="AE153" s="122" t="s">
        <v>235</v>
      </c>
      <c r="AF153" s="122" t="s">
        <v>13477</v>
      </c>
      <c r="AG153" s="122" t="s">
        <v>537</v>
      </c>
      <c r="AH153" s="122" t="s">
        <v>253</v>
      </c>
      <c r="AI153" s="122" t="s">
        <v>1971</v>
      </c>
      <c r="AJ153" s="122" t="s">
        <v>13478</v>
      </c>
      <c r="AK153" s="122" t="s">
        <v>253</v>
      </c>
      <c r="AL153" s="122" t="s">
        <v>253</v>
      </c>
      <c r="AM153" s="122" t="s">
        <v>253</v>
      </c>
      <c r="AN153" s="122" t="s">
        <v>253</v>
      </c>
      <c r="AO153" s="141" t="s">
        <v>253</v>
      </c>
      <c r="AP153" s="141" t="s">
        <v>253</v>
      </c>
      <c r="AQ153" s="141" t="s">
        <v>247</v>
      </c>
      <c r="AR153" s="141" t="s">
        <v>253</v>
      </c>
      <c r="AS153" s="141" t="s">
        <v>361</v>
      </c>
      <c r="AT153" s="141" t="s">
        <v>601</v>
      </c>
      <c r="AU153" s="141" t="s">
        <v>258</v>
      </c>
      <c r="AV153" s="122" t="s">
        <v>259</v>
      </c>
      <c r="AW153" s="122" t="s">
        <v>260</v>
      </c>
      <c r="AY153" s="122" t="s">
        <v>253</v>
      </c>
      <c r="AZ153" s="122" t="s">
        <v>13479</v>
      </c>
      <c r="BA153" s="122" t="s">
        <v>262</v>
      </c>
      <c r="BB153" s="122" t="s">
        <v>262</v>
      </c>
      <c r="BD153" s="122" t="s">
        <v>253</v>
      </c>
      <c r="BE153" s="122" t="s">
        <v>263</v>
      </c>
      <c r="BF153" s="122" t="s">
        <v>2811</v>
      </c>
      <c r="BH153" s="122" t="s">
        <v>2802</v>
      </c>
      <c r="BI153" s="142">
        <v>26</v>
      </c>
    </row>
    <row r="154" spans="1:65" x14ac:dyDescent="0.25">
      <c r="A154" s="122" t="s">
        <v>9904</v>
      </c>
      <c r="B154" s="122" t="s">
        <v>13480</v>
      </c>
      <c r="C154" s="122" t="s">
        <v>13481</v>
      </c>
      <c r="D154" s="122" t="s">
        <v>13482</v>
      </c>
      <c r="E154" s="123">
        <v>42233</v>
      </c>
      <c r="F154" s="122" t="s">
        <v>1125</v>
      </c>
      <c r="G154" s="122" t="s">
        <v>235</v>
      </c>
      <c r="H154" s="122" t="s">
        <v>13483</v>
      </c>
      <c r="I154" s="122" t="s">
        <v>13484</v>
      </c>
      <c r="K154" s="122" t="s">
        <v>238</v>
      </c>
      <c r="L154" s="122" t="s">
        <v>346</v>
      </c>
      <c r="M154" s="122" t="s">
        <v>3176</v>
      </c>
      <c r="O154" s="141" t="s">
        <v>1055</v>
      </c>
      <c r="P154" s="141" t="s">
        <v>13485</v>
      </c>
      <c r="Q154" s="122" t="s">
        <v>243</v>
      </c>
      <c r="R154" s="142">
        <v>27</v>
      </c>
      <c r="S154" s="122" t="s">
        <v>13486</v>
      </c>
      <c r="U154" s="122" t="s">
        <v>2802</v>
      </c>
      <c r="W154" s="122" t="s">
        <v>246</v>
      </c>
      <c r="X154" s="122" t="s">
        <v>1225</v>
      </c>
      <c r="Y154" s="141" t="s">
        <v>485</v>
      </c>
      <c r="Z154" s="122" t="s">
        <v>13487</v>
      </c>
      <c r="AB154" s="122" t="s">
        <v>250</v>
      </c>
      <c r="AD154" s="122" t="s">
        <v>250</v>
      </c>
      <c r="AE154" s="122" t="s">
        <v>235</v>
      </c>
      <c r="AF154" s="122" t="s">
        <v>13488</v>
      </c>
      <c r="AG154" s="122" t="s">
        <v>747</v>
      </c>
      <c r="AH154" s="122" t="s">
        <v>253</v>
      </c>
      <c r="AI154" s="122" t="s">
        <v>10334</v>
      </c>
      <c r="AJ154" s="122" t="s">
        <v>13489</v>
      </c>
      <c r="AK154" s="122" t="s">
        <v>253</v>
      </c>
      <c r="AL154" s="122" t="s">
        <v>253</v>
      </c>
      <c r="AM154" s="122" t="s">
        <v>253</v>
      </c>
      <c r="AN154" s="122" t="s">
        <v>253</v>
      </c>
      <c r="AO154" s="141" t="s">
        <v>247</v>
      </c>
      <c r="AP154" s="141" t="s">
        <v>247</v>
      </c>
      <c r="AQ154" s="141" t="s">
        <v>247</v>
      </c>
      <c r="AR154" s="141" t="s">
        <v>253</v>
      </c>
      <c r="AS154" s="141" t="s">
        <v>601</v>
      </c>
      <c r="AT154" s="141" t="s">
        <v>601</v>
      </c>
      <c r="AU154" s="141" t="s">
        <v>258</v>
      </c>
      <c r="AV154" s="122" t="s">
        <v>259</v>
      </c>
      <c r="AW154" s="122" t="s">
        <v>260</v>
      </c>
      <c r="AX154" s="141" t="s">
        <v>8160</v>
      </c>
      <c r="AY154" s="122" t="s">
        <v>247</v>
      </c>
      <c r="AZ154" s="122" t="s">
        <v>13490</v>
      </c>
      <c r="BA154" s="122" t="s">
        <v>262</v>
      </c>
      <c r="BB154" s="122" t="s">
        <v>262</v>
      </c>
      <c r="BD154" s="122" t="s">
        <v>253</v>
      </c>
      <c r="BE154" s="122" t="s">
        <v>263</v>
      </c>
      <c r="BF154" s="122" t="s">
        <v>2811</v>
      </c>
      <c r="BH154" s="122" t="s">
        <v>2802</v>
      </c>
      <c r="BI154" s="142">
        <v>27</v>
      </c>
    </row>
    <row r="155" spans="1:65" x14ac:dyDescent="0.25">
      <c r="A155" s="122" t="s">
        <v>9904</v>
      </c>
      <c r="B155" s="122" t="s">
        <v>13491</v>
      </c>
      <c r="C155" s="122" t="s">
        <v>13492</v>
      </c>
      <c r="D155" s="122" t="s">
        <v>13493</v>
      </c>
      <c r="E155" s="123">
        <v>42233</v>
      </c>
      <c r="F155" s="122" t="s">
        <v>12171</v>
      </c>
      <c r="G155" s="122" t="s">
        <v>235</v>
      </c>
      <c r="H155" s="122" t="s">
        <v>13494</v>
      </c>
      <c r="I155" s="122" t="s">
        <v>13495</v>
      </c>
      <c r="J155" s="122" t="s">
        <v>370</v>
      </c>
      <c r="K155" s="122" t="s">
        <v>238</v>
      </c>
      <c r="L155" s="122" t="s">
        <v>346</v>
      </c>
      <c r="M155" s="122" t="s">
        <v>3242</v>
      </c>
      <c r="O155" s="141" t="s">
        <v>613</v>
      </c>
      <c r="P155" s="141" t="s">
        <v>13496</v>
      </c>
      <c r="Q155" s="122" t="s">
        <v>243</v>
      </c>
      <c r="R155" s="142">
        <v>28</v>
      </c>
      <c r="S155" s="122" t="s">
        <v>13497</v>
      </c>
      <c r="U155" s="122" t="s">
        <v>2802</v>
      </c>
      <c r="W155" s="122" t="s">
        <v>246</v>
      </c>
      <c r="X155" s="122" t="s">
        <v>551</v>
      </c>
      <c r="Y155" s="141" t="s">
        <v>6551</v>
      </c>
      <c r="Z155" s="122" t="s">
        <v>818</v>
      </c>
      <c r="AA155" s="141" t="s">
        <v>2133</v>
      </c>
      <c r="AB155" s="122" t="s">
        <v>518</v>
      </c>
      <c r="AC155" s="141" t="s">
        <v>901</v>
      </c>
      <c r="AD155" s="122" t="s">
        <v>13498</v>
      </c>
      <c r="AE155" s="122" t="s">
        <v>235</v>
      </c>
      <c r="AF155" s="122" t="s">
        <v>13499</v>
      </c>
      <c r="AG155" s="122" t="s">
        <v>537</v>
      </c>
      <c r="AH155" s="122" t="s">
        <v>253</v>
      </c>
      <c r="AI155" s="122" t="s">
        <v>13478</v>
      </c>
      <c r="AJ155" s="122" t="s">
        <v>13500</v>
      </c>
      <c r="AK155" s="122" t="s">
        <v>253</v>
      </c>
      <c r="AL155" s="122" t="s">
        <v>253</v>
      </c>
      <c r="AM155" s="122" t="s">
        <v>253</v>
      </c>
      <c r="AN155" s="122" t="s">
        <v>253</v>
      </c>
      <c r="AO155" s="141" t="s">
        <v>253</v>
      </c>
      <c r="AP155" s="141" t="s">
        <v>253</v>
      </c>
      <c r="AQ155" s="141" t="s">
        <v>247</v>
      </c>
      <c r="AR155" s="141" t="s">
        <v>253</v>
      </c>
      <c r="AS155" s="141" t="s">
        <v>361</v>
      </c>
      <c r="AT155" s="141" t="s">
        <v>601</v>
      </c>
      <c r="AU155" s="141" t="s">
        <v>258</v>
      </c>
      <c r="AV155" s="122" t="s">
        <v>259</v>
      </c>
      <c r="AW155" s="122" t="s">
        <v>260</v>
      </c>
      <c r="AY155" s="122" t="s">
        <v>253</v>
      </c>
      <c r="AZ155" s="122" t="s">
        <v>13501</v>
      </c>
      <c r="BA155" s="122" t="s">
        <v>262</v>
      </c>
      <c r="BB155" s="122" t="s">
        <v>262</v>
      </c>
      <c r="BC155" s="141" t="s">
        <v>312</v>
      </c>
      <c r="BD155" s="122" t="s">
        <v>253</v>
      </c>
      <c r="BE155" s="122" t="s">
        <v>263</v>
      </c>
      <c r="BF155" s="122" t="s">
        <v>2811</v>
      </c>
      <c r="BH155" s="122" t="s">
        <v>2802</v>
      </c>
      <c r="BI155" s="142">
        <v>28</v>
      </c>
    </row>
    <row r="156" spans="1:65" x14ac:dyDescent="0.25">
      <c r="A156" s="122" t="s">
        <v>9904</v>
      </c>
      <c r="B156" s="122" t="s">
        <v>13502</v>
      </c>
      <c r="C156" s="122" t="s">
        <v>13503</v>
      </c>
      <c r="D156" s="122" t="s">
        <v>13504</v>
      </c>
      <c r="E156" s="123">
        <v>42233</v>
      </c>
      <c r="F156" s="122" t="s">
        <v>354</v>
      </c>
      <c r="G156" s="122" t="s">
        <v>235</v>
      </c>
      <c r="H156" s="122" t="s">
        <v>448</v>
      </c>
      <c r="I156" s="122" t="s">
        <v>13505</v>
      </c>
      <c r="K156" s="122" t="s">
        <v>238</v>
      </c>
      <c r="L156" s="122" t="s">
        <v>346</v>
      </c>
      <c r="M156" s="122" t="s">
        <v>2862</v>
      </c>
      <c r="O156" s="141" t="s">
        <v>451</v>
      </c>
      <c r="P156" s="141" t="s">
        <v>13506</v>
      </c>
      <c r="Q156" s="122" t="s">
        <v>243</v>
      </c>
      <c r="R156" s="142">
        <v>29</v>
      </c>
      <c r="S156" s="122" t="s">
        <v>13507</v>
      </c>
      <c r="U156" s="122" t="s">
        <v>2802</v>
      </c>
      <c r="W156" s="122" t="s">
        <v>246</v>
      </c>
      <c r="X156" s="122" t="s">
        <v>4409</v>
      </c>
      <c r="Y156" s="141" t="s">
        <v>352</v>
      </c>
      <c r="Z156" s="122" t="s">
        <v>355</v>
      </c>
      <c r="AB156" s="122" t="s">
        <v>250</v>
      </c>
      <c r="AD156" s="122" t="s">
        <v>250</v>
      </c>
      <c r="AE156" s="122" t="s">
        <v>235</v>
      </c>
      <c r="AF156" s="122" t="s">
        <v>13508</v>
      </c>
      <c r="AG156" s="122" t="s">
        <v>13509</v>
      </c>
      <c r="AH156" s="122" t="s">
        <v>253</v>
      </c>
      <c r="AI156" s="122" t="s">
        <v>5087</v>
      </c>
      <c r="AJ156" s="122" t="s">
        <v>13510</v>
      </c>
      <c r="AK156" s="122" t="s">
        <v>253</v>
      </c>
      <c r="AL156" s="122" t="s">
        <v>253</v>
      </c>
      <c r="AM156" s="122" t="s">
        <v>253</v>
      </c>
      <c r="AN156" s="122" t="s">
        <v>253</v>
      </c>
      <c r="AO156" s="141" t="s">
        <v>247</v>
      </c>
      <c r="AP156" s="141" t="s">
        <v>247</v>
      </c>
      <c r="AQ156" s="141" t="s">
        <v>247</v>
      </c>
      <c r="AR156" s="141" t="s">
        <v>247</v>
      </c>
      <c r="AS156" s="141" t="s">
        <v>601</v>
      </c>
      <c r="AT156" s="141" t="s">
        <v>601</v>
      </c>
      <c r="AU156" s="141" t="s">
        <v>257</v>
      </c>
      <c r="AV156" s="122" t="s">
        <v>259</v>
      </c>
      <c r="AW156" s="122" t="s">
        <v>260</v>
      </c>
      <c r="AY156" s="122" t="s">
        <v>253</v>
      </c>
      <c r="AZ156" s="122" t="s">
        <v>262</v>
      </c>
      <c r="BA156" s="122" t="s">
        <v>262</v>
      </c>
      <c r="BB156" s="122" t="s">
        <v>13511</v>
      </c>
      <c r="BD156" s="122" t="s">
        <v>253</v>
      </c>
      <c r="BE156" s="122" t="s">
        <v>263</v>
      </c>
      <c r="BF156" s="122" t="s">
        <v>2811</v>
      </c>
      <c r="BH156" s="122" t="s">
        <v>2802</v>
      </c>
      <c r="BI156" s="142">
        <v>29</v>
      </c>
    </row>
    <row r="157" spans="1:65" x14ac:dyDescent="0.25">
      <c r="A157" s="122" t="s">
        <v>9904</v>
      </c>
      <c r="B157" s="122" t="s">
        <v>13512</v>
      </c>
      <c r="C157" s="122" t="s">
        <v>13513</v>
      </c>
      <c r="D157" s="122" t="s">
        <v>13514</v>
      </c>
      <c r="E157" s="123">
        <v>42233</v>
      </c>
      <c r="F157" s="122" t="s">
        <v>13515</v>
      </c>
      <c r="G157" s="122" t="s">
        <v>235</v>
      </c>
      <c r="H157" s="122" t="s">
        <v>13516</v>
      </c>
      <c r="I157" s="122" t="s">
        <v>13517</v>
      </c>
      <c r="K157" s="122" t="s">
        <v>238</v>
      </c>
      <c r="L157" s="122" t="s">
        <v>346</v>
      </c>
      <c r="M157" s="122" t="s">
        <v>3242</v>
      </c>
      <c r="N157" s="122" t="s">
        <v>13518</v>
      </c>
      <c r="Q157" s="122" t="s">
        <v>243</v>
      </c>
      <c r="R157" s="142">
        <v>30</v>
      </c>
      <c r="S157" s="122" t="s">
        <v>13519</v>
      </c>
      <c r="U157" s="122" t="s">
        <v>2802</v>
      </c>
      <c r="W157" s="122" t="s">
        <v>246</v>
      </c>
      <c r="X157" s="122" t="s">
        <v>4409</v>
      </c>
      <c r="Y157" s="141" t="s">
        <v>511</v>
      </c>
      <c r="Z157" s="122" t="s">
        <v>2318</v>
      </c>
      <c r="AA157" s="141" t="s">
        <v>367</v>
      </c>
      <c r="AB157" s="122" t="s">
        <v>2318</v>
      </c>
      <c r="AC157" s="141" t="s">
        <v>9522</v>
      </c>
      <c r="AD157" s="122" t="s">
        <v>2318</v>
      </c>
      <c r="AE157" s="122" t="s">
        <v>235</v>
      </c>
      <c r="AF157" s="122" t="s">
        <v>13520</v>
      </c>
      <c r="AG157" s="122" t="s">
        <v>537</v>
      </c>
      <c r="AH157" s="122" t="s">
        <v>253</v>
      </c>
      <c r="AI157" s="122" t="s">
        <v>12442</v>
      </c>
      <c r="AJ157" s="122" t="s">
        <v>12443</v>
      </c>
      <c r="AK157" s="122" t="s">
        <v>253</v>
      </c>
      <c r="AL157" s="122" t="s">
        <v>253</v>
      </c>
      <c r="AM157" s="122" t="s">
        <v>253</v>
      </c>
      <c r="AN157" s="122" t="s">
        <v>253</v>
      </c>
      <c r="AO157" s="141" t="s">
        <v>247</v>
      </c>
      <c r="AP157" s="141" t="s">
        <v>253</v>
      </c>
      <c r="AQ157" s="141" t="s">
        <v>253</v>
      </c>
      <c r="AR157" s="141" t="s">
        <v>253</v>
      </c>
      <c r="AS157" s="141" t="s">
        <v>601</v>
      </c>
      <c r="AT157" s="141" t="s">
        <v>258</v>
      </c>
      <c r="AU157" s="141" t="s">
        <v>258</v>
      </c>
      <c r="AV157" s="122" t="s">
        <v>259</v>
      </c>
      <c r="AW157" s="122" t="s">
        <v>260</v>
      </c>
      <c r="AY157" s="122" t="s">
        <v>253</v>
      </c>
      <c r="AZ157" s="122" t="s">
        <v>13521</v>
      </c>
      <c r="BA157" s="122" t="s">
        <v>262</v>
      </c>
      <c r="BB157" s="122" t="s">
        <v>262</v>
      </c>
      <c r="BD157" s="122" t="s">
        <v>253</v>
      </c>
      <c r="BE157" s="122" t="s">
        <v>263</v>
      </c>
      <c r="BF157" s="122" t="s">
        <v>2811</v>
      </c>
      <c r="BH157" s="122" t="s">
        <v>2802</v>
      </c>
      <c r="BI157" s="142">
        <v>30</v>
      </c>
    </row>
    <row r="158" spans="1:65" x14ac:dyDescent="0.25">
      <c r="A158" s="122" t="s">
        <v>9904</v>
      </c>
      <c r="B158" s="122" t="s">
        <v>13522</v>
      </c>
      <c r="C158" s="122" t="s">
        <v>13523</v>
      </c>
      <c r="D158" s="122" t="s">
        <v>13524</v>
      </c>
      <c r="E158" s="123">
        <v>42233</v>
      </c>
      <c r="F158" s="122" t="s">
        <v>13525</v>
      </c>
      <c r="G158" s="122" t="s">
        <v>235</v>
      </c>
      <c r="H158" s="122" t="s">
        <v>13526</v>
      </c>
      <c r="I158" s="122" t="s">
        <v>13527</v>
      </c>
      <c r="K158" s="122" t="s">
        <v>238</v>
      </c>
      <c r="L158" s="122" t="s">
        <v>346</v>
      </c>
      <c r="M158" s="122" t="s">
        <v>1054</v>
      </c>
      <c r="O158" s="141" t="s">
        <v>1921</v>
      </c>
      <c r="P158" s="141" t="s">
        <v>13528</v>
      </c>
      <c r="Q158" s="122" t="s">
        <v>243</v>
      </c>
      <c r="R158" s="142">
        <v>31</v>
      </c>
      <c r="S158" s="122" t="s">
        <v>13529</v>
      </c>
      <c r="U158" s="122" t="s">
        <v>2802</v>
      </c>
      <c r="W158" s="122" t="s">
        <v>246</v>
      </c>
      <c r="X158" s="122" t="s">
        <v>4409</v>
      </c>
      <c r="Y158" s="141" t="s">
        <v>705</v>
      </c>
      <c r="Z158" s="122" t="s">
        <v>13530</v>
      </c>
      <c r="AA158" s="141" t="s">
        <v>328</v>
      </c>
      <c r="AB158" s="122" t="s">
        <v>13531</v>
      </c>
      <c r="AC158" s="141" t="s">
        <v>9522</v>
      </c>
      <c r="AD158" s="122" t="s">
        <v>13532</v>
      </c>
      <c r="AE158" s="122" t="s">
        <v>235</v>
      </c>
      <c r="AF158" s="122" t="s">
        <v>13533</v>
      </c>
      <c r="AG158" s="122" t="s">
        <v>537</v>
      </c>
      <c r="AH158" s="122" t="s">
        <v>253</v>
      </c>
      <c r="AI158" s="122" t="s">
        <v>13534</v>
      </c>
      <c r="AJ158" s="122" t="s">
        <v>13535</v>
      </c>
      <c r="AK158" s="122" t="s">
        <v>253</v>
      </c>
      <c r="AL158" s="122" t="s">
        <v>253</v>
      </c>
      <c r="AM158" s="122" t="s">
        <v>253</v>
      </c>
      <c r="AN158" s="122" t="s">
        <v>253</v>
      </c>
      <c r="AO158" s="141" t="s">
        <v>247</v>
      </c>
      <c r="AP158" s="141" t="s">
        <v>247</v>
      </c>
      <c r="AQ158" s="141" t="s">
        <v>247</v>
      </c>
      <c r="AR158" s="141" t="s">
        <v>253</v>
      </c>
      <c r="AS158" s="141" t="s">
        <v>601</v>
      </c>
      <c r="AT158" s="141" t="s">
        <v>601</v>
      </c>
      <c r="AU158" s="141" t="s">
        <v>258</v>
      </c>
      <c r="AV158" s="122" t="s">
        <v>259</v>
      </c>
      <c r="AW158" s="122" t="s">
        <v>260</v>
      </c>
      <c r="AX158" s="141" t="s">
        <v>1685</v>
      </c>
      <c r="AY158" s="122" t="s">
        <v>247</v>
      </c>
      <c r="AZ158" s="122" t="s">
        <v>13536</v>
      </c>
      <c r="BA158" s="122" t="s">
        <v>13537</v>
      </c>
      <c r="BB158" s="122" t="s">
        <v>262</v>
      </c>
      <c r="BC158" s="141" t="s">
        <v>312</v>
      </c>
      <c r="BD158" s="122" t="s">
        <v>253</v>
      </c>
      <c r="BE158" s="122" t="s">
        <v>263</v>
      </c>
      <c r="BF158" s="122" t="s">
        <v>2811</v>
      </c>
      <c r="BH158" s="122" t="s">
        <v>2802</v>
      </c>
      <c r="BI158" s="142">
        <v>31</v>
      </c>
    </row>
    <row r="159" spans="1:65" x14ac:dyDescent="0.25">
      <c r="A159" s="122" t="s">
        <v>9904</v>
      </c>
      <c r="B159" s="122" t="s">
        <v>13538</v>
      </c>
      <c r="C159" s="122" t="s">
        <v>13539</v>
      </c>
      <c r="D159" s="122" t="s">
        <v>13540</v>
      </c>
      <c r="E159" s="123">
        <v>42233</v>
      </c>
      <c r="F159" s="122" t="s">
        <v>1075</v>
      </c>
      <c r="G159" s="122" t="s">
        <v>235</v>
      </c>
      <c r="H159" s="122" t="s">
        <v>448</v>
      </c>
      <c r="I159" s="122" t="s">
        <v>13541</v>
      </c>
      <c r="K159" s="122" t="s">
        <v>238</v>
      </c>
      <c r="L159" s="122" t="s">
        <v>346</v>
      </c>
      <c r="M159" s="122" t="s">
        <v>2963</v>
      </c>
      <c r="N159" s="122" t="s">
        <v>13542</v>
      </c>
      <c r="O159" s="141" t="s">
        <v>299</v>
      </c>
      <c r="P159" s="141" t="s">
        <v>13543</v>
      </c>
      <c r="Q159" s="122" t="s">
        <v>243</v>
      </c>
      <c r="R159" s="142">
        <v>32</v>
      </c>
      <c r="S159" s="122" t="s">
        <v>13544</v>
      </c>
      <c r="T159" s="122" t="s">
        <v>13545</v>
      </c>
      <c r="U159" s="122" t="s">
        <v>2802</v>
      </c>
      <c r="W159" s="122" t="s">
        <v>246</v>
      </c>
      <c r="X159" s="122" t="s">
        <v>1324</v>
      </c>
      <c r="Y159" s="141" t="s">
        <v>1122</v>
      </c>
      <c r="Z159" s="122" t="s">
        <v>13546</v>
      </c>
      <c r="AA159" s="141" t="s">
        <v>534</v>
      </c>
      <c r="AB159" s="122" t="s">
        <v>13547</v>
      </c>
      <c r="AC159" s="141" t="s">
        <v>570</v>
      </c>
      <c r="AD159" s="122" t="s">
        <v>669</v>
      </c>
      <c r="AE159" s="122" t="s">
        <v>235</v>
      </c>
      <c r="AF159" s="122" t="s">
        <v>13548</v>
      </c>
      <c r="AG159" s="122" t="s">
        <v>537</v>
      </c>
      <c r="AH159" s="122" t="s">
        <v>253</v>
      </c>
      <c r="AI159" s="122" t="s">
        <v>13549</v>
      </c>
      <c r="AJ159" s="122" t="s">
        <v>13550</v>
      </c>
      <c r="AK159" s="122" t="s">
        <v>253</v>
      </c>
      <c r="AL159" s="122" t="s">
        <v>253</v>
      </c>
      <c r="AM159" s="122" t="s">
        <v>253</v>
      </c>
      <c r="AN159" s="122" t="s">
        <v>253</v>
      </c>
      <c r="AO159" s="141" t="s">
        <v>247</v>
      </c>
      <c r="AP159" s="141" t="s">
        <v>247</v>
      </c>
      <c r="AQ159" s="141" t="s">
        <v>253</v>
      </c>
      <c r="AR159" s="141" t="s">
        <v>253</v>
      </c>
      <c r="AS159" s="141" t="s">
        <v>601</v>
      </c>
      <c r="AT159" s="141" t="s">
        <v>258</v>
      </c>
      <c r="AU159" s="141" t="s">
        <v>258</v>
      </c>
      <c r="AV159" s="122" t="s">
        <v>259</v>
      </c>
      <c r="AW159" s="122" t="s">
        <v>260</v>
      </c>
      <c r="AX159" s="141" t="s">
        <v>13551</v>
      </c>
      <c r="AY159" s="122" t="s">
        <v>603</v>
      </c>
      <c r="AZ159" s="122" t="s">
        <v>262</v>
      </c>
      <c r="BA159" s="122" t="s">
        <v>13552</v>
      </c>
      <c r="BB159" s="122" t="s">
        <v>13552</v>
      </c>
      <c r="BC159" s="141" t="s">
        <v>312</v>
      </c>
      <c r="BD159" s="122" t="s">
        <v>253</v>
      </c>
      <c r="BE159" s="122" t="s">
        <v>263</v>
      </c>
      <c r="BF159" s="122" t="s">
        <v>2811</v>
      </c>
      <c r="BH159" s="122" t="s">
        <v>2802</v>
      </c>
      <c r="BI159" s="142">
        <v>32</v>
      </c>
    </row>
    <row r="160" spans="1:65" x14ac:dyDescent="0.25">
      <c r="A160" s="122" t="s">
        <v>6466</v>
      </c>
      <c r="B160" s="122" t="s">
        <v>13553</v>
      </c>
      <c r="C160" s="122" t="s">
        <v>13554</v>
      </c>
      <c r="D160" s="122" t="s">
        <v>13555</v>
      </c>
      <c r="E160" s="123">
        <v>42233</v>
      </c>
      <c r="F160" s="122" t="s">
        <v>1125</v>
      </c>
      <c r="G160" s="122" t="s">
        <v>235</v>
      </c>
      <c r="H160" s="122" t="s">
        <v>13556</v>
      </c>
      <c r="I160" s="122" t="s">
        <v>13557</v>
      </c>
      <c r="K160" s="122" t="s">
        <v>238</v>
      </c>
      <c r="L160" s="122" t="s">
        <v>346</v>
      </c>
      <c r="M160" s="122" t="s">
        <v>3176</v>
      </c>
      <c r="O160" s="141" t="s">
        <v>1055</v>
      </c>
      <c r="P160" s="141" t="s">
        <v>13558</v>
      </c>
      <c r="Q160" s="122" t="s">
        <v>243</v>
      </c>
      <c r="R160" s="142">
        <v>33</v>
      </c>
      <c r="S160" s="122" t="s">
        <v>13559</v>
      </c>
      <c r="U160" s="122" t="s">
        <v>2802</v>
      </c>
      <c r="W160" s="122" t="s">
        <v>246</v>
      </c>
      <c r="X160" s="122" t="s">
        <v>1225</v>
      </c>
      <c r="Y160" s="141" t="s">
        <v>535</v>
      </c>
      <c r="Z160" s="122" t="s">
        <v>1326</v>
      </c>
      <c r="AB160" s="122" t="s">
        <v>250</v>
      </c>
      <c r="AD160" s="122" t="s">
        <v>250</v>
      </c>
      <c r="AE160" s="122" t="s">
        <v>235</v>
      </c>
      <c r="AF160" s="122" t="s">
        <v>13560</v>
      </c>
      <c r="AG160" s="122" t="s">
        <v>537</v>
      </c>
      <c r="AH160" s="122" t="s">
        <v>253</v>
      </c>
      <c r="AI160" s="122" t="s">
        <v>13561</v>
      </c>
      <c r="AJ160" s="122" t="s">
        <v>13562</v>
      </c>
      <c r="AK160" s="122" t="s">
        <v>253</v>
      </c>
      <c r="AL160" s="122" t="s">
        <v>253</v>
      </c>
      <c r="AM160" s="122" t="s">
        <v>253</v>
      </c>
      <c r="AN160" s="122" t="s">
        <v>253</v>
      </c>
      <c r="AO160" s="141" t="s">
        <v>247</v>
      </c>
      <c r="AP160" s="141" t="s">
        <v>247</v>
      </c>
      <c r="AQ160" s="141" t="s">
        <v>247</v>
      </c>
      <c r="AR160" s="141" t="s">
        <v>253</v>
      </c>
      <c r="AS160" s="141" t="s">
        <v>601</v>
      </c>
      <c r="AT160" s="141" t="s">
        <v>601</v>
      </c>
      <c r="AU160" s="141" t="s">
        <v>258</v>
      </c>
      <c r="AV160" s="122" t="s">
        <v>259</v>
      </c>
      <c r="AW160" s="122" t="s">
        <v>260</v>
      </c>
      <c r="AY160" s="122" t="s">
        <v>253</v>
      </c>
      <c r="AZ160" s="122" t="s">
        <v>13563</v>
      </c>
      <c r="BA160" s="122" t="s">
        <v>262</v>
      </c>
      <c r="BB160" s="122" t="s">
        <v>262</v>
      </c>
      <c r="BD160" s="122" t="s">
        <v>253</v>
      </c>
      <c r="BE160" s="122" t="s">
        <v>263</v>
      </c>
      <c r="BF160" s="122" t="s">
        <v>2811</v>
      </c>
      <c r="BH160" s="122" t="s">
        <v>2802</v>
      </c>
      <c r="BI160" s="142">
        <v>33</v>
      </c>
    </row>
    <row r="161" spans="1:63" x14ac:dyDescent="0.25">
      <c r="A161" s="122" t="s">
        <v>6466</v>
      </c>
      <c r="B161" s="122" t="s">
        <v>13564</v>
      </c>
      <c r="C161" s="122" t="s">
        <v>13565</v>
      </c>
      <c r="D161" s="122" t="s">
        <v>13566</v>
      </c>
      <c r="E161" s="123">
        <v>42233</v>
      </c>
      <c r="F161" s="122" t="s">
        <v>7585</v>
      </c>
      <c r="G161" s="122" t="s">
        <v>235</v>
      </c>
      <c r="H161" s="122" t="s">
        <v>13567</v>
      </c>
      <c r="I161" s="122" t="s">
        <v>13568</v>
      </c>
      <c r="K161" s="122" t="s">
        <v>238</v>
      </c>
      <c r="L161" s="122" t="s">
        <v>346</v>
      </c>
      <c r="M161" s="122" t="s">
        <v>3050</v>
      </c>
      <c r="O161" s="141" t="s">
        <v>1240</v>
      </c>
      <c r="P161" s="141" t="s">
        <v>13569</v>
      </c>
      <c r="Q161" s="122" t="s">
        <v>243</v>
      </c>
      <c r="R161" s="142">
        <v>34</v>
      </c>
      <c r="S161" s="122" t="s">
        <v>13570</v>
      </c>
      <c r="U161" s="122" t="s">
        <v>2802</v>
      </c>
      <c r="W161" s="122" t="s">
        <v>246</v>
      </c>
      <c r="X161" s="122" t="s">
        <v>569</v>
      </c>
      <c r="Y161" s="141" t="s">
        <v>1161</v>
      </c>
      <c r="Z161" s="122" t="s">
        <v>13571</v>
      </c>
      <c r="AA161" s="141" t="s">
        <v>354</v>
      </c>
      <c r="AB161" s="122" t="s">
        <v>249</v>
      </c>
      <c r="AC161" s="141" t="s">
        <v>281</v>
      </c>
      <c r="AD161" s="122" t="s">
        <v>13572</v>
      </c>
      <c r="AE161" s="122" t="s">
        <v>235</v>
      </c>
      <c r="AF161" s="122" t="s">
        <v>13573</v>
      </c>
      <c r="AG161" s="122" t="s">
        <v>638</v>
      </c>
      <c r="AH161" s="122" t="s">
        <v>253</v>
      </c>
      <c r="AI161" s="122" t="s">
        <v>13574</v>
      </c>
      <c r="AJ161" s="122" t="s">
        <v>13575</v>
      </c>
      <c r="AK161" s="122" t="s">
        <v>253</v>
      </c>
      <c r="AL161" s="122" t="s">
        <v>253</v>
      </c>
      <c r="AM161" s="122" t="s">
        <v>253</v>
      </c>
      <c r="AN161" s="122" t="s">
        <v>253</v>
      </c>
      <c r="AO161" s="141" t="s">
        <v>247</v>
      </c>
      <c r="AP161" s="141" t="s">
        <v>247</v>
      </c>
      <c r="AQ161" s="141" t="s">
        <v>247</v>
      </c>
      <c r="AR161" s="141" t="s">
        <v>247</v>
      </c>
      <c r="AS161" s="141" t="s">
        <v>601</v>
      </c>
      <c r="AT161" s="141" t="s">
        <v>601</v>
      </c>
      <c r="AU161" s="141" t="s">
        <v>257</v>
      </c>
      <c r="AV161" s="122" t="s">
        <v>259</v>
      </c>
      <c r="AW161" s="122" t="s">
        <v>260</v>
      </c>
      <c r="AY161" s="122" t="s">
        <v>253</v>
      </c>
      <c r="AZ161" s="122" t="s">
        <v>13576</v>
      </c>
      <c r="BA161" s="122" t="s">
        <v>262</v>
      </c>
      <c r="BB161" s="122" t="s">
        <v>262</v>
      </c>
      <c r="BD161" s="122" t="s">
        <v>253</v>
      </c>
      <c r="BE161" s="122" t="s">
        <v>263</v>
      </c>
      <c r="BF161" s="122" t="s">
        <v>2811</v>
      </c>
      <c r="BH161" s="122" t="s">
        <v>2802</v>
      </c>
      <c r="BI161" s="142">
        <v>34</v>
      </c>
    </row>
    <row r="162" spans="1:63" x14ac:dyDescent="0.25">
      <c r="A162" s="122" t="s">
        <v>6466</v>
      </c>
      <c r="B162" s="122" t="s">
        <v>13577</v>
      </c>
      <c r="C162" s="122" t="s">
        <v>13578</v>
      </c>
      <c r="D162" s="122" t="s">
        <v>13579</v>
      </c>
      <c r="E162" s="123">
        <v>42233</v>
      </c>
      <c r="F162" s="122" t="s">
        <v>1125</v>
      </c>
      <c r="G162" s="122" t="s">
        <v>235</v>
      </c>
      <c r="H162" s="122" t="s">
        <v>448</v>
      </c>
      <c r="I162" s="122" t="s">
        <v>13580</v>
      </c>
      <c r="K162" s="122" t="s">
        <v>238</v>
      </c>
      <c r="L162" s="122" t="s">
        <v>346</v>
      </c>
      <c r="M162" s="122" t="s">
        <v>2830</v>
      </c>
      <c r="O162" s="141" t="s">
        <v>451</v>
      </c>
      <c r="P162" s="141" t="s">
        <v>13581</v>
      </c>
      <c r="Q162" s="122" t="s">
        <v>243</v>
      </c>
      <c r="R162" s="142">
        <v>35</v>
      </c>
      <c r="S162" s="122" t="s">
        <v>13582</v>
      </c>
      <c r="U162" s="122" t="s">
        <v>2802</v>
      </c>
      <c r="W162" s="122" t="s">
        <v>246</v>
      </c>
      <c r="X162" s="122" t="s">
        <v>1225</v>
      </c>
      <c r="Z162" s="122" t="s">
        <v>250</v>
      </c>
      <c r="AB162" s="122" t="s">
        <v>250</v>
      </c>
      <c r="AD162" s="122" t="s">
        <v>250</v>
      </c>
      <c r="AE162" s="122" t="s">
        <v>235</v>
      </c>
      <c r="AF162" s="122" t="s">
        <v>13583</v>
      </c>
      <c r="AG162" s="122" t="s">
        <v>537</v>
      </c>
      <c r="AH162" s="122" t="s">
        <v>253</v>
      </c>
      <c r="AI162" s="122" t="s">
        <v>13584</v>
      </c>
      <c r="AJ162" s="122" t="s">
        <v>13585</v>
      </c>
      <c r="AK162" s="122" t="s">
        <v>253</v>
      </c>
      <c r="AL162" s="122" t="s">
        <v>253</v>
      </c>
      <c r="AM162" s="122" t="s">
        <v>253</v>
      </c>
      <c r="AN162" s="122" t="s">
        <v>253</v>
      </c>
      <c r="AO162" s="141" t="s">
        <v>247</v>
      </c>
      <c r="AP162" s="141" t="s">
        <v>247</v>
      </c>
      <c r="AQ162" s="141" t="s">
        <v>247</v>
      </c>
      <c r="AR162" s="141" t="s">
        <v>247</v>
      </c>
      <c r="AS162" s="141" t="s">
        <v>601</v>
      </c>
      <c r="AT162" s="141" t="s">
        <v>601</v>
      </c>
      <c r="AU162" s="141" t="s">
        <v>257</v>
      </c>
      <c r="AV162" s="122" t="s">
        <v>259</v>
      </c>
      <c r="AW162" s="122" t="s">
        <v>260</v>
      </c>
      <c r="AY162" s="122" t="s">
        <v>253</v>
      </c>
      <c r="AZ162" s="122" t="s">
        <v>262</v>
      </c>
      <c r="BA162" s="122" t="s">
        <v>262</v>
      </c>
      <c r="BB162" s="122" t="s">
        <v>13586</v>
      </c>
      <c r="BD162" s="122" t="s">
        <v>253</v>
      </c>
      <c r="BE162" s="122" t="s">
        <v>263</v>
      </c>
      <c r="BF162" s="122" t="s">
        <v>2811</v>
      </c>
      <c r="BH162" s="122" t="s">
        <v>2802</v>
      </c>
      <c r="BI162" s="142">
        <v>35</v>
      </c>
    </row>
    <row r="163" spans="1:63" x14ac:dyDescent="0.25">
      <c r="A163" s="122" t="s">
        <v>6466</v>
      </c>
      <c r="B163" s="122" t="s">
        <v>13587</v>
      </c>
      <c r="C163" s="122" t="s">
        <v>13588</v>
      </c>
      <c r="D163" s="122" t="s">
        <v>13589</v>
      </c>
      <c r="E163" s="123">
        <v>42233</v>
      </c>
      <c r="F163" s="122" t="s">
        <v>13590</v>
      </c>
      <c r="G163" s="122" t="s">
        <v>235</v>
      </c>
      <c r="H163" s="122" t="s">
        <v>13591</v>
      </c>
      <c r="I163" s="122" t="s">
        <v>13592</v>
      </c>
      <c r="K163" s="122" t="s">
        <v>238</v>
      </c>
      <c r="L163" s="122" t="s">
        <v>346</v>
      </c>
      <c r="M163" s="122" t="s">
        <v>347</v>
      </c>
      <c r="O163" s="141" t="s">
        <v>3977</v>
      </c>
      <c r="P163" s="141" t="s">
        <v>13593</v>
      </c>
      <c r="Q163" s="122" t="s">
        <v>243</v>
      </c>
      <c r="R163" s="142">
        <v>36</v>
      </c>
      <c r="S163" s="122" t="s">
        <v>13594</v>
      </c>
      <c r="U163" s="122" t="s">
        <v>2802</v>
      </c>
      <c r="W163" s="122" t="s">
        <v>246</v>
      </c>
      <c r="X163" s="122" t="s">
        <v>569</v>
      </c>
      <c r="Y163" s="141" t="s">
        <v>578</v>
      </c>
      <c r="Z163" s="122" t="s">
        <v>13595</v>
      </c>
      <c r="AA163" s="141" t="s">
        <v>833</v>
      </c>
      <c r="AB163" s="122" t="s">
        <v>13596</v>
      </c>
      <c r="AC163" s="141" t="s">
        <v>685</v>
      </c>
      <c r="AD163" s="122" t="s">
        <v>249</v>
      </c>
      <c r="AE163" s="122" t="s">
        <v>235</v>
      </c>
      <c r="AF163" s="122" t="s">
        <v>13597</v>
      </c>
      <c r="AG163" s="122" t="s">
        <v>537</v>
      </c>
      <c r="AH163" s="122" t="s">
        <v>253</v>
      </c>
      <c r="AI163" s="122" t="s">
        <v>13598</v>
      </c>
      <c r="AJ163" s="122" t="s">
        <v>13599</v>
      </c>
      <c r="AK163" s="122" t="s">
        <v>253</v>
      </c>
      <c r="AL163" s="122" t="s">
        <v>253</v>
      </c>
      <c r="AM163" s="122" t="s">
        <v>253</v>
      </c>
      <c r="AN163" s="122" t="s">
        <v>253</v>
      </c>
      <c r="AO163" s="141" t="s">
        <v>247</v>
      </c>
      <c r="AP163" s="141" t="s">
        <v>247</v>
      </c>
      <c r="AQ163" s="141" t="s">
        <v>247</v>
      </c>
      <c r="AR163" s="141" t="s">
        <v>247</v>
      </c>
      <c r="AS163" s="141" t="s">
        <v>601</v>
      </c>
      <c r="AT163" s="141" t="s">
        <v>601</v>
      </c>
      <c r="AU163" s="141" t="s">
        <v>601</v>
      </c>
      <c r="AV163" s="122" t="s">
        <v>259</v>
      </c>
      <c r="AW163" s="122" t="s">
        <v>260</v>
      </c>
      <c r="AX163" s="141" t="s">
        <v>863</v>
      </c>
      <c r="AY163" s="122" t="s">
        <v>442</v>
      </c>
      <c r="AZ163" s="122" t="s">
        <v>13600</v>
      </c>
      <c r="BA163" s="122" t="s">
        <v>262</v>
      </c>
      <c r="BB163" s="122" t="s">
        <v>262</v>
      </c>
      <c r="BC163" s="141" t="s">
        <v>312</v>
      </c>
      <c r="BD163" s="122" t="s">
        <v>253</v>
      </c>
      <c r="BE163" s="122" t="s">
        <v>263</v>
      </c>
      <c r="BF163" s="122" t="s">
        <v>2811</v>
      </c>
      <c r="BH163" s="122" t="s">
        <v>2802</v>
      </c>
      <c r="BI163" s="142">
        <v>36</v>
      </c>
    </row>
    <row r="164" spans="1:63" x14ac:dyDescent="0.25">
      <c r="A164" s="122" t="s">
        <v>279</v>
      </c>
      <c r="B164" s="122" t="s">
        <v>13601</v>
      </c>
      <c r="C164" s="122" t="s">
        <v>8940</v>
      </c>
      <c r="D164" s="122" t="s">
        <v>8941</v>
      </c>
      <c r="E164" s="123">
        <v>42233</v>
      </c>
      <c r="F164" s="122" t="s">
        <v>8942</v>
      </c>
      <c r="G164" s="122" t="s">
        <v>235</v>
      </c>
      <c r="H164" s="122" t="s">
        <v>8943</v>
      </c>
      <c r="I164" s="122" t="s">
        <v>8944</v>
      </c>
      <c r="K164" s="122" t="s">
        <v>238</v>
      </c>
      <c r="L164" s="122" t="s">
        <v>346</v>
      </c>
      <c r="M164" s="122" t="s">
        <v>514</v>
      </c>
      <c r="O164" s="141" t="s">
        <v>566</v>
      </c>
      <c r="P164" s="141" t="s">
        <v>8945</v>
      </c>
      <c r="Q164" s="122" t="s">
        <v>243</v>
      </c>
      <c r="R164" s="142">
        <v>37</v>
      </c>
      <c r="S164" s="122" t="s">
        <v>8946</v>
      </c>
      <c r="U164" s="122" t="s">
        <v>2802</v>
      </c>
      <c r="W164" s="122" t="s">
        <v>246</v>
      </c>
      <c r="X164" s="122" t="s">
        <v>631</v>
      </c>
      <c r="Y164" s="141" t="s">
        <v>2717</v>
      </c>
      <c r="Z164" s="122" t="s">
        <v>8947</v>
      </c>
      <c r="AA164" s="141" t="s">
        <v>1969</v>
      </c>
      <c r="AB164" s="122" t="s">
        <v>8948</v>
      </c>
      <c r="AC164" s="141" t="s">
        <v>447</v>
      </c>
      <c r="AD164" s="122" t="s">
        <v>8949</v>
      </c>
      <c r="AE164" s="122" t="s">
        <v>235</v>
      </c>
      <c r="AF164" s="122" t="s">
        <v>8950</v>
      </c>
      <c r="AG164" s="122" t="s">
        <v>253</v>
      </c>
      <c r="AH164" s="122" t="s">
        <v>253</v>
      </c>
      <c r="AI164" s="122" t="s">
        <v>8951</v>
      </c>
      <c r="AJ164" s="122" t="s">
        <v>8952</v>
      </c>
      <c r="AK164" s="122" t="s">
        <v>8953</v>
      </c>
      <c r="AL164" s="122" t="s">
        <v>253</v>
      </c>
      <c r="AM164" s="122" t="s">
        <v>253</v>
      </c>
      <c r="AN164" s="122" t="s">
        <v>253</v>
      </c>
      <c r="AO164" s="141" t="s">
        <v>247</v>
      </c>
      <c r="AP164" s="141" t="s">
        <v>247</v>
      </c>
      <c r="AQ164" s="141" t="s">
        <v>247</v>
      </c>
      <c r="AR164" s="141" t="s">
        <v>247</v>
      </c>
      <c r="AS164" s="141" t="s">
        <v>601</v>
      </c>
      <c r="AT164" s="141" t="s">
        <v>601</v>
      </c>
      <c r="AU164" s="141" t="s">
        <v>601</v>
      </c>
      <c r="AV164" s="122" t="s">
        <v>259</v>
      </c>
      <c r="AW164" s="122" t="s">
        <v>556</v>
      </c>
      <c r="AY164" s="122" t="s">
        <v>253</v>
      </c>
      <c r="AZ164" s="122" t="s">
        <v>8954</v>
      </c>
      <c r="BA164" s="122" t="s">
        <v>262</v>
      </c>
      <c r="BB164" s="122" t="s">
        <v>262</v>
      </c>
      <c r="BD164" s="122" t="s">
        <v>253</v>
      </c>
      <c r="BE164" s="122" t="s">
        <v>263</v>
      </c>
      <c r="BF164" s="122" t="s">
        <v>2811</v>
      </c>
      <c r="BH164" s="122" t="s">
        <v>2802</v>
      </c>
      <c r="BI164" s="142">
        <v>37</v>
      </c>
      <c r="BK164" s="139" t="s">
        <v>558</v>
      </c>
    </row>
    <row r="165" spans="1:63" x14ac:dyDescent="0.25">
      <c r="A165" s="122" t="s">
        <v>279</v>
      </c>
      <c r="B165" s="122" t="s">
        <v>13602</v>
      </c>
      <c r="C165" s="122" t="s">
        <v>8970</v>
      </c>
      <c r="D165" s="122" t="s">
        <v>8971</v>
      </c>
      <c r="E165" s="123">
        <v>42233</v>
      </c>
      <c r="F165" s="122" t="s">
        <v>8972</v>
      </c>
      <c r="G165" s="122" t="s">
        <v>235</v>
      </c>
      <c r="H165" s="122" t="s">
        <v>8973</v>
      </c>
      <c r="I165" s="122" t="s">
        <v>8974</v>
      </c>
      <c r="K165" s="122" t="s">
        <v>238</v>
      </c>
      <c r="L165" s="122" t="s">
        <v>346</v>
      </c>
      <c r="M165" s="122" t="s">
        <v>8834</v>
      </c>
      <c r="O165" s="141" t="s">
        <v>390</v>
      </c>
      <c r="P165" s="141" t="s">
        <v>8975</v>
      </c>
      <c r="Q165" s="122" t="s">
        <v>243</v>
      </c>
      <c r="R165" s="142">
        <v>38</v>
      </c>
      <c r="S165" s="122" t="s">
        <v>8976</v>
      </c>
      <c r="U165" s="122" t="s">
        <v>2802</v>
      </c>
      <c r="W165" s="122" t="s">
        <v>246</v>
      </c>
      <c r="X165" s="122" t="s">
        <v>2624</v>
      </c>
      <c r="Y165" s="141" t="s">
        <v>973</v>
      </c>
      <c r="Z165" s="122" t="s">
        <v>8977</v>
      </c>
      <c r="AA165" s="141" t="s">
        <v>511</v>
      </c>
      <c r="AB165" s="122" t="s">
        <v>8978</v>
      </c>
      <c r="AC165" s="141" t="s">
        <v>1423</v>
      </c>
      <c r="AD165" s="122" t="s">
        <v>8979</v>
      </c>
      <c r="AE165" s="122" t="s">
        <v>235</v>
      </c>
      <c r="AF165" s="122" t="s">
        <v>13603</v>
      </c>
      <c r="AG165" s="122" t="s">
        <v>253</v>
      </c>
      <c r="AH165" s="122" t="s">
        <v>253</v>
      </c>
      <c r="AI165" s="122" t="s">
        <v>13604</v>
      </c>
      <c r="AJ165" s="122" t="s">
        <v>8981</v>
      </c>
      <c r="AK165" s="122" t="s">
        <v>8982</v>
      </c>
      <c r="AL165" s="122" t="s">
        <v>253</v>
      </c>
      <c r="AM165" s="122" t="s">
        <v>253</v>
      </c>
      <c r="AN165" s="122" t="s">
        <v>253</v>
      </c>
      <c r="AO165" s="141" t="s">
        <v>247</v>
      </c>
      <c r="AP165" s="141" t="s">
        <v>247</v>
      </c>
      <c r="AQ165" s="141" t="s">
        <v>247</v>
      </c>
      <c r="AR165" s="141" t="s">
        <v>247</v>
      </c>
      <c r="AS165" s="141" t="s">
        <v>601</v>
      </c>
      <c r="AT165" s="141" t="s">
        <v>601</v>
      </c>
      <c r="AU165" s="141" t="s">
        <v>601</v>
      </c>
      <c r="AV165" s="122" t="s">
        <v>259</v>
      </c>
      <c r="AW165" s="122" t="s">
        <v>556</v>
      </c>
      <c r="AX165" s="141" t="s">
        <v>1130</v>
      </c>
      <c r="AY165" s="122" t="s">
        <v>376</v>
      </c>
      <c r="AZ165" s="122" t="s">
        <v>8983</v>
      </c>
      <c r="BA165" s="122" t="s">
        <v>262</v>
      </c>
      <c r="BB165" s="122" t="s">
        <v>262</v>
      </c>
      <c r="BD165" s="122" t="s">
        <v>253</v>
      </c>
      <c r="BE165" s="122" t="s">
        <v>263</v>
      </c>
      <c r="BF165" s="122" t="s">
        <v>2811</v>
      </c>
      <c r="BH165" s="122" t="s">
        <v>2802</v>
      </c>
      <c r="BI165" s="142">
        <v>38</v>
      </c>
      <c r="BK165" s="139" t="s">
        <v>558</v>
      </c>
    </row>
    <row r="166" spans="1:63" x14ac:dyDescent="0.25">
      <c r="A166" s="122" t="s">
        <v>326</v>
      </c>
      <c r="B166" s="122" t="s">
        <v>13605</v>
      </c>
      <c r="C166" s="122" t="s">
        <v>9040</v>
      </c>
      <c r="D166" s="122" t="s">
        <v>9041</v>
      </c>
      <c r="E166" s="123">
        <v>42233</v>
      </c>
      <c r="F166" s="122" t="s">
        <v>1596</v>
      </c>
      <c r="G166" s="122" t="s">
        <v>235</v>
      </c>
      <c r="H166" s="122" t="s">
        <v>448</v>
      </c>
      <c r="I166" s="122" t="s">
        <v>9042</v>
      </c>
      <c r="K166" s="122" t="s">
        <v>238</v>
      </c>
      <c r="L166" s="122" t="s">
        <v>346</v>
      </c>
      <c r="M166" s="122" t="s">
        <v>514</v>
      </c>
      <c r="O166" s="141" t="s">
        <v>566</v>
      </c>
      <c r="P166" s="141" t="s">
        <v>9043</v>
      </c>
      <c r="Q166" s="122" t="s">
        <v>243</v>
      </c>
      <c r="R166" s="142">
        <v>39</v>
      </c>
      <c r="S166" s="122" t="s">
        <v>9044</v>
      </c>
      <c r="U166" s="122" t="s">
        <v>2802</v>
      </c>
      <c r="W166" s="122" t="s">
        <v>246</v>
      </c>
      <c r="X166" s="122" t="s">
        <v>853</v>
      </c>
      <c r="Z166" s="122" t="s">
        <v>250</v>
      </c>
      <c r="AB166" s="122" t="s">
        <v>250</v>
      </c>
      <c r="AD166" s="122" t="s">
        <v>250</v>
      </c>
      <c r="AE166" s="122" t="s">
        <v>235</v>
      </c>
      <c r="AF166" s="122" t="s">
        <v>13606</v>
      </c>
      <c r="AG166" s="122" t="s">
        <v>2163</v>
      </c>
      <c r="AH166" s="122" t="s">
        <v>253</v>
      </c>
      <c r="AI166" s="122" t="s">
        <v>13607</v>
      </c>
      <c r="AJ166" s="122" t="s">
        <v>9046</v>
      </c>
      <c r="AK166" s="122" t="s">
        <v>9047</v>
      </c>
      <c r="AL166" s="122" t="s">
        <v>253</v>
      </c>
      <c r="AM166" s="122" t="s">
        <v>253</v>
      </c>
      <c r="AN166" s="122" t="s">
        <v>253</v>
      </c>
      <c r="AO166" s="141" t="s">
        <v>247</v>
      </c>
      <c r="AP166" s="141" t="s">
        <v>247</v>
      </c>
      <c r="AQ166" s="141" t="s">
        <v>247</v>
      </c>
      <c r="AR166" s="141" t="s">
        <v>247</v>
      </c>
      <c r="AS166" s="141" t="s">
        <v>601</v>
      </c>
      <c r="AT166" s="141" t="s">
        <v>601</v>
      </c>
      <c r="AU166" s="141" t="s">
        <v>601</v>
      </c>
      <c r="AV166" s="122" t="s">
        <v>259</v>
      </c>
      <c r="AW166" s="122" t="s">
        <v>556</v>
      </c>
      <c r="AY166" s="122" t="s">
        <v>253</v>
      </c>
      <c r="AZ166" s="122" t="s">
        <v>262</v>
      </c>
      <c r="BA166" s="122" t="s">
        <v>262</v>
      </c>
      <c r="BB166" s="122" t="s">
        <v>9048</v>
      </c>
      <c r="BD166" s="122" t="s">
        <v>253</v>
      </c>
      <c r="BE166" s="122" t="s">
        <v>263</v>
      </c>
      <c r="BF166" s="122" t="s">
        <v>2811</v>
      </c>
      <c r="BH166" s="122" t="s">
        <v>2802</v>
      </c>
      <c r="BI166" s="142">
        <v>39</v>
      </c>
      <c r="BK166" s="139" t="s">
        <v>558</v>
      </c>
    </row>
    <row r="167" spans="1:63" x14ac:dyDescent="0.25">
      <c r="A167" s="122" t="s">
        <v>326</v>
      </c>
      <c r="B167" s="122" t="s">
        <v>13608</v>
      </c>
      <c r="C167" s="122" t="s">
        <v>8997</v>
      </c>
      <c r="D167" s="122" t="s">
        <v>8998</v>
      </c>
      <c r="E167" s="123">
        <v>42233</v>
      </c>
      <c r="F167" s="122" t="s">
        <v>1269</v>
      </c>
      <c r="G167" s="122" t="s">
        <v>235</v>
      </c>
      <c r="H167" s="122" t="s">
        <v>8999</v>
      </c>
      <c r="I167" s="122" t="s">
        <v>9000</v>
      </c>
      <c r="K167" s="122" t="s">
        <v>238</v>
      </c>
      <c r="L167" s="122" t="s">
        <v>346</v>
      </c>
      <c r="M167" s="122" t="s">
        <v>3242</v>
      </c>
      <c r="N167" s="122" t="s">
        <v>9001</v>
      </c>
      <c r="O167" s="141" t="s">
        <v>273</v>
      </c>
      <c r="P167" s="141" t="s">
        <v>9002</v>
      </c>
      <c r="Q167" s="122" t="s">
        <v>243</v>
      </c>
      <c r="R167" s="142">
        <v>40</v>
      </c>
      <c r="S167" s="122" t="s">
        <v>9003</v>
      </c>
      <c r="U167" s="122" t="s">
        <v>2802</v>
      </c>
      <c r="W167" s="122" t="s">
        <v>246</v>
      </c>
      <c r="X167" s="122" t="s">
        <v>1057</v>
      </c>
      <c r="Y167" s="141" t="s">
        <v>534</v>
      </c>
      <c r="Z167" s="122" t="s">
        <v>9004</v>
      </c>
      <c r="AA167" s="141" t="s">
        <v>1258</v>
      </c>
      <c r="AB167" s="122" t="s">
        <v>9005</v>
      </c>
      <c r="AC167" s="141" t="s">
        <v>1090</v>
      </c>
      <c r="AD167" s="122" t="s">
        <v>2967</v>
      </c>
      <c r="AE167" s="122" t="s">
        <v>235</v>
      </c>
      <c r="AF167" s="122" t="s">
        <v>13609</v>
      </c>
      <c r="AG167" s="122" t="s">
        <v>253</v>
      </c>
      <c r="AH167" s="122" t="s">
        <v>253</v>
      </c>
      <c r="AI167" s="122" t="s">
        <v>13610</v>
      </c>
      <c r="AJ167" s="122" t="s">
        <v>9007</v>
      </c>
      <c r="AK167" s="122" t="s">
        <v>13611</v>
      </c>
      <c r="AL167" s="122" t="s">
        <v>253</v>
      </c>
      <c r="AM167" s="122" t="s">
        <v>253</v>
      </c>
      <c r="AN167" s="122" t="s">
        <v>253</v>
      </c>
      <c r="AO167" s="141" t="s">
        <v>247</v>
      </c>
      <c r="AP167" s="141" t="s">
        <v>247</v>
      </c>
      <c r="AQ167" s="141" t="s">
        <v>247</v>
      </c>
      <c r="AR167" s="141" t="s">
        <v>247</v>
      </c>
      <c r="AS167" s="141" t="s">
        <v>601</v>
      </c>
      <c r="AT167" s="141" t="s">
        <v>601</v>
      </c>
      <c r="AU167" s="141" t="s">
        <v>601</v>
      </c>
      <c r="AV167" s="122" t="s">
        <v>259</v>
      </c>
      <c r="AW167" s="122" t="s">
        <v>556</v>
      </c>
      <c r="AY167" s="122" t="s">
        <v>253</v>
      </c>
      <c r="AZ167" s="122" t="s">
        <v>9010</v>
      </c>
      <c r="BA167" s="122" t="s">
        <v>262</v>
      </c>
      <c r="BB167" s="122" t="s">
        <v>262</v>
      </c>
      <c r="BD167" s="122" t="s">
        <v>253</v>
      </c>
      <c r="BE167" s="122" t="s">
        <v>263</v>
      </c>
      <c r="BF167" s="122" t="s">
        <v>2811</v>
      </c>
      <c r="BH167" s="122" t="s">
        <v>2802</v>
      </c>
      <c r="BI167" s="142">
        <v>40</v>
      </c>
      <c r="BK167" s="139" t="s">
        <v>558</v>
      </c>
    </row>
    <row r="168" spans="1:63" x14ac:dyDescent="0.25">
      <c r="A168" s="122" t="s">
        <v>11841</v>
      </c>
      <c r="B168" s="122" t="s">
        <v>13612</v>
      </c>
      <c r="C168" s="122" t="s">
        <v>13227</v>
      </c>
      <c r="D168" s="122" t="s">
        <v>13228</v>
      </c>
      <c r="E168" s="123">
        <v>42233</v>
      </c>
      <c r="F168" s="122" t="s">
        <v>13229</v>
      </c>
      <c r="G168" s="122" t="s">
        <v>235</v>
      </c>
      <c r="H168" s="122" t="s">
        <v>13230</v>
      </c>
      <c r="I168" s="122" t="s">
        <v>13231</v>
      </c>
      <c r="K168" s="122" t="s">
        <v>238</v>
      </c>
      <c r="L168" s="122" t="s">
        <v>346</v>
      </c>
      <c r="M168" s="122" t="s">
        <v>8834</v>
      </c>
      <c r="O168" s="141" t="s">
        <v>6638</v>
      </c>
      <c r="P168" s="141" t="s">
        <v>13232</v>
      </c>
      <c r="Q168" s="122" t="s">
        <v>243</v>
      </c>
      <c r="R168" s="142">
        <v>41</v>
      </c>
      <c r="S168" s="122" t="s">
        <v>13233</v>
      </c>
      <c r="U168" s="122" t="s">
        <v>2802</v>
      </c>
      <c r="W168" s="122" t="s">
        <v>246</v>
      </c>
      <c r="X168" s="122" t="s">
        <v>278</v>
      </c>
      <c r="Y168" s="141" t="s">
        <v>973</v>
      </c>
      <c r="Z168" s="122" t="s">
        <v>13234</v>
      </c>
      <c r="AA168" s="141" t="s">
        <v>1876</v>
      </c>
      <c r="AB168" s="122" t="s">
        <v>13235</v>
      </c>
      <c r="AC168" s="141" t="s">
        <v>722</v>
      </c>
      <c r="AD168" s="122" t="s">
        <v>13236</v>
      </c>
      <c r="AE168" s="122" t="s">
        <v>235</v>
      </c>
      <c r="AF168" s="122" t="s">
        <v>13237</v>
      </c>
      <c r="AG168" s="122" t="s">
        <v>537</v>
      </c>
      <c r="AH168" s="122" t="s">
        <v>253</v>
      </c>
      <c r="AI168" s="122" t="s">
        <v>13238</v>
      </c>
      <c r="AJ168" s="122" t="s">
        <v>13239</v>
      </c>
      <c r="AK168" s="122" t="s">
        <v>253</v>
      </c>
      <c r="AL168" s="122" t="s">
        <v>253</v>
      </c>
      <c r="AM168" s="122" t="s">
        <v>253</v>
      </c>
      <c r="AN168" s="122" t="s">
        <v>253</v>
      </c>
      <c r="AO168" s="141" t="s">
        <v>247</v>
      </c>
      <c r="AP168" s="141" t="s">
        <v>247</v>
      </c>
      <c r="AQ168" s="141" t="s">
        <v>247</v>
      </c>
      <c r="AR168" s="141" t="s">
        <v>247</v>
      </c>
      <c r="AS168" s="141" t="s">
        <v>601</v>
      </c>
      <c r="AT168" s="141" t="s">
        <v>601</v>
      </c>
      <c r="AU168" s="141" t="s">
        <v>601</v>
      </c>
      <c r="AV168" s="122" t="s">
        <v>259</v>
      </c>
      <c r="AW168" s="122" t="s">
        <v>556</v>
      </c>
      <c r="AY168" s="122" t="s">
        <v>253</v>
      </c>
      <c r="AZ168" s="122" t="s">
        <v>13240</v>
      </c>
      <c r="BA168" s="122" t="s">
        <v>262</v>
      </c>
      <c r="BB168" s="122" t="s">
        <v>13240</v>
      </c>
      <c r="BD168" s="122" t="s">
        <v>253</v>
      </c>
      <c r="BE168" s="122" t="s">
        <v>263</v>
      </c>
      <c r="BF168" s="122" t="s">
        <v>2811</v>
      </c>
      <c r="BH168" s="122" t="s">
        <v>2802</v>
      </c>
      <c r="BI168" s="142">
        <v>41</v>
      </c>
      <c r="BK168" s="139" t="s">
        <v>558</v>
      </c>
    </row>
    <row r="169" spans="1:63" x14ac:dyDescent="0.25">
      <c r="A169" s="122" t="s">
        <v>9031</v>
      </c>
      <c r="B169" s="122" t="s">
        <v>13613</v>
      </c>
      <c r="C169" s="122" t="s">
        <v>13280</v>
      </c>
      <c r="D169" s="122" t="s">
        <v>13281</v>
      </c>
      <c r="E169" s="123">
        <v>42233</v>
      </c>
      <c r="F169" s="122" t="s">
        <v>1596</v>
      </c>
      <c r="G169" s="122" t="s">
        <v>235</v>
      </c>
      <c r="H169" s="122" t="s">
        <v>448</v>
      </c>
      <c r="I169" s="122" t="s">
        <v>13282</v>
      </c>
      <c r="K169" s="122" t="s">
        <v>238</v>
      </c>
      <c r="L169" s="122" t="s">
        <v>346</v>
      </c>
      <c r="M169" s="122" t="s">
        <v>2830</v>
      </c>
      <c r="O169" s="141" t="s">
        <v>566</v>
      </c>
      <c r="P169" s="141" t="s">
        <v>13283</v>
      </c>
      <c r="Q169" s="122" t="s">
        <v>243</v>
      </c>
      <c r="R169" s="142">
        <v>42</v>
      </c>
      <c r="S169" s="122" t="s">
        <v>13284</v>
      </c>
      <c r="U169" s="122" t="s">
        <v>2802</v>
      </c>
      <c r="W169" s="122" t="s">
        <v>246</v>
      </c>
      <c r="X169" s="122" t="s">
        <v>853</v>
      </c>
      <c r="Z169" s="122" t="s">
        <v>250</v>
      </c>
      <c r="AB169" s="122" t="s">
        <v>250</v>
      </c>
      <c r="AD169" s="122" t="s">
        <v>250</v>
      </c>
      <c r="AE169" s="122" t="s">
        <v>235</v>
      </c>
      <c r="AF169" s="122" t="s">
        <v>13285</v>
      </c>
      <c r="AG169" s="122" t="s">
        <v>253</v>
      </c>
      <c r="AH169" s="122" t="s">
        <v>253</v>
      </c>
      <c r="AI169" s="122" t="s">
        <v>1943</v>
      </c>
      <c r="AJ169" s="122" t="s">
        <v>5998</v>
      </c>
      <c r="AK169" s="122" t="s">
        <v>1945</v>
      </c>
      <c r="AL169" s="122" t="s">
        <v>253</v>
      </c>
      <c r="AM169" s="122" t="s">
        <v>253</v>
      </c>
      <c r="AN169" s="122" t="s">
        <v>253</v>
      </c>
      <c r="AO169" s="141" t="s">
        <v>247</v>
      </c>
      <c r="AP169" s="141" t="s">
        <v>247</v>
      </c>
      <c r="AQ169" s="141" t="s">
        <v>247</v>
      </c>
      <c r="AR169" s="141" t="s">
        <v>247</v>
      </c>
      <c r="AS169" s="141" t="s">
        <v>601</v>
      </c>
      <c r="AT169" s="141" t="s">
        <v>601</v>
      </c>
      <c r="AU169" s="141" t="s">
        <v>601</v>
      </c>
      <c r="AV169" s="122" t="s">
        <v>259</v>
      </c>
      <c r="AW169" s="122" t="s">
        <v>556</v>
      </c>
      <c r="AY169" s="122" t="s">
        <v>253</v>
      </c>
      <c r="AZ169" s="122" t="s">
        <v>262</v>
      </c>
      <c r="BA169" s="122" t="s">
        <v>262</v>
      </c>
      <c r="BB169" s="122" t="s">
        <v>262</v>
      </c>
      <c r="BD169" s="122" t="s">
        <v>253</v>
      </c>
      <c r="BE169" s="122" t="s">
        <v>263</v>
      </c>
      <c r="BF169" s="122" t="s">
        <v>2811</v>
      </c>
      <c r="BH169" s="122" t="s">
        <v>2802</v>
      </c>
      <c r="BI169" s="142">
        <v>42</v>
      </c>
      <c r="BK169" s="139" t="s">
        <v>558</v>
      </c>
    </row>
    <row r="170" spans="1:63" x14ac:dyDescent="0.25">
      <c r="A170" s="122" t="s">
        <v>9031</v>
      </c>
      <c r="B170" s="122" t="s">
        <v>13614</v>
      </c>
      <c r="C170" s="122" t="s">
        <v>13615</v>
      </c>
      <c r="D170" s="122" t="s">
        <v>13616</v>
      </c>
      <c r="E170" s="123">
        <v>42233</v>
      </c>
      <c r="F170" s="122" t="s">
        <v>950</v>
      </c>
      <c r="G170" s="122" t="s">
        <v>235</v>
      </c>
      <c r="H170" s="122" t="s">
        <v>13617</v>
      </c>
      <c r="I170" s="122" t="s">
        <v>13618</v>
      </c>
      <c r="K170" s="122" t="s">
        <v>238</v>
      </c>
      <c r="L170" s="122" t="s">
        <v>346</v>
      </c>
      <c r="M170" s="122" t="s">
        <v>2830</v>
      </c>
      <c r="O170" s="141" t="s">
        <v>494</v>
      </c>
      <c r="P170" s="141" t="s">
        <v>13619</v>
      </c>
      <c r="Q170" s="122" t="s">
        <v>243</v>
      </c>
      <c r="R170" s="142">
        <v>43</v>
      </c>
      <c r="S170" s="122" t="s">
        <v>13620</v>
      </c>
      <c r="U170" s="122" t="s">
        <v>2802</v>
      </c>
      <c r="W170" s="122" t="s">
        <v>246</v>
      </c>
      <c r="X170" s="122" t="s">
        <v>1377</v>
      </c>
      <c r="Y170" s="141" t="s">
        <v>404</v>
      </c>
      <c r="Z170" s="122" t="s">
        <v>13621</v>
      </c>
      <c r="AA170" s="141" t="s">
        <v>304</v>
      </c>
      <c r="AB170" s="122" t="s">
        <v>13622</v>
      </c>
      <c r="AC170" s="141" t="s">
        <v>2700</v>
      </c>
      <c r="AD170" s="122" t="s">
        <v>13623</v>
      </c>
      <c r="AE170" s="122" t="s">
        <v>235</v>
      </c>
      <c r="AF170" s="122" t="s">
        <v>13624</v>
      </c>
      <c r="AG170" s="122" t="s">
        <v>13625</v>
      </c>
      <c r="AH170" s="122" t="s">
        <v>253</v>
      </c>
      <c r="AI170" s="122" t="s">
        <v>13626</v>
      </c>
      <c r="AJ170" s="122" t="s">
        <v>13627</v>
      </c>
      <c r="AK170" s="122" t="s">
        <v>253</v>
      </c>
      <c r="AL170" s="122" t="s">
        <v>253</v>
      </c>
      <c r="AM170" s="122" t="s">
        <v>253</v>
      </c>
      <c r="AN170" s="122" t="s">
        <v>253</v>
      </c>
      <c r="AO170" s="141" t="s">
        <v>253</v>
      </c>
      <c r="AP170" s="141" t="s">
        <v>253</v>
      </c>
      <c r="AQ170" s="141" t="s">
        <v>253</v>
      </c>
      <c r="AR170" s="141" t="s">
        <v>247</v>
      </c>
      <c r="AS170" s="141" t="s">
        <v>361</v>
      </c>
      <c r="AT170" s="141" t="s">
        <v>258</v>
      </c>
      <c r="AU170" s="141" t="s">
        <v>601</v>
      </c>
      <c r="AV170" s="122" t="s">
        <v>259</v>
      </c>
      <c r="AW170" s="122" t="s">
        <v>556</v>
      </c>
      <c r="AX170" s="141" t="s">
        <v>13628</v>
      </c>
      <c r="AY170" s="122" t="s">
        <v>603</v>
      </c>
      <c r="AZ170" s="122" t="s">
        <v>13629</v>
      </c>
      <c r="BA170" s="122" t="s">
        <v>13630</v>
      </c>
      <c r="BB170" s="122" t="s">
        <v>13631</v>
      </c>
      <c r="BD170" s="122" t="s">
        <v>253</v>
      </c>
      <c r="BE170" s="122" t="s">
        <v>263</v>
      </c>
      <c r="BF170" s="122" t="s">
        <v>2811</v>
      </c>
      <c r="BH170" s="122" t="s">
        <v>2802</v>
      </c>
      <c r="BI170" s="142">
        <v>43</v>
      </c>
    </row>
    <row r="171" spans="1:63" x14ac:dyDescent="0.25">
      <c r="A171" s="122" t="s">
        <v>11880</v>
      </c>
      <c r="B171" s="122" t="s">
        <v>13632</v>
      </c>
      <c r="C171" s="122" t="s">
        <v>13310</v>
      </c>
      <c r="D171" s="122" t="s">
        <v>13034</v>
      </c>
      <c r="E171" s="123">
        <v>42233</v>
      </c>
      <c r="F171" s="122" t="s">
        <v>3520</v>
      </c>
      <c r="G171" s="122" t="s">
        <v>235</v>
      </c>
      <c r="H171" s="122" t="s">
        <v>13311</v>
      </c>
      <c r="I171" s="122" t="s">
        <v>13312</v>
      </c>
      <c r="K171" s="122" t="s">
        <v>238</v>
      </c>
      <c r="L171" s="122" t="s">
        <v>346</v>
      </c>
      <c r="M171" s="122" t="s">
        <v>2847</v>
      </c>
      <c r="O171" s="141" t="s">
        <v>665</v>
      </c>
      <c r="P171" s="141" t="s">
        <v>13313</v>
      </c>
      <c r="Q171" s="122" t="s">
        <v>243</v>
      </c>
      <c r="R171" s="142">
        <v>44</v>
      </c>
      <c r="S171" s="122" t="s">
        <v>13314</v>
      </c>
      <c r="U171" s="122" t="s">
        <v>2802</v>
      </c>
      <c r="W171" s="122" t="s">
        <v>246</v>
      </c>
      <c r="X171" s="122" t="s">
        <v>1324</v>
      </c>
      <c r="Z171" s="122" t="s">
        <v>250</v>
      </c>
      <c r="AB171" s="122" t="s">
        <v>250</v>
      </c>
      <c r="AD171" s="122" t="s">
        <v>250</v>
      </c>
      <c r="AE171" s="122" t="s">
        <v>235</v>
      </c>
      <c r="AF171" s="122" t="s">
        <v>13315</v>
      </c>
      <c r="AG171" s="122" t="s">
        <v>537</v>
      </c>
      <c r="AH171" s="122" t="s">
        <v>253</v>
      </c>
      <c r="AI171" s="122" t="s">
        <v>13316</v>
      </c>
      <c r="AJ171" s="122" t="s">
        <v>1945</v>
      </c>
      <c r="AK171" s="122" t="s">
        <v>253</v>
      </c>
      <c r="AL171" s="122" t="s">
        <v>253</v>
      </c>
      <c r="AM171" s="122" t="s">
        <v>253</v>
      </c>
      <c r="AN171" s="122" t="s">
        <v>253</v>
      </c>
      <c r="AO171" s="141" t="s">
        <v>247</v>
      </c>
      <c r="AP171" s="141" t="s">
        <v>247</v>
      </c>
      <c r="AQ171" s="141" t="s">
        <v>247</v>
      </c>
      <c r="AR171" s="141" t="s">
        <v>247</v>
      </c>
      <c r="AS171" s="141" t="s">
        <v>601</v>
      </c>
      <c r="AT171" s="141" t="s">
        <v>601</v>
      </c>
      <c r="AU171" s="141" t="s">
        <v>601</v>
      </c>
      <c r="AV171" s="122" t="s">
        <v>259</v>
      </c>
      <c r="AW171" s="122" t="s">
        <v>556</v>
      </c>
      <c r="AY171" s="122" t="s">
        <v>253</v>
      </c>
      <c r="AZ171" s="122" t="s">
        <v>13317</v>
      </c>
      <c r="BA171" s="122" t="s">
        <v>262</v>
      </c>
      <c r="BB171" s="122" t="s">
        <v>262</v>
      </c>
      <c r="BD171" s="122" t="s">
        <v>253</v>
      </c>
      <c r="BE171" s="122" t="s">
        <v>263</v>
      </c>
      <c r="BF171" s="122" t="s">
        <v>2811</v>
      </c>
      <c r="BH171" s="122" t="s">
        <v>2802</v>
      </c>
      <c r="BI171" s="142">
        <v>44</v>
      </c>
      <c r="BK171" s="139" t="s">
        <v>558</v>
      </c>
    </row>
    <row r="172" spans="1:63" x14ac:dyDescent="0.25">
      <c r="A172" s="122" t="s">
        <v>9904</v>
      </c>
      <c r="B172" s="122" t="s">
        <v>13633</v>
      </c>
      <c r="C172" s="122" t="s">
        <v>13334</v>
      </c>
      <c r="D172" s="122" t="s">
        <v>13335</v>
      </c>
      <c r="E172" s="123">
        <v>42233</v>
      </c>
      <c r="F172" s="122" t="s">
        <v>5523</v>
      </c>
      <c r="G172" s="122" t="s">
        <v>235</v>
      </c>
      <c r="H172" s="122" t="s">
        <v>13336</v>
      </c>
      <c r="I172" s="122" t="s">
        <v>13337</v>
      </c>
      <c r="K172" s="122" t="s">
        <v>238</v>
      </c>
      <c r="L172" s="122" t="s">
        <v>346</v>
      </c>
      <c r="M172" s="122" t="s">
        <v>2963</v>
      </c>
      <c r="O172" s="141" t="s">
        <v>1240</v>
      </c>
      <c r="P172" s="141" t="s">
        <v>13338</v>
      </c>
      <c r="Q172" s="122" t="s">
        <v>243</v>
      </c>
      <c r="R172" s="142">
        <v>45</v>
      </c>
      <c r="S172" s="122" t="s">
        <v>13339</v>
      </c>
      <c r="U172" s="122" t="s">
        <v>2802</v>
      </c>
      <c r="W172" s="122" t="s">
        <v>246</v>
      </c>
      <c r="X172" s="122" t="s">
        <v>3147</v>
      </c>
      <c r="Y172" s="141" t="s">
        <v>1256</v>
      </c>
      <c r="Z172" s="122" t="s">
        <v>13340</v>
      </c>
      <c r="AA172" s="141" t="s">
        <v>595</v>
      </c>
      <c r="AB172" s="122" t="s">
        <v>8650</v>
      </c>
      <c r="AC172" s="141" t="s">
        <v>1567</v>
      </c>
      <c r="AD172" s="122" t="s">
        <v>13341</v>
      </c>
      <c r="AE172" s="122" t="s">
        <v>235</v>
      </c>
      <c r="AF172" s="122" t="s">
        <v>13342</v>
      </c>
      <c r="AG172" s="122" t="s">
        <v>747</v>
      </c>
      <c r="AH172" s="122" t="s">
        <v>253</v>
      </c>
      <c r="AI172" s="122" t="s">
        <v>13343</v>
      </c>
      <c r="AJ172" s="122" t="s">
        <v>13344</v>
      </c>
      <c r="AK172" s="122" t="s">
        <v>253</v>
      </c>
      <c r="AL172" s="122" t="s">
        <v>253</v>
      </c>
      <c r="AM172" s="122" t="s">
        <v>253</v>
      </c>
      <c r="AN172" s="122" t="s">
        <v>253</v>
      </c>
      <c r="AO172" s="141" t="s">
        <v>247</v>
      </c>
      <c r="AP172" s="141" t="s">
        <v>247</v>
      </c>
      <c r="AQ172" s="141" t="s">
        <v>247</v>
      </c>
      <c r="AR172" s="141" t="s">
        <v>247</v>
      </c>
      <c r="AS172" s="141" t="s">
        <v>601</v>
      </c>
      <c r="AT172" s="141" t="s">
        <v>601</v>
      </c>
      <c r="AU172" s="141" t="s">
        <v>601</v>
      </c>
      <c r="AV172" s="122" t="s">
        <v>259</v>
      </c>
      <c r="AW172" s="122" t="s">
        <v>556</v>
      </c>
      <c r="AX172" s="141" t="s">
        <v>3027</v>
      </c>
      <c r="AY172" s="122" t="s">
        <v>247</v>
      </c>
      <c r="AZ172" s="122" t="s">
        <v>13345</v>
      </c>
      <c r="BA172" s="122" t="s">
        <v>13345</v>
      </c>
      <c r="BB172" s="122" t="s">
        <v>13345</v>
      </c>
      <c r="BD172" s="122" t="s">
        <v>253</v>
      </c>
      <c r="BE172" s="122" t="s">
        <v>263</v>
      </c>
      <c r="BF172" s="122" t="s">
        <v>2811</v>
      </c>
      <c r="BH172" s="122" t="s">
        <v>2802</v>
      </c>
      <c r="BI172" s="142">
        <v>45</v>
      </c>
      <c r="BK172" s="139" t="s">
        <v>558</v>
      </c>
    </row>
    <row r="173" spans="1:63" x14ac:dyDescent="0.25">
      <c r="A173" s="122" t="s">
        <v>9904</v>
      </c>
      <c r="B173" s="122" t="s">
        <v>13634</v>
      </c>
      <c r="C173" s="122" t="s">
        <v>13347</v>
      </c>
      <c r="D173" s="122" t="s">
        <v>13348</v>
      </c>
      <c r="E173" s="123">
        <v>42233</v>
      </c>
      <c r="F173" s="122" t="s">
        <v>1179</v>
      </c>
      <c r="G173" s="122" t="s">
        <v>235</v>
      </c>
      <c r="H173" s="122" t="s">
        <v>13349</v>
      </c>
      <c r="I173" s="122" t="s">
        <v>13350</v>
      </c>
      <c r="K173" s="122" t="s">
        <v>238</v>
      </c>
      <c r="L173" s="122" t="s">
        <v>346</v>
      </c>
      <c r="M173" s="122" t="s">
        <v>1054</v>
      </c>
      <c r="O173" s="141" t="s">
        <v>451</v>
      </c>
      <c r="P173" s="141" t="s">
        <v>13351</v>
      </c>
      <c r="Q173" s="122" t="s">
        <v>243</v>
      </c>
      <c r="R173" s="142">
        <v>46</v>
      </c>
      <c r="S173" s="122" t="s">
        <v>13352</v>
      </c>
      <c r="U173" s="122" t="s">
        <v>2802</v>
      </c>
      <c r="W173" s="122" t="s">
        <v>246</v>
      </c>
      <c r="X173" s="122" t="s">
        <v>247</v>
      </c>
      <c r="Y173" s="141" t="s">
        <v>1440</v>
      </c>
      <c r="Z173" s="122" t="s">
        <v>13353</v>
      </c>
      <c r="AA173" s="141" t="s">
        <v>330</v>
      </c>
      <c r="AB173" s="122" t="s">
        <v>12890</v>
      </c>
      <c r="AD173" s="122" t="s">
        <v>250</v>
      </c>
      <c r="AE173" s="122" t="s">
        <v>235</v>
      </c>
      <c r="AF173" s="122" t="s">
        <v>13354</v>
      </c>
      <c r="AG173" s="122" t="s">
        <v>537</v>
      </c>
      <c r="AH173" s="122" t="s">
        <v>253</v>
      </c>
      <c r="AI173" s="122" t="s">
        <v>13355</v>
      </c>
      <c r="AJ173" s="122" t="s">
        <v>13356</v>
      </c>
      <c r="AK173" s="122" t="s">
        <v>13357</v>
      </c>
      <c r="AL173" s="122" t="s">
        <v>253</v>
      </c>
      <c r="AM173" s="122" t="s">
        <v>253</v>
      </c>
      <c r="AN173" s="122" t="s">
        <v>253</v>
      </c>
      <c r="AO173" s="141" t="s">
        <v>247</v>
      </c>
      <c r="AP173" s="141" t="s">
        <v>247</v>
      </c>
      <c r="AQ173" s="141" t="s">
        <v>247</v>
      </c>
      <c r="AR173" s="141" t="s">
        <v>247</v>
      </c>
      <c r="AS173" s="141" t="s">
        <v>601</v>
      </c>
      <c r="AT173" s="141" t="s">
        <v>601</v>
      </c>
      <c r="AU173" s="141" t="s">
        <v>601</v>
      </c>
      <c r="AV173" s="122" t="s">
        <v>259</v>
      </c>
      <c r="AW173" s="122" t="s">
        <v>556</v>
      </c>
      <c r="AY173" s="122" t="s">
        <v>253</v>
      </c>
      <c r="AZ173" s="122" t="s">
        <v>13358</v>
      </c>
      <c r="BA173" s="122" t="s">
        <v>262</v>
      </c>
      <c r="BB173" s="122" t="s">
        <v>262</v>
      </c>
      <c r="BD173" s="122" t="s">
        <v>253</v>
      </c>
      <c r="BE173" s="122" t="s">
        <v>263</v>
      </c>
      <c r="BF173" s="122" t="s">
        <v>2811</v>
      </c>
      <c r="BH173" s="122" t="s">
        <v>2802</v>
      </c>
      <c r="BI173" s="142">
        <v>46</v>
      </c>
      <c r="BK173" s="139" t="s">
        <v>558</v>
      </c>
    </row>
    <row r="174" spans="1:63" x14ac:dyDescent="0.25">
      <c r="A174" s="122" t="s">
        <v>9904</v>
      </c>
      <c r="B174" s="122" t="s">
        <v>13635</v>
      </c>
      <c r="C174" s="122" t="s">
        <v>13360</v>
      </c>
      <c r="D174" s="122" t="s">
        <v>13361</v>
      </c>
      <c r="E174" s="123">
        <v>42233</v>
      </c>
      <c r="F174" s="122" t="s">
        <v>5981</v>
      </c>
      <c r="G174" s="122" t="s">
        <v>235</v>
      </c>
      <c r="H174" s="122" t="s">
        <v>13362</v>
      </c>
      <c r="I174" s="122" t="s">
        <v>13363</v>
      </c>
      <c r="K174" s="122" t="s">
        <v>238</v>
      </c>
      <c r="L174" s="122" t="s">
        <v>346</v>
      </c>
      <c r="M174" s="122" t="s">
        <v>3176</v>
      </c>
      <c r="O174" s="141" t="s">
        <v>451</v>
      </c>
      <c r="P174" s="141" t="s">
        <v>13364</v>
      </c>
      <c r="Q174" s="122" t="s">
        <v>243</v>
      </c>
      <c r="R174" s="142">
        <v>47</v>
      </c>
      <c r="S174" s="122" t="s">
        <v>13365</v>
      </c>
      <c r="U174" s="122" t="s">
        <v>2802</v>
      </c>
      <c r="W174" s="122" t="s">
        <v>246</v>
      </c>
      <c r="X174" s="122" t="s">
        <v>497</v>
      </c>
      <c r="Y174" s="141" t="s">
        <v>3039</v>
      </c>
      <c r="Z174" s="122" t="s">
        <v>434</v>
      </c>
      <c r="AA174" s="141" t="s">
        <v>819</v>
      </c>
      <c r="AB174" s="122" t="s">
        <v>13366</v>
      </c>
      <c r="AD174" s="122" t="s">
        <v>250</v>
      </c>
      <c r="AE174" s="122" t="s">
        <v>235</v>
      </c>
      <c r="AF174" s="122" t="s">
        <v>13367</v>
      </c>
      <c r="AG174" s="122" t="s">
        <v>253</v>
      </c>
      <c r="AH174" s="122" t="s">
        <v>253</v>
      </c>
      <c r="AI174" s="122" t="s">
        <v>13368</v>
      </c>
      <c r="AJ174" s="122" t="s">
        <v>13369</v>
      </c>
      <c r="AK174" s="122" t="s">
        <v>13370</v>
      </c>
      <c r="AL174" s="122" t="s">
        <v>253</v>
      </c>
      <c r="AM174" s="122" t="s">
        <v>253</v>
      </c>
      <c r="AN174" s="122" t="s">
        <v>253</v>
      </c>
      <c r="AO174" s="141" t="s">
        <v>247</v>
      </c>
      <c r="AP174" s="141" t="s">
        <v>247</v>
      </c>
      <c r="AQ174" s="141" t="s">
        <v>247</v>
      </c>
      <c r="AR174" s="141" t="s">
        <v>247</v>
      </c>
      <c r="AS174" s="141" t="s">
        <v>601</v>
      </c>
      <c r="AT174" s="141" t="s">
        <v>601</v>
      </c>
      <c r="AU174" s="141" t="s">
        <v>601</v>
      </c>
      <c r="AV174" s="122" t="s">
        <v>259</v>
      </c>
      <c r="AW174" s="122" t="s">
        <v>556</v>
      </c>
      <c r="AY174" s="122" t="s">
        <v>253</v>
      </c>
      <c r="AZ174" s="122" t="s">
        <v>13371</v>
      </c>
      <c r="BA174" s="122" t="s">
        <v>262</v>
      </c>
      <c r="BB174" s="122" t="s">
        <v>262</v>
      </c>
      <c r="BD174" s="122" t="s">
        <v>253</v>
      </c>
      <c r="BE174" s="122" t="s">
        <v>263</v>
      </c>
      <c r="BF174" s="122" t="s">
        <v>2811</v>
      </c>
      <c r="BH174" s="122" t="s">
        <v>2802</v>
      </c>
      <c r="BI174" s="142">
        <v>47</v>
      </c>
      <c r="BK174" s="139" t="s">
        <v>558</v>
      </c>
    </row>
    <row r="175" spans="1:63" x14ac:dyDescent="0.25">
      <c r="A175" s="122" t="s">
        <v>6466</v>
      </c>
      <c r="B175" s="122" t="s">
        <v>13636</v>
      </c>
      <c r="C175" s="122" t="s">
        <v>13403</v>
      </c>
      <c r="D175" s="122" t="s">
        <v>13404</v>
      </c>
      <c r="E175" s="123">
        <v>42233</v>
      </c>
      <c r="F175" s="122" t="s">
        <v>868</v>
      </c>
      <c r="G175" s="122" t="s">
        <v>235</v>
      </c>
      <c r="H175" s="122" t="s">
        <v>13405</v>
      </c>
      <c r="I175" s="122" t="s">
        <v>13406</v>
      </c>
      <c r="K175" s="122" t="s">
        <v>238</v>
      </c>
      <c r="L175" s="122" t="s">
        <v>346</v>
      </c>
      <c r="M175" s="122" t="s">
        <v>3018</v>
      </c>
      <c r="O175" s="141" t="s">
        <v>1240</v>
      </c>
      <c r="P175" s="141" t="s">
        <v>13407</v>
      </c>
      <c r="Q175" s="122" t="s">
        <v>243</v>
      </c>
      <c r="R175" s="142">
        <v>48</v>
      </c>
      <c r="S175" s="122" t="s">
        <v>13408</v>
      </c>
      <c r="U175" s="122" t="s">
        <v>2802</v>
      </c>
      <c r="W175" s="122" t="s">
        <v>246</v>
      </c>
      <c r="X175" s="122" t="s">
        <v>442</v>
      </c>
      <c r="Y175" s="141" t="s">
        <v>230</v>
      </c>
      <c r="Z175" s="122" t="s">
        <v>13409</v>
      </c>
      <c r="AA175" s="141" t="s">
        <v>230</v>
      </c>
      <c r="AB175" s="122" t="s">
        <v>1144</v>
      </c>
      <c r="AC175" s="141" t="s">
        <v>230</v>
      </c>
      <c r="AD175" s="122" t="s">
        <v>7926</v>
      </c>
      <c r="AE175" s="122" t="s">
        <v>235</v>
      </c>
      <c r="AF175" s="122" t="s">
        <v>13410</v>
      </c>
      <c r="AG175" s="122" t="s">
        <v>13411</v>
      </c>
      <c r="AH175" s="122" t="s">
        <v>253</v>
      </c>
      <c r="AI175" s="122" t="s">
        <v>13412</v>
      </c>
      <c r="AJ175" s="122" t="s">
        <v>8505</v>
      </c>
      <c r="AK175" s="122" t="s">
        <v>253</v>
      </c>
      <c r="AL175" s="122" t="s">
        <v>253</v>
      </c>
      <c r="AM175" s="122" t="s">
        <v>253</v>
      </c>
      <c r="AN175" s="122" t="s">
        <v>253</v>
      </c>
      <c r="AO175" s="141" t="s">
        <v>247</v>
      </c>
      <c r="AP175" s="141" t="s">
        <v>247</v>
      </c>
      <c r="AQ175" s="141" t="s">
        <v>247</v>
      </c>
      <c r="AR175" s="141" t="s">
        <v>247</v>
      </c>
      <c r="AS175" s="141" t="s">
        <v>601</v>
      </c>
      <c r="AT175" s="141" t="s">
        <v>601</v>
      </c>
      <c r="AU175" s="141" t="s">
        <v>601</v>
      </c>
      <c r="AV175" s="122" t="s">
        <v>259</v>
      </c>
      <c r="AW175" s="122" t="s">
        <v>556</v>
      </c>
      <c r="AX175" s="141" t="s">
        <v>711</v>
      </c>
      <c r="AY175" s="122" t="s">
        <v>442</v>
      </c>
      <c r="AZ175" s="122" t="s">
        <v>13413</v>
      </c>
      <c r="BA175" s="122" t="s">
        <v>262</v>
      </c>
      <c r="BB175" s="122" t="s">
        <v>262</v>
      </c>
      <c r="BD175" s="122" t="s">
        <v>253</v>
      </c>
      <c r="BE175" s="122" t="s">
        <v>263</v>
      </c>
      <c r="BF175" s="122" t="s">
        <v>2811</v>
      </c>
      <c r="BH175" s="122" t="s">
        <v>2802</v>
      </c>
      <c r="BI175" s="142">
        <v>48</v>
      </c>
      <c r="BK175" s="139" t="s">
        <v>558</v>
      </c>
    </row>
    <row r="176" spans="1:63" x14ac:dyDescent="0.25">
      <c r="A176" s="122" t="s">
        <v>6466</v>
      </c>
      <c r="B176" s="122" t="s">
        <v>13637</v>
      </c>
      <c r="C176" s="122" t="s">
        <v>2974</v>
      </c>
      <c r="D176" s="122" t="s">
        <v>2975</v>
      </c>
      <c r="E176" s="123">
        <v>42233</v>
      </c>
      <c r="F176" s="122" t="s">
        <v>1567</v>
      </c>
      <c r="G176" s="122" t="s">
        <v>235</v>
      </c>
      <c r="H176" s="122" t="s">
        <v>448</v>
      </c>
      <c r="I176" s="122" t="s">
        <v>2976</v>
      </c>
      <c r="K176" s="122" t="s">
        <v>238</v>
      </c>
      <c r="L176" s="122" t="s">
        <v>346</v>
      </c>
      <c r="M176" s="122" t="s">
        <v>2830</v>
      </c>
      <c r="O176" s="141" t="s">
        <v>1240</v>
      </c>
      <c r="P176" s="141" t="s">
        <v>2977</v>
      </c>
      <c r="Q176" s="122" t="s">
        <v>243</v>
      </c>
      <c r="R176" s="142">
        <v>49</v>
      </c>
      <c r="S176" s="122" t="s">
        <v>2978</v>
      </c>
      <c r="U176" s="122" t="s">
        <v>2802</v>
      </c>
      <c r="W176" s="122" t="s">
        <v>246</v>
      </c>
      <c r="X176" s="122" t="s">
        <v>260</v>
      </c>
      <c r="Y176" s="141" t="s">
        <v>2979</v>
      </c>
      <c r="Z176" s="122" t="s">
        <v>249</v>
      </c>
      <c r="AA176" s="141" t="s">
        <v>956</v>
      </c>
      <c r="AB176" s="122" t="s">
        <v>2980</v>
      </c>
      <c r="AC176" s="141" t="s">
        <v>2804</v>
      </c>
      <c r="AD176" s="122" t="s">
        <v>249</v>
      </c>
      <c r="AE176" s="122" t="s">
        <v>235</v>
      </c>
      <c r="AF176" s="122" t="s">
        <v>13638</v>
      </c>
      <c r="AG176" s="122" t="s">
        <v>13639</v>
      </c>
      <c r="AH176" s="122" t="s">
        <v>253</v>
      </c>
      <c r="AI176" s="122" t="s">
        <v>2983</v>
      </c>
      <c r="AJ176" s="122" t="s">
        <v>2984</v>
      </c>
      <c r="AK176" s="122" t="s">
        <v>13640</v>
      </c>
      <c r="AL176" s="122" t="s">
        <v>253</v>
      </c>
      <c r="AM176" s="122" t="s">
        <v>253</v>
      </c>
      <c r="AN176" s="122" t="s">
        <v>253</v>
      </c>
      <c r="AO176" s="141" t="s">
        <v>253</v>
      </c>
      <c r="AP176" s="141" t="s">
        <v>253</v>
      </c>
      <c r="AQ176" s="141" t="s">
        <v>253</v>
      </c>
      <c r="AR176" s="141" t="s">
        <v>247</v>
      </c>
      <c r="AS176" s="141" t="s">
        <v>361</v>
      </c>
      <c r="AT176" s="141" t="s">
        <v>258</v>
      </c>
      <c r="AU176" s="141" t="s">
        <v>601</v>
      </c>
      <c r="AV176" s="122" t="s">
        <v>259</v>
      </c>
      <c r="AW176" s="122" t="s">
        <v>556</v>
      </c>
      <c r="AX176" s="141" t="s">
        <v>2986</v>
      </c>
      <c r="AY176" s="122" t="s">
        <v>603</v>
      </c>
      <c r="AZ176" s="122" t="s">
        <v>262</v>
      </c>
      <c r="BA176" s="122" t="s">
        <v>262</v>
      </c>
      <c r="BB176" s="122" t="s">
        <v>2987</v>
      </c>
      <c r="BD176" s="122" t="s">
        <v>253</v>
      </c>
      <c r="BE176" s="122" t="s">
        <v>263</v>
      </c>
      <c r="BF176" s="122" t="s">
        <v>2811</v>
      </c>
      <c r="BH176" s="122" t="s">
        <v>2802</v>
      </c>
      <c r="BI176" s="142">
        <v>49</v>
      </c>
    </row>
    <row r="177" spans="1:65" x14ac:dyDescent="0.25">
      <c r="A177" s="122" t="s">
        <v>279</v>
      </c>
      <c r="B177" s="122" t="s">
        <v>13641</v>
      </c>
      <c r="C177" s="122" t="s">
        <v>13642</v>
      </c>
      <c r="D177" s="122" t="s">
        <v>13643</v>
      </c>
      <c r="E177" s="123">
        <v>42233</v>
      </c>
      <c r="F177" s="122" t="s">
        <v>7262</v>
      </c>
      <c r="G177" s="122" t="s">
        <v>235</v>
      </c>
      <c r="H177" s="122" t="s">
        <v>448</v>
      </c>
      <c r="I177" s="122" t="s">
        <v>13644</v>
      </c>
      <c r="K177" s="122" t="s">
        <v>238</v>
      </c>
      <c r="L177" s="122" t="s">
        <v>530</v>
      </c>
      <c r="M177" s="122" t="s">
        <v>4942</v>
      </c>
      <c r="O177" s="141" t="s">
        <v>613</v>
      </c>
      <c r="P177" s="141" t="s">
        <v>13645</v>
      </c>
      <c r="Q177" s="122" t="s">
        <v>243</v>
      </c>
      <c r="R177" s="142">
        <v>1</v>
      </c>
      <c r="S177" s="122" t="s">
        <v>13646</v>
      </c>
      <c r="U177" s="122" t="s">
        <v>13647</v>
      </c>
      <c r="W177" s="122" t="s">
        <v>246</v>
      </c>
      <c r="X177" s="122" t="s">
        <v>1324</v>
      </c>
      <c r="Y177" s="141" t="s">
        <v>685</v>
      </c>
      <c r="Z177" s="122" t="s">
        <v>13648</v>
      </c>
      <c r="AA177" s="141" t="s">
        <v>459</v>
      </c>
      <c r="AB177" s="122" t="s">
        <v>13649</v>
      </c>
      <c r="AC177" s="141" t="s">
        <v>857</v>
      </c>
      <c r="AD177" s="122" t="s">
        <v>12843</v>
      </c>
      <c r="AE177" s="122" t="s">
        <v>235</v>
      </c>
      <c r="AF177" s="122" t="s">
        <v>3166</v>
      </c>
      <c r="AG177" s="122" t="s">
        <v>537</v>
      </c>
      <c r="AH177" s="122" t="s">
        <v>253</v>
      </c>
      <c r="AI177" s="122" t="s">
        <v>4826</v>
      </c>
      <c r="AJ177" s="122" t="s">
        <v>13650</v>
      </c>
      <c r="AK177" s="122" t="s">
        <v>253</v>
      </c>
      <c r="AL177" s="122" t="s">
        <v>253</v>
      </c>
      <c r="AM177" s="122" t="s">
        <v>253</v>
      </c>
      <c r="AN177" s="122" t="s">
        <v>253</v>
      </c>
      <c r="AO177" s="141" t="s">
        <v>253</v>
      </c>
      <c r="AP177" s="141" t="s">
        <v>253</v>
      </c>
      <c r="AQ177" s="141" t="s">
        <v>247</v>
      </c>
      <c r="AR177" s="141" t="s">
        <v>253</v>
      </c>
      <c r="AS177" s="141" t="s">
        <v>361</v>
      </c>
      <c r="AT177" s="141" t="s">
        <v>601</v>
      </c>
      <c r="AU177" s="141" t="s">
        <v>258</v>
      </c>
      <c r="AV177" s="122" t="s">
        <v>259</v>
      </c>
      <c r="AW177" s="122" t="s">
        <v>260</v>
      </c>
      <c r="AY177" s="122" t="s">
        <v>253</v>
      </c>
      <c r="AZ177" s="122" t="s">
        <v>262</v>
      </c>
      <c r="BA177" s="122" t="s">
        <v>262</v>
      </c>
      <c r="BB177" s="122" t="s">
        <v>13651</v>
      </c>
      <c r="BC177" s="141" t="s">
        <v>312</v>
      </c>
      <c r="BD177" s="122" t="s">
        <v>253</v>
      </c>
      <c r="BE177" s="122" t="s">
        <v>263</v>
      </c>
      <c r="BF177" s="122" t="s">
        <v>13652</v>
      </c>
      <c r="BH177" s="122" t="s">
        <v>13647</v>
      </c>
      <c r="BI177" s="142">
        <v>1</v>
      </c>
    </row>
    <row r="178" spans="1:65" x14ac:dyDescent="0.25">
      <c r="A178" s="122" t="s">
        <v>279</v>
      </c>
      <c r="B178" s="122" t="s">
        <v>13653</v>
      </c>
      <c r="C178" s="122" t="s">
        <v>13654</v>
      </c>
      <c r="D178" s="122" t="s">
        <v>13655</v>
      </c>
      <c r="E178" s="123">
        <v>42233</v>
      </c>
      <c r="F178" s="122" t="s">
        <v>1143</v>
      </c>
      <c r="G178" s="122" t="s">
        <v>235</v>
      </c>
      <c r="H178" s="122" t="s">
        <v>13656</v>
      </c>
      <c r="I178" s="122" t="s">
        <v>13657</v>
      </c>
      <c r="K178" s="122" t="s">
        <v>238</v>
      </c>
      <c r="L178" s="122" t="s">
        <v>530</v>
      </c>
      <c r="M178" s="122" t="s">
        <v>4994</v>
      </c>
      <c r="O178" s="141" t="s">
        <v>1055</v>
      </c>
      <c r="P178" s="141" t="s">
        <v>13658</v>
      </c>
      <c r="Q178" s="122" t="s">
        <v>243</v>
      </c>
      <c r="R178" s="142">
        <v>2</v>
      </c>
      <c r="S178" s="122" t="s">
        <v>13659</v>
      </c>
      <c r="U178" s="122" t="s">
        <v>13647</v>
      </c>
      <c r="W178" s="122" t="s">
        <v>246</v>
      </c>
      <c r="X178" s="122" t="s">
        <v>433</v>
      </c>
      <c r="Y178" s="141" t="s">
        <v>2979</v>
      </c>
      <c r="Z178" s="122" t="s">
        <v>13660</v>
      </c>
      <c r="AA178" s="141" t="s">
        <v>3574</v>
      </c>
      <c r="AB178" s="122" t="s">
        <v>13661</v>
      </c>
      <c r="AC178" s="141" t="s">
        <v>283</v>
      </c>
      <c r="AD178" s="122" t="s">
        <v>1144</v>
      </c>
      <c r="AE178" s="122" t="s">
        <v>235</v>
      </c>
      <c r="AF178" s="122" t="s">
        <v>13662</v>
      </c>
      <c r="AG178" s="122" t="s">
        <v>253</v>
      </c>
      <c r="AH178" s="122" t="s">
        <v>253</v>
      </c>
      <c r="AI178" s="122" t="s">
        <v>13663</v>
      </c>
      <c r="AJ178" s="122" t="s">
        <v>13664</v>
      </c>
      <c r="AK178" s="122" t="s">
        <v>13665</v>
      </c>
      <c r="AL178" s="122" t="s">
        <v>253</v>
      </c>
      <c r="AM178" s="122" t="s">
        <v>253</v>
      </c>
      <c r="AN178" s="122" t="s">
        <v>253</v>
      </c>
      <c r="AO178" s="141" t="s">
        <v>253</v>
      </c>
      <c r="AP178" s="141" t="s">
        <v>253</v>
      </c>
      <c r="AQ178" s="141" t="s">
        <v>247</v>
      </c>
      <c r="AR178" s="141" t="s">
        <v>253</v>
      </c>
      <c r="AS178" s="141" t="s">
        <v>361</v>
      </c>
      <c r="AT178" s="141" t="s">
        <v>601</v>
      </c>
      <c r="AU178" s="141" t="s">
        <v>258</v>
      </c>
      <c r="AV178" s="122" t="s">
        <v>259</v>
      </c>
      <c r="AW178" s="122" t="s">
        <v>260</v>
      </c>
      <c r="AY178" s="122" t="s">
        <v>253</v>
      </c>
      <c r="AZ178" s="122" t="s">
        <v>13666</v>
      </c>
      <c r="BA178" s="122" t="s">
        <v>262</v>
      </c>
      <c r="BB178" s="122" t="s">
        <v>262</v>
      </c>
      <c r="BD178" s="122" t="s">
        <v>253</v>
      </c>
      <c r="BE178" s="122" t="s">
        <v>263</v>
      </c>
      <c r="BF178" s="122" t="s">
        <v>13652</v>
      </c>
      <c r="BH178" s="122" t="s">
        <v>13647</v>
      </c>
      <c r="BI178" s="142">
        <v>2</v>
      </c>
      <c r="BJ178" s="123">
        <v>42237</v>
      </c>
      <c r="BK178" s="139" t="s">
        <v>606</v>
      </c>
      <c r="BM178" s="122">
        <v>34</v>
      </c>
    </row>
    <row r="179" spans="1:65" x14ac:dyDescent="0.25">
      <c r="A179" s="122" t="s">
        <v>279</v>
      </c>
      <c r="B179" s="122" t="s">
        <v>13667</v>
      </c>
      <c r="C179" s="122" t="s">
        <v>13668</v>
      </c>
      <c r="D179" s="122" t="s">
        <v>13669</v>
      </c>
      <c r="E179" s="123">
        <v>42233</v>
      </c>
      <c r="F179" s="122" t="s">
        <v>672</v>
      </c>
      <c r="G179" s="122" t="s">
        <v>235</v>
      </c>
      <c r="H179" s="122" t="s">
        <v>13670</v>
      </c>
      <c r="I179" s="122" t="s">
        <v>4894</v>
      </c>
      <c r="J179" s="122" t="s">
        <v>13671</v>
      </c>
      <c r="K179" s="122" t="s">
        <v>238</v>
      </c>
      <c r="L179" s="122" t="s">
        <v>530</v>
      </c>
      <c r="M179" s="122" t="s">
        <v>4763</v>
      </c>
      <c r="N179" s="122" t="s">
        <v>10411</v>
      </c>
      <c r="O179" s="141" t="s">
        <v>566</v>
      </c>
      <c r="P179" s="141" t="s">
        <v>13672</v>
      </c>
      <c r="Q179" s="122" t="s">
        <v>243</v>
      </c>
      <c r="R179" s="142">
        <v>3</v>
      </c>
      <c r="S179" s="122" t="s">
        <v>13673</v>
      </c>
      <c r="U179" s="122" t="s">
        <v>13647</v>
      </c>
      <c r="W179" s="122" t="s">
        <v>246</v>
      </c>
      <c r="X179" s="122" t="s">
        <v>278</v>
      </c>
      <c r="Y179" s="141" t="s">
        <v>6059</v>
      </c>
      <c r="Z179" s="122" t="s">
        <v>13674</v>
      </c>
      <c r="AA179" s="141" t="s">
        <v>956</v>
      </c>
      <c r="AB179" s="122" t="s">
        <v>13675</v>
      </c>
      <c r="AD179" s="122" t="s">
        <v>250</v>
      </c>
      <c r="AE179" s="122" t="s">
        <v>235</v>
      </c>
      <c r="AF179" s="122" t="s">
        <v>13676</v>
      </c>
      <c r="AG179" s="122" t="s">
        <v>13677</v>
      </c>
      <c r="AH179" s="122" t="s">
        <v>253</v>
      </c>
      <c r="AI179" s="122" t="s">
        <v>13678</v>
      </c>
      <c r="AJ179" s="122" t="s">
        <v>253</v>
      </c>
      <c r="AK179" s="122" t="s">
        <v>253</v>
      </c>
      <c r="AL179" s="122" t="s">
        <v>13679</v>
      </c>
      <c r="AM179" s="122" t="s">
        <v>253</v>
      </c>
      <c r="AN179" s="122" t="s">
        <v>253</v>
      </c>
      <c r="AO179" s="141" t="s">
        <v>247</v>
      </c>
      <c r="AP179" s="141" t="s">
        <v>247</v>
      </c>
      <c r="AQ179" s="141" t="s">
        <v>247</v>
      </c>
      <c r="AR179" s="141" t="s">
        <v>247</v>
      </c>
      <c r="AS179" s="141" t="s">
        <v>601</v>
      </c>
      <c r="AT179" s="141" t="s">
        <v>601</v>
      </c>
      <c r="AU179" s="141" t="s">
        <v>601</v>
      </c>
      <c r="AV179" s="122" t="s">
        <v>259</v>
      </c>
      <c r="AW179" s="122" t="s">
        <v>260</v>
      </c>
      <c r="AX179" s="141" t="s">
        <v>2986</v>
      </c>
      <c r="AY179" s="122" t="s">
        <v>603</v>
      </c>
      <c r="AZ179" s="122" t="s">
        <v>13680</v>
      </c>
      <c r="BA179" s="122" t="s">
        <v>262</v>
      </c>
      <c r="BB179" s="122" t="s">
        <v>13681</v>
      </c>
      <c r="BD179" s="122" t="s">
        <v>253</v>
      </c>
      <c r="BE179" s="122" t="s">
        <v>263</v>
      </c>
      <c r="BF179" s="122" t="s">
        <v>13652</v>
      </c>
      <c r="BH179" s="122" t="s">
        <v>13647</v>
      </c>
      <c r="BI179" s="142">
        <v>3</v>
      </c>
    </row>
    <row r="180" spans="1:65" x14ac:dyDescent="0.25">
      <c r="A180" s="122" t="s">
        <v>279</v>
      </c>
      <c r="B180" s="122" t="s">
        <v>13682</v>
      </c>
      <c r="C180" s="122" t="s">
        <v>13683</v>
      </c>
      <c r="D180" s="122" t="s">
        <v>13684</v>
      </c>
      <c r="E180" s="123">
        <v>42233</v>
      </c>
      <c r="F180" s="122" t="s">
        <v>855</v>
      </c>
      <c r="G180" s="122" t="s">
        <v>235</v>
      </c>
      <c r="H180" s="122" t="s">
        <v>13685</v>
      </c>
      <c r="I180" s="122" t="s">
        <v>13686</v>
      </c>
      <c r="K180" s="122" t="s">
        <v>238</v>
      </c>
      <c r="L180" s="122" t="s">
        <v>530</v>
      </c>
      <c r="M180" s="122" t="s">
        <v>4708</v>
      </c>
      <c r="O180" s="141" t="s">
        <v>273</v>
      </c>
      <c r="P180" s="141" t="s">
        <v>13687</v>
      </c>
      <c r="Q180" s="122" t="s">
        <v>243</v>
      </c>
      <c r="R180" s="142">
        <v>4</v>
      </c>
      <c r="S180" s="122" t="s">
        <v>13688</v>
      </c>
      <c r="T180" s="122" t="s">
        <v>13689</v>
      </c>
      <c r="U180" s="122" t="s">
        <v>13647</v>
      </c>
      <c r="W180" s="122" t="s">
        <v>246</v>
      </c>
      <c r="X180" s="122" t="s">
        <v>2624</v>
      </c>
      <c r="Y180" s="141" t="s">
        <v>4229</v>
      </c>
      <c r="Z180" s="122" t="s">
        <v>13690</v>
      </c>
      <c r="AA180" s="141" t="s">
        <v>707</v>
      </c>
      <c r="AB180" s="122" t="s">
        <v>13691</v>
      </c>
      <c r="AC180" s="141" t="s">
        <v>1090</v>
      </c>
      <c r="AD180" s="122" t="s">
        <v>13692</v>
      </c>
      <c r="AE180" s="122" t="s">
        <v>235</v>
      </c>
      <c r="AF180" s="122" t="s">
        <v>13693</v>
      </c>
      <c r="AG180" s="122" t="s">
        <v>253</v>
      </c>
      <c r="AH180" s="122" t="s">
        <v>253</v>
      </c>
      <c r="AI180" s="122" t="s">
        <v>13694</v>
      </c>
      <c r="AJ180" s="122" t="s">
        <v>13695</v>
      </c>
      <c r="AK180" s="122" t="s">
        <v>13696</v>
      </c>
      <c r="AL180" s="122" t="s">
        <v>253</v>
      </c>
      <c r="AM180" s="122" t="s">
        <v>253</v>
      </c>
      <c r="AN180" s="122" t="s">
        <v>253</v>
      </c>
      <c r="AO180" s="141" t="s">
        <v>247</v>
      </c>
      <c r="AP180" s="141" t="s">
        <v>247</v>
      </c>
      <c r="AQ180" s="141" t="s">
        <v>247</v>
      </c>
      <c r="AR180" s="141" t="s">
        <v>253</v>
      </c>
      <c r="AS180" s="141" t="s">
        <v>601</v>
      </c>
      <c r="AT180" s="141" t="s">
        <v>601</v>
      </c>
      <c r="AU180" s="141" t="s">
        <v>258</v>
      </c>
      <c r="AV180" s="122" t="s">
        <v>259</v>
      </c>
      <c r="AW180" s="122" t="s">
        <v>260</v>
      </c>
      <c r="AX180" s="141" t="s">
        <v>7446</v>
      </c>
      <c r="AY180" s="122" t="s">
        <v>603</v>
      </c>
      <c r="AZ180" s="122" t="s">
        <v>13697</v>
      </c>
      <c r="BA180" s="122" t="s">
        <v>262</v>
      </c>
      <c r="BB180" s="122" t="s">
        <v>262</v>
      </c>
      <c r="BD180" s="122" t="s">
        <v>253</v>
      </c>
      <c r="BE180" s="122" t="s">
        <v>263</v>
      </c>
      <c r="BF180" s="122" t="s">
        <v>13652</v>
      </c>
      <c r="BH180" s="122" t="s">
        <v>13647</v>
      </c>
      <c r="BI180" s="142">
        <v>4</v>
      </c>
    </row>
    <row r="181" spans="1:65" x14ac:dyDescent="0.25">
      <c r="A181" s="122" t="s">
        <v>11841</v>
      </c>
      <c r="B181" s="122" t="s">
        <v>13698</v>
      </c>
      <c r="C181" s="122" t="s">
        <v>13699</v>
      </c>
      <c r="D181" s="122" t="s">
        <v>13700</v>
      </c>
      <c r="E181" s="123">
        <v>42233</v>
      </c>
      <c r="F181" s="122" t="s">
        <v>1484</v>
      </c>
      <c r="G181" s="122" t="s">
        <v>235</v>
      </c>
      <c r="H181" s="122" t="s">
        <v>13701</v>
      </c>
      <c r="I181" s="122" t="s">
        <v>13702</v>
      </c>
      <c r="K181" s="122" t="s">
        <v>238</v>
      </c>
      <c r="L181" s="122" t="s">
        <v>530</v>
      </c>
      <c r="M181" s="122" t="s">
        <v>5439</v>
      </c>
      <c r="O181" s="141" t="s">
        <v>373</v>
      </c>
      <c r="P181" s="141" t="s">
        <v>13703</v>
      </c>
      <c r="Q181" s="122" t="s">
        <v>243</v>
      </c>
      <c r="R181" s="142">
        <v>5</v>
      </c>
      <c r="S181" s="122" t="s">
        <v>13704</v>
      </c>
      <c r="U181" s="122" t="s">
        <v>13647</v>
      </c>
      <c r="W181" s="122" t="s">
        <v>246</v>
      </c>
      <c r="X181" s="122" t="s">
        <v>1225</v>
      </c>
      <c r="Y181" s="141" t="s">
        <v>1162</v>
      </c>
      <c r="Z181" s="122" t="s">
        <v>13705</v>
      </c>
      <c r="AA181" s="141" t="s">
        <v>784</v>
      </c>
      <c r="AB181" s="122" t="s">
        <v>13706</v>
      </c>
      <c r="AC181" s="141" t="s">
        <v>744</v>
      </c>
      <c r="AD181" s="122" t="s">
        <v>13707</v>
      </c>
      <c r="AE181" s="122" t="s">
        <v>235</v>
      </c>
      <c r="AF181" s="122" t="s">
        <v>13708</v>
      </c>
      <c r="AG181" s="122" t="s">
        <v>537</v>
      </c>
      <c r="AH181" s="122" t="s">
        <v>253</v>
      </c>
      <c r="AI181" s="122" t="s">
        <v>13709</v>
      </c>
      <c r="AJ181" s="122" t="s">
        <v>13709</v>
      </c>
      <c r="AK181" s="122" t="s">
        <v>253</v>
      </c>
      <c r="AL181" s="122" t="s">
        <v>253</v>
      </c>
      <c r="AM181" s="122" t="s">
        <v>253</v>
      </c>
      <c r="AN181" s="122" t="s">
        <v>253</v>
      </c>
      <c r="AO181" s="141" t="s">
        <v>253</v>
      </c>
      <c r="AP181" s="141" t="s">
        <v>253</v>
      </c>
      <c r="AQ181" s="141" t="s">
        <v>247</v>
      </c>
      <c r="AR181" s="141" t="s">
        <v>253</v>
      </c>
      <c r="AS181" s="141" t="s">
        <v>361</v>
      </c>
      <c r="AT181" s="141" t="s">
        <v>601</v>
      </c>
      <c r="AU181" s="141" t="s">
        <v>258</v>
      </c>
      <c r="AV181" s="122" t="s">
        <v>259</v>
      </c>
      <c r="AW181" s="122" t="s">
        <v>260</v>
      </c>
      <c r="AY181" s="122" t="s">
        <v>253</v>
      </c>
      <c r="AZ181" s="122" t="s">
        <v>13710</v>
      </c>
      <c r="BA181" s="122" t="s">
        <v>262</v>
      </c>
      <c r="BB181" s="122" t="s">
        <v>262</v>
      </c>
      <c r="BD181" s="122" t="s">
        <v>253</v>
      </c>
      <c r="BE181" s="122" t="s">
        <v>263</v>
      </c>
      <c r="BF181" s="122" t="s">
        <v>13652</v>
      </c>
      <c r="BH181" s="122" t="s">
        <v>13647</v>
      </c>
      <c r="BI181" s="142">
        <v>5</v>
      </c>
    </row>
    <row r="182" spans="1:65" x14ac:dyDescent="0.25">
      <c r="A182" s="122" t="s">
        <v>11841</v>
      </c>
      <c r="B182" s="122" t="s">
        <v>13711</v>
      </c>
      <c r="C182" s="122" t="s">
        <v>13712</v>
      </c>
      <c r="D182" s="122" t="s">
        <v>13713</v>
      </c>
      <c r="E182" s="123">
        <v>42233</v>
      </c>
      <c r="F182" s="122" t="s">
        <v>899</v>
      </c>
      <c r="G182" s="122" t="s">
        <v>235</v>
      </c>
      <c r="H182" s="122" t="s">
        <v>13714</v>
      </c>
      <c r="I182" s="122" t="s">
        <v>13715</v>
      </c>
      <c r="K182" s="122" t="s">
        <v>238</v>
      </c>
      <c r="L182" s="122" t="s">
        <v>530</v>
      </c>
      <c r="M182" s="122" t="s">
        <v>4994</v>
      </c>
      <c r="N182" s="122" t="s">
        <v>13716</v>
      </c>
      <c r="O182" s="141" t="s">
        <v>373</v>
      </c>
      <c r="P182" s="141" t="s">
        <v>13717</v>
      </c>
      <c r="Q182" s="122" t="s">
        <v>243</v>
      </c>
      <c r="R182" s="142">
        <v>6</v>
      </c>
      <c r="S182" s="122" t="s">
        <v>13718</v>
      </c>
      <c r="U182" s="122" t="s">
        <v>13647</v>
      </c>
      <c r="W182" s="122" t="s">
        <v>246</v>
      </c>
      <c r="X182" s="122" t="s">
        <v>1324</v>
      </c>
      <c r="Y182" s="141" t="s">
        <v>2072</v>
      </c>
      <c r="Z182" s="122" t="s">
        <v>13719</v>
      </c>
      <c r="AA182" s="141" t="s">
        <v>744</v>
      </c>
      <c r="AB182" s="122" t="s">
        <v>7990</v>
      </c>
      <c r="AD182" s="122" t="s">
        <v>250</v>
      </c>
      <c r="AE182" s="122" t="s">
        <v>235</v>
      </c>
      <c r="AF182" s="122" t="s">
        <v>13720</v>
      </c>
      <c r="AG182" s="122" t="s">
        <v>537</v>
      </c>
      <c r="AH182" s="122" t="s">
        <v>253</v>
      </c>
      <c r="AI182" s="122" t="s">
        <v>1585</v>
      </c>
      <c r="AJ182" s="122" t="s">
        <v>2368</v>
      </c>
      <c r="AK182" s="122" t="s">
        <v>13721</v>
      </c>
      <c r="AL182" s="122" t="s">
        <v>253</v>
      </c>
      <c r="AM182" s="122" t="s">
        <v>253</v>
      </c>
      <c r="AN182" s="122" t="s">
        <v>253</v>
      </c>
      <c r="AO182" s="141" t="s">
        <v>253</v>
      </c>
      <c r="AP182" s="141" t="s">
        <v>253</v>
      </c>
      <c r="AQ182" s="141" t="s">
        <v>247</v>
      </c>
      <c r="AR182" s="141" t="s">
        <v>253</v>
      </c>
      <c r="AS182" s="141" t="s">
        <v>361</v>
      </c>
      <c r="AT182" s="141" t="s">
        <v>601</v>
      </c>
      <c r="AU182" s="141" t="s">
        <v>258</v>
      </c>
      <c r="AV182" s="122" t="s">
        <v>259</v>
      </c>
      <c r="AW182" s="122" t="s">
        <v>260</v>
      </c>
      <c r="AY182" s="122" t="s">
        <v>253</v>
      </c>
      <c r="AZ182" s="122" t="s">
        <v>13722</v>
      </c>
      <c r="BA182" s="122" t="s">
        <v>262</v>
      </c>
      <c r="BB182" s="122" t="s">
        <v>262</v>
      </c>
      <c r="BD182" s="122" t="s">
        <v>253</v>
      </c>
      <c r="BE182" s="122" t="s">
        <v>263</v>
      </c>
      <c r="BF182" s="122" t="s">
        <v>13652</v>
      </c>
      <c r="BH182" s="122" t="s">
        <v>13647</v>
      </c>
      <c r="BI182" s="142">
        <v>6</v>
      </c>
      <c r="BJ182" s="123">
        <v>42236</v>
      </c>
      <c r="BK182" s="139" t="s">
        <v>264</v>
      </c>
      <c r="BL182" s="140">
        <v>43</v>
      </c>
      <c r="BM182" s="122">
        <v>34</v>
      </c>
    </row>
    <row r="183" spans="1:65" x14ac:dyDescent="0.25">
      <c r="A183" s="122" t="s">
        <v>11841</v>
      </c>
      <c r="B183" s="122" t="s">
        <v>13723</v>
      </c>
      <c r="C183" s="122" t="s">
        <v>13724</v>
      </c>
      <c r="D183" s="122" t="s">
        <v>13725</v>
      </c>
      <c r="E183" s="123">
        <v>42233</v>
      </c>
      <c r="F183" s="122" t="s">
        <v>1414</v>
      </c>
      <c r="G183" s="122" t="s">
        <v>235</v>
      </c>
      <c r="H183" s="122" t="s">
        <v>13726</v>
      </c>
      <c r="I183" s="122" t="s">
        <v>4894</v>
      </c>
      <c r="J183" s="122" t="s">
        <v>13727</v>
      </c>
      <c r="K183" s="122" t="s">
        <v>238</v>
      </c>
      <c r="L183" s="122" t="s">
        <v>530</v>
      </c>
      <c r="M183" s="122" t="s">
        <v>4763</v>
      </c>
      <c r="N183" s="122" t="s">
        <v>10411</v>
      </c>
      <c r="O183" s="141" t="s">
        <v>451</v>
      </c>
      <c r="P183" s="141" t="s">
        <v>13728</v>
      </c>
      <c r="Q183" s="122" t="s">
        <v>243</v>
      </c>
      <c r="R183" s="142">
        <v>7</v>
      </c>
      <c r="S183" s="122" t="s">
        <v>13729</v>
      </c>
      <c r="T183" s="122" t="s">
        <v>13729</v>
      </c>
      <c r="U183" s="122" t="s">
        <v>13647</v>
      </c>
      <c r="W183" s="122" t="s">
        <v>246</v>
      </c>
      <c r="X183" s="122" t="s">
        <v>853</v>
      </c>
      <c r="Y183" s="141" t="s">
        <v>740</v>
      </c>
      <c r="Z183" s="122" t="s">
        <v>6778</v>
      </c>
      <c r="AA183" s="141" t="s">
        <v>2133</v>
      </c>
      <c r="AB183" s="122" t="s">
        <v>741</v>
      </c>
      <c r="AC183" s="141" t="s">
        <v>459</v>
      </c>
      <c r="AD183" s="122" t="s">
        <v>395</v>
      </c>
      <c r="AE183" s="122" t="s">
        <v>235</v>
      </c>
      <c r="AF183" s="122" t="s">
        <v>13730</v>
      </c>
      <c r="AG183" s="122" t="s">
        <v>253</v>
      </c>
      <c r="AH183" s="122" t="s">
        <v>253</v>
      </c>
      <c r="AI183" s="122" t="s">
        <v>3510</v>
      </c>
      <c r="AJ183" s="122" t="s">
        <v>13731</v>
      </c>
      <c r="AK183" s="122" t="s">
        <v>13732</v>
      </c>
      <c r="AL183" s="122" t="s">
        <v>253</v>
      </c>
      <c r="AM183" s="122" t="s">
        <v>253</v>
      </c>
      <c r="AN183" s="122" t="s">
        <v>253</v>
      </c>
      <c r="AO183" s="141" t="s">
        <v>247</v>
      </c>
      <c r="AP183" s="141" t="s">
        <v>247</v>
      </c>
      <c r="AQ183" s="141" t="s">
        <v>247</v>
      </c>
      <c r="AR183" s="141" t="s">
        <v>247</v>
      </c>
      <c r="AS183" s="141" t="s">
        <v>601</v>
      </c>
      <c r="AT183" s="141" t="s">
        <v>601</v>
      </c>
      <c r="AU183" s="141" t="s">
        <v>257</v>
      </c>
      <c r="AV183" s="122" t="s">
        <v>259</v>
      </c>
      <c r="AW183" s="122" t="s">
        <v>260</v>
      </c>
      <c r="AY183" s="122" t="s">
        <v>253</v>
      </c>
      <c r="AZ183" s="122" t="s">
        <v>13733</v>
      </c>
      <c r="BA183" s="122" t="s">
        <v>262</v>
      </c>
      <c r="BB183" s="122" t="s">
        <v>13734</v>
      </c>
      <c r="BD183" s="122" t="s">
        <v>253</v>
      </c>
      <c r="BE183" s="122" t="s">
        <v>263</v>
      </c>
      <c r="BF183" s="122" t="s">
        <v>13652</v>
      </c>
      <c r="BH183" s="122" t="s">
        <v>13647</v>
      </c>
      <c r="BI183" s="142">
        <v>7</v>
      </c>
    </row>
    <row r="184" spans="1:65" x14ac:dyDescent="0.25">
      <c r="A184" s="122" t="s">
        <v>11841</v>
      </c>
      <c r="B184" s="122" t="s">
        <v>13735</v>
      </c>
      <c r="C184" s="122" t="s">
        <v>13736</v>
      </c>
      <c r="D184" s="122" t="s">
        <v>13737</v>
      </c>
      <c r="E184" s="123">
        <v>42233</v>
      </c>
      <c r="F184" s="122" t="s">
        <v>8100</v>
      </c>
      <c r="G184" s="122" t="s">
        <v>235</v>
      </c>
      <c r="H184" s="122" t="s">
        <v>13738</v>
      </c>
      <c r="I184" s="122" t="s">
        <v>13739</v>
      </c>
      <c r="K184" s="122" t="s">
        <v>238</v>
      </c>
      <c r="L184" s="122" t="s">
        <v>530</v>
      </c>
      <c r="M184" s="122" t="s">
        <v>4994</v>
      </c>
      <c r="O184" s="141" t="s">
        <v>1240</v>
      </c>
      <c r="P184" s="141" t="s">
        <v>13740</v>
      </c>
      <c r="Q184" s="122" t="s">
        <v>243</v>
      </c>
      <c r="R184" s="142">
        <v>8</v>
      </c>
      <c r="S184" s="122" t="s">
        <v>13741</v>
      </c>
      <c r="U184" s="122" t="s">
        <v>13647</v>
      </c>
      <c r="W184" s="122" t="s">
        <v>246</v>
      </c>
      <c r="X184" s="122" t="s">
        <v>3147</v>
      </c>
      <c r="Y184" s="141" t="s">
        <v>367</v>
      </c>
      <c r="Z184" s="122" t="s">
        <v>4300</v>
      </c>
      <c r="AA184" s="141" t="s">
        <v>1981</v>
      </c>
      <c r="AB184" s="122" t="s">
        <v>13742</v>
      </c>
      <c r="AC184" s="141" t="s">
        <v>765</v>
      </c>
      <c r="AD184" s="122" t="s">
        <v>13743</v>
      </c>
      <c r="AE184" s="122" t="s">
        <v>235</v>
      </c>
      <c r="AF184" s="122" t="s">
        <v>13744</v>
      </c>
      <c r="AG184" s="122" t="s">
        <v>537</v>
      </c>
      <c r="AH184" s="122" t="s">
        <v>253</v>
      </c>
      <c r="AI184" s="122" t="s">
        <v>13745</v>
      </c>
      <c r="AJ184" s="122" t="s">
        <v>13746</v>
      </c>
      <c r="AK184" s="122" t="s">
        <v>13747</v>
      </c>
      <c r="AL184" s="122" t="s">
        <v>253</v>
      </c>
      <c r="AM184" s="122" t="s">
        <v>253</v>
      </c>
      <c r="AN184" s="122" t="s">
        <v>253</v>
      </c>
      <c r="AO184" s="141" t="s">
        <v>247</v>
      </c>
      <c r="AP184" s="141" t="s">
        <v>247</v>
      </c>
      <c r="AQ184" s="141" t="s">
        <v>247</v>
      </c>
      <c r="AR184" s="141" t="s">
        <v>247</v>
      </c>
      <c r="AS184" s="141" t="s">
        <v>601</v>
      </c>
      <c r="AT184" s="141" t="s">
        <v>601</v>
      </c>
      <c r="AU184" s="141" t="s">
        <v>601</v>
      </c>
      <c r="AV184" s="122" t="s">
        <v>259</v>
      </c>
      <c r="AW184" s="122" t="s">
        <v>260</v>
      </c>
      <c r="AX184" s="141" t="s">
        <v>13748</v>
      </c>
      <c r="AY184" s="122" t="s">
        <v>260</v>
      </c>
      <c r="AZ184" s="122" t="s">
        <v>13749</v>
      </c>
      <c r="BA184" s="122" t="s">
        <v>262</v>
      </c>
      <c r="BB184" s="122" t="s">
        <v>13750</v>
      </c>
      <c r="BD184" s="122" t="s">
        <v>253</v>
      </c>
      <c r="BE184" s="122" t="s">
        <v>263</v>
      </c>
      <c r="BF184" s="122" t="s">
        <v>13652</v>
      </c>
      <c r="BH184" s="122" t="s">
        <v>13647</v>
      </c>
      <c r="BI184" s="142">
        <v>8</v>
      </c>
    </row>
    <row r="185" spans="1:65" x14ac:dyDescent="0.25">
      <c r="A185" s="122" t="s">
        <v>11841</v>
      </c>
      <c r="B185" s="122" t="s">
        <v>13751</v>
      </c>
      <c r="C185" s="122" t="s">
        <v>13752</v>
      </c>
      <c r="D185" s="122" t="s">
        <v>13753</v>
      </c>
      <c r="E185" s="123">
        <v>42233</v>
      </c>
      <c r="F185" s="122" t="s">
        <v>1981</v>
      </c>
      <c r="G185" s="122" t="s">
        <v>235</v>
      </c>
      <c r="H185" s="122" t="s">
        <v>13754</v>
      </c>
      <c r="I185" s="122" t="s">
        <v>5203</v>
      </c>
      <c r="J185" s="122" t="s">
        <v>13755</v>
      </c>
      <c r="K185" s="122" t="s">
        <v>238</v>
      </c>
      <c r="L185" s="122" t="s">
        <v>530</v>
      </c>
      <c r="M185" s="122" t="s">
        <v>4795</v>
      </c>
      <c r="O185" s="141" t="s">
        <v>548</v>
      </c>
      <c r="P185" s="141" t="s">
        <v>13756</v>
      </c>
      <c r="Q185" s="122" t="s">
        <v>243</v>
      </c>
      <c r="R185" s="142">
        <v>9</v>
      </c>
      <c r="S185" s="122" t="s">
        <v>13757</v>
      </c>
      <c r="U185" s="122" t="s">
        <v>13647</v>
      </c>
      <c r="W185" s="122" t="s">
        <v>246</v>
      </c>
      <c r="X185" s="122" t="s">
        <v>278</v>
      </c>
      <c r="Y185" s="141" t="s">
        <v>1440</v>
      </c>
      <c r="Z185" s="122" t="s">
        <v>13758</v>
      </c>
      <c r="AA185" s="141" t="s">
        <v>1260</v>
      </c>
      <c r="AB185" s="122" t="s">
        <v>13759</v>
      </c>
      <c r="AD185" s="122" t="s">
        <v>250</v>
      </c>
      <c r="AE185" s="122" t="s">
        <v>235</v>
      </c>
      <c r="AF185" s="122" t="s">
        <v>13760</v>
      </c>
      <c r="AG185" s="122" t="s">
        <v>537</v>
      </c>
      <c r="AH185" s="122" t="s">
        <v>253</v>
      </c>
      <c r="AI185" s="122" t="s">
        <v>13761</v>
      </c>
      <c r="AJ185" s="122" t="s">
        <v>5764</v>
      </c>
      <c r="AK185" s="122" t="s">
        <v>253</v>
      </c>
      <c r="AL185" s="122" t="s">
        <v>253</v>
      </c>
      <c r="AM185" s="122" t="s">
        <v>253</v>
      </c>
      <c r="AN185" s="122" t="s">
        <v>253</v>
      </c>
      <c r="AO185" s="141" t="s">
        <v>247</v>
      </c>
      <c r="AP185" s="141" t="s">
        <v>247</v>
      </c>
      <c r="AQ185" s="141" t="s">
        <v>247</v>
      </c>
      <c r="AR185" s="141" t="s">
        <v>253</v>
      </c>
      <c r="AS185" s="141" t="s">
        <v>601</v>
      </c>
      <c r="AT185" s="141" t="s">
        <v>601</v>
      </c>
      <c r="AU185" s="141" t="s">
        <v>258</v>
      </c>
      <c r="AV185" s="122" t="s">
        <v>259</v>
      </c>
      <c r="AW185" s="122" t="s">
        <v>260</v>
      </c>
      <c r="AY185" s="122" t="s">
        <v>253</v>
      </c>
      <c r="AZ185" s="122" t="s">
        <v>13762</v>
      </c>
      <c r="BA185" s="122" t="s">
        <v>262</v>
      </c>
      <c r="BB185" s="122" t="s">
        <v>262</v>
      </c>
      <c r="BD185" s="122" t="s">
        <v>253</v>
      </c>
      <c r="BE185" s="122" t="s">
        <v>263</v>
      </c>
      <c r="BF185" s="122" t="s">
        <v>13652</v>
      </c>
      <c r="BH185" s="122" t="s">
        <v>13647</v>
      </c>
      <c r="BI185" s="142">
        <v>9</v>
      </c>
      <c r="BJ185" s="123">
        <v>42237</v>
      </c>
      <c r="BK185" s="139" t="s">
        <v>264</v>
      </c>
      <c r="BL185" s="140">
        <v>221.46</v>
      </c>
      <c r="BM185" s="122">
        <v>34</v>
      </c>
    </row>
    <row r="186" spans="1:65" x14ac:dyDescent="0.25">
      <c r="A186" s="122" t="s">
        <v>11841</v>
      </c>
      <c r="B186" s="122" t="s">
        <v>13763</v>
      </c>
      <c r="C186" s="122" t="s">
        <v>13764</v>
      </c>
      <c r="D186" s="122" t="s">
        <v>13765</v>
      </c>
      <c r="E186" s="123">
        <v>42233</v>
      </c>
      <c r="F186" s="122" t="s">
        <v>724</v>
      </c>
      <c r="G186" s="122" t="s">
        <v>235</v>
      </c>
      <c r="H186" s="122" t="s">
        <v>13766</v>
      </c>
      <c r="I186" s="122" t="s">
        <v>13767</v>
      </c>
      <c r="K186" s="122" t="s">
        <v>238</v>
      </c>
      <c r="L186" s="122" t="s">
        <v>530</v>
      </c>
      <c r="M186" s="122" t="s">
        <v>4847</v>
      </c>
      <c r="O186" s="141" t="s">
        <v>613</v>
      </c>
      <c r="P186" s="141" t="s">
        <v>13768</v>
      </c>
      <c r="Q186" s="122" t="s">
        <v>243</v>
      </c>
      <c r="R186" s="142">
        <v>10</v>
      </c>
      <c r="S186" s="122" t="s">
        <v>13769</v>
      </c>
      <c r="U186" s="122" t="s">
        <v>13647</v>
      </c>
      <c r="W186" s="122" t="s">
        <v>246</v>
      </c>
      <c r="X186" s="122" t="s">
        <v>1225</v>
      </c>
      <c r="Y186" s="141" t="s">
        <v>1039</v>
      </c>
      <c r="Z186" s="122" t="s">
        <v>355</v>
      </c>
      <c r="AA186" s="141" t="s">
        <v>1896</v>
      </c>
      <c r="AB186" s="122" t="s">
        <v>355</v>
      </c>
      <c r="AC186" s="141" t="s">
        <v>724</v>
      </c>
      <c r="AD186" s="122" t="s">
        <v>395</v>
      </c>
      <c r="AE186" s="122" t="s">
        <v>235</v>
      </c>
      <c r="AF186" s="122" t="s">
        <v>13770</v>
      </c>
      <c r="AG186" s="122" t="s">
        <v>537</v>
      </c>
      <c r="AH186" s="122" t="s">
        <v>253</v>
      </c>
      <c r="AI186" s="122" t="s">
        <v>1715</v>
      </c>
      <c r="AJ186" s="122" t="s">
        <v>13771</v>
      </c>
      <c r="AK186" s="122" t="s">
        <v>253</v>
      </c>
      <c r="AL186" s="122" t="s">
        <v>253</v>
      </c>
      <c r="AM186" s="122" t="s">
        <v>253</v>
      </c>
      <c r="AN186" s="122" t="s">
        <v>253</v>
      </c>
      <c r="AO186" s="141" t="s">
        <v>247</v>
      </c>
      <c r="AP186" s="141" t="s">
        <v>253</v>
      </c>
      <c r="AQ186" s="141" t="s">
        <v>253</v>
      </c>
      <c r="AR186" s="141" t="s">
        <v>253</v>
      </c>
      <c r="AS186" s="141" t="s">
        <v>601</v>
      </c>
      <c r="AT186" s="141" t="s">
        <v>258</v>
      </c>
      <c r="AU186" s="141" t="s">
        <v>258</v>
      </c>
      <c r="AV186" s="122" t="s">
        <v>259</v>
      </c>
      <c r="AW186" s="122" t="s">
        <v>260</v>
      </c>
      <c r="AY186" s="122" t="s">
        <v>253</v>
      </c>
      <c r="AZ186" s="122" t="s">
        <v>13772</v>
      </c>
      <c r="BA186" s="122" t="s">
        <v>262</v>
      </c>
      <c r="BB186" s="122" t="s">
        <v>13772</v>
      </c>
      <c r="BC186" s="141" t="s">
        <v>312</v>
      </c>
      <c r="BD186" s="122" t="s">
        <v>253</v>
      </c>
      <c r="BE186" s="122" t="s">
        <v>263</v>
      </c>
      <c r="BF186" s="122" t="s">
        <v>13652</v>
      </c>
      <c r="BH186" s="122" t="s">
        <v>13647</v>
      </c>
      <c r="BI186" s="142">
        <v>10</v>
      </c>
      <c r="BJ186" s="123">
        <v>42237</v>
      </c>
      <c r="BK186" s="139" t="s">
        <v>264</v>
      </c>
      <c r="BL186" s="140">
        <v>90</v>
      </c>
      <c r="BM186" s="122">
        <v>34</v>
      </c>
    </row>
    <row r="187" spans="1:65" x14ac:dyDescent="0.25">
      <c r="A187" s="122" t="s">
        <v>11841</v>
      </c>
      <c r="B187" s="122" t="s">
        <v>13773</v>
      </c>
      <c r="C187" s="122" t="s">
        <v>13774</v>
      </c>
      <c r="D187" s="122" t="s">
        <v>13775</v>
      </c>
      <c r="E187" s="123">
        <v>42233</v>
      </c>
      <c r="F187" s="122" t="s">
        <v>13776</v>
      </c>
      <c r="G187" s="122" t="s">
        <v>235</v>
      </c>
      <c r="H187" s="122" t="s">
        <v>13777</v>
      </c>
      <c r="I187" s="122" t="s">
        <v>528</v>
      </c>
      <c r="J187" s="122" t="s">
        <v>13778</v>
      </c>
      <c r="K187" s="122" t="s">
        <v>238</v>
      </c>
      <c r="L187" s="122" t="s">
        <v>530</v>
      </c>
      <c r="M187" s="122" t="s">
        <v>531</v>
      </c>
      <c r="O187" s="141" t="s">
        <v>780</v>
      </c>
      <c r="P187" s="141" t="s">
        <v>13779</v>
      </c>
      <c r="Q187" s="122" t="s">
        <v>243</v>
      </c>
      <c r="R187" s="142">
        <v>11</v>
      </c>
      <c r="S187" s="122" t="s">
        <v>13780</v>
      </c>
      <c r="U187" s="122" t="s">
        <v>13647</v>
      </c>
      <c r="W187" s="122" t="s">
        <v>246</v>
      </c>
      <c r="X187" s="122" t="s">
        <v>1121</v>
      </c>
      <c r="Y187" s="141" t="s">
        <v>6551</v>
      </c>
      <c r="Z187" s="122" t="s">
        <v>395</v>
      </c>
      <c r="AA187" s="141" t="s">
        <v>1258</v>
      </c>
      <c r="AB187" s="122" t="s">
        <v>2851</v>
      </c>
      <c r="AC187" s="141" t="s">
        <v>330</v>
      </c>
      <c r="AD187" s="122" t="s">
        <v>8905</v>
      </c>
      <c r="AE187" s="122" t="s">
        <v>235</v>
      </c>
      <c r="AF187" s="122" t="s">
        <v>2769</v>
      </c>
      <c r="AG187" s="122" t="s">
        <v>537</v>
      </c>
      <c r="AH187" s="122" t="s">
        <v>253</v>
      </c>
      <c r="AI187" s="122" t="s">
        <v>12846</v>
      </c>
      <c r="AJ187" s="122" t="s">
        <v>13781</v>
      </c>
      <c r="AK187" s="122" t="s">
        <v>253</v>
      </c>
      <c r="AL187" s="122" t="s">
        <v>253</v>
      </c>
      <c r="AM187" s="122" t="s">
        <v>253</v>
      </c>
      <c r="AN187" s="122" t="s">
        <v>253</v>
      </c>
      <c r="AO187" s="141" t="s">
        <v>253</v>
      </c>
      <c r="AP187" s="141" t="s">
        <v>253</v>
      </c>
      <c r="AQ187" s="141" t="s">
        <v>247</v>
      </c>
      <c r="AR187" s="141" t="s">
        <v>253</v>
      </c>
      <c r="AS187" s="141" t="s">
        <v>361</v>
      </c>
      <c r="AT187" s="141" t="s">
        <v>601</v>
      </c>
      <c r="AU187" s="141" t="s">
        <v>258</v>
      </c>
      <c r="AV187" s="122" t="s">
        <v>259</v>
      </c>
      <c r="AW187" s="122" t="s">
        <v>260</v>
      </c>
      <c r="AX187" s="141" t="s">
        <v>13782</v>
      </c>
      <c r="AY187" s="122" t="s">
        <v>603</v>
      </c>
      <c r="AZ187" s="122" t="s">
        <v>13783</v>
      </c>
      <c r="BA187" s="122" t="s">
        <v>262</v>
      </c>
      <c r="BB187" s="122" t="s">
        <v>13783</v>
      </c>
      <c r="BD187" s="122" t="s">
        <v>253</v>
      </c>
      <c r="BE187" s="122" t="s">
        <v>263</v>
      </c>
      <c r="BF187" s="122" t="s">
        <v>13652</v>
      </c>
      <c r="BH187" s="122" t="s">
        <v>13647</v>
      </c>
      <c r="BI187" s="142">
        <v>11</v>
      </c>
      <c r="BJ187" s="123">
        <v>42237</v>
      </c>
      <c r="BK187" s="139" t="s">
        <v>264</v>
      </c>
      <c r="BL187" s="140">
        <v>60</v>
      </c>
      <c r="BM187" s="122">
        <v>34</v>
      </c>
    </row>
    <row r="188" spans="1:65" x14ac:dyDescent="0.25">
      <c r="A188" s="122" t="s">
        <v>11841</v>
      </c>
      <c r="B188" s="122" t="s">
        <v>13784</v>
      </c>
      <c r="C188" s="122" t="s">
        <v>13785</v>
      </c>
      <c r="D188" s="122" t="s">
        <v>13786</v>
      </c>
      <c r="E188" s="123">
        <v>42233</v>
      </c>
      <c r="F188" s="122" t="s">
        <v>6413</v>
      </c>
      <c r="G188" s="122" t="s">
        <v>235</v>
      </c>
      <c r="H188" s="122" t="s">
        <v>13787</v>
      </c>
      <c r="I188" s="122" t="s">
        <v>13788</v>
      </c>
      <c r="K188" s="122" t="s">
        <v>238</v>
      </c>
      <c r="L188" s="122" t="s">
        <v>530</v>
      </c>
      <c r="M188" s="122" t="s">
        <v>531</v>
      </c>
      <c r="O188" s="141" t="s">
        <v>548</v>
      </c>
      <c r="P188" s="141" t="s">
        <v>13789</v>
      </c>
      <c r="Q188" s="122" t="s">
        <v>243</v>
      </c>
      <c r="R188" s="142">
        <v>12</v>
      </c>
      <c r="S188" s="122" t="s">
        <v>13790</v>
      </c>
      <c r="U188" s="122" t="s">
        <v>13647</v>
      </c>
      <c r="W188" s="122" t="s">
        <v>246</v>
      </c>
      <c r="X188" s="122" t="s">
        <v>1225</v>
      </c>
      <c r="Y188" s="141" t="s">
        <v>4229</v>
      </c>
      <c r="Z188" s="122" t="s">
        <v>13791</v>
      </c>
      <c r="AA188" s="141" t="s">
        <v>2072</v>
      </c>
      <c r="AB188" s="122" t="s">
        <v>13792</v>
      </c>
      <c r="AC188" s="141" t="s">
        <v>281</v>
      </c>
      <c r="AD188" s="122" t="s">
        <v>13792</v>
      </c>
      <c r="AE188" s="122" t="s">
        <v>235</v>
      </c>
      <c r="AF188" s="122" t="s">
        <v>13793</v>
      </c>
      <c r="AG188" s="122" t="s">
        <v>537</v>
      </c>
      <c r="AH188" s="122" t="s">
        <v>253</v>
      </c>
      <c r="AI188" s="122" t="s">
        <v>13794</v>
      </c>
      <c r="AJ188" s="122" t="s">
        <v>13795</v>
      </c>
      <c r="AK188" s="122" t="s">
        <v>253</v>
      </c>
      <c r="AL188" s="122" t="s">
        <v>253</v>
      </c>
      <c r="AM188" s="122" t="s">
        <v>253</v>
      </c>
      <c r="AN188" s="122" t="s">
        <v>253</v>
      </c>
      <c r="AO188" s="141" t="s">
        <v>247</v>
      </c>
      <c r="AP188" s="141" t="s">
        <v>247</v>
      </c>
      <c r="AQ188" s="141" t="s">
        <v>247</v>
      </c>
      <c r="AR188" s="141" t="s">
        <v>253</v>
      </c>
      <c r="AS188" s="141" t="s">
        <v>601</v>
      </c>
      <c r="AT188" s="141" t="s">
        <v>601</v>
      </c>
      <c r="AU188" s="141" t="s">
        <v>258</v>
      </c>
      <c r="AV188" s="122" t="s">
        <v>259</v>
      </c>
      <c r="AW188" s="122" t="s">
        <v>260</v>
      </c>
      <c r="AY188" s="122" t="s">
        <v>253</v>
      </c>
      <c r="AZ188" s="122" t="s">
        <v>13796</v>
      </c>
      <c r="BA188" s="122" t="s">
        <v>262</v>
      </c>
      <c r="BB188" s="122" t="s">
        <v>262</v>
      </c>
      <c r="BD188" s="122" t="s">
        <v>253</v>
      </c>
      <c r="BE188" s="122" t="s">
        <v>263</v>
      </c>
      <c r="BF188" s="122" t="s">
        <v>13652</v>
      </c>
      <c r="BH188" s="122" t="s">
        <v>13647</v>
      </c>
      <c r="BI188" s="142">
        <v>12</v>
      </c>
    </row>
    <row r="189" spans="1:65" x14ac:dyDescent="0.25">
      <c r="A189" s="122" t="s">
        <v>9031</v>
      </c>
      <c r="B189" s="122" t="s">
        <v>13797</v>
      </c>
      <c r="C189" s="122" t="s">
        <v>13798</v>
      </c>
      <c r="D189" s="122" t="s">
        <v>13799</v>
      </c>
      <c r="E189" s="123">
        <v>42233</v>
      </c>
      <c r="F189" s="122" t="s">
        <v>502</v>
      </c>
      <c r="G189" s="122" t="s">
        <v>235</v>
      </c>
      <c r="H189" s="122" t="s">
        <v>13800</v>
      </c>
      <c r="I189" s="122" t="s">
        <v>13801</v>
      </c>
      <c r="K189" s="122" t="s">
        <v>238</v>
      </c>
      <c r="L189" s="122" t="s">
        <v>530</v>
      </c>
      <c r="M189" s="122" t="s">
        <v>4994</v>
      </c>
      <c r="O189" s="141" t="s">
        <v>2378</v>
      </c>
      <c r="P189" s="141" t="s">
        <v>13802</v>
      </c>
      <c r="Q189" s="122" t="s">
        <v>243</v>
      </c>
      <c r="R189" s="142">
        <v>13</v>
      </c>
      <c r="S189" s="122" t="s">
        <v>13803</v>
      </c>
      <c r="U189" s="122" t="s">
        <v>13647</v>
      </c>
      <c r="W189" s="122" t="s">
        <v>246</v>
      </c>
      <c r="X189" s="122" t="s">
        <v>1377</v>
      </c>
      <c r="Y189" s="141" t="s">
        <v>956</v>
      </c>
      <c r="Z189" s="122" t="s">
        <v>13804</v>
      </c>
      <c r="AA189" s="141" t="s">
        <v>1258</v>
      </c>
      <c r="AB189" s="122" t="s">
        <v>13805</v>
      </c>
      <c r="AC189" s="141" t="s">
        <v>5981</v>
      </c>
      <c r="AD189" s="122" t="s">
        <v>13806</v>
      </c>
      <c r="AE189" s="122" t="s">
        <v>235</v>
      </c>
      <c r="AF189" s="122" t="s">
        <v>13807</v>
      </c>
      <c r="AG189" s="122" t="s">
        <v>537</v>
      </c>
      <c r="AH189" s="122" t="s">
        <v>253</v>
      </c>
      <c r="AI189" s="122" t="s">
        <v>12158</v>
      </c>
      <c r="AJ189" s="122" t="s">
        <v>12158</v>
      </c>
      <c r="AK189" s="122" t="s">
        <v>253</v>
      </c>
      <c r="AL189" s="122" t="s">
        <v>253</v>
      </c>
      <c r="AM189" s="122" t="s">
        <v>253</v>
      </c>
      <c r="AN189" s="122" t="s">
        <v>253</v>
      </c>
      <c r="AO189" s="141" t="s">
        <v>253</v>
      </c>
      <c r="AP189" s="141" t="s">
        <v>253</v>
      </c>
      <c r="AQ189" s="141" t="s">
        <v>247</v>
      </c>
      <c r="AR189" s="141" t="s">
        <v>253</v>
      </c>
      <c r="AS189" s="141" t="s">
        <v>361</v>
      </c>
      <c r="AT189" s="141" t="s">
        <v>601</v>
      </c>
      <c r="AU189" s="141" t="s">
        <v>258</v>
      </c>
      <c r="AV189" s="122" t="s">
        <v>259</v>
      </c>
      <c r="AW189" s="122" t="s">
        <v>260</v>
      </c>
      <c r="AY189" s="122" t="s">
        <v>253</v>
      </c>
      <c r="AZ189" s="122" t="s">
        <v>13808</v>
      </c>
      <c r="BA189" s="122" t="s">
        <v>262</v>
      </c>
      <c r="BB189" s="122" t="s">
        <v>262</v>
      </c>
      <c r="BD189" s="122" t="s">
        <v>253</v>
      </c>
      <c r="BE189" s="122" t="s">
        <v>263</v>
      </c>
      <c r="BF189" s="122" t="s">
        <v>13652</v>
      </c>
      <c r="BH189" s="122" t="s">
        <v>13647</v>
      </c>
      <c r="BI189" s="142">
        <v>13</v>
      </c>
      <c r="BJ189" s="123">
        <v>42236</v>
      </c>
      <c r="BK189" s="139" t="s">
        <v>264</v>
      </c>
      <c r="BL189" s="140">
        <v>54.72</v>
      </c>
      <c r="BM189" s="122">
        <v>34</v>
      </c>
    </row>
    <row r="190" spans="1:65" x14ac:dyDescent="0.25">
      <c r="A190" s="122" t="s">
        <v>9031</v>
      </c>
      <c r="B190" s="122" t="s">
        <v>13809</v>
      </c>
      <c r="C190" s="122" t="s">
        <v>13810</v>
      </c>
      <c r="D190" s="122" t="s">
        <v>13811</v>
      </c>
      <c r="E190" s="123">
        <v>42233</v>
      </c>
      <c r="F190" s="122" t="s">
        <v>7262</v>
      </c>
      <c r="G190" s="122" t="s">
        <v>235</v>
      </c>
      <c r="H190" s="122" t="s">
        <v>13812</v>
      </c>
      <c r="I190" s="122" t="s">
        <v>4894</v>
      </c>
      <c r="J190" s="122" t="s">
        <v>13813</v>
      </c>
      <c r="K190" s="122" t="s">
        <v>238</v>
      </c>
      <c r="L190" s="122" t="s">
        <v>530</v>
      </c>
      <c r="M190" s="122" t="s">
        <v>4763</v>
      </c>
      <c r="O190" s="141" t="s">
        <v>566</v>
      </c>
      <c r="P190" s="141" t="s">
        <v>13814</v>
      </c>
      <c r="Q190" s="122" t="s">
        <v>243</v>
      </c>
      <c r="R190" s="142">
        <v>14</v>
      </c>
      <c r="S190" s="122" t="s">
        <v>13815</v>
      </c>
      <c r="U190" s="122" t="s">
        <v>13647</v>
      </c>
      <c r="W190" s="122" t="s">
        <v>246</v>
      </c>
      <c r="X190" s="122" t="s">
        <v>2624</v>
      </c>
      <c r="Y190" s="141" t="s">
        <v>2257</v>
      </c>
      <c r="Z190" s="122" t="s">
        <v>13816</v>
      </c>
      <c r="AA190" s="141" t="s">
        <v>457</v>
      </c>
      <c r="AB190" s="122" t="s">
        <v>1746</v>
      </c>
      <c r="AC190" s="141" t="s">
        <v>1498</v>
      </c>
      <c r="AD190" s="122" t="s">
        <v>13817</v>
      </c>
      <c r="AE190" s="122" t="s">
        <v>235</v>
      </c>
      <c r="AF190" s="122" t="s">
        <v>13818</v>
      </c>
      <c r="AG190" s="122" t="s">
        <v>253</v>
      </c>
      <c r="AH190" s="122" t="s">
        <v>253</v>
      </c>
      <c r="AI190" s="122" t="s">
        <v>13819</v>
      </c>
      <c r="AJ190" s="122" t="s">
        <v>13820</v>
      </c>
      <c r="AK190" s="122" t="s">
        <v>13821</v>
      </c>
      <c r="AL190" s="122" t="s">
        <v>13822</v>
      </c>
      <c r="AM190" s="122" t="s">
        <v>253</v>
      </c>
      <c r="AN190" s="122" t="s">
        <v>253</v>
      </c>
      <c r="AO190" s="141" t="s">
        <v>247</v>
      </c>
      <c r="AP190" s="141" t="s">
        <v>247</v>
      </c>
      <c r="AQ190" s="141" t="s">
        <v>253</v>
      </c>
      <c r="AR190" s="141" t="s">
        <v>253</v>
      </c>
      <c r="AS190" s="141" t="s">
        <v>601</v>
      </c>
      <c r="AT190" s="141" t="s">
        <v>258</v>
      </c>
      <c r="AU190" s="141" t="s">
        <v>258</v>
      </c>
      <c r="AV190" s="122" t="s">
        <v>259</v>
      </c>
      <c r="AW190" s="122" t="s">
        <v>260</v>
      </c>
      <c r="AX190" s="141" t="s">
        <v>3027</v>
      </c>
      <c r="AY190" s="122" t="s">
        <v>247</v>
      </c>
      <c r="AZ190" s="122" t="s">
        <v>13823</v>
      </c>
      <c r="BA190" s="122" t="s">
        <v>262</v>
      </c>
      <c r="BB190" s="122" t="s">
        <v>262</v>
      </c>
      <c r="BD190" s="122" t="s">
        <v>253</v>
      </c>
      <c r="BE190" s="122" t="s">
        <v>263</v>
      </c>
      <c r="BF190" s="122" t="s">
        <v>13652</v>
      </c>
      <c r="BH190" s="122" t="s">
        <v>13647</v>
      </c>
      <c r="BI190" s="142">
        <v>14</v>
      </c>
    </row>
    <row r="191" spans="1:65" x14ac:dyDescent="0.25">
      <c r="A191" s="122" t="s">
        <v>9031</v>
      </c>
      <c r="B191" s="122" t="s">
        <v>13824</v>
      </c>
      <c r="C191" s="122" t="s">
        <v>13825</v>
      </c>
      <c r="D191" s="122" t="s">
        <v>13826</v>
      </c>
      <c r="E191" s="123">
        <v>42233</v>
      </c>
      <c r="F191" s="122" t="s">
        <v>11340</v>
      </c>
      <c r="G191" s="122" t="s">
        <v>235</v>
      </c>
      <c r="H191" s="122" t="s">
        <v>13827</v>
      </c>
      <c r="I191" s="122" t="s">
        <v>13828</v>
      </c>
      <c r="J191" s="122" t="s">
        <v>13829</v>
      </c>
      <c r="K191" s="122" t="s">
        <v>238</v>
      </c>
      <c r="L191" s="122" t="s">
        <v>530</v>
      </c>
      <c r="M191" s="122" t="s">
        <v>5175</v>
      </c>
      <c r="O191" s="141" t="s">
        <v>1253</v>
      </c>
      <c r="P191" s="141" t="s">
        <v>13830</v>
      </c>
      <c r="Q191" s="122" t="s">
        <v>243</v>
      </c>
      <c r="R191" s="142">
        <v>15</v>
      </c>
      <c r="S191" s="122" t="s">
        <v>13831</v>
      </c>
      <c r="U191" s="122" t="s">
        <v>13647</v>
      </c>
      <c r="W191" s="122" t="s">
        <v>246</v>
      </c>
      <c r="X191" s="122" t="s">
        <v>2624</v>
      </c>
      <c r="Y191" s="141" t="s">
        <v>2133</v>
      </c>
      <c r="Z191" s="122" t="s">
        <v>13832</v>
      </c>
      <c r="AA191" s="141" t="s">
        <v>6760</v>
      </c>
      <c r="AB191" s="122" t="s">
        <v>13833</v>
      </c>
      <c r="AC191" s="141" t="s">
        <v>13834</v>
      </c>
      <c r="AD191" s="122" t="s">
        <v>1792</v>
      </c>
      <c r="AE191" s="122" t="s">
        <v>235</v>
      </c>
      <c r="AF191" s="122" t="s">
        <v>13835</v>
      </c>
      <c r="AG191" s="122" t="s">
        <v>253</v>
      </c>
      <c r="AH191" s="122" t="s">
        <v>253</v>
      </c>
      <c r="AI191" s="122" t="s">
        <v>13836</v>
      </c>
      <c r="AJ191" s="122" t="s">
        <v>13837</v>
      </c>
      <c r="AK191" s="122" t="s">
        <v>13838</v>
      </c>
      <c r="AL191" s="122" t="s">
        <v>253</v>
      </c>
      <c r="AM191" s="122" t="s">
        <v>253</v>
      </c>
      <c r="AN191" s="122" t="s">
        <v>253</v>
      </c>
      <c r="AO191" s="141" t="s">
        <v>247</v>
      </c>
      <c r="AP191" s="141" t="s">
        <v>247</v>
      </c>
      <c r="AQ191" s="141" t="s">
        <v>247</v>
      </c>
      <c r="AR191" s="141" t="s">
        <v>247</v>
      </c>
      <c r="AS191" s="141" t="s">
        <v>601</v>
      </c>
      <c r="AT191" s="141" t="s">
        <v>601</v>
      </c>
      <c r="AU191" s="141" t="s">
        <v>257</v>
      </c>
      <c r="AV191" s="122" t="s">
        <v>259</v>
      </c>
      <c r="AW191" s="122" t="s">
        <v>260</v>
      </c>
      <c r="AY191" s="122" t="s">
        <v>253</v>
      </c>
      <c r="AZ191" s="122" t="s">
        <v>13839</v>
      </c>
      <c r="BA191" s="122" t="s">
        <v>262</v>
      </c>
      <c r="BB191" s="122" t="s">
        <v>13840</v>
      </c>
      <c r="BD191" s="122" t="s">
        <v>253</v>
      </c>
      <c r="BE191" s="122" t="s">
        <v>263</v>
      </c>
      <c r="BF191" s="122" t="s">
        <v>13652</v>
      </c>
      <c r="BH191" s="122" t="s">
        <v>13647</v>
      </c>
      <c r="BI191" s="142">
        <v>15</v>
      </c>
    </row>
    <row r="192" spans="1:65" x14ac:dyDescent="0.25">
      <c r="A192" s="122" t="s">
        <v>9031</v>
      </c>
      <c r="B192" s="122" t="s">
        <v>13841</v>
      </c>
      <c r="C192" s="122" t="s">
        <v>13842</v>
      </c>
      <c r="D192" s="122" t="s">
        <v>13843</v>
      </c>
      <c r="E192" s="123">
        <v>42233</v>
      </c>
      <c r="F192" s="122" t="s">
        <v>2720</v>
      </c>
      <c r="G192" s="122" t="s">
        <v>235</v>
      </c>
      <c r="H192" s="122" t="s">
        <v>448</v>
      </c>
      <c r="I192" s="122" t="s">
        <v>4894</v>
      </c>
      <c r="J192" s="122" t="s">
        <v>13844</v>
      </c>
      <c r="K192" s="122" t="s">
        <v>238</v>
      </c>
      <c r="L192" s="122" t="s">
        <v>530</v>
      </c>
      <c r="M192" s="122" t="s">
        <v>4763</v>
      </c>
      <c r="N192" s="122" t="s">
        <v>10411</v>
      </c>
      <c r="O192" s="141" t="s">
        <v>451</v>
      </c>
      <c r="P192" s="141" t="s">
        <v>13845</v>
      </c>
      <c r="Q192" s="122" t="s">
        <v>243</v>
      </c>
      <c r="R192" s="142">
        <v>16</v>
      </c>
      <c r="S192" s="122" t="s">
        <v>13846</v>
      </c>
      <c r="U192" s="122" t="s">
        <v>13647</v>
      </c>
      <c r="W192" s="122" t="s">
        <v>246</v>
      </c>
      <c r="X192" s="122" t="s">
        <v>551</v>
      </c>
      <c r="Y192" s="141" t="s">
        <v>352</v>
      </c>
      <c r="Z192" s="122" t="s">
        <v>355</v>
      </c>
      <c r="AA192" s="141" t="s">
        <v>352</v>
      </c>
      <c r="AB192" s="122" t="s">
        <v>5324</v>
      </c>
      <c r="AC192" s="141" t="s">
        <v>4229</v>
      </c>
      <c r="AD192" s="122" t="s">
        <v>355</v>
      </c>
      <c r="AE192" s="122" t="s">
        <v>235</v>
      </c>
      <c r="AF192" s="122" t="s">
        <v>13847</v>
      </c>
      <c r="AG192" s="122" t="s">
        <v>537</v>
      </c>
      <c r="AH192" s="122" t="s">
        <v>253</v>
      </c>
      <c r="AI192" s="122" t="s">
        <v>13848</v>
      </c>
      <c r="AJ192" s="122" t="s">
        <v>13849</v>
      </c>
      <c r="AK192" s="122" t="s">
        <v>253</v>
      </c>
      <c r="AL192" s="122" t="s">
        <v>253</v>
      </c>
      <c r="AM192" s="122" t="s">
        <v>253</v>
      </c>
      <c r="AN192" s="122" t="s">
        <v>253</v>
      </c>
      <c r="AO192" s="141" t="s">
        <v>247</v>
      </c>
      <c r="AP192" s="141" t="s">
        <v>247</v>
      </c>
      <c r="AQ192" s="141" t="s">
        <v>247</v>
      </c>
      <c r="AR192" s="141" t="s">
        <v>247</v>
      </c>
      <c r="AS192" s="141" t="s">
        <v>601</v>
      </c>
      <c r="AT192" s="141" t="s">
        <v>601</v>
      </c>
      <c r="AU192" s="141" t="s">
        <v>257</v>
      </c>
      <c r="AV192" s="122" t="s">
        <v>259</v>
      </c>
      <c r="AW192" s="122" t="s">
        <v>260</v>
      </c>
      <c r="AY192" s="122" t="s">
        <v>253</v>
      </c>
      <c r="AZ192" s="122" t="s">
        <v>262</v>
      </c>
      <c r="BA192" s="122" t="s">
        <v>262</v>
      </c>
      <c r="BB192" s="122" t="s">
        <v>13850</v>
      </c>
      <c r="BD192" s="122" t="s">
        <v>253</v>
      </c>
      <c r="BE192" s="122" t="s">
        <v>263</v>
      </c>
      <c r="BF192" s="122" t="s">
        <v>13652</v>
      </c>
      <c r="BH192" s="122" t="s">
        <v>13647</v>
      </c>
      <c r="BI192" s="142">
        <v>16</v>
      </c>
    </row>
    <row r="193" spans="1:65" x14ac:dyDescent="0.25">
      <c r="A193" s="122" t="s">
        <v>9031</v>
      </c>
      <c r="B193" s="122" t="s">
        <v>13851</v>
      </c>
      <c r="C193" s="122" t="s">
        <v>13852</v>
      </c>
      <c r="D193" s="122" t="s">
        <v>13853</v>
      </c>
      <c r="E193" s="123">
        <v>42233</v>
      </c>
      <c r="F193" s="122" t="s">
        <v>354</v>
      </c>
      <c r="G193" s="122" t="s">
        <v>235</v>
      </c>
      <c r="H193" s="122" t="s">
        <v>13854</v>
      </c>
      <c r="I193" s="122" t="s">
        <v>528</v>
      </c>
      <c r="J193" s="122" t="s">
        <v>13855</v>
      </c>
      <c r="K193" s="122" t="s">
        <v>238</v>
      </c>
      <c r="L193" s="122" t="s">
        <v>530</v>
      </c>
      <c r="M193" s="122" t="s">
        <v>531</v>
      </c>
      <c r="O193" s="141" t="s">
        <v>2378</v>
      </c>
      <c r="P193" s="141" t="s">
        <v>13856</v>
      </c>
      <c r="Q193" s="122" t="s">
        <v>243</v>
      </c>
      <c r="R193" s="142">
        <v>17</v>
      </c>
      <c r="S193" s="122" t="s">
        <v>13857</v>
      </c>
      <c r="U193" s="122" t="s">
        <v>13647</v>
      </c>
      <c r="W193" s="122" t="s">
        <v>246</v>
      </c>
      <c r="X193" s="122" t="s">
        <v>4409</v>
      </c>
      <c r="Y193" s="141" t="s">
        <v>2899</v>
      </c>
      <c r="Z193" s="122" t="s">
        <v>1091</v>
      </c>
      <c r="AB193" s="122" t="s">
        <v>250</v>
      </c>
      <c r="AD193" s="122" t="s">
        <v>250</v>
      </c>
      <c r="AE193" s="122" t="s">
        <v>235</v>
      </c>
      <c r="AF193" s="122" t="s">
        <v>13858</v>
      </c>
      <c r="AG193" s="122" t="s">
        <v>537</v>
      </c>
      <c r="AH193" s="122" t="s">
        <v>253</v>
      </c>
      <c r="AI193" s="122" t="s">
        <v>13859</v>
      </c>
      <c r="AJ193" s="122" t="s">
        <v>13860</v>
      </c>
      <c r="AK193" s="122" t="s">
        <v>253</v>
      </c>
      <c r="AL193" s="122" t="s">
        <v>253</v>
      </c>
      <c r="AM193" s="122" t="s">
        <v>253</v>
      </c>
      <c r="AN193" s="122" t="s">
        <v>253</v>
      </c>
      <c r="AO193" s="141" t="s">
        <v>247</v>
      </c>
      <c r="AP193" s="141" t="s">
        <v>253</v>
      </c>
      <c r="AQ193" s="141" t="s">
        <v>247</v>
      </c>
      <c r="AR193" s="141" t="s">
        <v>253</v>
      </c>
      <c r="AS193" s="141" t="s">
        <v>601</v>
      </c>
      <c r="AT193" s="141" t="s">
        <v>601</v>
      </c>
      <c r="AU193" s="141" t="s">
        <v>258</v>
      </c>
      <c r="AV193" s="122" t="s">
        <v>259</v>
      </c>
      <c r="AW193" s="122" t="s">
        <v>260</v>
      </c>
      <c r="AY193" s="122" t="s">
        <v>253</v>
      </c>
      <c r="AZ193" s="122" t="s">
        <v>13861</v>
      </c>
      <c r="BA193" s="122" t="s">
        <v>262</v>
      </c>
      <c r="BB193" s="122" t="s">
        <v>262</v>
      </c>
      <c r="BD193" s="122" t="s">
        <v>253</v>
      </c>
      <c r="BE193" s="122" t="s">
        <v>263</v>
      </c>
      <c r="BF193" s="122" t="s">
        <v>13652</v>
      </c>
      <c r="BH193" s="122" t="s">
        <v>13647</v>
      </c>
      <c r="BI193" s="142">
        <v>17</v>
      </c>
    </row>
    <row r="194" spans="1:65" x14ac:dyDescent="0.25">
      <c r="A194" s="122" t="s">
        <v>9031</v>
      </c>
      <c r="B194" s="122" t="s">
        <v>13862</v>
      </c>
      <c r="C194" s="122" t="s">
        <v>13863</v>
      </c>
      <c r="D194" s="122" t="s">
        <v>13864</v>
      </c>
      <c r="E194" s="123">
        <v>42233</v>
      </c>
      <c r="F194" s="122" t="s">
        <v>920</v>
      </c>
      <c r="G194" s="122" t="s">
        <v>235</v>
      </c>
      <c r="H194" s="122" t="s">
        <v>13865</v>
      </c>
      <c r="I194" s="122" t="s">
        <v>13866</v>
      </c>
      <c r="K194" s="122" t="s">
        <v>238</v>
      </c>
      <c r="L194" s="122" t="s">
        <v>530</v>
      </c>
      <c r="M194" s="122" t="s">
        <v>13867</v>
      </c>
      <c r="N194" s="122" t="s">
        <v>13868</v>
      </c>
      <c r="O194" s="141" t="s">
        <v>1253</v>
      </c>
      <c r="P194" s="141" t="s">
        <v>13869</v>
      </c>
      <c r="Q194" s="122" t="s">
        <v>243</v>
      </c>
      <c r="R194" s="142">
        <v>18</v>
      </c>
      <c r="S194" s="122" t="s">
        <v>13870</v>
      </c>
      <c r="U194" s="122" t="s">
        <v>13647</v>
      </c>
      <c r="W194" s="122" t="s">
        <v>246</v>
      </c>
      <c r="X194" s="122" t="s">
        <v>4409</v>
      </c>
      <c r="Y194" s="141" t="s">
        <v>378</v>
      </c>
      <c r="Z194" s="122" t="s">
        <v>13871</v>
      </c>
      <c r="AA194" s="141" t="s">
        <v>668</v>
      </c>
      <c r="AB194" s="122" t="s">
        <v>13872</v>
      </c>
      <c r="AC194" s="141" t="s">
        <v>2717</v>
      </c>
      <c r="AD194" s="122" t="s">
        <v>13873</v>
      </c>
      <c r="AE194" s="122" t="s">
        <v>235</v>
      </c>
      <c r="AF194" s="122" t="s">
        <v>13874</v>
      </c>
      <c r="AG194" s="122" t="s">
        <v>13875</v>
      </c>
      <c r="AH194" s="122" t="s">
        <v>253</v>
      </c>
      <c r="AI194" s="122" t="s">
        <v>13876</v>
      </c>
      <c r="AJ194" s="122" t="s">
        <v>13877</v>
      </c>
      <c r="AK194" s="122" t="s">
        <v>253</v>
      </c>
      <c r="AL194" s="122" t="s">
        <v>253</v>
      </c>
      <c r="AM194" s="122" t="s">
        <v>253</v>
      </c>
      <c r="AN194" s="122" t="s">
        <v>253</v>
      </c>
      <c r="AO194" s="141" t="s">
        <v>247</v>
      </c>
      <c r="AP194" s="141" t="s">
        <v>247</v>
      </c>
      <c r="AQ194" s="141" t="s">
        <v>247</v>
      </c>
      <c r="AR194" s="141" t="s">
        <v>247</v>
      </c>
      <c r="AS194" s="141" t="s">
        <v>601</v>
      </c>
      <c r="AT194" s="141" t="s">
        <v>601</v>
      </c>
      <c r="AU194" s="141" t="s">
        <v>257</v>
      </c>
      <c r="AV194" s="122" t="s">
        <v>259</v>
      </c>
      <c r="AW194" s="122" t="s">
        <v>260</v>
      </c>
      <c r="AY194" s="122" t="s">
        <v>253</v>
      </c>
      <c r="AZ194" s="122" t="s">
        <v>13878</v>
      </c>
      <c r="BA194" s="122" t="s">
        <v>262</v>
      </c>
      <c r="BB194" s="122" t="s">
        <v>262</v>
      </c>
      <c r="BC194" s="141" t="s">
        <v>312</v>
      </c>
      <c r="BD194" s="122" t="s">
        <v>253</v>
      </c>
      <c r="BE194" s="122" t="s">
        <v>263</v>
      </c>
      <c r="BF194" s="122" t="s">
        <v>13652</v>
      </c>
      <c r="BH194" s="122" t="s">
        <v>13647</v>
      </c>
      <c r="BI194" s="142">
        <v>18</v>
      </c>
    </row>
    <row r="195" spans="1:65" x14ac:dyDescent="0.25">
      <c r="A195" s="122" t="s">
        <v>11880</v>
      </c>
      <c r="B195" s="122" t="s">
        <v>13879</v>
      </c>
      <c r="C195" s="122" t="s">
        <v>13880</v>
      </c>
      <c r="D195" s="122" t="s">
        <v>13881</v>
      </c>
      <c r="E195" s="123">
        <v>42233</v>
      </c>
      <c r="F195" s="122" t="s">
        <v>3863</v>
      </c>
      <c r="G195" s="122" t="s">
        <v>235</v>
      </c>
      <c r="H195" s="122" t="s">
        <v>13882</v>
      </c>
      <c r="I195" s="122" t="s">
        <v>13883</v>
      </c>
      <c r="K195" s="122" t="s">
        <v>238</v>
      </c>
      <c r="L195" s="122" t="s">
        <v>530</v>
      </c>
      <c r="M195" s="122" t="s">
        <v>13884</v>
      </c>
      <c r="O195" s="141" t="s">
        <v>1055</v>
      </c>
      <c r="P195" s="141" t="s">
        <v>13885</v>
      </c>
      <c r="Q195" s="122" t="s">
        <v>243</v>
      </c>
      <c r="R195" s="142">
        <v>19</v>
      </c>
      <c r="S195" s="122" t="s">
        <v>13886</v>
      </c>
      <c r="U195" s="122" t="s">
        <v>13647</v>
      </c>
      <c r="W195" s="122" t="s">
        <v>246</v>
      </c>
      <c r="X195" s="122" t="s">
        <v>1225</v>
      </c>
      <c r="Y195" s="141" t="s">
        <v>534</v>
      </c>
      <c r="Z195" s="122" t="s">
        <v>12461</v>
      </c>
      <c r="AA195" s="141" t="s">
        <v>1289</v>
      </c>
      <c r="AB195" s="122" t="s">
        <v>12461</v>
      </c>
      <c r="AC195" s="141" t="s">
        <v>2701</v>
      </c>
      <c r="AD195" s="122" t="s">
        <v>1485</v>
      </c>
      <c r="AE195" s="122" t="s">
        <v>235</v>
      </c>
      <c r="AF195" s="122" t="s">
        <v>10692</v>
      </c>
      <c r="AG195" s="122" t="s">
        <v>537</v>
      </c>
      <c r="AH195" s="122" t="s">
        <v>253</v>
      </c>
      <c r="AI195" s="122" t="s">
        <v>1585</v>
      </c>
      <c r="AJ195" s="122" t="s">
        <v>1585</v>
      </c>
      <c r="AK195" s="122" t="s">
        <v>253</v>
      </c>
      <c r="AL195" s="122" t="s">
        <v>253</v>
      </c>
      <c r="AM195" s="122" t="s">
        <v>253</v>
      </c>
      <c r="AN195" s="122" t="s">
        <v>253</v>
      </c>
      <c r="AO195" s="141" t="s">
        <v>253</v>
      </c>
      <c r="AP195" s="141" t="s">
        <v>253</v>
      </c>
      <c r="AQ195" s="141" t="s">
        <v>247</v>
      </c>
      <c r="AR195" s="141" t="s">
        <v>253</v>
      </c>
      <c r="AS195" s="141" t="s">
        <v>361</v>
      </c>
      <c r="AT195" s="141" t="s">
        <v>601</v>
      </c>
      <c r="AU195" s="141" t="s">
        <v>258</v>
      </c>
      <c r="AV195" s="122" t="s">
        <v>259</v>
      </c>
      <c r="AW195" s="122" t="s">
        <v>260</v>
      </c>
      <c r="AY195" s="122" t="s">
        <v>253</v>
      </c>
      <c r="AZ195" s="122" t="s">
        <v>13887</v>
      </c>
      <c r="BA195" s="122" t="s">
        <v>262</v>
      </c>
      <c r="BB195" s="122" t="s">
        <v>13887</v>
      </c>
      <c r="BD195" s="122" t="s">
        <v>253</v>
      </c>
      <c r="BE195" s="122" t="s">
        <v>263</v>
      </c>
      <c r="BF195" s="122" t="s">
        <v>13652</v>
      </c>
      <c r="BH195" s="122" t="s">
        <v>13647</v>
      </c>
      <c r="BI195" s="142">
        <v>19</v>
      </c>
    </row>
    <row r="196" spans="1:65" x14ac:dyDescent="0.25">
      <c r="A196" s="122" t="s">
        <v>11880</v>
      </c>
      <c r="B196" s="122" t="s">
        <v>13888</v>
      </c>
      <c r="C196" s="122" t="s">
        <v>13889</v>
      </c>
      <c r="D196" s="122" t="s">
        <v>13890</v>
      </c>
      <c r="E196" s="123">
        <v>42233</v>
      </c>
      <c r="F196" s="122" t="s">
        <v>2730</v>
      </c>
      <c r="G196" s="122" t="s">
        <v>235</v>
      </c>
      <c r="H196" s="122" t="s">
        <v>448</v>
      </c>
      <c r="I196" s="122" t="s">
        <v>13891</v>
      </c>
      <c r="J196" s="122" t="s">
        <v>7452</v>
      </c>
      <c r="K196" s="122" t="s">
        <v>238</v>
      </c>
      <c r="L196" s="122" t="s">
        <v>530</v>
      </c>
      <c r="M196" s="122" t="s">
        <v>4928</v>
      </c>
      <c r="O196" s="141" t="s">
        <v>241</v>
      </c>
      <c r="P196" s="141" t="s">
        <v>13892</v>
      </c>
      <c r="Q196" s="122" t="s">
        <v>243</v>
      </c>
      <c r="R196" s="142">
        <v>20</v>
      </c>
      <c r="S196" s="122" t="s">
        <v>13893</v>
      </c>
      <c r="U196" s="122" t="s">
        <v>13647</v>
      </c>
      <c r="V196" s="122" t="s">
        <v>351</v>
      </c>
      <c r="W196" s="122" t="s">
        <v>246</v>
      </c>
      <c r="X196" s="122" t="s">
        <v>278</v>
      </c>
      <c r="Y196" s="141" t="s">
        <v>4229</v>
      </c>
      <c r="Z196" s="122" t="s">
        <v>13894</v>
      </c>
      <c r="AA196" s="141" t="s">
        <v>378</v>
      </c>
      <c r="AB196" s="122" t="s">
        <v>13895</v>
      </c>
      <c r="AC196" s="141" t="s">
        <v>685</v>
      </c>
      <c r="AD196" s="122" t="s">
        <v>818</v>
      </c>
      <c r="AE196" s="122" t="s">
        <v>235</v>
      </c>
      <c r="AF196" s="122" t="s">
        <v>13896</v>
      </c>
      <c r="AG196" s="122" t="s">
        <v>537</v>
      </c>
      <c r="AH196" s="122" t="s">
        <v>253</v>
      </c>
      <c r="AI196" s="122" t="s">
        <v>13897</v>
      </c>
      <c r="AJ196" s="122" t="s">
        <v>13898</v>
      </c>
      <c r="AK196" s="122" t="s">
        <v>13899</v>
      </c>
      <c r="AL196" s="122" t="s">
        <v>253</v>
      </c>
      <c r="AM196" s="122" t="s">
        <v>253</v>
      </c>
      <c r="AN196" s="122" t="s">
        <v>253</v>
      </c>
      <c r="AO196" s="141" t="s">
        <v>247</v>
      </c>
      <c r="AP196" s="141" t="s">
        <v>247</v>
      </c>
      <c r="AQ196" s="141" t="s">
        <v>247</v>
      </c>
      <c r="AR196" s="141" t="s">
        <v>253</v>
      </c>
      <c r="AS196" s="141" t="s">
        <v>601</v>
      </c>
      <c r="AT196" s="141" t="s">
        <v>601</v>
      </c>
      <c r="AU196" s="141" t="s">
        <v>258</v>
      </c>
      <c r="AV196" s="122" t="s">
        <v>259</v>
      </c>
      <c r="AW196" s="122" t="s">
        <v>260</v>
      </c>
      <c r="AY196" s="122" t="s">
        <v>253</v>
      </c>
      <c r="AZ196" s="122" t="s">
        <v>262</v>
      </c>
      <c r="BA196" s="122" t="s">
        <v>262</v>
      </c>
      <c r="BB196" s="122" t="s">
        <v>13900</v>
      </c>
      <c r="BC196" s="141" t="s">
        <v>312</v>
      </c>
      <c r="BD196" s="122" t="s">
        <v>253</v>
      </c>
      <c r="BE196" s="122" t="s">
        <v>263</v>
      </c>
      <c r="BF196" s="122" t="s">
        <v>13652</v>
      </c>
      <c r="BH196" s="122" t="s">
        <v>13647</v>
      </c>
      <c r="BI196" s="142">
        <v>20</v>
      </c>
    </row>
    <row r="197" spans="1:65" x14ac:dyDescent="0.25">
      <c r="A197" s="122" t="s">
        <v>11880</v>
      </c>
      <c r="B197" s="122" t="s">
        <v>13901</v>
      </c>
      <c r="C197" s="122" t="s">
        <v>13902</v>
      </c>
      <c r="D197" s="122" t="s">
        <v>13903</v>
      </c>
      <c r="E197" s="123">
        <v>42233</v>
      </c>
      <c r="F197" s="122" t="s">
        <v>2365</v>
      </c>
      <c r="G197" s="122" t="s">
        <v>235</v>
      </c>
      <c r="H197" s="122" t="s">
        <v>13904</v>
      </c>
      <c r="I197" s="122" t="s">
        <v>13905</v>
      </c>
      <c r="K197" s="122" t="s">
        <v>238</v>
      </c>
      <c r="L197" s="122" t="s">
        <v>530</v>
      </c>
      <c r="M197" s="122" t="s">
        <v>531</v>
      </c>
      <c r="N197" s="122" t="s">
        <v>13906</v>
      </c>
      <c r="Q197" s="122" t="s">
        <v>243</v>
      </c>
      <c r="R197" s="142">
        <v>21</v>
      </c>
      <c r="S197" s="122" t="s">
        <v>13907</v>
      </c>
      <c r="U197" s="122" t="s">
        <v>13647</v>
      </c>
      <c r="W197" s="122" t="s">
        <v>246</v>
      </c>
      <c r="X197" s="122" t="s">
        <v>1324</v>
      </c>
      <c r="Y197" s="141" t="s">
        <v>3039</v>
      </c>
      <c r="Z197" s="122" t="s">
        <v>355</v>
      </c>
      <c r="AA197" s="141" t="s">
        <v>356</v>
      </c>
      <c r="AB197" s="122" t="s">
        <v>305</v>
      </c>
      <c r="AC197" s="141" t="s">
        <v>234</v>
      </c>
      <c r="AD197" s="122" t="s">
        <v>305</v>
      </c>
      <c r="AE197" s="122" t="s">
        <v>235</v>
      </c>
      <c r="AF197" s="122" t="s">
        <v>13908</v>
      </c>
      <c r="AG197" s="122" t="s">
        <v>537</v>
      </c>
      <c r="AH197" s="122" t="s">
        <v>253</v>
      </c>
      <c r="AI197" s="122" t="s">
        <v>13909</v>
      </c>
      <c r="AJ197" s="122" t="s">
        <v>13910</v>
      </c>
      <c r="AK197" s="122" t="s">
        <v>253</v>
      </c>
      <c r="AL197" s="122" t="s">
        <v>253</v>
      </c>
      <c r="AM197" s="122" t="s">
        <v>253</v>
      </c>
      <c r="AN197" s="122" t="s">
        <v>253</v>
      </c>
      <c r="AO197" s="141" t="s">
        <v>247</v>
      </c>
      <c r="AP197" s="141" t="s">
        <v>247</v>
      </c>
      <c r="AQ197" s="141" t="s">
        <v>247</v>
      </c>
      <c r="AR197" s="141" t="s">
        <v>253</v>
      </c>
      <c r="AS197" s="141" t="s">
        <v>601</v>
      </c>
      <c r="AT197" s="141" t="s">
        <v>601</v>
      </c>
      <c r="AU197" s="141" t="s">
        <v>258</v>
      </c>
      <c r="AV197" s="122" t="s">
        <v>259</v>
      </c>
      <c r="AW197" s="122" t="s">
        <v>260</v>
      </c>
      <c r="AY197" s="122" t="s">
        <v>253</v>
      </c>
      <c r="AZ197" s="122" t="s">
        <v>13911</v>
      </c>
      <c r="BA197" s="122" t="s">
        <v>262</v>
      </c>
      <c r="BB197" s="122" t="s">
        <v>262</v>
      </c>
      <c r="BD197" s="122" t="s">
        <v>253</v>
      </c>
      <c r="BE197" s="122" t="s">
        <v>263</v>
      </c>
      <c r="BF197" s="122" t="s">
        <v>13652</v>
      </c>
      <c r="BH197" s="122" t="s">
        <v>13647</v>
      </c>
      <c r="BI197" s="142">
        <v>21</v>
      </c>
    </row>
    <row r="198" spans="1:65" x14ac:dyDescent="0.25">
      <c r="A198" s="122" t="s">
        <v>11880</v>
      </c>
      <c r="B198" s="122" t="s">
        <v>13912</v>
      </c>
      <c r="C198" s="122" t="s">
        <v>13913</v>
      </c>
      <c r="D198" s="122" t="s">
        <v>13914</v>
      </c>
      <c r="E198" s="123">
        <v>42233</v>
      </c>
      <c r="F198" s="122" t="s">
        <v>1567</v>
      </c>
      <c r="G198" s="122" t="s">
        <v>235</v>
      </c>
      <c r="H198" s="122" t="s">
        <v>13915</v>
      </c>
      <c r="I198" s="122" t="s">
        <v>10243</v>
      </c>
      <c r="J198" s="122" t="s">
        <v>13916</v>
      </c>
      <c r="K198" s="122" t="s">
        <v>238</v>
      </c>
      <c r="L198" s="122" t="s">
        <v>530</v>
      </c>
      <c r="M198" s="122" t="s">
        <v>10245</v>
      </c>
      <c r="O198" s="141" t="s">
        <v>373</v>
      </c>
      <c r="P198" s="141" t="s">
        <v>13917</v>
      </c>
      <c r="Q198" s="122" t="s">
        <v>243</v>
      </c>
      <c r="R198" s="142">
        <v>22</v>
      </c>
      <c r="S198" s="122" t="s">
        <v>13918</v>
      </c>
      <c r="U198" s="122" t="s">
        <v>13647</v>
      </c>
      <c r="W198" s="122" t="s">
        <v>246</v>
      </c>
      <c r="X198" s="122" t="s">
        <v>260</v>
      </c>
      <c r="Y198" s="141" t="s">
        <v>1162</v>
      </c>
      <c r="Z198" s="122" t="s">
        <v>13919</v>
      </c>
      <c r="AA198" s="141" t="s">
        <v>593</v>
      </c>
      <c r="AB198" s="122" t="s">
        <v>13920</v>
      </c>
      <c r="AC198" s="141" t="s">
        <v>354</v>
      </c>
      <c r="AD198" s="122" t="s">
        <v>13920</v>
      </c>
      <c r="AE198" s="122" t="s">
        <v>235</v>
      </c>
      <c r="AF198" s="122" t="s">
        <v>13921</v>
      </c>
      <c r="AG198" s="122" t="s">
        <v>253</v>
      </c>
      <c r="AH198" s="122" t="s">
        <v>253</v>
      </c>
      <c r="AI198" s="122" t="s">
        <v>13922</v>
      </c>
      <c r="AJ198" s="122" t="s">
        <v>253</v>
      </c>
      <c r="AK198" s="122" t="s">
        <v>13923</v>
      </c>
      <c r="AL198" s="122" t="s">
        <v>253</v>
      </c>
      <c r="AM198" s="122" t="s">
        <v>253</v>
      </c>
      <c r="AN198" s="122" t="s">
        <v>253</v>
      </c>
      <c r="AO198" s="141" t="s">
        <v>247</v>
      </c>
      <c r="AP198" s="141" t="s">
        <v>247</v>
      </c>
      <c r="AQ198" s="141" t="s">
        <v>247</v>
      </c>
      <c r="AR198" s="141" t="s">
        <v>253</v>
      </c>
      <c r="AS198" s="141" t="s">
        <v>601</v>
      </c>
      <c r="AT198" s="141" t="s">
        <v>601</v>
      </c>
      <c r="AU198" s="141" t="s">
        <v>258</v>
      </c>
      <c r="AV198" s="122" t="s">
        <v>259</v>
      </c>
      <c r="AW198" s="122" t="s">
        <v>260</v>
      </c>
      <c r="AX198" s="141" t="s">
        <v>2986</v>
      </c>
      <c r="AY198" s="122" t="s">
        <v>603</v>
      </c>
      <c r="AZ198" s="122" t="s">
        <v>13924</v>
      </c>
      <c r="BA198" s="122" t="s">
        <v>262</v>
      </c>
      <c r="BB198" s="122" t="s">
        <v>262</v>
      </c>
      <c r="BD198" s="122" t="s">
        <v>253</v>
      </c>
      <c r="BE198" s="122" t="s">
        <v>263</v>
      </c>
      <c r="BF198" s="122" t="s">
        <v>13652</v>
      </c>
      <c r="BH198" s="122" t="s">
        <v>13647</v>
      </c>
      <c r="BI198" s="142">
        <v>22</v>
      </c>
    </row>
    <row r="199" spans="1:65" x14ac:dyDescent="0.25">
      <c r="A199" s="122" t="s">
        <v>11880</v>
      </c>
      <c r="B199" s="122" t="s">
        <v>13925</v>
      </c>
      <c r="C199" s="122" t="s">
        <v>13926</v>
      </c>
      <c r="D199" s="122" t="s">
        <v>13927</v>
      </c>
      <c r="E199" s="123">
        <v>42233</v>
      </c>
      <c r="F199" s="122" t="s">
        <v>1969</v>
      </c>
      <c r="G199" s="122" t="s">
        <v>235</v>
      </c>
      <c r="H199" s="122" t="s">
        <v>13928</v>
      </c>
      <c r="I199" s="122" t="s">
        <v>13929</v>
      </c>
      <c r="J199" s="122" t="s">
        <v>13930</v>
      </c>
      <c r="K199" s="122" t="s">
        <v>238</v>
      </c>
      <c r="L199" s="122" t="s">
        <v>530</v>
      </c>
      <c r="M199" s="122" t="s">
        <v>5439</v>
      </c>
      <c r="O199" s="141" t="s">
        <v>2559</v>
      </c>
      <c r="P199" s="141" t="s">
        <v>13931</v>
      </c>
      <c r="Q199" s="122" t="s">
        <v>243</v>
      </c>
      <c r="R199" s="142">
        <v>23</v>
      </c>
      <c r="S199" s="122" t="s">
        <v>13932</v>
      </c>
      <c r="U199" s="122" t="s">
        <v>13647</v>
      </c>
      <c r="W199" s="122" t="s">
        <v>246</v>
      </c>
      <c r="X199" s="122" t="s">
        <v>853</v>
      </c>
      <c r="Y199" s="141" t="s">
        <v>784</v>
      </c>
      <c r="Z199" s="122" t="s">
        <v>13933</v>
      </c>
      <c r="AB199" s="122" t="s">
        <v>250</v>
      </c>
      <c r="AD199" s="122" t="s">
        <v>250</v>
      </c>
      <c r="AE199" s="122" t="s">
        <v>235</v>
      </c>
      <c r="AF199" s="122" t="s">
        <v>13934</v>
      </c>
      <c r="AG199" s="122" t="s">
        <v>253</v>
      </c>
      <c r="AH199" s="122" t="s">
        <v>253</v>
      </c>
      <c r="AI199" s="122" t="s">
        <v>13935</v>
      </c>
      <c r="AJ199" s="122" t="s">
        <v>2473</v>
      </c>
      <c r="AK199" s="122" t="s">
        <v>4193</v>
      </c>
      <c r="AL199" s="122" t="s">
        <v>253</v>
      </c>
      <c r="AM199" s="122" t="s">
        <v>253</v>
      </c>
      <c r="AN199" s="122" t="s">
        <v>253</v>
      </c>
      <c r="AO199" s="141" t="s">
        <v>253</v>
      </c>
      <c r="AP199" s="141" t="s">
        <v>253</v>
      </c>
      <c r="AQ199" s="141" t="s">
        <v>247</v>
      </c>
      <c r="AR199" s="141" t="s">
        <v>253</v>
      </c>
      <c r="AS199" s="141" t="s">
        <v>361</v>
      </c>
      <c r="AT199" s="141" t="s">
        <v>601</v>
      </c>
      <c r="AU199" s="141" t="s">
        <v>258</v>
      </c>
      <c r="AV199" s="122" t="s">
        <v>259</v>
      </c>
      <c r="AW199" s="122" t="s">
        <v>260</v>
      </c>
      <c r="AY199" s="122" t="s">
        <v>253</v>
      </c>
      <c r="AZ199" s="122" t="s">
        <v>13936</v>
      </c>
      <c r="BA199" s="122" t="s">
        <v>262</v>
      </c>
      <c r="BB199" s="122" t="s">
        <v>262</v>
      </c>
      <c r="BD199" s="122" t="s">
        <v>253</v>
      </c>
      <c r="BE199" s="122" t="s">
        <v>263</v>
      </c>
      <c r="BF199" s="122" t="s">
        <v>13652</v>
      </c>
      <c r="BH199" s="122" t="s">
        <v>13647</v>
      </c>
      <c r="BI199" s="142">
        <v>23</v>
      </c>
    </row>
    <row r="200" spans="1:65" x14ac:dyDescent="0.25">
      <c r="A200" s="122" t="s">
        <v>11880</v>
      </c>
      <c r="B200" s="122" t="s">
        <v>13937</v>
      </c>
      <c r="C200" s="122" t="s">
        <v>13938</v>
      </c>
      <c r="D200" s="122" t="s">
        <v>13939</v>
      </c>
      <c r="E200" s="123">
        <v>42233</v>
      </c>
      <c r="F200" s="122" t="s">
        <v>1629</v>
      </c>
      <c r="G200" s="122" t="s">
        <v>235</v>
      </c>
      <c r="H200" s="122" t="s">
        <v>13940</v>
      </c>
      <c r="I200" s="122" t="s">
        <v>10639</v>
      </c>
      <c r="J200" s="122" t="s">
        <v>13941</v>
      </c>
      <c r="K200" s="122" t="s">
        <v>238</v>
      </c>
      <c r="L200" s="122" t="s">
        <v>530</v>
      </c>
      <c r="M200" s="122" t="s">
        <v>531</v>
      </c>
      <c r="O200" s="141" t="s">
        <v>1055</v>
      </c>
      <c r="P200" s="141" t="s">
        <v>13942</v>
      </c>
      <c r="Q200" s="122" t="s">
        <v>243</v>
      </c>
      <c r="R200" s="142">
        <v>24</v>
      </c>
      <c r="S200" s="122" t="s">
        <v>13943</v>
      </c>
      <c r="U200" s="122" t="s">
        <v>13647</v>
      </c>
      <c r="W200" s="122" t="s">
        <v>246</v>
      </c>
      <c r="X200" s="122" t="s">
        <v>260</v>
      </c>
      <c r="Y200" s="141" t="s">
        <v>6059</v>
      </c>
      <c r="Z200" s="122" t="s">
        <v>9198</v>
      </c>
      <c r="AA200" s="141" t="s">
        <v>1161</v>
      </c>
      <c r="AB200" s="122" t="s">
        <v>13944</v>
      </c>
      <c r="AC200" s="141" t="s">
        <v>888</v>
      </c>
      <c r="AD200" s="122" t="s">
        <v>8857</v>
      </c>
      <c r="AE200" s="122" t="s">
        <v>235</v>
      </c>
      <c r="AF200" s="122" t="s">
        <v>13945</v>
      </c>
      <c r="AG200" s="122" t="s">
        <v>972</v>
      </c>
      <c r="AH200" s="122" t="s">
        <v>253</v>
      </c>
      <c r="AI200" s="122" t="s">
        <v>13946</v>
      </c>
      <c r="AJ200" s="122" t="s">
        <v>253</v>
      </c>
      <c r="AK200" s="122" t="s">
        <v>9471</v>
      </c>
      <c r="AL200" s="122" t="s">
        <v>253</v>
      </c>
      <c r="AM200" s="122" t="s">
        <v>253</v>
      </c>
      <c r="AN200" s="122" t="s">
        <v>253</v>
      </c>
      <c r="AO200" s="141" t="s">
        <v>253</v>
      </c>
      <c r="AP200" s="141" t="s">
        <v>253</v>
      </c>
      <c r="AQ200" s="141" t="s">
        <v>247</v>
      </c>
      <c r="AR200" s="141" t="s">
        <v>253</v>
      </c>
      <c r="AS200" s="141" t="s">
        <v>361</v>
      </c>
      <c r="AT200" s="141" t="s">
        <v>601</v>
      </c>
      <c r="AU200" s="141" t="s">
        <v>258</v>
      </c>
      <c r="AV200" s="122" t="s">
        <v>259</v>
      </c>
      <c r="AW200" s="122" t="s">
        <v>260</v>
      </c>
      <c r="AX200" s="141" t="s">
        <v>13947</v>
      </c>
      <c r="AY200" s="122" t="s">
        <v>442</v>
      </c>
      <c r="AZ200" s="122" t="s">
        <v>13948</v>
      </c>
      <c r="BA200" s="122" t="s">
        <v>262</v>
      </c>
      <c r="BB200" s="122" t="s">
        <v>13949</v>
      </c>
      <c r="BD200" s="122" t="s">
        <v>253</v>
      </c>
      <c r="BE200" s="122" t="s">
        <v>263</v>
      </c>
      <c r="BF200" s="122" t="s">
        <v>13652</v>
      </c>
      <c r="BH200" s="122" t="s">
        <v>13647</v>
      </c>
      <c r="BI200" s="142">
        <v>24</v>
      </c>
    </row>
    <row r="201" spans="1:65" x14ac:dyDescent="0.25">
      <c r="A201" s="122" t="s">
        <v>9904</v>
      </c>
      <c r="B201" s="122" t="s">
        <v>13950</v>
      </c>
      <c r="C201" s="122" t="s">
        <v>13951</v>
      </c>
      <c r="D201" s="122" t="s">
        <v>13952</v>
      </c>
      <c r="E201" s="123">
        <v>42233</v>
      </c>
      <c r="F201" s="122" t="s">
        <v>306</v>
      </c>
      <c r="G201" s="122" t="s">
        <v>235</v>
      </c>
      <c r="H201" s="122" t="s">
        <v>13953</v>
      </c>
      <c r="I201" s="122" t="s">
        <v>13954</v>
      </c>
      <c r="J201" s="122" t="s">
        <v>1018</v>
      </c>
      <c r="K201" s="122" t="s">
        <v>238</v>
      </c>
      <c r="L201" s="122" t="s">
        <v>530</v>
      </c>
      <c r="M201" s="122" t="s">
        <v>2830</v>
      </c>
      <c r="O201" s="141" t="s">
        <v>2526</v>
      </c>
      <c r="P201" s="141" t="s">
        <v>13955</v>
      </c>
      <c r="Q201" s="122" t="s">
        <v>243</v>
      </c>
      <c r="R201" s="142">
        <v>25</v>
      </c>
      <c r="S201" s="122" t="s">
        <v>13956</v>
      </c>
      <c r="U201" s="122" t="s">
        <v>13647</v>
      </c>
      <c r="W201" s="122" t="s">
        <v>246</v>
      </c>
      <c r="X201" s="122" t="s">
        <v>551</v>
      </c>
      <c r="Y201" s="141" t="s">
        <v>6513</v>
      </c>
      <c r="Z201" s="122" t="s">
        <v>13957</v>
      </c>
      <c r="AA201" s="141" t="s">
        <v>3230</v>
      </c>
      <c r="AB201" s="122" t="s">
        <v>13957</v>
      </c>
      <c r="AD201" s="122" t="s">
        <v>250</v>
      </c>
      <c r="AE201" s="122" t="s">
        <v>235</v>
      </c>
      <c r="AF201" s="122" t="s">
        <v>13958</v>
      </c>
      <c r="AG201" s="122" t="s">
        <v>1127</v>
      </c>
      <c r="AH201" s="122" t="s">
        <v>253</v>
      </c>
      <c r="AI201" s="122" t="s">
        <v>13959</v>
      </c>
      <c r="AJ201" s="122" t="s">
        <v>253</v>
      </c>
      <c r="AK201" s="122" t="s">
        <v>13960</v>
      </c>
      <c r="AL201" s="122" t="s">
        <v>253</v>
      </c>
      <c r="AM201" s="122" t="s">
        <v>253</v>
      </c>
      <c r="AN201" s="122" t="s">
        <v>253</v>
      </c>
      <c r="AO201" s="141" t="s">
        <v>247</v>
      </c>
      <c r="AP201" s="141" t="s">
        <v>247</v>
      </c>
      <c r="AQ201" s="141" t="s">
        <v>253</v>
      </c>
      <c r="AR201" s="141" t="s">
        <v>253</v>
      </c>
      <c r="AS201" s="141" t="s">
        <v>601</v>
      </c>
      <c r="AT201" s="141" t="s">
        <v>258</v>
      </c>
      <c r="AU201" s="141" t="s">
        <v>258</v>
      </c>
      <c r="AV201" s="122" t="s">
        <v>259</v>
      </c>
      <c r="AW201" s="122" t="s">
        <v>260</v>
      </c>
      <c r="AX201" s="141" t="s">
        <v>13961</v>
      </c>
      <c r="AY201" s="122" t="s">
        <v>603</v>
      </c>
      <c r="AZ201" s="122" t="s">
        <v>13962</v>
      </c>
      <c r="BA201" s="122" t="s">
        <v>262</v>
      </c>
      <c r="BB201" s="122" t="s">
        <v>262</v>
      </c>
      <c r="BD201" s="122" t="s">
        <v>253</v>
      </c>
      <c r="BE201" s="122" t="s">
        <v>263</v>
      </c>
      <c r="BF201" s="122" t="s">
        <v>13652</v>
      </c>
      <c r="BH201" s="122" t="s">
        <v>13647</v>
      </c>
      <c r="BI201" s="142">
        <v>25</v>
      </c>
    </row>
    <row r="202" spans="1:65" x14ac:dyDescent="0.25">
      <c r="A202" s="122" t="s">
        <v>6466</v>
      </c>
      <c r="B202" s="122" t="s">
        <v>13963</v>
      </c>
      <c r="C202" s="122" t="s">
        <v>13964</v>
      </c>
      <c r="D202" s="122" t="s">
        <v>13965</v>
      </c>
      <c r="E202" s="123">
        <v>42233</v>
      </c>
      <c r="F202" s="122" t="s">
        <v>13966</v>
      </c>
      <c r="G202" s="122" t="s">
        <v>235</v>
      </c>
      <c r="H202" s="122" t="s">
        <v>13967</v>
      </c>
      <c r="I202" s="122" t="s">
        <v>5120</v>
      </c>
      <c r="J202" s="122" t="s">
        <v>13968</v>
      </c>
      <c r="K202" s="122" t="s">
        <v>238</v>
      </c>
      <c r="L202" s="122" t="s">
        <v>530</v>
      </c>
      <c r="M202" s="122" t="s">
        <v>4780</v>
      </c>
      <c r="O202" s="141" t="s">
        <v>548</v>
      </c>
      <c r="P202" s="141" t="s">
        <v>13969</v>
      </c>
      <c r="Q202" s="122" t="s">
        <v>243</v>
      </c>
      <c r="R202" s="142">
        <v>26</v>
      </c>
      <c r="S202" s="122" t="s">
        <v>13970</v>
      </c>
      <c r="U202" s="122" t="s">
        <v>13647</v>
      </c>
      <c r="W202" s="122" t="s">
        <v>246</v>
      </c>
      <c r="X202" s="122" t="s">
        <v>569</v>
      </c>
      <c r="Y202" s="141" t="s">
        <v>326</v>
      </c>
      <c r="Z202" s="122" t="s">
        <v>8596</v>
      </c>
      <c r="AA202" s="141" t="s">
        <v>591</v>
      </c>
      <c r="AB202" s="122" t="s">
        <v>13971</v>
      </c>
      <c r="AC202" s="141" t="s">
        <v>784</v>
      </c>
      <c r="AD202" s="122" t="s">
        <v>13972</v>
      </c>
      <c r="AE202" s="122" t="s">
        <v>235</v>
      </c>
      <c r="AF202" s="122" t="s">
        <v>13973</v>
      </c>
      <c r="AG202" s="122" t="s">
        <v>537</v>
      </c>
      <c r="AH202" s="122" t="s">
        <v>253</v>
      </c>
      <c r="AI202" s="122" t="s">
        <v>1809</v>
      </c>
      <c r="AJ202" s="122" t="s">
        <v>2074</v>
      </c>
      <c r="AK202" s="122" t="s">
        <v>253</v>
      </c>
      <c r="AL202" s="122" t="s">
        <v>253</v>
      </c>
      <c r="AM202" s="122" t="s">
        <v>253</v>
      </c>
      <c r="AN202" s="122" t="s">
        <v>253</v>
      </c>
      <c r="AO202" s="141" t="s">
        <v>247</v>
      </c>
      <c r="AP202" s="141" t="s">
        <v>247</v>
      </c>
      <c r="AQ202" s="141" t="s">
        <v>247</v>
      </c>
      <c r="AR202" s="141" t="s">
        <v>247</v>
      </c>
      <c r="AS202" s="141" t="s">
        <v>601</v>
      </c>
      <c r="AT202" s="141" t="s">
        <v>601</v>
      </c>
      <c r="AU202" s="141" t="s">
        <v>257</v>
      </c>
      <c r="AV202" s="122" t="s">
        <v>259</v>
      </c>
      <c r="AW202" s="122" t="s">
        <v>260</v>
      </c>
      <c r="AY202" s="122" t="s">
        <v>253</v>
      </c>
      <c r="AZ202" s="122" t="s">
        <v>13974</v>
      </c>
      <c r="BA202" s="122" t="s">
        <v>262</v>
      </c>
      <c r="BB202" s="122" t="s">
        <v>262</v>
      </c>
      <c r="BD202" s="122" t="s">
        <v>253</v>
      </c>
      <c r="BE202" s="122" t="s">
        <v>263</v>
      </c>
      <c r="BF202" s="122" t="s">
        <v>13652</v>
      </c>
      <c r="BH202" s="122" t="s">
        <v>13647</v>
      </c>
      <c r="BI202" s="142">
        <v>26</v>
      </c>
      <c r="BJ202" s="123">
        <v>42235</v>
      </c>
      <c r="BK202" s="139" t="s">
        <v>264</v>
      </c>
      <c r="BL202" s="140">
        <v>83.72</v>
      </c>
      <c r="BM202" s="122">
        <v>34</v>
      </c>
    </row>
    <row r="203" spans="1:65" x14ac:dyDescent="0.25">
      <c r="A203" s="122" t="s">
        <v>6466</v>
      </c>
      <c r="B203" s="122" t="s">
        <v>13975</v>
      </c>
      <c r="C203" s="122" t="s">
        <v>13976</v>
      </c>
      <c r="D203" s="122" t="s">
        <v>13977</v>
      </c>
      <c r="E203" s="123">
        <v>42233</v>
      </c>
      <c r="F203" s="122" t="s">
        <v>1125</v>
      </c>
      <c r="G203" s="122" t="s">
        <v>235</v>
      </c>
      <c r="H203" s="122" t="s">
        <v>13978</v>
      </c>
      <c r="I203" s="122" t="s">
        <v>13979</v>
      </c>
      <c r="J203" s="122" t="s">
        <v>13980</v>
      </c>
      <c r="K203" s="122" t="s">
        <v>238</v>
      </c>
      <c r="L203" s="122" t="s">
        <v>530</v>
      </c>
      <c r="M203" s="122" t="s">
        <v>5009</v>
      </c>
      <c r="O203" s="141" t="s">
        <v>780</v>
      </c>
      <c r="P203" s="141" t="s">
        <v>13981</v>
      </c>
      <c r="Q203" s="122" t="s">
        <v>243</v>
      </c>
      <c r="R203" s="142">
        <v>27</v>
      </c>
      <c r="S203" s="122" t="s">
        <v>13982</v>
      </c>
      <c r="U203" s="122" t="s">
        <v>13647</v>
      </c>
      <c r="W203" s="122" t="s">
        <v>246</v>
      </c>
      <c r="X203" s="122" t="s">
        <v>1225</v>
      </c>
      <c r="Y203" s="141" t="s">
        <v>535</v>
      </c>
      <c r="Z203" s="122" t="s">
        <v>3966</v>
      </c>
      <c r="AB203" s="122" t="s">
        <v>250</v>
      </c>
      <c r="AD203" s="122" t="s">
        <v>250</v>
      </c>
      <c r="AE203" s="122" t="s">
        <v>235</v>
      </c>
      <c r="AF203" s="122" t="s">
        <v>13983</v>
      </c>
      <c r="AG203" s="122" t="s">
        <v>13984</v>
      </c>
      <c r="AH203" s="122" t="s">
        <v>253</v>
      </c>
      <c r="AI203" s="122" t="s">
        <v>6779</v>
      </c>
      <c r="AJ203" s="122" t="s">
        <v>13985</v>
      </c>
      <c r="AK203" s="122" t="s">
        <v>253</v>
      </c>
      <c r="AL203" s="122" t="s">
        <v>253</v>
      </c>
      <c r="AM203" s="122" t="s">
        <v>253</v>
      </c>
      <c r="AN203" s="122" t="s">
        <v>253</v>
      </c>
      <c r="AO203" s="141" t="s">
        <v>247</v>
      </c>
      <c r="AP203" s="141" t="s">
        <v>247</v>
      </c>
      <c r="AQ203" s="141" t="s">
        <v>247</v>
      </c>
      <c r="AR203" s="141" t="s">
        <v>253</v>
      </c>
      <c r="AS203" s="141" t="s">
        <v>601</v>
      </c>
      <c r="AT203" s="141" t="s">
        <v>601</v>
      </c>
      <c r="AU203" s="141" t="s">
        <v>258</v>
      </c>
      <c r="AV203" s="122" t="s">
        <v>259</v>
      </c>
      <c r="AW203" s="122" t="s">
        <v>260</v>
      </c>
      <c r="AY203" s="122" t="s">
        <v>253</v>
      </c>
      <c r="AZ203" s="122" t="s">
        <v>13986</v>
      </c>
      <c r="BA203" s="122" t="s">
        <v>262</v>
      </c>
      <c r="BB203" s="122" t="s">
        <v>13986</v>
      </c>
      <c r="BD203" s="122" t="s">
        <v>253</v>
      </c>
      <c r="BE203" s="122" t="s">
        <v>263</v>
      </c>
      <c r="BF203" s="122" t="s">
        <v>13652</v>
      </c>
      <c r="BH203" s="122" t="s">
        <v>13647</v>
      </c>
      <c r="BI203" s="142">
        <v>27</v>
      </c>
    </row>
    <row r="204" spans="1:65" x14ac:dyDescent="0.25">
      <c r="A204" s="122" t="s">
        <v>279</v>
      </c>
      <c r="B204" s="122" t="s">
        <v>13987</v>
      </c>
      <c r="C204" s="122" t="s">
        <v>10597</v>
      </c>
      <c r="D204" s="122" t="s">
        <v>10598</v>
      </c>
      <c r="E204" s="123">
        <v>42233</v>
      </c>
      <c r="F204" s="122" t="s">
        <v>1638</v>
      </c>
      <c r="G204" s="122" t="s">
        <v>235</v>
      </c>
      <c r="H204" s="122" t="s">
        <v>10599</v>
      </c>
      <c r="I204" s="122" t="s">
        <v>10600</v>
      </c>
      <c r="K204" s="122" t="s">
        <v>238</v>
      </c>
      <c r="L204" s="122" t="s">
        <v>530</v>
      </c>
      <c r="M204" s="122" t="s">
        <v>4780</v>
      </c>
      <c r="O204" s="141" t="s">
        <v>1921</v>
      </c>
      <c r="P204" s="141" t="s">
        <v>10601</v>
      </c>
      <c r="Q204" s="122" t="s">
        <v>243</v>
      </c>
      <c r="R204" s="142">
        <v>28</v>
      </c>
      <c r="S204" s="122" t="s">
        <v>10602</v>
      </c>
      <c r="U204" s="122" t="s">
        <v>13647</v>
      </c>
      <c r="W204" s="122" t="s">
        <v>246</v>
      </c>
      <c r="X204" s="122" t="s">
        <v>972</v>
      </c>
      <c r="Y204" s="141" t="s">
        <v>1162</v>
      </c>
      <c r="Z204" s="122" t="s">
        <v>8065</v>
      </c>
      <c r="AA204" s="141" t="s">
        <v>2717</v>
      </c>
      <c r="AB204" s="122" t="s">
        <v>10603</v>
      </c>
      <c r="AC204" s="141" t="s">
        <v>1896</v>
      </c>
      <c r="AD204" s="122" t="s">
        <v>10604</v>
      </c>
      <c r="AE204" s="122" t="s">
        <v>235</v>
      </c>
      <c r="AF204" s="122" t="s">
        <v>13988</v>
      </c>
      <c r="AG204" s="122" t="s">
        <v>537</v>
      </c>
      <c r="AH204" s="122" t="s">
        <v>253</v>
      </c>
      <c r="AI204" s="122" t="s">
        <v>10606</v>
      </c>
      <c r="AJ204" s="122" t="s">
        <v>10607</v>
      </c>
      <c r="AK204" s="122" t="s">
        <v>10608</v>
      </c>
      <c r="AL204" s="122" t="s">
        <v>253</v>
      </c>
      <c r="AM204" s="122" t="s">
        <v>253</v>
      </c>
      <c r="AN204" s="122" t="s">
        <v>253</v>
      </c>
      <c r="AO204" s="141" t="s">
        <v>247</v>
      </c>
      <c r="AP204" s="141" t="s">
        <v>247</v>
      </c>
      <c r="AQ204" s="141" t="s">
        <v>247</v>
      </c>
      <c r="AR204" s="141" t="s">
        <v>247</v>
      </c>
      <c r="AS204" s="141" t="s">
        <v>601</v>
      </c>
      <c r="AT204" s="141" t="s">
        <v>601</v>
      </c>
      <c r="AU204" s="141" t="s">
        <v>601</v>
      </c>
      <c r="AV204" s="122" t="s">
        <v>259</v>
      </c>
      <c r="AW204" s="122" t="s">
        <v>556</v>
      </c>
      <c r="AX204" s="141" t="s">
        <v>1130</v>
      </c>
      <c r="AY204" s="122" t="s">
        <v>247</v>
      </c>
      <c r="AZ204" s="122" t="s">
        <v>10609</v>
      </c>
      <c r="BA204" s="122" t="s">
        <v>262</v>
      </c>
      <c r="BB204" s="122" t="s">
        <v>3956</v>
      </c>
      <c r="BC204" s="141" t="s">
        <v>312</v>
      </c>
      <c r="BD204" s="122" t="s">
        <v>253</v>
      </c>
      <c r="BE204" s="122" t="s">
        <v>263</v>
      </c>
      <c r="BF204" s="122" t="s">
        <v>13652</v>
      </c>
      <c r="BH204" s="122" t="s">
        <v>13647</v>
      </c>
      <c r="BI204" s="142">
        <v>28</v>
      </c>
      <c r="BK204" s="139" t="s">
        <v>558</v>
      </c>
    </row>
    <row r="205" spans="1:65" x14ac:dyDescent="0.25">
      <c r="A205" s="122" t="s">
        <v>326</v>
      </c>
      <c r="B205" s="122" t="s">
        <v>13989</v>
      </c>
      <c r="C205" s="122" t="s">
        <v>10662</v>
      </c>
      <c r="D205" s="122" t="s">
        <v>10663</v>
      </c>
      <c r="E205" s="123">
        <v>42233</v>
      </c>
      <c r="F205" s="122" t="s">
        <v>3664</v>
      </c>
      <c r="G205" s="122" t="s">
        <v>235</v>
      </c>
      <c r="H205" s="122" t="s">
        <v>10664</v>
      </c>
      <c r="I205" s="122" t="s">
        <v>10665</v>
      </c>
      <c r="K205" s="122" t="s">
        <v>238</v>
      </c>
      <c r="L205" s="122" t="s">
        <v>530</v>
      </c>
      <c r="M205" s="122" t="s">
        <v>531</v>
      </c>
      <c r="N205" s="122" t="s">
        <v>10666</v>
      </c>
      <c r="O205" s="141" t="s">
        <v>373</v>
      </c>
      <c r="P205" s="141" t="s">
        <v>10667</v>
      </c>
      <c r="Q205" s="122" t="s">
        <v>243</v>
      </c>
      <c r="R205" s="142">
        <v>29</v>
      </c>
      <c r="S205" s="122" t="s">
        <v>10668</v>
      </c>
      <c r="U205" s="122" t="s">
        <v>13647</v>
      </c>
      <c r="W205" s="122" t="s">
        <v>246</v>
      </c>
      <c r="X205" s="122" t="s">
        <v>4409</v>
      </c>
      <c r="Y205" s="141" t="s">
        <v>705</v>
      </c>
      <c r="Z205" s="122" t="s">
        <v>10669</v>
      </c>
      <c r="AA205" s="141" t="s">
        <v>833</v>
      </c>
      <c r="AB205" s="122" t="s">
        <v>355</v>
      </c>
      <c r="AC205" s="141" t="s">
        <v>1325</v>
      </c>
      <c r="AD205" s="122" t="s">
        <v>533</v>
      </c>
      <c r="AE205" s="122" t="s">
        <v>235</v>
      </c>
      <c r="AF205" s="122" t="s">
        <v>10670</v>
      </c>
      <c r="AG205" s="122" t="s">
        <v>537</v>
      </c>
      <c r="AH205" s="122" t="s">
        <v>253</v>
      </c>
      <c r="AI205" s="122" t="s">
        <v>10671</v>
      </c>
      <c r="AJ205" s="122" t="s">
        <v>10672</v>
      </c>
      <c r="AK205" s="122" t="s">
        <v>253</v>
      </c>
      <c r="AL205" s="122" t="s">
        <v>253</v>
      </c>
      <c r="AM205" s="122" t="s">
        <v>253</v>
      </c>
      <c r="AN205" s="122" t="s">
        <v>253</v>
      </c>
      <c r="AO205" s="141" t="s">
        <v>247</v>
      </c>
      <c r="AP205" s="141" t="s">
        <v>247</v>
      </c>
      <c r="AQ205" s="141" t="s">
        <v>247</v>
      </c>
      <c r="AR205" s="141" t="s">
        <v>247</v>
      </c>
      <c r="AS205" s="141" t="s">
        <v>601</v>
      </c>
      <c r="AT205" s="141" t="s">
        <v>601</v>
      </c>
      <c r="AU205" s="141" t="s">
        <v>601</v>
      </c>
      <c r="AV205" s="122" t="s">
        <v>259</v>
      </c>
      <c r="AW205" s="122" t="s">
        <v>556</v>
      </c>
      <c r="AY205" s="122" t="s">
        <v>253</v>
      </c>
      <c r="AZ205" s="122" t="s">
        <v>10673</v>
      </c>
      <c r="BA205" s="122" t="s">
        <v>262</v>
      </c>
      <c r="BB205" s="122" t="s">
        <v>262</v>
      </c>
      <c r="BD205" s="122" t="s">
        <v>253</v>
      </c>
      <c r="BE205" s="122" t="s">
        <v>263</v>
      </c>
      <c r="BF205" s="122" t="s">
        <v>13652</v>
      </c>
      <c r="BH205" s="122" t="s">
        <v>13647</v>
      </c>
      <c r="BI205" s="142">
        <v>29</v>
      </c>
      <c r="BK205" s="139" t="s">
        <v>558</v>
      </c>
    </row>
    <row r="206" spans="1:65" x14ac:dyDescent="0.25">
      <c r="A206" s="122" t="s">
        <v>326</v>
      </c>
      <c r="B206" s="122" t="s">
        <v>13990</v>
      </c>
      <c r="C206" s="122" t="s">
        <v>13991</v>
      </c>
      <c r="D206" s="122" t="s">
        <v>13992</v>
      </c>
      <c r="E206" s="123">
        <v>42233</v>
      </c>
      <c r="F206" s="122" t="s">
        <v>11995</v>
      </c>
      <c r="G206" s="122" t="s">
        <v>235</v>
      </c>
      <c r="H206" s="122" t="s">
        <v>13993</v>
      </c>
      <c r="I206" s="122" t="s">
        <v>13994</v>
      </c>
      <c r="K206" s="122" t="s">
        <v>238</v>
      </c>
      <c r="L206" s="122" t="s">
        <v>530</v>
      </c>
      <c r="M206" s="122" t="s">
        <v>5009</v>
      </c>
      <c r="O206" s="141" t="s">
        <v>1240</v>
      </c>
      <c r="P206" s="141" t="s">
        <v>13995</v>
      </c>
      <c r="Q206" s="122" t="s">
        <v>243</v>
      </c>
      <c r="R206" s="142">
        <v>30</v>
      </c>
      <c r="S206" s="122" t="s">
        <v>13996</v>
      </c>
      <c r="U206" s="122" t="s">
        <v>13647</v>
      </c>
      <c r="W206" s="122" t="s">
        <v>246</v>
      </c>
      <c r="X206" s="122" t="s">
        <v>1324</v>
      </c>
      <c r="Y206" s="141" t="s">
        <v>2259</v>
      </c>
      <c r="Z206" s="122" t="s">
        <v>13997</v>
      </c>
      <c r="AA206" s="141" t="s">
        <v>9522</v>
      </c>
      <c r="AB206" s="122" t="s">
        <v>13998</v>
      </c>
      <c r="AC206" s="141" t="s">
        <v>1269</v>
      </c>
      <c r="AD206" s="122" t="s">
        <v>13999</v>
      </c>
      <c r="AE206" s="122" t="s">
        <v>235</v>
      </c>
      <c r="AF206" s="122" t="s">
        <v>14000</v>
      </c>
      <c r="AG206" s="122" t="s">
        <v>537</v>
      </c>
      <c r="AH206" s="122" t="s">
        <v>253</v>
      </c>
      <c r="AI206" s="122" t="s">
        <v>14001</v>
      </c>
      <c r="AJ206" s="122" t="s">
        <v>14002</v>
      </c>
      <c r="AK206" s="122" t="s">
        <v>14003</v>
      </c>
      <c r="AL206" s="122" t="s">
        <v>14004</v>
      </c>
      <c r="AM206" s="122" t="s">
        <v>253</v>
      </c>
      <c r="AN206" s="122" t="s">
        <v>253</v>
      </c>
      <c r="AO206" s="141" t="s">
        <v>253</v>
      </c>
      <c r="AP206" s="141" t="s">
        <v>253</v>
      </c>
      <c r="AQ206" s="141" t="s">
        <v>253</v>
      </c>
      <c r="AR206" s="141" t="s">
        <v>247</v>
      </c>
      <c r="AS206" s="141" t="s">
        <v>361</v>
      </c>
      <c r="AT206" s="141" t="s">
        <v>258</v>
      </c>
      <c r="AU206" s="141" t="s">
        <v>601</v>
      </c>
      <c r="AV206" s="122" t="s">
        <v>259</v>
      </c>
      <c r="AW206" s="122" t="s">
        <v>556</v>
      </c>
      <c r="AY206" s="122" t="s">
        <v>253</v>
      </c>
      <c r="AZ206" s="122" t="s">
        <v>14005</v>
      </c>
      <c r="BA206" s="122" t="s">
        <v>262</v>
      </c>
      <c r="BB206" s="122" t="s">
        <v>262</v>
      </c>
      <c r="BD206" s="122" t="s">
        <v>253</v>
      </c>
      <c r="BE206" s="122" t="s">
        <v>263</v>
      </c>
      <c r="BF206" s="122" t="s">
        <v>13652</v>
      </c>
      <c r="BH206" s="122" t="s">
        <v>13647</v>
      </c>
      <c r="BI206" s="142">
        <v>30</v>
      </c>
    </row>
    <row r="207" spans="1:65" x14ac:dyDescent="0.25">
      <c r="A207" s="122" t="s">
        <v>9904</v>
      </c>
      <c r="B207" s="122" t="s">
        <v>14006</v>
      </c>
      <c r="C207" s="122" t="s">
        <v>13736</v>
      </c>
      <c r="D207" s="122" t="s">
        <v>13737</v>
      </c>
      <c r="E207" s="123">
        <v>42233</v>
      </c>
      <c r="F207" s="122" t="s">
        <v>8100</v>
      </c>
      <c r="G207" s="122" t="s">
        <v>235</v>
      </c>
      <c r="H207" s="122" t="s">
        <v>13738</v>
      </c>
      <c r="I207" s="122" t="s">
        <v>13739</v>
      </c>
      <c r="K207" s="122" t="s">
        <v>238</v>
      </c>
      <c r="L207" s="122" t="s">
        <v>530</v>
      </c>
      <c r="M207" s="122" t="s">
        <v>4994</v>
      </c>
      <c r="O207" s="141" t="s">
        <v>1240</v>
      </c>
      <c r="P207" s="141" t="s">
        <v>13740</v>
      </c>
      <c r="Q207" s="122" t="s">
        <v>243</v>
      </c>
      <c r="R207" s="142">
        <v>31</v>
      </c>
      <c r="S207" s="122" t="s">
        <v>13741</v>
      </c>
      <c r="U207" s="122" t="s">
        <v>13647</v>
      </c>
      <c r="W207" s="122" t="s">
        <v>246</v>
      </c>
      <c r="X207" s="122" t="s">
        <v>3147</v>
      </c>
      <c r="Y207" s="141" t="s">
        <v>367</v>
      </c>
      <c r="Z207" s="122" t="s">
        <v>4300</v>
      </c>
      <c r="AA207" s="141" t="s">
        <v>1981</v>
      </c>
      <c r="AB207" s="122" t="s">
        <v>13742</v>
      </c>
      <c r="AC207" s="141" t="s">
        <v>765</v>
      </c>
      <c r="AD207" s="122" t="s">
        <v>13743</v>
      </c>
      <c r="AE207" s="122" t="s">
        <v>235</v>
      </c>
      <c r="AF207" s="122" t="s">
        <v>13744</v>
      </c>
      <c r="AG207" s="122" t="s">
        <v>537</v>
      </c>
      <c r="AH207" s="122" t="s">
        <v>253</v>
      </c>
      <c r="AI207" s="122" t="s">
        <v>13745</v>
      </c>
      <c r="AJ207" s="122" t="s">
        <v>13746</v>
      </c>
      <c r="AK207" s="122" t="s">
        <v>13747</v>
      </c>
      <c r="AL207" s="122" t="s">
        <v>253</v>
      </c>
      <c r="AM207" s="122" t="s">
        <v>253</v>
      </c>
      <c r="AN207" s="122" t="s">
        <v>253</v>
      </c>
      <c r="AO207" s="141" t="s">
        <v>247</v>
      </c>
      <c r="AP207" s="141" t="s">
        <v>247</v>
      </c>
      <c r="AQ207" s="141" t="s">
        <v>247</v>
      </c>
      <c r="AR207" s="141" t="s">
        <v>247</v>
      </c>
      <c r="AS207" s="141" t="s">
        <v>601</v>
      </c>
      <c r="AT207" s="141" t="s">
        <v>601</v>
      </c>
      <c r="AU207" s="141" t="s">
        <v>601</v>
      </c>
      <c r="AV207" s="122" t="s">
        <v>259</v>
      </c>
      <c r="AW207" s="122" t="s">
        <v>556</v>
      </c>
      <c r="AX207" s="141" t="s">
        <v>13748</v>
      </c>
      <c r="AY207" s="122" t="s">
        <v>260</v>
      </c>
      <c r="AZ207" s="122" t="s">
        <v>13749</v>
      </c>
      <c r="BA207" s="122" t="s">
        <v>262</v>
      </c>
      <c r="BB207" s="122" t="s">
        <v>13750</v>
      </c>
      <c r="BD207" s="122" t="s">
        <v>253</v>
      </c>
      <c r="BE207" s="122" t="s">
        <v>263</v>
      </c>
      <c r="BF207" s="122" t="s">
        <v>13652</v>
      </c>
      <c r="BH207" s="122" t="s">
        <v>13647</v>
      </c>
      <c r="BI207" s="142">
        <v>31</v>
      </c>
      <c r="BK207" s="139" t="s">
        <v>558</v>
      </c>
    </row>
    <row r="208" spans="1:65" x14ac:dyDescent="0.25">
      <c r="A208" s="122" t="s">
        <v>6466</v>
      </c>
      <c r="B208" s="122" t="s">
        <v>14007</v>
      </c>
      <c r="C208" s="122" t="s">
        <v>13668</v>
      </c>
      <c r="D208" s="122" t="s">
        <v>13669</v>
      </c>
      <c r="E208" s="123">
        <v>42233</v>
      </c>
      <c r="F208" s="122" t="s">
        <v>672</v>
      </c>
      <c r="G208" s="122" t="s">
        <v>235</v>
      </c>
      <c r="H208" s="122" t="s">
        <v>13670</v>
      </c>
      <c r="I208" s="122" t="s">
        <v>4894</v>
      </c>
      <c r="J208" s="122" t="s">
        <v>13671</v>
      </c>
      <c r="K208" s="122" t="s">
        <v>238</v>
      </c>
      <c r="L208" s="122" t="s">
        <v>530</v>
      </c>
      <c r="M208" s="122" t="s">
        <v>4763</v>
      </c>
      <c r="N208" s="122" t="s">
        <v>10411</v>
      </c>
      <c r="O208" s="141" t="s">
        <v>566</v>
      </c>
      <c r="P208" s="141" t="s">
        <v>13672</v>
      </c>
      <c r="Q208" s="122" t="s">
        <v>243</v>
      </c>
      <c r="R208" s="142">
        <v>32</v>
      </c>
      <c r="S208" s="122" t="s">
        <v>13673</v>
      </c>
      <c r="U208" s="122" t="s">
        <v>13647</v>
      </c>
      <c r="W208" s="122" t="s">
        <v>246</v>
      </c>
      <c r="X208" s="122" t="s">
        <v>278</v>
      </c>
      <c r="Y208" s="141" t="s">
        <v>6059</v>
      </c>
      <c r="Z208" s="122" t="s">
        <v>13674</v>
      </c>
      <c r="AA208" s="141" t="s">
        <v>956</v>
      </c>
      <c r="AB208" s="122" t="s">
        <v>13675</v>
      </c>
      <c r="AD208" s="122" t="s">
        <v>250</v>
      </c>
      <c r="AE208" s="122" t="s">
        <v>235</v>
      </c>
      <c r="AF208" s="122" t="s">
        <v>13676</v>
      </c>
      <c r="AG208" s="122" t="s">
        <v>13677</v>
      </c>
      <c r="AH208" s="122" t="s">
        <v>253</v>
      </c>
      <c r="AI208" s="122" t="s">
        <v>13678</v>
      </c>
      <c r="AJ208" s="122" t="s">
        <v>253</v>
      </c>
      <c r="AK208" s="122" t="s">
        <v>253</v>
      </c>
      <c r="AL208" s="122" t="s">
        <v>13679</v>
      </c>
      <c r="AM208" s="122" t="s">
        <v>253</v>
      </c>
      <c r="AN208" s="122" t="s">
        <v>253</v>
      </c>
      <c r="AO208" s="141" t="s">
        <v>247</v>
      </c>
      <c r="AP208" s="141" t="s">
        <v>247</v>
      </c>
      <c r="AQ208" s="141" t="s">
        <v>247</v>
      </c>
      <c r="AR208" s="141" t="s">
        <v>247</v>
      </c>
      <c r="AS208" s="141" t="s">
        <v>601</v>
      </c>
      <c r="AT208" s="141" t="s">
        <v>601</v>
      </c>
      <c r="AU208" s="141" t="s">
        <v>601</v>
      </c>
      <c r="AV208" s="122" t="s">
        <v>259</v>
      </c>
      <c r="AW208" s="122" t="s">
        <v>556</v>
      </c>
      <c r="AX208" s="141" t="s">
        <v>2986</v>
      </c>
      <c r="AY208" s="122" t="s">
        <v>603</v>
      </c>
      <c r="AZ208" s="122" t="s">
        <v>13680</v>
      </c>
      <c r="BA208" s="122" t="s">
        <v>262</v>
      </c>
      <c r="BB208" s="122" t="s">
        <v>13681</v>
      </c>
      <c r="BD208" s="122" t="s">
        <v>253</v>
      </c>
      <c r="BE208" s="122" t="s">
        <v>263</v>
      </c>
      <c r="BF208" s="122" t="s">
        <v>13652</v>
      </c>
      <c r="BH208" s="122" t="s">
        <v>13647</v>
      </c>
      <c r="BI208" s="142">
        <v>32</v>
      </c>
      <c r="BK208" s="139" t="s">
        <v>558</v>
      </c>
    </row>
    <row r="209" spans="1:65" x14ac:dyDescent="0.25">
      <c r="A209" s="122" t="s">
        <v>326</v>
      </c>
      <c r="B209" s="122" t="s">
        <v>14008</v>
      </c>
      <c r="C209" s="122" t="s">
        <v>14009</v>
      </c>
      <c r="D209" s="122" t="s">
        <v>14010</v>
      </c>
      <c r="E209" s="123">
        <v>42233</v>
      </c>
      <c r="F209" s="122" t="s">
        <v>14011</v>
      </c>
      <c r="G209" s="122" t="s">
        <v>235</v>
      </c>
      <c r="H209" s="122" t="s">
        <v>14012</v>
      </c>
      <c r="I209" s="122" t="s">
        <v>14013</v>
      </c>
      <c r="K209" s="122" t="s">
        <v>3385</v>
      </c>
      <c r="L209" s="122" t="s">
        <v>3554</v>
      </c>
      <c r="M209" s="122" t="s">
        <v>3555</v>
      </c>
      <c r="O209" s="141" t="s">
        <v>299</v>
      </c>
      <c r="P209" s="141" t="s">
        <v>14014</v>
      </c>
      <c r="Q209" s="122" t="s">
        <v>3389</v>
      </c>
      <c r="R209" s="142">
        <v>22</v>
      </c>
      <c r="S209" s="122" t="s">
        <v>14015</v>
      </c>
      <c r="U209" s="122" t="s">
        <v>3371</v>
      </c>
      <c r="W209" s="122" t="s">
        <v>246</v>
      </c>
      <c r="X209" s="122" t="s">
        <v>2624</v>
      </c>
      <c r="Y209" s="141" t="s">
        <v>356</v>
      </c>
      <c r="Z209" s="122" t="s">
        <v>14016</v>
      </c>
      <c r="AA209" s="141" t="s">
        <v>1192</v>
      </c>
      <c r="AB209" s="122" t="s">
        <v>14017</v>
      </c>
      <c r="AC209" s="141" t="s">
        <v>7268</v>
      </c>
      <c r="AD209" s="122" t="s">
        <v>14018</v>
      </c>
      <c r="AE209" s="122" t="s">
        <v>235</v>
      </c>
      <c r="AF209" s="122" t="s">
        <v>1835</v>
      </c>
      <c r="AG209" s="122" t="s">
        <v>253</v>
      </c>
      <c r="AH209" s="122" t="s">
        <v>253</v>
      </c>
      <c r="AI209" s="122" t="s">
        <v>14019</v>
      </c>
      <c r="AJ209" s="122" t="s">
        <v>14020</v>
      </c>
      <c r="AK209" s="122" t="s">
        <v>14021</v>
      </c>
      <c r="AL209" s="122" t="s">
        <v>253</v>
      </c>
      <c r="AM209" s="122" t="s">
        <v>253</v>
      </c>
      <c r="AN209" s="122" t="s">
        <v>253</v>
      </c>
      <c r="AO209" s="141" t="s">
        <v>247</v>
      </c>
      <c r="AP209" s="141" t="s">
        <v>253</v>
      </c>
      <c r="AQ209" s="141" t="s">
        <v>253</v>
      </c>
      <c r="AR209" s="141" t="s">
        <v>253</v>
      </c>
      <c r="AS209" s="141" t="s">
        <v>257</v>
      </c>
      <c r="AT209" s="141" t="s">
        <v>258</v>
      </c>
      <c r="AU209" s="141" t="s">
        <v>258</v>
      </c>
      <c r="AV209" s="122" t="s">
        <v>259</v>
      </c>
      <c r="AW209" s="122" t="s">
        <v>260</v>
      </c>
      <c r="AY209" s="122" t="s">
        <v>253</v>
      </c>
      <c r="AZ209" s="122" t="s">
        <v>14022</v>
      </c>
      <c r="BA209" s="122" t="s">
        <v>262</v>
      </c>
      <c r="BB209" s="122" t="s">
        <v>262</v>
      </c>
      <c r="BC209" s="141" t="s">
        <v>312</v>
      </c>
      <c r="BD209" s="122" t="s">
        <v>253</v>
      </c>
      <c r="BE209" s="122" t="s">
        <v>263</v>
      </c>
      <c r="BF209" s="122" t="s">
        <v>11</v>
      </c>
      <c r="BH209" s="122" t="s">
        <v>3371</v>
      </c>
      <c r="BI209" s="142">
        <v>22</v>
      </c>
      <c r="BJ209" s="123">
        <v>42234</v>
      </c>
      <c r="BK209" s="139" t="s">
        <v>264</v>
      </c>
      <c r="BL209" s="140">
        <v>178.58</v>
      </c>
      <c r="BM209" s="122">
        <v>34</v>
      </c>
    </row>
    <row r="210" spans="1:65" x14ac:dyDescent="0.25">
      <c r="A210" s="122" t="s">
        <v>326</v>
      </c>
      <c r="B210" s="122" t="s">
        <v>14023</v>
      </c>
      <c r="C210" s="122" t="s">
        <v>14024</v>
      </c>
      <c r="D210" s="122" t="s">
        <v>14025</v>
      </c>
      <c r="E210" s="123">
        <v>42233</v>
      </c>
      <c r="F210" s="122" t="s">
        <v>14026</v>
      </c>
      <c r="G210" s="122" t="s">
        <v>235</v>
      </c>
      <c r="H210" s="122" t="s">
        <v>14027</v>
      </c>
      <c r="I210" s="122" t="s">
        <v>14028</v>
      </c>
      <c r="K210" s="122" t="s">
        <v>5800</v>
      </c>
      <c r="L210" s="122" t="s">
        <v>5801</v>
      </c>
      <c r="M210" s="122" t="s">
        <v>6146</v>
      </c>
      <c r="O210" s="141" t="s">
        <v>613</v>
      </c>
      <c r="P210" s="141" t="s">
        <v>14029</v>
      </c>
      <c r="Q210" s="122" t="s">
        <v>5805</v>
      </c>
      <c r="R210" s="142">
        <v>35</v>
      </c>
      <c r="S210" s="122" t="s">
        <v>14030</v>
      </c>
      <c r="U210" s="122" t="s">
        <v>3371</v>
      </c>
      <c r="W210" s="122" t="s">
        <v>246</v>
      </c>
      <c r="X210" s="122" t="s">
        <v>3147</v>
      </c>
      <c r="Y210" s="141" t="s">
        <v>378</v>
      </c>
      <c r="Z210" s="122" t="s">
        <v>14031</v>
      </c>
      <c r="AA210" s="141" t="s">
        <v>595</v>
      </c>
      <c r="AB210" s="122" t="s">
        <v>14032</v>
      </c>
      <c r="AC210" s="141" t="s">
        <v>1289</v>
      </c>
      <c r="AD210" s="122" t="s">
        <v>14032</v>
      </c>
      <c r="AE210" s="122" t="s">
        <v>235</v>
      </c>
      <c r="AF210" s="122" t="s">
        <v>14033</v>
      </c>
      <c r="AG210" s="122" t="s">
        <v>3395</v>
      </c>
      <c r="AH210" s="122" t="s">
        <v>253</v>
      </c>
      <c r="AI210" s="122" t="s">
        <v>14034</v>
      </c>
      <c r="AJ210" s="122" t="s">
        <v>440</v>
      </c>
      <c r="AK210" s="122" t="s">
        <v>253</v>
      </c>
      <c r="AL210" s="122" t="s">
        <v>253</v>
      </c>
      <c r="AM210" s="122" t="s">
        <v>253</v>
      </c>
      <c r="AN210" s="122" t="s">
        <v>253</v>
      </c>
      <c r="AO210" s="141" t="s">
        <v>247</v>
      </c>
      <c r="AP210" s="141" t="s">
        <v>247</v>
      </c>
      <c r="AQ210" s="141" t="s">
        <v>247</v>
      </c>
      <c r="AR210" s="141" t="s">
        <v>253</v>
      </c>
      <c r="AS210" s="141" t="s">
        <v>257</v>
      </c>
      <c r="AT210" s="141" t="s">
        <v>257</v>
      </c>
      <c r="AU210" s="141" t="s">
        <v>258</v>
      </c>
      <c r="AV210" s="122" t="s">
        <v>259</v>
      </c>
      <c r="AW210" s="122" t="s">
        <v>260</v>
      </c>
      <c r="AY210" s="122" t="s">
        <v>253</v>
      </c>
      <c r="AZ210" s="122" t="s">
        <v>14035</v>
      </c>
      <c r="BA210" s="122" t="s">
        <v>14036</v>
      </c>
      <c r="BB210" s="122" t="s">
        <v>262</v>
      </c>
      <c r="BC210" s="141" t="s">
        <v>312</v>
      </c>
      <c r="BD210" s="122" t="s">
        <v>253</v>
      </c>
      <c r="BE210" s="122" t="s">
        <v>263</v>
      </c>
      <c r="BF210" s="122" t="s">
        <v>11</v>
      </c>
      <c r="BH210" s="122" t="s">
        <v>3371</v>
      </c>
      <c r="BI210" s="142">
        <v>35</v>
      </c>
      <c r="BJ210" s="123">
        <v>42234</v>
      </c>
      <c r="BK210" s="139" t="s">
        <v>264</v>
      </c>
      <c r="BL210" s="140">
        <v>364.66</v>
      </c>
      <c r="BM210" s="122">
        <v>34</v>
      </c>
    </row>
    <row r="211" spans="1:65" x14ac:dyDescent="0.25">
      <c r="A211" s="122" t="s">
        <v>11841</v>
      </c>
      <c r="B211" s="122" t="s">
        <v>14037</v>
      </c>
      <c r="C211" s="122" t="s">
        <v>14038</v>
      </c>
      <c r="D211" s="122" t="s">
        <v>14039</v>
      </c>
      <c r="E211" s="123">
        <v>42233</v>
      </c>
      <c r="F211" s="122" t="s">
        <v>14040</v>
      </c>
      <c r="G211" s="122" t="s">
        <v>235</v>
      </c>
      <c r="H211" s="122" t="s">
        <v>14041</v>
      </c>
      <c r="I211" s="122" t="s">
        <v>14042</v>
      </c>
      <c r="K211" s="122" t="s">
        <v>3364</v>
      </c>
      <c r="L211" s="122" t="s">
        <v>3365</v>
      </c>
      <c r="M211" s="122" t="s">
        <v>3366</v>
      </c>
      <c r="O211" s="141" t="s">
        <v>390</v>
      </c>
      <c r="P211" s="141" t="s">
        <v>14043</v>
      </c>
      <c r="Q211" s="122" t="s">
        <v>3369</v>
      </c>
      <c r="R211" s="142">
        <v>41</v>
      </c>
      <c r="S211" s="122" t="s">
        <v>14044</v>
      </c>
      <c r="U211" s="122" t="s">
        <v>3371</v>
      </c>
      <c r="W211" s="122" t="s">
        <v>246</v>
      </c>
      <c r="X211" s="122" t="s">
        <v>278</v>
      </c>
      <c r="Y211" s="141" t="s">
        <v>11865</v>
      </c>
      <c r="Z211" s="122" t="s">
        <v>14045</v>
      </c>
      <c r="AA211" s="141" t="s">
        <v>3039</v>
      </c>
      <c r="AB211" s="122" t="s">
        <v>14046</v>
      </c>
      <c r="AC211" s="141" t="s">
        <v>595</v>
      </c>
      <c r="AD211" s="122" t="s">
        <v>14047</v>
      </c>
      <c r="AE211" s="122" t="s">
        <v>235</v>
      </c>
      <c r="AF211" s="122" t="s">
        <v>14048</v>
      </c>
      <c r="AG211" s="122" t="s">
        <v>14048</v>
      </c>
      <c r="AH211" s="122" t="s">
        <v>253</v>
      </c>
      <c r="AI211" s="122" t="s">
        <v>253</v>
      </c>
      <c r="AJ211" s="122" t="s">
        <v>253</v>
      </c>
      <c r="AK211" s="122" t="s">
        <v>253</v>
      </c>
      <c r="AL211" s="122" t="s">
        <v>253</v>
      </c>
      <c r="AM211" s="122" t="s">
        <v>253</v>
      </c>
      <c r="AN211" s="122" t="s">
        <v>253</v>
      </c>
      <c r="AO211" s="141" t="s">
        <v>247</v>
      </c>
      <c r="AP211" s="141" t="s">
        <v>253</v>
      </c>
      <c r="AQ211" s="141" t="s">
        <v>247</v>
      </c>
      <c r="AR211" s="141" t="s">
        <v>247</v>
      </c>
      <c r="AS211" s="141" t="s">
        <v>257</v>
      </c>
      <c r="AT211" s="141" t="s">
        <v>257</v>
      </c>
      <c r="AU211" s="141" t="s">
        <v>257</v>
      </c>
      <c r="AV211" s="122" t="s">
        <v>259</v>
      </c>
      <c r="AW211" s="122" t="s">
        <v>260</v>
      </c>
      <c r="AY211" s="122" t="s">
        <v>253</v>
      </c>
      <c r="AZ211" s="122" t="s">
        <v>14049</v>
      </c>
      <c r="BA211" s="122" t="s">
        <v>262</v>
      </c>
      <c r="BB211" s="122" t="s">
        <v>262</v>
      </c>
      <c r="BD211" s="122" t="s">
        <v>253</v>
      </c>
      <c r="BE211" s="122" t="s">
        <v>263</v>
      </c>
      <c r="BF211" s="122" t="s">
        <v>11</v>
      </c>
      <c r="BH211" s="122" t="s">
        <v>3371</v>
      </c>
      <c r="BI211" s="142">
        <v>41</v>
      </c>
      <c r="BJ211" s="123">
        <v>42234</v>
      </c>
      <c r="BK211" s="139" t="s">
        <v>264</v>
      </c>
      <c r="BL211" s="140">
        <v>228.46</v>
      </c>
      <c r="BM211" s="122">
        <v>34</v>
      </c>
    </row>
    <row r="212" spans="1:65" x14ac:dyDescent="0.25">
      <c r="A212" s="122" t="s">
        <v>11841</v>
      </c>
      <c r="B212" s="122" t="s">
        <v>14050</v>
      </c>
      <c r="C212" s="122" t="s">
        <v>14051</v>
      </c>
      <c r="D212" s="122" t="s">
        <v>14052</v>
      </c>
      <c r="E212" s="123">
        <v>42233</v>
      </c>
      <c r="F212" s="122" t="s">
        <v>1787</v>
      </c>
      <c r="G212" s="122" t="s">
        <v>235</v>
      </c>
      <c r="H212" s="122" t="s">
        <v>14053</v>
      </c>
      <c r="I212" s="122" t="s">
        <v>14054</v>
      </c>
      <c r="K212" s="122" t="s">
        <v>3533</v>
      </c>
      <c r="L212" s="122" t="s">
        <v>3534</v>
      </c>
      <c r="M212" s="122" t="s">
        <v>3535</v>
      </c>
      <c r="Q212" s="122" t="s">
        <v>3369</v>
      </c>
      <c r="R212" s="142">
        <v>51</v>
      </c>
      <c r="S212" s="122" t="s">
        <v>14055</v>
      </c>
      <c r="U212" s="122" t="s">
        <v>3371</v>
      </c>
      <c r="W212" s="122" t="s">
        <v>246</v>
      </c>
      <c r="X212" s="122" t="s">
        <v>1324</v>
      </c>
      <c r="Y212" s="141" t="s">
        <v>11851</v>
      </c>
      <c r="Z212" s="122" t="s">
        <v>2967</v>
      </c>
      <c r="AA212" s="141" t="s">
        <v>328</v>
      </c>
      <c r="AB212" s="122" t="s">
        <v>395</v>
      </c>
      <c r="AC212" s="141" t="s">
        <v>3247</v>
      </c>
      <c r="AD212" s="122" t="s">
        <v>355</v>
      </c>
      <c r="AE212" s="122" t="s">
        <v>235</v>
      </c>
      <c r="AF212" s="122" t="s">
        <v>14056</v>
      </c>
      <c r="AG212" s="122" t="s">
        <v>14056</v>
      </c>
      <c r="AH212" s="122" t="s">
        <v>253</v>
      </c>
      <c r="AI212" s="122" t="s">
        <v>253</v>
      </c>
      <c r="AJ212" s="122" t="s">
        <v>253</v>
      </c>
      <c r="AK212" s="122" t="s">
        <v>253</v>
      </c>
      <c r="AL212" s="122" t="s">
        <v>253</v>
      </c>
      <c r="AM212" s="122" t="s">
        <v>253</v>
      </c>
      <c r="AN212" s="122" t="s">
        <v>253</v>
      </c>
      <c r="AO212" s="141" t="s">
        <v>247</v>
      </c>
      <c r="AP212" s="141" t="s">
        <v>253</v>
      </c>
      <c r="AQ212" s="141" t="s">
        <v>253</v>
      </c>
      <c r="AR212" s="141" t="s">
        <v>253</v>
      </c>
      <c r="AS212" s="141" t="s">
        <v>257</v>
      </c>
      <c r="AT212" s="141" t="s">
        <v>258</v>
      </c>
      <c r="AU212" s="141" t="s">
        <v>258</v>
      </c>
      <c r="AV212" s="122" t="s">
        <v>259</v>
      </c>
      <c r="AW212" s="122" t="s">
        <v>260</v>
      </c>
      <c r="AY212" s="122" t="s">
        <v>253</v>
      </c>
      <c r="AZ212" s="122" t="s">
        <v>14057</v>
      </c>
      <c r="BA212" s="122" t="s">
        <v>262</v>
      </c>
      <c r="BB212" s="122" t="s">
        <v>262</v>
      </c>
      <c r="BD212" s="122" t="s">
        <v>253</v>
      </c>
      <c r="BE212" s="122" t="s">
        <v>263</v>
      </c>
      <c r="BF212" s="122" t="s">
        <v>11</v>
      </c>
      <c r="BH212" s="122" t="s">
        <v>3371</v>
      </c>
      <c r="BI212" s="142">
        <v>51</v>
      </c>
      <c r="BJ212" s="123">
        <v>42234</v>
      </c>
      <c r="BK212" s="139" t="s">
        <v>264</v>
      </c>
      <c r="BL212" s="140">
        <v>115</v>
      </c>
      <c r="BM212" s="122">
        <v>34</v>
      </c>
    </row>
    <row r="213" spans="1:65" x14ac:dyDescent="0.25">
      <c r="A213" s="122" t="s">
        <v>9031</v>
      </c>
      <c r="B213" s="122" t="s">
        <v>14058</v>
      </c>
      <c r="C213" s="122" t="s">
        <v>14059</v>
      </c>
      <c r="D213" s="122" t="s">
        <v>14060</v>
      </c>
      <c r="E213" s="123">
        <v>42233</v>
      </c>
      <c r="F213" s="122" t="s">
        <v>610</v>
      </c>
      <c r="G213" s="122" t="s">
        <v>235</v>
      </c>
      <c r="H213" s="122" t="s">
        <v>14061</v>
      </c>
      <c r="I213" s="122" t="s">
        <v>14062</v>
      </c>
      <c r="J213" s="122" t="s">
        <v>14063</v>
      </c>
      <c r="K213" s="122" t="s">
        <v>3419</v>
      </c>
      <c r="L213" s="122" t="s">
        <v>3420</v>
      </c>
      <c r="M213" s="122" t="s">
        <v>3421</v>
      </c>
      <c r="O213" s="141" t="s">
        <v>273</v>
      </c>
      <c r="P213" s="141" t="s">
        <v>14064</v>
      </c>
      <c r="Q213" s="122" t="s">
        <v>3424</v>
      </c>
      <c r="R213" s="142">
        <v>59</v>
      </c>
      <c r="S213" s="122" t="s">
        <v>14065</v>
      </c>
      <c r="U213" s="122" t="s">
        <v>3371</v>
      </c>
      <c r="W213" s="122" t="s">
        <v>246</v>
      </c>
      <c r="X213" s="122" t="s">
        <v>4409</v>
      </c>
      <c r="Y213" s="141" t="s">
        <v>591</v>
      </c>
      <c r="Z213" s="122" t="s">
        <v>1792</v>
      </c>
      <c r="AA213" s="141" t="s">
        <v>234</v>
      </c>
      <c r="AB213" s="122" t="s">
        <v>14066</v>
      </c>
      <c r="AC213" s="141" t="s">
        <v>1398</v>
      </c>
      <c r="AD213" s="122" t="s">
        <v>14067</v>
      </c>
      <c r="AE213" s="122" t="s">
        <v>235</v>
      </c>
      <c r="AF213" s="122" t="s">
        <v>14068</v>
      </c>
      <c r="AG213" s="122" t="s">
        <v>3395</v>
      </c>
      <c r="AH213" s="122" t="s">
        <v>253</v>
      </c>
      <c r="AI213" s="122" t="s">
        <v>14069</v>
      </c>
      <c r="AJ213" s="122" t="s">
        <v>14070</v>
      </c>
      <c r="AK213" s="122" t="s">
        <v>14071</v>
      </c>
      <c r="AL213" s="122" t="s">
        <v>253</v>
      </c>
      <c r="AM213" s="122" t="s">
        <v>253</v>
      </c>
      <c r="AN213" s="122" t="s">
        <v>253</v>
      </c>
      <c r="AO213" s="141" t="s">
        <v>247</v>
      </c>
      <c r="AP213" s="141" t="s">
        <v>247</v>
      </c>
      <c r="AQ213" s="141" t="s">
        <v>247</v>
      </c>
      <c r="AR213" s="141" t="s">
        <v>253</v>
      </c>
      <c r="AS213" s="141" t="s">
        <v>257</v>
      </c>
      <c r="AT213" s="141" t="s">
        <v>257</v>
      </c>
      <c r="AU213" s="141" t="s">
        <v>258</v>
      </c>
      <c r="AV213" s="122" t="s">
        <v>259</v>
      </c>
      <c r="AW213" s="122" t="s">
        <v>260</v>
      </c>
      <c r="AY213" s="122" t="s">
        <v>253</v>
      </c>
      <c r="AZ213" s="122" t="s">
        <v>14072</v>
      </c>
      <c r="BA213" s="122" t="s">
        <v>262</v>
      </c>
      <c r="BB213" s="122" t="s">
        <v>262</v>
      </c>
      <c r="BD213" s="122" t="s">
        <v>253</v>
      </c>
      <c r="BE213" s="122" t="s">
        <v>263</v>
      </c>
      <c r="BF213" s="122" t="s">
        <v>11</v>
      </c>
      <c r="BH213" s="122" t="s">
        <v>3371</v>
      </c>
      <c r="BI213" s="142">
        <v>59</v>
      </c>
      <c r="BJ213" s="123">
        <v>42234</v>
      </c>
      <c r="BK213" s="139" t="s">
        <v>264</v>
      </c>
      <c r="BL213" s="140">
        <v>162.76</v>
      </c>
      <c r="BM213" s="122">
        <v>34</v>
      </c>
    </row>
    <row r="214" spans="1:65" x14ac:dyDescent="0.25">
      <c r="A214" s="122" t="s">
        <v>9031</v>
      </c>
      <c r="B214" s="122" t="s">
        <v>14073</v>
      </c>
      <c r="C214" s="122" t="s">
        <v>14074</v>
      </c>
      <c r="D214" s="122" t="s">
        <v>14075</v>
      </c>
      <c r="E214" s="123">
        <v>42233</v>
      </c>
      <c r="F214" s="122" t="s">
        <v>248</v>
      </c>
      <c r="G214" s="122" t="s">
        <v>235</v>
      </c>
      <c r="H214" s="122" t="s">
        <v>14076</v>
      </c>
      <c r="I214" s="122" t="s">
        <v>14077</v>
      </c>
      <c r="K214" s="122" t="s">
        <v>3364</v>
      </c>
      <c r="L214" s="122" t="s">
        <v>3365</v>
      </c>
      <c r="M214" s="122" t="s">
        <v>3366</v>
      </c>
      <c r="O214" s="141" t="s">
        <v>1240</v>
      </c>
      <c r="P214" s="141" t="s">
        <v>14078</v>
      </c>
      <c r="Q214" s="122" t="s">
        <v>3369</v>
      </c>
      <c r="R214" s="142">
        <v>62</v>
      </c>
      <c r="S214" s="122" t="s">
        <v>14079</v>
      </c>
      <c r="U214" s="122" t="s">
        <v>3371</v>
      </c>
      <c r="W214" s="122" t="s">
        <v>246</v>
      </c>
      <c r="X214" s="122" t="s">
        <v>590</v>
      </c>
      <c r="Y214" s="141" t="s">
        <v>11851</v>
      </c>
      <c r="Z214" s="122" t="s">
        <v>14080</v>
      </c>
      <c r="AA214" s="141" t="s">
        <v>685</v>
      </c>
      <c r="AB214" s="122" t="s">
        <v>1545</v>
      </c>
      <c r="AD214" s="122" t="s">
        <v>250</v>
      </c>
      <c r="AE214" s="122" t="s">
        <v>235</v>
      </c>
      <c r="AF214" s="122" t="s">
        <v>14081</v>
      </c>
      <c r="AG214" s="122" t="s">
        <v>14082</v>
      </c>
      <c r="AH214" s="122" t="s">
        <v>253</v>
      </c>
      <c r="AI214" s="122" t="s">
        <v>14083</v>
      </c>
      <c r="AJ214" s="122" t="s">
        <v>253</v>
      </c>
      <c r="AK214" s="122" t="s">
        <v>253</v>
      </c>
      <c r="AL214" s="122" t="s">
        <v>253</v>
      </c>
      <c r="AM214" s="122" t="s">
        <v>253</v>
      </c>
      <c r="AN214" s="122" t="s">
        <v>253</v>
      </c>
      <c r="AO214" s="141" t="s">
        <v>247</v>
      </c>
      <c r="AP214" s="141" t="s">
        <v>247</v>
      </c>
      <c r="AQ214" s="141" t="s">
        <v>247</v>
      </c>
      <c r="AR214" s="141" t="s">
        <v>247</v>
      </c>
      <c r="AS214" s="141" t="s">
        <v>257</v>
      </c>
      <c r="AT214" s="141" t="s">
        <v>257</v>
      </c>
      <c r="AU214" s="141" t="s">
        <v>257</v>
      </c>
      <c r="AV214" s="122" t="s">
        <v>259</v>
      </c>
      <c r="AW214" s="122" t="s">
        <v>260</v>
      </c>
      <c r="AY214" s="122" t="s">
        <v>253</v>
      </c>
      <c r="AZ214" s="122" t="s">
        <v>14084</v>
      </c>
      <c r="BA214" s="122" t="s">
        <v>262</v>
      </c>
      <c r="BB214" s="122" t="s">
        <v>262</v>
      </c>
      <c r="BD214" s="122" t="s">
        <v>253</v>
      </c>
      <c r="BE214" s="122" t="s">
        <v>263</v>
      </c>
      <c r="BF214" s="122" t="s">
        <v>11</v>
      </c>
      <c r="BH214" s="122" t="s">
        <v>3371</v>
      </c>
      <c r="BI214" s="142">
        <v>62</v>
      </c>
      <c r="BJ214" s="123">
        <v>42234</v>
      </c>
      <c r="BK214" s="139" t="s">
        <v>264</v>
      </c>
      <c r="BL214" s="140">
        <v>567</v>
      </c>
      <c r="BM214" s="122">
        <v>34</v>
      </c>
    </row>
    <row r="215" spans="1:65" x14ac:dyDescent="0.25">
      <c r="A215" s="122" t="s">
        <v>9031</v>
      </c>
      <c r="B215" s="122" t="s">
        <v>14085</v>
      </c>
      <c r="C215" s="122" t="s">
        <v>14086</v>
      </c>
      <c r="D215" s="122" t="s">
        <v>14087</v>
      </c>
      <c r="E215" s="123">
        <v>42233</v>
      </c>
      <c r="F215" s="122" t="s">
        <v>14088</v>
      </c>
      <c r="G215" s="122" t="s">
        <v>235</v>
      </c>
      <c r="H215" s="122" t="s">
        <v>14089</v>
      </c>
      <c r="I215" s="122" t="s">
        <v>14090</v>
      </c>
      <c r="K215" s="122" t="s">
        <v>3419</v>
      </c>
      <c r="L215" s="122" t="s">
        <v>3503</v>
      </c>
      <c r="M215" s="122" t="s">
        <v>3421</v>
      </c>
      <c r="O215" s="141" t="s">
        <v>548</v>
      </c>
      <c r="P215" s="141" t="s">
        <v>14091</v>
      </c>
      <c r="Q215" s="122" t="s">
        <v>3424</v>
      </c>
      <c r="R215" s="142">
        <v>70</v>
      </c>
      <c r="S215" s="122" t="s">
        <v>14092</v>
      </c>
      <c r="U215" s="122" t="s">
        <v>3371</v>
      </c>
      <c r="V215" s="122" t="s">
        <v>276</v>
      </c>
      <c r="W215" s="122" t="s">
        <v>277</v>
      </c>
      <c r="X215" s="122" t="s">
        <v>551</v>
      </c>
      <c r="Y215" s="141" t="s">
        <v>2257</v>
      </c>
      <c r="Z215" s="122" t="s">
        <v>14093</v>
      </c>
      <c r="AA215" s="141" t="s">
        <v>2072</v>
      </c>
      <c r="AB215" s="122" t="s">
        <v>14094</v>
      </c>
      <c r="AC215" s="141" t="s">
        <v>281</v>
      </c>
      <c r="AD215" s="122" t="s">
        <v>14095</v>
      </c>
      <c r="AE215" s="122" t="s">
        <v>235</v>
      </c>
      <c r="AF215" s="122" t="s">
        <v>14096</v>
      </c>
      <c r="AG215" s="122" t="s">
        <v>3395</v>
      </c>
      <c r="AH215" s="122" t="s">
        <v>253</v>
      </c>
      <c r="AI215" s="122" t="s">
        <v>14097</v>
      </c>
      <c r="AJ215" s="122" t="s">
        <v>1749</v>
      </c>
      <c r="AK215" s="122" t="s">
        <v>253</v>
      </c>
      <c r="AL215" s="122" t="s">
        <v>253</v>
      </c>
      <c r="AM215" s="122" t="s">
        <v>253</v>
      </c>
      <c r="AN215" s="122" t="s">
        <v>253</v>
      </c>
      <c r="AO215" s="141" t="s">
        <v>247</v>
      </c>
      <c r="AP215" s="141" t="s">
        <v>247</v>
      </c>
      <c r="AQ215" s="141" t="s">
        <v>247</v>
      </c>
      <c r="AR215" s="141" t="s">
        <v>247</v>
      </c>
      <c r="AS215" s="141" t="s">
        <v>257</v>
      </c>
      <c r="AT215" s="141" t="s">
        <v>257</v>
      </c>
      <c r="AU215" s="141" t="s">
        <v>257</v>
      </c>
      <c r="AV215" s="122" t="s">
        <v>259</v>
      </c>
      <c r="AW215" s="122" t="s">
        <v>260</v>
      </c>
      <c r="AY215" s="141" t="s">
        <v>253</v>
      </c>
      <c r="AZ215" s="122" t="s">
        <v>14098</v>
      </c>
      <c r="BA215" s="122" t="s">
        <v>262</v>
      </c>
      <c r="BB215" s="122" t="s">
        <v>262</v>
      </c>
      <c r="BD215" s="122" t="s">
        <v>253</v>
      </c>
      <c r="BE215" s="122" t="s">
        <v>263</v>
      </c>
      <c r="BF215" s="122" t="s">
        <v>11</v>
      </c>
      <c r="BH215" s="122" t="s">
        <v>3371</v>
      </c>
      <c r="BI215" s="142">
        <v>70</v>
      </c>
      <c r="BJ215" s="123">
        <v>42233</v>
      </c>
      <c r="BK215" s="139" t="s">
        <v>264</v>
      </c>
      <c r="BL215" s="140">
        <v>177.13</v>
      </c>
      <c r="BM215" s="122">
        <v>34</v>
      </c>
    </row>
    <row r="216" spans="1:65" x14ac:dyDescent="0.25">
      <c r="A216" s="122" t="s">
        <v>11880</v>
      </c>
      <c r="B216" s="122" t="s">
        <v>14099</v>
      </c>
      <c r="C216" s="122" t="s">
        <v>14100</v>
      </c>
      <c r="D216" s="122" t="s">
        <v>14101</v>
      </c>
      <c r="E216" s="123">
        <v>42233</v>
      </c>
      <c r="F216" s="122" t="s">
        <v>14102</v>
      </c>
      <c r="G216" s="122" t="s">
        <v>235</v>
      </c>
      <c r="H216" s="122" t="s">
        <v>14103</v>
      </c>
      <c r="I216" s="122" t="s">
        <v>14104</v>
      </c>
      <c r="K216" s="122" t="s">
        <v>3533</v>
      </c>
      <c r="L216" s="122" t="s">
        <v>3534</v>
      </c>
      <c r="M216" s="122" t="s">
        <v>3535</v>
      </c>
      <c r="O216" s="141" t="s">
        <v>1055</v>
      </c>
      <c r="P216" s="141" t="s">
        <v>14105</v>
      </c>
      <c r="Q216" s="122" t="s">
        <v>3369</v>
      </c>
      <c r="R216" s="142">
        <v>76</v>
      </c>
      <c r="S216" s="122" t="s">
        <v>14106</v>
      </c>
      <c r="U216" s="122" t="s">
        <v>3371</v>
      </c>
      <c r="V216" s="122" t="s">
        <v>351</v>
      </c>
      <c r="W216" s="122" t="s">
        <v>246</v>
      </c>
      <c r="X216" s="122" t="s">
        <v>1057</v>
      </c>
      <c r="Z216" s="122" t="s">
        <v>250</v>
      </c>
      <c r="AB216" s="122" t="s">
        <v>250</v>
      </c>
      <c r="AD216" s="122" t="s">
        <v>250</v>
      </c>
      <c r="AE216" s="122" t="s">
        <v>235</v>
      </c>
      <c r="AF216" s="122" t="s">
        <v>14107</v>
      </c>
      <c r="AG216" s="122" t="s">
        <v>252</v>
      </c>
      <c r="AH216" s="122" t="s">
        <v>253</v>
      </c>
      <c r="AI216" s="122" t="s">
        <v>14108</v>
      </c>
      <c r="AJ216" s="122" t="s">
        <v>5153</v>
      </c>
      <c r="AK216" s="122" t="s">
        <v>14109</v>
      </c>
      <c r="AL216" s="122" t="s">
        <v>253</v>
      </c>
      <c r="AM216" s="122" t="s">
        <v>253</v>
      </c>
      <c r="AN216" s="122" t="s">
        <v>253</v>
      </c>
      <c r="AO216" s="141" t="s">
        <v>247</v>
      </c>
      <c r="AP216" s="141" t="s">
        <v>253</v>
      </c>
      <c r="AQ216" s="141" t="s">
        <v>247</v>
      </c>
      <c r="AR216" s="141" t="s">
        <v>253</v>
      </c>
      <c r="AS216" s="141" t="s">
        <v>257</v>
      </c>
      <c r="AT216" s="141" t="s">
        <v>257</v>
      </c>
      <c r="AU216" s="141" t="s">
        <v>258</v>
      </c>
      <c r="AV216" s="122" t="s">
        <v>259</v>
      </c>
      <c r="AW216" s="122" t="s">
        <v>260</v>
      </c>
      <c r="AY216" s="122" t="s">
        <v>253</v>
      </c>
      <c r="AZ216" s="122" t="s">
        <v>14110</v>
      </c>
      <c r="BA216" s="122" t="s">
        <v>262</v>
      </c>
      <c r="BB216" s="122" t="s">
        <v>14110</v>
      </c>
      <c r="BD216" s="122" t="s">
        <v>253</v>
      </c>
      <c r="BE216" s="122" t="s">
        <v>263</v>
      </c>
      <c r="BF216" s="122" t="s">
        <v>11</v>
      </c>
      <c r="BH216" s="122" t="s">
        <v>3371</v>
      </c>
      <c r="BI216" s="142">
        <v>76</v>
      </c>
      <c r="BJ216" s="123">
        <v>42234</v>
      </c>
      <c r="BK216" s="139" t="s">
        <v>264</v>
      </c>
      <c r="BL216" s="140">
        <v>127.07</v>
      </c>
      <c r="BM216" s="122">
        <v>34</v>
      </c>
    </row>
    <row r="217" spans="1:65" x14ac:dyDescent="0.25">
      <c r="A217" s="122" t="s">
        <v>11880</v>
      </c>
      <c r="B217" s="122" t="s">
        <v>14111</v>
      </c>
      <c r="C217" s="122" t="s">
        <v>14112</v>
      </c>
      <c r="D217" s="122" t="s">
        <v>14113</v>
      </c>
      <c r="E217" s="123">
        <v>42233</v>
      </c>
      <c r="F217" s="122" t="s">
        <v>14114</v>
      </c>
      <c r="G217" s="122" t="s">
        <v>235</v>
      </c>
      <c r="H217" s="122" t="s">
        <v>14115</v>
      </c>
      <c r="I217" s="122" t="s">
        <v>14116</v>
      </c>
      <c r="J217" s="122" t="s">
        <v>14117</v>
      </c>
      <c r="K217" s="122" t="s">
        <v>3533</v>
      </c>
      <c r="L217" s="122" t="s">
        <v>3534</v>
      </c>
      <c r="M217" s="122" t="s">
        <v>3535</v>
      </c>
      <c r="O217" s="141" t="s">
        <v>373</v>
      </c>
      <c r="P217" s="141" t="s">
        <v>14118</v>
      </c>
      <c r="Q217" s="122" t="s">
        <v>3369</v>
      </c>
      <c r="R217" s="142">
        <v>85</v>
      </c>
      <c r="S217" s="122" t="s">
        <v>14119</v>
      </c>
      <c r="U217" s="122" t="s">
        <v>3371</v>
      </c>
      <c r="V217" s="122" t="s">
        <v>351</v>
      </c>
      <c r="W217" s="122" t="s">
        <v>246</v>
      </c>
      <c r="X217" s="122" t="s">
        <v>1324</v>
      </c>
      <c r="Z217" s="122" t="s">
        <v>250</v>
      </c>
      <c r="AB217" s="122" t="s">
        <v>250</v>
      </c>
      <c r="AD217" s="122" t="s">
        <v>250</v>
      </c>
      <c r="AE217" s="122" t="s">
        <v>235</v>
      </c>
      <c r="AF217" s="122" t="s">
        <v>14120</v>
      </c>
      <c r="AG217" s="122" t="s">
        <v>252</v>
      </c>
      <c r="AH217" s="122" t="s">
        <v>253</v>
      </c>
      <c r="AI217" s="122" t="s">
        <v>14121</v>
      </c>
      <c r="AJ217" s="122" t="s">
        <v>14122</v>
      </c>
      <c r="AK217" s="122" t="s">
        <v>253</v>
      </c>
      <c r="AL217" s="122" t="s">
        <v>253</v>
      </c>
      <c r="AM217" s="122" t="s">
        <v>253</v>
      </c>
      <c r="AN217" s="122" t="s">
        <v>253</v>
      </c>
      <c r="AO217" s="141" t="s">
        <v>247</v>
      </c>
      <c r="AP217" s="141" t="s">
        <v>253</v>
      </c>
      <c r="AQ217" s="141" t="s">
        <v>247</v>
      </c>
      <c r="AR217" s="141" t="s">
        <v>253</v>
      </c>
      <c r="AS217" s="141" t="s">
        <v>257</v>
      </c>
      <c r="AT217" s="141" t="s">
        <v>257</v>
      </c>
      <c r="AU217" s="141" t="s">
        <v>258</v>
      </c>
      <c r="AV217" s="122" t="s">
        <v>259</v>
      </c>
      <c r="AW217" s="122" t="s">
        <v>260</v>
      </c>
      <c r="AY217" s="122" t="s">
        <v>253</v>
      </c>
      <c r="AZ217" s="122" t="s">
        <v>14123</v>
      </c>
      <c r="BA217" s="122" t="s">
        <v>262</v>
      </c>
      <c r="BB217" s="122" t="s">
        <v>262</v>
      </c>
      <c r="BD217" s="122" t="s">
        <v>253</v>
      </c>
      <c r="BE217" s="122" t="s">
        <v>263</v>
      </c>
      <c r="BF217" s="122" t="s">
        <v>11</v>
      </c>
      <c r="BH217" s="122" t="s">
        <v>3371</v>
      </c>
      <c r="BI217" s="142">
        <v>85</v>
      </c>
      <c r="BJ217" s="123">
        <v>42234</v>
      </c>
      <c r="BK217" s="139" t="s">
        <v>264</v>
      </c>
      <c r="BL217" s="140">
        <v>75.900000000000006</v>
      </c>
      <c r="BM217" s="122">
        <v>34</v>
      </c>
    </row>
    <row r="218" spans="1:65" x14ac:dyDescent="0.25">
      <c r="A218" s="122" t="s">
        <v>6466</v>
      </c>
      <c r="B218" s="122" t="s">
        <v>14124</v>
      </c>
      <c r="C218" s="122" t="s">
        <v>14125</v>
      </c>
      <c r="D218" s="122" t="s">
        <v>14126</v>
      </c>
      <c r="E218" s="123">
        <v>42233</v>
      </c>
      <c r="F218" s="122" t="s">
        <v>14127</v>
      </c>
      <c r="G218" s="122" t="s">
        <v>235</v>
      </c>
      <c r="H218" s="122" t="s">
        <v>14128</v>
      </c>
      <c r="I218" s="122" t="s">
        <v>14129</v>
      </c>
      <c r="K218" s="122" t="s">
        <v>3385</v>
      </c>
      <c r="L218" s="122" t="s">
        <v>3554</v>
      </c>
      <c r="M218" s="122" t="s">
        <v>3846</v>
      </c>
      <c r="O218" s="141" t="s">
        <v>548</v>
      </c>
      <c r="P218" s="141" t="s">
        <v>14130</v>
      </c>
      <c r="Q218" s="122" t="s">
        <v>3389</v>
      </c>
      <c r="R218" s="142">
        <v>108</v>
      </c>
      <c r="S218" s="122" t="s">
        <v>14131</v>
      </c>
      <c r="U218" s="122" t="s">
        <v>3371</v>
      </c>
      <c r="W218" s="122" t="s">
        <v>246</v>
      </c>
      <c r="X218" s="122" t="s">
        <v>569</v>
      </c>
      <c r="Y218" s="141" t="s">
        <v>11851</v>
      </c>
      <c r="Z218" s="122" t="s">
        <v>249</v>
      </c>
      <c r="AA218" s="141" t="s">
        <v>6551</v>
      </c>
      <c r="AB218" s="122" t="s">
        <v>669</v>
      </c>
      <c r="AC218" s="141" t="s">
        <v>248</v>
      </c>
      <c r="AD218" s="122" t="s">
        <v>1792</v>
      </c>
      <c r="AE218" s="122" t="s">
        <v>235</v>
      </c>
      <c r="AF218" s="122" t="s">
        <v>14132</v>
      </c>
      <c r="AG218" s="122" t="s">
        <v>3395</v>
      </c>
      <c r="AH218" s="122" t="s">
        <v>253</v>
      </c>
      <c r="AI218" s="122" t="s">
        <v>14133</v>
      </c>
      <c r="AJ218" s="122" t="s">
        <v>253</v>
      </c>
      <c r="AK218" s="122" t="s">
        <v>253</v>
      </c>
      <c r="AL218" s="122" t="s">
        <v>253</v>
      </c>
      <c r="AM218" s="122" t="s">
        <v>253</v>
      </c>
      <c r="AN218" s="122" t="s">
        <v>253</v>
      </c>
      <c r="AO218" s="141" t="s">
        <v>247</v>
      </c>
      <c r="AP218" s="141" t="s">
        <v>247</v>
      </c>
      <c r="AQ218" s="141" t="s">
        <v>247</v>
      </c>
      <c r="AR218" s="141" t="s">
        <v>253</v>
      </c>
      <c r="AS218" s="141" t="s">
        <v>257</v>
      </c>
      <c r="AT218" s="141" t="s">
        <v>257</v>
      </c>
      <c r="AU218" s="141" t="s">
        <v>258</v>
      </c>
      <c r="AV218" s="122" t="s">
        <v>259</v>
      </c>
      <c r="AW218" s="122" t="s">
        <v>260</v>
      </c>
      <c r="AY218" s="122" t="s">
        <v>253</v>
      </c>
      <c r="AZ218" s="122" t="s">
        <v>14134</v>
      </c>
      <c r="BA218" s="122" t="s">
        <v>262</v>
      </c>
      <c r="BB218" s="122" t="s">
        <v>262</v>
      </c>
      <c r="BD218" s="122" t="s">
        <v>253</v>
      </c>
      <c r="BE218" s="122" t="s">
        <v>263</v>
      </c>
      <c r="BF218" s="122" t="s">
        <v>11</v>
      </c>
      <c r="BH218" s="122" t="s">
        <v>3371</v>
      </c>
      <c r="BI218" s="142">
        <v>108</v>
      </c>
      <c r="BJ218" s="123">
        <v>42234</v>
      </c>
      <c r="BK218" s="139" t="s">
        <v>264</v>
      </c>
      <c r="BL218" s="140">
        <v>200</v>
      </c>
      <c r="BM218" s="122">
        <v>34</v>
      </c>
    </row>
    <row r="219" spans="1:65" x14ac:dyDescent="0.25">
      <c r="A219" s="122" t="s">
        <v>6466</v>
      </c>
      <c r="B219" s="122" t="s">
        <v>14135</v>
      </c>
      <c r="C219" s="122" t="s">
        <v>14136</v>
      </c>
      <c r="D219" s="122" t="s">
        <v>14137</v>
      </c>
      <c r="E219" s="123">
        <v>42233</v>
      </c>
      <c r="F219" s="122" t="s">
        <v>14138</v>
      </c>
      <c r="G219" s="122" t="s">
        <v>235</v>
      </c>
      <c r="H219" s="122" t="s">
        <v>14139</v>
      </c>
      <c r="I219" s="122" t="s">
        <v>14140</v>
      </c>
      <c r="K219" s="122" t="s">
        <v>5879</v>
      </c>
      <c r="L219" s="122" t="s">
        <v>5880</v>
      </c>
      <c r="M219" s="122" t="s">
        <v>5881</v>
      </c>
      <c r="O219" s="141" t="s">
        <v>299</v>
      </c>
      <c r="P219" s="141" t="s">
        <v>14141</v>
      </c>
      <c r="Q219" s="122" t="s">
        <v>5883</v>
      </c>
      <c r="R219" s="142">
        <v>118</v>
      </c>
      <c r="S219" s="122" t="s">
        <v>14142</v>
      </c>
      <c r="U219" s="122" t="s">
        <v>3371</v>
      </c>
      <c r="V219" s="122" t="s">
        <v>276</v>
      </c>
      <c r="W219" s="122" t="s">
        <v>277</v>
      </c>
      <c r="X219" s="122" t="s">
        <v>569</v>
      </c>
      <c r="Y219" s="141" t="s">
        <v>1256</v>
      </c>
      <c r="Z219" s="122" t="s">
        <v>14143</v>
      </c>
      <c r="AA219" s="141" t="s">
        <v>1421</v>
      </c>
      <c r="AB219" s="122" t="s">
        <v>9538</v>
      </c>
      <c r="AC219" s="141" t="s">
        <v>744</v>
      </c>
      <c r="AD219" s="122" t="s">
        <v>14143</v>
      </c>
      <c r="AE219" s="122" t="s">
        <v>235</v>
      </c>
      <c r="AF219" s="122" t="s">
        <v>7374</v>
      </c>
      <c r="AG219" s="122" t="s">
        <v>3395</v>
      </c>
      <c r="AH219" s="122" t="s">
        <v>253</v>
      </c>
      <c r="AI219" s="122" t="s">
        <v>1570</v>
      </c>
      <c r="AJ219" s="122" t="s">
        <v>14144</v>
      </c>
      <c r="AK219" s="122" t="s">
        <v>253</v>
      </c>
      <c r="AL219" s="122" t="s">
        <v>253</v>
      </c>
      <c r="AM219" s="122" t="s">
        <v>253</v>
      </c>
      <c r="AN219" s="122" t="s">
        <v>253</v>
      </c>
      <c r="AO219" s="141" t="s">
        <v>253</v>
      </c>
      <c r="AP219" s="141" t="s">
        <v>253</v>
      </c>
      <c r="AQ219" s="141" t="s">
        <v>247</v>
      </c>
      <c r="AR219" s="141" t="s">
        <v>253</v>
      </c>
      <c r="AS219" s="141" t="s">
        <v>361</v>
      </c>
      <c r="AT219" s="141" t="s">
        <v>257</v>
      </c>
      <c r="AU219" s="141" t="s">
        <v>258</v>
      </c>
      <c r="AV219" s="122" t="s">
        <v>259</v>
      </c>
      <c r="AW219" s="122" t="s">
        <v>260</v>
      </c>
      <c r="AY219" s="141" t="s">
        <v>253</v>
      </c>
      <c r="AZ219" s="122" t="s">
        <v>14145</v>
      </c>
      <c r="BA219" s="122" t="s">
        <v>262</v>
      </c>
      <c r="BB219" s="122" t="s">
        <v>262</v>
      </c>
      <c r="BC219" s="141" t="s">
        <v>312</v>
      </c>
      <c r="BD219" s="122" t="s">
        <v>253</v>
      </c>
      <c r="BE219" s="122" t="s">
        <v>263</v>
      </c>
      <c r="BF219" s="122" t="s">
        <v>11</v>
      </c>
      <c r="BH219" s="122" t="s">
        <v>3371</v>
      </c>
      <c r="BI219" s="142">
        <v>118</v>
      </c>
      <c r="BJ219" s="123">
        <v>42233</v>
      </c>
      <c r="BK219" s="139" t="s">
        <v>264</v>
      </c>
      <c r="BL219" s="140">
        <v>81.98</v>
      </c>
      <c r="BM219" s="122">
        <v>34</v>
      </c>
    </row>
    <row r="220" spans="1:65" x14ac:dyDescent="0.25">
      <c r="A220" s="122" t="s">
        <v>11880</v>
      </c>
      <c r="B220" s="122" t="s">
        <v>14146</v>
      </c>
      <c r="C220" s="122" t="s">
        <v>14038</v>
      </c>
      <c r="D220" s="122" t="s">
        <v>14039</v>
      </c>
      <c r="E220" s="123">
        <v>42233</v>
      </c>
      <c r="F220" s="122" t="s">
        <v>14040</v>
      </c>
      <c r="G220" s="122" t="s">
        <v>235</v>
      </c>
      <c r="H220" s="122" t="s">
        <v>14041</v>
      </c>
      <c r="I220" s="122" t="s">
        <v>14042</v>
      </c>
      <c r="K220" s="122" t="s">
        <v>3364</v>
      </c>
      <c r="L220" s="122" t="s">
        <v>3365</v>
      </c>
      <c r="M220" s="122" t="s">
        <v>3366</v>
      </c>
      <c r="O220" s="141" t="s">
        <v>390</v>
      </c>
      <c r="P220" s="141" t="s">
        <v>14043</v>
      </c>
      <c r="Q220" s="122" t="s">
        <v>3369</v>
      </c>
      <c r="R220" s="142">
        <v>144</v>
      </c>
      <c r="S220" s="122" t="s">
        <v>14044</v>
      </c>
      <c r="U220" s="122" t="s">
        <v>3371</v>
      </c>
      <c r="W220" s="122" t="s">
        <v>246</v>
      </c>
      <c r="X220" s="122" t="s">
        <v>278</v>
      </c>
      <c r="Y220" s="141" t="s">
        <v>11865</v>
      </c>
      <c r="Z220" s="122" t="s">
        <v>14045</v>
      </c>
      <c r="AA220" s="141" t="s">
        <v>3039</v>
      </c>
      <c r="AB220" s="122" t="s">
        <v>14046</v>
      </c>
      <c r="AC220" s="141" t="s">
        <v>595</v>
      </c>
      <c r="AD220" s="122" t="s">
        <v>14047</v>
      </c>
      <c r="AE220" s="122" t="s">
        <v>235</v>
      </c>
      <c r="AF220" s="122" t="s">
        <v>14048</v>
      </c>
      <c r="AG220" s="122" t="s">
        <v>14048</v>
      </c>
      <c r="AH220" s="122" t="s">
        <v>253</v>
      </c>
      <c r="AI220" s="122" t="s">
        <v>253</v>
      </c>
      <c r="AJ220" s="122" t="s">
        <v>253</v>
      </c>
      <c r="AK220" s="122" t="s">
        <v>253</v>
      </c>
      <c r="AL220" s="122" t="s">
        <v>253</v>
      </c>
      <c r="AM220" s="122" t="s">
        <v>253</v>
      </c>
      <c r="AN220" s="122" t="s">
        <v>253</v>
      </c>
      <c r="AO220" s="141" t="s">
        <v>247</v>
      </c>
      <c r="AP220" s="141" t="s">
        <v>253</v>
      </c>
      <c r="AQ220" s="141" t="s">
        <v>247</v>
      </c>
      <c r="AR220" s="141" t="s">
        <v>247</v>
      </c>
      <c r="AS220" s="141" t="s">
        <v>257</v>
      </c>
      <c r="AT220" s="141" t="s">
        <v>257</v>
      </c>
      <c r="AU220" s="141" t="s">
        <v>257</v>
      </c>
      <c r="AV220" s="122" t="s">
        <v>259</v>
      </c>
      <c r="AW220" s="122" t="s">
        <v>556</v>
      </c>
      <c r="AY220" s="122" t="s">
        <v>253</v>
      </c>
      <c r="AZ220" s="122" t="s">
        <v>14049</v>
      </c>
      <c r="BA220" s="122" t="s">
        <v>262</v>
      </c>
      <c r="BB220" s="122" t="s">
        <v>262</v>
      </c>
      <c r="BD220" s="122" t="s">
        <v>253</v>
      </c>
      <c r="BE220" s="122" t="s">
        <v>263</v>
      </c>
      <c r="BF220" s="122" t="s">
        <v>11</v>
      </c>
      <c r="BH220" s="122" t="s">
        <v>3371</v>
      </c>
      <c r="BI220" s="142">
        <v>144</v>
      </c>
      <c r="BK220" s="139" t="s">
        <v>558</v>
      </c>
    </row>
    <row r="221" spans="1:65" x14ac:dyDescent="0.25">
      <c r="A221" s="122" t="s">
        <v>279</v>
      </c>
      <c r="B221" s="122" t="s">
        <v>14147</v>
      </c>
      <c r="C221" s="122" t="s">
        <v>14148</v>
      </c>
      <c r="D221" s="122" t="s">
        <v>14149</v>
      </c>
      <c r="E221" s="123">
        <v>42233</v>
      </c>
      <c r="F221" s="122" t="s">
        <v>14150</v>
      </c>
      <c r="G221" s="122" t="s">
        <v>235</v>
      </c>
      <c r="H221" s="122" t="s">
        <v>14151</v>
      </c>
      <c r="I221" s="122" t="s">
        <v>14152</v>
      </c>
      <c r="J221" s="122" t="s">
        <v>14153</v>
      </c>
      <c r="K221" s="122" t="s">
        <v>3364</v>
      </c>
      <c r="L221" s="122" t="s">
        <v>3365</v>
      </c>
      <c r="M221" s="122" t="s">
        <v>3366</v>
      </c>
      <c r="O221" s="141" t="s">
        <v>613</v>
      </c>
      <c r="P221" s="141" t="s">
        <v>14154</v>
      </c>
      <c r="Q221" s="122" t="s">
        <v>3369</v>
      </c>
      <c r="R221" s="142">
        <v>18</v>
      </c>
      <c r="S221" s="122" t="s">
        <v>14155</v>
      </c>
      <c r="U221" s="122" t="s">
        <v>3538</v>
      </c>
      <c r="V221" s="122" t="s">
        <v>351</v>
      </c>
      <c r="W221" s="122" t="s">
        <v>246</v>
      </c>
      <c r="X221" s="122" t="s">
        <v>1377</v>
      </c>
      <c r="Y221" s="141" t="s">
        <v>1876</v>
      </c>
      <c r="Z221" s="122" t="s">
        <v>14156</v>
      </c>
      <c r="AA221" s="141" t="s">
        <v>3574</v>
      </c>
      <c r="AB221" s="122" t="s">
        <v>14157</v>
      </c>
      <c r="AC221" s="141" t="s">
        <v>1143</v>
      </c>
      <c r="AD221" s="122" t="s">
        <v>14158</v>
      </c>
      <c r="AE221" s="122" t="s">
        <v>235</v>
      </c>
      <c r="AF221" s="122" t="s">
        <v>14159</v>
      </c>
      <c r="AG221" s="122" t="s">
        <v>537</v>
      </c>
      <c r="AH221" s="122" t="s">
        <v>253</v>
      </c>
      <c r="AI221" s="122" t="s">
        <v>14160</v>
      </c>
      <c r="AJ221" s="122" t="s">
        <v>14161</v>
      </c>
      <c r="AK221" s="122" t="s">
        <v>253</v>
      </c>
      <c r="AL221" s="122" t="s">
        <v>253</v>
      </c>
      <c r="AM221" s="122" t="s">
        <v>253</v>
      </c>
      <c r="AN221" s="122" t="s">
        <v>253</v>
      </c>
      <c r="AO221" s="141" t="s">
        <v>247</v>
      </c>
      <c r="AP221" s="141" t="s">
        <v>247</v>
      </c>
      <c r="AQ221" s="141" t="s">
        <v>247</v>
      </c>
      <c r="AR221" s="141" t="s">
        <v>247</v>
      </c>
      <c r="AS221" s="141" t="s">
        <v>601</v>
      </c>
      <c r="AT221" s="141" t="s">
        <v>601</v>
      </c>
      <c r="AU221" s="141" t="s">
        <v>601</v>
      </c>
      <c r="AV221" s="122" t="s">
        <v>259</v>
      </c>
      <c r="AW221" s="122" t="s">
        <v>260</v>
      </c>
      <c r="AX221" s="141" t="s">
        <v>980</v>
      </c>
      <c r="AY221" s="122" t="s">
        <v>247</v>
      </c>
      <c r="AZ221" s="122" t="s">
        <v>14162</v>
      </c>
      <c r="BA221" s="122" t="s">
        <v>262</v>
      </c>
      <c r="BB221" s="122" t="s">
        <v>262</v>
      </c>
      <c r="BC221" s="141" t="s">
        <v>312</v>
      </c>
      <c r="BD221" s="122" t="s">
        <v>253</v>
      </c>
      <c r="BE221" s="122" t="s">
        <v>263</v>
      </c>
      <c r="BF221" s="122" t="s">
        <v>3547</v>
      </c>
      <c r="BH221" s="122" t="s">
        <v>3538</v>
      </c>
      <c r="BI221" s="142">
        <v>18</v>
      </c>
    </row>
    <row r="222" spans="1:65" x14ac:dyDescent="0.25">
      <c r="A222" s="122" t="s">
        <v>279</v>
      </c>
      <c r="B222" s="122" t="s">
        <v>14163</v>
      </c>
      <c r="C222" s="122" t="s">
        <v>14164</v>
      </c>
      <c r="D222" s="122" t="s">
        <v>14165</v>
      </c>
      <c r="E222" s="123">
        <v>42233</v>
      </c>
      <c r="F222" s="122" t="s">
        <v>624</v>
      </c>
      <c r="G222" s="122" t="s">
        <v>235</v>
      </c>
      <c r="H222" s="122" t="s">
        <v>14166</v>
      </c>
      <c r="I222" s="122" t="s">
        <v>14167</v>
      </c>
      <c r="K222" s="122" t="s">
        <v>3385</v>
      </c>
      <c r="L222" s="122" t="s">
        <v>3386</v>
      </c>
      <c r="M222" s="122" t="s">
        <v>3405</v>
      </c>
      <c r="O222" s="141" t="s">
        <v>1055</v>
      </c>
      <c r="P222" s="141" t="s">
        <v>14168</v>
      </c>
      <c r="Q222" s="122" t="s">
        <v>3389</v>
      </c>
      <c r="R222" s="142">
        <v>19</v>
      </c>
      <c r="S222" s="122" t="s">
        <v>14169</v>
      </c>
      <c r="U222" s="122" t="s">
        <v>3538</v>
      </c>
      <c r="W222" s="122" t="s">
        <v>246</v>
      </c>
      <c r="X222" s="122" t="s">
        <v>1121</v>
      </c>
      <c r="Y222" s="141" t="s">
        <v>3520</v>
      </c>
      <c r="Z222" s="122" t="s">
        <v>14170</v>
      </c>
      <c r="AA222" s="141" t="s">
        <v>1289</v>
      </c>
      <c r="AB222" s="122" t="s">
        <v>14171</v>
      </c>
      <c r="AC222" s="141" t="s">
        <v>1015</v>
      </c>
      <c r="AD222" s="122" t="s">
        <v>14171</v>
      </c>
      <c r="AE222" s="122" t="s">
        <v>235</v>
      </c>
      <c r="AF222" s="122" t="s">
        <v>14172</v>
      </c>
      <c r="AG222" s="122" t="s">
        <v>537</v>
      </c>
      <c r="AH222" s="122" t="s">
        <v>253</v>
      </c>
      <c r="AI222" s="122" t="s">
        <v>14173</v>
      </c>
      <c r="AJ222" s="122" t="s">
        <v>14174</v>
      </c>
      <c r="AK222" s="122" t="s">
        <v>253</v>
      </c>
      <c r="AL222" s="122" t="s">
        <v>253</v>
      </c>
      <c r="AM222" s="122" t="s">
        <v>253</v>
      </c>
      <c r="AN222" s="122" t="s">
        <v>253</v>
      </c>
      <c r="AO222" s="141" t="s">
        <v>247</v>
      </c>
      <c r="AP222" s="141" t="s">
        <v>253</v>
      </c>
      <c r="AQ222" s="141" t="s">
        <v>247</v>
      </c>
      <c r="AR222" s="141" t="s">
        <v>253</v>
      </c>
      <c r="AS222" s="141" t="s">
        <v>601</v>
      </c>
      <c r="AT222" s="141" t="s">
        <v>601</v>
      </c>
      <c r="AU222" s="141" t="s">
        <v>258</v>
      </c>
      <c r="AV222" s="122" t="s">
        <v>259</v>
      </c>
      <c r="AW222" s="122" t="s">
        <v>260</v>
      </c>
      <c r="AY222" s="122" t="s">
        <v>253</v>
      </c>
      <c r="AZ222" s="122" t="s">
        <v>14175</v>
      </c>
      <c r="BA222" s="122" t="s">
        <v>262</v>
      </c>
      <c r="BB222" s="122" t="s">
        <v>262</v>
      </c>
      <c r="BD222" s="122" t="s">
        <v>253</v>
      </c>
      <c r="BE222" s="122" t="s">
        <v>263</v>
      </c>
      <c r="BF222" s="122" t="s">
        <v>3547</v>
      </c>
      <c r="BH222" s="122" t="s">
        <v>3538</v>
      </c>
      <c r="BI222" s="142">
        <v>19</v>
      </c>
    </row>
    <row r="223" spans="1:65" x14ac:dyDescent="0.25">
      <c r="A223" s="122" t="s">
        <v>279</v>
      </c>
      <c r="B223" s="122" t="s">
        <v>14176</v>
      </c>
      <c r="C223" s="122" t="s">
        <v>14177</v>
      </c>
      <c r="D223" s="122" t="s">
        <v>14178</v>
      </c>
      <c r="E223" s="123">
        <v>42233</v>
      </c>
      <c r="F223" s="122" t="s">
        <v>14179</v>
      </c>
      <c r="G223" s="122" t="s">
        <v>235</v>
      </c>
      <c r="H223" s="122" t="s">
        <v>14180</v>
      </c>
      <c r="I223" s="122" t="s">
        <v>14181</v>
      </c>
      <c r="K223" s="122" t="s">
        <v>3385</v>
      </c>
      <c r="L223" s="122" t="s">
        <v>3386</v>
      </c>
      <c r="M223" s="122" t="s">
        <v>3405</v>
      </c>
      <c r="O223" s="141" t="s">
        <v>665</v>
      </c>
      <c r="P223" s="141" t="s">
        <v>14182</v>
      </c>
      <c r="Q223" s="122" t="s">
        <v>3389</v>
      </c>
      <c r="R223" s="142">
        <v>20</v>
      </c>
      <c r="S223" s="122" t="s">
        <v>14183</v>
      </c>
      <c r="U223" s="122" t="s">
        <v>3538</v>
      </c>
      <c r="W223" s="122" t="s">
        <v>246</v>
      </c>
      <c r="X223" s="122" t="s">
        <v>278</v>
      </c>
      <c r="Y223" s="141" t="s">
        <v>973</v>
      </c>
      <c r="Z223" s="122" t="s">
        <v>14184</v>
      </c>
      <c r="AA223" s="141" t="s">
        <v>570</v>
      </c>
      <c r="AB223" s="122" t="s">
        <v>741</v>
      </c>
      <c r="AC223" s="141" t="s">
        <v>1090</v>
      </c>
      <c r="AD223" s="122" t="s">
        <v>741</v>
      </c>
      <c r="AE223" s="122" t="s">
        <v>235</v>
      </c>
      <c r="AF223" s="122" t="s">
        <v>14185</v>
      </c>
      <c r="AG223" s="122" t="s">
        <v>537</v>
      </c>
      <c r="AH223" s="122" t="s">
        <v>253</v>
      </c>
      <c r="AI223" s="122" t="s">
        <v>14186</v>
      </c>
      <c r="AJ223" s="122" t="s">
        <v>14187</v>
      </c>
      <c r="AK223" s="122" t="s">
        <v>253</v>
      </c>
      <c r="AL223" s="122" t="s">
        <v>253</v>
      </c>
      <c r="AM223" s="122" t="s">
        <v>253</v>
      </c>
      <c r="AN223" s="122" t="s">
        <v>253</v>
      </c>
      <c r="AO223" s="141" t="s">
        <v>247</v>
      </c>
      <c r="AP223" s="141" t="s">
        <v>247</v>
      </c>
      <c r="AQ223" s="141" t="s">
        <v>247</v>
      </c>
      <c r="AR223" s="141" t="s">
        <v>247</v>
      </c>
      <c r="AS223" s="141" t="s">
        <v>601</v>
      </c>
      <c r="AT223" s="141" t="s">
        <v>601</v>
      </c>
      <c r="AU223" s="141" t="s">
        <v>601</v>
      </c>
      <c r="AV223" s="122" t="s">
        <v>259</v>
      </c>
      <c r="AW223" s="122" t="s">
        <v>260</v>
      </c>
      <c r="AY223" s="122" t="s">
        <v>253</v>
      </c>
      <c r="AZ223" s="122" t="s">
        <v>14188</v>
      </c>
      <c r="BA223" s="122" t="s">
        <v>262</v>
      </c>
      <c r="BB223" s="122" t="s">
        <v>14189</v>
      </c>
      <c r="BD223" s="122" t="s">
        <v>253</v>
      </c>
      <c r="BE223" s="122" t="s">
        <v>263</v>
      </c>
      <c r="BF223" s="122" t="s">
        <v>3547</v>
      </c>
      <c r="BH223" s="122" t="s">
        <v>3538</v>
      </c>
      <c r="BI223" s="142">
        <v>20</v>
      </c>
    </row>
    <row r="224" spans="1:65" x14ac:dyDescent="0.25">
      <c r="A224" s="122" t="s">
        <v>279</v>
      </c>
      <c r="B224" s="122" t="s">
        <v>14190</v>
      </c>
      <c r="C224" s="122" t="s">
        <v>14191</v>
      </c>
      <c r="D224" s="122" t="s">
        <v>14192</v>
      </c>
      <c r="E224" s="123">
        <v>42233</v>
      </c>
      <c r="F224" s="122" t="s">
        <v>12747</v>
      </c>
      <c r="G224" s="122" t="s">
        <v>235</v>
      </c>
      <c r="H224" s="122" t="s">
        <v>14193</v>
      </c>
      <c r="I224" s="122" t="s">
        <v>14194</v>
      </c>
      <c r="J224" s="122" t="s">
        <v>9602</v>
      </c>
      <c r="K224" s="122" t="s">
        <v>3385</v>
      </c>
      <c r="L224" s="122" t="s">
        <v>3386</v>
      </c>
      <c r="M224" s="122" t="s">
        <v>3405</v>
      </c>
      <c r="O224" s="141" t="s">
        <v>566</v>
      </c>
      <c r="P224" s="141" t="s">
        <v>14195</v>
      </c>
      <c r="Q224" s="122" t="s">
        <v>3389</v>
      </c>
      <c r="R224" s="142">
        <v>21</v>
      </c>
      <c r="S224" s="122" t="s">
        <v>14196</v>
      </c>
      <c r="U224" s="122" t="s">
        <v>3538</v>
      </c>
      <c r="W224" s="122" t="s">
        <v>246</v>
      </c>
      <c r="X224" s="122" t="s">
        <v>1121</v>
      </c>
      <c r="Y224" s="141" t="s">
        <v>685</v>
      </c>
      <c r="Z224" s="122" t="s">
        <v>14197</v>
      </c>
      <c r="AA224" s="141" t="s">
        <v>1289</v>
      </c>
      <c r="AB224" s="122" t="s">
        <v>14198</v>
      </c>
      <c r="AC224" s="141" t="s">
        <v>5981</v>
      </c>
      <c r="AD224" s="122" t="s">
        <v>14199</v>
      </c>
      <c r="AE224" s="122" t="s">
        <v>235</v>
      </c>
      <c r="AF224" s="122" t="s">
        <v>14200</v>
      </c>
      <c r="AG224" s="122" t="s">
        <v>537</v>
      </c>
      <c r="AH224" s="122" t="s">
        <v>253</v>
      </c>
      <c r="AI224" s="122" t="s">
        <v>14201</v>
      </c>
      <c r="AJ224" s="122" t="s">
        <v>14202</v>
      </c>
      <c r="AK224" s="122" t="s">
        <v>253</v>
      </c>
      <c r="AL224" s="122" t="s">
        <v>253</v>
      </c>
      <c r="AM224" s="122" t="s">
        <v>253</v>
      </c>
      <c r="AN224" s="122" t="s">
        <v>253</v>
      </c>
      <c r="AO224" s="141" t="s">
        <v>247</v>
      </c>
      <c r="AP224" s="141" t="s">
        <v>247</v>
      </c>
      <c r="AQ224" s="141" t="s">
        <v>247</v>
      </c>
      <c r="AR224" s="141" t="s">
        <v>253</v>
      </c>
      <c r="AS224" s="141" t="s">
        <v>601</v>
      </c>
      <c r="AT224" s="141" t="s">
        <v>601</v>
      </c>
      <c r="AU224" s="141" t="s">
        <v>258</v>
      </c>
      <c r="AV224" s="122" t="s">
        <v>259</v>
      </c>
      <c r="AW224" s="122" t="s">
        <v>260</v>
      </c>
      <c r="AY224" s="122" t="s">
        <v>253</v>
      </c>
      <c r="AZ224" s="122" t="s">
        <v>14203</v>
      </c>
      <c r="BA224" s="122" t="s">
        <v>262</v>
      </c>
      <c r="BB224" s="122" t="s">
        <v>262</v>
      </c>
      <c r="BD224" s="122" t="s">
        <v>253</v>
      </c>
      <c r="BE224" s="122" t="s">
        <v>263</v>
      </c>
      <c r="BF224" s="122" t="s">
        <v>3547</v>
      </c>
      <c r="BH224" s="122" t="s">
        <v>3538</v>
      </c>
      <c r="BI224" s="142">
        <v>21</v>
      </c>
    </row>
    <row r="225" spans="1:65" x14ac:dyDescent="0.25">
      <c r="A225" s="122" t="s">
        <v>279</v>
      </c>
      <c r="B225" s="122" t="s">
        <v>14204</v>
      </c>
      <c r="C225" s="122" t="s">
        <v>14205</v>
      </c>
      <c r="D225" s="122" t="s">
        <v>14206</v>
      </c>
      <c r="E225" s="123">
        <v>42233</v>
      </c>
      <c r="F225" s="122" t="s">
        <v>1981</v>
      </c>
      <c r="G225" s="122" t="s">
        <v>235</v>
      </c>
      <c r="H225" s="122" t="s">
        <v>14207</v>
      </c>
      <c r="I225" s="122" t="s">
        <v>14208</v>
      </c>
      <c r="J225" s="122" t="s">
        <v>14209</v>
      </c>
      <c r="K225" s="122" t="s">
        <v>3364</v>
      </c>
      <c r="L225" s="122" t="s">
        <v>3365</v>
      </c>
      <c r="M225" s="122" t="s">
        <v>3366</v>
      </c>
      <c r="O225" s="141" t="s">
        <v>780</v>
      </c>
      <c r="P225" s="141" t="s">
        <v>14210</v>
      </c>
      <c r="Q225" s="122" t="s">
        <v>3369</v>
      </c>
      <c r="R225" s="142">
        <v>22</v>
      </c>
      <c r="S225" s="122" t="s">
        <v>14211</v>
      </c>
      <c r="U225" s="122" t="s">
        <v>3538</v>
      </c>
      <c r="V225" s="122" t="s">
        <v>351</v>
      </c>
      <c r="W225" s="122" t="s">
        <v>246</v>
      </c>
      <c r="X225" s="122" t="s">
        <v>278</v>
      </c>
      <c r="Y225" s="141" t="s">
        <v>973</v>
      </c>
      <c r="Z225" s="122" t="s">
        <v>14212</v>
      </c>
      <c r="AA225" s="141" t="s">
        <v>1289</v>
      </c>
      <c r="AB225" s="122" t="s">
        <v>14213</v>
      </c>
      <c r="AD225" s="122" t="s">
        <v>250</v>
      </c>
      <c r="AE225" s="122" t="s">
        <v>235</v>
      </c>
      <c r="AF225" s="122" t="s">
        <v>14214</v>
      </c>
      <c r="AG225" s="122" t="s">
        <v>537</v>
      </c>
      <c r="AH225" s="122" t="s">
        <v>253</v>
      </c>
      <c r="AI225" s="122" t="s">
        <v>14215</v>
      </c>
      <c r="AJ225" s="122" t="s">
        <v>14216</v>
      </c>
      <c r="AK225" s="122" t="s">
        <v>253</v>
      </c>
      <c r="AL225" s="122" t="s">
        <v>253</v>
      </c>
      <c r="AM225" s="122" t="s">
        <v>253</v>
      </c>
      <c r="AN225" s="122" t="s">
        <v>253</v>
      </c>
      <c r="AO225" s="141" t="s">
        <v>247</v>
      </c>
      <c r="AP225" s="141" t="s">
        <v>253</v>
      </c>
      <c r="AQ225" s="141" t="s">
        <v>247</v>
      </c>
      <c r="AR225" s="141" t="s">
        <v>253</v>
      </c>
      <c r="AS225" s="141" t="s">
        <v>601</v>
      </c>
      <c r="AT225" s="141" t="s">
        <v>601</v>
      </c>
      <c r="AU225" s="141" t="s">
        <v>258</v>
      </c>
      <c r="AV225" s="122" t="s">
        <v>259</v>
      </c>
      <c r="AW225" s="122" t="s">
        <v>260</v>
      </c>
      <c r="AY225" s="122" t="s">
        <v>253</v>
      </c>
      <c r="AZ225" s="122" t="s">
        <v>14217</v>
      </c>
      <c r="BA225" s="122" t="s">
        <v>262</v>
      </c>
      <c r="BB225" s="122" t="s">
        <v>14218</v>
      </c>
      <c r="BD225" s="122" t="s">
        <v>253</v>
      </c>
      <c r="BE225" s="122" t="s">
        <v>263</v>
      </c>
      <c r="BF225" s="122" t="s">
        <v>3547</v>
      </c>
      <c r="BH225" s="122" t="s">
        <v>3538</v>
      </c>
      <c r="BI225" s="142">
        <v>22</v>
      </c>
    </row>
    <row r="226" spans="1:65" x14ac:dyDescent="0.25">
      <c r="A226" s="122" t="s">
        <v>279</v>
      </c>
      <c r="B226" s="122" t="s">
        <v>14219</v>
      </c>
      <c r="C226" s="122" t="s">
        <v>14220</v>
      </c>
      <c r="D226" s="122" t="s">
        <v>14221</v>
      </c>
      <c r="E226" s="123">
        <v>42233</v>
      </c>
      <c r="F226" s="122" t="s">
        <v>535</v>
      </c>
      <c r="G226" s="122" t="s">
        <v>235</v>
      </c>
      <c r="H226" s="122" t="s">
        <v>14222</v>
      </c>
      <c r="I226" s="122" t="s">
        <v>14223</v>
      </c>
      <c r="K226" s="122" t="s">
        <v>3452</v>
      </c>
      <c r="L226" s="122" t="s">
        <v>3453</v>
      </c>
      <c r="M226" s="122" t="s">
        <v>3454</v>
      </c>
      <c r="O226" s="141" t="s">
        <v>566</v>
      </c>
      <c r="P226" s="141" t="s">
        <v>14224</v>
      </c>
      <c r="Q226" s="122" t="s">
        <v>3389</v>
      </c>
      <c r="R226" s="142">
        <v>23</v>
      </c>
      <c r="S226" s="122" t="s">
        <v>14225</v>
      </c>
      <c r="U226" s="122" t="s">
        <v>3538</v>
      </c>
      <c r="W226" s="122" t="s">
        <v>246</v>
      </c>
      <c r="X226" s="122" t="s">
        <v>1121</v>
      </c>
      <c r="Z226" s="122" t="s">
        <v>250</v>
      </c>
      <c r="AB226" s="122" t="s">
        <v>250</v>
      </c>
      <c r="AD226" s="122" t="s">
        <v>250</v>
      </c>
      <c r="AE226" s="122" t="s">
        <v>235</v>
      </c>
      <c r="AF226" s="122" t="s">
        <v>14226</v>
      </c>
      <c r="AG226" s="122" t="s">
        <v>537</v>
      </c>
      <c r="AH226" s="122" t="s">
        <v>253</v>
      </c>
      <c r="AI226" s="122" t="s">
        <v>14227</v>
      </c>
      <c r="AJ226" s="122" t="s">
        <v>13677</v>
      </c>
      <c r="AK226" s="122" t="s">
        <v>253</v>
      </c>
      <c r="AL226" s="122" t="s">
        <v>253</v>
      </c>
      <c r="AM226" s="122" t="s">
        <v>253</v>
      </c>
      <c r="AN226" s="122" t="s">
        <v>253</v>
      </c>
      <c r="AO226" s="141" t="s">
        <v>247</v>
      </c>
      <c r="AP226" s="141" t="s">
        <v>247</v>
      </c>
      <c r="AQ226" s="141" t="s">
        <v>247</v>
      </c>
      <c r="AR226" s="141" t="s">
        <v>253</v>
      </c>
      <c r="AS226" s="141" t="s">
        <v>601</v>
      </c>
      <c r="AT226" s="141" t="s">
        <v>601</v>
      </c>
      <c r="AU226" s="141" t="s">
        <v>258</v>
      </c>
      <c r="AV226" s="122" t="s">
        <v>259</v>
      </c>
      <c r="AW226" s="122" t="s">
        <v>260</v>
      </c>
      <c r="AY226" s="122" t="s">
        <v>253</v>
      </c>
      <c r="AZ226" s="122" t="s">
        <v>14228</v>
      </c>
      <c r="BA226" s="122" t="s">
        <v>262</v>
      </c>
      <c r="BB226" s="122" t="s">
        <v>262</v>
      </c>
      <c r="BD226" s="122" t="s">
        <v>253</v>
      </c>
      <c r="BE226" s="122" t="s">
        <v>263</v>
      </c>
      <c r="BF226" s="122" t="s">
        <v>3547</v>
      </c>
      <c r="BH226" s="122" t="s">
        <v>3538</v>
      </c>
      <c r="BI226" s="142">
        <v>23</v>
      </c>
    </row>
    <row r="227" spans="1:65" x14ac:dyDescent="0.25">
      <c r="A227" s="122" t="s">
        <v>279</v>
      </c>
      <c r="B227" s="122" t="s">
        <v>14229</v>
      </c>
      <c r="C227" s="122" t="s">
        <v>14230</v>
      </c>
      <c r="D227" s="122" t="s">
        <v>14231</v>
      </c>
      <c r="E227" s="123">
        <v>42233</v>
      </c>
      <c r="F227" s="122" t="s">
        <v>4489</v>
      </c>
      <c r="G227" s="122" t="s">
        <v>235</v>
      </c>
      <c r="H227" s="122" t="s">
        <v>448</v>
      </c>
      <c r="I227" s="122" t="s">
        <v>14232</v>
      </c>
      <c r="K227" s="122" t="s">
        <v>3385</v>
      </c>
      <c r="L227" s="122" t="s">
        <v>3386</v>
      </c>
      <c r="M227" s="122" t="s">
        <v>3486</v>
      </c>
      <c r="O227" s="141" t="s">
        <v>613</v>
      </c>
      <c r="P227" s="141" t="s">
        <v>14233</v>
      </c>
      <c r="Q227" s="122" t="s">
        <v>3389</v>
      </c>
      <c r="R227" s="142">
        <v>24</v>
      </c>
      <c r="S227" s="122" t="s">
        <v>14234</v>
      </c>
      <c r="U227" s="122" t="s">
        <v>3538</v>
      </c>
      <c r="W227" s="122" t="s">
        <v>246</v>
      </c>
      <c r="X227" s="122" t="s">
        <v>739</v>
      </c>
      <c r="Y227" s="141" t="s">
        <v>570</v>
      </c>
      <c r="Z227" s="122" t="s">
        <v>14235</v>
      </c>
      <c r="AA227" s="141" t="s">
        <v>670</v>
      </c>
      <c r="AB227" s="122" t="s">
        <v>14236</v>
      </c>
      <c r="AC227" s="141" t="s">
        <v>672</v>
      </c>
      <c r="AD227" s="122" t="s">
        <v>14236</v>
      </c>
      <c r="AE227" s="122" t="s">
        <v>235</v>
      </c>
      <c r="AF227" s="122" t="s">
        <v>14237</v>
      </c>
      <c r="AG227" s="122" t="s">
        <v>253</v>
      </c>
      <c r="AH227" s="122" t="s">
        <v>253</v>
      </c>
      <c r="AI227" s="122" t="s">
        <v>14238</v>
      </c>
      <c r="AJ227" s="122" t="s">
        <v>14239</v>
      </c>
      <c r="AK227" s="122" t="s">
        <v>14240</v>
      </c>
      <c r="AL227" s="122" t="s">
        <v>253</v>
      </c>
      <c r="AM227" s="122" t="s">
        <v>253</v>
      </c>
      <c r="AN227" s="122" t="s">
        <v>253</v>
      </c>
      <c r="AO227" s="141" t="s">
        <v>247</v>
      </c>
      <c r="AP227" s="141" t="s">
        <v>253</v>
      </c>
      <c r="AQ227" s="141" t="s">
        <v>247</v>
      </c>
      <c r="AR227" s="141" t="s">
        <v>253</v>
      </c>
      <c r="AS227" s="141" t="s">
        <v>601</v>
      </c>
      <c r="AT227" s="141" t="s">
        <v>601</v>
      </c>
      <c r="AU227" s="141" t="s">
        <v>258</v>
      </c>
      <c r="AV227" s="122" t="s">
        <v>259</v>
      </c>
      <c r="AW227" s="122" t="s">
        <v>260</v>
      </c>
      <c r="AY227" s="122" t="s">
        <v>253</v>
      </c>
      <c r="AZ227" s="122" t="s">
        <v>262</v>
      </c>
      <c r="BA227" s="122" t="s">
        <v>14241</v>
      </c>
      <c r="BB227" s="122" t="s">
        <v>14241</v>
      </c>
      <c r="BC227" s="141" t="s">
        <v>312</v>
      </c>
      <c r="BD227" s="122" t="s">
        <v>253</v>
      </c>
      <c r="BE227" s="122" t="s">
        <v>263</v>
      </c>
      <c r="BF227" s="122" t="s">
        <v>3547</v>
      </c>
      <c r="BH227" s="122" t="s">
        <v>3538</v>
      </c>
      <c r="BI227" s="142">
        <v>24</v>
      </c>
    </row>
    <row r="228" spans="1:65" x14ac:dyDescent="0.25">
      <c r="A228" s="122" t="s">
        <v>326</v>
      </c>
      <c r="B228" s="122" t="s">
        <v>14242</v>
      </c>
      <c r="C228" s="122" t="s">
        <v>14243</v>
      </c>
      <c r="D228" s="122" t="s">
        <v>14244</v>
      </c>
      <c r="E228" s="123">
        <v>42233</v>
      </c>
      <c r="F228" s="122" t="s">
        <v>1372</v>
      </c>
      <c r="G228" s="122" t="s">
        <v>235</v>
      </c>
      <c r="H228" s="122" t="s">
        <v>14245</v>
      </c>
      <c r="I228" s="122" t="s">
        <v>14246</v>
      </c>
      <c r="K228" s="122" t="s">
        <v>3385</v>
      </c>
      <c r="L228" s="122" t="s">
        <v>3386</v>
      </c>
      <c r="M228" s="122" t="s">
        <v>3486</v>
      </c>
      <c r="O228" s="141" t="s">
        <v>4592</v>
      </c>
      <c r="P228" s="141" t="s">
        <v>14247</v>
      </c>
      <c r="Q228" s="122" t="s">
        <v>3389</v>
      </c>
      <c r="R228" s="142">
        <v>25</v>
      </c>
      <c r="S228" s="122" t="s">
        <v>14248</v>
      </c>
      <c r="U228" s="122" t="s">
        <v>3538</v>
      </c>
      <c r="W228" s="122" t="s">
        <v>246</v>
      </c>
      <c r="X228" s="122" t="s">
        <v>1377</v>
      </c>
      <c r="Y228" s="141" t="s">
        <v>784</v>
      </c>
      <c r="Z228" s="122" t="s">
        <v>14249</v>
      </c>
      <c r="AA228" s="141" t="s">
        <v>1423</v>
      </c>
      <c r="AB228" s="122" t="s">
        <v>249</v>
      </c>
      <c r="AC228" s="141" t="s">
        <v>1015</v>
      </c>
      <c r="AD228" s="122" t="s">
        <v>14250</v>
      </c>
      <c r="AE228" s="122" t="s">
        <v>235</v>
      </c>
      <c r="AF228" s="122" t="s">
        <v>14251</v>
      </c>
      <c r="AG228" s="122" t="s">
        <v>537</v>
      </c>
      <c r="AH228" s="122" t="s">
        <v>253</v>
      </c>
      <c r="AI228" s="122" t="s">
        <v>14252</v>
      </c>
      <c r="AJ228" s="122" t="s">
        <v>14253</v>
      </c>
      <c r="AK228" s="122" t="s">
        <v>253</v>
      </c>
      <c r="AL228" s="122" t="s">
        <v>253</v>
      </c>
      <c r="AM228" s="122" t="s">
        <v>253</v>
      </c>
      <c r="AN228" s="122" t="s">
        <v>253</v>
      </c>
      <c r="AO228" s="141" t="s">
        <v>247</v>
      </c>
      <c r="AP228" s="141" t="s">
        <v>247</v>
      </c>
      <c r="AQ228" s="141" t="s">
        <v>247</v>
      </c>
      <c r="AR228" s="141" t="s">
        <v>247</v>
      </c>
      <c r="AS228" s="141" t="s">
        <v>601</v>
      </c>
      <c r="AT228" s="141" t="s">
        <v>601</v>
      </c>
      <c r="AU228" s="141" t="s">
        <v>257</v>
      </c>
      <c r="AV228" s="122" t="s">
        <v>259</v>
      </c>
      <c r="AW228" s="122" t="s">
        <v>260</v>
      </c>
      <c r="AY228" s="122" t="s">
        <v>253</v>
      </c>
      <c r="AZ228" s="122" t="s">
        <v>14254</v>
      </c>
      <c r="BA228" s="122" t="s">
        <v>262</v>
      </c>
      <c r="BB228" s="122" t="s">
        <v>262</v>
      </c>
      <c r="BC228" s="141" t="s">
        <v>312</v>
      </c>
      <c r="BD228" s="122" t="s">
        <v>253</v>
      </c>
      <c r="BE228" s="122" t="s">
        <v>263</v>
      </c>
      <c r="BF228" s="122" t="s">
        <v>3547</v>
      </c>
      <c r="BH228" s="122" t="s">
        <v>3538</v>
      </c>
      <c r="BI228" s="142">
        <v>25</v>
      </c>
    </row>
    <row r="229" spans="1:65" x14ac:dyDescent="0.25">
      <c r="A229" s="122" t="s">
        <v>326</v>
      </c>
      <c r="B229" s="122" t="s">
        <v>14255</v>
      </c>
      <c r="C229" s="122" t="s">
        <v>14256</v>
      </c>
      <c r="D229" s="122" t="s">
        <v>14257</v>
      </c>
      <c r="E229" s="123">
        <v>42233</v>
      </c>
      <c r="F229" s="122" t="s">
        <v>7921</v>
      </c>
      <c r="G229" s="122" t="s">
        <v>235</v>
      </c>
      <c r="H229" s="122" t="s">
        <v>14258</v>
      </c>
      <c r="I229" s="122" t="s">
        <v>4051</v>
      </c>
      <c r="J229" s="122" t="s">
        <v>14259</v>
      </c>
      <c r="K229" s="122" t="s">
        <v>3385</v>
      </c>
      <c r="L229" s="122" t="s">
        <v>3386</v>
      </c>
      <c r="M229" s="122" t="s">
        <v>3405</v>
      </c>
      <c r="O229" s="141" t="s">
        <v>451</v>
      </c>
      <c r="P229" s="141" t="s">
        <v>14260</v>
      </c>
      <c r="Q229" s="122" t="s">
        <v>3389</v>
      </c>
      <c r="R229" s="142">
        <v>26</v>
      </c>
      <c r="S229" s="122" t="s">
        <v>14261</v>
      </c>
      <c r="U229" s="122" t="s">
        <v>3538</v>
      </c>
      <c r="W229" s="122" t="s">
        <v>246</v>
      </c>
      <c r="X229" s="122" t="s">
        <v>3147</v>
      </c>
      <c r="Y229" s="141" t="s">
        <v>2717</v>
      </c>
      <c r="Z229" s="122" t="s">
        <v>14262</v>
      </c>
      <c r="AA229" s="141" t="s">
        <v>3574</v>
      </c>
      <c r="AB229" s="122" t="s">
        <v>14263</v>
      </c>
      <c r="AC229" s="141" t="s">
        <v>899</v>
      </c>
      <c r="AD229" s="122" t="s">
        <v>355</v>
      </c>
      <c r="AE229" s="122" t="s">
        <v>235</v>
      </c>
      <c r="AF229" s="122" t="s">
        <v>14264</v>
      </c>
      <c r="AG229" s="122" t="s">
        <v>537</v>
      </c>
      <c r="AH229" s="122" t="s">
        <v>253</v>
      </c>
      <c r="AI229" s="122" t="s">
        <v>14265</v>
      </c>
      <c r="AJ229" s="122" t="s">
        <v>14266</v>
      </c>
      <c r="AK229" s="122" t="s">
        <v>253</v>
      </c>
      <c r="AL229" s="122" t="s">
        <v>253</v>
      </c>
      <c r="AM229" s="122" t="s">
        <v>253</v>
      </c>
      <c r="AN229" s="122" t="s">
        <v>253</v>
      </c>
      <c r="AO229" s="141" t="s">
        <v>247</v>
      </c>
      <c r="AP229" s="141" t="s">
        <v>247</v>
      </c>
      <c r="AQ229" s="141" t="s">
        <v>247</v>
      </c>
      <c r="AR229" s="141" t="s">
        <v>247</v>
      </c>
      <c r="AS229" s="141" t="s">
        <v>601</v>
      </c>
      <c r="AT229" s="141" t="s">
        <v>601</v>
      </c>
      <c r="AU229" s="141" t="s">
        <v>601</v>
      </c>
      <c r="AV229" s="122" t="s">
        <v>259</v>
      </c>
      <c r="AW229" s="122" t="s">
        <v>260</v>
      </c>
      <c r="AY229" s="122" t="s">
        <v>253</v>
      </c>
      <c r="AZ229" s="122" t="s">
        <v>14267</v>
      </c>
      <c r="BA229" s="122" t="s">
        <v>262</v>
      </c>
      <c r="BB229" s="122" t="s">
        <v>262</v>
      </c>
      <c r="BD229" s="122" t="s">
        <v>253</v>
      </c>
      <c r="BE229" s="122" t="s">
        <v>263</v>
      </c>
      <c r="BF229" s="122" t="s">
        <v>3547</v>
      </c>
      <c r="BH229" s="122" t="s">
        <v>3538</v>
      </c>
      <c r="BI229" s="142">
        <v>26</v>
      </c>
    </row>
    <row r="230" spans="1:65" x14ac:dyDescent="0.25">
      <c r="A230" s="122" t="s">
        <v>326</v>
      </c>
      <c r="B230" s="122" t="s">
        <v>14268</v>
      </c>
      <c r="C230" s="122" t="s">
        <v>14269</v>
      </c>
      <c r="D230" s="122" t="s">
        <v>14270</v>
      </c>
      <c r="E230" s="123">
        <v>42233</v>
      </c>
      <c r="F230" s="122" t="s">
        <v>834</v>
      </c>
      <c r="G230" s="122" t="s">
        <v>235</v>
      </c>
      <c r="H230" s="122" t="s">
        <v>14271</v>
      </c>
      <c r="I230" s="122" t="s">
        <v>14272</v>
      </c>
      <c r="K230" s="122" t="s">
        <v>3533</v>
      </c>
      <c r="L230" s="122" t="s">
        <v>3534</v>
      </c>
      <c r="M230" s="122" t="s">
        <v>3535</v>
      </c>
      <c r="O230" s="141" t="s">
        <v>348</v>
      </c>
      <c r="P230" s="141" t="s">
        <v>14273</v>
      </c>
      <c r="Q230" s="122" t="s">
        <v>3369</v>
      </c>
      <c r="R230" s="142">
        <v>27</v>
      </c>
      <c r="S230" s="122" t="s">
        <v>14274</v>
      </c>
      <c r="U230" s="122" t="s">
        <v>3538</v>
      </c>
      <c r="V230" s="122" t="s">
        <v>351</v>
      </c>
      <c r="W230" s="122" t="s">
        <v>246</v>
      </c>
      <c r="X230" s="122" t="s">
        <v>3147</v>
      </c>
      <c r="Z230" s="122" t="s">
        <v>250</v>
      </c>
      <c r="AB230" s="122" t="s">
        <v>250</v>
      </c>
      <c r="AD230" s="122" t="s">
        <v>250</v>
      </c>
      <c r="AE230" s="122" t="s">
        <v>235</v>
      </c>
      <c r="AF230" s="122" t="s">
        <v>14275</v>
      </c>
      <c r="AG230" s="122" t="s">
        <v>537</v>
      </c>
      <c r="AH230" s="122" t="s">
        <v>253</v>
      </c>
      <c r="AI230" s="122" t="s">
        <v>14276</v>
      </c>
      <c r="AJ230" s="122" t="s">
        <v>14277</v>
      </c>
      <c r="AK230" s="122" t="s">
        <v>14278</v>
      </c>
      <c r="AL230" s="122" t="s">
        <v>253</v>
      </c>
      <c r="AM230" s="122" t="s">
        <v>253</v>
      </c>
      <c r="AN230" s="122" t="s">
        <v>253</v>
      </c>
      <c r="AO230" s="141" t="s">
        <v>253</v>
      </c>
      <c r="AP230" s="141" t="s">
        <v>253</v>
      </c>
      <c r="AQ230" s="141" t="s">
        <v>247</v>
      </c>
      <c r="AR230" s="141" t="s">
        <v>253</v>
      </c>
      <c r="AS230" s="141" t="s">
        <v>361</v>
      </c>
      <c r="AT230" s="141" t="s">
        <v>601</v>
      </c>
      <c r="AU230" s="141" t="s">
        <v>258</v>
      </c>
      <c r="AV230" s="122" t="s">
        <v>259</v>
      </c>
      <c r="AW230" s="122" t="s">
        <v>260</v>
      </c>
      <c r="AY230" s="122" t="s">
        <v>253</v>
      </c>
      <c r="AZ230" s="122" t="s">
        <v>14279</v>
      </c>
      <c r="BA230" s="122" t="s">
        <v>262</v>
      </c>
      <c r="BB230" s="122" t="s">
        <v>262</v>
      </c>
      <c r="BD230" s="122" t="s">
        <v>253</v>
      </c>
      <c r="BE230" s="122" t="s">
        <v>263</v>
      </c>
      <c r="BF230" s="122" t="s">
        <v>3547</v>
      </c>
      <c r="BH230" s="122" t="s">
        <v>3538</v>
      </c>
      <c r="BI230" s="142">
        <v>27</v>
      </c>
      <c r="BJ230" s="123">
        <v>42235</v>
      </c>
      <c r="BK230" s="139" t="s">
        <v>264</v>
      </c>
      <c r="BL230" s="140">
        <v>19.98</v>
      </c>
      <c r="BM230" s="122">
        <v>34</v>
      </c>
    </row>
    <row r="231" spans="1:65" x14ac:dyDescent="0.25">
      <c r="A231" s="122" t="s">
        <v>326</v>
      </c>
      <c r="B231" s="122" t="s">
        <v>14280</v>
      </c>
      <c r="C231" s="122" t="s">
        <v>14281</v>
      </c>
      <c r="D231" s="122" t="s">
        <v>14282</v>
      </c>
      <c r="E231" s="123">
        <v>42233</v>
      </c>
      <c r="F231" s="122" t="s">
        <v>14283</v>
      </c>
      <c r="G231" s="122" t="s">
        <v>235</v>
      </c>
      <c r="H231" s="122" t="s">
        <v>14284</v>
      </c>
      <c r="I231" s="122" t="s">
        <v>14285</v>
      </c>
      <c r="K231" s="122" t="s">
        <v>3385</v>
      </c>
      <c r="L231" s="122" t="s">
        <v>3554</v>
      </c>
      <c r="M231" s="122" t="s">
        <v>3555</v>
      </c>
      <c r="O231" s="141" t="s">
        <v>14286</v>
      </c>
      <c r="P231" s="141" t="s">
        <v>14287</v>
      </c>
      <c r="Q231" s="122" t="s">
        <v>3389</v>
      </c>
      <c r="R231" s="142">
        <v>28</v>
      </c>
      <c r="S231" s="122" t="s">
        <v>14288</v>
      </c>
      <c r="U231" s="122" t="s">
        <v>3538</v>
      </c>
      <c r="W231" s="122" t="s">
        <v>246</v>
      </c>
      <c r="X231" s="122" t="s">
        <v>433</v>
      </c>
      <c r="Y231" s="141" t="s">
        <v>1258</v>
      </c>
      <c r="Z231" s="122" t="s">
        <v>1792</v>
      </c>
      <c r="AA231" s="141" t="s">
        <v>1498</v>
      </c>
      <c r="AB231" s="122" t="s">
        <v>669</v>
      </c>
      <c r="AC231" s="141" t="s">
        <v>724</v>
      </c>
      <c r="AD231" s="122" t="s">
        <v>14289</v>
      </c>
      <c r="AE231" s="122" t="s">
        <v>235</v>
      </c>
      <c r="AF231" s="122" t="s">
        <v>14290</v>
      </c>
      <c r="AG231" s="122" t="s">
        <v>253</v>
      </c>
      <c r="AH231" s="122" t="s">
        <v>253</v>
      </c>
      <c r="AI231" s="122" t="s">
        <v>14291</v>
      </c>
      <c r="AJ231" s="122" t="s">
        <v>14292</v>
      </c>
      <c r="AK231" s="122" t="s">
        <v>14293</v>
      </c>
      <c r="AL231" s="122" t="s">
        <v>253</v>
      </c>
      <c r="AM231" s="122" t="s">
        <v>253</v>
      </c>
      <c r="AN231" s="122" t="s">
        <v>253</v>
      </c>
      <c r="AO231" s="141" t="s">
        <v>247</v>
      </c>
      <c r="AP231" s="141" t="s">
        <v>253</v>
      </c>
      <c r="AQ231" s="141" t="s">
        <v>247</v>
      </c>
      <c r="AR231" s="141" t="s">
        <v>253</v>
      </c>
      <c r="AS231" s="141" t="s">
        <v>601</v>
      </c>
      <c r="AT231" s="141" t="s">
        <v>601</v>
      </c>
      <c r="AU231" s="141" t="s">
        <v>258</v>
      </c>
      <c r="AV231" s="122" t="s">
        <v>259</v>
      </c>
      <c r="AW231" s="122" t="s">
        <v>260</v>
      </c>
      <c r="AY231" s="122" t="s">
        <v>253</v>
      </c>
      <c r="AZ231" s="122" t="s">
        <v>14294</v>
      </c>
      <c r="BA231" s="122" t="s">
        <v>262</v>
      </c>
      <c r="BB231" s="122" t="s">
        <v>262</v>
      </c>
      <c r="BC231" s="141" t="s">
        <v>312</v>
      </c>
      <c r="BD231" s="122" t="s">
        <v>253</v>
      </c>
      <c r="BE231" s="122" t="s">
        <v>263</v>
      </c>
      <c r="BF231" s="122" t="s">
        <v>3547</v>
      </c>
      <c r="BH231" s="122" t="s">
        <v>3538</v>
      </c>
      <c r="BI231" s="142">
        <v>28</v>
      </c>
    </row>
    <row r="232" spans="1:65" x14ac:dyDescent="0.25">
      <c r="A232" s="122" t="s">
        <v>326</v>
      </c>
      <c r="B232" s="122" t="s">
        <v>14295</v>
      </c>
      <c r="C232" s="122" t="s">
        <v>14296</v>
      </c>
      <c r="D232" s="122" t="s">
        <v>14297</v>
      </c>
      <c r="E232" s="123">
        <v>42233</v>
      </c>
      <c r="F232" s="122" t="s">
        <v>1325</v>
      </c>
      <c r="G232" s="122" t="s">
        <v>235</v>
      </c>
      <c r="H232" s="122" t="s">
        <v>14298</v>
      </c>
      <c r="I232" s="122" t="s">
        <v>14299</v>
      </c>
      <c r="K232" s="122" t="s">
        <v>3385</v>
      </c>
      <c r="L232" s="122" t="s">
        <v>3554</v>
      </c>
      <c r="M232" s="122" t="s">
        <v>3555</v>
      </c>
      <c r="O232" s="141" t="s">
        <v>451</v>
      </c>
      <c r="P232" s="141" t="s">
        <v>14300</v>
      </c>
      <c r="Q232" s="122" t="s">
        <v>3389</v>
      </c>
      <c r="R232" s="142">
        <v>29</v>
      </c>
      <c r="S232" s="122" t="s">
        <v>14301</v>
      </c>
      <c r="U232" s="122" t="s">
        <v>3538</v>
      </c>
      <c r="W232" s="122" t="s">
        <v>246</v>
      </c>
      <c r="X232" s="122" t="s">
        <v>1377</v>
      </c>
      <c r="Y232" s="141" t="s">
        <v>1125</v>
      </c>
      <c r="Z232" s="122" t="s">
        <v>14302</v>
      </c>
      <c r="AA232" s="141" t="s">
        <v>722</v>
      </c>
      <c r="AB232" s="122" t="s">
        <v>14303</v>
      </c>
      <c r="AC232" s="141" t="s">
        <v>3910</v>
      </c>
      <c r="AD232" s="122" t="s">
        <v>14304</v>
      </c>
      <c r="AE232" s="122" t="s">
        <v>235</v>
      </c>
      <c r="AF232" s="122" t="s">
        <v>14305</v>
      </c>
      <c r="AG232" s="122" t="s">
        <v>537</v>
      </c>
      <c r="AH232" s="122" t="s">
        <v>253</v>
      </c>
      <c r="AI232" s="122" t="s">
        <v>14306</v>
      </c>
      <c r="AJ232" s="122" t="s">
        <v>7020</v>
      </c>
      <c r="AK232" s="122" t="s">
        <v>253</v>
      </c>
      <c r="AL232" s="122" t="s">
        <v>253</v>
      </c>
      <c r="AM232" s="122" t="s">
        <v>253</v>
      </c>
      <c r="AN232" s="122" t="s">
        <v>253</v>
      </c>
      <c r="AO232" s="141" t="s">
        <v>247</v>
      </c>
      <c r="AP232" s="141" t="s">
        <v>247</v>
      </c>
      <c r="AQ232" s="141" t="s">
        <v>247</v>
      </c>
      <c r="AR232" s="141" t="s">
        <v>247</v>
      </c>
      <c r="AS232" s="141" t="s">
        <v>601</v>
      </c>
      <c r="AT232" s="141" t="s">
        <v>601</v>
      </c>
      <c r="AU232" s="141" t="s">
        <v>601</v>
      </c>
      <c r="AV232" s="122" t="s">
        <v>259</v>
      </c>
      <c r="AW232" s="122" t="s">
        <v>260</v>
      </c>
      <c r="AY232" s="122" t="s">
        <v>253</v>
      </c>
      <c r="AZ232" s="122" t="s">
        <v>14307</v>
      </c>
      <c r="BA232" s="122" t="s">
        <v>262</v>
      </c>
      <c r="BB232" s="122" t="s">
        <v>262</v>
      </c>
      <c r="BD232" s="122" t="s">
        <v>253</v>
      </c>
      <c r="BE232" s="122" t="s">
        <v>263</v>
      </c>
      <c r="BF232" s="122" t="s">
        <v>3547</v>
      </c>
      <c r="BH232" s="122" t="s">
        <v>3538</v>
      </c>
      <c r="BI232" s="142">
        <v>29</v>
      </c>
    </row>
    <row r="233" spans="1:65" x14ac:dyDescent="0.25">
      <c r="A233" s="122" t="s">
        <v>326</v>
      </c>
      <c r="B233" s="122" t="s">
        <v>14308</v>
      </c>
      <c r="C233" s="122" t="s">
        <v>14309</v>
      </c>
      <c r="D233" s="122" t="s">
        <v>14310</v>
      </c>
      <c r="E233" s="123">
        <v>42233</v>
      </c>
      <c r="F233" s="122" t="s">
        <v>230</v>
      </c>
      <c r="G233" s="122" t="s">
        <v>235</v>
      </c>
      <c r="H233" s="122" t="s">
        <v>14311</v>
      </c>
      <c r="I233" s="122" t="s">
        <v>14312</v>
      </c>
      <c r="K233" s="122" t="s">
        <v>3385</v>
      </c>
      <c r="L233" s="122" t="s">
        <v>3554</v>
      </c>
      <c r="M233" s="122" t="s">
        <v>3846</v>
      </c>
      <c r="Q233" s="122" t="s">
        <v>3389</v>
      </c>
      <c r="R233" s="142">
        <v>30</v>
      </c>
      <c r="S233" s="122" t="s">
        <v>14313</v>
      </c>
      <c r="U233" s="122" t="s">
        <v>3538</v>
      </c>
      <c r="W233" s="122" t="s">
        <v>246</v>
      </c>
      <c r="X233" s="122" t="s">
        <v>1377</v>
      </c>
      <c r="Y233" s="141" t="s">
        <v>6536</v>
      </c>
      <c r="Z233" s="122" t="s">
        <v>533</v>
      </c>
      <c r="AA233" s="141" t="s">
        <v>498</v>
      </c>
      <c r="AB233" s="122" t="s">
        <v>355</v>
      </c>
      <c r="AC233" s="141" t="s">
        <v>498</v>
      </c>
      <c r="AD233" s="122" t="s">
        <v>14314</v>
      </c>
      <c r="AE233" s="122" t="s">
        <v>235</v>
      </c>
      <c r="AF233" s="122" t="s">
        <v>14315</v>
      </c>
      <c r="AG233" s="122" t="s">
        <v>537</v>
      </c>
      <c r="AH233" s="122" t="s">
        <v>253</v>
      </c>
      <c r="AI233" s="122" t="s">
        <v>14316</v>
      </c>
      <c r="AJ233" s="122" t="s">
        <v>14317</v>
      </c>
      <c r="AK233" s="122" t="s">
        <v>14318</v>
      </c>
      <c r="AL233" s="122" t="s">
        <v>253</v>
      </c>
      <c r="AM233" s="122" t="s">
        <v>253</v>
      </c>
      <c r="AN233" s="122" t="s">
        <v>253</v>
      </c>
      <c r="AO233" s="141" t="s">
        <v>247</v>
      </c>
      <c r="AP233" s="141" t="s">
        <v>253</v>
      </c>
      <c r="AQ233" s="141" t="s">
        <v>253</v>
      </c>
      <c r="AR233" s="141" t="s">
        <v>253</v>
      </c>
      <c r="AS233" s="141" t="s">
        <v>601</v>
      </c>
      <c r="AT233" s="141" t="s">
        <v>258</v>
      </c>
      <c r="AU233" s="141" t="s">
        <v>258</v>
      </c>
      <c r="AV233" s="122" t="s">
        <v>259</v>
      </c>
      <c r="AW233" s="122" t="s">
        <v>260</v>
      </c>
      <c r="AY233" s="122" t="s">
        <v>253</v>
      </c>
      <c r="AZ233" s="122" t="s">
        <v>14319</v>
      </c>
      <c r="BA233" s="122" t="s">
        <v>262</v>
      </c>
      <c r="BB233" s="122" t="s">
        <v>262</v>
      </c>
      <c r="BD233" s="122" t="s">
        <v>253</v>
      </c>
      <c r="BE233" s="122" t="s">
        <v>263</v>
      </c>
      <c r="BF233" s="122" t="s">
        <v>3547</v>
      </c>
      <c r="BH233" s="122" t="s">
        <v>3538</v>
      </c>
      <c r="BI233" s="142">
        <v>30</v>
      </c>
    </row>
    <row r="234" spans="1:65" x14ac:dyDescent="0.25">
      <c r="A234" s="122" t="s">
        <v>326</v>
      </c>
      <c r="B234" s="122" t="s">
        <v>14320</v>
      </c>
      <c r="C234" s="122" t="s">
        <v>14321</v>
      </c>
      <c r="D234" s="122" t="s">
        <v>14322</v>
      </c>
      <c r="E234" s="123">
        <v>42233</v>
      </c>
      <c r="F234" s="122" t="s">
        <v>845</v>
      </c>
      <c r="G234" s="122" t="s">
        <v>235</v>
      </c>
      <c r="H234" s="122" t="s">
        <v>14323</v>
      </c>
      <c r="I234" s="122" t="s">
        <v>14324</v>
      </c>
      <c r="K234" s="122" t="s">
        <v>3452</v>
      </c>
      <c r="L234" s="122" t="s">
        <v>3453</v>
      </c>
      <c r="M234" s="122" t="s">
        <v>3454</v>
      </c>
      <c r="O234" s="141" t="s">
        <v>1921</v>
      </c>
      <c r="P234" s="141" t="s">
        <v>14325</v>
      </c>
      <c r="Q234" s="122" t="s">
        <v>3389</v>
      </c>
      <c r="R234" s="142">
        <v>31</v>
      </c>
      <c r="S234" s="122" t="s">
        <v>14326</v>
      </c>
      <c r="U234" s="122" t="s">
        <v>3538</v>
      </c>
      <c r="W234" s="122" t="s">
        <v>246</v>
      </c>
      <c r="X234" s="122" t="s">
        <v>433</v>
      </c>
      <c r="Y234" s="141" t="s">
        <v>1440</v>
      </c>
      <c r="Z234" s="122" t="s">
        <v>14327</v>
      </c>
      <c r="AA234" s="141" t="s">
        <v>1090</v>
      </c>
      <c r="AB234" s="122" t="s">
        <v>14328</v>
      </c>
      <c r="AC234" s="141" t="s">
        <v>1327</v>
      </c>
      <c r="AD234" s="122" t="s">
        <v>14329</v>
      </c>
      <c r="AE234" s="122" t="s">
        <v>235</v>
      </c>
      <c r="AF234" s="122" t="s">
        <v>14330</v>
      </c>
      <c r="AG234" s="122" t="s">
        <v>253</v>
      </c>
      <c r="AH234" s="122" t="s">
        <v>253</v>
      </c>
      <c r="AI234" s="122" t="s">
        <v>10940</v>
      </c>
      <c r="AJ234" s="122" t="s">
        <v>14331</v>
      </c>
      <c r="AK234" s="122" t="s">
        <v>14332</v>
      </c>
      <c r="AL234" s="122" t="s">
        <v>253</v>
      </c>
      <c r="AM234" s="122" t="s">
        <v>253</v>
      </c>
      <c r="AN234" s="122" t="s">
        <v>253</v>
      </c>
      <c r="AO234" s="141" t="s">
        <v>247</v>
      </c>
      <c r="AP234" s="141" t="s">
        <v>247</v>
      </c>
      <c r="AQ234" s="141" t="s">
        <v>247</v>
      </c>
      <c r="AR234" s="141" t="s">
        <v>253</v>
      </c>
      <c r="AS234" s="141" t="s">
        <v>601</v>
      </c>
      <c r="AT234" s="141" t="s">
        <v>601</v>
      </c>
      <c r="AU234" s="141" t="s">
        <v>258</v>
      </c>
      <c r="AV234" s="122" t="s">
        <v>259</v>
      </c>
      <c r="AW234" s="122" t="s">
        <v>260</v>
      </c>
      <c r="AY234" s="122" t="s">
        <v>253</v>
      </c>
      <c r="AZ234" s="122" t="s">
        <v>14333</v>
      </c>
      <c r="BA234" s="122" t="s">
        <v>262</v>
      </c>
      <c r="BB234" s="122" t="s">
        <v>262</v>
      </c>
      <c r="BC234" s="141" t="s">
        <v>312</v>
      </c>
      <c r="BD234" s="122" t="s">
        <v>253</v>
      </c>
      <c r="BE234" s="122" t="s">
        <v>263</v>
      </c>
      <c r="BF234" s="122" t="s">
        <v>3547</v>
      </c>
      <c r="BH234" s="122" t="s">
        <v>3538</v>
      </c>
      <c r="BI234" s="142">
        <v>31</v>
      </c>
    </row>
    <row r="235" spans="1:65" x14ac:dyDescent="0.25">
      <c r="A235" s="122" t="s">
        <v>326</v>
      </c>
      <c r="B235" s="122" t="s">
        <v>14334</v>
      </c>
      <c r="C235" s="122" t="s">
        <v>14335</v>
      </c>
      <c r="D235" s="122" t="s">
        <v>14336</v>
      </c>
      <c r="E235" s="123">
        <v>42233</v>
      </c>
      <c r="F235" s="122" t="s">
        <v>920</v>
      </c>
      <c r="G235" s="122" t="s">
        <v>235</v>
      </c>
      <c r="H235" s="122" t="s">
        <v>14337</v>
      </c>
      <c r="I235" s="122" t="s">
        <v>14338</v>
      </c>
      <c r="J235" s="122" t="s">
        <v>2951</v>
      </c>
      <c r="K235" s="122" t="s">
        <v>3385</v>
      </c>
      <c r="L235" s="122" t="s">
        <v>3386</v>
      </c>
      <c r="M235" s="122" t="s">
        <v>3405</v>
      </c>
      <c r="O235" s="141" t="s">
        <v>916</v>
      </c>
      <c r="P235" s="141" t="s">
        <v>14339</v>
      </c>
      <c r="Q235" s="122" t="s">
        <v>3389</v>
      </c>
      <c r="R235" s="142">
        <v>32</v>
      </c>
      <c r="S235" s="122" t="s">
        <v>14340</v>
      </c>
      <c r="U235" s="122" t="s">
        <v>3538</v>
      </c>
      <c r="W235" s="122" t="s">
        <v>246</v>
      </c>
      <c r="X235" s="122" t="s">
        <v>4409</v>
      </c>
      <c r="Y235" s="141" t="s">
        <v>1256</v>
      </c>
      <c r="Z235" s="122" t="s">
        <v>14341</v>
      </c>
      <c r="AB235" s="122" t="s">
        <v>250</v>
      </c>
      <c r="AD235" s="122" t="s">
        <v>250</v>
      </c>
      <c r="AE235" s="122" t="s">
        <v>235</v>
      </c>
      <c r="AF235" s="122" t="s">
        <v>14342</v>
      </c>
      <c r="AG235" s="122" t="s">
        <v>537</v>
      </c>
      <c r="AH235" s="122" t="s">
        <v>253</v>
      </c>
      <c r="AI235" s="122" t="s">
        <v>14343</v>
      </c>
      <c r="AJ235" s="122" t="s">
        <v>14344</v>
      </c>
      <c r="AK235" s="122" t="s">
        <v>253</v>
      </c>
      <c r="AL235" s="122" t="s">
        <v>253</v>
      </c>
      <c r="AM235" s="122" t="s">
        <v>253</v>
      </c>
      <c r="AN235" s="122" t="s">
        <v>253</v>
      </c>
      <c r="AO235" s="141" t="s">
        <v>247</v>
      </c>
      <c r="AP235" s="141" t="s">
        <v>247</v>
      </c>
      <c r="AQ235" s="141" t="s">
        <v>247</v>
      </c>
      <c r="AR235" s="141" t="s">
        <v>253</v>
      </c>
      <c r="AS235" s="141" t="s">
        <v>601</v>
      </c>
      <c r="AT235" s="141" t="s">
        <v>601</v>
      </c>
      <c r="AU235" s="141" t="s">
        <v>258</v>
      </c>
      <c r="AV235" s="122" t="s">
        <v>259</v>
      </c>
      <c r="AW235" s="122" t="s">
        <v>260</v>
      </c>
      <c r="AY235" s="122" t="s">
        <v>253</v>
      </c>
      <c r="AZ235" s="122" t="s">
        <v>14345</v>
      </c>
      <c r="BA235" s="122" t="s">
        <v>262</v>
      </c>
      <c r="BB235" s="122" t="s">
        <v>262</v>
      </c>
      <c r="BD235" s="122" t="s">
        <v>253</v>
      </c>
      <c r="BE235" s="122" t="s">
        <v>263</v>
      </c>
      <c r="BF235" s="122" t="s">
        <v>3547</v>
      </c>
      <c r="BH235" s="122" t="s">
        <v>3538</v>
      </c>
      <c r="BI235" s="142">
        <v>32</v>
      </c>
    </row>
    <row r="236" spans="1:65" x14ac:dyDescent="0.25">
      <c r="A236" s="122" t="s">
        <v>326</v>
      </c>
      <c r="B236" s="122" t="s">
        <v>14346</v>
      </c>
      <c r="C236" s="122" t="s">
        <v>14347</v>
      </c>
      <c r="D236" s="122" t="s">
        <v>14348</v>
      </c>
      <c r="E236" s="123">
        <v>42233</v>
      </c>
      <c r="F236" s="122" t="s">
        <v>14349</v>
      </c>
      <c r="G236" s="122" t="s">
        <v>235</v>
      </c>
      <c r="H236" s="122" t="s">
        <v>14350</v>
      </c>
      <c r="I236" s="122" t="s">
        <v>14351</v>
      </c>
      <c r="K236" s="122" t="s">
        <v>3385</v>
      </c>
      <c r="L236" s="122" t="s">
        <v>3386</v>
      </c>
      <c r="M236" s="122" t="s">
        <v>3486</v>
      </c>
      <c r="O236" s="141" t="s">
        <v>494</v>
      </c>
      <c r="P236" s="141" t="s">
        <v>14352</v>
      </c>
      <c r="Q236" s="122" t="s">
        <v>3389</v>
      </c>
      <c r="R236" s="142">
        <v>33</v>
      </c>
      <c r="S236" s="122" t="s">
        <v>14353</v>
      </c>
      <c r="U236" s="122" t="s">
        <v>3538</v>
      </c>
      <c r="W236" s="122" t="s">
        <v>246</v>
      </c>
      <c r="X236" s="122" t="s">
        <v>1377</v>
      </c>
      <c r="Y236" s="141" t="s">
        <v>1125</v>
      </c>
      <c r="Z236" s="122" t="s">
        <v>4899</v>
      </c>
      <c r="AA236" s="141" t="s">
        <v>819</v>
      </c>
      <c r="AB236" s="122" t="s">
        <v>2382</v>
      </c>
      <c r="AC236" s="141" t="s">
        <v>2250</v>
      </c>
      <c r="AD236" s="122" t="s">
        <v>14354</v>
      </c>
      <c r="AE236" s="122" t="s">
        <v>235</v>
      </c>
      <c r="AF236" s="122" t="s">
        <v>14355</v>
      </c>
      <c r="AG236" s="122" t="s">
        <v>537</v>
      </c>
      <c r="AH236" s="122" t="s">
        <v>253</v>
      </c>
      <c r="AI236" s="122" t="s">
        <v>14356</v>
      </c>
      <c r="AJ236" s="122" t="s">
        <v>14357</v>
      </c>
      <c r="AK236" s="122" t="s">
        <v>253</v>
      </c>
      <c r="AL236" s="122" t="s">
        <v>253</v>
      </c>
      <c r="AM236" s="122" t="s">
        <v>253</v>
      </c>
      <c r="AN236" s="122" t="s">
        <v>253</v>
      </c>
      <c r="AO236" s="141" t="s">
        <v>253</v>
      </c>
      <c r="AP236" s="141" t="s">
        <v>253</v>
      </c>
      <c r="AQ236" s="141" t="s">
        <v>247</v>
      </c>
      <c r="AR236" s="141" t="s">
        <v>247</v>
      </c>
      <c r="AS236" s="141" t="s">
        <v>361</v>
      </c>
      <c r="AT236" s="141" t="s">
        <v>601</v>
      </c>
      <c r="AU236" s="141" t="s">
        <v>257</v>
      </c>
      <c r="AV236" s="122" t="s">
        <v>259</v>
      </c>
      <c r="AW236" s="122" t="s">
        <v>260</v>
      </c>
      <c r="AY236" s="122" t="s">
        <v>253</v>
      </c>
      <c r="AZ236" s="122" t="s">
        <v>14358</v>
      </c>
      <c r="BA236" s="122" t="s">
        <v>262</v>
      </c>
      <c r="BB236" s="122" t="s">
        <v>14359</v>
      </c>
      <c r="BD236" s="122" t="s">
        <v>253</v>
      </c>
      <c r="BE236" s="122" t="s">
        <v>263</v>
      </c>
      <c r="BF236" s="122" t="s">
        <v>3547</v>
      </c>
      <c r="BH236" s="122" t="s">
        <v>3538</v>
      </c>
      <c r="BI236" s="142">
        <v>33</v>
      </c>
      <c r="BJ236" s="123">
        <v>42237</v>
      </c>
      <c r="BK236" s="139" t="s">
        <v>264</v>
      </c>
      <c r="BL236" s="140">
        <v>60</v>
      </c>
      <c r="BM236" s="122">
        <v>34</v>
      </c>
    </row>
    <row r="237" spans="1:65" x14ac:dyDescent="0.25">
      <c r="A237" s="122" t="s">
        <v>326</v>
      </c>
      <c r="B237" s="122" t="s">
        <v>14360</v>
      </c>
      <c r="C237" s="122" t="s">
        <v>14361</v>
      </c>
      <c r="D237" s="122" t="s">
        <v>14362</v>
      </c>
      <c r="E237" s="123">
        <v>42233</v>
      </c>
      <c r="F237" s="122" t="s">
        <v>2701</v>
      </c>
      <c r="G237" s="122" t="s">
        <v>235</v>
      </c>
      <c r="H237" s="122" t="s">
        <v>14363</v>
      </c>
      <c r="I237" s="122" t="s">
        <v>14364</v>
      </c>
      <c r="K237" s="122" t="s">
        <v>3385</v>
      </c>
      <c r="L237" s="122" t="s">
        <v>3386</v>
      </c>
      <c r="M237" s="122" t="s">
        <v>3486</v>
      </c>
      <c r="O237" s="141" t="s">
        <v>241</v>
      </c>
      <c r="P237" s="141" t="s">
        <v>14365</v>
      </c>
      <c r="Q237" s="122" t="s">
        <v>3389</v>
      </c>
      <c r="R237" s="142">
        <v>34</v>
      </c>
      <c r="S237" s="122" t="s">
        <v>14366</v>
      </c>
      <c r="T237" s="122" t="s">
        <v>14367</v>
      </c>
      <c r="U237" s="122" t="s">
        <v>3538</v>
      </c>
      <c r="W237" s="122" t="s">
        <v>246</v>
      </c>
      <c r="X237" s="122" t="s">
        <v>302</v>
      </c>
      <c r="Y237" s="141" t="s">
        <v>3037</v>
      </c>
      <c r="Z237" s="122" t="s">
        <v>14368</v>
      </c>
      <c r="AA237" s="141" t="s">
        <v>356</v>
      </c>
      <c r="AB237" s="122" t="s">
        <v>14369</v>
      </c>
      <c r="AC237" s="141" t="s">
        <v>1423</v>
      </c>
      <c r="AD237" s="122" t="s">
        <v>14370</v>
      </c>
      <c r="AE237" s="122" t="s">
        <v>235</v>
      </c>
      <c r="AF237" s="122" t="s">
        <v>14371</v>
      </c>
      <c r="AG237" s="122" t="s">
        <v>253</v>
      </c>
      <c r="AH237" s="122" t="s">
        <v>253</v>
      </c>
      <c r="AI237" s="122" t="s">
        <v>14372</v>
      </c>
      <c r="AJ237" s="122" t="s">
        <v>14373</v>
      </c>
      <c r="AK237" s="122" t="s">
        <v>253</v>
      </c>
      <c r="AL237" s="122" t="s">
        <v>14374</v>
      </c>
      <c r="AM237" s="122" t="s">
        <v>253</v>
      </c>
      <c r="AN237" s="122" t="s">
        <v>253</v>
      </c>
      <c r="AO237" s="141" t="s">
        <v>247</v>
      </c>
      <c r="AP237" s="141" t="s">
        <v>247</v>
      </c>
      <c r="AQ237" s="141" t="s">
        <v>247</v>
      </c>
      <c r="AR237" s="141" t="s">
        <v>253</v>
      </c>
      <c r="AS237" s="141" t="s">
        <v>601</v>
      </c>
      <c r="AT237" s="141" t="s">
        <v>601</v>
      </c>
      <c r="AU237" s="141" t="s">
        <v>258</v>
      </c>
      <c r="AV237" s="122" t="s">
        <v>259</v>
      </c>
      <c r="AW237" s="122" t="s">
        <v>260</v>
      </c>
      <c r="AX237" s="141" t="s">
        <v>14375</v>
      </c>
      <c r="AY237" s="122" t="s">
        <v>603</v>
      </c>
      <c r="AZ237" s="122" t="s">
        <v>14376</v>
      </c>
      <c r="BA237" s="122" t="s">
        <v>262</v>
      </c>
      <c r="BB237" s="122" t="s">
        <v>262</v>
      </c>
      <c r="BD237" s="122" t="s">
        <v>253</v>
      </c>
      <c r="BE237" s="122" t="s">
        <v>263</v>
      </c>
      <c r="BF237" s="122" t="s">
        <v>3547</v>
      </c>
      <c r="BH237" s="122" t="s">
        <v>3538</v>
      </c>
      <c r="BI237" s="142">
        <v>34</v>
      </c>
    </row>
    <row r="238" spans="1:65" x14ac:dyDescent="0.25">
      <c r="A238" s="122" t="s">
        <v>326</v>
      </c>
      <c r="B238" s="122" t="s">
        <v>14377</v>
      </c>
      <c r="C238" s="122" t="s">
        <v>14378</v>
      </c>
      <c r="D238" s="122" t="s">
        <v>14379</v>
      </c>
      <c r="E238" s="123">
        <v>42233</v>
      </c>
      <c r="F238" s="122" t="s">
        <v>14380</v>
      </c>
      <c r="G238" s="122" t="s">
        <v>235</v>
      </c>
      <c r="H238" s="122" t="s">
        <v>14381</v>
      </c>
      <c r="I238" s="122" t="s">
        <v>14382</v>
      </c>
      <c r="J238" s="122" t="s">
        <v>14383</v>
      </c>
      <c r="K238" s="122" t="s">
        <v>3364</v>
      </c>
      <c r="L238" s="122" t="s">
        <v>3365</v>
      </c>
      <c r="M238" s="122" t="s">
        <v>3366</v>
      </c>
      <c r="O238" s="141" t="s">
        <v>3977</v>
      </c>
      <c r="P238" s="141" t="s">
        <v>14384</v>
      </c>
      <c r="Q238" s="122" t="s">
        <v>3369</v>
      </c>
      <c r="R238" s="142">
        <v>35</v>
      </c>
      <c r="S238" s="122" t="s">
        <v>14385</v>
      </c>
      <c r="U238" s="122" t="s">
        <v>3538</v>
      </c>
      <c r="W238" s="122" t="s">
        <v>246</v>
      </c>
      <c r="X238" s="122" t="s">
        <v>1377</v>
      </c>
      <c r="Y238" s="141" t="s">
        <v>740</v>
      </c>
      <c r="Z238" s="122" t="s">
        <v>249</v>
      </c>
      <c r="AA238" s="141" t="s">
        <v>2010</v>
      </c>
      <c r="AB238" s="122" t="s">
        <v>14386</v>
      </c>
      <c r="AC238" s="141" t="s">
        <v>819</v>
      </c>
      <c r="AD238" s="122" t="s">
        <v>249</v>
      </c>
      <c r="AE238" s="122" t="s">
        <v>235</v>
      </c>
      <c r="AF238" s="122" t="s">
        <v>14387</v>
      </c>
      <c r="AG238" s="122" t="s">
        <v>537</v>
      </c>
      <c r="AH238" s="122" t="s">
        <v>253</v>
      </c>
      <c r="AI238" s="122" t="s">
        <v>7363</v>
      </c>
      <c r="AJ238" s="122" t="s">
        <v>14388</v>
      </c>
      <c r="AK238" s="122" t="s">
        <v>14389</v>
      </c>
      <c r="AL238" s="122" t="s">
        <v>253</v>
      </c>
      <c r="AM238" s="122" t="s">
        <v>253</v>
      </c>
      <c r="AN238" s="122" t="s">
        <v>253</v>
      </c>
      <c r="AO238" s="141" t="s">
        <v>247</v>
      </c>
      <c r="AP238" s="141" t="s">
        <v>247</v>
      </c>
      <c r="AQ238" s="141" t="s">
        <v>247</v>
      </c>
      <c r="AR238" s="141" t="s">
        <v>253</v>
      </c>
      <c r="AS238" s="141" t="s">
        <v>601</v>
      </c>
      <c r="AT238" s="141" t="s">
        <v>601</v>
      </c>
      <c r="AU238" s="141" t="s">
        <v>258</v>
      </c>
      <c r="AV238" s="122" t="s">
        <v>259</v>
      </c>
      <c r="AW238" s="122" t="s">
        <v>260</v>
      </c>
      <c r="AY238" s="122" t="s">
        <v>253</v>
      </c>
      <c r="AZ238" s="122" t="s">
        <v>14390</v>
      </c>
      <c r="BA238" s="122" t="s">
        <v>262</v>
      </c>
      <c r="BB238" s="122" t="s">
        <v>262</v>
      </c>
      <c r="BC238" s="141" t="s">
        <v>312</v>
      </c>
      <c r="BD238" s="122" t="s">
        <v>253</v>
      </c>
      <c r="BE238" s="122" t="s">
        <v>263</v>
      </c>
      <c r="BF238" s="122" t="s">
        <v>3547</v>
      </c>
      <c r="BH238" s="122" t="s">
        <v>3538</v>
      </c>
      <c r="BI238" s="142">
        <v>35</v>
      </c>
    </row>
    <row r="239" spans="1:65" x14ac:dyDescent="0.25">
      <c r="A239" s="122" t="s">
        <v>326</v>
      </c>
      <c r="B239" s="122" t="s">
        <v>14391</v>
      </c>
      <c r="C239" s="122" t="s">
        <v>14392</v>
      </c>
      <c r="D239" s="122" t="s">
        <v>14393</v>
      </c>
      <c r="E239" s="123">
        <v>42233</v>
      </c>
      <c r="F239" s="122" t="s">
        <v>1738</v>
      </c>
      <c r="G239" s="122" t="s">
        <v>235</v>
      </c>
      <c r="H239" s="122" t="s">
        <v>14394</v>
      </c>
      <c r="I239" s="122" t="s">
        <v>4311</v>
      </c>
      <c r="J239" s="122" t="s">
        <v>8720</v>
      </c>
      <c r="K239" s="122" t="s">
        <v>3385</v>
      </c>
      <c r="L239" s="122" t="s">
        <v>3554</v>
      </c>
      <c r="M239" s="122" t="s">
        <v>3555</v>
      </c>
      <c r="Q239" s="122" t="s">
        <v>3389</v>
      </c>
      <c r="R239" s="142">
        <v>36</v>
      </c>
      <c r="S239" s="122" t="s">
        <v>14395</v>
      </c>
      <c r="U239" s="122" t="s">
        <v>3538</v>
      </c>
      <c r="W239" s="122" t="s">
        <v>246</v>
      </c>
      <c r="X239" s="122" t="s">
        <v>1377</v>
      </c>
      <c r="Y239" s="141" t="s">
        <v>888</v>
      </c>
      <c r="Z239" s="122" t="s">
        <v>395</v>
      </c>
      <c r="AA239" s="141" t="s">
        <v>328</v>
      </c>
      <c r="AB239" s="122" t="s">
        <v>14396</v>
      </c>
      <c r="AC239" s="141" t="s">
        <v>899</v>
      </c>
      <c r="AD239" s="122" t="s">
        <v>14397</v>
      </c>
      <c r="AE239" s="122" t="s">
        <v>235</v>
      </c>
      <c r="AF239" s="122" t="s">
        <v>14398</v>
      </c>
      <c r="AG239" s="122" t="s">
        <v>638</v>
      </c>
      <c r="AH239" s="122" t="s">
        <v>253</v>
      </c>
      <c r="AI239" s="122" t="s">
        <v>14399</v>
      </c>
      <c r="AJ239" s="122" t="s">
        <v>14400</v>
      </c>
      <c r="AK239" s="122" t="s">
        <v>253</v>
      </c>
      <c r="AL239" s="122" t="s">
        <v>253</v>
      </c>
      <c r="AM239" s="122" t="s">
        <v>253</v>
      </c>
      <c r="AN239" s="122" t="s">
        <v>253</v>
      </c>
      <c r="AO239" s="141" t="s">
        <v>247</v>
      </c>
      <c r="AP239" s="141" t="s">
        <v>253</v>
      </c>
      <c r="AQ239" s="141" t="s">
        <v>253</v>
      </c>
      <c r="AR239" s="141" t="s">
        <v>253</v>
      </c>
      <c r="AS239" s="141" t="s">
        <v>601</v>
      </c>
      <c r="AT239" s="141" t="s">
        <v>258</v>
      </c>
      <c r="AU239" s="141" t="s">
        <v>258</v>
      </c>
      <c r="AV239" s="122" t="s">
        <v>259</v>
      </c>
      <c r="AW239" s="122" t="s">
        <v>260</v>
      </c>
      <c r="AX239" s="141" t="s">
        <v>14401</v>
      </c>
      <c r="AY239" s="122" t="s">
        <v>247</v>
      </c>
      <c r="AZ239" s="122" t="s">
        <v>14402</v>
      </c>
      <c r="BA239" s="122" t="s">
        <v>262</v>
      </c>
      <c r="BB239" s="122" t="s">
        <v>262</v>
      </c>
      <c r="BD239" s="122" t="s">
        <v>253</v>
      </c>
      <c r="BE239" s="122" t="s">
        <v>263</v>
      </c>
      <c r="BF239" s="122" t="s">
        <v>3547</v>
      </c>
      <c r="BH239" s="122" t="s">
        <v>3538</v>
      </c>
      <c r="BI239" s="142">
        <v>36</v>
      </c>
    </row>
    <row r="240" spans="1:65" x14ac:dyDescent="0.25">
      <c r="A240" s="122" t="s">
        <v>326</v>
      </c>
      <c r="B240" s="122" t="s">
        <v>14403</v>
      </c>
      <c r="C240" s="122" t="s">
        <v>14404</v>
      </c>
      <c r="D240" s="122" t="s">
        <v>14405</v>
      </c>
      <c r="E240" s="123">
        <v>42233</v>
      </c>
      <c r="F240" s="122" t="s">
        <v>14406</v>
      </c>
      <c r="G240" s="122" t="s">
        <v>235</v>
      </c>
      <c r="H240" s="122" t="s">
        <v>14407</v>
      </c>
      <c r="I240" s="122" t="s">
        <v>14408</v>
      </c>
      <c r="K240" s="122" t="s">
        <v>3364</v>
      </c>
      <c r="L240" s="122" t="s">
        <v>3365</v>
      </c>
      <c r="M240" s="122" t="s">
        <v>3366</v>
      </c>
      <c r="O240" s="141" t="s">
        <v>1921</v>
      </c>
      <c r="P240" s="141" t="s">
        <v>14409</v>
      </c>
      <c r="Q240" s="122" t="s">
        <v>3369</v>
      </c>
      <c r="R240" s="142">
        <v>37</v>
      </c>
      <c r="S240" s="122" t="s">
        <v>14410</v>
      </c>
      <c r="U240" s="122" t="s">
        <v>3538</v>
      </c>
      <c r="W240" s="122" t="s">
        <v>246</v>
      </c>
      <c r="X240" s="122" t="s">
        <v>1377</v>
      </c>
      <c r="Y240" s="141" t="s">
        <v>973</v>
      </c>
      <c r="Z240" s="122" t="s">
        <v>14411</v>
      </c>
      <c r="AA240" s="141" t="s">
        <v>2072</v>
      </c>
      <c r="AB240" s="122" t="s">
        <v>14412</v>
      </c>
      <c r="AC240" s="141" t="s">
        <v>744</v>
      </c>
      <c r="AD240" s="122" t="s">
        <v>14413</v>
      </c>
      <c r="AE240" s="122" t="s">
        <v>235</v>
      </c>
      <c r="AF240" s="122" t="s">
        <v>14414</v>
      </c>
      <c r="AG240" s="122" t="s">
        <v>2580</v>
      </c>
      <c r="AH240" s="122" t="s">
        <v>253</v>
      </c>
      <c r="AI240" s="122" t="s">
        <v>14415</v>
      </c>
      <c r="AJ240" s="122" t="s">
        <v>14416</v>
      </c>
      <c r="AK240" s="122" t="s">
        <v>253</v>
      </c>
      <c r="AL240" s="122" t="s">
        <v>253</v>
      </c>
      <c r="AM240" s="122" t="s">
        <v>253</v>
      </c>
      <c r="AN240" s="122" t="s">
        <v>253</v>
      </c>
      <c r="AO240" s="141" t="s">
        <v>247</v>
      </c>
      <c r="AP240" s="141" t="s">
        <v>247</v>
      </c>
      <c r="AQ240" s="141" t="s">
        <v>247</v>
      </c>
      <c r="AR240" s="141" t="s">
        <v>253</v>
      </c>
      <c r="AS240" s="141" t="s">
        <v>601</v>
      </c>
      <c r="AT240" s="141" t="s">
        <v>601</v>
      </c>
      <c r="AU240" s="141" t="s">
        <v>258</v>
      </c>
      <c r="AV240" s="122" t="s">
        <v>259</v>
      </c>
      <c r="AW240" s="122" t="s">
        <v>260</v>
      </c>
      <c r="AX240" s="141" t="s">
        <v>14417</v>
      </c>
      <c r="AY240" s="122" t="s">
        <v>442</v>
      </c>
      <c r="AZ240" s="122" t="s">
        <v>14418</v>
      </c>
      <c r="BA240" s="122" t="s">
        <v>262</v>
      </c>
      <c r="BB240" s="122" t="s">
        <v>14419</v>
      </c>
      <c r="BC240" s="141" t="s">
        <v>312</v>
      </c>
      <c r="BD240" s="122" t="s">
        <v>253</v>
      </c>
      <c r="BE240" s="122" t="s">
        <v>263</v>
      </c>
      <c r="BF240" s="122" t="s">
        <v>3547</v>
      </c>
      <c r="BH240" s="122" t="s">
        <v>3538</v>
      </c>
      <c r="BI240" s="142">
        <v>37</v>
      </c>
      <c r="BJ240" s="123">
        <v>42236</v>
      </c>
      <c r="BK240" s="139" t="s">
        <v>264</v>
      </c>
      <c r="BL240" s="140">
        <v>335.5</v>
      </c>
      <c r="BM240" s="122">
        <v>34</v>
      </c>
    </row>
    <row r="241" spans="1:65" x14ac:dyDescent="0.25">
      <c r="A241" s="122" t="s">
        <v>11841</v>
      </c>
      <c r="B241" s="122" t="s">
        <v>14420</v>
      </c>
      <c r="C241" s="122" t="s">
        <v>14421</v>
      </c>
      <c r="D241" s="122" t="s">
        <v>14422</v>
      </c>
      <c r="E241" s="123">
        <v>42233</v>
      </c>
      <c r="F241" s="122" t="s">
        <v>7483</v>
      </c>
      <c r="G241" s="122" t="s">
        <v>235</v>
      </c>
      <c r="H241" s="122" t="s">
        <v>14423</v>
      </c>
      <c r="I241" s="122" t="s">
        <v>14424</v>
      </c>
      <c r="K241" s="122" t="s">
        <v>3452</v>
      </c>
      <c r="L241" s="122" t="s">
        <v>3453</v>
      </c>
      <c r="M241" s="122" t="s">
        <v>3454</v>
      </c>
      <c r="O241" s="141" t="s">
        <v>451</v>
      </c>
      <c r="P241" s="141" t="s">
        <v>14425</v>
      </c>
      <c r="Q241" s="122" t="s">
        <v>3389</v>
      </c>
      <c r="R241" s="142">
        <v>38</v>
      </c>
      <c r="S241" s="122" t="s">
        <v>14426</v>
      </c>
      <c r="U241" s="122" t="s">
        <v>3538</v>
      </c>
      <c r="W241" s="122" t="s">
        <v>246</v>
      </c>
      <c r="X241" s="122" t="s">
        <v>247</v>
      </c>
      <c r="Y241" s="141" t="s">
        <v>956</v>
      </c>
      <c r="Z241" s="122" t="s">
        <v>14427</v>
      </c>
      <c r="AA241" s="141" t="s">
        <v>2804</v>
      </c>
      <c r="AB241" s="122" t="s">
        <v>14427</v>
      </c>
      <c r="AC241" s="141" t="s">
        <v>670</v>
      </c>
      <c r="AD241" s="122" t="s">
        <v>3489</v>
      </c>
      <c r="AE241" s="122" t="s">
        <v>235</v>
      </c>
      <c r="AF241" s="122" t="s">
        <v>14428</v>
      </c>
      <c r="AG241" s="122" t="s">
        <v>537</v>
      </c>
      <c r="AH241" s="122" t="s">
        <v>253</v>
      </c>
      <c r="AI241" s="122" t="s">
        <v>14429</v>
      </c>
      <c r="AJ241" s="122" t="s">
        <v>14430</v>
      </c>
      <c r="AK241" s="122" t="s">
        <v>253</v>
      </c>
      <c r="AL241" s="122" t="s">
        <v>253</v>
      </c>
      <c r="AM241" s="122" t="s">
        <v>253</v>
      </c>
      <c r="AN241" s="122" t="s">
        <v>253</v>
      </c>
      <c r="AO241" s="141" t="s">
        <v>247</v>
      </c>
      <c r="AP241" s="141" t="s">
        <v>247</v>
      </c>
      <c r="AQ241" s="141" t="s">
        <v>247</v>
      </c>
      <c r="AR241" s="141" t="s">
        <v>247</v>
      </c>
      <c r="AS241" s="141" t="s">
        <v>601</v>
      </c>
      <c r="AT241" s="141" t="s">
        <v>601</v>
      </c>
      <c r="AU241" s="141" t="s">
        <v>601</v>
      </c>
      <c r="AV241" s="122" t="s">
        <v>259</v>
      </c>
      <c r="AW241" s="122" t="s">
        <v>260</v>
      </c>
      <c r="AX241" s="141" t="s">
        <v>14431</v>
      </c>
      <c r="AY241" s="122" t="s">
        <v>442</v>
      </c>
      <c r="AZ241" s="122" t="s">
        <v>14432</v>
      </c>
      <c r="BA241" s="122" t="s">
        <v>262</v>
      </c>
      <c r="BB241" s="122" t="s">
        <v>262</v>
      </c>
      <c r="BD241" s="122" t="s">
        <v>253</v>
      </c>
      <c r="BE241" s="122" t="s">
        <v>263</v>
      </c>
      <c r="BF241" s="122" t="s">
        <v>3547</v>
      </c>
      <c r="BH241" s="122" t="s">
        <v>3538</v>
      </c>
      <c r="BI241" s="142">
        <v>38</v>
      </c>
    </row>
    <row r="242" spans="1:65" x14ac:dyDescent="0.25">
      <c r="A242" s="122" t="s">
        <v>11841</v>
      </c>
      <c r="B242" s="122" t="s">
        <v>14433</v>
      </c>
      <c r="C242" s="122" t="s">
        <v>14434</v>
      </c>
      <c r="D242" s="122" t="s">
        <v>14435</v>
      </c>
      <c r="E242" s="123">
        <v>42233</v>
      </c>
      <c r="F242" s="122" t="s">
        <v>14436</v>
      </c>
      <c r="G242" s="122" t="s">
        <v>235</v>
      </c>
      <c r="H242" s="122" t="s">
        <v>14437</v>
      </c>
      <c r="I242" s="122" t="s">
        <v>14438</v>
      </c>
      <c r="K242" s="122" t="s">
        <v>3385</v>
      </c>
      <c r="L242" s="122" t="s">
        <v>3386</v>
      </c>
      <c r="M242" s="122" t="s">
        <v>3387</v>
      </c>
      <c r="O242" s="141" t="s">
        <v>299</v>
      </c>
      <c r="P242" s="141" t="s">
        <v>14439</v>
      </c>
      <c r="Q242" s="122" t="s">
        <v>3389</v>
      </c>
      <c r="R242" s="142">
        <v>39</v>
      </c>
      <c r="S242" s="122" t="s">
        <v>14440</v>
      </c>
      <c r="U242" s="122" t="s">
        <v>3538</v>
      </c>
      <c r="W242" s="122" t="s">
        <v>246</v>
      </c>
      <c r="X242" s="122" t="s">
        <v>1225</v>
      </c>
      <c r="Y242" s="141" t="s">
        <v>973</v>
      </c>
      <c r="Z242" s="122" t="s">
        <v>14441</v>
      </c>
      <c r="AA242" s="141" t="s">
        <v>685</v>
      </c>
      <c r="AB242" s="122" t="s">
        <v>14442</v>
      </c>
      <c r="AC242" s="141" t="s">
        <v>3574</v>
      </c>
      <c r="AD242" s="122" t="s">
        <v>355</v>
      </c>
      <c r="AE242" s="122" t="s">
        <v>235</v>
      </c>
      <c r="AF242" s="122" t="s">
        <v>14443</v>
      </c>
      <c r="AG242" s="122" t="s">
        <v>537</v>
      </c>
      <c r="AH242" s="122" t="s">
        <v>253</v>
      </c>
      <c r="AI242" s="122" t="s">
        <v>14444</v>
      </c>
      <c r="AJ242" s="122" t="s">
        <v>14445</v>
      </c>
      <c r="AK242" s="122" t="s">
        <v>253</v>
      </c>
      <c r="AL242" s="122" t="s">
        <v>253</v>
      </c>
      <c r="AM242" s="122" t="s">
        <v>253</v>
      </c>
      <c r="AN242" s="122" t="s">
        <v>253</v>
      </c>
      <c r="AO242" s="141" t="s">
        <v>253</v>
      </c>
      <c r="AP242" s="141" t="s">
        <v>253</v>
      </c>
      <c r="AQ242" s="141" t="s">
        <v>247</v>
      </c>
      <c r="AR242" s="141" t="s">
        <v>253</v>
      </c>
      <c r="AS242" s="141" t="s">
        <v>361</v>
      </c>
      <c r="AT242" s="141" t="s">
        <v>601</v>
      </c>
      <c r="AU242" s="141" t="s">
        <v>258</v>
      </c>
      <c r="AV242" s="122" t="s">
        <v>259</v>
      </c>
      <c r="AW242" s="122" t="s">
        <v>260</v>
      </c>
      <c r="AY242" s="122" t="s">
        <v>253</v>
      </c>
      <c r="AZ242" s="122" t="s">
        <v>14446</v>
      </c>
      <c r="BA242" s="122" t="s">
        <v>262</v>
      </c>
      <c r="BB242" s="122" t="s">
        <v>14446</v>
      </c>
      <c r="BC242" s="141" t="s">
        <v>312</v>
      </c>
      <c r="BD242" s="122" t="s">
        <v>253</v>
      </c>
      <c r="BE242" s="122" t="s">
        <v>263</v>
      </c>
      <c r="BF242" s="122" t="s">
        <v>3547</v>
      </c>
      <c r="BH242" s="122" t="s">
        <v>3538</v>
      </c>
      <c r="BI242" s="142">
        <v>39</v>
      </c>
      <c r="BJ242" s="123">
        <v>42237</v>
      </c>
      <c r="BK242" s="139" t="s">
        <v>264</v>
      </c>
      <c r="BL242" s="140">
        <v>89.59</v>
      </c>
      <c r="BM242" s="122">
        <v>34</v>
      </c>
    </row>
    <row r="243" spans="1:65" x14ac:dyDescent="0.25">
      <c r="A243" s="122" t="s">
        <v>11841</v>
      </c>
      <c r="B243" s="122" t="s">
        <v>14447</v>
      </c>
      <c r="C243" s="122" t="s">
        <v>14448</v>
      </c>
      <c r="D243" s="122" t="s">
        <v>14449</v>
      </c>
      <c r="E243" s="123">
        <v>42233</v>
      </c>
      <c r="F243" s="122" t="s">
        <v>14450</v>
      </c>
      <c r="G243" s="122" t="s">
        <v>235</v>
      </c>
      <c r="H243" s="122" t="s">
        <v>14451</v>
      </c>
      <c r="I243" s="122" t="s">
        <v>14452</v>
      </c>
      <c r="K243" s="122" t="s">
        <v>3385</v>
      </c>
      <c r="L243" s="122" t="s">
        <v>3554</v>
      </c>
      <c r="M243" s="122" t="s">
        <v>3555</v>
      </c>
      <c r="O243" s="141" t="s">
        <v>1991</v>
      </c>
      <c r="P243" s="141" t="s">
        <v>14453</v>
      </c>
      <c r="Q243" s="122" t="s">
        <v>3389</v>
      </c>
      <c r="R243" s="142">
        <v>40</v>
      </c>
      <c r="S243" s="122" t="s">
        <v>14454</v>
      </c>
      <c r="U243" s="122" t="s">
        <v>3538</v>
      </c>
      <c r="W243" s="122" t="s">
        <v>246</v>
      </c>
      <c r="X243" s="122" t="s">
        <v>278</v>
      </c>
      <c r="Y243" s="141" t="s">
        <v>2072</v>
      </c>
      <c r="Z243" s="122" t="s">
        <v>9961</v>
      </c>
      <c r="AA243" s="141" t="s">
        <v>744</v>
      </c>
      <c r="AB243" s="122" t="s">
        <v>14455</v>
      </c>
      <c r="AC243" s="141" t="s">
        <v>3689</v>
      </c>
      <c r="AD243" s="122" t="s">
        <v>14456</v>
      </c>
      <c r="AE243" s="122" t="s">
        <v>235</v>
      </c>
      <c r="AF243" s="122" t="s">
        <v>14457</v>
      </c>
      <c r="AG243" s="122" t="s">
        <v>537</v>
      </c>
      <c r="AH243" s="122" t="s">
        <v>253</v>
      </c>
      <c r="AI243" s="122" t="s">
        <v>3796</v>
      </c>
      <c r="AJ243" s="122" t="s">
        <v>2074</v>
      </c>
      <c r="AK243" s="122" t="s">
        <v>253</v>
      </c>
      <c r="AL243" s="122" t="s">
        <v>253</v>
      </c>
      <c r="AM243" s="122" t="s">
        <v>253</v>
      </c>
      <c r="AN243" s="122" t="s">
        <v>253</v>
      </c>
      <c r="AO243" s="141" t="s">
        <v>253</v>
      </c>
      <c r="AP243" s="141" t="s">
        <v>253</v>
      </c>
      <c r="AQ243" s="141" t="s">
        <v>247</v>
      </c>
      <c r="AR243" s="141" t="s">
        <v>253</v>
      </c>
      <c r="AS243" s="141" t="s">
        <v>361</v>
      </c>
      <c r="AT243" s="141" t="s">
        <v>601</v>
      </c>
      <c r="AU243" s="141" t="s">
        <v>258</v>
      </c>
      <c r="AV243" s="122" t="s">
        <v>259</v>
      </c>
      <c r="AW243" s="122" t="s">
        <v>260</v>
      </c>
      <c r="AY243" s="122" t="s">
        <v>253</v>
      </c>
      <c r="AZ243" s="122" t="s">
        <v>14458</v>
      </c>
      <c r="BA243" s="122" t="s">
        <v>262</v>
      </c>
      <c r="BB243" s="122" t="s">
        <v>262</v>
      </c>
      <c r="BC243" s="141" t="s">
        <v>312</v>
      </c>
      <c r="BD243" s="122" t="s">
        <v>253</v>
      </c>
      <c r="BE243" s="122" t="s">
        <v>263</v>
      </c>
      <c r="BF243" s="122" t="s">
        <v>3547</v>
      </c>
      <c r="BH243" s="122" t="s">
        <v>3538</v>
      </c>
      <c r="BI243" s="142">
        <v>40</v>
      </c>
    </row>
    <row r="244" spans="1:65" x14ac:dyDescent="0.25">
      <c r="A244" s="122" t="s">
        <v>11841</v>
      </c>
      <c r="B244" s="122" t="s">
        <v>14459</v>
      </c>
      <c r="C244" s="122" t="s">
        <v>14460</v>
      </c>
      <c r="D244" s="122" t="s">
        <v>14461</v>
      </c>
      <c r="E244" s="123">
        <v>42233</v>
      </c>
      <c r="F244" s="122" t="s">
        <v>6226</v>
      </c>
      <c r="G244" s="122" t="s">
        <v>235</v>
      </c>
      <c r="H244" s="122" t="s">
        <v>14462</v>
      </c>
      <c r="I244" s="122" t="s">
        <v>14463</v>
      </c>
      <c r="K244" s="122" t="s">
        <v>3419</v>
      </c>
      <c r="L244" s="122" t="s">
        <v>3503</v>
      </c>
      <c r="M244" s="122" t="s">
        <v>3421</v>
      </c>
      <c r="O244" s="141" t="s">
        <v>2442</v>
      </c>
      <c r="P244" s="141" t="s">
        <v>14464</v>
      </c>
      <c r="Q244" s="122" t="s">
        <v>3424</v>
      </c>
      <c r="R244" s="142">
        <v>41</v>
      </c>
      <c r="S244" s="122" t="s">
        <v>14465</v>
      </c>
      <c r="U244" s="122" t="s">
        <v>3538</v>
      </c>
      <c r="W244" s="122" t="s">
        <v>246</v>
      </c>
      <c r="X244" s="122" t="s">
        <v>433</v>
      </c>
      <c r="Y244" s="141" t="s">
        <v>685</v>
      </c>
      <c r="Z244" s="122" t="s">
        <v>1746</v>
      </c>
      <c r="AA244" s="141" t="s">
        <v>1423</v>
      </c>
      <c r="AB244" s="122" t="s">
        <v>14466</v>
      </c>
      <c r="AC244" s="141" t="s">
        <v>1015</v>
      </c>
      <c r="AD244" s="122" t="s">
        <v>14467</v>
      </c>
      <c r="AE244" s="122" t="s">
        <v>235</v>
      </c>
      <c r="AF244" s="122" t="s">
        <v>14468</v>
      </c>
      <c r="AG244" s="122" t="s">
        <v>253</v>
      </c>
      <c r="AH244" s="122" t="s">
        <v>253</v>
      </c>
      <c r="AI244" s="122" t="s">
        <v>14469</v>
      </c>
      <c r="AJ244" s="122" t="s">
        <v>14470</v>
      </c>
      <c r="AK244" s="122" t="s">
        <v>14469</v>
      </c>
      <c r="AL244" s="122" t="s">
        <v>14471</v>
      </c>
      <c r="AM244" s="122" t="s">
        <v>253</v>
      </c>
      <c r="AN244" s="122" t="s">
        <v>253</v>
      </c>
      <c r="AO244" s="141" t="s">
        <v>253</v>
      </c>
      <c r="AP244" s="141" t="s">
        <v>253</v>
      </c>
      <c r="AQ244" s="141" t="s">
        <v>247</v>
      </c>
      <c r="AR244" s="141" t="s">
        <v>253</v>
      </c>
      <c r="AS244" s="141" t="s">
        <v>361</v>
      </c>
      <c r="AT244" s="141" t="s">
        <v>601</v>
      </c>
      <c r="AU244" s="141" t="s">
        <v>258</v>
      </c>
      <c r="AV244" s="122" t="s">
        <v>259</v>
      </c>
      <c r="AW244" s="122" t="s">
        <v>260</v>
      </c>
      <c r="AX244" s="141" t="s">
        <v>5018</v>
      </c>
      <c r="AY244" s="122" t="s">
        <v>247</v>
      </c>
      <c r="AZ244" s="122" t="s">
        <v>14472</v>
      </c>
      <c r="BA244" s="122" t="s">
        <v>262</v>
      </c>
      <c r="BB244" s="122" t="s">
        <v>262</v>
      </c>
      <c r="BD244" s="122" t="s">
        <v>253</v>
      </c>
      <c r="BE244" s="122" t="s">
        <v>263</v>
      </c>
      <c r="BF244" s="122" t="s">
        <v>3547</v>
      </c>
      <c r="BH244" s="122" t="s">
        <v>3538</v>
      </c>
      <c r="BI244" s="142">
        <v>41</v>
      </c>
    </row>
    <row r="245" spans="1:65" x14ac:dyDescent="0.25">
      <c r="A245" s="122" t="s">
        <v>11841</v>
      </c>
      <c r="B245" s="122" t="s">
        <v>14473</v>
      </c>
      <c r="C245" s="122" t="s">
        <v>14474</v>
      </c>
      <c r="D245" s="122" t="s">
        <v>14475</v>
      </c>
      <c r="E245" s="123">
        <v>42233</v>
      </c>
      <c r="F245" s="122" t="s">
        <v>2225</v>
      </c>
      <c r="G245" s="122" t="s">
        <v>235</v>
      </c>
      <c r="H245" s="122" t="s">
        <v>448</v>
      </c>
      <c r="I245" s="122" t="s">
        <v>14476</v>
      </c>
      <c r="K245" s="122" t="s">
        <v>3385</v>
      </c>
      <c r="L245" s="122" t="s">
        <v>3386</v>
      </c>
      <c r="M245" s="122" t="s">
        <v>3387</v>
      </c>
      <c r="O245" s="141" t="s">
        <v>566</v>
      </c>
      <c r="P245" s="141" t="s">
        <v>14477</v>
      </c>
      <c r="Q245" s="122" t="s">
        <v>3389</v>
      </c>
      <c r="R245" s="142">
        <v>42</v>
      </c>
      <c r="S245" s="122" t="s">
        <v>14478</v>
      </c>
      <c r="U245" s="122" t="s">
        <v>3538</v>
      </c>
      <c r="W245" s="122" t="s">
        <v>246</v>
      </c>
      <c r="X245" s="122" t="s">
        <v>1324</v>
      </c>
      <c r="Y245" s="141" t="s">
        <v>685</v>
      </c>
      <c r="Z245" s="122" t="s">
        <v>14479</v>
      </c>
      <c r="AA245" s="141" t="s">
        <v>1291</v>
      </c>
      <c r="AB245" s="122" t="s">
        <v>14480</v>
      </c>
      <c r="AC245" s="141" t="s">
        <v>2225</v>
      </c>
      <c r="AD245" s="122" t="s">
        <v>1994</v>
      </c>
      <c r="AE245" s="122" t="s">
        <v>235</v>
      </c>
      <c r="AF245" s="122" t="s">
        <v>14481</v>
      </c>
      <c r="AG245" s="122" t="s">
        <v>537</v>
      </c>
      <c r="AH245" s="122" t="s">
        <v>253</v>
      </c>
      <c r="AI245" s="122" t="s">
        <v>14482</v>
      </c>
      <c r="AJ245" s="122" t="s">
        <v>14483</v>
      </c>
      <c r="AK245" s="122" t="s">
        <v>253</v>
      </c>
      <c r="AL245" s="122" t="s">
        <v>253</v>
      </c>
      <c r="AM245" s="122" t="s">
        <v>253</v>
      </c>
      <c r="AN245" s="122" t="s">
        <v>253</v>
      </c>
      <c r="AO245" s="141" t="s">
        <v>247</v>
      </c>
      <c r="AP245" s="141" t="s">
        <v>247</v>
      </c>
      <c r="AQ245" s="141" t="s">
        <v>247</v>
      </c>
      <c r="AR245" s="141" t="s">
        <v>253</v>
      </c>
      <c r="AS245" s="141" t="s">
        <v>601</v>
      </c>
      <c r="AT245" s="141" t="s">
        <v>601</v>
      </c>
      <c r="AU245" s="141" t="s">
        <v>258</v>
      </c>
      <c r="AV245" s="122" t="s">
        <v>259</v>
      </c>
      <c r="AW245" s="122" t="s">
        <v>260</v>
      </c>
      <c r="AX245" s="141" t="s">
        <v>5018</v>
      </c>
      <c r="AY245" s="122" t="s">
        <v>247</v>
      </c>
      <c r="AZ245" s="122" t="s">
        <v>262</v>
      </c>
      <c r="BA245" s="122" t="s">
        <v>262</v>
      </c>
      <c r="BB245" s="122" t="s">
        <v>14484</v>
      </c>
      <c r="BD245" s="122" t="s">
        <v>253</v>
      </c>
      <c r="BE245" s="122" t="s">
        <v>263</v>
      </c>
      <c r="BF245" s="122" t="s">
        <v>3547</v>
      </c>
      <c r="BH245" s="122" t="s">
        <v>3538</v>
      </c>
      <c r="BI245" s="142">
        <v>42</v>
      </c>
    </row>
    <row r="246" spans="1:65" x14ac:dyDescent="0.25">
      <c r="A246" s="122" t="s">
        <v>11841</v>
      </c>
      <c r="B246" s="122" t="s">
        <v>14485</v>
      </c>
      <c r="C246" s="122" t="s">
        <v>14486</v>
      </c>
      <c r="D246" s="122" t="s">
        <v>14487</v>
      </c>
      <c r="E246" s="123">
        <v>42233</v>
      </c>
      <c r="F246" s="122" t="s">
        <v>784</v>
      </c>
      <c r="G246" s="122" t="s">
        <v>235</v>
      </c>
      <c r="H246" s="122" t="s">
        <v>14488</v>
      </c>
      <c r="I246" s="122" t="s">
        <v>14489</v>
      </c>
      <c r="K246" s="122" t="s">
        <v>3364</v>
      </c>
      <c r="L246" s="122" t="s">
        <v>3365</v>
      </c>
      <c r="M246" s="122" t="s">
        <v>3535</v>
      </c>
      <c r="O246" s="141" t="s">
        <v>2378</v>
      </c>
      <c r="P246" s="141" t="s">
        <v>14490</v>
      </c>
      <c r="Q246" s="122" t="s">
        <v>3369</v>
      </c>
      <c r="R246" s="142">
        <v>43</v>
      </c>
      <c r="S246" s="122" t="s">
        <v>14491</v>
      </c>
      <c r="T246" s="122" t="s">
        <v>14492</v>
      </c>
      <c r="U246" s="122" t="s">
        <v>3538</v>
      </c>
      <c r="W246" s="122" t="s">
        <v>246</v>
      </c>
      <c r="X246" s="122" t="s">
        <v>1225</v>
      </c>
      <c r="Y246" s="141" t="s">
        <v>2072</v>
      </c>
      <c r="Z246" s="122" t="s">
        <v>1792</v>
      </c>
      <c r="AA246" s="141" t="s">
        <v>880</v>
      </c>
      <c r="AB246" s="122" t="s">
        <v>14493</v>
      </c>
      <c r="AC246" s="141" t="s">
        <v>3247</v>
      </c>
      <c r="AD246" s="122" t="s">
        <v>14494</v>
      </c>
      <c r="AE246" s="122" t="s">
        <v>235</v>
      </c>
      <c r="AF246" s="122" t="s">
        <v>10001</v>
      </c>
      <c r="AG246" s="122" t="s">
        <v>537</v>
      </c>
      <c r="AH246" s="122" t="s">
        <v>253</v>
      </c>
      <c r="AI246" s="122" t="s">
        <v>1570</v>
      </c>
      <c r="AJ246" s="122" t="s">
        <v>14495</v>
      </c>
      <c r="AK246" s="122" t="s">
        <v>253</v>
      </c>
      <c r="AL246" s="122" t="s">
        <v>253</v>
      </c>
      <c r="AM246" s="122" t="s">
        <v>253</v>
      </c>
      <c r="AN246" s="122" t="s">
        <v>253</v>
      </c>
      <c r="AO246" s="141" t="s">
        <v>253</v>
      </c>
      <c r="AP246" s="141" t="s">
        <v>253</v>
      </c>
      <c r="AQ246" s="141" t="s">
        <v>247</v>
      </c>
      <c r="AR246" s="141" t="s">
        <v>253</v>
      </c>
      <c r="AS246" s="141" t="s">
        <v>361</v>
      </c>
      <c r="AT246" s="141" t="s">
        <v>601</v>
      </c>
      <c r="AU246" s="141" t="s">
        <v>258</v>
      </c>
      <c r="AV246" s="122" t="s">
        <v>259</v>
      </c>
      <c r="AW246" s="122" t="s">
        <v>260</v>
      </c>
      <c r="AY246" s="122" t="s">
        <v>253</v>
      </c>
      <c r="AZ246" s="122" t="s">
        <v>14496</v>
      </c>
      <c r="BA246" s="122" t="s">
        <v>262</v>
      </c>
      <c r="BB246" s="122" t="s">
        <v>14497</v>
      </c>
      <c r="BC246" s="141" t="s">
        <v>312</v>
      </c>
      <c r="BD246" s="122" t="s">
        <v>253</v>
      </c>
      <c r="BE246" s="122" t="s">
        <v>263</v>
      </c>
      <c r="BF246" s="122" t="s">
        <v>3547</v>
      </c>
      <c r="BH246" s="122" t="s">
        <v>3538</v>
      </c>
      <c r="BI246" s="142">
        <v>43</v>
      </c>
    </row>
    <row r="247" spans="1:65" x14ac:dyDescent="0.25">
      <c r="A247" s="122" t="s">
        <v>11841</v>
      </c>
      <c r="B247" s="122" t="s">
        <v>14498</v>
      </c>
      <c r="C247" s="122" t="s">
        <v>14499</v>
      </c>
      <c r="D247" s="122" t="s">
        <v>14500</v>
      </c>
      <c r="E247" s="123">
        <v>42233</v>
      </c>
      <c r="F247" s="122" t="s">
        <v>8398</v>
      </c>
      <c r="G247" s="122" t="s">
        <v>235</v>
      </c>
      <c r="H247" s="122" t="s">
        <v>14501</v>
      </c>
      <c r="I247" s="122" t="s">
        <v>14502</v>
      </c>
      <c r="K247" s="122" t="s">
        <v>3385</v>
      </c>
      <c r="L247" s="122" t="s">
        <v>3554</v>
      </c>
      <c r="M247" s="122" t="s">
        <v>3846</v>
      </c>
      <c r="O247" s="141" t="s">
        <v>273</v>
      </c>
      <c r="P247" s="141" t="s">
        <v>14503</v>
      </c>
      <c r="Q247" s="122" t="s">
        <v>3389</v>
      </c>
      <c r="R247" s="142">
        <v>44</v>
      </c>
      <c r="S247" s="122" t="s">
        <v>14504</v>
      </c>
      <c r="U247" s="122" t="s">
        <v>3538</v>
      </c>
      <c r="W247" s="122" t="s">
        <v>246</v>
      </c>
      <c r="X247" s="122" t="s">
        <v>1225</v>
      </c>
      <c r="Y247" s="141" t="s">
        <v>2257</v>
      </c>
      <c r="Z247" s="122" t="s">
        <v>14505</v>
      </c>
      <c r="AA247" s="141" t="s">
        <v>1423</v>
      </c>
      <c r="AB247" s="122" t="s">
        <v>14506</v>
      </c>
      <c r="AC247" s="141" t="s">
        <v>1423</v>
      </c>
      <c r="AD247" s="122" t="s">
        <v>14507</v>
      </c>
      <c r="AE247" s="122" t="s">
        <v>235</v>
      </c>
      <c r="AF247" s="122" t="s">
        <v>13330</v>
      </c>
      <c r="AG247" s="122" t="s">
        <v>537</v>
      </c>
      <c r="AH247" s="122" t="s">
        <v>253</v>
      </c>
      <c r="AI247" s="122" t="s">
        <v>14508</v>
      </c>
      <c r="AJ247" s="122" t="s">
        <v>14509</v>
      </c>
      <c r="AK247" s="122" t="s">
        <v>253</v>
      </c>
      <c r="AL247" s="122" t="s">
        <v>253</v>
      </c>
      <c r="AM247" s="122" t="s">
        <v>253</v>
      </c>
      <c r="AN247" s="122" t="s">
        <v>253</v>
      </c>
      <c r="AO247" s="141" t="s">
        <v>247</v>
      </c>
      <c r="AP247" s="141" t="s">
        <v>247</v>
      </c>
      <c r="AQ247" s="141" t="s">
        <v>247</v>
      </c>
      <c r="AR247" s="141" t="s">
        <v>253</v>
      </c>
      <c r="AS247" s="141" t="s">
        <v>601</v>
      </c>
      <c r="AT247" s="141" t="s">
        <v>601</v>
      </c>
      <c r="AU247" s="141" t="s">
        <v>258</v>
      </c>
      <c r="AV247" s="122" t="s">
        <v>259</v>
      </c>
      <c r="AW247" s="122" t="s">
        <v>260</v>
      </c>
      <c r="AY247" s="122" t="s">
        <v>253</v>
      </c>
      <c r="AZ247" s="122" t="s">
        <v>14510</v>
      </c>
      <c r="BA247" s="122" t="s">
        <v>262</v>
      </c>
      <c r="BB247" s="122" t="s">
        <v>262</v>
      </c>
      <c r="BD247" s="122" t="s">
        <v>253</v>
      </c>
      <c r="BE247" s="122" t="s">
        <v>263</v>
      </c>
      <c r="BF247" s="122" t="s">
        <v>3547</v>
      </c>
      <c r="BH247" s="122" t="s">
        <v>3538</v>
      </c>
      <c r="BI247" s="142">
        <v>44</v>
      </c>
    </row>
    <row r="248" spans="1:65" x14ac:dyDescent="0.25">
      <c r="A248" s="122" t="s">
        <v>11841</v>
      </c>
      <c r="B248" s="122" t="s">
        <v>14511</v>
      </c>
      <c r="C248" s="122" t="s">
        <v>14512</v>
      </c>
      <c r="D248" s="122" t="s">
        <v>14513</v>
      </c>
      <c r="E248" s="123">
        <v>42233</v>
      </c>
      <c r="F248" s="122" t="s">
        <v>5981</v>
      </c>
      <c r="G248" s="122" t="s">
        <v>235</v>
      </c>
      <c r="H248" s="122" t="s">
        <v>14514</v>
      </c>
      <c r="I248" s="122" t="s">
        <v>14515</v>
      </c>
      <c r="J248" s="122" t="s">
        <v>14516</v>
      </c>
      <c r="K248" s="122" t="s">
        <v>3364</v>
      </c>
      <c r="L248" s="122" t="s">
        <v>3365</v>
      </c>
      <c r="M248" s="122" t="s">
        <v>3366</v>
      </c>
      <c r="O248" s="141" t="s">
        <v>850</v>
      </c>
      <c r="P248" s="141" t="s">
        <v>14517</v>
      </c>
      <c r="Q248" s="122" t="s">
        <v>3369</v>
      </c>
      <c r="R248" s="142">
        <v>45</v>
      </c>
      <c r="U248" s="122" t="s">
        <v>3538</v>
      </c>
      <c r="V248" s="122" t="s">
        <v>351</v>
      </c>
      <c r="W248" s="122" t="s">
        <v>246</v>
      </c>
      <c r="X248" s="122" t="s">
        <v>497</v>
      </c>
      <c r="Y248" s="141" t="s">
        <v>742</v>
      </c>
      <c r="Z248" s="122" t="s">
        <v>14518</v>
      </c>
      <c r="AB248" s="122" t="s">
        <v>250</v>
      </c>
      <c r="AD248" s="122" t="s">
        <v>250</v>
      </c>
      <c r="AE248" s="122" t="s">
        <v>235</v>
      </c>
      <c r="AF248" s="122" t="s">
        <v>14519</v>
      </c>
      <c r="AG248" s="122" t="s">
        <v>253</v>
      </c>
      <c r="AH248" s="122" t="s">
        <v>253</v>
      </c>
      <c r="AI248" s="122" t="s">
        <v>14520</v>
      </c>
      <c r="AJ248" s="122" t="s">
        <v>14521</v>
      </c>
      <c r="AK248" s="122" t="s">
        <v>4375</v>
      </c>
      <c r="AL248" s="122" t="s">
        <v>253</v>
      </c>
      <c r="AM248" s="122" t="s">
        <v>253</v>
      </c>
      <c r="AN248" s="122" t="s">
        <v>253</v>
      </c>
      <c r="AO248" s="141" t="s">
        <v>247</v>
      </c>
      <c r="AP248" s="141" t="s">
        <v>253</v>
      </c>
      <c r="AQ248" s="141" t="s">
        <v>247</v>
      </c>
      <c r="AR248" s="141" t="s">
        <v>253</v>
      </c>
      <c r="AS248" s="141" t="s">
        <v>601</v>
      </c>
      <c r="AT248" s="141" t="s">
        <v>601</v>
      </c>
      <c r="AU248" s="141" t="s">
        <v>258</v>
      </c>
      <c r="AV248" s="122" t="s">
        <v>259</v>
      </c>
      <c r="AW248" s="122" t="s">
        <v>260</v>
      </c>
      <c r="AY248" s="122" t="s">
        <v>253</v>
      </c>
      <c r="AZ248" s="122" t="s">
        <v>14522</v>
      </c>
      <c r="BA248" s="122" t="s">
        <v>262</v>
      </c>
      <c r="BB248" s="122" t="s">
        <v>262</v>
      </c>
      <c r="BC248" s="141" t="s">
        <v>312</v>
      </c>
      <c r="BD248" s="122" t="s">
        <v>253</v>
      </c>
      <c r="BE248" s="122" t="s">
        <v>263</v>
      </c>
      <c r="BF248" s="122" t="s">
        <v>3547</v>
      </c>
      <c r="BH248" s="122" t="s">
        <v>3538</v>
      </c>
      <c r="BI248" s="142">
        <v>45</v>
      </c>
    </row>
    <row r="249" spans="1:65" x14ac:dyDescent="0.25">
      <c r="A249" s="122" t="s">
        <v>11841</v>
      </c>
      <c r="B249" s="122" t="s">
        <v>14523</v>
      </c>
      <c r="C249" s="122" t="s">
        <v>14524</v>
      </c>
      <c r="D249" s="122" t="s">
        <v>14525</v>
      </c>
      <c r="E249" s="123">
        <v>42233</v>
      </c>
      <c r="F249" s="122" t="s">
        <v>14526</v>
      </c>
      <c r="G249" s="122" t="s">
        <v>235</v>
      </c>
      <c r="H249" s="122" t="s">
        <v>448</v>
      </c>
      <c r="I249" s="122" t="s">
        <v>14527</v>
      </c>
      <c r="K249" s="122" t="s">
        <v>3533</v>
      </c>
      <c r="L249" s="122" t="s">
        <v>3534</v>
      </c>
      <c r="M249" s="122" t="s">
        <v>3535</v>
      </c>
      <c r="O249" s="141" t="s">
        <v>299</v>
      </c>
      <c r="P249" s="141" t="s">
        <v>14528</v>
      </c>
      <c r="Q249" s="122" t="s">
        <v>3369</v>
      </c>
      <c r="R249" s="142">
        <v>46</v>
      </c>
      <c r="S249" s="122" t="s">
        <v>14529</v>
      </c>
      <c r="U249" s="122" t="s">
        <v>3538</v>
      </c>
      <c r="V249" s="122" t="s">
        <v>351</v>
      </c>
      <c r="W249" s="122" t="s">
        <v>246</v>
      </c>
      <c r="X249" s="122" t="s">
        <v>497</v>
      </c>
      <c r="Y249" s="141" t="s">
        <v>500</v>
      </c>
      <c r="Z249" s="122" t="s">
        <v>14530</v>
      </c>
      <c r="AA249" s="141" t="s">
        <v>1498</v>
      </c>
      <c r="AB249" s="122" t="s">
        <v>14530</v>
      </c>
      <c r="AC249" s="141" t="s">
        <v>1179</v>
      </c>
      <c r="AD249" s="122" t="s">
        <v>14530</v>
      </c>
      <c r="AE249" s="122" t="s">
        <v>235</v>
      </c>
      <c r="AF249" s="122" t="s">
        <v>14531</v>
      </c>
      <c r="AG249" s="122" t="s">
        <v>253</v>
      </c>
      <c r="AH249" s="122" t="s">
        <v>253</v>
      </c>
      <c r="AI249" s="122" t="s">
        <v>14532</v>
      </c>
      <c r="AJ249" s="122" t="s">
        <v>2579</v>
      </c>
      <c r="AK249" s="122" t="s">
        <v>2580</v>
      </c>
      <c r="AL249" s="122" t="s">
        <v>253</v>
      </c>
      <c r="AM249" s="122" t="s">
        <v>253</v>
      </c>
      <c r="AN249" s="122" t="s">
        <v>253</v>
      </c>
      <c r="AO249" s="141" t="s">
        <v>247</v>
      </c>
      <c r="AP249" s="141" t="s">
        <v>253</v>
      </c>
      <c r="AQ249" s="141" t="s">
        <v>247</v>
      </c>
      <c r="AR249" s="141" t="s">
        <v>253</v>
      </c>
      <c r="AS249" s="141" t="s">
        <v>601</v>
      </c>
      <c r="AT249" s="141" t="s">
        <v>601</v>
      </c>
      <c r="AU249" s="141" t="s">
        <v>258</v>
      </c>
      <c r="AV249" s="122" t="s">
        <v>259</v>
      </c>
      <c r="AW249" s="122" t="s">
        <v>260</v>
      </c>
      <c r="AY249" s="122" t="s">
        <v>253</v>
      </c>
      <c r="AZ249" s="122" t="s">
        <v>262</v>
      </c>
      <c r="BA249" s="122" t="s">
        <v>262</v>
      </c>
      <c r="BB249" s="122" t="s">
        <v>14533</v>
      </c>
      <c r="BC249" s="141" t="s">
        <v>312</v>
      </c>
      <c r="BD249" s="122" t="s">
        <v>253</v>
      </c>
      <c r="BE249" s="122" t="s">
        <v>263</v>
      </c>
      <c r="BF249" s="122" t="s">
        <v>3547</v>
      </c>
      <c r="BH249" s="122" t="s">
        <v>3538</v>
      </c>
      <c r="BI249" s="142">
        <v>46</v>
      </c>
      <c r="BJ249" s="123">
        <v>42237</v>
      </c>
      <c r="BK249" s="139" t="s">
        <v>264</v>
      </c>
      <c r="BL249" s="140">
        <v>207.94</v>
      </c>
      <c r="BM249" s="122">
        <v>34</v>
      </c>
    </row>
    <row r="250" spans="1:65" x14ac:dyDescent="0.25">
      <c r="A250" s="122" t="s">
        <v>11841</v>
      </c>
      <c r="B250" s="122" t="s">
        <v>14534</v>
      </c>
      <c r="C250" s="122" t="s">
        <v>14535</v>
      </c>
      <c r="D250" s="122" t="s">
        <v>14536</v>
      </c>
      <c r="E250" s="123">
        <v>42233</v>
      </c>
      <c r="F250" s="122" t="s">
        <v>417</v>
      </c>
      <c r="G250" s="122" t="s">
        <v>235</v>
      </c>
      <c r="H250" s="122" t="s">
        <v>448</v>
      </c>
      <c r="I250" s="122" t="s">
        <v>14537</v>
      </c>
      <c r="K250" s="122" t="s">
        <v>3385</v>
      </c>
      <c r="L250" s="122" t="s">
        <v>3386</v>
      </c>
      <c r="M250" s="122" t="s">
        <v>3486</v>
      </c>
      <c r="O250" s="141" t="s">
        <v>2175</v>
      </c>
      <c r="P250" s="141" t="s">
        <v>14538</v>
      </c>
      <c r="Q250" s="122" t="s">
        <v>3389</v>
      </c>
      <c r="R250" s="142">
        <v>47</v>
      </c>
      <c r="S250" s="122" t="s">
        <v>14539</v>
      </c>
      <c r="U250" s="122" t="s">
        <v>3538</v>
      </c>
      <c r="W250" s="122" t="s">
        <v>246</v>
      </c>
      <c r="X250" s="122" t="s">
        <v>4409</v>
      </c>
      <c r="Z250" s="122" t="s">
        <v>250</v>
      </c>
      <c r="AB250" s="122" t="s">
        <v>250</v>
      </c>
      <c r="AD250" s="122" t="s">
        <v>250</v>
      </c>
      <c r="AE250" s="122" t="s">
        <v>235</v>
      </c>
      <c r="AF250" s="122" t="s">
        <v>14540</v>
      </c>
      <c r="AG250" s="122" t="s">
        <v>537</v>
      </c>
      <c r="AH250" s="122" t="s">
        <v>253</v>
      </c>
      <c r="AI250" s="122" t="s">
        <v>14541</v>
      </c>
      <c r="AJ250" s="122" t="s">
        <v>14542</v>
      </c>
      <c r="AK250" s="122" t="s">
        <v>14543</v>
      </c>
      <c r="AL250" s="122" t="s">
        <v>253</v>
      </c>
      <c r="AM250" s="122" t="s">
        <v>253</v>
      </c>
      <c r="AN250" s="122" t="s">
        <v>253</v>
      </c>
      <c r="AO250" s="141" t="s">
        <v>253</v>
      </c>
      <c r="AP250" s="141" t="s">
        <v>253</v>
      </c>
      <c r="AQ250" s="141" t="s">
        <v>247</v>
      </c>
      <c r="AR250" s="141" t="s">
        <v>247</v>
      </c>
      <c r="AS250" s="141" t="s">
        <v>361</v>
      </c>
      <c r="AT250" s="141" t="s">
        <v>601</v>
      </c>
      <c r="AU250" s="141" t="s">
        <v>601</v>
      </c>
      <c r="AV250" s="122" t="s">
        <v>259</v>
      </c>
      <c r="AW250" s="122" t="s">
        <v>260</v>
      </c>
      <c r="AY250" s="122" t="s">
        <v>253</v>
      </c>
      <c r="AZ250" s="122" t="s">
        <v>262</v>
      </c>
      <c r="BA250" s="122" t="s">
        <v>262</v>
      </c>
      <c r="BB250" s="122" t="s">
        <v>14544</v>
      </c>
      <c r="BC250" s="141" t="s">
        <v>312</v>
      </c>
      <c r="BD250" s="122" t="s">
        <v>253</v>
      </c>
      <c r="BE250" s="122" t="s">
        <v>263</v>
      </c>
      <c r="BF250" s="122" t="s">
        <v>3547</v>
      </c>
      <c r="BH250" s="122" t="s">
        <v>3538</v>
      </c>
      <c r="BI250" s="142">
        <v>47</v>
      </c>
    </row>
    <row r="251" spans="1:65" x14ac:dyDescent="0.25">
      <c r="A251" s="122" t="s">
        <v>9031</v>
      </c>
      <c r="B251" s="122" t="s">
        <v>14545</v>
      </c>
      <c r="C251" s="122" t="s">
        <v>14546</v>
      </c>
      <c r="D251" s="122" t="s">
        <v>14547</v>
      </c>
      <c r="E251" s="123">
        <v>42233</v>
      </c>
      <c r="F251" s="122" t="s">
        <v>2720</v>
      </c>
      <c r="G251" s="122" t="s">
        <v>235</v>
      </c>
      <c r="H251" s="122" t="s">
        <v>14548</v>
      </c>
      <c r="I251" s="122" t="s">
        <v>14549</v>
      </c>
      <c r="K251" s="122" t="s">
        <v>3385</v>
      </c>
      <c r="L251" s="122" t="s">
        <v>3386</v>
      </c>
      <c r="M251" s="122" t="s">
        <v>3486</v>
      </c>
      <c r="Q251" s="122" t="s">
        <v>3389</v>
      </c>
      <c r="R251" s="142">
        <v>48</v>
      </c>
      <c r="S251" s="122" t="s">
        <v>14550</v>
      </c>
      <c r="U251" s="122" t="s">
        <v>3538</v>
      </c>
      <c r="W251" s="122" t="s">
        <v>246</v>
      </c>
      <c r="X251" s="122" t="s">
        <v>551</v>
      </c>
      <c r="Y251" s="141" t="s">
        <v>2899</v>
      </c>
      <c r="Z251" s="122" t="s">
        <v>14551</v>
      </c>
      <c r="AA251" s="141" t="s">
        <v>478</v>
      </c>
      <c r="AB251" s="122" t="s">
        <v>14552</v>
      </c>
      <c r="AC251" s="141" t="s">
        <v>3574</v>
      </c>
      <c r="AD251" s="122" t="s">
        <v>14553</v>
      </c>
      <c r="AE251" s="122" t="s">
        <v>235</v>
      </c>
      <c r="AF251" s="122" t="s">
        <v>14554</v>
      </c>
      <c r="AG251" s="122" t="s">
        <v>537</v>
      </c>
      <c r="AH251" s="122" t="s">
        <v>253</v>
      </c>
      <c r="AI251" s="122" t="s">
        <v>14555</v>
      </c>
      <c r="AJ251" s="122" t="s">
        <v>14556</v>
      </c>
      <c r="AK251" s="122" t="s">
        <v>253</v>
      </c>
      <c r="AL251" s="122" t="s">
        <v>253</v>
      </c>
      <c r="AM251" s="122" t="s">
        <v>253</v>
      </c>
      <c r="AN251" s="122" t="s">
        <v>253</v>
      </c>
      <c r="AO251" s="141" t="s">
        <v>247</v>
      </c>
      <c r="AP251" s="141" t="s">
        <v>247</v>
      </c>
      <c r="AQ251" s="141" t="s">
        <v>247</v>
      </c>
      <c r="AR251" s="141" t="s">
        <v>253</v>
      </c>
      <c r="AS251" s="141" t="s">
        <v>601</v>
      </c>
      <c r="AT251" s="141" t="s">
        <v>601</v>
      </c>
      <c r="AU251" s="141" t="s">
        <v>258</v>
      </c>
      <c r="AV251" s="122" t="s">
        <v>259</v>
      </c>
      <c r="AW251" s="122" t="s">
        <v>260</v>
      </c>
      <c r="AY251" s="122" t="s">
        <v>253</v>
      </c>
      <c r="AZ251" s="122" t="s">
        <v>14557</v>
      </c>
      <c r="BA251" s="122" t="s">
        <v>262</v>
      </c>
      <c r="BB251" s="122" t="s">
        <v>262</v>
      </c>
      <c r="BD251" s="122" t="s">
        <v>253</v>
      </c>
      <c r="BE251" s="122" t="s">
        <v>263</v>
      </c>
      <c r="BF251" s="122" t="s">
        <v>3547</v>
      </c>
      <c r="BH251" s="122" t="s">
        <v>3538</v>
      </c>
      <c r="BI251" s="142">
        <v>48</v>
      </c>
    </row>
    <row r="252" spans="1:65" x14ac:dyDescent="0.25">
      <c r="A252" s="122" t="s">
        <v>9031</v>
      </c>
      <c r="B252" s="122" t="s">
        <v>14558</v>
      </c>
      <c r="C252" s="122" t="s">
        <v>14559</v>
      </c>
      <c r="D252" s="122" t="s">
        <v>14560</v>
      </c>
      <c r="E252" s="123">
        <v>42233</v>
      </c>
      <c r="F252" s="122" t="s">
        <v>689</v>
      </c>
      <c r="G252" s="122" t="s">
        <v>235</v>
      </c>
      <c r="H252" s="122" t="s">
        <v>14561</v>
      </c>
      <c r="I252" s="122" t="s">
        <v>14562</v>
      </c>
      <c r="J252" s="122" t="s">
        <v>9518</v>
      </c>
      <c r="K252" s="122" t="s">
        <v>3385</v>
      </c>
      <c r="L252" s="122" t="s">
        <v>3554</v>
      </c>
      <c r="M252" s="122" t="s">
        <v>3555</v>
      </c>
      <c r="O252" s="141" t="s">
        <v>2526</v>
      </c>
      <c r="P252" s="141" t="s">
        <v>14563</v>
      </c>
      <c r="Q252" s="122" t="s">
        <v>3389</v>
      </c>
      <c r="R252" s="142">
        <v>49</v>
      </c>
      <c r="S252" s="122" t="s">
        <v>14564</v>
      </c>
      <c r="U252" s="122" t="s">
        <v>3538</v>
      </c>
      <c r="W252" s="122" t="s">
        <v>246</v>
      </c>
      <c r="X252" s="122" t="s">
        <v>551</v>
      </c>
      <c r="Y252" s="141" t="s">
        <v>1141</v>
      </c>
      <c r="Z252" s="122" t="s">
        <v>14565</v>
      </c>
      <c r="AA252" s="141" t="s">
        <v>1421</v>
      </c>
      <c r="AB252" s="122" t="s">
        <v>14566</v>
      </c>
      <c r="AC252" s="141" t="s">
        <v>2259</v>
      </c>
      <c r="AD252" s="122" t="s">
        <v>14567</v>
      </c>
      <c r="AE252" s="122" t="s">
        <v>235</v>
      </c>
      <c r="AF252" s="122" t="s">
        <v>2532</v>
      </c>
      <c r="AG252" s="122" t="s">
        <v>537</v>
      </c>
      <c r="AH252" s="122" t="s">
        <v>253</v>
      </c>
      <c r="AI252" s="122" t="s">
        <v>14568</v>
      </c>
      <c r="AJ252" s="122" t="s">
        <v>14569</v>
      </c>
      <c r="AK252" s="122" t="s">
        <v>253</v>
      </c>
      <c r="AL252" s="122" t="s">
        <v>253</v>
      </c>
      <c r="AM252" s="122" t="s">
        <v>253</v>
      </c>
      <c r="AN252" s="122" t="s">
        <v>253</v>
      </c>
      <c r="AO252" s="141" t="s">
        <v>247</v>
      </c>
      <c r="AP252" s="141" t="s">
        <v>247</v>
      </c>
      <c r="AQ252" s="141" t="s">
        <v>253</v>
      </c>
      <c r="AR252" s="141" t="s">
        <v>253</v>
      </c>
      <c r="AS252" s="141" t="s">
        <v>601</v>
      </c>
      <c r="AT252" s="141" t="s">
        <v>258</v>
      </c>
      <c r="AU252" s="141" t="s">
        <v>258</v>
      </c>
      <c r="AV252" s="122" t="s">
        <v>259</v>
      </c>
      <c r="AW252" s="122" t="s">
        <v>260</v>
      </c>
      <c r="AY252" s="122" t="s">
        <v>253</v>
      </c>
      <c r="AZ252" s="122" t="s">
        <v>14570</v>
      </c>
      <c r="BA252" s="122" t="s">
        <v>262</v>
      </c>
      <c r="BB252" s="122" t="s">
        <v>262</v>
      </c>
      <c r="BD252" s="122" t="s">
        <v>253</v>
      </c>
      <c r="BE252" s="122" t="s">
        <v>263</v>
      </c>
      <c r="BF252" s="122" t="s">
        <v>3547</v>
      </c>
      <c r="BH252" s="122" t="s">
        <v>3538</v>
      </c>
      <c r="BI252" s="142">
        <v>49</v>
      </c>
    </row>
    <row r="253" spans="1:65" x14ac:dyDescent="0.25">
      <c r="A253" s="122" t="s">
        <v>9031</v>
      </c>
      <c r="B253" s="122" t="s">
        <v>14571</v>
      </c>
      <c r="C253" s="122" t="s">
        <v>14572</v>
      </c>
      <c r="D253" s="122" t="s">
        <v>14573</v>
      </c>
      <c r="E253" s="123">
        <v>42233</v>
      </c>
      <c r="F253" s="122" t="s">
        <v>1612</v>
      </c>
      <c r="G253" s="122" t="s">
        <v>235</v>
      </c>
      <c r="H253" s="122" t="s">
        <v>14574</v>
      </c>
      <c r="I253" s="122" t="s">
        <v>14575</v>
      </c>
      <c r="J253" s="122" t="s">
        <v>1710</v>
      </c>
      <c r="K253" s="122" t="s">
        <v>3385</v>
      </c>
      <c r="L253" s="122" t="s">
        <v>3554</v>
      </c>
      <c r="M253" s="122" t="s">
        <v>3555</v>
      </c>
      <c r="O253" s="141" t="s">
        <v>451</v>
      </c>
      <c r="P253" s="141" t="s">
        <v>14576</v>
      </c>
      <c r="Q253" s="122" t="s">
        <v>3389</v>
      </c>
      <c r="R253" s="142">
        <v>50</v>
      </c>
      <c r="S253" s="122" t="s">
        <v>14577</v>
      </c>
      <c r="U253" s="122" t="s">
        <v>3538</v>
      </c>
      <c r="W253" s="122" t="s">
        <v>246</v>
      </c>
      <c r="X253" s="122" t="s">
        <v>1377</v>
      </c>
      <c r="Y253" s="141" t="s">
        <v>888</v>
      </c>
      <c r="Z253" s="122" t="s">
        <v>14578</v>
      </c>
      <c r="AA253" s="141" t="s">
        <v>578</v>
      </c>
      <c r="AB253" s="122" t="s">
        <v>3793</v>
      </c>
      <c r="AC253" s="141" t="s">
        <v>1141</v>
      </c>
      <c r="AD253" s="122" t="s">
        <v>355</v>
      </c>
      <c r="AE253" s="122" t="s">
        <v>235</v>
      </c>
      <c r="AF253" s="122" t="s">
        <v>14579</v>
      </c>
      <c r="AG253" s="122" t="s">
        <v>537</v>
      </c>
      <c r="AH253" s="122" t="s">
        <v>253</v>
      </c>
      <c r="AI253" s="122" t="s">
        <v>14580</v>
      </c>
      <c r="AJ253" s="122" t="s">
        <v>14581</v>
      </c>
      <c r="AK253" s="122" t="s">
        <v>253</v>
      </c>
      <c r="AL253" s="122" t="s">
        <v>253</v>
      </c>
      <c r="AM253" s="122" t="s">
        <v>253</v>
      </c>
      <c r="AN253" s="122" t="s">
        <v>253</v>
      </c>
      <c r="AO253" s="141" t="s">
        <v>247</v>
      </c>
      <c r="AP253" s="141" t="s">
        <v>247</v>
      </c>
      <c r="AQ253" s="141" t="s">
        <v>247</v>
      </c>
      <c r="AR253" s="141" t="s">
        <v>247</v>
      </c>
      <c r="AS253" s="141" t="s">
        <v>601</v>
      </c>
      <c r="AT253" s="141" t="s">
        <v>601</v>
      </c>
      <c r="AU253" s="141" t="s">
        <v>601</v>
      </c>
      <c r="AV253" s="122" t="s">
        <v>259</v>
      </c>
      <c r="AW253" s="122" t="s">
        <v>260</v>
      </c>
      <c r="AY253" s="122" t="s">
        <v>253</v>
      </c>
      <c r="AZ253" s="122" t="s">
        <v>14582</v>
      </c>
      <c r="BA253" s="122" t="s">
        <v>262</v>
      </c>
      <c r="BB253" s="122" t="s">
        <v>262</v>
      </c>
      <c r="BD253" s="122" t="s">
        <v>253</v>
      </c>
      <c r="BE253" s="122" t="s">
        <v>263</v>
      </c>
      <c r="BF253" s="122" t="s">
        <v>3547</v>
      </c>
      <c r="BH253" s="122" t="s">
        <v>3538</v>
      </c>
      <c r="BI253" s="142">
        <v>50</v>
      </c>
      <c r="BJ253" s="123">
        <v>42237</v>
      </c>
      <c r="BK253" s="139" t="s">
        <v>264</v>
      </c>
      <c r="BL253" s="140">
        <v>184</v>
      </c>
      <c r="BM253" s="122">
        <v>34</v>
      </c>
    </row>
    <row r="254" spans="1:65" x14ac:dyDescent="0.25">
      <c r="A254" s="122" t="s">
        <v>9031</v>
      </c>
      <c r="B254" s="122" t="s">
        <v>14583</v>
      </c>
      <c r="C254" s="122" t="s">
        <v>14584</v>
      </c>
      <c r="D254" s="122" t="s">
        <v>14585</v>
      </c>
      <c r="E254" s="123">
        <v>42233</v>
      </c>
      <c r="F254" s="122" t="s">
        <v>14586</v>
      </c>
      <c r="G254" s="122" t="s">
        <v>235</v>
      </c>
      <c r="H254" s="122" t="s">
        <v>14587</v>
      </c>
      <c r="I254" s="122" t="s">
        <v>14588</v>
      </c>
      <c r="K254" s="122" t="s">
        <v>3385</v>
      </c>
      <c r="L254" s="122" t="s">
        <v>3386</v>
      </c>
      <c r="M254" s="122" t="s">
        <v>3405</v>
      </c>
      <c r="O254" s="141" t="s">
        <v>850</v>
      </c>
      <c r="P254" s="141" t="s">
        <v>14589</v>
      </c>
      <c r="Q254" s="122" t="s">
        <v>3389</v>
      </c>
      <c r="R254" s="142">
        <v>51</v>
      </c>
      <c r="S254" s="122" t="s">
        <v>14590</v>
      </c>
      <c r="U254" s="122" t="s">
        <v>3538</v>
      </c>
      <c r="W254" s="122" t="s">
        <v>246</v>
      </c>
      <c r="X254" s="122" t="s">
        <v>1377</v>
      </c>
      <c r="Y254" s="141" t="s">
        <v>593</v>
      </c>
      <c r="Z254" s="122" t="s">
        <v>14591</v>
      </c>
      <c r="AA254" s="141" t="s">
        <v>744</v>
      </c>
      <c r="AB254" s="122" t="s">
        <v>14592</v>
      </c>
      <c r="AC254" s="141" t="s">
        <v>459</v>
      </c>
      <c r="AD254" s="122" t="s">
        <v>3122</v>
      </c>
      <c r="AE254" s="122" t="s">
        <v>235</v>
      </c>
      <c r="AF254" s="122" t="s">
        <v>14593</v>
      </c>
      <c r="AG254" s="122" t="s">
        <v>537</v>
      </c>
      <c r="AH254" s="122" t="s">
        <v>253</v>
      </c>
      <c r="AI254" s="122" t="s">
        <v>3913</v>
      </c>
      <c r="AJ254" s="122" t="s">
        <v>3913</v>
      </c>
      <c r="AK254" s="122" t="s">
        <v>253</v>
      </c>
      <c r="AL254" s="122" t="s">
        <v>253</v>
      </c>
      <c r="AM254" s="122" t="s">
        <v>253</v>
      </c>
      <c r="AN254" s="122" t="s">
        <v>253</v>
      </c>
      <c r="AO254" s="141" t="s">
        <v>253</v>
      </c>
      <c r="AP254" s="141" t="s">
        <v>253</v>
      </c>
      <c r="AQ254" s="141" t="s">
        <v>247</v>
      </c>
      <c r="AR254" s="141" t="s">
        <v>253</v>
      </c>
      <c r="AS254" s="141" t="s">
        <v>361</v>
      </c>
      <c r="AT254" s="141" t="s">
        <v>601</v>
      </c>
      <c r="AU254" s="141" t="s">
        <v>258</v>
      </c>
      <c r="AV254" s="122" t="s">
        <v>259</v>
      </c>
      <c r="AW254" s="122" t="s">
        <v>260</v>
      </c>
      <c r="AY254" s="122" t="s">
        <v>253</v>
      </c>
      <c r="AZ254" s="122" t="s">
        <v>14594</v>
      </c>
      <c r="BA254" s="122" t="s">
        <v>262</v>
      </c>
      <c r="BB254" s="122" t="s">
        <v>262</v>
      </c>
      <c r="BD254" s="122" t="s">
        <v>253</v>
      </c>
      <c r="BE254" s="122" t="s">
        <v>263</v>
      </c>
      <c r="BF254" s="122" t="s">
        <v>3547</v>
      </c>
      <c r="BH254" s="122" t="s">
        <v>3538</v>
      </c>
      <c r="BI254" s="142">
        <v>51</v>
      </c>
    </row>
    <row r="255" spans="1:65" x14ac:dyDescent="0.25">
      <c r="A255" s="122" t="s">
        <v>9031</v>
      </c>
      <c r="B255" s="122" t="s">
        <v>14595</v>
      </c>
      <c r="C255" s="122" t="s">
        <v>14596</v>
      </c>
      <c r="D255" s="122" t="s">
        <v>14597</v>
      </c>
      <c r="E255" s="123">
        <v>42233</v>
      </c>
      <c r="F255" s="122" t="s">
        <v>14598</v>
      </c>
      <c r="G255" s="122" t="s">
        <v>235</v>
      </c>
      <c r="H255" s="122" t="s">
        <v>14599</v>
      </c>
      <c r="I255" s="122" t="s">
        <v>14600</v>
      </c>
      <c r="J255" s="122" t="s">
        <v>14601</v>
      </c>
      <c r="K255" s="122" t="s">
        <v>3533</v>
      </c>
      <c r="L255" s="122" t="s">
        <v>3534</v>
      </c>
      <c r="M255" s="122" t="s">
        <v>3535</v>
      </c>
      <c r="O255" s="141" t="s">
        <v>1158</v>
      </c>
      <c r="P255" s="141" t="s">
        <v>14602</v>
      </c>
      <c r="Q255" s="122" t="s">
        <v>3369</v>
      </c>
      <c r="R255" s="142">
        <v>52</v>
      </c>
      <c r="S255" s="122" t="s">
        <v>14603</v>
      </c>
      <c r="U255" s="122" t="s">
        <v>3538</v>
      </c>
      <c r="W255" s="122" t="s">
        <v>246</v>
      </c>
      <c r="X255" s="122" t="s">
        <v>551</v>
      </c>
      <c r="Y255" s="141" t="s">
        <v>973</v>
      </c>
      <c r="Z255" s="122" t="s">
        <v>14604</v>
      </c>
      <c r="AA255" s="141" t="s">
        <v>685</v>
      </c>
      <c r="AB255" s="122" t="s">
        <v>14605</v>
      </c>
      <c r="AC255" s="141" t="s">
        <v>1926</v>
      </c>
      <c r="AD255" s="122" t="s">
        <v>14606</v>
      </c>
      <c r="AE255" s="122" t="s">
        <v>235</v>
      </c>
      <c r="AF255" s="122" t="s">
        <v>14607</v>
      </c>
      <c r="AG255" s="122" t="s">
        <v>537</v>
      </c>
      <c r="AH255" s="122" t="s">
        <v>253</v>
      </c>
      <c r="AI255" s="122" t="s">
        <v>12333</v>
      </c>
      <c r="AJ255" s="122" t="s">
        <v>14608</v>
      </c>
      <c r="AK255" s="122" t="s">
        <v>253</v>
      </c>
      <c r="AL255" s="122" t="s">
        <v>253</v>
      </c>
      <c r="AM255" s="122" t="s">
        <v>253</v>
      </c>
      <c r="AN255" s="122" t="s">
        <v>253</v>
      </c>
      <c r="AO255" s="141" t="s">
        <v>247</v>
      </c>
      <c r="AP255" s="141" t="s">
        <v>247</v>
      </c>
      <c r="AQ255" s="141" t="s">
        <v>247</v>
      </c>
      <c r="AR255" s="141" t="s">
        <v>253</v>
      </c>
      <c r="AS255" s="141" t="s">
        <v>601</v>
      </c>
      <c r="AT255" s="141" t="s">
        <v>601</v>
      </c>
      <c r="AU255" s="141" t="s">
        <v>258</v>
      </c>
      <c r="AV255" s="122" t="s">
        <v>259</v>
      </c>
      <c r="AW255" s="122" t="s">
        <v>260</v>
      </c>
      <c r="AX255" s="141" t="s">
        <v>14609</v>
      </c>
      <c r="AY255" s="122" t="s">
        <v>247</v>
      </c>
      <c r="AZ255" s="122" t="s">
        <v>14610</v>
      </c>
      <c r="BA255" s="122" t="s">
        <v>262</v>
      </c>
      <c r="BB255" s="122" t="s">
        <v>262</v>
      </c>
      <c r="BD255" s="122" t="s">
        <v>253</v>
      </c>
      <c r="BE255" s="122" t="s">
        <v>263</v>
      </c>
      <c r="BF255" s="122" t="s">
        <v>3547</v>
      </c>
      <c r="BH255" s="122" t="s">
        <v>3538</v>
      </c>
      <c r="BI255" s="142">
        <v>52</v>
      </c>
    </row>
    <row r="256" spans="1:65" x14ac:dyDescent="0.25">
      <c r="A256" s="122" t="s">
        <v>9031</v>
      </c>
      <c r="B256" s="122" t="s">
        <v>14611</v>
      </c>
      <c r="C256" s="122" t="s">
        <v>14612</v>
      </c>
      <c r="D256" s="122" t="s">
        <v>14613</v>
      </c>
      <c r="E256" s="123">
        <v>42233</v>
      </c>
      <c r="F256" s="122" t="s">
        <v>14614</v>
      </c>
      <c r="G256" s="122" t="s">
        <v>235</v>
      </c>
      <c r="H256" s="122" t="s">
        <v>14615</v>
      </c>
      <c r="I256" s="122" t="s">
        <v>9787</v>
      </c>
      <c r="J256" s="122" t="s">
        <v>14616</v>
      </c>
      <c r="K256" s="122" t="s">
        <v>3385</v>
      </c>
      <c r="L256" s="122" t="s">
        <v>3554</v>
      </c>
      <c r="M256" s="122" t="s">
        <v>3736</v>
      </c>
      <c r="Q256" s="122" t="s">
        <v>3389</v>
      </c>
      <c r="R256" s="142">
        <v>53</v>
      </c>
      <c r="S256" s="122" t="s">
        <v>14617</v>
      </c>
      <c r="T256" s="122" t="s">
        <v>14618</v>
      </c>
      <c r="U256" s="122" t="s">
        <v>3538</v>
      </c>
      <c r="W256" s="122" t="s">
        <v>246</v>
      </c>
      <c r="X256" s="122" t="s">
        <v>551</v>
      </c>
      <c r="Y256" s="141" t="s">
        <v>2979</v>
      </c>
      <c r="Z256" s="122" t="s">
        <v>10900</v>
      </c>
      <c r="AA256" s="141" t="s">
        <v>306</v>
      </c>
      <c r="AB256" s="122" t="s">
        <v>14619</v>
      </c>
      <c r="AC256" s="141" t="s">
        <v>330</v>
      </c>
      <c r="AD256" s="122" t="s">
        <v>10900</v>
      </c>
      <c r="AE256" s="122" t="s">
        <v>235</v>
      </c>
      <c r="AF256" s="122" t="s">
        <v>14620</v>
      </c>
      <c r="AG256" s="122" t="s">
        <v>537</v>
      </c>
      <c r="AH256" s="122" t="s">
        <v>253</v>
      </c>
      <c r="AI256" s="122" t="s">
        <v>6049</v>
      </c>
      <c r="AJ256" s="122" t="s">
        <v>14621</v>
      </c>
      <c r="AK256" s="122" t="s">
        <v>253</v>
      </c>
      <c r="AL256" s="122" t="s">
        <v>253</v>
      </c>
      <c r="AM256" s="122" t="s">
        <v>253</v>
      </c>
      <c r="AN256" s="122" t="s">
        <v>253</v>
      </c>
      <c r="AO256" s="141" t="s">
        <v>247</v>
      </c>
      <c r="AP256" s="141" t="s">
        <v>253</v>
      </c>
      <c r="AQ256" s="141" t="s">
        <v>253</v>
      </c>
      <c r="AR256" s="141" t="s">
        <v>253</v>
      </c>
      <c r="AS256" s="141" t="s">
        <v>601</v>
      </c>
      <c r="AT256" s="141" t="s">
        <v>258</v>
      </c>
      <c r="AU256" s="141" t="s">
        <v>258</v>
      </c>
      <c r="AV256" s="122" t="s">
        <v>259</v>
      </c>
      <c r="AW256" s="122" t="s">
        <v>260</v>
      </c>
      <c r="AX256" s="141" t="s">
        <v>1810</v>
      </c>
      <c r="AY256" s="122" t="s">
        <v>603</v>
      </c>
      <c r="AZ256" s="122" t="s">
        <v>14622</v>
      </c>
      <c r="BA256" s="122" t="s">
        <v>262</v>
      </c>
      <c r="BB256" s="122" t="s">
        <v>262</v>
      </c>
      <c r="BD256" s="122" t="s">
        <v>253</v>
      </c>
      <c r="BE256" s="122" t="s">
        <v>263</v>
      </c>
      <c r="BF256" s="122" t="s">
        <v>3547</v>
      </c>
      <c r="BH256" s="122" t="s">
        <v>3538</v>
      </c>
      <c r="BI256" s="142">
        <v>53</v>
      </c>
      <c r="BJ256" s="123">
        <v>42238</v>
      </c>
      <c r="BK256" s="139" t="s">
        <v>264</v>
      </c>
      <c r="BL256" s="140">
        <v>88.78</v>
      </c>
      <c r="BM256" s="122">
        <v>34</v>
      </c>
    </row>
    <row r="257" spans="1:65" x14ac:dyDescent="0.25">
      <c r="A257" s="122" t="s">
        <v>9031</v>
      </c>
      <c r="B257" s="122" t="s">
        <v>14623</v>
      </c>
      <c r="C257" s="122" t="s">
        <v>14624</v>
      </c>
      <c r="D257" s="122" t="s">
        <v>3950</v>
      </c>
      <c r="E257" s="123">
        <v>42233</v>
      </c>
      <c r="F257" s="122" t="s">
        <v>14625</v>
      </c>
      <c r="G257" s="122" t="s">
        <v>235</v>
      </c>
      <c r="H257" s="122" t="s">
        <v>448</v>
      </c>
      <c r="I257" s="122" t="s">
        <v>14626</v>
      </c>
      <c r="J257" s="122" t="s">
        <v>14627</v>
      </c>
      <c r="K257" s="122" t="s">
        <v>3364</v>
      </c>
      <c r="L257" s="122" t="s">
        <v>3365</v>
      </c>
      <c r="M257" s="122" t="s">
        <v>14628</v>
      </c>
      <c r="O257" s="141" t="s">
        <v>665</v>
      </c>
      <c r="P257" s="141" t="s">
        <v>14629</v>
      </c>
      <c r="Q257" s="122" t="s">
        <v>3369</v>
      </c>
      <c r="R257" s="142">
        <v>54</v>
      </c>
      <c r="S257" s="122" t="s">
        <v>14630</v>
      </c>
      <c r="U257" s="122" t="s">
        <v>3538</v>
      </c>
      <c r="V257" s="122" t="s">
        <v>351</v>
      </c>
      <c r="W257" s="122" t="s">
        <v>246</v>
      </c>
      <c r="X257" s="122" t="s">
        <v>3147</v>
      </c>
      <c r="Z257" s="122" t="s">
        <v>250</v>
      </c>
      <c r="AB257" s="122" t="s">
        <v>250</v>
      </c>
      <c r="AD257" s="122" t="s">
        <v>250</v>
      </c>
      <c r="AE257" s="122" t="s">
        <v>235</v>
      </c>
      <c r="AF257" s="122" t="s">
        <v>14631</v>
      </c>
      <c r="AG257" s="122" t="s">
        <v>537</v>
      </c>
      <c r="AH257" s="122" t="s">
        <v>253</v>
      </c>
      <c r="AI257" s="122" t="s">
        <v>433</v>
      </c>
      <c r="AJ257" s="122" t="s">
        <v>14632</v>
      </c>
      <c r="AK257" s="122" t="s">
        <v>253</v>
      </c>
      <c r="AL257" s="122" t="s">
        <v>253</v>
      </c>
      <c r="AM257" s="122" t="s">
        <v>253</v>
      </c>
      <c r="AN257" s="122" t="s">
        <v>253</v>
      </c>
      <c r="AO257" s="141" t="s">
        <v>247</v>
      </c>
      <c r="AP257" s="141" t="s">
        <v>247</v>
      </c>
      <c r="AQ257" s="141" t="s">
        <v>253</v>
      </c>
      <c r="AR257" s="141" t="s">
        <v>253</v>
      </c>
      <c r="AS257" s="141" t="s">
        <v>601</v>
      </c>
      <c r="AT257" s="141" t="s">
        <v>258</v>
      </c>
      <c r="AU257" s="141" t="s">
        <v>258</v>
      </c>
      <c r="AV257" s="122" t="s">
        <v>259</v>
      </c>
      <c r="AW257" s="122" t="s">
        <v>260</v>
      </c>
      <c r="AY257" s="122" t="s">
        <v>253</v>
      </c>
      <c r="AZ257" s="122" t="s">
        <v>262</v>
      </c>
      <c r="BA257" s="122" t="s">
        <v>262</v>
      </c>
      <c r="BB257" s="122" t="s">
        <v>262</v>
      </c>
      <c r="BD257" s="122" t="s">
        <v>253</v>
      </c>
      <c r="BE257" s="122" t="s">
        <v>263</v>
      </c>
      <c r="BF257" s="122" t="s">
        <v>3547</v>
      </c>
      <c r="BH257" s="122" t="s">
        <v>3538</v>
      </c>
      <c r="BI257" s="142">
        <v>54</v>
      </c>
    </row>
    <row r="258" spans="1:65" x14ac:dyDescent="0.25">
      <c r="A258" s="122" t="s">
        <v>9031</v>
      </c>
      <c r="B258" s="122" t="s">
        <v>14633</v>
      </c>
      <c r="C258" s="122" t="s">
        <v>14634</v>
      </c>
      <c r="D258" s="122" t="s">
        <v>14635</v>
      </c>
      <c r="E258" s="123">
        <v>42233</v>
      </c>
      <c r="F258" s="122" t="s">
        <v>354</v>
      </c>
      <c r="G258" s="122" t="s">
        <v>235</v>
      </c>
      <c r="H258" s="122" t="s">
        <v>14636</v>
      </c>
      <c r="I258" s="122" t="s">
        <v>14637</v>
      </c>
      <c r="J258" s="122" t="s">
        <v>7393</v>
      </c>
      <c r="K258" s="122" t="s">
        <v>3364</v>
      </c>
      <c r="L258" s="122" t="s">
        <v>3365</v>
      </c>
      <c r="M258" s="122" t="s">
        <v>3366</v>
      </c>
      <c r="O258" s="141" t="s">
        <v>1253</v>
      </c>
      <c r="P258" s="141" t="s">
        <v>14638</v>
      </c>
      <c r="Q258" s="122" t="s">
        <v>3369</v>
      </c>
      <c r="R258" s="142">
        <v>55</v>
      </c>
      <c r="S258" s="122" t="s">
        <v>14639</v>
      </c>
      <c r="T258" s="122" t="s">
        <v>14640</v>
      </c>
      <c r="U258" s="122" t="s">
        <v>3538</v>
      </c>
      <c r="W258" s="122" t="s">
        <v>246</v>
      </c>
      <c r="X258" s="122" t="s">
        <v>4409</v>
      </c>
      <c r="Y258" s="141" t="s">
        <v>535</v>
      </c>
      <c r="Z258" s="122" t="s">
        <v>355</v>
      </c>
      <c r="AB258" s="122" t="s">
        <v>250</v>
      </c>
      <c r="AD258" s="122" t="s">
        <v>250</v>
      </c>
      <c r="AE258" s="122" t="s">
        <v>235</v>
      </c>
      <c r="AF258" s="122" t="s">
        <v>14641</v>
      </c>
      <c r="AG258" s="122" t="s">
        <v>14642</v>
      </c>
      <c r="AH258" s="122" t="s">
        <v>253</v>
      </c>
      <c r="AI258" s="122" t="s">
        <v>14643</v>
      </c>
      <c r="AJ258" s="122" t="s">
        <v>14644</v>
      </c>
      <c r="AK258" s="122" t="s">
        <v>253</v>
      </c>
      <c r="AL258" s="122" t="s">
        <v>253</v>
      </c>
      <c r="AM258" s="122" t="s">
        <v>253</v>
      </c>
      <c r="AN258" s="122" t="s">
        <v>253</v>
      </c>
      <c r="AO258" s="141" t="s">
        <v>247</v>
      </c>
      <c r="AP258" s="141" t="s">
        <v>247</v>
      </c>
      <c r="AQ258" s="141" t="s">
        <v>247</v>
      </c>
      <c r="AR258" s="141" t="s">
        <v>247</v>
      </c>
      <c r="AS258" s="141" t="s">
        <v>601</v>
      </c>
      <c r="AT258" s="141" t="s">
        <v>601</v>
      </c>
      <c r="AU258" s="141" t="s">
        <v>601</v>
      </c>
      <c r="AV258" s="122" t="s">
        <v>259</v>
      </c>
      <c r="AW258" s="122" t="s">
        <v>260</v>
      </c>
      <c r="AY258" s="122" t="s">
        <v>253</v>
      </c>
      <c r="AZ258" s="122" t="s">
        <v>14645</v>
      </c>
      <c r="BA258" s="122" t="s">
        <v>262</v>
      </c>
      <c r="BB258" s="122" t="s">
        <v>262</v>
      </c>
      <c r="BC258" s="141" t="s">
        <v>312</v>
      </c>
      <c r="BD258" s="122" t="s">
        <v>253</v>
      </c>
      <c r="BE258" s="122" t="s">
        <v>263</v>
      </c>
      <c r="BF258" s="122" t="s">
        <v>3547</v>
      </c>
      <c r="BH258" s="122" t="s">
        <v>3538</v>
      </c>
      <c r="BI258" s="142">
        <v>55</v>
      </c>
      <c r="BJ258" s="123">
        <v>42235</v>
      </c>
      <c r="BK258" s="139" t="s">
        <v>264</v>
      </c>
      <c r="BL258" s="140">
        <v>300</v>
      </c>
      <c r="BM258" s="122">
        <v>34</v>
      </c>
    </row>
    <row r="259" spans="1:65" x14ac:dyDescent="0.25">
      <c r="A259" s="122" t="s">
        <v>11880</v>
      </c>
      <c r="B259" s="122" t="s">
        <v>14646</v>
      </c>
      <c r="C259" s="122" t="s">
        <v>14647</v>
      </c>
      <c r="D259" s="122" t="s">
        <v>14648</v>
      </c>
      <c r="E259" s="123">
        <v>42233</v>
      </c>
      <c r="F259" s="122" t="s">
        <v>14649</v>
      </c>
      <c r="G259" s="122" t="s">
        <v>235</v>
      </c>
      <c r="H259" s="122" t="s">
        <v>14650</v>
      </c>
      <c r="I259" s="122" t="s">
        <v>14651</v>
      </c>
      <c r="J259" s="122" t="s">
        <v>564</v>
      </c>
      <c r="K259" s="122" t="s">
        <v>3385</v>
      </c>
      <c r="L259" s="122" t="s">
        <v>3386</v>
      </c>
      <c r="M259" s="122" t="s">
        <v>3486</v>
      </c>
      <c r="O259" s="141" t="s">
        <v>373</v>
      </c>
      <c r="P259" s="141" t="s">
        <v>14652</v>
      </c>
      <c r="Q259" s="122" t="s">
        <v>3389</v>
      </c>
      <c r="R259" s="142">
        <v>56</v>
      </c>
      <c r="S259" s="122" t="s">
        <v>14653</v>
      </c>
      <c r="U259" s="122" t="s">
        <v>3538</v>
      </c>
      <c r="W259" s="122" t="s">
        <v>246</v>
      </c>
      <c r="X259" s="122" t="s">
        <v>972</v>
      </c>
      <c r="Y259" s="141" t="s">
        <v>6551</v>
      </c>
      <c r="Z259" s="122" t="s">
        <v>14654</v>
      </c>
      <c r="AA259" s="141" t="s">
        <v>2700</v>
      </c>
      <c r="AB259" s="122" t="s">
        <v>4824</v>
      </c>
      <c r="AC259" s="141" t="s">
        <v>855</v>
      </c>
      <c r="AD259" s="122" t="s">
        <v>14655</v>
      </c>
      <c r="AE259" s="122" t="s">
        <v>235</v>
      </c>
      <c r="AF259" s="122" t="s">
        <v>14656</v>
      </c>
      <c r="AG259" s="122" t="s">
        <v>537</v>
      </c>
      <c r="AH259" s="122" t="s">
        <v>253</v>
      </c>
      <c r="AI259" s="122" t="s">
        <v>14657</v>
      </c>
      <c r="AJ259" s="122" t="s">
        <v>14658</v>
      </c>
      <c r="AK259" s="122" t="s">
        <v>253</v>
      </c>
      <c r="AL259" s="122" t="s">
        <v>12666</v>
      </c>
      <c r="AM259" s="122" t="s">
        <v>253</v>
      </c>
      <c r="AN259" s="122" t="s">
        <v>253</v>
      </c>
      <c r="AO259" s="141" t="s">
        <v>247</v>
      </c>
      <c r="AP259" s="141" t="s">
        <v>247</v>
      </c>
      <c r="AQ259" s="141" t="s">
        <v>247</v>
      </c>
      <c r="AR259" s="141" t="s">
        <v>253</v>
      </c>
      <c r="AS259" s="141" t="s">
        <v>601</v>
      </c>
      <c r="AT259" s="141" t="s">
        <v>601</v>
      </c>
      <c r="AU259" s="141" t="s">
        <v>258</v>
      </c>
      <c r="AV259" s="122" t="s">
        <v>259</v>
      </c>
      <c r="AW259" s="122" t="s">
        <v>260</v>
      </c>
      <c r="AX259" s="141" t="s">
        <v>3169</v>
      </c>
      <c r="AY259" s="122" t="s">
        <v>247</v>
      </c>
      <c r="AZ259" s="122" t="s">
        <v>14659</v>
      </c>
      <c r="BA259" s="122" t="s">
        <v>262</v>
      </c>
      <c r="BB259" s="122" t="s">
        <v>14659</v>
      </c>
      <c r="BC259" s="141" t="s">
        <v>312</v>
      </c>
      <c r="BD259" s="122" t="s">
        <v>253</v>
      </c>
      <c r="BE259" s="122" t="s">
        <v>263</v>
      </c>
      <c r="BF259" s="122" t="s">
        <v>3547</v>
      </c>
      <c r="BH259" s="122" t="s">
        <v>3538</v>
      </c>
      <c r="BI259" s="142">
        <v>56</v>
      </c>
    </row>
    <row r="260" spans="1:65" x14ac:dyDescent="0.25">
      <c r="A260" s="122" t="s">
        <v>11880</v>
      </c>
      <c r="B260" s="122" t="s">
        <v>14660</v>
      </c>
      <c r="C260" s="122" t="s">
        <v>14661</v>
      </c>
      <c r="D260" s="122" t="s">
        <v>14662</v>
      </c>
      <c r="E260" s="123">
        <v>42233</v>
      </c>
      <c r="F260" s="122" t="s">
        <v>14663</v>
      </c>
      <c r="G260" s="122" t="s">
        <v>235</v>
      </c>
      <c r="H260" s="122" t="s">
        <v>14664</v>
      </c>
      <c r="I260" s="122" t="s">
        <v>14665</v>
      </c>
      <c r="J260" s="122" t="s">
        <v>1816</v>
      </c>
      <c r="K260" s="122" t="s">
        <v>3385</v>
      </c>
      <c r="L260" s="122" t="s">
        <v>3554</v>
      </c>
      <c r="M260" s="122" t="s">
        <v>3555</v>
      </c>
      <c r="O260" s="141" t="s">
        <v>1253</v>
      </c>
      <c r="P260" s="141" t="s">
        <v>14666</v>
      </c>
      <c r="Q260" s="122" t="s">
        <v>3389</v>
      </c>
      <c r="R260" s="142">
        <v>57</v>
      </c>
      <c r="S260" s="122" t="s">
        <v>14667</v>
      </c>
      <c r="U260" s="122" t="s">
        <v>3538</v>
      </c>
      <c r="W260" s="122" t="s">
        <v>246</v>
      </c>
      <c r="X260" s="122" t="s">
        <v>1225</v>
      </c>
      <c r="Y260" s="141" t="s">
        <v>956</v>
      </c>
      <c r="Z260" s="122" t="s">
        <v>14668</v>
      </c>
      <c r="AA260" s="141" t="s">
        <v>500</v>
      </c>
      <c r="AB260" s="122" t="s">
        <v>14669</v>
      </c>
      <c r="AC260" s="141" t="s">
        <v>330</v>
      </c>
      <c r="AD260" s="122" t="s">
        <v>14670</v>
      </c>
      <c r="AE260" s="122" t="s">
        <v>235</v>
      </c>
      <c r="AF260" s="122" t="s">
        <v>14671</v>
      </c>
      <c r="AG260" s="122" t="s">
        <v>537</v>
      </c>
      <c r="AH260" s="122" t="s">
        <v>253</v>
      </c>
      <c r="AI260" s="122" t="s">
        <v>14672</v>
      </c>
      <c r="AJ260" s="122" t="s">
        <v>14673</v>
      </c>
      <c r="AK260" s="122" t="s">
        <v>253</v>
      </c>
      <c r="AL260" s="122" t="s">
        <v>253</v>
      </c>
      <c r="AM260" s="122" t="s">
        <v>253</v>
      </c>
      <c r="AN260" s="122" t="s">
        <v>253</v>
      </c>
      <c r="AO260" s="141" t="s">
        <v>247</v>
      </c>
      <c r="AP260" s="141" t="s">
        <v>253</v>
      </c>
      <c r="AQ260" s="141" t="s">
        <v>247</v>
      </c>
      <c r="AR260" s="141" t="s">
        <v>253</v>
      </c>
      <c r="AS260" s="141" t="s">
        <v>601</v>
      </c>
      <c r="AT260" s="141" t="s">
        <v>601</v>
      </c>
      <c r="AU260" s="141" t="s">
        <v>258</v>
      </c>
      <c r="AV260" s="122" t="s">
        <v>259</v>
      </c>
      <c r="AW260" s="122" t="s">
        <v>260</v>
      </c>
      <c r="AY260" s="122" t="s">
        <v>253</v>
      </c>
      <c r="AZ260" s="122" t="s">
        <v>14674</v>
      </c>
      <c r="BA260" s="122" t="s">
        <v>262</v>
      </c>
      <c r="BB260" s="122" t="s">
        <v>262</v>
      </c>
      <c r="BC260" s="141" t="s">
        <v>312</v>
      </c>
      <c r="BD260" s="122" t="s">
        <v>253</v>
      </c>
      <c r="BE260" s="122" t="s">
        <v>263</v>
      </c>
      <c r="BF260" s="122" t="s">
        <v>3547</v>
      </c>
      <c r="BH260" s="122" t="s">
        <v>3538</v>
      </c>
      <c r="BI260" s="142">
        <v>57</v>
      </c>
    </row>
    <row r="261" spans="1:65" x14ac:dyDescent="0.25">
      <c r="A261" s="122" t="s">
        <v>11880</v>
      </c>
      <c r="B261" s="122" t="s">
        <v>14675</v>
      </c>
      <c r="C261" s="122" t="s">
        <v>14676</v>
      </c>
      <c r="D261" s="122" t="s">
        <v>14677</v>
      </c>
      <c r="E261" s="123">
        <v>42233</v>
      </c>
      <c r="F261" s="122" t="s">
        <v>1125</v>
      </c>
      <c r="G261" s="122" t="s">
        <v>235</v>
      </c>
      <c r="H261" s="122" t="s">
        <v>14678</v>
      </c>
      <c r="I261" s="122" t="s">
        <v>9847</v>
      </c>
      <c r="J261" s="122" t="s">
        <v>4312</v>
      </c>
      <c r="K261" s="122" t="s">
        <v>3385</v>
      </c>
      <c r="L261" s="122" t="s">
        <v>3386</v>
      </c>
      <c r="M261" s="122" t="s">
        <v>3486</v>
      </c>
      <c r="O261" s="141" t="s">
        <v>373</v>
      </c>
      <c r="P261" s="141" t="s">
        <v>14679</v>
      </c>
      <c r="Q261" s="122" t="s">
        <v>3389</v>
      </c>
      <c r="R261" s="142">
        <v>58</v>
      </c>
      <c r="S261" s="122" t="s">
        <v>14680</v>
      </c>
      <c r="U261" s="122" t="s">
        <v>3538</v>
      </c>
      <c r="W261" s="122" t="s">
        <v>246</v>
      </c>
      <c r="X261" s="122" t="s">
        <v>1225</v>
      </c>
      <c r="Z261" s="122" t="s">
        <v>250</v>
      </c>
      <c r="AB261" s="122" t="s">
        <v>250</v>
      </c>
      <c r="AD261" s="122" t="s">
        <v>250</v>
      </c>
      <c r="AE261" s="122" t="s">
        <v>235</v>
      </c>
      <c r="AF261" s="122" t="s">
        <v>14681</v>
      </c>
      <c r="AG261" s="122" t="s">
        <v>537</v>
      </c>
      <c r="AH261" s="122" t="s">
        <v>9293</v>
      </c>
      <c r="AI261" s="122" t="s">
        <v>14682</v>
      </c>
      <c r="AJ261" s="122" t="s">
        <v>14683</v>
      </c>
      <c r="AK261" s="122" t="s">
        <v>253</v>
      </c>
      <c r="AL261" s="122" t="s">
        <v>253</v>
      </c>
      <c r="AM261" s="122" t="s">
        <v>253</v>
      </c>
      <c r="AN261" s="122" t="s">
        <v>253</v>
      </c>
      <c r="AO261" s="141" t="s">
        <v>247</v>
      </c>
      <c r="AP261" s="141" t="s">
        <v>247</v>
      </c>
      <c r="AQ261" s="141" t="s">
        <v>247</v>
      </c>
      <c r="AR261" s="141" t="s">
        <v>253</v>
      </c>
      <c r="AS261" s="141" t="s">
        <v>601</v>
      </c>
      <c r="AT261" s="141" t="s">
        <v>601</v>
      </c>
      <c r="AU261" s="141" t="s">
        <v>258</v>
      </c>
      <c r="AV261" s="122" t="s">
        <v>259</v>
      </c>
      <c r="AW261" s="122" t="s">
        <v>260</v>
      </c>
      <c r="AY261" s="122" t="s">
        <v>253</v>
      </c>
      <c r="AZ261" s="122" t="s">
        <v>14684</v>
      </c>
      <c r="BA261" s="122" t="s">
        <v>262</v>
      </c>
      <c r="BB261" s="122" t="s">
        <v>14684</v>
      </c>
      <c r="BD261" s="122" t="s">
        <v>253</v>
      </c>
      <c r="BE261" s="122" t="s">
        <v>263</v>
      </c>
      <c r="BF261" s="122" t="s">
        <v>3547</v>
      </c>
      <c r="BH261" s="122" t="s">
        <v>3538</v>
      </c>
      <c r="BI261" s="142">
        <v>58</v>
      </c>
    </row>
    <row r="262" spans="1:65" x14ac:dyDescent="0.25">
      <c r="A262" s="122" t="s">
        <v>11880</v>
      </c>
      <c r="B262" s="122" t="s">
        <v>14685</v>
      </c>
      <c r="C262" s="122" t="s">
        <v>14686</v>
      </c>
      <c r="D262" s="122" t="s">
        <v>14687</v>
      </c>
      <c r="E262" s="123">
        <v>42233</v>
      </c>
      <c r="F262" s="122" t="s">
        <v>1402</v>
      </c>
      <c r="G262" s="122" t="s">
        <v>235</v>
      </c>
      <c r="H262" s="122" t="s">
        <v>448</v>
      </c>
      <c r="I262" s="122" t="s">
        <v>14688</v>
      </c>
      <c r="J262" s="122" t="s">
        <v>2393</v>
      </c>
      <c r="K262" s="122" t="s">
        <v>3385</v>
      </c>
      <c r="L262" s="122" t="s">
        <v>3554</v>
      </c>
      <c r="M262" s="122" t="s">
        <v>3846</v>
      </c>
      <c r="O262" s="141" t="s">
        <v>566</v>
      </c>
      <c r="P262" s="141" t="s">
        <v>14689</v>
      </c>
      <c r="Q262" s="122" t="s">
        <v>3389</v>
      </c>
      <c r="R262" s="142">
        <v>59</v>
      </c>
      <c r="S262" s="122" t="s">
        <v>14690</v>
      </c>
      <c r="U262" s="122" t="s">
        <v>3538</v>
      </c>
      <c r="W262" s="122" t="s">
        <v>246</v>
      </c>
      <c r="X262" s="122" t="s">
        <v>302</v>
      </c>
      <c r="Y262" s="141" t="s">
        <v>888</v>
      </c>
      <c r="Z262" s="122" t="s">
        <v>14691</v>
      </c>
      <c r="AA262" s="141" t="s">
        <v>742</v>
      </c>
      <c r="AB262" s="122" t="s">
        <v>1792</v>
      </c>
      <c r="AC262" s="141" t="s">
        <v>672</v>
      </c>
      <c r="AD262" s="122" t="s">
        <v>1746</v>
      </c>
      <c r="AE262" s="122" t="s">
        <v>235</v>
      </c>
      <c r="AF262" s="122" t="s">
        <v>14692</v>
      </c>
      <c r="AG262" s="122" t="s">
        <v>253</v>
      </c>
      <c r="AH262" s="122" t="s">
        <v>253</v>
      </c>
      <c r="AI262" s="122" t="s">
        <v>14693</v>
      </c>
      <c r="AJ262" s="122" t="s">
        <v>14694</v>
      </c>
      <c r="AK262" s="122" t="s">
        <v>253</v>
      </c>
      <c r="AL262" s="122" t="s">
        <v>14695</v>
      </c>
      <c r="AM262" s="122" t="s">
        <v>253</v>
      </c>
      <c r="AN262" s="122" t="s">
        <v>253</v>
      </c>
      <c r="AO262" s="141" t="s">
        <v>247</v>
      </c>
      <c r="AP262" s="141" t="s">
        <v>247</v>
      </c>
      <c r="AQ262" s="141" t="s">
        <v>247</v>
      </c>
      <c r="AR262" s="141" t="s">
        <v>253</v>
      </c>
      <c r="AS262" s="141" t="s">
        <v>601</v>
      </c>
      <c r="AT262" s="141" t="s">
        <v>601</v>
      </c>
      <c r="AU262" s="141" t="s">
        <v>258</v>
      </c>
      <c r="AV262" s="122" t="s">
        <v>259</v>
      </c>
      <c r="AW262" s="122" t="s">
        <v>260</v>
      </c>
      <c r="AX262" s="141" t="s">
        <v>3169</v>
      </c>
      <c r="AY262" s="122" t="s">
        <v>247</v>
      </c>
      <c r="AZ262" s="122" t="s">
        <v>262</v>
      </c>
      <c r="BA262" s="122" t="s">
        <v>262</v>
      </c>
      <c r="BB262" s="122" t="s">
        <v>14696</v>
      </c>
      <c r="BD262" s="122" t="s">
        <v>253</v>
      </c>
      <c r="BE262" s="122" t="s">
        <v>263</v>
      </c>
      <c r="BF262" s="122" t="s">
        <v>3547</v>
      </c>
      <c r="BH262" s="122" t="s">
        <v>3538</v>
      </c>
      <c r="BI262" s="142">
        <v>59</v>
      </c>
    </row>
    <row r="263" spans="1:65" x14ac:dyDescent="0.25">
      <c r="A263" s="122" t="s">
        <v>11880</v>
      </c>
      <c r="B263" s="122" t="s">
        <v>14697</v>
      </c>
      <c r="C263" s="122" t="s">
        <v>14698</v>
      </c>
      <c r="D263" s="122" t="s">
        <v>14699</v>
      </c>
      <c r="E263" s="123">
        <v>42233</v>
      </c>
      <c r="F263" s="122" t="s">
        <v>14700</v>
      </c>
      <c r="G263" s="122" t="s">
        <v>235</v>
      </c>
      <c r="H263" s="122" t="s">
        <v>14701</v>
      </c>
      <c r="I263" s="122" t="s">
        <v>3470</v>
      </c>
      <c r="J263" s="122" t="s">
        <v>14702</v>
      </c>
      <c r="K263" s="122" t="s">
        <v>3385</v>
      </c>
      <c r="L263" s="122" t="s">
        <v>3386</v>
      </c>
      <c r="M263" s="122" t="s">
        <v>3405</v>
      </c>
      <c r="O263" s="141" t="s">
        <v>273</v>
      </c>
      <c r="P263" s="141" t="s">
        <v>14703</v>
      </c>
      <c r="Q263" s="122" t="s">
        <v>3389</v>
      </c>
      <c r="R263" s="142">
        <v>60</v>
      </c>
      <c r="S263" s="122" t="s">
        <v>14704</v>
      </c>
      <c r="U263" s="122" t="s">
        <v>3538</v>
      </c>
      <c r="W263" s="122" t="s">
        <v>246</v>
      </c>
      <c r="X263" s="122" t="s">
        <v>278</v>
      </c>
      <c r="Y263" s="141" t="s">
        <v>705</v>
      </c>
      <c r="Z263" s="122" t="s">
        <v>14705</v>
      </c>
      <c r="AA263" s="141" t="s">
        <v>1423</v>
      </c>
      <c r="AB263" s="122" t="s">
        <v>14706</v>
      </c>
      <c r="AC263" s="141" t="s">
        <v>2720</v>
      </c>
      <c r="AD263" s="122" t="s">
        <v>14707</v>
      </c>
      <c r="AE263" s="122" t="s">
        <v>235</v>
      </c>
      <c r="AF263" s="122" t="s">
        <v>14708</v>
      </c>
      <c r="AG263" s="122" t="s">
        <v>14709</v>
      </c>
      <c r="AH263" s="122" t="s">
        <v>253</v>
      </c>
      <c r="AI263" s="122" t="s">
        <v>14710</v>
      </c>
      <c r="AJ263" s="122" t="s">
        <v>14711</v>
      </c>
      <c r="AK263" s="122" t="s">
        <v>253</v>
      </c>
      <c r="AL263" s="122" t="s">
        <v>253</v>
      </c>
      <c r="AM263" s="122" t="s">
        <v>253</v>
      </c>
      <c r="AN263" s="122" t="s">
        <v>253</v>
      </c>
      <c r="AO263" s="141" t="s">
        <v>247</v>
      </c>
      <c r="AP263" s="141" t="s">
        <v>247</v>
      </c>
      <c r="AQ263" s="141" t="s">
        <v>247</v>
      </c>
      <c r="AR263" s="141" t="s">
        <v>253</v>
      </c>
      <c r="AS263" s="141" t="s">
        <v>601</v>
      </c>
      <c r="AT263" s="141" t="s">
        <v>601</v>
      </c>
      <c r="AU263" s="141" t="s">
        <v>258</v>
      </c>
      <c r="AV263" s="122" t="s">
        <v>259</v>
      </c>
      <c r="AW263" s="122" t="s">
        <v>260</v>
      </c>
      <c r="AY263" s="122" t="s">
        <v>253</v>
      </c>
      <c r="AZ263" s="122" t="s">
        <v>14712</v>
      </c>
      <c r="BA263" s="122" t="s">
        <v>262</v>
      </c>
      <c r="BB263" s="122" t="s">
        <v>262</v>
      </c>
      <c r="BD263" s="122" t="s">
        <v>253</v>
      </c>
      <c r="BE263" s="122" t="s">
        <v>263</v>
      </c>
      <c r="BF263" s="122" t="s">
        <v>3547</v>
      </c>
      <c r="BH263" s="122" t="s">
        <v>3538</v>
      </c>
      <c r="BI263" s="142">
        <v>60</v>
      </c>
      <c r="BJ263" s="123">
        <v>42238</v>
      </c>
      <c r="BK263" s="139" t="s">
        <v>2891</v>
      </c>
      <c r="BM263" s="122">
        <v>34</v>
      </c>
    </row>
    <row r="264" spans="1:65" x14ac:dyDescent="0.25">
      <c r="A264" s="122" t="s">
        <v>11880</v>
      </c>
      <c r="B264" s="122" t="s">
        <v>14713</v>
      </c>
      <c r="C264" s="122" t="s">
        <v>14714</v>
      </c>
      <c r="D264" s="122" t="s">
        <v>14715</v>
      </c>
      <c r="E264" s="123">
        <v>42233</v>
      </c>
      <c r="F264" s="122" t="s">
        <v>14716</v>
      </c>
      <c r="G264" s="122" t="s">
        <v>235</v>
      </c>
      <c r="H264" s="122" t="s">
        <v>14717</v>
      </c>
      <c r="I264" s="122" t="s">
        <v>14718</v>
      </c>
      <c r="J264" s="122" t="s">
        <v>5772</v>
      </c>
      <c r="K264" s="122" t="s">
        <v>3385</v>
      </c>
      <c r="L264" s="122" t="s">
        <v>3554</v>
      </c>
      <c r="M264" s="122" t="s">
        <v>3736</v>
      </c>
      <c r="O264" s="141" t="s">
        <v>373</v>
      </c>
      <c r="P264" s="141" t="s">
        <v>14719</v>
      </c>
      <c r="Q264" s="122" t="s">
        <v>3389</v>
      </c>
      <c r="R264" s="142">
        <v>61</v>
      </c>
      <c r="S264" s="122" t="s">
        <v>14720</v>
      </c>
      <c r="U264" s="122" t="s">
        <v>3538</v>
      </c>
      <c r="W264" s="122" t="s">
        <v>246</v>
      </c>
      <c r="X264" s="122" t="s">
        <v>1225</v>
      </c>
      <c r="Y264" s="141" t="s">
        <v>404</v>
      </c>
      <c r="Z264" s="122" t="s">
        <v>14721</v>
      </c>
      <c r="AA264" s="141" t="s">
        <v>668</v>
      </c>
      <c r="AB264" s="122" t="s">
        <v>14722</v>
      </c>
      <c r="AC264" s="141" t="s">
        <v>281</v>
      </c>
      <c r="AD264" s="122" t="s">
        <v>14721</v>
      </c>
      <c r="AE264" s="122" t="s">
        <v>235</v>
      </c>
      <c r="AF264" s="122" t="s">
        <v>14723</v>
      </c>
      <c r="AG264" s="122" t="s">
        <v>537</v>
      </c>
      <c r="AH264" s="122" t="s">
        <v>253</v>
      </c>
      <c r="AI264" s="122" t="s">
        <v>14724</v>
      </c>
      <c r="AJ264" s="122" t="s">
        <v>14725</v>
      </c>
      <c r="AK264" s="122" t="s">
        <v>253</v>
      </c>
      <c r="AL264" s="122" t="s">
        <v>253</v>
      </c>
      <c r="AM264" s="122" t="s">
        <v>253</v>
      </c>
      <c r="AN264" s="122" t="s">
        <v>253</v>
      </c>
      <c r="AO264" s="141" t="s">
        <v>247</v>
      </c>
      <c r="AP264" s="141" t="s">
        <v>253</v>
      </c>
      <c r="AQ264" s="141" t="s">
        <v>247</v>
      </c>
      <c r="AR264" s="141" t="s">
        <v>253</v>
      </c>
      <c r="AS264" s="141" t="s">
        <v>601</v>
      </c>
      <c r="AT264" s="141" t="s">
        <v>601</v>
      </c>
      <c r="AU264" s="141" t="s">
        <v>258</v>
      </c>
      <c r="AV264" s="122" t="s">
        <v>259</v>
      </c>
      <c r="AW264" s="122" t="s">
        <v>260</v>
      </c>
      <c r="AY264" s="122" t="s">
        <v>253</v>
      </c>
      <c r="AZ264" s="122" t="s">
        <v>14726</v>
      </c>
      <c r="BA264" s="122" t="s">
        <v>262</v>
      </c>
      <c r="BB264" s="122" t="s">
        <v>262</v>
      </c>
      <c r="BD264" s="122" t="s">
        <v>253</v>
      </c>
      <c r="BE264" s="122" t="s">
        <v>263</v>
      </c>
      <c r="BF264" s="122" t="s">
        <v>3547</v>
      </c>
      <c r="BH264" s="122" t="s">
        <v>3538</v>
      </c>
      <c r="BI264" s="142">
        <v>61</v>
      </c>
      <c r="BJ264" s="123">
        <v>42237</v>
      </c>
      <c r="BK264" s="139" t="s">
        <v>264</v>
      </c>
      <c r="BL264" s="140">
        <v>114.13</v>
      </c>
      <c r="BM264" s="122">
        <v>34</v>
      </c>
    </row>
    <row r="265" spans="1:65" x14ac:dyDescent="0.25">
      <c r="A265" s="122" t="s">
        <v>9904</v>
      </c>
      <c r="B265" s="122" t="s">
        <v>14727</v>
      </c>
      <c r="C265" s="122" t="s">
        <v>14728</v>
      </c>
      <c r="D265" s="122" t="s">
        <v>14729</v>
      </c>
      <c r="E265" s="123">
        <v>42233</v>
      </c>
      <c r="F265" s="122" t="s">
        <v>958</v>
      </c>
      <c r="G265" s="122" t="s">
        <v>235</v>
      </c>
      <c r="H265" s="122" t="s">
        <v>14730</v>
      </c>
      <c r="I265" s="122" t="s">
        <v>14731</v>
      </c>
      <c r="J265" s="122" t="s">
        <v>370</v>
      </c>
      <c r="K265" s="122" t="s">
        <v>3385</v>
      </c>
      <c r="L265" s="122" t="s">
        <v>3386</v>
      </c>
      <c r="M265" s="122" t="s">
        <v>3486</v>
      </c>
      <c r="O265" s="141" t="s">
        <v>916</v>
      </c>
      <c r="P265" s="141" t="s">
        <v>14732</v>
      </c>
      <c r="Q265" s="122" t="s">
        <v>3389</v>
      </c>
      <c r="R265" s="142">
        <v>62</v>
      </c>
      <c r="S265" s="122" t="s">
        <v>14733</v>
      </c>
      <c r="U265" s="122" t="s">
        <v>3538</v>
      </c>
      <c r="W265" s="122" t="s">
        <v>246</v>
      </c>
      <c r="X265" s="122" t="s">
        <v>1377</v>
      </c>
      <c r="Y265" s="141" t="s">
        <v>535</v>
      </c>
      <c r="Z265" s="122" t="s">
        <v>1326</v>
      </c>
      <c r="AB265" s="122" t="s">
        <v>250</v>
      </c>
      <c r="AD265" s="122" t="s">
        <v>250</v>
      </c>
      <c r="AE265" s="122" t="s">
        <v>235</v>
      </c>
      <c r="AF265" s="122" t="s">
        <v>14734</v>
      </c>
      <c r="AG265" s="122" t="s">
        <v>537</v>
      </c>
      <c r="AH265" s="122" t="s">
        <v>253</v>
      </c>
      <c r="AI265" s="122" t="s">
        <v>14735</v>
      </c>
      <c r="AJ265" s="122" t="s">
        <v>14736</v>
      </c>
      <c r="AK265" s="122" t="s">
        <v>253</v>
      </c>
      <c r="AL265" s="122" t="s">
        <v>253</v>
      </c>
      <c r="AM265" s="122" t="s">
        <v>253</v>
      </c>
      <c r="AN265" s="122" t="s">
        <v>253</v>
      </c>
      <c r="AO265" s="141" t="s">
        <v>247</v>
      </c>
      <c r="AP265" s="141" t="s">
        <v>247</v>
      </c>
      <c r="AQ265" s="141" t="s">
        <v>247</v>
      </c>
      <c r="AR265" s="141" t="s">
        <v>253</v>
      </c>
      <c r="AS265" s="141" t="s">
        <v>601</v>
      </c>
      <c r="AT265" s="141" t="s">
        <v>601</v>
      </c>
      <c r="AU265" s="141" t="s">
        <v>258</v>
      </c>
      <c r="AV265" s="122" t="s">
        <v>259</v>
      </c>
      <c r="AW265" s="122" t="s">
        <v>260</v>
      </c>
      <c r="AY265" s="122" t="s">
        <v>253</v>
      </c>
      <c r="AZ265" s="122" t="s">
        <v>14737</v>
      </c>
      <c r="BA265" s="122" t="s">
        <v>262</v>
      </c>
      <c r="BB265" s="122" t="s">
        <v>262</v>
      </c>
      <c r="BD265" s="122" t="s">
        <v>253</v>
      </c>
      <c r="BE265" s="122" t="s">
        <v>263</v>
      </c>
      <c r="BF265" s="122" t="s">
        <v>3547</v>
      </c>
      <c r="BH265" s="122" t="s">
        <v>3538</v>
      </c>
      <c r="BI265" s="142">
        <v>62</v>
      </c>
    </row>
    <row r="266" spans="1:65" x14ac:dyDescent="0.25">
      <c r="A266" s="122" t="s">
        <v>9904</v>
      </c>
      <c r="B266" s="122" t="s">
        <v>14738</v>
      </c>
      <c r="C266" s="122" t="s">
        <v>14739</v>
      </c>
      <c r="D266" s="122" t="s">
        <v>14740</v>
      </c>
      <c r="E266" s="123">
        <v>42233</v>
      </c>
      <c r="F266" s="122" t="s">
        <v>14741</v>
      </c>
      <c r="G266" s="122" t="s">
        <v>235</v>
      </c>
      <c r="H266" s="122" t="s">
        <v>14742</v>
      </c>
      <c r="I266" s="122" t="s">
        <v>14743</v>
      </c>
      <c r="J266" s="122" t="s">
        <v>14744</v>
      </c>
      <c r="K266" s="122" t="s">
        <v>3533</v>
      </c>
      <c r="L266" s="122" t="s">
        <v>3534</v>
      </c>
      <c r="M266" s="122" t="s">
        <v>3535</v>
      </c>
      <c r="O266" s="141" t="s">
        <v>566</v>
      </c>
      <c r="P266" s="141" t="s">
        <v>14745</v>
      </c>
      <c r="Q266" s="122" t="s">
        <v>3369</v>
      </c>
      <c r="R266" s="142">
        <v>63</v>
      </c>
      <c r="U266" s="122" t="s">
        <v>3538</v>
      </c>
      <c r="V266" s="122" t="s">
        <v>351</v>
      </c>
      <c r="W266" s="122" t="s">
        <v>246</v>
      </c>
      <c r="X266" s="122" t="s">
        <v>2624</v>
      </c>
      <c r="Y266" s="141" t="s">
        <v>7268</v>
      </c>
      <c r="Z266" s="122" t="s">
        <v>14746</v>
      </c>
      <c r="AA266" s="141" t="s">
        <v>7268</v>
      </c>
      <c r="AB266" s="122" t="s">
        <v>14747</v>
      </c>
      <c r="AD266" s="122" t="s">
        <v>250</v>
      </c>
      <c r="AE266" s="122" t="s">
        <v>235</v>
      </c>
      <c r="AF266" s="122" t="s">
        <v>14748</v>
      </c>
      <c r="AG266" s="122" t="s">
        <v>253</v>
      </c>
      <c r="AH266" s="122" t="s">
        <v>253</v>
      </c>
      <c r="AI266" s="122" t="s">
        <v>14749</v>
      </c>
      <c r="AJ266" s="122" t="s">
        <v>14749</v>
      </c>
      <c r="AK266" s="122" t="s">
        <v>14750</v>
      </c>
      <c r="AL266" s="122" t="s">
        <v>14751</v>
      </c>
      <c r="AM266" s="122" t="s">
        <v>253</v>
      </c>
      <c r="AN266" s="122" t="s">
        <v>253</v>
      </c>
      <c r="AO266" s="141" t="s">
        <v>247</v>
      </c>
      <c r="AP266" s="141" t="s">
        <v>247</v>
      </c>
      <c r="AQ266" s="141" t="s">
        <v>247</v>
      </c>
      <c r="AR266" s="141" t="s">
        <v>253</v>
      </c>
      <c r="AS266" s="141" t="s">
        <v>601</v>
      </c>
      <c r="AT266" s="141" t="s">
        <v>601</v>
      </c>
      <c r="AU266" s="141" t="s">
        <v>258</v>
      </c>
      <c r="AV266" s="122" t="s">
        <v>259</v>
      </c>
      <c r="AW266" s="122" t="s">
        <v>260</v>
      </c>
      <c r="AY266" s="122" t="s">
        <v>253</v>
      </c>
      <c r="AZ266" s="122" t="s">
        <v>14752</v>
      </c>
      <c r="BA266" s="122" t="s">
        <v>262</v>
      </c>
      <c r="BB266" s="122" t="s">
        <v>262</v>
      </c>
      <c r="BD266" s="122" t="s">
        <v>253</v>
      </c>
      <c r="BE266" s="122" t="s">
        <v>263</v>
      </c>
      <c r="BF266" s="122" t="s">
        <v>3547</v>
      </c>
      <c r="BH266" s="122" t="s">
        <v>3538</v>
      </c>
      <c r="BI266" s="142">
        <v>63</v>
      </c>
    </row>
    <row r="267" spans="1:65" x14ac:dyDescent="0.25">
      <c r="A267" s="122" t="s">
        <v>9904</v>
      </c>
      <c r="B267" s="122" t="s">
        <v>14753</v>
      </c>
      <c r="C267" s="122" t="s">
        <v>14754</v>
      </c>
      <c r="D267" s="122" t="s">
        <v>14755</v>
      </c>
      <c r="E267" s="123">
        <v>42233</v>
      </c>
      <c r="F267" s="122" t="s">
        <v>14756</v>
      </c>
      <c r="G267" s="122" t="s">
        <v>235</v>
      </c>
      <c r="H267" s="122" t="s">
        <v>14757</v>
      </c>
      <c r="I267" s="122" t="s">
        <v>14758</v>
      </c>
      <c r="K267" s="122" t="s">
        <v>3385</v>
      </c>
      <c r="L267" s="122" t="s">
        <v>3386</v>
      </c>
      <c r="M267" s="122" t="s">
        <v>3405</v>
      </c>
      <c r="O267" s="141" t="s">
        <v>299</v>
      </c>
      <c r="P267" s="141" t="s">
        <v>14759</v>
      </c>
      <c r="Q267" s="122" t="s">
        <v>3389</v>
      </c>
      <c r="R267" s="142">
        <v>64</v>
      </c>
      <c r="S267" s="122" t="s">
        <v>14760</v>
      </c>
      <c r="U267" s="122" t="s">
        <v>3538</v>
      </c>
      <c r="W267" s="122" t="s">
        <v>246</v>
      </c>
      <c r="X267" s="122" t="s">
        <v>853</v>
      </c>
      <c r="Y267" s="141" t="s">
        <v>248</v>
      </c>
      <c r="Z267" s="122" t="s">
        <v>4541</v>
      </c>
      <c r="AA267" s="141" t="s">
        <v>1289</v>
      </c>
      <c r="AB267" s="122" t="s">
        <v>800</v>
      </c>
      <c r="AC267" s="141" t="s">
        <v>1327</v>
      </c>
      <c r="AD267" s="122" t="s">
        <v>14761</v>
      </c>
      <c r="AE267" s="122" t="s">
        <v>235</v>
      </c>
      <c r="AF267" s="122" t="s">
        <v>14762</v>
      </c>
      <c r="AG267" s="122" t="s">
        <v>253</v>
      </c>
      <c r="AH267" s="122" t="s">
        <v>253</v>
      </c>
      <c r="AI267" s="122" t="s">
        <v>14763</v>
      </c>
      <c r="AJ267" s="122" t="s">
        <v>11511</v>
      </c>
      <c r="AK267" s="122" t="s">
        <v>14764</v>
      </c>
      <c r="AL267" s="122" t="s">
        <v>253</v>
      </c>
      <c r="AM267" s="122" t="s">
        <v>253</v>
      </c>
      <c r="AN267" s="122" t="s">
        <v>253</v>
      </c>
      <c r="AO267" s="141" t="s">
        <v>247</v>
      </c>
      <c r="AP267" s="141" t="s">
        <v>253</v>
      </c>
      <c r="AQ267" s="141" t="s">
        <v>247</v>
      </c>
      <c r="AR267" s="141" t="s">
        <v>253</v>
      </c>
      <c r="AS267" s="141" t="s">
        <v>601</v>
      </c>
      <c r="AT267" s="141" t="s">
        <v>601</v>
      </c>
      <c r="AU267" s="141" t="s">
        <v>258</v>
      </c>
      <c r="AV267" s="122" t="s">
        <v>259</v>
      </c>
      <c r="AW267" s="122" t="s">
        <v>260</v>
      </c>
      <c r="AY267" s="122" t="s">
        <v>253</v>
      </c>
      <c r="AZ267" s="122" t="s">
        <v>14765</v>
      </c>
      <c r="BA267" s="122" t="s">
        <v>14766</v>
      </c>
      <c r="BB267" s="122" t="s">
        <v>262</v>
      </c>
      <c r="BC267" s="141" t="s">
        <v>312</v>
      </c>
      <c r="BD267" s="122" t="s">
        <v>253</v>
      </c>
      <c r="BE267" s="122" t="s">
        <v>263</v>
      </c>
      <c r="BF267" s="122" t="s">
        <v>3547</v>
      </c>
      <c r="BH267" s="122" t="s">
        <v>3538</v>
      </c>
      <c r="BI267" s="142">
        <v>64</v>
      </c>
    </row>
    <row r="268" spans="1:65" x14ac:dyDescent="0.25">
      <c r="A268" s="122" t="s">
        <v>9904</v>
      </c>
      <c r="B268" s="122" t="s">
        <v>14767</v>
      </c>
      <c r="C268" s="122" t="s">
        <v>14768</v>
      </c>
      <c r="D268" s="122" t="s">
        <v>14769</v>
      </c>
      <c r="E268" s="123">
        <v>42233</v>
      </c>
      <c r="F268" s="122" t="s">
        <v>10802</v>
      </c>
      <c r="G268" s="122" t="s">
        <v>235</v>
      </c>
      <c r="H268" s="122" t="s">
        <v>14770</v>
      </c>
      <c r="I268" s="122" t="s">
        <v>14771</v>
      </c>
      <c r="K268" s="122" t="s">
        <v>3385</v>
      </c>
      <c r="L268" s="122" t="s">
        <v>3386</v>
      </c>
      <c r="M268" s="122" t="s">
        <v>3486</v>
      </c>
      <c r="O268" s="141" t="s">
        <v>3777</v>
      </c>
      <c r="P268" s="141" t="s">
        <v>14772</v>
      </c>
      <c r="Q268" s="122" t="s">
        <v>3389</v>
      </c>
      <c r="R268" s="142">
        <v>65</v>
      </c>
      <c r="S268" s="122" t="s">
        <v>14773</v>
      </c>
      <c r="U268" s="122" t="s">
        <v>3538</v>
      </c>
      <c r="W268" s="122" t="s">
        <v>246</v>
      </c>
      <c r="X268" s="122" t="s">
        <v>1072</v>
      </c>
      <c r="Y268" s="141" t="s">
        <v>1423</v>
      </c>
      <c r="Z268" s="122" t="s">
        <v>14774</v>
      </c>
      <c r="AA268" s="141" t="s">
        <v>899</v>
      </c>
      <c r="AB268" s="122" t="s">
        <v>14775</v>
      </c>
      <c r="AC268" s="141" t="s">
        <v>2735</v>
      </c>
      <c r="AD268" s="122" t="s">
        <v>14776</v>
      </c>
      <c r="AE268" s="122" t="s">
        <v>235</v>
      </c>
      <c r="AF268" s="122" t="s">
        <v>9162</v>
      </c>
      <c r="AG268" s="122" t="s">
        <v>537</v>
      </c>
      <c r="AH268" s="122" t="s">
        <v>253</v>
      </c>
      <c r="AI268" s="122" t="s">
        <v>1570</v>
      </c>
      <c r="AJ268" s="122" t="s">
        <v>14777</v>
      </c>
      <c r="AK268" s="122" t="s">
        <v>253</v>
      </c>
      <c r="AL268" s="122" t="s">
        <v>253</v>
      </c>
      <c r="AM268" s="122" t="s">
        <v>253</v>
      </c>
      <c r="AN268" s="122" t="s">
        <v>253</v>
      </c>
      <c r="AO268" s="141" t="s">
        <v>253</v>
      </c>
      <c r="AP268" s="141" t="s">
        <v>253</v>
      </c>
      <c r="AQ268" s="141" t="s">
        <v>247</v>
      </c>
      <c r="AR268" s="141" t="s">
        <v>253</v>
      </c>
      <c r="AS268" s="141" t="s">
        <v>361</v>
      </c>
      <c r="AT268" s="141" t="s">
        <v>601</v>
      </c>
      <c r="AU268" s="141" t="s">
        <v>258</v>
      </c>
      <c r="AV268" s="122" t="s">
        <v>259</v>
      </c>
      <c r="AW268" s="122" t="s">
        <v>260</v>
      </c>
      <c r="AY268" s="122" t="s">
        <v>253</v>
      </c>
      <c r="AZ268" s="122" t="s">
        <v>14778</v>
      </c>
      <c r="BA268" s="122" t="s">
        <v>262</v>
      </c>
      <c r="BB268" s="122" t="s">
        <v>262</v>
      </c>
      <c r="BC268" s="141" t="s">
        <v>312</v>
      </c>
      <c r="BD268" s="122" t="s">
        <v>253</v>
      </c>
      <c r="BE268" s="122" t="s">
        <v>263</v>
      </c>
      <c r="BF268" s="122" t="s">
        <v>3547</v>
      </c>
      <c r="BH268" s="122" t="s">
        <v>3538</v>
      </c>
      <c r="BI268" s="142">
        <v>65</v>
      </c>
    </row>
    <row r="269" spans="1:65" x14ac:dyDescent="0.25">
      <c r="A269" s="122" t="s">
        <v>9904</v>
      </c>
      <c r="B269" s="122" t="s">
        <v>14779</v>
      </c>
      <c r="C269" s="122" t="s">
        <v>14780</v>
      </c>
      <c r="D269" s="122" t="s">
        <v>14781</v>
      </c>
      <c r="E269" s="123">
        <v>42233</v>
      </c>
      <c r="F269" s="122" t="s">
        <v>819</v>
      </c>
      <c r="G269" s="122" t="s">
        <v>235</v>
      </c>
      <c r="H269" s="122" t="s">
        <v>14782</v>
      </c>
      <c r="I269" s="122" t="s">
        <v>14783</v>
      </c>
      <c r="K269" s="122" t="s">
        <v>3385</v>
      </c>
      <c r="L269" s="122" t="s">
        <v>3386</v>
      </c>
      <c r="M269" s="122" t="s">
        <v>3405</v>
      </c>
      <c r="O269" s="141" t="s">
        <v>1921</v>
      </c>
      <c r="P269" s="141" t="s">
        <v>14784</v>
      </c>
      <c r="Q269" s="122" t="s">
        <v>3389</v>
      </c>
      <c r="R269" s="142">
        <v>66</v>
      </c>
      <c r="S269" s="122" t="s">
        <v>14785</v>
      </c>
      <c r="T269" s="122" t="s">
        <v>14786</v>
      </c>
      <c r="U269" s="122" t="s">
        <v>3538</v>
      </c>
      <c r="W269" s="122" t="s">
        <v>246</v>
      </c>
      <c r="X269" s="122" t="s">
        <v>1072</v>
      </c>
      <c r="Y269" s="141" t="s">
        <v>457</v>
      </c>
      <c r="Z269" s="122" t="s">
        <v>14787</v>
      </c>
      <c r="AA269" s="141" t="s">
        <v>1423</v>
      </c>
      <c r="AB269" s="122" t="s">
        <v>4541</v>
      </c>
      <c r="AC269" s="141" t="s">
        <v>880</v>
      </c>
      <c r="AD269" s="122" t="s">
        <v>3084</v>
      </c>
      <c r="AE269" s="122" t="s">
        <v>235</v>
      </c>
      <c r="AF269" s="122" t="s">
        <v>14788</v>
      </c>
      <c r="AG269" s="122" t="s">
        <v>537</v>
      </c>
      <c r="AH269" s="122" t="s">
        <v>253</v>
      </c>
      <c r="AI269" s="122" t="s">
        <v>14789</v>
      </c>
      <c r="AJ269" s="122" t="s">
        <v>3955</v>
      </c>
      <c r="AK269" s="122" t="s">
        <v>253</v>
      </c>
      <c r="AL269" s="122" t="s">
        <v>253</v>
      </c>
      <c r="AM269" s="122" t="s">
        <v>253</v>
      </c>
      <c r="AN269" s="122" t="s">
        <v>253</v>
      </c>
      <c r="AO269" s="141" t="s">
        <v>247</v>
      </c>
      <c r="AP269" s="141" t="s">
        <v>247</v>
      </c>
      <c r="AQ269" s="141" t="s">
        <v>247</v>
      </c>
      <c r="AR269" s="141" t="s">
        <v>247</v>
      </c>
      <c r="AS269" s="141" t="s">
        <v>601</v>
      </c>
      <c r="AT269" s="141" t="s">
        <v>601</v>
      </c>
      <c r="AU269" s="141" t="s">
        <v>257</v>
      </c>
      <c r="AV269" s="122" t="s">
        <v>259</v>
      </c>
      <c r="AW269" s="122" t="s">
        <v>260</v>
      </c>
      <c r="AY269" s="122" t="s">
        <v>253</v>
      </c>
      <c r="AZ269" s="122" t="s">
        <v>14790</v>
      </c>
      <c r="BA269" s="122" t="s">
        <v>262</v>
      </c>
      <c r="BB269" s="122" t="s">
        <v>262</v>
      </c>
      <c r="BC269" s="141" t="s">
        <v>312</v>
      </c>
      <c r="BD269" s="122" t="s">
        <v>253</v>
      </c>
      <c r="BE269" s="122" t="s">
        <v>263</v>
      </c>
      <c r="BF269" s="122" t="s">
        <v>3547</v>
      </c>
      <c r="BH269" s="122" t="s">
        <v>3538</v>
      </c>
      <c r="BI269" s="142">
        <v>66</v>
      </c>
    </row>
    <row r="270" spans="1:65" x14ac:dyDescent="0.25">
      <c r="A270" s="122" t="s">
        <v>9904</v>
      </c>
      <c r="B270" s="122" t="s">
        <v>14791</v>
      </c>
      <c r="C270" s="122" t="s">
        <v>14792</v>
      </c>
      <c r="D270" s="122" t="s">
        <v>14793</v>
      </c>
      <c r="E270" s="123">
        <v>42233</v>
      </c>
      <c r="F270" s="122" t="s">
        <v>1085</v>
      </c>
      <c r="G270" s="122" t="s">
        <v>235</v>
      </c>
      <c r="H270" s="122" t="s">
        <v>14794</v>
      </c>
      <c r="I270" s="122" t="s">
        <v>14795</v>
      </c>
      <c r="J270" s="122" t="s">
        <v>370</v>
      </c>
      <c r="K270" s="122" t="s">
        <v>3385</v>
      </c>
      <c r="L270" s="122" t="s">
        <v>3386</v>
      </c>
      <c r="M270" s="122" t="s">
        <v>3486</v>
      </c>
      <c r="O270" s="141" t="s">
        <v>665</v>
      </c>
      <c r="P270" s="141" t="s">
        <v>14796</v>
      </c>
      <c r="Q270" s="122" t="s">
        <v>3389</v>
      </c>
      <c r="R270" s="142">
        <v>67</v>
      </c>
      <c r="S270" s="122" t="s">
        <v>14797</v>
      </c>
      <c r="U270" s="122" t="s">
        <v>3538</v>
      </c>
      <c r="W270" s="122" t="s">
        <v>246</v>
      </c>
      <c r="X270" s="122" t="s">
        <v>1377</v>
      </c>
      <c r="Y270" s="141" t="s">
        <v>455</v>
      </c>
      <c r="Z270" s="122" t="s">
        <v>14798</v>
      </c>
      <c r="AA270" s="141" t="s">
        <v>2051</v>
      </c>
      <c r="AB270" s="122" t="s">
        <v>14799</v>
      </c>
      <c r="AC270" s="141" t="s">
        <v>880</v>
      </c>
      <c r="AD270" s="122" t="s">
        <v>1792</v>
      </c>
      <c r="AE270" s="122" t="s">
        <v>235</v>
      </c>
      <c r="AF270" s="122" t="s">
        <v>14800</v>
      </c>
      <c r="AG270" s="122" t="s">
        <v>537</v>
      </c>
      <c r="AH270" s="122" t="s">
        <v>253</v>
      </c>
      <c r="AI270" s="122" t="s">
        <v>14801</v>
      </c>
      <c r="AJ270" s="122" t="s">
        <v>14802</v>
      </c>
      <c r="AK270" s="122" t="s">
        <v>253</v>
      </c>
      <c r="AL270" s="122" t="s">
        <v>253</v>
      </c>
      <c r="AM270" s="122" t="s">
        <v>253</v>
      </c>
      <c r="AN270" s="122" t="s">
        <v>253</v>
      </c>
      <c r="AO270" s="141" t="s">
        <v>247</v>
      </c>
      <c r="AP270" s="141" t="s">
        <v>247</v>
      </c>
      <c r="AQ270" s="141" t="s">
        <v>247</v>
      </c>
      <c r="AR270" s="141" t="s">
        <v>247</v>
      </c>
      <c r="AS270" s="141" t="s">
        <v>601</v>
      </c>
      <c r="AT270" s="141" t="s">
        <v>601</v>
      </c>
      <c r="AU270" s="141" t="s">
        <v>257</v>
      </c>
      <c r="AV270" s="122" t="s">
        <v>259</v>
      </c>
      <c r="AW270" s="122" t="s">
        <v>260</v>
      </c>
      <c r="AY270" s="122" t="s">
        <v>253</v>
      </c>
      <c r="AZ270" s="122" t="s">
        <v>14803</v>
      </c>
      <c r="BA270" s="122" t="s">
        <v>262</v>
      </c>
      <c r="BB270" s="122" t="s">
        <v>262</v>
      </c>
      <c r="BD270" s="122" t="s">
        <v>253</v>
      </c>
      <c r="BE270" s="122" t="s">
        <v>263</v>
      </c>
      <c r="BF270" s="122" t="s">
        <v>3547</v>
      </c>
      <c r="BH270" s="122" t="s">
        <v>3538</v>
      </c>
      <c r="BI270" s="142">
        <v>67</v>
      </c>
    </row>
    <row r="271" spans="1:65" x14ac:dyDescent="0.25">
      <c r="A271" s="122" t="s">
        <v>9904</v>
      </c>
      <c r="B271" s="122" t="s">
        <v>14804</v>
      </c>
      <c r="C271" s="122" t="s">
        <v>14805</v>
      </c>
      <c r="D271" s="122" t="s">
        <v>14806</v>
      </c>
      <c r="E271" s="123">
        <v>42233</v>
      </c>
      <c r="F271" s="122" t="s">
        <v>14807</v>
      </c>
      <c r="G271" s="122" t="s">
        <v>235</v>
      </c>
      <c r="H271" s="122" t="s">
        <v>14808</v>
      </c>
      <c r="I271" s="122" t="s">
        <v>14809</v>
      </c>
      <c r="K271" s="122" t="s">
        <v>3385</v>
      </c>
      <c r="L271" s="122" t="s">
        <v>3386</v>
      </c>
      <c r="M271" s="122" t="s">
        <v>3486</v>
      </c>
      <c r="Q271" s="122" t="s">
        <v>3389</v>
      </c>
      <c r="R271" s="142">
        <v>68</v>
      </c>
      <c r="S271" s="122" t="s">
        <v>14810</v>
      </c>
      <c r="U271" s="122" t="s">
        <v>3538</v>
      </c>
      <c r="W271" s="122" t="s">
        <v>246</v>
      </c>
      <c r="X271" s="122" t="s">
        <v>1072</v>
      </c>
      <c r="Y271" s="141" t="s">
        <v>455</v>
      </c>
      <c r="Z271" s="122" t="s">
        <v>14811</v>
      </c>
      <c r="AA271" s="141" t="s">
        <v>2259</v>
      </c>
      <c r="AB271" s="122" t="s">
        <v>14812</v>
      </c>
      <c r="AC271" s="141" t="s">
        <v>1400</v>
      </c>
      <c r="AD271" s="122" t="s">
        <v>14813</v>
      </c>
      <c r="AE271" s="122" t="s">
        <v>235</v>
      </c>
      <c r="AF271" s="122" t="s">
        <v>14620</v>
      </c>
      <c r="AG271" s="122" t="s">
        <v>537</v>
      </c>
      <c r="AH271" s="122" t="s">
        <v>253</v>
      </c>
      <c r="AI271" s="122" t="s">
        <v>4288</v>
      </c>
      <c r="AJ271" s="122" t="s">
        <v>11512</v>
      </c>
      <c r="AK271" s="122" t="s">
        <v>253</v>
      </c>
      <c r="AL271" s="122" t="s">
        <v>253</v>
      </c>
      <c r="AM271" s="122" t="s">
        <v>253</v>
      </c>
      <c r="AN271" s="122" t="s">
        <v>253</v>
      </c>
      <c r="AO271" s="141" t="s">
        <v>247</v>
      </c>
      <c r="AP271" s="141" t="s">
        <v>253</v>
      </c>
      <c r="AQ271" s="141" t="s">
        <v>253</v>
      </c>
      <c r="AR271" s="141" t="s">
        <v>253</v>
      </c>
      <c r="AS271" s="141" t="s">
        <v>601</v>
      </c>
      <c r="AT271" s="141" t="s">
        <v>258</v>
      </c>
      <c r="AU271" s="141" t="s">
        <v>258</v>
      </c>
      <c r="AV271" s="122" t="s">
        <v>259</v>
      </c>
      <c r="AW271" s="122" t="s">
        <v>260</v>
      </c>
      <c r="AY271" s="122" t="s">
        <v>253</v>
      </c>
      <c r="AZ271" s="122" t="s">
        <v>14814</v>
      </c>
      <c r="BA271" s="122" t="s">
        <v>262</v>
      </c>
      <c r="BB271" s="122" t="s">
        <v>14815</v>
      </c>
      <c r="BD271" s="122" t="s">
        <v>253</v>
      </c>
      <c r="BE271" s="122" t="s">
        <v>263</v>
      </c>
      <c r="BF271" s="122" t="s">
        <v>3547</v>
      </c>
      <c r="BH271" s="122" t="s">
        <v>3538</v>
      </c>
      <c r="BI271" s="142">
        <v>68</v>
      </c>
    </row>
    <row r="272" spans="1:65" x14ac:dyDescent="0.25">
      <c r="A272" s="122" t="s">
        <v>9904</v>
      </c>
      <c r="B272" s="122" t="s">
        <v>14816</v>
      </c>
      <c r="C272" s="122" t="s">
        <v>14817</v>
      </c>
      <c r="D272" s="122" t="s">
        <v>14818</v>
      </c>
      <c r="E272" s="123">
        <v>42233</v>
      </c>
      <c r="F272" s="122" t="s">
        <v>14819</v>
      </c>
      <c r="G272" s="122" t="s">
        <v>235</v>
      </c>
      <c r="H272" s="122" t="s">
        <v>14820</v>
      </c>
      <c r="I272" s="122" t="s">
        <v>14821</v>
      </c>
      <c r="K272" s="122" t="s">
        <v>3364</v>
      </c>
      <c r="L272" s="122" t="s">
        <v>3365</v>
      </c>
      <c r="M272" s="122" t="s">
        <v>3366</v>
      </c>
      <c r="O272" s="141" t="s">
        <v>850</v>
      </c>
      <c r="P272" s="141" t="s">
        <v>14822</v>
      </c>
      <c r="Q272" s="122" t="s">
        <v>3369</v>
      </c>
      <c r="R272" s="142">
        <v>69</v>
      </c>
      <c r="S272" s="122" t="s">
        <v>14823</v>
      </c>
      <c r="U272" s="122" t="s">
        <v>3538</v>
      </c>
      <c r="W272" s="122" t="s">
        <v>246</v>
      </c>
      <c r="X272" s="122" t="s">
        <v>1121</v>
      </c>
      <c r="Y272" s="141" t="s">
        <v>685</v>
      </c>
      <c r="Z272" s="122" t="s">
        <v>14824</v>
      </c>
      <c r="AA272" s="141" t="s">
        <v>879</v>
      </c>
      <c r="AB272" s="122" t="s">
        <v>14825</v>
      </c>
      <c r="AC272" s="141" t="s">
        <v>5523</v>
      </c>
      <c r="AD272" s="122" t="s">
        <v>14826</v>
      </c>
      <c r="AE272" s="122" t="s">
        <v>235</v>
      </c>
      <c r="AF272" s="122" t="s">
        <v>14827</v>
      </c>
      <c r="AG272" s="122" t="s">
        <v>537</v>
      </c>
      <c r="AH272" s="122" t="s">
        <v>253</v>
      </c>
      <c r="AI272" s="122" t="s">
        <v>14828</v>
      </c>
      <c r="AJ272" s="122" t="s">
        <v>14829</v>
      </c>
      <c r="AK272" s="122" t="s">
        <v>253</v>
      </c>
      <c r="AL272" s="122" t="s">
        <v>253</v>
      </c>
      <c r="AM272" s="122" t="s">
        <v>253</v>
      </c>
      <c r="AN272" s="122" t="s">
        <v>253</v>
      </c>
      <c r="AO272" s="141" t="s">
        <v>247</v>
      </c>
      <c r="AP272" s="141" t="s">
        <v>247</v>
      </c>
      <c r="AQ272" s="141" t="s">
        <v>247</v>
      </c>
      <c r="AR272" s="141" t="s">
        <v>253</v>
      </c>
      <c r="AS272" s="141" t="s">
        <v>601</v>
      </c>
      <c r="AT272" s="141" t="s">
        <v>601</v>
      </c>
      <c r="AU272" s="141" t="s">
        <v>258</v>
      </c>
      <c r="AV272" s="122" t="s">
        <v>259</v>
      </c>
      <c r="AW272" s="122" t="s">
        <v>260</v>
      </c>
      <c r="AY272" s="122" t="s">
        <v>253</v>
      </c>
      <c r="AZ272" s="122" t="s">
        <v>14830</v>
      </c>
      <c r="BA272" s="122" t="s">
        <v>262</v>
      </c>
      <c r="BB272" s="122" t="s">
        <v>262</v>
      </c>
      <c r="BD272" s="122" t="s">
        <v>253</v>
      </c>
      <c r="BE272" s="122" t="s">
        <v>263</v>
      </c>
      <c r="BF272" s="122" t="s">
        <v>3547</v>
      </c>
      <c r="BH272" s="122" t="s">
        <v>3538</v>
      </c>
      <c r="BI272" s="142">
        <v>69</v>
      </c>
    </row>
    <row r="273" spans="1:65" x14ac:dyDescent="0.25">
      <c r="A273" s="122" t="s">
        <v>9904</v>
      </c>
      <c r="B273" s="122" t="s">
        <v>14831</v>
      </c>
      <c r="C273" s="122" t="s">
        <v>14832</v>
      </c>
      <c r="D273" s="122" t="s">
        <v>14833</v>
      </c>
      <c r="E273" s="123">
        <v>42233</v>
      </c>
      <c r="F273" s="122" t="s">
        <v>958</v>
      </c>
      <c r="G273" s="122" t="s">
        <v>235</v>
      </c>
      <c r="H273" s="122" t="s">
        <v>14834</v>
      </c>
      <c r="I273" s="122" t="s">
        <v>14835</v>
      </c>
      <c r="J273" s="122" t="s">
        <v>14836</v>
      </c>
      <c r="K273" s="122" t="s">
        <v>3385</v>
      </c>
      <c r="L273" s="122" t="s">
        <v>3554</v>
      </c>
      <c r="M273" s="122" t="s">
        <v>14837</v>
      </c>
      <c r="O273" s="141" t="s">
        <v>451</v>
      </c>
      <c r="P273" s="141" t="s">
        <v>14838</v>
      </c>
      <c r="Q273" s="122" t="s">
        <v>3389</v>
      </c>
      <c r="R273" s="142">
        <v>70</v>
      </c>
      <c r="S273" s="122" t="s">
        <v>14839</v>
      </c>
      <c r="U273" s="122" t="s">
        <v>3538</v>
      </c>
      <c r="W273" s="122" t="s">
        <v>246</v>
      </c>
      <c r="X273" s="122" t="s">
        <v>1377</v>
      </c>
      <c r="Z273" s="122" t="s">
        <v>250</v>
      </c>
      <c r="AB273" s="122" t="s">
        <v>250</v>
      </c>
      <c r="AD273" s="122" t="s">
        <v>250</v>
      </c>
      <c r="AE273" s="122" t="s">
        <v>235</v>
      </c>
      <c r="AF273" s="122" t="s">
        <v>14840</v>
      </c>
      <c r="AG273" s="122" t="s">
        <v>537</v>
      </c>
      <c r="AH273" s="122" t="s">
        <v>253</v>
      </c>
      <c r="AI273" s="122" t="s">
        <v>14841</v>
      </c>
      <c r="AJ273" s="122" t="s">
        <v>14842</v>
      </c>
      <c r="AK273" s="122" t="s">
        <v>253</v>
      </c>
      <c r="AL273" s="122" t="s">
        <v>253</v>
      </c>
      <c r="AM273" s="122" t="s">
        <v>253</v>
      </c>
      <c r="AN273" s="122" t="s">
        <v>253</v>
      </c>
      <c r="AO273" s="141" t="s">
        <v>247</v>
      </c>
      <c r="AP273" s="141" t="s">
        <v>247</v>
      </c>
      <c r="AQ273" s="141" t="s">
        <v>247</v>
      </c>
      <c r="AR273" s="141" t="s">
        <v>247</v>
      </c>
      <c r="AS273" s="141" t="s">
        <v>601</v>
      </c>
      <c r="AT273" s="141" t="s">
        <v>601</v>
      </c>
      <c r="AU273" s="141" t="s">
        <v>601</v>
      </c>
      <c r="AV273" s="122" t="s">
        <v>259</v>
      </c>
      <c r="AW273" s="122" t="s">
        <v>260</v>
      </c>
      <c r="AY273" s="122" t="s">
        <v>253</v>
      </c>
      <c r="AZ273" s="122" t="s">
        <v>14843</v>
      </c>
      <c r="BA273" s="122" t="s">
        <v>262</v>
      </c>
      <c r="BB273" s="122" t="s">
        <v>262</v>
      </c>
      <c r="BD273" s="122" t="s">
        <v>253</v>
      </c>
      <c r="BE273" s="122" t="s">
        <v>263</v>
      </c>
      <c r="BF273" s="122" t="s">
        <v>3547</v>
      </c>
      <c r="BH273" s="122" t="s">
        <v>3538</v>
      </c>
      <c r="BI273" s="142">
        <v>70</v>
      </c>
    </row>
    <row r="274" spans="1:65" x14ac:dyDescent="0.25">
      <c r="A274" s="122" t="s">
        <v>9904</v>
      </c>
      <c r="B274" s="122" t="s">
        <v>14844</v>
      </c>
      <c r="C274" s="122" t="s">
        <v>14845</v>
      </c>
      <c r="D274" s="122" t="s">
        <v>14846</v>
      </c>
      <c r="E274" s="123">
        <v>42233</v>
      </c>
      <c r="F274" s="122" t="s">
        <v>3856</v>
      </c>
      <c r="G274" s="122" t="s">
        <v>235</v>
      </c>
      <c r="H274" s="122" t="s">
        <v>14847</v>
      </c>
      <c r="I274" s="122" t="s">
        <v>14848</v>
      </c>
      <c r="J274" s="122" t="s">
        <v>4343</v>
      </c>
      <c r="K274" s="122" t="s">
        <v>3385</v>
      </c>
      <c r="L274" s="122" t="s">
        <v>3554</v>
      </c>
      <c r="M274" s="122" t="s">
        <v>3846</v>
      </c>
      <c r="O274" s="141" t="s">
        <v>373</v>
      </c>
      <c r="P274" s="141" t="s">
        <v>14849</v>
      </c>
      <c r="Q274" s="122" t="s">
        <v>3389</v>
      </c>
      <c r="R274" s="142">
        <v>71</v>
      </c>
      <c r="S274" s="122" t="s">
        <v>14850</v>
      </c>
      <c r="U274" s="122" t="s">
        <v>3538</v>
      </c>
      <c r="W274" s="122" t="s">
        <v>246</v>
      </c>
      <c r="X274" s="122" t="s">
        <v>1377</v>
      </c>
      <c r="Y274" s="141" t="s">
        <v>956</v>
      </c>
      <c r="Z274" s="122" t="s">
        <v>379</v>
      </c>
      <c r="AA274" s="141" t="s">
        <v>633</v>
      </c>
      <c r="AB274" s="122" t="s">
        <v>14851</v>
      </c>
      <c r="AC274" s="141" t="s">
        <v>763</v>
      </c>
      <c r="AD274" s="122" t="s">
        <v>379</v>
      </c>
      <c r="AE274" s="122" t="s">
        <v>235</v>
      </c>
      <c r="AF274" s="122" t="s">
        <v>14852</v>
      </c>
      <c r="AG274" s="122" t="s">
        <v>537</v>
      </c>
      <c r="AH274" s="122" t="s">
        <v>253</v>
      </c>
      <c r="AI274" s="122" t="s">
        <v>14853</v>
      </c>
      <c r="AJ274" s="122" t="s">
        <v>14853</v>
      </c>
      <c r="AK274" s="122" t="s">
        <v>253</v>
      </c>
      <c r="AL274" s="122" t="s">
        <v>253</v>
      </c>
      <c r="AM274" s="122" t="s">
        <v>253</v>
      </c>
      <c r="AN274" s="122" t="s">
        <v>253</v>
      </c>
      <c r="AO274" s="141" t="s">
        <v>253</v>
      </c>
      <c r="AP274" s="141" t="s">
        <v>253</v>
      </c>
      <c r="AQ274" s="141" t="s">
        <v>247</v>
      </c>
      <c r="AR274" s="141" t="s">
        <v>253</v>
      </c>
      <c r="AS274" s="141" t="s">
        <v>361</v>
      </c>
      <c r="AT274" s="141" t="s">
        <v>601</v>
      </c>
      <c r="AU274" s="141" t="s">
        <v>258</v>
      </c>
      <c r="AV274" s="122" t="s">
        <v>259</v>
      </c>
      <c r="AW274" s="122" t="s">
        <v>260</v>
      </c>
      <c r="AY274" s="122" t="s">
        <v>253</v>
      </c>
      <c r="AZ274" s="122" t="s">
        <v>14854</v>
      </c>
      <c r="BA274" s="122" t="s">
        <v>262</v>
      </c>
      <c r="BB274" s="122" t="s">
        <v>262</v>
      </c>
      <c r="BD274" s="122" t="s">
        <v>253</v>
      </c>
      <c r="BE274" s="122" t="s">
        <v>263</v>
      </c>
      <c r="BF274" s="122" t="s">
        <v>3547</v>
      </c>
      <c r="BH274" s="122" t="s">
        <v>3538</v>
      </c>
      <c r="BI274" s="142">
        <v>71</v>
      </c>
    </row>
    <row r="275" spans="1:65" x14ac:dyDescent="0.25">
      <c r="A275" s="122" t="s">
        <v>9904</v>
      </c>
      <c r="B275" s="122" t="s">
        <v>14855</v>
      </c>
      <c r="C275" s="122" t="s">
        <v>14856</v>
      </c>
      <c r="D275" s="122" t="s">
        <v>14857</v>
      </c>
      <c r="E275" s="123">
        <v>42233</v>
      </c>
      <c r="F275" s="122" t="s">
        <v>14858</v>
      </c>
      <c r="G275" s="122" t="s">
        <v>235</v>
      </c>
      <c r="H275" s="122" t="s">
        <v>14859</v>
      </c>
      <c r="I275" s="122" t="s">
        <v>14860</v>
      </c>
      <c r="K275" s="122" t="s">
        <v>3385</v>
      </c>
      <c r="L275" s="122" t="s">
        <v>3386</v>
      </c>
      <c r="M275" s="122" t="s">
        <v>3486</v>
      </c>
      <c r="O275" s="141" t="s">
        <v>1253</v>
      </c>
      <c r="P275" s="141" t="s">
        <v>14861</v>
      </c>
      <c r="Q275" s="122" t="s">
        <v>3389</v>
      </c>
      <c r="R275" s="142">
        <v>72</v>
      </c>
      <c r="S275" s="122" t="s">
        <v>14862</v>
      </c>
      <c r="U275" s="122" t="s">
        <v>3538</v>
      </c>
      <c r="W275" s="122" t="s">
        <v>246</v>
      </c>
      <c r="X275" s="122" t="s">
        <v>4409</v>
      </c>
      <c r="Y275" s="141" t="s">
        <v>1125</v>
      </c>
      <c r="Z275" s="122" t="s">
        <v>249</v>
      </c>
      <c r="AA275" s="141" t="s">
        <v>1179</v>
      </c>
      <c r="AB275" s="122" t="s">
        <v>249</v>
      </c>
      <c r="AC275" s="141" t="s">
        <v>3344</v>
      </c>
      <c r="AD275" s="122" t="s">
        <v>14863</v>
      </c>
      <c r="AE275" s="122" t="s">
        <v>235</v>
      </c>
      <c r="AF275" s="122" t="s">
        <v>14864</v>
      </c>
      <c r="AG275" s="122" t="s">
        <v>537</v>
      </c>
      <c r="AH275" s="122" t="s">
        <v>253</v>
      </c>
      <c r="AI275" s="122" t="s">
        <v>14865</v>
      </c>
      <c r="AJ275" s="122" t="s">
        <v>14866</v>
      </c>
      <c r="AK275" s="122" t="s">
        <v>253</v>
      </c>
      <c r="AL275" s="122" t="s">
        <v>253</v>
      </c>
      <c r="AM275" s="122" t="s">
        <v>253</v>
      </c>
      <c r="AN275" s="122" t="s">
        <v>253</v>
      </c>
      <c r="AO275" s="141" t="s">
        <v>247</v>
      </c>
      <c r="AP275" s="141" t="s">
        <v>253</v>
      </c>
      <c r="AQ275" s="141" t="s">
        <v>253</v>
      </c>
      <c r="AR275" s="141" t="s">
        <v>253</v>
      </c>
      <c r="AS275" s="141" t="s">
        <v>601</v>
      </c>
      <c r="AT275" s="141" t="s">
        <v>258</v>
      </c>
      <c r="AU275" s="141" t="s">
        <v>258</v>
      </c>
      <c r="AV275" s="122" t="s">
        <v>259</v>
      </c>
      <c r="AW275" s="122" t="s">
        <v>260</v>
      </c>
      <c r="AY275" s="122" t="s">
        <v>253</v>
      </c>
      <c r="AZ275" s="122" t="s">
        <v>14867</v>
      </c>
      <c r="BA275" s="122" t="s">
        <v>14868</v>
      </c>
      <c r="BB275" s="122" t="s">
        <v>3956</v>
      </c>
      <c r="BC275" s="141" t="s">
        <v>312</v>
      </c>
      <c r="BD275" s="122" t="s">
        <v>253</v>
      </c>
      <c r="BE275" s="122" t="s">
        <v>263</v>
      </c>
      <c r="BF275" s="122" t="s">
        <v>3547</v>
      </c>
      <c r="BH275" s="122" t="s">
        <v>3538</v>
      </c>
      <c r="BI275" s="142">
        <v>72</v>
      </c>
    </row>
    <row r="276" spans="1:65" x14ac:dyDescent="0.25">
      <c r="A276" s="122" t="s">
        <v>9904</v>
      </c>
      <c r="B276" s="122" t="s">
        <v>14869</v>
      </c>
      <c r="C276" s="122" t="s">
        <v>14870</v>
      </c>
      <c r="D276" s="122" t="s">
        <v>14871</v>
      </c>
      <c r="E276" s="123">
        <v>42233</v>
      </c>
      <c r="F276" s="122" t="s">
        <v>4768</v>
      </c>
      <c r="G276" s="122" t="s">
        <v>235</v>
      </c>
      <c r="H276" s="122" t="s">
        <v>14872</v>
      </c>
      <c r="I276" s="122" t="s">
        <v>14873</v>
      </c>
      <c r="J276" s="122" t="s">
        <v>14874</v>
      </c>
      <c r="K276" s="122" t="s">
        <v>3385</v>
      </c>
      <c r="L276" s="122" t="s">
        <v>3554</v>
      </c>
      <c r="M276" s="122" t="s">
        <v>3555</v>
      </c>
      <c r="O276" s="141" t="s">
        <v>916</v>
      </c>
      <c r="P276" s="141" t="s">
        <v>14875</v>
      </c>
      <c r="Q276" s="122" t="s">
        <v>3389</v>
      </c>
      <c r="R276" s="142">
        <v>73</v>
      </c>
      <c r="S276" s="122" t="s">
        <v>14876</v>
      </c>
      <c r="U276" s="122" t="s">
        <v>3538</v>
      </c>
      <c r="W276" s="122" t="s">
        <v>246</v>
      </c>
      <c r="X276" s="122" t="s">
        <v>1377</v>
      </c>
      <c r="Y276" s="141" t="s">
        <v>6466</v>
      </c>
      <c r="Z276" s="122" t="s">
        <v>518</v>
      </c>
      <c r="AA276" s="141" t="s">
        <v>593</v>
      </c>
      <c r="AB276" s="122" t="s">
        <v>14877</v>
      </c>
      <c r="AD276" s="122" t="s">
        <v>250</v>
      </c>
      <c r="AE276" s="122" t="s">
        <v>235</v>
      </c>
      <c r="AF276" s="122" t="s">
        <v>14878</v>
      </c>
      <c r="AG276" s="122" t="s">
        <v>537</v>
      </c>
      <c r="AH276" s="122" t="s">
        <v>253</v>
      </c>
      <c r="AI276" s="122" t="s">
        <v>14879</v>
      </c>
      <c r="AJ276" s="122" t="s">
        <v>14880</v>
      </c>
      <c r="AK276" s="122" t="s">
        <v>253</v>
      </c>
      <c r="AL276" s="122" t="s">
        <v>253</v>
      </c>
      <c r="AM276" s="122" t="s">
        <v>253</v>
      </c>
      <c r="AN276" s="122" t="s">
        <v>253</v>
      </c>
      <c r="AO276" s="141" t="s">
        <v>247</v>
      </c>
      <c r="AP276" s="141" t="s">
        <v>247</v>
      </c>
      <c r="AQ276" s="141" t="s">
        <v>253</v>
      </c>
      <c r="AR276" s="141" t="s">
        <v>253</v>
      </c>
      <c r="AS276" s="141" t="s">
        <v>601</v>
      </c>
      <c r="AT276" s="141" t="s">
        <v>258</v>
      </c>
      <c r="AU276" s="141" t="s">
        <v>258</v>
      </c>
      <c r="AV276" s="122" t="s">
        <v>259</v>
      </c>
      <c r="AW276" s="122" t="s">
        <v>260</v>
      </c>
      <c r="AY276" s="122" t="s">
        <v>253</v>
      </c>
      <c r="AZ276" s="122" t="s">
        <v>14881</v>
      </c>
      <c r="BA276" s="122" t="s">
        <v>262</v>
      </c>
      <c r="BB276" s="122" t="s">
        <v>14881</v>
      </c>
      <c r="BD276" s="122" t="s">
        <v>253</v>
      </c>
      <c r="BE276" s="122" t="s">
        <v>263</v>
      </c>
      <c r="BF276" s="122" t="s">
        <v>3547</v>
      </c>
      <c r="BH276" s="122" t="s">
        <v>3538</v>
      </c>
      <c r="BI276" s="142">
        <v>73</v>
      </c>
    </row>
    <row r="277" spans="1:65" x14ac:dyDescent="0.25">
      <c r="A277" s="122" t="s">
        <v>6466</v>
      </c>
      <c r="B277" s="122" t="s">
        <v>14882</v>
      </c>
      <c r="C277" s="122" t="s">
        <v>14883</v>
      </c>
      <c r="D277" s="122" t="s">
        <v>14884</v>
      </c>
      <c r="E277" s="123">
        <v>42233</v>
      </c>
      <c r="F277" s="122" t="s">
        <v>14885</v>
      </c>
      <c r="G277" s="122" t="s">
        <v>235</v>
      </c>
      <c r="H277" s="122" t="s">
        <v>14886</v>
      </c>
      <c r="I277" s="122" t="s">
        <v>14887</v>
      </c>
      <c r="K277" s="122" t="s">
        <v>3385</v>
      </c>
      <c r="L277" s="122" t="s">
        <v>3554</v>
      </c>
      <c r="M277" s="122" t="s">
        <v>3555</v>
      </c>
      <c r="O277" s="141" t="s">
        <v>1921</v>
      </c>
      <c r="P277" s="141" t="s">
        <v>14888</v>
      </c>
      <c r="Q277" s="122" t="s">
        <v>3389</v>
      </c>
      <c r="R277" s="142">
        <v>74</v>
      </c>
      <c r="S277" s="122" t="s">
        <v>14889</v>
      </c>
      <c r="U277" s="122" t="s">
        <v>3538</v>
      </c>
      <c r="W277" s="122" t="s">
        <v>246</v>
      </c>
      <c r="X277" s="122" t="s">
        <v>278</v>
      </c>
      <c r="Y277" s="141" t="s">
        <v>1039</v>
      </c>
      <c r="Z277" s="122" t="s">
        <v>14890</v>
      </c>
      <c r="AA277" s="141" t="s">
        <v>2133</v>
      </c>
      <c r="AB277" s="122" t="s">
        <v>14891</v>
      </c>
      <c r="AC277" s="141" t="s">
        <v>901</v>
      </c>
      <c r="AD277" s="122" t="s">
        <v>14892</v>
      </c>
      <c r="AE277" s="122" t="s">
        <v>235</v>
      </c>
      <c r="AF277" s="122" t="s">
        <v>14893</v>
      </c>
      <c r="AG277" s="122" t="s">
        <v>537</v>
      </c>
      <c r="AH277" s="122" t="s">
        <v>253</v>
      </c>
      <c r="AI277" s="122" t="s">
        <v>14894</v>
      </c>
      <c r="AJ277" s="122" t="s">
        <v>14895</v>
      </c>
      <c r="AK277" s="122" t="s">
        <v>253</v>
      </c>
      <c r="AL277" s="122" t="s">
        <v>253</v>
      </c>
      <c r="AM277" s="122" t="s">
        <v>253</v>
      </c>
      <c r="AN277" s="122" t="s">
        <v>253</v>
      </c>
      <c r="AO277" s="141" t="s">
        <v>247</v>
      </c>
      <c r="AP277" s="141" t="s">
        <v>247</v>
      </c>
      <c r="AQ277" s="141" t="s">
        <v>247</v>
      </c>
      <c r="AR277" s="141" t="s">
        <v>247</v>
      </c>
      <c r="AS277" s="141" t="s">
        <v>601</v>
      </c>
      <c r="AT277" s="141" t="s">
        <v>601</v>
      </c>
      <c r="AU277" s="141" t="s">
        <v>601</v>
      </c>
      <c r="AV277" s="122" t="s">
        <v>259</v>
      </c>
      <c r="AW277" s="122" t="s">
        <v>260</v>
      </c>
      <c r="AY277" s="122" t="s">
        <v>253</v>
      </c>
      <c r="AZ277" s="122" t="s">
        <v>14896</v>
      </c>
      <c r="BA277" s="122" t="s">
        <v>14897</v>
      </c>
      <c r="BB277" s="122" t="s">
        <v>262</v>
      </c>
      <c r="BC277" s="141" t="s">
        <v>312</v>
      </c>
      <c r="BD277" s="122" t="s">
        <v>253</v>
      </c>
      <c r="BE277" s="122" t="s">
        <v>263</v>
      </c>
      <c r="BF277" s="122" t="s">
        <v>3547</v>
      </c>
      <c r="BH277" s="122" t="s">
        <v>3538</v>
      </c>
      <c r="BI277" s="142">
        <v>74</v>
      </c>
    </row>
    <row r="278" spans="1:65" x14ac:dyDescent="0.25">
      <c r="A278" s="122" t="s">
        <v>6466</v>
      </c>
      <c r="B278" s="122" t="s">
        <v>14898</v>
      </c>
      <c r="C278" s="122" t="s">
        <v>14899</v>
      </c>
      <c r="D278" s="122" t="s">
        <v>14900</v>
      </c>
      <c r="E278" s="123">
        <v>42233</v>
      </c>
      <c r="F278" s="122" t="s">
        <v>14901</v>
      </c>
      <c r="G278" s="122" t="s">
        <v>235</v>
      </c>
      <c r="H278" s="122" t="s">
        <v>14902</v>
      </c>
      <c r="I278" s="122" t="s">
        <v>14903</v>
      </c>
      <c r="K278" s="122" t="s">
        <v>3385</v>
      </c>
      <c r="L278" s="122" t="s">
        <v>3386</v>
      </c>
      <c r="M278" s="122" t="s">
        <v>3486</v>
      </c>
      <c r="O278" s="141" t="s">
        <v>613</v>
      </c>
      <c r="P278" s="141" t="s">
        <v>14904</v>
      </c>
      <c r="Q278" s="122" t="s">
        <v>3389</v>
      </c>
      <c r="R278" s="142">
        <v>75</v>
      </c>
      <c r="S278" s="122" t="s">
        <v>14905</v>
      </c>
      <c r="U278" s="122" t="s">
        <v>3538</v>
      </c>
      <c r="W278" s="122" t="s">
        <v>246</v>
      </c>
      <c r="X278" s="122" t="s">
        <v>2657</v>
      </c>
      <c r="Y278" s="141" t="s">
        <v>6489</v>
      </c>
      <c r="Z278" s="122" t="s">
        <v>14906</v>
      </c>
      <c r="AA278" s="141" t="s">
        <v>535</v>
      </c>
      <c r="AB278" s="122" t="s">
        <v>14907</v>
      </c>
      <c r="AC278" s="141" t="s">
        <v>1896</v>
      </c>
      <c r="AD278" s="122" t="s">
        <v>14907</v>
      </c>
      <c r="AE278" s="122" t="s">
        <v>235</v>
      </c>
      <c r="AF278" s="122" t="s">
        <v>14908</v>
      </c>
      <c r="AG278" s="122" t="s">
        <v>537</v>
      </c>
      <c r="AH278" s="122" t="s">
        <v>253</v>
      </c>
      <c r="AI278" s="122" t="s">
        <v>14909</v>
      </c>
      <c r="AJ278" s="122" t="s">
        <v>3152</v>
      </c>
      <c r="AK278" s="122" t="s">
        <v>253</v>
      </c>
      <c r="AL278" s="122" t="s">
        <v>253</v>
      </c>
      <c r="AM278" s="122" t="s">
        <v>253</v>
      </c>
      <c r="AN278" s="122" t="s">
        <v>253</v>
      </c>
      <c r="AO278" s="141" t="s">
        <v>247</v>
      </c>
      <c r="AP278" s="141" t="s">
        <v>247</v>
      </c>
      <c r="AQ278" s="141" t="s">
        <v>247</v>
      </c>
      <c r="AR278" s="141" t="s">
        <v>253</v>
      </c>
      <c r="AS278" s="141" t="s">
        <v>601</v>
      </c>
      <c r="AT278" s="141" t="s">
        <v>601</v>
      </c>
      <c r="AU278" s="141" t="s">
        <v>258</v>
      </c>
      <c r="AV278" s="122" t="s">
        <v>259</v>
      </c>
      <c r="AW278" s="122" t="s">
        <v>260</v>
      </c>
      <c r="AX278" s="141" t="s">
        <v>14910</v>
      </c>
      <c r="AY278" s="122" t="s">
        <v>603</v>
      </c>
      <c r="AZ278" s="122" t="s">
        <v>14911</v>
      </c>
      <c r="BA278" s="122" t="s">
        <v>262</v>
      </c>
      <c r="BB278" s="122" t="s">
        <v>14912</v>
      </c>
      <c r="BC278" s="141" t="s">
        <v>312</v>
      </c>
      <c r="BD278" s="122" t="s">
        <v>253</v>
      </c>
      <c r="BE278" s="122" t="s">
        <v>263</v>
      </c>
      <c r="BF278" s="122" t="s">
        <v>3547</v>
      </c>
      <c r="BH278" s="122" t="s">
        <v>3538</v>
      </c>
      <c r="BI278" s="142">
        <v>75</v>
      </c>
    </row>
    <row r="279" spans="1:65" x14ac:dyDescent="0.25">
      <c r="A279" s="122" t="s">
        <v>6466</v>
      </c>
      <c r="B279" s="122" t="s">
        <v>14913</v>
      </c>
      <c r="C279" s="122" t="s">
        <v>14914</v>
      </c>
      <c r="D279" s="122" t="s">
        <v>14915</v>
      </c>
      <c r="E279" s="123">
        <v>42233</v>
      </c>
      <c r="F279" s="122" t="s">
        <v>14916</v>
      </c>
      <c r="G279" s="122" t="s">
        <v>235</v>
      </c>
      <c r="H279" s="122" t="s">
        <v>14917</v>
      </c>
      <c r="I279" s="122" t="s">
        <v>14918</v>
      </c>
      <c r="K279" s="122" t="s">
        <v>3364</v>
      </c>
      <c r="L279" s="122" t="s">
        <v>3365</v>
      </c>
      <c r="M279" s="122" t="s">
        <v>3366</v>
      </c>
      <c r="O279" s="141" t="s">
        <v>548</v>
      </c>
      <c r="P279" s="141" t="s">
        <v>14919</v>
      </c>
      <c r="Q279" s="122" t="s">
        <v>3369</v>
      </c>
      <c r="R279" s="142">
        <v>76</v>
      </c>
      <c r="S279" s="122" t="s">
        <v>14920</v>
      </c>
      <c r="U279" s="122" t="s">
        <v>3538</v>
      </c>
      <c r="W279" s="122" t="s">
        <v>246</v>
      </c>
      <c r="X279" s="122" t="s">
        <v>721</v>
      </c>
      <c r="Y279" s="141" t="s">
        <v>422</v>
      </c>
      <c r="Z279" s="122" t="s">
        <v>14921</v>
      </c>
      <c r="AA279" s="141" t="s">
        <v>1141</v>
      </c>
      <c r="AB279" s="122" t="s">
        <v>14922</v>
      </c>
      <c r="AC279" s="141" t="s">
        <v>2133</v>
      </c>
      <c r="AD279" s="122" t="s">
        <v>14922</v>
      </c>
      <c r="AE279" s="122" t="s">
        <v>235</v>
      </c>
      <c r="AF279" s="122" t="s">
        <v>14923</v>
      </c>
      <c r="AG279" s="122" t="s">
        <v>253</v>
      </c>
      <c r="AH279" s="122" t="s">
        <v>253</v>
      </c>
      <c r="AI279" s="122" t="s">
        <v>14924</v>
      </c>
      <c r="AJ279" s="122" t="s">
        <v>14925</v>
      </c>
      <c r="AK279" s="122" t="s">
        <v>253</v>
      </c>
      <c r="AL279" s="122" t="s">
        <v>14926</v>
      </c>
      <c r="AM279" s="122" t="s">
        <v>253</v>
      </c>
      <c r="AN279" s="122" t="s">
        <v>253</v>
      </c>
      <c r="AO279" s="141" t="s">
        <v>247</v>
      </c>
      <c r="AP279" s="141" t="s">
        <v>247</v>
      </c>
      <c r="AQ279" s="141" t="s">
        <v>247</v>
      </c>
      <c r="AR279" s="141" t="s">
        <v>247</v>
      </c>
      <c r="AS279" s="141" t="s">
        <v>601</v>
      </c>
      <c r="AT279" s="141" t="s">
        <v>601</v>
      </c>
      <c r="AU279" s="141" t="s">
        <v>601</v>
      </c>
      <c r="AV279" s="122" t="s">
        <v>259</v>
      </c>
      <c r="AW279" s="122" t="s">
        <v>260</v>
      </c>
      <c r="AX279" s="141" t="s">
        <v>7222</v>
      </c>
      <c r="AY279" s="122" t="s">
        <v>603</v>
      </c>
      <c r="AZ279" s="122" t="s">
        <v>14927</v>
      </c>
      <c r="BA279" s="122" t="s">
        <v>262</v>
      </c>
      <c r="BB279" s="122" t="s">
        <v>262</v>
      </c>
      <c r="BD279" s="122" t="s">
        <v>253</v>
      </c>
      <c r="BE279" s="122" t="s">
        <v>263</v>
      </c>
      <c r="BF279" s="122" t="s">
        <v>3547</v>
      </c>
      <c r="BH279" s="122" t="s">
        <v>3538</v>
      </c>
      <c r="BI279" s="142">
        <v>76</v>
      </c>
    </row>
    <row r="280" spans="1:65" x14ac:dyDescent="0.25">
      <c r="A280" s="122" t="s">
        <v>6466</v>
      </c>
      <c r="B280" s="122" t="s">
        <v>14928</v>
      </c>
      <c r="C280" s="122" t="s">
        <v>14929</v>
      </c>
      <c r="D280" s="122" t="s">
        <v>14930</v>
      </c>
      <c r="E280" s="123">
        <v>42233</v>
      </c>
      <c r="F280" s="122" t="s">
        <v>14931</v>
      </c>
      <c r="G280" s="122" t="s">
        <v>235</v>
      </c>
      <c r="H280" s="122" t="s">
        <v>14932</v>
      </c>
      <c r="I280" s="122" t="s">
        <v>14933</v>
      </c>
      <c r="J280" s="122" t="s">
        <v>1239</v>
      </c>
      <c r="K280" s="122" t="s">
        <v>3385</v>
      </c>
      <c r="L280" s="122" t="s">
        <v>3386</v>
      </c>
      <c r="M280" s="122" t="s">
        <v>3486</v>
      </c>
      <c r="O280" s="141" t="s">
        <v>451</v>
      </c>
      <c r="P280" s="141" t="s">
        <v>14934</v>
      </c>
      <c r="Q280" s="122" t="s">
        <v>3389</v>
      </c>
      <c r="R280" s="142">
        <v>77</v>
      </c>
      <c r="S280" s="122" t="s">
        <v>14935</v>
      </c>
      <c r="U280" s="122" t="s">
        <v>3538</v>
      </c>
      <c r="W280" s="122" t="s">
        <v>246</v>
      </c>
      <c r="X280" s="122" t="s">
        <v>569</v>
      </c>
      <c r="Y280" s="141" t="s">
        <v>593</v>
      </c>
      <c r="Z280" s="122" t="s">
        <v>14936</v>
      </c>
      <c r="AA280" s="141" t="s">
        <v>570</v>
      </c>
      <c r="AB280" s="122" t="s">
        <v>571</v>
      </c>
      <c r="AC280" s="141" t="s">
        <v>511</v>
      </c>
      <c r="AD280" s="122" t="s">
        <v>355</v>
      </c>
      <c r="AE280" s="122" t="s">
        <v>235</v>
      </c>
      <c r="AF280" s="122" t="s">
        <v>14937</v>
      </c>
      <c r="AG280" s="122" t="s">
        <v>537</v>
      </c>
      <c r="AH280" s="122" t="s">
        <v>253</v>
      </c>
      <c r="AI280" s="122" t="s">
        <v>14938</v>
      </c>
      <c r="AJ280" s="122" t="s">
        <v>14939</v>
      </c>
      <c r="AK280" s="122" t="s">
        <v>253</v>
      </c>
      <c r="AL280" s="122" t="s">
        <v>253</v>
      </c>
      <c r="AM280" s="122" t="s">
        <v>253</v>
      </c>
      <c r="AN280" s="122" t="s">
        <v>253</v>
      </c>
      <c r="AO280" s="141" t="s">
        <v>247</v>
      </c>
      <c r="AP280" s="141" t="s">
        <v>247</v>
      </c>
      <c r="AQ280" s="141" t="s">
        <v>247</v>
      </c>
      <c r="AR280" s="141" t="s">
        <v>247</v>
      </c>
      <c r="AS280" s="141" t="s">
        <v>601</v>
      </c>
      <c r="AT280" s="141" t="s">
        <v>601</v>
      </c>
      <c r="AU280" s="141" t="s">
        <v>601</v>
      </c>
      <c r="AV280" s="122" t="s">
        <v>259</v>
      </c>
      <c r="AW280" s="122" t="s">
        <v>260</v>
      </c>
      <c r="AY280" s="122" t="s">
        <v>253</v>
      </c>
      <c r="AZ280" s="122" t="s">
        <v>14940</v>
      </c>
      <c r="BA280" s="122" t="s">
        <v>262</v>
      </c>
      <c r="BB280" s="122" t="s">
        <v>262</v>
      </c>
      <c r="BD280" s="122" t="s">
        <v>253</v>
      </c>
      <c r="BE280" s="122" t="s">
        <v>263</v>
      </c>
      <c r="BF280" s="122" t="s">
        <v>3547</v>
      </c>
      <c r="BH280" s="122" t="s">
        <v>3538</v>
      </c>
      <c r="BI280" s="142">
        <v>77</v>
      </c>
      <c r="BJ280" s="123">
        <v>42239</v>
      </c>
      <c r="BK280" s="139" t="s">
        <v>264</v>
      </c>
      <c r="BL280" s="140">
        <v>171.68</v>
      </c>
      <c r="BM280" s="122">
        <v>34</v>
      </c>
    </row>
    <row r="281" spans="1:65" x14ac:dyDescent="0.25">
      <c r="A281" s="122" t="s">
        <v>6466</v>
      </c>
      <c r="B281" s="122" t="s">
        <v>14941</v>
      </c>
      <c r="C281" s="122" t="s">
        <v>14942</v>
      </c>
      <c r="D281" s="122" t="s">
        <v>14943</v>
      </c>
      <c r="E281" s="123">
        <v>42233</v>
      </c>
      <c r="F281" s="122" t="s">
        <v>2365</v>
      </c>
      <c r="G281" s="122" t="s">
        <v>235</v>
      </c>
      <c r="H281" s="122" t="s">
        <v>14944</v>
      </c>
      <c r="I281" s="122" t="s">
        <v>14945</v>
      </c>
      <c r="K281" s="122" t="s">
        <v>3385</v>
      </c>
      <c r="L281" s="122" t="s">
        <v>3554</v>
      </c>
      <c r="M281" s="122" t="s">
        <v>3555</v>
      </c>
      <c r="O281" s="141" t="s">
        <v>273</v>
      </c>
      <c r="P281" s="141" t="s">
        <v>14946</v>
      </c>
      <c r="Q281" s="122" t="s">
        <v>3389</v>
      </c>
      <c r="R281" s="142">
        <v>78</v>
      </c>
      <c r="S281" s="122" t="s">
        <v>14947</v>
      </c>
      <c r="T281" s="122" t="s">
        <v>14948</v>
      </c>
      <c r="U281" s="122" t="s">
        <v>3538</v>
      </c>
      <c r="W281" s="122" t="s">
        <v>246</v>
      </c>
      <c r="X281" s="122" t="s">
        <v>2657</v>
      </c>
      <c r="Y281" s="141" t="s">
        <v>3037</v>
      </c>
      <c r="Z281" s="122" t="s">
        <v>14949</v>
      </c>
      <c r="AA281" s="141" t="s">
        <v>1141</v>
      </c>
      <c r="AB281" s="122" t="s">
        <v>14949</v>
      </c>
      <c r="AC281" s="141" t="s">
        <v>1596</v>
      </c>
      <c r="AD281" s="122" t="s">
        <v>14950</v>
      </c>
      <c r="AE281" s="122" t="s">
        <v>235</v>
      </c>
      <c r="AF281" s="122" t="s">
        <v>14951</v>
      </c>
      <c r="AG281" s="122" t="s">
        <v>14952</v>
      </c>
      <c r="AH281" s="122" t="s">
        <v>253</v>
      </c>
      <c r="AI281" s="122" t="s">
        <v>14953</v>
      </c>
      <c r="AJ281" s="122" t="s">
        <v>14954</v>
      </c>
      <c r="AK281" s="122" t="s">
        <v>253</v>
      </c>
      <c r="AL281" s="122" t="s">
        <v>253</v>
      </c>
      <c r="AM281" s="122" t="s">
        <v>253</v>
      </c>
      <c r="AN281" s="122" t="s">
        <v>253</v>
      </c>
      <c r="AO281" s="141" t="s">
        <v>247</v>
      </c>
      <c r="AP281" s="141" t="s">
        <v>253</v>
      </c>
      <c r="AQ281" s="141" t="s">
        <v>247</v>
      </c>
      <c r="AR281" s="141" t="s">
        <v>253</v>
      </c>
      <c r="AS281" s="141" t="s">
        <v>601</v>
      </c>
      <c r="AT281" s="141" t="s">
        <v>601</v>
      </c>
      <c r="AU281" s="141" t="s">
        <v>258</v>
      </c>
      <c r="AV281" s="122" t="s">
        <v>259</v>
      </c>
      <c r="AW281" s="122" t="s">
        <v>260</v>
      </c>
      <c r="AX281" s="141" t="s">
        <v>1046</v>
      </c>
      <c r="AY281" s="122" t="s">
        <v>247</v>
      </c>
      <c r="AZ281" s="122" t="s">
        <v>14955</v>
      </c>
      <c r="BA281" s="122" t="s">
        <v>262</v>
      </c>
      <c r="BB281" s="122" t="s">
        <v>262</v>
      </c>
      <c r="BD281" s="122" t="s">
        <v>253</v>
      </c>
      <c r="BE281" s="122" t="s">
        <v>263</v>
      </c>
      <c r="BF281" s="122" t="s">
        <v>3547</v>
      </c>
      <c r="BH281" s="122" t="s">
        <v>3538</v>
      </c>
      <c r="BI281" s="142">
        <v>78</v>
      </c>
    </row>
    <row r="282" spans="1:65" x14ac:dyDescent="0.25">
      <c r="A282" s="122" t="s">
        <v>6466</v>
      </c>
      <c r="B282" s="122" t="s">
        <v>14956</v>
      </c>
      <c r="C282" s="122" t="s">
        <v>14957</v>
      </c>
      <c r="D282" s="122" t="s">
        <v>14958</v>
      </c>
      <c r="E282" s="123">
        <v>42233</v>
      </c>
      <c r="F282" s="122" t="s">
        <v>14959</v>
      </c>
      <c r="G282" s="122" t="s">
        <v>235</v>
      </c>
      <c r="H282" s="122" t="s">
        <v>14960</v>
      </c>
      <c r="I282" s="122" t="s">
        <v>14961</v>
      </c>
      <c r="K282" s="122" t="s">
        <v>3452</v>
      </c>
      <c r="L282" s="122" t="s">
        <v>3453</v>
      </c>
      <c r="M282" s="122" t="s">
        <v>3454</v>
      </c>
      <c r="O282" s="141" t="s">
        <v>299</v>
      </c>
      <c r="P282" s="141" t="s">
        <v>14962</v>
      </c>
      <c r="Q282" s="122" t="s">
        <v>3389</v>
      </c>
      <c r="R282" s="142">
        <v>79</v>
      </c>
      <c r="S282" s="122" t="s">
        <v>14963</v>
      </c>
      <c r="U282" s="122" t="s">
        <v>3538</v>
      </c>
      <c r="W282" s="122" t="s">
        <v>246</v>
      </c>
      <c r="X282" s="122" t="s">
        <v>569</v>
      </c>
      <c r="Y282" s="141" t="s">
        <v>2979</v>
      </c>
      <c r="Z282" s="122" t="s">
        <v>3205</v>
      </c>
      <c r="AA282" s="141" t="s">
        <v>1325</v>
      </c>
      <c r="AB282" s="122" t="s">
        <v>3205</v>
      </c>
      <c r="AC282" s="141" t="s">
        <v>1762</v>
      </c>
      <c r="AD282" s="122" t="s">
        <v>3204</v>
      </c>
      <c r="AE282" s="122" t="s">
        <v>235</v>
      </c>
      <c r="AF282" s="122" t="s">
        <v>14964</v>
      </c>
      <c r="AG282" s="122" t="s">
        <v>537</v>
      </c>
      <c r="AH282" s="122" t="s">
        <v>253</v>
      </c>
      <c r="AI282" s="122" t="s">
        <v>9781</v>
      </c>
      <c r="AJ282" s="122" t="s">
        <v>14965</v>
      </c>
      <c r="AK282" s="122" t="s">
        <v>253</v>
      </c>
      <c r="AL282" s="122" t="s">
        <v>253</v>
      </c>
      <c r="AM282" s="122" t="s">
        <v>253</v>
      </c>
      <c r="AN282" s="122" t="s">
        <v>253</v>
      </c>
      <c r="AO282" s="141" t="s">
        <v>253</v>
      </c>
      <c r="AP282" s="141" t="s">
        <v>253</v>
      </c>
      <c r="AQ282" s="141" t="s">
        <v>247</v>
      </c>
      <c r="AR282" s="141" t="s">
        <v>253</v>
      </c>
      <c r="AS282" s="141" t="s">
        <v>361</v>
      </c>
      <c r="AT282" s="141" t="s">
        <v>601</v>
      </c>
      <c r="AU282" s="141" t="s">
        <v>258</v>
      </c>
      <c r="AV282" s="122" t="s">
        <v>259</v>
      </c>
      <c r="AW282" s="122" t="s">
        <v>260</v>
      </c>
      <c r="AX282" s="141" t="s">
        <v>14966</v>
      </c>
      <c r="AY282" s="122" t="s">
        <v>247</v>
      </c>
      <c r="AZ282" s="122" t="s">
        <v>14967</v>
      </c>
      <c r="BA282" s="122" t="s">
        <v>262</v>
      </c>
      <c r="BB282" s="122" t="s">
        <v>14968</v>
      </c>
      <c r="BC282" s="141" t="s">
        <v>312</v>
      </c>
      <c r="BD282" s="122" t="s">
        <v>253</v>
      </c>
      <c r="BE282" s="122" t="s">
        <v>263</v>
      </c>
      <c r="BF282" s="122" t="s">
        <v>3547</v>
      </c>
      <c r="BH282" s="122" t="s">
        <v>3538</v>
      </c>
      <c r="BI282" s="142">
        <v>79</v>
      </c>
    </row>
    <row r="283" spans="1:65" x14ac:dyDescent="0.25">
      <c r="A283" s="122" t="s">
        <v>6466</v>
      </c>
      <c r="B283" s="122" t="s">
        <v>14969</v>
      </c>
      <c r="C283" s="122" t="s">
        <v>14970</v>
      </c>
      <c r="D283" s="122" t="s">
        <v>14971</v>
      </c>
      <c r="E283" s="123">
        <v>42233</v>
      </c>
      <c r="F283" s="122" t="s">
        <v>4185</v>
      </c>
      <c r="G283" s="122" t="s">
        <v>235</v>
      </c>
      <c r="H283" s="122" t="s">
        <v>14972</v>
      </c>
      <c r="I283" s="122" t="s">
        <v>14973</v>
      </c>
      <c r="K283" s="122" t="s">
        <v>3364</v>
      </c>
      <c r="L283" s="122" t="s">
        <v>3365</v>
      </c>
      <c r="M283" s="122" t="s">
        <v>3366</v>
      </c>
      <c r="O283" s="141" t="s">
        <v>299</v>
      </c>
      <c r="P283" s="141" t="s">
        <v>14974</v>
      </c>
      <c r="Q283" s="122" t="s">
        <v>3369</v>
      </c>
      <c r="R283" s="142">
        <v>80</v>
      </c>
      <c r="S283" s="122" t="s">
        <v>14975</v>
      </c>
      <c r="U283" s="122" t="s">
        <v>3538</v>
      </c>
      <c r="W283" s="122" t="s">
        <v>246</v>
      </c>
      <c r="X283" s="122" t="s">
        <v>569</v>
      </c>
      <c r="Y283" s="141" t="s">
        <v>1440</v>
      </c>
      <c r="Z283" s="122" t="s">
        <v>14976</v>
      </c>
      <c r="AA283" s="141" t="s">
        <v>3881</v>
      </c>
      <c r="AB283" s="122" t="s">
        <v>14977</v>
      </c>
      <c r="AC283" s="141" t="s">
        <v>3863</v>
      </c>
      <c r="AD283" s="122" t="s">
        <v>14978</v>
      </c>
      <c r="AE283" s="122" t="s">
        <v>235</v>
      </c>
      <c r="AF283" s="122" t="s">
        <v>13224</v>
      </c>
      <c r="AG283" s="122" t="s">
        <v>537</v>
      </c>
      <c r="AH283" s="122" t="s">
        <v>253</v>
      </c>
      <c r="AI283" s="122" t="s">
        <v>14979</v>
      </c>
      <c r="AJ283" s="122" t="s">
        <v>14980</v>
      </c>
      <c r="AK283" s="122" t="s">
        <v>253</v>
      </c>
      <c r="AL283" s="122" t="s">
        <v>253</v>
      </c>
      <c r="AM283" s="122" t="s">
        <v>253</v>
      </c>
      <c r="AN283" s="122" t="s">
        <v>253</v>
      </c>
      <c r="AO283" s="141" t="s">
        <v>247</v>
      </c>
      <c r="AP283" s="141" t="s">
        <v>253</v>
      </c>
      <c r="AQ283" s="141" t="s">
        <v>247</v>
      </c>
      <c r="AR283" s="141" t="s">
        <v>253</v>
      </c>
      <c r="AS283" s="141" t="s">
        <v>601</v>
      </c>
      <c r="AT283" s="141" t="s">
        <v>601</v>
      </c>
      <c r="AU283" s="141" t="s">
        <v>258</v>
      </c>
      <c r="AV283" s="122" t="s">
        <v>259</v>
      </c>
      <c r="AW283" s="122" t="s">
        <v>260</v>
      </c>
      <c r="AY283" s="122" t="s">
        <v>253</v>
      </c>
      <c r="AZ283" s="122" t="s">
        <v>14981</v>
      </c>
      <c r="BA283" s="122" t="s">
        <v>14982</v>
      </c>
      <c r="BB283" s="122" t="s">
        <v>262</v>
      </c>
      <c r="BC283" s="141" t="s">
        <v>312</v>
      </c>
      <c r="BD283" s="122" t="s">
        <v>253</v>
      </c>
      <c r="BE283" s="122" t="s">
        <v>263</v>
      </c>
      <c r="BF283" s="122" t="s">
        <v>3547</v>
      </c>
      <c r="BH283" s="122" t="s">
        <v>3538</v>
      </c>
      <c r="BI283" s="142">
        <v>80</v>
      </c>
    </row>
    <row r="284" spans="1:65" x14ac:dyDescent="0.25">
      <c r="A284" s="122" t="s">
        <v>6466</v>
      </c>
      <c r="B284" s="122" t="s">
        <v>14983</v>
      </c>
      <c r="C284" s="122" t="s">
        <v>14984</v>
      </c>
      <c r="D284" s="122" t="s">
        <v>14985</v>
      </c>
      <c r="E284" s="123">
        <v>42233</v>
      </c>
      <c r="F284" s="122" t="s">
        <v>281</v>
      </c>
      <c r="G284" s="122" t="s">
        <v>235</v>
      </c>
      <c r="H284" s="122" t="s">
        <v>14986</v>
      </c>
      <c r="I284" s="122" t="s">
        <v>14987</v>
      </c>
      <c r="K284" s="122" t="s">
        <v>3364</v>
      </c>
      <c r="L284" s="122" t="s">
        <v>3365</v>
      </c>
      <c r="M284" s="122" t="s">
        <v>3366</v>
      </c>
      <c r="O284" s="141" t="s">
        <v>566</v>
      </c>
      <c r="P284" s="141" t="s">
        <v>14988</v>
      </c>
      <c r="Q284" s="122" t="s">
        <v>3369</v>
      </c>
      <c r="R284" s="142">
        <v>81</v>
      </c>
      <c r="S284" s="122" t="s">
        <v>14989</v>
      </c>
      <c r="U284" s="122" t="s">
        <v>3538</v>
      </c>
      <c r="W284" s="122" t="s">
        <v>246</v>
      </c>
      <c r="X284" s="122" t="s">
        <v>302</v>
      </c>
      <c r="Y284" s="141" t="s">
        <v>3037</v>
      </c>
      <c r="Z284" s="122" t="s">
        <v>14990</v>
      </c>
      <c r="AB284" s="122" t="s">
        <v>250</v>
      </c>
      <c r="AD284" s="122" t="s">
        <v>250</v>
      </c>
      <c r="AE284" s="122" t="s">
        <v>235</v>
      </c>
      <c r="AF284" s="122" t="s">
        <v>14991</v>
      </c>
      <c r="AG284" s="122" t="s">
        <v>253</v>
      </c>
      <c r="AH284" s="122" t="s">
        <v>253</v>
      </c>
      <c r="AI284" s="122" t="s">
        <v>14992</v>
      </c>
      <c r="AJ284" s="122" t="s">
        <v>14993</v>
      </c>
      <c r="AK284" s="122" t="s">
        <v>14994</v>
      </c>
      <c r="AL284" s="122" t="s">
        <v>253</v>
      </c>
      <c r="AM284" s="122" t="s">
        <v>253</v>
      </c>
      <c r="AN284" s="122" t="s">
        <v>253</v>
      </c>
      <c r="AO284" s="141" t="s">
        <v>247</v>
      </c>
      <c r="AP284" s="141" t="s">
        <v>247</v>
      </c>
      <c r="AQ284" s="141" t="s">
        <v>247</v>
      </c>
      <c r="AR284" s="141" t="s">
        <v>247</v>
      </c>
      <c r="AS284" s="141" t="s">
        <v>601</v>
      </c>
      <c r="AT284" s="141" t="s">
        <v>601</v>
      </c>
      <c r="AU284" s="141" t="s">
        <v>601</v>
      </c>
      <c r="AV284" s="122" t="s">
        <v>259</v>
      </c>
      <c r="AW284" s="122" t="s">
        <v>260</v>
      </c>
      <c r="AX284" s="141" t="s">
        <v>7446</v>
      </c>
      <c r="AY284" s="122" t="s">
        <v>247</v>
      </c>
      <c r="AZ284" s="122" t="s">
        <v>14995</v>
      </c>
      <c r="BA284" s="122" t="s">
        <v>262</v>
      </c>
      <c r="BB284" s="122" t="s">
        <v>262</v>
      </c>
      <c r="BD284" s="122" t="s">
        <v>253</v>
      </c>
      <c r="BE284" s="122" t="s">
        <v>263</v>
      </c>
      <c r="BF284" s="122" t="s">
        <v>3547</v>
      </c>
      <c r="BH284" s="122" t="s">
        <v>3538</v>
      </c>
      <c r="BI284" s="142">
        <v>81</v>
      </c>
    </row>
    <row r="285" spans="1:65" x14ac:dyDescent="0.25">
      <c r="A285" s="122" t="s">
        <v>6466</v>
      </c>
      <c r="B285" s="122" t="s">
        <v>14996</v>
      </c>
      <c r="C285" s="122" t="s">
        <v>14997</v>
      </c>
      <c r="D285" s="122" t="s">
        <v>14998</v>
      </c>
      <c r="E285" s="123">
        <v>42233</v>
      </c>
      <c r="F285" s="122" t="s">
        <v>1361</v>
      </c>
      <c r="G285" s="122" t="s">
        <v>235</v>
      </c>
      <c r="H285" s="122" t="s">
        <v>14999</v>
      </c>
      <c r="I285" s="122" t="s">
        <v>15000</v>
      </c>
      <c r="J285" s="122" t="s">
        <v>15001</v>
      </c>
      <c r="K285" s="122" t="s">
        <v>3385</v>
      </c>
      <c r="L285" s="122" t="s">
        <v>3386</v>
      </c>
      <c r="M285" s="122" t="s">
        <v>3486</v>
      </c>
      <c r="O285" s="141" t="s">
        <v>548</v>
      </c>
      <c r="P285" s="141" t="s">
        <v>15002</v>
      </c>
      <c r="Q285" s="122" t="s">
        <v>3389</v>
      </c>
      <c r="R285" s="142">
        <v>82</v>
      </c>
      <c r="S285" s="122" t="s">
        <v>15003</v>
      </c>
      <c r="U285" s="122" t="s">
        <v>3538</v>
      </c>
      <c r="W285" s="122" t="s">
        <v>246</v>
      </c>
      <c r="X285" s="122" t="s">
        <v>569</v>
      </c>
      <c r="Y285" s="141" t="s">
        <v>1161</v>
      </c>
      <c r="Z285" s="122" t="s">
        <v>15004</v>
      </c>
      <c r="AA285" s="141" t="s">
        <v>1876</v>
      </c>
      <c r="AB285" s="122" t="s">
        <v>15005</v>
      </c>
      <c r="AC285" s="141" t="s">
        <v>1260</v>
      </c>
      <c r="AD285" s="122" t="s">
        <v>15005</v>
      </c>
      <c r="AE285" s="122" t="s">
        <v>235</v>
      </c>
      <c r="AF285" s="122" t="s">
        <v>15006</v>
      </c>
      <c r="AG285" s="122" t="s">
        <v>638</v>
      </c>
      <c r="AH285" s="122" t="s">
        <v>253</v>
      </c>
      <c r="AI285" s="122" t="s">
        <v>15007</v>
      </c>
      <c r="AJ285" s="122" t="s">
        <v>15008</v>
      </c>
      <c r="AK285" s="122" t="s">
        <v>253</v>
      </c>
      <c r="AL285" s="122" t="s">
        <v>253</v>
      </c>
      <c r="AM285" s="122" t="s">
        <v>253</v>
      </c>
      <c r="AN285" s="122" t="s">
        <v>253</v>
      </c>
      <c r="AO285" s="141" t="s">
        <v>247</v>
      </c>
      <c r="AP285" s="141" t="s">
        <v>247</v>
      </c>
      <c r="AQ285" s="141" t="s">
        <v>253</v>
      </c>
      <c r="AR285" s="141" t="s">
        <v>253</v>
      </c>
      <c r="AS285" s="141" t="s">
        <v>601</v>
      </c>
      <c r="AT285" s="141" t="s">
        <v>258</v>
      </c>
      <c r="AU285" s="141" t="s">
        <v>258</v>
      </c>
      <c r="AV285" s="122" t="s">
        <v>259</v>
      </c>
      <c r="AW285" s="122" t="s">
        <v>260</v>
      </c>
      <c r="AY285" s="122" t="s">
        <v>253</v>
      </c>
      <c r="AZ285" s="122" t="s">
        <v>15009</v>
      </c>
      <c r="BA285" s="122" t="s">
        <v>262</v>
      </c>
      <c r="BB285" s="122" t="s">
        <v>262</v>
      </c>
      <c r="BD285" s="122" t="s">
        <v>253</v>
      </c>
      <c r="BE285" s="122" t="s">
        <v>263</v>
      </c>
      <c r="BF285" s="122" t="s">
        <v>3547</v>
      </c>
      <c r="BH285" s="122" t="s">
        <v>3538</v>
      </c>
      <c r="BI285" s="142">
        <v>82</v>
      </c>
      <c r="BJ285" s="123">
        <v>42238</v>
      </c>
      <c r="BK285" s="139" t="s">
        <v>264</v>
      </c>
      <c r="BL285" s="140">
        <v>87.89</v>
      </c>
      <c r="BM285" s="122">
        <v>34</v>
      </c>
    </row>
    <row r="286" spans="1:65" x14ac:dyDescent="0.25">
      <c r="A286" s="122" t="s">
        <v>279</v>
      </c>
      <c r="B286" s="122" t="s">
        <v>15010</v>
      </c>
      <c r="C286" s="122" t="s">
        <v>15011</v>
      </c>
      <c r="D286" s="122" t="s">
        <v>15012</v>
      </c>
      <c r="E286" s="123">
        <v>42233</v>
      </c>
      <c r="F286" s="122" t="s">
        <v>1143</v>
      </c>
      <c r="G286" s="122" t="s">
        <v>235</v>
      </c>
      <c r="H286" s="122" t="s">
        <v>15013</v>
      </c>
      <c r="I286" s="122" t="s">
        <v>15014</v>
      </c>
      <c r="K286" s="122" t="s">
        <v>3385</v>
      </c>
      <c r="L286" s="122" t="s">
        <v>3386</v>
      </c>
      <c r="M286" s="122" t="s">
        <v>3405</v>
      </c>
      <c r="O286" s="141" t="s">
        <v>451</v>
      </c>
      <c r="P286" s="141" t="s">
        <v>15015</v>
      </c>
      <c r="Q286" s="122" t="s">
        <v>3389</v>
      </c>
      <c r="R286" s="142">
        <v>83</v>
      </c>
      <c r="S286" s="122" t="s">
        <v>15016</v>
      </c>
      <c r="U286" s="122" t="s">
        <v>3538</v>
      </c>
      <c r="W286" s="122" t="s">
        <v>246</v>
      </c>
      <c r="X286" s="122" t="s">
        <v>433</v>
      </c>
      <c r="Y286" s="141" t="s">
        <v>1090</v>
      </c>
      <c r="Z286" s="122" t="s">
        <v>15017</v>
      </c>
      <c r="AB286" s="122" t="s">
        <v>250</v>
      </c>
      <c r="AD286" s="122" t="s">
        <v>250</v>
      </c>
      <c r="AE286" s="122" t="s">
        <v>235</v>
      </c>
      <c r="AF286" s="122" t="s">
        <v>15018</v>
      </c>
      <c r="AG286" s="122" t="s">
        <v>253</v>
      </c>
      <c r="AH286" s="122" t="s">
        <v>253</v>
      </c>
      <c r="AI286" s="122" t="s">
        <v>15019</v>
      </c>
      <c r="AJ286" s="122" t="s">
        <v>15020</v>
      </c>
      <c r="AK286" s="122" t="s">
        <v>15021</v>
      </c>
      <c r="AL286" s="122" t="s">
        <v>253</v>
      </c>
      <c r="AM286" s="122" t="s">
        <v>253</v>
      </c>
      <c r="AN286" s="122" t="s">
        <v>253</v>
      </c>
      <c r="AO286" s="141" t="s">
        <v>253</v>
      </c>
      <c r="AP286" s="141" t="s">
        <v>253</v>
      </c>
      <c r="AQ286" s="141" t="s">
        <v>253</v>
      </c>
      <c r="AR286" s="141" t="s">
        <v>247</v>
      </c>
      <c r="AS286" s="141" t="s">
        <v>361</v>
      </c>
      <c r="AT286" s="141" t="s">
        <v>258</v>
      </c>
      <c r="AU286" s="141" t="s">
        <v>601</v>
      </c>
      <c r="AV286" s="122" t="s">
        <v>259</v>
      </c>
      <c r="AW286" s="122" t="s">
        <v>556</v>
      </c>
      <c r="AY286" s="122" t="s">
        <v>253</v>
      </c>
      <c r="AZ286" s="122" t="s">
        <v>15022</v>
      </c>
      <c r="BA286" s="122" t="s">
        <v>262</v>
      </c>
      <c r="BB286" s="122" t="s">
        <v>262</v>
      </c>
      <c r="BD286" s="122" t="s">
        <v>253</v>
      </c>
      <c r="BE286" s="122" t="s">
        <v>263</v>
      </c>
      <c r="BF286" s="122" t="s">
        <v>3547</v>
      </c>
      <c r="BH286" s="122" t="s">
        <v>3538</v>
      </c>
      <c r="BI286" s="142">
        <v>83</v>
      </c>
    </row>
    <row r="287" spans="1:65" x14ac:dyDescent="0.25">
      <c r="A287" s="122" t="s">
        <v>326</v>
      </c>
      <c r="B287" s="122" t="s">
        <v>15023</v>
      </c>
      <c r="C287" s="122" t="s">
        <v>9953</v>
      </c>
      <c r="D287" s="122" t="s">
        <v>9954</v>
      </c>
      <c r="E287" s="123">
        <v>42233</v>
      </c>
      <c r="F287" s="122" t="s">
        <v>9955</v>
      </c>
      <c r="G287" s="122" t="s">
        <v>235</v>
      </c>
      <c r="H287" s="122" t="s">
        <v>9956</v>
      </c>
      <c r="I287" s="122" t="s">
        <v>9957</v>
      </c>
      <c r="K287" s="122" t="s">
        <v>3385</v>
      </c>
      <c r="L287" s="122" t="s">
        <v>3386</v>
      </c>
      <c r="M287" s="122" t="s">
        <v>3486</v>
      </c>
      <c r="O287" s="141" t="s">
        <v>494</v>
      </c>
      <c r="P287" s="141" t="s">
        <v>9958</v>
      </c>
      <c r="Q287" s="122" t="s">
        <v>3389</v>
      </c>
      <c r="R287" s="142">
        <v>84</v>
      </c>
      <c r="S287" s="122" t="s">
        <v>9959</v>
      </c>
      <c r="U287" s="122" t="s">
        <v>3538</v>
      </c>
      <c r="W287" s="122" t="s">
        <v>246</v>
      </c>
      <c r="X287" s="122" t="s">
        <v>260</v>
      </c>
      <c r="Y287" s="141" t="s">
        <v>578</v>
      </c>
      <c r="Z287" s="122" t="s">
        <v>9960</v>
      </c>
      <c r="AA287" s="141" t="s">
        <v>1926</v>
      </c>
      <c r="AB287" s="122" t="s">
        <v>9961</v>
      </c>
      <c r="AC287" s="141" t="s">
        <v>234</v>
      </c>
      <c r="AD287" s="122" t="s">
        <v>9962</v>
      </c>
      <c r="AE287" s="122" t="s">
        <v>235</v>
      </c>
      <c r="AF287" s="122" t="s">
        <v>9963</v>
      </c>
      <c r="AG287" s="122" t="s">
        <v>253</v>
      </c>
      <c r="AH287" s="122" t="s">
        <v>253</v>
      </c>
      <c r="AI287" s="122" t="s">
        <v>9964</v>
      </c>
      <c r="AJ287" s="122" t="s">
        <v>9965</v>
      </c>
      <c r="AK287" s="122" t="s">
        <v>253</v>
      </c>
      <c r="AL287" s="122" t="s">
        <v>9966</v>
      </c>
      <c r="AM287" s="122" t="s">
        <v>253</v>
      </c>
      <c r="AN287" s="122" t="s">
        <v>253</v>
      </c>
      <c r="AO287" s="141" t="s">
        <v>247</v>
      </c>
      <c r="AP287" s="141" t="s">
        <v>253</v>
      </c>
      <c r="AQ287" s="141" t="s">
        <v>247</v>
      </c>
      <c r="AR287" s="141" t="s">
        <v>247</v>
      </c>
      <c r="AS287" s="141" t="s">
        <v>601</v>
      </c>
      <c r="AT287" s="141" t="s">
        <v>601</v>
      </c>
      <c r="AU287" s="141" t="s">
        <v>601</v>
      </c>
      <c r="AV287" s="122" t="s">
        <v>259</v>
      </c>
      <c r="AW287" s="122" t="s">
        <v>556</v>
      </c>
      <c r="AX287" s="141" t="s">
        <v>750</v>
      </c>
      <c r="AY287" s="122" t="s">
        <v>247</v>
      </c>
      <c r="AZ287" s="122" t="s">
        <v>9967</v>
      </c>
      <c r="BA287" s="122" t="s">
        <v>262</v>
      </c>
      <c r="BB287" s="122" t="s">
        <v>262</v>
      </c>
      <c r="BD287" s="122" t="s">
        <v>253</v>
      </c>
      <c r="BE287" s="122" t="s">
        <v>263</v>
      </c>
      <c r="BF287" s="122" t="s">
        <v>3547</v>
      </c>
      <c r="BH287" s="122" t="s">
        <v>3538</v>
      </c>
      <c r="BI287" s="142">
        <v>84</v>
      </c>
      <c r="BK287" s="139" t="s">
        <v>558</v>
      </c>
    </row>
    <row r="288" spans="1:65" x14ac:dyDescent="0.25">
      <c r="A288" s="122" t="s">
        <v>326</v>
      </c>
      <c r="B288" s="122" t="s">
        <v>15024</v>
      </c>
      <c r="C288" s="122" t="s">
        <v>9969</v>
      </c>
      <c r="D288" s="122" t="s">
        <v>9970</v>
      </c>
      <c r="E288" s="123">
        <v>42233</v>
      </c>
      <c r="F288" s="122" t="s">
        <v>742</v>
      </c>
      <c r="G288" s="122" t="s">
        <v>235</v>
      </c>
      <c r="H288" s="122" t="s">
        <v>9971</v>
      </c>
      <c r="I288" s="122" t="s">
        <v>9645</v>
      </c>
      <c r="J288" s="122" t="s">
        <v>9972</v>
      </c>
      <c r="K288" s="122" t="s">
        <v>3364</v>
      </c>
      <c r="L288" s="122" t="s">
        <v>3365</v>
      </c>
      <c r="M288" s="122" t="s">
        <v>3366</v>
      </c>
      <c r="O288" s="141" t="s">
        <v>566</v>
      </c>
      <c r="P288" s="141" t="s">
        <v>9973</v>
      </c>
      <c r="Q288" s="122" t="s">
        <v>3369</v>
      </c>
      <c r="R288" s="142">
        <v>85</v>
      </c>
      <c r="S288" s="122" t="s">
        <v>9974</v>
      </c>
      <c r="U288" s="122" t="s">
        <v>3538</v>
      </c>
      <c r="W288" s="122" t="s">
        <v>246</v>
      </c>
      <c r="X288" s="122" t="s">
        <v>1324</v>
      </c>
      <c r="Y288" s="141" t="s">
        <v>958</v>
      </c>
      <c r="Z288" s="122" t="s">
        <v>9975</v>
      </c>
      <c r="AB288" s="122" t="s">
        <v>250</v>
      </c>
      <c r="AD288" s="122" t="s">
        <v>250</v>
      </c>
      <c r="AE288" s="122" t="s">
        <v>235</v>
      </c>
      <c r="AF288" s="122" t="s">
        <v>9976</v>
      </c>
      <c r="AG288" s="122" t="s">
        <v>537</v>
      </c>
      <c r="AH288" s="122" t="s">
        <v>253</v>
      </c>
      <c r="AI288" s="122" t="s">
        <v>9977</v>
      </c>
      <c r="AJ288" s="122" t="s">
        <v>9977</v>
      </c>
      <c r="AK288" s="122" t="s">
        <v>253</v>
      </c>
      <c r="AL288" s="122" t="s">
        <v>253</v>
      </c>
      <c r="AM288" s="122" t="s">
        <v>253</v>
      </c>
      <c r="AN288" s="122" t="s">
        <v>253</v>
      </c>
      <c r="AO288" s="141" t="s">
        <v>247</v>
      </c>
      <c r="AP288" s="141" t="s">
        <v>247</v>
      </c>
      <c r="AQ288" s="141" t="s">
        <v>247</v>
      </c>
      <c r="AR288" s="141" t="s">
        <v>247</v>
      </c>
      <c r="AS288" s="141" t="s">
        <v>601</v>
      </c>
      <c r="AT288" s="141" t="s">
        <v>601</v>
      </c>
      <c r="AU288" s="141" t="s">
        <v>601</v>
      </c>
      <c r="AV288" s="122" t="s">
        <v>259</v>
      </c>
      <c r="AW288" s="122" t="s">
        <v>556</v>
      </c>
      <c r="AY288" s="122" t="s">
        <v>253</v>
      </c>
      <c r="AZ288" s="122" t="s">
        <v>9978</v>
      </c>
      <c r="BA288" s="122" t="s">
        <v>262</v>
      </c>
      <c r="BB288" s="122" t="s">
        <v>262</v>
      </c>
      <c r="BD288" s="122" t="s">
        <v>253</v>
      </c>
      <c r="BE288" s="122" t="s">
        <v>263</v>
      </c>
      <c r="BF288" s="122" t="s">
        <v>3547</v>
      </c>
      <c r="BH288" s="122" t="s">
        <v>3538</v>
      </c>
      <c r="BI288" s="142">
        <v>85</v>
      </c>
      <c r="BK288" s="139" t="s">
        <v>558</v>
      </c>
    </row>
    <row r="289" spans="1:63" x14ac:dyDescent="0.25">
      <c r="A289" s="122" t="s">
        <v>326</v>
      </c>
      <c r="B289" s="122" t="s">
        <v>15025</v>
      </c>
      <c r="C289" s="122" t="s">
        <v>9993</v>
      </c>
      <c r="D289" s="122" t="s">
        <v>9994</v>
      </c>
      <c r="E289" s="123">
        <v>42233</v>
      </c>
      <c r="F289" s="122" t="s">
        <v>9995</v>
      </c>
      <c r="G289" s="122" t="s">
        <v>235</v>
      </c>
      <c r="H289" s="122" t="s">
        <v>9996</v>
      </c>
      <c r="I289" s="122" t="s">
        <v>9997</v>
      </c>
      <c r="K289" s="122" t="s">
        <v>3452</v>
      </c>
      <c r="L289" s="122" t="s">
        <v>3453</v>
      </c>
      <c r="M289" s="122" t="s">
        <v>3454</v>
      </c>
      <c r="O289" s="141" t="s">
        <v>494</v>
      </c>
      <c r="P289" s="141" t="s">
        <v>9998</v>
      </c>
      <c r="Q289" s="122" t="s">
        <v>3389</v>
      </c>
      <c r="R289" s="142">
        <v>86</v>
      </c>
      <c r="S289" s="122" t="s">
        <v>9999</v>
      </c>
      <c r="U289" s="122" t="s">
        <v>3538</v>
      </c>
      <c r="W289" s="122" t="s">
        <v>246</v>
      </c>
      <c r="X289" s="122" t="s">
        <v>278</v>
      </c>
      <c r="Y289" s="141" t="s">
        <v>1122</v>
      </c>
      <c r="Z289" s="122" t="s">
        <v>766</v>
      </c>
      <c r="AA289" s="141" t="s">
        <v>248</v>
      </c>
      <c r="AB289" s="122" t="s">
        <v>766</v>
      </c>
      <c r="AC289" s="141" t="s">
        <v>1289</v>
      </c>
      <c r="AD289" s="122" t="s">
        <v>766</v>
      </c>
      <c r="AE289" s="122" t="s">
        <v>235</v>
      </c>
      <c r="AF289" s="122" t="s">
        <v>10000</v>
      </c>
      <c r="AG289" s="122" t="s">
        <v>537</v>
      </c>
      <c r="AH289" s="122" t="s">
        <v>253</v>
      </c>
      <c r="AI289" s="122" t="s">
        <v>10001</v>
      </c>
      <c r="AJ289" s="122" t="s">
        <v>10002</v>
      </c>
      <c r="AK289" s="122" t="s">
        <v>6540</v>
      </c>
      <c r="AL289" s="122" t="s">
        <v>253</v>
      </c>
      <c r="AM289" s="122" t="s">
        <v>253</v>
      </c>
      <c r="AN289" s="122" t="s">
        <v>253</v>
      </c>
      <c r="AO289" s="141" t="s">
        <v>247</v>
      </c>
      <c r="AP289" s="141" t="s">
        <v>247</v>
      </c>
      <c r="AQ289" s="141" t="s">
        <v>247</v>
      </c>
      <c r="AR289" s="141" t="s">
        <v>247</v>
      </c>
      <c r="AS289" s="141" t="s">
        <v>601</v>
      </c>
      <c r="AT289" s="141" t="s">
        <v>601</v>
      </c>
      <c r="AU289" s="141" t="s">
        <v>601</v>
      </c>
      <c r="AV289" s="122" t="s">
        <v>259</v>
      </c>
      <c r="AW289" s="122" t="s">
        <v>556</v>
      </c>
      <c r="AX289" s="141" t="s">
        <v>750</v>
      </c>
      <c r="AY289" s="122" t="s">
        <v>247</v>
      </c>
      <c r="AZ289" s="122" t="s">
        <v>10003</v>
      </c>
      <c r="BA289" s="122" t="s">
        <v>262</v>
      </c>
      <c r="BB289" s="122" t="s">
        <v>10004</v>
      </c>
      <c r="BD289" s="122" t="s">
        <v>253</v>
      </c>
      <c r="BE289" s="122" t="s">
        <v>263</v>
      </c>
      <c r="BF289" s="122" t="s">
        <v>3547</v>
      </c>
      <c r="BH289" s="122" t="s">
        <v>3538</v>
      </c>
      <c r="BI289" s="142">
        <v>86</v>
      </c>
      <c r="BK289" s="139" t="s">
        <v>558</v>
      </c>
    </row>
    <row r="290" spans="1:63" x14ac:dyDescent="0.25">
      <c r="A290" s="122" t="s">
        <v>11841</v>
      </c>
      <c r="B290" s="122" t="s">
        <v>15026</v>
      </c>
      <c r="C290" s="122" t="s">
        <v>14148</v>
      </c>
      <c r="D290" s="122" t="s">
        <v>14149</v>
      </c>
      <c r="E290" s="123">
        <v>42233</v>
      </c>
      <c r="F290" s="122" t="s">
        <v>14150</v>
      </c>
      <c r="G290" s="122" t="s">
        <v>235</v>
      </c>
      <c r="H290" s="122" t="s">
        <v>14151</v>
      </c>
      <c r="I290" s="122" t="s">
        <v>14152</v>
      </c>
      <c r="J290" s="122" t="s">
        <v>14153</v>
      </c>
      <c r="K290" s="122" t="s">
        <v>3364</v>
      </c>
      <c r="L290" s="122" t="s">
        <v>3365</v>
      </c>
      <c r="M290" s="122" t="s">
        <v>3366</v>
      </c>
      <c r="O290" s="141" t="s">
        <v>613</v>
      </c>
      <c r="P290" s="141" t="s">
        <v>14154</v>
      </c>
      <c r="Q290" s="122" t="s">
        <v>3369</v>
      </c>
      <c r="R290" s="142">
        <v>87</v>
      </c>
      <c r="S290" s="122" t="s">
        <v>14155</v>
      </c>
      <c r="U290" s="122" t="s">
        <v>3538</v>
      </c>
      <c r="V290" s="122" t="s">
        <v>351</v>
      </c>
      <c r="W290" s="122" t="s">
        <v>246</v>
      </c>
      <c r="X290" s="122" t="s">
        <v>1377</v>
      </c>
      <c r="Y290" s="141" t="s">
        <v>1876</v>
      </c>
      <c r="Z290" s="122" t="s">
        <v>14156</v>
      </c>
      <c r="AA290" s="141" t="s">
        <v>3574</v>
      </c>
      <c r="AB290" s="122" t="s">
        <v>14157</v>
      </c>
      <c r="AC290" s="141" t="s">
        <v>1143</v>
      </c>
      <c r="AD290" s="122" t="s">
        <v>14158</v>
      </c>
      <c r="AE290" s="122" t="s">
        <v>235</v>
      </c>
      <c r="AF290" s="122" t="s">
        <v>14159</v>
      </c>
      <c r="AG290" s="122" t="s">
        <v>537</v>
      </c>
      <c r="AH290" s="122" t="s">
        <v>253</v>
      </c>
      <c r="AI290" s="122" t="s">
        <v>14160</v>
      </c>
      <c r="AJ290" s="122" t="s">
        <v>14161</v>
      </c>
      <c r="AK290" s="122" t="s">
        <v>253</v>
      </c>
      <c r="AL290" s="122" t="s">
        <v>253</v>
      </c>
      <c r="AM290" s="122" t="s">
        <v>253</v>
      </c>
      <c r="AN290" s="122" t="s">
        <v>253</v>
      </c>
      <c r="AO290" s="141" t="s">
        <v>247</v>
      </c>
      <c r="AP290" s="141" t="s">
        <v>247</v>
      </c>
      <c r="AQ290" s="141" t="s">
        <v>247</v>
      </c>
      <c r="AR290" s="141" t="s">
        <v>247</v>
      </c>
      <c r="AS290" s="141" t="s">
        <v>601</v>
      </c>
      <c r="AT290" s="141" t="s">
        <v>601</v>
      </c>
      <c r="AU290" s="141" t="s">
        <v>601</v>
      </c>
      <c r="AV290" s="122" t="s">
        <v>259</v>
      </c>
      <c r="AW290" s="122" t="s">
        <v>556</v>
      </c>
      <c r="AX290" s="141" t="s">
        <v>980</v>
      </c>
      <c r="AY290" s="122" t="s">
        <v>247</v>
      </c>
      <c r="AZ290" s="122" t="s">
        <v>14162</v>
      </c>
      <c r="BA290" s="122" t="s">
        <v>262</v>
      </c>
      <c r="BB290" s="122" t="s">
        <v>262</v>
      </c>
      <c r="BC290" s="141" t="s">
        <v>312</v>
      </c>
      <c r="BD290" s="122" t="s">
        <v>253</v>
      </c>
      <c r="BE290" s="122" t="s">
        <v>263</v>
      </c>
      <c r="BF290" s="122" t="s">
        <v>3547</v>
      </c>
      <c r="BH290" s="122" t="s">
        <v>3538</v>
      </c>
      <c r="BI290" s="142">
        <v>87</v>
      </c>
      <c r="BK290" s="139" t="s">
        <v>558</v>
      </c>
    </row>
    <row r="291" spans="1:63" x14ac:dyDescent="0.25">
      <c r="A291" s="122" t="s">
        <v>11841</v>
      </c>
      <c r="B291" s="122" t="s">
        <v>15027</v>
      </c>
      <c r="C291" s="122" t="s">
        <v>15028</v>
      </c>
      <c r="D291" s="122" t="s">
        <v>15029</v>
      </c>
      <c r="E291" s="123">
        <v>42233</v>
      </c>
      <c r="F291" s="122" t="s">
        <v>15030</v>
      </c>
      <c r="G291" s="122" t="s">
        <v>235</v>
      </c>
      <c r="H291" s="122" t="s">
        <v>448</v>
      </c>
      <c r="I291" s="122" t="s">
        <v>15031</v>
      </c>
      <c r="K291" s="122" t="s">
        <v>3533</v>
      </c>
      <c r="L291" s="122" t="s">
        <v>3534</v>
      </c>
      <c r="M291" s="122" t="s">
        <v>3535</v>
      </c>
      <c r="O291" s="141" t="s">
        <v>390</v>
      </c>
      <c r="P291" s="141" t="s">
        <v>15032</v>
      </c>
      <c r="Q291" s="122" t="s">
        <v>3369</v>
      </c>
      <c r="R291" s="142">
        <v>88</v>
      </c>
      <c r="S291" s="122" t="s">
        <v>15033</v>
      </c>
      <c r="U291" s="122" t="s">
        <v>3538</v>
      </c>
      <c r="V291" s="122" t="s">
        <v>351</v>
      </c>
      <c r="W291" s="122" t="s">
        <v>246</v>
      </c>
      <c r="X291" s="122" t="s">
        <v>590</v>
      </c>
      <c r="Y291" s="141" t="s">
        <v>1762</v>
      </c>
      <c r="Z291" s="122" t="s">
        <v>15034</v>
      </c>
      <c r="AA291" s="141" t="s">
        <v>855</v>
      </c>
      <c r="AB291" s="122" t="s">
        <v>15035</v>
      </c>
      <c r="AD291" s="122" t="s">
        <v>250</v>
      </c>
      <c r="AE291" s="122" t="s">
        <v>235</v>
      </c>
      <c r="AF291" s="122" t="s">
        <v>15036</v>
      </c>
      <c r="AG291" s="122" t="s">
        <v>253</v>
      </c>
      <c r="AH291" s="122" t="s">
        <v>253</v>
      </c>
      <c r="AI291" s="122" t="s">
        <v>15037</v>
      </c>
      <c r="AJ291" s="122" t="s">
        <v>15038</v>
      </c>
      <c r="AK291" s="122" t="s">
        <v>15039</v>
      </c>
      <c r="AL291" s="122" t="s">
        <v>15040</v>
      </c>
      <c r="AM291" s="122" t="s">
        <v>253</v>
      </c>
      <c r="AN291" s="122" t="s">
        <v>253</v>
      </c>
      <c r="AO291" s="141" t="s">
        <v>253</v>
      </c>
      <c r="AP291" s="141" t="s">
        <v>253</v>
      </c>
      <c r="AQ291" s="141" t="s">
        <v>253</v>
      </c>
      <c r="AR291" s="141" t="s">
        <v>247</v>
      </c>
      <c r="AS291" s="141" t="s">
        <v>361</v>
      </c>
      <c r="AT291" s="141" t="s">
        <v>258</v>
      </c>
      <c r="AU291" s="141" t="s">
        <v>601</v>
      </c>
      <c r="AV291" s="122" t="s">
        <v>259</v>
      </c>
      <c r="AW291" s="122" t="s">
        <v>556</v>
      </c>
      <c r="AY291" s="122" t="s">
        <v>253</v>
      </c>
      <c r="AZ291" s="122" t="s">
        <v>262</v>
      </c>
      <c r="BA291" s="122" t="s">
        <v>262</v>
      </c>
      <c r="BB291" s="122" t="s">
        <v>15041</v>
      </c>
      <c r="BD291" s="122" t="s">
        <v>253</v>
      </c>
      <c r="BE291" s="122" t="s">
        <v>263</v>
      </c>
      <c r="BF291" s="122" t="s">
        <v>3547</v>
      </c>
      <c r="BH291" s="122" t="s">
        <v>3538</v>
      </c>
      <c r="BI291" s="142">
        <v>88</v>
      </c>
    </row>
    <row r="292" spans="1:63" x14ac:dyDescent="0.25">
      <c r="A292" s="122" t="s">
        <v>11841</v>
      </c>
      <c r="B292" s="122" t="s">
        <v>15042</v>
      </c>
      <c r="C292" s="122" t="s">
        <v>14177</v>
      </c>
      <c r="D292" s="122" t="s">
        <v>14178</v>
      </c>
      <c r="E292" s="123">
        <v>42233</v>
      </c>
      <c r="F292" s="122" t="s">
        <v>14179</v>
      </c>
      <c r="G292" s="122" t="s">
        <v>235</v>
      </c>
      <c r="H292" s="122" t="s">
        <v>14180</v>
      </c>
      <c r="I292" s="122" t="s">
        <v>14181</v>
      </c>
      <c r="K292" s="122" t="s">
        <v>3385</v>
      </c>
      <c r="L292" s="122" t="s">
        <v>3386</v>
      </c>
      <c r="M292" s="122" t="s">
        <v>3405</v>
      </c>
      <c r="O292" s="141" t="s">
        <v>665</v>
      </c>
      <c r="P292" s="141" t="s">
        <v>14182</v>
      </c>
      <c r="Q292" s="122" t="s">
        <v>3389</v>
      </c>
      <c r="R292" s="142">
        <v>89</v>
      </c>
      <c r="S292" s="122" t="s">
        <v>14183</v>
      </c>
      <c r="U292" s="122" t="s">
        <v>3538</v>
      </c>
      <c r="W292" s="122" t="s">
        <v>246</v>
      </c>
      <c r="X292" s="122" t="s">
        <v>278</v>
      </c>
      <c r="Y292" s="141" t="s">
        <v>973</v>
      </c>
      <c r="Z292" s="122" t="s">
        <v>14184</v>
      </c>
      <c r="AA292" s="141" t="s">
        <v>570</v>
      </c>
      <c r="AB292" s="122" t="s">
        <v>741</v>
      </c>
      <c r="AC292" s="141" t="s">
        <v>1090</v>
      </c>
      <c r="AD292" s="122" t="s">
        <v>741</v>
      </c>
      <c r="AE292" s="122" t="s">
        <v>235</v>
      </c>
      <c r="AF292" s="122" t="s">
        <v>14185</v>
      </c>
      <c r="AG292" s="122" t="s">
        <v>537</v>
      </c>
      <c r="AH292" s="122" t="s">
        <v>253</v>
      </c>
      <c r="AI292" s="122" t="s">
        <v>14186</v>
      </c>
      <c r="AJ292" s="122" t="s">
        <v>14187</v>
      </c>
      <c r="AK292" s="122" t="s">
        <v>253</v>
      </c>
      <c r="AL292" s="122" t="s">
        <v>253</v>
      </c>
      <c r="AM292" s="122" t="s">
        <v>253</v>
      </c>
      <c r="AN292" s="122" t="s">
        <v>253</v>
      </c>
      <c r="AO292" s="141" t="s">
        <v>247</v>
      </c>
      <c r="AP292" s="141" t="s">
        <v>247</v>
      </c>
      <c r="AQ292" s="141" t="s">
        <v>247</v>
      </c>
      <c r="AR292" s="141" t="s">
        <v>247</v>
      </c>
      <c r="AS292" s="141" t="s">
        <v>601</v>
      </c>
      <c r="AT292" s="141" t="s">
        <v>601</v>
      </c>
      <c r="AU292" s="141" t="s">
        <v>601</v>
      </c>
      <c r="AV292" s="122" t="s">
        <v>259</v>
      </c>
      <c r="AW292" s="122" t="s">
        <v>556</v>
      </c>
      <c r="AY292" s="122" t="s">
        <v>253</v>
      </c>
      <c r="AZ292" s="122" t="s">
        <v>14188</v>
      </c>
      <c r="BA292" s="122" t="s">
        <v>262</v>
      </c>
      <c r="BB292" s="122" t="s">
        <v>14189</v>
      </c>
      <c r="BD292" s="122" t="s">
        <v>253</v>
      </c>
      <c r="BE292" s="122" t="s">
        <v>263</v>
      </c>
      <c r="BF292" s="122" t="s">
        <v>3547</v>
      </c>
      <c r="BH292" s="122" t="s">
        <v>3538</v>
      </c>
      <c r="BI292" s="142">
        <v>89</v>
      </c>
      <c r="BK292" s="139" t="s">
        <v>558</v>
      </c>
    </row>
    <row r="293" spans="1:63" x14ac:dyDescent="0.25">
      <c r="A293" s="122" t="s">
        <v>11841</v>
      </c>
      <c r="B293" s="122" t="s">
        <v>15043</v>
      </c>
      <c r="C293" s="122" t="s">
        <v>15044</v>
      </c>
      <c r="D293" s="122" t="s">
        <v>15045</v>
      </c>
      <c r="E293" s="123">
        <v>42233</v>
      </c>
      <c r="F293" s="122" t="s">
        <v>15046</v>
      </c>
      <c r="G293" s="122" t="s">
        <v>235</v>
      </c>
      <c r="H293" s="122" t="s">
        <v>15047</v>
      </c>
      <c r="I293" s="122" t="s">
        <v>15048</v>
      </c>
      <c r="J293" s="122" t="s">
        <v>2116</v>
      </c>
      <c r="K293" s="122" t="s">
        <v>3364</v>
      </c>
      <c r="L293" s="122" t="s">
        <v>3365</v>
      </c>
      <c r="M293" s="122" t="s">
        <v>3366</v>
      </c>
      <c r="O293" s="141" t="s">
        <v>566</v>
      </c>
      <c r="P293" s="141" t="s">
        <v>15049</v>
      </c>
      <c r="Q293" s="122" t="s">
        <v>3369</v>
      </c>
      <c r="R293" s="142">
        <v>90</v>
      </c>
      <c r="S293" s="122" t="s">
        <v>15050</v>
      </c>
      <c r="U293" s="122" t="s">
        <v>3538</v>
      </c>
      <c r="W293" s="122" t="s">
        <v>246</v>
      </c>
      <c r="X293" s="122" t="s">
        <v>853</v>
      </c>
      <c r="Y293" s="141" t="s">
        <v>367</v>
      </c>
      <c r="Z293" s="122" t="s">
        <v>15051</v>
      </c>
      <c r="AA293" s="141" t="s">
        <v>765</v>
      </c>
      <c r="AB293" s="122" t="s">
        <v>15052</v>
      </c>
      <c r="AC293" s="141" t="s">
        <v>15053</v>
      </c>
      <c r="AD293" s="122" t="s">
        <v>15054</v>
      </c>
      <c r="AE293" s="122" t="s">
        <v>235</v>
      </c>
      <c r="AF293" s="122" t="s">
        <v>15055</v>
      </c>
      <c r="AG293" s="122" t="s">
        <v>253</v>
      </c>
      <c r="AH293" s="122" t="s">
        <v>253</v>
      </c>
      <c r="AI293" s="122" t="s">
        <v>15056</v>
      </c>
      <c r="AJ293" s="122" t="s">
        <v>15057</v>
      </c>
      <c r="AK293" s="122" t="s">
        <v>12361</v>
      </c>
      <c r="AL293" s="122" t="s">
        <v>15058</v>
      </c>
      <c r="AM293" s="122" t="s">
        <v>253</v>
      </c>
      <c r="AN293" s="122" t="s">
        <v>253</v>
      </c>
      <c r="AO293" s="141" t="s">
        <v>253</v>
      </c>
      <c r="AP293" s="141" t="s">
        <v>253</v>
      </c>
      <c r="AQ293" s="141" t="s">
        <v>253</v>
      </c>
      <c r="AR293" s="141" t="s">
        <v>247</v>
      </c>
      <c r="AS293" s="141" t="s">
        <v>361</v>
      </c>
      <c r="AT293" s="141" t="s">
        <v>258</v>
      </c>
      <c r="AU293" s="141" t="s">
        <v>601</v>
      </c>
      <c r="AV293" s="122" t="s">
        <v>259</v>
      </c>
      <c r="AW293" s="122" t="s">
        <v>556</v>
      </c>
      <c r="AY293" s="122" t="s">
        <v>253</v>
      </c>
      <c r="AZ293" s="122" t="s">
        <v>15059</v>
      </c>
      <c r="BA293" s="122" t="s">
        <v>262</v>
      </c>
      <c r="BB293" s="122" t="s">
        <v>262</v>
      </c>
      <c r="BD293" s="122" t="s">
        <v>253</v>
      </c>
      <c r="BE293" s="122" t="s">
        <v>263</v>
      </c>
      <c r="BF293" s="122" t="s">
        <v>3547</v>
      </c>
      <c r="BH293" s="122" t="s">
        <v>3538</v>
      </c>
      <c r="BI293" s="142">
        <v>90</v>
      </c>
    </row>
    <row r="294" spans="1:63" x14ac:dyDescent="0.25">
      <c r="A294" s="122" t="s">
        <v>9031</v>
      </c>
      <c r="B294" s="122" t="s">
        <v>15060</v>
      </c>
      <c r="C294" s="122" t="s">
        <v>14256</v>
      </c>
      <c r="D294" s="122" t="s">
        <v>14257</v>
      </c>
      <c r="E294" s="123">
        <v>42233</v>
      </c>
      <c r="F294" s="122" t="s">
        <v>7921</v>
      </c>
      <c r="G294" s="122" t="s">
        <v>235</v>
      </c>
      <c r="H294" s="122" t="s">
        <v>14258</v>
      </c>
      <c r="I294" s="122" t="s">
        <v>4051</v>
      </c>
      <c r="J294" s="122" t="s">
        <v>14259</v>
      </c>
      <c r="K294" s="122" t="s">
        <v>3385</v>
      </c>
      <c r="L294" s="122" t="s">
        <v>3386</v>
      </c>
      <c r="M294" s="122" t="s">
        <v>3405</v>
      </c>
      <c r="O294" s="141" t="s">
        <v>451</v>
      </c>
      <c r="P294" s="141" t="s">
        <v>14260</v>
      </c>
      <c r="Q294" s="122" t="s">
        <v>3389</v>
      </c>
      <c r="R294" s="142">
        <v>91</v>
      </c>
      <c r="S294" s="122" t="s">
        <v>14261</v>
      </c>
      <c r="U294" s="122" t="s">
        <v>3538</v>
      </c>
      <c r="W294" s="122" t="s">
        <v>246</v>
      </c>
      <c r="X294" s="122" t="s">
        <v>3147</v>
      </c>
      <c r="Y294" s="141" t="s">
        <v>2717</v>
      </c>
      <c r="Z294" s="122" t="s">
        <v>14262</v>
      </c>
      <c r="AA294" s="141" t="s">
        <v>3574</v>
      </c>
      <c r="AB294" s="122" t="s">
        <v>14263</v>
      </c>
      <c r="AC294" s="141" t="s">
        <v>899</v>
      </c>
      <c r="AD294" s="122" t="s">
        <v>355</v>
      </c>
      <c r="AE294" s="122" t="s">
        <v>235</v>
      </c>
      <c r="AF294" s="122" t="s">
        <v>14264</v>
      </c>
      <c r="AG294" s="122" t="s">
        <v>537</v>
      </c>
      <c r="AH294" s="122" t="s">
        <v>253</v>
      </c>
      <c r="AI294" s="122" t="s">
        <v>14265</v>
      </c>
      <c r="AJ294" s="122" t="s">
        <v>14266</v>
      </c>
      <c r="AK294" s="122" t="s">
        <v>253</v>
      </c>
      <c r="AL294" s="122" t="s">
        <v>253</v>
      </c>
      <c r="AM294" s="122" t="s">
        <v>253</v>
      </c>
      <c r="AN294" s="122" t="s">
        <v>253</v>
      </c>
      <c r="AO294" s="141" t="s">
        <v>247</v>
      </c>
      <c r="AP294" s="141" t="s">
        <v>247</v>
      </c>
      <c r="AQ294" s="141" t="s">
        <v>247</v>
      </c>
      <c r="AR294" s="141" t="s">
        <v>247</v>
      </c>
      <c r="AS294" s="141" t="s">
        <v>601</v>
      </c>
      <c r="AT294" s="141" t="s">
        <v>601</v>
      </c>
      <c r="AU294" s="141" t="s">
        <v>601</v>
      </c>
      <c r="AV294" s="122" t="s">
        <v>259</v>
      </c>
      <c r="AW294" s="122" t="s">
        <v>556</v>
      </c>
      <c r="AY294" s="122" t="s">
        <v>253</v>
      </c>
      <c r="AZ294" s="122" t="s">
        <v>14267</v>
      </c>
      <c r="BA294" s="122" t="s">
        <v>262</v>
      </c>
      <c r="BB294" s="122" t="s">
        <v>262</v>
      </c>
      <c r="BD294" s="122" t="s">
        <v>253</v>
      </c>
      <c r="BE294" s="122" t="s">
        <v>263</v>
      </c>
      <c r="BF294" s="122" t="s">
        <v>3547</v>
      </c>
      <c r="BH294" s="122" t="s">
        <v>3538</v>
      </c>
      <c r="BI294" s="142">
        <v>91</v>
      </c>
      <c r="BK294" s="139" t="s">
        <v>558</v>
      </c>
    </row>
    <row r="295" spans="1:63" x14ac:dyDescent="0.25">
      <c r="A295" s="122" t="s">
        <v>9031</v>
      </c>
      <c r="B295" s="122" t="s">
        <v>15061</v>
      </c>
      <c r="C295" s="122" t="s">
        <v>14296</v>
      </c>
      <c r="D295" s="122" t="s">
        <v>14297</v>
      </c>
      <c r="E295" s="123">
        <v>42233</v>
      </c>
      <c r="F295" s="122" t="s">
        <v>1325</v>
      </c>
      <c r="G295" s="122" t="s">
        <v>235</v>
      </c>
      <c r="H295" s="122" t="s">
        <v>14298</v>
      </c>
      <c r="I295" s="122" t="s">
        <v>14299</v>
      </c>
      <c r="K295" s="122" t="s">
        <v>3385</v>
      </c>
      <c r="L295" s="122" t="s">
        <v>3554</v>
      </c>
      <c r="M295" s="122" t="s">
        <v>3555</v>
      </c>
      <c r="O295" s="141" t="s">
        <v>451</v>
      </c>
      <c r="P295" s="141" t="s">
        <v>14300</v>
      </c>
      <c r="Q295" s="122" t="s">
        <v>3389</v>
      </c>
      <c r="R295" s="142">
        <v>92</v>
      </c>
      <c r="S295" s="122" t="s">
        <v>14301</v>
      </c>
      <c r="U295" s="122" t="s">
        <v>3538</v>
      </c>
      <c r="W295" s="122" t="s">
        <v>246</v>
      </c>
      <c r="X295" s="122" t="s">
        <v>1377</v>
      </c>
      <c r="Y295" s="141" t="s">
        <v>1125</v>
      </c>
      <c r="Z295" s="122" t="s">
        <v>14302</v>
      </c>
      <c r="AA295" s="141" t="s">
        <v>722</v>
      </c>
      <c r="AB295" s="122" t="s">
        <v>14303</v>
      </c>
      <c r="AC295" s="141" t="s">
        <v>3910</v>
      </c>
      <c r="AD295" s="122" t="s">
        <v>14304</v>
      </c>
      <c r="AE295" s="122" t="s">
        <v>235</v>
      </c>
      <c r="AF295" s="122" t="s">
        <v>14305</v>
      </c>
      <c r="AG295" s="122" t="s">
        <v>537</v>
      </c>
      <c r="AH295" s="122" t="s">
        <v>253</v>
      </c>
      <c r="AI295" s="122" t="s">
        <v>14306</v>
      </c>
      <c r="AJ295" s="122" t="s">
        <v>7020</v>
      </c>
      <c r="AK295" s="122" t="s">
        <v>253</v>
      </c>
      <c r="AL295" s="122" t="s">
        <v>253</v>
      </c>
      <c r="AM295" s="122" t="s">
        <v>253</v>
      </c>
      <c r="AN295" s="122" t="s">
        <v>253</v>
      </c>
      <c r="AO295" s="141" t="s">
        <v>247</v>
      </c>
      <c r="AP295" s="141" t="s">
        <v>247</v>
      </c>
      <c r="AQ295" s="141" t="s">
        <v>247</v>
      </c>
      <c r="AR295" s="141" t="s">
        <v>247</v>
      </c>
      <c r="AS295" s="141" t="s">
        <v>601</v>
      </c>
      <c r="AT295" s="141" t="s">
        <v>601</v>
      </c>
      <c r="AU295" s="141" t="s">
        <v>601</v>
      </c>
      <c r="AV295" s="122" t="s">
        <v>259</v>
      </c>
      <c r="AW295" s="122" t="s">
        <v>556</v>
      </c>
      <c r="AY295" s="122" t="s">
        <v>253</v>
      </c>
      <c r="AZ295" s="122" t="s">
        <v>14307</v>
      </c>
      <c r="BA295" s="122" t="s">
        <v>262</v>
      </c>
      <c r="BB295" s="122" t="s">
        <v>262</v>
      </c>
      <c r="BD295" s="122" t="s">
        <v>253</v>
      </c>
      <c r="BE295" s="122" t="s">
        <v>263</v>
      </c>
      <c r="BF295" s="122" t="s">
        <v>3547</v>
      </c>
      <c r="BH295" s="122" t="s">
        <v>3538</v>
      </c>
      <c r="BI295" s="142">
        <v>92</v>
      </c>
      <c r="BK295" s="139" t="s">
        <v>558</v>
      </c>
    </row>
    <row r="296" spans="1:63" x14ac:dyDescent="0.25">
      <c r="A296" s="122" t="s">
        <v>11880</v>
      </c>
      <c r="B296" s="122" t="s">
        <v>15062</v>
      </c>
      <c r="C296" s="122" t="s">
        <v>14421</v>
      </c>
      <c r="D296" s="122" t="s">
        <v>14422</v>
      </c>
      <c r="E296" s="123">
        <v>42233</v>
      </c>
      <c r="F296" s="122" t="s">
        <v>7483</v>
      </c>
      <c r="G296" s="122" t="s">
        <v>235</v>
      </c>
      <c r="H296" s="122" t="s">
        <v>14423</v>
      </c>
      <c r="I296" s="122" t="s">
        <v>14424</v>
      </c>
      <c r="K296" s="122" t="s">
        <v>3452</v>
      </c>
      <c r="L296" s="122" t="s">
        <v>3453</v>
      </c>
      <c r="M296" s="122" t="s">
        <v>3454</v>
      </c>
      <c r="O296" s="141" t="s">
        <v>451</v>
      </c>
      <c r="P296" s="141" t="s">
        <v>14425</v>
      </c>
      <c r="Q296" s="122" t="s">
        <v>3389</v>
      </c>
      <c r="R296" s="142">
        <v>93</v>
      </c>
      <c r="S296" s="122" t="s">
        <v>14426</v>
      </c>
      <c r="U296" s="122" t="s">
        <v>3538</v>
      </c>
      <c r="W296" s="122" t="s">
        <v>246</v>
      </c>
      <c r="X296" s="122" t="s">
        <v>247</v>
      </c>
      <c r="Y296" s="141" t="s">
        <v>956</v>
      </c>
      <c r="Z296" s="122" t="s">
        <v>14427</v>
      </c>
      <c r="AA296" s="141" t="s">
        <v>2804</v>
      </c>
      <c r="AB296" s="122" t="s">
        <v>14427</v>
      </c>
      <c r="AC296" s="141" t="s">
        <v>670</v>
      </c>
      <c r="AD296" s="122" t="s">
        <v>3489</v>
      </c>
      <c r="AE296" s="122" t="s">
        <v>235</v>
      </c>
      <c r="AF296" s="122" t="s">
        <v>14428</v>
      </c>
      <c r="AG296" s="122" t="s">
        <v>537</v>
      </c>
      <c r="AH296" s="122" t="s">
        <v>253</v>
      </c>
      <c r="AI296" s="122" t="s">
        <v>14429</v>
      </c>
      <c r="AJ296" s="122" t="s">
        <v>14430</v>
      </c>
      <c r="AK296" s="122" t="s">
        <v>253</v>
      </c>
      <c r="AL296" s="122" t="s">
        <v>253</v>
      </c>
      <c r="AM296" s="122" t="s">
        <v>253</v>
      </c>
      <c r="AN296" s="122" t="s">
        <v>253</v>
      </c>
      <c r="AO296" s="141" t="s">
        <v>247</v>
      </c>
      <c r="AP296" s="141" t="s">
        <v>247</v>
      </c>
      <c r="AQ296" s="141" t="s">
        <v>247</v>
      </c>
      <c r="AR296" s="141" t="s">
        <v>247</v>
      </c>
      <c r="AS296" s="141" t="s">
        <v>601</v>
      </c>
      <c r="AT296" s="141" t="s">
        <v>601</v>
      </c>
      <c r="AU296" s="141" t="s">
        <v>601</v>
      </c>
      <c r="AV296" s="122" t="s">
        <v>259</v>
      </c>
      <c r="AW296" s="122" t="s">
        <v>556</v>
      </c>
      <c r="AX296" s="141" t="s">
        <v>14431</v>
      </c>
      <c r="AY296" s="122" t="s">
        <v>442</v>
      </c>
      <c r="AZ296" s="122" t="s">
        <v>14432</v>
      </c>
      <c r="BA296" s="122" t="s">
        <v>262</v>
      </c>
      <c r="BB296" s="122" t="s">
        <v>262</v>
      </c>
      <c r="BD296" s="122" t="s">
        <v>253</v>
      </c>
      <c r="BE296" s="122" t="s">
        <v>263</v>
      </c>
      <c r="BF296" s="122" t="s">
        <v>3547</v>
      </c>
      <c r="BH296" s="122" t="s">
        <v>3538</v>
      </c>
      <c r="BI296" s="142">
        <v>93</v>
      </c>
      <c r="BK296" s="139" t="s">
        <v>558</v>
      </c>
    </row>
    <row r="297" spans="1:63" x14ac:dyDescent="0.25">
      <c r="A297" s="122" t="s">
        <v>11880</v>
      </c>
      <c r="B297" s="122" t="s">
        <v>15063</v>
      </c>
      <c r="C297" s="122" t="s">
        <v>14535</v>
      </c>
      <c r="D297" s="122" t="s">
        <v>14536</v>
      </c>
      <c r="E297" s="123">
        <v>42233</v>
      </c>
      <c r="F297" s="122" t="s">
        <v>417</v>
      </c>
      <c r="G297" s="122" t="s">
        <v>235</v>
      </c>
      <c r="H297" s="122" t="s">
        <v>448</v>
      </c>
      <c r="I297" s="122" t="s">
        <v>14537</v>
      </c>
      <c r="K297" s="122" t="s">
        <v>3385</v>
      </c>
      <c r="L297" s="122" t="s">
        <v>3386</v>
      </c>
      <c r="M297" s="122" t="s">
        <v>3486</v>
      </c>
      <c r="O297" s="141" t="s">
        <v>2175</v>
      </c>
      <c r="P297" s="141" t="s">
        <v>14538</v>
      </c>
      <c r="Q297" s="122" t="s">
        <v>3389</v>
      </c>
      <c r="R297" s="142">
        <v>94</v>
      </c>
      <c r="S297" s="122" t="s">
        <v>14539</v>
      </c>
      <c r="U297" s="122" t="s">
        <v>3538</v>
      </c>
      <c r="W297" s="122" t="s">
        <v>246</v>
      </c>
      <c r="X297" s="122" t="s">
        <v>4409</v>
      </c>
      <c r="Z297" s="122" t="s">
        <v>250</v>
      </c>
      <c r="AB297" s="122" t="s">
        <v>250</v>
      </c>
      <c r="AD297" s="122" t="s">
        <v>250</v>
      </c>
      <c r="AE297" s="122" t="s">
        <v>235</v>
      </c>
      <c r="AF297" s="122" t="s">
        <v>14540</v>
      </c>
      <c r="AG297" s="122" t="s">
        <v>537</v>
      </c>
      <c r="AH297" s="122" t="s">
        <v>253</v>
      </c>
      <c r="AI297" s="122" t="s">
        <v>14541</v>
      </c>
      <c r="AJ297" s="122" t="s">
        <v>14542</v>
      </c>
      <c r="AK297" s="122" t="s">
        <v>14543</v>
      </c>
      <c r="AL297" s="122" t="s">
        <v>253</v>
      </c>
      <c r="AM297" s="122" t="s">
        <v>253</v>
      </c>
      <c r="AN297" s="122" t="s">
        <v>253</v>
      </c>
      <c r="AO297" s="141" t="s">
        <v>253</v>
      </c>
      <c r="AP297" s="141" t="s">
        <v>253</v>
      </c>
      <c r="AQ297" s="141" t="s">
        <v>247</v>
      </c>
      <c r="AR297" s="141" t="s">
        <v>247</v>
      </c>
      <c r="AS297" s="141" t="s">
        <v>361</v>
      </c>
      <c r="AT297" s="141" t="s">
        <v>601</v>
      </c>
      <c r="AU297" s="141" t="s">
        <v>601</v>
      </c>
      <c r="AV297" s="122" t="s">
        <v>259</v>
      </c>
      <c r="AW297" s="122" t="s">
        <v>556</v>
      </c>
      <c r="AY297" s="122" t="s">
        <v>253</v>
      </c>
      <c r="AZ297" s="122" t="s">
        <v>262</v>
      </c>
      <c r="BA297" s="122" t="s">
        <v>262</v>
      </c>
      <c r="BB297" s="122" t="s">
        <v>14544</v>
      </c>
      <c r="BC297" s="141" t="s">
        <v>312</v>
      </c>
      <c r="BD297" s="122" t="s">
        <v>253</v>
      </c>
      <c r="BE297" s="122" t="s">
        <v>263</v>
      </c>
      <c r="BF297" s="122" t="s">
        <v>3547</v>
      </c>
      <c r="BH297" s="122" t="s">
        <v>3538</v>
      </c>
      <c r="BI297" s="142">
        <v>94</v>
      </c>
      <c r="BK297" s="139" t="s">
        <v>558</v>
      </c>
    </row>
    <row r="298" spans="1:63" x14ac:dyDescent="0.25">
      <c r="A298" s="122" t="s">
        <v>9904</v>
      </c>
      <c r="B298" s="122" t="s">
        <v>15064</v>
      </c>
      <c r="C298" s="122" t="s">
        <v>14572</v>
      </c>
      <c r="D298" s="122" t="s">
        <v>14573</v>
      </c>
      <c r="E298" s="123">
        <v>42233</v>
      </c>
      <c r="F298" s="122" t="s">
        <v>1612</v>
      </c>
      <c r="G298" s="122" t="s">
        <v>235</v>
      </c>
      <c r="H298" s="122" t="s">
        <v>14574</v>
      </c>
      <c r="I298" s="122" t="s">
        <v>14575</v>
      </c>
      <c r="J298" s="122" t="s">
        <v>1710</v>
      </c>
      <c r="K298" s="122" t="s">
        <v>3385</v>
      </c>
      <c r="L298" s="122" t="s">
        <v>3554</v>
      </c>
      <c r="M298" s="122" t="s">
        <v>3555</v>
      </c>
      <c r="O298" s="141" t="s">
        <v>451</v>
      </c>
      <c r="P298" s="141" t="s">
        <v>14576</v>
      </c>
      <c r="Q298" s="122" t="s">
        <v>3389</v>
      </c>
      <c r="R298" s="142">
        <v>95</v>
      </c>
      <c r="S298" s="122" t="s">
        <v>14577</v>
      </c>
      <c r="U298" s="122" t="s">
        <v>3538</v>
      </c>
      <c r="W298" s="122" t="s">
        <v>246</v>
      </c>
      <c r="X298" s="122" t="s">
        <v>1377</v>
      </c>
      <c r="Y298" s="141" t="s">
        <v>888</v>
      </c>
      <c r="Z298" s="122" t="s">
        <v>14578</v>
      </c>
      <c r="AA298" s="141" t="s">
        <v>578</v>
      </c>
      <c r="AB298" s="122" t="s">
        <v>3793</v>
      </c>
      <c r="AC298" s="141" t="s">
        <v>1141</v>
      </c>
      <c r="AD298" s="122" t="s">
        <v>355</v>
      </c>
      <c r="AE298" s="122" t="s">
        <v>235</v>
      </c>
      <c r="AF298" s="122" t="s">
        <v>14579</v>
      </c>
      <c r="AG298" s="122" t="s">
        <v>537</v>
      </c>
      <c r="AH298" s="122" t="s">
        <v>253</v>
      </c>
      <c r="AI298" s="122" t="s">
        <v>14580</v>
      </c>
      <c r="AJ298" s="122" t="s">
        <v>14581</v>
      </c>
      <c r="AK298" s="122" t="s">
        <v>253</v>
      </c>
      <c r="AL298" s="122" t="s">
        <v>253</v>
      </c>
      <c r="AM298" s="122" t="s">
        <v>253</v>
      </c>
      <c r="AN298" s="122" t="s">
        <v>253</v>
      </c>
      <c r="AO298" s="141" t="s">
        <v>247</v>
      </c>
      <c r="AP298" s="141" t="s">
        <v>247</v>
      </c>
      <c r="AQ298" s="141" t="s">
        <v>247</v>
      </c>
      <c r="AR298" s="141" t="s">
        <v>247</v>
      </c>
      <c r="AS298" s="141" t="s">
        <v>601</v>
      </c>
      <c r="AT298" s="141" t="s">
        <v>601</v>
      </c>
      <c r="AU298" s="141" t="s">
        <v>601</v>
      </c>
      <c r="AV298" s="122" t="s">
        <v>259</v>
      </c>
      <c r="AW298" s="122" t="s">
        <v>556</v>
      </c>
      <c r="AY298" s="122" t="s">
        <v>253</v>
      </c>
      <c r="AZ298" s="122" t="s">
        <v>14582</v>
      </c>
      <c r="BA298" s="122" t="s">
        <v>262</v>
      </c>
      <c r="BB298" s="122" t="s">
        <v>262</v>
      </c>
      <c r="BD298" s="122" t="s">
        <v>253</v>
      </c>
      <c r="BE298" s="122" t="s">
        <v>263</v>
      </c>
      <c r="BF298" s="122" t="s">
        <v>3547</v>
      </c>
      <c r="BH298" s="122" t="s">
        <v>3538</v>
      </c>
      <c r="BI298" s="142">
        <v>95</v>
      </c>
      <c r="BK298" s="139" t="s">
        <v>558</v>
      </c>
    </row>
    <row r="299" spans="1:63" x14ac:dyDescent="0.25">
      <c r="A299" s="122" t="s">
        <v>9904</v>
      </c>
      <c r="B299" s="122" t="s">
        <v>15065</v>
      </c>
      <c r="C299" s="122" t="s">
        <v>14634</v>
      </c>
      <c r="D299" s="122" t="s">
        <v>14635</v>
      </c>
      <c r="E299" s="123">
        <v>42233</v>
      </c>
      <c r="F299" s="122" t="s">
        <v>354</v>
      </c>
      <c r="G299" s="122" t="s">
        <v>235</v>
      </c>
      <c r="H299" s="122" t="s">
        <v>14636</v>
      </c>
      <c r="I299" s="122" t="s">
        <v>14637</v>
      </c>
      <c r="J299" s="122" t="s">
        <v>7393</v>
      </c>
      <c r="K299" s="122" t="s">
        <v>3364</v>
      </c>
      <c r="L299" s="122" t="s">
        <v>3365</v>
      </c>
      <c r="M299" s="122" t="s">
        <v>3366</v>
      </c>
      <c r="O299" s="141" t="s">
        <v>1253</v>
      </c>
      <c r="P299" s="141" t="s">
        <v>14638</v>
      </c>
      <c r="Q299" s="122" t="s">
        <v>3369</v>
      </c>
      <c r="R299" s="142">
        <v>96</v>
      </c>
      <c r="S299" s="122" t="s">
        <v>14639</v>
      </c>
      <c r="T299" s="122" t="s">
        <v>14640</v>
      </c>
      <c r="U299" s="122" t="s">
        <v>3538</v>
      </c>
      <c r="W299" s="122" t="s">
        <v>246</v>
      </c>
      <c r="X299" s="122" t="s">
        <v>4409</v>
      </c>
      <c r="Y299" s="141" t="s">
        <v>535</v>
      </c>
      <c r="Z299" s="122" t="s">
        <v>355</v>
      </c>
      <c r="AB299" s="122" t="s">
        <v>250</v>
      </c>
      <c r="AD299" s="122" t="s">
        <v>250</v>
      </c>
      <c r="AE299" s="122" t="s">
        <v>235</v>
      </c>
      <c r="AF299" s="122" t="s">
        <v>14641</v>
      </c>
      <c r="AG299" s="122" t="s">
        <v>14642</v>
      </c>
      <c r="AH299" s="122" t="s">
        <v>253</v>
      </c>
      <c r="AI299" s="122" t="s">
        <v>14643</v>
      </c>
      <c r="AJ299" s="122" t="s">
        <v>14644</v>
      </c>
      <c r="AK299" s="122" t="s">
        <v>253</v>
      </c>
      <c r="AL299" s="122" t="s">
        <v>253</v>
      </c>
      <c r="AM299" s="122" t="s">
        <v>253</v>
      </c>
      <c r="AN299" s="122" t="s">
        <v>253</v>
      </c>
      <c r="AO299" s="141" t="s">
        <v>247</v>
      </c>
      <c r="AP299" s="141" t="s">
        <v>247</v>
      </c>
      <c r="AQ299" s="141" t="s">
        <v>247</v>
      </c>
      <c r="AR299" s="141" t="s">
        <v>247</v>
      </c>
      <c r="AS299" s="141" t="s">
        <v>601</v>
      </c>
      <c r="AT299" s="141" t="s">
        <v>601</v>
      </c>
      <c r="AU299" s="141" t="s">
        <v>601</v>
      </c>
      <c r="AV299" s="122" t="s">
        <v>259</v>
      </c>
      <c r="AW299" s="122" t="s">
        <v>556</v>
      </c>
      <c r="AY299" s="122" t="s">
        <v>253</v>
      </c>
      <c r="AZ299" s="122" t="s">
        <v>14645</v>
      </c>
      <c r="BA299" s="122" t="s">
        <v>262</v>
      </c>
      <c r="BB299" s="122" t="s">
        <v>262</v>
      </c>
      <c r="BC299" s="141" t="s">
        <v>312</v>
      </c>
      <c r="BD299" s="122" t="s">
        <v>253</v>
      </c>
      <c r="BE299" s="122" t="s">
        <v>263</v>
      </c>
      <c r="BF299" s="122" t="s">
        <v>3547</v>
      </c>
      <c r="BH299" s="122" t="s">
        <v>3538</v>
      </c>
      <c r="BI299" s="142">
        <v>96</v>
      </c>
      <c r="BK299" s="139" t="s">
        <v>558</v>
      </c>
    </row>
    <row r="300" spans="1:63" x14ac:dyDescent="0.25">
      <c r="A300" s="122" t="s">
        <v>6466</v>
      </c>
      <c r="B300" s="122" t="s">
        <v>15066</v>
      </c>
      <c r="C300" s="122" t="s">
        <v>15067</v>
      </c>
      <c r="D300" s="122" t="s">
        <v>15068</v>
      </c>
      <c r="E300" s="123">
        <v>42233</v>
      </c>
      <c r="F300" s="122" t="s">
        <v>417</v>
      </c>
      <c r="G300" s="122" t="s">
        <v>235</v>
      </c>
      <c r="H300" s="122" t="s">
        <v>15069</v>
      </c>
      <c r="I300" s="122" t="s">
        <v>15070</v>
      </c>
      <c r="J300" s="122" t="s">
        <v>1239</v>
      </c>
      <c r="K300" s="122" t="s">
        <v>3385</v>
      </c>
      <c r="L300" s="122" t="s">
        <v>3554</v>
      </c>
      <c r="M300" s="122" t="s">
        <v>3846</v>
      </c>
      <c r="O300" s="141" t="s">
        <v>548</v>
      </c>
      <c r="P300" s="141" t="s">
        <v>15071</v>
      </c>
      <c r="Q300" s="122" t="s">
        <v>5805</v>
      </c>
      <c r="R300" s="142">
        <v>97</v>
      </c>
      <c r="S300" s="122" t="s">
        <v>15072</v>
      </c>
      <c r="U300" s="122" t="s">
        <v>3538</v>
      </c>
      <c r="W300" s="122" t="s">
        <v>246</v>
      </c>
      <c r="X300" s="122" t="s">
        <v>4409</v>
      </c>
      <c r="Z300" s="122" t="s">
        <v>250</v>
      </c>
      <c r="AB300" s="122" t="s">
        <v>250</v>
      </c>
      <c r="AD300" s="122" t="s">
        <v>250</v>
      </c>
      <c r="AE300" s="122" t="s">
        <v>235</v>
      </c>
      <c r="AF300" s="122" t="s">
        <v>15073</v>
      </c>
      <c r="AG300" s="122" t="s">
        <v>15074</v>
      </c>
      <c r="AH300" s="122" t="s">
        <v>253</v>
      </c>
      <c r="AI300" s="122" t="s">
        <v>4755</v>
      </c>
      <c r="AJ300" s="122" t="s">
        <v>15075</v>
      </c>
      <c r="AK300" s="122" t="s">
        <v>253</v>
      </c>
      <c r="AL300" s="122" t="s">
        <v>253</v>
      </c>
      <c r="AM300" s="122" t="s">
        <v>253</v>
      </c>
      <c r="AN300" s="122" t="s">
        <v>253</v>
      </c>
      <c r="AO300" s="141" t="s">
        <v>253</v>
      </c>
      <c r="AP300" s="141" t="s">
        <v>253</v>
      </c>
      <c r="AQ300" s="141" t="s">
        <v>253</v>
      </c>
      <c r="AR300" s="141" t="s">
        <v>247</v>
      </c>
      <c r="AS300" s="141" t="s">
        <v>361</v>
      </c>
      <c r="AT300" s="141" t="s">
        <v>258</v>
      </c>
      <c r="AU300" s="141" t="s">
        <v>601</v>
      </c>
      <c r="AV300" s="122" t="s">
        <v>259</v>
      </c>
      <c r="AW300" s="122" t="s">
        <v>556</v>
      </c>
      <c r="AY300" s="122" t="s">
        <v>253</v>
      </c>
      <c r="AZ300" s="122" t="s">
        <v>15076</v>
      </c>
      <c r="BA300" s="122" t="s">
        <v>262</v>
      </c>
      <c r="BB300" s="122" t="s">
        <v>262</v>
      </c>
      <c r="BD300" s="122" t="s">
        <v>253</v>
      </c>
      <c r="BE300" s="122" t="s">
        <v>263</v>
      </c>
      <c r="BF300" s="122" t="s">
        <v>3547</v>
      </c>
      <c r="BH300" s="122" t="s">
        <v>3538</v>
      </c>
      <c r="BI300" s="142">
        <v>97</v>
      </c>
    </row>
    <row r="301" spans="1:63" x14ac:dyDescent="0.25">
      <c r="A301" s="122" t="s">
        <v>279</v>
      </c>
      <c r="B301" s="122" t="s">
        <v>15077</v>
      </c>
      <c r="C301" s="122" t="s">
        <v>15078</v>
      </c>
      <c r="D301" s="122" t="s">
        <v>15079</v>
      </c>
      <c r="E301" s="123">
        <v>42233</v>
      </c>
      <c r="F301" s="122" t="s">
        <v>15080</v>
      </c>
      <c r="G301" s="122" t="s">
        <v>235</v>
      </c>
      <c r="H301" s="122" t="s">
        <v>448</v>
      </c>
      <c r="I301" s="122" t="s">
        <v>15081</v>
      </c>
      <c r="K301" s="122" t="s">
        <v>238</v>
      </c>
      <c r="L301" s="122" t="s">
        <v>371</v>
      </c>
      <c r="M301" s="122" t="s">
        <v>4763</v>
      </c>
      <c r="N301" s="122" t="s">
        <v>15082</v>
      </c>
      <c r="O301" s="141" t="s">
        <v>2799</v>
      </c>
      <c r="P301" s="141" t="s">
        <v>15083</v>
      </c>
      <c r="Q301" s="122" t="s">
        <v>243</v>
      </c>
      <c r="R301" s="142">
        <v>6</v>
      </c>
      <c r="S301" s="122" t="s">
        <v>15084</v>
      </c>
      <c r="U301" s="122" t="s">
        <v>4681</v>
      </c>
      <c r="W301" s="122" t="s">
        <v>246</v>
      </c>
      <c r="X301" s="122" t="s">
        <v>1057</v>
      </c>
      <c r="Y301" s="141" t="s">
        <v>1528</v>
      </c>
      <c r="Z301" s="122" t="s">
        <v>1761</v>
      </c>
      <c r="AA301" s="141" t="s">
        <v>417</v>
      </c>
      <c r="AB301" s="122" t="s">
        <v>1763</v>
      </c>
      <c r="AC301" s="141" t="s">
        <v>901</v>
      </c>
      <c r="AD301" s="122" t="s">
        <v>1761</v>
      </c>
      <c r="AE301" s="122" t="s">
        <v>235</v>
      </c>
      <c r="AF301" s="122" t="s">
        <v>15085</v>
      </c>
      <c r="AG301" s="122" t="s">
        <v>253</v>
      </c>
      <c r="AH301" s="122" t="s">
        <v>253</v>
      </c>
      <c r="AI301" s="122" t="s">
        <v>4885</v>
      </c>
      <c r="AJ301" s="122" t="s">
        <v>4885</v>
      </c>
      <c r="AK301" s="122" t="s">
        <v>1795</v>
      </c>
      <c r="AL301" s="122" t="s">
        <v>253</v>
      </c>
      <c r="AM301" s="122" t="s">
        <v>253</v>
      </c>
      <c r="AN301" s="122" t="s">
        <v>253</v>
      </c>
      <c r="AO301" s="141" t="s">
        <v>253</v>
      </c>
      <c r="AP301" s="141" t="s">
        <v>253</v>
      </c>
      <c r="AQ301" s="141" t="s">
        <v>247</v>
      </c>
      <c r="AR301" s="141" t="s">
        <v>253</v>
      </c>
      <c r="AS301" s="141" t="s">
        <v>361</v>
      </c>
      <c r="AT301" s="141" t="s">
        <v>601</v>
      </c>
      <c r="AU301" s="141" t="s">
        <v>258</v>
      </c>
      <c r="AV301" s="122" t="s">
        <v>259</v>
      </c>
      <c r="AW301" s="122" t="s">
        <v>260</v>
      </c>
      <c r="AY301" s="122" t="s">
        <v>253</v>
      </c>
      <c r="AZ301" s="122" t="s">
        <v>262</v>
      </c>
      <c r="BA301" s="122" t="s">
        <v>262</v>
      </c>
      <c r="BB301" s="122" t="s">
        <v>15086</v>
      </c>
      <c r="BC301" s="141" t="s">
        <v>312</v>
      </c>
      <c r="BD301" s="122" t="s">
        <v>253</v>
      </c>
      <c r="BE301" s="122" t="s">
        <v>263</v>
      </c>
      <c r="BF301" s="122" t="s">
        <v>4688</v>
      </c>
      <c r="BH301" s="122" t="s">
        <v>4681</v>
      </c>
      <c r="BI301" s="142">
        <v>6</v>
      </c>
    </row>
    <row r="302" spans="1:63" x14ac:dyDescent="0.25">
      <c r="A302" s="122" t="s">
        <v>279</v>
      </c>
      <c r="B302" s="122" t="s">
        <v>15087</v>
      </c>
      <c r="C302" s="122" t="s">
        <v>15088</v>
      </c>
      <c r="D302" s="122" t="s">
        <v>15089</v>
      </c>
      <c r="E302" s="123">
        <v>42233</v>
      </c>
      <c r="F302" s="122" t="s">
        <v>15090</v>
      </c>
      <c r="G302" s="122" t="s">
        <v>235</v>
      </c>
      <c r="H302" s="122" t="s">
        <v>448</v>
      </c>
      <c r="I302" s="122" t="s">
        <v>15091</v>
      </c>
      <c r="K302" s="122" t="s">
        <v>238</v>
      </c>
      <c r="L302" s="122" t="s">
        <v>371</v>
      </c>
      <c r="M302" s="122" t="s">
        <v>4833</v>
      </c>
      <c r="O302" s="141" t="s">
        <v>2799</v>
      </c>
      <c r="P302" s="141" t="s">
        <v>15092</v>
      </c>
      <c r="Q302" s="122" t="s">
        <v>243</v>
      </c>
      <c r="R302" s="142">
        <v>7</v>
      </c>
      <c r="S302" s="122" t="s">
        <v>15093</v>
      </c>
      <c r="U302" s="122" t="s">
        <v>4681</v>
      </c>
      <c r="W302" s="122" t="s">
        <v>246</v>
      </c>
      <c r="X302" s="122" t="s">
        <v>1057</v>
      </c>
      <c r="Y302" s="141" t="s">
        <v>304</v>
      </c>
      <c r="Z302" s="122" t="s">
        <v>1968</v>
      </c>
      <c r="AA302" s="141" t="s">
        <v>367</v>
      </c>
      <c r="AB302" s="122" t="s">
        <v>1968</v>
      </c>
      <c r="AC302" s="141" t="s">
        <v>480</v>
      </c>
      <c r="AD302" s="122" t="s">
        <v>15094</v>
      </c>
      <c r="AE302" s="122" t="s">
        <v>235</v>
      </c>
      <c r="AF302" s="122" t="s">
        <v>15095</v>
      </c>
      <c r="AG302" s="122" t="s">
        <v>253</v>
      </c>
      <c r="AH302" s="122" t="s">
        <v>253</v>
      </c>
      <c r="AI302" s="122" t="s">
        <v>9246</v>
      </c>
      <c r="AJ302" s="122" t="s">
        <v>1971</v>
      </c>
      <c r="AK302" s="122" t="s">
        <v>747</v>
      </c>
      <c r="AL302" s="122" t="s">
        <v>253</v>
      </c>
      <c r="AM302" s="122" t="s">
        <v>253</v>
      </c>
      <c r="AN302" s="122" t="s">
        <v>253</v>
      </c>
      <c r="AO302" s="141" t="s">
        <v>253</v>
      </c>
      <c r="AP302" s="141" t="s">
        <v>253</v>
      </c>
      <c r="AQ302" s="141" t="s">
        <v>247</v>
      </c>
      <c r="AR302" s="141" t="s">
        <v>253</v>
      </c>
      <c r="AS302" s="141" t="s">
        <v>361</v>
      </c>
      <c r="AT302" s="141" t="s">
        <v>601</v>
      </c>
      <c r="AU302" s="141" t="s">
        <v>258</v>
      </c>
      <c r="AV302" s="122" t="s">
        <v>259</v>
      </c>
      <c r="AW302" s="122" t="s">
        <v>260</v>
      </c>
      <c r="AY302" s="122" t="s">
        <v>253</v>
      </c>
      <c r="AZ302" s="122" t="s">
        <v>262</v>
      </c>
      <c r="BA302" s="122" t="s">
        <v>262</v>
      </c>
      <c r="BB302" s="122" t="s">
        <v>15096</v>
      </c>
      <c r="BC302" s="141" t="s">
        <v>312</v>
      </c>
      <c r="BD302" s="122" t="s">
        <v>253</v>
      </c>
      <c r="BE302" s="122" t="s">
        <v>263</v>
      </c>
      <c r="BF302" s="122" t="s">
        <v>4688</v>
      </c>
      <c r="BH302" s="122" t="s">
        <v>4681</v>
      </c>
      <c r="BI302" s="142">
        <v>7</v>
      </c>
    </row>
    <row r="303" spans="1:63" x14ac:dyDescent="0.25">
      <c r="A303" s="122" t="s">
        <v>279</v>
      </c>
      <c r="B303" s="122" t="s">
        <v>15097</v>
      </c>
      <c r="C303" s="122" t="s">
        <v>15098</v>
      </c>
      <c r="D303" s="122" t="s">
        <v>15099</v>
      </c>
      <c r="E303" s="123">
        <v>42233</v>
      </c>
      <c r="F303" s="122" t="s">
        <v>1116</v>
      </c>
      <c r="G303" s="122" t="s">
        <v>235</v>
      </c>
      <c r="H303" s="122" t="s">
        <v>15100</v>
      </c>
      <c r="I303" s="122" t="s">
        <v>5108</v>
      </c>
      <c r="J303" s="122" t="s">
        <v>15101</v>
      </c>
      <c r="K303" s="122" t="s">
        <v>238</v>
      </c>
      <c r="L303" s="122" t="s">
        <v>371</v>
      </c>
      <c r="M303" s="122" t="s">
        <v>4763</v>
      </c>
      <c r="O303" s="141" t="s">
        <v>548</v>
      </c>
      <c r="P303" s="141" t="s">
        <v>15102</v>
      </c>
      <c r="Q303" s="122" t="s">
        <v>243</v>
      </c>
      <c r="R303" s="142">
        <v>8</v>
      </c>
      <c r="S303" s="122" t="s">
        <v>15103</v>
      </c>
      <c r="U303" s="122" t="s">
        <v>4681</v>
      </c>
      <c r="W303" s="122" t="s">
        <v>246</v>
      </c>
      <c r="X303" s="122" t="s">
        <v>1121</v>
      </c>
      <c r="Y303" s="141" t="s">
        <v>2133</v>
      </c>
      <c r="Z303" s="122" t="s">
        <v>15104</v>
      </c>
      <c r="AA303" s="141" t="s">
        <v>234</v>
      </c>
      <c r="AB303" s="122" t="s">
        <v>15104</v>
      </c>
      <c r="AC303" s="141" t="s">
        <v>724</v>
      </c>
      <c r="AD303" s="122" t="s">
        <v>15105</v>
      </c>
      <c r="AE303" s="122" t="s">
        <v>235</v>
      </c>
      <c r="AF303" s="122" t="s">
        <v>15106</v>
      </c>
      <c r="AG303" s="122" t="s">
        <v>537</v>
      </c>
      <c r="AH303" s="122" t="s">
        <v>253</v>
      </c>
      <c r="AI303" s="122" t="s">
        <v>15107</v>
      </c>
      <c r="AJ303" s="122" t="s">
        <v>15108</v>
      </c>
      <c r="AK303" s="122" t="s">
        <v>253</v>
      </c>
      <c r="AL303" s="122" t="s">
        <v>253</v>
      </c>
      <c r="AM303" s="122" t="s">
        <v>253</v>
      </c>
      <c r="AN303" s="122" t="s">
        <v>253</v>
      </c>
      <c r="AO303" s="141" t="s">
        <v>247</v>
      </c>
      <c r="AP303" s="141" t="s">
        <v>247</v>
      </c>
      <c r="AQ303" s="141" t="s">
        <v>247</v>
      </c>
      <c r="AR303" s="141" t="s">
        <v>253</v>
      </c>
      <c r="AS303" s="141" t="s">
        <v>601</v>
      </c>
      <c r="AT303" s="141" t="s">
        <v>601</v>
      </c>
      <c r="AU303" s="141" t="s">
        <v>258</v>
      </c>
      <c r="AV303" s="122" t="s">
        <v>259</v>
      </c>
      <c r="AW303" s="122" t="s">
        <v>260</v>
      </c>
      <c r="AY303" s="122" t="s">
        <v>253</v>
      </c>
      <c r="AZ303" s="122" t="s">
        <v>15109</v>
      </c>
      <c r="BA303" s="122" t="s">
        <v>262</v>
      </c>
      <c r="BB303" s="122" t="s">
        <v>262</v>
      </c>
      <c r="BD303" s="122" t="s">
        <v>253</v>
      </c>
      <c r="BE303" s="122" t="s">
        <v>263</v>
      </c>
      <c r="BF303" s="122" t="s">
        <v>4688</v>
      </c>
      <c r="BH303" s="122" t="s">
        <v>4681</v>
      </c>
      <c r="BI303" s="142">
        <v>8</v>
      </c>
    </row>
    <row r="304" spans="1:63" x14ac:dyDescent="0.25">
      <c r="A304" s="122" t="s">
        <v>279</v>
      </c>
      <c r="B304" s="122" t="s">
        <v>15110</v>
      </c>
      <c r="C304" s="122" t="s">
        <v>15111</v>
      </c>
      <c r="D304" s="122" t="s">
        <v>15112</v>
      </c>
      <c r="E304" s="123">
        <v>42233</v>
      </c>
      <c r="F304" s="122" t="s">
        <v>1896</v>
      </c>
      <c r="G304" s="122" t="s">
        <v>235</v>
      </c>
      <c r="H304" s="122" t="s">
        <v>15113</v>
      </c>
      <c r="I304" s="122" t="s">
        <v>5108</v>
      </c>
      <c r="J304" s="122" t="s">
        <v>15114</v>
      </c>
      <c r="K304" s="122" t="s">
        <v>238</v>
      </c>
      <c r="L304" s="122" t="s">
        <v>371</v>
      </c>
      <c r="M304" s="122" t="s">
        <v>4763</v>
      </c>
      <c r="O304" s="141" t="s">
        <v>451</v>
      </c>
      <c r="P304" s="141" t="s">
        <v>15115</v>
      </c>
      <c r="Q304" s="122" t="s">
        <v>243</v>
      </c>
      <c r="R304" s="142">
        <v>9</v>
      </c>
      <c r="S304" s="122" t="s">
        <v>15116</v>
      </c>
      <c r="U304" s="122" t="s">
        <v>4681</v>
      </c>
      <c r="W304" s="122" t="s">
        <v>246</v>
      </c>
      <c r="X304" s="122" t="s">
        <v>1121</v>
      </c>
      <c r="Y304" s="141" t="s">
        <v>2257</v>
      </c>
      <c r="Z304" s="122" t="s">
        <v>15117</v>
      </c>
      <c r="AA304" s="141" t="s">
        <v>722</v>
      </c>
      <c r="AB304" s="122" t="s">
        <v>355</v>
      </c>
      <c r="AD304" s="122" t="s">
        <v>250</v>
      </c>
      <c r="AE304" s="122" t="s">
        <v>235</v>
      </c>
      <c r="AF304" s="122" t="s">
        <v>15118</v>
      </c>
      <c r="AG304" s="122" t="s">
        <v>12679</v>
      </c>
      <c r="AH304" s="122" t="s">
        <v>253</v>
      </c>
      <c r="AI304" s="122" t="s">
        <v>15119</v>
      </c>
      <c r="AJ304" s="122" t="s">
        <v>15120</v>
      </c>
      <c r="AK304" s="122" t="s">
        <v>253</v>
      </c>
      <c r="AL304" s="122" t="s">
        <v>253</v>
      </c>
      <c r="AM304" s="122" t="s">
        <v>253</v>
      </c>
      <c r="AN304" s="122" t="s">
        <v>253</v>
      </c>
      <c r="AO304" s="141" t="s">
        <v>247</v>
      </c>
      <c r="AP304" s="141" t="s">
        <v>247</v>
      </c>
      <c r="AQ304" s="141" t="s">
        <v>247</v>
      </c>
      <c r="AR304" s="141" t="s">
        <v>247</v>
      </c>
      <c r="AS304" s="141" t="s">
        <v>601</v>
      </c>
      <c r="AT304" s="141" t="s">
        <v>601</v>
      </c>
      <c r="AU304" s="141" t="s">
        <v>601</v>
      </c>
      <c r="AV304" s="122" t="s">
        <v>259</v>
      </c>
      <c r="AW304" s="122" t="s">
        <v>260</v>
      </c>
      <c r="AY304" s="122" t="s">
        <v>253</v>
      </c>
      <c r="AZ304" s="122" t="s">
        <v>15121</v>
      </c>
      <c r="BA304" s="122" t="s">
        <v>262</v>
      </c>
      <c r="BB304" s="122" t="s">
        <v>262</v>
      </c>
      <c r="BD304" s="122" t="s">
        <v>253</v>
      </c>
      <c r="BE304" s="122" t="s">
        <v>263</v>
      </c>
      <c r="BF304" s="122" t="s">
        <v>4688</v>
      </c>
      <c r="BH304" s="122" t="s">
        <v>4681</v>
      </c>
      <c r="BI304" s="142">
        <v>9</v>
      </c>
    </row>
    <row r="305" spans="1:65" x14ac:dyDescent="0.25">
      <c r="A305" s="122" t="s">
        <v>279</v>
      </c>
      <c r="B305" s="122" t="s">
        <v>15122</v>
      </c>
      <c r="C305" s="122" t="s">
        <v>15123</v>
      </c>
      <c r="D305" s="122" t="s">
        <v>15124</v>
      </c>
      <c r="E305" s="123">
        <v>42233</v>
      </c>
      <c r="F305" s="122" t="s">
        <v>3705</v>
      </c>
      <c r="G305" s="122" t="s">
        <v>235</v>
      </c>
      <c r="H305" s="122" t="s">
        <v>15125</v>
      </c>
      <c r="I305" s="122" t="s">
        <v>5108</v>
      </c>
      <c r="J305" s="122" t="s">
        <v>15126</v>
      </c>
      <c r="K305" s="122" t="s">
        <v>238</v>
      </c>
      <c r="L305" s="122" t="s">
        <v>371</v>
      </c>
      <c r="M305" s="122" t="s">
        <v>4763</v>
      </c>
      <c r="O305" s="141" t="s">
        <v>613</v>
      </c>
      <c r="P305" s="141" t="s">
        <v>15127</v>
      </c>
      <c r="Q305" s="122" t="s">
        <v>243</v>
      </c>
      <c r="R305" s="142">
        <v>10</v>
      </c>
      <c r="S305" s="122" t="s">
        <v>15128</v>
      </c>
      <c r="U305" s="122" t="s">
        <v>4681</v>
      </c>
      <c r="W305" s="122" t="s">
        <v>246</v>
      </c>
      <c r="X305" s="122" t="s">
        <v>278</v>
      </c>
      <c r="Y305" s="141" t="s">
        <v>1256</v>
      </c>
      <c r="Z305" s="122" t="s">
        <v>6745</v>
      </c>
      <c r="AA305" s="141" t="s">
        <v>2072</v>
      </c>
      <c r="AB305" s="122" t="s">
        <v>249</v>
      </c>
      <c r="AC305" s="141" t="s">
        <v>1090</v>
      </c>
      <c r="AD305" s="122" t="s">
        <v>15129</v>
      </c>
      <c r="AE305" s="122" t="s">
        <v>235</v>
      </c>
      <c r="AF305" s="122" t="s">
        <v>15130</v>
      </c>
      <c r="AG305" s="122" t="s">
        <v>537</v>
      </c>
      <c r="AH305" s="122" t="s">
        <v>253</v>
      </c>
      <c r="AI305" s="122" t="s">
        <v>15131</v>
      </c>
      <c r="AJ305" s="122" t="s">
        <v>15132</v>
      </c>
      <c r="AK305" s="122" t="s">
        <v>253</v>
      </c>
      <c r="AL305" s="122" t="s">
        <v>253</v>
      </c>
      <c r="AM305" s="122" t="s">
        <v>253</v>
      </c>
      <c r="AN305" s="122" t="s">
        <v>253</v>
      </c>
      <c r="AO305" s="141" t="s">
        <v>247</v>
      </c>
      <c r="AP305" s="141" t="s">
        <v>247</v>
      </c>
      <c r="AQ305" s="141" t="s">
        <v>247</v>
      </c>
      <c r="AR305" s="141" t="s">
        <v>253</v>
      </c>
      <c r="AS305" s="141" t="s">
        <v>601</v>
      </c>
      <c r="AT305" s="141" t="s">
        <v>601</v>
      </c>
      <c r="AU305" s="141" t="s">
        <v>258</v>
      </c>
      <c r="AV305" s="122" t="s">
        <v>259</v>
      </c>
      <c r="AW305" s="122" t="s">
        <v>260</v>
      </c>
      <c r="AX305" s="141" t="s">
        <v>15133</v>
      </c>
      <c r="AY305" s="122" t="s">
        <v>247</v>
      </c>
      <c r="AZ305" s="122" t="s">
        <v>15134</v>
      </c>
      <c r="BA305" s="122" t="s">
        <v>262</v>
      </c>
      <c r="BB305" s="122" t="s">
        <v>15135</v>
      </c>
      <c r="BC305" s="141" t="s">
        <v>312</v>
      </c>
      <c r="BD305" s="122" t="s">
        <v>253</v>
      </c>
      <c r="BE305" s="122" t="s">
        <v>263</v>
      </c>
      <c r="BF305" s="122" t="s">
        <v>4688</v>
      </c>
      <c r="BH305" s="122" t="s">
        <v>4681</v>
      </c>
      <c r="BI305" s="142">
        <v>10</v>
      </c>
    </row>
    <row r="306" spans="1:65" x14ac:dyDescent="0.25">
      <c r="A306" s="122" t="s">
        <v>326</v>
      </c>
      <c r="B306" s="122" t="s">
        <v>15136</v>
      </c>
      <c r="C306" s="122" t="s">
        <v>15137</v>
      </c>
      <c r="D306" s="122" t="s">
        <v>15138</v>
      </c>
      <c r="E306" s="123">
        <v>42233</v>
      </c>
      <c r="F306" s="122" t="s">
        <v>3773</v>
      </c>
      <c r="G306" s="122" t="s">
        <v>235</v>
      </c>
      <c r="H306" s="122" t="s">
        <v>15139</v>
      </c>
      <c r="I306" s="122" t="s">
        <v>15140</v>
      </c>
      <c r="K306" s="122" t="s">
        <v>238</v>
      </c>
      <c r="L306" s="122" t="s">
        <v>371</v>
      </c>
      <c r="M306" s="122" t="s">
        <v>5056</v>
      </c>
      <c r="Q306" s="122" t="s">
        <v>243</v>
      </c>
      <c r="R306" s="142">
        <v>11</v>
      </c>
      <c r="S306" s="122" t="s">
        <v>15141</v>
      </c>
      <c r="U306" s="122" t="s">
        <v>4681</v>
      </c>
      <c r="W306" s="122" t="s">
        <v>246</v>
      </c>
      <c r="X306" s="122" t="s">
        <v>3147</v>
      </c>
      <c r="Y306" s="141" t="s">
        <v>973</v>
      </c>
      <c r="Z306" s="122" t="s">
        <v>799</v>
      </c>
      <c r="AA306" s="141" t="s">
        <v>457</v>
      </c>
      <c r="AB306" s="122" t="s">
        <v>15142</v>
      </c>
      <c r="AC306" s="141" t="s">
        <v>281</v>
      </c>
      <c r="AD306" s="122" t="s">
        <v>15143</v>
      </c>
      <c r="AE306" s="122" t="s">
        <v>235</v>
      </c>
      <c r="AF306" s="122" t="s">
        <v>15144</v>
      </c>
      <c r="AG306" s="122" t="s">
        <v>12219</v>
      </c>
      <c r="AH306" s="122" t="s">
        <v>253</v>
      </c>
      <c r="AI306" s="122" t="s">
        <v>15145</v>
      </c>
      <c r="AJ306" s="122" t="s">
        <v>15146</v>
      </c>
      <c r="AK306" s="122" t="s">
        <v>253</v>
      </c>
      <c r="AL306" s="122" t="s">
        <v>253</v>
      </c>
      <c r="AM306" s="122" t="s">
        <v>253</v>
      </c>
      <c r="AN306" s="122" t="s">
        <v>253</v>
      </c>
      <c r="AO306" s="141" t="s">
        <v>247</v>
      </c>
      <c r="AP306" s="141" t="s">
        <v>253</v>
      </c>
      <c r="AQ306" s="141" t="s">
        <v>253</v>
      </c>
      <c r="AR306" s="141" t="s">
        <v>253</v>
      </c>
      <c r="AS306" s="141" t="s">
        <v>601</v>
      </c>
      <c r="AT306" s="141" t="s">
        <v>258</v>
      </c>
      <c r="AU306" s="141" t="s">
        <v>258</v>
      </c>
      <c r="AV306" s="122" t="s">
        <v>259</v>
      </c>
      <c r="AW306" s="122" t="s">
        <v>260</v>
      </c>
      <c r="AX306" s="141" t="s">
        <v>15147</v>
      </c>
      <c r="AY306" s="122" t="s">
        <v>247</v>
      </c>
      <c r="AZ306" s="122" t="s">
        <v>15148</v>
      </c>
      <c r="BA306" s="122" t="s">
        <v>262</v>
      </c>
      <c r="BB306" s="122" t="s">
        <v>15149</v>
      </c>
      <c r="BD306" s="122" t="s">
        <v>253</v>
      </c>
      <c r="BE306" s="122" t="s">
        <v>263</v>
      </c>
      <c r="BF306" s="122" t="s">
        <v>4688</v>
      </c>
      <c r="BH306" s="122" t="s">
        <v>4681</v>
      </c>
      <c r="BI306" s="142">
        <v>11</v>
      </c>
    </row>
    <row r="307" spans="1:65" x14ac:dyDescent="0.25">
      <c r="A307" s="122" t="s">
        <v>326</v>
      </c>
      <c r="B307" s="122" t="s">
        <v>15150</v>
      </c>
      <c r="C307" s="122" t="s">
        <v>15151</v>
      </c>
      <c r="D307" s="122" t="s">
        <v>15152</v>
      </c>
      <c r="E307" s="123">
        <v>42233</v>
      </c>
      <c r="F307" s="122" t="s">
        <v>624</v>
      </c>
      <c r="G307" s="122" t="s">
        <v>235</v>
      </c>
      <c r="H307" s="122" t="s">
        <v>15153</v>
      </c>
      <c r="I307" s="122" t="s">
        <v>15154</v>
      </c>
      <c r="J307" s="122" t="s">
        <v>15155</v>
      </c>
      <c r="K307" s="122" t="s">
        <v>238</v>
      </c>
      <c r="L307" s="122" t="s">
        <v>371</v>
      </c>
      <c r="M307" s="122" t="s">
        <v>10275</v>
      </c>
      <c r="O307" s="141" t="s">
        <v>2526</v>
      </c>
      <c r="P307" s="141" t="s">
        <v>15156</v>
      </c>
      <c r="Q307" s="122" t="s">
        <v>243</v>
      </c>
      <c r="R307" s="142">
        <v>12</v>
      </c>
      <c r="S307" s="122" t="s">
        <v>15157</v>
      </c>
      <c r="U307" s="122" t="s">
        <v>4681</v>
      </c>
      <c r="W307" s="122" t="s">
        <v>246</v>
      </c>
      <c r="X307" s="122" t="s">
        <v>1377</v>
      </c>
      <c r="Y307" s="141" t="s">
        <v>1039</v>
      </c>
      <c r="Z307" s="122" t="s">
        <v>15158</v>
      </c>
      <c r="AA307" s="141" t="s">
        <v>2072</v>
      </c>
      <c r="AB307" s="122" t="s">
        <v>3038</v>
      </c>
      <c r="AC307" s="141" t="s">
        <v>1969</v>
      </c>
      <c r="AD307" s="122" t="s">
        <v>10951</v>
      </c>
      <c r="AE307" s="122" t="s">
        <v>235</v>
      </c>
      <c r="AF307" s="122" t="s">
        <v>15159</v>
      </c>
      <c r="AG307" s="122" t="s">
        <v>537</v>
      </c>
      <c r="AH307" s="122" t="s">
        <v>253</v>
      </c>
      <c r="AI307" s="122" t="s">
        <v>8530</v>
      </c>
      <c r="AJ307" s="122" t="s">
        <v>9092</v>
      </c>
      <c r="AK307" s="122" t="s">
        <v>253</v>
      </c>
      <c r="AL307" s="122" t="s">
        <v>253</v>
      </c>
      <c r="AM307" s="122" t="s">
        <v>253</v>
      </c>
      <c r="AN307" s="122" t="s">
        <v>253</v>
      </c>
      <c r="AO307" s="141" t="s">
        <v>247</v>
      </c>
      <c r="AP307" s="141" t="s">
        <v>247</v>
      </c>
      <c r="AQ307" s="141" t="s">
        <v>253</v>
      </c>
      <c r="AR307" s="141" t="s">
        <v>253</v>
      </c>
      <c r="AS307" s="141" t="s">
        <v>601</v>
      </c>
      <c r="AT307" s="141" t="s">
        <v>258</v>
      </c>
      <c r="AU307" s="141" t="s">
        <v>258</v>
      </c>
      <c r="AV307" s="122" t="s">
        <v>259</v>
      </c>
      <c r="AW307" s="122" t="s">
        <v>260</v>
      </c>
      <c r="AY307" s="122" t="s">
        <v>253</v>
      </c>
      <c r="AZ307" s="122" t="s">
        <v>15160</v>
      </c>
      <c r="BA307" s="122" t="s">
        <v>262</v>
      </c>
      <c r="BB307" s="122" t="s">
        <v>262</v>
      </c>
      <c r="BD307" s="122" t="s">
        <v>253</v>
      </c>
      <c r="BE307" s="122" t="s">
        <v>263</v>
      </c>
      <c r="BF307" s="122" t="s">
        <v>4688</v>
      </c>
      <c r="BH307" s="122" t="s">
        <v>4681</v>
      </c>
      <c r="BI307" s="142">
        <v>12</v>
      </c>
    </row>
    <row r="308" spans="1:65" x14ac:dyDescent="0.25">
      <c r="A308" s="122" t="s">
        <v>11841</v>
      </c>
      <c r="B308" s="122" t="s">
        <v>15161</v>
      </c>
      <c r="C308" s="122" t="s">
        <v>15162</v>
      </c>
      <c r="D308" s="122" t="s">
        <v>15163</v>
      </c>
      <c r="E308" s="123">
        <v>42233</v>
      </c>
      <c r="F308" s="122" t="s">
        <v>2365</v>
      </c>
      <c r="G308" s="122" t="s">
        <v>235</v>
      </c>
      <c r="H308" s="122" t="s">
        <v>15164</v>
      </c>
      <c r="I308" s="122" t="s">
        <v>15165</v>
      </c>
      <c r="K308" s="122" t="s">
        <v>238</v>
      </c>
      <c r="L308" s="122" t="s">
        <v>371</v>
      </c>
      <c r="M308" s="122" t="s">
        <v>5320</v>
      </c>
      <c r="O308" s="141" t="s">
        <v>780</v>
      </c>
      <c r="P308" s="141" t="s">
        <v>15166</v>
      </c>
      <c r="Q308" s="122" t="s">
        <v>243</v>
      </c>
      <c r="R308" s="142">
        <v>13</v>
      </c>
      <c r="S308" s="122" t="s">
        <v>15167</v>
      </c>
      <c r="U308" s="122" t="s">
        <v>4681</v>
      </c>
      <c r="W308" s="122" t="s">
        <v>246</v>
      </c>
      <c r="X308" s="122" t="s">
        <v>1324</v>
      </c>
      <c r="Y308" s="141" t="s">
        <v>534</v>
      </c>
      <c r="Z308" s="122" t="s">
        <v>355</v>
      </c>
      <c r="AA308" s="141" t="s">
        <v>2010</v>
      </c>
      <c r="AB308" s="122" t="s">
        <v>518</v>
      </c>
      <c r="AC308" s="141" t="s">
        <v>670</v>
      </c>
      <c r="AD308" s="122" t="s">
        <v>518</v>
      </c>
      <c r="AE308" s="122" t="s">
        <v>235</v>
      </c>
      <c r="AF308" s="122" t="s">
        <v>15168</v>
      </c>
      <c r="AG308" s="122" t="s">
        <v>537</v>
      </c>
      <c r="AH308" s="122" t="s">
        <v>253</v>
      </c>
      <c r="AI308" s="122" t="s">
        <v>15169</v>
      </c>
      <c r="AJ308" s="122" t="s">
        <v>1331</v>
      </c>
      <c r="AK308" s="122" t="s">
        <v>253</v>
      </c>
      <c r="AL308" s="122" t="s">
        <v>253</v>
      </c>
      <c r="AM308" s="122" t="s">
        <v>253</v>
      </c>
      <c r="AN308" s="122" t="s">
        <v>253</v>
      </c>
      <c r="AO308" s="141" t="s">
        <v>247</v>
      </c>
      <c r="AP308" s="141" t="s">
        <v>247</v>
      </c>
      <c r="AQ308" s="141" t="s">
        <v>247</v>
      </c>
      <c r="AR308" s="141" t="s">
        <v>253</v>
      </c>
      <c r="AS308" s="141" t="s">
        <v>601</v>
      </c>
      <c r="AT308" s="141" t="s">
        <v>601</v>
      </c>
      <c r="AU308" s="141" t="s">
        <v>258</v>
      </c>
      <c r="AV308" s="122" t="s">
        <v>259</v>
      </c>
      <c r="AW308" s="122" t="s">
        <v>260</v>
      </c>
      <c r="AY308" s="122" t="s">
        <v>253</v>
      </c>
      <c r="AZ308" s="122" t="s">
        <v>15170</v>
      </c>
      <c r="BA308" s="122" t="s">
        <v>262</v>
      </c>
      <c r="BB308" s="122" t="s">
        <v>262</v>
      </c>
      <c r="BD308" s="122" t="s">
        <v>253</v>
      </c>
      <c r="BE308" s="122" t="s">
        <v>263</v>
      </c>
      <c r="BF308" s="122" t="s">
        <v>4688</v>
      </c>
      <c r="BH308" s="122" t="s">
        <v>4681</v>
      </c>
      <c r="BI308" s="142">
        <v>13</v>
      </c>
    </row>
    <row r="309" spans="1:65" x14ac:dyDescent="0.25">
      <c r="A309" s="122" t="s">
        <v>11841</v>
      </c>
      <c r="B309" s="122" t="s">
        <v>15171</v>
      </c>
      <c r="C309" s="122" t="s">
        <v>15172</v>
      </c>
      <c r="D309" s="122" t="s">
        <v>15173</v>
      </c>
      <c r="E309" s="123">
        <v>42233</v>
      </c>
      <c r="F309" s="122" t="s">
        <v>3520</v>
      </c>
      <c r="G309" s="122" t="s">
        <v>235</v>
      </c>
      <c r="H309" s="122" t="s">
        <v>15174</v>
      </c>
      <c r="I309" s="122" t="s">
        <v>15175</v>
      </c>
      <c r="K309" s="122" t="s">
        <v>238</v>
      </c>
      <c r="L309" s="122" t="s">
        <v>371</v>
      </c>
      <c r="M309" s="122" t="s">
        <v>5135</v>
      </c>
      <c r="O309" s="141" t="s">
        <v>2559</v>
      </c>
      <c r="P309" s="141" t="s">
        <v>15176</v>
      </c>
      <c r="Q309" s="122" t="s">
        <v>243</v>
      </c>
      <c r="R309" s="142">
        <v>14</v>
      </c>
      <c r="S309" s="122" t="s">
        <v>15177</v>
      </c>
      <c r="T309" s="122" t="s">
        <v>15178</v>
      </c>
      <c r="U309" s="122" t="s">
        <v>4681</v>
      </c>
      <c r="W309" s="122" t="s">
        <v>246</v>
      </c>
      <c r="X309" s="122" t="s">
        <v>1324</v>
      </c>
      <c r="Z309" s="122" t="s">
        <v>250</v>
      </c>
      <c r="AB309" s="122" t="s">
        <v>250</v>
      </c>
      <c r="AD309" s="122" t="s">
        <v>250</v>
      </c>
      <c r="AE309" s="122" t="s">
        <v>235</v>
      </c>
      <c r="AF309" s="122" t="s">
        <v>15179</v>
      </c>
      <c r="AG309" s="122" t="s">
        <v>15180</v>
      </c>
      <c r="AH309" s="122" t="s">
        <v>253</v>
      </c>
      <c r="AI309" s="122" t="s">
        <v>15181</v>
      </c>
      <c r="AJ309" s="122" t="s">
        <v>15182</v>
      </c>
      <c r="AK309" s="122" t="s">
        <v>253</v>
      </c>
      <c r="AL309" s="122" t="s">
        <v>253</v>
      </c>
      <c r="AM309" s="122" t="s">
        <v>253</v>
      </c>
      <c r="AN309" s="122" t="s">
        <v>253</v>
      </c>
      <c r="AO309" s="141" t="s">
        <v>247</v>
      </c>
      <c r="AP309" s="141" t="s">
        <v>247</v>
      </c>
      <c r="AQ309" s="141" t="s">
        <v>247</v>
      </c>
      <c r="AR309" s="141" t="s">
        <v>253</v>
      </c>
      <c r="AS309" s="141" t="s">
        <v>601</v>
      </c>
      <c r="AT309" s="141" t="s">
        <v>601</v>
      </c>
      <c r="AU309" s="141" t="s">
        <v>258</v>
      </c>
      <c r="AV309" s="122" t="s">
        <v>259</v>
      </c>
      <c r="AW309" s="122" t="s">
        <v>260</v>
      </c>
      <c r="AY309" s="122" t="s">
        <v>253</v>
      </c>
      <c r="AZ309" s="122" t="s">
        <v>15183</v>
      </c>
      <c r="BA309" s="122" t="s">
        <v>262</v>
      </c>
      <c r="BB309" s="122" t="s">
        <v>262</v>
      </c>
      <c r="BD309" s="122" t="s">
        <v>253</v>
      </c>
      <c r="BE309" s="122" t="s">
        <v>263</v>
      </c>
      <c r="BF309" s="122" t="s">
        <v>4688</v>
      </c>
      <c r="BH309" s="122" t="s">
        <v>4681</v>
      </c>
      <c r="BI309" s="142">
        <v>14</v>
      </c>
    </row>
    <row r="310" spans="1:65" x14ac:dyDescent="0.25">
      <c r="A310" s="122" t="s">
        <v>11841</v>
      </c>
      <c r="B310" s="122" t="s">
        <v>15184</v>
      </c>
      <c r="C310" s="122" t="s">
        <v>15185</v>
      </c>
      <c r="D310" s="122" t="s">
        <v>15186</v>
      </c>
      <c r="E310" s="123">
        <v>42233</v>
      </c>
      <c r="F310" s="122" t="s">
        <v>3863</v>
      </c>
      <c r="G310" s="122" t="s">
        <v>235</v>
      </c>
      <c r="H310" s="122" t="s">
        <v>15187</v>
      </c>
      <c r="I310" s="122" t="s">
        <v>15188</v>
      </c>
      <c r="K310" s="122" t="s">
        <v>238</v>
      </c>
      <c r="L310" s="122" t="s">
        <v>371</v>
      </c>
      <c r="M310" s="122" t="s">
        <v>10275</v>
      </c>
      <c r="O310" s="141" t="s">
        <v>15189</v>
      </c>
      <c r="P310" s="141" t="s">
        <v>15190</v>
      </c>
      <c r="Q310" s="122" t="s">
        <v>243</v>
      </c>
      <c r="R310" s="142">
        <v>15</v>
      </c>
      <c r="S310" s="122" t="s">
        <v>15191</v>
      </c>
      <c r="T310" s="122" t="s">
        <v>15192</v>
      </c>
      <c r="U310" s="122" t="s">
        <v>4681</v>
      </c>
      <c r="W310" s="122" t="s">
        <v>246</v>
      </c>
      <c r="X310" s="122" t="s">
        <v>1225</v>
      </c>
      <c r="Y310" s="141" t="s">
        <v>973</v>
      </c>
      <c r="Z310" s="122" t="s">
        <v>395</v>
      </c>
      <c r="AA310" s="141" t="s">
        <v>1421</v>
      </c>
      <c r="AB310" s="122" t="s">
        <v>15193</v>
      </c>
      <c r="AC310" s="141" t="s">
        <v>1778</v>
      </c>
      <c r="AD310" s="122" t="s">
        <v>15193</v>
      </c>
      <c r="AE310" s="122" t="s">
        <v>235</v>
      </c>
      <c r="AF310" s="122" t="s">
        <v>15194</v>
      </c>
      <c r="AG310" s="122" t="s">
        <v>537</v>
      </c>
      <c r="AH310" s="122" t="s">
        <v>253</v>
      </c>
      <c r="AI310" s="122" t="s">
        <v>15195</v>
      </c>
      <c r="AJ310" s="122" t="s">
        <v>15196</v>
      </c>
      <c r="AK310" s="122" t="s">
        <v>15197</v>
      </c>
      <c r="AL310" s="122" t="s">
        <v>253</v>
      </c>
      <c r="AM310" s="122" t="s">
        <v>253</v>
      </c>
      <c r="AN310" s="122" t="s">
        <v>253</v>
      </c>
      <c r="AO310" s="141" t="s">
        <v>253</v>
      </c>
      <c r="AP310" s="141" t="s">
        <v>253</v>
      </c>
      <c r="AQ310" s="141" t="s">
        <v>247</v>
      </c>
      <c r="AR310" s="141" t="s">
        <v>253</v>
      </c>
      <c r="AS310" s="141" t="s">
        <v>361</v>
      </c>
      <c r="AT310" s="141" t="s">
        <v>601</v>
      </c>
      <c r="AU310" s="141" t="s">
        <v>258</v>
      </c>
      <c r="AV310" s="122" t="s">
        <v>259</v>
      </c>
      <c r="AW310" s="122" t="s">
        <v>260</v>
      </c>
      <c r="AY310" s="122" t="s">
        <v>253</v>
      </c>
      <c r="AZ310" s="122" t="s">
        <v>15198</v>
      </c>
      <c r="BA310" s="122" t="s">
        <v>262</v>
      </c>
      <c r="BB310" s="122" t="s">
        <v>262</v>
      </c>
      <c r="BC310" s="141" t="s">
        <v>312</v>
      </c>
      <c r="BD310" s="122" t="s">
        <v>253</v>
      </c>
      <c r="BE310" s="122" t="s">
        <v>263</v>
      </c>
      <c r="BF310" s="122" t="s">
        <v>4688</v>
      </c>
      <c r="BH310" s="122" t="s">
        <v>4681</v>
      </c>
      <c r="BI310" s="142">
        <v>15</v>
      </c>
    </row>
    <row r="311" spans="1:65" x14ac:dyDescent="0.25">
      <c r="A311" s="122" t="s">
        <v>11841</v>
      </c>
      <c r="B311" s="122" t="s">
        <v>15199</v>
      </c>
      <c r="C311" s="122" t="s">
        <v>15200</v>
      </c>
      <c r="D311" s="122" t="s">
        <v>15201</v>
      </c>
      <c r="E311" s="123">
        <v>42233</v>
      </c>
      <c r="F311" s="122" t="s">
        <v>15202</v>
      </c>
      <c r="G311" s="122" t="s">
        <v>235</v>
      </c>
      <c r="H311" s="122" t="s">
        <v>15203</v>
      </c>
      <c r="I311" s="122" t="s">
        <v>5108</v>
      </c>
      <c r="J311" s="122" t="s">
        <v>15204</v>
      </c>
      <c r="K311" s="122" t="s">
        <v>238</v>
      </c>
      <c r="L311" s="122" t="s">
        <v>371</v>
      </c>
      <c r="M311" s="122" t="s">
        <v>4763</v>
      </c>
      <c r="O311" s="141" t="s">
        <v>299</v>
      </c>
      <c r="P311" s="141" t="s">
        <v>15205</v>
      </c>
      <c r="Q311" s="122" t="s">
        <v>243</v>
      </c>
      <c r="R311" s="142">
        <v>16</v>
      </c>
      <c r="S311" s="122" t="s">
        <v>15206</v>
      </c>
      <c r="U311" s="122" t="s">
        <v>4681</v>
      </c>
      <c r="W311" s="122" t="s">
        <v>246</v>
      </c>
      <c r="X311" s="122" t="s">
        <v>853</v>
      </c>
      <c r="Y311" s="141" t="s">
        <v>3039</v>
      </c>
      <c r="Z311" s="122" t="s">
        <v>15207</v>
      </c>
      <c r="AA311" s="141" t="s">
        <v>2010</v>
      </c>
      <c r="AB311" s="122" t="s">
        <v>15208</v>
      </c>
      <c r="AC311" s="141" t="s">
        <v>1423</v>
      </c>
      <c r="AD311" s="122" t="s">
        <v>919</v>
      </c>
      <c r="AE311" s="122" t="s">
        <v>235</v>
      </c>
      <c r="AF311" s="122" t="s">
        <v>15209</v>
      </c>
      <c r="AG311" s="122" t="s">
        <v>253</v>
      </c>
      <c r="AH311" s="122" t="s">
        <v>253</v>
      </c>
      <c r="AI311" s="122" t="s">
        <v>15210</v>
      </c>
      <c r="AJ311" s="122" t="s">
        <v>15211</v>
      </c>
      <c r="AK311" s="122" t="s">
        <v>15212</v>
      </c>
      <c r="AL311" s="122" t="s">
        <v>253</v>
      </c>
      <c r="AM311" s="122" t="s">
        <v>253</v>
      </c>
      <c r="AN311" s="122" t="s">
        <v>253</v>
      </c>
      <c r="AO311" s="141" t="s">
        <v>247</v>
      </c>
      <c r="AP311" s="141" t="s">
        <v>247</v>
      </c>
      <c r="AQ311" s="141" t="s">
        <v>247</v>
      </c>
      <c r="AR311" s="141" t="s">
        <v>247</v>
      </c>
      <c r="AS311" s="141" t="s">
        <v>601</v>
      </c>
      <c r="AT311" s="141" t="s">
        <v>601</v>
      </c>
      <c r="AU311" s="141" t="s">
        <v>257</v>
      </c>
      <c r="AV311" s="122" t="s">
        <v>259</v>
      </c>
      <c r="AW311" s="122" t="s">
        <v>260</v>
      </c>
      <c r="AX311" s="141" t="s">
        <v>15213</v>
      </c>
      <c r="AY311" s="122" t="s">
        <v>603</v>
      </c>
      <c r="AZ311" s="122" t="s">
        <v>15214</v>
      </c>
      <c r="BA311" s="122" t="s">
        <v>262</v>
      </c>
      <c r="BB311" s="122" t="s">
        <v>15214</v>
      </c>
      <c r="BC311" s="141" t="s">
        <v>312</v>
      </c>
      <c r="BD311" s="122" t="s">
        <v>253</v>
      </c>
      <c r="BE311" s="122" t="s">
        <v>263</v>
      </c>
      <c r="BF311" s="122" t="s">
        <v>4688</v>
      </c>
      <c r="BH311" s="122" t="s">
        <v>4681</v>
      </c>
      <c r="BI311" s="142">
        <v>16</v>
      </c>
      <c r="BJ311" s="123">
        <v>42235</v>
      </c>
      <c r="BK311" s="139" t="s">
        <v>264</v>
      </c>
      <c r="BL311" s="140">
        <v>383.87</v>
      </c>
      <c r="BM311" s="122">
        <v>34</v>
      </c>
    </row>
    <row r="312" spans="1:65" x14ac:dyDescent="0.25">
      <c r="A312" s="122" t="s">
        <v>11841</v>
      </c>
      <c r="B312" s="122" t="s">
        <v>15215</v>
      </c>
      <c r="C312" s="122" t="s">
        <v>15216</v>
      </c>
      <c r="D312" s="122" t="s">
        <v>15217</v>
      </c>
      <c r="E312" s="123">
        <v>42233</v>
      </c>
      <c r="F312" s="122" t="s">
        <v>248</v>
      </c>
      <c r="G312" s="122" t="s">
        <v>235</v>
      </c>
      <c r="H312" s="122" t="s">
        <v>15218</v>
      </c>
      <c r="I312" s="122" t="s">
        <v>5108</v>
      </c>
      <c r="J312" s="122" t="s">
        <v>15219</v>
      </c>
      <c r="K312" s="122" t="s">
        <v>238</v>
      </c>
      <c r="L312" s="122" t="s">
        <v>371</v>
      </c>
      <c r="M312" s="122" t="s">
        <v>4763</v>
      </c>
      <c r="O312" s="141" t="s">
        <v>451</v>
      </c>
      <c r="P312" s="141" t="s">
        <v>15220</v>
      </c>
      <c r="Q312" s="122" t="s">
        <v>243</v>
      </c>
      <c r="R312" s="142">
        <v>17</v>
      </c>
      <c r="S312" s="122" t="s">
        <v>15221</v>
      </c>
      <c r="U312" s="122" t="s">
        <v>4681</v>
      </c>
      <c r="W312" s="122" t="s">
        <v>246</v>
      </c>
      <c r="X312" s="122" t="s">
        <v>590</v>
      </c>
      <c r="Z312" s="122" t="s">
        <v>250</v>
      </c>
      <c r="AB312" s="122" t="s">
        <v>250</v>
      </c>
      <c r="AD312" s="122" t="s">
        <v>250</v>
      </c>
      <c r="AE312" s="122" t="s">
        <v>235</v>
      </c>
      <c r="AF312" s="122" t="s">
        <v>15222</v>
      </c>
      <c r="AG312" s="122" t="s">
        <v>253</v>
      </c>
      <c r="AH312" s="122" t="s">
        <v>253</v>
      </c>
      <c r="AI312" s="122" t="s">
        <v>15223</v>
      </c>
      <c r="AJ312" s="122" t="s">
        <v>15224</v>
      </c>
      <c r="AK312" s="122" t="s">
        <v>15225</v>
      </c>
      <c r="AL312" s="122" t="s">
        <v>253</v>
      </c>
      <c r="AM312" s="122" t="s">
        <v>253</v>
      </c>
      <c r="AN312" s="122" t="s">
        <v>253</v>
      </c>
      <c r="AO312" s="141" t="s">
        <v>247</v>
      </c>
      <c r="AP312" s="141" t="s">
        <v>247</v>
      </c>
      <c r="AQ312" s="141" t="s">
        <v>247</v>
      </c>
      <c r="AR312" s="141" t="s">
        <v>247</v>
      </c>
      <c r="AS312" s="141" t="s">
        <v>601</v>
      </c>
      <c r="AT312" s="141" t="s">
        <v>601</v>
      </c>
      <c r="AU312" s="141" t="s">
        <v>257</v>
      </c>
      <c r="AV312" s="122" t="s">
        <v>259</v>
      </c>
      <c r="AW312" s="122" t="s">
        <v>260</v>
      </c>
      <c r="AY312" s="122" t="s">
        <v>253</v>
      </c>
      <c r="AZ312" s="122" t="s">
        <v>15226</v>
      </c>
      <c r="BA312" s="122" t="s">
        <v>262</v>
      </c>
      <c r="BB312" s="122" t="s">
        <v>262</v>
      </c>
      <c r="BD312" s="122" t="s">
        <v>253</v>
      </c>
      <c r="BE312" s="122" t="s">
        <v>263</v>
      </c>
      <c r="BF312" s="122" t="s">
        <v>4688</v>
      </c>
      <c r="BH312" s="122" t="s">
        <v>4681</v>
      </c>
      <c r="BI312" s="142">
        <v>17</v>
      </c>
    </row>
    <row r="313" spans="1:65" x14ac:dyDescent="0.25">
      <c r="A313" s="122" t="s">
        <v>9031</v>
      </c>
      <c r="B313" s="122" t="s">
        <v>15227</v>
      </c>
      <c r="C313" s="122" t="s">
        <v>15228</v>
      </c>
      <c r="D313" s="122" t="s">
        <v>15229</v>
      </c>
      <c r="E313" s="123">
        <v>42233</v>
      </c>
      <c r="F313" s="122" t="s">
        <v>958</v>
      </c>
      <c r="G313" s="122" t="s">
        <v>235</v>
      </c>
      <c r="H313" s="122" t="s">
        <v>15230</v>
      </c>
      <c r="I313" s="122" t="s">
        <v>15231</v>
      </c>
      <c r="K313" s="122" t="s">
        <v>238</v>
      </c>
      <c r="L313" s="122" t="s">
        <v>371</v>
      </c>
      <c r="M313" s="122" t="s">
        <v>13884</v>
      </c>
      <c r="O313" s="141" t="s">
        <v>566</v>
      </c>
      <c r="P313" s="141" t="s">
        <v>15232</v>
      </c>
      <c r="Q313" s="122" t="s">
        <v>243</v>
      </c>
      <c r="R313" s="142">
        <v>18</v>
      </c>
      <c r="S313" s="122" t="s">
        <v>15233</v>
      </c>
      <c r="U313" s="122" t="s">
        <v>4681</v>
      </c>
      <c r="W313" s="122" t="s">
        <v>246</v>
      </c>
      <c r="X313" s="122" t="s">
        <v>1377</v>
      </c>
      <c r="Y313" s="141" t="s">
        <v>535</v>
      </c>
      <c r="Z313" s="122" t="s">
        <v>518</v>
      </c>
      <c r="AB313" s="122" t="s">
        <v>250</v>
      </c>
      <c r="AD313" s="122" t="s">
        <v>250</v>
      </c>
      <c r="AE313" s="122" t="s">
        <v>235</v>
      </c>
      <c r="AF313" s="122" t="s">
        <v>15234</v>
      </c>
      <c r="AG313" s="122" t="s">
        <v>537</v>
      </c>
      <c r="AH313" s="122" t="s">
        <v>253</v>
      </c>
      <c r="AI313" s="122" t="s">
        <v>15235</v>
      </c>
      <c r="AJ313" s="122" t="s">
        <v>15236</v>
      </c>
      <c r="AK313" s="122" t="s">
        <v>253</v>
      </c>
      <c r="AL313" s="122" t="s">
        <v>253</v>
      </c>
      <c r="AM313" s="122" t="s">
        <v>253</v>
      </c>
      <c r="AN313" s="122" t="s">
        <v>253</v>
      </c>
      <c r="AO313" s="141" t="s">
        <v>247</v>
      </c>
      <c r="AP313" s="141" t="s">
        <v>247</v>
      </c>
      <c r="AQ313" s="141" t="s">
        <v>247</v>
      </c>
      <c r="AR313" s="141" t="s">
        <v>253</v>
      </c>
      <c r="AS313" s="141" t="s">
        <v>601</v>
      </c>
      <c r="AT313" s="141" t="s">
        <v>601</v>
      </c>
      <c r="AU313" s="141" t="s">
        <v>258</v>
      </c>
      <c r="AV313" s="122" t="s">
        <v>259</v>
      </c>
      <c r="AW313" s="122" t="s">
        <v>260</v>
      </c>
      <c r="AY313" s="122" t="s">
        <v>253</v>
      </c>
      <c r="AZ313" s="122" t="s">
        <v>15237</v>
      </c>
      <c r="BA313" s="122" t="s">
        <v>262</v>
      </c>
      <c r="BB313" s="122" t="s">
        <v>262</v>
      </c>
      <c r="BD313" s="122" t="s">
        <v>253</v>
      </c>
      <c r="BE313" s="122" t="s">
        <v>263</v>
      </c>
      <c r="BF313" s="122" t="s">
        <v>4688</v>
      </c>
      <c r="BH313" s="122" t="s">
        <v>4681</v>
      </c>
      <c r="BI313" s="142">
        <v>18</v>
      </c>
    </row>
    <row r="314" spans="1:65" x14ac:dyDescent="0.25">
      <c r="A314" s="122" t="s">
        <v>9031</v>
      </c>
      <c r="B314" s="122" t="s">
        <v>15238</v>
      </c>
      <c r="C314" s="122" t="s">
        <v>15239</v>
      </c>
      <c r="D314" s="122" t="s">
        <v>15240</v>
      </c>
      <c r="E314" s="123">
        <v>42233</v>
      </c>
      <c r="F314" s="122" t="s">
        <v>417</v>
      </c>
      <c r="G314" s="122" t="s">
        <v>235</v>
      </c>
      <c r="H314" s="122" t="s">
        <v>448</v>
      </c>
      <c r="I314" s="122" t="s">
        <v>15241</v>
      </c>
      <c r="J314" s="122" t="s">
        <v>564</v>
      </c>
      <c r="K314" s="122" t="s">
        <v>238</v>
      </c>
      <c r="L314" s="122" t="s">
        <v>371</v>
      </c>
      <c r="M314" s="122" t="s">
        <v>5135</v>
      </c>
      <c r="O314" s="141" t="s">
        <v>566</v>
      </c>
      <c r="P314" s="141" t="s">
        <v>15242</v>
      </c>
      <c r="Q314" s="122" t="s">
        <v>243</v>
      </c>
      <c r="R314" s="142">
        <v>19</v>
      </c>
      <c r="S314" s="122" t="s">
        <v>15243</v>
      </c>
      <c r="U314" s="122" t="s">
        <v>4681</v>
      </c>
      <c r="W314" s="122" t="s">
        <v>246</v>
      </c>
      <c r="X314" s="122" t="s">
        <v>4409</v>
      </c>
      <c r="Z314" s="122" t="s">
        <v>250</v>
      </c>
      <c r="AB314" s="122" t="s">
        <v>250</v>
      </c>
      <c r="AD314" s="122" t="s">
        <v>250</v>
      </c>
      <c r="AE314" s="122" t="s">
        <v>235</v>
      </c>
      <c r="AF314" s="122" t="s">
        <v>15244</v>
      </c>
      <c r="AG314" s="122" t="s">
        <v>537</v>
      </c>
      <c r="AH314" s="122" t="s">
        <v>1214</v>
      </c>
      <c r="AI314" s="122" t="s">
        <v>5347</v>
      </c>
      <c r="AJ314" s="122" t="s">
        <v>15245</v>
      </c>
      <c r="AK314" s="122" t="s">
        <v>15246</v>
      </c>
      <c r="AL314" s="122" t="s">
        <v>253</v>
      </c>
      <c r="AM314" s="122" t="s">
        <v>253</v>
      </c>
      <c r="AN314" s="122" t="s">
        <v>253</v>
      </c>
      <c r="AO314" s="141" t="s">
        <v>247</v>
      </c>
      <c r="AP314" s="141" t="s">
        <v>247</v>
      </c>
      <c r="AQ314" s="141" t="s">
        <v>247</v>
      </c>
      <c r="AR314" s="141" t="s">
        <v>247</v>
      </c>
      <c r="AS314" s="141" t="s">
        <v>601</v>
      </c>
      <c r="AT314" s="141" t="s">
        <v>601</v>
      </c>
      <c r="AU314" s="141" t="s">
        <v>601</v>
      </c>
      <c r="AV314" s="122" t="s">
        <v>259</v>
      </c>
      <c r="AW314" s="122" t="s">
        <v>260</v>
      </c>
      <c r="AY314" s="122" t="s">
        <v>253</v>
      </c>
      <c r="AZ314" s="122" t="s">
        <v>262</v>
      </c>
      <c r="BA314" s="122" t="s">
        <v>262</v>
      </c>
      <c r="BB314" s="122" t="s">
        <v>15247</v>
      </c>
      <c r="BD314" s="122" t="s">
        <v>253</v>
      </c>
      <c r="BE314" s="122" t="s">
        <v>263</v>
      </c>
      <c r="BF314" s="122" t="s">
        <v>4688</v>
      </c>
      <c r="BH314" s="122" t="s">
        <v>4681</v>
      </c>
      <c r="BI314" s="142">
        <v>19</v>
      </c>
    </row>
    <row r="315" spans="1:65" x14ac:dyDescent="0.25">
      <c r="A315" s="122" t="s">
        <v>11880</v>
      </c>
      <c r="B315" s="122" t="s">
        <v>15248</v>
      </c>
      <c r="C315" s="122" t="s">
        <v>15249</v>
      </c>
      <c r="D315" s="122" t="s">
        <v>15250</v>
      </c>
      <c r="E315" s="123">
        <v>42233</v>
      </c>
      <c r="F315" s="122" t="s">
        <v>833</v>
      </c>
      <c r="G315" s="122" t="s">
        <v>235</v>
      </c>
      <c r="H315" s="122" t="s">
        <v>15251</v>
      </c>
      <c r="I315" s="122" t="s">
        <v>4879</v>
      </c>
      <c r="J315" s="122" t="s">
        <v>2116</v>
      </c>
      <c r="K315" s="122" t="s">
        <v>238</v>
      </c>
      <c r="L315" s="122" t="s">
        <v>371</v>
      </c>
      <c r="M315" s="122" t="s">
        <v>4880</v>
      </c>
      <c r="O315" s="141" t="s">
        <v>566</v>
      </c>
      <c r="P315" s="141" t="s">
        <v>15252</v>
      </c>
      <c r="Q315" s="122" t="s">
        <v>243</v>
      </c>
      <c r="R315" s="142">
        <v>20</v>
      </c>
      <c r="S315" s="122" t="s">
        <v>15253</v>
      </c>
      <c r="U315" s="122" t="s">
        <v>4681</v>
      </c>
      <c r="W315" s="122" t="s">
        <v>246</v>
      </c>
      <c r="X315" s="122" t="s">
        <v>2624</v>
      </c>
      <c r="Y315" s="141" t="s">
        <v>2717</v>
      </c>
      <c r="Z315" s="122" t="s">
        <v>518</v>
      </c>
      <c r="AB315" s="122" t="s">
        <v>250</v>
      </c>
      <c r="AD315" s="122" t="s">
        <v>250</v>
      </c>
      <c r="AE315" s="122" t="s">
        <v>235</v>
      </c>
      <c r="AF315" s="122" t="s">
        <v>15254</v>
      </c>
      <c r="AG315" s="122" t="s">
        <v>253</v>
      </c>
      <c r="AH315" s="122" t="s">
        <v>5913</v>
      </c>
      <c r="AI315" s="122" t="s">
        <v>15255</v>
      </c>
      <c r="AJ315" s="122" t="s">
        <v>15256</v>
      </c>
      <c r="AK315" s="122" t="s">
        <v>15257</v>
      </c>
      <c r="AL315" s="122" t="s">
        <v>253</v>
      </c>
      <c r="AM315" s="122" t="s">
        <v>253</v>
      </c>
      <c r="AN315" s="122" t="s">
        <v>253</v>
      </c>
      <c r="AO315" s="141" t="s">
        <v>247</v>
      </c>
      <c r="AP315" s="141" t="s">
        <v>247</v>
      </c>
      <c r="AQ315" s="141" t="s">
        <v>247</v>
      </c>
      <c r="AR315" s="141" t="s">
        <v>247</v>
      </c>
      <c r="AS315" s="141" t="s">
        <v>601</v>
      </c>
      <c r="AT315" s="141" t="s">
        <v>601</v>
      </c>
      <c r="AU315" s="141" t="s">
        <v>257</v>
      </c>
      <c r="AV315" s="122" t="s">
        <v>259</v>
      </c>
      <c r="AW315" s="122" t="s">
        <v>260</v>
      </c>
      <c r="AY315" s="122" t="s">
        <v>253</v>
      </c>
      <c r="AZ315" s="122" t="s">
        <v>15258</v>
      </c>
      <c r="BA315" s="122" t="s">
        <v>262</v>
      </c>
      <c r="BB315" s="122" t="s">
        <v>262</v>
      </c>
      <c r="BD315" s="122" t="s">
        <v>253</v>
      </c>
      <c r="BE315" s="122" t="s">
        <v>263</v>
      </c>
      <c r="BF315" s="122" t="s">
        <v>4688</v>
      </c>
      <c r="BH315" s="122" t="s">
        <v>4681</v>
      </c>
      <c r="BI315" s="142">
        <v>20</v>
      </c>
    </row>
    <row r="316" spans="1:65" x14ac:dyDescent="0.25">
      <c r="A316" s="122" t="s">
        <v>11880</v>
      </c>
      <c r="B316" s="122" t="s">
        <v>15259</v>
      </c>
      <c r="C316" s="122" t="s">
        <v>15260</v>
      </c>
      <c r="D316" s="122" t="s">
        <v>15261</v>
      </c>
      <c r="E316" s="123">
        <v>42233</v>
      </c>
      <c r="F316" s="122" t="s">
        <v>920</v>
      </c>
      <c r="G316" s="122" t="s">
        <v>235</v>
      </c>
      <c r="H316" s="122" t="s">
        <v>15262</v>
      </c>
      <c r="I316" s="122" t="s">
        <v>15263</v>
      </c>
      <c r="K316" s="122" t="s">
        <v>238</v>
      </c>
      <c r="L316" s="122" t="s">
        <v>371</v>
      </c>
      <c r="M316" s="122" t="s">
        <v>5135</v>
      </c>
      <c r="N316" s="122" t="s">
        <v>10150</v>
      </c>
      <c r="Q316" s="122" t="s">
        <v>243</v>
      </c>
      <c r="R316" s="142">
        <v>21</v>
      </c>
      <c r="S316" s="122" t="s">
        <v>15264</v>
      </c>
      <c r="U316" s="122" t="s">
        <v>4681</v>
      </c>
      <c r="W316" s="122" t="s">
        <v>246</v>
      </c>
      <c r="X316" s="122" t="s">
        <v>1225</v>
      </c>
      <c r="Y316" s="141" t="s">
        <v>4229</v>
      </c>
      <c r="Z316" s="122" t="s">
        <v>15265</v>
      </c>
      <c r="AA316" s="141" t="s">
        <v>3574</v>
      </c>
      <c r="AB316" s="122" t="s">
        <v>15266</v>
      </c>
      <c r="AD316" s="122" t="s">
        <v>250</v>
      </c>
      <c r="AE316" s="122" t="s">
        <v>235</v>
      </c>
      <c r="AF316" s="122" t="s">
        <v>15267</v>
      </c>
      <c r="AG316" s="122" t="s">
        <v>537</v>
      </c>
      <c r="AH316" s="122" t="s">
        <v>253</v>
      </c>
      <c r="AI316" s="122" t="s">
        <v>1715</v>
      </c>
      <c r="AJ316" s="122" t="s">
        <v>15268</v>
      </c>
      <c r="AK316" s="122" t="s">
        <v>253</v>
      </c>
      <c r="AL316" s="122" t="s">
        <v>253</v>
      </c>
      <c r="AM316" s="122" t="s">
        <v>253</v>
      </c>
      <c r="AN316" s="122" t="s">
        <v>253</v>
      </c>
      <c r="AO316" s="141" t="s">
        <v>247</v>
      </c>
      <c r="AP316" s="141" t="s">
        <v>253</v>
      </c>
      <c r="AQ316" s="141" t="s">
        <v>253</v>
      </c>
      <c r="AR316" s="141" t="s">
        <v>253</v>
      </c>
      <c r="AS316" s="141" t="s">
        <v>601</v>
      </c>
      <c r="AT316" s="141" t="s">
        <v>258</v>
      </c>
      <c r="AU316" s="141" t="s">
        <v>258</v>
      </c>
      <c r="AV316" s="122" t="s">
        <v>259</v>
      </c>
      <c r="AW316" s="122" t="s">
        <v>260</v>
      </c>
      <c r="AY316" s="122" t="s">
        <v>253</v>
      </c>
      <c r="AZ316" s="122" t="s">
        <v>15269</v>
      </c>
      <c r="BA316" s="122" t="s">
        <v>262</v>
      </c>
      <c r="BB316" s="122" t="s">
        <v>262</v>
      </c>
      <c r="BD316" s="122" t="s">
        <v>253</v>
      </c>
      <c r="BE316" s="122" t="s">
        <v>263</v>
      </c>
      <c r="BF316" s="122" t="s">
        <v>4688</v>
      </c>
      <c r="BH316" s="122" t="s">
        <v>4681</v>
      </c>
      <c r="BI316" s="142">
        <v>21</v>
      </c>
      <c r="BJ316" s="123">
        <v>42236</v>
      </c>
      <c r="BK316" s="139" t="s">
        <v>264</v>
      </c>
      <c r="BL316" s="140">
        <v>90</v>
      </c>
      <c r="BM316" s="122">
        <v>34</v>
      </c>
    </row>
    <row r="317" spans="1:65" x14ac:dyDescent="0.25">
      <c r="A317" s="122" t="s">
        <v>9904</v>
      </c>
      <c r="B317" s="122" t="s">
        <v>15270</v>
      </c>
      <c r="C317" s="122" t="s">
        <v>15271</v>
      </c>
      <c r="D317" s="122" t="s">
        <v>15272</v>
      </c>
      <c r="E317" s="123">
        <v>42233</v>
      </c>
      <c r="F317" s="122" t="s">
        <v>417</v>
      </c>
      <c r="G317" s="122" t="s">
        <v>235</v>
      </c>
      <c r="H317" s="122" t="s">
        <v>15273</v>
      </c>
      <c r="I317" s="122" t="s">
        <v>15274</v>
      </c>
      <c r="K317" s="122" t="s">
        <v>238</v>
      </c>
      <c r="L317" s="122" t="s">
        <v>371</v>
      </c>
      <c r="M317" s="122" t="s">
        <v>5149</v>
      </c>
      <c r="N317" s="122" t="s">
        <v>15275</v>
      </c>
      <c r="O317" s="141" t="s">
        <v>273</v>
      </c>
      <c r="P317" s="141" t="s">
        <v>15276</v>
      </c>
      <c r="Q317" s="122" t="s">
        <v>243</v>
      </c>
      <c r="R317" s="142">
        <v>22</v>
      </c>
      <c r="S317" s="122" t="s">
        <v>15277</v>
      </c>
      <c r="U317" s="122" t="s">
        <v>4681</v>
      </c>
      <c r="W317" s="122" t="s">
        <v>246</v>
      </c>
      <c r="X317" s="122" t="s">
        <v>4409</v>
      </c>
      <c r="Y317" s="141" t="s">
        <v>279</v>
      </c>
      <c r="Z317" s="122" t="s">
        <v>15278</v>
      </c>
      <c r="AA317" s="141" t="s">
        <v>595</v>
      </c>
      <c r="AB317" s="122" t="s">
        <v>15279</v>
      </c>
      <c r="AD317" s="122" t="s">
        <v>250</v>
      </c>
      <c r="AE317" s="122" t="s">
        <v>235</v>
      </c>
      <c r="AF317" s="122" t="s">
        <v>1532</v>
      </c>
      <c r="AG317" s="122" t="s">
        <v>537</v>
      </c>
      <c r="AH317" s="122" t="s">
        <v>253</v>
      </c>
      <c r="AI317" s="122" t="s">
        <v>6261</v>
      </c>
      <c r="AJ317" s="122" t="s">
        <v>15280</v>
      </c>
      <c r="AK317" s="122" t="s">
        <v>253</v>
      </c>
      <c r="AL317" s="122" t="s">
        <v>253</v>
      </c>
      <c r="AM317" s="122" t="s">
        <v>253</v>
      </c>
      <c r="AN317" s="122" t="s">
        <v>253</v>
      </c>
      <c r="AO317" s="141" t="s">
        <v>247</v>
      </c>
      <c r="AP317" s="141" t="s">
        <v>247</v>
      </c>
      <c r="AQ317" s="141" t="s">
        <v>247</v>
      </c>
      <c r="AR317" s="141" t="s">
        <v>247</v>
      </c>
      <c r="AS317" s="141" t="s">
        <v>601</v>
      </c>
      <c r="AT317" s="141" t="s">
        <v>601</v>
      </c>
      <c r="AU317" s="141" t="s">
        <v>257</v>
      </c>
      <c r="AV317" s="122" t="s">
        <v>259</v>
      </c>
      <c r="AW317" s="122" t="s">
        <v>260</v>
      </c>
      <c r="AY317" s="122" t="s">
        <v>253</v>
      </c>
      <c r="AZ317" s="122" t="s">
        <v>15281</v>
      </c>
      <c r="BA317" s="122" t="s">
        <v>262</v>
      </c>
      <c r="BB317" s="122" t="s">
        <v>262</v>
      </c>
      <c r="BD317" s="122" t="s">
        <v>253</v>
      </c>
      <c r="BE317" s="122" t="s">
        <v>263</v>
      </c>
      <c r="BF317" s="122" t="s">
        <v>4688</v>
      </c>
      <c r="BH317" s="122" t="s">
        <v>4681</v>
      </c>
      <c r="BI317" s="142">
        <v>22</v>
      </c>
    </row>
    <row r="318" spans="1:65" x14ac:dyDescent="0.25">
      <c r="A318" s="122" t="s">
        <v>6466</v>
      </c>
      <c r="B318" s="122" t="s">
        <v>15282</v>
      </c>
      <c r="C318" s="122" t="s">
        <v>15283</v>
      </c>
      <c r="D318" s="122" t="s">
        <v>15284</v>
      </c>
      <c r="E318" s="123">
        <v>42233</v>
      </c>
      <c r="F318" s="122" t="s">
        <v>15285</v>
      </c>
      <c r="G318" s="122" t="s">
        <v>235</v>
      </c>
      <c r="H318" s="122" t="s">
        <v>15286</v>
      </c>
      <c r="I318" s="122" t="s">
        <v>10527</v>
      </c>
      <c r="J318" s="122" t="s">
        <v>15287</v>
      </c>
      <c r="K318" s="122" t="s">
        <v>238</v>
      </c>
      <c r="L318" s="122" t="s">
        <v>371</v>
      </c>
      <c r="M318" s="122" t="s">
        <v>4820</v>
      </c>
      <c r="O318" s="141" t="s">
        <v>2055</v>
      </c>
      <c r="P318" s="141" t="s">
        <v>15288</v>
      </c>
      <c r="Q318" s="122" t="s">
        <v>243</v>
      </c>
      <c r="R318" s="142">
        <v>23</v>
      </c>
      <c r="S318" s="122" t="s">
        <v>15289</v>
      </c>
      <c r="U318" s="122" t="s">
        <v>4681</v>
      </c>
      <c r="W318" s="122" t="s">
        <v>246</v>
      </c>
      <c r="X318" s="122" t="s">
        <v>2657</v>
      </c>
      <c r="Y318" s="141" t="s">
        <v>1440</v>
      </c>
      <c r="Z318" s="122" t="s">
        <v>15290</v>
      </c>
      <c r="AA318" s="141" t="s">
        <v>535</v>
      </c>
      <c r="AB318" s="122" t="s">
        <v>15291</v>
      </c>
      <c r="AC318" s="141" t="s">
        <v>1876</v>
      </c>
      <c r="AD318" s="122" t="s">
        <v>15292</v>
      </c>
      <c r="AE318" s="122" t="s">
        <v>235</v>
      </c>
      <c r="AF318" s="122" t="s">
        <v>15293</v>
      </c>
      <c r="AG318" s="122" t="s">
        <v>8881</v>
      </c>
      <c r="AH318" s="122" t="s">
        <v>253</v>
      </c>
      <c r="AI318" s="122" t="s">
        <v>15294</v>
      </c>
      <c r="AJ318" s="122" t="s">
        <v>15295</v>
      </c>
      <c r="AK318" s="122" t="s">
        <v>253</v>
      </c>
      <c r="AL318" s="122" t="s">
        <v>253</v>
      </c>
      <c r="AM318" s="122" t="s">
        <v>253</v>
      </c>
      <c r="AN318" s="122" t="s">
        <v>253</v>
      </c>
      <c r="AO318" s="141" t="s">
        <v>247</v>
      </c>
      <c r="AP318" s="141" t="s">
        <v>247</v>
      </c>
      <c r="AQ318" s="141" t="s">
        <v>247</v>
      </c>
      <c r="AR318" s="141" t="s">
        <v>247</v>
      </c>
      <c r="AS318" s="141" t="s">
        <v>601</v>
      </c>
      <c r="AT318" s="141" t="s">
        <v>601</v>
      </c>
      <c r="AU318" s="141" t="s">
        <v>601</v>
      </c>
      <c r="AV318" s="122" t="s">
        <v>259</v>
      </c>
      <c r="AW318" s="122" t="s">
        <v>260</v>
      </c>
      <c r="AX318" s="141" t="s">
        <v>4015</v>
      </c>
      <c r="AY318" s="122" t="s">
        <v>247</v>
      </c>
      <c r="AZ318" s="122" t="s">
        <v>15296</v>
      </c>
      <c r="BA318" s="122" t="s">
        <v>262</v>
      </c>
      <c r="BB318" s="122" t="s">
        <v>15297</v>
      </c>
      <c r="BD318" s="122" t="s">
        <v>253</v>
      </c>
      <c r="BE318" s="122" t="s">
        <v>263</v>
      </c>
      <c r="BF318" s="122" t="s">
        <v>4688</v>
      </c>
      <c r="BH318" s="122" t="s">
        <v>4681</v>
      </c>
      <c r="BI318" s="142">
        <v>23</v>
      </c>
    </row>
    <row r="319" spans="1:65" x14ac:dyDescent="0.25">
      <c r="A319" s="122" t="s">
        <v>6466</v>
      </c>
      <c r="B319" s="122" t="s">
        <v>15298</v>
      </c>
      <c r="C319" s="122" t="s">
        <v>15299</v>
      </c>
      <c r="D319" s="122" t="s">
        <v>15300</v>
      </c>
      <c r="E319" s="123">
        <v>42233</v>
      </c>
      <c r="F319" s="122" t="s">
        <v>1762</v>
      </c>
      <c r="G319" s="122" t="s">
        <v>235</v>
      </c>
      <c r="H319" s="122" t="s">
        <v>448</v>
      </c>
      <c r="I319" s="122" t="s">
        <v>15301</v>
      </c>
      <c r="K319" s="122" t="s">
        <v>238</v>
      </c>
      <c r="L319" s="122" t="s">
        <v>371</v>
      </c>
      <c r="M319" s="122" t="s">
        <v>5135</v>
      </c>
      <c r="N319" s="122" t="s">
        <v>10150</v>
      </c>
      <c r="O319" s="141" t="s">
        <v>273</v>
      </c>
      <c r="P319" s="141" t="s">
        <v>15302</v>
      </c>
      <c r="Q319" s="122" t="s">
        <v>243</v>
      </c>
      <c r="R319" s="142">
        <v>24</v>
      </c>
      <c r="S319" s="122" t="s">
        <v>15303</v>
      </c>
      <c r="U319" s="122" t="s">
        <v>4681</v>
      </c>
      <c r="W319" s="122" t="s">
        <v>246</v>
      </c>
      <c r="X319" s="122" t="s">
        <v>569</v>
      </c>
      <c r="Y319" s="141" t="s">
        <v>2979</v>
      </c>
      <c r="Z319" s="122" t="s">
        <v>15304</v>
      </c>
      <c r="AA319" s="141" t="s">
        <v>535</v>
      </c>
      <c r="AB319" s="122" t="s">
        <v>15305</v>
      </c>
      <c r="AC319" s="141" t="s">
        <v>2717</v>
      </c>
      <c r="AD319" s="122" t="s">
        <v>15306</v>
      </c>
      <c r="AE319" s="122" t="s">
        <v>235</v>
      </c>
      <c r="AF319" s="122" t="s">
        <v>15307</v>
      </c>
      <c r="AG319" s="122" t="s">
        <v>537</v>
      </c>
      <c r="AH319" s="122" t="s">
        <v>253</v>
      </c>
      <c r="AI319" s="122" t="s">
        <v>15308</v>
      </c>
      <c r="AJ319" s="122" t="s">
        <v>8231</v>
      </c>
      <c r="AK319" s="122" t="s">
        <v>253</v>
      </c>
      <c r="AL319" s="122" t="s">
        <v>253</v>
      </c>
      <c r="AM319" s="122" t="s">
        <v>253</v>
      </c>
      <c r="AN319" s="122" t="s">
        <v>253</v>
      </c>
      <c r="AO319" s="141" t="s">
        <v>247</v>
      </c>
      <c r="AP319" s="141" t="s">
        <v>247</v>
      </c>
      <c r="AQ319" s="141" t="s">
        <v>247</v>
      </c>
      <c r="AR319" s="141" t="s">
        <v>247</v>
      </c>
      <c r="AS319" s="141" t="s">
        <v>601</v>
      </c>
      <c r="AT319" s="141" t="s">
        <v>601</v>
      </c>
      <c r="AU319" s="141" t="s">
        <v>601</v>
      </c>
      <c r="AV319" s="122" t="s">
        <v>259</v>
      </c>
      <c r="AW319" s="122" t="s">
        <v>260</v>
      </c>
      <c r="AY319" s="122" t="s">
        <v>253</v>
      </c>
      <c r="AZ319" s="122" t="s">
        <v>262</v>
      </c>
      <c r="BA319" s="122" t="s">
        <v>262</v>
      </c>
      <c r="BB319" s="122" t="s">
        <v>262</v>
      </c>
      <c r="BD319" s="122" t="s">
        <v>253</v>
      </c>
      <c r="BE319" s="122" t="s">
        <v>263</v>
      </c>
      <c r="BF319" s="122" t="s">
        <v>4688</v>
      </c>
      <c r="BH319" s="122" t="s">
        <v>4681</v>
      </c>
      <c r="BI319" s="142">
        <v>24</v>
      </c>
    </row>
    <row r="320" spans="1:65" x14ac:dyDescent="0.25">
      <c r="A320" s="122" t="s">
        <v>6466</v>
      </c>
      <c r="B320" s="122" t="s">
        <v>15309</v>
      </c>
      <c r="C320" s="122" t="s">
        <v>15310</v>
      </c>
      <c r="D320" s="122" t="s">
        <v>15311</v>
      </c>
      <c r="E320" s="123">
        <v>42233</v>
      </c>
      <c r="F320" s="122" t="s">
        <v>15312</v>
      </c>
      <c r="G320" s="122" t="s">
        <v>235</v>
      </c>
      <c r="H320" s="122" t="s">
        <v>15313</v>
      </c>
      <c r="I320" s="122" t="s">
        <v>15314</v>
      </c>
      <c r="K320" s="122" t="s">
        <v>238</v>
      </c>
      <c r="L320" s="122" t="s">
        <v>371</v>
      </c>
      <c r="M320" s="122" t="s">
        <v>4880</v>
      </c>
      <c r="O320" s="141" t="s">
        <v>2055</v>
      </c>
      <c r="P320" s="141" t="s">
        <v>15315</v>
      </c>
      <c r="Q320" s="122" t="s">
        <v>243</v>
      </c>
      <c r="R320" s="142">
        <v>25</v>
      </c>
      <c r="S320" s="122" t="s">
        <v>15316</v>
      </c>
      <c r="T320" s="122" t="s">
        <v>15317</v>
      </c>
      <c r="U320" s="122" t="s">
        <v>4681</v>
      </c>
      <c r="W320" s="122" t="s">
        <v>246</v>
      </c>
      <c r="X320" s="122" t="s">
        <v>1225</v>
      </c>
      <c r="Y320" s="141" t="s">
        <v>534</v>
      </c>
      <c r="Z320" s="122" t="s">
        <v>15318</v>
      </c>
      <c r="AA320" s="141" t="s">
        <v>2804</v>
      </c>
      <c r="AB320" s="122" t="s">
        <v>355</v>
      </c>
      <c r="AC320" s="141" t="s">
        <v>304</v>
      </c>
      <c r="AD320" s="122" t="s">
        <v>15319</v>
      </c>
      <c r="AE320" s="122" t="s">
        <v>235</v>
      </c>
      <c r="AF320" s="122" t="s">
        <v>15320</v>
      </c>
      <c r="AG320" s="122" t="s">
        <v>537</v>
      </c>
      <c r="AH320" s="122" t="s">
        <v>253</v>
      </c>
      <c r="AI320" s="122" t="s">
        <v>6061</v>
      </c>
      <c r="AJ320" s="122" t="s">
        <v>15321</v>
      </c>
      <c r="AK320" s="122" t="s">
        <v>253</v>
      </c>
      <c r="AL320" s="122" t="s">
        <v>253</v>
      </c>
      <c r="AM320" s="122" t="s">
        <v>253</v>
      </c>
      <c r="AN320" s="122" t="s">
        <v>253</v>
      </c>
      <c r="AO320" s="141" t="s">
        <v>247</v>
      </c>
      <c r="AP320" s="141" t="s">
        <v>247</v>
      </c>
      <c r="AQ320" s="141" t="s">
        <v>253</v>
      </c>
      <c r="AR320" s="141" t="s">
        <v>247</v>
      </c>
      <c r="AS320" s="141" t="s">
        <v>601</v>
      </c>
      <c r="AT320" s="141" t="s">
        <v>258</v>
      </c>
      <c r="AU320" s="141" t="s">
        <v>601</v>
      </c>
      <c r="AV320" s="122" t="s">
        <v>259</v>
      </c>
      <c r="AW320" s="122" t="s">
        <v>260</v>
      </c>
      <c r="AY320" s="122" t="s">
        <v>253</v>
      </c>
      <c r="AZ320" s="122" t="s">
        <v>15322</v>
      </c>
      <c r="BA320" s="122" t="s">
        <v>262</v>
      </c>
      <c r="BB320" s="122" t="s">
        <v>3956</v>
      </c>
      <c r="BD320" s="122" t="s">
        <v>253</v>
      </c>
      <c r="BE320" s="122" t="s">
        <v>263</v>
      </c>
      <c r="BF320" s="122" t="s">
        <v>4688</v>
      </c>
      <c r="BH320" s="122" t="s">
        <v>4681</v>
      </c>
      <c r="BI320" s="142">
        <v>25</v>
      </c>
    </row>
    <row r="321" spans="1:63" x14ac:dyDescent="0.25">
      <c r="A321" s="122" t="s">
        <v>279</v>
      </c>
      <c r="B321" s="122" t="s">
        <v>15323</v>
      </c>
      <c r="C321" s="122" t="s">
        <v>10555</v>
      </c>
      <c r="D321" s="122" t="s">
        <v>10556</v>
      </c>
      <c r="E321" s="123">
        <v>42233</v>
      </c>
      <c r="F321" s="122" t="s">
        <v>1498</v>
      </c>
      <c r="G321" s="122" t="s">
        <v>235</v>
      </c>
      <c r="H321" s="122" t="s">
        <v>10557</v>
      </c>
      <c r="I321" s="122" t="s">
        <v>10558</v>
      </c>
      <c r="J321" s="122" t="s">
        <v>370</v>
      </c>
      <c r="K321" s="122" t="s">
        <v>238</v>
      </c>
      <c r="L321" s="122" t="s">
        <v>371</v>
      </c>
      <c r="M321" s="122" t="s">
        <v>4763</v>
      </c>
      <c r="O321" s="141" t="s">
        <v>548</v>
      </c>
      <c r="P321" s="141" t="s">
        <v>10559</v>
      </c>
      <c r="Q321" s="122" t="s">
        <v>243</v>
      </c>
      <c r="R321" s="142">
        <v>26</v>
      </c>
      <c r="S321" s="122" t="s">
        <v>10560</v>
      </c>
      <c r="U321" s="122" t="s">
        <v>4681</v>
      </c>
      <c r="W321" s="122" t="s">
        <v>246</v>
      </c>
      <c r="X321" s="122" t="s">
        <v>260</v>
      </c>
      <c r="Y321" s="141" t="s">
        <v>9031</v>
      </c>
      <c r="Z321" s="122" t="s">
        <v>10561</v>
      </c>
      <c r="AA321" s="141" t="s">
        <v>784</v>
      </c>
      <c r="AB321" s="122" t="s">
        <v>10562</v>
      </c>
      <c r="AD321" s="122" t="s">
        <v>250</v>
      </c>
      <c r="AE321" s="122" t="s">
        <v>235</v>
      </c>
      <c r="AF321" s="122" t="s">
        <v>15324</v>
      </c>
      <c r="AG321" s="122" t="s">
        <v>1225</v>
      </c>
      <c r="AH321" s="122" t="s">
        <v>253</v>
      </c>
      <c r="AI321" s="122" t="s">
        <v>10564</v>
      </c>
      <c r="AJ321" s="122" t="s">
        <v>15325</v>
      </c>
      <c r="AK321" s="122" t="s">
        <v>253</v>
      </c>
      <c r="AL321" s="122" t="s">
        <v>253</v>
      </c>
      <c r="AM321" s="122" t="s">
        <v>253</v>
      </c>
      <c r="AN321" s="122" t="s">
        <v>253</v>
      </c>
      <c r="AO321" s="141" t="s">
        <v>247</v>
      </c>
      <c r="AP321" s="141" t="s">
        <v>247</v>
      </c>
      <c r="AQ321" s="141" t="s">
        <v>247</v>
      </c>
      <c r="AR321" s="141" t="s">
        <v>247</v>
      </c>
      <c r="AS321" s="141" t="s">
        <v>601</v>
      </c>
      <c r="AT321" s="141" t="s">
        <v>601</v>
      </c>
      <c r="AU321" s="141" t="s">
        <v>601</v>
      </c>
      <c r="AV321" s="122" t="s">
        <v>259</v>
      </c>
      <c r="AW321" s="122" t="s">
        <v>556</v>
      </c>
      <c r="AX321" s="141" t="s">
        <v>15326</v>
      </c>
      <c r="AY321" s="122" t="s">
        <v>247</v>
      </c>
      <c r="AZ321" s="122" t="s">
        <v>10566</v>
      </c>
      <c r="BA321" s="122" t="s">
        <v>262</v>
      </c>
      <c r="BB321" s="122" t="s">
        <v>10567</v>
      </c>
      <c r="BD321" s="122" t="s">
        <v>253</v>
      </c>
      <c r="BE321" s="122" t="s">
        <v>263</v>
      </c>
      <c r="BF321" s="122" t="s">
        <v>4688</v>
      </c>
      <c r="BH321" s="122" t="s">
        <v>4681</v>
      </c>
      <c r="BI321" s="142">
        <v>26</v>
      </c>
      <c r="BK321" s="139" t="s">
        <v>558</v>
      </c>
    </row>
    <row r="322" spans="1:63" x14ac:dyDescent="0.25">
      <c r="A322" s="122" t="s">
        <v>279</v>
      </c>
      <c r="B322" s="122" t="s">
        <v>15327</v>
      </c>
      <c r="C322" s="122" t="s">
        <v>10584</v>
      </c>
      <c r="D322" s="122" t="s">
        <v>10585</v>
      </c>
      <c r="E322" s="123">
        <v>42233</v>
      </c>
      <c r="F322" s="122" t="s">
        <v>744</v>
      </c>
      <c r="G322" s="122" t="s">
        <v>235</v>
      </c>
      <c r="H322" s="122" t="s">
        <v>10586</v>
      </c>
      <c r="I322" s="122" t="s">
        <v>10587</v>
      </c>
      <c r="K322" s="122" t="s">
        <v>238</v>
      </c>
      <c r="L322" s="122" t="s">
        <v>371</v>
      </c>
      <c r="M322" s="122" t="s">
        <v>4833</v>
      </c>
      <c r="O322" s="141" t="s">
        <v>566</v>
      </c>
      <c r="P322" s="141" t="s">
        <v>10588</v>
      </c>
      <c r="Q322" s="122" t="s">
        <v>243</v>
      </c>
      <c r="R322" s="142">
        <v>27</v>
      </c>
      <c r="S322" s="122" t="s">
        <v>10589</v>
      </c>
      <c r="U322" s="122" t="s">
        <v>4681</v>
      </c>
      <c r="W322" s="122" t="s">
        <v>246</v>
      </c>
      <c r="X322" s="122" t="s">
        <v>454</v>
      </c>
      <c r="Y322" s="141" t="s">
        <v>1258</v>
      </c>
      <c r="Z322" s="122" t="s">
        <v>10590</v>
      </c>
      <c r="AB322" s="122" t="s">
        <v>250</v>
      </c>
      <c r="AD322" s="122" t="s">
        <v>250</v>
      </c>
      <c r="AE322" s="122" t="s">
        <v>235</v>
      </c>
      <c r="AF322" s="122" t="s">
        <v>15328</v>
      </c>
      <c r="AG322" s="122" t="s">
        <v>253</v>
      </c>
      <c r="AH322" s="122" t="s">
        <v>253</v>
      </c>
      <c r="AI322" s="122" t="s">
        <v>15329</v>
      </c>
      <c r="AJ322" s="122" t="s">
        <v>10592</v>
      </c>
      <c r="AK322" s="122" t="s">
        <v>10593</v>
      </c>
      <c r="AL322" s="122" t="s">
        <v>253</v>
      </c>
      <c r="AM322" s="122" t="s">
        <v>253</v>
      </c>
      <c r="AN322" s="122" t="s">
        <v>253</v>
      </c>
      <c r="AO322" s="141" t="s">
        <v>247</v>
      </c>
      <c r="AP322" s="141" t="s">
        <v>247</v>
      </c>
      <c r="AQ322" s="141" t="s">
        <v>247</v>
      </c>
      <c r="AR322" s="141" t="s">
        <v>247</v>
      </c>
      <c r="AS322" s="141" t="s">
        <v>601</v>
      </c>
      <c r="AT322" s="141" t="s">
        <v>601</v>
      </c>
      <c r="AU322" s="141" t="s">
        <v>601</v>
      </c>
      <c r="AV322" s="122" t="s">
        <v>259</v>
      </c>
      <c r="AW322" s="122" t="s">
        <v>556</v>
      </c>
      <c r="AY322" s="122" t="s">
        <v>253</v>
      </c>
      <c r="AZ322" s="122" t="s">
        <v>10594</v>
      </c>
      <c r="BA322" s="122" t="s">
        <v>10595</v>
      </c>
      <c r="BB322" s="122" t="s">
        <v>10594</v>
      </c>
      <c r="BD322" s="122" t="s">
        <v>253</v>
      </c>
      <c r="BE322" s="122" t="s">
        <v>263</v>
      </c>
      <c r="BF322" s="122" t="s">
        <v>4688</v>
      </c>
      <c r="BH322" s="122" t="s">
        <v>4681</v>
      </c>
      <c r="BI322" s="142">
        <v>27</v>
      </c>
      <c r="BK322" s="139" t="s">
        <v>558</v>
      </c>
    </row>
    <row r="323" spans="1:63" x14ac:dyDescent="0.25">
      <c r="A323" s="122" t="s">
        <v>326</v>
      </c>
      <c r="B323" s="122" t="s">
        <v>15330</v>
      </c>
      <c r="C323" s="122" t="s">
        <v>10648</v>
      </c>
      <c r="D323" s="122" t="s">
        <v>10649</v>
      </c>
      <c r="E323" s="123">
        <v>42233</v>
      </c>
      <c r="F323" s="122" t="s">
        <v>10650</v>
      </c>
      <c r="G323" s="122" t="s">
        <v>235</v>
      </c>
      <c r="H323" s="122" t="s">
        <v>10651</v>
      </c>
      <c r="I323" s="122" t="s">
        <v>10652</v>
      </c>
      <c r="K323" s="122" t="s">
        <v>238</v>
      </c>
      <c r="L323" s="122" t="s">
        <v>371</v>
      </c>
      <c r="M323" s="122" t="s">
        <v>4833</v>
      </c>
      <c r="O323" s="141" t="s">
        <v>390</v>
      </c>
      <c r="P323" s="141" t="s">
        <v>10653</v>
      </c>
      <c r="Q323" s="122" t="s">
        <v>243</v>
      </c>
      <c r="R323" s="142">
        <v>28</v>
      </c>
      <c r="S323" s="122" t="s">
        <v>10654</v>
      </c>
      <c r="U323" s="122" t="s">
        <v>4681</v>
      </c>
      <c r="W323" s="122" t="s">
        <v>246</v>
      </c>
      <c r="X323" s="122" t="s">
        <v>4409</v>
      </c>
      <c r="Y323" s="141" t="s">
        <v>3039</v>
      </c>
      <c r="Z323" s="122" t="s">
        <v>10655</v>
      </c>
      <c r="AA323" s="141" t="s">
        <v>1423</v>
      </c>
      <c r="AB323" s="122" t="s">
        <v>10655</v>
      </c>
      <c r="AC323" s="141" t="s">
        <v>283</v>
      </c>
      <c r="AD323" s="122" t="s">
        <v>10656</v>
      </c>
      <c r="AE323" s="122" t="s">
        <v>235</v>
      </c>
      <c r="AF323" s="122" t="s">
        <v>10657</v>
      </c>
      <c r="AG323" s="122" t="s">
        <v>537</v>
      </c>
      <c r="AH323" s="122" t="s">
        <v>253</v>
      </c>
      <c r="AI323" s="122" t="s">
        <v>10658</v>
      </c>
      <c r="AJ323" s="122" t="s">
        <v>10659</v>
      </c>
      <c r="AK323" s="122" t="s">
        <v>253</v>
      </c>
      <c r="AL323" s="122" t="s">
        <v>253</v>
      </c>
      <c r="AM323" s="122" t="s">
        <v>253</v>
      </c>
      <c r="AN323" s="122" t="s">
        <v>253</v>
      </c>
      <c r="AO323" s="141" t="s">
        <v>247</v>
      </c>
      <c r="AP323" s="141" t="s">
        <v>247</v>
      </c>
      <c r="AQ323" s="141" t="s">
        <v>253</v>
      </c>
      <c r="AR323" s="141" t="s">
        <v>247</v>
      </c>
      <c r="AS323" s="141" t="s">
        <v>601</v>
      </c>
      <c r="AT323" s="141" t="s">
        <v>258</v>
      </c>
      <c r="AU323" s="141" t="s">
        <v>601</v>
      </c>
      <c r="AV323" s="122" t="s">
        <v>259</v>
      </c>
      <c r="AW323" s="122" t="s">
        <v>556</v>
      </c>
      <c r="AY323" s="122" t="s">
        <v>253</v>
      </c>
      <c r="AZ323" s="122" t="s">
        <v>10660</v>
      </c>
      <c r="BA323" s="122" t="s">
        <v>262</v>
      </c>
      <c r="BB323" s="122" t="s">
        <v>262</v>
      </c>
      <c r="BD323" s="122" t="s">
        <v>253</v>
      </c>
      <c r="BE323" s="122" t="s">
        <v>263</v>
      </c>
      <c r="BF323" s="122" t="s">
        <v>4688</v>
      </c>
      <c r="BH323" s="122" t="s">
        <v>4681</v>
      </c>
      <c r="BI323" s="142">
        <v>28</v>
      </c>
      <c r="BK323" s="139" t="s">
        <v>558</v>
      </c>
    </row>
    <row r="324" spans="1:63" x14ac:dyDescent="0.25">
      <c r="A324" s="122" t="s">
        <v>11841</v>
      </c>
      <c r="B324" s="122" t="s">
        <v>15331</v>
      </c>
      <c r="C324" s="122" t="s">
        <v>15111</v>
      </c>
      <c r="D324" s="122" t="s">
        <v>15112</v>
      </c>
      <c r="E324" s="123">
        <v>42233</v>
      </c>
      <c r="F324" s="122" t="s">
        <v>1896</v>
      </c>
      <c r="G324" s="122" t="s">
        <v>235</v>
      </c>
      <c r="H324" s="122" t="s">
        <v>15113</v>
      </c>
      <c r="I324" s="122" t="s">
        <v>5108</v>
      </c>
      <c r="J324" s="122" t="s">
        <v>15114</v>
      </c>
      <c r="K324" s="122" t="s">
        <v>238</v>
      </c>
      <c r="L324" s="122" t="s">
        <v>371</v>
      </c>
      <c r="M324" s="122" t="s">
        <v>4763</v>
      </c>
      <c r="O324" s="141" t="s">
        <v>451</v>
      </c>
      <c r="P324" s="141" t="s">
        <v>15115</v>
      </c>
      <c r="Q324" s="122" t="s">
        <v>243</v>
      </c>
      <c r="R324" s="142">
        <v>29</v>
      </c>
      <c r="S324" s="122" t="s">
        <v>15116</v>
      </c>
      <c r="U324" s="122" t="s">
        <v>4681</v>
      </c>
      <c r="W324" s="122" t="s">
        <v>246</v>
      </c>
      <c r="X324" s="122" t="s">
        <v>1121</v>
      </c>
      <c r="Y324" s="141" t="s">
        <v>2257</v>
      </c>
      <c r="Z324" s="122" t="s">
        <v>15117</v>
      </c>
      <c r="AA324" s="141" t="s">
        <v>722</v>
      </c>
      <c r="AB324" s="122" t="s">
        <v>355</v>
      </c>
      <c r="AD324" s="122" t="s">
        <v>250</v>
      </c>
      <c r="AE324" s="122" t="s">
        <v>235</v>
      </c>
      <c r="AF324" s="122" t="s">
        <v>15118</v>
      </c>
      <c r="AG324" s="122" t="s">
        <v>12679</v>
      </c>
      <c r="AH324" s="122" t="s">
        <v>253</v>
      </c>
      <c r="AI324" s="122" t="s">
        <v>15119</v>
      </c>
      <c r="AJ324" s="122" t="s">
        <v>15120</v>
      </c>
      <c r="AK324" s="122" t="s">
        <v>253</v>
      </c>
      <c r="AL324" s="122" t="s">
        <v>253</v>
      </c>
      <c r="AM324" s="122" t="s">
        <v>253</v>
      </c>
      <c r="AN324" s="122" t="s">
        <v>253</v>
      </c>
      <c r="AO324" s="141" t="s">
        <v>247</v>
      </c>
      <c r="AP324" s="141" t="s">
        <v>247</v>
      </c>
      <c r="AQ324" s="141" t="s">
        <v>247</v>
      </c>
      <c r="AR324" s="141" t="s">
        <v>247</v>
      </c>
      <c r="AS324" s="141" t="s">
        <v>601</v>
      </c>
      <c r="AT324" s="141" t="s">
        <v>601</v>
      </c>
      <c r="AU324" s="141" t="s">
        <v>601</v>
      </c>
      <c r="AV324" s="122" t="s">
        <v>259</v>
      </c>
      <c r="AW324" s="122" t="s">
        <v>556</v>
      </c>
      <c r="AY324" s="122" t="s">
        <v>253</v>
      </c>
      <c r="AZ324" s="122" t="s">
        <v>15121</v>
      </c>
      <c r="BA324" s="122" t="s">
        <v>262</v>
      </c>
      <c r="BB324" s="122" t="s">
        <v>262</v>
      </c>
      <c r="BD324" s="122" t="s">
        <v>253</v>
      </c>
      <c r="BE324" s="122" t="s">
        <v>263</v>
      </c>
      <c r="BF324" s="122" t="s">
        <v>4688</v>
      </c>
      <c r="BH324" s="122" t="s">
        <v>4681</v>
      </c>
      <c r="BI324" s="142">
        <v>29</v>
      </c>
      <c r="BK324" s="139" t="s">
        <v>558</v>
      </c>
    </row>
    <row r="325" spans="1:63" x14ac:dyDescent="0.25">
      <c r="A325" s="122" t="s">
        <v>9031</v>
      </c>
      <c r="B325" s="122" t="s">
        <v>15332</v>
      </c>
      <c r="C325" s="122" t="s">
        <v>15333</v>
      </c>
      <c r="D325" s="122" t="s">
        <v>15334</v>
      </c>
      <c r="E325" s="123">
        <v>42233</v>
      </c>
      <c r="F325" s="122" t="s">
        <v>283</v>
      </c>
      <c r="G325" s="122" t="s">
        <v>235</v>
      </c>
      <c r="H325" s="122" t="s">
        <v>15335</v>
      </c>
      <c r="I325" s="122" t="s">
        <v>15154</v>
      </c>
      <c r="J325" s="122" t="s">
        <v>15336</v>
      </c>
      <c r="K325" s="122" t="s">
        <v>238</v>
      </c>
      <c r="L325" s="122" t="s">
        <v>371</v>
      </c>
      <c r="M325" s="122" t="s">
        <v>10275</v>
      </c>
      <c r="O325" s="141" t="s">
        <v>390</v>
      </c>
      <c r="P325" s="141" t="s">
        <v>15337</v>
      </c>
      <c r="Q325" s="122" t="s">
        <v>243</v>
      </c>
      <c r="R325" s="142">
        <v>30</v>
      </c>
      <c r="S325" s="122" t="s">
        <v>15338</v>
      </c>
      <c r="U325" s="122" t="s">
        <v>4681</v>
      </c>
      <c r="W325" s="122" t="s">
        <v>246</v>
      </c>
      <c r="X325" s="122" t="s">
        <v>853</v>
      </c>
      <c r="Y325" s="141" t="s">
        <v>591</v>
      </c>
      <c r="Z325" s="122" t="s">
        <v>15339</v>
      </c>
      <c r="AA325" s="141" t="s">
        <v>744</v>
      </c>
      <c r="AB325" s="122" t="s">
        <v>15340</v>
      </c>
      <c r="AC325" s="141" t="s">
        <v>283</v>
      </c>
      <c r="AD325" s="122" t="s">
        <v>15341</v>
      </c>
      <c r="AE325" s="122" t="s">
        <v>235</v>
      </c>
      <c r="AF325" s="122" t="s">
        <v>15342</v>
      </c>
      <c r="AG325" s="122" t="s">
        <v>253</v>
      </c>
      <c r="AH325" s="122" t="s">
        <v>253</v>
      </c>
      <c r="AI325" s="122" t="s">
        <v>15343</v>
      </c>
      <c r="AJ325" s="122" t="s">
        <v>15343</v>
      </c>
      <c r="AK325" s="122" t="s">
        <v>15344</v>
      </c>
      <c r="AL325" s="122" t="s">
        <v>253</v>
      </c>
      <c r="AM325" s="122" t="s">
        <v>253</v>
      </c>
      <c r="AN325" s="122" t="s">
        <v>253</v>
      </c>
      <c r="AO325" s="141" t="s">
        <v>253</v>
      </c>
      <c r="AP325" s="141" t="s">
        <v>253</v>
      </c>
      <c r="AQ325" s="141" t="s">
        <v>253</v>
      </c>
      <c r="AR325" s="141" t="s">
        <v>247</v>
      </c>
      <c r="AS325" s="141" t="s">
        <v>361</v>
      </c>
      <c r="AT325" s="141" t="s">
        <v>258</v>
      </c>
      <c r="AU325" s="141" t="s">
        <v>601</v>
      </c>
      <c r="AV325" s="122" t="s">
        <v>259</v>
      </c>
      <c r="AW325" s="122" t="s">
        <v>556</v>
      </c>
      <c r="AY325" s="122" t="s">
        <v>253</v>
      </c>
      <c r="AZ325" s="122" t="s">
        <v>15345</v>
      </c>
      <c r="BA325" s="122" t="s">
        <v>15346</v>
      </c>
      <c r="BB325" s="122" t="s">
        <v>262</v>
      </c>
      <c r="BD325" s="122" t="s">
        <v>253</v>
      </c>
      <c r="BE325" s="122" t="s">
        <v>263</v>
      </c>
      <c r="BF325" s="122" t="s">
        <v>4688</v>
      </c>
      <c r="BH325" s="122" t="s">
        <v>4681</v>
      </c>
      <c r="BI325" s="142">
        <v>30</v>
      </c>
    </row>
    <row r="326" spans="1:63" x14ac:dyDescent="0.25">
      <c r="A326" s="122" t="s">
        <v>9904</v>
      </c>
      <c r="B326" s="122" t="s">
        <v>15347</v>
      </c>
      <c r="C326" s="122" t="s">
        <v>15239</v>
      </c>
      <c r="D326" s="122" t="s">
        <v>15240</v>
      </c>
      <c r="E326" s="123">
        <v>42233</v>
      </c>
      <c r="F326" s="122" t="s">
        <v>417</v>
      </c>
      <c r="G326" s="122" t="s">
        <v>235</v>
      </c>
      <c r="H326" s="122" t="s">
        <v>448</v>
      </c>
      <c r="I326" s="122" t="s">
        <v>15241</v>
      </c>
      <c r="J326" s="122" t="s">
        <v>564</v>
      </c>
      <c r="K326" s="122" t="s">
        <v>238</v>
      </c>
      <c r="L326" s="122" t="s">
        <v>371</v>
      </c>
      <c r="M326" s="122" t="s">
        <v>5135</v>
      </c>
      <c r="O326" s="141" t="s">
        <v>566</v>
      </c>
      <c r="P326" s="141" t="s">
        <v>15242</v>
      </c>
      <c r="Q326" s="122" t="s">
        <v>243</v>
      </c>
      <c r="R326" s="142">
        <v>31</v>
      </c>
      <c r="S326" s="122" t="s">
        <v>15243</v>
      </c>
      <c r="U326" s="122" t="s">
        <v>4681</v>
      </c>
      <c r="W326" s="122" t="s">
        <v>246</v>
      </c>
      <c r="X326" s="122" t="s">
        <v>4409</v>
      </c>
      <c r="Z326" s="122" t="s">
        <v>250</v>
      </c>
      <c r="AB326" s="122" t="s">
        <v>250</v>
      </c>
      <c r="AD326" s="122" t="s">
        <v>250</v>
      </c>
      <c r="AE326" s="122" t="s">
        <v>235</v>
      </c>
      <c r="AF326" s="122" t="s">
        <v>15244</v>
      </c>
      <c r="AG326" s="122" t="s">
        <v>537</v>
      </c>
      <c r="AH326" s="122" t="s">
        <v>1214</v>
      </c>
      <c r="AI326" s="122" t="s">
        <v>5347</v>
      </c>
      <c r="AJ326" s="122" t="s">
        <v>15245</v>
      </c>
      <c r="AK326" s="122" t="s">
        <v>15246</v>
      </c>
      <c r="AL326" s="122" t="s">
        <v>253</v>
      </c>
      <c r="AM326" s="122" t="s">
        <v>253</v>
      </c>
      <c r="AN326" s="122" t="s">
        <v>253</v>
      </c>
      <c r="AO326" s="141" t="s">
        <v>247</v>
      </c>
      <c r="AP326" s="141" t="s">
        <v>247</v>
      </c>
      <c r="AQ326" s="141" t="s">
        <v>247</v>
      </c>
      <c r="AR326" s="141" t="s">
        <v>247</v>
      </c>
      <c r="AS326" s="141" t="s">
        <v>601</v>
      </c>
      <c r="AT326" s="141" t="s">
        <v>601</v>
      </c>
      <c r="AU326" s="141" t="s">
        <v>601</v>
      </c>
      <c r="AV326" s="122" t="s">
        <v>259</v>
      </c>
      <c r="AW326" s="122" t="s">
        <v>556</v>
      </c>
      <c r="AY326" s="122" t="s">
        <v>253</v>
      </c>
      <c r="AZ326" s="122" t="s">
        <v>262</v>
      </c>
      <c r="BA326" s="122" t="s">
        <v>262</v>
      </c>
      <c r="BB326" s="122" t="s">
        <v>15247</v>
      </c>
      <c r="BD326" s="122" t="s">
        <v>253</v>
      </c>
      <c r="BE326" s="122" t="s">
        <v>263</v>
      </c>
      <c r="BF326" s="122" t="s">
        <v>4688</v>
      </c>
      <c r="BH326" s="122" t="s">
        <v>4681</v>
      </c>
      <c r="BI326" s="142">
        <v>31</v>
      </c>
      <c r="BK326" s="139" t="s">
        <v>558</v>
      </c>
    </row>
    <row r="327" spans="1:63" x14ac:dyDescent="0.25">
      <c r="A327" s="122" t="s">
        <v>9904</v>
      </c>
      <c r="B327" s="122" t="s">
        <v>15348</v>
      </c>
      <c r="C327" s="122" t="s">
        <v>15349</v>
      </c>
      <c r="D327" s="122" t="s">
        <v>15350</v>
      </c>
      <c r="E327" s="123">
        <v>42233</v>
      </c>
      <c r="F327" s="122" t="s">
        <v>3863</v>
      </c>
      <c r="G327" s="122" t="s">
        <v>235</v>
      </c>
      <c r="H327" s="122" t="s">
        <v>15351</v>
      </c>
      <c r="I327" s="122" t="s">
        <v>10203</v>
      </c>
      <c r="J327" s="122" t="s">
        <v>15352</v>
      </c>
      <c r="K327" s="122" t="s">
        <v>238</v>
      </c>
      <c r="L327" s="122" t="s">
        <v>371</v>
      </c>
      <c r="M327" s="122" t="s">
        <v>4820</v>
      </c>
      <c r="O327" s="141" t="s">
        <v>566</v>
      </c>
      <c r="P327" s="141" t="s">
        <v>15353</v>
      </c>
      <c r="Q327" s="122" t="s">
        <v>243</v>
      </c>
      <c r="R327" s="142">
        <v>32</v>
      </c>
      <c r="S327" s="122" t="s">
        <v>15354</v>
      </c>
      <c r="U327" s="122" t="s">
        <v>4681</v>
      </c>
      <c r="W327" s="122" t="s">
        <v>246</v>
      </c>
      <c r="X327" s="122" t="s">
        <v>1225</v>
      </c>
      <c r="Y327" s="141" t="s">
        <v>1876</v>
      </c>
      <c r="Z327" s="122" t="s">
        <v>6497</v>
      </c>
      <c r="AA327" s="141" t="s">
        <v>1023</v>
      </c>
      <c r="AB327" s="122" t="s">
        <v>15355</v>
      </c>
      <c r="AC327" s="141" t="s">
        <v>1629</v>
      </c>
      <c r="AD327" s="122" t="s">
        <v>669</v>
      </c>
      <c r="AE327" s="122" t="s">
        <v>235</v>
      </c>
      <c r="AF327" s="122" t="s">
        <v>15356</v>
      </c>
      <c r="AG327" s="122" t="s">
        <v>15357</v>
      </c>
      <c r="AH327" s="122" t="s">
        <v>253</v>
      </c>
      <c r="AI327" s="122" t="s">
        <v>15358</v>
      </c>
      <c r="AJ327" s="122" t="s">
        <v>15359</v>
      </c>
      <c r="AK327" s="122" t="s">
        <v>15360</v>
      </c>
      <c r="AL327" s="122" t="s">
        <v>253</v>
      </c>
      <c r="AM327" s="122" t="s">
        <v>253</v>
      </c>
      <c r="AN327" s="122" t="s">
        <v>253</v>
      </c>
      <c r="AO327" s="141" t="s">
        <v>253</v>
      </c>
      <c r="AP327" s="141" t="s">
        <v>253</v>
      </c>
      <c r="AQ327" s="141" t="s">
        <v>253</v>
      </c>
      <c r="AR327" s="141" t="s">
        <v>247</v>
      </c>
      <c r="AS327" s="141" t="s">
        <v>361</v>
      </c>
      <c r="AT327" s="141" t="s">
        <v>258</v>
      </c>
      <c r="AU327" s="141" t="s">
        <v>601</v>
      </c>
      <c r="AV327" s="122" t="s">
        <v>259</v>
      </c>
      <c r="AW327" s="122" t="s">
        <v>556</v>
      </c>
      <c r="AY327" s="122" t="s">
        <v>253</v>
      </c>
      <c r="AZ327" s="122" t="s">
        <v>15361</v>
      </c>
      <c r="BA327" s="122" t="s">
        <v>262</v>
      </c>
      <c r="BB327" s="122" t="s">
        <v>15362</v>
      </c>
      <c r="BD327" s="122" t="s">
        <v>253</v>
      </c>
      <c r="BE327" s="122" t="s">
        <v>263</v>
      </c>
      <c r="BF327" s="122" t="s">
        <v>4688</v>
      </c>
      <c r="BH327" s="122" t="s">
        <v>4681</v>
      </c>
      <c r="BI327" s="142">
        <v>32</v>
      </c>
    </row>
    <row r="328" spans="1:63" x14ac:dyDescent="0.25">
      <c r="A328" s="122" t="s">
        <v>279</v>
      </c>
      <c r="B328" s="122" t="s">
        <v>15363</v>
      </c>
      <c r="C328" s="122" t="s">
        <v>15364</v>
      </c>
      <c r="D328" s="122" t="s">
        <v>15365</v>
      </c>
      <c r="E328" s="123">
        <v>42233</v>
      </c>
      <c r="F328" s="122" t="s">
        <v>304</v>
      </c>
      <c r="G328" s="122" t="s">
        <v>235</v>
      </c>
      <c r="H328" s="122" t="s">
        <v>15366</v>
      </c>
      <c r="I328" s="122" t="s">
        <v>15367</v>
      </c>
      <c r="K328" s="122" t="s">
        <v>5673</v>
      </c>
      <c r="L328" s="122" t="s">
        <v>5674</v>
      </c>
      <c r="M328" s="122" t="s">
        <v>5675</v>
      </c>
      <c r="N328" s="122" t="s">
        <v>5704</v>
      </c>
      <c r="O328" s="141" t="s">
        <v>2526</v>
      </c>
      <c r="P328" s="141" t="s">
        <v>15368</v>
      </c>
      <c r="Q328" s="122" t="s">
        <v>5677</v>
      </c>
      <c r="R328" s="142">
        <v>33</v>
      </c>
      <c r="S328" s="122" t="s">
        <v>15369</v>
      </c>
      <c r="U328" s="122" t="s">
        <v>4681</v>
      </c>
      <c r="W328" s="122" t="s">
        <v>246</v>
      </c>
      <c r="X328" s="122" t="s">
        <v>1121</v>
      </c>
      <c r="Y328" s="141" t="s">
        <v>422</v>
      </c>
      <c r="Z328" s="122" t="s">
        <v>355</v>
      </c>
      <c r="AB328" s="122" t="s">
        <v>250</v>
      </c>
      <c r="AD328" s="122" t="s">
        <v>250</v>
      </c>
      <c r="AE328" s="122" t="s">
        <v>235</v>
      </c>
      <c r="AF328" s="122" t="s">
        <v>15370</v>
      </c>
      <c r="AG328" s="122" t="s">
        <v>537</v>
      </c>
      <c r="AH328" s="122" t="s">
        <v>253</v>
      </c>
      <c r="AI328" s="122" t="s">
        <v>1195</v>
      </c>
      <c r="AJ328" s="122" t="s">
        <v>15371</v>
      </c>
      <c r="AK328" s="122" t="s">
        <v>253</v>
      </c>
      <c r="AL328" s="122" t="s">
        <v>253</v>
      </c>
      <c r="AM328" s="122" t="s">
        <v>253</v>
      </c>
      <c r="AN328" s="122" t="s">
        <v>253</v>
      </c>
      <c r="AO328" s="141" t="s">
        <v>247</v>
      </c>
      <c r="AP328" s="141" t="s">
        <v>247</v>
      </c>
      <c r="AQ328" s="141" t="s">
        <v>247</v>
      </c>
      <c r="AR328" s="141" t="s">
        <v>253</v>
      </c>
      <c r="AS328" s="141" t="s">
        <v>601</v>
      </c>
      <c r="AT328" s="141" t="s">
        <v>601</v>
      </c>
      <c r="AU328" s="141" t="s">
        <v>258</v>
      </c>
      <c r="AV328" s="122" t="s">
        <v>259</v>
      </c>
      <c r="AW328" s="122" t="s">
        <v>260</v>
      </c>
      <c r="AY328" s="122" t="s">
        <v>253</v>
      </c>
      <c r="AZ328" s="122" t="s">
        <v>15372</v>
      </c>
      <c r="BA328" s="122" t="s">
        <v>262</v>
      </c>
      <c r="BB328" s="122" t="s">
        <v>262</v>
      </c>
      <c r="BD328" s="122" t="s">
        <v>253</v>
      </c>
      <c r="BE328" s="122" t="s">
        <v>263</v>
      </c>
      <c r="BF328" s="122" t="s">
        <v>4688</v>
      </c>
      <c r="BH328" s="122" t="s">
        <v>4681</v>
      </c>
      <c r="BI328" s="142">
        <v>33</v>
      </c>
    </row>
    <row r="329" spans="1:63" x14ac:dyDescent="0.25">
      <c r="A329" s="122" t="s">
        <v>279</v>
      </c>
      <c r="B329" s="122" t="s">
        <v>15373</v>
      </c>
      <c r="C329" s="122" t="s">
        <v>15374</v>
      </c>
      <c r="D329" s="122" t="s">
        <v>15375</v>
      </c>
      <c r="E329" s="123">
        <v>42233</v>
      </c>
      <c r="F329" s="122" t="s">
        <v>3741</v>
      </c>
      <c r="G329" s="122" t="s">
        <v>235</v>
      </c>
      <c r="H329" s="122" t="s">
        <v>15376</v>
      </c>
      <c r="I329" s="122" t="s">
        <v>15377</v>
      </c>
      <c r="K329" s="122" t="s">
        <v>3419</v>
      </c>
      <c r="L329" s="122" t="s">
        <v>3420</v>
      </c>
      <c r="M329" s="122" t="s">
        <v>3504</v>
      </c>
      <c r="N329" s="122" t="s">
        <v>15378</v>
      </c>
      <c r="O329" s="141" t="s">
        <v>390</v>
      </c>
      <c r="P329" s="141" t="s">
        <v>15379</v>
      </c>
      <c r="Q329" s="122" t="s">
        <v>3424</v>
      </c>
      <c r="R329" s="142">
        <v>34</v>
      </c>
      <c r="S329" s="122" t="s">
        <v>15380</v>
      </c>
      <c r="U329" s="122" t="s">
        <v>4681</v>
      </c>
      <c r="W329" s="122" t="s">
        <v>246</v>
      </c>
      <c r="X329" s="122" t="s">
        <v>1324</v>
      </c>
      <c r="Y329" s="141" t="s">
        <v>685</v>
      </c>
      <c r="Z329" s="122" t="s">
        <v>15381</v>
      </c>
      <c r="AA329" s="141" t="s">
        <v>283</v>
      </c>
      <c r="AB329" s="122" t="s">
        <v>15382</v>
      </c>
      <c r="AC329" s="141" t="s">
        <v>1379</v>
      </c>
      <c r="AD329" s="122" t="s">
        <v>15383</v>
      </c>
      <c r="AE329" s="122" t="s">
        <v>235</v>
      </c>
      <c r="AF329" s="122" t="s">
        <v>15384</v>
      </c>
      <c r="AG329" s="122" t="s">
        <v>537</v>
      </c>
      <c r="AH329" s="122" t="s">
        <v>253</v>
      </c>
      <c r="AI329" s="122" t="s">
        <v>15385</v>
      </c>
      <c r="AJ329" s="122" t="s">
        <v>9443</v>
      </c>
      <c r="AK329" s="122" t="s">
        <v>253</v>
      </c>
      <c r="AL329" s="122" t="s">
        <v>253</v>
      </c>
      <c r="AM329" s="122" t="s">
        <v>253</v>
      </c>
      <c r="AN329" s="122" t="s">
        <v>253</v>
      </c>
      <c r="AO329" s="141" t="s">
        <v>253</v>
      </c>
      <c r="AP329" s="141" t="s">
        <v>253</v>
      </c>
      <c r="AQ329" s="141" t="s">
        <v>247</v>
      </c>
      <c r="AR329" s="141" t="s">
        <v>247</v>
      </c>
      <c r="AS329" s="141" t="s">
        <v>361</v>
      </c>
      <c r="AT329" s="141" t="s">
        <v>601</v>
      </c>
      <c r="AU329" s="141" t="s">
        <v>601</v>
      </c>
      <c r="AV329" s="122" t="s">
        <v>259</v>
      </c>
      <c r="AW329" s="122" t="s">
        <v>260</v>
      </c>
      <c r="AY329" s="122" t="s">
        <v>253</v>
      </c>
      <c r="AZ329" s="122" t="s">
        <v>15386</v>
      </c>
      <c r="BA329" s="122" t="s">
        <v>262</v>
      </c>
      <c r="BB329" s="122" t="s">
        <v>262</v>
      </c>
      <c r="BD329" s="122" t="s">
        <v>253</v>
      </c>
      <c r="BE329" s="122" t="s">
        <v>263</v>
      </c>
      <c r="BF329" s="122" t="s">
        <v>4688</v>
      </c>
      <c r="BH329" s="122" t="s">
        <v>4681</v>
      </c>
      <c r="BI329" s="142">
        <v>34</v>
      </c>
    </row>
    <row r="330" spans="1:63" x14ac:dyDescent="0.25">
      <c r="A330" s="122" t="s">
        <v>279</v>
      </c>
      <c r="B330" s="122" t="s">
        <v>15387</v>
      </c>
      <c r="C330" s="122" t="s">
        <v>15388</v>
      </c>
      <c r="D330" s="122" t="s">
        <v>15389</v>
      </c>
      <c r="E330" s="123">
        <v>42233</v>
      </c>
      <c r="F330" s="122" t="s">
        <v>3520</v>
      </c>
      <c r="G330" s="122" t="s">
        <v>235</v>
      </c>
      <c r="H330" s="122" t="s">
        <v>15390</v>
      </c>
      <c r="I330" s="122" t="s">
        <v>15391</v>
      </c>
      <c r="K330" s="122" t="s">
        <v>3419</v>
      </c>
      <c r="L330" s="122" t="s">
        <v>3503</v>
      </c>
      <c r="M330" s="122" t="s">
        <v>3504</v>
      </c>
      <c r="O330" s="141" t="s">
        <v>6229</v>
      </c>
      <c r="P330" s="141" t="s">
        <v>15392</v>
      </c>
      <c r="Q330" s="122" t="s">
        <v>3424</v>
      </c>
      <c r="R330" s="142">
        <v>35</v>
      </c>
      <c r="S330" s="122" t="s">
        <v>15393</v>
      </c>
      <c r="U330" s="122" t="s">
        <v>4681</v>
      </c>
      <c r="W330" s="122" t="s">
        <v>246</v>
      </c>
      <c r="X330" s="122" t="s">
        <v>1324</v>
      </c>
      <c r="Y330" s="141" t="s">
        <v>6551</v>
      </c>
      <c r="Z330" s="122" t="s">
        <v>1746</v>
      </c>
      <c r="AB330" s="122" t="s">
        <v>250</v>
      </c>
      <c r="AD330" s="122" t="s">
        <v>250</v>
      </c>
      <c r="AE330" s="122" t="s">
        <v>235</v>
      </c>
      <c r="AF330" s="122" t="s">
        <v>15394</v>
      </c>
      <c r="AG330" s="122" t="s">
        <v>537</v>
      </c>
      <c r="AH330" s="122" t="s">
        <v>253</v>
      </c>
      <c r="AI330" s="122" t="s">
        <v>1971</v>
      </c>
      <c r="AJ330" s="122" t="s">
        <v>11730</v>
      </c>
      <c r="AK330" s="122" t="s">
        <v>253</v>
      </c>
      <c r="AL330" s="122" t="s">
        <v>253</v>
      </c>
      <c r="AM330" s="122" t="s">
        <v>253</v>
      </c>
      <c r="AN330" s="122" t="s">
        <v>253</v>
      </c>
      <c r="AO330" s="141" t="s">
        <v>253</v>
      </c>
      <c r="AP330" s="141" t="s">
        <v>253</v>
      </c>
      <c r="AQ330" s="141" t="s">
        <v>247</v>
      </c>
      <c r="AR330" s="141" t="s">
        <v>253</v>
      </c>
      <c r="AS330" s="141" t="s">
        <v>361</v>
      </c>
      <c r="AT330" s="141" t="s">
        <v>601</v>
      </c>
      <c r="AU330" s="141" t="s">
        <v>258</v>
      </c>
      <c r="AV330" s="122" t="s">
        <v>259</v>
      </c>
      <c r="AW330" s="122" t="s">
        <v>260</v>
      </c>
      <c r="AY330" s="122" t="s">
        <v>253</v>
      </c>
      <c r="AZ330" s="122" t="s">
        <v>15395</v>
      </c>
      <c r="BA330" s="122" t="s">
        <v>262</v>
      </c>
      <c r="BB330" s="122" t="s">
        <v>262</v>
      </c>
      <c r="BC330" s="141" t="s">
        <v>312</v>
      </c>
      <c r="BD330" s="122" t="s">
        <v>253</v>
      </c>
      <c r="BE330" s="122" t="s">
        <v>263</v>
      </c>
      <c r="BF330" s="122" t="s">
        <v>4688</v>
      </c>
      <c r="BH330" s="122" t="s">
        <v>4681</v>
      </c>
      <c r="BI330" s="142">
        <v>35</v>
      </c>
    </row>
    <row r="331" spans="1:63" x14ac:dyDescent="0.25">
      <c r="A331" s="122" t="s">
        <v>279</v>
      </c>
      <c r="B331" s="122" t="s">
        <v>15396</v>
      </c>
      <c r="C331" s="122" t="s">
        <v>15397</v>
      </c>
      <c r="D331" s="122" t="s">
        <v>15398</v>
      </c>
      <c r="E331" s="123">
        <v>42233</v>
      </c>
      <c r="F331" s="122" t="s">
        <v>15399</v>
      </c>
      <c r="G331" s="122" t="s">
        <v>235</v>
      </c>
      <c r="H331" s="122" t="s">
        <v>15400</v>
      </c>
      <c r="I331" s="122" t="s">
        <v>15401</v>
      </c>
      <c r="K331" s="122" t="s">
        <v>3419</v>
      </c>
      <c r="L331" s="122" t="s">
        <v>3420</v>
      </c>
      <c r="M331" s="122" t="s">
        <v>3504</v>
      </c>
      <c r="O331" s="141" t="s">
        <v>299</v>
      </c>
      <c r="P331" s="141" t="s">
        <v>15402</v>
      </c>
      <c r="Q331" s="122" t="s">
        <v>3424</v>
      </c>
      <c r="R331" s="142">
        <v>36</v>
      </c>
      <c r="S331" s="122" t="s">
        <v>15403</v>
      </c>
      <c r="U331" s="122" t="s">
        <v>4681</v>
      </c>
      <c r="W331" s="122" t="s">
        <v>246</v>
      </c>
      <c r="X331" s="122" t="s">
        <v>253</v>
      </c>
      <c r="Z331" s="122" t="s">
        <v>250</v>
      </c>
      <c r="AB331" s="122" t="s">
        <v>250</v>
      </c>
      <c r="AD331" s="122" t="s">
        <v>250</v>
      </c>
      <c r="AE331" s="122" t="s">
        <v>235</v>
      </c>
      <c r="AF331" s="122" t="s">
        <v>15404</v>
      </c>
      <c r="AG331" s="122" t="s">
        <v>537</v>
      </c>
      <c r="AH331" s="122" t="s">
        <v>253</v>
      </c>
      <c r="AI331" s="122" t="s">
        <v>15405</v>
      </c>
      <c r="AJ331" s="122" t="s">
        <v>15406</v>
      </c>
      <c r="AK331" s="122" t="s">
        <v>253</v>
      </c>
      <c r="AL331" s="122" t="s">
        <v>253</v>
      </c>
      <c r="AM331" s="122" t="s">
        <v>253</v>
      </c>
      <c r="AN331" s="122" t="s">
        <v>253</v>
      </c>
      <c r="AO331" s="141" t="s">
        <v>247</v>
      </c>
      <c r="AP331" s="141" t="s">
        <v>247</v>
      </c>
      <c r="AQ331" s="141" t="s">
        <v>247</v>
      </c>
      <c r="AR331" s="141" t="s">
        <v>247</v>
      </c>
      <c r="AS331" s="141" t="s">
        <v>601</v>
      </c>
      <c r="AT331" s="141" t="s">
        <v>601</v>
      </c>
      <c r="AU331" s="141" t="s">
        <v>257</v>
      </c>
      <c r="AV331" s="122" t="s">
        <v>259</v>
      </c>
      <c r="AW331" s="122" t="s">
        <v>260</v>
      </c>
      <c r="AY331" s="122" t="s">
        <v>253</v>
      </c>
      <c r="AZ331" s="122" t="s">
        <v>15407</v>
      </c>
      <c r="BA331" s="122" t="s">
        <v>15408</v>
      </c>
      <c r="BB331" s="122" t="s">
        <v>262</v>
      </c>
      <c r="BC331" s="141" t="s">
        <v>312</v>
      </c>
      <c r="BD331" s="122" t="s">
        <v>253</v>
      </c>
      <c r="BE331" s="122" t="s">
        <v>263</v>
      </c>
      <c r="BF331" s="122" t="s">
        <v>4688</v>
      </c>
      <c r="BH331" s="122" t="s">
        <v>4681</v>
      </c>
      <c r="BI331" s="142">
        <v>36</v>
      </c>
    </row>
    <row r="332" spans="1:63" x14ac:dyDescent="0.25">
      <c r="A332" s="122" t="s">
        <v>279</v>
      </c>
      <c r="B332" s="122" t="s">
        <v>15409</v>
      </c>
      <c r="C332" s="122" t="s">
        <v>15410</v>
      </c>
      <c r="D332" s="122" t="s">
        <v>15411</v>
      </c>
      <c r="E332" s="123">
        <v>42233</v>
      </c>
      <c r="F332" s="122" t="s">
        <v>15412</v>
      </c>
      <c r="G332" s="122" t="s">
        <v>235</v>
      </c>
      <c r="H332" s="122" t="s">
        <v>15413</v>
      </c>
      <c r="I332" s="122" t="s">
        <v>15414</v>
      </c>
      <c r="J332" s="122" t="s">
        <v>9602</v>
      </c>
      <c r="K332" s="122" t="s">
        <v>5800</v>
      </c>
      <c r="L332" s="122" t="s">
        <v>5801</v>
      </c>
      <c r="M332" s="122" t="s">
        <v>6146</v>
      </c>
      <c r="O332" s="141" t="s">
        <v>2055</v>
      </c>
      <c r="P332" s="141" t="s">
        <v>15415</v>
      </c>
      <c r="Q332" s="122" t="s">
        <v>5805</v>
      </c>
      <c r="R332" s="142">
        <v>37</v>
      </c>
      <c r="S332" s="122" t="s">
        <v>15416</v>
      </c>
      <c r="U332" s="122" t="s">
        <v>4681</v>
      </c>
      <c r="W332" s="122" t="s">
        <v>246</v>
      </c>
      <c r="X332" s="122" t="s">
        <v>278</v>
      </c>
      <c r="Y332" s="141" t="s">
        <v>1125</v>
      </c>
      <c r="Z332" s="122" t="s">
        <v>15417</v>
      </c>
      <c r="AA332" s="141" t="s">
        <v>1291</v>
      </c>
      <c r="AB332" s="122" t="s">
        <v>15418</v>
      </c>
      <c r="AC332" s="141" t="s">
        <v>1116</v>
      </c>
      <c r="AD332" s="122" t="s">
        <v>15419</v>
      </c>
      <c r="AE332" s="122" t="s">
        <v>235</v>
      </c>
      <c r="AF332" s="122" t="s">
        <v>15420</v>
      </c>
      <c r="AG332" s="122" t="s">
        <v>537</v>
      </c>
      <c r="AH332" s="122" t="s">
        <v>253</v>
      </c>
      <c r="AI332" s="122" t="s">
        <v>15421</v>
      </c>
      <c r="AJ332" s="122" t="s">
        <v>15422</v>
      </c>
      <c r="AK332" s="122" t="s">
        <v>253</v>
      </c>
      <c r="AL332" s="122" t="s">
        <v>253</v>
      </c>
      <c r="AM332" s="122" t="s">
        <v>253</v>
      </c>
      <c r="AN332" s="122" t="s">
        <v>253</v>
      </c>
      <c r="AO332" s="141" t="s">
        <v>247</v>
      </c>
      <c r="AP332" s="141" t="s">
        <v>247</v>
      </c>
      <c r="AQ332" s="141" t="s">
        <v>253</v>
      </c>
      <c r="AR332" s="141" t="s">
        <v>247</v>
      </c>
      <c r="AS332" s="141" t="s">
        <v>601</v>
      </c>
      <c r="AT332" s="141" t="s">
        <v>258</v>
      </c>
      <c r="AU332" s="141" t="s">
        <v>257</v>
      </c>
      <c r="AV332" s="122" t="s">
        <v>259</v>
      </c>
      <c r="AW332" s="122" t="s">
        <v>260</v>
      </c>
      <c r="AX332" s="141" t="s">
        <v>13628</v>
      </c>
      <c r="AY332" s="122" t="s">
        <v>603</v>
      </c>
      <c r="AZ332" s="122" t="s">
        <v>15423</v>
      </c>
      <c r="BA332" s="122" t="s">
        <v>262</v>
      </c>
      <c r="BB332" s="122" t="s">
        <v>15424</v>
      </c>
      <c r="BD332" s="122" t="s">
        <v>253</v>
      </c>
      <c r="BE332" s="122" t="s">
        <v>263</v>
      </c>
      <c r="BF332" s="122" t="s">
        <v>4688</v>
      </c>
      <c r="BH332" s="122" t="s">
        <v>4681</v>
      </c>
      <c r="BI332" s="142">
        <v>37</v>
      </c>
    </row>
    <row r="333" spans="1:63" x14ac:dyDescent="0.25">
      <c r="A333" s="122" t="s">
        <v>279</v>
      </c>
      <c r="B333" s="122" t="s">
        <v>15425</v>
      </c>
      <c r="C333" s="122" t="s">
        <v>15426</v>
      </c>
      <c r="D333" s="122" t="s">
        <v>15427</v>
      </c>
      <c r="E333" s="123">
        <v>42233</v>
      </c>
      <c r="F333" s="122" t="s">
        <v>1398</v>
      </c>
      <c r="G333" s="122" t="s">
        <v>235</v>
      </c>
      <c r="H333" s="122" t="s">
        <v>15428</v>
      </c>
      <c r="I333" s="122" t="s">
        <v>5771</v>
      </c>
      <c r="J333" s="122" t="s">
        <v>15429</v>
      </c>
      <c r="K333" s="122" t="s">
        <v>5565</v>
      </c>
      <c r="L333" s="122" t="s">
        <v>5566</v>
      </c>
      <c r="M333" s="122" t="s">
        <v>5567</v>
      </c>
      <c r="O333" s="141" t="s">
        <v>1253</v>
      </c>
      <c r="P333" s="141" t="s">
        <v>15430</v>
      </c>
      <c r="Q333" s="122" t="s">
        <v>3389</v>
      </c>
      <c r="R333" s="142">
        <v>38</v>
      </c>
      <c r="S333" s="122" t="s">
        <v>15431</v>
      </c>
      <c r="U333" s="122" t="s">
        <v>4681</v>
      </c>
      <c r="W333" s="122" t="s">
        <v>246</v>
      </c>
      <c r="X333" s="122" t="s">
        <v>278</v>
      </c>
      <c r="Y333" s="141" t="s">
        <v>578</v>
      </c>
      <c r="Z333" s="122" t="s">
        <v>3489</v>
      </c>
      <c r="AA333" s="141" t="s">
        <v>742</v>
      </c>
      <c r="AB333" s="122" t="s">
        <v>15432</v>
      </c>
      <c r="AC333" s="141" t="s">
        <v>724</v>
      </c>
      <c r="AD333" s="122" t="s">
        <v>15433</v>
      </c>
      <c r="AE333" s="122" t="s">
        <v>235</v>
      </c>
      <c r="AF333" s="122" t="s">
        <v>15434</v>
      </c>
      <c r="AG333" s="122" t="s">
        <v>537</v>
      </c>
      <c r="AH333" s="122" t="s">
        <v>253</v>
      </c>
      <c r="AI333" s="122" t="s">
        <v>15435</v>
      </c>
      <c r="AJ333" s="122" t="s">
        <v>15436</v>
      </c>
      <c r="AK333" s="122" t="s">
        <v>253</v>
      </c>
      <c r="AL333" s="122" t="s">
        <v>253</v>
      </c>
      <c r="AM333" s="122" t="s">
        <v>253</v>
      </c>
      <c r="AN333" s="122" t="s">
        <v>253</v>
      </c>
      <c r="AO333" s="141" t="s">
        <v>247</v>
      </c>
      <c r="AP333" s="141" t="s">
        <v>247</v>
      </c>
      <c r="AQ333" s="141" t="s">
        <v>247</v>
      </c>
      <c r="AR333" s="141" t="s">
        <v>253</v>
      </c>
      <c r="AS333" s="141" t="s">
        <v>601</v>
      </c>
      <c r="AT333" s="141" t="s">
        <v>601</v>
      </c>
      <c r="AU333" s="141" t="s">
        <v>258</v>
      </c>
      <c r="AV333" s="122" t="s">
        <v>259</v>
      </c>
      <c r="AW333" s="122" t="s">
        <v>260</v>
      </c>
      <c r="AY333" s="122" t="s">
        <v>253</v>
      </c>
      <c r="AZ333" s="122" t="s">
        <v>15437</v>
      </c>
      <c r="BA333" s="122" t="s">
        <v>262</v>
      </c>
      <c r="BB333" s="122" t="s">
        <v>262</v>
      </c>
      <c r="BC333" s="141" t="s">
        <v>312</v>
      </c>
      <c r="BD333" s="122" t="s">
        <v>253</v>
      </c>
      <c r="BE333" s="122" t="s">
        <v>263</v>
      </c>
      <c r="BF333" s="122" t="s">
        <v>4688</v>
      </c>
      <c r="BH333" s="122" t="s">
        <v>4681</v>
      </c>
      <c r="BI333" s="142">
        <v>38</v>
      </c>
    </row>
    <row r="334" spans="1:63" x14ac:dyDescent="0.25">
      <c r="A334" s="122" t="s">
        <v>279</v>
      </c>
      <c r="B334" s="122" t="s">
        <v>15438</v>
      </c>
      <c r="C334" s="122" t="s">
        <v>15439</v>
      </c>
      <c r="D334" s="122" t="s">
        <v>15440</v>
      </c>
      <c r="E334" s="123">
        <v>42233</v>
      </c>
      <c r="F334" s="122" t="s">
        <v>595</v>
      </c>
      <c r="G334" s="122" t="s">
        <v>235</v>
      </c>
      <c r="H334" s="122" t="s">
        <v>15441</v>
      </c>
      <c r="I334" s="122" t="s">
        <v>15442</v>
      </c>
      <c r="J334" s="122" t="s">
        <v>15443</v>
      </c>
      <c r="K334" s="122" t="s">
        <v>5800</v>
      </c>
      <c r="L334" s="122" t="s">
        <v>5801</v>
      </c>
      <c r="M334" s="122" t="s">
        <v>5802</v>
      </c>
      <c r="O334" s="141" t="s">
        <v>373</v>
      </c>
      <c r="P334" s="141" t="s">
        <v>15444</v>
      </c>
      <c r="Q334" s="122" t="s">
        <v>5805</v>
      </c>
      <c r="R334" s="142">
        <v>39</v>
      </c>
      <c r="S334" s="122" t="s">
        <v>15445</v>
      </c>
      <c r="U334" s="122" t="s">
        <v>4681</v>
      </c>
      <c r="W334" s="122" t="s">
        <v>246</v>
      </c>
      <c r="X334" s="122" t="s">
        <v>1121</v>
      </c>
      <c r="Y334" s="141" t="s">
        <v>15446</v>
      </c>
      <c r="Z334" s="122" t="s">
        <v>355</v>
      </c>
      <c r="AA334" s="141" t="s">
        <v>705</v>
      </c>
      <c r="AB334" s="122" t="s">
        <v>355</v>
      </c>
      <c r="AC334" s="141" t="s">
        <v>1596</v>
      </c>
      <c r="AD334" s="122" t="s">
        <v>7269</v>
      </c>
      <c r="AE334" s="122" t="s">
        <v>235</v>
      </c>
      <c r="AF334" s="122" t="s">
        <v>15447</v>
      </c>
      <c r="AG334" s="122" t="s">
        <v>537</v>
      </c>
      <c r="AH334" s="122" t="s">
        <v>253</v>
      </c>
      <c r="AI334" s="122" t="s">
        <v>15448</v>
      </c>
      <c r="AJ334" s="122" t="s">
        <v>15449</v>
      </c>
      <c r="AK334" s="122" t="s">
        <v>253</v>
      </c>
      <c r="AL334" s="122" t="s">
        <v>253</v>
      </c>
      <c r="AM334" s="122" t="s">
        <v>253</v>
      </c>
      <c r="AN334" s="122" t="s">
        <v>253</v>
      </c>
      <c r="AO334" s="141" t="s">
        <v>247</v>
      </c>
      <c r="AP334" s="141" t="s">
        <v>253</v>
      </c>
      <c r="AQ334" s="141" t="s">
        <v>247</v>
      </c>
      <c r="AR334" s="141" t="s">
        <v>253</v>
      </c>
      <c r="AS334" s="141" t="s">
        <v>601</v>
      </c>
      <c r="AT334" s="141" t="s">
        <v>601</v>
      </c>
      <c r="AU334" s="141" t="s">
        <v>258</v>
      </c>
      <c r="AV334" s="122" t="s">
        <v>259</v>
      </c>
      <c r="AW334" s="122" t="s">
        <v>260</v>
      </c>
      <c r="AY334" s="122" t="s">
        <v>253</v>
      </c>
      <c r="AZ334" s="122" t="s">
        <v>15450</v>
      </c>
      <c r="BA334" s="122" t="s">
        <v>262</v>
      </c>
      <c r="BB334" s="122" t="s">
        <v>262</v>
      </c>
      <c r="BD334" s="122" t="s">
        <v>253</v>
      </c>
      <c r="BE334" s="122" t="s">
        <v>263</v>
      </c>
      <c r="BF334" s="122" t="s">
        <v>4688</v>
      </c>
      <c r="BH334" s="122" t="s">
        <v>4681</v>
      </c>
      <c r="BI334" s="142">
        <v>39</v>
      </c>
    </row>
    <row r="335" spans="1:63" x14ac:dyDescent="0.25">
      <c r="A335" s="122" t="s">
        <v>279</v>
      </c>
      <c r="B335" s="122" t="s">
        <v>15451</v>
      </c>
      <c r="C335" s="122" t="s">
        <v>15452</v>
      </c>
      <c r="D335" s="122" t="s">
        <v>15453</v>
      </c>
      <c r="E335" s="123">
        <v>42233</v>
      </c>
      <c r="F335" s="122" t="s">
        <v>1896</v>
      </c>
      <c r="G335" s="122" t="s">
        <v>235</v>
      </c>
      <c r="H335" s="122" t="s">
        <v>15454</v>
      </c>
      <c r="I335" s="122" t="s">
        <v>15455</v>
      </c>
      <c r="K335" s="122" t="s">
        <v>3419</v>
      </c>
      <c r="L335" s="122" t="s">
        <v>3420</v>
      </c>
      <c r="M335" s="122" t="s">
        <v>3504</v>
      </c>
      <c r="O335" s="141" t="s">
        <v>613</v>
      </c>
      <c r="P335" s="141" t="s">
        <v>15456</v>
      </c>
      <c r="Q335" s="122" t="s">
        <v>3424</v>
      </c>
      <c r="R335" s="142">
        <v>40</v>
      </c>
      <c r="S335" s="122" t="s">
        <v>15457</v>
      </c>
      <c r="U335" s="122" t="s">
        <v>4681</v>
      </c>
      <c r="W335" s="122" t="s">
        <v>246</v>
      </c>
      <c r="X335" s="122" t="s">
        <v>1121</v>
      </c>
      <c r="Y335" s="141" t="s">
        <v>685</v>
      </c>
      <c r="Z335" s="122" t="s">
        <v>15458</v>
      </c>
      <c r="AA335" s="141" t="s">
        <v>2700</v>
      </c>
      <c r="AB335" s="122" t="s">
        <v>533</v>
      </c>
      <c r="AD335" s="122" t="s">
        <v>250</v>
      </c>
      <c r="AE335" s="122" t="s">
        <v>235</v>
      </c>
      <c r="AF335" s="122" t="s">
        <v>15459</v>
      </c>
      <c r="AG335" s="122" t="s">
        <v>537</v>
      </c>
      <c r="AH335" s="122" t="s">
        <v>253</v>
      </c>
      <c r="AI335" s="122" t="s">
        <v>15460</v>
      </c>
      <c r="AJ335" s="122" t="s">
        <v>15461</v>
      </c>
      <c r="AK335" s="122" t="s">
        <v>253</v>
      </c>
      <c r="AL335" s="122" t="s">
        <v>253</v>
      </c>
      <c r="AM335" s="122" t="s">
        <v>253</v>
      </c>
      <c r="AN335" s="122" t="s">
        <v>253</v>
      </c>
      <c r="AO335" s="141" t="s">
        <v>247</v>
      </c>
      <c r="AP335" s="141" t="s">
        <v>247</v>
      </c>
      <c r="AQ335" s="141" t="s">
        <v>247</v>
      </c>
      <c r="AR335" s="141" t="s">
        <v>253</v>
      </c>
      <c r="AS335" s="141" t="s">
        <v>601</v>
      </c>
      <c r="AT335" s="141" t="s">
        <v>601</v>
      </c>
      <c r="AU335" s="141" t="s">
        <v>258</v>
      </c>
      <c r="AV335" s="122" t="s">
        <v>259</v>
      </c>
      <c r="AW335" s="122" t="s">
        <v>260</v>
      </c>
      <c r="AY335" s="122" t="s">
        <v>253</v>
      </c>
      <c r="AZ335" s="122" t="s">
        <v>15462</v>
      </c>
      <c r="BA335" s="122" t="s">
        <v>262</v>
      </c>
      <c r="BB335" s="122" t="s">
        <v>262</v>
      </c>
      <c r="BC335" s="141" t="s">
        <v>312</v>
      </c>
      <c r="BD335" s="122" t="s">
        <v>253</v>
      </c>
      <c r="BE335" s="122" t="s">
        <v>263</v>
      </c>
      <c r="BF335" s="122" t="s">
        <v>4688</v>
      </c>
      <c r="BH335" s="122" t="s">
        <v>4681</v>
      </c>
      <c r="BI335" s="142">
        <v>40</v>
      </c>
    </row>
    <row r="336" spans="1:63" x14ac:dyDescent="0.25">
      <c r="A336" s="122" t="s">
        <v>326</v>
      </c>
      <c r="B336" s="122" t="s">
        <v>15463</v>
      </c>
      <c r="C336" s="122" t="s">
        <v>15464</v>
      </c>
      <c r="D336" s="122" t="s">
        <v>15465</v>
      </c>
      <c r="E336" s="123">
        <v>42233</v>
      </c>
      <c r="F336" s="122" t="s">
        <v>281</v>
      </c>
      <c r="G336" s="122" t="s">
        <v>235</v>
      </c>
      <c r="H336" s="122" t="s">
        <v>15466</v>
      </c>
      <c r="I336" s="122" t="s">
        <v>15467</v>
      </c>
      <c r="J336" s="122" t="s">
        <v>2116</v>
      </c>
      <c r="K336" s="122" t="s">
        <v>5673</v>
      </c>
      <c r="L336" s="122" t="s">
        <v>5674</v>
      </c>
      <c r="M336" s="122" t="s">
        <v>5757</v>
      </c>
      <c r="O336" s="141" t="s">
        <v>273</v>
      </c>
      <c r="P336" s="141" t="s">
        <v>15468</v>
      </c>
      <c r="Q336" s="122" t="s">
        <v>5677</v>
      </c>
      <c r="R336" s="142">
        <v>41</v>
      </c>
      <c r="S336" s="122" t="s">
        <v>15469</v>
      </c>
      <c r="T336" s="122" t="s">
        <v>15470</v>
      </c>
      <c r="U336" s="122" t="s">
        <v>4681</v>
      </c>
      <c r="W336" s="122" t="s">
        <v>246</v>
      </c>
      <c r="X336" s="122" t="s">
        <v>302</v>
      </c>
      <c r="Y336" s="141" t="s">
        <v>956</v>
      </c>
      <c r="Z336" s="122" t="s">
        <v>15471</v>
      </c>
      <c r="AB336" s="122" t="s">
        <v>250</v>
      </c>
      <c r="AD336" s="122" t="s">
        <v>250</v>
      </c>
      <c r="AE336" s="122" t="s">
        <v>235</v>
      </c>
      <c r="AF336" s="122" t="s">
        <v>15472</v>
      </c>
      <c r="AG336" s="122" t="s">
        <v>253</v>
      </c>
      <c r="AH336" s="122" t="s">
        <v>253</v>
      </c>
      <c r="AI336" s="122" t="s">
        <v>15473</v>
      </c>
      <c r="AJ336" s="122" t="s">
        <v>15473</v>
      </c>
      <c r="AK336" s="122" t="s">
        <v>15474</v>
      </c>
      <c r="AL336" s="122" t="s">
        <v>253</v>
      </c>
      <c r="AM336" s="122" t="s">
        <v>253</v>
      </c>
      <c r="AN336" s="122" t="s">
        <v>253</v>
      </c>
      <c r="AO336" s="141" t="s">
        <v>247</v>
      </c>
      <c r="AP336" s="141" t="s">
        <v>247</v>
      </c>
      <c r="AQ336" s="141" t="s">
        <v>247</v>
      </c>
      <c r="AR336" s="141" t="s">
        <v>253</v>
      </c>
      <c r="AS336" s="141" t="s">
        <v>601</v>
      </c>
      <c r="AT336" s="141" t="s">
        <v>601</v>
      </c>
      <c r="AU336" s="141" t="s">
        <v>258</v>
      </c>
      <c r="AV336" s="122" t="s">
        <v>259</v>
      </c>
      <c r="AW336" s="122" t="s">
        <v>260</v>
      </c>
      <c r="AY336" s="122" t="s">
        <v>253</v>
      </c>
      <c r="AZ336" s="122" t="s">
        <v>15475</v>
      </c>
      <c r="BA336" s="122" t="s">
        <v>262</v>
      </c>
      <c r="BB336" s="122" t="s">
        <v>262</v>
      </c>
      <c r="BD336" s="122" t="s">
        <v>253</v>
      </c>
      <c r="BE336" s="122" t="s">
        <v>263</v>
      </c>
      <c r="BF336" s="122" t="s">
        <v>4688</v>
      </c>
      <c r="BH336" s="122" t="s">
        <v>4681</v>
      </c>
      <c r="BI336" s="142">
        <v>41</v>
      </c>
    </row>
    <row r="337" spans="1:65" x14ac:dyDescent="0.25">
      <c r="A337" s="122" t="s">
        <v>326</v>
      </c>
      <c r="B337" s="122" t="s">
        <v>15476</v>
      </c>
      <c r="C337" s="122" t="s">
        <v>15477</v>
      </c>
      <c r="D337" s="122" t="s">
        <v>15478</v>
      </c>
      <c r="E337" s="123">
        <v>42233</v>
      </c>
      <c r="F337" s="122" t="s">
        <v>7268</v>
      </c>
      <c r="G337" s="122" t="s">
        <v>235</v>
      </c>
      <c r="H337" s="122" t="s">
        <v>15479</v>
      </c>
      <c r="I337" s="122" t="s">
        <v>15480</v>
      </c>
      <c r="K337" s="122" t="s">
        <v>5800</v>
      </c>
      <c r="L337" s="122" t="s">
        <v>5801</v>
      </c>
      <c r="M337" s="122" t="s">
        <v>5802</v>
      </c>
      <c r="O337" s="141" t="s">
        <v>451</v>
      </c>
      <c r="P337" s="141" t="s">
        <v>15481</v>
      </c>
      <c r="Q337" s="122" t="s">
        <v>5805</v>
      </c>
      <c r="R337" s="142">
        <v>42</v>
      </c>
      <c r="S337" s="122" t="s">
        <v>15482</v>
      </c>
      <c r="U337" s="122" t="s">
        <v>4681</v>
      </c>
      <c r="W337" s="122" t="s">
        <v>246</v>
      </c>
      <c r="X337" s="122" t="s">
        <v>433</v>
      </c>
      <c r="Y337" s="141" t="s">
        <v>378</v>
      </c>
      <c r="Z337" s="122" t="s">
        <v>15483</v>
      </c>
      <c r="AA337" s="141" t="s">
        <v>1023</v>
      </c>
      <c r="AB337" s="122" t="s">
        <v>15484</v>
      </c>
      <c r="AC337" s="141" t="s">
        <v>724</v>
      </c>
      <c r="AD337" s="122" t="s">
        <v>15485</v>
      </c>
      <c r="AE337" s="122" t="s">
        <v>235</v>
      </c>
      <c r="AF337" s="122" t="s">
        <v>15486</v>
      </c>
      <c r="AG337" s="122" t="s">
        <v>253</v>
      </c>
      <c r="AH337" s="122" t="s">
        <v>253</v>
      </c>
      <c r="AI337" s="122" t="s">
        <v>15487</v>
      </c>
      <c r="AJ337" s="122" t="s">
        <v>15488</v>
      </c>
      <c r="AK337" s="122" t="s">
        <v>15489</v>
      </c>
      <c r="AL337" s="122" t="s">
        <v>253</v>
      </c>
      <c r="AM337" s="122" t="s">
        <v>253</v>
      </c>
      <c r="AN337" s="122" t="s">
        <v>253</v>
      </c>
      <c r="AO337" s="141" t="s">
        <v>247</v>
      </c>
      <c r="AP337" s="141" t="s">
        <v>247</v>
      </c>
      <c r="AQ337" s="141" t="s">
        <v>247</v>
      </c>
      <c r="AR337" s="141" t="s">
        <v>247</v>
      </c>
      <c r="AS337" s="141" t="s">
        <v>601</v>
      </c>
      <c r="AT337" s="141" t="s">
        <v>601</v>
      </c>
      <c r="AU337" s="141" t="s">
        <v>601</v>
      </c>
      <c r="AV337" s="122" t="s">
        <v>259</v>
      </c>
      <c r="AW337" s="122" t="s">
        <v>260</v>
      </c>
      <c r="AY337" s="122" t="s">
        <v>253</v>
      </c>
      <c r="AZ337" s="122" t="s">
        <v>15490</v>
      </c>
      <c r="BA337" s="122" t="s">
        <v>262</v>
      </c>
      <c r="BB337" s="122" t="s">
        <v>262</v>
      </c>
      <c r="BD337" s="122" t="s">
        <v>253</v>
      </c>
      <c r="BE337" s="122" t="s">
        <v>263</v>
      </c>
      <c r="BF337" s="122" t="s">
        <v>4688</v>
      </c>
      <c r="BH337" s="122" t="s">
        <v>4681</v>
      </c>
      <c r="BI337" s="142">
        <v>42</v>
      </c>
    </row>
    <row r="338" spans="1:65" x14ac:dyDescent="0.25">
      <c r="A338" s="122" t="s">
        <v>326</v>
      </c>
      <c r="B338" s="122" t="s">
        <v>15491</v>
      </c>
      <c r="C338" s="122" t="s">
        <v>15492</v>
      </c>
      <c r="D338" s="122" t="s">
        <v>15493</v>
      </c>
      <c r="E338" s="123">
        <v>42233</v>
      </c>
      <c r="F338" s="122" t="s">
        <v>5523</v>
      </c>
      <c r="G338" s="122" t="s">
        <v>235</v>
      </c>
      <c r="H338" s="122" t="s">
        <v>15494</v>
      </c>
      <c r="I338" s="122" t="s">
        <v>15495</v>
      </c>
      <c r="K338" s="122" t="s">
        <v>5800</v>
      </c>
      <c r="L338" s="122" t="s">
        <v>5801</v>
      </c>
      <c r="M338" s="122" t="s">
        <v>5802</v>
      </c>
      <c r="Q338" s="122" t="s">
        <v>5805</v>
      </c>
      <c r="R338" s="142">
        <v>43</v>
      </c>
      <c r="S338" s="122" t="s">
        <v>15496</v>
      </c>
      <c r="U338" s="122" t="s">
        <v>4681</v>
      </c>
      <c r="W338" s="122" t="s">
        <v>246</v>
      </c>
      <c r="X338" s="122" t="s">
        <v>3147</v>
      </c>
      <c r="Y338" s="141" t="s">
        <v>378</v>
      </c>
      <c r="Z338" s="122" t="s">
        <v>15497</v>
      </c>
      <c r="AA338" s="141" t="s">
        <v>328</v>
      </c>
      <c r="AB338" s="122" t="s">
        <v>15498</v>
      </c>
      <c r="AC338" s="141" t="s">
        <v>2306</v>
      </c>
      <c r="AD338" s="122" t="s">
        <v>3519</v>
      </c>
      <c r="AE338" s="122" t="s">
        <v>235</v>
      </c>
      <c r="AF338" s="122" t="s">
        <v>15499</v>
      </c>
      <c r="AG338" s="122" t="s">
        <v>537</v>
      </c>
      <c r="AH338" s="122" t="s">
        <v>253</v>
      </c>
      <c r="AI338" s="122" t="s">
        <v>6730</v>
      </c>
      <c r="AJ338" s="122" t="s">
        <v>15500</v>
      </c>
      <c r="AK338" s="122" t="s">
        <v>15501</v>
      </c>
      <c r="AL338" s="122" t="s">
        <v>253</v>
      </c>
      <c r="AM338" s="122" t="s">
        <v>253</v>
      </c>
      <c r="AN338" s="122" t="s">
        <v>253</v>
      </c>
      <c r="AO338" s="141" t="s">
        <v>247</v>
      </c>
      <c r="AP338" s="141" t="s">
        <v>253</v>
      </c>
      <c r="AQ338" s="141" t="s">
        <v>253</v>
      </c>
      <c r="AR338" s="141" t="s">
        <v>253</v>
      </c>
      <c r="AS338" s="141" t="s">
        <v>601</v>
      </c>
      <c r="AT338" s="141" t="s">
        <v>258</v>
      </c>
      <c r="AU338" s="141" t="s">
        <v>258</v>
      </c>
      <c r="AV338" s="122" t="s">
        <v>259</v>
      </c>
      <c r="AW338" s="122" t="s">
        <v>260</v>
      </c>
      <c r="AY338" s="122" t="s">
        <v>253</v>
      </c>
      <c r="AZ338" s="122" t="s">
        <v>15502</v>
      </c>
      <c r="BA338" s="122" t="s">
        <v>262</v>
      </c>
      <c r="BB338" s="122" t="s">
        <v>262</v>
      </c>
      <c r="BD338" s="122" t="s">
        <v>253</v>
      </c>
      <c r="BE338" s="122" t="s">
        <v>263</v>
      </c>
      <c r="BF338" s="122" t="s">
        <v>4688</v>
      </c>
      <c r="BH338" s="122" t="s">
        <v>4681</v>
      </c>
      <c r="BI338" s="142">
        <v>43</v>
      </c>
      <c r="BJ338" s="123">
        <v>42236</v>
      </c>
      <c r="BK338" s="139" t="s">
        <v>264</v>
      </c>
      <c r="BL338" s="140">
        <v>100</v>
      </c>
      <c r="BM338" s="122">
        <v>34</v>
      </c>
    </row>
    <row r="339" spans="1:65" x14ac:dyDescent="0.25">
      <c r="A339" s="122" t="s">
        <v>326</v>
      </c>
      <c r="B339" s="122" t="s">
        <v>15503</v>
      </c>
      <c r="C339" s="122" t="s">
        <v>15504</v>
      </c>
      <c r="D339" s="122" t="s">
        <v>15505</v>
      </c>
      <c r="E339" s="123">
        <v>42233</v>
      </c>
      <c r="F339" s="122" t="s">
        <v>1414</v>
      </c>
      <c r="G339" s="122" t="s">
        <v>235</v>
      </c>
      <c r="H339" s="122" t="s">
        <v>15506</v>
      </c>
      <c r="I339" s="122" t="s">
        <v>15507</v>
      </c>
      <c r="J339" s="122" t="s">
        <v>2005</v>
      </c>
      <c r="K339" s="122" t="s">
        <v>5800</v>
      </c>
      <c r="L339" s="122" t="s">
        <v>5801</v>
      </c>
      <c r="M339" s="122" t="s">
        <v>5802</v>
      </c>
      <c r="O339" s="141" t="s">
        <v>6638</v>
      </c>
      <c r="P339" s="141" t="s">
        <v>15508</v>
      </c>
      <c r="Q339" s="122" t="s">
        <v>5805</v>
      </c>
      <c r="R339" s="142">
        <v>44</v>
      </c>
      <c r="S339" s="122" t="s">
        <v>15509</v>
      </c>
      <c r="T339" s="122" t="s">
        <v>15510</v>
      </c>
      <c r="U339" s="122" t="s">
        <v>4681</v>
      </c>
      <c r="W339" s="122" t="s">
        <v>246</v>
      </c>
      <c r="X339" s="122" t="s">
        <v>1377</v>
      </c>
      <c r="Y339" s="141" t="s">
        <v>593</v>
      </c>
      <c r="Z339" s="122" t="s">
        <v>571</v>
      </c>
      <c r="AA339" s="141" t="s">
        <v>570</v>
      </c>
      <c r="AB339" s="122" t="s">
        <v>15511</v>
      </c>
      <c r="AC339" s="141" t="s">
        <v>1498</v>
      </c>
      <c r="AD339" s="122" t="s">
        <v>15512</v>
      </c>
      <c r="AE339" s="122" t="s">
        <v>235</v>
      </c>
      <c r="AF339" s="122" t="s">
        <v>15513</v>
      </c>
      <c r="AG339" s="122" t="s">
        <v>537</v>
      </c>
      <c r="AH339" s="122" t="s">
        <v>253</v>
      </c>
      <c r="AI339" s="122" t="s">
        <v>15514</v>
      </c>
      <c r="AJ339" s="122" t="s">
        <v>15515</v>
      </c>
      <c r="AK339" s="122" t="s">
        <v>253</v>
      </c>
      <c r="AL339" s="122" t="s">
        <v>253</v>
      </c>
      <c r="AM339" s="122" t="s">
        <v>253</v>
      </c>
      <c r="AN339" s="122" t="s">
        <v>253</v>
      </c>
      <c r="AO339" s="141" t="s">
        <v>247</v>
      </c>
      <c r="AP339" s="141" t="s">
        <v>247</v>
      </c>
      <c r="AQ339" s="141" t="s">
        <v>253</v>
      </c>
      <c r="AR339" s="141" t="s">
        <v>253</v>
      </c>
      <c r="AS339" s="141" t="s">
        <v>601</v>
      </c>
      <c r="AT339" s="141" t="s">
        <v>258</v>
      </c>
      <c r="AU339" s="141" t="s">
        <v>258</v>
      </c>
      <c r="AV339" s="122" t="s">
        <v>259</v>
      </c>
      <c r="AW339" s="122" t="s">
        <v>260</v>
      </c>
      <c r="AY339" s="122" t="s">
        <v>253</v>
      </c>
      <c r="AZ339" s="122" t="s">
        <v>15516</v>
      </c>
      <c r="BA339" s="122" t="s">
        <v>262</v>
      </c>
      <c r="BB339" s="122" t="s">
        <v>262</v>
      </c>
      <c r="BD339" s="122" t="s">
        <v>253</v>
      </c>
      <c r="BE339" s="122" t="s">
        <v>263</v>
      </c>
      <c r="BF339" s="122" t="s">
        <v>4688</v>
      </c>
      <c r="BH339" s="122" t="s">
        <v>4681</v>
      </c>
      <c r="BI339" s="142">
        <v>44</v>
      </c>
    </row>
    <row r="340" spans="1:65" x14ac:dyDescent="0.25">
      <c r="A340" s="122" t="s">
        <v>326</v>
      </c>
      <c r="B340" s="122" t="s">
        <v>15517</v>
      </c>
      <c r="C340" s="122" t="s">
        <v>15518</v>
      </c>
      <c r="D340" s="122" t="s">
        <v>15519</v>
      </c>
      <c r="E340" s="123">
        <v>42233</v>
      </c>
      <c r="F340" s="122" t="s">
        <v>1596</v>
      </c>
      <c r="G340" s="122" t="s">
        <v>235</v>
      </c>
      <c r="H340" s="122" t="s">
        <v>448</v>
      </c>
      <c r="I340" s="122" t="s">
        <v>15520</v>
      </c>
      <c r="K340" s="122" t="s">
        <v>3419</v>
      </c>
      <c r="L340" s="122" t="s">
        <v>3420</v>
      </c>
      <c r="M340" s="122" t="s">
        <v>3421</v>
      </c>
      <c r="O340" s="141" t="s">
        <v>548</v>
      </c>
      <c r="P340" s="141" t="s">
        <v>15521</v>
      </c>
      <c r="Q340" s="122" t="s">
        <v>3424</v>
      </c>
      <c r="R340" s="142">
        <v>45</v>
      </c>
      <c r="S340" s="122" t="s">
        <v>15522</v>
      </c>
      <c r="U340" s="122" t="s">
        <v>4681</v>
      </c>
      <c r="W340" s="122" t="s">
        <v>246</v>
      </c>
      <c r="X340" s="122" t="s">
        <v>853</v>
      </c>
      <c r="Z340" s="122" t="s">
        <v>250</v>
      </c>
      <c r="AB340" s="122" t="s">
        <v>250</v>
      </c>
      <c r="AD340" s="122" t="s">
        <v>250</v>
      </c>
      <c r="AE340" s="122" t="s">
        <v>235</v>
      </c>
      <c r="AF340" s="122" t="s">
        <v>15523</v>
      </c>
      <c r="AG340" s="122" t="s">
        <v>253</v>
      </c>
      <c r="AH340" s="122" t="s">
        <v>253</v>
      </c>
      <c r="AI340" s="122" t="s">
        <v>15524</v>
      </c>
      <c r="AJ340" s="122" t="s">
        <v>15525</v>
      </c>
      <c r="AK340" s="122" t="s">
        <v>15526</v>
      </c>
      <c r="AL340" s="122" t="s">
        <v>253</v>
      </c>
      <c r="AM340" s="122" t="s">
        <v>253</v>
      </c>
      <c r="AN340" s="122" t="s">
        <v>253</v>
      </c>
      <c r="AO340" s="141" t="s">
        <v>247</v>
      </c>
      <c r="AP340" s="141" t="s">
        <v>247</v>
      </c>
      <c r="AQ340" s="141" t="s">
        <v>247</v>
      </c>
      <c r="AR340" s="141" t="s">
        <v>247</v>
      </c>
      <c r="AS340" s="141" t="s">
        <v>601</v>
      </c>
      <c r="AT340" s="141" t="s">
        <v>601</v>
      </c>
      <c r="AU340" s="141" t="s">
        <v>601</v>
      </c>
      <c r="AV340" s="122" t="s">
        <v>259</v>
      </c>
      <c r="AW340" s="122" t="s">
        <v>260</v>
      </c>
      <c r="AY340" s="122" t="s">
        <v>253</v>
      </c>
      <c r="AZ340" s="122" t="s">
        <v>262</v>
      </c>
      <c r="BA340" s="122" t="s">
        <v>262</v>
      </c>
      <c r="BB340" s="122" t="s">
        <v>15527</v>
      </c>
      <c r="BD340" s="122" t="s">
        <v>253</v>
      </c>
      <c r="BE340" s="122" t="s">
        <v>263</v>
      </c>
      <c r="BF340" s="122" t="s">
        <v>4688</v>
      </c>
      <c r="BH340" s="122" t="s">
        <v>4681</v>
      </c>
      <c r="BI340" s="142">
        <v>45</v>
      </c>
    </row>
    <row r="341" spans="1:65" x14ac:dyDescent="0.25">
      <c r="A341" s="122" t="s">
        <v>326</v>
      </c>
      <c r="B341" s="122" t="s">
        <v>15528</v>
      </c>
      <c r="C341" s="122" t="s">
        <v>15529</v>
      </c>
      <c r="D341" s="122" t="s">
        <v>15530</v>
      </c>
      <c r="E341" s="123">
        <v>42233</v>
      </c>
      <c r="F341" s="122" t="s">
        <v>2804</v>
      </c>
      <c r="G341" s="122" t="s">
        <v>235</v>
      </c>
      <c r="H341" s="122" t="s">
        <v>448</v>
      </c>
      <c r="I341" s="122" t="s">
        <v>15531</v>
      </c>
      <c r="K341" s="122" t="s">
        <v>3419</v>
      </c>
      <c r="L341" s="122" t="s">
        <v>3420</v>
      </c>
      <c r="M341" s="122" t="s">
        <v>3504</v>
      </c>
      <c r="O341" s="141" t="s">
        <v>373</v>
      </c>
      <c r="P341" s="141" t="s">
        <v>15532</v>
      </c>
      <c r="Q341" s="122" t="s">
        <v>3424</v>
      </c>
      <c r="R341" s="142">
        <v>46</v>
      </c>
      <c r="S341" s="122" t="s">
        <v>15533</v>
      </c>
      <c r="U341" s="122" t="s">
        <v>4681</v>
      </c>
      <c r="W341" s="122" t="s">
        <v>246</v>
      </c>
      <c r="X341" s="122" t="s">
        <v>3147</v>
      </c>
      <c r="Z341" s="122" t="s">
        <v>250</v>
      </c>
      <c r="AB341" s="122" t="s">
        <v>250</v>
      </c>
      <c r="AD341" s="122" t="s">
        <v>250</v>
      </c>
      <c r="AE341" s="122" t="s">
        <v>235</v>
      </c>
      <c r="AF341" s="122" t="s">
        <v>15534</v>
      </c>
      <c r="AG341" s="122" t="s">
        <v>537</v>
      </c>
      <c r="AH341" s="122" t="s">
        <v>253</v>
      </c>
      <c r="AI341" s="122" t="s">
        <v>15535</v>
      </c>
      <c r="AJ341" s="122" t="s">
        <v>10746</v>
      </c>
      <c r="AK341" s="122" t="s">
        <v>253</v>
      </c>
      <c r="AL341" s="122" t="s">
        <v>253</v>
      </c>
      <c r="AM341" s="122" t="s">
        <v>253</v>
      </c>
      <c r="AN341" s="122" t="s">
        <v>253</v>
      </c>
      <c r="AO341" s="141" t="s">
        <v>247</v>
      </c>
      <c r="AP341" s="141" t="s">
        <v>253</v>
      </c>
      <c r="AQ341" s="141" t="s">
        <v>247</v>
      </c>
      <c r="AR341" s="141" t="s">
        <v>253</v>
      </c>
      <c r="AS341" s="141" t="s">
        <v>601</v>
      </c>
      <c r="AT341" s="141" t="s">
        <v>601</v>
      </c>
      <c r="AU341" s="141" t="s">
        <v>258</v>
      </c>
      <c r="AV341" s="122" t="s">
        <v>259</v>
      </c>
      <c r="AW341" s="122" t="s">
        <v>260</v>
      </c>
      <c r="AY341" s="122" t="s">
        <v>253</v>
      </c>
      <c r="AZ341" s="122" t="s">
        <v>262</v>
      </c>
      <c r="BA341" s="122" t="s">
        <v>262</v>
      </c>
      <c r="BB341" s="122" t="s">
        <v>262</v>
      </c>
      <c r="BD341" s="122" t="s">
        <v>253</v>
      </c>
      <c r="BE341" s="122" t="s">
        <v>263</v>
      </c>
      <c r="BF341" s="122" t="s">
        <v>4688</v>
      </c>
      <c r="BH341" s="122" t="s">
        <v>4681</v>
      </c>
      <c r="BI341" s="142">
        <v>46</v>
      </c>
    </row>
    <row r="342" spans="1:65" x14ac:dyDescent="0.25">
      <c r="A342" s="122" t="s">
        <v>326</v>
      </c>
      <c r="B342" s="122" t="s">
        <v>15536</v>
      </c>
      <c r="C342" s="122" t="s">
        <v>15537</v>
      </c>
      <c r="D342" s="122" t="s">
        <v>15538</v>
      </c>
      <c r="E342" s="123">
        <v>42233</v>
      </c>
      <c r="F342" s="122" t="s">
        <v>2701</v>
      </c>
      <c r="G342" s="122" t="s">
        <v>235</v>
      </c>
      <c r="H342" s="122" t="s">
        <v>448</v>
      </c>
      <c r="I342" s="122" t="s">
        <v>15539</v>
      </c>
      <c r="K342" s="122" t="s">
        <v>5673</v>
      </c>
      <c r="L342" s="122" t="s">
        <v>5674</v>
      </c>
      <c r="M342" s="122" t="s">
        <v>5757</v>
      </c>
      <c r="O342" s="141" t="s">
        <v>548</v>
      </c>
      <c r="P342" s="141" t="s">
        <v>15540</v>
      </c>
      <c r="Q342" s="122" t="s">
        <v>5677</v>
      </c>
      <c r="R342" s="142">
        <v>47</v>
      </c>
      <c r="S342" s="122" t="s">
        <v>15541</v>
      </c>
      <c r="U342" s="122" t="s">
        <v>4681</v>
      </c>
      <c r="W342" s="122" t="s">
        <v>246</v>
      </c>
      <c r="X342" s="122" t="s">
        <v>3147</v>
      </c>
      <c r="Y342" s="141" t="s">
        <v>1528</v>
      </c>
      <c r="Z342" s="122" t="s">
        <v>1792</v>
      </c>
      <c r="AA342" s="141" t="s">
        <v>685</v>
      </c>
      <c r="AB342" s="122" t="s">
        <v>1326</v>
      </c>
      <c r="AC342" s="141" t="s">
        <v>1498</v>
      </c>
      <c r="AD342" s="122" t="s">
        <v>1792</v>
      </c>
      <c r="AE342" s="122" t="s">
        <v>235</v>
      </c>
      <c r="AF342" s="122" t="s">
        <v>8068</v>
      </c>
      <c r="AG342" s="122" t="s">
        <v>537</v>
      </c>
      <c r="AH342" s="122" t="s">
        <v>253</v>
      </c>
      <c r="AI342" s="122" t="s">
        <v>15542</v>
      </c>
      <c r="AJ342" s="122" t="s">
        <v>15543</v>
      </c>
      <c r="AK342" s="122" t="s">
        <v>253</v>
      </c>
      <c r="AL342" s="122" t="s">
        <v>253</v>
      </c>
      <c r="AM342" s="122" t="s">
        <v>253</v>
      </c>
      <c r="AN342" s="122" t="s">
        <v>253</v>
      </c>
      <c r="AO342" s="141" t="s">
        <v>247</v>
      </c>
      <c r="AP342" s="141" t="s">
        <v>247</v>
      </c>
      <c r="AQ342" s="141" t="s">
        <v>247</v>
      </c>
      <c r="AR342" s="141" t="s">
        <v>247</v>
      </c>
      <c r="AS342" s="141" t="s">
        <v>601</v>
      </c>
      <c r="AT342" s="141" t="s">
        <v>601</v>
      </c>
      <c r="AU342" s="141" t="s">
        <v>257</v>
      </c>
      <c r="AV342" s="122" t="s">
        <v>259</v>
      </c>
      <c r="AW342" s="122" t="s">
        <v>260</v>
      </c>
      <c r="AY342" s="122" t="s">
        <v>253</v>
      </c>
      <c r="AZ342" s="122" t="s">
        <v>262</v>
      </c>
      <c r="BA342" s="122" t="s">
        <v>262</v>
      </c>
      <c r="BB342" s="122" t="s">
        <v>15544</v>
      </c>
      <c r="BD342" s="122" t="s">
        <v>253</v>
      </c>
      <c r="BE342" s="122" t="s">
        <v>263</v>
      </c>
      <c r="BF342" s="122" t="s">
        <v>4688</v>
      </c>
      <c r="BH342" s="122" t="s">
        <v>4681</v>
      </c>
      <c r="BI342" s="142">
        <v>47</v>
      </c>
    </row>
    <row r="343" spans="1:65" x14ac:dyDescent="0.25">
      <c r="A343" s="122" t="s">
        <v>11841</v>
      </c>
      <c r="B343" s="122" t="s">
        <v>15545</v>
      </c>
      <c r="C343" s="122" t="s">
        <v>15546</v>
      </c>
      <c r="D343" s="122" t="s">
        <v>15547</v>
      </c>
      <c r="E343" s="123">
        <v>42233</v>
      </c>
      <c r="F343" s="122" t="s">
        <v>4082</v>
      </c>
      <c r="G343" s="122" t="s">
        <v>235</v>
      </c>
      <c r="H343" s="122" t="s">
        <v>15548</v>
      </c>
      <c r="I343" s="122" t="s">
        <v>15549</v>
      </c>
      <c r="K343" s="122" t="s">
        <v>3419</v>
      </c>
      <c r="L343" s="122" t="s">
        <v>3420</v>
      </c>
      <c r="M343" s="122" t="s">
        <v>3504</v>
      </c>
      <c r="O343" s="141" t="s">
        <v>373</v>
      </c>
      <c r="P343" s="141" t="s">
        <v>15550</v>
      </c>
      <c r="Q343" s="122" t="s">
        <v>3424</v>
      </c>
      <c r="R343" s="142">
        <v>48</v>
      </c>
      <c r="S343" s="122" t="s">
        <v>15551</v>
      </c>
      <c r="U343" s="122" t="s">
        <v>4681</v>
      </c>
      <c r="W343" s="122" t="s">
        <v>246</v>
      </c>
      <c r="X343" s="122" t="s">
        <v>278</v>
      </c>
      <c r="Y343" s="141" t="s">
        <v>478</v>
      </c>
      <c r="Z343" s="122" t="s">
        <v>15552</v>
      </c>
      <c r="AA343" s="141" t="s">
        <v>459</v>
      </c>
      <c r="AB343" s="122" t="s">
        <v>3697</v>
      </c>
      <c r="AC343" s="141" t="s">
        <v>2429</v>
      </c>
      <c r="AD343" s="122" t="s">
        <v>3697</v>
      </c>
      <c r="AE343" s="122" t="s">
        <v>235</v>
      </c>
      <c r="AF343" s="122" t="s">
        <v>14107</v>
      </c>
      <c r="AG343" s="122" t="s">
        <v>537</v>
      </c>
      <c r="AH343" s="122" t="s">
        <v>253</v>
      </c>
      <c r="AI343" s="122" t="s">
        <v>3700</v>
      </c>
      <c r="AJ343" s="122" t="s">
        <v>15553</v>
      </c>
      <c r="AK343" s="122" t="s">
        <v>253</v>
      </c>
      <c r="AL343" s="122" t="s">
        <v>253</v>
      </c>
      <c r="AM343" s="122" t="s">
        <v>253</v>
      </c>
      <c r="AN343" s="122" t="s">
        <v>253</v>
      </c>
      <c r="AO343" s="141" t="s">
        <v>253</v>
      </c>
      <c r="AP343" s="141" t="s">
        <v>253</v>
      </c>
      <c r="AQ343" s="141" t="s">
        <v>247</v>
      </c>
      <c r="AR343" s="141" t="s">
        <v>253</v>
      </c>
      <c r="AS343" s="141" t="s">
        <v>361</v>
      </c>
      <c r="AT343" s="141" t="s">
        <v>601</v>
      </c>
      <c r="AU343" s="141" t="s">
        <v>258</v>
      </c>
      <c r="AV343" s="122" t="s">
        <v>259</v>
      </c>
      <c r="AW343" s="122" t="s">
        <v>260</v>
      </c>
      <c r="AY343" s="122" t="s">
        <v>253</v>
      </c>
      <c r="AZ343" s="122" t="s">
        <v>15554</v>
      </c>
      <c r="BA343" s="122" t="s">
        <v>262</v>
      </c>
      <c r="BB343" s="122" t="s">
        <v>262</v>
      </c>
      <c r="BD343" s="122" t="s">
        <v>253</v>
      </c>
      <c r="BE343" s="122" t="s">
        <v>263</v>
      </c>
      <c r="BF343" s="122" t="s">
        <v>4688</v>
      </c>
      <c r="BH343" s="122" t="s">
        <v>4681</v>
      </c>
      <c r="BI343" s="142">
        <v>48</v>
      </c>
    </row>
    <row r="344" spans="1:65" x14ac:dyDescent="0.25">
      <c r="A344" s="122" t="s">
        <v>11841</v>
      </c>
      <c r="B344" s="122" t="s">
        <v>15555</v>
      </c>
      <c r="C344" s="122" t="s">
        <v>15556</v>
      </c>
      <c r="D344" s="122" t="s">
        <v>15557</v>
      </c>
      <c r="E344" s="123">
        <v>42233</v>
      </c>
      <c r="F344" s="122" t="s">
        <v>722</v>
      </c>
      <c r="G344" s="122" t="s">
        <v>235</v>
      </c>
      <c r="H344" s="122" t="s">
        <v>15558</v>
      </c>
      <c r="I344" s="122" t="s">
        <v>15559</v>
      </c>
      <c r="J344" s="122" t="s">
        <v>15560</v>
      </c>
      <c r="K344" s="122" t="s">
        <v>5879</v>
      </c>
      <c r="L344" s="122" t="s">
        <v>5880</v>
      </c>
      <c r="M344" s="122" t="s">
        <v>5935</v>
      </c>
      <c r="O344" s="141" t="s">
        <v>1055</v>
      </c>
      <c r="P344" s="141" t="s">
        <v>15561</v>
      </c>
      <c r="Q344" s="122" t="s">
        <v>3424</v>
      </c>
      <c r="R344" s="142">
        <v>49</v>
      </c>
      <c r="S344" s="122" t="s">
        <v>15562</v>
      </c>
      <c r="U344" s="122" t="s">
        <v>4681</v>
      </c>
      <c r="X344" s="122" t="s">
        <v>1324</v>
      </c>
      <c r="Y344" s="141" t="s">
        <v>591</v>
      </c>
      <c r="Z344" s="122" t="s">
        <v>15563</v>
      </c>
      <c r="AB344" s="122" t="s">
        <v>250</v>
      </c>
      <c r="AD344" s="122" t="s">
        <v>250</v>
      </c>
      <c r="AE344" s="122" t="s">
        <v>235</v>
      </c>
      <c r="AF344" s="122" t="s">
        <v>15564</v>
      </c>
      <c r="AG344" s="122" t="s">
        <v>537</v>
      </c>
      <c r="AH344" s="122" t="s">
        <v>253</v>
      </c>
      <c r="AI344" s="122" t="s">
        <v>15565</v>
      </c>
      <c r="AJ344" s="122" t="s">
        <v>9865</v>
      </c>
      <c r="AK344" s="122" t="s">
        <v>253</v>
      </c>
      <c r="AL344" s="122" t="s">
        <v>253</v>
      </c>
      <c r="AM344" s="122" t="s">
        <v>253</v>
      </c>
      <c r="AN344" s="122" t="s">
        <v>253</v>
      </c>
      <c r="AO344" s="141" t="s">
        <v>253</v>
      </c>
      <c r="AP344" s="141" t="s">
        <v>253</v>
      </c>
      <c r="AQ344" s="141" t="s">
        <v>247</v>
      </c>
      <c r="AR344" s="141" t="s">
        <v>253</v>
      </c>
      <c r="AS344" s="141" t="s">
        <v>361</v>
      </c>
      <c r="AT344" s="141" t="s">
        <v>601</v>
      </c>
      <c r="AU344" s="141" t="s">
        <v>258</v>
      </c>
      <c r="AV344" s="122" t="s">
        <v>259</v>
      </c>
      <c r="AW344" s="122" t="s">
        <v>260</v>
      </c>
      <c r="AY344" s="122" t="s">
        <v>253</v>
      </c>
      <c r="AZ344" s="122" t="s">
        <v>15566</v>
      </c>
      <c r="BA344" s="122" t="s">
        <v>262</v>
      </c>
      <c r="BB344" s="122" t="s">
        <v>262</v>
      </c>
      <c r="BD344" s="122" t="s">
        <v>253</v>
      </c>
      <c r="BE344" s="122" t="s">
        <v>263</v>
      </c>
      <c r="BF344" s="122" t="s">
        <v>4688</v>
      </c>
      <c r="BH344" s="122" t="s">
        <v>4681</v>
      </c>
      <c r="BI344" s="142">
        <v>49</v>
      </c>
    </row>
    <row r="345" spans="1:65" x14ac:dyDescent="0.25">
      <c r="A345" s="122" t="s">
        <v>11841</v>
      </c>
      <c r="B345" s="122" t="s">
        <v>15567</v>
      </c>
      <c r="C345" s="122" t="s">
        <v>15568</v>
      </c>
      <c r="D345" s="122" t="s">
        <v>15569</v>
      </c>
      <c r="E345" s="123">
        <v>42233</v>
      </c>
      <c r="F345" s="122" t="s">
        <v>801</v>
      </c>
      <c r="G345" s="122" t="s">
        <v>235</v>
      </c>
      <c r="H345" s="122" t="s">
        <v>15570</v>
      </c>
      <c r="I345" s="122" t="s">
        <v>15571</v>
      </c>
      <c r="J345" s="122" t="s">
        <v>15572</v>
      </c>
      <c r="K345" s="122" t="s">
        <v>3419</v>
      </c>
      <c r="L345" s="122" t="s">
        <v>3503</v>
      </c>
      <c r="M345" s="122" t="s">
        <v>3421</v>
      </c>
      <c r="O345" s="141" t="s">
        <v>373</v>
      </c>
      <c r="P345" s="141" t="s">
        <v>15573</v>
      </c>
      <c r="Q345" s="122" t="s">
        <v>3424</v>
      </c>
      <c r="R345" s="142">
        <v>50</v>
      </c>
      <c r="S345" s="122" t="s">
        <v>15574</v>
      </c>
      <c r="U345" s="122" t="s">
        <v>4681</v>
      </c>
      <c r="W345" s="122" t="s">
        <v>246</v>
      </c>
      <c r="X345" s="122" t="s">
        <v>1225</v>
      </c>
      <c r="Y345" s="141" t="s">
        <v>1421</v>
      </c>
      <c r="Z345" s="122" t="s">
        <v>15575</v>
      </c>
      <c r="AA345" s="141" t="s">
        <v>502</v>
      </c>
      <c r="AB345" s="122" t="s">
        <v>307</v>
      </c>
      <c r="AD345" s="122" t="s">
        <v>250</v>
      </c>
      <c r="AE345" s="122" t="s">
        <v>235</v>
      </c>
      <c r="AF345" s="122" t="s">
        <v>15576</v>
      </c>
      <c r="AG345" s="122" t="s">
        <v>537</v>
      </c>
      <c r="AH345" s="122" t="s">
        <v>253</v>
      </c>
      <c r="AI345" s="122" t="s">
        <v>9319</v>
      </c>
      <c r="AJ345" s="122" t="s">
        <v>10810</v>
      </c>
      <c r="AK345" s="122" t="s">
        <v>15577</v>
      </c>
      <c r="AL345" s="122" t="s">
        <v>253</v>
      </c>
      <c r="AM345" s="122" t="s">
        <v>253</v>
      </c>
      <c r="AN345" s="122" t="s">
        <v>253</v>
      </c>
      <c r="AO345" s="141" t="s">
        <v>253</v>
      </c>
      <c r="AP345" s="141" t="s">
        <v>253</v>
      </c>
      <c r="AQ345" s="141" t="s">
        <v>247</v>
      </c>
      <c r="AR345" s="141" t="s">
        <v>253</v>
      </c>
      <c r="AS345" s="141" t="s">
        <v>361</v>
      </c>
      <c r="AT345" s="141" t="s">
        <v>601</v>
      </c>
      <c r="AU345" s="141" t="s">
        <v>258</v>
      </c>
      <c r="AV345" s="122" t="s">
        <v>259</v>
      </c>
      <c r="AW345" s="122" t="s">
        <v>260</v>
      </c>
      <c r="AY345" s="122" t="s">
        <v>253</v>
      </c>
      <c r="AZ345" s="122" t="s">
        <v>15578</v>
      </c>
      <c r="BA345" s="122" t="s">
        <v>262</v>
      </c>
      <c r="BB345" s="122" t="s">
        <v>15579</v>
      </c>
      <c r="BD345" s="122" t="s">
        <v>253</v>
      </c>
      <c r="BE345" s="122" t="s">
        <v>263</v>
      </c>
      <c r="BF345" s="122" t="s">
        <v>4688</v>
      </c>
      <c r="BH345" s="122" t="s">
        <v>4681</v>
      </c>
      <c r="BI345" s="142">
        <v>50</v>
      </c>
    </row>
    <row r="346" spans="1:65" x14ac:dyDescent="0.25">
      <c r="A346" s="122" t="s">
        <v>11841</v>
      </c>
      <c r="B346" s="122" t="s">
        <v>15580</v>
      </c>
      <c r="C346" s="122" t="s">
        <v>15581</v>
      </c>
      <c r="D346" s="122" t="s">
        <v>15582</v>
      </c>
      <c r="E346" s="123">
        <v>42233</v>
      </c>
      <c r="F346" s="122" t="s">
        <v>1220</v>
      </c>
      <c r="G346" s="122" t="s">
        <v>235</v>
      </c>
      <c r="H346" s="122" t="s">
        <v>15583</v>
      </c>
      <c r="I346" s="122" t="s">
        <v>15584</v>
      </c>
      <c r="K346" s="122" t="s">
        <v>5800</v>
      </c>
      <c r="L346" s="122" t="s">
        <v>5801</v>
      </c>
      <c r="M346" s="122" t="s">
        <v>11037</v>
      </c>
      <c r="O346" s="141" t="s">
        <v>780</v>
      </c>
      <c r="P346" s="141" t="s">
        <v>15585</v>
      </c>
      <c r="Q346" s="122" t="s">
        <v>5805</v>
      </c>
      <c r="R346" s="142">
        <v>51</v>
      </c>
      <c r="S346" s="122" t="s">
        <v>15586</v>
      </c>
      <c r="T346" s="122" t="s">
        <v>15587</v>
      </c>
      <c r="U346" s="122" t="s">
        <v>4681</v>
      </c>
      <c r="W346" s="122" t="s">
        <v>246</v>
      </c>
      <c r="X346" s="122" t="s">
        <v>1225</v>
      </c>
      <c r="Y346" s="141" t="s">
        <v>1141</v>
      </c>
      <c r="Z346" s="122" t="s">
        <v>15588</v>
      </c>
      <c r="AA346" s="141" t="s">
        <v>457</v>
      </c>
      <c r="AB346" s="122" t="s">
        <v>355</v>
      </c>
      <c r="AC346" s="141" t="s">
        <v>1291</v>
      </c>
      <c r="AD346" s="122" t="s">
        <v>15589</v>
      </c>
      <c r="AE346" s="122" t="s">
        <v>235</v>
      </c>
      <c r="AF346" s="122" t="s">
        <v>15590</v>
      </c>
      <c r="AG346" s="122" t="s">
        <v>537</v>
      </c>
      <c r="AH346" s="122" t="s">
        <v>253</v>
      </c>
      <c r="AI346" s="122" t="s">
        <v>1182</v>
      </c>
      <c r="AJ346" s="122" t="s">
        <v>15591</v>
      </c>
      <c r="AK346" s="122" t="s">
        <v>253</v>
      </c>
      <c r="AL346" s="122" t="s">
        <v>253</v>
      </c>
      <c r="AM346" s="122" t="s">
        <v>253</v>
      </c>
      <c r="AN346" s="122" t="s">
        <v>253</v>
      </c>
      <c r="AO346" s="141" t="s">
        <v>253</v>
      </c>
      <c r="AP346" s="141" t="s">
        <v>253</v>
      </c>
      <c r="AQ346" s="141" t="s">
        <v>247</v>
      </c>
      <c r="AR346" s="141" t="s">
        <v>253</v>
      </c>
      <c r="AS346" s="141" t="s">
        <v>361</v>
      </c>
      <c r="AT346" s="141" t="s">
        <v>601</v>
      </c>
      <c r="AU346" s="141" t="s">
        <v>258</v>
      </c>
      <c r="AV346" s="122" t="s">
        <v>259</v>
      </c>
      <c r="AW346" s="122" t="s">
        <v>260</v>
      </c>
      <c r="AY346" s="122" t="s">
        <v>253</v>
      </c>
      <c r="AZ346" s="122" t="s">
        <v>15592</v>
      </c>
      <c r="BA346" s="122" t="s">
        <v>262</v>
      </c>
      <c r="BB346" s="122" t="s">
        <v>262</v>
      </c>
      <c r="BD346" s="122" t="s">
        <v>247</v>
      </c>
      <c r="BE346" s="122" t="s">
        <v>263</v>
      </c>
      <c r="BF346" s="122" t="s">
        <v>4688</v>
      </c>
      <c r="BH346" s="122" t="s">
        <v>4681</v>
      </c>
      <c r="BI346" s="142">
        <v>51</v>
      </c>
    </row>
    <row r="347" spans="1:65" x14ac:dyDescent="0.25">
      <c r="A347" s="122" t="s">
        <v>11841</v>
      </c>
      <c r="B347" s="122" t="s">
        <v>15593</v>
      </c>
      <c r="C347" s="122" t="s">
        <v>15594</v>
      </c>
      <c r="D347" s="122" t="s">
        <v>15595</v>
      </c>
      <c r="E347" s="123">
        <v>42233</v>
      </c>
      <c r="F347" s="122" t="s">
        <v>15596</v>
      </c>
      <c r="G347" s="122" t="s">
        <v>235</v>
      </c>
      <c r="H347" s="122" t="s">
        <v>15597</v>
      </c>
      <c r="I347" s="122" t="s">
        <v>15598</v>
      </c>
      <c r="K347" s="122" t="s">
        <v>3419</v>
      </c>
      <c r="L347" s="122" t="s">
        <v>3503</v>
      </c>
      <c r="M347" s="122" t="s">
        <v>3504</v>
      </c>
      <c r="O347" s="141" t="s">
        <v>613</v>
      </c>
      <c r="P347" s="141" t="s">
        <v>15599</v>
      </c>
      <c r="Q347" s="122" t="s">
        <v>3424</v>
      </c>
      <c r="R347" s="142">
        <v>52</v>
      </c>
      <c r="S347" s="122" t="s">
        <v>15600</v>
      </c>
      <c r="U347" s="122" t="s">
        <v>4681</v>
      </c>
      <c r="W347" s="122" t="s">
        <v>246</v>
      </c>
      <c r="X347" s="122" t="s">
        <v>1121</v>
      </c>
      <c r="Y347" s="141" t="s">
        <v>1125</v>
      </c>
      <c r="Z347" s="122" t="s">
        <v>15601</v>
      </c>
      <c r="AA347" s="141" t="s">
        <v>1289</v>
      </c>
      <c r="AB347" s="122" t="s">
        <v>15602</v>
      </c>
      <c r="AC347" s="141" t="s">
        <v>985</v>
      </c>
      <c r="AD347" s="122" t="s">
        <v>15603</v>
      </c>
      <c r="AE347" s="122" t="s">
        <v>235</v>
      </c>
      <c r="AF347" s="122" t="s">
        <v>15604</v>
      </c>
      <c r="AG347" s="122" t="s">
        <v>537</v>
      </c>
      <c r="AH347" s="122" t="s">
        <v>253</v>
      </c>
      <c r="AI347" s="122" t="s">
        <v>15605</v>
      </c>
      <c r="AJ347" s="122" t="s">
        <v>15606</v>
      </c>
      <c r="AK347" s="122" t="s">
        <v>253</v>
      </c>
      <c r="AL347" s="122" t="s">
        <v>253</v>
      </c>
      <c r="AM347" s="122" t="s">
        <v>253</v>
      </c>
      <c r="AN347" s="122" t="s">
        <v>253</v>
      </c>
      <c r="AO347" s="141" t="s">
        <v>247</v>
      </c>
      <c r="AP347" s="141" t="s">
        <v>253</v>
      </c>
      <c r="AQ347" s="141" t="s">
        <v>247</v>
      </c>
      <c r="AR347" s="141" t="s">
        <v>247</v>
      </c>
      <c r="AS347" s="141" t="s">
        <v>601</v>
      </c>
      <c r="AT347" s="141" t="s">
        <v>601</v>
      </c>
      <c r="AU347" s="141" t="s">
        <v>601</v>
      </c>
      <c r="AV347" s="122" t="s">
        <v>259</v>
      </c>
      <c r="AW347" s="122" t="s">
        <v>260</v>
      </c>
      <c r="AY347" s="122" t="s">
        <v>253</v>
      </c>
      <c r="AZ347" s="122" t="s">
        <v>15607</v>
      </c>
      <c r="BA347" s="122" t="s">
        <v>262</v>
      </c>
      <c r="BB347" s="122" t="s">
        <v>262</v>
      </c>
      <c r="BC347" s="141" t="s">
        <v>312</v>
      </c>
      <c r="BD347" s="122" t="s">
        <v>253</v>
      </c>
      <c r="BE347" s="122" t="s">
        <v>263</v>
      </c>
      <c r="BF347" s="122" t="s">
        <v>4688</v>
      </c>
      <c r="BH347" s="122" t="s">
        <v>4681</v>
      </c>
      <c r="BI347" s="142">
        <v>52</v>
      </c>
    </row>
    <row r="348" spans="1:65" x14ac:dyDescent="0.25">
      <c r="A348" s="122" t="s">
        <v>11841</v>
      </c>
      <c r="B348" s="122" t="s">
        <v>15608</v>
      </c>
      <c r="C348" s="122" t="s">
        <v>15609</v>
      </c>
      <c r="D348" s="122" t="s">
        <v>15610</v>
      </c>
      <c r="E348" s="123">
        <v>42233</v>
      </c>
      <c r="F348" s="122" t="s">
        <v>15611</v>
      </c>
      <c r="G348" s="122" t="s">
        <v>235</v>
      </c>
      <c r="H348" s="122" t="s">
        <v>15612</v>
      </c>
      <c r="I348" s="122" t="s">
        <v>15613</v>
      </c>
      <c r="K348" s="122" t="s">
        <v>3419</v>
      </c>
      <c r="L348" s="122" t="s">
        <v>3420</v>
      </c>
      <c r="M348" s="122" t="s">
        <v>3504</v>
      </c>
      <c r="Q348" s="122" t="s">
        <v>3424</v>
      </c>
      <c r="R348" s="142">
        <v>53</v>
      </c>
      <c r="S348" s="122" t="s">
        <v>15614</v>
      </c>
      <c r="U348" s="122" t="s">
        <v>4681</v>
      </c>
      <c r="W348" s="122" t="s">
        <v>246</v>
      </c>
      <c r="X348" s="122" t="s">
        <v>278</v>
      </c>
      <c r="Y348" s="141" t="s">
        <v>740</v>
      </c>
      <c r="Z348" s="122" t="s">
        <v>15615</v>
      </c>
      <c r="AA348" s="141" t="s">
        <v>685</v>
      </c>
      <c r="AB348" s="122" t="s">
        <v>15616</v>
      </c>
      <c r="AC348" s="141" t="s">
        <v>1090</v>
      </c>
      <c r="AD348" s="122" t="s">
        <v>15617</v>
      </c>
      <c r="AE348" s="122" t="s">
        <v>235</v>
      </c>
      <c r="AF348" s="122" t="s">
        <v>15618</v>
      </c>
      <c r="AG348" s="122" t="s">
        <v>537</v>
      </c>
      <c r="AH348" s="122" t="s">
        <v>253</v>
      </c>
      <c r="AI348" s="122" t="s">
        <v>15619</v>
      </c>
      <c r="AJ348" s="122" t="s">
        <v>15620</v>
      </c>
      <c r="AK348" s="122" t="s">
        <v>253</v>
      </c>
      <c r="AL348" s="122" t="s">
        <v>253</v>
      </c>
      <c r="AM348" s="122" t="s">
        <v>253</v>
      </c>
      <c r="AN348" s="122" t="s">
        <v>253</v>
      </c>
      <c r="AO348" s="141" t="s">
        <v>247</v>
      </c>
      <c r="AP348" s="141" t="s">
        <v>247</v>
      </c>
      <c r="AQ348" s="141" t="s">
        <v>247</v>
      </c>
      <c r="AR348" s="141" t="s">
        <v>247</v>
      </c>
      <c r="AS348" s="141" t="s">
        <v>601</v>
      </c>
      <c r="AT348" s="141" t="s">
        <v>601</v>
      </c>
      <c r="AU348" s="141" t="s">
        <v>601</v>
      </c>
      <c r="AV348" s="122" t="s">
        <v>259</v>
      </c>
      <c r="AW348" s="122" t="s">
        <v>260</v>
      </c>
      <c r="AY348" s="122" t="s">
        <v>253</v>
      </c>
      <c r="AZ348" s="122" t="s">
        <v>15621</v>
      </c>
      <c r="BA348" s="122" t="s">
        <v>262</v>
      </c>
      <c r="BB348" s="122" t="s">
        <v>262</v>
      </c>
      <c r="BD348" s="122" t="s">
        <v>253</v>
      </c>
      <c r="BE348" s="122" t="s">
        <v>263</v>
      </c>
      <c r="BF348" s="122" t="s">
        <v>4688</v>
      </c>
      <c r="BH348" s="122" t="s">
        <v>4681</v>
      </c>
      <c r="BI348" s="142">
        <v>53</v>
      </c>
    </row>
    <row r="349" spans="1:65" x14ac:dyDescent="0.25">
      <c r="A349" s="122" t="s">
        <v>9031</v>
      </c>
      <c r="B349" s="122" t="s">
        <v>15622</v>
      </c>
      <c r="C349" s="122" t="s">
        <v>15623</v>
      </c>
      <c r="D349" s="122" t="s">
        <v>15624</v>
      </c>
      <c r="E349" s="123">
        <v>42233</v>
      </c>
      <c r="F349" s="122" t="s">
        <v>2398</v>
      </c>
      <c r="G349" s="122" t="s">
        <v>235</v>
      </c>
      <c r="H349" s="122" t="s">
        <v>15625</v>
      </c>
      <c r="I349" s="122" t="s">
        <v>15626</v>
      </c>
      <c r="K349" s="122" t="s">
        <v>5673</v>
      </c>
      <c r="L349" s="122" t="s">
        <v>5674</v>
      </c>
      <c r="M349" s="122" t="s">
        <v>5675</v>
      </c>
      <c r="N349" s="122" t="s">
        <v>15627</v>
      </c>
      <c r="O349" s="141" t="s">
        <v>4592</v>
      </c>
      <c r="P349" s="141" t="s">
        <v>15628</v>
      </c>
      <c r="Q349" s="122" t="s">
        <v>5677</v>
      </c>
      <c r="R349" s="142">
        <v>54</v>
      </c>
      <c r="S349" s="122" t="s">
        <v>15629</v>
      </c>
      <c r="U349" s="122" t="s">
        <v>4681</v>
      </c>
      <c r="W349" s="122" t="s">
        <v>246</v>
      </c>
      <c r="X349" s="122" t="s">
        <v>551</v>
      </c>
      <c r="Y349" s="141" t="s">
        <v>1141</v>
      </c>
      <c r="Z349" s="122" t="s">
        <v>15630</v>
      </c>
      <c r="AA349" s="141" t="s">
        <v>2072</v>
      </c>
      <c r="AB349" s="122" t="s">
        <v>15631</v>
      </c>
      <c r="AC349" s="141" t="s">
        <v>1090</v>
      </c>
      <c r="AD349" s="122" t="s">
        <v>15632</v>
      </c>
      <c r="AE349" s="122" t="s">
        <v>235</v>
      </c>
      <c r="AF349" s="122" t="s">
        <v>15633</v>
      </c>
      <c r="AG349" s="122" t="s">
        <v>15634</v>
      </c>
      <c r="AH349" s="122" t="s">
        <v>253</v>
      </c>
      <c r="AI349" s="122" t="s">
        <v>15635</v>
      </c>
      <c r="AJ349" s="122" t="s">
        <v>15636</v>
      </c>
      <c r="AK349" s="122" t="s">
        <v>253</v>
      </c>
      <c r="AL349" s="122" t="s">
        <v>253</v>
      </c>
      <c r="AM349" s="122" t="s">
        <v>253</v>
      </c>
      <c r="AN349" s="122" t="s">
        <v>253</v>
      </c>
      <c r="AO349" s="141" t="s">
        <v>247</v>
      </c>
      <c r="AP349" s="141" t="s">
        <v>247</v>
      </c>
      <c r="AQ349" s="141" t="s">
        <v>247</v>
      </c>
      <c r="AR349" s="141" t="s">
        <v>247</v>
      </c>
      <c r="AS349" s="141" t="s">
        <v>601</v>
      </c>
      <c r="AT349" s="141" t="s">
        <v>601</v>
      </c>
      <c r="AU349" s="141" t="s">
        <v>601</v>
      </c>
      <c r="AV349" s="122" t="s">
        <v>259</v>
      </c>
      <c r="AW349" s="122" t="s">
        <v>260</v>
      </c>
      <c r="AX349" s="141" t="s">
        <v>362</v>
      </c>
      <c r="AY349" s="122" t="s">
        <v>247</v>
      </c>
      <c r="AZ349" s="122" t="s">
        <v>15637</v>
      </c>
      <c r="BA349" s="122" t="s">
        <v>262</v>
      </c>
      <c r="BB349" s="122" t="s">
        <v>262</v>
      </c>
      <c r="BC349" s="141" t="s">
        <v>312</v>
      </c>
      <c r="BD349" s="122" t="s">
        <v>253</v>
      </c>
      <c r="BE349" s="122" t="s">
        <v>263</v>
      </c>
      <c r="BF349" s="122" t="s">
        <v>4688</v>
      </c>
      <c r="BH349" s="122" t="s">
        <v>4681</v>
      </c>
      <c r="BI349" s="142">
        <v>54</v>
      </c>
      <c r="BJ349" s="123">
        <v>42237</v>
      </c>
      <c r="BK349" s="139" t="s">
        <v>264</v>
      </c>
      <c r="BL349" s="140">
        <v>313.58999999999997</v>
      </c>
      <c r="BM349" s="122">
        <v>34</v>
      </c>
    </row>
    <row r="350" spans="1:65" x14ac:dyDescent="0.25">
      <c r="A350" s="122" t="s">
        <v>9031</v>
      </c>
      <c r="B350" s="122" t="s">
        <v>15638</v>
      </c>
      <c r="C350" s="122" t="s">
        <v>15639</v>
      </c>
      <c r="D350" s="122" t="s">
        <v>15640</v>
      </c>
      <c r="E350" s="123">
        <v>42233</v>
      </c>
      <c r="F350" s="122" t="s">
        <v>1260</v>
      </c>
      <c r="G350" s="122" t="s">
        <v>235</v>
      </c>
      <c r="H350" s="122" t="s">
        <v>15641</v>
      </c>
      <c r="I350" s="122" t="s">
        <v>15642</v>
      </c>
      <c r="K350" s="122" t="s">
        <v>3419</v>
      </c>
      <c r="L350" s="122" t="s">
        <v>3420</v>
      </c>
      <c r="M350" s="122" t="s">
        <v>3421</v>
      </c>
      <c r="O350" s="141" t="s">
        <v>1253</v>
      </c>
      <c r="P350" s="141" t="s">
        <v>15643</v>
      </c>
      <c r="Q350" s="122" t="s">
        <v>3424</v>
      </c>
      <c r="R350" s="142">
        <v>55</v>
      </c>
      <c r="S350" s="122" t="s">
        <v>15644</v>
      </c>
      <c r="U350" s="122" t="s">
        <v>4681</v>
      </c>
      <c r="W350" s="122" t="s">
        <v>246</v>
      </c>
      <c r="X350" s="122" t="s">
        <v>2657</v>
      </c>
      <c r="Y350" s="141" t="s">
        <v>541</v>
      </c>
      <c r="Z350" s="122" t="s">
        <v>15645</v>
      </c>
      <c r="AA350" s="141" t="s">
        <v>740</v>
      </c>
      <c r="AB350" s="122" t="s">
        <v>15646</v>
      </c>
      <c r="AC350" s="141" t="s">
        <v>2363</v>
      </c>
      <c r="AD350" s="122" t="s">
        <v>15647</v>
      </c>
      <c r="AE350" s="122" t="s">
        <v>235</v>
      </c>
      <c r="AF350" s="122" t="s">
        <v>15648</v>
      </c>
      <c r="AG350" s="122" t="s">
        <v>537</v>
      </c>
      <c r="AH350" s="122" t="s">
        <v>253</v>
      </c>
      <c r="AI350" s="122" t="s">
        <v>15649</v>
      </c>
      <c r="AJ350" s="122" t="s">
        <v>253</v>
      </c>
      <c r="AK350" s="122" t="s">
        <v>253</v>
      </c>
      <c r="AL350" s="122" t="s">
        <v>15650</v>
      </c>
      <c r="AM350" s="122" t="s">
        <v>253</v>
      </c>
      <c r="AN350" s="122" t="s">
        <v>253</v>
      </c>
      <c r="AO350" s="141" t="s">
        <v>247</v>
      </c>
      <c r="AP350" s="141" t="s">
        <v>247</v>
      </c>
      <c r="AQ350" s="141" t="s">
        <v>247</v>
      </c>
      <c r="AR350" s="141" t="s">
        <v>247</v>
      </c>
      <c r="AS350" s="141" t="s">
        <v>601</v>
      </c>
      <c r="AT350" s="141" t="s">
        <v>601</v>
      </c>
      <c r="AU350" s="141" t="s">
        <v>601</v>
      </c>
      <c r="AV350" s="122" t="s">
        <v>259</v>
      </c>
      <c r="AW350" s="122" t="s">
        <v>260</v>
      </c>
      <c r="AX350" s="141" t="s">
        <v>3027</v>
      </c>
      <c r="AY350" s="122" t="s">
        <v>247</v>
      </c>
      <c r="AZ350" s="122" t="s">
        <v>15651</v>
      </c>
      <c r="BA350" s="122" t="s">
        <v>262</v>
      </c>
      <c r="BB350" s="122" t="s">
        <v>262</v>
      </c>
      <c r="BC350" s="141" t="s">
        <v>312</v>
      </c>
      <c r="BD350" s="122" t="s">
        <v>253</v>
      </c>
      <c r="BE350" s="122" t="s">
        <v>263</v>
      </c>
      <c r="BF350" s="122" t="s">
        <v>4688</v>
      </c>
      <c r="BH350" s="122" t="s">
        <v>4681</v>
      </c>
      <c r="BI350" s="142">
        <v>55</v>
      </c>
    </row>
    <row r="351" spans="1:65" x14ac:dyDescent="0.25">
      <c r="A351" s="122" t="s">
        <v>9031</v>
      </c>
      <c r="B351" s="122" t="s">
        <v>15652</v>
      </c>
      <c r="C351" s="122" t="s">
        <v>15653</v>
      </c>
      <c r="D351" s="122" t="s">
        <v>15654</v>
      </c>
      <c r="E351" s="123">
        <v>42233</v>
      </c>
      <c r="F351" s="122" t="s">
        <v>2098</v>
      </c>
      <c r="G351" s="122" t="s">
        <v>235</v>
      </c>
      <c r="H351" s="122" t="s">
        <v>15655</v>
      </c>
      <c r="I351" s="122" t="s">
        <v>15656</v>
      </c>
      <c r="J351" s="122" t="s">
        <v>370</v>
      </c>
      <c r="K351" s="122" t="s">
        <v>5800</v>
      </c>
      <c r="L351" s="122" t="s">
        <v>5801</v>
      </c>
      <c r="M351" s="122" t="s">
        <v>5802</v>
      </c>
      <c r="O351" s="141" t="s">
        <v>1253</v>
      </c>
      <c r="P351" s="141" t="s">
        <v>15657</v>
      </c>
      <c r="Q351" s="122" t="s">
        <v>5805</v>
      </c>
      <c r="R351" s="142">
        <v>56</v>
      </c>
      <c r="S351" s="122" t="s">
        <v>15658</v>
      </c>
      <c r="U351" s="122" t="s">
        <v>4681</v>
      </c>
      <c r="W351" s="122" t="s">
        <v>246</v>
      </c>
      <c r="X351" s="122" t="s">
        <v>497</v>
      </c>
      <c r="Y351" s="141" t="s">
        <v>378</v>
      </c>
      <c r="Z351" s="122" t="s">
        <v>15659</v>
      </c>
      <c r="AA351" s="141" t="s">
        <v>3574</v>
      </c>
      <c r="AB351" s="122" t="s">
        <v>15660</v>
      </c>
      <c r="AC351" s="141" t="s">
        <v>283</v>
      </c>
      <c r="AD351" s="122" t="s">
        <v>15661</v>
      </c>
      <c r="AE351" s="122" t="s">
        <v>235</v>
      </c>
      <c r="AF351" s="122" t="s">
        <v>15662</v>
      </c>
      <c r="AG351" s="122" t="s">
        <v>253</v>
      </c>
      <c r="AH351" s="122" t="s">
        <v>253</v>
      </c>
      <c r="AI351" s="122" t="s">
        <v>15663</v>
      </c>
      <c r="AJ351" s="122" t="s">
        <v>15664</v>
      </c>
      <c r="AK351" s="122" t="s">
        <v>15665</v>
      </c>
      <c r="AL351" s="122" t="s">
        <v>253</v>
      </c>
      <c r="AM351" s="122" t="s">
        <v>253</v>
      </c>
      <c r="AN351" s="122" t="s">
        <v>253</v>
      </c>
      <c r="AO351" s="141" t="s">
        <v>247</v>
      </c>
      <c r="AP351" s="141" t="s">
        <v>247</v>
      </c>
      <c r="AQ351" s="141" t="s">
        <v>247</v>
      </c>
      <c r="AR351" s="141" t="s">
        <v>247</v>
      </c>
      <c r="AS351" s="141" t="s">
        <v>601</v>
      </c>
      <c r="AT351" s="141" t="s">
        <v>601</v>
      </c>
      <c r="AU351" s="141" t="s">
        <v>601</v>
      </c>
      <c r="AV351" s="122" t="s">
        <v>259</v>
      </c>
      <c r="AW351" s="122" t="s">
        <v>260</v>
      </c>
      <c r="AY351" s="122" t="s">
        <v>253</v>
      </c>
      <c r="AZ351" s="122" t="s">
        <v>15666</v>
      </c>
      <c r="BA351" s="122" t="s">
        <v>262</v>
      </c>
      <c r="BB351" s="122" t="s">
        <v>262</v>
      </c>
      <c r="BC351" s="141" t="s">
        <v>312</v>
      </c>
      <c r="BD351" s="122" t="s">
        <v>253</v>
      </c>
      <c r="BE351" s="122" t="s">
        <v>263</v>
      </c>
      <c r="BF351" s="122" t="s">
        <v>4688</v>
      </c>
      <c r="BH351" s="122" t="s">
        <v>4681</v>
      </c>
      <c r="BI351" s="142">
        <v>56</v>
      </c>
    </row>
    <row r="352" spans="1:65" x14ac:dyDescent="0.25">
      <c r="A352" s="122" t="s">
        <v>9031</v>
      </c>
      <c r="B352" s="122" t="s">
        <v>15667</v>
      </c>
      <c r="C352" s="122" t="s">
        <v>15668</v>
      </c>
      <c r="D352" s="122" t="s">
        <v>15669</v>
      </c>
      <c r="E352" s="123">
        <v>42233</v>
      </c>
      <c r="F352" s="122" t="s">
        <v>1116</v>
      </c>
      <c r="G352" s="122" t="s">
        <v>235</v>
      </c>
      <c r="H352" s="122" t="s">
        <v>15670</v>
      </c>
      <c r="I352" s="122" t="s">
        <v>15671</v>
      </c>
      <c r="K352" s="122" t="s">
        <v>3419</v>
      </c>
      <c r="L352" s="122" t="s">
        <v>3420</v>
      </c>
      <c r="M352" s="122" t="s">
        <v>3421</v>
      </c>
      <c r="O352" s="141" t="s">
        <v>4709</v>
      </c>
      <c r="P352" s="141" t="s">
        <v>15672</v>
      </c>
      <c r="Q352" s="122" t="s">
        <v>3424</v>
      </c>
      <c r="R352" s="142">
        <v>57</v>
      </c>
      <c r="S352" s="122" t="s">
        <v>15673</v>
      </c>
      <c r="T352" s="122" t="s">
        <v>15674</v>
      </c>
      <c r="U352" s="122" t="s">
        <v>4681</v>
      </c>
      <c r="W352" s="122" t="s">
        <v>246</v>
      </c>
      <c r="X352" s="122" t="s">
        <v>551</v>
      </c>
      <c r="Y352" s="141" t="s">
        <v>511</v>
      </c>
      <c r="Z352" s="122" t="s">
        <v>15675</v>
      </c>
      <c r="AA352" s="141" t="s">
        <v>1778</v>
      </c>
      <c r="AB352" s="122" t="s">
        <v>15676</v>
      </c>
      <c r="AC352" s="141" t="s">
        <v>1778</v>
      </c>
      <c r="AD352" s="122" t="s">
        <v>832</v>
      </c>
      <c r="AE352" s="122" t="s">
        <v>235</v>
      </c>
      <c r="AF352" s="122" t="s">
        <v>15677</v>
      </c>
      <c r="AG352" s="122" t="s">
        <v>537</v>
      </c>
      <c r="AH352" s="122" t="s">
        <v>253</v>
      </c>
      <c r="AI352" s="122" t="s">
        <v>14521</v>
      </c>
      <c r="AJ352" s="122" t="s">
        <v>4375</v>
      </c>
      <c r="AK352" s="122" t="s">
        <v>253</v>
      </c>
      <c r="AL352" s="122" t="s">
        <v>253</v>
      </c>
      <c r="AM352" s="122" t="s">
        <v>253</v>
      </c>
      <c r="AN352" s="122" t="s">
        <v>253</v>
      </c>
      <c r="AO352" s="141" t="s">
        <v>253</v>
      </c>
      <c r="AP352" s="141" t="s">
        <v>253</v>
      </c>
      <c r="AQ352" s="141" t="s">
        <v>247</v>
      </c>
      <c r="AR352" s="141" t="s">
        <v>253</v>
      </c>
      <c r="AS352" s="141" t="s">
        <v>361</v>
      </c>
      <c r="AT352" s="141" t="s">
        <v>601</v>
      </c>
      <c r="AU352" s="141" t="s">
        <v>258</v>
      </c>
      <c r="AV352" s="122" t="s">
        <v>259</v>
      </c>
      <c r="AW352" s="122" t="s">
        <v>260</v>
      </c>
      <c r="AY352" s="122" t="s">
        <v>253</v>
      </c>
      <c r="AZ352" s="122" t="s">
        <v>15678</v>
      </c>
      <c r="BA352" s="122" t="s">
        <v>262</v>
      </c>
      <c r="BB352" s="122" t="s">
        <v>15679</v>
      </c>
      <c r="BC352" s="141" t="s">
        <v>312</v>
      </c>
      <c r="BD352" s="122" t="s">
        <v>253</v>
      </c>
      <c r="BE352" s="122" t="s">
        <v>263</v>
      </c>
      <c r="BF352" s="122" t="s">
        <v>4688</v>
      </c>
      <c r="BH352" s="122" t="s">
        <v>4681</v>
      </c>
      <c r="BI352" s="142">
        <v>57</v>
      </c>
    </row>
    <row r="353" spans="1:61" x14ac:dyDescent="0.25">
      <c r="A353" s="122" t="s">
        <v>9031</v>
      </c>
      <c r="B353" s="122" t="s">
        <v>15680</v>
      </c>
      <c r="C353" s="122" t="s">
        <v>15681</v>
      </c>
      <c r="D353" s="122" t="s">
        <v>15682</v>
      </c>
      <c r="E353" s="123">
        <v>42233</v>
      </c>
      <c r="F353" s="122" t="s">
        <v>15683</v>
      </c>
      <c r="G353" s="122" t="s">
        <v>235</v>
      </c>
      <c r="H353" s="122" t="s">
        <v>15684</v>
      </c>
      <c r="I353" s="122" t="s">
        <v>15685</v>
      </c>
      <c r="K353" s="122" t="s">
        <v>5800</v>
      </c>
      <c r="L353" s="122" t="s">
        <v>5801</v>
      </c>
      <c r="M353" s="122" t="s">
        <v>6146</v>
      </c>
      <c r="O353" s="141" t="s">
        <v>3777</v>
      </c>
      <c r="P353" s="141" t="s">
        <v>15686</v>
      </c>
      <c r="Q353" s="122" t="s">
        <v>5805</v>
      </c>
      <c r="R353" s="142">
        <v>58</v>
      </c>
      <c r="S353" s="122" t="s">
        <v>15687</v>
      </c>
      <c r="U353" s="122" t="s">
        <v>4681</v>
      </c>
      <c r="W353" s="122" t="s">
        <v>246</v>
      </c>
      <c r="X353" s="122" t="s">
        <v>551</v>
      </c>
      <c r="Y353" s="141" t="s">
        <v>973</v>
      </c>
      <c r="Z353" s="122" t="s">
        <v>15688</v>
      </c>
      <c r="AA353" s="141" t="s">
        <v>1325</v>
      </c>
      <c r="AB353" s="122" t="s">
        <v>15689</v>
      </c>
      <c r="AC353" s="141" t="s">
        <v>2235</v>
      </c>
      <c r="AD353" s="122" t="s">
        <v>15690</v>
      </c>
      <c r="AE353" s="122" t="s">
        <v>235</v>
      </c>
      <c r="AF353" s="122" t="s">
        <v>15691</v>
      </c>
      <c r="AG353" s="122" t="s">
        <v>537</v>
      </c>
      <c r="AH353" s="122" t="s">
        <v>253</v>
      </c>
      <c r="AI353" s="122" t="s">
        <v>15692</v>
      </c>
      <c r="AJ353" s="122" t="s">
        <v>15693</v>
      </c>
      <c r="AK353" s="122" t="s">
        <v>253</v>
      </c>
      <c r="AL353" s="122" t="s">
        <v>253</v>
      </c>
      <c r="AM353" s="122" t="s">
        <v>253</v>
      </c>
      <c r="AN353" s="122" t="s">
        <v>253</v>
      </c>
      <c r="AO353" s="141" t="s">
        <v>247</v>
      </c>
      <c r="AP353" s="141" t="s">
        <v>253</v>
      </c>
      <c r="AQ353" s="141" t="s">
        <v>247</v>
      </c>
      <c r="AR353" s="141" t="s">
        <v>253</v>
      </c>
      <c r="AS353" s="141" t="s">
        <v>601</v>
      </c>
      <c r="AT353" s="141" t="s">
        <v>601</v>
      </c>
      <c r="AU353" s="141" t="s">
        <v>258</v>
      </c>
      <c r="AV353" s="122" t="s">
        <v>259</v>
      </c>
      <c r="AW353" s="122" t="s">
        <v>260</v>
      </c>
      <c r="AY353" s="122" t="s">
        <v>253</v>
      </c>
      <c r="AZ353" s="122" t="s">
        <v>15694</v>
      </c>
      <c r="BA353" s="122" t="s">
        <v>262</v>
      </c>
      <c r="BB353" s="122" t="s">
        <v>262</v>
      </c>
      <c r="BC353" s="141" t="s">
        <v>312</v>
      </c>
      <c r="BD353" s="122" t="s">
        <v>253</v>
      </c>
      <c r="BE353" s="122" t="s">
        <v>263</v>
      </c>
      <c r="BF353" s="122" t="s">
        <v>4688</v>
      </c>
      <c r="BH353" s="122" t="s">
        <v>4681</v>
      </c>
      <c r="BI353" s="142">
        <v>58</v>
      </c>
    </row>
    <row r="354" spans="1:61" x14ac:dyDescent="0.25">
      <c r="A354" s="122" t="s">
        <v>9031</v>
      </c>
      <c r="B354" s="122" t="s">
        <v>15695</v>
      </c>
      <c r="C354" s="122" t="s">
        <v>15696</v>
      </c>
      <c r="D354" s="122" t="s">
        <v>15697</v>
      </c>
      <c r="E354" s="123">
        <v>42233</v>
      </c>
      <c r="F354" s="122" t="s">
        <v>3856</v>
      </c>
      <c r="G354" s="122" t="s">
        <v>235</v>
      </c>
      <c r="H354" s="122" t="s">
        <v>15698</v>
      </c>
      <c r="I354" s="122" t="s">
        <v>15699</v>
      </c>
      <c r="J354" s="122" t="s">
        <v>15700</v>
      </c>
      <c r="K354" s="122" t="s">
        <v>3419</v>
      </c>
      <c r="L354" s="122" t="s">
        <v>3503</v>
      </c>
      <c r="M354" s="122" t="s">
        <v>3504</v>
      </c>
      <c r="O354" s="141" t="s">
        <v>566</v>
      </c>
      <c r="P354" s="141" t="s">
        <v>15701</v>
      </c>
      <c r="Q354" s="122" t="s">
        <v>3424</v>
      </c>
      <c r="R354" s="142">
        <v>59</v>
      </c>
      <c r="S354" s="122" t="s">
        <v>15702</v>
      </c>
      <c r="U354" s="122" t="s">
        <v>4681</v>
      </c>
      <c r="W354" s="122" t="s">
        <v>246</v>
      </c>
      <c r="X354" s="122" t="s">
        <v>1377</v>
      </c>
      <c r="Y354" s="141" t="s">
        <v>2717</v>
      </c>
      <c r="Z354" s="122" t="s">
        <v>15703</v>
      </c>
      <c r="AA354" s="141" t="s">
        <v>819</v>
      </c>
      <c r="AB354" s="122" t="s">
        <v>15703</v>
      </c>
      <c r="AC354" s="141" t="s">
        <v>1327</v>
      </c>
      <c r="AD354" s="122" t="s">
        <v>15703</v>
      </c>
      <c r="AE354" s="122" t="s">
        <v>235</v>
      </c>
      <c r="AF354" s="122" t="s">
        <v>15704</v>
      </c>
      <c r="AG354" s="122" t="s">
        <v>537</v>
      </c>
      <c r="AH354" s="122" t="s">
        <v>253</v>
      </c>
      <c r="AI354" s="122" t="s">
        <v>15705</v>
      </c>
      <c r="AJ354" s="122" t="s">
        <v>15706</v>
      </c>
      <c r="AK354" s="122" t="s">
        <v>253</v>
      </c>
      <c r="AL354" s="122" t="s">
        <v>253</v>
      </c>
      <c r="AM354" s="122" t="s">
        <v>253</v>
      </c>
      <c r="AN354" s="122" t="s">
        <v>253</v>
      </c>
      <c r="AO354" s="141" t="s">
        <v>247</v>
      </c>
      <c r="AP354" s="141" t="s">
        <v>247</v>
      </c>
      <c r="AQ354" s="141" t="s">
        <v>253</v>
      </c>
      <c r="AR354" s="141" t="s">
        <v>253</v>
      </c>
      <c r="AS354" s="141" t="s">
        <v>601</v>
      </c>
      <c r="AT354" s="141" t="s">
        <v>258</v>
      </c>
      <c r="AU354" s="141" t="s">
        <v>258</v>
      </c>
      <c r="AV354" s="122" t="s">
        <v>259</v>
      </c>
      <c r="AW354" s="122" t="s">
        <v>260</v>
      </c>
      <c r="AY354" s="122" t="s">
        <v>253</v>
      </c>
      <c r="AZ354" s="122" t="s">
        <v>15707</v>
      </c>
      <c r="BA354" s="122" t="s">
        <v>262</v>
      </c>
      <c r="BB354" s="122" t="s">
        <v>262</v>
      </c>
      <c r="BD354" s="122" t="s">
        <v>253</v>
      </c>
      <c r="BE354" s="122" t="s">
        <v>263</v>
      </c>
      <c r="BF354" s="122" t="s">
        <v>4688</v>
      </c>
      <c r="BH354" s="122" t="s">
        <v>4681</v>
      </c>
      <c r="BI354" s="142">
        <v>59</v>
      </c>
    </row>
    <row r="355" spans="1:61" x14ac:dyDescent="0.25">
      <c r="A355" s="122" t="s">
        <v>11880</v>
      </c>
      <c r="B355" s="122" t="s">
        <v>15708</v>
      </c>
      <c r="C355" s="122" t="s">
        <v>15709</v>
      </c>
      <c r="D355" s="122" t="s">
        <v>15710</v>
      </c>
      <c r="E355" s="123">
        <v>42233</v>
      </c>
      <c r="F355" s="122" t="s">
        <v>668</v>
      </c>
      <c r="G355" s="122" t="s">
        <v>235</v>
      </c>
      <c r="H355" s="122" t="s">
        <v>448</v>
      </c>
      <c r="I355" s="122" t="s">
        <v>15711</v>
      </c>
      <c r="K355" s="122" t="s">
        <v>3419</v>
      </c>
      <c r="L355" s="122" t="s">
        <v>3420</v>
      </c>
      <c r="M355" s="122" t="s">
        <v>3504</v>
      </c>
      <c r="O355" s="141" t="s">
        <v>2378</v>
      </c>
      <c r="P355" s="141" t="s">
        <v>15712</v>
      </c>
      <c r="Q355" s="122" t="s">
        <v>3424</v>
      </c>
      <c r="R355" s="142">
        <v>60</v>
      </c>
      <c r="S355" s="122" t="s">
        <v>15713</v>
      </c>
      <c r="U355" s="122" t="s">
        <v>4681</v>
      </c>
      <c r="W355" s="122" t="s">
        <v>246</v>
      </c>
      <c r="X355" s="122" t="s">
        <v>278</v>
      </c>
      <c r="Z355" s="122" t="s">
        <v>250</v>
      </c>
      <c r="AB355" s="122" t="s">
        <v>250</v>
      </c>
      <c r="AD355" s="122" t="s">
        <v>250</v>
      </c>
      <c r="AE355" s="122" t="s">
        <v>235</v>
      </c>
      <c r="AF355" s="122" t="s">
        <v>6892</v>
      </c>
      <c r="AG355" s="122" t="s">
        <v>537</v>
      </c>
      <c r="AH355" s="122" t="s">
        <v>1225</v>
      </c>
      <c r="AI355" s="122" t="s">
        <v>11055</v>
      </c>
      <c r="AJ355" s="122" t="s">
        <v>15714</v>
      </c>
      <c r="AK355" s="122" t="s">
        <v>253</v>
      </c>
      <c r="AL355" s="122" t="s">
        <v>253</v>
      </c>
      <c r="AM355" s="122" t="s">
        <v>253</v>
      </c>
      <c r="AN355" s="122" t="s">
        <v>253</v>
      </c>
      <c r="AO355" s="141" t="s">
        <v>253</v>
      </c>
      <c r="AP355" s="141" t="s">
        <v>253</v>
      </c>
      <c r="AQ355" s="141" t="s">
        <v>247</v>
      </c>
      <c r="AR355" s="141" t="s">
        <v>253</v>
      </c>
      <c r="AS355" s="141" t="s">
        <v>361</v>
      </c>
      <c r="AT355" s="141" t="s">
        <v>601</v>
      </c>
      <c r="AU355" s="141" t="s">
        <v>258</v>
      </c>
      <c r="AV355" s="122" t="s">
        <v>259</v>
      </c>
      <c r="AW355" s="122" t="s">
        <v>260</v>
      </c>
      <c r="AY355" s="122" t="s">
        <v>253</v>
      </c>
      <c r="AZ355" s="122" t="s">
        <v>262</v>
      </c>
      <c r="BA355" s="122" t="s">
        <v>262</v>
      </c>
      <c r="BB355" s="122" t="s">
        <v>15715</v>
      </c>
      <c r="BD355" s="122" t="s">
        <v>253</v>
      </c>
      <c r="BE355" s="122" t="s">
        <v>263</v>
      </c>
      <c r="BF355" s="122" t="s">
        <v>4688</v>
      </c>
      <c r="BH355" s="122" t="s">
        <v>4681</v>
      </c>
      <c r="BI355" s="142">
        <v>60</v>
      </c>
    </row>
    <row r="356" spans="1:61" x14ac:dyDescent="0.25">
      <c r="A356" s="122" t="s">
        <v>11880</v>
      </c>
      <c r="B356" s="122" t="s">
        <v>15716</v>
      </c>
      <c r="C356" s="122" t="s">
        <v>15717</v>
      </c>
      <c r="D356" s="122" t="s">
        <v>15718</v>
      </c>
      <c r="E356" s="123">
        <v>42233</v>
      </c>
      <c r="F356" s="122" t="s">
        <v>857</v>
      </c>
      <c r="G356" s="122" t="s">
        <v>235</v>
      </c>
      <c r="H356" s="122" t="s">
        <v>15719</v>
      </c>
      <c r="I356" s="122" t="s">
        <v>5933</v>
      </c>
      <c r="J356" s="122" t="s">
        <v>15720</v>
      </c>
      <c r="K356" s="122" t="s">
        <v>5879</v>
      </c>
      <c r="L356" s="122" t="s">
        <v>5880</v>
      </c>
      <c r="M356" s="122" t="s">
        <v>5935</v>
      </c>
      <c r="O356" s="141" t="s">
        <v>373</v>
      </c>
      <c r="P356" s="141" t="s">
        <v>15721</v>
      </c>
      <c r="Q356" s="122" t="s">
        <v>3424</v>
      </c>
      <c r="R356" s="142">
        <v>61</v>
      </c>
      <c r="S356" s="122" t="s">
        <v>15722</v>
      </c>
      <c r="U356" s="122" t="s">
        <v>4681</v>
      </c>
      <c r="X356" s="122" t="s">
        <v>1057</v>
      </c>
      <c r="Y356" s="141" t="s">
        <v>500</v>
      </c>
      <c r="Z356" s="122" t="s">
        <v>11335</v>
      </c>
      <c r="AA356" s="141" t="s">
        <v>901</v>
      </c>
      <c r="AB356" s="122" t="s">
        <v>5997</v>
      </c>
      <c r="AD356" s="122" t="s">
        <v>250</v>
      </c>
      <c r="AE356" s="122" t="s">
        <v>235</v>
      </c>
      <c r="AF356" s="122" t="s">
        <v>11016</v>
      </c>
      <c r="AG356" s="122" t="s">
        <v>253</v>
      </c>
      <c r="AH356" s="122" t="s">
        <v>253</v>
      </c>
      <c r="AI356" s="122" t="s">
        <v>4426</v>
      </c>
      <c r="AJ356" s="122" t="s">
        <v>4427</v>
      </c>
      <c r="AK356" s="122" t="s">
        <v>6193</v>
      </c>
      <c r="AL356" s="122" t="s">
        <v>253</v>
      </c>
      <c r="AM356" s="122" t="s">
        <v>253</v>
      </c>
      <c r="AN356" s="122" t="s">
        <v>253</v>
      </c>
      <c r="AO356" s="141" t="s">
        <v>253</v>
      </c>
      <c r="AP356" s="141" t="s">
        <v>253</v>
      </c>
      <c r="AQ356" s="141" t="s">
        <v>247</v>
      </c>
      <c r="AR356" s="141" t="s">
        <v>253</v>
      </c>
      <c r="AS356" s="141" t="s">
        <v>361</v>
      </c>
      <c r="AT356" s="141" t="s">
        <v>601</v>
      </c>
      <c r="AU356" s="141" t="s">
        <v>258</v>
      </c>
      <c r="AV356" s="122" t="s">
        <v>259</v>
      </c>
      <c r="AW356" s="122" t="s">
        <v>260</v>
      </c>
      <c r="AY356" s="122" t="s">
        <v>253</v>
      </c>
      <c r="AZ356" s="122" t="s">
        <v>15723</v>
      </c>
      <c r="BA356" s="122" t="s">
        <v>262</v>
      </c>
      <c r="BB356" s="122" t="s">
        <v>262</v>
      </c>
      <c r="BD356" s="122" t="s">
        <v>253</v>
      </c>
      <c r="BE356" s="122" t="s">
        <v>263</v>
      </c>
      <c r="BF356" s="122" t="s">
        <v>4688</v>
      </c>
      <c r="BH356" s="122" t="s">
        <v>4681</v>
      </c>
      <c r="BI356" s="142">
        <v>61</v>
      </c>
    </row>
    <row r="357" spans="1:61" x14ac:dyDescent="0.25">
      <c r="A357" s="122" t="s">
        <v>11880</v>
      </c>
      <c r="B357" s="122" t="s">
        <v>15724</v>
      </c>
      <c r="C357" s="122" t="s">
        <v>15725</v>
      </c>
      <c r="D357" s="122" t="s">
        <v>15726</v>
      </c>
      <c r="E357" s="123">
        <v>42233</v>
      </c>
      <c r="F357" s="122" t="s">
        <v>9830</v>
      </c>
      <c r="G357" s="122" t="s">
        <v>235</v>
      </c>
      <c r="H357" s="122" t="s">
        <v>15727</v>
      </c>
      <c r="I357" s="122" t="s">
        <v>15728</v>
      </c>
      <c r="K357" s="122" t="s">
        <v>5565</v>
      </c>
      <c r="L357" s="122" t="s">
        <v>5566</v>
      </c>
      <c r="M357" s="122" t="s">
        <v>5567</v>
      </c>
      <c r="Q357" s="122" t="s">
        <v>3389</v>
      </c>
      <c r="R357" s="142">
        <v>62</v>
      </c>
      <c r="S357" s="122" t="s">
        <v>15729</v>
      </c>
      <c r="U357" s="122" t="s">
        <v>4681</v>
      </c>
      <c r="W357" s="122" t="s">
        <v>246</v>
      </c>
      <c r="X357" s="122" t="s">
        <v>1324</v>
      </c>
      <c r="Y357" s="141" t="s">
        <v>2133</v>
      </c>
      <c r="Z357" s="122" t="s">
        <v>10900</v>
      </c>
      <c r="AA357" s="141" t="s">
        <v>742</v>
      </c>
      <c r="AB357" s="122" t="s">
        <v>10900</v>
      </c>
      <c r="AC357" s="141" t="s">
        <v>7483</v>
      </c>
      <c r="AD357" s="122" t="s">
        <v>15730</v>
      </c>
      <c r="AE357" s="122" t="s">
        <v>235</v>
      </c>
      <c r="AF357" s="122" t="s">
        <v>15731</v>
      </c>
      <c r="AG357" s="122" t="s">
        <v>537</v>
      </c>
      <c r="AH357" s="122" t="s">
        <v>253</v>
      </c>
      <c r="AI357" s="122" t="s">
        <v>4288</v>
      </c>
      <c r="AJ357" s="122" t="s">
        <v>10902</v>
      </c>
      <c r="AK357" s="122" t="s">
        <v>15732</v>
      </c>
      <c r="AL357" s="122" t="s">
        <v>253</v>
      </c>
      <c r="AM357" s="122" t="s">
        <v>253</v>
      </c>
      <c r="AN357" s="122" t="s">
        <v>253</v>
      </c>
      <c r="AO357" s="141" t="s">
        <v>247</v>
      </c>
      <c r="AP357" s="141" t="s">
        <v>253</v>
      </c>
      <c r="AQ357" s="141" t="s">
        <v>253</v>
      </c>
      <c r="AR357" s="141" t="s">
        <v>253</v>
      </c>
      <c r="AS357" s="141" t="s">
        <v>601</v>
      </c>
      <c r="AT357" s="141" t="s">
        <v>258</v>
      </c>
      <c r="AU357" s="141" t="s">
        <v>258</v>
      </c>
      <c r="AV357" s="122" t="s">
        <v>259</v>
      </c>
      <c r="AW357" s="122" t="s">
        <v>260</v>
      </c>
      <c r="AY357" s="122" t="s">
        <v>253</v>
      </c>
      <c r="AZ357" s="122" t="s">
        <v>15733</v>
      </c>
      <c r="BA357" s="122" t="s">
        <v>262</v>
      </c>
      <c r="BB357" s="122" t="s">
        <v>15734</v>
      </c>
      <c r="BD357" s="122" t="s">
        <v>253</v>
      </c>
      <c r="BE357" s="122" t="s">
        <v>263</v>
      </c>
      <c r="BF357" s="122" t="s">
        <v>4688</v>
      </c>
      <c r="BH357" s="122" t="s">
        <v>4681</v>
      </c>
      <c r="BI357" s="142">
        <v>62</v>
      </c>
    </row>
    <row r="358" spans="1:61" x14ac:dyDescent="0.25">
      <c r="A358" s="122" t="s">
        <v>11880</v>
      </c>
      <c r="B358" s="122" t="s">
        <v>15735</v>
      </c>
      <c r="C358" s="122" t="s">
        <v>15736</v>
      </c>
      <c r="D358" s="122" t="s">
        <v>15737</v>
      </c>
      <c r="E358" s="123">
        <v>42233</v>
      </c>
      <c r="F358" s="122" t="s">
        <v>6397</v>
      </c>
      <c r="G358" s="122" t="s">
        <v>235</v>
      </c>
      <c r="H358" s="122" t="s">
        <v>15738</v>
      </c>
      <c r="I358" s="122" t="s">
        <v>15739</v>
      </c>
      <c r="K358" s="122" t="s">
        <v>5565</v>
      </c>
      <c r="L358" s="122" t="s">
        <v>5566</v>
      </c>
      <c r="M358" s="122" t="s">
        <v>5567</v>
      </c>
      <c r="O358" s="141" t="s">
        <v>15740</v>
      </c>
      <c r="P358" s="141" t="s">
        <v>15741</v>
      </c>
      <c r="Q358" s="122" t="s">
        <v>3389</v>
      </c>
      <c r="R358" s="142">
        <v>63</v>
      </c>
      <c r="S358" s="122" t="s">
        <v>15742</v>
      </c>
      <c r="U358" s="122" t="s">
        <v>4681</v>
      </c>
      <c r="W358" s="122" t="s">
        <v>246</v>
      </c>
      <c r="X358" s="122" t="s">
        <v>853</v>
      </c>
      <c r="Y358" s="141" t="s">
        <v>500</v>
      </c>
      <c r="Z358" s="122" t="s">
        <v>15743</v>
      </c>
      <c r="AA358" s="141" t="s">
        <v>1762</v>
      </c>
      <c r="AB358" s="122" t="s">
        <v>15744</v>
      </c>
      <c r="AC358" s="141" t="s">
        <v>2051</v>
      </c>
      <c r="AD358" s="122" t="s">
        <v>1144</v>
      </c>
      <c r="AE358" s="122" t="s">
        <v>235</v>
      </c>
      <c r="AF358" s="122" t="s">
        <v>15745</v>
      </c>
      <c r="AG358" s="122" t="s">
        <v>253</v>
      </c>
      <c r="AH358" s="122" t="s">
        <v>253</v>
      </c>
      <c r="AI358" s="122" t="s">
        <v>15746</v>
      </c>
      <c r="AJ358" s="122" t="s">
        <v>15747</v>
      </c>
      <c r="AK358" s="122" t="s">
        <v>15748</v>
      </c>
      <c r="AL358" s="122" t="s">
        <v>253</v>
      </c>
      <c r="AM358" s="122" t="s">
        <v>253</v>
      </c>
      <c r="AN358" s="122" t="s">
        <v>253</v>
      </c>
      <c r="AO358" s="141" t="s">
        <v>247</v>
      </c>
      <c r="AP358" s="141" t="s">
        <v>247</v>
      </c>
      <c r="AQ358" s="141" t="s">
        <v>247</v>
      </c>
      <c r="AR358" s="141" t="s">
        <v>247</v>
      </c>
      <c r="AS358" s="141" t="s">
        <v>601</v>
      </c>
      <c r="AT358" s="141" t="s">
        <v>601</v>
      </c>
      <c r="AU358" s="141" t="s">
        <v>601</v>
      </c>
      <c r="AV358" s="122" t="s">
        <v>259</v>
      </c>
      <c r="AW358" s="122" t="s">
        <v>260</v>
      </c>
      <c r="AY358" s="122" t="s">
        <v>253</v>
      </c>
      <c r="AZ358" s="122" t="s">
        <v>15749</v>
      </c>
      <c r="BA358" s="122" t="s">
        <v>262</v>
      </c>
      <c r="BB358" s="122" t="s">
        <v>262</v>
      </c>
      <c r="BC358" s="141" t="s">
        <v>312</v>
      </c>
      <c r="BD358" s="122" t="s">
        <v>253</v>
      </c>
      <c r="BE358" s="122" t="s">
        <v>263</v>
      </c>
      <c r="BF358" s="122" t="s">
        <v>4688</v>
      </c>
      <c r="BH358" s="122" t="s">
        <v>4681</v>
      </c>
      <c r="BI358" s="142">
        <v>63</v>
      </c>
    </row>
    <row r="359" spans="1:61" x14ac:dyDescent="0.25">
      <c r="A359" s="122" t="s">
        <v>9904</v>
      </c>
      <c r="B359" s="122" t="s">
        <v>15750</v>
      </c>
      <c r="C359" s="122" t="s">
        <v>15751</v>
      </c>
      <c r="D359" s="122" t="s">
        <v>15752</v>
      </c>
      <c r="E359" s="123">
        <v>42233</v>
      </c>
      <c r="F359" s="122" t="s">
        <v>7557</v>
      </c>
      <c r="G359" s="122" t="s">
        <v>235</v>
      </c>
      <c r="H359" s="122" t="s">
        <v>15753</v>
      </c>
      <c r="I359" s="122" t="s">
        <v>5933</v>
      </c>
      <c r="J359" s="122" t="s">
        <v>15754</v>
      </c>
      <c r="K359" s="122" t="s">
        <v>5879</v>
      </c>
      <c r="L359" s="122" t="s">
        <v>5880</v>
      </c>
      <c r="M359" s="122" t="s">
        <v>5935</v>
      </c>
      <c r="O359" s="141" t="s">
        <v>2559</v>
      </c>
      <c r="P359" s="141" t="s">
        <v>15755</v>
      </c>
      <c r="Q359" s="122" t="s">
        <v>3424</v>
      </c>
      <c r="R359" s="142">
        <v>64</v>
      </c>
      <c r="S359" s="122" t="s">
        <v>15756</v>
      </c>
      <c r="U359" s="122" t="s">
        <v>4681</v>
      </c>
      <c r="X359" s="122" t="s">
        <v>551</v>
      </c>
      <c r="Y359" s="141" t="s">
        <v>4229</v>
      </c>
      <c r="Z359" s="122" t="s">
        <v>7096</v>
      </c>
      <c r="AA359" s="141" t="s">
        <v>685</v>
      </c>
      <c r="AB359" s="122" t="s">
        <v>3823</v>
      </c>
      <c r="AC359" s="141" t="s">
        <v>3574</v>
      </c>
      <c r="AD359" s="122" t="s">
        <v>3823</v>
      </c>
      <c r="AE359" s="122" t="s">
        <v>235</v>
      </c>
      <c r="AF359" s="122" t="s">
        <v>3826</v>
      </c>
      <c r="AG359" s="122" t="s">
        <v>537</v>
      </c>
      <c r="AH359" s="122" t="s">
        <v>253</v>
      </c>
      <c r="AI359" s="122" t="s">
        <v>3827</v>
      </c>
      <c r="AJ359" s="122" t="s">
        <v>3700</v>
      </c>
      <c r="AK359" s="122" t="s">
        <v>253</v>
      </c>
      <c r="AL359" s="122" t="s">
        <v>253</v>
      </c>
      <c r="AM359" s="122" t="s">
        <v>253</v>
      </c>
      <c r="AN359" s="122" t="s">
        <v>253</v>
      </c>
      <c r="AO359" s="141" t="s">
        <v>253</v>
      </c>
      <c r="AP359" s="141" t="s">
        <v>253</v>
      </c>
      <c r="AQ359" s="141" t="s">
        <v>247</v>
      </c>
      <c r="AR359" s="141" t="s">
        <v>253</v>
      </c>
      <c r="AS359" s="141" t="s">
        <v>361</v>
      </c>
      <c r="AT359" s="141" t="s">
        <v>601</v>
      </c>
      <c r="AU359" s="141" t="s">
        <v>258</v>
      </c>
      <c r="AV359" s="122" t="s">
        <v>259</v>
      </c>
      <c r="AW359" s="122" t="s">
        <v>260</v>
      </c>
      <c r="AY359" s="122" t="s">
        <v>253</v>
      </c>
      <c r="AZ359" s="122" t="s">
        <v>15757</v>
      </c>
      <c r="BA359" s="122" t="s">
        <v>262</v>
      </c>
      <c r="BB359" s="122" t="s">
        <v>262</v>
      </c>
      <c r="BD359" s="122" t="s">
        <v>253</v>
      </c>
      <c r="BE359" s="122" t="s">
        <v>263</v>
      </c>
      <c r="BF359" s="122" t="s">
        <v>4688</v>
      </c>
      <c r="BH359" s="122" t="s">
        <v>4681</v>
      </c>
      <c r="BI359" s="142">
        <v>64</v>
      </c>
    </row>
    <row r="360" spans="1:61" x14ac:dyDescent="0.25">
      <c r="A360" s="122" t="s">
        <v>9904</v>
      </c>
      <c r="B360" s="122" t="s">
        <v>15758</v>
      </c>
      <c r="C360" s="122" t="s">
        <v>15759</v>
      </c>
      <c r="D360" s="122" t="s">
        <v>15760</v>
      </c>
      <c r="E360" s="123">
        <v>42233</v>
      </c>
      <c r="F360" s="122" t="s">
        <v>15761</v>
      </c>
      <c r="G360" s="122" t="s">
        <v>235</v>
      </c>
      <c r="H360" s="122" t="s">
        <v>15762</v>
      </c>
      <c r="I360" s="122" t="s">
        <v>15763</v>
      </c>
      <c r="K360" s="122" t="s">
        <v>3419</v>
      </c>
      <c r="L360" s="122" t="s">
        <v>3420</v>
      </c>
      <c r="M360" s="122" t="s">
        <v>3421</v>
      </c>
      <c r="Q360" s="122" t="s">
        <v>3424</v>
      </c>
      <c r="R360" s="142">
        <v>65</v>
      </c>
      <c r="S360" s="122" t="s">
        <v>15764</v>
      </c>
      <c r="U360" s="122" t="s">
        <v>4681</v>
      </c>
      <c r="W360" s="122" t="s">
        <v>246</v>
      </c>
      <c r="X360" s="122" t="s">
        <v>551</v>
      </c>
      <c r="Y360" s="141" t="s">
        <v>4229</v>
      </c>
      <c r="Z360" s="122" t="s">
        <v>15765</v>
      </c>
      <c r="AA360" s="141" t="s">
        <v>1876</v>
      </c>
      <c r="AB360" s="122" t="s">
        <v>15766</v>
      </c>
      <c r="AC360" s="141" t="s">
        <v>901</v>
      </c>
      <c r="AD360" s="122" t="s">
        <v>15767</v>
      </c>
      <c r="AE360" s="122" t="s">
        <v>235</v>
      </c>
      <c r="AF360" s="122" t="s">
        <v>15768</v>
      </c>
      <c r="AG360" s="122" t="s">
        <v>537</v>
      </c>
      <c r="AH360" s="122" t="s">
        <v>253</v>
      </c>
      <c r="AI360" s="122" t="s">
        <v>15769</v>
      </c>
      <c r="AJ360" s="122" t="s">
        <v>15770</v>
      </c>
      <c r="AK360" s="122" t="s">
        <v>253</v>
      </c>
      <c r="AL360" s="122" t="s">
        <v>253</v>
      </c>
      <c r="AM360" s="122" t="s">
        <v>253</v>
      </c>
      <c r="AN360" s="122" t="s">
        <v>253</v>
      </c>
      <c r="AO360" s="141" t="s">
        <v>247</v>
      </c>
      <c r="AP360" s="141" t="s">
        <v>247</v>
      </c>
      <c r="AQ360" s="141" t="s">
        <v>247</v>
      </c>
      <c r="AR360" s="141" t="s">
        <v>247</v>
      </c>
      <c r="AS360" s="141" t="s">
        <v>601</v>
      </c>
      <c r="AT360" s="141" t="s">
        <v>601</v>
      </c>
      <c r="AU360" s="141" t="s">
        <v>601</v>
      </c>
      <c r="AV360" s="122" t="s">
        <v>259</v>
      </c>
      <c r="AW360" s="122" t="s">
        <v>260</v>
      </c>
      <c r="AY360" s="122" t="s">
        <v>253</v>
      </c>
      <c r="AZ360" s="122" t="s">
        <v>15771</v>
      </c>
      <c r="BA360" s="122" t="s">
        <v>262</v>
      </c>
      <c r="BB360" s="122" t="s">
        <v>15772</v>
      </c>
      <c r="BD360" s="122" t="s">
        <v>253</v>
      </c>
      <c r="BE360" s="122" t="s">
        <v>263</v>
      </c>
      <c r="BF360" s="122" t="s">
        <v>4688</v>
      </c>
      <c r="BH360" s="122" t="s">
        <v>4681</v>
      </c>
      <c r="BI360" s="142">
        <v>65</v>
      </c>
    </row>
    <row r="361" spans="1:61" x14ac:dyDescent="0.25">
      <c r="A361" s="122" t="s">
        <v>9904</v>
      </c>
      <c r="B361" s="122" t="s">
        <v>15773</v>
      </c>
      <c r="C361" s="122" t="s">
        <v>15774</v>
      </c>
      <c r="D361" s="122" t="s">
        <v>15775</v>
      </c>
      <c r="E361" s="123">
        <v>42233</v>
      </c>
      <c r="F361" s="122" t="s">
        <v>15776</v>
      </c>
      <c r="G361" s="122" t="s">
        <v>235</v>
      </c>
      <c r="H361" s="122" t="s">
        <v>15777</v>
      </c>
      <c r="I361" s="122" t="s">
        <v>15778</v>
      </c>
      <c r="K361" s="122" t="s">
        <v>3419</v>
      </c>
      <c r="L361" s="122" t="s">
        <v>3420</v>
      </c>
      <c r="M361" s="122" t="s">
        <v>3421</v>
      </c>
      <c r="O361" s="141" t="s">
        <v>2055</v>
      </c>
      <c r="P361" s="141" t="s">
        <v>15779</v>
      </c>
      <c r="Q361" s="122" t="s">
        <v>3424</v>
      </c>
      <c r="R361" s="142">
        <v>66</v>
      </c>
      <c r="S361" s="122" t="s">
        <v>15780</v>
      </c>
      <c r="U361" s="122" t="s">
        <v>4681</v>
      </c>
      <c r="W361" s="122" t="s">
        <v>246</v>
      </c>
      <c r="X361" s="122" t="s">
        <v>2624</v>
      </c>
      <c r="Y361" s="141" t="s">
        <v>457</v>
      </c>
      <c r="Z361" s="122" t="s">
        <v>15781</v>
      </c>
      <c r="AA361" s="141" t="s">
        <v>281</v>
      </c>
      <c r="AB361" s="122" t="s">
        <v>15781</v>
      </c>
      <c r="AC361" s="141" t="s">
        <v>9522</v>
      </c>
      <c r="AD361" s="122" t="s">
        <v>15781</v>
      </c>
      <c r="AE361" s="122" t="s">
        <v>235</v>
      </c>
      <c r="AF361" s="122" t="s">
        <v>15782</v>
      </c>
      <c r="AG361" s="122" t="s">
        <v>253</v>
      </c>
      <c r="AH361" s="122" t="s">
        <v>253</v>
      </c>
      <c r="AI361" s="122" t="s">
        <v>15783</v>
      </c>
      <c r="AJ361" s="122" t="s">
        <v>15784</v>
      </c>
      <c r="AK361" s="122" t="s">
        <v>15785</v>
      </c>
      <c r="AL361" s="122" t="s">
        <v>253</v>
      </c>
      <c r="AM361" s="122" t="s">
        <v>253</v>
      </c>
      <c r="AN361" s="122" t="s">
        <v>253</v>
      </c>
      <c r="AO361" s="141" t="s">
        <v>247</v>
      </c>
      <c r="AP361" s="141" t="s">
        <v>253</v>
      </c>
      <c r="AQ361" s="141" t="s">
        <v>247</v>
      </c>
      <c r="AR361" s="141" t="s">
        <v>253</v>
      </c>
      <c r="AS361" s="141" t="s">
        <v>601</v>
      </c>
      <c r="AT361" s="141" t="s">
        <v>601</v>
      </c>
      <c r="AU361" s="141" t="s">
        <v>258</v>
      </c>
      <c r="AV361" s="122" t="s">
        <v>259</v>
      </c>
      <c r="AW361" s="122" t="s">
        <v>260</v>
      </c>
      <c r="AY361" s="122" t="s">
        <v>253</v>
      </c>
      <c r="AZ361" s="122" t="s">
        <v>15786</v>
      </c>
      <c r="BA361" s="122" t="s">
        <v>262</v>
      </c>
      <c r="BB361" s="122" t="s">
        <v>15787</v>
      </c>
      <c r="BD361" s="122" t="s">
        <v>253</v>
      </c>
      <c r="BE361" s="122" t="s">
        <v>263</v>
      </c>
      <c r="BF361" s="122" t="s">
        <v>4688</v>
      </c>
      <c r="BH361" s="122" t="s">
        <v>4681</v>
      </c>
      <c r="BI361" s="142">
        <v>66</v>
      </c>
    </row>
    <row r="362" spans="1:61" x14ac:dyDescent="0.25">
      <c r="A362" s="122" t="s">
        <v>9904</v>
      </c>
      <c r="B362" s="122" t="s">
        <v>15788</v>
      </c>
      <c r="C362" s="122" t="s">
        <v>15789</v>
      </c>
      <c r="D362" s="122" t="s">
        <v>15790</v>
      </c>
      <c r="E362" s="123">
        <v>42233</v>
      </c>
      <c r="F362" s="122" t="s">
        <v>1090</v>
      </c>
      <c r="G362" s="122" t="s">
        <v>235</v>
      </c>
      <c r="H362" s="122" t="s">
        <v>15791</v>
      </c>
      <c r="I362" s="122" t="s">
        <v>15792</v>
      </c>
      <c r="K362" s="122" t="s">
        <v>3419</v>
      </c>
      <c r="L362" s="122" t="s">
        <v>3503</v>
      </c>
      <c r="M362" s="122" t="s">
        <v>3504</v>
      </c>
      <c r="O362" s="141" t="s">
        <v>2378</v>
      </c>
      <c r="P362" s="141" t="s">
        <v>15793</v>
      </c>
      <c r="Q362" s="122" t="s">
        <v>3424</v>
      </c>
      <c r="R362" s="142">
        <v>67</v>
      </c>
      <c r="S362" s="122" t="s">
        <v>15794</v>
      </c>
      <c r="U362" s="122" t="s">
        <v>4681</v>
      </c>
      <c r="W362" s="122" t="s">
        <v>246</v>
      </c>
      <c r="X362" s="122" t="s">
        <v>721</v>
      </c>
      <c r="Y362" s="141" t="s">
        <v>6059</v>
      </c>
      <c r="Z362" s="122" t="s">
        <v>15795</v>
      </c>
      <c r="AA362" s="141" t="s">
        <v>1125</v>
      </c>
      <c r="AB362" s="122" t="s">
        <v>15796</v>
      </c>
      <c r="AD362" s="122" t="s">
        <v>250</v>
      </c>
      <c r="AE362" s="122" t="s">
        <v>235</v>
      </c>
      <c r="AF362" s="122" t="s">
        <v>15797</v>
      </c>
      <c r="AG362" s="122" t="s">
        <v>253</v>
      </c>
      <c r="AH362" s="122" t="s">
        <v>253</v>
      </c>
      <c r="AI362" s="122" t="s">
        <v>15798</v>
      </c>
      <c r="AJ362" s="122" t="s">
        <v>15799</v>
      </c>
      <c r="AK362" s="122" t="s">
        <v>253</v>
      </c>
      <c r="AL362" s="122" t="s">
        <v>15800</v>
      </c>
      <c r="AM362" s="122" t="s">
        <v>253</v>
      </c>
      <c r="AN362" s="122" t="s">
        <v>253</v>
      </c>
      <c r="AO362" s="141" t="s">
        <v>253</v>
      </c>
      <c r="AP362" s="141" t="s">
        <v>253</v>
      </c>
      <c r="AQ362" s="141" t="s">
        <v>247</v>
      </c>
      <c r="AR362" s="141" t="s">
        <v>247</v>
      </c>
      <c r="AS362" s="141" t="s">
        <v>361</v>
      </c>
      <c r="AT362" s="141" t="s">
        <v>601</v>
      </c>
      <c r="AU362" s="141" t="s">
        <v>601</v>
      </c>
      <c r="AV362" s="122" t="s">
        <v>259</v>
      </c>
      <c r="AW362" s="122" t="s">
        <v>260</v>
      </c>
      <c r="AX362" s="141" t="s">
        <v>13961</v>
      </c>
      <c r="AY362" s="122" t="s">
        <v>603</v>
      </c>
      <c r="AZ362" s="122" t="s">
        <v>15801</v>
      </c>
      <c r="BA362" s="122" t="s">
        <v>262</v>
      </c>
      <c r="BB362" s="122" t="s">
        <v>262</v>
      </c>
      <c r="BD362" s="122" t="s">
        <v>253</v>
      </c>
      <c r="BE362" s="122" t="s">
        <v>263</v>
      </c>
      <c r="BF362" s="122" t="s">
        <v>4688</v>
      </c>
      <c r="BH362" s="122" t="s">
        <v>4681</v>
      </c>
      <c r="BI362" s="142">
        <v>67</v>
      </c>
    </row>
    <row r="363" spans="1:61" x14ac:dyDescent="0.25">
      <c r="A363" s="122" t="s">
        <v>9904</v>
      </c>
      <c r="B363" s="122" t="s">
        <v>15802</v>
      </c>
      <c r="C363" s="122" t="s">
        <v>15803</v>
      </c>
      <c r="D363" s="122" t="s">
        <v>15804</v>
      </c>
      <c r="E363" s="123">
        <v>42233</v>
      </c>
      <c r="F363" s="122" t="s">
        <v>15805</v>
      </c>
      <c r="G363" s="122" t="s">
        <v>235</v>
      </c>
      <c r="H363" s="122" t="s">
        <v>15806</v>
      </c>
      <c r="I363" s="122" t="s">
        <v>15807</v>
      </c>
      <c r="K363" s="122" t="s">
        <v>3419</v>
      </c>
      <c r="L363" s="122" t="s">
        <v>3503</v>
      </c>
      <c r="M363" s="122" t="s">
        <v>3504</v>
      </c>
      <c r="O363" s="141" t="s">
        <v>1921</v>
      </c>
      <c r="P363" s="141" t="s">
        <v>15808</v>
      </c>
      <c r="Q363" s="122" t="s">
        <v>3424</v>
      </c>
      <c r="R363" s="142">
        <v>68</v>
      </c>
      <c r="S363" s="122" t="s">
        <v>15809</v>
      </c>
      <c r="U363" s="122" t="s">
        <v>4681</v>
      </c>
      <c r="W363" s="122" t="s">
        <v>246</v>
      </c>
      <c r="X363" s="122" t="s">
        <v>1377</v>
      </c>
      <c r="Y363" s="141" t="s">
        <v>4229</v>
      </c>
      <c r="Z363" s="122" t="s">
        <v>15810</v>
      </c>
      <c r="AA363" s="141" t="s">
        <v>457</v>
      </c>
      <c r="AB363" s="122" t="s">
        <v>15811</v>
      </c>
      <c r="AC363" s="141" t="s">
        <v>1260</v>
      </c>
      <c r="AD363" s="122" t="s">
        <v>15812</v>
      </c>
      <c r="AE363" s="122" t="s">
        <v>235</v>
      </c>
      <c r="AF363" s="122" t="s">
        <v>15813</v>
      </c>
      <c r="AG363" s="122" t="s">
        <v>537</v>
      </c>
      <c r="AH363" s="122" t="s">
        <v>253</v>
      </c>
      <c r="AI363" s="122" t="s">
        <v>15814</v>
      </c>
      <c r="AJ363" s="122" t="s">
        <v>6644</v>
      </c>
      <c r="AK363" s="122" t="s">
        <v>253</v>
      </c>
      <c r="AL363" s="122" t="s">
        <v>253</v>
      </c>
      <c r="AM363" s="122" t="s">
        <v>253</v>
      </c>
      <c r="AN363" s="122" t="s">
        <v>253</v>
      </c>
      <c r="AO363" s="141" t="s">
        <v>253</v>
      </c>
      <c r="AP363" s="141" t="s">
        <v>253</v>
      </c>
      <c r="AQ363" s="141" t="s">
        <v>247</v>
      </c>
      <c r="AR363" s="141" t="s">
        <v>253</v>
      </c>
      <c r="AS363" s="141" t="s">
        <v>361</v>
      </c>
      <c r="AT363" s="141" t="s">
        <v>601</v>
      </c>
      <c r="AU363" s="141" t="s">
        <v>258</v>
      </c>
      <c r="AV363" s="122" t="s">
        <v>259</v>
      </c>
      <c r="AW363" s="122" t="s">
        <v>260</v>
      </c>
      <c r="AY363" s="122" t="s">
        <v>253</v>
      </c>
      <c r="AZ363" s="122" t="s">
        <v>15815</v>
      </c>
      <c r="BA363" s="122" t="s">
        <v>15816</v>
      </c>
      <c r="BB363" s="122" t="s">
        <v>15816</v>
      </c>
      <c r="BC363" s="141" t="s">
        <v>312</v>
      </c>
      <c r="BD363" s="122" t="s">
        <v>253</v>
      </c>
      <c r="BE363" s="122" t="s">
        <v>263</v>
      </c>
      <c r="BF363" s="122" t="s">
        <v>4688</v>
      </c>
      <c r="BH363" s="122" t="s">
        <v>4681</v>
      </c>
      <c r="BI363" s="142">
        <v>68</v>
      </c>
    </row>
    <row r="364" spans="1:61" x14ac:dyDescent="0.25">
      <c r="A364" s="122" t="s">
        <v>6466</v>
      </c>
      <c r="B364" s="122" t="s">
        <v>15817</v>
      </c>
      <c r="C364" s="122" t="s">
        <v>15818</v>
      </c>
      <c r="D364" s="122" t="s">
        <v>15819</v>
      </c>
      <c r="E364" s="123">
        <v>42233</v>
      </c>
      <c r="F364" s="122" t="s">
        <v>1402</v>
      </c>
      <c r="G364" s="122" t="s">
        <v>235</v>
      </c>
      <c r="H364" s="122" t="s">
        <v>15820</v>
      </c>
      <c r="I364" s="122" t="s">
        <v>15821</v>
      </c>
      <c r="K364" s="122" t="s">
        <v>3419</v>
      </c>
      <c r="L364" s="122" t="s">
        <v>3420</v>
      </c>
      <c r="M364" s="122" t="s">
        <v>3421</v>
      </c>
      <c r="O364" s="141" t="s">
        <v>4592</v>
      </c>
      <c r="P364" s="141" t="s">
        <v>15822</v>
      </c>
      <c r="Q364" s="122" t="s">
        <v>3424</v>
      </c>
      <c r="R364" s="142">
        <v>69</v>
      </c>
      <c r="S364" s="122" t="s">
        <v>15823</v>
      </c>
      <c r="U364" s="122" t="s">
        <v>4681</v>
      </c>
      <c r="W364" s="122" t="s">
        <v>246</v>
      </c>
      <c r="X364" s="122" t="s">
        <v>721</v>
      </c>
      <c r="Y364" s="141" t="s">
        <v>422</v>
      </c>
      <c r="Z364" s="122" t="s">
        <v>15824</v>
      </c>
      <c r="AA364" s="141" t="s">
        <v>705</v>
      </c>
      <c r="AB364" s="122" t="s">
        <v>15825</v>
      </c>
      <c r="AC364" s="141" t="s">
        <v>633</v>
      </c>
      <c r="AD364" s="122" t="s">
        <v>15826</v>
      </c>
      <c r="AE364" s="122" t="s">
        <v>235</v>
      </c>
      <c r="AF364" s="122" t="s">
        <v>15827</v>
      </c>
      <c r="AG364" s="122" t="s">
        <v>253</v>
      </c>
      <c r="AH364" s="122" t="s">
        <v>253</v>
      </c>
      <c r="AI364" s="122" t="s">
        <v>15828</v>
      </c>
      <c r="AJ364" s="122" t="s">
        <v>15829</v>
      </c>
      <c r="AK364" s="122" t="s">
        <v>15830</v>
      </c>
      <c r="AL364" s="122" t="s">
        <v>253</v>
      </c>
      <c r="AM364" s="122" t="s">
        <v>253</v>
      </c>
      <c r="AN364" s="122" t="s">
        <v>253</v>
      </c>
      <c r="AO364" s="141" t="s">
        <v>247</v>
      </c>
      <c r="AP364" s="141" t="s">
        <v>247</v>
      </c>
      <c r="AQ364" s="141" t="s">
        <v>247</v>
      </c>
      <c r="AR364" s="141" t="s">
        <v>247</v>
      </c>
      <c r="AS364" s="141" t="s">
        <v>601</v>
      </c>
      <c r="AT364" s="141" t="s">
        <v>601</v>
      </c>
      <c r="AU364" s="141" t="s">
        <v>601</v>
      </c>
      <c r="AV364" s="122" t="s">
        <v>259</v>
      </c>
      <c r="AW364" s="122" t="s">
        <v>260</v>
      </c>
      <c r="AX364" s="141" t="s">
        <v>7222</v>
      </c>
      <c r="AY364" s="122" t="s">
        <v>603</v>
      </c>
      <c r="AZ364" s="122" t="s">
        <v>15831</v>
      </c>
      <c r="BA364" s="122" t="s">
        <v>262</v>
      </c>
      <c r="BB364" s="122" t="s">
        <v>262</v>
      </c>
      <c r="BC364" s="141" t="s">
        <v>312</v>
      </c>
      <c r="BD364" s="122" t="s">
        <v>253</v>
      </c>
      <c r="BE364" s="122" t="s">
        <v>263</v>
      </c>
      <c r="BF364" s="122" t="s">
        <v>4688</v>
      </c>
      <c r="BH364" s="122" t="s">
        <v>4681</v>
      </c>
      <c r="BI364" s="142">
        <v>69</v>
      </c>
    </row>
    <row r="365" spans="1:61" x14ac:dyDescent="0.25">
      <c r="A365" s="122" t="s">
        <v>6466</v>
      </c>
      <c r="B365" s="122" t="s">
        <v>15832</v>
      </c>
      <c r="C365" s="122" t="s">
        <v>15833</v>
      </c>
      <c r="D365" s="122" t="s">
        <v>15834</v>
      </c>
      <c r="E365" s="123">
        <v>42233</v>
      </c>
      <c r="F365" s="122" t="s">
        <v>15835</v>
      </c>
      <c r="G365" s="122" t="s">
        <v>235</v>
      </c>
      <c r="H365" s="122" t="s">
        <v>15836</v>
      </c>
      <c r="I365" s="122" t="s">
        <v>15837</v>
      </c>
      <c r="K365" s="122" t="s">
        <v>3419</v>
      </c>
      <c r="L365" s="122" t="s">
        <v>3420</v>
      </c>
      <c r="M365" s="122" t="s">
        <v>3504</v>
      </c>
      <c r="O365" s="141" t="s">
        <v>566</v>
      </c>
      <c r="P365" s="141" t="s">
        <v>15838</v>
      </c>
      <c r="Q365" s="122" t="s">
        <v>3424</v>
      </c>
      <c r="R365" s="142">
        <v>70</v>
      </c>
      <c r="S365" s="122" t="s">
        <v>15839</v>
      </c>
      <c r="U365" s="122" t="s">
        <v>4681</v>
      </c>
      <c r="W365" s="122" t="s">
        <v>246</v>
      </c>
      <c r="X365" s="122" t="s">
        <v>454</v>
      </c>
      <c r="Y365" s="141" t="s">
        <v>1122</v>
      </c>
      <c r="Z365" s="122" t="s">
        <v>15840</v>
      </c>
      <c r="AA365" s="141" t="s">
        <v>500</v>
      </c>
      <c r="AB365" s="122" t="s">
        <v>15841</v>
      </c>
      <c r="AC365" s="141" t="s">
        <v>1547</v>
      </c>
      <c r="AD365" s="122" t="s">
        <v>1792</v>
      </c>
      <c r="AE365" s="122" t="s">
        <v>235</v>
      </c>
      <c r="AF365" s="122" t="s">
        <v>15842</v>
      </c>
      <c r="AG365" s="122" t="s">
        <v>253</v>
      </c>
      <c r="AH365" s="122" t="s">
        <v>253</v>
      </c>
      <c r="AI365" s="122" t="s">
        <v>15843</v>
      </c>
      <c r="AJ365" s="122" t="s">
        <v>15844</v>
      </c>
      <c r="AK365" s="122" t="s">
        <v>253</v>
      </c>
      <c r="AL365" s="122" t="s">
        <v>15845</v>
      </c>
      <c r="AM365" s="122" t="s">
        <v>253</v>
      </c>
      <c r="AN365" s="122" t="s">
        <v>253</v>
      </c>
      <c r="AO365" s="141" t="s">
        <v>247</v>
      </c>
      <c r="AP365" s="141" t="s">
        <v>247</v>
      </c>
      <c r="AQ365" s="141" t="s">
        <v>247</v>
      </c>
      <c r="AR365" s="141" t="s">
        <v>253</v>
      </c>
      <c r="AS365" s="141" t="s">
        <v>601</v>
      </c>
      <c r="AT365" s="141" t="s">
        <v>601</v>
      </c>
      <c r="AU365" s="141" t="s">
        <v>258</v>
      </c>
      <c r="AV365" s="122" t="s">
        <v>259</v>
      </c>
      <c r="AW365" s="122" t="s">
        <v>260</v>
      </c>
      <c r="AX365" s="141" t="s">
        <v>7446</v>
      </c>
      <c r="AY365" s="122" t="s">
        <v>603</v>
      </c>
      <c r="AZ365" s="122" t="s">
        <v>15846</v>
      </c>
      <c r="BA365" s="122" t="s">
        <v>262</v>
      </c>
      <c r="BB365" s="122" t="s">
        <v>262</v>
      </c>
      <c r="BD365" s="122" t="s">
        <v>253</v>
      </c>
      <c r="BE365" s="122" t="s">
        <v>263</v>
      </c>
      <c r="BF365" s="122" t="s">
        <v>4688</v>
      </c>
      <c r="BH365" s="122" t="s">
        <v>4681</v>
      </c>
      <c r="BI365" s="142">
        <v>70</v>
      </c>
    </row>
    <row r="366" spans="1:61" x14ac:dyDescent="0.25">
      <c r="A366" s="122" t="s">
        <v>6466</v>
      </c>
      <c r="B366" s="122" t="s">
        <v>15847</v>
      </c>
      <c r="C366" s="122" t="s">
        <v>15848</v>
      </c>
      <c r="D366" s="122" t="s">
        <v>15849</v>
      </c>
      <c r="E366" s="123">
        <v>42233</v>
      </c>
      <c r="F366" s="122" t="s">
        <v>13966</v>
      </c>
      <c r="G366" s="122" t="s">
        <v>235</v>
      </c>
      <c r="H366" s="122" t="s">
        <v>15850</v>
      </c>
      <c r="I366" s="122" t="s">
        <v>15851</v>
      </c>
      <c r="J366" s="122" t="s">
        <v>1053</v>
      </c>
      <c r="K366" s="122" t="s">
        <v>5800</v>
      </c>
      <c r="L366" s="122" t="s">
        <v>5801</v>
      </c>
      <c r="M366" s="122" t="s">
        <v>5802</v>
      </c>
      <c r="O366" s="141" t="s">
        <v>273</v>
      </c>
      <c r="P366" s="141" t="s">
        <v>15852</v>
      </c>
      <c r="Q366" s="122" t="s">
        <v>5805</v>
      </c>
      <c r="R366" s="142">
        <v>71</v>
      </c>
      <c r="S366" s="122" t="s">
        <v>15853</v>
      </c>
      <c r="U366" s="122" t="s">
        <v>4681</v>
      </c>
      <c r="W366" s="122" t="s">
        <v>246</v>
      </c>
      <c r="X366" s="122" t="s">
        <v>569</v>
      </c>
      <c r="Y366" s="141" t="s">
        <v>6551</v>
      </c>
      <c r="Z366" s="122" t="s">
        <v>15854</v>
      </c>
      <c r="AA366" s="141" t="s">
        <v>1421</v>
      </c>
      <c r="AB366" s="122" t="s">
        <v>15855</v>
      </c>
      <c r="AC366" s="141" t="s">
        <v>1090</v>
      </c>
      <c r="AD366" s="122" t="s">
        <v>9793</v>
      </c>
      <c r="AE366" s="122" t="s">
        <v>235</v>
      </c>
      <c r="AF366" s="122" t="s">
        <v>15856</v>
      </c>
      <c r="AG366" s="122" t="s">
        <v>537</v>
      </c>
      <c r="AH366" s="122" t="s">
        <v>253</v>
      </c>
      <c r="AI366" s="122" t="s">
        <v>15857</v>
      </c>
      <c r="AJ366" s="122" t="s">
        <v>15858</v>
      </c>
      <c r="AK366" s="122" t="s">
        <v>253</v>
      </c>
      <c r="AL366" s="122" t="s">
        <v>253</v>
      </c>
      <c r="AM366" s="122" t="s">
        <v>253</v>
      </c>
      <c r="AN366" s="122" t="s">
        <v>253</v>
      </c>
      <c r="AO366" s="141" t="s">
        <v>247</v>
      </c>
      <c r="AP366" s="141" t="s">
        <v>247</v>
      </c>
      <c r="AQ366" s="141" t="s">
        <v>253</v>
      </c>
      <c r="AR366" s="141" t="s">
        <v>253</v>
      </c>
      <c r="AS366" s="141" t="s">
        <v>601</v>
      </c>
      <c r="AT366" s="141" t="s">
        <v>258</v>
      </c>
      <c r="AU366" s="141" t="s">
        <v>258</v>
      </c>
      <c r="AV366" s="122" t="s">
        <v>259</v>
      </c>
      <c r="AW366" s="122" t="s">
        <v>260</v>
      </c>
      <c r="AX366" s="141" t="s">
        <v>362</v>
      </c>
      <c r="AY366" s="122" t="s">
        <v>247</v>
      </c>
      <c r="AZ366" s="122" t="s">
        <v>15859</v>
      </c>
      <c r="BA366" s="122" t="s">
        <v>262</v>
      </c>
      <c r="BB366" s="122" t="s">
        <v>15859</v>
      </c>
      <c r="BD366" s="122" t="s">
        <v>253</v>
      </c>
      <c r="BE366" s="122" t="s">
        <v>263</v>
      </c>
      <c r="BF366" s="122" t="s">
        <v>4688</v>
      </c>
      <c r="BH366" s="122" t="s">
        <v>4681</v>
      </c>
      <c r="BI366" s="142">
        <v>71</v>
      </c>
    </row>
    <row r="367" spans="1:61" x14ac:dyDescent="0.25">
      <c r="A367" s="122" t="s">
        <v>6466</v>
      </c>
      <c r="B367" s="122" t="s">
        <v>15860</v>
      </c>
      <c r="C367" s="122" t="s">
        <v>15861</v>
      </c>
      <c r="D367" s="122" t="s">
        <v>15862</v>
      </c>
      <c r="E367" s="123">
        <v>42233</v>
      </c>
      <c r="F367" s="122" t="s">
        <v>1125</v>
      </c>
      <c r="G367" s="122" t="s">
        <v>235</v>
      </c>
      <c r="H367" s="122" t="s">
        <v>15863</v>
      </c>
      <c r="I367" s="122" t="s">
        <v>15864</v>
      </c>
      <c r="K367" s="122" t="s">
        <v>5800</v>
      </c>
      <c r="L367" s="122" t="s">
        <v>5801</v>
      </c>
      <c r="M367" s="122" t="s">
        <v>6146</v>
      </c>
      <c r="O367" s="141" t="s">
        <v>566</v>
      </c>
      <c r="P367" s="141" t="s">
        <v>15865</v>
      </c>
      <c r="Q367" s="122" t="s">
        <v>5805</v>
      </c>
      <c r="R367" s="142">
        <v>72</v>
      </c>
      <c r="S367" s="122" t="s">
        <v>15866</v>
      </c>
      <c r="U367" s="122" t="s">
        <v>4681</v>
      </c>
      <c r="W367" s="122" t="s">
        <v>246</v>
      </c>
      <c r="X367" s="122" t="s">
        <v>1225</v>
      </c>
      <c r="Z367" s="122" t="s">
        <v>250</v>
      </c>
      <c r="AB367" s="122" t="s">
        <v>250</v>
      </c>
      <c r="AD367" s="122" t="s">
        <v>250</v>
      </c>
      <c r="AE367" s="122" t="s">
        <v>235</v>
      </c>
      <c r="AF367" s="122" t="s">
        <v>15867</v>
      </c>
      <c r="AG367" s="122" t="s">
        <v>537</v>
      </c>
      <c r="AH367" s="122" t="s">
        <v>253</v>
      </c>
      <c r="AI367" s="122" t="s">
        <v>15868</v>
      </c>
      <c r="AJ367" s="122" t="s">
        <v>15869</v>
      </c>
      <c r="AK367" s="122" t="s">
        <v>253</v>
      </c>
      <c r="AL367" s="122" t="s">
        <v>253</v>
      </c>
      <c r="AM367" s="122" t="s">
        <v>253</v>
      </c>
      <c r="AN367" s="122" t="s">
        <v>253</v>
      </c>
      <c r="AO367" s="141" t="s">
        <v>247</v>
      </c>
      <c r="AP367" s="141" t="s">
        <v>247</v>
      </c>
      <c r="AQ367" s="141" t="s">
        <v>247</v>
      </c>
      <c r="AR367" s="141" t="s">
        <v>253</v>
      </c>
      <c r="AS367" s="141" t="s">
        <v>601</v>
      </c>
      <c r="AT367" s="141" t="s">
        <v>601</v>
      </c>
      <c r="AU367" s="141" t="s">
        <v>258</v>
      </c>
      <c r="AV367" s="122" t="s">
        <v>259</v>
      </c>
      <c r="AW367" s="122" t="s">
        <v>260</v>
      </c>
      <c r="AY367" s="122" t="s">
        <v>253</v>
      </c>
      <c r="AZ367" s="122" t="s">
        <v>15870</v>
      </c>
      <c r="BA367" s="122" t="s">
        <v>262</v>
      </c>
      <c r="BB367" s="122" t="s">
        <v>262</v>
      </c>
      <c r="BD367" s="122" t="s">
        <v>253</v>
      </c>
      <c r="BE367" s="122" t="s">
        <v>263</v>
      </c>
      <c r="BF367" s="122" t="s">
        <v>4688</v>
      </c>
      <c r="BH367" s="122" t="s">
        <v>4681</v>
      </c>
      <c r="BI367" s="142">
        <v>72</v>
      </c>
    </row>
    <row r="368" spans="1:61" x14ac:dyDescent="0.25">
      <c r="A368" s="122" t="s">
        <v>6466</v>
      </c>
      <c r="B368" s="122" t="s">
        <v>15871</v>
      </c>
      <c r="C368" s="122" t="s">
        <v>15872</v>
      </c>
      <c r="D368" s="122" t="s">
        <v>15873</v>
      </c>
      <c r="E368" s="123">
        <v>42233</v>
      </c>
      <c r="F368" s="122" t="s">
        <v>15874</v>
      </c>
      <c r="G368" s="122" t="s">
        <v>235</v>
      </c>
      <c r="H368" s="122" t="s">
        <v>15875</v>
      </c>
      <c r="I368" s="122" t="s">
        <v>15876</v>
      </c>
      <c r="K368" s="122" t="s">
        <v>5800</v>
      </c>
      <c r="L368" s="122" t="s">
        <v>5801</v>
      </c>
      <c r="M368" s="122" t="s">
        <v>5802</v>
      </c>
      <c r="Q368" s="122" t="s">
        <v>5805</v>
      </c>
      <c r="R368" s="142">
        <v>73</v>
      </c>
      <c r="S368" s="122" t="s">
        <v>15877</v>
      </c>
      <c r="U368" s="122" t="s">
        <v>4681</v>
      </c>
      <c r="W368" s="122" t="s">
        <v>246</v>
      </c>
      <c r="X368" s="122" t="s">
        <v>569</v>
      </c>
      <c r="Y368" s="141" t="s">
        <v>956</v>
      </c>
      <c r="Z368" s="122" t="s">
        <v>15878</v>
      </c>
      <c r="AA368" s="141" t="s">
        <v>1258</v>
      </c>
      <c r="AB368" s="122" t="s">
        <v>15878</v>
      </c>
      <c r="AC368" s="141" t="s">
        <v>367</v>
      </c>
      <c r="AD368" s="122" t="s">
        <v>15878</v>
      </c>
      <c r="AE368" s="122" t="s">
        <v>235</v>
      </c>
      <c r="AF368" s="122" t="s">
        <v>15879</v>
      </c>
      <c r="AG368" s="122" t="s">
        <v>537</v>
      </c>
      <c r="AH368" s="122" t="s">
        <v>253</v>
      </c>
      <c r="AI368" s="122" t="s">
        <v>15880</v>
      </c>
      <c r="AJ368" s="122" t="s">
        <v>15881</v>
      </c>
      <c r="AK368" s="122" t="s">
        <v>253</v>
      </c>
      <c r="AL368" s="122" t="s">
        <v>253</v>
      </c>
      <c r="AM368" s="122" t="s">
        <v>253</v>
      </c>
      <c r="AN368" s="122" t="s">
        <v>253</v>
      </c>
      <c r="AO368" s="141" t="s">
        <v>247</v>
      </c>
      <c r="AP368" s="141" t="s">
        <v>253</v>
      </c>
      <c r="AQ368" s="141" t="s">
        <v>253</v>
      </c>
      <c r="AR368" s="141" t="s">
        <v>253</v>
      </c>
      <c r="AS368" s="141" t="s">
        <v>601</v>
      </c>
      <c r="AT368" s="141" t="s">
        <v>258</v>
      </c>
      <c r="AU368" s="141" t="s">
        <v>258</v>
      </c>
      <c r="AV368" s="122" t="s">
        <v>259</v>
      </c>
      <c r="AW368" s="122" t="s">
        <v>260</v>
      </c>
      <c r="AY368" s="122" t="s">
        <v>253</v>
      </c>
      <c r="AZ368" s="122" t="s">
        <v>15882</v>
      </c>
      <c r="BA368" s="122" t="s">
        <v>262</v>
      </c>
      <c r="BB368" s="122" t="s">
        <v>262</v>
      </c>
      <c r="BD368" s="122" t="s">
        <v>253</v>
      </c>
      <c r="BE368" s="122" t="s">
        <v>263</v>
      </c>
      <c r="BF368" s="122" t="s">
        <v>4688</v>
      </c>
      <c r="BH368" s="122" t="s">
        <v>4681</v>
      </c>
      <c r="BI368" s="142">
        <v>73</v>
      </c>
    </row>
    <row r="369" spans="1:63" x14ac:dyDescent="0.25">
      <c r="A369" s="122" t="s">
        <v>279</v>
      </c>
      <c r="B369" s="122" t="s">
        <v>15883</v>
      </c>
      <c r="C369" s="122" t="s">
        <v>15884</v>
      </c>
      <c r="D369" s="122" t="s">
        <v>15885</v>
      </c>
      <c r="E369" s="123">
        <v>42233</v>
      </c>
      <c r="F369" s="122" t="s">
        <v>1143</v>
      </c>
      <c r="G369" s="122" t="s">
        <v>235</v>
      </c>
      <c r="H369" s="122" t="s">
        <v>15886</v>
      </c>
      <c r="I369" s="122" t="s">
        <v>15887</v>
      </c>
      <c r="K369" s="122" t="s">
        <v>3419</v>
      </c>
      <c r="L369" s="122" t="s">
        <v>3420</v>
      </c>
      <c r="M369" s="122" t="s">
        <v>3421</v>
      </c>
      <c r="O369" s="141" t="s">
        <v>451</v>
      </c>
      <c r="P369" s="141" t="s">
        <v>15888</v>
      </c>
      <c r="Q369" s="122" t="s">
        <v>3424</v>
      </c>
      <c r="R369" s="142">
        <v>74</v>
      </c>
      <c r="S369" s="122" t="s">
        <v>15889</v>
      </c>
      <c r="U369" s="122" t="s">
        <v>4681</v>
      </c>
      <c r="W369" s="122" t="s">
        <v>246</v>
      </c>
      <c r="X369" s="122" t="s">
        <v>433</v>
      </c>
      <c r="Y369" s="141" t="s">
        <v>328</v>
      </c>
      <c r="Z369" s="122" t="s">
        <v>15890</v>
      </c>
      <c r="AB369" s="122" t="s">
        <v>250</v>
      </c>
      <c r="AD369" s="122" t="s">
        <v>250</v>
      </c>
      <c r="AE369" s="122" t="s">
        <v>235</v>
      </c>
      <c r="AF369" s="122" t="s">
        <v>15891</v>
      </c>
      <c r="AG369" s="122" t="s">
        <v>253</v>
      </c>
      <c r="AH369" s="122" t="s">
        <v>253</v>
      </c>
      <c r="AI369" s="122" t="s">
        <v>15892</v>
      </c>
      <c r="AJ369" s="122" t="s">
        <v>15893</v>
      </c>
      <c r="AK369" s="122" t="s">
        <v>11877</v>
      </c>
      <c r="AL369" s="122" t="s">
        <v>253</v>
      </c>
      <c r="AM369" s="122" t="s">
        <v>253</v>
      </c>
      <c r="AN369" s="122" t="s">
        <v>253</v>
      </c>
      <c r="AO369" s="141" t="s">
        <v>253</v>
      </c>
      <c r="AP369" s="141" t="s">
        <v>253</v>
      </c>
      <c r="AQ369" s="141" t="s">
        <v>253</v>
      </c>
      <c r="AR369" s="141" t="s">
        <v>247</v>
      </c>
      <c r="AS369" s="141" t="s">
        <v>361</v>
      </c>
      <c r="AT369" s="141" t="s">
        <v>258</v>
      </c>
      <c r="AU369" s="141" t="s">
        <v>601</v>
      </c>
      <c r="AV369" s="122" t="s">
        <v>259</v>
      </c>
      <c r="AW369" s="122" t="s">
        <v>556</v>
      </c>
      <c r="AY369" s="122" t="s">
        <v>253</v>
      </c>
      <c r="AZ369" s="122" t="s">
        <v>15894</v>
      </c>
      <c r="BA369" s="122" t="s">
        <v>262</v>
      </c>
      <c r="BB369" s="122" t="s">
        <v>262</v>
      </c>
      <c r="BD369" s="122" t="s">
        <v>253</v>
      </c>
      <c r="BE369" s="122" t="s">
        <v>263</v>
      </c>
      <c r="BF369" s="122" t="s">
        <v>4688</v>
      </c>
      <c r="BH369" s="122" t="s">
        <v>4681</v>
      </c>
      <c r="BI369" s="142">
        <v>74</v>
      </c>
    </row>
    <row r="370" spans="1:63" x14ac:dyDescent="0.25">
      <c r="A370" s="122" t="s">
        <v>279</v>
      </c>
      <c r="B370" s="122" t="s">
        <v>15895</v>
      </c>
      <c r="C370" s="122" t="s">
        <v>11425</v>
      </c>
      <c r="D370" s="122" t="s">
        <v>11426</v>
      </c>
      <c r="E370" s="123">
        <v>42233</v>
      </c>
      <c r="F370" s="122" t="s">
        <v>3689</v>
      </c>
      <c r="G370" s="122" t="s">
        <v>235</v>
      </c>
      <c r="H370" s="122" t="s">
        <v>448</v>
      </c>
      <c r="I370" s="122" t="s">
        <v>11427</v>
      </c>
      <c r="K370" s="122" t="s">
        <v>5800</v>
      </c>
      <c r="L370" s="122" t="s">
        <v>5801</v>
      </c>
      <c r="M370" s="122" t="s">
        <v>5802</v>
      </c>
      <c r="O370" s="141" t="s">
        <v>451</v>
      </c>
      <c r="P370" s="141" t="s">
        <v>11428</v>
      </c>
      <c r="Q370" s="122" t="s">
        <v>5805</v>
      </c>
      <c r="R370" s="142">
        <v>75</v>
      </c>
      <c r="S370" s="122" t="s">
        <v>11429</v>
      </c>
      <c r="U370" s="122" t="s">
        <v>4681</v>
      </c>
      <c r="W370" s="122" t="s">
        <v>246</v>
      </c>
      <c r="X370" s="122" t="s">
        <v>376</v>
      </c>
      <c r="Y370" s="141" t="s">
        <v>888</v>
      </c>
      <c r="Z370" s="122" t="s">
        <v>11430</v>
      </c>
      <c r="AA370" s="141" t="s">
        <v>668</v>
      </c>
      <c r="AB370" s="122" t="s">
        <v>11431</v>
      </c>
      <c r="AC370" s="141" t="s">
        <v>1762</v>
      </c>
      <c r="AD370" s="122" t="s">
        <v>11432</v>
      </c>
      <c r="AE370" s="122" t="s">
        <v>235</v>
      </c>
      <c r="AF370" s="122" t="s">
        <v>11433</v>
      </c>
      <c r="AG370" s="122" t="s">
        <v>253</v>
      </c>
      <c r="AH370" s="122" t="s">
        <v>253</v>
      </c>
      <c r="AI370" s="122" t="s">
        <v>11434</v>
      </c>
      <c r="AJ370" s="122" t="s">
        <v>253</v>
      </c>
      <c r="AK370" s="122" t="s">
        <v>253</v>
      </c>
      <c r="AL370" s="122" t="s">
        <v>253</v>
      </c>
      <c r="AM370" s="122" t="s">
        <v>11435</v>
      </c>
      <c r="AN370" s="122" t="s">
        <v>253</v>
      </c>
      <c r="AO370" s="141" t="s">
        <v>247</v>
      </c>
      <c r="AP370" s="141" t="s">
        <v>247</v>
      </c>
      <c r="AQ370" s="141" t="s">
        <v>247</v>
      </c>
      <c r="AR370" s="141" t="s">
        <v>247</v>
      </c>
      <c r="AS370" s="141" t="s">
        <v>601</v>
      </c>
      <c r="AT370" s="141" t="s">
        <v>601</v>
      </c>
      <c r="AU370" s="141" t="s">
        <v>601</v>
      </c>
      <c r="AV370" s="122" t="s">
        <v>259</v>
      </c>
      <c r="AW370" s="122" t="s">
        <v>556</v>
      </c>
      <c r="AX370" s="141" t="s">
        <v>3169</v>
      </c>
      <c r="AY370" s="122" t="s">
        <v>603</v>
      </c>
      <c r="AZ370" s="122" t="s">
        <v>262</v>
      </c>
      <c r="BA370" s="122" t="s">
        <v>262</v>
      </c>
      <c r="BB370" s="122" t="s">
        <v>11436</v>
      </c>
      <c r="BD370" s="122" t="s">
        <v>253</v>
      </c>
      <c r="BE370" s="122" t="s">
        <v>263</v>
      </c>
      <c r="BF370" s="122" t="s">
        <v>4688</v>
      </c>
      <c r="BH370" s="122" t="s">
        <v>4681</v>
      </c>
      <c r="BI370" s="142">
        <v>75</v>
      </c>
      <c r="BK370" s="139" t="s">
        <v>558</v>
      </c>
    </row>
    <row r="371" spans="1:63" x14ac:dyDescent="0.25">
      <c r="A371" s="122" t="s">
        <v>279</v>
      </c>
      <c r="B371" s="122" t="s">
        <v>15896</v>
      </c>
      <c r="C371" s="122" t="s">
        <v>11438</v>
      </c>
      <c r="D371" s="122" t="s">
        <v>11439</v>
      </c>
      <c r="E371" s="123">
        <v>42233</v>
      </c>
      <c r="F371" s="122" t="s">
        <v>892</v>
      </c>
      <c r="G371" s="122" t="s">
        <v>235</v>
      </c>
      <c r="H371" s="122" t="s">
        <v>11440</v>
      </c>
      <c r="I371" s="122" t="s">
        <v>11441</v>
      </c>
      <c r="K371" s="122" t="s">
        <v>3419</v>
      </c>
      <c r="L371" s="122" t="s">
        <v>3503</v>
      </c>
      <c r="M371" s="122" t="s">
        <v>3504</v>
      </c>
      <c r="O371" s="141" t="s">
        <v>390</v>
      </c>
      <c r="P371" s="141" t="s">
        <v>11442</v>
      </c>
      <c r="Q371" s="122" t="s">
        <v>3424</v>
      </c>
      <c r="R371" s="142">
        <v>76</v>
      </c>
      <c r="S371" s="122" t="s">
        <v>11443</v>
      </c>
      <c r="U371" s="122" t="s">
        <v>4681</v>
      </c>
      <c r="W371" s="122" t="s">
        <v>246</v>
      </c>
      <c r="X371" s="122" t="s">
        <v>260</v>
      </c>
      <c r="Y371" s="141" t="s">
        <v>1122</v>
      </c>
      <c r="Z371" s="122" t="s">
        <v>11444</v>
      </c>
      <c r="AA371" s="141" t="s">
        <v>670</v>
      </c>
      <c r="AB371" s="122" t="s">
        <v>3459</v>
      </c>
      <c r="AC371" s="141" t="s">
        <v>1398</v>
      </c>
      <c r="AD371" s="122" t="s">
        <v>11445</v>
      </c>
      <c r="AE371" s="122" t="s">
        <v>235</v>
      </c>
      <c r="AF371" s="122" t="s">
        <v>11446</v>
      </c>
      <c r="AG371" s="122" t="s">
        <v>253</v>
      </c>
      <c r="AH371" s="122" t="s">
        <v>253</v>
      </c>
      <c r="AI371" s="122" t="s">
        <v>11447</v>
      </c>
      <c r="AJ371" s="122" t="s">
        <v>11448</v>
      </c>
      <c r="AK371" s="122" t="s">
        <v>253</v>
      </c>
      <c r="AL371" s="122" t="s">
        <v>11449</v>
      </c>
      <c r="AM371" s="122" t="s">
        <v>253</v>
      </c>
      <c r="AN371" s="122" t="s">
        <v>253</v>
      </c>
      <c r="AO371" s="141" t="s">
        <v>247</v>
      </c>
      <c r="AP371" s="141" t="s">
        <v>247</v>
      </c>
      <c r="AQ371" s="141" t="s">
        <v>247</v>
      </c>
      <c r="AR371" s="141" t="s">
        <v>247</v>
      </c>
      <c r="AS371" s="141" t="s">
        <v>601</v>
      </c>
      <c r="AT371" s="141" t="s">
        <v>601</v>
      </c>
      <c r="AU371" s="141" t="s">
        <v>601</v>
      </c>
      <c r="AV371" s="122" t="s">
        <v>259</v>
      </c>
      <c r="AW371" s="122" t="s">
        <v>556</v>
      </c>
      <c r="AX371" s="141" t="s">
        <v>1130</v>
      </c>
      <c r="AY371" s="122" t="s">
        <v>247</v>
      </c>
      <c r="AZ371" s="122" t="s">
        <v>11450</v>
      </c>
      <c r="BA371" s="122" t="s">
        <v>262</v>
      </c>
      <c r="BB371" s="122" t="s">
        <v>11450</v>
      </c>
      <c r="BD371" s="122" t="s">
        <v>253</v>
      </c>
      <c r="BE371" s="122" t="s">
        <v>263</v>
      </c>
      <c r="BF371" s="122" t="s">
        <v>4688</v>
      </c>
      <c r="BH371" s="122" t="s">
        <v>4681</v>
      </c>
      <c r="BI371" s="142">
        <v>76</v>
      </c>
      <c r="BK371" s="139" t="s">
        <v>558</v>
      </c>
    </row>
    <row r="372" spans="1:63" x14ac:dyDescent="0.25">
      <c r="A372" s="122" t="s">
        <v>279</v>
      </c>
      <c r="B372" s="122" t="s">
        <v>15897</v>
      </c>
      <c r="C372" s="122" t="s">
        <v>11489</v>
      </c>
      <c r="D372" s="122" t="s">
        <v>11490</v>
      </c>
      <c r="E372" s="123">
        <v>42233</v>
      </c>
      <c r="F372" s="122" t="s">
        <v>11491</v>
      </c>
      <c r="G372" s="122" t="s">
        <v>235</v>
      </c>
      <c r="H372" s="122" t="s">
        <v>11492</v>
      </c>
      <c r="I372" s="122" t="s">
        <v>11493</v>
      </c>
      <c r="J372" s="122" t="s">
        <v>6372</v>
      </c>
      <c r="K372" s="122" t="s">
        <v>5800</v>
      </c>
      <c r="L372" s="122" t="s">
        <v>5801</v>
      </c>
      <c r="M372" s="122" t="s">
        <v>5802</v>
      </c>
      <c r="O372" s="141" t="s">
        <v>373</v>
      </c>
      <c r="P372" s="141" t="s">
        <v>11494</v>
      </c>
      <c r="Q372" s="122" t="s">
        <v>5805</v>
      </c>
      <c r="R372" s="142">
        <v>77</v>
      </c>
      <c r="S372" s="122" t="s">
        <v>11495</v>
      </c>
      <c r="U372" s="122" t="s">
        <v>4681</v>
      </c>
      <c r="W372" s="122" t="s">
        <v>246</v>
      </c>
      <c r="X372" s="122" t="s">
        <v>1324</v>
      </c>
      <c r="Y372" s="141" t="s">
        <v>956</v>
      </c>
      <c r="Z372" s="122" t="s">
        <v>11496</v>
      </c>
      <c r="AA372" s="141" t="s">
        <v>367</v>
      </c>
      <c r="AB372" s="122" t="s">
        <v>11497</v>
      </c>
      <c r="AC372" s="141" t="s">
        <v>1629</v>
      </c>
      <c r="AD372" s="122" t="s">
        <v>11498</v>
      </c>
      <c r="AE372" s="122" t="s">
        <v>235</v>
      </c>
      <c r="AF372" s="122" t="s">
        <v>11499</v>
      </c>
      <c r="AG372" s="122" t="s">
        <v>537</v>
      </c>
      <c r="AH372" s="122" t="s">
        <v>253</v>
      </c>
      <c r="AI372" s="122" t="s">
        <v>11500</v>
      </c>
      <c r="AJ372" s="122" t="s">
        <v>3475</v>
      </c>
      <c r="AK372" s="122" t="s">
        <v>253</v>
      </c>
      <c r="AL372" s="122" t="s">
        <v>253</v>
      </c>
      <c r="AM372" s="122" t="s">
        <v>253</v>
      </c>
      <c r="AN372" s="122" t="s">
        <v>253</v>
      </c>
      <c r="AO372" s="141" t="s">
        <v>253</v>
      </c>
      <c r="AP372" s="141" t="s">
        <v>253</v>
      </c>
      <c r="AQ372" s="141" t="s">
        <v>247</v>
      </c>
      <c r="AR372" s="141" t="s">
        <v>247</v>
      </c>
      <c r="AS372" s="141" t="s">
        <v>361</v>
      </c>
      <c r="AT372" s="141" t="s">
        <v>601</v>
      </c>
      <c r="AU372" s="141" t="s">
        <v>601</v>
      </c>
      <c r="AV372" s="122" t="s">
        <v>259</v>
      </c>
      <c r="AW372" s="122" t="s">
        <v>556</v>
      </c>
      <c r="AY372" s="122" t="s">
        <v>253</v>
      </c>
      <c r="AZ372" s="122" t="s">
        <v>11501</v>
      </c>
      <c r="BA372" s="122" t="s">
        <v>262</v>
      </c>
      <c r="BB372" s="122" t="s">
        <v>262</v>
      </c>
      <c r="BD372" s="122" t="s">
        <v>253</v>
      </c>
      <c r="BE372" s="122" t="s">
        <v>263</v>
      </c>
      <c r="BF372" s="122" t="s">
        <v>4688</v>
      </c>
      <c r="BH372" s="122" t="s">
        <v>4681</v>
      </c>
      <c r="BI372" s="142">
        <v>77</v>
      </c>
      <c r="BK372" s="139" t="s">
        <v>558</v>
      </c>
    </row>
    <row r="373" spans="1:63" x14ac:dyDescent="0.25">
      <c r="A373" s="122" t="s">
        <v>326</v>
      </c>
      <c r="B373" s="122" t="s">
        <v>15898</v>
      </c>
      <c r="C373" s="122" t="s">
        <v>11541</v>
      </c>
      <c r="D373" s="122" t="s">
        <v>11542</v>
      </c>
      <c r="E373" s="123">
        <v>42233</v>
      </c>
      <c r="F373" s="122" t="s">
        <v>8188</v>
      </c>
      <c r="G373" s="122" t="s">
        <v>235</v>
      </c>
      <c r="H373" s="122" t="s">
        <v>448</v>
      </c>
      <c r="I373" s="122" t="s">
        <v>11543</v>
      </c>
      <c r="K373" s="122" t="s">
        <v>3419</v>
      </c>
      <c r="L373" s="122" t="s">
        <v>3420</v>
      </c>
      <c r="M373" s="122" t="s">
        <v>3421</v>
      </c>
      <c r="O373" s="141" t="s">
        <v>2055</v>
      </c>
      <c r="P373" s="141" t="s">
        <v>11544</v>
      </c>
      <c r="Q373" s="122" t="s">
        <v>3424</v>
      </c>
      <c r="R373" s="142">
        <v>78</v>
      </c>
      <c r="S373" s="122" t="s">
        <v>11545</v>
      </c>
      <c r="U373" s="122" t="s">
        <v>4681</v>
      </c>
      <c r="W373" s="122" t="s">
        <v>246</v>
      </c>
      <c r="X373" s="122" t="s">
        <v>4409</v>
      </c>
      <c r="Y373" s="141" t="s">
        <v>591</v>
      </c>
      <c r="Z373" s="122" t="s">
        <v>11546</v>
      </c>
      <c r="AA373" s="141" t="s">
        <v>784</v>
      </c>
      <c r="AB373" s="122" t="s">
        <v>11547</v>
      </c>
      <c r="AC373" s="141" t="s">
        <v>1090</v>
      </c>
      <c r="AD373" s="122" t="s">
        <v>11548</v>
      </c>
      <c r="AE373" s="122" t="s">
        <v>235</v>
      </c>
      <c r="AF373" s="122" t="s">
        <v>11549</v>
      </c>
      <c r="AG373" s="122" t="s">
        <v>537</v>
      </c>
      <c r="AH373" s="122" t="s">
        <v>253</v>
      </c>
      <c r="AI373" s="122" t="s">
        <v>11550</v>
      </c>
      <c r="AJ373" s="122" t="s">
        <v>11551</v>
      </c>
      <c r="AK373" s="122" t="s">
        <v>253</v>
      </c>
      <c r="AL373" s="122" t="s">
        <v>253</v>
      </c>
      <c r="AM373" s="122" t="s">
        <v>253</v>
      </c>
      <c r="AN373" s="122" t="s">
        <v>253</v>
      </c>
      <c r="AO373" s="141" t="s">
        <v>247</v>
      </c>
      <c r="AP373" s="141" t="s">
        <v>247</v>
      </c>
      <c r="AQ373" s="141" t="s">
        <v>247</v>
      </c>
      <c r="AR373" s="141" t="s">
        <v>247</v>
      </c>
      <c r="AS373" s="141" t="s">
        <v>601</v>
      </c>
      <c r="AT373" s="141" t="s">
        <v>601</v>
      </c>
      <c r="AU373" s="141" t="s">
        <v>601</v>
      </c>
      <c r="AV373" s="122" t="s">
        <v>259</v>
      </c>
      <c r="AW373" s="122" t="s">
        <v>556</v>
      </c>
      <c r="AY373" s="122" t="s">
        <v>253</v>
      </c>
      <c r="AZ373" s="122" t="s">
        <v>262</v>
      </c>
      <c r="BA373" s="122" t="s">
        <v>11552</v>
      </c>
      <c r="BB373" s="122" t="s">
        <v>262</v>
      </c>
      <c r="BD373" s="122" t="s">
        <v>253</v>
      </c>
      <c r="BE373" s="122" t="s">
        <v>263</v>
      </c>
      <c r="BF373" s="122" t="s">
        <v>4688</v>
      </c>
      <c r="BH373" s="122" t="s">
        <v>4681</v>
      </c>
      <c r="BI373" s="142">
        <v>78</v>
      </c>
      <c r="BK373" s="139" t="s">
        <v>558</v>
      </c>
    </row>
    <row r="374" spans="1:63" x14ac:dyDescent="0.25">
      <c r="A374" s="122" t="s">
        <v>326</v>
      </c>
      <c r="B374" s="122" t="s">
        <v>15899</v>
      </c>
      <c r="C374" s="122" t="s">
        <v>15900</v>
      </c>
      <c r="D374" s="122" t="s">
        <v>15901</v>
      </c>
      <c r="E374" s="123">
        <v>42233</v>
      </c>
      <c r="F374" s="122" t="s">
        <v>2225</v>
      </c>
      <c r="G374" s="122" t="s">
        <v>235</v>
      </c>
      <c r="H374" s="122" t="s">
        <v>448</v>
      </c>
      <c r="I374" s="122" t="s">
        <v>15902</v>
      </c>
      <c r="J374" s="122" t="s">
        <v>2005</v>
      </c>
      <c r="K374" s="122" t="s">
        <v>3419</v>
      </c>
      <c r="L374" s="122" t="s">
        <v>3503</v>
      </c>
      <c r="M374" s="122" t="s">
        <v>3421</v>
      </c>
      <c r="O374" s="141" t="s">
        <v>451</v>
      </c>
      <c r="P374" s="141" t="s">
        <v>15903</v>
      </c>
      <c r="Q374" s="122" t="s">
        <v>3424</v>
      </c>
      <c r="R374" s="142">
        <v>79</v>
      </c>
      <c r="S374" s="122" t="s">
        <v>15904</v>
      </c>
      <c r="U374" s="122" t="s">
        <v>4681</v>
      </c>
      <c r="W374" s="122" t="s">
        <v>246</v>
      </c>
      <c r="X374" s="122" t="s">
        <v>1324</v>
      </c>
      <c r="Y374" s="141" t="s">
        <v>304</v>
      </c>
      <c r="Z374" s="122" t="s">
        <v>9147</v>
      </c>
      <c r="AA374" s="141" t="s">
        <v>417</v>
      </c>
      <c r="AB374" s="122" t="s">
        <v>3086</v>
      </c>
      <c r="AD374" s="122" t="s">
        <v>250</v>
      </c>
      <c r="AE374" s="122" t="s">
        <v>235</v>
      </c>
      <c r="AF374" s="122" t="s">
        <v>15905</v>
      </c>
      <c r="AG374" s="122" t="s">
        <v>15906</v>
      </c>
      <c r="AH374" s="122" t="s">
        <v>253</v>
      </c>
      <c r="AI374" s="122" t="s">
        <v>15907</v>
      </c>
      <c r="AJ374" s="122" t="s">
        <v>15908</v>
      </c>
      <c r="AK374" s="122" t="s">
        <v>15909</v>
      </c>
      <c r="AL374" s="122" t="s">
        <v>253</v>
      </c>
      <c r="AM374" s="122" t="s">
        <v>253</v>
      </c>
      <c r="AN374" s="122" t="s">
        <v>253</v>
      </c>
      <c r="AO374" s="141" t="s">
        <v>253</v>
      </c>
      <c r="AP374" s="141" t="s">
        <v>253</v>
      </c>
      <c r="AQ374" s="141" t="s">
        <v>253</v>
      </c>
      <c r="AR374" s="141" t="s">
        <v>247</v>
      </c>
      <c r="AS374" s="141" t="s">
        <v>361</v>
      </c>
      <c r="AT374" s="141" t="s">
        <v>258</v>
      </c>
      <c r="AU374" s="141" t="s">
        <v>601</v>
      </c>
      <c r="AV374" s="122" t="s">
        <v>259</v>
      </c>
      <c r="AW374" s="122" t="s">
        <v>556</v>
      </c>
      <c r="AY374" s="122" t="s">
        <v>253</v>
      </c>
      <c r="AZ374" s="122" t="s">
        <v>262</v>
      </c>
      <c r="BA374" s="122" t="s">
        <v>262</v>
      </c>
      <c r="BB374" s="122" t="s">
        <v>15910</v>
      </c>
      <c r="BD374" s="122" t="s">
        <v>253</v>
      </c>
      <c r="BE374" s="122" t="s">
        <v>263</v>
      </c>
      <c r="BF374" s="122" t="s">
        <v>4688</v>
      </c>
      <c r="BH374" s="122" t="s">
        <v>4681</v>
      </c>
      <c r="BI374" s="142">
        <v>79</v>
      </c>
    </row>
    <row r="375" spans="1:63" x14ac:dyDescent="0.25">
      <c r="A375" s="122" t="s">
        <v>326</v>
      </c>
      <c r="B375" s="122" t="s">
        <v>15911</v>
      </c>
      <c r="C375" s="122" t="s">
        <v>11614</v>
      </c>
      <c r="D375" s="122" t="s">
        <v>11615</v>
      </c>
      <c r="E375" s="123">
        <v>42233</v>
      </c>
      <c r="F375" s="122" t="s">
        <v>5523</v>
      </c>
      <c r="G375" s="122" t="s">
        <v>235</v>
      </c>
      <c r="H375" s="122" t="s">
        <v>11616</v>
      </c>
      <c r="I375" s="122" t="s">
        <v>11617</v>
      </c>
      <c r="K375" s="122" t="s">
        <v>3419</v>
      </c>
      <c r="L375" s="122" t="s">
        <v>3503</v>
      </c>
      <c r="M375" s="122" t="s">
        <v>3504</v>
      </c>
      <c r="O375" s="141" t="s">
        <v>390</v>
      </c>
      <c r="P375" s="141" t="s">
        <v>11618</v>
      </c>
      <c r="Q375" s="122" t="s">
        <v>3424</v>
      </c>
      <c r="R375" s="142">
        <v>80</v>
      </c>
      <c r="S375" s="122" t="s">
        <v>11619</v>
      </c>
      <c r="U375" s="122" t="s">
        <v>4681</v>
      </c>
      <c r="W375" s="122" t="s">
        <v>246</v>
      </c>
      <c r="X375" s="122" t="s">
        <v>3147</v>
      </c>
      <c r="Y375" s="141" t="s">
        <v>740</v>
      </c>
      <c r="Z375" s="122" t="s">
        <v>11620</v>
      </c>
      <c r="AA375" s="141" t="s">
        <v>570</v>
      </c>
      <c r="AB375" s="122" t="s">
        <v>11621</v>
      </c>
      <c r="AC375" s="141" t="s">
        <v>570</v>
      </c>
      <c r="AD375" s="122" t="s">
        <v>11622</v>
      </c>
      <c r="AE375" s="122" t="s">
        <v>235</v>
      </c>
      <c r="AF375" s="122" t="s">
        <v>11623</v>
      </c>
      <c r="AG375" s="122" t="s">
        <v>537</v>
      </c>
      <c r="AH375" s="122" t="s">
        <v>253</v>
      </c>
      <c r="AI375" s="122" t="s">
        <v>11624</v>
      </c>
      <c r="AJ375" s="122" t="s">
        <v>11625</v>
      </c>
      <c r="AK375" s="122" t="s">
        <v>253</v>
      </c>
      <c r="AL375" s="122" t="s">
        <v>253</v>
      </c>
      <c r="AM375" s="122" t="s">
        <v>253</v>
      </c>
      <c r="AN375" s="122" t="s">
        <v>253</v>
      </c>
      <c r="AO375" s="141" t="s">
        <v>247</v>
      </c>
      <c r="AP375" s="141" t="s">
        <v>247</v>
      </c>
      <c r="AQ375" s="141" t="s">
        <v>247</v>
      </c>
      <c r="AR375" s="141" t="s">
        <v>247</v>
      </c>
      <c r="AS375" s="141" t="s">
        <v>601</v>
      </c>
      <c r="AT375" s="141" t="s">
        <v>601</v>
      </c>
      <c r="AU375" s="141" t="s">
        <v>601</v>
      </c>
      <c r="AV375" s="122" t="s">
        <v>259</v>
      </c>
      <c r="AW375" s="122" t="s">
        <v>556</v>
      </c>
      <c r="AY375" s="122" t="s">
        <v>253</v>
      </c>
      <c r="AZ375" s="122" t="s">
        <v>11626</v>
      </c>
      <c r="BA375" s="122" t="s">
        <v>262</v>
      </c>
      <c r="BB375" s="122" t="s">
        <v>262</v>
      </c>
      <c r="BD375" s="122" t="s">
        <v>253</v>
      </c>
      <c r="BE375" s="122" t="s">
        <v>263</v>
      </c>
      <c r="BF375" s="122" t="s">
        <v>4688</v>
      </c>
      <c r="BH375" s="122" t="s">
        <v>4681</v>
      </c>
      <c r="BI375" s="142">
        <v>80</v>
      </c>
      <c r="BK375" s="139" t="s">
        <v>558</v>
      </c>
    </row>
    <row r="376" spans="1:63" x14ac:dyDescent="0.25">
      <c r="A376" s="122" t="s">
        <v>326</v>
      </c>
      <c r="B376" s="122" t="s">
        <v>15912</v>
      </c>
      <c r="C376" s="122" t="s">
        <v>11642</v>
      </c>
      <c r="D376" s="122" t="s">
        <v>11643</v>
      </c>
      <c r="E376" s="123">
        <v>42233</v>
      </c>
      <c r="F376" s="122" t="s">
        <v>6974</v>
      </c>
      <c r="G376" s="122" t="s">
        <v>235</v>
      </c>
      <c r="H376" s="122" t="s">
        <v>11644</v>
      </c>
      <c r="I376" s="122" t="s">
        <v>11645</v>
      </c>
      <c r="K376" s="122" t="s">
        <v>3419</v>
      </c>
      <c r="L376" s="122" t="s">
        <v>3420</v>
      </c>
      <c r="M376" s="122" t="s">
        <v>3504</v>
      </c>
      <c r="O376" s="141" t="s">
        <v>5420</v>
      </c>
      <c r="P376" s="141" t="s">
        <v>11646</v>
      </c>
      <c r="Q376" s="122" t="s">
        <v>3424</v>
      </c>
      <c r="R376" s="142">
        <v>81</v>
      </c>
      <c r="S376" s="122" t="s">
        <v>11647</v>
      </c>
      <c r="U376" s="122" t="s">
        <v>4681</v>
      </c>
      <c r="W376" s="122" t="s">
        <v>246</v>
      </c>
      <c r="X376" s="122" t="s">
        <v>590</v>
      </c>
      <c r="Y376" s="141" t="s">
        <v>2804</v>
      </c>
      <c r="Z376" s="122" t="s">
        <v>11648</v>
      </c>
      <c r="AA376" s="141" t="s">
        <v>417</v>
      </c>
      <c r="AB376" s="122" t="s">
        <v>11649</v>
      </c>
      <c r="AC376" s="141" t="s">
        <v>1023</v>
      </c>
      <c r="AD376" s="122" t="s">
        <v>11650</v>
      </c>
      <c r="AE376" s="122" t="s">
        <v>235</v>
      </c>
      <c r="AF376" s="122" t="s">
        <v>15913</v>
      </c>
      <c r="AG376" s="122" t="s">
        <v>253</v>
      </c>
      <c r="AH376" s="122" t="s">
        <v>253</v>
      </c>
      <c r="AI376" s="122" t="s">
        <v>15914</v>
      </c>
      <c r="AJ376" s="122" t="s">
        <v>11652</v>
      </c>
      <c r="AK376" s="122" t="s">
        <v>11653</v>
      </c>
      <c r="AL376" s="122" t="s">
        <v>253</v>
      </c>
      <c r="AM376" s="122" t="s">
        <v>253</v>
      </c>
      <c r="AN376" s="122" t="s">
        <v>253</v>
      </c>
      <c r="AO376" s="141" t="s">
        <v>253</v>
      </c>
      <c r="AP376" s="141" t="s">
        <v>253</v>
      </c>
      <c r="AQ376" s="141" t="s">
        <v>247</v>
      </c>
      <c r="AR376" s="141" t="s">
        <v>247</v>
      </c>
      <c r="AS376" s="141" t="s">
        <v>361</v>
      </c>
      <c r="AT376" s="141" t="s">
        <v>601</v>
      </c>
      <c r="AU376" s="141" t="s">
        <v>601</v>
      </c>
      <c r="AV376" s="122" t="s">
        <v>259</v>
      </c>
      <c r="AW376" s="122" t="s">
        <v>556</v>
      </c>
      <c r="AY376" s="122" t="s">
        <v>253</v>
      </c>
      <c r="AZ376" s="122" t="s">
        <v>11654</v>
      </c>
      <c r="BA376" s="122" t="s">
        <v>262</v>
      </c>
      <c r="BB376" s="122" t="s">
        <v>11654</v>
      </c>
      <c r="BC376" s="141" t="s">
        <v>312</v>
      </c>
      <c r="BD376" s="122" t="s">
        <v>253</v>
      </c>
      <c r="BE376" s="122" t="s">
        <v>263</v>
      </c>
      <c r="BF376" s="122" t="s">
        <v>4688</v>
      </c>
      <c r="BH376" s="122" t="s">
        <v>4681</v>
      </c>
      <c r="BI376" s="142">
        <v>81</v>
      </c>
      <c r="BK376" s="139" t="s">
        <v>558</v>
      </c>
    </row>
    <row r="377" spans="1:63" x14ac:dyDescent="0.25">
      <c r="A377" s="122" t="s">
        <v>326</v>
      </c>
      <c r="B377" s="122" t="s">
        <v>15915</v>
      </c>
      <c r="C377" s="122" t="s">
        <v>11668</v>
      </c>
      <c r="D377" s="122" t="s">
        <v>11669</v>
      </c>
      <c r="E377" s="123">
        <v>42233</v>
      </c>
      <c r="F377" s="122" t="s">
        <v>11670</v>
      </c>
      <c r="G377" s="122" t="s">
        <v>235</v>
      </c>
      <c r="H377" s="122" t="s">
        <v>448</v>
      </c>
      <c r="I377" s="122" t="s">
        <v>11671</v>
      </c>
      <c r="K377" s="122" t="s">
        <v>3419</v>
      </c>
      <c r="L377" s="122" t="s">
        <v>3420</v>
      </c>
      <c r="M377" s="122" t="s">
        <v>3421</v>
      </c>
      <c r="O377" s="141" t="s">
        <v>1921</v>
      </c>
      <c r="P377" s="141" t="s">
        <v>11672</v>
      </c>
      <c r="Q377" s="122" t="s">
        <v>3424</v>
      </c>
      <c r="R377" s="142">
        <v>82</v>
      </c>
      <c r="S377" s="122" t="s">
        <v>11673</v>
      </c>
      <c r="U377" s="122" t="s">
        <v>4681</v>
      </c>
      <c r="W377" s="122" t="s">
        <v>246</v>
      </c>
      <c r="X377" s="122" t="s">
        <v>4409</v>
      </c>
      <c r="Y377" s="141" t="s">
        <v>1039</v>
      </c>
      <c r="Z377" s="122" t="s">
        <v>249</v>
      </c>
      <c r="AA377" s="141" t="s">
        <v>2804</v>
      </c>
      <c r="AB377" s="122" t="s">
        <v>11674</v>
      </c>
      <c r="AC377" s="141" t="s">
        <v>1015</v>
      </c>
      <c r="AD377" s="122" t="s">
        <v>11675</v>
      </c>
      <c r="AE377" s="122" t="s">
        <v>235</v>
      </c>
      <c r="AF377" s="122" t="s">
        <v>11676</v>
      </c>
      <c r="AG377" s="122" t="s">
        <v>537</v>
      </c>
      <c r="AH377" s="122" t="s">
        <v>253</v>
      </c>
      <c r="AI377" s="122" t="s">
        <v>11677</v>
      </c>
      <c r="AJ377" s="122" t="s">
        <v>11678</v>
      </c>
      <c r="AK377" s="122" t="s">
        <v>253</v>
      </c>
      <c r="AL377" s="122" t="s">
        <v>253</v>
      </c>
      <c r="AM377" s="122" t="s">
        <v>253</v>
      </c>
      <c r="AN377" s="122" t="s">
        <v>253</v>
      </c>
      <c r="AO377" s="141" t="s">
        <v>247</v>
      </c>
      <c r="AP377" s="141" t="s">
        <v>247</v>
      </c>
      <c r="AQ377" s="141" t="s">
        <v>247</v>
      </c>
      <c r="AR377" s="141" t="s">
        <v>247</v>
      </c>
      <c r="AS377" s="141" t="s">
        <v>601</v>
      </c>
      <c r="AT377" s="141" t="s">
        <v>601</v>
      </c>
      <c r="AU377" s="141" t="s">
        <v>601</v>
      </c>
      <c r="AV377" s="122" t="s">
        <v>259</v>
      </c>
      <c r="AW377" s="122" t="s">
        <v>556</v>
      </c>
      <c r="AX377" s="141" t="s">
        <v>3580</v>
      </c>
      <c r="AY377" s="122" t="s">
        <v>603</v>
      </c>
      <c r="AZ377" s="122" t="s">
        <v>262</v>
      </c>
      <c r="BA377" s="122" t="s">
        <v>262</v>
      </c>
      <c r="BB377" s="122" t="s">
        <v>262</v>
      </c>
      <c r="BC377" s="141" t="s">
        <v>312</v>
      </c>
      <c r="BD377" s="122" t="s">
        <v>253</v>
      </c>
      <c r="BE377" s="122" t="s">
        <v>263</v>
      </c>
      <c r="BF377" s="122" t="s">
        <v>4688</v>
      </c>
      <c r="BH377" s="122" t="s">
        <v>4681</v>
      </c>
      <c r="BI377" s="142">
        <v>82</v>
      </c>
      <c r="BK377" s="139" t="s">
        <v>558</v>
      </c>
    </row>
    <row r="378" spans="1:63" x14ac:dyDescent="0.25">
      <c r="A378" s="122" t="s">
        <v>11841</v>
      </c>
      <c r="B378" s="122" t="s">
        <v>15916</v>
      </c>
      <c r="C378" s="122" t="s">
        <v>15374</v>
      </c>
      <c r="D378" s="122" t="s">
        <v>15375</v>
      </c>
      <c r="E378" s="123">
        <v>42233</v>
      </c>
      <c r="F378" s="122" t="s">
        <v>3741</v>
      </c>
      <c r="G378" s="122" t="s">
        <v>235</v>
      </c>
      <c r="H378" s="122" t="s">
        <v>15376</v>
      </c>
      <c r="I378" s="122" t="s">
        <v>15377</v>
      </c>
      <c r="K378" s="122" t="s">
        <v>3419</v>
      </c>
      <c r="L378" s="122" t="s">
        <v>3420</v>
      </c>
      <c r="M378" s="122" t="s">
        <v>3504</v>
      </c>
      <c r="N378" s="122" t="s">
        <v>15378</v>
      </c>
      <c r="O378" s="141" t="s">
        <v>390</v>
      </c>
      <c r="P378" s="141" t="s">
        <v>15379</v>
      </c>
      <c r="Q378" s="122" t="s">
        <v>3424</v>
      </c>
      <c r="R378" s="142">
        <v>83</v>
      </c>
      <c r="S378" s="122" t="s">
        <v>15380</v>
      </c>
      <c r="U378" s="122" t="s">
        <v>4681</v>
      </c>
      <c r="W378" s="122" t="s">
        <v>246</v>
      </c>
      <c r="X378" s="122" t="s">
        <v>1324</v>
      </c>
      <c r="Y378" s="141" t="s">
        <v>685</v>
      </c>
      <c r="Z378" s="122" t="s">
        <v>15381</v>
      </c>
      <c r="AA378" s="141" t="s">
        <v>283</v>
      </c>
      <c r="AB378" s="122" t="s">
        <v>15382</v>
      </c>
      <c r="AC378" s="141" t="s">
        <v>1379</v>
      </c>
      <c r="AD378" s="122" t="s">
        <v>15383</v>
      </c>
      <c r="AE378" s="122" t="s">
        <v>235</v>
      </c>
      <c r="AF378" s="122" t="s">
        <v>15384</v>
      </c>
      <c r="AG378" s="122" t="s">
        <v>537</v>
      </c>
      <c r="AH378" s="122" t="s">
        <v>253</v>
      </c>
      <c r="AI378" s="122" t="s">
        <v>15385</v>
      </c>
      <c r="AJ378" s="122" t="s">
        <v>9443</v>
      </c>
      <c r="AK378" s="122" t="s">
        <v>253</v>
      </c>
      <c r="AL378" s="122" t="s">
        <v>253</v>
      </c>
      <c r="AM378" s="122" t="s">
        <v>253</v>
      </c>
      <c r="AN378" s="122" t="s">
        <v>253</v>
      </c>
      <c r="AO378" s="141" t="s">
        <v>253</v>
      </c>
      <c r="AP378" s="141" t="s">
        <v>253</v>
      </c>
      <c r="AQ378" s="141" t="s">
        <v>247</v>
      </c>
      <c r="AR378" s="141" t="s">
        <v>247</v>
      </c>
      <c r="AS378" s="141" t="s">
        <v>361</v>
      </c>
      <c r="AT378" s="141" t="s">
        <v>601</v>
      </c>
      <c r="AU378" s="141" t="s">
        <v>601</v>
      </c>
      <c r="AV378" s="122" t="s">
        <v>259</v>
      </c>
      <c r="AW378" s="122" t="s">
        <v>556</v>
      </c>
      <c r="AY378" s="122" t="s">
        <v>253</v>
      </c>
      <c r="AZ378" s="122" t="s">
        <v>15386</v>
      </c>
      <c r="BA378" s="122" t="s">
        <v>262</v>
      </c>
      <c r="BB378" s="122" t="s">
        <v>262</v>
      </c>
      <c r="BD378" s="122" t="s">
        <v>253</v>
      </c>
      <c r="BE378" s="122" t="s">
        <v>263</v>
      </c>
      <c r="BF378" s="122" t="s">
        <v>4688</v>
      </c>
      <c r="BH378" s="122" t="s">
        <v>4681</v>
      </c>
      <c r="BI378" s="142">
        <v>83</v>
      </c>
      <c r="BK378" s="139" t="s">
        <v>558</v>
      </c>
    </row>
    <row r="379" spans="1:63" x14ac:dyDescent="0.25">
      <c r="A379" s="122" t="s">
        <v>11841</v>
      </c>
      <c r="B379" s="122" t="s">
        <v>15917</v>
      </c>
      <c r="C379" s="122" t="s">
        <v>15918</v>
      </c>
      <c r="D379" s="122" t="s">
        <v>15919</v>
      </c>
      <c r="E379" s="123">
        <v>42233</v>
      </c>
      <c r="F379" s="122" t="s">
        <v>3664</v>
      </c>
      <c r="G379" s="122" t="s">
        <v>235</v>
      </c>
      <c r="H379" s="122" t="s">
        <v>15920</v>
      </c>
      <c r="I379" s="122" t="s">
        <v>15921</v>
      </c>
      <c r="J379" s="122" t="s">
        <v>15922</v>
      </c>
      <c r="K379" s="122" t="s">
        <v>5673</v>
      </c>
      <c r="L379" s="122" t="s">
        <v>5674</v>
      </c>
      <c r="M379" s="122" t="s">
        <v>5757</v>
      </c>
      <c r="O379" s="141" t="s">
        <v>566</v>
      </c>
      <c r="P379" s="141" t="s">
        <v>15923</v>
      </c>
      <c r="Q379" s="122" t="s">
        <v>5677</v>
      </c>
      <c r="R379" s="142">
        <v>84</v>
      </c>
      <c r="S379" s="122" t="s">
        <v>15924</v>
      </c>
      <c r="T379" s="122" t="s">
        <v>15925</v>
      </c>
      <c r="U379" s="122" t="s">
        <v>4681</v>
      </c>
      <c r="W379" s="122" t="s">
        <v>246</v>
      </c>
      <c r="X379" s="122" t="s">
        <v>4409</v>
      </c>
      <c r="Y379" s="141" t="s">
        <v>1291</v>
      </c>
      <c r="Z379" s="122" t="s">
        <v>249</v>
      </c>
      <c r="AA379" s="141" t="s">
        <v>6691</v>
      </c>
      <c r="AB379" s="122" t="s">
        <v>4626</v>
      </c>
      <c r="AD379" s="122" t="s">
        <v>250</v>
      </c>
      <c r="AE379" s="122" t="s">
        <v>235</v>
      </c>
      <c r="AF379" s="122" t="s">
        <v>15926</v>
      </c>
      <c r="AG379" s="122" t="s">
        <v>537</v>
      </c>
      <c r="AH379" s="122" t="s">
        <v>253</v>
      </c>
      <c r="AI379" s="122" t="s">
        <v>15927</v>
      </c>
      <c r="AJ379" s="122" t="s">
        <v>15928</v>
      </c>
      <c r="AK379" s="122" t="s">
        <v>15929</v>
      </c>
      <c r="AL379" s="122" t="s">
        <v>253</v>
      </c>
      <c r="AM379" s="122" t="s">
        <v>253</v>
      </c>
      <c r="AN379" s="122" t="s">
        <v>253</v>
      </c>
      <c r="AO379" s="141" t="s">
        <v>253</v>
      </c>
      <c r="AP379" s="141" t="s">
        <v>253</v>
      </c>
      <c r="AQ379" s="141" t="s">
        <v>253</v>
      </c>
      <c r="AR379" s="141" t="s">
        <v>247</v>
      </c>
      <c r="AS379" s="141" t="s">
        <v>361</v>
      </c>
      <c r="AT379" s="141" t="s">
        <v>258</v>
      </c>
      <c r="AU379" s="141" t="s">
        <v>601</v>
      </c>
      <c r="AV379" s="122" t="s">
        <v>259</v>
      </c>
      <c r="AW379" s="122" t="s">
        <v>556</v>
      </c>
      <c r="AY379" s="122" t="s">
        <v>253</v>
      </c>
      <c r="AZ379" s="122" t="s">
        <v>15930</v>
      </c>
      <c r="BA379" s="122" t="s">
        <v>262</v>
      </c>
      <c r="BB379" s="122" t="s">
        <v>262</v>
      </c>
      <c r="BD379" s="122" t="s">
        <v>253</v>
      </c>
      <c r="BE379" s="122" t="s">
        <v>263</v>
      </c>
      <c r="BF379" s="122" t="s">
        <v>4688</v>
      </c>
      <c r="BH379" s="122" t="s">
        <v>4681</v>
      </c>
      <c r="BI379" s="142">
        <v>84</v>
      </c>
    </row>
    <row r="380" spans="1:63" x14ac:dyDescent="0.25">
      <c r="A380" s="122" t="s">
        <v>9031</v>
      </c>
      <c r="B380" s="122" t="s">
        <v>15931</v>
      </c>
      <c r="C380" s="122" t="s">
        <v>15477</v>
      </c>
      <c r="D380" s="122" t="s">
        <v>15478</v>
      </c>
      <c r="E380" s="123">
        <v>42233</v>
      </c>
      <c r="F380" s="122" t="s">
        <v>7268</v>
      </c>
      <c r="G380" s="122" t="s">
        <v>235</v>
      </c>
      <c r="H380" s="122" t="s">
        <v>15479</v>
      </c>
      <c r="I380" s="122" t="s">
        <v>15480</v>
      </c>
      <c r="K380" s="122" t="s">
        <v>5800</v>
      </c>
      <c r="L380" s="122" t="s">
        <v>5801</v>
      </c>
      <c r="M380" s="122" t="s">
        <v>5802</v>
      </c>
      <c r="O380" s="141" t="s">
        <v>451</v>
      </c>
      <c r="P380" s="141" t="s">
        <v>15481</v>
      </c>
      <c r="Q380" s="122" t="s">
        <v>5805</v>
      </c>
      <c r="R380" s="142">
        <v>85</v>
      </c>
      <c r="S380" s="122" t="s">
        <v>15482</v>
      </c>
      <c r="U380" s="122" t="s">
        <v>4681</v>
      </c>
      <c r="W380" s="122" t="s">
        <v>246</v>
      </c>
      <c r="X380" s="122" t="s">
        <v>433</v>
      </c>
      <c r="Y380" s="141" t="s">
        <v>378</v>
      </c>
      <c r="Z380" s="122" t="s">
        <v>15483</v>
      </c>
      <c r="AA380" s="141" t="s">
        <v>1023</v>
      </c>
      <c r="AB380" s="122" t="s">
        <v>15484</v>
      </c>
      <c r="AC380" s="141" t="s">
        <v>724</v>
      </c>
      <c r="AD380" s="122" t="s">
        <v>15485</v>
      </c>
      <c r="AE380" s="122" t="s">
        <v>235</v>
      </c>
      <c r="AF380" s="122" t="s">
        <v>15486</v>
      </c>
      <c r="AG380" s="122" t="s">
        <v>253</v>
      </c>
      <c r="AH380" s="122" t="s">
        <v>253</v>
      </c>
      <c r="AI380" s="122" t="s">
        <v>15487</v>
      </c>
      <c r="AJ380" s="122" t="s">
        <v>15488</v>
      </c>
      <c r="AK380" s="122" t="s">
        <v>15489</v>
      </c>
      <c r="AL380" s="122" t="s">
        <v>253</v>
      </c>
      <c r="AM380" s="122" t="s">
        <v>253</v>
      </c>
      <c r="AN380" s="122" t="s">
        <v>253</v>
      </c>
      <c r="AO380" s="141" t="s">
        <v>247</v>
      </c>
      <c r="AP380" s="141" t="s">
        <v>247</v>
      </c>
      <c r="AQ380" s="141" t="s">
        <v>247</v>
      </c>
      <c r="AR380" s="141" t="s">
        <v>247</v>
      </c>
      <c r="AS380" s="141" t="s">
        <v>601</v>
      </c>
      <c r="AT380" s="141" t="s">
        <v>601</v>
      </c>
      <c r="AU380" s="141" t="s">
        <v>601</v>
      </c>
      <c r="AV380" s="122" t="s">
        <v>259</v>
      </c>
      <c r="AW380" s="122" t="s">
        <v>556</v>
      </c>
      <c r="AY380" s="122" t="s">
        <v>253</v>
      </c>
      <c r="AZ380" s="122" t="s">
        <v>15490</v>
      </c>
      <c r="BA380" s="122" t="s">
        <v>262</v>
      </c>
      <c r="BB380" s="122" t="s">
        <v>262</v>
      </c>
      <c r="BD380" s="122" t="s">
        <v>253</v>
      </c>
      <c r="BE380" s="122" t="s">
        <v>263</v>
      </c>
      <c r="BF380" s="122" t="s">
        <v>4688</v>
      </c>
      <c r="BH380" s="122" t="s">
        <v>4681</v>
      </c>
      <c r="BI380" s="142">
        <v>85</v>
      </c>
      <c r="BK380" s="139" t="s">
        <v>558</v>
      </c>
    </row>
    <row r="381" spans="1:63" x14ac:dyDescent="0.25">
      <c r="A381" s="122" t="s">
        <v>9031</v>
      </c>
      <c r="B381" s="122" t="s">
        <v>15932</v>
      </c>
      <c r="C381" s="122" t="s">
        <v>15518</v>
      </c>
      <c r="D381" s="122" t="s">
        <v>15519</v>
      </c>
      <c r="E381" s="123">
        <v>42233</v>
      </c>
      <c r="F381" s="122" t="s">
        <v>1596</v>
      </c>
      <c r="G381" s="122" t="s">
        <v>235</v>
      </c>
      <c r="H381" s="122" t="s">
        <v>448</v>
      </c>
      <c r="I381" s="122" t="s">
        <v>15520</v>
      </c>
      <c r="K381" s="122" t="s">
        <v>3419</v>
      </c>
      <c r="L381" s="122" t="s">
        <v>3420</v>
      </c>
      <c r="M381" s="122" t="s">
        <v>3421</v>
      </c>
      <c r="O381" s="141" t="s">
        <v>548</v>
      </c>
      <c r="P381" s="141" t="s">
        <v>15521</v>
      </c>
      <c r="Q381" s="122" t="s">
        <v>3424</v>
      </c>
      <c r="R381" s="142">
        <v>86</v>
      </c>
      <c r="S381" s="122" t="s">
        <v>15522</v>
      </c>
      <c r="U381" s="122" t="s">
        <v>4681</v>
      </c>
      <c r="W381" s="122" t="s">
        <v>246</v>
      </c>
      <c r="X381" s="122" t="s">
        <v>853</v>
      </c>
      <c r="Z381" s="122" t="s">
        <v>250</v>
      </c>
      <c r="AB381" s="122" t="s">
        <v>250</v>
      </c>
      <c r="AD381" s="122" t="s">
        <v>250</v>
      </c>
      <c r="AE381" s="122" t="s">
        <v>235</v>
      </c>
      <c r="AF381" s="122" t="s">
        <v>15523</v>
      </c>
      <c r="AG381" s="122" t="s">
        <v>253</v>
      </c>
      <c r="AH381" s="122" t="s">
        <v>253</v>
      </c>
      <c r="AI381" s="122" t="s">
        <v>15524</v>
      </c>
      <c r="AJ381" s="122" t="s">
        <v>15525</v>
      </c>
      <c r="AK381" s="122" t="s">
        <v>15526</v>
      </c>
      <c r="AL381" s="122" t="s">
        <v>253</v>
      </c>
      <c r="AM381" s="122" t="s">
        <v>253</v>
      </c>
      <c r="AN381" s="122" t="s">
        <v>253</v>
      </c>
      <c r="AO381" s="141" t="s">
        <v>247</v>
      </c>
      <c r="AP381" s="141" t="s">
        <v>247</v>
      </c>
      <c r="AQ381" s="141" t="s">
        <v>247</v>
      </c>
      <c r="AR381" s="141" t="s">
        <v>247</v>
      </c>
      <c r="AS381" s="141" t="s">
        <v>601</v>
      </c>
      <c r="AT381" s="141" t="s">
        <v>601</v>
      </c>
      <c r="AU381" s="141" t="s">
        <v>601</v>
      </c>
      <c r="AV381" s="122" t="s">
        <v>259</v>
      </c>
      <c r="AW381" s="122" t="s">
        <v>556</v>
      </c>
      <c r="AY381" s="122" t="s">
        <v>253</v>
      </c>
      <c r="AZ381" s="122" t="s">
        <v>262</v>
      </c>
      <c r="BA381" s="122" t="s">
        <v>262</v>
      </c>
      <c r="BB381" s="122" t="s">
        <v>15527</v>
      </c>
      <c r="BD381" s="122" t="s">
        <v>253</v>
      </c>
      <c r="BE381" s="122" t="s">
        <v>263</v>
      </c>
      <c r="BF381" s="122" t="s">
        <v>4688</v>
      </c>
      <c r="BH381" s="122" t="s">
        <v>4681</v>
      </c>
      <c r="BI381" s="142">
        <v>86</v>
      </c>
      <c r="BK381" s="139" t="s">
        <v>558</v>
      </c>
    </row>
    <row r="382" spans="1:63" x14ac:dyDescent="0.25">
      <c r="A382" s="122" t="s">
        <v>9031</v>
      </c>
      <c r="B382" s="122" t="s">
        <v>15933</v>
      </c>
      <c r="C382" s="122" t="s">
        <v>15934</v>
      </c>
      <c r="D382" s="122" t="s">
        <v>15935</v>
      </c>
      <c r="E382" s="123">
        <v>42233</v>
      </c>
      <c r="F382" s="122" t="s">
        <v>672</v>
      </c>
      <c r="G382" s="122" t="s">
        <v>235</v>
      </c>
      <c r="H382" s="122" t="s">
        <v>448</v>
      </c>
      <c r="I382" s="122" t="s">
        <v>5867</v>
      </c>
      <c r="J382" s="122" t="s">
        <v>15922</v>
      </c>
      <c r="K382" s="122" t="s">
        <v>3419</v>
      </c>
      <c r="L382" s="122" t="s">
        <v>3503</v>
      </c>
      <c r="M382" s="122" t="s">
        <v>3504</v>
      </c>
      <c r="O382" s="141" t="s">
        <v>390</v>
      </c>
      <c r="P382" s="141" t="s">
        <v>15936</v>
      </c>
      <c r="Q382" s="122" t="s">
        <v>3424</v>
      </c>
      <c r="R382" s="142">
        <v>87</v>
      </c>
      <c r="S382" s="122" t="s">
        <v>15937</v>
      </c>
      <c r="U382" s="122" t="s">
        <v>4681</v>
      </c>
      <c r="W382" s="122" t="s">
        <v>246</v>
      </c>
      <c r="X382" s="122" t="s">
        <v>278</v>
      </c>
      <c r="Z382" s="122" t="s">
        <v>250</v>
      </c>
      <c r="AB382" s="122" t="s">
        <v>250</v>
      </c>
      <c r="AD382" s="122" t="s">
        <v>250</v>
      </c>
      <c r="AE382" s="122" t="s">
        <v>235</v>
      </c>
      <c r="AF382" s="122" t="s">
        <v>15938</v>
      </c>
      <c r="AG382" s="122" t="s">
        <v>2943</v>
      </c>
      <c r="AH382" s="122" t="s">
        <v>253</v>
      </c>
      <c r="AI382" s="122" t="s">
        <v>15939</v>
      </c>
      <c r="AJ382" s="122" t="s">
        <v>15940</v>
      </c>
      <c r="AK382" s="122" t="s">
        <v>15941</v>
      </c>
      <c r="AL382" s="122" t="s">
        <v>253</v>
      </c>
      <c r="AM382" s="122" t="s">
        <v>253</v>
      </c>
      <c r="AN382" s="122" t="s">
        <v>253</v>
      </c>
      <c r="AO382" s="141" t="s">
        <v>253</v>
      </c>
      <c r="AP382" s="141" t="s">
        <v>253</v>
      </c>
      <c r="AQ382" s="141" t="s">
        <v>253</v>
      </c>
      <c r="AR382" s="141" t="s">
        <v>247</v>
      </c>
      <c r="AS382" s="141" t="s">
        <v>361</v>
      </c>
      <c r="AT382" s="141" t="s">
        <v>258</v>
      </c>
      <c r="AU382" s="141" t="s">
        <v>601</v>
      </c>
      <c r="AV382" s="122" t="s">
        <v>259</v>
      </c>
      <c r="AW382" s="122" t="s">
        <v>556</v>
      </c>
      <c r="AY382" s="122" t="s">
        <v>253</v>
      </c>
      <c r="AZ382" s="122" t="s">
        <v>262</v>
      </c>
      <c r="BA382" s="122" t="s">
        <v>262</v>
      </c>
      <c r="BB382" s="122" t="s">
        <v>15942</v>
      </c>
      <c r="BD382" s="122" t="s">
        <v>253</v>
      </c>
      <c r="BE382" s="122" t="s">
        <v>263</v>
      </c>
      <c r="BF382" s="122" t="s">
        <v>4688</v>
      </c>
      <c r="BH382" s="122" t="s">
        <v>4681</v>
      </c>
      <c r="BI382" s="142">
        <v>87</v>
      </c>
    </row>
    <row r="383" spans="1:63" x14ac:dyDescent="0.25">
      <c r="A383" s="122" t="s">
        <v>11880</v>
      </c>
      <c r="B383" s="122" t="s">
        <v>15943</v>
      </c>
      <c r="C383" s="122" t="s">
        <v>15594</v>
      </c>
      <c r="D383" s="122" t="s">
        <v>15595</v>
      </c>
      <c r="E383" s="123">
        <v>42233</v>
      </c>
      <c r="F383" s="122" t="s">
        <v>15596</v>
      </c>
      <c r="G383" s="122" t="s">
        <v>235</v>
      </c>
      <c r="H383" s="122" t="s">
        <v>15597</v>
      </c>
      <c r="I383" s="122" t="s">
        <v>15598</v>
      </c>
      <c r="K383" s="122" t="s">
        <v>3419</v>
      </c>
      <c r="L383" s="122" t="s">
        <v>3503</v>
      </c>
      <c r="M383" s="122" t="s">
        <v>3504</v>
      </c>
      <c r="O383" s="141" t="s">
        <v>613</v>
      </c>
      <c r="P383" s="141" t="s">
        <v>15599</v>
      </c>
      <c r="Q383" s="122" t="s">
        <v>3424</v>
      </c>
      <c r="R383" s="142">
        <v>88</v>
      </c>
      <c r="S383" s="122" t="s">
        <v>15600</v>
      </c>
      <c r="U383" s="122" t="s">
        <v>4681</v>
      </c>
      <c r="W383" s="122" t="s">
        <v>246</v>
      </c>
      <c r="X383" s="122" t="s">
        <v>1121</v>
      </c>
      <c r="Y383" s="141" t="s">
        <v>1125</v>
      </c>
      <c r="Z383" s="122" t="s">
        <v>15601</v>
      </c>
      <c r="AA383" s="141" t="s">
        <v>1289</v>
      </c>
      <c r="AB383" s="122" t="s">
        <v>15602</v>
      </c>
      <c r="AC383" s="141" t="s">
        <v>985</v>
      </c>
      <c r="AD383" s="122" t="s">
        <v>15603</v>
      </c>
      <c r="AE383" s="122" t="s">
        <v>235</v>
      </c>
      <c r="AF383" s="122" t="s">
        <v>15604</v>
      </c>
      <c r="AG383" s="122" t="s">
        <v>537</v>
      </c>
      <c r="AH383" s="122" t="s">
        <v>253</v>
      </c>
      <c r="AI383" s="122" t="s">
        <v>15605</v>
      </c>
      <c r="AJ383" s="122" t="s">
        <v>15606</v>
      </c>
      <c r="AK383" s="122" t="s">
        <v>253</v>
      </c>
      <c r="AL383" s="122" t="s">
        <v>253</v>
      </c>
      <c r="AM383" s="122" t="s">
        <v>253</v>
      </c>
      <c r="AN383" s="122" t="s">
        <v>253</v>
      </c>
      <c r="AO383" s="141" t="s">
        <v>247</v>
      </c>
      <c r="AP383" s="141" t="s">
        <v>253</v>
      </c>
      <c r="AQ383" s="141" t="s">
        <v>247</v>
      </c>
      <c r="AR383" s="141" t="s">
        <v>247</v>
      </c>
      <c r="AS383" s="141" t="s">
        <v>601</v>
      </c>
      <c r="AT383" s="141" t="s">
        <v>601</v>
      </c>
      <c r="AU383" s="141" t="s">
        <v>601</v>
      </c>
      <c r="AV383" s="122" t="s">
        <v>259</v>
      </c>
      <c r="AW383" s="122" t="s">
        <v>556</v>
      </c>
      <c r="AY383" s="122" t="s">
        <v>253</v>
      </c>
      <c r="AZ383" s="122" t="s">
        <v>15607</v>
      </c>
      <c r="BA383" s="122" t="s">
        <v>262</v>
      </c>
      <c r="BB383" s="122" t="s">
        <v>262</v>
      </c>
      <c r="BC383" s="141" t="s">
        <v>312</v>
      </c>
      <c r="BD383" s="122" t="s">
        <v>253</v>
      </c>
      <c r="BE383" s="122" t="s">
        <v>263</v>
      </c>
      <c r="BF383" s="122" t="s">
        <v>4688</v>
      </c>
      <c r="BH383" s="122" t="s">
        <v>4681</v>
      </c>
      <c r="BI383" s="142">
        <v>88</v>
      </c>
      <c r="BK383" s="139" t="s">
        <v>558</v>
      </c>
    </row>
    <row r="384" spans="1:63" x14ac:dyDescent="0.25">
      <c r="A384" s="122" t="s">
        <v>11880</v>
      </c>
      <c r="B384" s="122" t="s">
        <v>15944</v>
      </c>
      <c r="C384" s="122" t="s">
        <v>15945</v>
      </c>
      <c r="D384" s="122" t="s">
        <v>15946</v>
      </c>
      <c r="E384" s="123">
        <v>42233</v>
      </c>
      <c r="F384" s="122" t="s">
        <v>855</v>
      </c>
      <c r="G384" s="122" t="s">
        <v>235</v>
      </c>
      <c r="H384" s="122" t="s">
        <v>15947</v>
      </c>
      <c r="I384" s="122" t="s">
        <v>15948</v>
      </c>
      <c r="K384" s="122" t="s">
        <v>3419</v>
      </c>
      <c r="L384" s="122" t="s">
        <v>3420</v>
      </c>
      <c r="M384" s="122" t="s">
        <v>3504</v>
      </c>
      <c r="O384" s="141" t="s">
        <v>1240</v>
      </c>
      <c r="P384" s="141" t="s">
        <v>15949</v>
      </c>
      <c r="Q384" s="122" t="s">
        <v>3424</v>
      </c>
      <c r="R384" s="142">
        <v>89</v>
      </c>
      <c r="S384" s="122" t="s">
        <v>15950</v>
      </c>
      <c r="U384" s="122" t="s">
        <v>4681</v>
      </c>
      <c r="W384" s="122" t="s">
        <v>246</v>
      </c>
      <c r="X384" s="122" t="s">
        <v>2624</v>
      </c>
      <c r="Y384" s="141" t="s">
        <v>1258</v>
      </c>
      <c r="Z384" s="122" t="s">
        <v>3489</v>
      </c>
      <c r="AA384" s="141" t="s">
        <v>1547</v>
      </c>
      <c r="AB384" s="122" t="s">
        <v>12765</v>
      </c>
      <c r="AC384" s="141" t="s">
        <v>447</v>
      </c>
      <c r="AD384" s="122" t="s">
        <v>835</v>
      </c>
      <c r="AE384" s="122" t="s">
        <v>235</v>
      </c>
      <c r="AF384" s="122" t="s">
        <v>15951</v>
      </c>
      <c r="AG384" s="122" t="s">
        <v>253</v>
      </c>
      <c r="AH384" s="122" t="s">
        <v>253</v>
      </c>
      <c r="AI384" s="122" t="s">
        <v>15952</v>
      </c>
      <c r="AJ384" s="122" t="s">
        <v>15953</v>
      </c>
      <c r="AK384" s="122" t="s">
        <v>15954</v>
      </c>
      <c r="AL384" s="122" t="s">
        <v>253</v>
      </c>
      <c r="AM384" s="122" t="s">
        <v>253</v>
      </c>
      <c r="AN384" s="122" t="s">
        <v>253</v>
      </c>
      <c r="AO384" s="141" t="s">
        <v>253</v>
      </c>
      <c r="AP384" s="141" t="s">
        <v>253</v>
      </c>
      <c r="AQ384" s="141" t="s">
        <v>253</v>
      </c>
      <c r="AR384" s="141" t="s">
        <v>247</v>
      </c>
      <c r="AS384" s="141" t="s">
        <v>361</v>
      </c>
      <c r="AT384" s="141" t="s">
        <v>258</v>
      </c>
      <c r="AU384" s="141" t="s">
        <v>601</v>
      </c>
      <c r="AV384" s="122" t="s">
        <v>259</v>
      </c>
      <c r="AW384" s="122" t="s">
        <v>556</v>
      </c>
      <c r="AY384" s="122" t="s">
        <v>253</v>
      </c>
      <c r="AZ384" s="122" t="s">
        <v>15955</v>
      </c>
      <c r="BA384" s="122" t="s">
        <v>262</v>
      </c>
      <c r="BB384" s="122" t="s">
        <v>262</v>
      </c>
      <c r="BD384" s="122" t="s">
        <v>253</v>
      </c>
      <c r="BE384" s="122" t="s">
        <v>263</v>
      </c>
      <c r="BF384" s="122" t="s">
        <v>4688</v>
      </c>
      <c r="BH384" s="122" t="s">
        <v>4681</v>
      </c>
      <c r="BI384" s="142">
        <v>89</v>
      </c>
    </row>
    <row r="385" spans="1:64" x14ac:dyDescent="0.25">
      <c r="A385" s="122" t="s">
        <v>11880</v>
      </c>
      <c r="B385" s="122" t="s">
        <v>15956</v>
      </c>
      <c r="C385" s="122" t="s">
        <v>15609</v>
      </c>
      <c r="D385" s="122" t="s">
        <v>15610</v>
      </c>
      <c r="E385" s="123">
        <v>42233</v>
      </c>
      <c r="F385" s="122" t="s">
        <v>15611</v>
      </c>
      <c r="G385" s="122" t="s">
        <v>235</v>
      </c>
      <c r="H385" s="122" t="s">
        <v>15612</v>
      </c>
      <c r="I385" s="122" t="s">
        <v>15613</v>
      </c>
      <c r="K385" s="122" t="s">
        <v>3419</v>
      </c>
      <c r="L385" s="122" t="s">
        <v>3420</v>
      </c>
      <c r="M385" s="122" t="s">
        <v>3504</v>
      </c>
      <c r="Q385" s="122" t="s">
        <v>3424</v>
      </c>
      <c r="R385" s="142">
        <v>90</v>
      </c>
      <c r="S385" s="122" t="s">
        <v>15614</v>
      </c>
      <c r="U385" s="122" t="s">
        <v>4681</v>
      </c>
      <c r="W385" s="122" t="s">
        <v>246</v>
      </c>
      <c r="X385" s="122" t="s">
        <v>278</v>
      </c>
      <c r="Y385" s="141" t="s">
        <v>740</v>
      </c>
      <c r="Z385" s="122" t="s">
        <v>15615</v>
      </c>
      <c r="AA385" s="141" t="s">
        <v>685</v>
      </c>
      <c r="AB385" s="122" t="s">
        <v>15616</v>
      </c>
      <c r="AC385" s="141" t="s">
        <v>1090</v>
      </c>
      <c r="AD385" s="122" t="s">
        <v>15617</v>
      </c>
      <c r="AE385" s="122" t="s">
        <v>235</v>
      </c>
      <c r="AF385" s="122" t="s">
        <v>15618</v>
      </c>
      <c r="AG385" s="122" t="s">
        <v>537</v>
      </c>
      <c r="AH385" s="122" t="s">
        <v>253</v>
      </c>
      <c r="AI385" s="122" t="s">
        <v>15619</v>
      </c>
      <c r="AJ385" s="122" t="s">
        <v>15620</v>
      </c>
      <c r="AK385" s="122" t="s">
        <v>253</v>
      </c>
      <c r="AL385" s="122" t="s">
        <v>253</v>
      </c>
      <c r="AM385" s="122" t="s">
        <v>253</v>
      </c>
      <c r="AN385" s="122" t="s">
        <v>253</v>
      </c>
      <c r="AO385" s="141" t="s">
        <v>247</v>
      </c>
      <c r="AP385" s="141" t="s">
        <v>247</v>
      </c>
      <c r="AQ385" s="141" t="s">
        <v>247</v>
      </c>
      <c r="AR385" s="141" t="s">
        <v>247</v>
      </c>
      <c r="AS385" s="141" t="s">
        <v>601</v>
      </c>
      <c r="AT385" s="141" t="s">
        <v>601</v>
      </c>
      <c r="AU385" s="141" t="s">
        <v>601</v>
      </c>
      <c r="AV385" s="122" t="s">
        <v>259</v>
      </c>
      <c r="AW385" s="122" t="s">
        <v>556</v>
      </c>
      <c r="AY385" s="122" t="s">
        <v>253</v>
      </c>
      <c r="AZ385" s="122" t="s">
        <v>15621</v>
      </c>
      <c r="BA385" s="122" t="s">
        <v>262</v>
      </c>
      <c r="BB385" s="122" t="s">
        <v>262</v>
      </c>
      <c r="BD385" s="122" t="s">
        <v>253</v>
      </c>
      <c r="BE385" s="122" t="s">
        <v>263</v>
      </c>
      <c r="BF385" s="122" t="s">
        <v>4688</v>
      </c>
      <c r="BH385" s="122" t="s">
        <v>4681</v>
      </c>
      <c r="BI385" s="142">
        <v>90</v>
      </c>
      <c r="BK385" s="139" t="s">
        <v>558</v>
      </c>
    </row>
    <row r="386" spans="1:64" x14ac:dyDescent="0.25">
      <c r="A386" s="122" t="s">
        <v>9904</v>
      </c>
      <c r="B386" s="122" t="s">
        <v>15957</v>
      </c>
      <c r="C386" s="122" t="s">
        <v>15639</v>
      </c>
      <c r="D386" s="122" t="s">
        <v>15640</v>
      </c>
      <c r="E386" s="123">
        <v>42233</v>
      </c>
      <c r="F386" s="122" t="s">
        <v>1260</v>
      </c>
      <c r="G386" s="122" t="s">
        <v>235</v>
      </c>
      <c r="H386" s="122" t="s">
        <v>15641</v>
      </c>
      <c r="I386" s="122" t="s">
        <v>15642</v>
      </c>
      <c r="K386" s="122" t="s">
        <v>3419</v>
      </c>
      <c r="L386" s="122" t="s">
        <v>3420</v>
      </c>
      <c r="M386" s="122" t="s">
        <v>3421</v>
      </c>
      <c r="O386" s="141" t="s">
        <v>1253</v>
      </c>
      <c r="P386" s="141" t="s">
        <v>15643</v>
      </c>
      <c r="Q386" s="122" t="s">
        <v>3424</v>
      </c>
      <c r="R386" s="142">
        <v>91</v>
      </c>
      <c r="S386" s="122" t="s">
        <v>15644</v>
      </c>
      <c r="U386" s="122" t="s">
        <v>4681</v>
      </c>
      <c r="W386" s="122" t="s">
        <v>246</v>
      </c>
      <c r="X386" s="122" t="s">
        <v>2657</v>
      </c>
      <c r="Y386" s="141" t="s">
        <v>541</v>
      </c>
      <c r="Z386" s="122" t="s">
        <v>15645</v>
      </c>
      <c r="AA386" s="141" t="s">
        <v>740</v>
      </c>
      <c r="AB386" s="122" t="s">
        <v>15646</v>
      </c>
      <c r="AC386" s="141" t="s">
        <v>2363</v>
      </c>
      <c r="AD386" s="122" t="s">
        <v>15647</v>
      </c>
      <c r="AE386" s="122" t="s">
        <v>235</v>
      </c>
      <c r="AF386" s="122" t="s">
        <v>15648</v>
      </c>
      <c r="AG386" s="122" t="s">
        <v>537</v>
      </c>
      <c r="AH386" s="122" t="s">
        <v>253</v>
      </c>
      <c r="AI386" s="122" t="s">
        <v>15649</v>
      </c>
      <c r="AJ386" s="122" t="s">
        <v>253</v>
      </c>
      <c r="AK386" s="122" t="s">
        <v>253</v>
      </c>
      <c r="AL386" s="122" t="s">
        <v>15650</v>
      </c>
      <c r="AM386" s="122" t="s">
        <v>253</v>
      </c>
      <c r="AN386" s="122" t="s">
        <v>253</v>
      </c>
      <c r="AO386" s="141" t="s">
        <v>247</v>
      </c>
      <c r="AP386" s="141" t="s">
        <v>247</v>
      </c>
      <c r="AQ386" s="141" t="s">
        <v>247</v>
      </c>
      <c r="AR386" s="141" t="s">
        <v>247</v>
      </c>
      <c r="AS386" s="141" t="s">
        <v>601</v>
      </c>
      <c r="AT386" s="141" t="s">
        <v>601</v>
      </c>
      <c r="AU386" s="141" t="s">
        <v>601</v>
      </c>
      <c r="AV386" s="122" t="s">
        <v>259</v>
      </c>
      <c r="AW386" s="122" t="s">
        <v>556</v>
      </c>
      <c r="AX386" s="141" t="s">
        <v>3027</v>
      </c>
      <c r="AY386" s="122" t="s">
        <v>247</v>
      </c>
      <c r="AZ386" s="122" t="s">
        <v>15651</v>
      </c>
      <c r="BA386" s="122" t="s">
        <v>262</v>
      </c>
      <c r="BB386" s="122" t="s">
        <v>262</v>
      </c>
      <c r="BC386" s="141" t="s">
        <v>312</v>
      </c>
      <c r="BD386" s="122" t="s">
        <v>253</v>
      </c>
      <c r="BE386" s="122" t="s">
        <v>263</v>
      </c>
      <c r="BF386" s="122" t="s">
        <v>4688</v>
      </c>
      <c r="BH386" s="122" t="s">
        <v>4681</v>
      </c>
      <c r="BI386" s="142">
        <v>91</v>
      </c>
      <c r="BK386" s="139" t="s">
        <v>558</v>
      </c>
    </row>
    <row r="387" spans="1:64" x14ac:dyDescent="0.25">
      <c r="A387" s="122" t="s">
        <v>9904</v>
      </c>
      <c r="B387" s="122" t="s">
        <v>15958</v>
      </c>
      <c r="C387" s="122" t="s">
        <v>15623</v>
      </c>
      <c r="D387" s="122" t="s">
        <v>15624</v>
      </c>
      <c r="E387" s="123">
        <v>42233</v>
      </c>
      <c r="F387" s="122" t="s">
        <v>2398</v>
      </c>
      <c r="G387" s="122" t="s">
        <v>235</v>
      </c>
      <c r="H387" s="122" t="s">
        <v>15625</v>
      </c>
      <c r="I387" s="122" t="s">
        <v>15626</v>
      </c>
      <c r="K387" s="122" t="s">
        <v>5673</v>
      </c>
      <c r="L387" s="122" t="s">
        <v>5674</v>
      </c>
      <c r="M387" s="122" t="s">
        <v>5675</v>
      </c>
      <c r="N387" s="122" t="s">
        <v>15627</v>
      </c>
      <c r="O387" s="141" t="s">
        <v>4592</v>
      </c>
      <c r="P387" s="141" t="s">
        <v>15628</v>
      </c>
      <c r="Q387" s="122" t="s">
        <v>5677</v>
      </c>
      <c r="R387" s="142">
        <v>92</v>
      </c>
      <c r="S387" s="122" t="s">
        <v>15629</v>
      </c>
      <c r="U387" s="122" t="s">
        <v>4681</v>
      </c>
      <c r="W387" s="122" t="s">
        <v>246</v>
      </c>
      <c r="X387" s="122" t="s">
        <v>551</v>
      </c>
      <c r="Y387" s="141" t="s">
        <v>1141</v>
      </c>
      <c r="Z387" s="122" t="s">
        <v>15630</v>
      </c>
      <c r="AA387" s="141" t="s">
        <v>2072</v>
      </c>
      <c r="AB387" s="122" t="s">
        <v>15631</v>
      </c>
      <c r="AC387" s="141" t="s">
        <v>1090</v>
      </c>
      <c r="AD387" s="122" t="s">
        <v>15632</v>
      </c>
      <c r="AE387" s="122" t="s">
        <v>235</v>
      </c>
      <c r="AF387" s="122" t="s">
        <v>15633</v>
      </c>
      <c r="AG387" s="122" t="s">
        <v>15634</v>
      </c>
      <c r="AH387" s="122" t="s">
        <v>253</v>
      </c>
      <c r="AI387" s="122" t="s">
        <v>15635</v>
      </c>
      <c r="AJ387" s="122" t="s">
        <v>15636</v>
      </c>
      <c r="AK387" s="122" t="s">
        <v>253</v>
      </c>
      <c r="AL387" s="122" t="s">
        <v>253</v>
      </c>
      <c r="AM387" s="122" t="s">
        <v>253</v>
      </c>
      <c r="AN387" s="122" t="s">
        <v>253</v>
      </c>
      <c r="AO387" s="141" t="s">
        <v>247</v>
      </c>
      <c r="AP387" s="141" t="s">
        <v>247</v>
      </c>
      <c r="AQ387" s="141" t="s">
        <v>247</v>
      </c>
      <c r="AR387" s="141" t="s">
        <v>247</v>
      </c>
      <c r="AS387" s="141" t="s">
        <v>601</v>
      </c>
      <c r="AT387" s="141" t="s">
        <v>601</v>
      </c>
      <c r="AU387" s="141" t="s">
        <v>601</v>
      </c>
      <c r="AV387" s="122" t="s">
        <v>259</v>
      </c>
      <c r="AW387" s="122" t="s">
        <v>556</v>
      </c>
      <c r="AX387" s="141" t="s">
        <v>362</v>
      </c>
      <c r="AY387" s="122" t="s">
        <v>247</v>
      </c>
      <c r="AZ387" s="122" t="s">
        <v>15637</v>
      </c>
      <c r="BA387" s="122" t="s">
        <v>262</v>
      </c>
      <c r="BB387" s="122" t="s">
        <v>262</v>
      </c>
      <c r="BC387" s="141" t="s">
        <v>312</v>
      </c>
      <c r="BD387" s="122" t="s">
        <v>253</v>
      </c>
      <c r="BE387" s="122" t="s">
        <v>263</v>
      </c>
      <c r="BF387" s="122" t="s">
        <v>4688</v>
      </c>
      <c r="BH387" s="122" t="s">
        <v>4681</v>
      </c>
      <c r="BI387" s="142">
        <v>92</v>
      </c>
      <c r="BK387" s="139" t="s">
        <v>558</v>
      </c>
    </row>
    <row r="388" spans="1:64" x14ac:dyDescent="0.25">
      <c r="A388" s="122" t="s">
        <v>9904</v>
      </c>
      <c r="B388" s="122" t="s">
        <v>15959</v>
      </c>
      <c r="C388" s="122" t="s">
        <v>15653</v>
      </c>
      <c r="D388" s="122" t="s">
        <v>15654</v>
      </c>
      <c r="E388" s="123">
        <v>42233</v>
      </c>
      <c r="F388" s="122" t="s">
        <v>2098</v>
      </c>
      <c r="G388" s="122" t="s">
        <v>235</v>
      </c>
      <c r="H388" s="122" t="s">
        <v>15655</v>
      </c>
      <c r="I388" s="122" t="s">
        <v>15656</v>
      </c>
      <c r="J388" s="122" t="s">
        <v>370</v>
      </c>
      <c r="K388" s="122" t="s">
        <v>5800</v>
      </c>
      <c r="L388" s="122" t="s">
        <v>5801</v>
      </c>
      <c r="M388" s="122" t="s">
        <v>5802</v>
      </c>
      <c r="O388" s="141" t="s">
        <v>1253</v>
      </c>
      <c r="P388" s="141" t="s">
        <v>15657</v>
      </c>
      <c r="Q388" s="122" t="s">
        <v>5805</v>
      </c>
      <c r="R388" s="142">
        <v>93</v>
      </c>
      <c r="S388" s="122" t="s">
        <v>15658</v>
      </c>
      <c r="U388" s="122" t="s">
        <v>4681</v>
      </c>
      <c r="W388" s="122" t="s">
        <v>246</v>
      </c>
      <c r="X388" s="122" t="s">
        <v>497</v>
      </c>
      <c r="Y388" s="141" t="s">
        <v>378</v>
      </c>
      <c r="Z388" s="122" t="s">
        <v>15659</v>
      </c>
      <c r="AA388" s="141" t="s">
        <v>3574</v>
      </c>
      <c r="AB388" s="122" t="s">
        <v>15660</v>
      </c>
      <c r="AC388" s="141" t="s">
        <v>283</v>
      </c>
      <c r="AD388" s="122" t="s">
        <v>15661</v>
      </c>
      <c r="AE388" s="122" t="s">
        <v>235</v>
      </c>
      <c r="AF388" s="122" t="s">
        <v>15662</v>
      </c>
      <c r="AG388" s="122" t="s">
        <v>253</v>
      </c>
      <c r="AH388" s="122" t="s">
        <v>253</v>
      </c>
      <c r="AI388" s="122" t="s">
        <v>15663</v>
      </c>
      <c r="AJ388" s="122" t="s">
        <v>15664</v>
      </c>
      <c r="AK388" s="122" t="s">
        <v>15665</v>
      </c>
      <c r="AL388" s="122" t="s">
        <v>253</v>
      </c>
      <c r="AM388" s="122" t="s">
        <v>253</v>
      </c>
      <c r="AN388" s="122" t="s">
        <v>253</v>
      </c>
      <c r="AO388" s="141" t="s">
        <v>247</v>
      </c>
      <c r="AP388" s="141" t="s">
        <v>247</v>
      </c>
      <c r="AQ388" s="141" t="s">
        <v>247</v>
      </c>
      <c r="AR388" s="141" t="s">
        <v>247</v>
      </c>
      <c r="AS388" s="141" t="s">
        <v>601</v>
      </c>
      <c r="AT388" s="141" t="s">
        <v>601</v>
      </c>
      <c r="AU388" s="141" t="s">
        <v>601</v>
      </c>
      <c r="AV388" s="122" t="s">
        <v>259</v>
      </c>
      <c r="AW388" s="122" t="s">
        <v>556</v>
      </c>
      <c r="AY388" s="122" t="s">
        <v>253</v>
      </c>
      <c r="AZ388" s="122" t="s">
        <v>15666</v>
      </c>
      <c r="BA388" s="122" t="s">
        <v>262</v>
      </c>
      <c r="BB388" s="122" t="s">
        <v>262</v>
      </c>
      <c r="BC388" s="141" t="s">
        <v>312</v>
      </c>
      <c r="BD388" s="122" t="s">
        <v>253</v>
      </c>
      <c r="BE388" s="122" t="s">
        <v>263</v>
      </c>
      <c r="BF388" s="122" t="s">
        <v>4688</v>
      </c>
      <c r="BH388" s="122" t="s">
        <v>4681</v>
      </c>
      <c r="BI388" s="142">
        <v>93</v>
      </c>
      <c r="BK388" s="139" t="s">
        <v>558</v>
      </c>
    </row>
    <row r="389" spans="1:64" x14ac:dyDescent="0.25">
      <c r="A389" s="122" t="s">
        <v>6466</v>
      </c>
      <c r="B389" s="122" t="s">
        <v>15960</v>
      </c>
      <c r="C389" s="122" t="s">
        <v>15736</v>
      </c>
      <c r="D389" s="122" t="s">
        <v>15737</v>
      </c>
      <c r="E389" s="123">
        <v>42233</v>
      </c>
      <c r="F389" s="122" t="s">
        <v>6397</v>
      </c>
      <c r="G389" s="122" t="s">
        <v>235</v>
      </c>
      <c r="H389" s="122" t="s">
        <v>15738</v>
      </c>
      <c r="I389" s="122" t="s">
        <v>15739</v>
      </c>
      <c r="K389" s="122" t="s">
        <v>5565</v>
      </c>
      <c r="L389" s="122" t="s">
        <v>5566</v>
      </c>
      <c r="M389" s="122" t="s">
        <v>5567</v>
      </c>
      <c r="O389" s="141" t="s">
        <v>15740</v>
      </c>
      <c r="P389" s="141" t="s">
        <v>15741</v>
      </c>
      <c r="Q389" s="122" t="s">
        <v>3389</v>
      </c>
      <c r="R389" s="142">
        <v>94</v>
      </c>
      <c r="S389" s="122" t="s">
        <v>15742</v>
      </c>
      <c r="U389" s="122" t="s">
        <v>4681</v>
      </c>
      <c r="W389" s="122" t="s">
        <v>246</v>
      </c>
      <c r="X389" s="122" t="s">
        <v>853</v>
      </c>
      <c r="Y389" s="141" t="s">
        <v>500</v>
      </c>
      <c r="Z389" s="122" t="s">
        <v>15743</v>
      </c>
      <c r="AA389" s="141" t="s">
        <v>1762</v>
      </c>
      <c r="AB389" s="122" t="s">
        <v>15744</v>
      </c>
      <c r="AC389" s="141" t="s">
        <v>2051</v>
      </c>
      <c r="AD389" s="122" t="s">
        <v>1144</v>
      </c>
      <c r="AE389" s="122" t="s">
        <v>235</v>
      </c>
      <c r="AF389" s="122" t="s">
        <v>15745</v>
      </c>
      <c r="AG389" s="122" t="s">
        <v>253</v>
      </c>
      <c r="AH389" s="122" t="s">
        <v>253</v>
      </c>
      <c r="AI389" s="122" t="s">
        <v>15746</v>
      </c>
      <c r="AJ389" s="122" t="s">
        <v>15747</v>
      </c>
      <c r="AK389" s="122" t="s">
        <v>15748</v>
      </c>
      <c r="AL389" s="122" t="s">
        <v>253</v>
      </c>
      <c r="AM389" s="122" t="s">
        <v>253</v>
      </c>
      <c r="AN389" s="122" t="s">
        <v>253</v>
      </c>
      <c r="AO389" s="141" t="s">
        <v>247</v>
      </c>
      <c r="AP389" s="141" t="s">
        <v>247</v>
      </c>
      <c r="AQ389" s="141" t="s">
        <v>247</v>
      </c>
      <c r="AR389" s="141" t="s">
        <v>247</v>
      </c>
      <c r="AS389" s="141" t="s">
        <v>601</v>
      </c>
      <c r="AT389" s="141" t="s">
        <v>601</v>
      </c>
      <c r="AU389" s="141" t="s">
        <v>601</v>
      </c>
      <c r="AV389" s="122" t="s">
        <v>259</v>
      </c>
      <c r="AW389" s="122" t="s">
        <v>556</v>
      </c>
      <c r="AY389" s="122" t="s">
        <v>253</v>
      </c>
      <c r="AZ389" s="122" t="s">
        <v>15749</v>
      </c>
      <c r="BA389" s="122" t="s">
        <v>262</v>
      </c>
      <c r="BB389" s="122" t="s">
        <v>262</v>
      </c>
      <c r="BC389" s="141" t="s">
        <v>312</v>
      </c>
      <c r="BD389" s="122" t="s">
        <v>253</v>
      </c>
      <c r="BE389" s="122" t="s">
        <v>263</v>
      </c>
      <c r="BF389" s="122" t="s">
        <v>4688</v>
      </c>
      <c r="BH389" s="122" t="s">
        <v>4681</v>
      </c>
      <c r="BI389" s="142">
        <v>94</v>
      </c>
      <c r="BK389" s="139" t="s">
        <v>558</v>
      </c>
    </row>
    <row r="390" spans="1:64" x14ac:dyDescent="0.25">
      <c r="BJ390" s="122"/>
      <c r="BK390" s="122"/>
      <c r="BL390" s="122"/>
    </row>
    <row r="391" spans="1:64" x14ac:dyDescent="0.25">
      <c r="BJ391" s="122"/>
      <c r="BK391" s="122"/>
      <c r="BL391" s="122"/>
    </row>
    <row r="392" spans="1:64" x14ac:dyDescent="0.25">
      <c r="BJ392" s="122"/>
      <c r="BK392" s="122"/>
      <c r="BL392" s="122"/>
    </row>
    <row r="393" spans="1:64" x14ac:dyDescent="0.25">
      <c r="BJ393" s="122"/>
      <c r="BK393" s="122"/>
      <c r="BL393" s="122"/>
    </row>
    <row r="394" spans="1:64" x14ac:dyDescent="0.25">
      <c r="BJ394" s="122"/>
      <c r="BK394" s="122"/>
      <c r="BL394" s="122"/>
    </row>
    <row r="395" spans="1:64" x14ac:dyDescent="0.25">
      <c r="BJ395" s="122"/>
      <c r="BK395" s="122"/>
      <c r="BL395" s="122"/>
    </row>
    <row r="396" spans="1:64" x14ac:dyDescent="0.25">
      <c r="BJ396" s="122"/>
      <c r="BK396" s="122"/>
      <c r="BL396" s="122"/>
    </row>
    <row r="397" spans="1:64" x14ac:dyDescent="0.25">
      <c r="BJ397" s="122"/>
      <c r="BK397" s="122"/>
      <c r="BL397" s="122"/>
    </row>
    <row r="398" spans="1:64" x14ac:dyDescent="0.25">
      <c r="BJ398" s="122"/>
      <c r="BK398" s="122"/>
      <c r="BL398" s="122"/>
    </row>
    <row r="399" spans="1:64" x14ac:dyDescent="0.25">
      <c r="BJ399" s="122"/>
      <c r="BK399" s="122"/>
      <c r="BL399" s="122"/>
    </row>
    <row r="400" spans="1:64" x14ac:dyDescent="0.25">
      <c r="BJ400" s="122"/>
      <c r="BK400" s="122"/>
      <c r="BL400" s="122"/>
    </row>
    <row r="401" spans="62:64" x14ac:dyDescent="0.25">
      <c r="BJ401" s="122"/>
      <c r="BK401" s="122"/>
      <c r="BL401" s="122"/>
    </row>
    <row r="402" spans="62:64" x14ac:dyDescent="0.25">
      <c r="BJ402" s="122"/>
      <c r="BK402" s="122"/>
      <c r="BL402" s="122"/>
    </row>
    <row r="403" spans="62:64" x14ac:dyDescent="0.25">
      <c r="BJ403" s="122"/>
      <c r="BK403" s="122"/>
      <c r="BL403" s="122"/>
    </row>
    <row r="404" spans="62:64" x14ac:dyDescent="0.25">
      <c r="BJ404" s="122"/>
      <c r="BK404" s="122"/>
      <c r="BL404" s="122"/>
    </row>
    <row r="405" spans="62:64" x14ac:dyDescent="0.25">
      <c r="BJ405" s="122"/>
      <c r="BK405" s="122"/>
      <c r="BL405" s="122"/>
    </row>
    <row r="406" spans="62:64" x14ac:dyDescent="0.25">
      <c r="BJ406" s="122"/>
      <c r="BK406" s="122"/>
      <c r="BL406" s="122"/>
    </row>
    <row r="407" spans="62:64" x14ac:dyDescent="0.25">
      <c r="BJ407" s="122"/>
      <c r="BK407" s="122"/>
      <c r="BL407" s="122"/>
    </row>
    <row r="408" spans="62:64" x14ac:dyDescent="0.25">
      <c r="BJ408" s="122"/>
      <c r="BK408" s="122"/>
      <c r="BL408" s="122"/>
    </row>
    <row r="409" spans="62:64" x14ac:dyDescent="0.25">
      <c r="BJ409" s="122"/>
      <c r="BK409" s="122"/>
      <c r="BL409" s="122"/>
    </row>
    <row r="410" spans="62:64" x14ac:dyDescent="0.25">
      <c r="BJ410" s="122"/>
      <c r="BK410" s="122"/>
      <c r="BL410" s="122"/>
    </row>
    <row r="411" spans="62:64" x14ac:dyDescent="0.25">
      <c r="BJ411" s="122"/>
      <c r="BK411" s="122"/>
      <c r="BL411" s="122"/>
    </row>
    <row r="412" spans="62:64" x14ac:dyDescent="0.25">
      <c r="BJ412" s="122"/>
      <c r="BK412" s="122"/>
      <c r="BL412" s="122"/>
    </row>
    <row r="413" spans="62:64" x14ac:dyDescent="0.25">
      <c r="BJ413" s="122"/>
      <c r="BK413" s="122"/>
      <c r="BL413" s="122"/>
    </row>
    <row r="414" spans="62:64" x14ac:dyDescent="0.25">
      <c r="BJ414" s="122"/>
      <c r="BK414" s="122"/>
      <c r="BL414" s="122"/>
    </row>
    <row r="415" spans="62:64" x14ac:dyDescent="0.25">
      <c r="BJ415" s="122"/>
      <c r="BK415" s="122"/>
      <c r="BL415" s="122"/>
    </row>
    <row r="416" spans="62:64" x14ac:dyDescent="0.25">
      <c r="BJ416" s="122"/>
      <c r="BK416" s="122"/>
      <c r="BL416" s="122"/>
    </row>
    <row r="417" spans="62:64" x14ac:dyDescent="0.25">
      <c r="BJ417" s="122"/>
      <c r="BK417" s="122"/>
      <c r="BL417" s="122"/>
    </row>
    <row r="418" spans="62:64" x14ac:dyDescent="0.25">
      <c r="BJ418" s="122"/>
      <c r="BK418" s="122"/>
      <c r="BL418" s="122"/>
    </row>
    <row r="419" spans="62:64" x14ac:dyDescent="0.25">
      <c r="BJ419" s="122"/>
      <c r="BK419" s="122"/>
      <c r="BL419" s="122"/>
    </row>
    <row r="420" spans="62:64" x14ac:dyDescent="0.25">
      <c r="BJ420" s="122"/>
      <c r="BK420" s="122"/>
      <c r="BL420" s="122"/>
    </row>
    <row r="421" spans="62:64" x14ac:dyDescent="0.25">
      <c r="BJ421" s="122"/>
      <c r="BK421" s="122"/>
      <c r="BL421" s="122"/>
    </row>
    <row r="422" spans="62:64" x14ac:dyDescent="0.25">
      <c r="BJ422" s="122"/>
      <c r="BK422" s="122"/>
      <c r="BL422" s="122"/>
    </row>
    <row r="423" spans="62:64" x14ac:dyDescent="0.25">
      <c r="BJ423" s="122"/>
      <c r="BK423" s="122"/>
      <c r="BL423" s="122"/>
    </row>
    <row r="424" spans="62:64" x14ac:dyDescent="0.25">
      <c r="BJ424" s="122"/>
      <c r="BK424" s="122"/>
      <c r="BL424" s="122"/>
    </row>
    <row r="425" spans="62:64" x14ac:dyDescent="0.25">
      <c r="BJ425" s="122"/>
      <c r="BK425" s="122"/>
      <c r="BL425" s="122"/>
    </row>
    <row r="426" spans="62:64" x14ac:dyDescent="0.25">
      <c r="BJ426" s="122"/>
      <c r="BK426" s="122"/>
      <c r="BL426" s="122"/>
    </row>
    <row r="427" spans="62:64" x14ac:dyDescent="0.25">
      <c r="BJ427" s="122"/>
      <c r="BK427" s="122"/>
      <c r="BL427" s="122"/>
    </row>
    <row r="428" spans="62:64" x14ac:dyDescent="0.25">
      <c r="BJ428" s="122"/>
      <c r="BK428" s="122"/>
      <c r="BL428" s="122"/>
    </row>
    <row r="429" spans="62:64" x14ac:dyDescent="0.25">
      <c r="BJ429" s="122"/>
      <c r="BK429" s="122"/>
      <c r="BL429" s="122"/>
    </row>
    <row r="430" spans="62:64" x14ac:dyDescent="0.25">
      <c r="BJ430" s="122"/>
      <c r="BK430" s="122"/>
      <c r="BL430" s="122"/>
    </row>
    <row r="431" spans="62:64" x14ac:dyDescent="0.25">
      <c r="BJ431" s="122"/>
      <c r="BK431" s="122"/>
      <c r="BL431" s="122"/>
    </row>
    <row r="432" spans="62:64" x14ac:dyDescent="0.25">
      <c r="BJ432" s="122"/>
      <c r="BK432" s="122"/>
      <c r="BL432" s="122"/>
    </row>
    <row r="433" spans="62:64" x14ac:dyDescent="0.25">
      <c r="BJ433" s="122"/>
      <c r="BK433" s="122"/>
      <c r="BL433" s="122"/>
    </row>
    <row r="434" spans="62:64" x14ac:dyDescent="0.25">
      <c r="BJ434" s="122"/>
      <c r="BK434" s="122"/>
      <c r="BL434" s="122"/>
    </row>
    <row r="435" spans="62:64" x14ac:dyDescent="0.25">
      <c r="BJ435" s="122"/>
      <c r="BK435" s="122"/>
      <c r="BL435" s="122"/>
    </row>
    <row r="436" spans="62:64" x14ac:dyDescent="0.25">
      <c r="BJ436" s="122"/>
      <c r="BK436" s="122"/>
      <c r="BL436" s="122"/>
    </row>
    <row r="437" spans="62:64" x14ac:dyDescent="0.25">
      <c r="BJ437" s="122"/>
      <c r="BK437" s="122"/>
      <c r="BL437" s="122"/>
    </row>
    <row r="438" spans="62:64" x14ac:dyDescent="0.25">
      <c r="BJ438" s="122"/>
      <c r="BK438" s="122"/>
      <c r="BL438" s="122"/>
    </row>
    <row r="439" spans="62:64" x14ac:dyDescent="0.25">
      <c r="BJ439" s="122"/>
      <c r="BK439" s="122"/>
      <c r="BL439" s="122"/>
    </row>
    <row r="440" spans="62:64" x14ac:dyDescent="0.25">
      <c r="BJ440" s="122"/>
      <c r="BK440" s="122"/>
      <c r="BL440" s="122"/>
    </row>
    <row r="441" spans="62:64" x14ac:dyDescent="0.25">
      <c r="BJ441" s="122"/>
      <c r="BK441" s="122"/>
      <c r="BL441" s="122"/>
    </row>
    <row r="442" spans="62:64" x14ac:dyDescent="0.25">
      <c r="BJ442" s="122"/>
      <c r="BK442" s="122"/>
      <c r="BL442" s="122"/>
    </row>
    <row r="443" spans="62:64" x14ac:dyDescent="0.25">
      <c r="BJ443" s="122"/>
      <c r="BK443" s="122"/>
      <c r="BL443" s="122"/>
    </row>
    <row r="444" spans="62:64" x14ac:dyDescent="0.25">
      <c r="BJ444" s="122"/>
      <c r="BK444" s="122"/>
      <c r="BL444" s="122"/>
    </row>
    <row r="445" spans="62:64" x14ac:dyDescent="0.25">
      <c r="BJ445" s="122"/>
      <c r="BK445" s="122"/>
      <c r="BL445" s="122"/>
    </row>
    <row r="446" spans="62:64" x14ac:dyDescent="0.25">
      <c r="BJ446" s="122"/>
      <c r="BK446" s="122"/>
      <c r="BL446" s="122"/>
    </row>
    <row r="447" spans="62:64" x14ac:dyDescent="0.25">
      <c r="BJ447" s="122"/>
      <c r="BK447" s="122"/>
      <c r="BL447" s="122"/>
    </row>
    <row r="448" spans="62:64" x14ac:dyDescent="0.25">
      <c r="BJ448" s="122"/>
      <c r="BK448" s="122"/>
      <c r="BL448" s="122"/>
    </row>
    <row r="449" spans="62:64" x14ac:dyDescent="0.25">
      <c r="BJ449" s="122"/>
      <c r="BK449" s="122"/>
      <c r="BL449" s="122"/>
    </row>
    <row r="450" spans="62:64" x14ac:dyDescent="0.25">
      <c r="BJ450" s="122"/>
      <c r="BK450" s="122"/>
      <c r="BL450" s="122"/>
    </row>
    <row r="451" spans="62:64" x14ac:dyDescent="0.25">
      <c r="BJ451" s="122"/>
      <c r="BK451" s="122"/>
      <c r="BL451" s="122"/>
    </row>
    <row r="452" spans="62:64" x14ac:dyDescent="0.25">
      <c r="BJ452" s="122"/>
      <c r="BK452" s="122"/>
      <c r="BL452" s="122"/>
    </row>
    <row r="453" spans="62:64" x14ac:dyDescent="0.25">
      <c r="BJ453" s="122"/>
      <c r="BK453" s="122"/>
      <c r="BL453" s="122"/>
    </row>
    <row r="454" spans="62:64" x14ac:dyDescent="0.25">
      <c r="BJ454" s="122"/>
      <c r="BK454" s="122"/>
      <c r="BL454" s="122"/>
    </row>
    <row r="455" spans="62:64" x14ac:dyDescent="0.25">
      <c r="BJ455" s="122"/>
      <c r="BK455" s="122"/>
      <c r="BL455" s="122"/>
    </row>
    <row r="456" spans="62:64" x14ac:dyDescent="0.25">
      <c r="BJ456" s="122"/>
      <c r="BK456" s="122"/>
      <c r="BL456" s="122"/>
    </row>
    <row r="457" spans="62:64" x14ac:dyDescent="0.25">
      <c r="BJ457" s="122"/>
      <c r="BK457" s="122"/>
      <c r="BL457" s="122"/>
    </row>
    <row r="458" spans="62:64" x14ac:dyDescent="0.25">
      <c r="BJ458" s="122"/>
      <c r="BK458" s="122"/>
      <c r="BL458" s="122"/>
    </row>
    <row r="459" spans="62:64" x14ac:dyDescent="0.25">
      <c r="BJ459" s="122"/>
      <c r="BK459" s="122"/>
      <c r="BL459" s="122"/>
    </row>
    <row r="460" spans="62:64" x14ac:dyDescent="0.25">
      <c r="BJ460" s="122"/>
      <c r="BK460" s="122"/>
      <c r="BL460" s="122"/>
    </row>
    <row r="461" spans="62:64" x14ac:dyDescent="0.25">
      <c r="BJ461" s="122"/>
      <c r="BK461" s="122"/>
      <c r="BL461" s="122"/>
    </row>
    <row r="462" spans="62:64" x14ac:dyDescent="0.25">
      <c r="BJ462" s="122"/>
      <c r="BK462" s="122"/>
      <c r="BL462" s="122"/>
    </row>
    <row r="463" spans="62:64" x14ac:dyDescent="0.25">
      <c r="BJ463" s="122"/>
      <c r="BK463" s="122"/>
      <c r="BL463" s="122"/>
    </row>
    <row r="464" spans="62:64" x14ac:dyDescent="0.25">
      <c r="BJ464" s="122"/>
      <c r="BK464" s="122"/>
      <c r="BL464" s="122"/>
    </row>
    <row r="465" spans="62:64" x14ac:dyDescent="0.25">
      <c r="BJ465" s="122"/>
      <c r="BK465" s="122"/>
      <c r="BL465" s="122"/>
    </row>
    <row r="466" spans="62:64" x14ac:dyDescent="0.25">
      <c r="BJ466" s="122"/>
      <c r="BK466" s="122"/>
      <c r="BL466" s="122"/>
    </row>
    <row r="467" spans="62:64" x14ac:dyDescent="0.25">
      <c r="BJ467" s="122"/>
      <c r="BK467" s="122"/>
      <c r="BL467" s="122"/>
    </row>
    <row r="468" spans="62:64" x14ac:dyDescent="0.25">
      <c r="BJ468" s="122"/>
      <c r="BK468" s="122"/>
      <c r="BL468" s="122"/>
    </row>
    <row r="469" spans="62:64" x14ac:dyDescent="0.25">
      <c r="BJ469" s="122"/>
      <c r="BK469" s="122"/>
      <c r="BL469" s="122"/>
    </row>
    <row r="470" spans="62:64" x14ac:dyDescent="0.25">
      <c r="BJ470" s="122"/>
      <c r="BK470" s="122"/>
      <c r="BL470" s="122"/>
    </row>
    <row r="471" spans="62:64" x14ac:dyDescent="0.25">
      <c r="BJ471" s="122"/>
      <c r="BK471" s="122"/>
      <c r="BL471" s="122"/>
    </row>
    <row r="472" spans="62:64" x14ac:dyDescent="0.25">
      <c r="BJ472" s="122"/>
      <c r="BK472" s="122"/>
      <c r="BL472" s="122"/>
    </row>
    <row r="473" spans="62:64" x14ac:dyDescent="0.25">
      <c r="BJ473" s="122"/>
      <c r="BK473" s="122"/>
      <c r="BL473" s="122"/>
    </row>
    <row r="474" spans="62:64" x14ac:dyDescent="0.25">
      <c r="BJ474" s="122"/>
      <c r="BK474" s="122"/>
      <c r="BL474" s="122"/>
    </row>
    <row r="475" spans="62:64" x14ac:dyDescent="0.25">
      <c r="BJ475" s="122"/>
      <c r="BK475" s="122"/>
      <c r="BL475" s="122"/>
    </row>
    <row r="476" spans="62:64" x14ac:dyDescent="0.25">
      <c r="BJ476" s="122"/>
      <c r="BK476" s="122"/>
      <c r="BL476" s="122"/>
    </row>
    <row r="477" spans="62:64" x14ac:dyDescent="0.25">
      <c r="BJ477" s="122"/>
      <c r="BK477" s="122"/>
      <c r="BL477" s="122"/>
    </row>
    <row r="478" spans="62:64" x14ac:dyDescent="0.25">
      <c r="BJ478" s="122"/>
      <c r="BK478" s="122"/>
      <c r="BL478" s="122"/>
    </row>
    <row r="479" spans="62:64" x14ac:dyDescent="0.25">
      <c r="BJ479" s="122"/>
      <c r="BK479" s="122"/>
      <c r="BL479" s="122"/>
    </row>
    <row r="480" spans="62:64" x14ac:dyDescent="0.25">
      <c r="BJ480" s="122"/>
      <c r="BK480" s="122"/>
      <c r="BL480" s="122"/>
    </row>
    <row r="481" spans="62:64" x14ac:dyDescent="0.25">
      <c r="BJ481" s="122"/>
      <c r="BK481" s="122"/>
      <c r="BL481" s="122"/>
    </row>
    <row r="482" spans="62:64" x14ac:dyDescent="0.25">
      <c r="BJ482" s="122"/>
      <c r="BK482" s="122"/>
      <c r="BL482" s="122"/>
    </row>
    <row r="483" spans="62:64" x14ac:dyDescent="0.25">
      <c r="BJ483" s="122"/>
      <c r="BK483" s="122"/>
      <c r="BL483" s="122"/>
    </row>
    <row r="484" spans="62:64" x14ac:dyDescent="0.25">
      <c r="BJ484" s="122"/>
      <c r="BK484" s="122"/>
      <c r="BL484" s="122"/>
    </row>
    <row r="485" spans="62:64" x14ac:dyDescent="0.25">
      <c r="BJ485" s="122"/>
      <c r="BK485" s="122"/>
      <c r="BL485" s="122"/>
    </row>
    <row r="486" spans="62:64" x14ac:dyDescent="0.25">
      <c r="BJ486" s="122"/>
      <c r="BK486" s="122"/>
      <c r="BL486" s="122"/>
    </row>
    <row r="487" spans="62:64" x14ac:dyDescent="0.25">
      <c r="BJ487" s="122"/>
      <c r="BK487" s="122"/>
      <c r="BL487" s="122"/>
    </row>
    <row r="488" spans="62:64" x14ac:dyDescent="0.25">
      <c r="BJ488" s="122"/>
      <c r="BK488" s="122"/>
      <c r="BL488" s="122"/>
    </row>
    <row r="489" spans="62:64" x14ac:dyDescent="0.25">
      <c r="BJ489" s="122"/>
      <c r="BK489" s="122"/>
      <c r="BL489" s="122"/>
    </row>
    <row r="490" spans="62:64" x14ac:dyDescent="0.25">
      <c r="BJ490" s="122"/>
      <c r="BK490" s="122"/>
      <c r="BL490" s="122"/>
    </row>
    <row r="491" spans="62:64" x14ac:dyDescent="0.25">
      <c r="BJ491" s="122"/>
      <c r="BK491" s="122"/>
      <c r="BL491" s="122"/>
    </row>
    <row r="492" spans="62:64" x14ac:dyDescent="0.25">
      <c r="BJ492" s="122"/>
      <c r="BK492" s="122"/>
      <c r="BL492" s="122"/>
    </row>
    <row r="493" spans="62:64" x14ac:dyDescent="0.25">
      <c r="BJ493" s="122"/>
      <c r="BK493" s="122"/>
      <c r="BL493" s="122"/>
    </row>
    <row r="494" spans="62:64" x14ac:dyDescent="0.25">
      <c r="BJ494" s="122"/>
      <c r="BK494" s="122"/>
      <c r="BL494" s="122"/>
    </row>
    <row r="495" spans="62:64" x14ac:dyDescent="0.25">
      <c r="BJ495" s="122"/>
      <c r="BK495" s="122"/>
      <c r="BL495" s="122"/>
    </row>
    <row r="496" spans="62:64" x14ac:dyDescent="0.25">
      <c r="BJ496" s="122"/>
      <c r="BK496" s="122"/>
      <c r="BL496" s="122"/>
    </row>
    <row r="497" spans="62:64" x14ac:dyDescent="0.25">
      <c r="BJ497" s="122"/>
      <c r="BK497" s="122"/>
      <c r="BL497" s="122"/>
    </row>
    <row r="498" spans="62:64" x14ac:dyDescent="0.25">
      <c r="BJ498" s="122"/>
      <c r="BK498" s="122"/>
      <c r="BL498" s="122"/>
    </row>
    <row r="499" spans="62:64" x14ac:dyDescent="0.25">
      <c r="BJ499" s="122"/>
      <c r="BK499" s="122"/>
      <c r="BL499" s="122"/>
    </row>
    <row r="500" spans="62:64" x14ac:dyDescent="0.25">
      <c r="BJ500" s="122"/>
      <c r="BK500" s="122"/>
      <c r="BL500" s="122"/>
    </row>
    <row r="501" spans="62:64" x14ac:dyDescent="0.25">
      <c r="BJ501" s="122"/>
      <c r="BK501" s="122"/>
      <c r="BL501" s="122"/>
    </row>
    <row r="502" spans="62:64" x14ac:dyDescent="0.25">
      <c r="BJ502" s="122"/>
      <c r="BK502" s="122"/>
      <c r="BL502" s="122"/>
    </row>
    <row r="503" spans="62:64" x14ac:dyDescent="0.25">
      <c r="BJ503" s="122"/>
      <c r="BK503" s="122"/>
      <c r="BL503" s="122"/>
    </row>
    <row r="504" spans="62:64" x14ac:dyDescent="0.25">
      <c r="BJ504" s="122"/>
      <c r="BK504" s="122"/>
      <c r="BL504" s="122"/>
    </row>
    <row r="505" spans="62:64" x14ac:dyDescent="0.25">
      <c r="BJ505" s="122"/>
      <c r="BK505" s="122"/>
      <c r="BL505" s="122"/>
    </row>
    <row r="506" spans="62:64" x14ac:dyDescent="0.25">
      <c r="BJ506" s="122"/>
      <c r="BK506" s="122"/>
      <c r="BL506" s="122"/>
    </row>
    <row r="507" spans="62:64" x14ac:dyDescent="0.25">
      <c r="BJ507" s="122"/>
      <c r="BK507" s="122"/>
      <c r="BL507" s="122"/>
    </row>
    <row r="508" spans="62:64" x14ac:dyDescent="0.25">
      <c r="BJ508" s="122"/>
      <c r="BK508" s="122"/>
      <c r="BL508" s="122"/>
    </row>
    <row r="509" spans="62:64" x14ac:dyDescent="0.25">
      <c r="BJ509" s="122"/>
      <c r="BK509" s="122"/>
      <c r="BL509" s="122"/>
    </row>
    <row r="510" spans="62:64" x14ac:dyDescent="0.25">
      <c r="BJ510" s="122"/>
      <c r="BK510" s="122"/>
      <c r="BL510" s="122"/>
    </row>
    <row r="511" spans="62:64" x14ac:dyDescent="0.25">
      <c r="BJ511" s="122"/>
      <c r="BK511" s="122"/>
      <c r="BL511" s="122"/>
    </row>
    <row r="512" spans="62:64" x14ac:dyDescent="0.25">
      <c r="BJ512" s="122"/>
      <c r="BK512" s="122"/>
      <c r="BL512" s="122"/>
    </row>
    <row r="513" spans="62:64" x14ac:dyDescent="0.25">
      <c r="BJ513" s="122"/>
      <c r="BK513" s="122"/>
      <c r="BL513" s="122"/>
    </row>
    <row r="514" spans="62:64" x14ac:dyDescent="0.25">
      <c r="BJ514" s="122"/>
      <c r="BK514" s="122"/>
      <c r="BL514" s="122"/>
    </row>
    <row r="515" spans="62:64" x14ac:dyDescent="0.25">
      <c r="BJ515" s="122"/>
      <c r="BK515" s="122"/>
      <c r="BL515" s="122"/>
    </row>
    <row r="516" spans="62:64" x14ac:dyDescent="0.25">
      <c r="BJ516" s="122"/>
      <c r="BK516" s="122"/>
      <c r="BL516" s="122"/>
    </row>
    <row r="517" spans="62:64" x14ac:dyDescent="0.25">
      <c r="BJ517" s="122"/>
      <c r="BK517" s="122"/>
      <c r="BL517" s="122"/>
    </row>
    <row r="518" spans="62:64" x14ac:dyDescent="0.25">
      <c r="BJ518" s="122"/>
      <c r="BK518" s="122"/>
      <c r="BL518" s="122"/>
    </row>
    <row r="519" spans="62:64" x14ac:dyDescent="0.25">
      <c r="BJ519" s="122"/>
      <c r="BK519" s="122"/>
      <c r="BL519" s="122"/>
    </row>
    <row r="520" spans="62:64" x14ac:dyDescent="0.25">
      <c r="BJ520" s="122"/>
      <c r="BK520" s="122"/>
      <c r="BL520" s="122"/>
    </row>
    <row r="521" spans="62:64" x14ac:dyDescent="0.25">
      <c r="BJ521" s="122"/>
      <c r="BK521" s="122"/>
      <c r="BL521" s="122"/>
    </row>
    <row r="522" spans="62:64" x14ac:dyDescent="0.25">
      <c r="BJ522" s="122"/>
      <c r="BK522" s="122"/>
      <c r="BL522" s="122"/>
    </row>
    <row r="523" spans="62:64" x14ac:dyDescent="0.25">
      <c r="BJ523" s="122"/>
      <c r="BK523" s="122"/>
      <c r="BL523" s="122"/>
    </row>
    <row r="524" spans="62:64" x14ac:dyDescent="0.25">
      <c r="BJ524" s="122"/>
      <c r="BK524" s="122"/>
      <c r="BL524" s="122"/>
    </row>
    <row r="525" spans="62:64" x14ac:dyDescent="0.25">
      <c r="BJ525" s="122"/>
      <c r="BK525" s="122"/>
      <c r="BL525" s="122"/>
    </row>
    <row r="526" spans="62:64" x14ac:dyDescent="0.25">
      <c r="BJ526" s="122"/>
      <c r="BK526" s="122"/>
      <c r="BL526" s="122"/>
    </row>
    <row r="527" spans="62:64" x14ac:dyDescent="0.25">
      <c r="BJ527" s="122"/>
      <c r="BK527" s="122"/>
      <c r="BL527" s="122"/>
    </row>
    <row r="528" spans="62:64" x14ac:dyDescent="0.25">
      <c r="BJ528" s="122"/>
      <c r="BK528" s="122"/>
      <c r="BL528" s="122"/>
    </row>
    <row r="529" spans="62:64" x14ac:dyDescent="0.25">
      <c r="BJ529" s="122"/>
      <c r="BK529" s="122"/>
      <c r="BL529" s="122"/>
    </row>
    <row r="530" spans="62:64" x14ac:dyDescent="0.25">
      <c r="BJ530" s="122"/>
      <c r="BK530" s="122"/>
      <c r="BL530" s="122"/>
    </row>
    <row r="531" spans="62:64" x14ac:dyDescent="0.25">
      <c r="BJ531" s="122"/>
      <c r="BK531" s="122"/>
      <c r="BL531" s="122"/>
    </row>
    <row r="532" spans="62:64" x14ac:dyDescent="0.25">
      <c r="BJ532" s="122"/>
      <c r="BK532" s="122"/>
      <c r="BL532" s="122"/>
    </row>
    <row r="533" spans="62:64" x14ac:dyDescent="0.25">
      <c r="BJ533" s="122"/>
      <c r="BK533" s="122"/>
      <c r="BL533" s="122"/>
    </row>
    <row r="534" spans="62:64" x14ac:dyDescent="0.25">
      <c r="BJ534" s="122"/>
      <c r="BK534" s="122"/>
      <c r="BL534" s="122"/>
    </row>
    <row r="535" spans="62:64" x14ac:dyDescent="0.25">
      <c r="BJ535" s="122"/>
      <c r="BK535" s="122"/>
      <c r="BL535" s="122"/>
    </row>
    <row r="536" spans="62:64" x14ac:dyDescent="0.25">
      <c r="BJ536" s="122"/>
      <c r="BK536" s="122"/>
      <c r="BL536" s="122"/>
    </row>
    <row r="537" spans="62:64" x14ac:dyDescent="0.25">
      <c r="BJ537" s="122"/>
      <c r="BK537" s="122"/>
      <c r="BL537" s="122"/>
    </row>
    <row r="538" spans="62:64" x14ac:dyDescent="0.25">
      <c r="BJ538" s="122"/>
      <c r="BK538" s="122"/>
      <c r="BL538" s="122"/>
    </row>
    <row r="539" spans="62:64" x14ac:dyDescent="0.25">
      <c r="BJ539" s="122"/>
      <c r="BK539" s="122"/>
      <c r="BL539" s="122"/>
    </row>
    <row r="540" spans="62:64" x14ac:dyDescent="0.25">
      <c r="BJ540" s="122"/>
      <c r="BK540" s="122"/>
      <c r="BL540" s="122"/>
    </row>
    <row r="541" spans="62:64" x14ac:dyDescent="0.25">
      <c r="BJ541" s="122"/>
      <c r="BK541" s="122"/>
      <c r="BL541" s="122"/>
    </row>
    <row r="542" spans="62:64" x14ac:dyDescent="0.25">
      <c r="BJ542" s="122"/>
      <c r="BK542" s="122"/>
      <c r="BL542" s="122"/>
    </row>
    <row r="543" spans="62:64" x14ac:dyDescent="0.25">
      <c r="BJ543" s="122"/>
      <c r="BK543" s="122"/>
      <c r="BL543" s="122"/>
    </row>
    <row r="544" spans="62:64" x14ac:dyDescent="0.25">
      <c r="BJ544" s="122"/>
      <c r="BK544" s="122"/>
      <c r="BL544" s="122"/>
    </row>
    <row r="545" spans="62:64" x14ac:dyDescent="0.25">
      <c r="BJ545" s="122"/>
      <c r="BK545" s="122"/>
      <c r="BL545" s="122"/>
    </row>
    <row r="546" spans="62:64" x14ac:dyDescent="0.25">
      <c r="BJ546" s="122"/>
      <c r="BK546" s="122"/>
      <c r="BL546" s="122"/>
    </row>
    <row r="547" spans="62:64" x14ac:dyDescent="0.25">
      <c r="BJ547" s="122"/>
      <c r="BK547" s="122"/>
      <c r="BL547" s="122"/>
    </row>
    <row r="548" spans="62:64" x14ac:dyDescent="0.25">
      <c r="BJ548" s="122"/>
      <c r="BK548" s="122"/>
      <c r="BL548" s="122"/>
    </row>
    <row r="549" spans="62:64" x14ac:dyDescent="0.25">
      <c r="BJ549" s="122"/>
      <c r="BK549" s="122"/>
      <c r="BL549" s="122"/>
    </row>
    <row r="550" spans="62:64" x14ac:dyDescent="0.25">
      <c r="BJ550" s="122"/>
      <c r="BK550" s="122"/>
      <c r="BL550" s="122"/>
    </row>
    <row r="551" spans="62:64" x14ac:dyDescent="0.25">
      <c r="BJ551" s="122"/>
      <c r="BK551" s="122"/>
      <c r="BL551" s="122"/>
    </row>
    <row r="552" spans="62:64" x14ac:dyDescent="0.25">
      <c r="BJ552" s="122"/>
      <c r="BK552" s="122"/>
      <c r="BL552" s="122"/>
    </row>
    <row r="553" spans="62:64" x14ac:dyDescent="0.25">
      <c r="BJ553" s="122"/>
      <c r="BK553" s="122"/>
      <c r="BL553" s="122"/>
    </row>
    <row r="554" spans="62:64" x14ac:dyDescent="0.25">
      <c r="BJ554" s="122"/>
      <c r="BK554" s="122"/>
      <c r="BL554" s="122"/>
    </row>
    <row r="555" spans="62:64" x14ac:dyDescent="0.25">
      <c r="BJ555" s="122"/>
      <c r="BK555" s="122"/>
      <c r="BL555" s="122"/>
    </row>
    <row r="556" spans="62:64" x14ac:dyDescent="0.25">
      <c r="BJ556" s="122"/>
      <c r="BK556" s="122"/>
      <c r="BL556" s="122"/>
    </row>
    <row r="557" spans="62:64" x14ac:dyDescent="0.25">
      <c r="BJ557" s="122"/>
      <c r="BK557" s="122"/>
      <c r="BL557" s="122"/>
    </row>
    <row r="558" spans="62:64" x14ac:dyDescent="0.25">
      <c r="BJ558" s="122"/>
      <c r="BK558" s="122"/>
      <c r="BL558" s="122"/>
    </row>
    <row r="559" spans="62:64" x14ac:dyDescent="0.25">
      <c r="BJ559" s="122"/>
      <c r="BK559" s="122"/>
      <c r="BL559" s="122"/>
    </row>
    <row r="560" spans="62:64" x14ac:dyDescent="0.25">
      <c r="BJ560" s="122"/>
      <c r="BK560" s="122"/>
      <c r="BL560" s="122"/>
    </row>
    <row r="561" spans="62:64" x14ac:dyDescent="0.25">
      <c r="BJ561" s="122"/>
      <c r="BK561" s="122"/>
      <c r="BL561" s="122"/>
    </row>
    <row r="562" spans="62:64" x14ac:dyDescent="0.25">
      <c r="BJ562" s="122"/>
      <c r="BK562" s="122"/>
      <c r="BL562" s="122"/>
    </row>
    <row r="563" spans="62:64" x14ac:dyDescent="0.25">
      <c r="BJ563" s="122"/>
      <c r="BK563" s="122"/>
      <c r="BL563" s="122"/>
    </row>
    <row r="564" spans="62:64" x14ac:dyDescent="0.25">
      <c r="BJ564" s="122"/>
      <c r="BK564" s="122"/>
      <c r="BL564" s="122"/>
    </row>
    <row r="565" spans="62:64" x14ac:dyDescent="0.25">
      <c r="BJ565" s="122"/>
      <c r="BK565" s="122"/>
      <c r="BL565" s="122"/>
    </row>
    <row r="566" spans="62:64" x14ac:dyDescent="0.25">
      <c r="BJ566" s="122"/>
      <c r="BK566" s="122"/>
      <c r="BL566" s="122"/>
    </row>
    <row r="567" spans="62:64" x14ac:dyDescent="0.25">
      <c r="BJ567" s="122"/>
      <c r="BK567" s="122"/>
      <c r="BL567" s="122"/>
    </row>
    <row r="568" spans="62:64" x14ac:dyDescent="0.25">
      <c r="BJ568" s="122"/>
      <c r="BK568" s="122"/>
      <c r="BL568" s="122"/>
    </row>
    <row r="569" spans="62:64" x14ac:dyDescent="0.25">
      <c r="BJ569" s="122"/>
      <c r="BK569" s="122"/>
      <c r="BL569" s="122"/>
    </row>
    <row r="570" spans="62:64" x14ac:dyDescent="0.25">
      <c r="BJ570" s="122"/>
      <c r="BK570" s="122"/>
      <c r="BL570" s="122"/>
    </row>
    <row r="571" spans="62:64" x14ac:dyDescent="0.25">
      <c r="BJ571" s="122"/>
      <c r="BK571" s="122"/>
      <c r="BL571" s="122"/>
    </row>
    <row r="572" spans="62:64" x14ac:dyDescent="0.25">
      <c r="BJ572" s="122"/>
      <c r="BK572" s="122"/>
      <c r="BL572" s="122"/>
    </row>
    <row r="573" spans="62:64" x14ac:dyDescent="0.25">
      <c r="BJ573" s="122"/>
      <c r="BK573" s="122"/>
      <c r="BL573" s="122"/>
    </row>
    <row r="574" spans="62:64" x14ac:dyDescent="0.25">
      <c r="BJ574" s="122"/>
      <c r="BK574" s="122"/>
      <c r="BL574" s="122"/>
    </row>
    <row r="575" spans="62:64" x14ac:dyDescent="0.25">
      <c r="BJ575" s="122"/>
      <c r="BK575" s="122"/>
      <c r="BL575" s="122"/>
    </row>
    <row r="576" spans="62:64" x14ac:dyDescent="0.25">
      <c r="BJ576" s="122"/>
      <c r="BK576" s="122"/>
      <c r="BL576" s="122"/>
    </row>
    <row r="577" spans="62:64" x14ac:dyDescent="0.25">
      <c r="BJ577" s="122"/>
      <c r="BK577" s="122"/>
      <c r="BL577" s="122"/>
    </row>
    <row r="578" spans="62:64" x14ac:dyDescent="0.25">
      <c r="BJ578" s="122"/>
      <c r="BK578" s="122"/>
      <c r="BL578" s="122"/>
    </row>
    <row r="579" spans="62:64" x14ac:dyDescent="0.25">
      <c r="BJ579" s="122"/>
      <c r="BK579" s="122"/>
      <c r="BL579" s="122"/>
    </row>
    <row r="580" spans="62:64" x14ac:dyDescent="0.25">
      <c r="BJ580" s="122"/>
      <c r="BK580" s="122"/>
      <c r="BL580" s="122"/>
    </row>
    <row r="581" spans="62:64" x14ac:dyDescent="0.25">
      <c r="BJ581" s="122"/>
      <c r="BK581" s="122"/>
      <c r="BL581" s="122"/>
    </row>
    <row r="582" spans="62:64" x14ac:dyDescent="0.25">
      <c r="BJ582" s="122"/>
      <c r="BK582" s="122"/>
      <c r="BL582" s="122"/>
    </row>
    <row r="583" spans="62:64" x14ac:dyDescent="0.25">
      <c r="BJ583" s="122"/>
      <c r="BK583" s="122"/>
      <c r="BL583" s="122"/>
    </row>
    <row r="584" spans="62:64" x14ac:dyDescent="0.25">
      <c r="BJ584" s="122"/>
      <c r="BK584" s="122"/>
      <c r="BL584" s="122"/>
    </row>
    <row r="585" spans="62:64" x14ac:dyDescent="0.25">
      <c r="BJ585" s="122"/>
      <c r="BK585" s="122"/>
      <c r="BL585" s="122"/>
    </row>
    <row r="586" spans="62:64" x14ac:dyDescent="0.25">
      <c r="BJ586" s="122"/>
      <c r="BK586" s="122"/>
      <c r="BL586" s="122"/>
    </row>
    <row r="587" spans="62:64" x14ac:dyDescent="0.25">
      <c r="BJ587" s="122"/>
      <c r="BK587" s="122"/>
      <c r="BL587" s="122"/>
    </row>
    <row r="588" spans="62:64" x14ac:dyDescent="0.25">
      <c r="BJ588" s="122"/>
      <c r="BK588" s="122"/>
      <c r="BL588" s="122"/>
    </row>
    <row r="589" spans="62:64" x14ac:dyDescent="0.25">
      <c r="BJ589" s="122"/>
      <c r="BK589" s="122"/>
      <c r="BL589" s="122"/>
    </row>
    <row r="590" spans="62:64" x14ac:dyDescent="0.25">
      <c r="BJ590" s="122"/>
      <c r="BK590" s="122"/>
      <c r="BL590" s="122"/>
    </row>
    <row r="591" spans="62:64" x14ac:dyDescent="0.25">
      <c r="BJ591" s="122"/>
      <c r="BK591" s="122"/>
      <c r="BL591" s="122"/>
    </row>
    <row r="592" spans="62:64" x14ac:dyDescent="0.25">
      <c r="BJ592" s="122"/>
      <c r="BK592" s="122"/>
      <c r="BL592" s="122"/>
    </row>
    <row r="593" spans="62:64" x14ac:dyDescent="0.25">
      <c r="BJ593" s="122"/>
      <c r="BK593" s="122"/>
      <c r="BL593" s="122"/>
    </row>
    <row r="594" spans="62:64" x14ac:dyDescent="0.25">
      <c r="BJ594" s="122"/>
      <c r="BK594" s="122"/>
      <c r="BL594" s="122"/>
    </row>
    <row r="595" spans="62:64" x14ac:dyDescent="0.25">
      <c r="BJ595" s="122"/>
      <c r="BK595" s="122"/>
      <c r="BL595" s="122"/>
    </row>
    <row r="596" spans="62:64" x14ac:dyDescent="0.25">
      <c r="BJ596" s="122"/>
      <c r="BK596" s="122"/>
      <c r="BL596" s="122"/>
    </row>
    <row r="597" spans="62:64" x14ac:dyDescent="0.25">
      <c r="BJ597" s="122"/>
      <c r="BK597" s="122"/>
      <c r="BL597" s="122"/>
    </row>
    <row r="598" spans="62:64" x14ac:dyDescent="0.25">
      <c r="BJ598" s="122"/>
      <c r="BK598" s="122"/>
      <c r="BL598" s="122"/>
    </row>
    <row r="599" spans="62:64" x14ac:dyDescent="0.25">
      <c r="BJ599" s="122"/>
      <c r="BK599" s="122"/>
      <c r="BL599" s="122"/>
    </row>
    <row r="600" spans="62:64" x14ac:dyDescent="0.25">
      <c r="BJ600" s="122"/>
      <c r="BK600" s="122"/>
      <c r="BL600" s="122"/>
    </row>
    <row r="601" spans="62:64" x14ac:dyDescent="0.25">
      <c r="BJ601" s="122"/>
      <c r="BK601" s="122"/>
      <c r="BL601" s="122"/>
    </row>
    <row r="602" spans="62:64" x14ac:dyDescent="0.25">
      <c r="BJ602" s="122"/>
      <c r="BK602" s="122"/>
      <c r="BL602" s="122"/>
    </row>
    <row r="603" spans="62:64" x14ac:dyDescent="0.25">
      <c r="BJ603" s="122"/>
      <c r="BK603" s="122"/>
      <c r="BL603" s="122"/>
    </row>
    <row r="604" spans="62:64" x14ac:dyDescent="0.25">
      <c r="BJ604" s="122"/>
      <c r="BK604" s="122"/>
      <c r="BL604" s="122"/>
    </row>
    <row r="605" spans="62:64" x14ac:dyDescent="0.25">
      <c r="BJ605" s="122"/>
      <c r="BK605" s="122"/>
      <c r="BL605" s="122"/>
    </row>
    <row r="606" spans="62:64" x14ac:dyDescent="0.25">
      <c r="BJ606" s="122"/>
      <c r="BK606" s="122"/>
      <c r="BL606" s="122"/>
    </row>
    <row r="607" spans="62:64" x14ac:dyDescent="0.25">
      <c r="BJ607" s="122"/>
      <c r="BK607" s="122"/>
      <c r="BL607" s="122"/>
    </row>
    <row r="608" spans="62:64" x14ac:dyDescent="0.25">
      <c r="BJ608" s="122"/>
      <c r="BK608" s="122"/>
      <c r="BL608" s="122"/>
    </row>
    <row r="609" spans="62:64" x14ac:dyDescent="0.25">
      <c r="BJ609" s="122"/>
      <c r="BK609" s="122"/>
      <c r="BL609" s="122"/>
    </row>
    <row r="610" spans="62:64" x14ac:dyDescent="0.25">
      <c r="BJ610" s="122"/>
      <c r="BK610" s="122"/>
      <c r="BL610" s="122"/>
    </row>
    <row r="611" spans="62:64" x14ac:dyDescent="0.25">
      <c r="BJ611" s="122"/>
      <c r="BK611" s="122"/>
      <c r="BL611" s="122"/>
    </row>
    <row r="612" spans="62:64" x14ac:dyDescent="0.25">
      <c r="BJ612" s="122"/>
      <c r="BK612" s="122"/>
      <c r="BL612" s="122"/>
    </row>
    <row r="613" spans="62:64" x14ac:dyDescent="0.25">
      <c r="BJ613" s="122"/>
      <c r="BK613" s="122"/>
      <c r="BL613" s="122"/>
    </row>
    <row r="614" spans="62:64" x14ac:dyDescent="0.25">
      <c r="BJ614" s="122"/>
      <c r="BK614" s="122"/>
      <c r="BL614" s="122"/>
    </row>
    <row r="615" spans="62:64" x14ac:dyDescent="0.25">
      <c r="BJ615" s="122"/>
      <c r="BK615" s="122"/>
      <c r="BL615" s="122"/>
    </row>
    <row r="616" spans="62:64" x14ac:dyDescent="0.25">
      <c r="BJ616" s="122"/>
      <c r="BK616" s="122"/>
      <c r="BL616" s="122"/>
    </row>
    <row r="617" spans="62:64" x14ac:dyDescent="0.25">
      <c r="BJ617" s="122"/>
      <c r="BK617" s="122"/>
      <c r="BL617" s="122"/>
    </row>
    <row r="618" spans="62:64" x14ac:dyDescent="0.25">
      <c r="BJ618" s="122"/>
      <c r="BK618" s="122"/>
      <c r="BL618" s="122"/>
    </row>
    <row r="619" spans="62:64" x14ac:dyDescent="0.25">
      <c r="BJ619" s="122"/>
      <c r="BK619" s="122"/>
      <c r="BL619" s="122"/>
    </row>
    <row r="620" spans="62:64" x14ac:dyDescent="0.25">
      <c r="BJ620" s="122"/>
      <c r="BK620" s="122"/>
      <c r="BL620" s="122"/>
    </row>
    <row r="621" spans="62:64" x14ac:dyDescent="0.25">
      <c r="BJ621" s="122"/>
      <c r="BK621" s="122"/>
      <c r="BL621" s="122"/>
    </row>
    <row r="622" spans="62:64" x14ac:dyDescent="0.25">
      <c r="BJ622" s="122"/>
      <c r="BK622" s="122"/>
      <c r="BL622" s="122"/>
    </row>
    <row r="623" spans="62:64" x14ac:dyDescent="0.25">
      <c r="BJ623" s="122"/>
      <c r="BK623" s="122"/>
      <c r="BL623" s="122"/>
    </row>
    <row r="624" spans="62:64" x14ac:dyDescent="0.25">
      <c r="BJ624" s="122"/>
      <c r="BK624" s="122"/>
      <c r="BL624" s="122"/>
    </row>
    <row r="625" spans="62:64" x14ac:dyDescent="0.25">
      <c r="BJ625" s="122"/>
      <c r="BK625" s="122"/>
      <c r="BL625" s="122"/>
    </row>
    <row r="626" spans="62:64" x14ac:dyDescent="0.25">
      <c r="BJ626" s="122"/>
      <c r="BK626" s="122"/>
      <c r="BL626" s="122"/>
    </row>
    <row r="627" spans="62:64" x14ac:dyDescent="0.25">
      <c r="BJ627" s="122"/>
      <c r="BK627" s="122"/>
      <c r="BL627" s="122"/>
    </row>
    <row r="628" spans="62:64" x14ac:dyDescent="0.25">
      <c r="BJ628" s="122"/>
      <c r="BK628" s="122"/>
      <c r="BL628" s="122"/>
    </row>
    <row r="629" spans="62:64" x14ac:dyDescent="0.25">
      <c r="BJ629" s="122"/>
      <c r="BK629" s="122"/>
      <c r="BL629" s="122"/>
    </row>
    <row r="630" spans="62:64" x14ac:dyDescent="0.25">
      <c r="BJ630" s="122"/>
      <c r="BK630" s="122"/>
      <c r="BL630" s="122"/>
    </row>
    <row r="631" spans="62:64" x14ac:dyDescent="0.25">
      <c r="BJ631" s="122"/>
      <c r="BK631" s="122"/>
      <c r="BL631" s="122"/>
    </row>
    <row r="632" spans="62:64" x14ac:dyDescent="0.25">
      <c r="BJ632" s="122"/>
      <c r="BK632" s="122"/>
      <c r="BL632" s="122"/>
    </row>
    <row r="633" spans="62:64" x14ac:dyDescent="0.25">
      <c r="BJ633" s="122"/>
      <c r="BK633" s="122"/>
      <c r="BL633" s="122"/>
    </row>
    <row r="634" spans="62:64" x14ac:dyDescent="0.25">
      <c r="BJ634" s="122"/>
      <c r="BK634" s="122"/>
      <c r="BL634" s="122"/>
    </row>
    <row r="635" spans="62:64" x14ac:dyDescent="0.25">
      <c r="BJ635" s="122"/>
      <c r="BK635" s="122"/>
      <c r="BL635" s="122"/>
    </row>
    <row r="636" spans="62:64" x14ac:dyDescent="0.25">
      <c r="BJ636" s="122"/>
      <c r="BK636" s="122"/>
      <c r="BL636" s="122"/>
    </row>
    <row r="637" spans="62:64" x14ac:dyDescent="0.25">
      <c r="BJ637" s="122"/>
      <c r="BK637" s="122"/>
      <c r="BL637" s="122"/>
    </row>
    <row r="638" spans="62:64" x14ac:dyDescent="0.25">
      <c r="BJ638" s="122"/>
      <c r="BK638" s="122"/>
      <c r="BL638" s="122"/>
    </row>
    <row r="639" spans="62:64" x14ac:dyDescent="0.25">
      <c r="BJ639" s="122"/>
      <c r="BK639" s="122"/>
      <c r="BL639" s="122"/>
    </row>
    <row r="640" spans="62:64" x14ac:dyDescent="0.25">
      <c r="BJ640" s="122"/>
      <c r="BK640" s="122"/>
      <c r="BL640" s="122"/>
    </row>
    <row r="641" spans="62:64" x14ac:dyDescent="0.25">
      <c r="BJ641" s="122"/>
      <c r="BK641" s="122"/>
      <c r="BL641" s="122"/>
    </row>
    <row r="642" spans="62:64" x14ac:dyDescent="0.25">
      <c r="BJ642" s="122"/>
      <c r="BK642" s="122"/>
      <c r="BL642" s="122"/>
    </row>
    <row r="643" spans="62:64" x14ac:dyDescent="0.25">
      <c r="BJ643" s="122"/>
      <c r="BK643" s="122"/>
      <c r="BL643" s="122"/>
    </row>
    <row r="644" spans="62:64" x14ac:dyDescent="0.25">
      <c r="BJ644" s="122"/>
      <c r="BK644" s="122"/>
      <c r="BL644" s="122"/>
    </row>
    <row r="645" spans="62:64" x14ac:dyDescent="0.25">
      <c r="BJ645" s="122"/>
      <c r="BK645" s="122"/>
      <c r="BL645" s="122"/>
    </row>
    <row r="646" spans="62:64" x14ac:dyDescent="0.25">
      <c r="BJ646" s="122"/>
      <c r="BK646" s="122"/>
      <c r="BL646" s="122"/>
    </row>
    <row r="647" spans="62:64" x14ac:dyDescent="0.25">
      <c r="BJ647" s="122"/>
      <c r="BK647" s="122"/>
      <c r="BL647" s="122"/>
    </row>
    <row r="648" spans="62:64" x14ac:dyDescent="0.25">
      <c r="BJ648" s="122"/>
      <c r="BK648" s="122"/>
      <c r="BL648" s="122"/>
    </row>
    <row r="649" spans="62:64" x14ac:dyDescent="0.25">
      <c r="BJ649" s="122"/>
      <c r="BK649" s="122"/>
      <c r="BL649" s="122"/>
    </row>
    <row r="650" spans="62:64" x14ac:dyDescent="0.25">
      <c r="BJ650" s="122"/>
      <c r="BK650" s="122"/>
      <c r="BL650" s="122"/>
    </row>
    <row r="651" spans="62:64" x14ac:dyDescent="0.25">
      <c r="BJ651" s="122"/>
      <c r="BK651" s="122"/>
      <c r="BL651" s="122"/>
    </row>
    <row r="652" spans="62:64" x14ac:dyDescent="0.25">
      <c r="BJ652" s="122"/>
      <c r="BK652" s="122"/>
      <c r="BL652" s="122"/>
    </row>
    <row r="653" spans="62:64" x14ac:dyDescent="0.25">
      <c r="BJ653" s="122"/>
      <c r="BK653" s="122"/>
      <c r="BL653" s="122"/>
    </row>
    <row r="654" spans="62:64" x14ac:dyDescent="0.25">
      <c r="BJ654" s="122"/>
      <c r="BK654" s="122"/>
      <c r="BL654" s="122"/>
    </row>
    <row r="655" spans="62:64" x14ac:dyDescent="0.25">
      <c r="BJ655" s="122"/>
      <c r="BK655" s="122"/>
      <c r="BL655" s="122"/>
    </row>
    <row r="656" spans="62:64" x14ac:dyDescent="0.25">
      <c r="BJ656" s="122"/>
      <c r="BK656" s="122"/>
      <c r="BL656" s="122"/>
    </row>
    <row r="657" spans="62:64" x14ac:dyDescent="0.25">
      <c r="BJ657" s="122"/>
      <c r="BK657" s="122"/>
      <c r="BL657" s="122"/>
    </row>
    <row r="658" spans="62:64" x14ac:dyDescent="0.25">
      <c r="BJ658" s="122"/>
      <c r="BK658" s="122"/>
      <c r="BL658" s="122"/>
    </row>
    <row r="659" spans="62:64" x14ac:dyDescent="0.25">
      <c r="BJ659" s="122"/>
      <c r="BK659" s="122"/>
      <c r="BL659" s="122"/>
    </row>
    <row r="660" spans="62:64" x14ac:dyDescent="0.25">
      <c r="BJ660" s="122"/>
      <c r="BK660" s="122"/>
      <c r="BL660" s="122"/>
    </row>
    <row r="661" spans="62:64" x14ac:dyDescent="0.25">
      <c r="BJ661" s="122"/>
      <c r="BK661" s="122"/>
      <c r="BL661" s="122"/>
    </row>
    <row r="662" spans="62:64" x14ac:dyDescent="0.25">
      <c r="BJ662" s="122"/>
      <c r="BK662" s="122"/>
      <c r="BL662" s="122"/>
    </row>
    <row r="663" spans="62:64" x14ac:dyDescent="0.25">
      <c r="BJ663" s="122"/>
      <c r="BK663" s="122"/>
      <c r="BL663" s="122"/>
    </row>
    <row r="664" spans="62:64" x14ac:dyDescent="0.25">
      <c r="BJ664" s="122"/>
      <c r="BK664" s="122"/>
      <c r="BL664" s="122"/>
    </row>
    <row r="665" spans="62:64" x14ac:dyDescent="0.25">
      <c r="BJ665" s="122"/>
      <c r="BK665" s="122"/>
      <c r="BL665" s="122"/>
    </row>
    <row r="666" spans="62:64" x14ac:dyDescent="0.25">
      <c r="BJ666" s="122"/>
      <c r="BK666" s="122"/>
      <c r="BL666" s="122"/>
    </row>
    <row r="667" spans="62:64" x14ac:dyDescent="0.25">
      <c r="BJ667" s="122"/>
      <c r="BK667" s="122"/>
      <c r="BL667" s="122"/>
    </row>
    <row r="668" spans="62:64" x14ac:dyDescent="0.25">
      <c r="BJ668" s="122"/>
      <c r="BK668" s="122"/>
      <c r="BL668" s="122"/>
    </row>
    <row r="669" spans="62:64" x14ac:dyDescent="0.25">
      <c r="BJ669" s="122"/>
      <c r="BK669" s="122"/>
      <c r="BL669" s="122"/>
    </row>
    <row r="670" spans="62:64" x14ac:dyDescent="0.25">
      <c r="BJ670" s="122"/>
      <c r="BK670" s="122"/>
      <c r="BL670" s="122"/>
    </row>
    <row r="671" spans="62:64" x14ac:dyDescent="0.25">
      <c r="BJ671" s="122"/>
      <c r="BK671" s="122"/>
      <c r="BL671" s="122"/>
    </row>
    <row r="672" spans="62:64" x14ac:dyDescent="0.25">
      <c r="BJ672" s="122"/>
      <c r="BK672" s="122"/>
      <c r="BL672" s="122"/>
    </row>
    <row r="673" spans="62:64" x14ac:dyDescent="0.25">
      <c r="BJ673" s="122"/>
      <c r="BK673" s="122"/>
      <c r="BL673" s="122"/>
    </row>
    <row r="674" spans="62:64" x14ac:dyDescent="0.25">
      <c r="BJ674" s="122"/>
      <c r="BK674" s="122"/>
      <c r="BL674" s="122"/>
    </row>
    <row r="675" spans="62:64" x14ac:dyDescent="0.25">
      <c r="BJ675" s="122"/>
      <c r="BK675" s="122"/>
      <c r="BL675" s="122"/>
    </row>
    <row r="676" spans="62:64" x14ac:dyDescent="0.25">
      <c r="BJ676" s="122"/>
      <c r="BK676" s="122"/>
      <c r="BL676" s="122"/>
    </row>
    <row r="677" spans="62:64" x14ac:dyDescent="0.25">
      <c r="BJ677" s="122"/>
      <c r="BK677" s="122"/>
      <c r="BL677" s="122"/>
    </row>
    <row r="678" spans="62:64" x14ac:dyDescent="0.25">
      <c r="BJ678" s="122"/>
      <c r="BK678" s="122"/>
      <c r="BL678" s="122"/>
    </row>
    <row r="679" spans="62:64" x14ac:dyDescent="0.25">
      <c r="BJ679" s="122"/>
      <c r="BK679" s="122"/>
      <c r="BL679" s="122"/>
    </row>
    <row r="680" spans="62:64" x14ac:dyDescent="0.25">
      <c r="BJ680" s="122"/>
      <c r="BK680" s="122"/>
      <c r="BL680" s="122"/>
    </row>
    <row r="681" spans="62:64" x14ac:dyDescent="0.25">
      <c r="BJ681" s="122"/>
      <c r="BK681" s="122"/>
      <c r="BL681" s="122"/>
    </row>
    <row r="682" spans="62:64" x14ac:dyDescent="0.25">
      <c r="BJ682" s="122"/>
      <c r="BK682" s="122"/>
      <c r="BL682" s="122"/>
    </row>
    <row r="683" spans="62:64" x14ac:dyDescent="0.25">
      <c r="BJ683" s="122"/>
      <c r="BK683" s="122"/>
      <c r="BL683" s="122"/>
    </row>
    <row r="684" spans="62:64" x14ac:dyDescent="0.25">
      <c r="BJ684" s="122"/>
      <c r="BK684" s="122"/>
      <c r="BL684" s="122"/>
    </row>
    <row r="685" spans="62:64" x14ac:dyDescent="0.25">
      <c r="BJ685" s="122"/>
      <c r="BK685" s="122"/>
      <c r="BL685" s="122"/>
    </row>
    <row r="686" spans="62:64" x14ac:dyDescent="0.25">
      <c r="BJ686" s="122"/>
      <c r="BK686" s="122"/>
      <c r="BL686" s="122"/>
    </row>
    <row r="687" spans="62:64" x14ac:dyDescent="0.25">
      <c r="BJ687" s="122"/>
      <c r="BK687" s="122"/>
      <c r="BL687" s="122"/>
    </row>
    <row r="688" spans="62:64" x14ac:dyDescent="0.25">
      <c r="BJ688" s="122"/>
      <c r="BK688" s="122"/>
      <c r="BL688" s="122"/>
    </row>
    <row r="689" spans="62:64" x14ac:dyDescent="0.25">
      <c r="BJ689" s="122"/>
      <c r="BK689" s="122"/>
      <c r="BL689" s="122"/>
    </row>
    <row r="690" spans="62:64" x14ac:dyDescent="0.25">
      <c r="BJ690" s="122"/>
      <c r="BK690" s="122"/>
      <c r="BL690" s="122"/>
    </row>
    <row r="691" spans="62:64" x14ac:dyDescent="0.25">
      <c r="BJ691" s="122"/>
      <c r="BK691" s="122"/>
      <c r="BL691" s="122"/>
    </row>
    <row r="692" spans="62:64" x14ac:dyDescent="0.25">
      <c r="BJ692" s="122"/>
      <c r="BK692" s="122"/>
      <c r="BL692" s="122"/>
    </row>
    <row r="693" spans="62:64" x14ac:dyDescent="0.25">
      <c r="BJ693" s="122"/>
      <c r="BK693" s="122"/>
      <c r="BL693" s="122"/>
    </row>
    <row r="694" spans="62:64" x14ac:dyDescent="0.25">
      <c r="BJ694" s="122"/>
      <c r="BK694" s="122"/>
      <c r="BL694" s="122"/>
    </row>
    <row r="695" spans="62:64" x14ac:dyDescent="0.25">
      <c r="BJ695" s="122"/>
      <c r="BK695" s="122"/>
      <c r="BL695" s="122"/>
    </row>
    <row r="696" spans="62:64" x14ac:dyDescent="0.25">
      <c r="BJ696" s="122"/>
      <c r="BK696" s="122"/>
      <c r="BL696" s="122"/>
    </row>
    <row r="697" spans="62:64" x14ac:dyDescent="0.25">
      <c r="BJ697" s="122"/>
      <c r="BK697" s="122"/>
      <c r="BL697" s="122"/>
    </row>
    <row r="698" spans="62:64" x14ac:dyDescent="0.25">
      <c r="BJ698" s="122"/>
      <c r="BK698" s="122"/>
      <c r="BL698" s="122"/>
    </row>
    <row r="699" spans="62:64" x14ac:dyDescent="0.25">
      <c r="BJ699" s="122"/>
      <c r="BK699" s="122"/>
      <c r="BL699" s="122"/>
    </row>
    <row r="700" spans="62:64" x14ac:dyDescent="0.25">
      <c r="BJ700" s="122"/>
      <c r="BK700" s="122"/>
      <c r="BL700" s="122"/>
    </row>
    <row r="701" spans="62:64" x14ac:dyDescent="0.25">
      <c r="BJ701" s="122"/>
      <c r="BK701" s="122"/>
      <c r="BL701" s="122"/>
    </row>
    <row r="702" spans="62:64" x14ac:dyDescent="0.25">
      <c r="BJ702" s="122"/>
      <c r="BK702" s="122"/>
      <c r="BL702" s="122"/>
    </row>
    <row r="703" spans="62:64" x14ac:dyDescent="0.25">
      <c r="BJ703" s="122"/>
      <c r="BK703" s="122"/>
      <c r="BL703" s="122"/>
    </row>
    <row r="704" spans="62:64" x14ac:dyDescent="0.25">
      <c r="BJ704" s="122"/>
      <c r="BK704" s="122"/>
      <c r="BL704" s="122"/>
    </row>
    <row r="705" spans="62:64" x14ac:dyDescent="0.25">
      <c r="BJ705" s="122"/>
      <c r="BK705" s="122"/>
      <c r="BL705" s="122"/>
    </row>
    <row r="706" spans="62:64" x14ac:dyDescent="0.25">
      <c r="BJ706" s="122"/>
      <c r="BK706" s="122"/>
      <c r="BL706" s="122"/>
    </row>
    <row r="707" spans="62:64" x14ac:dyDescent="0.25">
      <c r="BJ707" s="122"/>
      <c r="BK707" s="122"/>
      <c r="BL707" s="122"/>
    </row>
    <row r="708" spans="62:64" x14ac:dyDescent="0.25">
      <c r="BJ708" s="122"/>
      <c r="BK708" s="122"/>
      <c r="BL708" s="122"/>
    </row>
    <row r="709" spans="62:64" x14ac:dyDescent="0.25">
      <c r="BJ709" s="122"/>
      <c r="BK709" s="122"/>
      <c r="BL709" s="122"/>
    </row>
    <row r="710" spans="62:64" x14ac:dyDescent="0.25">
      <c r="BJ710" s="122"/>
      <c r="BK710" s="122"/>
      <c r="BL710" s="122"/>
    </row>
    <row r="711" spans="62:64" x14ac:dyDescent="0.25">
      <c r="BJ711" s="122"/>
      <c r="BK711" s="122"/>
      <c r="BL711" s="122"/>
    </row>
    <row r="712" spans="62:64" x14ac:dyDescent="0.25">
      <c r="BJ712" s="122"/>
      <c r="BK712" s="122"/>
      <c r="BL712" s="122"/>
    </row>
    <row r="713" spans="62:64" x14ac:dyDescent="0.25">
      <c r="BJ713" s="122"/>
      <c r="BK713" s="122"/>
      <c r="BL713" s="122"/>
    </row>
    <row r="714" spans="62:64" x14ac:dyDescent="0.25">
      <c r="BJ714" s="122"/>
      <c r="BK714" s="122"/>
      <c r="BL714" s="122"/>
    </row>
    <row r="715" spans="62:64" x14ac:dyDescent="0.25">
      <c r="BJ715" s="122"/>
      <c r="BK715" s="122"/>
      <c r="BL715" s="122"/>
    </row>
    <row r="716" spans="62:64" x14ac:dyDescent="0.25">
      <c r="BJ716" s="122"/>
      <c r="BK716" s="122"/>
      <c r="BL716" s="122"/>
    </row>
    <row r="717" spans="62:64" x14ac:dyDescent="0.25">
      <c r="BJ717" s="122"/>
      <c r="BK717" s="122"/>
      <c r="BL717" s="122"/>
    </row>
    <row r="718" spans="62:64" x14ac:dyDescent="0.25">
      <c r="BJ718" s="122"/>
      <c r="BK718" s="122"/>
      <c r="BL718" s="122"/>
    </row>
    <row r="719" spans="62:64" x14ac:dyDescent="0.25">
      <c r="BJ719" s="122"/>
      <c r="BK719" s="122"/>
      <c r="BL719" s="122"/>
    </row>
    <row r="720" spans="62:64" x14ac:dyDescent="0.25">
      <c r="BJ720" s="122"/>
      <c r="BK720" s="122"/>
      <c r="BL720" s="122"/>
    </row>
    <row r="721" spans="62:64" x14ac:dyDescent="0.25">
      <c r="BJ721" s="122"/>
      <c r="BK721" s="122"/>
      <c r="BL721" s="122"/>
    </row>
    <row r="722" spans="62:64" x14ac:dyDescent="0.25">
      <c r="BJ722" s="122"/>
      <c r="BK722" s="122"/>
      <c r="BL722" s="122"/>
    </row>
    <row r="723" spans="62:64" x14ac:dyDescent="0.25">
      <c r="BJ723" s="122"/>
      <c r="BK723" s="122"/>
      <c r="BL723" s="122"/>
    </row>
    <row r="724" spans="62:64" x14ac:dyDescent="0.25">
      <c r="BJ724" s="122"/>
      <c r="BK724" s="122"/>
      <c r="BL724" s="122"/>
    </row>
    <row r="725" spans="62:64" x14ac:dyDescent="0.25">
      <c r="BJ725" s="122"/>
      <c r="BK725" s="122"/>
      <c r="BL725" s="122"/>
    </row>
    <row r="726" spans="62:64" x14ac:dyDescent="0.25">
      <c r="BJ726" s="122"/>
      <c r="BK726" s="122"/>
      <c r="BL726" s="122"/>
    </row>
    <row r="727" spans="62:64" x14ac:dyDescent="0.25">
      <c r="BJ727" s="122"/>
      <c r="BK727" s="122"/>
      <c r="BL727" s="122"/>
    </row>
    <row r="728" spans="62:64" x14ac:dyDescent="0.25">
      <c r="BJ728" s="122"/>
      <c r="BK728" s="122"/>
      <c r="BL728" s="122"/>
    </row>
    <row r="729" spans="62:64" x14ac:dyDescent="0.25">
      <c r="BJ729" s="122"/>
      <c r="BK729" s="122"/>
      <c r="BL729" s="122"/>
    </row>
    <row r="730" spans="62:64" x14ac:dyDescent="0.25">
      <c r="BJ730" s="122"/>
      <c r="BK730" s="122"/>
      <c r="BL730" s="122"/>
    </row>
    <row r="731" spans="62:64" x14ac:dyDescent="0.25">
      <c r="BJ731" s="122"/>
      <c r="BK731" s="122"/>
      <c r="BL731" s="122"/>
    </row>
    <row r="732" spans="62:64" x14ac:dyDescent="0.25">
      <c r="BJ732" s="122"/>
      <c r="BK732" s="122"/>
      <c r="BL732" s="122"/>
    </row>
    <row r="733" spans="62:64" x14ac:dyDescent="0.25">
      <c r="BJ733" s="122"/>
      <c r="BK733" s="122"/>
      <c r="BL733" s="122"/>
    </row>
    <row r="734" spans="62:64" x14ac:dyDescent="0.25">
      <c r="BJ734" s="122"/>
      <c r="BK734" s="122"/>
      <c r="BL734" s="122"/>
    </row>
    <row r="735" spans="62:64" x14ac:dyDescent="0.25">
      <c r="BJ735" s="122"/>
      <c r="BK735" s="122"/>
      <c r="BL735" s="122"/>
    </row>
    <row r="736" spans="62:64" x14ac:dyDescent="0.25">
      <c r="BJ736" s="122"/>
      <c r="BK736" s="122"/>
      <c r="BL736" s="122"/>
    </row>
    <row r="737" spans="62:64" x14ac:dyDescent="0.25">
      <c r="BJ737" s="122"/>
      <c r="BK737" s="122"/>
      <c r="BL737" s="122"/>
    </row>
    <row r="738" spans="62:64" x14ac:dyDescent="0.25">
      <c r="BJ738" s="122"/>
      <c r="BK738" s="122"/>
      <c r="BL738" s="122"/>
    </row>
    <row r="739" spans="62:64" x14ac:dyDescent="0.25">
      <c r="BJ739" s="122"/>
      <c r="BK739" s="122"/>
      <c r="BL739" s="122"/>
    </row>
    <row r="740" spans="62:64" x14ac:dyDescent="0.25">
      <c r="BJ740" s="122"/>
      <c r="BK740" s="122"/>
      <c r="BL740" s="122"/>
    </row>
    <row r="741" spans="62:64" x14ac:dyDescent="0.25">
      <c r="BJ741" s="122"/>
      <c r="BK741" s="122"/>
      <c r="BL741" s="122"/>
    </row>
    <row r="742" spans="62:64" x14ac:dyDescent="0.25">
      <c r="BJ742" s="122"/>
      <c r="BK742" s="122"/>
      <c r="BL742" s="122"/>
    </row>
    <row r="743" spans="62:64" x14ac:dyDescent="0.25">
      <c r="BJ743" s="122"/>
      <c r="BK743" s="122"/>
      <c r="BL743" s="122"/>
    </row>
    <row r="744" spans="62:64" x14ac:dyDescent="0.25">
      <c r="BJ744" s="122"/>
      <c r="BK744" s="122"/>
      <c r="BL744" s="122"/>
    </row>
    <row r="745" spans="62:64" x14ac:dyDescent="0.25">
      <c r="BJ745" s="122"/>
      <c r="BK745" s="122"/>
      <c r="BL745" s="122"/>
    </row>
    <row r="746" spans="62:64" x14ac:dyDescent="0.25">
      <c r="BJ746" s="122"/>
      <c r="BK746" s="122"/>
      <c r="BL746" s="122"/>
    </row>
    <row r="747" spans="62:64" x14ac:dyDescent="0.25">
      <c r="BJ747" s="122"/>
      <c r="BK747" s="122"/>
      <c r="BL747" s="122"/>
    </row>
    <row r="748" spans="62:64" x14ac:dyDescent="0.25">
      <c r="BJ748" s="122"/>
      <c r="BK748" s="122"/>
      <c r="BL748" s="122"/>
    </row>
    <row r="749" spans="62:64" x14ac:dyDescent="0.25">
      <c r="BJ749" s="122"/>
      <c r="BK749" s="122"/>
      <c r="BL749" s="122"/>
    </row>
    <row r="750" spans="62:64" x14ac:dyDescent="0.25">
      <c r="BJ750" s="122"/>
      <c r="BK750" s="122"/>
      <c r="BL750" s="122"/>
    </row>
    <row r="751" spans="62:64" x14ac:dyDescent="0.25">
      <c r="BJ751" s="122"/>
      <c r="BK751" s="122"/>
      <c r="BL751" s="122"/>
    </row>
    <row r="752" spans="62:64" x14ac:dyDescent="0.25">
      <c r="BJ752" s="122"/>
      <c r="BK752" s="122"/>
      <c r="BL752" s="122"/>
    </row>
    <row r="753" spans="62:64" x14ac:dyDescent="0.25">
      <c r="BJ753" s="122"/>
      <c r="BK753" s="122"/>
      <c r="BL753" s="122"/>
    </row>
    <row r="754" spans="62:64" x14ac:dyDescent="0.25">
      <c r="BJ754" s="122"/>
      <c r="BK754" s="122"/>
      <c r="BL754" s="122"/>
    </row>
    <row r="755" spans="62:64" x14ac:dyDescent="0.25">
      <c r="BJ755" s="122"/>
      <c r="BK755" s="122"/>
      <c r="BL755" s="122"/>
    </row>
    <row r="756" spans="62:64" x14ac:dyDescent="0.25">
      <c r="BJ756" s="122"/>
      <c r="BK756" s="122"/>
      <c r="BL756" s="122"/>
    </row>
    <row r="757" spans="62:64" x14ac:dyDescent="0.25">
      <c r="BJ757" s="122"/>
      <c r="BK757" s="122"/>
      <c r="BL757" s="122"/>
    </row>
    <row r="758" spans="62:64" x14ac:dyDescent="0.25">
      <c r="BJ758" s="122"/>
      <c r="BK758" s="122"/>
      <c r="BL758" s="122"/>
    </row>
    <row r="759" spans="62:64" x14ac:dyDescent="0.25">
      <c r="BJ759" s="122"/>
      <c r="BK759" s="122"/>
      <c r="BL759" s="122"/>
    </row>
    <row r="760" spans="62:64" x14ac:dyDescent="0.25">
      <c r="BJ760" s="122"/>
      <c r="BK760" s="122"/>
      <c r="BL760" s="122"/>
    </row>
    <row r="761" spans="62:64" x14ac:dyDescent="0.25">
      <c r="BJ761" s="122"/>
      <c r="BK761" s="122"/>
      <c r="BL761" s="122"/>
    </row>
    <row r="762" spans="62:64" x14ac:dyDescent="0.25">
      <c r="BJ762" s="122"/>
      <c r="BK762" s="122"/>
      <c r="BL762" s="122"/>
    </row>
    <row r="763" spans="62:64" x14ac:dyDescent="0.25">
      <c r="BJ763" s="122"/>
      <c r="BK763" s="122"/>
      <c r="BL763" s="122"/>
    </row>
    <row r="764" spans="62:64" x14ac:dyDescent="0.25">
      <c r="BJ764" s="122"/>
      <c r="BK764" s="122"/>
      <c r="BL764" s="122"/>
    </row>
    <row r="765" spans="62:64" x14ac:dyDescent="0.25">
      <c r="BJ765" s="122"/>
      <c r="BK765" s="122"/>
      <c r="BL765" s="122"/>
    </row>
    <row r="766" spans="62:64" x14ac:dyDescent="0.25">
      <c r="BJ766" s="122"/>
      <c r="BK766" s="122"/>
      <c r="BL766" s="122"/>
    </row>
    <row r="767" spans="62:64" x14ac:dyDescent="0.25">
      <c r="BJ767" s="122"/>
      <c r="BK767" s="122"/>
      <c r="BL767" s="122"/>
    </row>
    <row r="768" spans="62:64" x14ac:dyDescent="0.25">
      <c r="BJ768" s="122"/>
      <c r="BK768" s="122"/>
      <c r="BL768" s="122"/>
    </row>
    <row r="769" spans="62:64" x14ac:dyDescent="0.25">
      <c r="BJ769" s="122"/>
      <c r="BK769" s="122"/>
      <c r="BL769" s="122"/>
    </row>
    <row r="770" spans="62:64" x14ac:dyDescent="0.25">
      <c r="BJ770" s="122"/>
      <c r="BK770" s="122"/>
      <c r="BL770" s="122"/>
    </row>
    <row r="771" spans="62:64" x14ac:dyDescent="0.25">
      <c r="BJ771" s="122"/>
      <c r="BK771" s="122"/>
      <c r="BL771" s="122"/>
    </row>
    <row r="772" spans="62:64" x14ac:dyDescent="0.25">
      <c r="BJ772" s="122"/>
      <c r="BK772" s="122"/>
      <c r="BL772" s="122"/>
    </row>
    <row r="773" spans="62:64" x14ac:dyDescent="0.25">
      <c r="BJ773" s="122"/>
      <c r="BK773" s="122"/>
      <c r="BL773" s="122"/>
    </row>
    <row r="774" spans="62:64" x14ac:dyDescent="0.25">
      <c r="BJ774" s="122"/>
      <c r="BK774" s="122"/>
      <c r="BL774" s="122"/>
    </row>
    <row r="775" spans="62:64" x14ac:dyDescent="0.25">
      <c r="BJ775" s="122"/>
      <c r="BK775" s="122"/>
      <c r="BL775" s="122"/>
    </row>
    <row r="776" spans="62:64" x14ac:dyDescent="0.25">
      <c r="BJ776" s="122"/>
      <c r="BK776" s="122"/>
      <c r="BL776" s="122"/>
    </row>
    <row r="777" spans="62:64" x14ac:dyDescent="0.25">
      <c r="BJ777" s="122"/>
      <c r="BK777" s="122"/>
      <c r="BL777" s="122"/>
    </row>
    <row r="778" spans="62:64" x14ac:dyDescent="0.25">
      <c r="BJ778" s="122"/>
      <c r="BK778" s="122"/>
      <c r="BL778" s="122"/>
    </row>
    <row r="779" spans="62:64" x14ac:dyDescent="0.25">
      <c r="BJ779" s="122"/>
      <c r="BK779" s="122"/>
      <c r="BL779" s="122"/>
    </row>
    <row r="780" spans="62:64" x14ac:dyDescent="0.25">
      <c r="BJ780" s="122"/>
      <c r="BK780" s="122"/>
      <c r="BL780" s="122"/>
    </row>
    <row r="781" spans="62:64" x14ac:dyDescent="0.25">
      <c r="BJ781" s="122"/>
      <c r="BK781" s="122"/>
      <c r="BL781" s="122"/>
    </row>
    <row r="782" spans="62:64" x14ac:dyDescent="0.25">
      <c r="BJ782" s="122"/>
      <c r="BK782" s="122"/>
      <c r="BL782" s="122"/>
    </row>
    <row r="783" spans="62:64" x14ac:dyDescent="0.25">
      <c r="BJ783" s="122"/>
      <c r="BK783" s="122"/>
      <c r="BL783" s="122"/>
    </row>
    <row r="784" spans="62:64" x14ac:dyDescent="0.25">
      <c r="BJ784" s="122"/>
      <c r="BK784" s="122"/>
      <c r="BL784" s="122"/>
    </row>
    <row r="785" spans="62:64" x14ac:dyDescent="0.25">
      <c r="BJ785" s="122"/>
      <c r="BK785" s="122"/>
      <c r="BL785" s="122"/>
    </row>
    <row r="786" spans="62:64" x14ac:dyDescent="0.25">
      <c r="BJ786" s="122"/>
      <c r="BK786" s="122"/>
      <c r="BL786" s="122"/>
    </row>
    <row r="787" spans="62:64" x14ac:dyDescent="0.25">
      <c r="BJ787" s="122"/>
      <c r="BK787" s="122"/>
      <c r="BL787" s="122"/>
    </row>
    <row r="788" spans="62:64" x14ac:dyDescent="0.25">
      <c r="BJ788" s="122"/>
      <c r="BK788" s="122"/>
      <c r="BL788" s="122"/>
    </row>
    <row r="789" spans="62:64" x14ac:dyDescent="0.25">
      <c r="BJ789" s="122"/>
      <c r="BK789" s="122"/>
      <c r="BL789" s="122"/>
    </row>
    <row r="790" spans="62:64" x14ac:dyDescent="0.25">
      <c r="BJ790" s="122"/>
      <c r="BK790" s="122"/>
      <c r="BL790" s="122"/>
    </row>
    <row r="791" spans="62:64" x14ac:dyDescent="0.25">
      <c r="BJ791" s="122"/>
      <c r="BK791" s="122"/>
      <c r="BL791" s="122"/>
    </row>
    <row r="792" spans="62:64" x14ac:dyDescent="0.25">
      <c r="BJ792" s="122"/>
      <c r="BK792" s="122"/>
      <c r="BL792" s="122"/>
    </row>
    <row r="793" spans="62:64" x14ac:dyDescent="0.25">
      <c r="BJ793" s="122"/>
      <c r="BK793" s="122"/>
      <c r="BL793" s="122"/>
    </row>
    <row r="794" spans="62:64" x14ac:dyDescent="0.25">
      <c r="BJ794" s="122"/>
      <c r="BK794" s="122"/>
      <c r="BL794" s="122"/>
    </row>
    <row r="795" spans="62:64" x14ac:dyDescent="0.25">
      <c r="BJ795" s="122"/>
      <c r="BK795" s="122"/>
      <c r="BL795" s="122"/>
    </row>
    <row r="796" spans="62:64" x14ac:dyDescent="0.25">
      <c r="BJ796" s="122"/>
      <c r="BK796" s="122"/>
      <c r="BL796" s="122"/>
    </row>
    <row r="797" spans="62:64" x14ac:dyDescent="0.25">
      <c r="BJ797" s="122"/>
      <c r="BK797" s="122"/>
      <c r="BL797" s="122"/>
    </row>
    <row r="798" spans="62:64" x14ac:dyDescent="0.25">
      <c r="BJ798" s="122"/>
      <c r="BK798" s="122"/>
      <c r="BL798" s="122"/>
    </row>
    <row r="799" spans="62:64" x14ac:dyDescent="0.25">
      <c r="BJ799" s="122"/>
      <c r="BK799" s="122"/>
      <c r="BL799" s="122"/>
    </row>
    <row r="800" spans="62:64" x14ac:dyDescent="0.25">
      <c r="BJ800" s="122"/>
      <c r="BK800" s="122"/>
      <c r="BL800" s="122"/>
    </row>
    <row r="801" spans="62:64" x14ac:dyDescent="0.25">
      <c r="BJ801" s="122"/>
      <c r="BK801" s="122"/>
      <c r="BL801" s="122"/>
    </row>
    <row r="802" spans="62:64" x14ac:dyDescent="0.25">
      <c r="BJ802" s="122"/>
      <c r="BK802" s="122"/>
      <c r="BL802" s="122"/>
    </row>
    <row r="803" spans="62:64" x14ac:dyDescent="0.25">
      <c r="BJ803" s="122"/>
      <c r="BK803" s="122"/>
      <c r="BL803" s="122"/>
    </row>
    <row r="804" spans="62:64" x14ac:dyDescent="0.25">
      <c r="BJ804" s="122"/>
      <c r="BK804" s="122"/>
      <c r="BL804" s="122"/>
    </row>
    <row r="805" spans="62:64" x14ac:dyDescent="0.25">
      <c r="BJ805" s="122"/>
      <c r="BK805" s="122"/>
      <c r="BL805" s="122"/>
    </row>
    <row r="806" spans="62:64" x14ac:dyDescent="0.25">
      <c r="BJ806" s="122"/>
      <c r="BK806" s="122"/>
      <c r="BL806" s="122"/>
    </row>
    <row r="807" spans="62:64" x14ac:dyDescent="0.25">
      <c r="BJ807" s="122"/>
      <c r="BK807" s="122"/>
      <c r="BL807" s="122"/>
    </row>
    <row r="808" spans="62:64" x14ac:dyDescent="0.25">
      <c r="BJ808" s="122"/>
      <c r="BK808" s="122"/>
      <c r="BL808" s="122"/>
    </row>
    <row r="809" spans="62:64" x14ac:dyDescent="0.25">
      <c r="BJ809" s="122"/>
      <c r="BK809" s="122"/>
      <c r="BL809" s="122"/>
    </row>
    <row r="810" spans="62:64" x14ac:dyDescent="0.25">
      <c r="BJ810" s="122"/>
      <c r="BK810" s="122"/>
      <c r="BL810" s="122"/>
    </row>
    <row r="811" spans="62:64" x14ac:dyDescent="0.25">
      <c r="BJ811" s="122"/>
      <c r="BK811" s="122"/>
      <c r="BL811" s="122"/>
    </row>
    <row r="812" spans="62:64" x14ac:dyDescent="0.25">
      <c r="BJ812" s="122"/>
      <c r="BK812" s="122"/>
      <c r="BL812" s="122"/>
    </row>
    <row r="813" spans="62:64" x14ac:dyDescent="0.25">
      <c r="BJ813" s="122"/>
      <c r="BK813" s="122"/>
      <c r="BL813" s="122"/>
    </row>
    <row r="814" spans="62:64" x14ac:dyDescent="0.25">
      <c r="BJ814" s="122"/>
      <c r="BK814" s="122"/>
      <c r="BL814" s="122"/>
    </row>
    <row r="815" spans="62:64" x14ac:dyDescent="0.25">
      <c r="BJ815" s="122"/>
      <c r="BK815" s="122"/>
      <c r="BL815" s="122"/>
    </row>
    <row r="816" spans="62:64" x14ac:dyDescent="0.25">
      <c r="BJ816" s="122"/>
      <c r="BK816" s="122"/>
      <c r="BL816" s="122"/>
    </row>
    <row r="817" spans="62:64" x14ac:dyDescent="0.25">
      <c r="BJ817" s="122"/>
      <c r="BK817" s="122"/>
      <c r="BL817" s="122"/>
    </row>
    <row r="818" spans="62:64" x14ac:dyDescent="0.25">
      <c r="BJ818" s="122"/>
      <c r="BK818" s="122"/>
      <c r="BL818" s="122"/>
    </row>
    <row r="819" spans="62:64" x14ac:dyDescent="0.25">
      <c r="BJ819" s="122"/>
      <c r="BK819" s="122"/>
      <c r="BL819" s="122"/>
    </row>
    <row r="820" spans="62:64" x14ac:dyDescent="0.25">
      <c r="BJ820" s="122"/>
      <c r="BK820" s="122"/>
      <c r="BL820" s="122"/>
    </row>
    <row r="821" spans="62:64" x14ac:dyDescent="0.25">
      <c r="BJ821" s="122"/>
      <c r="BK821" s="122"/>
      <c r="BL821" s="122"/>
    </row>
    <row r="822" spans="62:64" x14ac:dyDescent="0.25">
      <c r="BJ822" s="122"/>
      <c r="BK822" s="122"/>
      <c r="BL822" s="122"/>
    </row>
    <row r="823" spans="62:64" x14ac:dyDescent="0.25">
      <c r="BJ823" s="122"/>
      <c r="BK823" s="122"/>
      <c r="BL823" s="122"/>
    </row>
    <row r="824" spans="62:64" x14ac:dyDescent="0.25">
      <c r="BJ824" s="122"/>
      <c r="BK824" s="122"/>
      <c r="BL824" s="122"/>
    </row>
    <row r="825" spans="62:64" x14ac:dyDescent="0.25">
      <c r="BJ825" s="122"/>
      <c r="BK825" s="122"/>
      <c r="BL825" s="122"/>
    </row>
    <row r="826" spans="62:64" x14ac:dyDescent="0.25">
      <c r="BJ826" s="122"/>
      <c r="BK826" s="122"/>
      <c r="BL826" s="122"/>
    </row>
    <row r="827" spans="62:64" x14ac:dyDescent="0.25">
      <c r="BJ827" s="122"/>
      <c r="BK827" s="122"/>
      <c r="BL827" s="122"/>
    </row>
    <row r="828" spans="62:64" x14ac:dyDescent="0.25">
      <c r="BJ828" s="122"/>
      <c r="BK828" s="122"/>
      <c r="BL828" s="122"/>
    </row>
    <row r="829" spans="62:64" x14ac:dyDescent="0.25">
      <c r="BJ829" s="122"/>
      <c r="BK829" s="122"/>
      <c r="BL829" s="122"/>
    </row>
    <row r="830" spans="62:64" x14ac:dyDescent="0.25">
      <c r="BJ830" s="122"/>
      <c r="BK830" s="122"/>
      <c r="BL830" s="122"/>
    </row>
    <row r="831" spans="62:64" x14ac:dyDescent="0.25">
      <c r="BJ831" s="122"/>
      <c r="BK831" s="122"/>
      <c r="BL831" s="122"/>
    </row>
    <row r="832" spans="62:64" x14ac:dyDescent="0.25">
      <c r="BJ832" s="122"/>
      <c r="BK832" s="122"/>
      <c r="BL832" s="122"/>
    </row>
    <row r="833" spans="62:64" x14ac:dyDescent="0.25">
      <c r="BJ833" s="122"/>
      <c r="BK833" s="122"/>
      <c r="BL833" s="122"/>
    </row>
    <row r="834" spans="62:64" x14ac:dyDescent="0.25">
      <c r="BJ834" s="122"/>
      <c r="BK834" s="122"/>
      <c r="BL834" s="122"/>
    </row>
    <row r="835" spans="62:64" x14ac:dyDescent="0.25">
      <c r="BJ835" s="122"/>
      <c r="BK835" s="122"/>
      <c r="BL835" s="122"/>
    </row>
    <row r="836" spans="62:64" x14ac:dyDescent="0.25">
      <c r="BJ836" s="122"/>
      <c r="BK836" s="122"/>
      <c r="BL836" s="122"/>
    </row>
    <row r="837" spans="62:64" x14ac:dyDescent="0.25">
      <c r="BJ837" s="122"/>
      <c r="BK837" s="122"/>
      <c r="BL837" s="122"/>
    </row>
    <row r="838" spans="62:64" x14ac:dyDescent="0.25">
      <c r="BJ838" s="122"/>
      <c r="BK838" s="122"/>
      <c r="BL838" s="122"/>
    </row>
    <row r="839" spans="62:64" x14ac:dyDescent="0.25">
      <c r="BJ839" s="122"/>
      <c r="BK839" s="122"/>
      <c r="BL839" s="122"/>
    </row>
    <row r="840" spans="62:64" x14ac:dyDescent="0.25">
      <c r="BJ840" s="122"/>
      <c r="BK840" s="122"/>
      <c r="BL840" s="122"/>
    </row>
    <row r="841" spans="62:64" x14ac:dyDescent="0.25">
      <c r="BJ841" s="122"/>
      <c r="BK841" s="122"/>
      <c r="BL841" s="122"/>
    </row>
    <row r="842" spans="62:64" x14ac:dyDescent="0.25">
      <c r="BJ842" s="122"/>
      <c r="BK842" s="122"/>
      <c r="BL842" s="122"/>
    </row>
    <row r="843" spans="62:64" x14ac:dyDescent="0.25">
      <c r="BJ843" s="122"/>
      <c r="BK843" s="122"/>
      <c r="BL843" s="122"/>
    </row>
    <row r="844" spans="62:64" x14ac:dyDescent="0.25">
      <c r="BJ844" s="122"/>
      <c r="BK844" s="122"/>
      <c r="BL844" s="122"/>
    </row>
    <row r="845" spans="62:64" x14ac:dyDescent="0.25">
      <c r="BJ845" s="122"/>
      <c r="BK845" s="122"/>
      <c r="BL845" s="122"/>
    </row>
    <row r="846" spans="62:64" x14ac:dyDescent="0.25">
      <c r="BJ846" s="122"/>
      <c r="BK846" s="122"/>
      <c r="BL846" s="122"/>
    </row>
    <row r="847" spans="62:64" x14ac:dyDescent="0.25">
      <c r="BJ847" s="122"/>
      <c r="BK847" s="122"/>
      <c r="BL847" s="122"/>
    </row>
    <row r="848" spans="62:64" x14ac:dyDescent="0.25">
      <c r="BJ848" s="122"/>
      <c r="BK848" s="122"/>
      <c r="BL848" s="122"/>
    </row>
    <row r="849" spans="62:64" x14ac:dyDescent="0.25">
      <c r="BJ849" s="122"/>
      <c r="BK849" s="122"/>
      <c r="BL849" s="122"/>
    </row>
    <row r="850" spans="62:64" x14ac:dyDescent="0.25">
      <c r="BJ850" s="122"/>
      <c r="BK850" s="122"/>
      <c r="BL850" s="122"/>
    </row>
    <row r="851" spans="62:64" x14ac:dyDescent="0.25">
      <c r="BJ851" s="122"/>
      <c r="BK851" s="122"/>
      <c r="BL851" s="122"/>
    </row>
    <row r="852" spans="62:64" x14ac:dyDescent="0.25">
      <c r="BJ852" s="122"/>
      <c r="BK852" s="122"/>
      <c r="BL852" s="122"/>
    </row>
    <row r="853" spans="62:64" x14ac:dyDescent="0.25">
      <c r="BJ853" s="122"/>
      <c r="BK853" s="122"/>
      <c r="BL853" s="122"/>
    </row>
    <row r="854" spans="62:64" x14ac:dyDescent="0.25">
      <c r="BJ854" s="122"/>
      <c r="BK854" s="122"/>
      <c r="BL854" s="122"/>
    </row>
    <row r="855" spans="62:64" x14ac:dyDescent="0.25">
      <c r="BJ855" s="122"/>
      <c r="BK855" s="122"/>
      <c r="BL855" s="122"/>
    </row>
    <row r="856" spans="62:64" x14ac:dyDescent="0.25">
      <c r="BJ856" s="122"/>
      <c r="BK856" s="122"/>
      <c r="BL856" s="122"/>
    </row>
    <row r="857" spans="62:64" x14ac:dyDescent="0.25">
      <c r="BJ857" s="122"/>
      <c r="BK857" s="122"/>
      <c r="BL857" s="122"/>
    </row>
    <row r="858" spans="62:64" x14ac:dyDescent="0.25">
      <c r="BJ858" s="122"/>
      <c r="BK858" s="122"/>
      <c r="BL858" s="122"/>
    </row>
    <row r="859" spans="62:64" x14ac:dyDescent="0.25">
      <c r="BJ859" s="122"/>
      <c r="BK859" s="122"/>
      <c r="BL859" s="122"/>
    </row>
    <row r="860" spans="62:64" x14ac:dyDescent="0.25">
      <c r="BJ860" s="122"/>
      <c r="BK860" s="122"/>
      <c r="BL860" s="122"/>
    </row>
    <row r="861" spans="62:64" x14ac:dyDescent="0.25">
      <c r="BJ861" s="122"/>
      <c r="BK861" s="122"/>
      <c r="BL861" s="122"/>
    </row>
    <row r="862" spans="62:64" x14ac:dyDescent="0.25">
      <c r="BJ862" s="122"/>
      <c r="BK862" s="122"/>
      <c r="BL862" s="122"/>
    </row>
    <row r="863" spans="62:64" x14ac:dyDescent="0.25">
      <c r="BJ863" s="122"/>
      <c r="BK863" s="122"/>
      <c r="BL863" s="122"/>
    </row>
    <row r="864" spans="62:64" x14ac:dyDescent="0.25">
      <c r="BJ864" s="122"/>
      <c r="BK864" s="122"/>
      <c r="BL864" s="122"/>
    </row>
    <row r="865" spans="62:64" x14ac:dyDescent="0.25">
      <c r="BJ865" s="122"/>
      <c r="BK865" s="122"/>
      <c r="BL865" s="122"/>
    </row>
    <row r="866" spans="62:64" x14ac:dyDescent="0.25">
      <c r="BJ866" s="122"/>
      <c r="BK866" s="122"/>
      <c r="BL866" s="122"/>
    </row>
    <row r="867" spans="62:64" x14ac:dyDescent="0.25">
      <c r="BJ867" s="122"/>
      <c r="BK867" s="122"/>
      <c r="BL867" s="122"/>
    </row>
    <row r="868" spans="62:64" x14ac:dyDescent="0.25">
      <c r="BJ868" s="122"/>
      <c r="BK868" s="122"/>
      <c r="BL868" s="122"/>
    </row>
    <row r="869" spans="62:64" x14ac:dyDescent="0.25">
      <c r="BJ869" s="122"/>
      <c r="BK869" s="122"/>
      <c r="BL869" s="122"/>
    </row>
    <row r="870" spans="62:64" x14ac:dyDescent="0.25">
      <c r="BJ870" s="122"/>
      <c r="BK870" s="122"/>
      <c r="BL870" s="122"/>
    </row>
    <row r="871" spans="62:64" x14ac:dyDescent="0.25">
      <c r="BJ871" s="122"/>
      <c r="BK871" s="122"/>
      <c r="BL871" s="122"/>
    </row>
    <row r="872" spans="62:64" x14ac:dyDescent="0.25">
      <c r="BJ872" s="122"/>
      <c r="BK872" s="122"/>
      <c r="BL872" s="122"/>
    </row>
    <row r="873" spans="62:64" x14ac:dyDescent="0.25">
      <c r="BJ873" s="122"/>
      <c r="BK873" s="122"/>
      <c r="BL873" s="122"/>
    </row>
    <row r="874" spans="62:64" x14ac:dyDescent="0.25">
      <c r="BJ874" s="122"/>
      <c r="BK874" s="122"/>
      <c r="BL874" s="122"/>
    </row>
    <row r="875" spans="62:64" x14ac:dyDescent="0.25">
      <c r="BJ875" s="122"/>
      <c r="BK875" s="122"/>
      <c r="BL875" s="122"/>
    </row>
    <row r="876" spans="62:64" x14ac:dyDescent="0.25">
      <c r="BJ876" s="122"/>
      <c r="BK876" s="122"/>
      <c r="BL876" s="122"/>
    </row>
    <row r="877" spans="62:64" x14ac:dyDescent="0.25">
      <c r="BJ877" s="122"/>
      <c r="BK877" s="122"/>
      <c r="BL877" s="122"/>
    </row>
    <row r="878" spans="62:64" x14ac:dyDescent="0.25">
      <c r="BJ878" s="122"/>
      <c r="BK878" s="122"/>
      <c r="BL878" s="122"/>
    </row>
    <row r="879" spans="62:64" x14ac:dyDescent="0.25">
      <c r="BJ879" s="122"/>
      <c r="BK879" s="122"/>
      <c r="BL879" s="122"/>
    </row>
    <row r="880" spans="62:64" x14ac:dyDescent="0.25">
      <c r="BJ880" s="122"/>
      <c r="BK880" s="122"/>
      <c r="BL880" s="122"/>
    </row>
    <row r="881" spans="62:64" x14ac:dyDescent="0.25">
      <c r="BJ881" s="122"/>
      <c r="BK881" s="122"/>
      <c r="BL881" s="122"/>
    </row>
    <row r="882" spans="62:64" x14ac:dyDescent="0.25">
      <c r="BJ882" s="122"/>
      <c r="BK882" s="122"/>
      <c r="BL882" s="122"/>
    </row>
    <row r="883" spans="62:64" x14ac:dyDescent="0.25">
      <c r="BJ883" s="122"/>
      <c r="BK883" s="122"/>
      <c r="BL883" s="122"/>
    </row>
    <row r="884" spans="62:64" x14ac:dyDescent="0.25">
      <c r="BJ884" s="122"/>
      <c r="BK884" s="122"/>
      <c r="BL884" s="122"/>
    </row>
    <row r="885" spans="62:64" x14ac:dyDescent="0.25">
      <c r="BJ885" s="122"/>
      <c r="BK885" s="122"/>
      <c r="BL885" s="122"/>
    </row>
    <row r="886" spans="62:64" x14ac:dyDescent="0.25">
      <c r="BJ886" s="122"/>
      <c r="BK886" s="122"/>
      <c r="BL886" s="122"/>
    </row>
    <row r="887" spans="62:64" x14ac:dyDescent="0.25">
      <c r="BJ887" s="122"/>
      <c r="BK887" s="122"/>
      <c r="BL887" s="122"/>
    </row>
    <row r="888" spans="62:64" x14ac:dyDescent="0.25">
      <c r="BJ888" s="122"/>
      <c r="BK888" s="122"/>
      <c r="BL888" s="122"/>
    </row>
    <row r="889" spans="62:64" x14ac:dyDescent="0.25">
      <c r="BJ889" s="122"/>
      <c r="BK889" s="122"/>
      <c r="BL889" s="122"/>
    </row>
    <row r="890" spans="62:64" x14ac:dyDescent="0.25">
      <c r="BJ890" s="122"/>
      <c r="BK890" s="122"/>
      <c r="BL890" s="122"/>
    </row>
    <row r="891" spans="62:64" x14ac:dyDescent="0.25">
      <c r="BJ891" s="122"/>
      <c r="BK891" s="122"/>
      <c r="BL891" s="122"/>
    </row>
    <row r="892" spans="62:64" x14ac:dyDescent="0.25">
      <c r="BJ892" s="122"/>
      <c r="BK892" s="122"/>
      <c r="BL892" s="122"/>
    </row>
    <row r="893" spans="62:64" x14ac:dyDescent="0.25">
      <c r="BJ893" s="122"/>
      <c r="BK893" s="122"/>
      <c r="BL893" s="122"/>
    </row>
    <row r="894" spans="62:64" x14ac:dyDescent="0.25">
      <c r="BJ894" s="122"/>
      <c r="BK894" s="122"/>
      <c r="BL894" s="122"/>
    </row>
    <row r="895" spans="62:64" x14ac:dyDescent="0.25">
      <c r="BJ895" s="122"/>
      <c r="BK895" s="122"/>
      <c r="BL895" s="122"/>
    </row>
    <row r="896" spans="62:64" x14ac:dyDescent="0.25">
      <c r="BJ896" s="122"/>
      <c r="BK896" s="122"/>
      <c r="BL896" s="122"/>
    </row>
    <row r="897" spans="62:64" x14ac:dyDescent="0.25">
      <c r="BJ897" s="122"/>
      <c r="BK897" s="122"/>
      <c r="BL897" s="122"/>
    </row>
    <row r="898" spans="62:64" x14ac:dyDescent="0.25">
      <c r="BJ898" s="122"/>
      <c r="BK898" s="122"/>
      <c r="BL898" s="122"/>
    </row>
    <row r="899" spans="62:64" x14ac:dyDescent="0.25">
      <c r="BJ899" s="122"/>
      <c r="BK899" s="122"/>
      <c r="BL899" s="122"/>
    </row>
    <row r="900" spans="62:64" x14ac:dyDescent="0.25">
      <c r="BJ900" s="122"/>
      <c r="BK900" s="122"/>
      <c r="BL900" s="122"/>
    </row>
    <row r="901" spans="62:64" x14ac:dyDescent="0.25">
      <c r="BJ901" s="122"/>
      <c r="BK901" s="122"/>
      <c r="BL901" s="122"/>
    </row>
    <row r="902" spans="62:64" x14ac:dyDescent="0.25">
      <c r="BJ902" s="122"/>
      <c r="BK902" s="122"/>
      <c r="BL902" s="122"/>
    </row>
    <row r="903" spans="62:64" x14ac:dyDescent="0.25">
      <c r="BJ903" s="122"/>
      <c r="BK903" s="122"/>
      <c r="BL903" s="122"/>
    </row>
    <row r="904" spans="62:64" x14ac:dyDescent="0.25">
      <c r="BJ904" s="122"/>
      <c r="BK904" s="122"/>
      <c r="BL904" s="122"/>
    </row>
    <row r="905" spans="62:64" x14ac:dyDescent="0.25">
      <c r="BJ905" s="122"/>
      <c r="BK905" s="122"/>
      <c r="BL905" s="122"/>
    </row>
    <row r="906" spans="62:64" x14ac:dyDescent="0.25">
      <c r="BJ906" s="122"/>
      <c r="BK906" s="122"/>
      <c r="BL906" s="122"/>
    </row>
    <row r="907" spans="62:64" x14ac:dyDescent="0.25">
      <c r="BJ907" s="122"/>
      <c r="BK907" s="122"/>
      <c r="BL907" s="122"/>
    </row>
    <row r="908" spans="62:64" x14ac:dyDescent="0.25">
      <c r="BJ908" s="122"/>
      <c r="BK908" s="122"/>
      <c r="BL908" s="122"/>
    </row>
    <row r="909" spans="62:64" x14ac:dyDescent="0.25">
      <c r="BJ909" s="122"/>
      <c r="BK909" s="122"/>
      <c r="BL909" s="122"/>
    </row>
    <row r="910" spans="62:64" x14ac:dyDescent="0.25">
      <c r="BJ910" s="122"/>
      <c r="BK910" s="122"/>
      <c r="BL910" s="122"/>
    </row>
    <row r="911" spans="62:64" x14ac:dyDescent="0.25">
      <c r="BJ911" s="122"/>
      <c r="BK911" s="122"/>
      <c r="BL911" s="122"/>
    </row>
    <row r="912" spans="62:64" x14ac:dyDescent="0.25">
      <c r="BJ912" s="122"/>
      <c r="BK912" s="122"/>
      <c r="BL912" s="122"/>
    </row>
    <row r="913" spans="62:64" x14ac:dyDescent="0.25">
      <c r="BJ913" s="122"/>
      <c r="BK913" s="122"/>
      <c r="BL913" s="122"/>
    </row>
    <row r="914" spans="62:64" x14ac:dyDescent="0.25">
      <c r="BJ914" s="122"/>
      <c r="BK914" s="122"/>
      <c r="BL914" s="122"/>
    </row>
    <row r="915" spans="62:64" x14ac:dyDescent="0.25">
      <c r="BJ915" s="122"/>
      <c r="BK915" s="122"/>
      <c r="BL915" s="122"/>
    </row>
    <row r="916" spans="62:64" x14ac:dyDescent="0.25">
      <c r="BJ916" s="122"/>
      <c r="BK916" s="122"/>
      <c r="BL916" s="122"/>
    </row>
    <row r="917" spans="62:64" x14ac:dyDescent="0.25">
      <c r="BJ917" s="122"/>
      <c r="BK917" s="122"/>
      <c r="BL917" s="122"/>
    </row>
    <row r="918" spans="62:64" x14ac:dyDescent="0.25">
      <c r="BJ918" s="122"/>
      <c r="BK918" s="122"/>
      <c r="BL918" s="122"/>
    </row>
    <row r="919" spans="62:64" x14ac:dyDescent="0.25">
      <c r="BJ919" s="122"/>
      <c r="BK919" s="122"/>
      <c r="BL919" s="122"/>
    </row>
    <row r="920" spans="62:64" x14ac:dyDescent="0.25">
      <c r="BJ920" s="122"/>
      <c r="BK920" s="122"/>
      <c r="BL920" s="122"/>
    </row>
    <row r="921" spans="62:64" x14ac:dyDescent="0.25">
      <c r="BJ921" s="122"/>
      <c r="BK921" s="122"/>
      <c r="BL921" s="122"/>
    </row>
    <row r="922" spans="62:64" x14ac:dyDescent="0.25">
      <c r="BJ922" s="122"/>
      <c r="BK922" s="122"/>
      <c r="BL922" s="122"/>
    </row>
    <row r="923" spans="62:64" x14ac:dyDescent="0.25">
      <c r="BJ923" s="122"/>
      <c r="BK923" s="122"/>
      <c r="BL923" s="122"/>
    </row>
    <row r="924" spans="62:64" x14ac:dyDescent="0.25">
      <c r="BJ924" s="122"/>
      <c r="BK924" s="122"/>
      <c r="BL924" s="122"/>
    </row>
    <row r="925" spans="62:64" x14ac:dyDescent="0.25">
      <c r="BJ925" s="122"/>
      <c r="BK925" s="122"/>
      <c r="BL925" s="122"/>
    </row>
    <row r="926" spans="62:64" x14ac:dyDescent="0.25">
      <c r="BJ926" s="122"/>
      <c r="BK926" s="122"/>
      <c r="BL926" s="122"/>
    </row>
    <row r="927" spans="62:64" x14ac:dyDescent="0.25">
      <c r="BJ927" s="122"/>
      <c r="BK927" s="122"/>
      <c r="BL927" s="122"/>
    </row>
    <row r="928" spans="62:64" x14ac:dyDescent="0.25">
      <c r="BJ928" s="122"/>
      <c r="BK928" s="122"/>
      <c r="BL928" s="122"/>
    </row>
    <row r="929" spans="62:64" x14ac:dyDescent="0.25">
      <c r="BJ929" s="122"/>
      <c r="BK929" s="122"/>
      <c r="BL929" s="122"/>
    </row>
    <row r="930" spans="62:64" x14ac:dyDescent="0.25">
      <c r="BJ930" s="122"/>
      <c r="BK930" s="122"/>
      <c r="BL930" s="122"/>
    </row>
    <row r="931" spans="62:64" x14ac:dyDescent="0.25">
      <c r="BJ931" s="122"/>
      <c r="BK931" s="122"/>
      <c r="BL931" s="122"/>
    </row>
    <row r="932" spans="62:64" x14ac:dyDescent="0.25">
      <c r="BJ932" s="122"/>
      <c r="BK932" s="122"/>
      <c r="BL932" s="122"/>
    </row>
    <row r="933" spans="62:64" x14ac:dyDescent="0.25">
      <c r="BJ933" s="122"/>
      <c r="BK933" s="122"/>
      <c r="BL933" s="122"/>
    </row>
    <row r="934" spans="62:64" x14ac:dyDescent="0.25">
      <c r="BJ934" s="122"/>
      <c r="BK934" s="122"/>
      <c r="BL934" s="122"/>
    </row>
    <row r="935" spans="62:64" x14ac:dyDescent="0.25">
      <c r="BJ935" s="122"/>
      <c r="BK935" s="122"/>
      <c r="BL935" s="122"/>
    </row>
    <row r="936" spans="62:64" x14ac:dyDescent="0.25">
      <c r="BJ936" s="122"/>
      <c r="BK936" s="122"/>
      <c r="BL936" s="122"/>
    </row>
    <row r="937" spans="62:64" x14ac:dyDescent="0.25">
      <c r="BJ937" s="122"/>
      <c r="BK937" s="122"/>
      <c r="BL937" s="122"/>
    </row>
    <row r="938" spans="62:64" x14ac:dyDescent="0.25">
      <c r="BJ938" s="122"/>
      <c r="BK938" s="122"/>
      <c r="BL938" s="122"/>
    </row>
    <row r="939" spans="62:64" x14ac:dyDescent="0.25">
      <c r="BJ939" s="122"/>
      <c r="BK939" s="122"/>
      <c r="BL939" s="122"/>
    </row>
    <row r="940" spans="62:64" x14ac:dyDescent="0.25">
      <c r="BJ940" s="122"/>
      <c r="BK940" s="122"/>
      <c r="BL940" s="122"/>
    </row>
    <row r="941" spans="62:64" x14ac:dyDescent="0.25">
      <c r="BJ941" s="122"/>
      <c r="BK941" s="122"/>
      <c r="BL941" s="122"/>
    </row>
    <row r="942" spans="62:64" x14ac:dyDescent="0.25">
      <c r="BJ942" s="122"/>
      <c r="BK942" s="122"/>
      <c r="BL942" s="122"/>
    </row>
    <row r="943" spans="62:64" x14ac:dyDescent="0.25">
      <c r="BJ943" s="122"/>
      <c r="BK943" s="122"/>
      <c r="BL943" s="122"/>
    </row>
    <row r="944" spans="62:64" x14ac:dyDescent="0.25">
      <c r="BJ944" s="122"/>
      <c r="BK944" s="122"/>
      <c r="BL944" s="122"/>
    </row>
    <row r="945" spans="62:64" x14ac:dyDescent="0.25">
      <c r="BJ945" s="122"/>
      <c r="BK945" s="122"/>
      <c r="BL945" s="122"/>
    </row>
    <row r="946" spans="62:64" x14ac:dyDescent="0.25">
      <c r="BJ946" s="122"/>
      <c r="BK946" s="122"/>
      <c r="BL946" s="122"/>
    </row>
    <row r="947" spans="62:64" x14ac:dyDescent="0.25">
      <c r="BJ947" s="122"/>
      <c r="BK947" s="122"/>
      <c r="BL947" s="122"/>
    </row>
    <row r="948" spans="62:64" x14ac:dyDescent="0.25">
      <c r="BJ948" s="122"/>
      <c r="BK948" s="122"/>
      <c r="BL948" s="122"/>
    </row>
    <row r="949" spans="62:64" x14ac:dyDescent="0.25">
      <c r="BJ949" s="122"/>
      <c r="BK949" s="122"/>
      <c r="BL949" s="122"/>
    </row>
    <row r="950" spans="62:64" x14ac:dyDescent="0.25">
      <c r="BJ950" s="122"/>
      <c r="BK950" s="122"/>
      <c r="BL950" s="122"/>
    </row>
    <row r="951" spans="62:64" x14ac:dyDescent="0.25">
      <c r="BJ951" s="122"/>
      <c r="BK951" s="122"/>
      <c r="BL951" s="122"/>
    </row>
    <row r="952" spans="62:64" x14ac:dyDescent="0.25">
      <c r="BJ952" s="122"/>
      <c r="BK952" s="122"/>
      <c r="BL952" s="122"/>
    </row>
    <row r="953" spans="62:64" x14ac:dyDescent="0.25">
      <c r="BJ953" s="122"/>
      <c r="BK953" s="122"/>
      <c r="BL953" s="122"/>
    </row>
    <row r="954" spans="62:64" x14ac:dyDescent="0.25">
      <c r="BJ954" s="122"/>
      <c r="BK954" s="122"/>
      <c r="BL954" s="122"/>
    </row>
    <row r="955" spans="62:64" x14ac:dyDescent="0.25">
      <c r="BJ955" s="122"/>
      <c r="BK955" s="122"/>
      <c r="BL955" s="122"/>
    </row>
    <row r="956" spans="62:64" x14ac:dyDescent="0.25">
      <c r="BJ956" s="122"/>
      <c r="BK956" s="122"/>
      <c r="BL956" s="122"/>
    </row>
    <row r="957" spans="62:64" x14ac:dyDescent="0.25">
      <c r="BJ957" s="122"/>
      <c r="BK957" s="122"/>
      <c r="BL957" s="122"/>
    </row>
    <row r="958" spans="62:64" x14ac:dyDescent="0.25">
      <c r="BJ958" s="122"/>
      <c r="BK958" s="122"/>
      <c r="BL958" s="122"/>
    </row>
    <row r="959" spans="62:64" x14ac:dyDescent="0.25">
      <c r="BJ959" s="122"/>
      <c r="BK959" s="122"/>
      <c r="BL959" s="122"/>
    </row>
    <row r="960" spans="62:64" x14ac:dyDescent="0.25">
      <c r="BJ960" s="122"/>
      <c r="BK960" s="122"/>
      <c r="BL960" s="122"/>
    </row>
    <row r="961" spans="62:64" x14ac:dyDescent="0.25">
      <c r="BJ961" s="122"/>
      <c r="BK961" s="122"/>
      <c r="BL961" s="122"/>
    </row>
    <row r="962" spans="62:64" x14ac:dyDescent="0.25">
      <c r="BJ962" s="122"/>
      <c r="BK962" s="122"/>
      <c r="BL962" s="122"/>
    </row>
    <row r="963" spans="62:64" x14ac:dyDescent="0.25">
      <c r="BJ963" s="122"/>
      <c r="BK963" s="122"/>
      <c r="BL963" s="122"/>
    </row>
    <row r="964" spans="62:64" x14ac:dyDescent="0.25">
      <c r="BJ964" s="122"/>
      <c r="BK964" s="122"/>
      <c r="BL964" s="122"/>
    </row>
    <row r="965" spans="62:64" x14ac:dyDescent="0.25">
      <c r="BJ965" s="122"/>
      <c r="BK965" s="122"/>
      <c r="BL965" s="122"/>
    </row>
    <row r="966" spans="62:64" x14ac:dyDescent="0.25">
      <c r="BJ966" s="122"/>
      <c r="BK966" s="122"/>
      <c r="BL966" s="122"/>
    </row>
    <row r="967" spans="62:64" x14ac:dyDescent="0.25">
      <c r="BJ967" s="122"/>
      <c r="BK967" s="122"/>
      <c r="BL967" s="122"/>
    </row>
    <row r="968" spans="62:64" x14ac:dyDescent="0.25">
      <c r="BJ968" s="122"/>
      <c r="BK968" s="122"/>
      <c r="BL968" s="122"/>
    </row>
    <row r="969" spans="62:64" x14ac:dyDescent="0.25">
      <c r="BJ969" s="122"/>
      <c r="BK969" s="122"/>
      <c r="BL969" s="122"/>
    </row>
    <row r="970" spans="62:64" x14ac:dyDescent="0.25">
      <c r="BJ970" s="122"/>
      <c r="BK970" s="122"/>
      <c r="BL970" s="122"/>
    </row>
    <row r="971" spans="62:64" x14ac:dyDescent="0.25">
      <c r="BJ971" s="122"/>
      <c r="BK971" s="122"/>
      <c r="BL971" s="122"/>
    </row>
    <row r="972" spans="62:64" x14ac:dyDescent="0.25">
      <c r="BJ972" s="122"/>
      <c r="BK972" s="122"/>
      <c r="BL972" s="122"/>
    </row>
    <row r="973" spans="62:64" x14ac:dyDescent="0.25">
      <c r="BJ973" s="122"/>
      <c r="BK973" s="122"/>
      <c r="BL973" s="122"/>
    </row>
    <row r="974" spans="62:64" x14ac:dyDescent="0.25">
      <c r="BJ974" s="122"/>
      <c r="BK974" s="122"/>
      <c r="BL974" s="122"/>
    </row>
    <row r="975" spans="62:64" x14ac:dyDescent="0.25">
      <c r="BJ975" s="122"/>
      <c r="BK975" s="122"/>
      <c r="BL975" s="122"/>
    </row>
    <row r="976" spans="62:64" x14ac:dyDescent="0.25">
      <c r="BJ976" s="122"/>
      <c r="BK976" s="122"/>
      <c r="BL976" s="122"/>
    </row>
    <row r="977" spans="62:64" x14ac:dyDescent="0.25">
      <c r="BJ977" s="122"/>
      <c r="BK977" s="122"/>
      <c r="BL977" s="122"/>
    </row>
    <row r="978" spans="62:64" x14ac:dyDescent="0.25">
      <c r="BJ978" s="122"/>
      <c r="BK978" s="122"/>
      <c r="BL978" s="122"/>
    </row>
    <row r="979" spans="62:64" x14ac:dyDescent="0.25">
      <c r="BJ979" s="122"/>
      <c r="BK979" s="122"/>
      <c r="BL979" s="122"/>
    </row>
    <row r="980" spans="62:64" x14ac:dyDescent="0.25">
      <c r="BJ980" s="122"/>
      <c r="BK980" s="122"/>
      <c r="BL980" s="122"/>
    </row>
    <row r="981" spans="62:64" x14ac:dyDescent="0.25">
      <c r="BJ981" s="122"/>
      <c r="BK981" s="122"/>
      <c r="BL981" s="122"/>
    </row>
    <row r="982" spans="62:64" x14ac:dyDescent="0.25">
      <c r="BJ982" s="122"/>
      <c r="BK982" s="122"/>
      <c r="BL982" s="122"/>
    </row>
    <row r="983" spans="62:64" x14ac:dyDescent="0.25">
      <c r="BJ983" s="122"/>
      <c r="BK983" s="122"/>
      <c r="BL983" s="122"/>
    </row>
    <row r="984" spans="62:64" x14ac:dyDescent="0.25">
      <c r="BJ984" s="122"/>
      <c r="BK984" s="122"/>
      <c r="BL984" s="122"/>
    </row>
    <row r="985" spans="62:64" x14ac:dyDescent="0.25">
      <c r="BJ985" s="122"/>
      <c r="BK985" s="122"/>
      <c r="BL985" s="122"/>
    </row>
    <row r="986" spans="62:64" x14ac:dyDescent="0.25">
      <c r="BJ986" s="122"/>
      <c r="BK986" s="122"/>
      <c r="BL986" s="122"/>
    </row>
    <row r="987" spans="62:64" x14ac:dyDescent="0.25">
      <c r="BJ987" s="122"/>
      <c r="BK987" s="122"/>
      <c r="BL987" s="122"/>
    </row>
    <row r="988" spans="62:64" x14ac:dyDescent="0.25">
      <c r="BJ988" s="122"/>
      <c r="BK988" s="122"/>
      <c r="BL988" s="122"/>
    </row>
    <row r="989" spans="62:64" x14ac:dyDescent="0.25">
      <c r="BJ989" s="122"/>
      <c r="BK989" s="122"/>
      <c r="BL989" s="122"/>
    </row>
    <row r="990" spans="62:64" x14ac:dyDescent="0.25">
      <c r="BJ990" s="122"/>
      <c r="BK990" s="122"/>
      <c r="BL990" s="122"/>
    </row>
    <row r="991" spans="62:64" x14ac:dyDescent="0.25">
      <c r="BJ991" s="122"/>
      <c r="BK991" s="122"/>
      <c r="BL991" s="122"/>
    </row>
    <row r="992" spans="62:64" x14ac:dyDescent="0.25">
      <c r="BJ992" s="122"/>
      <c r="BK992" s="122"/>
      <c r="BL992" s="122"/>
    </row>
    <row r="993" spans="62:64" x14ac:dyDescent="0.25">
      <c r="BJ993" s="122"/>
      <c r="BK993" s="122"/>
      <c r="BL993" s="122"/>
    </row>
    <row r="994" spans="62:64" x14ac:dyDescent="0.25">
      <c r="BJ994" s="122"/>
      <c r="BK994" s="122"/>
      <c r="BL994" s="122"/>
    </row>
    <row r="995" spans="62:64" x14ac:dyDescent="0.25">
      <c r="BJ995" s="122"/>
      <c r="BK995" s="122"/>
      <c r="BL995" s="122"/>
    </row>
    <row r="996" spans="62:64" x14ac:dyDescent="0.25">
      <c r="BJ996" s="122"/>
      <c r="BK996" s="122"/>
      <c r="BL996" s="122"/>
    </row>
    <row r="997" spans="62:64" x14ac:dyDescent="0.25">
      <c r="BJ997" s="122"/>
      <c r="BK997" s="122"/>
      <c r="BL997" s="122"/>
    </row>
    <row r="998" spans="62:64" x14ac:dyDescent="0.25">
      <c r="BJ998" s="122"/>
      <c r="BK998" s="122"/>
      <c r="BL998" s="122"/>
    </row>
    <row r="999" spans="62:64" x14ac:dyDescent="0.25">
      <c r="BJ999" s="122"/>
      <c r="BK999" s="122"/>
      <c r="BL999" s="122"/>
    </row>
    <row r="1000" spans="62:64" x14ac:dyDescent="0.25">
      <c r="BJ1000" s="122"/>
      <c r="BK1000" s="122"/>
      <c r="BL1000" s="122"/>
    </row>
    <row r="1001" spans="62:64" x14ac:dyDescent="0.25">
      <c r="BJ1001" s="122"/>
      <c r="BK1001" s="122"/>
      <c r="BL1001" s="122"/>
    </row>
    <row r="1002" spans="62:64" x14ac:dyDescent="0.25">
      <c r="BJ1002" s="122"/>
      <c r="BK1002" s="122"/>
      <c r="BL1002" s="122"/>
    </row>
    <row r="1003" spans="62:64" x14ac:dyDescent="0.25">
      <c r="BJ1003" s="122"/>
      <c r="BK1003" s="122"/>
      <c r="BL1003" s="122"/>
    </row>
    <row r="1004" spans="62:64" x14ac:dyDescent="0.25">
      <c r="BJ1004" s="122"/>
      <c r="BK1004" s="122"/>
      <c r="BL1004" s="122"/>
    </row>
    <row r="1005" spans="62:64" x14ac:dyDescent="0.25">
      <c r="BJ1005" s="122"/>
      <c r="BK1005" s="122"/>
      <c r="BL1005" s="122"/>
    </row>
    <row r="1006" spans="62:64" x14ac:dyDescent="0.25">
      <c r="BJ1006" s="122"/>
      <c r="BK1006" s="122"/>
      <c r="BL1006" s="122"/>
    </row>
    <row r="1007" spans="62:64" x14ac:dyDescent="0.25">
      <c r="BJ1007" s="122"/>
      <c r="BK1007" s="122"/>
      <c r="BL1007" s="122"/>
    </row>
    <row r="1008" spans="62:64" x14ac:dyDescent="0.25">
      <c r="BJ1008" s="122"/>
      <c r="BK1008" s="122"/>
      <c r="BL1008" s="122"/>
    </row>
    <row r="1009" spans="62:64" x14ac:dyDescent="0.25">
      <c r="BJ1009" s="122"/>
      <c r="BK1009" s="122"/>
      <c r="BL1009" s="122"/>
    </row>
    <row r="1010" spans="62:64" x14ac:dyDescent="0.25">
      <c r="BJ1010" s="122"/>
      <c r="BK1010" s="122"/>
      <c r="BL1010" s="122"/>
    </row>
    <row r="1011" spans="62:64" x14ac:dyDescent="0.25">
      <c r="BJ1011" s="122"/>
      <c r="BK1011" s="122"/>
      <c r="BL1011" s="122"/>
    </row>
    <row r="1012" spans="62:64" x14ac:dyDescent="0.25">
      <c r="BJ1012" s="122"/>
      <c r="BK1012" s="122"/>
      <c r="BL1012" s="122"/>
    </row>
    <row r="1013" spans="62:64" x14ac:dyDescent="0.25">
      <c r="BJ1013" s="122"/>
      <c r="BK1013" s="122"/>
      <c r="BL1013" s="122"/>
    </row>
    <row r="1014" spans="62:64" x14ac:dyDescent="0.25">
      <c r="BJ1014" s="122"/>
      <c r="BK1014" s="122"/>
      <c r="BL1014" s="122"/>
    </row>
    <row r="1015" spans="62:64" x14ac:dyDescent="0.25">
      <c r="BJ1015" s="122"/>
      <c r="BK1015" s="122"/>
      <c r="BL1015" s="122"/>
    </row>
    <row r="1016" spans="62:64" x14ac:dyDescent="0.25">
      <c r="BJ1016" s="122"/>
      <c r="BK1016" s="122"/>
      <c r="BL1016" s="122"/>
    </row>
    <row r="1017" spans="62:64" x14ac:dyDescent="0.25">
      <c r="BJ1017" s="122"/>
      <c r="BK1017" s="122"/>
      <c r="BL1017" s="122"/>
    </row>
    <row r="1018" spans="62:64" x14ac:dyDescent="0.25">
      <c r="BJ1018" s="122"/>
      <c r="BK1018" s="122"/>
      <c r="BL1018" s="122"/>
    </row>
    <row r="1019" spans="62:64" x14ac:dyDescent="0.25">
      <c r="BJ1019" s="122"/>
      <c r="BK1019" s="122"/>
      <c r="BL1019" s="122"/>
    </row>
    <row r="1020" spans="62:64" x14ac:dyDescent="0.25">
      <c r="BJ1020" s="122"/>
      <c r="BK1020" s="122"/>
      <c r="BL1020" s="122"/>
    </row>
    <row r="1021" spans="62:64" x14ac:dyDescent="0.25">
      <c r="BJ1021" s="122"/>
      <c r="BK1021" s="122"/>
      <c r="BL1021" s="122"/>
    </row>
    <row r="1022" spans="62:64" x14ac:dyDescent="0.25">
      <c r="BJ1022" s="122"/>
      <c r="BK1022" s="122"/>
      <c r="BL1022" s="122"/>
    </row>
    <row r="1023" spans="62:64" x14ac:dyDescent="0.25">
      <c r="BJ1023" s="122"/>
      <c r="BK1023" s="122"/>
      <c r="BL1023" s="122"/>
    </row>
    <row r="1024" spans="62:64" x14ac:dyDescent="0.25">
      <c r="BJ1024" s="122"/>
      <c r="BK1024" s="122"/>
      <c r="BL1024" s="122"/>
    </row>
    <row r="1025" spans="62:64" x14ac:dyDescent="0.25">
      <c r="BJ1025" s="122"/>
      <c r="BK1025" s="122"/>
      <c r="BL1025" s="122"/>
    </row>
    <row r="1026" spans="62:64" x14ac:dyDescent="0.25">
      <c r="BJ1026" s="122"/>
      <c r="BK1026" s="122"/>
      <c r="BL1026" s="122"/>
    </row>
    <row r="1027" spans="62:64" x14ac:dyDescent="0.25">
      <c r="BJ1027" s="122"/>
      <c r="BK1027" s="122"/>
      <c r="BL1027" s="122"/>
    </row>
    <row r="1028" spans="62:64" x14ac:dyDescent="0.25">
      <c r="BJ1028" s="122"/>
      <c r="BK1028" s="122"/>
      <c r="BL1028" s="122"/>
    </row>
    <row r="1029" spans="62:64" x14ac:dyDescent="0.25">
      <c r="BJ1029" s="122"/>
      <c r="BK1029" s="122"/>
      <c r="BL1029" s="122"/>
    </row>
    <row r="1030" spans="62:64" x14ac:dyDescent="0.25">
      <c r="BJ1030" s="122"/>
      <c r="BK1030" s="122"/>
      <c r="BL1030" s="122"/>
    </row>
    <row r="1031" spans="62:64" x14ac:dyDescent="0.25">
      <c r="BJ1031" s="122"/>
      <c r="BK1031" s="122"/>
      <c r="BL1031" s="122"/>
    </row>
    <row r="1032" spans="62:64" x14ac:dyDescent="0.25">
      <c r="BJ1032" s="122"/>
      <c r="BK1032" s="122"/>
      <c r="BL1032" s="122"/>
    </row>
    <row r="1033" spans="62:64" x14ac:dyDescent="0.25">
      <c r="BJ1033" s="122"/>
      <c r="BK1033" s="122"/>
      <c r="BL1033" s="122"/>
    </row>
    <row r="1034" spans="62:64" x14ac:dyDescent="0.25">
      <c r="BJ1034" s="122"/>
      <c r="BK1034" s="122"/>
      <c r="BL1034" s="122"/>
    </row>
    <row r="1035" spans="62:64" x14ac:dyDescent="0.25">
      <c r="BJ1035" s="122"/>
      <c r="BK1035" s="122"/>
      <c r="BL1035" s="122"/>
    </row>
    <row r="1036" spans="62:64" x14ac:dyDescent="0.25">
      <c r="BJ1036" s="122"/>
      <c r="BK1036" s="122"/>
      <c r="BL1036" s="122"/>
    </row>
    <row r="1037" spans="62:64" x14ac:dyDescent="0.25">
      <c r="BJ1037" s="122"/>
      <c r="BK1037" s="122"/>
      <c r="BL1037" s="122"/>
    </row>
    <row r="1038" spans="62:64" x14ac:dyDescent="0.25">
      <c r="BJ1038" s="122"/>
      <c r="BK1038" s="122"/>
      <c r="BL1038" s="122"/>
    </row>
    <row r="1039" spans="62:64" x14ac:dyDescent="0.25">
      <c r="BJ1039" s="122"/>
      <c r="BK1039" s="122"/>
      <c r="BL1039" s="122"/>
    </row>
    <row r="1040" spans="62:64" x14ac:dyDescent="0.25">
      <c r="BJ1040" s="122"/>
      <c r="BK1040" s="122"/>
      <c r="BL1040" s="122"/>
    </row>
    <row r="1041" spans="62:64" x14ac:dyDescent="0.25">
      <c r="BJ1041" s="122"/>
      <c r="BK1041" s="122"/>
      <c r="BL1041" s="122"/>
    </row>
    <row r="1042" spans="62:64" x14ac:dyDescent="0.25">
      <c r="BJ1042" s="122"/>
      <c r="BK1042" s="122"/>
      <c r="BL1042" s="122"/>
    </row>
    <row r="1043" spans="62:64" x14ac:dyDescent="0.25">
      <c r="BJ1043" s="122"/>
      <c r="BK1043" s="122"/>
      <c r="BL1043" s="122"/>
    </row>
    <row r="1044" spans="62:64" x14ac:dyDescent="0.25">
      <c r="BJ1044" s="122"/>
      <c r="BK1044" s="122"/>
      <c r="BL1044" s="122"/>
    </row>
    <row r="1045" spans="62:64" x14ac:dyDescent="0.25">
      <c r="BJ1045" s="122"/>
      <c r="BK1045" s="122"/>
      <c r="BL1045" s="122"/>
    </row>
    <row r="1046" spans="62:64" x14ac:dyDescent="0.25">
      <c r="BJ1046" s="122"/>
      <c r="BK1046" s="122"/>
      <c r="BL1046" s="122"/>
    </row>
    <row r="1047" spans="62:64" x14ac:dyDescent="0.25">
      <c r="BJ1047" s="122"/>
      <c r="BK1047" s="122"/>
      <c r="BL1047" s="122"/>
    </row>
    <row r="1048" spans="62:64" x14ac:dyDescent="0.25">
      <c r="BJ1048" s="122"/>
      <c r="BK1048" s="122"/>
      <c r="BL1048" s="122"/>
    </row>
    <row r="1049" spans="62:64" x14ac:dyDescent="0.25">
      <c r="BJ1049" s="122"/>
      <c r="BK1049" s="122"/>
      <c r="BL1049" s="122"/>
    </row>
    <row r="1050" spans="62:64" x14ac:dyDescent="0.25">
      <c r="BJ1050" s="122"/>
      <c r="BK1050" s="122"/>
      <c r="BL1050" s="122"/>
    </row>
    <row r="1051" spans="62:64" x14ac:dyDescent="0.25">
      <c r="BJ1051" s="122"/>
      <c r="BK1051" s="122"/>
      <c r="BL1051" s="122"/>
    </row>
    <row r="1052" spans="62:64" x14ac:dyDescent="0.25">
      <c r="BJ1052" s="122"/>
      <c r="BK1052" s="122"/>
      <c r="BL1052" s="122"/>
    </row>
    <row r="1053" spans="62:64" x14ac:dyDescent="0.25">
      <c r="BJ1053" s="122"/>
      <c r="BK1053" s="122"/>
      <c r="BL1053" s="122"/>
    </row>
    <row r="1054" spans="62:64" x14ac:dyDescent="0.25">
      <c r="BJ1054" s="122"/>
      <c r="BK1054" s="122"/>
      <c r="BL1054" s="122"/>
    </row>
    <row r="1055" spans="62:64" x14ac:dyDescent="0.25">
      <c r="BJ1055" s="122"/>
      <c r="BK1055" s="122"/>
      <c r="BL1055" s="122"/>
    </row>
    <row r="1056" spans="62:64" x14ac:dyDescent="0.25">
      <c r="BJ1056" s="122"/>
      <c r="BK1056" s="122"/>
      <c r="BL1056" s="122"/>
    </row>
    <row r="1057" spans="62:64" x14ac:dyDescent="0.25">
      <c r="BJ1057" s="122"/>
      <c r="BK1057" s="122"/>
      <c r="BL1057" s="122"/>
    </row>
    <row r="1058" spans="62:64" x14ac:dyDescent="0.25">
      <c r="BJ1058" s="122"/>
      <c r="BK1058" s="122"/>
      <c r="BL1058" s="122"/>
    </row>
    <row r="1059" spans="62:64" x14ac:dyDescent="0.25">
      <c r="BJ1059" s="122"/>
      <c r="BK1059" s="122"/>
      <c r="BL1059" s="122"/>
    </row>
    <row r="1060" spans="62:64" x14ac:dyDescent="0.25">
      <c r="BJ1060" s="122"/>
      <c r="BK1060" s="122"/>
      <c r="BL1060" s="122"/>
    </row>
    <row r="1061" spans="62:64" x14ac:dyDescent="0.25">
      <c r="BJ1061" s="122"/>
      <c r="BK1061" s="122"/>
      <c r="BL1061" s="122"/>
    </row>
    <row r="1062" spans="62:64" x14ac:dyDescent="0.25">
      <c r="BJ1062" s="122"/>
      <c r="BK1062" s="122"/>
      <c r="BL1062" s="122"/>
    </row>
    <row r="1063" spans="62:64" x14ac:dyDescent="0.25">
      <c r="BJ1063" s="122"/>
      <c r="BK1063" s="122"/>
      <c r="BL1063" s="122"/>
    </row>
    <row r="1064" spans="62:64" x14ac:dyDescent="0.25">
      <c r="BJ1064" s="122"/>
      <c r="BK1064" s="122"/>
      <c r="BL1064" s="122"/>
    </row>
    <row r="1065" spans="62:64" x14ac:dyDescent="0.25">
      <c r="BJ1065" s="122"/>
      <c r="BK1065" s="122"/>
      <c r="BL1065" s="122"/>
    </row>
    <row r="1066" spans="62:64" x14ac:dyDescent="0.25">
      <c r="BJ1066" s="122"/>
      <c r="BK1066" s="122"/>
      <c r="BL1066" s="122"/>
    </row>
    <row r="1067" spans="62:64" x14ac:dyDescent="0.25">
      <c r="BJ1067" s="122"/>
      <c r="BK1067" s="122"/>
      <c r="BL1067" s="122"/>
    </row>
    <row r="1068" spans="62:64" x14ac:dyDescent="0.25">
      <c r="BJ1068" s="122"/>
      <c r="BK1068" s="122"/>
      <c r="BL1068" s="122"/>
    </row>
    <row r="1069" spans="62:64" x14ac:dyDescent="0.25">
      <c r="BJ1069" s="122"/>
      <c r="BK1069" s="122"/>
      <c r="BL1069" s="122"/>
    </row>
    <row r="1070" spans="62:64" x14ac:dyDescent="0.25">
      <c r="BJ1070" s="122"/>
      <c r="BK1070" s="122"/>
      <c r="BL1070" s="122"/>
    </row>
    <row r="1071" spans="62:64" x14ac:dyDescent="0.25">
      <c r="BJ1071" s="122"/>
      <c r="BK1071" s="122"/>
      <c r="BL1071" s="122"/>
    </row>
    <row r="1072" spans="62:64" x14ac:dyDescent="0.25">
      <c r="BJ1072" s="122"/>
      <c r="BK1072" s="122"/>
      <c r="BL1072" s="122"/>
    </row>
    <row r="1073" spans="62:64" x14ac:dyDescent="0.25">
      <c r="BJ1073" s="122"/>
      <c r="BK1073" s="122"/>
      <c r="BL1073" s="122"/>
    </row>
    <row r="1074" spans="62:64" x14ac:dyDescent="0.25">
      <c r="BJ1074" s="122"/>
      <c r="BK1074" s="122"/>
      <c r="BL1074" s="122"/>
    </row>
    <row r="1075" spans="62:64" x14ac:dyDescent="0.25">
      <c r="BJ1075" s="122"/>
      <c r="BK1075" s="122"/>
      <c r="BL1075" s="122"/>
    </row>
    <row r="1076" spans="62:64" x14ac:dyDescent="0.25">
      <c r="BJ1076" s="122"/>
      <c r="BK1076" s="122"/>
      <c r="BL1076" s="122"/>
    </row>
    <row r="1077" spans="62:64" x14ac:dyDescent="0.25">
      <c r="BJ1077" s="122"/>
      <c r="BK1077" s="122"/>
      <c r="BL1077" s="122"/>
    </row>
    <row r="1078" spans="62:64" x14ac:dyDescent="0.25">
      <c r="BJ1078" s="122"/>
      <c r="BK1078" s="122"/>
      <c r="BL1078" s="122"/>
    </row>
    <row r="1079" spans="62:64" x14ac:dyDescent="0.25">
      <c r="BJ1079" s="122"/>
      <c r="BK1079" s="122"/>
      <c r="BL1079" s="122"/>
    </row>
    <row r="1080" spans="62:64" x14ac:dyDescent="0.25">
      <c r="BJ1080" s="122"/>
      <c r="BK1080" s="122"/>
      <c r="BL1080" s="122"/>
    </row>
    <row r="1081" spans="62:64" x14ac:dyDescent="0.25">
      <c r="BJ1081" s="122"/>
      <c r="BK1081" s="122"/>
      <c r="BL1081" s="122"/>
    </row>
    <row r="1082" spans="62:64" x14ac:dyDescent="0.25">
      <c r="BJ1082" s="122"/>
      <c r="BK1082" s="122"/>
      <c r="BL1082" s="122"/>
    </row>
    <row r="1083" spans="62:64" x14ac:dyDescent="0.25">
      <c r="BJ1083" s="122"/>
      <c r="BK1083" s="122"/>
      <c r="BL1083" s="122"/>
    </row>
    <row r="1084" spans="62:64" x14ac:dyDescent="0.25">
      <c r="BJ1084" s="122"/>
      <c r="BK1084" s="122"/>
      <c r="BL1084" s="122"/>
    </row>
    <row r="1085" spans="62:64" x14ac:dyDescent="0.25">
      <c r="BJ1085" s="122"/>
      <c r="BK1085" s="122"/>
      <c r="BL1085" s="122"/>
    </row>
    <row r="1086" spans="62:64" x14ac:dyDescent="0.25">
      <c r="BJ1086" s="122"/>
      <c r="BK1086" s="122"/>
      <c r="BL1086" s="122"/>
    </row>
    <row r="1087" spans="62:64" x14ac:dyDescent="0.25">
      <c r="BJ1087" s="122"/>
      <c r="BK1087" s="122"/>
      <c r="BL1087" s="122"/>
    </row>
    <row r="1088" spans="62:64" x14ac:dyDescent="0.25">
      <c r="BJ1088" s="122"/>
      <c r="BK1088" s="122"/>
      <c r="BL1088" s="122"/>
    </row>
    <row r="1089" spans="62:64" x14ac:dyDescent="0.25">
      <c r="BJ1089" s="122"/>
      <c r="BK1089" s="122"/>
      <c r="BL1089" s="122"/>
    </row>
    <row r="1090" spans="62:64" x14ac:dyDescent="0.25">
      <c r="BJ1090" s="122"/>
      <c r="BK1090" s="122"/>
      <c r="BL1090" s="122"/>
    </row>
    <row r="1091" spans="62:64" x14ac:dyDescent="0.25">
      <c r="BJ1091" s="122"/>
      <c r="BK1091" s="122"/>
      <c r="BL1091" s="122"/>
    </row>
    <row r="1092" spans="62:64" x14ac:dyDescent="0.25">
      <c r="BJ1092" s="122"/>
      <c r="BK1092" s="122"/>
      <c r="BL1092" s="122"/>
    </row>
    <row r="1093" spans="62:64" x14ac:dyDescent="0.25">
      <c r="BJ1093" s="122"/>
      <c r="BK1093" s="122"/>
      <c r="BL1093" s="122"/>
    </row>
    <row r="1094" spans="62:64" x14ac:dyDescent="0.25">
      <c r="BJ1094" s="122"/>
      <c r="BK1094" s="122"/>
      <c r="BL1094" s="122"/>
    </row>
    <row r="1095" spans="62:64" x14ac:dyDescent="0.25">
      <c r="BJ1095" s="122"/>
      <c r="BK1095" s="122"/>
      <c r="BL1095" s="122"/>
    </row>
    <row r="1096" spans="62:64" x14ac:dyDescent="0.25">
      <c r="BJ1096" s="122"/>
      <c r="BK1096" s="122"/>
      <c r="BL1096" s="122"/>
    </row>
    <row r="1097" spans="62:64" x14ac:dyDescent="0.25">
      <c r="BJ1097" s="122"/>
      <c r="BK1097" s="122"/>
      <c r="BL1097" s="122"/>
    </row>
    <row r="1098" spans="62:64" x14ac:dyDescent="0.25">
      <c r="BJ1098" s="122"/>
      <c r="BK1098" s="122"/>
      <c r="BL1098" s="122"/>
    </row>
    <row r="1099" spans="62:64" x14ac:dyDescent="0.25">
      <c r="BJ1099" s="122"/>
      <c r="BK1099" s="122"/>
      <c r="BL1099" s="122"/>
    </row>
    <row r="1100" spans="62:64" x14ac:dyDescent="0.25">
      <c r="BJ1100" s="122"/>
      <c r="BK1100" s="122"/>
      <c r="BL1100" s="122"/>
    </row>
    <row r="1101" spans="62:64" x14ac:dyDescent="0.25">
      <c r="BJ1101" s="122"/>
      <c r="BK1101" s="122"/>
      <c r="BL1101" s="122"/>
    </row>
    <row r="1102" spans="62:64" x14ac:dyDescent="0.25">
      <c r="BJ1102" s="122"/>
      <c r="BK1102" s="122"/>
      <c r="BL1102" s="122"/>
    </row>
    <row r="1103" spans="62:64" x14ac:dyDescent="0.25">
      <c r="BJ1103" s="122"/>
      <c r="BK1103" s="122"/>
      <c r="BL1103" s="122"/>
    </row>
    <row r="1104" spans="62:64" x14ac:dyDescent="0.25">
      <c r="BJ1104" s="122"/>
      <c r="BK1104" s="122"/>
      <c r="BL1104" s="122"/>
    </row>
    <row r="1105" spans="62:64" x14ac:dyDescent="0.25">
      <c r="BJ1105" s="122"/>
      <c r="BK1105" s="122"/>
      <c r="BL1105" s="122"/>
    </row>
    <row r="1106" spans="62:64" x14ac:dyDescent="0.25">
      <c r="BJ1106" s="122"/>
      <c r="BK1106" s="122"/>
      <c r="BL1106" s="122"/>
    </row>
    <row r="1107" spans="62:64" x14ac:dyDescent="0.25">
      <c r="BJ1107" s="122"/>
      <c r="BK1107" s="122"/>
      <c r="BL1107" s="122"/>
    </row>
    <row r="1108" spans="62:64" x14ac:dyDescent="0.25">
      <c r="BJ1108" s="122"/>
      <c r="BK1108" s="122"/>
      <c r="BL1108" s="122"/>
    </row>
    <row r="1109" spans="62:64" x14ac:dyDescent="0.25">
      <c r="BJ1109" s="122"/>
      <c r="BK1109" s="122"/>
      <c r="BL1109" s="122"/>
    </row>
    <row r="1110" spans="62:64" x14ac:dyDescent="0.25">
      <c r="BJ1110" s="122"/>
      <c r="BK1110" s="122"/>
      <c r="BL1110" s="122"/>
    </row>
    <row r="1111" spans="62:64" x14ac:dyDescent="0.25">
      <c r="BJ1111" s="122"/>
      <c r="BK1111" s="122"/>
      <c r="BL1111" s="122"/>
    </row>
    <row r="1112" spans="62:64" x14ac:dyDescent="0.25">
      <c r="BJ1112" s="122"/>
      <c r="BK1112" s="122"/>
      <c r="BL1112" s="122"/>
    </row>
    <row r="1113" spans="62:64" x14ac:dyDescent="0.25">
      <c r="BJ1113" s="122"/>
      <c r="BK1113" s="122"/>
      <c r="BL1113" s="122"/>
    </row>
    <row r="1114" spans="62:64" x14ac:dyDescent="0.25">
      <c r="BJ1114" s="122"/>
      <c r="BK1114" s="122"/>
      <c r="BL1114" s="122"/>
    </row>
    <row r="1115" spans="62:64" x14ac:dyDescent="0.25">
      <c r="BJ1115" s="122"/>
      <c r="BK1115" s="122"/>
      <c r="BL1115" s="122"/>
    </row>
    <row r="1116" spans="62:64" x14ac:dyDescent="0.25">
      <c r="BJ1116" s="122"/>
      <c r="BK1116" s="122"/>
      <c r="BL1116" s="122"/>
    </row>
    <row r="1117" spans="62:64" x14ac:dyDescent="0.25">
      <c r="BJ1117" s="122"/>
      <c r="BK1117" s="122"/>
      <c r="BL1117" s="122"/>
    </row>
    <row r="1118" spans="62:64" x14ac:dyDescent="0.25">
      <c r="BJ1118" s="122"/>
      <c r="BK1118" s="122"/>
      <c r="BL1118" s="122"/>
    </row>
    <row r="1119" spans="62:64" x14ac:dyDescent="0.25">
      <c r="BJ1119" s="122"/>
      <c r="BK1119" s="122"/>
      <c r="BL1119" s="122"/>
    </row>
    <row r="1120" spans="62:64" x14ac:dyDescent="0.25">
      <c r="BJ1120" s="122"/>
      <c r="BK1120" s="122"/>
      <c r="BL1120" s="122"/>
    </row>
    <row r="1121" spans="62:64" x14ac:dyDescent="0.25">
      <c r="BJ1121" s="122"/>
      <c r="BK1121" s="122"/>
      <c r="BL1121" s="122"/>
    </row>
    <row r="1122" spans="62:64" x14ac:dyDescent="0.25">
      <c r="BJ1122" s="122"/>
      <c r="BK1122" s="122"/>
      <c r="BL1122" s="122"/>
    </row>
    <row r="1123" spans="62:64" x14ac:dyDescent="0.25">
      <c r="BJ1123" s="122"/>
      <c r="BK1123" s="122"/>
      <c r="BL1123" s="122"/>
    </row>
    <row r="1124" spans="62:64" x14ac:dyDescent="0.25">
      <c r="BJ1124" s="122"/>
      <c r="BK1124" s="122"/>
      <c r="BL1124" s="122"/>
    </row>
    <row r="1125" spans="62:64" x14ac:dyDescent="0.25">
      <c r="BJ1125" s="122"/>
      <c r="BK1125" s="122"/>
      <c r="BL1125" s="122"/>
    </row>
    <row r="1126" spans="62:64" x14ac:dyDescent="0.25">
      <c r="BJ1126" s="122"/>
      <c r="BK1126" s="122"/>
      <c r="BL1126" s="122"/>
    </row>
    <row r="1127" spans="62:64" x14ac:dyDescent="0.25">
      <c r="BJ1127" s="122"/>
      <c r="BK1127" s="122"/>
      <c r="BL1127" s="122"/>
    </row>
    <row r="1128" spans="62:64" x14ac:dyDescent="0.25">
      <c r="BJ1128" s="122"/>
      <c r="BK1128" s="122"/>
      <c r="BL1128" s="122"/>
    </row>
    <row r="1129" spans="62:64" x14ac:dyDescent="0.25">
      <c r="BJ1129" s="122"/>
      <c r="BK1129" s="122"/>
      <c r="BL1129" s="122"/>
    </row>
    <row r="1130" spans="62:64" x14ac:dyDescent="0.25">
      <c r="BJ1130" s="122"/>
      <c r="BK1130" s="122"/>
      <c r="BL1130" s="122"/>
    </row>
    <row r="1131" spans="62:64" x14ac:dyDescent="0.25">
      <c r="BJ1131" s="122"/>
      <c r="BK1131" s="122"/>
      <c r="BL1131" s="122"/>
    </row>
    <row r="1132" spans="62:64" x14ac:dyDescent="0.25">
      <c r="BJ1132" s="122"/>
      <c r="BK1132" s="122"/>
      <c r="BL1132" s="122"/>
    </row>
    <row r="1133" spans="62:64" x14ac:dyDescent="0.25">
      <c r="BJ1133" s="122"/>
      <c r="BK1133" s="122"/>
      <c r="BL1133" s="122"/>
    </row>
    <row r="1134" spans="62:64" x14ac:dyDescent="0.25">
      <c r="BJ1134" s="122"/>
      <c r="BK1134" s="122"/>
      <c r="BL1134" s="122"/>
    </row>
    <row r="1135" spans="62:64" x14ac:dyDescent="0.25">
      <c r="BJ1135" s="122"/>
      <c r="BK1135" s="122"/>
      <c r="BL1135" s="122"/>
    </row>
    <row r="1136" spans="62:64" x14ac:dyDescent="0.25">
      <c r="BJ1136" s="122"/>
      <c r="BK1136" s="122"/>
      <c r="BL1136" s="122"/>
    </row>
    <row r="1137" spans="62:64" x14ac:dyDescent="0.25">
      <c r="BJ1137" s="122"/>
      <c r="BK1137" s="122"/>
      <c r="BL1137" s="122"/>
    </row>
    <row r="1138" spans="62:64" x14ac:dyDescent="0.25">
      <c r="BJ1138" s="122"/>
      <c r="BK1138" s="122"/>
      <c r="BL1138" s="122"/>
    </row>
    <row r="1139" spans="62:64" x14ac:dyDescent="0.25">
      <c r="BJ1139" s="122"/>
      <c r="BK1139" s="122"/>
      <c r="BL1139" s="122"/>
    </row>
    <row r="1140" spans="62:64" x14ac:dyDescent="0.25">
      <c r="BJ1140" s="122"/>
      <c r="BK1140" s="122"/>
      <c r="BL1140" s="122"/>
    </row>
    <row r="1141" spans="62:64" x14ac:dyDescent="0.25">
      <c r="BJ1141" s="122"/>
      <c r="BK1141" s="122"/>
      <c r="BL1141" s="122"/>
    </row>
    <row r="1142" spans="62:64" x14ac:dyDescent="0.25">
      <c r="BJ1142" s="122"/>
      <c r="BK1142" s="122"/>
      <c r="BL1142" s="122"/>
    </row>
    <row r="1143" spans="62:64" x14ac:dyDescent="0.25">
      <c r="BJ1143" s="122"/>
      <c r="BK1143" s="122"/>
      <c r="BL1143" s="122"/>
    </row>
    <row r="1144" spans="62:64" x14ac:dyDescent="0.25">
      <c r="BJ1144" s="122"/>
      <c r="BK1144" s="122"/>
      <c r="BL1144" s="122"/>
    </row>
    <row r="1145" spans="62:64" x14ac:dyDescent="0.25">
      <c r="BJ1145" s="122"/>
      <c r="BK1145" s="122"/>
      <c r="BL1145" s="122"/>
    </row>
    <row r="1146" spans="62:64" x14ac:dyDescent="0.25">
      <c r="BJ1146" s="122"/>
      <c r="BK1146" s="122"/>
      <c r="BL1146" s="122"/>
    </row>
    <row r="1147" spans="62:64" x14ac:dyDescent="0.25">
      <c r="BJ1147" s="122"/>
      <c r="BK1147" s="122"/>
      <c r="BL1147" s="122"/>
    </row>
    <row r="1148" spans="62:64" x14ac:dyDescent="0.25">
      <c r="BJ1148" s="122"/>
      <c r="BK1148" s="122"/>
      <c r="BL1148" s="122"/>
    </row>
    <row r="1149" spans="62:64" x14ac:dyDescent="0.25">
      <c r="BJ1149" s="122"/>
      <c r="BK1149" s="122"/>
      <c r="BL1149" s="122"/>
    </row>
    <row r="1150" spans="62:64" x14ac:dyDescent="0.25">
      <c r="BJ1150" s="122"/>
      <c r="BK1150" s="122"/>
      <c r="BL1150" s="122"/>
    </row>
    <row r="1151" spans="62:64" x14ac:dyDescent="0.25">
      <c r="BJ1151" s="122"/>
      <c r="BK1151" s="122"/>
      <c r="BL1151" s="122"/>
    </row>
    <row r="1152" spans="62:64" x14ac:dyDescent="0.25">
      <c r="BJ1152" s="122"/>
      <c r="BK1152" s="122"/>
      <c r="BL1152" s="122"/>
    </row>
    <row r="1153" spans="62:64" x14ac:dyDescent="0.25">
      <c r="BJ1153" s="122"/>
      <c r="BK1153" s="122"/>
      <c r="BL1153" s="122"/>
    </row>
    <row r="1154" spans="62:64" x14ac:dyDescent="0.25">
      <c r="BJ1154" s="122"/>
      <c r="BK1154" s="122"/>
      <c r="BL1154" s="122"/>
    </row>
    <row r="1155" spans="62:64" x14ac:dyDescent="0.25">
      <c r="BJ1155" s="122"/>
      <c r="BK1155" s="122"/>
      <c r="BL1155" s="122"/>
    </row>
    <row r="1156" spans="62:64" x14ac:dyDescent="0.25">
      <c r="BJ1156" s="122"/>
      <c r="BK1156" s="122"/>
      <c r="BL1156" s="122"/>
    </row>
    <row r="1157" spans="62:64" x14ac:dyDescent="0.25">
      <c r="BJ1157" s="122"/>
      <c r="BK1157" s="122"/>
      <c r="BL1157" s="122"/>
    </row>
    <row r="1158" spans="62:64" x14ac:dyDescent="0.25">
      <c r="BJ1158" s="122"/>
      <c r="BK1158" s="122"/>
      <c r="BL1158" s="122"/>
    </row>
    <row r="1159" spans="62:64" x14ac:dyDescent="0.25">
      <c r="BJ1159" s="122"/>
      <c r="BK1159" s="122"/>
      <c r="BL1159" s="122"/>
    </row>
    <row r="1160" spans="62:64" x14ac:dyDescent="0.25">
      <c r="BJ1160" s="122"/>
      <c r="BK1160" s="122"/>
      <c r="BL1160" s="122"/>
    </row>
    <row r="1161" spans="62:64" x14ac:dyDescent="0.25">
      <c r="BJ1161" s="122"/>
      <c r="BK1161" s="122"/>
      <c r="BL1161" s="122"/>
    </row>
    <row r="1162" spans="62:64" x14ac:dyDescent="0.25">
      <c r="BJ1162" s="122"/>
      <c r="BK1162" s="122"/>
      <c r="BL1162" s="122"/>
    </row>
    <row r="1163" spans="62:64" x14ac:dyDescent="0.25">
      <c r="BJ1163" s="122"/>
      <c r="BK1163" s="122"/>
      <c r="BL1163" s="122"/>
    </row>
    <row r="1164" spans="62:64" x14ac:dyDescent="0.25">
      <c r="BJ1164" s="122"/>
      <c r="BK1164" s="122"/>
      <c r="BL1164" s="122"/>
    </row>
    <row r="1165" spans="62:64" x14ac:dyDescent="0.25">
      <c r="BJ1165" s="122"/>
      <c r="BK1165" s="122"/>
      <c r="BL1165" s="122"/>
    </row>
    <row r="1166" spans="62:64" x14ac:dyDescent="0.25">
      <c r="BJ1166" s="122"/>
      <c r="BK1166" s="122"/>
      <c r="BL1166" s="122"/>
    </row>
    <row r="1167" spans="62:64" x14ac:dyDescent="0.25">
      <c r="BJ1167" s="122"/>
      <c r="BK1167" s="122"/>
      <c r="BL1167" s="122"/>
    </row>
    <row r="1168" spans="62:64" x14ac:dyDescent="0.25">
      <c r="BJ1168" s="122"/>
      <c r="BK1168" s="122"/>
      <c r="BL1168" s="122"/>
    </row>
    <row r="1169" spans="62:64" x14ac:dyDescent="0.25">
      <c r="BJ1169" s="122"/>
      <c r="BK1169" s="122"/>
      <c r="BL1169" s="122"/>
    </row>
    <row r="1170" spans="62:64" x14ac:dyDescent="0.25">
      <c r="BJ1170" s="122"/>
      <c r="BK1170" s="122"/>
      <c r="BL1170" s="122"/>
    </row>
    <row r="1171" spans="62:64" x14ac:dyDescent="0.25">
      <c r="BJ1171" s="122"/>
      <c r="BK1171" s="122"/>
      <c r="BL1171" s="122"/>
    </row>
    <row r="1172" spans="62:64" x14ac:dyDescent="0.25">
      <c r="BJ1172" s="122"/>
      <c r="BK1172" s="122"/>
      <c r="BL1172" s="122"/>
    </row>
    <row r="1173" spans="62:64" x14ac:dyDescent="0.25">
      <c r="BJ1173" s="122"/>
      <c r="BK1173" s="122"/>
      <c r="BL1173" s="122"/>
    </row>
    <row r="1174" spans="62:64" x14ac:dyDescent="0.25">
      <c r="BJ1174" s="122"/>
      <c r="BK1174" s="122"/>
      <c r="BL1174" s="122"/>
    </row>
    <row r="1175" spans="62:64" x14ac:dyDescent="0.25">
      <c r="BJ1175" s="122"/>
      <c r="BK1175" s="122"/>
      <c r="BL1175" s="122"/>
    </row>
    <row r="1176" spans="62:64" x14ac:dyDescent="0.25">
      <c r="BJ1176" s="122"/>
      <c r="BK1176" s="122"/>
      <c r="BL1176" s="122"/>
    </row>
    <row r="1177" spans="62:64" x14ac:dyDescent="0.25">
      <c r="BJ1177" s="122"/>
      <c r="BK1177" s="122"/>
      <c r="BL1177" s="122"/>
    </row>
    <row r="1178" spans="62:64" x14ac:dyDescent="0.25">
      <c r="BJ1178" s="122"/>
      <c r="BK1178" s="122"/>
      <c r="BL1178" s="122"/>
    </row>
    <row r="1179" spans="62:64" x14ac:dyDescent="0.25">
      <c r="BJ1179" s="122"/>
      <c r="BK1179" s="122"/>
      <c r="BL1179" s="122"/>
    </row>
    <row r="1180" spans="62:64" x14ac:dyDescent="0.25">
      <c r="BJ1180" s="122"/>
      <c r="BK1180" s="122"/>
      <c r="BL1180" s="122"/>
    </row>
    <row r="1181" spans="62:64" x14ac:dyDescent="0.25">
      <c r="BJ1181" s="122"/>
      <c r="BK1181" s="122"/>
      <c r="BL1181" s="122"/>
    </row>
    <row r="1182" spans="62:64" x14ac:dyDescent="0.25">
      <c r="BJ1182" s="122"/>
      <c r="BK1182" s="122"/>
      <c r="BL1182" s="122"/>
    </row>
    <row r="1183" spans="62:64" x14ac:dyDescent="0.25">
      <c r="BJ1183" s="122"/>
      <c r="BK1183" s="122"/>
      <c r="BL1183" s="122"/>
    </row>
    <row r="1184" spans="62:64" x14ac:dyDescent="0.25">
      <c r="BJ1184" s="122"/>
      <c r="BK1184" s="122"/>
      <c r="BL1184" s="122"/>
    </row>
    <row r="1185" spans="62:64" x14ac:dyDescent="0.25">
      <c r="BJ1185" s="122"/>
      <c r="BK1185" s="122"/>
      <c r="BL1185" s="122"/>
    </row>
    <row r="1186" spans="62:64" x14ac:dyDescent="0.25">
      <c r="BJ1186" s="122"/>
      <c r="BK1186" s="122"/>
      <c r="BL1186" s="122"/>
    </row>
    <row r="1187" spans="62:64" x14ac:dyDescent="0.25">
      <c r="BJ1187" s="122"/>
      <c r="BK1187" s="122"/>
      <c r="BL1187" s="122"/>
    </row>
    <row r="1188" spans="62:64" x14ac:dyDescent="0.25">
      <c r="BJ1188" s="122"/>
      <c r="BK1188" s="122"/>
      <c r="BL1188" s="122"/>
    </row>
    <row r="1189" spans="62:64" x14ac:dyDescent="0.25">
      <c r="BJ1189" s="122"/>
      <c r="BK1189" s="122"/>
      <c r="BL1189" s="122"/>
    </row>
    <row r="1190" spans="62:64" x14ac:dyDescent="0.25">
      <c r="BJ1190" s="122"/>
      <c r="BK1190" s="122"/>
      <c r="BL1190" s="122"/>
    </row>
    <row r="1191" spans="62:64" x14ac:dyDescent="0.25">
      <c r="BJ1191" s="122"/>
      <c r="BK1191" s="122"/>
      <c r="BL1191" s="122"/>
    </row>
    <row r="1192" spans="62:64" x14ac:dyDescent="0.25">
      <c r="BJ1192" s="122"/>
      <c r="BK1192" s="122"/>
      <c r="BL1192" s="122"/>
    </row>
    <row r="1193" spans="62:64" x14ac:dyDescent="0.25">
      <c r="BJ1193" s="122"/>
      <c r="BK1193" s="122"/>
      <c r="BL1193" s="122"/>
    </row>
    <row r="1194" spans="62:64" x14ac:dyDescent="0.25">
      <c r="BJ1194" s="122"/>
      <c r="BK1194" s="122"/>
      <c r="BL1194" s="122"/>
    </row>
    <row r="1195" spans="62:64" x14ac:dyDescent="0.25">
      <c r="BJ1195" s="122"/>
      <c r="BK1195" s="122"/>
      <c r="BL1195" s="122"/>
    </row>
    <row r="1196" spans="62:64" x14ac:dyDescent="0.25">
      <c r="BJ1196" s="122"/>
      <c r="BK1196" s="122"/>
      <c r="BL1196" s="122"/>
    </row>
    <row r="1197" spans="62:64" x14ac:dyDescent="0.25">
      <c r="BJ1197" s="122"/>
      <c r="BK1197" s="122"/>
      <c r="BL1197" s="122"/>
    </row>
    <row r="1198" spans="62:64" x14ac:dyDescent="0.25">
      <c r="BJ1198" s="122"/>
      <c r="BK1198" s="122"/>
      <c r="BL1198" s="122"/>
    </row>
    <row r="1199" spans="62:64" x14ac:dyDescent="0.25">
      <c r="BJ1199" s="122"/>
      <c r="BK1199" s="122"/>
      <c r="BL1199" s="122"/>
    </row>
    <row r="1200" spans="62:64" x14ac:dyDescent="0.25">
      <c r="BJ1200" s="122"/>
      <c r="BK1200" s="122"/>
      <c r="BL1200" s="122"/>
    </row>
    <row r="1201" spans="62:64" x14ac:dyDescent="0.25">
      <c r="BJ1201" s="122"/>
      <c r="BK1201" s="122"/>
      <c r="BL1201" s="122"/>
    </row>
    <row r="1202" spans="62:64" x14ac:dyDescent="0.25">
      <c r="BJ1202" s="122"/>
      <c r="BK1202" s="122"/>
      <c r="BL1202" s="122"/>
    </row>
    <row r="1203" spans="62:64" x14ac:dyDescent="0.25">
      <c r="BJ1203" s="122"/>
      <c r="BK1203" s="122"/>
      <c r="BL1203" s="122"/>
    </row>
    <row r="1204" spans="62:64" x14ac:dyDescent="0.25">
      <c r="BJ1204" s="122"/>
      <c r="BK1204" s="122"/>
      <c r="BL1204" s="122"/>
    </row>
    <row r="1205" spans="62:64" x14ac:dyDescent="0.25">
      <c r="BJ1205" s="122"/>
      <c r="BK1205" s="122"/>
      <c r="BL1205" s="122"/>
    </row>
    <row r="1206" spans="62:64" x14ac:dyDescent="0.25">
      <c r="BJ1206" s="122"/>
      <c r="BK1206" s="122"/>
      <c r="BL1206" s="122"/>
    </row>
    <row r="1207" spans="62:64" x14ac:dyDescent="0.25">
      <c r="BJ1207" s="122"/>
      <c r="BK1207" s="122"/>
      <c r="BL1207" s="122"/>
    </row>
    <row r="1208" spans="62:64" x14ac:dyDescent="0.25">
      <c r="BJ1208" s="122"/>
      <c r="BK1208" s="122"/>
      <c r="BL1208" s="122"/>
    </row>
    <row r="1209" spans="62:64" x14ac:dyDescent="0.25">
      <c r="BJ1209" s="122"/>
      <c r="BK1209" s="122"/>
      <c r="BL1209" s="122"/>
    </row>
    <row r="1210" spans="62:64" x14ac:dyDescent="0.25">
      <c r="BJ1210" s="122"/>
      <c r="BK1210" s="122"/>
      <c r="BL1210" s="122"/>
    </row>
    <row r="1211" spans="62:64" x14ac:dyDescent="0.25">
      <c r="BJ1211" s="122"/>
      <c r="BK1211" s="122"/>
      <c r="BL1211" s="122"/>
    </row>
    <row r="1212" spans="62:64" x14ac:dyDescent="0.25">
      <c r="BJ1212" s="122"/>
      <c r="BK1212" s="122"/>
      <c r="BL1212" s="122"/>
    </row>
    <row r="1213" spans="62:64" x14ac:dyDescent="0.25">
      <c r="BJ1213" s="122"/>
      <c r="BK1213" s="122"/>
      <c r="BL1213" s="122"/>
    </row>
    <row r="1214" spans="62:64" x14ac:dyDescent="0.25">
      <c r="BJ1214" s="122"/>
      <c r="BK1214" s="122"/>
      <c r="BL1214" s="122"/>
    </row>
    <row r="1215" spans="62:64" x14ac:dyDescent="0.25">
      <c r="BJ1215" s="122"/>
      <c r="BK1215" s="122"/>
      <c r="BL1215" s="122"/>
    </row>
    <row r="1216" spans="62:64" x14ac:dyDescent="0.25">
      <c r="BJ1216" s="122"/>
      <c r="BK1216" s="122"/>
      <c r="BL1216" s="122"/>
    </row>
    <row r="1217" spans="62:64" x14ac:dyDescent="0.25">
      <c r="BJ1217" s="122"/>
      <c r="BK1217" s="122"/>
      <c r="BL1217" s="122"/>
    </row>
    <row r="1218" spans="62:64" x14ac:dyDescent="0.25">
      <c r="BJ1218" s="122"/>
      <c r="BK1218" s="122"/>
      <c r="BL1218" s="122"/>
    </row>
    <row r="1219" spans="62:64" x14ac:dyDescent="0.25">
      <c r="BJ1219" s="122"/>
      <c r="BK1219" s="122"/>
      <c r="BL1219" s="122"/>
    </row>
    <row r="1220" spans="62:64" x14ac:dyDescent="0.25">
      <c r="BJ1220" s="122"/>
      <c r="BK1220" s="122"/>
      <c r="BL1220" s="122"/>
    </row>
    <row r="1221" spans="62:64" x14ac:dyDescent="0.25">
      <c r="BJ1221" s="122"/>
      <c r="BK1221" s="122"/>
      <c r="BL1221" s="122"/>
    </row>
    <row r="1222" spans="62:64" x14ac:dyDescent="0.25">
      <c r="BJ1222" s="122"/>
      <c r="BK1222" s="122"/>
      <c r="BL1222" s="122"/>
    </row>
    <row r="1223" spans="62:64" x14ac:dyDescent="0.25">
      <c r="BJ1223" s="122"/>
      <c r="BK1223" s="122"/>
      <c r="BL1223" s="122"/>
    </row>
    <row r="1224" spans="62:64" x14ac:dyDescent="0.25">
      <c r="BJ1224" s="122"/>
      <c r="BK1224" s="122"/>
      <c r="BL1224" s="122"/>
    </row>
    <row r="1225" spans="62:64" x14ac:dyDescent="0.25">
      <c r="BJ1225" s="122"/>
      <c r="BK1225" s="122"/>
      <c r="BL1225" s="122"/>
    </row>
    <row r="1226" spans="62:64" x14ac:dyDescent="0.25">
      <c r="BJ1226" s="122"/>
      <c r="BK1226" s="122"/>
      <c r="BL1226" s="122"/>
    </row>
    <row r="1227" spans="62:64" x14ac:dyDescent="0.25">
      <c r="BJ1227" s="122"/>
      <c r="BK1227" s="122"/>
      <c r="BL1227" s="122"/>
    </row>
    <row r="1228" spans="62:64" x14ac:dyDescent="0.25">
      <c r="BJ1228" s="122"/>
      <c r="BK1228" s="122"/>
      <c r="BL1228" s="122"/>
    </row>
    <row r="1229" spans="62:64" x14ac:dyDescent="0.25">
      <c r="BJ1229" s="122"/>
      <c r="BK1229" s="122"/>
      <c r="BL1229" s="122"/>
    </row>
    <row r="1230" spans="62:64" x14ac:dyDescent="0.25">
      <c r="BJ1230" s="122"/>
      <c r="BK1230" s="122"/>
      <c r="BL1230" s="122"/>
    </row>
    <row r="1231" spans="62:64" x14ac:dyDescent="0.25">
      <c r="BJ1231" s="122"/>
      <c r="BK1231" s="122"/>
      <c r="BL1231" s="122"/>
    </row>
    <row r="1232" spans="62:64" x14ac:dyDescent="0.25">
      <c r="BJ1232" s="122"/>
      <c r="BK1232" s="122"/>
      <c r="BL1232" s="122"/>
    </row>
    <row r="1233" spans="62:64" x14ac:dyDescent="0.25">
      <c r="BJ1233" s="122"/>
      <c r="BK1233" s="122"/>
      <c r="BL1233" s="122"/>
    </row>
    <row r="1234" spans="62:64" x14ac:dyDescent="0.25">
      <c r="BJ1234" s="122"/>
      <c r="BK1234" s="122"/>
      <c r="BL1234" s="122"/>
    </row>
    <row r="1235" spans="62:64" x14ac:dyDescent="0.25">
      <c r="BJ1235" s="122"/>
      <c r="BK1235" s="122"/>
      <c r="BL1235" s="122"/>
    </row>
    <row r="1236" spans="62:64" x14ac:dyDescent="0.25">
      <c r="BJ1236" s="122"/>
      <c r="BK1236" s="122"/>
      <c r="BL1236" s="122"/>
    </row>
    <row r="1237" spans="62:64" x14ac:dyDescent="0.25">
      <c r="BJ1237" s="122"/>
      <c r="BK1237" s="122"/>
      <c r="BL1237" s="122"/>
    </row>
    <row r="1238" spans="62:64" x14ac:dyDescent="0.25">
      <c r="BJ1238" s="122"/>
      <c r="BK1238" s="122"/>
      <c r="BL1238" s="122"/>
    </row>
    <row r="1239" spans="62:64" x14ac:dyDescent="0.25">
      <c r="BJ1239" s="122"/>
      <c r="BK1239" s="122"/>
      <c r="BL1239" s="122"/>
    </row>
    <row r="1240" spans="62:64" x14ac:dyDescent="0.25">
      <c r="BJ1240" s="122"/>
      <c r="BK1240" s="122"/>
      <c r="BL1240" s="122"/>
    </row>
    <row r="1241" spans="62:64" x14ac:dyDescent="0.25">
      <c r="BJ1241" s="122"/>
      <c r="BK1241" s="122"/>
      <c r="BL1241" s="122"/>
    </row>
    <row r="1242" spans="62:64" x14ac:dyDescent="0.25">
      <c r="BJ1242" s="122"/>
      <c r="BK1242" s="122"/>
      <c r="BL1242" s="122"/>
    </row>
    <row r="1243" spans="62:64" x14ac:dyDescent="0.25">
      <c r="BJ1243" s="122"/>
      <c r="BK1243" s="122"/>
      <c r="BL1243" s="122"/>
    </row>
    <row r="1244" spans="62:64" x14ac:dyDescent="0.25">
      <c r="BJ1244" s="122"/>
      <c r="BK1244" s="122"/>
      <c r="BL1244" s="122"/>
    </row>
    <row r="1245" spans="62:64" x14ac:dyDescent="0.25">
      <c r="BJ1245" s="122"/>
      <c r="BK1245" s="122"/>
      <c r="BL1245" s="122"/>
    </row>
    <row r="1246" spans="62:64" x14ac:dyDescent="0.25">
      <c r="BJ1246" s="122"/>
      <c r="BK1246" s="122"/>
      <c r="BL1246" s="122"/>
    </row>
    <row r="1247" spans="62:64" x14ac:dyDescent="0.25">
      <c r="BJ1247" s="122"/>
      <c r="BK1247" s="122"/>
      <c r="BL1247" s="122"/>
    </row>
    <row r="1248" spans="62:64" x14ac:dyDescent="0.25">
      <c r="BJ1248" s="122"/>
      <c r="BK1248" s="122"/>
      <c r="BL1248" s="122"/>
    </row>
    <row r="1249" spans="62:64" x14ac:dyDescent="0.25">
      <c r="BJ1249" s="122"/>
      <c r="BK1249" s="122"/>
      <c r="BL1249" s="122"/>
    </row>
    <row r="1250" spans="62:64" x14ac:dyDescent="0.25">
      <c r="BJ1250" s="122"/>
      <c r="BK1250" s="122"/>
      <c r="BL1250" s="122"/>
    </row>
    <row r="1251" spans="62:64" x14ac:dyDescent="0.25">
      <c r="BJ1251" s="122"/>
      <c r="BK1251" s="122"/>
      <c r="BL1251" s="122"/>
    </row>
    <row r="1252" spans="62:64" x14ac:dyDescent="0.25">
      <c r="BJ1252" s="122"/>
      <c r="BK1252" s="122"/>
      <c r="BL1252" s="122"/>
    </row>
    <row r="1253" spans="62:64" x14ac:dyDescent="0.25">
      <c r="BJ1253" s="122"/>
      <c r="BK1253" s="122"/>
      <c r="BL1253" s="122"/>
    </row>
    <row r="1254" spans="62:64" x14ac:dyDescent="0.25">
      <c r="BJ1254" s="122"/>
      <c r="BK1254" s="122"/>
      <c r="BL1254" s="122"/>
    </row>
    <row r="1255" spans="62:64" x14ac:dyDescent="0.25">
      <c r="BJ1255" s="122"/>
      <c r="BK1255" s="122"/>
      <c r="BL1255" s="122"/>
    </row>
    <row r="1256" spans="62:64" x14ac:dyDescent="0.25">
      <c r="BJ1256" s="122"/>
      <c r="BK1256" s="122"/>
      <c r="BL1256" s="122"/>
    </row>
    <row r="1257" spans="62:64" x14ac:dyDescent="0.25">
      <c r="BJ1257" s="122"/>
      <c r="BK1257" s="122"/>
      <c r="BL1257" s="122"/>
    </row>
    <row r="1258" spans="62:64" x14ac:dyDescent="0.25">
      <c r="BJ1258" s="122"/>
      <c r="BK1258" s="122"/>
      <c r="BL1258" s="122"/>
    </row>
    <row r="1259" spans="62:64" x14ac:dyDescent="0.25">
      <c r="BJ1259" s="122"/>
      <c r="BK1259" s="122"/>
      <c r="BL1259" s="122"/>
    </row>
    <row r="1260" spans="62:64" x14ac:dyDescent="0.25">
      <c r="BJ1260" s="122"/>
      <c r="BK1260" s="122"/>
      <c r="BL1260" s="122"/>
    </row>
    <row r="1261" spans="62:64" x14ac:dyDescent="0.25">
      <c r="BJ1261" s="122"/>
      <c r="BK1261" s="122"/>
      <c r="BL1261" s="122"/>
    </row>
    <row r="1262" spans="62:64" x14ac:dyDescent="0.25">
      <c r="BJ1262" s="122"/>
      <c r="BK1262" s="122"/>
      <c r="BL1262" s="122"/>
    </row>
    <row r="1263" spans="62:64" x14ac:dyDescent="0.25">
      <c r="BJ1263" s="122"/>
      <c r="BK1263" s="122"/>
      <c r="BL1263" s="122"/>
    </row>
    <row r="1264" spans="62:64" x14ac:dyDescent="0.25">
      <c r="BJ1264" s="122"/>
      <c r="BK1264" s="122"/>
      <c r="BL1264" s="122"/>
    </row>
    <row r="1265" spans="62:64" x14ac:dyDescent="0.25">
      <c r="BJ1265" s="122"/>
      <c r="BK1265" s="122"/>
      <c r="BL1265" s="122"/>
    </row>
    <row r="1266" spans="62:64" x14ac:dyDescent="0.25">
      <c r="BJ1266" s="122"/>
      <c r="BK1266" s="122"/>
      <c r="BL1266" s="122"/>
    </row>
    <row r="1267" spans="62:64" x14ac:dyDescent="0.25">
      <c r="BJ1267" s="122"/>
      <c r="BK1267" s="122"/>
      <c r="BL1267" s="122"/>
    </row>
    <row r="1268" spans="62:64" x14ac:dyDescent="0.25">
      <c r="BJ1268" s="122"/>
      <c r="BK1268" s="122"/>
      <c r="BL1268" s="122"/>
    </row>
    <row r="1269" spans="62:64" x14ac:dyDescent="0.25">
      <c r="BJ1269" s="122"/>
      <c r="BK1269" s="122"/>
      <c r="BL1269" s="122"/>
    </row>
    <row r="1270" spans="62:64" x14ac:dyDescent="0.25">
      <c r="BJ1270" s="122"/>
      <c r="BK1270" s="122"/>
      <c r="BL1270" s="122"/>
    </row>
    <row r="1271" spans="62:64" x14ac:dyDescent="0.25">
      <c r="BJ1271" s="122"/>
      <c r="BK1271" s="122"/>
      <c r="BL1271" s="122"/>
    </row>
    <row r="1272" spans="62:64" x14ac:dyDescent="0.25">
      <c r="BJ1272" s="122"/>
      <c r="BK1272" s="122"/>
      <c r="BL1272" s="122"/>
    </row>
    <row r="1273" spans="62:64" x14ac:dyDescent="0.25">
      <c r="BJ1273" s="122"/>
      <c r="BK1273" s="122"/>
      <c r="BL1273" s="122"/>
    </row>
    <row r="1274" spans="62:64" x14ac:dyDescent="0.25">
      <c r="BJ1274" s="122"/>
      <c r="BK1274" s="122"/>
      <c r="BL1274" s="122"/>
    </row>
    <row r="1275" spans="62:64" x14ac:dyDescent="0.25">
      <c r="BJ1275" s="122"/>
      <c r="BK1275" s="122"/>
      <c r="BL1275" s="122"/>
    </row>
    <row r="1276" spans="62:64" x14ac:dyDescent="0.25">
      <c r="BJ1276" s="122"/>
      <c r="BK1276" s="122"/>
      <c r="BL1276" s="122"/>
    </row>
    <row r="1277" spans="62:64" x14ac:dyDescent="0.25">
      <c r="BJ1277" s="122"/>
      <c r="BK1277" s="122"/>
      <c r="BL1277" s="122"/>
    </row>
    <row r="1278" spans="62:64" x14ac:dyDescent="0.25">
      <c r="BJ1278" s="122"/>
      <c r="BK1278" s="122"/>
      <c r="BL1278" s="122"/>
    </row>
    <row r="1279" spans="62:64" x14ac:dyDescent="0.25">
      <c r="BJ1279" s="122"/>
      <c r="BK1279" s="122"/>
      <c r="BL1279" s="122"/>
    </row>
    <row r="1280" spans="62:64" x14ac:dyDescent="0.25">
      <c r="BJ1280" s="122"/>
      <c r="BK1280" s="122"/>
      <c r="BL1280" s="122"/>
    </row>
    <row r="1281" s="122" customFormat="1" x14ac:dyDescent="0.25"/>
    <row r="1282" s="122" customFormat="1" x14ac:dyDescent="0.25"/>
    <row r="1283" s="122" customFormat="1" x14ac:dyDescent="0.25"/>
    <row r="1284" s="122" customFormat="1" x14ac:dyDescent="0.25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EQ"/>
  <dimension ref="A1:H113"/>
  <sheetViews>
    <sheetView workbookViewId="0">
      <selection activeCell="L9" sqref="L9"/>
    </sheetView>
  </sheetViews>
  <sheetFormatPr defaultRowHeight="15" x14ac:dyDescent="0.25"/>
  <cols>
    <col min="1" max="2" width="9.140625" style="122"/>
    <col min="3" max="3" width="12.7109375" style="122" bestFit="1" customWidth="1"/>
    <col min="4" max="4" width="9.140625" style="122"/>
    <col min="5" max="5" width="15" style="122" bestFit="1" customWidth="1"/>
    <col min="6" max="6" width="9.140625" style="122"/>
    <col min="7" max="7" width="21.7109375" style="122" bestFit="1" customWidth="1"/>
    <col min="8" max="16384" width="9.140625" style="122"/>
  </cols>
  <sheetData>
    <row r="1" spans="1:8" x14ac:dyDescent="0.25">
      <c r="A1" s="161" t="s">
        <v>15961</v>
      </c>
      <c r="B1" s="161" t="s">
        <v>15962</v>
      </c>
      <c r="C1" s="161" t="s">
        <v>15963</v>
      </c>
      <c r="D1" s="161" t="s">
        <v>15964</v>
      </c>
      <c r="E1" s="161" t="s">
        <v>15965</v>
      </c>
      <c r="F1" s="161" t="s">
        <v>15966</v>
      </c>
      <c r="G1" s="161" t="s">
        <v>15967</v>
      </c>
      <c r="H1" s="161" t="s">
        <v>15968</v>
      </c>
    </row>
    <row r="2" spans="1:8" x14ac:dyDescent="0.25">
      <c r="A2" s="122">
        <v>31701</v>
      </c>
      <c r="B2" s="122" t="s">
        <v>605</v>
      </c>
      <c r="E2" s="122" t="s">
        <v>15969</v>
      </c>
      <c r="F2" s="122" t="s">
        <v>2526</v>
      </c>
      <c r="G2" s="122" t="s">
        <v>15970</v>
      </c>
      <c r="H2" s="122" t="s">
        <v>93</v>
      </c>
    </row>
    <row r="3" spans="1:8" x14ac:dyDescent="0.25">
      <c r="A3" s="122">
        <v>31701</v>
      </c>
      <c r="B3" s="122" t="s">
        <v>605</v>
      </c>
      <c r="C3" s="162">
        <v>42239</v>
      </c>
      <c r="D3" s="122">
        <v>1</v>
      </c>
      <c r="E3" s="122" t="s">
        <v>6664</v>
      </c>
      <c r="F3" s="122" t="s">
        <v>451</v>
      </c>
      <c r="G3" s="122" t="s">
        <v>15971</v>
      </c>
      <c r="H3" s="122" t="s">
        <v>15972</v>
      </c>
    </row>
    <row r="5" spans="1:8" x14ac:dyDescent="0.25">
      <c r="A5" s="161" t="s">
        <v>15961</v>
      </c>
      <c r="B5" s="161" t="s">
        <v>15962</v>
      </c>
      <c r="C5" s="161" t="s">
        <v>15963</v>
      </c>
      <c r="D5" s="161" t="s">
        <v>15964</v>
      </c>
      <c r="E5" s="161" t="s">
        <v>15965</v>
      </c>
      <c r="F5" s="161" t="s">
        <v>15966</v>
      </c>
      <c r="G5" s="161" t="s">
        <v>15967</v>
      </c>
      <c r="H5" s="161" t="s">
        <v>15968</v>
      </c>
    </row>
    <row r="6" spans="1:8" x14ac:dyDescent="0.25">
      <c r="A6" s="122">
        <v>31702</v>
      </c>
      <c r="B6" s="122" t="s">
        <v>1430</v>
      </c>
      <c r="C6" s="2"/>
      <c r="E6" s="122" t="s">
        <v>7589</v>
      </c>
      <c r="F6" s="122" t="s">
        <v>566</v>
      </c>
      <c r="G6" s="122" t="s">
        <v>15973</v>
      </c>
      <c r="H6" s="122" t="s">
        <v>93</v>
      </c>
    </row>
    <row r="7" spans="1:8" x14ac:dyDescent="0.25">
      <c r="A7" s="122">
        <v>31702</v>
      </c>
      <c r="B7" s="122" t="s">
        <v>1430</v>
      </c>
      <c r="C7" s="2"/>
      <c r="E7" s="122" t="s">
        <v>7717</v>
      </c>
      <c r="F7" s="122" t="s">
        <v>566</v>
      </c>
      <c r="G7" s="122" t="s">
        <v>15973</v>
      </c>
      <c r="H7" s="122" t="s">
        <v>93</v>
      </c>
    </row>
    <row r="8" spans="1:8" x14ac:dyDescent="0.25">
      <c r="A8" s="122">
        <v>31702</v>
      </c>
      <c r="B8" s="122" t="s">
        <v>1430</v>
      </c>
      <c r="C8" s="2"/>
      <c r="E8" s="122" t="s">
        <v>8313</v>
      </c>
      <c r="F8" s="122" t="s">
        <v>8312</v>
      </c>
      <c r="G8" s="122" t="s">
        <v>15974</v>
      </c>
      <c r="H8" s="122" t="s">
        <v>93</v>
      </c>
    </row>
    <row r="9" spans="1:8" x14ac:dyDescent="0.25">
      <c r="A9" s="122">
        <v>31702</v>
      </c>
      <c r="B9" s="122" t="s">
        <v>1430</v>
      </c>
      <c r="C9" s="162">
        <v>42236</v>
      </c>
      <c r="D9" s="122">
        <v>4</v>
      </c>
      <c r="E9" s="122" t="s">
        <v>15975</v>
      </c>
      <c r="F9" s="122" t="s">
        <v>566</v>
      </c>
      <c r="G9" s="122" t="s">
        <v>15973</v>
      </c>
      <c r="H9" s="122" t="s">
        <v>93</v>
      </c>
    </row>
    <row r="10" spans="1:8" x14ac:dyDescent="0.25">
      <c r="A10" s="122">
        <v>31702</v>
      </c>
      <c r="B10" s="122" t="s">
        <v>1430</v>
      </c>
      <c r="C10" s="162">
        <v>42234</v>
      </c>
      <c r="D10" s="122">
        <v>6</v>
      </c>
      <c r="E10" s="122" t="s">
        <v>7370</v>
      </c>
      <c r="F10" s="122" t="s">
        <v>548</v>
      </c>
      <c r="G10" s="122" t="s">
        <v>15976</v>
      </c>
      <c r="H10" s="122" t="s">
        <v>93</v>
      </c>
    </row>
    <row r="11" spans="1:8" x14ac:dyDescent="0.25">
      <c r="A11" s="122">
        <v>31702</v>
      </c>
      <c r="B11" s="122" t="s">
        <v>1430</v>
      </c>
      <c r="C11" s="2"/>
      <c r="E11" s="122" t="s">
        <v>15977</v>
      </c>
      <c r="F11" s="122" t="s">
        <v>2526</v>
      </c>
      <c r="G11" s="122" t="s">
        <v>15970</v>
      </c>
      <c r="H11" s="122" t="s">
        <v>93</v>
      </c>
    </row>
    <row r="12" spans="1:8" x14ac:dyDescent="0.25">
      <c r="A12" s="122">
        <v>31702</v>
      </c>
      <c r="B12" s="122" t="s">
        <v>1430</v>
      </c>
      <c r="E12" s="122" t="s">
        <v>1953</v>
      </c>
      <c r="F12" s="122" t="s">
        <v>548</v>
      </c>
      <c r="G12" s="122" t="s">
        <v>15976</v>
      </c>
      <c r="H12" s="122" t="s">
        <v>93</v>
      </c>
    </row>
    <row r="13" spans="1:8" x14ac:dyDescent="0.25">
      <c r="A13" s="122">
        <v>31702</v>
      </c>
      <c r="B13" s="122" t="s">
        <v>1430</v>
      </c>
      <c r="E13" s="122" t="s">
        <v>15978</v>
      </c>
      <c r="F13" s="122" t="s">
        <v>548</v>
      </c>
      <c r="G13" s="122" t="s">
        <v>15976</v>
      </c>
      <c r="H13" s="122" t="s">
        <v>93</v>
      </c>
    </row>
    <row r="14" spans="1:8" x14ac:dyDescent="0.25">
      <c r="A14" s="122">
        <v>31702</v>
      </c>
      <c r="B14" s="122" t="s">
        <v>1430</v>
      </c>
      <c r="E14" s="122" t="s">
        <v>15979</v>
      </c>
      <c r="F14" s="122" t="s">
        <v>548</v>
      </c>
      <c r="G14" s="122" t="s">
        <v>15976</v>
      </c>
      <c r="H14" s="122" t="s">
        <v>93</v>
      </c>
    </row>
    <row r="15" spans="1:8" x14ac:dyDescent="0.25">
      <c r="A15" s="122">
        <v>31702</v>
      </c>
      <c r="B15" s="122" t="s">
        <v>1430</v>
      </c>
      <c r="E15" s="122" t="s">
        <v>15980</v>
      </c>
      <c r="F15" s="122" t="s">
        <v>8312</v>
      </c>
      <c r="G15" s="122" t="s">
        <v>15974</v>
      </c>
      <c r="H15" s="122" t="s">
        <v>93</v>
      </c>
    </row>
    <row r="16" spans="1:8" x14ac:dyDescent="0.25">
      <c r="A16" s="122">
        <v>31702</v>
      </c>
      <c r="B16" s="122" t="s">
        <v>1430</v>
      </c>
      <c r="E16" s="122" t="s">
        <v>15981</v>
      </c>
      <c r="F16" s="122" t="s">
        <v>8312</v>
      </c>
      <c r="G16" s="122" t="s">
        <v>15974</v>
      </c>
      <c r="H16" s="122" t="s">
        <v>93</v>
      </c>
    </row>
    <row r="17" spans="1:8" x14ac:dyDescent="0.25">
      <c r="A17" s="122">
        <v>31702</v>
      </c>
      <c r="B17" s="122" t="s">
        <v>1430</v>
      </c>
      <c r="E17" s="122" t="s">
        <v>15982</v>
      </c>
      <c r="F17" s="122" t="s">
        <v>2526</v>
      </c>
      <c r="G17" s="122" t="s">
        <v>15970</v>
      </c>
      <c r="H17" s="122" t="s">
        <v>93</v>
      </c>
    </row>
    <row r="18" spans="1:8" x14ac:dyDescent="0.25">
      <c r="A18" s="122">
        <v>31702</v>
      </c>
      <c r="B18" s="122" t="s">
        <v>1430</v>
      </c>
      <c r="C18" s="162">
        <v>42237</v>
      </c>
      <c r="D18" s="122">
        <v>3</v>
      </c>
      <c r="E18" s="122">
        <v>266089720</v>
      </c>
      <c r="F18" s="122" t="s">
        <v>390</v>
      </c>
      <c r="G18" s="122" t="s">
        <v>15983</v>
      </c>
      <c r="H18" s="122" t="s">
        <v>94</v>
      </c>
    </row>
    <row r="19" spans="1:8" x14ac:dyDescent="0.25">
      <c r="A19" s="122">
        <v>31702</v>
      </c>
      <c r="B19" s="122" t="s">
        <v>1430</v>
      </c>
      <c r="C19" s="2"/>
      <c r="E19" s="122" t="s">
        <v>7907</v>
      </c>
      <c r="F19" s="122" t="s">
        <v>5598</v>
      </c>
      <c r="G19" s="122" t="s">
        <v>15984</v>
      </c>
      <c r="H19" s="122" t="s">
        <v>94</v>
      </c>
    </row>
    <row r="20" spans="1:8" x14ac:dyDescent="0.25">
      <c r="A20" s="122">
        <v>31702</v>
      </c>
      <c r="B20" s="122" t="s">
        <v>1430</v>
      </c>
      <c r="C20" s="2"/>
      <c r="E20" s="122">
        <v>261801361</v>
      </c>
      <c r="F20" s="122" t="s">
        <v>1240</v>
      </c>
      <c r="G20" s="122" t="s">
        <v>15985</v>
      </c>
      <c r="H20" s="122" t="s">
        <v>94</v>
      </c>
    </row>
    <row r="21" spans="1:8" x14ac:dyDescent="0.25">
      <c r="A21" s="122">
        <v>31702</v>
      </c>
      <c r="B21" s="122" t="s">
        <v>1430</v>
      </c>
      <c r="E21" s="122">
        <v>248715359</v>
      </c>
      <c r="F21" s="122" t="s">
        <v>390</v>
      </c>
      <c r="G21" s="122" t="s">
        <v>15983</v>
      </c>
      <c r="H21" s="122" t="s">
        <v>94</v>
      </c>
    </row>
    <row r="22" spans="1:8" x14ac:dyDescent="0.25">
      <c r="A22" s="122">
        <v>31702</v>
      </c>
      <c r="B22" s="122" t="s">
        <v>1430</v>
      </c>
      <c r="C22" s="162">
        <v>42238</v>
      </c>
      <c r="D22" s="122">
        <v>2</v>
      </c>
      <c r="E22" s="122" t="s">
        <v>15986</v>
      </c>
      <c r="F22" s="122" t="s">
        <v>1055</v>
      </c>
      <c r="G22" s="122" t="s">
        <v>15987</v>
      </c>
      <c r="H22" s="122" t="s">
        <v>92</v>
      </c>
    </row>
    <row r="23" spans="1:8" x14ac:dyDescent="0.25">
      <c r="A23" s="122">
        <v>31702</v>
      </c>
      <c r="B23" s="122" t="s">
        <v>1430</v>
      </c>
      <c r="C23" s="2"/>
      <c r="E23" s="122">
        <v>236773297</v>
      </c>
      <c r="F23" s="122" t="s">
        <v>373</v>
      </c>
      <c r="G23" s="122" t="s">
        <v>15988</v>
      </c>
      <c r="H23" s="122" t="s">
        <v>92</v>
      </c>
    </row>
    <row r="24" spans="1:8" x14ac:dyDescent="0.25">
      <c r="A24" s="122">
        <v>31702</v>
      </c>
      <c r="B24" s="122" t="s">
        <v>1430</v>
      </c>
      <c r="C24" s="2"/>
      <c r="E24" s="122">
        <v>236008040</v>
      </c>
      <c r="F24" s="122" t="s">
        <v>373</v>
      </c>
      <c r="G24" s="122" t="s">
        <v>15988</v>
      </c>
      <c r="H24" s="122" t="s">
        <v>92</v>
      </c>
    </row>
    <row r="25" spans="1:8" x14ac:dyDescent="0.25">
      <c r="A25" s="122">
        <v>31702</v>
      </c>
      <c r="B25" s="122" t="s">
        <v>1430</v>
      </c>
      <c r="C25" s="2"/>
      <c r="E25" s="122" t="s">
        <v>15989</v>
      </c>
      <c r="F25" s="122" t="s">
        <v>780</v>
      </c>
      <c r="G25" s="122" t="s">
        <v>15990</v>
      </c>
      <c r="H25" s="122" t="s">
        <v>92</v>
      </c>
    </row>
    <row r="26" spans="1:8" x14ac:dyDescent="0.25">
      <c r="A26" s="122">
        <v>31702</v>
      </c>
      <c r="B26" s="122" t="s">
        <v>1430</v>
      </c>
      <c r="C26" s="162">
        <v>42233</v>
      </c>
      <c r="D26" s="122">
        <v>7</v>
      </c>
      <c r="E26" s="122" t="s">
        <v>15991</v>
      </c>
      <c r="F26" s="122" t="s">
        <v>451</v>
      </c>
      <c r="G26" s="122" t="s">
        <v>15971</v>
      </c>
      <c r="H26" s="122" t="s">
        <v>92</v>
      </c>
    </row>
    <row r="27" spans="1:8" x14ac:dyDescent="0.25">
      <c r="A27" s="122">
        <v>31702</v>
      </c>
      <c r="B27" s="122" t="s">
        <v>1430</v>
      </c>
      <c r="E27" s="122" t="s">
        <v>2007</v>
      </c>
      <c r="F27" s="122" t="s">
        <v>451</v>
      </c>
      <c r="G27" s="122" t="s">
        <v>15971</v>
      </c>
      <c r="H27" s="122" t="s">
        <v>92</v>
      </c>
    </row>
    <row r="28" spans="1:8" x14ac:dyDescent="0.25">
      <c r="A28" s="122">
        <v>31702</v>
      </c>
      <c r="B28" s="122" t="s">
        <v>1430</v>
      </c>
      <c r="E28" s="122" t="s">
        <v>2130</v>
      </c>
      <c r="F28" s="122" t="s">
        <v>1253</v>
      </c>
      <c r="G28" s="122" t="s">
        <v>15992</v>
      </c>
      <c r="H28" s="122" t="s">
        <v>92</v>
      </c>
    </row>
    <row r="30" spans="1:8" x14ac:dyDescent="0.25">
      <c r="A30" s="161" t="s">
        <v>15961</v>
      </c>
      <c r="B30" s="161" t="s">
        <v>15962</v>
      </c>
      <c r="C30" s="161" t="s">
        <v>15963</v>
      </c>
      <c r="D30" s="161" t="s">
        <v>15964</v>
      </c>
      <c r="E30" s="161" t="s">
        <v>15965</v>
      </c>
      <c r="F30" s="161" t="s">
        <v>15966</v>
      </c>
      <c r="G30" s="161" t="s">
        <v>15967</v>
      </c>
      <c r="H30" s="161" t="s">
        <v>15968</v>
      </c>
    </row>
    <row r="31" spans="1:8" x14ac:dyDescent="0.25">
      <c r="A31" s="122">
        <v>31705</v>
      </c>
      <c r="B31" s="122" t="s">
        <v>2811</v>
      </c>
      <c r="C31" s="2"/>
      <c r="E31" s="122" t="s">
        <v>8663</v>
      </c>
      <c r="F31" s="122" t="s">
        <v>548</v>
      </c>
      <c r="G31" s="122" t="s">
        <v>15976</v>
      </c>
      <c r="H31" s="122" t="s">
        <v>93</v>
      </c>
    </row>
    <row r="32" spans="1:8" x14ac:dyDescent="0.25">
      <c r="A32" s="122">
        <v>31705</v>
      </c>
      <c r="B32" s="122" t="s">
        <v>2811</v>
      </c>
      <c r="C32" s="2"/>
      <c r="E32" s="122" t="s">
        <v>9002</v>
      </c>
      <c r="F32" s="122" t="s">
        <v>273</v>
      </c>
      <c r="G32" s="122" t="s">
        <v>15993</v>
      </c>
      <c r="H32" s="122" t="s">
        <v>93</v>
      </c>
    </row>
    <row r="33" spans="1:8" x14ac:dyDescent="0.25">
      <c r="A33" s="122">
        <v>31705</v>
      </c>
      <c r="B33" s="122" t="s">
        <v>2811</v>
      </c>
      <c r="C33" s="2"/>
      <c r="E33" s="122" t="s">
        <v>15994</v>
      </c>
      <c r="F33" s="122" t="s">
        <v>548</v>
      </c>
      <c r="G33" s="122" t="s">
        <v>15976</v>
      </c>
      <c r="H33" s="122" t="s">
        <v>93</v>
      </c>
    </row>
    <row r="34" spans="1:8" x14ac:dyDescent="0.25">
      <c r="A34" s="122">
        <v>31705</v>
      </c>
      <c r="B34" s="122" t="s">
        <v>2811</v>
      </c>
      <c r="C34" s="2"/>
      <c r="E34" s="122" t="s">
        <v>15995</v>
      </c>
      <c r="F34" s="122" t="s">
        <v>548</v>
      </c>
      <c r="G34" s="122" t="s">
        <v>15976</v>
      </c>
      <c r="H34" s="122" t="s">
        <v>93</v>
      </c>
    </row>
    <row r="35" spans="1:8" x14ac:dyDescent="0.25">
      <c r="A35" s="122">
        <v>31705</v>
      </c>
      <c r="B35" s="122" t="s">
        <v>2811</v>
      </c>
      <c r="E35" s="122" t="s">
        <v>2897</v>
      </c>
      <c r="F35" s="122" t="s">
        <v>548</v>
      </c>
      <c r="G35" s="122" t="s">
        <v>15976</v>
      </c>
      <c r="H35" s="122" t="s">
        <v>93</v>
      </c>
    </row>
    <row r="36" spans="1:8" x14ac:dyDescent="0.25">
      <c r="A36" s="122">
        <v>31705</v>
      </c>
      <c r="B36" s="122" t="s">
        <v>2811</v>
      </c>
      <c r="E36" s="122" t="s">
        <v>2848</v>
      </c>
      <c r="F36" s="122" t="s">
        <v>548</v>
      </c>
      <c r="G36" s="122" t="s">
        <v>15976</v>
      </c>
      <c r="H36" s="122" t="s">
        <v>93</v>
      </c>
    </row>
    <row r="37" spans="1:8" x14ac:dyDescent="0.25">
      <c r="A37" s="122">
        <v>31705</v>
      </c>
      <c r="B37" s="122" t="s">
        <v>2811</v>
      </c>
      <c r="C37" s="162">
        <v>42239</v>
      </c>
      <c r="D37" s="122">
        <v>1</v>
      </c>
      <c r="E37" s="122" t="s">
        <v>8844</v>
      </c>
      <c r="F37" s="122" t="s">
        <v>2055</v>
      </c>
      <c r="G37" s="122" t="s">
        <v>15996</v>
      </c>
      <c r="H37" s="122" t="s">
        <v>95</v>
      </c>
    </row>
    <row r="38" spans="1:8" x14ac:dyDescent="0.25">
      <c r="A38" s="122">
        <v>31705</v>
      </c>
      <c r="B38" s="122" t="s">
        <v>2811</v>
      </c>
      <c r="C38" s="2"/>
      <c r="E38" s="122">
        <v>260434869</v>
      </c>
      <c r="F38" s="122" t="s">
        <v>1240</v>
      </c>
      <c r="G38" s="122" t="s">
        <v>15985</v>
      </c>
      <c r="H38" s="122" t="s">
        <v>94</v>
      </c>
    </row>
    <row r="39" spans="1:8" x14ac:dyDescent="0.25">
      <c r="A39" s="122">
        <v>31705</v>
      </c>
      <c r="B39" s="122" t="s">
        <v>2811</v>
      </c>
      <c r="C39" s="162">
        <v>42233</v>
      </c>
      <c r="D39" s="122">
        <v>7</v>
      </c>
      <c r="E39" s="122" t="s">
        <v>15997</v>
      </c>
      <c r="F39" s="122" t="s">
        <v>451</v>
      </c>
      <c r="G39" s="122" t="s">
        <v>15971</v>
      </c>
      <c r="H39" s="122" t="s">
        <v>92</v>
      </c>
    </row>
    <row r="40" spans="1:8" x14ac:dyDescent="0.25">
      <c r="A40" s="122">
        <v>31705</v>
      </c>
      <c r="B40" s="122" t="s">
        <v>2811</v>
      </c>
      <c r="E40" s="122">
        <v>262814437</v>
      </c>
      <c r="F40" s="122" t="s">
        <v>373</v>
      </c>
      <c r="G40" s="122" t="s">
        <v>15988</v>
      </c>
      <c r="H40" s="122" t="s">
        <v>92</v>
      </c>
    </row>
    <row r="42" spans="1:8" x14ac:dyDescent="0.25">
      <c r="A42" s="161" t="s">
        <v>15961</v>
      </c>
      <c r="B42" s="161" t="s">
        <v>15962</v>
      </c>
      <c r="C42" s="161" t="s">
        <v>15963</v>
      </c>
      <c r="D42" s="161" t="s">
        <v>15964</v>
      </c>
      <c r="E42" s="161" t="s">
        <v>15965</v>
      </c>
      <c r="F42" s="161" t="s">
        <v>15966</v>
      </c>
      <c r="G42" s="161" t="s">
        <v>15967</v>
      </c>
      <c r="H42" s="161" t="s">
        <v>15968</v>
      </c>
    </row>
    <row r="43" spans="1:8" x14ac:dyDescent="0.25">
      <c r="A43" s="122">
        <v>31713</v>
      </c>
      <c r="B43" s="122" t="s">
        <v>3547</v>
      </c>
      <c r="C43" s="162">
        <v>42239</v>
      </c>
      <c r="D43" s="122">
        <v>1</v>
      </c>
      <c r="E43" s="122" t="s">
        <v>10110</v>
      </c>
      <c r="F43" s="122" t="s">
        <v>566</v>
      </c>
      <c r="G43" s="122" t="s">
        <v>15973</v>
      </c>
      <c r="H43" s="122" t="s">
        <v>93</v>
      </c>
    </row>
    <row r="44" spans="1:8" x14ac:dyDescent="0.25">
      <c r="A44" s="122">
        <v>31713</v>
      </c>
      <c r="B44" s="122" t="s">
        <v>3547</v>
      </c>
      <c r="E44" s="122" t="s">
        <v>15998</v>
      </c>
      <c r="F44" s="122" t="s">
        <v>566</v>
      </c>
      <c r="G44" s="122" t="s">
        <v>15973</v>
      </c>
      <c r="H44" s="122" t="s">
        <v>93</v>
      </c>
    </row>
    <row r="45" spans="1:8" x14ac:dyDescent="0.25">
      <c r="A45" s="122">
        <v>31713</v>
      </c>
      <c r="B45" s="122" t="s">
        <v>3547</v>
      </c>
      <c r="E45" s="122" t="s">
        <v>10042</v>
      </c>
      <c r="F45" s="122" t="s">
        <v>548</v>
      </c>
      <c r="G45" s="122" t="s">
        <v>15976</v>
      </c>
      <c r="H45" s="122" t="s">
        <v>93</v>
      </c>
    </row>
    <row r="46" spans="1:8" x14ac:dyDescent="0.25">
      <c r="A46" s="122">
        <v>31713</v>
      </c>
      <c r="B46" s="122" t="s">
        <v>3547</v>
      </c>
      <c r="E46" s="122" t="s">
        <v>15999</v>
      </c>
      <c r="F46" s="122" t="s">
        <v>548</v>
      </c>
      <c r="G46" s="122" t="s">
        <v>15976</v>
      </c>
      <c r="H46" s="122" t="s">
        <v>93</v>
      </c>
    </row>
    <row r="47" spans="1:8" x14ac:dyDescent="0.25">
      <c r="A47" s="122">
        <v>31713</v>
      </c>
      <c r="B47" s="122" t="s">
        <v>3547</v>
      </c>
      <c r="E47" s="122" t="s">
        <v>16000</v>
      </c>
      <c r="F47" s="122" t="s">
        <v>548</v>
      </c>
      <c r="G47" s="122" t="s">
        <v>15976</v>
      </c>
      <c r="H47" s="122" t="s">
        <v>93</v>
      </c>
    </row>
    <row r="48" spans="1:8" x14ac:dyDescent="0.25">
      <c r="A48" s="122">
        <v>31713</v>
      </c>
      <c r="B48" s="122" t="s">
        <v>3547</v>
      </c>
      <c r="E48" s="122" t="s">
        <v>9438</v>
      </c>
      <c r="F48" s="122" t="s">
        <v>273</v>
      </c>
      <c r="G48" s="122" t="s">
        <v>15993</v>
      </c>
      <c r="H48" s="122" t="s">
        <v>93</v>
      </c>
    </row>
    <row r="49" spans="1:8" x14ac:dyDescent="0.25">
      <c r="A49" s="122">
        <v>31713</v>
      </c>
      <c r="B49" s="122" t="s">
        <v>3547</v>
      </c>
      <c r="E49" s="122" t="s">
        <v>16001</v>
      </c>
      <c r="F49" s="122" t="s">
        <v>2526</v>
      </c>
      <c r="G49" s="122" t="s">
        <v>15970</v>
      </c>
      <c r="H49" s="122" t="s">
        <v>93</v>
      </c>
    </row>
    <row r="50" spans="1:8" x14ac:dyDescent="0.25">
      <c r="A50" s="122">
        <v>31713</v>
      </c>
      <c r="B50" s="122" t="s">
        <v>3547</v>
      </c>
      <c r="E50" s="122" t="s">
        <v>16002</v>
      </c>
      <c r="F50" s="122" t="s">
        <v>2526</v>
      </c>
      <c r="G50" s="122" t="s">
        <v>15970</v>
      </c>
      <c r="H50" s="122" t="s">
        <v>93</v>
      </c>
    </row>
    <row r="51" spans="1:8" x14ac:dyDescent="0.25">
      <c r="A51" s="122">
        <v>31713</v>
      </c>
      <c r="B51" s="122" t="s">
        <v>3547</v>
      </c>
      <c r="E51" s="122" t="s">
        <v>16003</v>
      </c>
      <c r="F51" s="122" t="s">
        <v>2526</v>
      </c>
      <c r="G51" s="122" t="s">
        <v>15970</v>
      </c>
      <c r="H51" s="122" t="s">
        <v>93</v>
      </c>
    </row>
    <row r="52" spans="1:8" x14ac:dyDescent="0.25">
      <c r="A52" s="122">
        <v>31713</v>
      </c>
      <c r="B52" s="122" t="s">
        <v>3547</v>
      </c>
      <c r="E52" s="122">
        <v>241566723</v>
      </c>
      <c r="F52" s="122" t="s">
        <v>390</v>
      </c>
      <c r="G52" s="122" t="s">
        <v>15983</v>
      </c>
      <c r="H52" s="122" t="s">
        <v>94</v>
      </c>
    </row>
    <row r="54" spans="1:8" x14ac:dyDescent="0.25">
      <c r="A54" s="161" t="s">
        <v>15961</v>
      </c>
      <c r="B54" s="161" t="s">
        <v>15962</v>
      </c>
      <c r="C54" s="161" t="s">
        <v>15963</v>
      </c>
      <c r="D54" s="161" t="s">
        <v>15964</v>
      </c>
      <c r="E54" s="161" t="s">
        <v>15965</v>
      </c>
      <c r="F54" s="161" t="s">
        <v>15966</v>
      </c>
      <c r="G54" s="161" t="s">
        <v>15967</v>
      </c>
      <c r="H54" s="161" t="s">
        <v>15968</v>
      </c>
    </row>
    <row r="55" spans="1:8" x14ac:dyDescent="0.25">
      <c r="A55" s="122">
        <v>31717</v>
      </c>
      <c r="B55" s="122" t="s">
        <v>4688</v>
      </c>
      <c r="C55" s="2"/>
      <c r="E55" s="122" t="s">
        <v>11535</v>
      </c>
      <c r="F55" s="122" t="s">
        <v>548</v>
      </c>
      <c r="G55" s="122" t="s">
        <v>15976</v>
      </c>
      <c r="H55" s="122" t="s">
        <v>93</v>
      </c>
    </row>
    <row r="56" spans="1:8" x14ac:dyDescent="0.25">
      <c r="A56" s="122">
        <v>31717</v>
      </c>
      <c r="B56" s="122" t="s">
        <v>4688</v>
      </c>
      <c r="C56" s="2"/>
      <c r="E56" s="122" t="s">
        <v>5122</v>
      </c>
      <c r="F56" s="122" t="s">
        <v>566</v>
      </c>
      <c r="G56" s="122" t="s">
        <v>15973</v>
      </c>
      <c r="H56" s="122" t="s">
        <v>93</v>
      </c>
    </row>
    <row r="57" spans="1:8" x14ac:dyDescent="0.25">
      <c r="A57" s="122">
        <v>31717</v>
      </c>
      <c r="B57" s="122" t="s">
        <v>4688</v>
      </c>
      <c r="C57" s="2"/>
      <c r="E57" s="122" t="s">
        <v>5758</v>
      </c>
      <c r="F57" s="122" t="s">
        <v>566</v>
      </c>
      <c r="G57" s="122" t="s">
        <v>15973</v>
      </c>
      <c r="H57" s="122" t="s">
        <v>93</v>
      </c>
    </row>
    <row r="58" spans="1:8" x14ac:dyDescent="0.25">
      <c r="A58" s="122">
        <v>31717</v>
      </c>
      <c r="B58" s="122" t="s">
        <v>4688</v>
      </c>
      <c r="C58" s="2"/>
      <c r="E58" s="122" t="s">
        <v>16004</v>
      </c>
      <c r="F58" s="122" t="s">
        <v>566</v>
      </c>
      <c r="G58" s="122" t="s">
        <v>15973</v>
      </c>
      <c r="H58" s="122" t="s">
        <v>93</v>
      </c>
    </row>
    <row r="59" spans="1:8" x14ac:dyDescent="0.25">
      <c r="A59" s="122">
        <v>31717</v>
      </c>
      <c r="B59" s="122" t="s">
        <v>4688</v>
      </c>
      <c r="C59" s="2"/>
      <c r="E59" s="122" t="s">
        <v>16005</v>
      </c>
      <c r="F59" s="122" t="s">
        <v>566</v>
      </c>
      <c r="G59" s="122" t="s">
        <v>15973</v>
      </c>
      <c r="H59" s="122" t="s">
        <v>93</v>
      </c>
    </row>
    <row r="60" spans="1:8" x14ac:dyDescent="0.25">
      <c r="A60" s="122">
        <v>31717</v>
      </c>
      <c r="B60" s="122" t="s">
        <v>4688</v>
      </c>
      <c r="C60" s="2"/>
      <c r="E60" s="122" t="s">
        <v>4995</v>
      </c>
      <c r="F60" s="122" t="s">
        <v>273</v>
      </c>
      <c r="G60" s="122" t="s">
        <v>15993</v>
      </c>
      <c r="H60" s="122" t="s">
        <v>93</v>
      </c>
    </row>
    <row r="61" spans="1:8" x14ac:dyDescent="0.25">
      <c r="A61" s="122">
        <v>31717</v>
      </c>
      <c r="B61" s="122" t="s">
        <v>4688</v>
      </c>
      <c r="C61" s="2"/>
      <c r="E61" s="122" t="s">
        <v>11002</v>
      </c>
      <c r="F61" s="122" t="s">
        <v>548</v>
      </c>
      <c r="G61" s="122" t="s">
        <v>15976</v>
      </c>
      <c r="H61" s="122" t="s">
        <v>93</v>
      </c>
    </row>
    <row r="62" spans="1:8" x14ac:dyDescent="0.25">
      <c r="A62" s="122">
        <v>31717</v>
      </c>
      <c r="B62" s="122" t="s">
        <v>4688</v>
      </c>
      <c r="C62" s="2"/>
      <c r="E62" s="122" t="s">
        <v>16006</v>
      </c>
      <c r="F62" s="122" t="s">
        <v>548</v>
      </c>
      <c r="G62" s="122" t="s">
        <v>15976</v>
      </c>
      <c r="H62" s="122" t="s">
        <v>93</v>
      </c>
    </row>
    <row r="63" spans="1:8" x14ac:dyDescent="0.25">
      <c r="A63" s="122">
        <v>31717</v>
      </c>
      <c r="B63" s="122" t="s">
        <v>4688</v>
      </c>
      <c r="C63" s="2"/>
      <c r="E63" s="122" t="s">
        <v>5067</v>
      </c>
      <c r="F63" s="122" t="s">
        <v>273</v>
      </c>
      <c r="G63" s="122" t="s">
        <v>15993</v>
      </c>
      <c r="H63" s="122" t="s">
        <v>93</v>
      </c>
    </row>
    <row r="64" spans="1:8" x14ac:dyDescent="0.25">
      <c r="A64" s="122">
        <v>31717</v>
      </c>
      <c r="B64" s="122" t="s">
        <v>4688</v>
      </c>
      <c r="C64" s="2"/>
      <c r="E64" s="122" t="s">
        <v>16007</v>
      </c>
      <c r="F64" s="122" t="s">
        <v>273</v>
      </c>
      <c r="G64" s="122" t="s">
        <v>15993</v>
      </c>
      <c r="H64" s="122" t="s">
        <v>93</v>
      </c>
    </row>
    <row r="65" spans="1:8" x14ac:dyDescent="0.25">
      <c r="A65" s="122">
        <v>31717</v>
      </c>
      <c r="B65" s="122" t="s">
        <v>4688</v>
      </c>
      <c r="C65" s="2"/>
      <c r="E65" s="122" t="s">
        <v>16008</v>
      </c>
      <c r="F65" s="122" t="s">
        <v>273</v>
      </c>
      <c r="G65" s="122" t="s">
        <v>15993</v>
      </c>
      <c r="H65" s="122" t="s">
        <v>93</v>
      </c>
    </row>
    <row r="66" spans="1:8" x14ac:dyDescent="0.25">
      <c r="A66" s="122">
        <v>31717</v>
      </c>
      <c r="B66" s="122" t="s">
        <v>4688</v>
      </c>
      <c r="C66" s="2"/>
      <c r="E66" s="122" t="s">
        <v>16009</v>
      </c>
      <c r="F66" s="122" t="s">
        <v>273</v>
      </c>
      <c r="G66" s="122" t="s">
        <v>15993</v>
      </c>
      <c r="H66" s="122" t="s">
        <v>93</v>
      </c>
    </row>
    <row r="67" spans="1:8" x14ac:dyDescent="0.25">
      <c r="A67" s="122">
        <v>31717</v>
      </c>
      <c r="B67" s="122" t="s">
        <v>4688</v>
      </c>
      <c r="C67" s="2"/>
      <c r="E67" s="122" t="s">
        <v>4913</v>
      </c>
      <c r="F67" s="122" t="s">
        <v>1467</v>
      </c>
      <c r="G67" s="122" t="s">
        <v>16010</v>
      </c>
      <c r="H67" s="122" t="s">
        <v>93</v>
      </c>
    </row>
    <row r="68" spans="1:8" x14ac:dyDescent="0.25">
      <c r="A68" s="122">
        <v>31717</v>
      </c>
      <c r="B68" s="122" t="s">
        <v>4688</v>
      </c>
      <c r="C68" s="2"/>
      <c r="E68" s="122" t="s">
        <v>16011</v>
      </c>
      <c r="F68" s="122" t="s">
        <v>916</v>
      </c>
      <c r="G68" s="122" t="s">
        <v>16012</v>
      </c>
      <c r="H68" s="122" t="s">
        <v>93</v>
      </c>
    </row>
    <row r="69" spans="1:8" x14ac:dyDescent="0.25">
      <c r="A69" s="122">
        <v>31717</v>
      </c>
      <c r="B69" s="122" t="s">
        <v>4688</v>
      </c>
      <c r="C69" s="2"/>
      <c r="E69" s="122" t="s">
        <v>16013</v>
      </c>
      <c r="F69" s="122" t="s">
        <v>8312</v>
      </c>
      <c r="G69" s="122" t="s">
        <v>15974</v>
      </c>
      <c r="H69" s="122" t="s">
        <v>93</v>
      </c>
    </row>
    <row r="70" spans="1:8" x14ac:dyDescent="0.25">
      <c r="A70" s="122">
        <v>31717</v>
      </c>
      <c r="B70" s="122" t="s">
        <v>4688</v>
      </c>
      <c r="C70" s="162">
        <v>42236</v>
      </c>
      <c r="D70" s="122">
        <v>4</v>
      </c>
      <c r="E70" s="122" t="s">
        <v>10559</v>
      </c>
      <c r="F70" s="122" t="s">
        <v>548</v>
      </c>
      <c r="G70" s="122" t="s">
        <v>15976</v>
      </c>
      <c r="H70" s="122" t="s">
        <v>93</v>
      </c>
    </row>
    <row r="71" spans="1:8" x14ac:dyDescent="0.25">
      <c r="A71" s="122">
        <v>31717</v>
      </c>
      <c r="B71" s="122" t="s">
        <v>4688</v>
      </c>
      <c r="C71" s="162">
        <v>42239</v>
      </c>
      <c r="D71" s="122">
        <v>1</v>
      </c>
      <c r="E71" s="122" t="s">
        <v>11064</v>
      </c>
      <c r="F71" s="122" t="s">
        <v>2038</v>
      </c>
      <c r="G71" s="122" t="s">
        <v>15996</v>
      </c>
      <c r="H71" s="122" t="s">
        <v>95</v>
      </c>
    </row>
    <row r="72" spans="1:8" x14ac:dyDescent="0.25">
      <c r="A72" s="122">
        <v>31717</v>
      </c>
      <c r="B72" s="122" t="s">
        <v>4688</v>
      </c>
      <c r="E72" s="122">
        <v>261715772</v>
      </c>
      <c r="F72" s="122" t="s">
        <v>390</v>
      </c>
      <c r="G72" s="122" t="s">
        <v>15983</v>
      </c>
      <c r="H72" s="122" t="s">
        <v>94</v>
      </c>
    </row>
    <row r="73" spans="1:8" x14ac:dyDescent="0.25">
      <c r="A73" s="122">
        <v>31717</v>
      </c>
      <c r="B73" s="122" t="s">
        <v>4688</v>
      </c>
      <c r="C73" s="2"/>
      <c r="E73" s="122">
        <v>244396334</v>
      </c>
      <c r="F73" s="122" t="s">
        <v>373</v>
      </c>
      <c r="G73" s="122" t="s">
        <v>15988</v>
      </c>
      <c r="H73" s="122" t="s">
        <v>92</v>
      </c>
    </row>
    <row r="74" spans="1:8" x14ac:dyDescent="0.25">
      <c r="A74" s="122">
        <v>31717</v>
      </c>
      <c r="B74" s="122" t="s">
        <v>4688</v>
      </c>
      <c r="C74" s="162">
        <v>42237</v>
      </c>
      <c r="D74" s="122">
        <v>3</v>
      </c>
      <c r="E74" s="122" t="s">
        <v>16014</v>
      </c>
      <c r="F74" s="122" t="s">
        <v>451</v>
      </c>
      <c r="G74" s="122" t="s">
        <v>15971</v>
      </c>
      <c r="H74" s="122" t="s">
        <v>92</v>
      </c>
    </row>
    <row r="75" spans="1:8" x14ac:dyDescent="0.25">
      <c r="A75" s="122">
        <v>31717</v>
      </c>
      <c r="B75" s="122" t="s">
        <v>4688</v>
      </c>
      <c r="C75" s="2"/>
      <c r="E75" s="122" t="s">
        <v>16015</v>
      </c>
      <c r="F75" s="122" t="s">
        <v>1055</v>
      </c>
      <c r="G75" s="122" t="s">
        <v>15987</v>
      </c>
      <c r="H75" s="122" t="s">
        <v>92</v>
      </c>
    </row>
    <row r="76" spans="1:8" x14ac:dyDescent="0.25">
      <c r="A76" s="122">
        <v>31717</v>
      </c>
      <c r="B76" s="122" t="s">
        <v>4688</v>
      </c>
      <c r="E76" s="122" t="s">
        <v>16016</v>
      </c>
      <c r="F76" s="122" t="s">
        <v>780</v>
      </c>
      <c r="G76" s="122" t="s">
        <v>15990</v>
      </c>
      <c r="H76" s="122" t="s">
        <v>92</v>
      </c>
    </row>
    <row r="79" spans="1:8" x14ac:dyDescent="0.25">
      <c r="A79" s="161" t="s">
        <v>15961</v>
      </c>
      <c r="B79" s="161" t="s">
        <v>15962</v>
      </c>
      <c r="C79" s="161" t="s">
        <v>15963</v>
      </c>
      <c r="D79" s="161" t="s">
        <v>15964</v>
      </c>
      <c r="E79" s="161" t="s">
        <v>15965</v>
      </c>
      <c r="F79" s="161" t="s">
        <v>15966</v>
      </c>
      <c r="G79" s="161" t="s">
        <v>15967</v>
      </c>
      <c r="H79" s="161" t="s">
        <v>15968</v>
      </c>
    </row>
    <row r="80" spans="1:8" x14ac:dyDescent="0.25">
      <c r="A80" s="122">
        <v>31698</v>
      </c>
      <c r="B80" s="122" t="s">
        <v>16017</v>
      </c>
      <c r="E80" s="122" t="s">
        <v>16018</v>
      </c>
      <c r="F80" s="122" t="s">
        <v>566</v>
      </c>
      <c r="G80" s="122" t="s">
        <v>15973</v>
      </c>
      <c r="H80" s="122" t="s">
        <v>93</v>
      </c>
    </row>
    <row r="81" spans="1:8" x14ac:dyDescent="0.25">
      <c r="A81" s="122">
        <v>31698</v>
      </c>
      <c r="B81" s="122" t="s">
        <v>16017</v>
      </c>
      <c r="E81" s="122" t="s">
        <v>16019</v>
      </c>
      <c r="F81" s="122" t="s">
        <v>566</v>
      </c>
      <c r="G81" s="122" t="s">
        <v>15973</v>
      </c>
      <c r="H81" s="122" t="s">
        <v>93</v>
      </c>
    </row>
    <row r="82" spans="1:8" x14ac:dyDescent="0.25">
      <c r="A82" s="122">
        <v>31698</v>
      </c>
      <c r="B82" s="122" t="s">
        <v>16017</v>
      </c>
      <c r="E82" s="122" t="s">
        <v>16020</v>
      </c>
      <c r="F82" s="122" t="s">
        <v>873</v>
      </c>
      <c r="G82" s="122" t="s">
        <v>16021</v>
      </c>
      <c r="H82" s="122" t="s">
        <v>93</v>
      </c>
    </row>
    <row r="83" spans="1:8" x14ac:dyDescent="0.25">
      <c r="A83" s="122">
        <v>31698</v>
      </c>
      <c r="B83" s="122" t="s">
        <v>16017</v>
      </c>
      <c r="E83" s="122" t="s">
        <v>16022</v>
      </c>
      <c r="F83" s="122" t="s">
        <v>566</v>
      </c>
      <c r="G83" s="122" t="s">
        <v>15973</v>
      </c>
      <c r="H83" s="122" t="s">
        <v>93</v>
      </c>
    </row>
    <row r="84" spans="1:8" x14ac:dyDescent="0.25">
      <c r="A84" s="122">
        <v>31698</v>
      </c>
      <c r="B84" s="122" t="s">
        <v>16017</v>
      </c>
      <c r="E84" s="122" t="s">
        <v>16023</v>
      </c>
      <c r="F84" s="122" t="s">
        <v>566</v>
      </c>
      <c r="G84" s="122" t="s">
        <v>15973</v>
      </c>
      <c r="H84" s="122" t="s">
        <v>93</v>
      </c>
    </row>
    <row r="85" spans="1:8" x14ac:dyDescent="0.25">
      <c r="A85" s="122">
        <v>31698</v>
      </c>
      <c r="B85" s="122" t="s">
        <v>16017</v>
      </c>
      <c r="E85" s="122" t="s">
        <v>16024</v>
      </c>
      <c r="F85" s="122" t="s">
        <v>273</v>
      </c>
      <c r="G85" s="122" t="s">
        <v>15993</v>
      </c>
      <c r="H85" s="122" t="s">
        <v>93</v>
      </c>
    </row>
    <row r="86" spans="1:8" x14ac:dyDescent="0.25">
      <c r="A86" s="122">
        <v>31698</v>
      </c>
      <c r="B86" s="122" t="s">
        <v>16017</v>
      </c>
      <c r="E86" s="122" t="s">
        <v>16025</v>
      </c>
      <c r="F86" s="122" t="s">
        <v>548</v>
      </c>
      <c r="G86" s="122" t="s">
        <v>15976</v>
      </c>
      <c r="H86" s="122" t="s">
        <v>93</v>
      </c>
    </row>
    <row r="87" spans="1:8" x14ac:dyDescent="0.25">
      <c r="A87" s="122">
        <v>31698</v>
      </c>
      <c r="B87" s="122" t="s">
        <v>16017</v>
      </c>
      <c r="E87" s="122" t="s">
        <v>16026</v>
      </c>
      <c r="F87" s="122" t="s">
        <v>273</v>
      </c>
      <c r="G87" s="122" t="s">
        <v>15993</v>
      </c>
      <c r="H87" s="122" t="s">
        <v>93</v>
      </c>
    </row>
    <row r="88" spans="1:8" x14ac:dyDescent="0.25">
      <c r="A88" s="122">
        <v>31698</v>
      </c>
      <c r="B88" s="122" t="s">
        <v>16017</v>
      </c>
      <c r="E88" s="122" t="s">
        <v>16027</v>
      </c>
      <c r="F88" s="122" t="s">
        <v>548</v>
      </c>
      <c r="G88" s="122" t="s">
        <v>15976</v>
      </c>
      <c r="H88" s="122" t="s">
        <v>93</v>
      </c>
    </row>
    <row r="89" spans="1:8" x14ac:dyDescent="0.25">
      <c r="A89" s="122">
        <v>31698</v>
      </c>
      <c r="B89" s="122" t="s">
        <v>16017</v>
      </c>
      <c r="E89" s="122" t="s">
        <v>16028</v>
      </c>
      <c r="F89" s="122" t="s">
        <v>273</v>
      </c>
      <c r="G89" s="122" t="s">
        <v>15993</v>
      </c>
      <c r="H89" s="122" t="s">
        <v>93</v>
      </c>
    </row>
    <row r="90" spans="1:8" x14ac:dyDescent="0.25">
      <c r="A90" s="122">
        <v>31698</v>
      </c>
      <c r="B90" s="122" t="s">
        <v>16017</v>
      </c>
      <c r="E90" s="122" t="s">
        <v>16029</v>
      </c>
      <c r="F90" s="122" t="s">
        <v>548</v>
      </c>
      <c r="G90" s="122" t="s">
        <v>15976</v>
      </c>
      <c r="H90" s="122" t="s">
        <v>93</v>
      </c>
    </row>
    <row r="91" spans="1:8" x14ac:dyDescent="0.25">
      <c r="A91" s="122">
        <v>31698</v>
      </c>
      <c r="B91" s="122" t="s">
        <v>16017</v>
      </c>
      <c r="E91" s="122" t="s">
        <v>16030</v>
      </c>
      <c r="F91" s="122" t="s">
        <v>273</v>
      </c>
      <c r="G91" s="122" t="s">
        <v>15993</v>
      </c>
      <c r="H91" s="122" t="s">
        <v>93</v>
      </c>
    </row>
    <row r="92" spans="1:8" x14ac:dyDescent="0.25">
      <c r="A92" s="122">
        <v>31698</v>
      </c>
      <c r="B92" s="122" t="s">
        <v>16017</v>
      </c>
      <c r="E92" s="122" t="s">
        <v>16031</v>
      </c>
      <c r="F92" s="122" t="s">
        <v>548</v>
      </c>
      <c r="G92" s="122" t="s">
        <v>15976</v>
      </c>
      <c r="H92" s="122" t="s">
        <v>93</v>
      </c>
    </row>
    <row r="93" spans="1:8" x14ac:dyDescent="0.25">
      <c r="A93" s="122">
        <v>31698</v>
      </c>
      <c r="B93" s="122" t="s">
        <v>16017</v>
      </c>
      <c r="E93" s="122" t="s">
        <v>16032</v>
      </c>
      <c r="F93" s="122" t="s">
        <v>548</v>
      </c>
      <c r="G93" s="122" t="s">
        <v>15976</v>
      </c>
      <c r="H93" s="122" t="s">
        <v>93</v>
      </c>
    </row>
    <row r="94" spans="1:8" x14ac:dyDescent="0.25">
      <c r="A94" s="122">
        <v>31698</v>
      </c>
      <c r="B94" s="122" t="s">
        <v>16017</v>
      </c>
      <c r="E94" s="122" t="s">
        <v>16033</v>
      </c>
      <c r="F94" s="122" t="s">
        <v>916</v>
      </c>
      <c r="G94" s="122" t="s">
        <v>16012</v>
      </c>
      <c r="H94" s="122" t="s">
        <v>93</v>
      </c>
    </row>
    <row r="95" spans="1:8" x14ac:dyDescent="0.25">
      <c r="A95" s="122">
        <v>31698</v>
      </c>
      <c r="B95" s="122" t="s">
        <v>16017</v>
      </c>
      <c r="E95" s="122" t="s">
        <v>16034</v>
      </c>
      <c r="F95" s="122" t="s">
        <v>916</v>
      </c>
      <c r="G95" s="122" t="s">
        <v>16012</v>
      </c>
      <c r="H95" s="122" t="s">
        <v>93</v>
      </c>
    </row>
    <row r="96" spans="1:8" x14ac:dyDescent="0.25">
      <c r="A96" s="122">
        <v>31698</v>
      </c>
      <c r="B96" s="122" t="s">
        <v>16017</v>
      </c>
      <c r="E96" s="122" t="s">
        <v>16035</v>
      </c>
      <c r="F96" s="122" t="s">
        <v>8312</v>
      </c>
      <c r="G96" s="122" t="s">
        <v>15974</v>
      </c>
      <c r="H96" s="122" t="s">
        <v>93</v>
      </c>
    </row>
    <row r="97" spans="1:8" x14ac:dyDescent="0.25">
      <c r="A97" s="122">
        <v>31698</v>
      </c>
      <c r="B97" s="122" t="s">
        <v>16017</v>
      </c>
      <c r="E97" s="122" t="s">
        <v>16036</v>
      </c>
      <c r="F97" s="122" t="s">
        <v>8312</v>
      </c>
      <c r="G97" s="122" t="s">
        <v>15974</v>
      </c>
      <c r="H97" s="122" t="s">
        <v>93</v>
      </c>
    </row>
    <row r="98" spans="1:8" x14ac:dyDescent="0.25">
      <c r="A98" s="122">
        <v>31698</v>
      </c>
      <c r="B98" s="122" t="s">
        <v>16017</v>
      </c>
      <c r="E98" s="122" t="s">
        <v>16037</v>
      </c>
      <c r="F98" s="122" t="s">
        <v>8312</v>
      </c>
      <c r="G98" s="122" t="s">
        <v>15974</v>
      </c>
      <c r="H98" s="122" t="s">
        <v>93</v>
      </c>
    </row>
    <row r="99" spans="1:8" x14ac:dyDescent="0.25">
      <c r="A99" s="122">
        <v>31698</v>
      </c>
      <c r="B99" s="122" t="s">
        <v>16017</v>
      </c>
      <c r="E99" s="122" t="s">
        <v>16038</v>
      </c>
      <c r="F99" s="122" t="s">
        <v>2526</v>
      </c>
      <c r="G99" s="122" t="s">
        <v>15970</v>
      </c>
      <c r="H99" s="122" t="s">
        <v>93</v>
      </c>
    </row>
    <row r="100" spans="1:8" x14ac:dyDescent="0.25">
      <c r="A100" s="122">
        <v>31698</v>
      </c>
      <c r="B100" s="122" t="s">
        <v>16017</v>
      </c>
      <c r="E100" s="122" t="s">
        <v>16039</v>
      </c>
      <c r="F100" s="122" t="s">
        <v>2526</v>
      </c>
      <c r="G100" s="122" t="s">
        <v>15970</v>
      </c>
      <c r="H100" s="122" t="s">
        <v>93</v>
      </c>
    </row>
    <row r="101" spans="1:8" x14ac:dyDescent="0.25">
      <c r="A101" s="122">
        <v>31698</v>
      </c>
      <c r="B101" s="122" t="s">
        <v>16017</v>
      </c>
      <c r="E101" s="122" t="s">
        <v>16040</v>
      </c>
      <c r="F101" s="122" t="s">
        <v>16041</v>
      </c>
      <c r="G101" s="122" t="s">
        <v>16042</v>
      </c>
      <c r="H101" s="122" t="s">
        <v>93</v>
      </c>
    </row>
    <row r="102" spans="1:8" x14ac:dyDescent="0.25">
      <c r="A102" s="122">
        <v>31698</v>
      </c>
      <c r="B102" s="122" t="s">
        <v>16017</v>
      </c>
      <c r="E102" s="122" t="s">
        <v>16043</v>
      </c>
      <c r="F102" s="122" t="s">
        <v>2526</v>
      </c>
      <c r="G102" s="122" t="s">
        <v>15970</v>
      </c>
      <c r="H102" s="122" t="s">
        <v>93</v>
      </c>
    </row>
    <row r="103" spans="1:8" x14ac:dyDescent="0.25">
      <c r="A103" s="122">
        <v>31698</v>
      </c>
      <c r="B103" s="122" t="s">
        <v>16017</v>
      </c>
      <c r="E103" s="122" t="s">
        <v>16044</v>
      </c>
      <c r="F103" s="122" t="s">
        <v>2526</v>
      </c>
      <c r="G103" s="122" t="s">
        <v>15970</v>
      </c>
      <c r="H103" s="122" t="s">
        <v>93</v>
      </c>
    </row>
    <row r="104" spans="1:8" x14ac:dyDescent="0.25">
      <c r="A104" s="122">
        <v>31698</v>
      </c>
      <c r="B104" s="122" t="s">
        <v>16017</v>
      </c>
      <c r="E104" s="122">
        <v>236877655</v>
      </c>
      <c r="F104" s="122" t="s">
        <v>1240</v>
      </c>
      <c r="G104" s="122" t="s">
        <v>15985</v>
      </c>
      <c r="H104" s="122" t="s">
        <v>94</v>
      </c>
    </row>
    <row r="105" spans="1:8" x14ac:dyDescent="0.25">
      <c r="A105" s="122">
        <v>31698</v>
      </c>
      <c r="B105" s="122" t="s">
        <v>16017</v>
      </c>
      <c r="E105" s="122">
        <v>236996148</v>
      </c>
      <c r="F105" s="122" t="s">
        <v>1240</v>
      </c>
      <c r="G105" s="122" t="s">
        <v>15985</v>
      </c>
      <c r="H105" s="122" t="s">
        <v>94</v>
      </c>
    </row>
    <row r="106" spans="1:8" x14ac:dyDescent="0.25">
      <c r="A106" s="122">
        <v>31698</v>
      </c>
      <c r="B106" s="122" t="s">
        <v>16017</v>
      </c>
      <c r="E106" s="122">
        <v>248399953</v>
      </c>
      <c r="F106" s="122" t="s">
        <v>390</v>
      </c>
      <c r="G106" s="122" t="s">
        <v>15983</v>
      </c>
      <c r="H106" s="122" t="s">
        <v>94</v>
      </c>
    </row>
    <row r="107" spans="1:8" x14ac:dyDescent="0.25">
      <c r="A107" s="122">
        <v>31698</v>
      </c>
      <c r="B107" s="122" t="s">
        <v>16017</v>
      </c>
      <c r="E107" s="122">
        <v>267226942</v>
      </c>
      <c r="F107" s="122" t="s">
        <v>1240</v>
      </c>
      <c r="G107" s="122" t="s">
        <v>15985</v>
      </c>
      <c r="H107" s="122" t="s">
        <v>94</v>
      </c>
    </row>
    <row r="108" spans="1:8" x14ac:dyDescent="0.25">
      <c r="A108" s="122">
        <v>31698</v>
      </c>
      <c r="B108" s="122" t="s">
        <v>16017</v>
      </c>
      <c r="E108" s="122" t="s">
        <v>16045</v>
      </c>
      <c r="F108" s="122" t="s">
        <v>1102</v>
      </c>
      <c r="G108" s="122" t="s">
        <v>16046</v>
      </c>
      <c r="H108" s="122" t="s">
        <v>94</v>
      </c>
    </row>
    <row r="109" spans="1:8" x14ac:dyDescent="0.25">
      <c r="A109" s="122">
        <v>31698</v>
      </c>
      <c r="B109" s="122" t="s">
        <v>16017</v>
      </c>
      <c r="C109" s="162">
        <v>42240</v>
      </c>
      <c r="D109" s="122">
        <v>0</v>
      </c>
      <c r="E109" s="122" t="s">
        <v>16047</v>
      </c>
      <c r="F109" s="122" t="s">
        <v>6941</v>
      </c>
      <c r="G109" s="122" t="s">
        <v>16048</v>
      </c>
      <c r="H109" s="122" t="s">
        <v>92</v>
      </c>
    </row>
    <row r="110" spans="1:8" x14ac:dyDescent="0.25">
      <c r="A110" s="122">
        <v>31698</v>
      </c>
      <c r="B110" s="122" t="s">
        <v>16017</v>
      </c>
      <c r="E110" s="122" t="s">
        <v>16049</v>
      </c>
      <c r="F110" s="122" t="s">
        <v>451</v>
      </c>
      <c r="G110" s="122" t="s">
        <v>15971</v>
      </c>
      <c r="H110" s="122" t="s">
        <v>92</v>
      </c>
    </row>
    <row r="111" spans="1:8" x14ac:dyDescent="0.25">
      <c r="A111" s="122">
        <v>31698</v>
      </c>
      <c r="B111" s="122" t="s">
        <v>16017</v>
      </c>
      <c r="E111" s="122" t="s">
        <v>16050</v>
      </c>
      <c r="F111" s="122" t="s">
        <v>451</v>
      </c>
      <c r="G111" s="122" t="s">
        <v>15971</v>
      </c>
      <c r="H111" s="122" t="s">
        <v>92</v>
      </c>
    </row>
    <row r="112" spans="1:8" x14ac:dyDescent="0.25">
      <c r="A112" s="122">
        <v>31698</v>
      </c>
      <c r="B112" s="122" t="s">
        <v>16017</v>
      </c>
      <c r="E112" s="122" t="s">
        <v>16051</v>
      </c>
      <c r="F112" s="122" t="s">
        <v>451</v>
      </c>
      <c r="G112" s="122" t="s">
        <v>15971</v>
      </c>
      <c r="H112" s="122" t="s">
        <v>92</v>
      </c>
    </row>
    <row r="113" spans="1:8" x14ac:dyDescent="0.25">
      <c r="A113" s="122">
        <v>31698</v>
      </c>
      <c r="B113" s="122" t="s">
        <v>16017</v>
      </c>
      <c r="E113" s="122">
        <v>262101230</v>
      </c>
      <c r="F113" s="122" t="s">
        <v>494</v>
      </c>
      <c r="G113" s="122" t="s">
        <v>16052</v>
      </c>
      <c r="H113" s="122" t="s">
        <v>92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Reference"/>
  <dimension ref="A1:AS139"/>
  <sheetViews>
    <sheetView topLeftCell="A6" zoomScaleNormal="100" workbookViewId="0">
      <selection activeCell="D20" sqref="D20"/>
    </sheetView>
  </sheetViews>
  <sheetFormatPr defaultRowHeight="15" x14ac:dyDescent="0.25"/>
  <cols>
    <col min="1" max="1" width="15.5703125" style="5" customWidth="1"/>
    <col min="2" max="2" width="10.7109375" style="5" customWidth="1"/>
    <col min="3" max="3" width="6.42578125" style="5" customWidth="1"/>
    <col min="4" max="5" width="16.7109375" style="5" customWidth="1"/>
    <col min="6" max="6" width="5.5703125" style="5" customWidth="1"/>
    <col min="7" max="8" width="16.7109375" style="5" customWidth="1"/>
    <col min="9" max="9" width="9.140625" style="5" customWidth="1"/>
    <col min="10" max="16" width="11.85546875" style="5" customWidth="1"/>
    <col min="17" max="17" width="1.5703125" style="5" customWidth="1"/>
    <col min="18" max="24" width="11.85546875" style="5" customWidth="1"/>
    <col min="25" max="25" width="1.5703125" style="5" customWidth="1"/>
    <col min="26" max="32" width="11.85546875" style="5" customWidth="1"/>
    <col min="33" max="33" width="1.5703125" style="5" customWidth="1"/>
    <col min="34" max="40" width="11.85546875" style="5" customWidth="1"/>
    <col min="41" max="41" width="1.5703125" style="5" customWidth="1"/>
    <col min="42" max="45" width="11.85546875" style="5" customWidth="1"/>
    <col min="46" max="16384" width="9.140625" style="5"/>
  </cols>
  <sheetData>
    <row r="1" spans="1:45" ht="15.75" thickBot="1" x14ac:dyDescent="0.3">
      <c r="J1" s="35" t="s">
        <v>82</v>
      </c>
      <c r="K1" s="36"/>
      <c r="L1" s="36"/>
      <c r="M1" s="36"/>
      <c r="N1" s="36"/>
      <c r="O1" s="36"/>
      <c r="P1" s="37"/>
      <c r="Q1" s="32"/>
      <c r="R1" s="44" t="s">
        <v>83</v>
      </c>
      <c r="S1" s="45"/>
      <c r="T1" s="45"/>
      <c r="U1" s="45"/>
      <c r="V1" s="45"/>
      <c r="W1" s="45"/>
      <c r="X1" s="46"/>
      <c r="Y1" s="31"/>
      <c r="Z1" s="35" t="s">
        <v>84</v>
      </c>
      <c r="AA1" s="36"/>
      <c r="AB1" s="36"/>
      <c r="AC1" s="36"/>
      <c r="AD1" s="36"/>
      <c r="AE1" s="36"/>
      <c r="AF1" s="37"/>
      <c r="AG1" s="31"/>
      <c r="AH1" s="44" t="s">
        <v>85</v>
      </c>
      <c r="AI1" s="45"/>
      <c r="AJ1" s="45"/>
      <c r="AK1" s="45"/>
      <c r="AL1" s="45"/>
      <c r="AM1" s="45"/>
      <c r="AN1" s="46"/>
      <c r="AO1" s="31"/>
      <c r="AP1" s="113" t="s">
        <v>96</v>
      </c>
      <c r="AQ1" s="114"/>
      <c r="AR1" s="114"/>
      <c r="AS1" s="115"/>
    </row>
    <row r="2" spans="1:45" ht="15.75" thickBot="1" x14ac:dyDescent="0.3">
      <c r="A2" s="218" t="s">
        <v>105</v>
      </c>
      <c r="B2" s="219"/>
      <c r="C2" s="11"/>
      <c r="D2" s="218" t="s">
        <v>113</v>
      </c>
      <c r="E2" s="219"/>
      <c r="F2" s="11"/>
      <c r="G2" s="218"/>
      <c r="H2" s="219"/>
      <c r="J2" s="40" t="s">
        <v>16</v>
      </c>
      <c r="K2" s="42" t="s">
        <v>17</v>
      </c>
      <c r="L2" s="42" t="s">
        <v>18</v>
      </c>
      <c r="M2" s="42" t="s">
        <v>19</v>
      </c>
      <c r="N2" s="42" t="s">
        <v>20</v>
      </c>
      <c r="O2" s="42" t="s">
        <v>21</v>
      </c>
      <c r="P2" s="38" t="s">
        <v>22</v>
      </c>
      <c r="Q2" s="33"/>
      <c r="R2" s="49" t="s">
        <v>16</v>
      </c>
      <c r="S2" s="51" t="s">
        <v>17</v>
      </c>
      <c r="T2" s="51" t="s">
        <v>18</v>
      </c>
      <c r="U2" s="51" t="s">
        <v>19</v>
      </c>
      <c r="V2" s="51" t="s">
        <v>20</v>
      </c>
      <c r="W2" s="51" t="s">
        <v>21</v>
      </c>
      <c r="X2" s="47" t="s">
        <v>22</v>
      </c>
      <c r="Y2" s="32"/>
      <c r="Z2" s="40" t="s">
        <v>16</v>
      </c>
      <c r="AA2" s="42" t="s">
        <v>17</v>
      </c>
      <c r="AB2" s="42" t="s">
        <v>18</v>
      </c>
      <c r="AC2" s="42" t="s">
        <v>19</v>
      </c>
      <c r="AD2" s="42" t="s">
        <v>20</v>
      </c>
      <c r="AE2" s="42" t="s">
        <v>21</v>
      </c>
      <c r="AF2" s="38" t="s">
        <v>22</v>
      </c>
      <c r="AG2" s="32"/>
      <c r="AH2" s="49" t="s">
        <v>16</v>
      </c>
      <c r="AI2" s="51" t="s">
        <v>17</v>
      </c>
      <c r="AJ2" s="51" t="s">
        <v>18</v>
      </c>
      <c r="AK2" s="51" t="s">
        <v>19</v>
      </c>
      <c r="AL2" s="51" t="s">
        <v>20</v>
      </c>
      <c r="AM2" s="51" t="s">
        <v>21</v>
      </c>
      <c r="AN2" s="47" t="s">
        <v>22</v>
      </c>
      <c r="AO2" s="32"/>
      <c r="AP2" s="116" t="s">
        <v>97</v>
      </c>
      <c r="AQ2" s="117"/>
      <c r="AR2" s="117"/>
      <c r="AS2" s="118"/>
    </row>
    <row r="3" spans="1:45" ht="15.75" thickBot="1" x14ac:dyDescent="0.3">
      <c r="A3" s="6" t="s">
        <v>58</v>
      </c>
      <c r="B3" s="7">
        <f>COUNTA(UserInput!F5:F24)</f>
        <v>6</v>
      </c>
      <c r="C3" s="9"/>
      <c r="D3" s="6" t="s">
        <v>56</v>
      </c>
      <c r="E3" s="24">
        <f>UserInput!F4</f>
        <v>34</v>
      </c>
      <c r="F3" s="9"/>
      <c r="G3" s="6"/>
      <c r="H3" s="7"/>
      <c r="J3" s="41">
        <f>$E$6</f>
        <v>42233</v>
      </c>
      <c r="K3" s="43">
        <f>$E$6+1</f>
        <v>42234</v>
      </c>
      <c r="L3" s="43">
        <f>$E$6+2</f>
        <v>42235</v>
      </c>
      <c r="M3" s="43">
        <f>$E$6+3</f>
        <v>42236</v>
      </c>
      <c r="N3" s="43">
        <f>$E$6+4</f>
        <v>42237</v>
      </c>
      <c r="O3" s="43">
        <f>$E$6+5</f>
        <v>42238</v>
      </c>
      <c r="P3" s="39">
        <f>$E$6+6</f>
        <v>42239</v>
      </c>
      <c r="Q3" s="34"/>
      <c r="R3" s="50">
        <f>$E$6</f>
        <v>42233</v>
      </c>
      <c r="S3" s="52">
        <f>$E$6+1</f>
        <v>42234</v>
      </c>
      <c r="T3" s="52">
        <f>$E$6+2</f>
        <v>42235</v>
      </c>
      <c r="U3" s="52">
        <f>$E$6+3</f>
        <v>42236</v>
      </c>
      <c r="V3" s="52">
        <f>$E$6+4</f>
        <v>42237</v>
      </c>
      <c r="W3" s="52">
        <f>$E$6+5</f>
        <v>42238</v>
      </c>
      <c r="X3" s="48">
        <f>$E$6+6</f>
        <v>42239</v>
      </c>
      <c r="Y3" s="33"/>
      <c r="Z3" s="41">
        <f>$E$6</f>
        <v>42233</v>
      </c>
      <c r="AA3" s="43">
        <f>$E$6+1</f>
        <v>42234</v>
      </c>
      <c r="AB3" s="43">
        <f>$E$6+2</f>
        <v>42235</v>
      </c>
      <c r="AC3" s="43">
        <f>$E$6+3</f>
        <v>42236</v>
      </c>
      <c r="AD3" s="43">
        <f>$E$6+4</f>
        <v>42237</v>
      </c>
      <c r="AE3" s="43">
        <f>$E$6+5</f>
        <v>42238</v>
      </c>
      <c r="AF3" s="39">
        <f>$E$6+6</f>
        <v>42239</v>
      </c>
      <c r="AG3" s="33"/>
      <c r="AH3" s="50">
        <f>$E$6</f>
        <v>42233</v>
      </c>
      <c r="AI3" s="52">
        <f>$E$6+1</f>
        <v>42234</v>
      </c>
      <c r="AJ3" s="52">
        <f>$E$6+2</f>
        <v>42235</v>
      </c>
      <c r="AK3" s="52">
        <f>$E$6+3</f>
        <v>42236</v>
      </c>
      <c r="AL3" s="52">
        <f>$E$6+4</f>
        <v>42237</v>
      </c>
      <c r="AM3" s="52">
        <f>$E$6+5</f>
        <v>42238</v>
      </c>
      <c r="AN3" s="48">
        <f>$E$6+6</f>
        <v>42239</v>
      </c>
      <c r="AO3" s="33"/>
      <c r="AP3" s="119" t="s">
        <v>93</v>
      </c>
      <c r="AQ3" s="120" t="s">
        <v>95</v>
      </c>
      <c r="AR3" s="120" t="s">
        <v>94</v>
      </c>
      <c r="AS3" s="121" t="s">
        <v>92</v>
      </c>
    </row>
    <row r="4" spans="1:45" ht="15.75" thickBot="1" x14ac:dyDescent="0.3">
      <c r="A4" s="6" t="s">
        <v>23</v>
      </c>
      <c r="B4" s="7" t="str">
        <f>IF(UserInput!F5="","",UserInput!F5)</f>
        <v>31701</v>
      </c>
      <c r="C4" s="9"/>
      <c r="D4" s="6" t="s">
        <v>52</v>
      </c>
      <c r="E4" s="26">
        <f>VLOOKUP(E3,Table2[],4)</f>
        <v>42219</v>
      </c>
      <c r="F4" s="9"/>
      <c r="G4" s="6"/>
      <c r="H4" s="7"/>
      <c r="J4" s="93">
        <f t="shared" ref="J4:P4" si="0">SUM(J$5:J$100)</f>
        <v>0</v>
      </c>
      <c r="K4" s="94">
        <f t="shared" si="0"/>
        <v>0</v>
      </c>
      <c r="L4" s="94">
        <f t="shared" si="0"/>
        <v>0</v>
      </c>
      <c r="M4" s="94">
        <f t="shared" si="0"/>
        <v>0</v>
      </c>
      <c r="N4" s="94">
        <f t="shared" si="0"/>
        <v>0</v>
      </c>
      <c r="O4" s="94">
        <f t="shared" si="0"/>
        <v>0</v>
      </c>
      <c r="P4" s="95">
        <f t="shared" si="0"/>
        <v>0</v>
      </c>
      <c r="Q4" s="34"/>
      <c r="R4" s="99">
        <f>COUNTA(R$5:R$100)</f>
        <v>0</v>
      </c>
      <c r="S4" s="100">
        <f t="shared" ref="S4:X4" si="1">COUNTA(S$5:S$100)</f>
        <v>0</v>
      </c>
      <c r="T4" s="100">
        <f t="shared" si="1"/>
        <v>0</v>
      </c>
      <c r="U4" s="100">
        <f t="shared" si="1"/>
        <v>0</v>
      </c>
      <c r="V4" s="100">
        <f t="shared" si="1"/>
        <v>0</v>
      </c>
      <c r="W4" s="100">
        <f t="shared" si="1"/>
        <v>0</v>
      </c>
      <c r="X4" s="101">
        <f t="shared" si="1"/>
        <v>0</v>
      </c>
      <c r="Y4" s="34"/>
      <c r="Z4" s="96">
        <f>SUM(Z$5:Z$100)</f>
        <v>0</v>
      </c>
      <c r="AA4" s="97">
        <f t="shared" ref="AA4:AF4" si="2">SUM(AA$5:AA$100)</f>
        <v>0</v>
      </c>
      <c r="AB4" s="97">
        <f t="shared" si="2"/>
        <v>0</v>
      </c>
      <c r="AC4" s="97">
        <f t="shared" si="2"/>
        <v>0</v>
      </c>
      <c r="AD4" s="97">
        <f t="shared" si="2"/>
        <v>0</v>
      </c>
      <c r="AE4" s="97">
        <f t="shared" si="2"/>
        <v>0</v>
      </c>
      <c r="AF4" s="98">
        <f t="shared" si="2"/>
        <v>0</v>
      </c>
      <c r="AG4" s="34"/>
      <c r="AH4" s="99">
        <f t="shared" ref="AH4:AS4" si="3">COUNTA(AH$5:AH$100)</f>
        <v>0</v>
      </c>
      <c r="AI4" s="100">
        <f t="shared" si="3"/>
        <v>0</v>
      </c>
      <c r="AJ4" s="100">
        <f t="shared" si="3"/>
        <v>0</v>
      </c>
      <c r="AK4" s="100">
        <f t="shared" si="3"/>
        <v>0</v>
      </c>
      <c r="AL4" s="100">
        <f t="shared" si="3"/>
        <v>0</v>
      </c>
      <c r="AM4" s="100">
        <f t="shared" si="3"/>
        <v>0</v>
      </c>
      <c r="AN4" s="101">
        <f t="shared" si="3"/>
        <v>0</v>
      </c>
      <c r="AO4" s="34"/>
      <c r="AP4" s="99">
        <f t="shared" si="3"/>
        <v>0</v>
      </c>
      <c r="AQ4" s="100">
        <f t="shared" si="3"/>
        <v>0</v>
      </c>
      <c r="AR4" s="100">
        <f t="shared" si="3"/>
        <v>0</v>
      </c>
      <c r="AS4" s="112">
        <f t="shared" si="3"/>
        <v>0</v>
      </c>
    </row>
    <row r="5" spans="1:45" x14ac:dyDescent="0.25">
      <c r="A5" s="6" t="s">
        <v>24</v>
      </c>
      <c r="B5" s="7" t="str">
        <f>IF(UserInput!F6="","",UserInput!F6)</f>
        <v>31702</v>
      </c>
      <c r="C5" s="9"/>
      <c r="D5" s="6" t="s">
        <v>53</v>
      </c>
      <c r="E5" s="26">
        <f>VLOOKUP(E3,Table2[],5)</f>
        <v>42226</v>
      </c>
      <c r="F5" s="9"/>
      <c r="G5" s="6"/>
      <c r="H5" s="7"/>
      <c r="J5" s="102"/>
      <c r="K5" s="102"/>
      <c r="L5" s="102"/>
      <c r="M5" s="102"/>
      <c r="N5" s="102"/>
      <c r="O5" s="102"/>
      <c r="P5" s="102"/>
      <c r="Q5" s="103"/>
      <c r="R5" s="105"/>
      <c r="S5" s="105"/>
      <c r="T5" s="105"/>
      <c r="U5" s="105"/>
      <c r="V5" s="105"/>
      <c r="W5" s="105"/>
      <c r="X5" s="105"/>
      <c r="Y5" s="103"/>
      <c r="Z5" s="102"/>
      <c r="AA5" s="102"/>
      <c r="AB5" s="102"/>
      <c r="AC5" s="102"/>
      <c r="AD5" s="102"/>
      <c r="AE5" s="102"/>
      <c r="AF5" s="102"/>
      <c r="AG5" s="103"/>
      <c r="AH5" s="105"/>
      <c r="AI5" s="105"/>
      <c r="AJ5" s="105"/>
      <c r="AK5" s="105"/>
      <c r="AL5" s="105"/>
      <c r="AM5" s="105"/>
      <c r="AN5" s="105"/>
      <c r="AO5" s="103"/>
      <c r="AP5" s="105"/>
      <c r="AQ5" s="105"/>
      <c r="AR5" s="105"/>
      <c r="AS5" s="105"/>
    </row>
    <row r="6" spans="1:45" x14ac:dyDescent="0.25">
      <c r="A6" s="6" t="s">
        <v>25</v>
      </c>
      <c r="B6" s="7" t="str">
        <f>IF(UserInput!F7="","",UserInput!F7)</f>
        <v>31705</v>
      </c>
      <c r="C6" s="9"/>
      <c r="D6" s="6" t="s">
        <v>54</v>
      </c>
      <c r="E6" s="26">
        <f>VLOOKUP(E3,Table2[],6)</f>
        <v>42233</v>
      </c>
      <c r="F6" s="9"/>
      <c r="G6" s="6"/>
      <c r="H6" s="7"/>
      <c r="J6" s="102"/>
      <c r="K6" s="102"/>
      <c r="L6" s="102"/>
      <c r="M6" s="102"/>
      <c r="N6" s="102"/>
      <c r="O6" s="102"/>
      <c r="P6" s="102"/>
      <c r="Q6" s="103"/>
      <c r="R6" s="105"/>
      <c r="S6" s="105"/>
      <c r="T6" s="105"/>
      <c r="U6" s="105"/>
      <c r="V6" s="105"/>
      <c r="W6" s="105"/>
      <c r="X6" s="105"/>
      <c r="Y6" s="103"/>
      <c r="Z6" s="102"/>
      <c r="AA6" s="102"/>
      <c r="AB6" s="102"/>
      <c r="AC6" s="102"/>
      <c r="AD6" s="102"/>
      <c r="AE6" s="102"/>
      <c r="AF6" s="102"/>
      <c r="AG6" s="103"/>
      <c r="AH6" s="105"/>
      <c r="AI6" s="105"/>
      <c r="AJ6" s="105"/>
      <c r="AK6" s="105"/>
      <c r="AL6" s="105"/>
      <c r="AM6" s="105"/>
      <c r="AN6" s="105"/>
      <c r="AO6" s="103"/>
      <c r="AP6" s="105"/>
      <c r="AQ6" s="105"/>
      <c r="AR6" s="105"/>
      <c r="AS6" s="105"/>
    </row>
    <row r="7" spans="1:45" x14ac:dyDescent="0.25">
      <c r="A7" s="6" t="s">
        <v>26</v>
      </c>
      <c r="B7" s="7" t="str">
        <f>IF(UserInput!F8="","",UserInput!F8)</f>
        <v>31713</v>
      </c>
      <c r="C7" s="9"/>
      <c r="D7" s="6" t="s">
        <v>55</v>
      </c>
      <c r="E7" s="26">
        <f>VLOOKUP(E3,Table2[],7)</f>
        <v>42226</v>
      </c>
      <c r="F7" s="21"/>
      <c r="G7" s="6"/>
      <c r="H7" s="7"/>
      <c r="J7" s="102"/>
      <c r="K7" s="102"/>
      <c r="L7" s="102"/>
      <c r="M7" s="102"/>
      <c r="N7" s="102"/>
      <c r="O7" s="102"/>
      <c r="P7" s="102"/>
      <c r="Q7" s="103"/>
      <c r="R7" s="105"/>
      <c r="S7" s="105"/>
      <c r="T7" s="105"/>
      <c r="U7" s="105"/>
      <c r="V7" s="105"/>
      <c r="W7" s="105"/>
      <c r="X7" s="105"/>
      <c r="Y7" s="103"/>
      <c r="Z7" s="102"/>
      <c r="AA7" s="102"/>
      <c r="AB7" s="102"/>
      <c r="AC7" s="102"/>
      <c r="AD7" s="102"/>
      <c r="AE7" s="102"/>
      <c r="AF7" s="102"/>
      <c r="AG7" s="103"/>
      <c r="AH7" s="105"/>
      <c r="AI7" s="105"/>
      <c r="AJ7" s="105"/>
      <c r="AK7" s="105"/>
      <c r="AL7" s="105"/>
      <c r="AM7" s="105"/>
      <c r="AN7" s="105"/>
      <c r="AO7" s="103"/>
      <c r="AP7" s="105"/>
      <c r="AQ7" s="105"/>
      <c r="AR7" s="105"/>
      <c r="AS7" s="105"/>
    </row>
    <row r="8" spans="1:45" x14ac:dyDescent="0.25">
      <c r="A8" s="6" t="s">
        <v>27</v>
      </c>
      <c r="B8" s="7" t="str">
        <f>IF(UserInput!F9="","",UserInput!F9)</f>
        <v>31717</v>
      </c>
      <c r="C8" s="9"/>
      <c r="D8" s="6" t="s">
        <v>106</v>
      </c>
      <c r="E8" s="26">
        <f>E6</f>
        <v>42233</v>
      </c>
      <c r="F8" s="9"/>
      <c r="G8" s="6"/>
      <c r="H8" s="7"/>
      <c r="J8" s="102"/>
      <c r="K8" s="102"/>
      <c r="L8" s="102"/>
      <c r="M8" s="102"/>
      <c r="N8" s="102"/>
      <c r="O8" s="102"/>
      <c r="P8" s="102"/>
      <c r="Q8" s="103"/>
      <c r="R8" s="105"/>
      <c r="S8" s="105"/>
      <c r="T8" s="105"/>
      <c r="U8" s="105"/>
      <c r="V8" s="105"/>
      <c r="W8" s="105"/>
      <c r="X8" s="105"/>
      <c r="Y8" s="103"/>
      <c r="Z8" s="102"/>
      <c r="AA8" s="102"/>
      <c r="AB8" s="102"/>
      <c r="AC8" s="102"/>
      <c r="AD8" s="102"/>
      <c r="AE8" s="102"/>
      <c r="AF8" s="102"/>
      <c r="AG8" s="103"/>
      <c r="AH8" s="105"/>
      <c r="AI8" s="105"/>
      <c r="AJ8" s="105"/>
      <c r="AK8" s="105"/>
      <c r="AL8" s="105"/>
      <c r="AM8" s="105"/>
      <c r="AN8" s="105"/>
      <c r="AO8" s="103"/>
      <c r="AP8" s="105"/>
      <c r="AQ8" s="105"/>
      <c r="AR8" s="105"/>
      <c r="AS8" s="105"/>
    </row>
    <row r="9" spans="1:45" x14ac:dyDescent="0.25">
      <c r="A9" s="6" t="s">
        <v>28</v>
      </c>
      <c r="B9" s="7" t="str">
        <f>IF(UserInput!F10="","",UserInput!F10)</f>
        <v>31706</v>
      </c>
      <c r="C9" s="9"/>
      <c r="D9" s="6" t="s">
        <v>107</v>
      </c>
      <c r="E9" s="26">
        <f t="shared" ref="E9:E14" si="4">E8+1</f>
        <v>42234</v>
      </c>
      <c r="F9" s="9"/>
      <c r="G9" s="6"/>
      <c r="H9" s="7"/>
      <c r="J9" s="102"/>
      <c r="K9" s="102"/>
      <c r="L9" s="102"/>
      <c r="M9" s="102"/>
      <c r="N9" s="102"/>
      <c r="O9" s="102"/>
      <c r="P9" s="102"/>
      <c r="Q9" s="103"/>
      <c r="R9" s="105"/>
      <c r="S9" s="105"/>
      <c r="T9" s="105"/>
      <c r="U9" s="105"/>
      <c r="V9" s="105"/>
      <c r="W9" s="105"/>
      <c r="X9" s="105"/>
      <c r="Y9" s="103"/>
      <c r="Z9" s="102"/>
      <c r="AA9" s="102"/>
      <c r="AB9" s="102"/>
      <c r="AC9" s="102"/>
      <c r="AD9" s="102"/>
      <c r="AE9" s="102"/>
      <c r="AF9" s="102"/>
      <c r="AG9" s="103"/>
      <c r="AH9" s="105"/>
      <c r="AI9" s="105"/>
      <c r="AJ9" s="105"/>
      <c r="AK9" s="105"/>
      <c r="AL9" s="105"/>
      <c r="AM9" s="105"/>
      <c r="AN9" s="105"/>
      <c r="AO9" s="103"/>
      <c r="AP9" s="105"/>
      <c r="AQ9" s="105"/>
      <c r="AR9" s="105"/>
      <c r="AS9" s="105"/>
    </row>
    <row r="10" spans="1:45" x14ac:dyDescent="0.25">
      <c r="A10" s="6" t="s">
        <v>29</v>
      </c>
      <c r="B10" s="7" t="str">
        <f>IF(UserInput!F11="","",UserInput!F11)</f>
        <v/>
      </c>
      <c r="C10" s="9"/>
      <c r="D10" s="6" t="s">
        <v>108</v>
      </c>
      <c r="E10" s="26">
        <f t="shared" si="4"/>
        <v>42235</v>
      </c>
      <c r="F10" s="9"/>
      <c r="G10" s="6"/>
      <c r="H10" s="7"/>
      <c r="J10" s="102"/>
      <c r="K10" s="102"/>
      <c r="L10" s="102"/>
      <c r="M10" s="102"/>
      <c r="N10" s="102"/>
      <c r="O10" s="102"/>
      <c r="P10" s="102"/>
      <c r="Q10" s="103"/>
      <c r="R10" s="105"/>
      <c r="S10" s="105"/>
      <c r="T10" s="105"/>
      <c r="U10" s="105"/>
      <c r="V10" s="105"/>
      <c r="W10" s="105"/>
      <c r="X10" s="105"/>
      <c r="Y10" s="103"/>
      <c r="Z10" s="102"/>
      <c r="AA10" s="102"/>
      <c r="AB10" s="102"/>
      <c r="AC10" s="102"/>
      <c r="AD10" s="102"/>
      <c r="AE10" s="102"/>
      <c r="AF10" s="102"/>
      <c r="AG10" s="103"/>
      <c r="AH10" s="105"/>
      <c r="AI10" s="105"/>
      <c r="AJ10" s="105"/>
      <c r="AK10" s="105"/>
      <c r="AL10" s="105"/>
      <c r="AM10" s="105"/>
      <c r="AN10" s="105"/>
      <c r="AO10" s="103"/>
      <c r="AP10" s="105"/>
      <c r="AQ10" s="105"/>
      <c r="AR10" s="105"/>
      <c r="AS10" s="105"/>
    </row>
    <row r="11" spans="1:45" x14ac:dyDescent="0.25">
      <c r="A11" s="6" t="s">
        <v>30</v>
      </c>
      <c r="B11" s="7" t="str">
        <f>IF(UserInput!F12="","",UserInput!F12)</f>
        <v/>
      </c>
      <c r="C11" s="9"/>
      <c r="D11" s="6" t="s">
        <v>109</v>
      </c>
      <c r="E11" s="26">
        <f t="shared" si="4"/>
        <v>42236</v>
      </c>
      <c r="F11" s="9"/>
      <c r="G11" s="6"/>
      <c r="H11" s="7"/>
      <c r="J11" s="102"/>
      <c r="K11" s="102"/>
      <c r="L11" s="102"/>
      <c r="M11" s="102"/>
      <c r="N11" s="102"/>
      <c r="O11" s="102"/>
      <c r="P11" s="102"/>
      <c r="Q11" s="103"/>
      <c r="R11" s="105"/>
      <c r="S11" s="105"/>
      <c r="T11" s="105"/>
      <c r="U11" s="105"/>
      <c r="V11" s="105"/>
      <c r="W11" s="105"/>
      <c r="X11" s="105"/>
      <c r="Y11" s="103"/>
      <c r="Z11" s="102"/>
      <c r="AA11" s="102"/>
      <c r="AB11" s="102"/>
      <c r="AC11" s="102"/>
      <c r="AD11" s="102"/>
      <c r="AE11" s="102"/>
      <c r="AF11" s="102"/>
      <c r="AG11" s="103"/>
      <c r="AH11" s="105"/>
      <c r="AI11" s="105"/>
      <c r="AJ11" s="105"/>
      <c r="AK11" s="105"/>
      <c r="AL11" s="105"/>
      <c r="AM11" s="105"/>
      <c r="AN11" s="105"/>
      <c r="AO11" s="103"/>
      <c r="AP11" s="105"/>
      <c r="AQ11" s="105"/>
      <c r="AR11" s="105"/>
      <c r="AS11" s="105"/>
    </row>
    <row r="12" spans="1:45" x14ac:dyDescent="0.25">
      <c r="A12" s="6" t="s">
        <v>31</v>
      </c>
      <c r="B12" s="7" t="str">
        <f>IF(UserInput!F13="","",UserInput!F13)</f>
        <v/>
      </c>
      <c r="C12" s="9"/>
      <c r="D12" s="6" t="s">
        <v>110</v>
      </c>
      <c r="E12" s="26">
        <f t="shared" si="4"/>
        <v>42237</v>
      </c>
      <c r="F12" s="9"/>
      <c r="G12" s="6"/>
      <c r="H12" s="7"/>
      <c r="J12" s="102"/>
      <c r="K12" s="102"/>
      <c r="L12" s="102"/>
      <c r="M12" s="102"/>
      <c r="N12" s="102"/>
      <c r="O12" s="102"/>
      <c r="P12" s="102"/>
      <c r="Q12" s="103"/>
      <c r="R12" s="105"/>
      <c r="S12" s="105"/>
      <c r="T12" s="105"/>
      <c r="U12" s="105"/>
      <c r="V12" s="105"/>
      <c r="W12" s="105"/>
      <c r="X12" s="105"/>
      <c r="Y12" s="103"/>
      <c r="Z12" s="102"/>
      <c r="AA12" s="102"/>
      <c r="AB12" s="102"/>
      <c r="AC12" s="102"/>
      <c r="AD12" s="102"/>
      <c r="AE12" s="102"/>
      <c r="AF12" s="102"/>
      <c r="AG12" s="103"/>
      <c r="AH12" s="105"/>
      <c r="AI12" s="105"/>
      <c r="AJ12" s="105"/>
      <c r="AK12" s="105"/>
      <c r="AL12" s="105"/>
      <c r="AM12" s="105"/>
      <c r="AN12" s="105"/>
      <c r="AO12" s="103"/>
      <c r="AP12" s="105"/>
      <c r="AQ12" s="105"/>
      <c r="AR12" s="105"/>
      <c r="AS12" s="105"/>
    </row>
    <row r="13" spans="1:45" x14ac:dyDescent="0.25">
      <c r="A13" s="6" t="s">
        <v>32</v>
      </c>
      <c r="B13" s="7" t="str">
        <f>IF(UserInput!F14="","",UserInput!F14)</f>
        <v/>
      </c>
      <c r="C13" s="9"/>
      <c r="D13" s="124" t="s">
        <v>111</v>
      </c>
      <c r="E13" s="26">
        <f t="shared" si="4"/>
        <v>42238</v>
      </c>
      <c r="F13" s="9"/>
      <c r="G13" s="6"/>
      <c r="H13" s="7"/>
      <c r="J13" s="102"/>
      <c r="K13" s="102"/>
      <c r="L13" s="102"/>
      <c r="M13" s="102"/>
      <c r="N13" s="102"/>
      <c r="O13" s="102"/>
      <c r="P13" s="102"/>
      <c r="Q13" s="103"/>
      <c r="R13" s="105"/>
      <c r="S13" s="105"/>
      <c r="T13" s="105"/>
      <c r="U13" s="105"/>
      <c r="V13" s="105"/>
      <c r="W13" s="105"/>
      <c r="X13" s="105"/>
      <c r="Y13" s="103"/>
      <c r="Z13" s="102"/>
      <c r="AA13" s="102"/>
      <c r="AB13" s="102"/>
      <c r="AC13" s="102"/>
      <c r="AD13" s="102"/>
      <c r="AE13" s="102"/>
      <c r="AF13" s="102"/>
      <c r="AG13" s="103"/>
      <c r="AH13" s="105"/>
      <c r="AI13" s="105"/>
      <c r="AJ13" s="105"/>
      <c r="AK13" s="105"/>
      <c r="AL13" s="105"/>
      <c r="AM13" s="105"/>
      <c r="AN13" s="105"/>
      <c r="AO13" s="103"/>
      <c r="AP13" s="105"/>
      <c r="AQ13" s="105"/>
      <c r="AR13" s="105"/>
      <c r="AS13" s="105"/>
    </row>
    <row r="14" spans="1:45" x14ac:dyDescent="0.25">
      <c r="A14" s="6" t="s">
        <v>33</v>
      </c>
      <c r="B14" s="7" t="str">
        <f>IF(UserInput!F15="","",UserInput!F15)</f>
        <v/>
      </c>
      <c r="C14" s="9"/>
      <c r="D14" s="124" t="s">
        <v>112</v>
      </c>
      <c r="E14" s="26">
        <f t="shared" si="4"/>
        <v>42239</v>
      </c>
      <c r="F14" s="9"/>
      <c r="G14" s="6"/>
      <c r="H14" s="7"/>
      <c r="J14" s="102"/>
      <c r="K14" s="102"/>
      <c r="L14" s="102"/>
      <c r="M14" s="102"/>
      <c r="N14" s="102"/>
      <c r="O14" s="102"/>
      <c r="P14" s="102"/>
      <c r="Q14" s="103"/>
      <c r="R14" s="105"/>
      <c r="S14" s="105"/>
      <c r="T14" s="105"/>
      <c r="U14" s="105"/>
      <c r="V14" s="105"/>
      <c r="W14" s="105"/>
      <c r="X14" s="105"/>
      <c r="Y14" s="103"/>
      <c r="Z14" s="102"/>
      <c r="AA14" s="102"/>
      <c r="AB14" s="102"/>
      <c r="AC14" s="102"/>
      <c r="AD14" s="102"/>
      <c r="AE14" s="102"/>
      <c r="AF14" s="102"/>
      <c r="AG14" s="103"/>
      <c r="AH14" s="105"/>
      <c r="AI14" s="105"/>
      <c r="AJ14" s="105"/>
      <c r="AK14" s="105"/>
      <c r="AL14" s="105"/>
      <c r="AM14" s="105"/>
      <c r="AN14" s="105"/>
      <c r="AO14" s="103"/>
      <c r="AP14" s="105"/>
      <c r="AQ14" s="105"/>
      <c r="AR14" s="105"/>
      <c r="AS14" s="105"/>
    </row>
    <row r="15" spans="1:45" x14ac:dyDescent="0.25">
      <c r="A15" s="6" t="s">
        <v>34</v>
      </c>
      <c r="B15" s="7" t="str">
        <f>IF(UserInput!F16="","",UserInput!F16)</f>
        <v/>
      </c>
      <c r="C15" s="9"/>
      <c r="D15" s="9"/>
      <c r="E15" s="22"/>
      <c r="F15" s="9"/>
      <c r="G15" s="6"/>
      <c r="H15" s="7"/>
      <c r="J15" s="102"/>
      <c r="K15" s="102"/>
      <c r="L15" s="102"/>
      <c r="M15" s="102"/>
      <c r="N15" s="102"/>
      <c r="O15" s="102"/>
      <c r="P15" s="102"/>
      <c r="Q15" s="103"/>
      <c r="R15" s="105"/>
      <c r="S15" s="105"/>
      <c r="T15" s="105"/>
      <c r="U15" s="105"/>
      <c r="V15" s="105"/>
      <c r="W15" s="105"/>
      <c r="X15" s="105"/>
      <c r="Y15" s="103"/>
      <c r="Z15" s="102"/>
      <c r="AA15" s="102"/>
      <c r="AB15" s="102"/>
      <c r="AC15" s="102"/>
      <c r="AD15" s="102"/>
      <c r="AE15" s="102"/>
      <c r="AF15" s="102"/>
      <c r="AG15" s="103"/>
      <c r="AH15" s="105"/>
      <c r="AI15" s="105"/>
      <c r="AJ15" s="105"/>
      <c r="AK15" s="105"/>
      <c r="AL15" s="105"/>
      <c r="AM15" s="105"/>
      <c r="AN15" s="105"/>
      <c r="AO15" s="103"/>
      <c r="AP15" s="105"/>
      <c r="AQ15" s="105"/>
      <c r="AR15" s="105"/>
      <c r="AS15" s="105"/>
    </row>
    <row r="16" spans="1:45" x14ac:dyDescent="0.25">
      <c r="A16" s="6" t="s">
        <v>35</v>
      </c>
      <c r="B16" s="7" t="str">
        <f>IF(UserInput!F17="","",UserInput!F17)</f>
        <v/>
      </c>
      <c r="C16" s="9"/>
      <c r="D16" s="9"/>
      <c r="E16" s="9"/>
      <c r="F16" s="9"/>
      <c r="G16" s="6"/>
      <c r="H16" s="7"/>
      <c r="J16" s="102"/>
      <c r="K16" s="102"/>
      <c r="L16" s="102"/>
      <c r="M16" s="102"/>
      <c r="N16" s="102"/>
      <c r="O16" s="102"/>
      <c r="P16" s="102"/>
      <c r="Q16" s="103"/>
      <c r="R16" s="105"/>
      <c r="S16" s="105"/>
      <c r="T16" s="105"/>
      <c r="U16" s="105"/>
      <c r="V16" s="105"/>
      <c r="W16" s="105"/>
      <c r="X16" s="105"/>
      <c r="Y16" s="103"/>
      <c r="Z16" s="102"/>
      <c r="AA16" s="102"/>
      <c r="AB16" s="102"/>
      <c r="AC16" s="102"/>
      <c r="AD16" s="102"/>
      <c r="AE16" s="102"/>
      <c r="AF16" s="102"/>
      <c r="AG16" s="103"/>
      <c r="AH16" s="105"/>
      <c r="AI16" s="105"/>
      <c r="AJ16" s="105"/>
      <c r="AK16" s="105"/>
      <c r="AL16" s="105"/>
      <c r="AM16" s="105"/>
      <c r="AN16" s="105"/>
      <c r="AO16" s="103"/>
      <c r="AP16" s="105"/>
      <c r="AQ16" s="105"/>
      <c r="AR16" s="105"/>
      <c r="AS16" s="105"/>
    </row>
    <row r="17" spans="1:45" x14ac:dyDescent="0.25">
      <c r="A17" s="6" t="s">
        <v>36</v>
      </c>
      <c r="B17" s="7" t="str">
        <f>IF(UserInput!F18="","",UserInput!F18)</f>
        <v/>
      </c>
      <c r="C17" s="9"/>
      <c r="D17" s="9"/>
      <c r="E17" s="9"/>
      <c r="F17" s="9"/>
      <c r="G17" s="6"/>
      <c r="H17" s="7"/>
      <c r="J17" s="102"/>
      <c r="K17" s="102"/>
      <c r="L17" s="102"/>
      <c r="M17" s="102"/>
      <c r="N17" s="102"/>
      <c r="O17" s="102"/>
      <c r="P17" s="102"/>
      <c r="Q17" s="103"/>
      <c r="R17" s="105"/>
      <c r="S17" s="105"/>
      <c r="T17" s="105"/>
      <c r="U17" s="105"/>
      <c r="V17" s="105"/>
      <c r="W17" s="105"/>
      <c r="X17" s="105"/>
      <c r="Y17" s="103"/>
      <c r="Z17" s="102"/>
      <c r="AA17" s="102"/>
      <c r="AB17" s="102"/>
      <c r="AC17" s="102"/>
      <c r="AD17" s="102"/>
      <c r="AE17" s="102"/>
      <c r="AF17" s="102"/>
      <c r="AG17" s="103"/>
      <c r="AH17" s="105"/>
      <c r="AI17" s="105"/>
      <c r="AJ17" s="105"/>
      <c r="AK17" s="105"/>
      <c r="AL17" s="105"/>
      <c r="AM17" s="105"/>
      <c r="AN17" s="105"/>
      <c r="AO17" s="103"/>
      <c r="AP17" s="105"/>
      <c r="AQ17" s="105"/>
      <c r="AR17" s="105"/>
      <c r="AS17" s="105"/>
    </row>
    <row r="18" spans="1:45" x14ac:dyDescent="0.25">
      <c r="A18" s="6" t="s">
        <v>37</v>
      </c>
      <c r="B18" s="7" t="str">
        <f>IF(UserInput!F19="","",UserInput!F19)</f>
        <v/>
      </c>
      <c r="C18" s="9"/>
      <c r="D18" s="9"/>
      <c r="E18" s="9"/>
      <c r="F18" s="9"/>
      <c r="G18" s="6"/>
      <c r="H18" s="7"/>
      <c r="J18" s="102"/>
      <c r="K18" s="102"/>
      <c r="L18" s="102"/>
      <c r="M18" s="102"/>
      <c r="N18" s="102"/>
      <c r="O18" s="102"/>
      <c r="P18" s="102"/>
      <c r="Q18" s="103"/>
      <c r="R18" s="105"/>
      <c r="S18" s="105"/>
      <c r="T18" s="105"/>
      <c r="U18" s="105"/>
      <c r="V18" s="105"/>
      <c r="W18" s="105"/>
      <c r="X18" s="105"/>
      <c r="Y18" s="103"/>
      <c r="Z18" s="102"/>
      <c r="AA18" s="102"/>
      <c r="AB18" s="102"/>
      <c r="AC18" s="102"/>
      <c r="AD18" s="102"/>
      <c r="AE18" s="102"/>
      <c r="AF18" s="102"/>
      <c r="AG18" s="103"/>
      <c r="AH18" s="105"/>
      <c r="AI18" s="105"/>
      <c r="AJ18" s="105"/>
      <c r="AK18" s="105"/>
      <c r="AL18" s="105"/>
      <c r="AM18" s="105"/>
      <c r="AN18" s="105"/>
      <c r="AO18" s="103"/>
      <c r="AP18" s="105"/>
      <c r="AQ18" s="105"/>
      <c r="AR18" s="105"/>
      <c r="AS18" s="105"/>
    </row>
    <row r="19" spans="1:45" x14ac:dyDescent="0.25">
      <c r="A19" s="6" t="s">
        <v>38</v>
      </c>
      <c r="B19" s="7" t="str">
        <f>IF(UserInput!F20="","",UserInput!F20)</f>
        <v/>
      </c>
      <c r="C19" s="9"/>
      <c r="D19" s="9"/>
      <c r="E19" s="9"/>
      <c r="F19" s="9"/>
      <c r="G19" s="6"/>
      <c r="H19" s="7"/>
      <c r="J19" s="102"/>
      <c r="K19" s="102"/>
      <c r="L19" s="102"/>
      <c r="M19" s="102"/>
      <c r="N19" s="102"/>
      <c r="O19" s="102"/>
      <c r="P19" s="102"/>
      <c r="Q19" s="103"/>
      <c r="R19" s="105"/>
      <c r="S19" s="105"/>
      <c r="T19" s="105"/>
      <c r="U19" s="105"/>
      <c r="V19" s="105"/>
      <c r="W19" s="105"/>
      <c r="X19" s="105"/>
      <c r="Y19" s="103"/>
      <c r="Z19" s="102"/>
      <c r="AA19" s="102"/>
      <c r="AB19" s="102"/>
      <c r="AC19" s="102"/>
      <c r="AD19" s="102"/>
      <c r="AE19" s="102"/>
      <c r="AF19" s="102"/>
      <c r="AG19" s="103"/>
      <c r="AH19" s="105"/>
      <c r="AI19" s="105"/>
      <c r="AJ19" s="105"/>
      <c r="AK19" s="105"/>
      <c r="AL19" s="105"/>
      <c r="AM19" s="105"/>
      <c r="AN19" s="105"/>
      <c r="AO19" s="103"/>
      <c r="AP19" s="105"/>
      <c r="AQ19" s="105"/>
      <c r="AR19" s="105"/>
      <c r="AS19" s="105"/>
    </row>
    <row r="20" spans="1:45" x14ac:dyDescent="0.25">
      <c r="A20" s="6" t="s">
        <v>39</v>
      </c>
      <c r="B20" s="7" t="str">
        <f>IF(UserInput!F21="","",UserInput!F21)</f>
        <v/>
      </c>
      <c r="C20" s="9"/>
      <c r="D20" s="9"/>
      <c r="E20" s="9"/>
      <c r="F20" s="9"/>
      <c r="G20" s="6"/>
      <c r="H20" s="7"/>
      <c r="J20" s="102"/>
      <c r="K20" s="102"/>
      <c r="L20" s="102"/>
      <c r="M20" s="102"/>
      <c r="N20" s="102"/>
      <c r="O20" s="102"/>
      <c r="P20" s="102"/>
      <c r="Q20" s="103"/>
      <c r="R20" s="105"/>
      <c r="S20" s="105"/>
      <c r="T20" s="105"/>
      <c r="U20" s="105"/>
      <c r="V20" s="105"/>
      <c r="W20" s="105"/>
      <c r="X20" s="105"/>
      <c r="Y20" s="103"/>
      <c r="Z20" s="102"/>
      <c r="AA20" s="102"/>
      <c r="AB20" s="102"/>
      <c r="AC20" s="102"/>
      <c r="AD20" s="102"/>
      <c r="AE20" s="102"/>
      <c r="AF20" s="102"/>
      <c r="AG20" s="103"/>
      <c r="AH20" s="105"/>
      <c r="AI20" s="105"/>
      <c r="AJ20" s="105"/>
      <c r="AK20" s="105"/>
      <c r="AL20" s="105"/>
      <c r="AM20" s="105"/>
      <c r="AN20" s="105"/>
      <c r="AO20" s="103"/>
      <c r="AP20" s="105"/>
      <c r="AQ20" s="105"/>
      <c r="AR20" s="105"/>
      <c r="AS20" s="105"/>
    </row>
    <row r="21" spans="1:45" x14ac:dyDescent="0.25">
      <c r="A21" s="6" t="s">
        <v>40</v>
      </c>
      <c r="B21" s="7" t="str">
        <f>IF(UserInput!F22="","",UserInput!F22)</f>
        <v/>
      </c>
      <c r="C21" s="9"/>
      <c r="D21" s="9"/>
      <c r="E21" s="9"/>
      <c r="F21" s="9"/>
      <c r="G21" s="6"/>
      <c r="H21" s="7"/>
      <c r="J21" s="102"/>
      <c r="K21" s="102"/>
      <c r="L21" s="102"/>
      <c r="M21" s="102"/>
      <c r="N21" s="102"/>
      <c r="O21" s="102"/>
      <c r="P21" s="102"/>
      <c r="Q21" s="103"/>
      <c r="R21" s="105"/>
      <c r="S21" s="105"/>
      <c r="T21" s="105"/>
      <c r="U21" s="105"/>
      <c r="V21" s="105"/>
      <c r="W21" s="105"/>
      <c r="X21" s="105"/>
      <c r="Y21" s="103"/>
      <c r="Z21" s="102"/>
      <c r="AA21" s="102"/>
      <c r="AB21" s="102"/>
      <c r="AC21" s="102"/>
      <c r="AD21" s="102"/>
      <c r="AE21" s="102"/>
      <c r="AF21" s="102"/>
      <c r="AG21" s="103"/>
      <c r="AH21" s="105"/>
      <c r="AI21" s="105"/>
      <c r="AJ21" s="105"/>
      <c r="AK21" s="105"/>
      <c r="AL21" s="105"/>
      <c r="AM21" s="105"/>
      <c r="AN21" s="105"/>
      <c r="AO21" s="103"/>
      <c r="AP21" s="105"/>
      <c r="AQ21" s="105"/>
      <c r="AR21" s="105"/>
      <c r="AS21" s="105"/>
    </row>
    <row r="22" spans="1:45" x14ac:dyDescent="0.25">
      <c r="A22" s="6" t="s">
        <v>41</v>
      </c>
      <c r="B22" s="7" t="str">
        <f>IF(UserInput!F23="","",UserInput!F23)</f>
        <v/>
      </c>
      <c r="C22" s="9"/>
      <c r="D22" s="9"/>
      <c r="E22" s="9"/>
      <c r="F22" s="9"/>
      <c r="G22" s="6"/>
      <c r="H22" s="7"/>
      <c r="J22" s="102"/>
      <c r="K22" s="102"/>
      <c r="L22" s="102"/>
      <c r="M22" s="102"/>
      <c r="N22" s="102"/>
      <c r="O22" s="102"/>
      <c r="P22" s="102"/>
      <c r="Q22" s="103"/>
      <c r="R22" s="105"/>
      <c r="S22" s="105"/>
      <c r="T22" s="105"/>
      <c r="U22" s="105"/>
      <c r="V22" s="105"/>
      <c r="W22" s="105"/>
      <c r="X22" s="105"/>
      <c r="Y22" s="103"/>
      <c r="Z22" s="102"/>
      <c r="AA22" s="102"/>
      <c r="AB22" s="102"/>
      <c r="AC22" s="102"/>
      <c r="AD22" s="102"/>
      <c r="AE22" s="102"/>
      <c r="AF22" s="102"/>
      <c r="AG22" s="103"/>
      <c r="AH22" s="105"/>
      <c r="AI22" s="105"/>
      <c r="AJ22" s="105"/>
      <c r="AK22" s="105"/>
      <c r="AL22" s="105"/>
      <c r="AM22" s="105"/>
      <c r="AN22" s="105"/>
      <c r="AO22" s="103"/>
      <c r="AP22" s="105"/>
      <c r="AQ22" s="105"/>
      <c r="AR22" s="105"/>
      <c r="AS22" s="105"/>
    </row>
    <row r="23" spans="1:45" x14ac:dyDescent="0.25">
      <c r="A23" s="6" t="s">
        <v>42</v>
      </c>
      <c r="B23" s="7" t="str">
        <f>IF(UserInput!F24="","",UserInput!F24)</f>
        <v/>
      </c>
      <c r="C23" s="9"/>
      <c r="D23" s="9"/>
      <c r="E23" s="9"/>
      <c r="F23" s="9"/>
      <c r="G23" s="6"/>
      <c r="H23" s="7"/>
      <c r="J23" s="102"/>
      <c r="K23" s="102"/>
      <c r="L23" s="102"/>
      <c r="M23" s="102"/>
      <c r="N23" s="102"/>
      <c r="O23" s="102"/>
      <c r="P23" s="102"/>
      <c r="Q23" s="103"/>
      <c r="R23" s="105"/>
      <c r="S23" s="105"/>
      <c r="T23" s="105"/>
      <c r="U23" s="105"/>
      <c r="V23" s="105"/>
      <c r="W23" s="105"/>
      <c r="X23" s="105"/>
      <c r="Y23" s="103"/>
      <c r="Z23" s="102"/>
      <c r="AA23" s="102"/>
      <c r="AB23" s="102"/>
      <c r="AC23" s="102"/>
      <c r="AD23" s="102"/>
      <c r="AE23" s="102"/>
      <c r="AF23" s="102"/>
      <c r="AG23" s="103"/>
      <c r="AH23" s="105"/>
      <c r="AI23" s="105"/>
      <c r="AJ23" s="105"/>
      <c r="AK23" s="105"/>
      <c r="AL23" s="105"/>
      <c r="AM23" s="105"/>
      <c r="AN23" s="105"/>
      <c r="AO23" s="103"/>
      <c r="AP23" s="105"/>
      <c r="AQ23" s="105"/>
      <c r="AR23" s="105"/>
      <c r="AS23" s="105"/>
    </row>
    <row r="24" spans="1:45" x14ac:dyDescent="0.25">
      <c r="A24" s="6" t="s">
        <v>42</v>
      </c>
      <c r="B24" s="7" t="str">
        <f>IF(UserInput!F25="","",UserInput!F25)</f>
        <v/>
      </c>
      <c r="C24" s="9"/>
      <c r="D24" s="9"/>
      <c r="E24" s="9"/>
      <c r="F24" s="9"/>
      <c r="G24" s="6"/>
      <c r="H24" s="7"/>
      <c r="J24" s="102"/>
      <c r="K24" s="102"/>
      <c r="L24" s="102"/>
      <c r="M24" s="102"/>
      <c r="N24" s="102"/>
      <c r="O24" s="102"/>
      <c r="P24" s="102"/>
      <c r="Q24" s="103"/>
      <c r="R24" s="105"/>
      <c r="S24" s="105"/>
      <c r="T24" s="105"/>
      <c r="U24" s="105"/>
      <c r="V24" s="105"/>
      <c r="W24" s="105"/>
      <c r="X24" s="105"/>
      <c r="Y24" s="103"/>
      <c r="Z24" s="102"/>
      <c r="AA24" s="102"/>
      <c r="AB24" s="102"/>
      <c r="AC24" s="102"/>
      <c r="AD24" s="102"/>
      <c r="AE24" s="102"/>
      <c r="AF24" s="102"/>
      <c r="AG24" s="103"/>
      <c r="AH24" s="105"/>
      <c r="AI24" s="105"/>
      <c r="AJ24" s="105"/>
      <c r="AK24" s="105"/>
      <c r="AL24" s="105"/>
      <c r="AM24" s="105"/>
      <c r="AN24" s="105"/>
      <c r="AO24" s="103"/>
      <c r="AP24" s="105"/>
      <c r="AQ24" s="105"/>
      <c r="AR24" s="105"/>
      <c r="AS24" s="105"/>
    </row>
    <row r="25" spans="1:45" x14ac:dyDescent="0.25">
      <c r="A25" s="6"/>
      <c r="B25" s="7" t="str">
        <f>IF(UserInput!F26="","",UserInput!F26)</f>
        <v/>
      </c>
      <c r="C25" s="9"/>
      <c r="D25" s="9"/>
      <c r="E25" s="9"/>
      <c r="F25" s="9"/>
      <c r="G25" s="6"/>
      <c r="H25" s="7"/>
      <c r="J25" s="102"/>
      <c r="K25" s="102"/>
      <c r="L25" s="102"/>
      <c r="M25" s="102"/>
      <c r="N25" s="102"/>
      <c r="O25" s="102"/>
      <c r="P25" s="102"/>
      <c r="Q25" s="103"/>
      <c r="R25" s="105"/>
      <c r="S25" s="105"/>
      <c r="T25" s="105"/>
      <c r="U25" s="105"/>
      <c r="V25" s="105"/>
      <c r="W25" s="105"/>
      <c r="X25" s="105"/>
      <c r="Y25" s="103"/>
      <c r="Z25" s="102"/>
      <c r="AA25" s="102"/>
      <c r="AB25" s="102"/>
      <c r="AC25" s="102"/>
      <c r="AD25" s="102"/>
      <c r="AE25" s="102"/>
      <c r="AF25" s="102"/>
      <c r="AG25" s="103"/>
      <c r="AH25" s="105"/>
      <c r="AI25" s="105"/>
      <c r="AJ25" s="105"/>
      <c r="AK25" s="105"/>
      <c r="AL25" s="105"/>
      <c r="AM25" s="105"/>
      <c r="AN25" s="105"/>
      <c r="AO25" s="103"/>
      <c r="AP25" s="105"/>
      <c r="AQ25" s="105"/>
      <c r="AR25" s="105"/>
      <c r="AS25" s="105"/>
    </row>
    <row r="26" spans="1:45" x14ac:dyDescent="0.25">
      <c r="A26" s="6"/>
      <c r="B26" s="7"/>
      <c r="C26" s="9"/>
      <c r="D26" s="9"/>
      <c r="E26" s="9"/>
      <c r="F26" s="9"/>
      <c r="G26" s="6"/>
      <c r="H26" s="7"/>
      <c r="J26" s="102"/>
      <c r="K26" s="102"/>
      <c r="L26" s="102"/>
      <c r="M26" s="102"/>
      <c r="N26" s="102"/>
      <c r="O26" s="102"/>
      <c r="P26" s="102"/>
      <c r="Q26" s="103"/>
      <c r="R26" s="105"/>
      <c r="S26" s="105"/>
      <c r="T26" s="105"/>
      <c r="U26" s="105"/>
      <c r="V26" s="105"/>
      <c r="W26" s="105"/>
      <c r="X26" s="105"/>
      <c r="Y26" s="103"/>
      <c r="Z26" s="102"/>
      <c r="AA26" s="102"/>
      <c r="AB26" s="102"/>
      <c r="AC26" s="102"/>
      <c r="AD26" s="102"/>
      <c r="AE26" s="102"/>
      <c r="AF26" s="102"/>
      <c r="AG26" s="103"/>
      <c r="AH26" s="105"/>
      <c r="AI26" s="105"/>
      <c r="AJ26" s="105"/>
      <c r="AK26" s="105"/>
      <c r="AL26" s="105"/>
      <c r="AM26" s="105"/>
      <c r="AN26" s="105"/>
      <c r="AO26" s="103"/>
      <c r="AP26" s="105"/>
      <c r="AQ26" s="105"/>
      <c r="AR26" s="105"/>
      <c r="AS26" s="105"/>
    </row>
    <row r="27" spans="1:45" x14ac:dyDescent="0.25">
      <c r="A27" s="6"/>
      <c r="B27" s="7"/>
      <c r="C27" s="9"/>
      <c r="D27" s="9"/>
      <c r="E27" s="9"/>
      <c r="F27" s="9"/>
      <c r="G27" s="6"/>
      <c r="H27" s="7"/>
      <c r="J27" s="102"/>
      <c r="K27" s="102"/>
      <c r="L27" s="102"/>
      <c r="M27" s="102"/>
      <c r="N27" s="102"/>
      <c r="O27" s="102"/>
      <c r="P27" s="102"/>
      <c r="Q27" s="103"/>
      <c r="R27" s="105"/>
      <c r="S27" s="105"/>
      <c r="T27" s="105"/>
      <c r="U27" s="105"/>
      <c r="V27" s="105"/>
      <c r="W27" s="105"/>
      <c r="X27" s="105"/>
      <c r="Y27" s="103"/>
      <c r="Z27" s="102"/>
      <c r="AA27" s="102"/>
      <c r="AB27" s="102"/>
      <c r="AC27" s="102"/>
      <c r="AD27" s="102"/>
      <c r="AE27" s="102"/>
      <c r="AF27" s="102"/>
      <c r="AG27" s="103"/>
      <c r="AH27" s="105"/>
      <c r="AI27" s="105"/>
      <c r="AJ27" s="105"/>
      <c r="AK27" s="105"/>
      <c r="AL27" s="105"/>
      <c r="AM27" s="105"/>
      <c r="AN27" s="105"/>
      <c r="AO27" s="103"/>
      <c r="AP27" s="105"/>
      <c r="AQ27" s="105"/>
      <c r="AR27" s="105"/>
      <c r="AS27" s="105"/>
    </row>
    <row r="28" spans="1:45" x14ac:dyDescent="0.25">
      <c r="A28" s="8"/>
      <c r="J28" s="102"/>
      <c r="K28" s="102"/>
      <c r="L28" s="102"/>
      <c r="M28" s="102"/>
      <c r="N28" s="102"/>
      <c r="O28" s="102"/>
      <c r="P28" s="102"/>
      <c r="Q28" s="103"/>
      <c r="R28" s="105"/>
      <c r="S28" s="105"/>
      <c r="T28" s="105"/>
      <c r="U28" s="105"/>
      <c r="V28" s="105"/>
      <c r="W28" s="105"/>
      <c r="X28" s="105"/>
      <c r="Y28" s="103"/>
      <c r="Z28" s="102"/>
      <c r="AA28" s="102"/>
      <c r="AB28" s="102"/>
      <c r="AC28" s="102"/>
      <c r="AD28" s="102"/>
      <c r="AE28" s="102"/>
      <c r="AF28" s="102"/>
      <c r="AG28" s="103"/>
      <c r="AH28" s="105"/>
      <c r="AI28" s="105"/>
      <c r="AJ28" s="105"/>
      <c r="AK28" s="105"/>
      <c r="AL28" s="105"/>
      <c r="AM28" s="105"/>
      <c r="AN28" s="105"/>
      <c r="AO28" s="103"/>
      <c r="AP28" s="105"/>
      <c r="AQ28" s="105"/>
      <c r="AR28" s="105"/>
      <c r="AS28" s="105"/>
    </row>
    <row r="29" spans="1:45" x14ac:dyDescent="0.25">
      <c r="A29" s="220" t="s">
        <v>43</v>
      </c>
      <c r="B29" s="221"/>
      <c r="C29" s="221"/>
      <c r="D29" s="221"/>
      <c r="E29" s="221"/>
      <c r="F29" s="221"/>
      <c r="G29" s="221"/>
      <c r="H29" s="222"/>
      <c r="J29" s="102"/>
      <c r="K29" s="102"/>
      <c r="L29" s="102"/>
      <c r="M29" s="102"/>
      <c r="N29" s="102"/>
      <c r="O29" s="102"/>
      <c r="P29" s="102"/>
      <c r="Q29" s="103"/>
      <c r="R29" s="105"/>
      <c r="S29" s="105"/>
      <c r="T29" s="105"/>
      <c r="U29" s="105"/>
      <c r="V29" s="105"/>
      <c r="W29" s="105"/>
      <c r="X29" s="105"/>
      <c r="Y29" s="103"/>
      <c r="Z29" s="102"/>
      <c r="AA29" s="102"/>
      <c r="AB29" s="102"/>
      <c r="AC29" s="102"/>
      <c r="AD29" s="102"/>
      <c r="AE29" s="102"/>
      <c r="AF29" s="102"/>
      <c r="AG29" s="103"/>
      <c r="AH29" s="105"/>
      <c r="AI29" s="105"/>
      <c r="AJ29" s="105"/>
      <c r="AK29" s="105"/>
      <c r="AL29" s="105"/>
      <c r="AM29" s="105"/>
      <c r="AN29" s="105"/>
      <c r="AO29" s="103"/>
      <c r="AP29" s="105"/>
      <c r="AQ29" s="105"/>
      <c r="AR29" s="105"/>
      <c r="AS29" s="105"/>
    </row>
    <row r="30" spans="1:45" x14ac:dyDescent="0.25">
      <c r="A30" s="16" t="s">
        <v>15</v>
      </c>
      <c r="B30" s="17" t="s">
        <v>16</v>
      </c>
      <c r="C30" s="17" t="s">
        <v>17</v>
      </c>
      <c r="D30" s="17" t="s">
        <v>18</v>
      </c>
      <c r="E30" s="17" t="s">
        <v>19</v>
      </c>
      <c r="F30" s="17" t="s">
        <v>20</v>
      </c>
      <c r="G30" s="17" t="s">
        <v>21</v>
      </c>
      <c r="H30" s="18" t="s">
        <v>22</v>
      </c>
      <c r="J30" s="102"/>
      <c r="K30" s="102"/>
      <c r="L30" s="102"/>
      <c r="M30" s="102"/>
      <c r="N30" s="102"/>
      <c r="O30" s="102"/>
      <c r="P30" s="102"/>
      <c r="Q30" s="103"/>
      <c r="R30" s="105"/>
      <c r="S30" s="105"/>
      <c r="T30" s="105"/>
      <c r="U30" s="105"/>
      <c r="V30" s="105"/>
      <c r="W30" s="105"/>
      <c r="X30" s="105"/>
      <c r="Y30" s="103"/>
      <c r="Z30" s="102"/>
      <c r="AA30" s="102"/>
      <c r="AB30" s="102"/>
      <c r="AC30" s="102"/>
      <c r="AD30" s="102"/>
      <c r="AE30" s="102"/>
      <c r="AF30" s="102"/>
      <c r="AG30" s="103"/>
      <c r="AH30" s="105"/>
      <c r="AI30" s="105"/>
      <c r="AJ30" s="105"/>
      <c r="AK30" s="105"/>
      <c r="AL30" s="105"/>
      <c r="AM30" s="105"/>
      <c r="AN30" s="105"/>
      <c r="AO30" s="103"/>
      <c r="AP30" s="105"/>
      <c r="AQ30" s="105"/>
      <c r="AR30" s="105"/>
      <c r="AS30" s="105"/>
    </row>
    <row r="31" spans="1:45" x14ac:dyDescent="0.25">
      <c r="A31" s="19">
        <v>1</v>
      </c>
      <c r="B31" s="12">
        <v>42002</v>
      </c>
      <c r="C31" s="12">
        <v>42003</v>
      </c>
      <c r="D31" s="12">
        <v>42004</v>
      </c>
      <c r="E31" s="12">
        <v>42005</v>
      </c>
      <c r="F31" s="12">
        <v>42006</v>
      </c>
      <c r="G31" s="12">
        <v>42007</v>
      </c>
      <c r="H31" s="13">
        <v>42008</v>
      </c>
      <c r="I31" s="5" t="s">
        <v>51</v>
      </c>
      <c r="J31" s="102"/>
      <c r="K31" s="102"/>
      <c r="L31" s="102"/>
      <c r="M31" s="102"/>
      <c r="N31" s="102"/>
      <c r="O31" s="102"/>
      <c r="P31" s="102"/>
      <c r="Q31" s="103"/>
      <c r="R31" s="105"/>
      <c r="S31" s="105"/>
      <c r="T31" s="105"/>
      <c r="U31" s="105"/>
      <c r="V31" s="105"/>
      <c r="W31" s="105"/>
      <c r="X31" s="105"/>
      <c r="Y31" s="103"/>
      <c r="Z31" s="102"/>
      <c r="AA31" s="102"/>
      <c r="AB31" s="102"/>
      <c r="AC31" s="102"/>
      <c r="AD31" s="102"/>
      <c r="AE31" s="102"/>
      <c r="AF31" s="102"/>
      <c r="AG31" s="103"/>
      <c r="AH31" s="105"/>
      <c r="AI31" s="105"/>
      <c r="AJ31" s="105"/>
      <c r="AK31" s="105"/>
      <c r="AL31" s="105"/>
      <c r="AM31" s="105"/>
      <c r="AN31" s="105"/>
      <c r="AO31" s="103"/>
      <c r="AP31" s="105"/>
      <c r="AQ31" s="105"/>
      <c r="AR31" s="105"/>
      <c r="AS31" s="105"/>
    </row>
    <row r="32" spans="1:45" x14ac:dyDescent="0.25">
      <c r="A32" s="19">
        <v>2</v>
      </c>
      <c r="B32" s="12">
        <v>42009</v>
      </c>
      <c r="C32" s="12">
        <v>42010</v>
      </c>
      <c r="D32" s="12">
        <v>42011</v>
      </c>
      <c r="E32" s="12">
        <v>42012</v>
      </c>
      <c r="F32" s="12">
        <v>42013</v>
      </c>
      <c r="G32" s="12">
        <v>42014</v>
      </c>
      <c r="H32" s="13">
        <v>42015</v>
      </c>
      <c r="J32" s="102"/>
      <c r="K32" s="102"/>
      <c r="L32" s="102"/>
      <c r="M32" s="102"/>
      <c r="N32" s="102"/>
      <c r="O32" s="102"/>
      <c r="P32" s="102"/>
      <c r="Q32" s="103"/>
      <c r="R32" s="105"/>
      <c r="S32" s="105"/>
      <c r="T32" s="105"/>
      <c r="U32" s="105"/>
      <c r="V32" s="105"/>
      <c r="W32" s="105"/>
      <c r="X32" s="105"/>
      <c r="Y32" s="103"/>
      <c r="Z32" s="102"/>
      <c r="AA32" s="102"/>
      <c r="AB32" s="102"/>
      <c r="AC32" s="102"/>
      <c r="AD32" s="102"/>
      <c r="AE32" s="102"/>
      <c r="AF32" s="102"/>
      <c r="AG32" s="103"/>
      <c r="AH32" s="105"/>
      <c r="AI32" s="105"/>
      <c r="AJ32" s="105"/>
      <c r="AK32" s="105"/>
      <c r="AL32" s="105"/>
      <c r="AM32" s="105"/>
      <c r="AN32" s="105"/>
      <c r="AO32" s="103"/>
      <c r="AP32" s="105"/>
      <c r="AQ32" s="105"/>
      <c r="AR32" s="105"/>
      <c r="AS32" s="105"/>
    </row>
    <row r="33" spans="1:45" x14ac:dyDescent="0.25">
      <c r="A33" s="19">
        <v>3</v>
      </c>
      <c r="B33" s="12">
        <v>42016</v>
      </c>
      <c r="C33" s="12">
        <v>42017</v>
      </c>
      <c r="D33" s="12">
        <v>42018</v>
      </c>
      <c r="E33" s="12">
        <v>42019</v>
      </c>
      <c r="F33" s="12">
        <v>42020</v>
      </c>
      <c r="G33" s="12">
        <v>42021</v>
      </c>
      <c r="H33" s="13">
        <v>42022</v>
      </c>
      <c r="J33" s="102"/>
      <c r="K33" s="102"/>
      <c r="L33" s="102"/>
      <c r="M33" s="102"/>
      <c r="N33" s="102"/>
      <c r="O33" s="102"/>
      <c r="P33" s="102"/>
      <c r="Q33" s="103"/>
      <c r="R33" s="105"/>
      <c r="S33" s="105"/>
      <c r="T33" s="105"/>
      <c r="U33" s="105"/>
      <c r="V33" s="105"/>
      <c r="W33" s="105"/>
      <c r="X33" s="105"/>
      <c r="Y33" s="103"/>
      <c r="Z33" s="102"/>
      <c r="AA33" s="102"/>
      <c r="AB33" s="102"/>
      <c r="AC33" s="102"/>
      <c r="AD33" s="102"/>
      <c r="AE33" s="102"/>
      <c r="AF33" s="102"/>
      <c r="AG33" s="103"/>
      <c r="AH33" s="105"/>
      <c r="AI33" s="105"/>
      <c r="AJ33" s="105"/>
      <c r="AK33" s="105"/>
      <c r="AL33" s="105"/>
      <c r="AM33" s="105"/>
      <c r="AN33" s="105"/>
      <c r="AO33" s="103"/>
      <c r="AP33" s="105"/>
      <c r="AQ33" s="105"/>
      <c r="AR33" s="105"/>
      <c r="AS33" s="105"/>
    </row>
    <row r="34" spans="1:45" x14ac:dyDescent="0.25">
      <c r="A34" s="19">
        <v>4</v>
      </c>
      <c r="B34" s="12">
        <v>42023</v>
      </c>
      <c r="C34" s="12">
        <v>42024</v>
      </c>
      <c r="D34" s="12">
        <v>42025</v>
      </c>
      <c r="E34" s="12">
        <v>42026</v>
      </c>
      <c r="F34" s="12">
        <v>42027</v>
      </c>
      <c r="G34" s="12">
        <v>42028</v>
      </c>
      <c r="H34" s="13">
        <v>42029</v>
      </c>
      <c r="J34" s="102"/>
      <c r="K34" s="102"/>
      <c r="L34" s="102"/>
      <c r="M34" s="102"/>
      <c r="N34" s="102"/>
      <c r="O34" s="102"/>
      <c r="P34" s="102"/>
      <c r="Q34" s="103"/>
      <c r="R34" s="105"/>
      <c r="S34" s="105"/>
      <c r="T34" s="105"/>
      <c r="U34" s="105"/>
      <c r="V34" s="105"/>
      <c r="W34" s="105"/>
      <c r="X34" s="105"/>
      <c r="Y34" s="103"/>
      <c r="Z34" s="102"/>
      <c r="AA34" s="102"/>
      <c r="AB34" s="102"/>
      <c r="AC34" s="102"/>
      <c r="AD34" s="102"/>
      <c r="AE34" s="102"/>
      <c r="AF34" s="102"/>
      <c r="AG34" s="103"/>
      <c r="AH34" s="105"/>
      <c r="AI34" s="105"/>
      <c r="AJ34" s="105"/>
      <c r="AK34" s="105"/>
      <c r="AL34" s="105"/>
      <c r="AM34" s="105"/>
      <c r="AN34" s="105"/>
      <c r="AO34" s="103"/>
      <c r="AP34" s="105"/>
      <c r="AQ34" s="105"/>
      <c r="AR34" s="105"/>
      <c r="AS34" s="105"/>
    </row>
    <row r="35" spans="1:45" x14ac:dyDescent="0.25">
      <c r="A35" s="19">
        <v>5</v>
      </c>
      <c r="B35" s="12">
        <v>42030</v>
      </c>
      <c r="C35" s="12">
        <v>42031</v>
      </c>
      <c r="D35" s="12">
        <v>42032</v>
      </c>
      <c r="E35" s="12">
        <v>42033</v>
      </c>
      <c r="F35" s="12">
        <v>42034</v>
      </c>
      <c r="G35" s="12">
        <v>42035</v>
      </c>
      <c r="H35" s="13">
        <v>42036</v>
      </c>
      <c r="J35" s="102"/>
      <c r="K35" s="102"/>
      <c r="L35" s="102"/>
      <c r="M35" s="102"/>
      <c r="N35" s="102"/>
      <c r="O35" s="102"/>
      <c r="P35" s="102"/>
      <c r="Q35" s="103"/>
      <c r="R35" s="105"/>
      <c r="S35" s="105"/>
      <c r="T35" s="105"/>
      <c r="U35" s="105"/>
      <c r="V35" s="105"/>
      <c r="W35" s="105"/>
      <c r="X35" s="105"/>
      <c r="Y35" s="103"/>
      <c r="Z35" s="102"/>
      <c r="AA35" s="102"/>
      <c r="AB35" s="102"/>
      <c r="AC35" s="102"/>
      <c r="AD35" s="102"/>
      <c r="AE35" s="102"/>
      <c r="AF35" s="102"/>
      <c r="AG35" s="103"/>
      <c r="AH35" s="105"/>
      <c r="AI35" s="105"/>
      <c r="AJ35" s="105"/>
      <c r="AK35" s="105"/>
      <c r="AL35" s="105"/>
      <c r="AM35" s="105"/>
      <c r="AN35" s="105"/>
      <c r="AO35" s="103"/>
      <c r="AP35" s="105"/>
      <c r="AQ35" s="105"/>
      <c r="AR35" s="105"/>
      <c r="AS35" s="105"/>
    </row>
    <row r="36" spans="1:45" x14ac:dyDescent="0.25">
      <c r="A36" s="19">
        <v>6</v>
      </c>
      <c r="B36" s="12">
        <v>42037</v>
      </c>
      <c r="C36" s="12">
        <v>42038</v>
      </c>
      <c r="D36" s="12">
        <v>42039</v>
      </c>
      <c r="E36" s="12">
        <v>42040</v>
      </c>
      <c r="F36" s="12">
        <v>42041</v>
      </c>
      <c r="G36" s="12">
        <v>42042</v>
      </c>
      <c r="H36" s="13">
        <v>42043</v>
      </c>
      <c r="J36" s="102"/>
      <c r="K36" s="102"/>
      <c r="L36" s="102"/>
      <c r="M36" s="102"/>
      <c r="N36" s="102"/>
      <c r="O36" s="102"/>
      <c r="P36" s="102"/>
      <c r="Q36" s="103"/>
      <c r="R36" s="105"/>
      <c r="S36" s="105"/>
      <c r="T36" s="105"/>
      <c r="U36" s="105"/>
      <c r="V36" s="105"/>
      <c r="W36" s="105"/>
      <c r="X36" s="105"/>
      <c r="Y36" s="103"/>
      <c r="Z36" s="102"/>
      <c r="AA36" s="102"/>
      <c r="AB36" s="102"/>
      <c r="AC36" s="102"/>
      <c r="AD36" s="102"/>
      <c r="AE36" s="102"/>
      <c r="AF36" s="102"/>
      <c r="AG36" s="103"/>
      <c r="AH36" s="105"/>
      <c r="AI36" s="105"/>
      <c r="AJ36" s="105"/>
      <c r="AK36" s="105"/>
      <c r="AL36" s="105"/>
      <c r="AM36" s="105"/>
      <c r="AN36" s="105"/>
      <c r="AO36" s="103"/>
      <c r="AP36" s="105"/>
      <c r="AQ36" s="105"/>
      <c r="AR36" s="105"/>
      <c r="AS36" s="105"/>
    </row>
    <row r="37" spans="1:45" x14ac:dyDescent="0.25">
      <c r="A37" s="19">
        <v>7</v>
      </c>
      <c r="B37" s="12">
        <v>42044</v>
      </c>
      <c r="C37" s="12">
        <v>42045</v>
      </c>
      <c r="D37" s="12">
        <v>42046</v>
      </c>
      <c r="E37" s="12">
        <v>42047</v>
      </c>
      <c r="F37" s="12">
        <v>42048</v>
      </c>
      <c r="G37" s="12">
        <v>42049</v>
      </c>
      <c r="H37" s="13">
        <v>42050</v>
      </c>
      <c r="J37" s="102"/>
      <c r="K37" s="102"/>
      <c r="L37" s="102"/>
      <c r="M37" s="102"/>
      <c r="N37" s="102"/>
      <c r="O37" s="102"/>
      <c r="P37" s="102"/>
      <c r="Q37" s="103"/>
      <c r="R37" s="105"/>
      <c r="S37" s="105"/>
      <c r="T37" s="105"/>
      <c r="U37" s="105"/>
      <c r="V37" s="105"/>
      <c r="W37" s="105"/>
      <c r="X37" s="105"/>
      <c r="Y37" s="103"/>
      <c r="Z37" s="102"/>
      <c r="AA37" s="102"/>
      <c r="AB37" s="102"/>
      <c r="AC37" s="102"/>
      <c r="AD37" s="102"/>
      <c r="AE37" s="102"/>
      <c r="AF37" s="102"/>
      <c r="AG37" s="103"/>
      <c r="AH37" s="105"/>
      <c r="AI37" s="105"/>
      <c r="AJ37" s="105"/>
      <c r="AK37" s="105"/>
      <c r="AL37" s="105"/>
      <c r="AM37" s="105"/>
      <c r="AN37" s="105"/>
      <c r="AO37" s="103"/>
      <c r="AP37" s="105"/>
      <c r="AQ37" s="105"/>
      <c r="AR37" s="105"/>
      <c r="AS37" s="105"/>
    </row>
    <row r="38" spans="1:45" x14ac:dyDescent="0.25">
      <c r="A38" s="19">
        <v>8</v>
      </c>
      <c r="B38" s="12">
        <v>42051</v>
      </c>
      <c r="C38" s="12">
        <v>42052</v>
      </c>
      <c r="D38" s="12">
        <v>42053</v>
      </c>
      <c r="E38" s="12">
        <v>42054</v>
      </c>
      <c r="F38" s="12">
        <v>42055</v>
      </c>
      <c r="G38" s="12">
        <v>42056</v>
      </c>
      <c r="H38" s="13">
        <v>42057</v>
      </c>
      <c r="J38" s="102"/>
      <c r="K38" s="102"/>
      <c r="L38" s="102"/>
      <c r="M38" s="102"/>
      <c r="N38" s="102"/>
      <c r="O38" s="102"/>
      <c r="P38" s="102"/>
      <c r="Q38" s="103"/>
      <c r="R38" s="105"/>
      <c r="S38" s="105"/>
      <c r="T38" s="105"/>
      <c r="U38" s="105"/>
      <c r="V38" s="105"/>
      <c r="W38" s="105"/>
      <c r="X38" s="105"/>
      <c r="Y38" s="103"/>
      <c r="Z38" s="102"/>
      <c r="AA38" s="102"/>
      <c r="AB38" s="102"/>
      <c r="AC38" s="102"/>
      <c r="AD38" s="102"/>
      <c r="AE38" s="102"/>
      <c r="AF38" s="102"/>
      <c r="AG38" s="103"/>
      <c r="AH38" s="105"/>
      <c r="AI38" s="105"/>
      <c r="AJ38" s="105"/>
      <c r="AK38" s="105"/>
      <c r="AL38" s="105"/>
      <c r="AM38" s="105"/>
      <c r="AN38" s="105"/>
      <c r="AO38" s="103"/>
      <c r="AP38" s="105"/>
      <c r="AQ38" s="105"/>
      <c r="AR38" s="105"/>
      <c r="AS38" s="105"/>
    </row>
    <row r="39" spans="1:45" x14ac:dyDescent="0.25">
      <c r="A39" s="19">
        <v>9</v>
      </c>
      <c r="B39" s="12">
        <v>42058</v>
      </c>
      <c r="C39" s="12">
        <v>42059</v>
      </c>
      <c r="D39" s="12">
        <v>42060</v>
      </c>
      <c r="E39" s="12">
        <v>42061</v>
      </c>
      <c r="F39" s="12">
        <v>42062</v>
      </c>
      <c r="G39" s="12">
        <v>42063</v>
      </c>
      <c r="H39" s="13">
        <v>42064</v>
      </c>
      <c r="J39" s="102"/>
      <c r="K39" s="102"/>
      <c r="L39" s="102"/>
      <c r="M39" s="102"/>
      <c r="N39" s="102"/>
      <c r="O39" s="102"/>
      <c r="P39" s="102"/>
      <c r="Q39" s="103"/>
      <c r="R39" s="105"/>
      <c r="S39" s="105"/>
      <c r="T39" s="105"/>
      <c r="U39" s="105"/>
      <c r="V39" s="105"/>
      <c r="W39" s="105"/>
      <c r="X39" s="105"/>
      <c r="Y39" s="103"/>
      <c r="Z39" s="102"/>
      <c r="AA39" s="102"/>
      <c r="AB39" s="102"/>
      <c r="AC39" s="102"/>
      <c r="AD39" s="102"/>
      <c r="AE39" s="102"/>
      <c r="AF39" s="102"/>
      <c r="AG39" s="103"/>
      <c r="AH39" s="105"/>
      <c r="AI39" s="105"/>
      <c r="AJ39" s="105"/>
      <c r="AK39" s="105"/>
      <c r="AL39" s="105"/>
      <c r="AM39" s="105"/>
      <c r="AN39" s="105"/>
      <c r="AO39" s="103"/>
      <c r="AP39" s="105"/>
      <c r="AQ39" s="105"/>
      <c r="AR39" s="105"/>
      <c r="AS39" s="105"/>
    </row>
    <row r="40" spans="1:45" x14ac:dyDescent="0.25">
      <c r="A40" s="19">
        <v>10</v>
      </c>
      <c r="B40" s="12">
        <v>42065</v>
      </c>
      <c r="C40" s="12">
        <v>42066</v>
      </c>
      <c r="D40" s="12">
        <v>42067</v>
      </c>
      <c r="E40" s="12">
        <v>42068</v>
      </c>
      <c r="F40" s="12">
        <v>42069</v>
      </c>
      <c r="G40" s="12">
        <v>42070</v>
      </c>
      <c r="H40" s="13">
        <v>42071</v>
      </c>
      <c r="J40" s="102"/>
      <c r="K40" s="102"/>
      <c r="L40" s="102"/>
      <c r="M40" s="102"/>
      <c r="N40" s="102"/>
      <c r="O40" s="102"/>
      <c r="P40" s="102"/>
      <c r="Q40" s="103"/>
      <c r="R40" s="105"/>
      <c r="S40" s="105"/>
      <c r="T40" s="105"/>
      <c r="U40" s="105"/>
      <c r="V40" s="105"/>
      <c r="W40" s="105"/>
      <c r="X40" s="105"/>
      <c r="Y40" s="103"/>
      <c r="Z40" s="102"/>
      <c r="AA40" s="102"/>
      <c r="AB40" s="102"/>
      <c r="AC40" s="102"/>
      <c r="AD40" s="102"/>
      <c r="AE40" s="102"/>
      <c r="AF40" s="102"/>
      <c r="AG40" s="103"/>
      <c r="AH40" s="105"/>
      <c r="AI40" s="105"/>
      <c r="AJ40" s="105"/>
      <c r="AK40" s="105"/>
      <c r="AL40" s="105"/>
      <c r="AM40" s="105"/>
      <c r="AN40" s="105"/>
      <c r="AO40" s="103"/>
      <c r="AP40" s="105"/>
      <c r="AQ40" s="105"/>
      <c r="AR40" s="105"/>
      <c r="AS40" s="105"/>
    </row>
    <row r="41" spans="1:45" x14ac:dyDescent="0.25">
      <c r="A41" s="19">
        <v>11</v>
      </c>
      <c r="B41" s="12">
        <v>42072</v>
      </c>
      <c r="C41" s="12">
        <v>42073</v>
      </c>
      <c r="D41" s="12">
        <v>42074</v>
      </c>
      <c r="E41" s="12">
        <v>42075</v>
      </c>
      <c r="F41" s="12">
        <v>42076</v>
      </c>
      <c r="G41" s="12">
        <v>42077</v>
      </c>
      <c r="H41" s="13">
        <v>42078</v>
      </c>
      <c r="J41" s="102"/>
      <c r="K41" s="102"/>
      <c r="L41" s="102"/>
      <c r="M41" s="102"/>
      <c r="N41" s="102"/>
      <c r="O41" s="102"/>
      <c r="P41" s="102"/>
      <c r="Q41" s="103"/>
      <c r="R41" s="105"/>
      <c r="S41" s="105"/>
      <c r="T41" s="105"/>
      <c r="U41" s="105"/>
      <c r="V41" s="105"/>
      <c r="W41" s="105"/>
      <c r="X41" s="105"/>
      <c r="Y41" s="103"/>
      <c r="Z41" s="102"/>
      <c r="AA41" s="102"/>
      <c r="AB41" s="102"/>
      <c r="AC41" s="102"/>
      <c r="AD41" s="102"/>
      <c r="AE41" s="102"/>
      <c r="AF41" s="102"/>
      <c r="AG41" s="103"/>
      <c r="AH41" s="105"/>
      <c r="AI41" s="105"/>
      <c r="AJ41" s="105"/>
      <c r="AK41" s="105"/>
      <c r="AL41" s="105"/>
      <c r="AM41" s="105"/>
      <c r="AN41" s="105"/>
      <c r="AO41" s="103"/>
      <c r="AP41" s="105"/>
      <c r="AQ41" s="105"/>
      <c r="AR41" s="105"/>
      <c r="AS41" s="105"/>
    </row>
    <row r="42" spans="1:45" x14ac:dyDescent="0.25">
      <c r="A42" s="19">
        <v>12</v>
      </c>
      <c r="B42" s="12">
        <v>42079</v>
      </c>
      <c r="C42" s="12">
        <v>42080</v>
      </c>
      <c r="D42" s="12">
        <v>42081</v>
      </c>
      <c r="E42" s="12">
        <v>42082</v>
      </c>
      <c r="F42" s="12">
        <v>42083</v>
      </c>
      <c r="G42" s="12">
        <v>42084</v>
      </c>
      <c r="H42" s="13">
        <v>42085</v>
      </c>
      <c r="J42" s="102"/>
      <c r="K42" s="102"/>
      <c r="L42" s="102"/>
      <c r="M42" s="102"/>
      <c r="N42" s="102"/>
      <c r="O42" s="102"/>
      <c r="P42" s="102"/>
      <c r="Q42" s="103"/>
      <c r="R42" s="105"/>
      <c r="S42" s="105"/>
      <c r="T42" s="105"/>
      <c r="U42" s="105"/>
      <c r="V42" s="105"/>
      <c r="W42" s="105"/>
      <c r="X42" s="105"/>
      <c r="Y42" s="103"/>
      <c r="Z42" s="102"/>
      <c r="AA42" s="102"/>
      <c r="AB42" s="102"/>
      <c r="AC42" s="102"/>
      <c r="AD42" s="102"/>
      <c r="AE42" s="102"/>
      <c r="AF42" s="102"/>
      <c r="AG42" s="103"/>
      <c r="AH42" s="105"/>
      <c r="AI42" s="105"/>
      <c r="AJ42" s="105"/>
      <c r="AK42" s="105"/>
      <c r="AL42" s="105"/>
      <c r="AM42" s="105"/>
      <c r="AN42" s="105"/>
      <c r="AO42" s="103"/>
      <c r="AP42" s="105"/>
      <c r="AQ42" s="105"/>
      <c r="AR42" s="105"/>
      <c r="AS42" s="105"/>
    </row>
    <row r="43" spans="1:45" x14ac:dyDescent="0.25">
      <c r="A43" s="19">
        <v>13</v>
      </c>
      <c r="B43" s="12">
        <v>42086</v>
      </c>
      <c r="C43" s="12">
        <v>42087</v>
      </c>
      <c r="D43" s="12">
        <v>42088</v>
      </c>
      <c r="E43" s="12">
        <v>42089</v>
      </c>
      <c r="F43" s="12">
        <v>42090</v>
      </c>
      <c r="G43" s="12">
        <v>42091</v>
      </c>
      <c r="H43" s="13">
        <v>42092</v>
      </c>
      <c r="J43" s="102"/>
      <c r="K43" s="102"/>
      <c r="L43" s="102"/>
      <c r="M43" s="102"/>
      <c r="N43" s="102"/>
      <c r="O43" s="102"/>
      <c r="P43" s="102"/>
      <c r="Q43" s="103"/>
      <c r="R43" s="105"/>
      <c r="S43" s="105"/>
      <c r="T43" s="105"/>
      <c r="U43" s="105"/>
      <c r="V43" s="105"/>
      <c r="W43" s="105"/>
      <c r="X43" s="105"/>
      <c r="Y43" s="103"/>
      <c r="Z43" s="102"/>
      <c r="AA43" s="102"/>
      <c r="AB43" s="102"/>
      <c r="AC43" s="102"/>
      <c r="AD43" s="102"/>
      <c r="AE43" s="102"/>
      <c r="AF43" s="102"/>
      <c r="AG43" s="103"/>
      <c r="AH43" s="105"/>
      <c r="AI43" s="105"/>
      <c r="AJ43" s="105"/>
      <c r="AK43" s="105"/>
      <c r="AL43" s="105"/>
      <c r="AM43" s="105"/>
      <c r="AN43" s="105"/>
      <c r="AO43" s="103"/>
      <c r="AP43" s="105"/>
      <c r="AQ43" s="105"/>
      <c r="AR43" s="105"/>
      <c r="AS43" s="105"/>
    </row>
    <row r="44" spans="1:45" x14ac:dyDescent="0.25">
      <c r="A44" s="19">
        <v>14</v>
      </c>
      <c r="B44" s="12">
        <v>42093</v>
      </c>
      <c r="C44" s="12">
        <v>42094</v>
      </c>
      <c r="D44" s="12">
        <v>42095</v>
      </c>
      <c r="E44" s="12">
        <v>42096</v>
      </c>
      <c r="F44" s="12">
        <v>42097</v>
      </c>
      <c r="G44" s="12">
        <v>42098</v>
      </c>
      <c r="H44" s="13">
        <v>42099</v>
      </c>
      <c r="J44" s="102"/>
      <c r="K44" s="102"/>
      <c r="L44" s="102"/>
      <c r="M44" s="102"/>
      <c r="N44" s="102"/>
      <c r="O44" s="102"/>
      <c r="P44" s="102"/>
      <c r="Q44" s="103"/>
      <c r="R44" s="105"/>
      <c r="S44" s="105"/>
      <c r="T44" s="105"/>
      <c r="U44" s="105"/>
      <c r="V44" s="105"/>
      <c r="W44" s="105"/>
      <c r="X44" s="105"/>
      <c r="Y44" s="103"/>
      <c r="Z44" s="102"/>
      <c r="AA44" s="102"/>
      <c r="AB44" s="102"/>
      <c r="AC44" s="102"/>
      <c r="AD44" s="102"/>
      <c r="AE44" s="102"/>
      <c r="AF44" s="102"/>
      <c r="AG44" s="103"/>
      <c r="AH44" s="105"/>
      <c r="AI44" s="105"/>
      <c r="AJ44" s="105"/>
      <c r="AK44" s="105"/>
      <c r="AL44" s="105"/>
      <c r="AM44" s="105"/>
      <c r="AN44" s="105"/>
      <c r="AO44" s="103"/>
      <c r="AP44" s="105"/>
      <c r="AQ44" s="105"/>
      <c r="AR44" s="105"/>
      <c r="AS44" s="105"/>
    </row>
    <row r="45" spans="1:45" x14ac:dyDescent="0.25">
      <c r="A45" s="19">
        <v>15</v>
      </c>
      <c r="B45" s="12">
        <v>42100</v>
      </c>
      <c r="C45" s="12">
        <v>42101</v>
      </c>
      <c r="D45" s="12">
        <v>42102</v>
      </c>
      <c r="E45" s="12">
        <v>42103</v>
      </c>
      <c r="F45" s="12">
        <v>42104</v>
      </c>
      <c r="G45" s="12">
        <v>42105</v>
      </c>
      <c r="H45" s="13">
        <v>42106</v>
      </c>
      <c r="J45" s="102"/>
      <c r="K45" s="102"/>
      <c r="L45" s="102"/>
      <c r="M45" s="102"/>
      <c r="N45" s="102"/>
      <c r="O45" s="102"/>
      <c r="P45" s="102"/>
      <c r="Q45" s="103"/>
      <c r="R45" s="105"/>
      <c r="S45" s="105"/>
      <c r="T45" s="105"/>
      <c r="U45" s="105"/>
      <c r="V45" s="105"/>
      <c r="W45" s="105"/>
      <c r="X45" s="105"/>
      <c r="Y45" s="103"/>
      <c r="Z45" s="102"/>
      <c r="AA45" s="102"/>
      <c r="AB45" s="102"/>
      <c r="AC45" s="102"/>
      <c r="AD45" s="102"/>
      <c r="AE45" s="102"/>
      <c r="AF45" s="102"/>
      <c r="AG45" s="103"/>
      <c r="AH45" s="105"/>
      <c r="AI45" s="105"/>
      <c r="AJ45" s="105"/>
      <c r="AK45" s="105"/>
      <c r="AL45" s="105"/>
      <c r="AM45" s="105"/>
      <c r="AN45" s="105"/>
      <c r="AO45" s="103"/>
      <c r="AP45" s="105"/>
      <c r="AQ45" s="105"/>
      <c r="AR45" s="105"/>
      <c r="AS45" s="105"/>
    </row>
    <row r="46" spans="1:45" x14ac:dyDescent="0.25">
      <c r="A46" s="19">
        <v>16</v>
      </c>
      <c r="B46" s="12">
        <v>42107</v>
      </c>
      <c r="C46" s="12">
        <v>42108</v>
      </c>
      <c r="D46" s="12">
        <v>42109</v>
      </c>
      <c r="E46" s="12">
        <v>42110</v>
      </c>
      <c r="F46" s="12">
        <v>42111</v>
      </c>
      <c r="G46" s="12">
        <v>42112</v>
      </c>
      <c r="H46" s="13">
        <v>42113</v>
      </c>
      <c r="J46" s="102"/>
      <c r="K46" s="102"/>
      <c r="L46" s="102"/>
      <c r="M46" s="102"/>
      <c r="N46" s="102"/>
      <c r="O46" s="102"/>
      <c r="P46" s="102"/>
      <c r="Q46" s="103"/>
      <c r="R46" s="105"/>
      <c r="S46" s="105"/>
      <c r="T46" s="105"/>
      <c r="U46" s="105"/>
      <c r="V46" s="105"/>
      <c r="W46" s="105"/>
      <c r="X46" s="105"/>
      <c r="Y46" s="103"/>
      <c r="Z46" s="102"/>
      <c r="AA46" s="102"/>
      <c r="AB46" s="102"/>
      <c r="AC46" s="102"/>
      <c r="AD46" s="102"/>
      <c r="AE46" s="102"/>
      <c r="AF46" s="102"/>
      <c r="AG46" s="103"/>
      <c r="AH46" s="105"/>
      <c r="AI46" s="105"/>
      <c r="AJ46" s="105"/>
      <c r="AK46" s="105"/>
      <c r="AL46" s="105"/>
      <c r="AM46" s="105"/>
      <c r="AN46" s="105"/>
      <c r="AO46" s="103"/>
      <c r="AP46" s="105"/>
      <c r="AQ46" s="105"/>
      <c r="AR46" s="105"/>
      <c r="AS46" s="105"/>
    </row>
    <row r="47" spans="1:45" x14ac:dyDescent="0.25">
      <c r="A47" s="19">
        <v>17</v>
      </c>
      <c r="B47" s="12">
        <v>42114</v>
      </c>
      <c r="C47" s="12">
        <v>42115</v>
      </c>
      <c r="D47" s="12">
        <v>42116</v>
      </c>
      <c r="E47" s="12">
        <v>42117</v>
      </c>
      <c r="F47" s="12">
        <v>42118</v>
      </c>
      <c r="G47" s="12">
        <v>42119</v>
      </c>
      <c r="H47" s="13">
        <v>42120</v>
      </c>
      <c r="J47" s="102"/>
      <c r="K47" s="102"/>
      <c r="L47" s="102"/>
      <c r="M47" s="102"/>
      <c r="N47" s="102"/>
      <c r="O47" s="102"/>
      <c r="P47" s="102"/>
      <c r="Q47" s="103"/>
      <c r="R47" s="105"/>
      <c r="S47" s="105"/>
      <c r="T47" s="105"/>
      <c r="U47" s="105"/>
      <c r="V47" s="105"/>
      <c r="W47" s="105"/>
      <c r="X47" s="105"/>
      <c r="Y47" s="103"/>
      <c r="Z47" s="102"/>
      <c r="AA47" s="102"/>
      <c r="AB47" s="102"/>
      <c r="AC47" s="102"/>
      <c r="AD47" s="102"/>
      <c r="AE47" s="102"/>
      <c r="AF47" s="102"/>
      <c r="AG47" s="103"/>
      <c r="AH47" s="105"/>
      <c r="AI47" s="105"/>
      <c r="AJ47" s="105"/>
      <c r="AK47" s="105"/>
      <c r="AL47" s="105"/>
      <c r="AM47" s="105"/>
      <c r="AN47" s="105"/>
      <c r="AO47" s="103"/>
      <c r="AP47" s="105"/>
      <c r="AQ47" s="105"/>
      <c r="AR47" s="105"/>
      <c r="AS47" s="105"/>
    </row>
    <row r="48" spans="1:45" x14ac:dyDescent="0.25">
      <c r="A48" s="19">
        <v>18</v>
      </c>
      <c r="B48" s="12">
        <v>42121</v>
      </c>
      <c r="C48" s="12">
        <v>42122</v>
      </c>
      <c r="D48" s="12">
        <v>42123</v>
      </c>
      <c r="E48" s="12">
        <v>42124</v>
      </c>
      <c r="F48" s="12">
        <v>42125</v>
      </c>
      <c r="G48" s="12">
        <v>42126</v>
      </c>
      <c r="H48" s="13">
        <v>42127</v>
      </c>
      <c r="J48" s="102"/>
      <c r="K48" s="102"/>
      <c r="L48" s="102"/>
      <c r="M48" s="102"/>
      <c r="N48" s="102"/>
      <c r="O48" s="102"/>
      <c r="P48" s="102"/>
      <c r="Q48" s="103"/>
      <c r="R48" s="105"/>
      <c r="S48" s="105"/>
      <c r="T48" s="105"/>
      <c r="U48" s="105"/>
      <c r="V48" s="105"/>
      <c r="W48" s="105"/>
      <c r="X48" s="105"/>
      <c r="Y48" s="103"/>
      <c r="Z48" s="102"/>
      <c r="AA48" s="102"/>
      <c r="AB48" s="102"/>
      <c r="AC48" s="102"/>
      <c r="AD48" s="102"/>
      <c r="AE48" s="102"/>
      <c r="AF48" s="102"/>
      <c r="AG48" s="103"/>
      <c r="AH48" s="105"/>
      <c r="AI48" s="105"/>
      <c r="AJ48" s="105"/>
      <c r="AK48" s="105"/>
      <c r="AL48" s="105"/>
      <c r="AM48" s="105"/>
      <c r="AN48" s="105"/>
      <c r="AO48" s="103"/>
      <c r="AP48" s="105"/>
      <c r="AQ48" s="105"/>
      <c r="AR48" s="105"/>
      <c r="AS48" s="105"/>
    </row>
    <row r="49" spans="1:45" x14ac:dyDescent="0.25">
      <c r="A49" s="19">
        <v>19</v>
      </c>
      <c r="B49" s="12">
        <v>42128</v>
      </c>
      <c r="C49" s="12">
        <v>42129</v>
      </c>
      <c r="D49" s="12">
        <v>42130</v>
      </c>
      <c r="E49" s="12">
        <v>42131</v>
      </c>
      <c r="F49" s="12">
        <v>42132</v>
      </c>
      <c r="G49" s="12">
        <v>42133</v>
      </c>
      <c r="H49" s="13">
        <v>42134</v>
      </c>
      <c r="J49" s="102"/>
      <c r="K49" s="102"/>
      <c r="L49" s="102"/>
      <c r="M49" s="102"/>
      <c r="N49" s="102"/>
      <c r="O49" s="102"/>
      <c r="P49" s="102"/>
      <c r="Q49" s="103"/>
      <c r="R49" s="105"/>
      <c r="S49" s="105"/>
      <c r="T49" s="105"/>
      <c r="U49" s="105"/>
      <c r="V49" s="105"/>
      <c r="W49" s="105"/>
      <c r="X49" s="105"/>
      <c r="Y49" s="103"/>
      <c r="Z49" s="102"/>
      <c r="AA49" s="102"/>
      <c r="AB49" s="102"/>
      <c r="AC49" s="102"/>
      <c r="AD49" s="102"/>
      <c r="AE49" s="102"/>
      <c r="AF49" s="102"/>
      <c r="AG49" s="103"/>
      <c r="AH49" s="105"/>
      <c r="AI49" s="105"/>
      <c r="AJ49" s="105"/>
      <c r="AK49" s="105"/>
      <c r="AL49" s="105"/>
      <c r="AM49" s="105"/>
      <c r="AN49" s="105"/>
      <c r="AO49" s="103"/>
      <c r="AP49" s="105"/>
      <c r="AQ49" s="105"/>
      <c r="AR49" s="105"/>
      <c r="AS49" s="105"/>
    </row>
    <row r="50" spans="1:45" x14ac:dyDescent="0.25">
      <c r="A50" s="19">
        <v>20</v>
      </c>
      <c r="B50" s="12">
        <v>42135</v>
      </c>
      <c r="C50" s="12">
        <v>42136</v>
      </c>
      <c r="D50" s="12">
        <v>42137</v>
      </c>
      <c r="E50" s="12">
        <v>42138</v>
      </c>
      <c r="F50" s="12">
        <v>42139</v>
      </c>
      <c r="G50" s="12">
        <v>42140</v>
      </c>
      <c r="H50" s="13">
        <v>42141</v>
      </c>
      <c r="J50" s="102"/>
      <c r="K50" s="102"/>
      <c r="L50" s="102"/>
      <c r="M50" s="102"/>
      <c r="N50" s="102"/>
      <c r="O50" s="102"/>
      <c r="P50" s="102"/>
      <c r="Q50" s="103"/>
      <c r="R50" s="105"/>
      <c r="S50" s="105"/>
      <c r="T50" s="105"/>
      <c r="U50" s="105"/>
      <c r="V50" s="105"/>
      <c r="W50" s="105"/>
      <c r="X50" s="105"/>
      <c r="Y50" s="103"/>
      <c r="Z50" s="102"/>
      <c r="AA50" s="102"/>
      <c r="AB50" s="102"/>
      <c r="AC50" s="102"/>
      <c r="AD50" s="102"/>
      <c r="AE50" s="102"/>
      <c r="AF50" s="102"/>
      <c r="AG50" s="103"/>
      <c r="AH50" s="105"/>
      <c r="AI50" s="105"/>
      <c r="AJ50" s="105"/>
      <c r="AK50" s="105"/>
      <c r="AL50" s="105"/>
      <c r="AM50" s="105"/>
      <c r="AN50" s="105"/>
      <c r="AO50" s="103"/>
      <c r="AP50" s="105"/>
      <c r="AQ50" s="105"/>
      <c r="AR50" s="105"/>
      <c r="AS50" s="105"/>
    </row>
    <row r="51" spans="1:45" x14ac:dyDescent="0.25">
      <c r="A51" s="19">
        <v>21</v>
      </c>
      <c r="B51" s="12">
        <v>42142</v>
      </c>
      <c r="C51" s="12">
        <v>42143</v>
      </c>
      <c r="D51" s="12">
        <v>42144</v>
      </c>
      <c r="E51" s="12">
        <v>42145</v>
      </c>
      <c r="F51" s="12">
        <v>42146</v>
      </c>
      <c r="G51" s="12">
        <v>42147</v>
      </c>
      <c r="H51" s="13">
        <v>42148</v>
      </c>
      <c r="J51" s="102"/>
      <c r="K51" s="102"/>
      <c r="L51" s="102"/>
      <c r="M51" s="102"/>
      <c r="N51" s="102"/>
      <c r="O51" s="102"/>
      <c r="P51" s="102"/>
      <c r="Q51" s="103"/>
      <c r="R51" s="105"/>
      <c r="S51" s="105"/>
      <c r="T51" s="105"/>
      <c r="U51" s="105"/>
      <c r="V51" s="105"/>
      <c r="W51" s="105"/>
      <c r="X51" s="105"/>
      <c r="Y51" s="103"/>
      <c r="Z51" s="102"/>
      <c r="AA51" s="102"/>
      <c r="AB51" s="102"/>
      <c r="AC51" s="102"/>
      <c r="AD51" s="102"/>
      <c r="AE51" s="102"/>
      <c r="AF51" s="102"/>
      <c r="AG51" s="103"/>
      <c r="AH51" s="105"/>
      <c r="AI51" s="105"/>
      <c r="AJ51" s="105"/>
      <c r="AK51" s="105"/>
      <c r="AL51" s="105"/>
      <c r="AM51" s="105"/>
      <c r="AN51" s="105"/>
      <c r="AO51" s="103"/>
      <c r="AP51" s="105"/>
      <c r="AQ51" s="105"/>
      <c r="AR51" s="105"/>
      <c r="AS51" s="105"/>
    </row>
    <row r="52" spans="1:45" x14ac:dyDescent="0.25">
      <c r="A52" s="19">
        <v>22</v>
      </c>
      <c r="B52" s="12">
        <v>42149</v>
      </c>
      <c r="C52" s="12">
        <v>42150</v>
      </c>
      <c r="D52" s="12">
        <v>42151</v>
      </c>
      <c r="E52" s="12">
        <v>42152</v>
      </c>
      <c r="F52" s="12">
        <v>42153</v>
      </c>
      <c r="G52" s="12">
        <v>42154</v>
      </c>
      <c r="H52" s="13">
        <v>42155</v>
      </c>
      <c r="J52" s="102"/>
      <c r="K52" s="102"/>
      <c r="L52" s="102"/>
      <c r="M52" s="102"/>
      <c r="N52" s="102"/>
      <c r="O52" s="102"/>
      <c r="P52" s="102"/>
      <c r="Q52" s="103"/>
      <c r="R52" s="105"/>
      <c r="S52" s="105"/>
      <c r="T52" s="105"/>
      <c r="U52" s="105"/>
      <c r="V52" s="105"/>
      <c r="W52" s="105"/>
      <c r="X52" s="105"/>
      <c r="Y52" s="103"/>
      <c r="Z52" s="102"/>
      <c r="AA52" s="102"/>
      <c r="AB52" s="102"/>
      <c r="AC52" s="102"/>
      <c r="AD52" s="102"/>
      <c r="AE52" s="102"/>
      <c r="AF52" s="102"/>
      <c r="AG52" s="103"/>
      <c r="AH52" s="105"/>
      <c r="AI52" s="105"/>
      <c r="AJ52" s="105"/>
      <c r="AK52" s="105"/>
      <c r="AL52" s="105"/>
      <c r="AM52" s="105"/>
      <c r="AN52" s="105"/>
      <c r="AO52" s="103"/>
      <c r="AP52" s="105"/>
      <c r="AQ52" s="105"/>
      <c r="AR52" s="105"/>
      <c r="AS52" s="105"/>
    </row>
    <row r="53" spans="1:45" x14ac:dyDescent="0.25">
      <c r="A53" s="19">
        <v>23</v>
      </c>
      <c r="B53" s="12">
        <v>42156</v>
      </c>
      <c r="C53" s="12">
        <v>42157</v>
      </c>
      <c r="D53" s="12">
        <v>42158</v>
      </c>
      <c r="E53" s="12">
        <v>42159</v>
      </c>
      <c r="F53" s="12">
        <v>42160</v>
      </c>
      <c r="G53" s="12">
        <v>42161</v>
      </c>
      <c r="H53" s="13">
        <v>42162</v>
      </c>
      <c r="J53" s="102"/>
      <c r="K53" s="102"/>
      <c r="L53" s="102"/>
      <c r="M53" s="102"/>
      <c r="N53" s="102"/>
      <c r="O53" s="102"/>
      <c r="P53" s="102"/>
      <c r="Q53" s="103"/>
      <c r="R53" s="105"/>
      <c r="S53" s="105"/>
      <c r="T53" s="105"/>
      <c r="U53" s="105"/>
      <c r="V53" s="105"/>
      <c r="W53" s="105"/>
      <c r="X53" s="105"/>
      <c r="Y53" s="103"/>
      <c r="Z53" s="102"/>
      <c r="AA53" s="102"/>
      <c r="AB53" s="102"/>
      <c r="AC53" s="102"/>
      <c r="AD53" s="102"/>
      <c r="AE53" s="102"/>
      <c r="AF53" s="102"/>
      <c r="AG53" s="103"/>
      <c r="AH53" s="105"/>
      <c r="AI53" s="105"/>
      <c r="AJ53" s="105"/>
      <c r="AK53" s="105"/>
      <c r="AL53" s="105"/>
      <c r="AM53" s="105"/>
      <c r="AN53" s="105"/>
      <c r="AO53" s="103"/>
      <c r="AP53" s="105"/>
      <c r="AQ53" s="105"/>
      <c r="AR53" s="105"/>
      <c r="AS53" s="105"/>
    </row>
    <row r="54" spans="1:45" x14ac:dyDescent="0.25">
      <c r="A54" s="19">
        <v>24</v>
      </c>
      <c r="B54" s="12">
        <v>42163</v>
      </c>
      <c r="C54" s="12">
        <v>42164</v>
      </c>
      <c r="D54" s="12">
        <v>42165</v>
      </c>
      <c r="E54" s="12">
        <v>42166</v>
      </c>
      <c r="F54" s="12">
        <v>42167</v>
      </c>
      <c r="G54" s="12">
        <v>42168</v>
      </c>
      <c r="H54" s="13">
        <v>42169</v>
      </c>
      <c r="J54" s="102"/>
      <c r="K54" s="102"/>
      <c r="L54" s="102"/>
      <c r="M54" s="102"/>
      <c r="N54" s="102"/>
      <c r="O54" s="102"/>
      <c r="P54" s="102"/>
      <c r="Q54" s="103"/>
      <c r="R54" s="105"/>
      <c r="S54" s="105"/>
      <c r="T54" s="105"/>
      <c r="U54" s="105"/>
      <c r="V54" s="105"/>
      <c r="W54" s="105"/>
      <c r="X54" s="105"/>
      <c r="Y54" s="103"/>
      <c r="Z54" s="102"/>
      <c r="AA54" s="102"/>
      <c r="AB54" s="102"/>
      <c r="AC54" s="102"/>
      <c r="AD54" s="102"/>
      <c r="AE54" s="102"/>
      <c r="AF54" s="102"/>
      <c r="AG54" s="103"/>
      <c r="AH54" s="105"/>
      <c r="AI54" s="105"/>
      <c r="AJ54" s="105"/>
      <c r="AK54" s="105"/>
      <c r="AL54" s="105"/>
      <c r="AM54" s="105"/>
      <c r="AN54" s="105"/>
      <c r="AO54" s="103"/>
      <c r="AP54" s="105"/>
      <c r="AQ54" s="105"/>
      <c r="AR54" s="105"/>
      <c r="AS54" s="105"/>
    </row>
    <row r="55" spans="1:45" x14ac:dyDescent="0.25">
      <c r="A55" s="19">
        <v>25</v>
      </c>
      <c r="B55" s="12">
        <v>42170</v>
      </c>
      <c r="C55" s="12">
        <v>42171</v>
      </c>
      <c r="D55" s="12">
        <v>42172</v>
      </c>
      <c r="E55" s="12">
        <v>42173</v>
      </c>
      <c r="F55" s="12">
        <v>42174</v>
      </c>
      <c r="G55" s="12">
        <v>42175</v>
      </c>
      <c r="H55" s="13">
        <v>42176</v>
      </c>
      <c r="J55" s="102"/>
      <c r="K55" s="102"/>
      <c r="L55" s="102"/>
      <c r="M55" s="102"/>
      <c r="N55" s="102"/>
      <c r="O55" s="102"/>
      <c r="P55" s="102"/>
      <c r="Q55" s="103"/>
      <c r="R55" s="105"/>
      <c r="S55" s="105"/>
      <c r="T55" s="105"/>
      <c r="U55" s="105"/>
      <c r="V55" s="105"/>
      <c r="W55" s="105"/>
      <c r="X55" s="105"/>
      <c r="Y55" s="103"/>
      <c r="Z55" s="102"/>
      <c r="AA55" s="102"/>
      <c r="AB55" s="102"/>
      <c r="AC55" s="102"/>
      <c r="AD55" s="102"/>
      <c r="AE55" s="102"/>
      <c r="AF55" s="102"/>
      <c r="AG55" s="103"/>
      <c r="AH55" s="105"/>
      <c r="AI55" s="105"/>
      <c r="AJ55" s="105"/>
      <c r="AK55" s="105"/>
      <c r="AL55" s="105"/>
      <c r="AM55" s="105"/>
      <c r="AN55" s="105"/>
      <c r="AO55" s="103"/>
      <c r="AP55" s="105"/>
      <c r="AQ55" s="105"/>
      <c r="AR55" s="105"/>
      <c r="AS55" s="105"/>
    </row>
    <row r="56" spans="1:45" x14ac:dyDescent="0.25">
      <c r="A56" s="19">
        <v>26</v>
      </c>
      <c r="B56" s="12">
        <v>42177</v>
      </c>
      <c r="C56" s="12">
        <v>42178</v>
      </c>
      <c r="D56" s="12">
        <v>42179</v>
      </c>
      <c r="E56" s="12">
        <v>42180</v>
      </c>
      <c r="F56" s="12">
        <v>42181</v>
      </c>
      <c r="G56" s="12">
        <v>42182</v>
      </c>
      <c r="H56" s="13">
        <v>42183</v>
      </c>
      <c r="J56" s="102"/>
      <c r="K56" s="102"/>
      <c r="L56" s="102"/>
      <c r="M56" s="102"/>
      <c r="N56" s="102"/>
      <c r="O56" s="102"/>
      <c r="P56" s="102"/>
      <c r="Q56" s="103"/>
      <c r="R56" s="105"/>
      <c r="S56" s="105"/>
      <c r="T56" s="105"/>
      <c r="U56" s="105"/>
      <c r="V56" s="105"/>
      <c r="W56" s="105"/>
      <c r="X56" s="105"/>
      <c r="Y56" s="103"/>
      <c r="Z56" s="102"/>
      <c r="AA56" s="102"/>
      <c r="AB56" s="102"/>
      <c r="AC56" s="102"/>
      <c r="AD56" s="102"/>
      <c r="AE56" s="102"/>
      <c r="AF56" s="102"/>
      <c r="AG56" s="103"/>
      <c r="AH56" s="105"/>
      <c r="AI56" s="105"/>
      <c r="AJ56" s="105"/>
      <c r="AK56" s="105"/>
      <c r="AL56" s="105"/>
      <c r="AM56" s="105"/>
      <c r="AN56" s="105"/>
      <c r="AO56" s="103"/>
      <c r="AP56" s="105"/>
      <c r="AQ56" s="105"/>
      <c r="AR56" s="105"/>
      <c r="AS56" s="105"/>
    </row>
    <row r="57" spans="1:45" x14ac:dyDescent="0.25">
      <c r="A57" s="19">
        <v>27</v>
      </c>
      <c r="B57" s="12">
        <v>42184</v>
      </c>
      <c r="C57" s="12">
        <v>42185</v>
      </c>
      <c r="D57" s="12">
        <v>42186</v>
      </c>
      <c r="E57" s="12">
        <v>42187</v>
      </c>
      <c r="F57" s="12">
        <v>42188</v>
      </c>
      <c r="G57" s="12">
        <v>42189</v>
      </c>
      <c r="H57" s="13">
        <v>42190</v>
      </c>
      <c r="J57" s="102"/>
      <c r="K57" s="102"/>
      <c r="L57" s="102"/>
      <c r="M57" s="102"/>
      <c r="N57" s="102"/>
      <c r="O57" s="102"/>
      <c r="P57" s="102"/>
      <c r="Q57" s="103"/>
      <c r="R57" s="105"/>
      <c r="S57" s="105"/>
      <c r="T57" s="105"/>
      <c r="U57" s="105"/>
      <c r="V57" s="105"/>
      <c r="W57" s="105"/>
      <c r="X57" s="105"/>
      <c r="Y57" s="103"/>
      <c r="Z57" s="102"/>
      <c r="AA57" s="102"/>
      <c r="AB57" s="102"/>
      <c r="AC57" s="102"/>
      <c r="AD57" s="102"/>
      <c r="AE57" s="102"/>
      <c r="AF57" s="102"/>
      <c r="AG57" s="103"/>
      <c r="AH57" s="105"/>
      <c r="AI57" s="105"/>
      <c r="AJ57" s="105"/>
      <c r="AK57" s="105"/>
      <c r="AL57" s="105"/>
      <c r="AM57" s="105"/>
      <c r="AN57" s="105"/>
      <c r="AO57" s="103"/>
      <c r="AP57" s="105"/>
      <c r="AQ57" s="105"/>
      <c r="AR57" s="105"/>
      <c r="AS57" s="105"/>
    </row>
    <row r="58" spans="1:45" x14ac:dyDescent="0.25">
      <c r="A58" s="19">
        <v>28</v>
      </c>
      <c r="B58" s="12">
        <v>42191</v>
      </c>
      <c r="C58" s="12">
        <v>42192</v>
      </c>
      <c r="D58" s="12">
        <v>42193</v>
      </c>
      <c r="E58" s="12">
        <v>42194</v>
      </c>
      <c r="F58" s="12">
        <v>42195</v>
      </c>
      <c r="G58" s="12">
        <v>42196</v>
      </c>
      <c r="H58" s="13">
        <v>42197</v>
      </c>
      <c r="J58" s="102"/>
      <c r="K58" s="102"/>
      <c r="L58" s="102"/>
      <c r="M58" s="102"/>
      <c r="N58" s="102"/>
      <c r="O58" s="102"/>
      <c r="P58" s="102"/>
      <c r="Q58" s="103"/>
      <c r="R58" s="105"/>
      <c r="S58" s="105"/>
      <c r="T58" s="105"/>
      <c r="U58" s="105"/>
      <c r="V58" s="105"/>
      <c r="W58" s="105"/>
      <c r="X58" s="105"/>
      <c r="Y58" s="103"/>
      <c r="Z58" s="102"/>
      <c r="AA58" s="102"/>
      <c r="AB58" s="102"/>
      <c r="AC58" s="102"/>
      <c r="AD58" s="102"/>
      <c r="AE58" s="102"/>
      <c r="AF58" s="102"/>
      <c r="AG58" s="103"/>
      <c r="AH58" s="105"/>
      <c r="AI58" s="105"/>
      <c r="AJ58" s="105"/>
      <c r="AK58" s="105"/>
      <c r="AL58" s="105"/>
      <c r="AM58" s="105"/>
      <c r="AN58" s="105"/>
      <c r="AO58" s="103"/>
      <c r="AP58" s="105"/>
      <c r="AQ58" s="105"/>
      <c r="AR58" s="105"/>
      <c r="AS58" s="105"/>
    </row>
    <row r="59" spans="1:45" x14ac:dyDescent="0.25">
      <c r="A59" s="19">
        <v>29</v>
      </c>
      <c r="B59" s="12">
        <v>42198</v>
      </c>
      <c r="C59" s="12">
        <v>42199</v>
      </c>
      <c r="D59" s="12">
        <v>42200</v>
      </c>
      <c r="E59" s="12">
        <v>42201</v>
      </c>
      <c r="F59" s="12">
        <v>42202</v>
      </c>
      <c r="G59" s="12">
        <v>42203</v>
      </c>
      <c r="H59" s="13">
        <v>42204</v>
      </c>
      <c r="J59" s="102"/>
      <c r="K59" s="102"/>
      <c r="L59" s="102"/>
      <c r="M59" s="102"/>
      <c r="N59" s="102"/>
      <c r="O59" s="102"/>
      <c r="P59" s="102"/>
      <c r="Q59" s="103"/>
      <c r="R59" s="105"/>
      <c r="S59" s="105"/>
      <c r="T59" s="105"/>
      <c r="U59" s="105"/>
      <c r="V59" s="105"/>
      <c r="W59" s="105"/>
      <c r="X59" s="105"/>
      <c r="Y59" s="103"/>
      <c r="Z59" s="102"/>
      <c r="AA59" s="102"/>
      <c r="AB59" s="102"/>
      <c r="AC59" s="102"/>
      <c r="AD59" s="102"/>
      <c r="AE59" s="102"/>
      <c r="AF59" s="102"/>
      <c r="AG59" s="103"/>
      <c r="AH59" s="105"/>
      <c r="AI59" s="105"/>
      <c r="AJ59" s="105"/>
      <c r="AK59" s="105"/>
      <c r="AL59" s="105"/>
      <c r="AM59" s="105"/>
      <c r="AN59" s="105"/>
      <c r="AO59" s="103"/>
      <c r="AP59" s="105"/>
      <c r="AQ59" s="105"/>
      <c r="AR59" s="105"/>
      <c r="AS59" s="105"/>
    </row>
    <row r="60" spans="1:45" x14ac:dyDescent="0.25">
      <c r="A60" s="19">
        <v>30</v>
      </c>
      <c r="B60" s="12">
        <v>42205</v>
      </c>
      <c r="C60" s="12">
        <v>42206</v>
      </c>
      <c r="D60" s="12">
        <v>42207</v>
      </c>
      <c r="E60" s="12">
        <v>42208</v>
      </c>
      <c r="F60" s="12">
        <v>42209</v>
      </c>
      <c r="G60" s="12">
        <v>42210</v>
      </c>
      <c r="H60" s="13">
        <v>42211</v>
      </c>
      <c r="J60" s="102"/>
      <c r="K60" s="102"/>
      <c r="L60" s="102"/>
      <c r="M60" s="102"/>
      <c r="N60" s="102"/>
      <c r="O60" s="102"/>
      <c r="P60" s="102"/>
      <c r="Q60" s="103"/>
      <c r="R60" s="105"/>
      <c r="S60" s="105"/>
      <c r="T60" s="105"/>
      <c r="U60" s="105"/>
      <c r="V60" s="105"/>
      <c r="W60" s="105"/>
      <c r="X60" s="105"/>
      <c r="Y60" s="103"/>
      <c r="Z60" s="102"/>
      <c r="AA60" s="102"/>
      <c r="AB60" s="102"/>
      <c r="AC60" s="102"/>
      <c r="AD60" s="102"/>
      <c r="AE60" s="102"/>
      <c r="AF60" s="102"/>
      <c r="AG60" s="103"/>
      <c r="AH60" s="105"/>
      <c r="AI60" s="105"/>
      <c r="AJ60" s="105"/>
      <c r="AK60" s="105"/>
      <c r="AL60" s="105"/>
      <c r="AM60" s="105"/>
      <c r="AN60" s="105"/>
      <c r="AO60" s="103"/>
      <c r="AP60" s="105"/>
      <c r="AQ60" s="105"/>
      <c r="AR60" s="105"/>
      <c r="AS60" s="105"/>
    </row>
    <row r="61" spans="1:45" x14ac:dyDescent="0.25">
      <c r="A61" s="19">
        <v>31</v>
      </c>
      <c r="B61" s="12">
        <v>42212</v>
      </c>
      <c r="C61" s="12">
        <v>42213</v>
      </c>
      <c r="D61" s="12">
        <v>42214</v>
      </c>
      <c r="E61" s="12">
        <v>42215</v>
      </c>
      <c r="F61" s="12">
        <v>42216</v>
      </c>
      <c r="G61" s="12">
        <v>42217</v>
      </c>
      <c r="H61" s="13">
        <v>42218</v>
      </c>
      <c r="J61" s="102"/>
      <c r="K61" s="102"/>
      <c r="L61" s="102"/>
      <c r="M61" s="102"/>
      <c r="N61" s="102"/>
      <c r="O61" s="102"/>
      <c r="P61" s="102"/>
      <c r="Q61" s="103"/>
      <c r="R61" s="105"/>
      <c r="S61" s="105"/>
      <c r="T61" s="105"/>
      <c r="U61" s="105"/>
      <c r="V61" s="105"/>
      <c r="W61" s="105"/>
      <c r="X61" s="105"/>
      <c r="Y61" s="103"/>
      <c r="Z61" s="102"/>
      <c r="AA61" s="102"/>
      <c r="AB61" s="102"/>
      <c r="AC61" s="102"/>
      <c r="AD61" s="102"/>
      <c r="AE61" s="102"/>
      <c r="AF61" s="102"/>
      <c r="AG61" s="103"/>
      <c r="AH61" s="105"/>
      <c r="AI61" s="105"/>
      <c r="AJ61" s="105"/>
      <c r="AK61" s="105"/>
      <c r="AL61" s="105"/>
      <c r="AM61" s="105"/>
      <c r="AN61" s="105"/>
      <c r="AO61" s="103"/>
      <c r="AP61" s="105"/>
      <c r="AQ61" s="105"/>
      <c r="AR61" s="105"/>
      <c r="AS61" s="105"/>
    </row>
    <row r="62" spans="1:45" x14ac:dyDescent="0.25">
      <c r="A62" s="19">
        <v>32</v>
      </c>
      <c r="B62" s="12">
        <v>42219</v>
      </c>
      <c r="C62" s="12">
        <v>42220</v>
      </c>
      <c r="D62" s="12">
        <v>42221</v>
      </c>
      <c r="E62" s="12">
        <v>42222</v>
      </c>
      <c r="F62" s="12">
        <v>42223</v>
      </c>
      <c r="G62" s="12">
        <v>42224</v>
      </c>
      <c r="H62" s="13">
        <v>42225</v>
      </c>
      <c r="J62" s="102"/>
      <c r="K62" s="102"/>
      <c r="L62" s="102"/>
      <c r="M62" s="102"/>
      <c r="N62" s="102"/>
      <c r="O62" s="102"/>
      <c r="P62" s="102"/>
      <c r="Q62" s="103"/>
      <c r="R62" s="105"/>
      <c r="S62" s="105"/>
      <c r="T62" s="105"/>
      <c r="U62" s="105"/>
      <c r="V62" s="105"/>
      <c r="W62" s="105"/>
      <c r="X62" s="105"/>
      <c r="Y62" s="103"/>
      <c r="Z62" s="102"/>
      <c r="AA62" s="102"/>
      <c r="AB62" s="102"/>
      <c r="AC62" s="102"/>
      <c r="AD62" s="102"/>
      <c r="AE62" s="102"/>
      <c r="AF62" s="102"/>
      <c r="AG62" s="103"/>
      <c r="AH62" s="105"/>
      <c r="AI62" s="105"/>
      <c r="AJ62" s="105"/>
      <c r="AK62" s="105"/>
      <c r="AL62" s="105"/>
      <c r="AM62" s="105"/>
      <c r="AN62" s="105"/>
      <c r="AO62" s="103"/>
      <c r="AP62" s="105"/>
      <c r="AQ62" s="105"/>
      <c r="AR62" s="105"/>
      <c r="AS62" s="105"/>
    </row>
    <row r="63" spans="1:45" x14ac:dyDescent="0.25">
      <c r="A63" s="19">
        <v>33</v>
      </c>
      <c r="B63" s="12">
        <v>42226</v>
      </c>
      <c r="C63" s="12">
        <v>42227</v>
      </c>
      <c r="D63" s="12">
        <v>42228</v>
      </c>
      <c r="E63" s="12">
        <v>42229</v>
      </c>
      <c r="F63" s="12">
        <v>42230</v>
      </c>
      <c r="G63" s="12">
        <v>42231</v>
      </c>
      <c r="H63" s="13">
        <v>42232</v>
      </c>
      <c r="J63" s="102"/>
      <c r="K63" s="102"/>
      <c r="L63" s="102"/>
      <c r="M63" s="102"/>
      <c r="N63" s="102"/>
      <c r="O63" s="102"/>
      <c r="P63" s="102"/>
      <c r="Q63" s="103"/>
      <c r="R63" s="105"/>
      <c r="S63" s="105"/>
      <c r="T63" s="105"/>
      <c r="U63" s="105"/>
      <c r="V63" s="105"/>
      <c r="W63" s="105"/>
      <c r="X63" s="105"/>
      <c r="Y63" s="103"/>
      <c r="Z63" s="102"/>
      <c r="AA63" s="102"/>
      <c r="AB63" s="102"/>
      <c r="AC63" s="102"/>
      <c r="AD63" s="102"/>
      <c r="AE63" s="102"/>
      <c r="AF63" s="102"/>
      <c r="AG63" s="103"/>
      <c r="AH63" s="105"/>
      <c r="AI63" s="105"/>
      <c r="AJ63" s="105"/>
      <c r="AK63" s="105"/>
      <c r="AL63" s="105"/>
      <c r="AM63" s="105"/>
      <c r="AN63" s="105"/>
      <c r="AO63" s="103"/>
      <c r="AP63" s="105"/>
      <c r="AQ63" s="105"/>
      <c r="AR63" s="105"/>
      <c r="AS63" s="105"/>
    </row>
    <row r="64" spans="1:45" x14ac:dyDescent="0.25">
      <c r="A64" s="19">
        <v>34</v>
      </c>
      <c r="B64" s="12">
        <v>42233</v>
      </c>
      <c r="C64" s="12">
        <v>42234</v>
      </c>
      <c r="D64" s="12">
        <v>42235</v>
      </c>
      <c r="E64" s="12">
        <v>42236</v>
      </c>
      <c r="F64" s="12">
        <v>42237</v>
      </c>
      <c r="G64" s="12">
        <v>42238</v>
      </c>
      <c r="H64" s="13">
        <v>42239</v>
      </c>
      <c r="J64" s="102"/>
      <c r="K64" s="102"/>
      <c r="L64" s="102"/>
      <c r="M64" s="102"/>
      <c r="N64" s="102"/>
      <c r="O64" s="102"/>
      <c r="P64" s="102"/>
      <c r="Q64" s="103"/>
      <c r="R64" s="105"/>
      <c r="S64" s="105"/>
      <c r="T64" s="105"/>
      <c r="U64" s="105"/>
      <c r="V64" s="105"/>
      <c r="W64" s="105"/>
      <c r="X64" s="105"/>
      <c r="Y64" s="103"/>
      <c r="Z64" s="102"/>
      <c r="AA64" s="102"/>
      <c r="AB64" s="102"/>
      <c r="AC64" s="102"/>
      <c r="AD64" s="102"/>
      <c r="AE64" s="102"/>
      <c r="AF64" s="102"/>
      <c r="AG64" s="103"/>
      <c r="AH64" s="105"/>
      <c r="AI64" s="105"/>
      <c r="AJ64" s="105"/>
      <c r="AK64" s="105"/>
      <c r="AL64" s="105"/>
      <c r="AM64" s="105"/>
      <c r="AN64" s="105"/>
      <c r="AO64" s="103"/>
      <c r="AP64" s="105"/>
      <c r="AQ64" s="105"/>
      <c r="AR64" s="105"/>
      <c r="AS64" s="105"/>
    </row>
    <row r="65" spans="1:45" x14ac:dyDescent="0.25">
      <c r="A65" s="19">
        <v>35</v>
      </c>
      <c r="B65" s="12">
        <v>42240</v>
      </c>
      <c r="C65" s="12">
        <v>42241</v>
      </c>
      <c r="D65" s="12">
        <v>42242</v>
      </c>
      <c r="E65" s="12">
        <v>42243</v>
      </c>
      <c r="F65" s="12">
        <v>42244</v>
      </c>
      <c r="G65" s="12">
        <v>42245</v>
      </c>
      <c r="H65" s="13">
        <v>42246</v>
      </c>
      <c r="J65" s="102"/>
      <c r="K65" s="102"/>
      <c r="L65" s="102"/>
      <c r="M65" s="102"/>
      <c r="N65" s="102"/>
      <c r="O65" s="102"/>
      <c r="P65" s="102"/>
      <c r="Q65" s="103"/>
      <c r="R65" s="105"/>
      <c r="S65" s="105"/>
      <c r="T65" s="105"/>
      <c r="U65" s="105"/>
      <c r="V65" s="105"/>
      <c r="W65" s="105"/>
      <c r="X65" s="105"/>
      <c r="Y65" s="103"/>
      <c r="Z65" s="102"/>
      <c r="AA65" s="102"/>
      <c r="AB65" s="102"/>
      <c r="AC65" s="102"/>
      <c r="AD65" s="102"/>
      <c r="AE65" s="102"/>
      <c r="AF65" s="102"/>
      <c r="AG65" s="103"/>
      <c r="AH65" s="105"/>
      <c r="AI65" s="105"/>
      <c r="AJ65" s="105"/>
      <c r="AK65" s="105"/>
      <c r="AL65" s="105"/>
      <c r="AM65" s="105"/>
      <c r="AN65" s="105"/>
      <c r="AO65" s="103"/>
      <c r="AP65" s="105"/>
      <c r="AQ65" s="105"/>
      <c r="AR65" s="105"/>
      <c r="AS65" s="105"/>
    </row>
    <row r="66" spans="1:45" x14ac:dyDescent="0.25">
      <c r="A66" s="19">
        <v>36</v>
      </c>
      <c r="B66" s="12">
        <v>42247</v>
      </c>
      <c r="C66" s="12">
        <v>42248</v>
      </c>
      <c r="D66" s="12">
        <v>42249</v>
      </c>
      <c r="E66" s="12">
        <v>42250</v>
      </c>
      <c r="F66" s="12">
        <v>42251</v>
      </c>
      <c r="G66" s="12">
        <v>42252</v>
      </c>
      <c r="H66" s="13">
        <v>42253</v>
      </c>
      <c r="J66" s="102"/>
      <c r="K66" s="102"/>
      <c r="L66" s="102"/>
      <c r="M66" s="102"/>
      <c r="N66" s="102"/>
      <c r="O66" s="102"/>
      <c r="P66" s="102"/>
      <c r="Q66" s="103"/>
      <c r="R66" s="105"/>
      <c r="S66" s="105"/>
      <c r="T66" s="105"/>
      <c r="U66" s="105"/>
      <c r="V66" s="105"/>
      <c r="W66" s="105"/>
      <c r="X66" s="105"/>
      <c r="Y66" s="103"/>
      <c r="Z66" s="102"/>
      <c r="AA66" s="102"/>
      <c r="AB66" s="102"/>
      <c r="AC66" s="102"/>
      <c r="AD66" s="102"/>
      <c r="AE66" s="102"/>
      <c r="AF66" s="102"/>
      <c r="AG66" s="103"/>
      <c r="AH66" s="105"/>
      <c r="AI66" s="105"/>
      <c r="AJ66" s="105"/>
      <c r="AK66" s="105"/>
      <c r="AL66" s="105"/>
      <c r="AM66" s="105"/>
      <c r="AN66" s="105"/>
      <c r="AO66" s="103"/>
      <c r="AP66" s="105"/>
      <c r="AQ66" s="105"/>
      <c r="AR66" s="105"/>
      <c r="AS66" s="105"/>
    </row>
    <row r="67" spans="1:45" x14ac:dyDescent="0.25">
      <c r="A67" s="19">
        <v>37</v>
      </c>
      <c r="B67" s="12">
        <v>42254</v>
      </c>
      <c r="C67" s="12">
        <v>42255</v>
      </c>
      <c r="D67" s="12">
        <v>42256</v>
      </c>
      <c r="E67" s="12">
        <v>42257</v>
      </c>
      <c r="F67" s="12">
        <v>42258</v>
      </c>
      <c r="G67" s="12">
        <v>42259</v>
      </c>
      <c r="H67" s="13">
        <v>42260</v>
      </c>
      <c r="J67" s="102"/>
      <c r="K67" s="102"/>
      <c r="L67" s="102"/>
      <c r="M67" s="102"/>
      <c r="N67" s="102"/>
      <c r="O67" s="102"/>
      <c r="P67" s="102"/>
      <c r="Q67" s="103"/>
      <c r="R67" s="105"/>
      <c r="S67" s="105"/>
      <c r="T67" s="105"/>
      <c r="U67" s="105"/>
      <c r="V67" s="105"/>
      <c r="W67" s="105"/>
      <c r="X67" s="105"/>
      <c r="Y67" s="103"/>
      <c r="Z67" s="102"/>
      <c r="AA67" s="102"/>
      <c r="AB67" s="102"/>
      <c r="AC67" s="102"/>
      <c r="AD67" s="102"/>
      <c r="AE67" s="102"/>
      <c r="AF67" s="102"/>
      <c r="AG67" s="103"/>
      <c r="AH67" s="105"/>
      <c r="AI67" s="105"/>
      <c r="AJ67" s="105"/>
      <c r="AK67" s="105"/>
      <c r="AL67" s="105"/>
      <c r="AM67" s="105"/>
      <c r="AN67" s="105"/>
      <c r="AO67" s="103"/>
      <c r="AP67" s="105"/>
      <c r="AQ67" s="105"/>
      <c r="AR67" s="105"/>
      <c r="AS67" s="105"/>
    </row>
    <row r="68" spans="1:45" x14ac:dyDescent="0.25">
      <c r="A68" s="19">
        <v>38</v>
      </c>
      <c r="B68" s="12">
        <v>42261</v>
      </c>
      <c r="C68" s="12">
        <v>42262</v>
      </c>
      <c r="D68" s="12">
        <v>42263</v>
      </c>
      <c r="E68" s="12">
        <v>42264</v>
      </c>
      <c r="F68" s="12">
        <v>42265</v>
      </c>
      <c r="G68" s="12">
        <v>42266</v>
      </c>
      <c r="H68" s="13">
        <v>42267</v>
      </c>
      <c r="J68" s="102"/>
      <c r="K68" s="102"/>
      <c r="L68" s="102"/>
      <c r="M68" s="102"/>
      <c r="N68" s="102"/>
      <c r="O68" s="102"/>
      <c r="P68" s="102"/>
      <c r="Q68" s="103"/>
      <c r="R68" s="105"/>
      <c r="S68" s="105"/>
      <c r="T68" s="105"/>
      <c r="U68" s="105"/>
      <c r="V68" s="105"/>
      <c r="W68" s="105"/>
      <c r="X68" s="105"/>
      <c r="Y68" s="103"/>
      <c r="Z68" s="102"/>
      <c r="AA68" s="102"/>
      <c r="AB68" s="102"/>
      <c r="AC68" s="102"/>
      <c r="AD68" s="102"/>
      <c r="AE68" s="102"/>
      <c r="AF68" s="102"/>
      <c r="AG68" s="103"/>
      <c r="AH68" s="105"/>
      <c r="AI68" s="105"/>
      <c r="AJ68" s="105"/>
      <c r="AK68" s="105"/>
      <c r="AL68" s="105"/>
      <c r="AM68" s="105"/>
      <c r="AN68" s="105"/>
      <c r="AO68" s="103"/>
      <c r="AP68" s="105"/>
      <c r="AQ68" s="105"/>
      <c r="AR68" s="105"/>
      <c r="AS68" s="105"/>
    </row>
    <row r="69" spans="1:45" x14ac:dyDescent="0.25">
      <c r="A69" s="19">
        <v>39</v>
      </c>
      <c r="B69" s="12">
        <v>42268</v>
      </c>
      <c r="C69" s="12">
        <v>42269</v>
      </c>
      <c r="D69" s="12">
        <v>42270</v>
      </c>
      <c r="E69" s="12">
        <v>42271</v>
      </c>
      <c r="F69" s="12">
        <v>42272</v>
      </c>
      <c r="G69" s="12">
        <v>42273</v>
      </c>
      <c r="H69" s="13">
        <v>42274</v>
      </c>
      <c r="J69" s="102"/>
      <c r="K69" s="102"/>
      <c r="L69" s="102"/>
      <c r="M69" s="102"/>
      <c r="N69" s="102"/>
      <c r="O69" s="102"/>
      <c r="P69" s="102"/>
      <c r="Q69" s="103"/>
      <c r="R69" s="105"/>
      <c r="S69" s="105"/>
      <c r="T69" s="105"/>
      <c r="U69" s="105"/>
      <c r="V69" s="105"/>
      <c r="W69" s="105"/>
      <c r="X69" s="105"/>
      <c r="Y69" s="103"/>
      <c r="Z69" s="102"/>
      <c r="AA69" s="102"/>
      <c r="AB69" s="102"/>
      <c r="AC69" s="102"/>
      <c r="AD69" s="102"/>
      <c r="AE69" s="102"/>
      <c r="AF69" s="102"/>
      <c r="AG69" s="103"/>
      <c r="AH69" s="105"/>
      <c r="AI69" s="105"/>
      <c r="AJ69" s="105"/>
      <c r="AK69" s="105"/>
      <c r="AL69" s="105"/>
      <c r="AM69" s="105"/>
      <c r="AN69" s="105"/>
      <c r="AO69" s="103"/>
      <c r="AP69" s="105"/>
      <c r="AQ69" s="105"/>
      <c r="AR69" s="105"/>
      <c r="AS69" s="105"/>
    </row>
    <row r="70" spans="1:45" x14ac:dyDescent="0.25">
      <c r="A70" s="19">
        <v>40</v>
      </c>
      <c r="B70" s="12">
        <v>42275</v>
      </c>
      <c r="C70" s="12">
        <v>42276</v>
      </c>
      <c r="D70" s="12">
        <v>42277</v>
      </c>
      <c r="E70" s="12">
        <v>42278</v>
      </c>
      <c r="F70" s="12">
        <v>42279</v>
      </c>
      <c r="G70" s="12">
        <v>42280</v>
      </c>
      <c r="H70" s="13">
        <v>42281</v>
      </c>
      <c r="J70" s="102"/>
      <c r="K70" s="102"/>
      <c r="L70" s="102"/>
      <c r="M70" s="102"/>
      <c r="N70" s="102"/>
      <c r="O70" s="102"/>
      <c r="P70" s="102"/>
      <c r="Q70" s="103"/>
      <c r="R70" s="105"/>
      <c r="S70" s="105"/>
      <c r="T70" s="105"/>
      <c r="U70" s="105"/>
      <c r="V70" s="105"/>
      <c r="W70" s="105"/>
      <c r="X70" s="105"/>
      <c r="Y70" s="103"/>
      <c r="Z70" s="102"/>
      <c r="AA70" s="102"/>
      <c r="AB70" s="102"/>
      <c r="AC70" s="102"/>
      <c r="AD70" s="102"/>
      <c r="AE70" s="102"/>
      <c r="AF70" s="102"/>
      <c r="AG70" s="103"/>
      <c r="AH70" s="105"/>
      <c r="AI70" s="105"/>
      <c r="AJ70" s="105"/>
      <c r="AK70" s="105"/>
      <c r="AL70" s="105"/>
      <c r="AM70" s="105"/>
      <c r="AN70" s="105"/>
      <c r="AO70" s="103"/>
      <c r="AP70" s="105"/>
      <c r="AQ70" s="105"/>
      <c r="AR70" s="105"/>
      <c r="AS70" s="105"/>
    </row>
    <row r="71" spans="1:45" x14ac:dyDescent="0.25">
      <c r="A71" s="19">
        <v>41</v>
      </c>
      <c r="B71" s="12">
        <v>42282</v>
      </c>
      <c r="C71" s="12">
        <v>42283</v>
      </c>
      <c r="D71" s="12">
        <v>42284</v>
      </c>
      <c r="E71" s="12">
        <v>42285</v>
      </c>
      <c r="F71" s="12">
        <v>42286</v>
      </c>
      <c r="G71" s="12">
        <v>42287</v>
      </c>
      <c r="H71" s="13">
        <v>42288</v>
      </c>
      <c r="J71" s="102"/>
      <c r="K71" s="102"/>
      <c r="L71" s="102"/>
      <c r="M71" s="102"/>
      <c r="N71" s="102"/>
      <c r="O71" s="102"/>
      <c r="P71" s="102"/>
      <c r="Q71" s="103"/>
      <c r="R71" s="105"/>
      <c r="S71" s="105"/>
      <c r="T71" s="105"/>
      <c r="U71" s="105"/>
      <c r="V71" s="105"/>
      <c r="W71" s="105"/>
      <c r="X71" s="105"/>
      <c r="Y71" s="103"/>
      <c r="Z71" s="102"/>
      <c r="AA71" s="102"/>
      <c r="AB71" s="102"/>
      <c r="AC71" s="102"/>
      <c r="AD71" s="102"/>
      <c r="AE71" s="102"/>
      <c r="AF71" s="102"/>
      <c r="AG71" s="103"/>
      <c r="AH71" s="105"/>
      <c r="AI71" s="105"/>
      <c r="AJ71" s="105"/>
      <c r="AK71" s="105"/>
      <c r="AL71" s="105"/>
      <c r="AM71" s="105"/>
      <c r="AN71" s="105"/>
      <c r="AO71" s="103"/>
      <c r="AP71" s="105"/>
      <c r="AQ71" s="105"/>
      <c r="AR71" s="105"/>
      <c r="AS71" s="105"/>
    </row>
    <row r="72" spans="1:45" x14ac:dyDescent="0.25">
      <c r="A72" s="19">
        <v>42</v>
      </c>
      <c r="B72" s="12">
        <v>42289</v>
      </c>
      <c r="C72" s="12">
        <v>42290</v>
      </c>
      <c r="D72" s="12">
        <v>42291</v>
      </c>
      <c r="E72" s="12">
        <v>42292</v>
      </c>
      <c r="F72" s="12">
        <v>42293</v>
      </c>
      <c r="G72" s="12">
        <v>42294</v>
      </c>
      <c r="H72" s="13">
        <v>42295</v>
      </c>
      <c r="J72" s="102"/>
      <c r="K72" s="102"/>
      <c r="L72" s="102"/>
      <c r="M72" s="102"/>
      <c r="N72" s="102"/>
      <c r="O72" s="102"/>
      <c r="P72" s="102"/>
      <c r="Q72" s="103"/>
      <c r="R72" s="105"/>
      <c r="S72" s="105"/>
      <c r="T72" s="105"/>
      <c r="U72" s="105"/>
      <c r="V72" s="105"/>
      <c r="W72" s="105"/>
      <c r="X72" s="105"/>
      <c r="Y72" s="103"/>
      <c r="Z72" s="102"/>
      <c r="AA72" s="102"/>
      <c r="AB72" s="102"/>
      <c r="AC72" s="102"/>
      <c r="AD72" s="102"/>
      <c r="AE72" s="102"/>
      <c r="AF72" s="102"/>
      <c r="AG72" s="103"/>
      <c r="AH72" s="105"/>
      <c r="AI72" s="105"/>
      <c r="AJ72" s="105"/>
      <c r="AK72" s="105"/>
      <c r="AL72" s="105"/>
      <c r="AM72" s="105"/>
      <c r="AN72" s="105"/>
      <c r="AO72" s="103"/>
      <c r="AP72" s="105"/>
      <c r="AQ72" s="105"/>
      <c r="AR72" s="105"/>
      <c r="AS72" s="105"/>
    </row>
    <row r="73" spans="1:45" x14ac:dyDescent="0.25">
      <c r="A73" s="19">
        <v>43</v>
      </c>
      <c r="B73" s="12">
        <v>42296</v>
      </c>
      <c r="C73" s="12">
        <v>42297</v>
      </c>
      <c r="D73" s="12">
        <v>42298</v>
      </c>
      <c r="E73" s="12">
        <v>42299</v>
      </c>
      <c r="F73" s="12">
        <v>42300</v>
      </c>
      <c r="G73" s="12">
        <v>42301</v>
      </c>
      <c r="H73" s="13">
        <v>42302</v>
      </c>
      <c r="J73" s="102"/>
      <c r="K73" s="102"/>
      <c r="L73" s="102"/>
      <c r="M73" s="102"/>
      <c r="N73" s="102"/>
      <c r="O73" s="102"/>
      <c r="P73" s="102"/>
      <c r="Q73" s="103"/>
      <c r="R73" s="105"/>
      <c r="S73" s="105"/>
      <c r="T73" s="105"/>
      <c r="U73" s="105"/>
      <c r="V73" s="105"/>
      <c r="W73" s="105"/>
      <c r="X73" s="105"/>
      <c r="Y73" s="103"/>
      <c r="Z73" s="102"/>
      <c r="AA73" s="102"/>
      <c r="AB73" s="102"/>
      <c r="AC73" s="102"/>
      <c r="AD73" s="102"/>
      <c r="AE73" s="102"/>
      <c r="AF73" s="102"/>
      <c r="AG73" s="103"/>
      <c r="AH73" s="105"/>
      <c r="AI73" s="105"/>
      <c r="AJ73" s="105"/>
      <c r="AK73" s="105"/>
      <c r="AL73" s="105"/>
      <c r="AM73" s="105"/>
      <c r="AN73" s="105"/>
      <c r="AO73" s="103"/>
      <c r="AP73" s="105"/>
      <c r="AQ73" s="105"/>
      <c r="AR73" s="105"/>
      <c r="AS73" s="105"/>
    </row>
    <row r="74" spans="1:45" x14ac:dyDescent="0.25">
      <c r="A74" s="19">
        <v>44</v>
      </c>
      <c r="B74" s="12">
        <v>42303</v>
      </c>
      <c r="C74" s="12">
        <v>42304</v>
      </c>
      <c r="D74" s="12">
        <v>42305</v>
      </c>
      <c r="E74" s="12">
        <v>42306</v>
      </c>
      <c r="F74" s="12">
        <v>42307</v>
      </c>
      <c r="G74" s="12">
        <v>42308</v>
      </c>
      <c r="H74" s="13">
        <v>42309</v>
      </c>
      <c r="J74" s="102"/>
      <c r="K74" s="102"/>
      <c r="L74" s="102"/>
      <c r="M74" s="102"/>
      <c r="N74" s="102"/>
      <c r="O74" s="102"/>
      <c r="P74" s="102"/>
      <c r="Q74" s="103"/>
      <c r="R74" s="105"/>
      <c r="S74" s="105"/>
      <c r="T74" s="105"/>
      <c r="U74" s="105"/>
      <c r="V74" s="105"/>
      <c r="W74" s="105"/>
      <c r="X74" s="105"/>
      <c r="Y74" s="103"/>
      <c r="Z74" s="102"/>
      <c r="AA74" s="102"/>
      <c r="AB74" s="102"/>
      <c r="AC74" s="102"/>
      <c r="AD74" s="102"/>
      <c r="AE74" s="102"/>
      <c r="AF74" s="102"/>
      <c r="AG74" s="103"/>
      <c r="AH74" s="105"/>
      <c r="AI74" s="105"/>
      <c r="AJ74" s="105"/>
      <c r="AK74" s="105"/>
      <c r="AL74" s="105"/>
      <c r="AM74" s="105"/>
      <c r="AN74" s="105"/>
      <c r="AO74" s="103"/>
      <c r="AP74" s="105"/>
      <c r="AQ74" s="105"/>
      <c r="AR74" s="105"/>
      <c r="AS74" s="105"/>
    </row>
    <row r="75" spans="1:45" x14ac:dyDescent="0.25">
      <c r="A75" s="19">
        <v>45</v>
      </c>
      <c r="B75" s="12">
        <v>42310</v>
      </c>
      <c r="C75" s="12">
        <v>42311</v>
      </c>
      <c r="D75" s="12">
        <v>42312</v>
      </c>
      <c r="E75" s="12">
        <v>42313</v>
      </c>
      <c r="F75" s="12">
        <v>42314</v>
      </c>
      <c r="G75" s="12">
        <v>42315</v>
      </c>
      <c r="H75" s="13">
        <v>42316</v>
      </c>
      <c r="J75" s="102"/>
      <c r="K75" s="102"/>
      <c r="L75" s="102"/>
      <c r="M75" s="102"/>
      <c r="N75" s="102"/>
      <c r="O75" s="102"/>
      <c r="P75" s="102"/>
      <c r="Q75" s="103"/>
      <c r="R75" s="105"/>
      <c r="S75" s="105"/>
      <c r="T75" s="105"/>
      <c r="U75" s="105"/>
      <c r="V75" s="105"/>
      <c r="W75" s="105"/>
      <c r="X75" s="105"/>
      <c r="Y75" s="103"/>
      <c r="Z75" s="102"/>
      <c r="AA75" s="102"/>
      <c r="AB75" s="102"/>
      <c r="AC75" s="102"/>
      <c r="AD75" s="102"/>
      <c r="AE75" s="102"/>
      <c r="AF75" s="102"/>
      <c r="AG75" s="103"/>
      <c r="AH75" s="105"/>
      <c r="AI75" s="105"/>
      <c r="AJ75" s="105"/>
      <c r="AK75" s="105"/>
      <c r="AL75" s="105"/>
      <c r="AM75" s="105"/>
      <c r="AN75" s="105"/>
      <c r="AO75" s="103"/>
      <c r="AP75" s="105"/>
      <c r="AQ75" s="105"/>
      <c r="AR75" s="105"/>
      <c r="AS75" s="105"/>
    </row>
    <row r="76" spans="1:45" x14ac:dyDescent="0.25">
      <c r="A76" s="19">
        <v>46</v>
      </c>
      <c r="B76" s="12">
        <v>42317</v>
      </c>
      <c r="C76" s="12">
        <v>42318</v>
      </c>
      <c r="D76" s="12">
        <v>42319</v>
      </c>
      <c r="E76" s="12">
        <v>42320</v>
      </c>
      <c r="F76" s="12">
        <v>42321</v>
      </c>
      <c r="G76" s="12">
        <v>42322</v>
      </c>
      <c r="H76" s="13">
        <v>42323</v>
      </c>
      <c r="J76" s="102"/>
      <c r="K76" s="102"/>
      <c r="L76" s="102"/>
      <c r="M76" s="102"/>
      <c r="N76" s="102"/>
      <c r="O76" s="102"/>
      <c r="P76" s="102"/>
      <c r="Q76" s="103"/>
      <c r="R76" s="105"/>
      <c r="S76" s="105"/>
      <c r="T76" s="105"/>
      <c r="U76" s="105"/>
      <c r="V76" s="105"/>
      <c r="W76" s="105"/>
      <c r="X76" s="105"/>
      <c r="Y76" s="103"/>
      <c r="Z76" s="102"/>
      <c r="AA76" s="102"/>
      <c r="AB76" s="102"/>
      <c r="AC76" s="102"/>
      <c r="AD76" s="102"/>
      <c r="AE76" s="102"/>
      <c r="AF76" s="102"/>
      <c r="AG76" s="103"/>
      <c r="AH76" s="105"/>
      <c r="AI76" s="105"/>
      <c r="AJ76" s="105"/>
      <c r="AK76" s="105"/>
      <c r="AL76" s="105"/>
      <c r="AM76" s="105"/>
      <c r="AN76" s="105"/>
      <c r="AO76" s="103"/>
      <c r="AP76" s="105"/>
      <c r="AQ76" s="105"/>
      <c r="AR76" s="105"/>
      <c r="AS76" s="105"/>
    </row>
    <row r="77" spans="1:45" x14ac:dyDescent="0.25">
      <c r="A77" s="19">
        <v>47</v>
      </c>
      <c r="B77" s="12">
        <v>42324</v>
      </c>
      <c r="C77" s="12">
        <v>42325</v>
      </c>
      <c r="D77" s="12">
        <v>42326</v>
      </c>
      <c r="E77" s="12">
        <v>42327</v>
      </c>
      <c r="F77" s="12">
        <v>42328</v>
      </c>
      <c r="G77" s="12">
        <v>42329</v>
      </c>
      <c r="H77" s="13">
        <v>42330</v>
      </c>
      <c r="J77" s="102"/>
      <c r="K77" s="102"/>
      <c r="L77" s="102"/>
      <c r="M77" s="102"/>
      <c r="N77" s="102"/>
      <c r="O77" s="102"/>
      <c r="P77" s="102"/>
      <c r="Q77" s="103"/>
      <c r="R77" s="105"/>
      <c r="S77" s="105"/>
      <c r="T77" s="105"/>
      <c r="U77" s="105"/>
      <c r="V77" s="105"/>
      <c r="W77" s="105"/>
      <c r="X77" s="105"/>
      <c r="Y77" s="103"/>
      <c r="Z77" s="102"/>
      <c r="AA77" s="102"/>
      <c r="AB77" s="102"/>
      <c r="AC77" s="102"/>
      <c r="AD77" s="102"/>
      <c r="AE77" s="102"/>
      <c r="AF77" s="102"/>
      <c r="AG77" s="103"/>
      <c r="AH77" s="105"/>
      <c r="AI77" s="105"/>
      <c r="AJ77" s="105"/>
      <c r="AK77" s="105"/>
      <c r="AL77" s="105"/>
      <c r="AM77" s="105"/>
      <c r="AN77" s="105"/>
      <c r="AO77" s="103"/>
      <c r="AP77" s="105"/>
      <c r="AQ77" s="105"/>
      <c r="AR77" s="105"/>
      <c r="AS77" s="105"/>
    </row>
    <row r="78" spans="1:45" x14ac:dyDescent="0.25">
      <c r="A78" s="19">
        <v>48</v>
      </c>
      <c r="B78" s="12">
        <v>42331</v>
      </c>
      <c r="C78" s="12">
        <v>42332</v>
      </c>
      <c r="D78" s="12">
        <v>42333</v>
      </c>
      <c r="E78" s="12">
        <v>42334</v>
      </c>
      <c r="F78" s="12">
        <v>42335</v>
      </c>
      <c r="G78" s="12">
        <v>42336</v>
      </c>
      <c r="H78" s="13">
        <v>42337</v>
      </c>
      <c r="J78" s="102"/>
      <c r="K78" s="102"/>
      <c r="L78" s="102"/>
      <c r="M78" s="102"/>
      <c r="N78" s="102"/>
      <c r="O78" s="102"/>
      <c r="P78" s="102"/>
      <c r="Q78" s="103"/>
      <c r="R78" s="105"/>
      <c r="S78" s="105"/>
      <c r="T78" s="105"/>
      <c r="U78" s="105"/>
      <c r="V78" s="105"/>
      <c r="W78" s="105"/>
      <c r="X78" s="105"/>
      <c r="Y78" s="103"/>
      <c r="Z78" s="102"/>
      <c r="AA78" s="102"/>
      <c r="AB78" s="102"/>
      <c r="AC78" s="102"/>
      <c r="AD78" s="102"/>
      <c r="AE78" s="102"/>
      <c r="AF78" s="102"/>
      <c r="AG78" s="103"/>
      <c r="AH78" s="105"/>
      <c r="AI78" s="105"/>
      <c r="AJ78" s="105"/>
      <c r="AK78" s="105"/>
      <c r="AL78" s="105"/>
      <c r="AM78" s="105"/>
      <c r="AN78" s="105"/>
      <c r="AO78" s="103"/>
      <c r="AP78" s="105"/>
      <c r="AQ78" s="105"/>
      <c r="AR78" s="105"/>
      <c r="AS78" s="105"/>
    </row>
    <row r="79" spans="1:45" x14ac:dyDescent="0.25">
      <c r="A79" s="19">
        <v>49</v>
      </c>
      <c r="B79" s="12">
        <v>42338</v>
      </c>
      <c r="C79" s="12">
        <v>42339</v>
      </c>
      <c r="D79" s="12">
        <v>42340</v>
      </c>
      <c r="E79" s="12">
        <v>42341</v>
      </c>
      <c r="F79" s="12">
        <v>42342</v>
      </c>
      <c r="G79" s="12">
        <v>42343</v>
      </c>
      <c r="H79" s="13">
        <v>42344</v>
      </c>
      <c r="J79" s="102"/>
      <c r="K79" s="102"/>
      <c r="L79" s="102"/>
      <c r="M79" s="102"/>
      <c r="N79" s="102"/>
      <c r="O79" s="102"/>
      <c r="P79" s="102"/>
      <c r="Q79" s="103"/>
      <c r="R79" s="105"/>
      <c r="S79" s="105"/>
      <c r="T79" s="105"/>
      <c r="U79" s="105"/>
      <c r="V79" s="105"/>
      <c r="W79" s="105"/>
      <c r="X79" s="105"/>
      <c r="Y79" s="103"/>
      <c r="Z79" s="102"/>
      <c r="AA79" s="102"/>
      <c r="AB79" s="102"/>
      <c r="AC79" s="102"/>
      <c r="AD79" s="102"/>
      <c r="AE79" s="102"/>
      <c r="AF79" s="102"/>
      <c r="AG79" s="103"/>
      <c r="AH79" s="105"/>
      <c r="AI79" s="105"/>
      <c r="AJ79" s="105"/>
      <c r="AK79" s="105"/>
      <c r="AL79" s="105"/>
      <c r="AM79" s="105"/>
      <c r="AN79" s="105"/>
      <c r="AO79" s="103"/>
      <c r="AP79" s="105"/>
      <c r="AQ79" s="105"/>
      <c r="AR79" s="105"/>
      <c r="AS79" s="105"/>
    </row>
    <row r="80" spans="1:45" x14ac:dyDescent="0.25">
      <c r="A80" s="19">
        <v>50</v>
      </c>
      <c r="B80" s="12">
        <v>42345</v>
      </c>
      <c r="C80" s="12">
        <v>42346</v>
      </c>
      <c r="D80" s="12">
        <v>42347</v>
      </c>
      <c r="E80" s="12">
        <v>42348</v>
      </c>
      <c r="F80" s="12">
        <v>42349</v>
      </c>
      <c r="G80" s="12">
        <v>42350</v>
      </c>
      <c r="H80" s="13">
        <v>42351</v>
      </c>
      <c r="J80" s="102"/>
      <c r="K80" s="102"/>
      <c r="L80" s="102"/>
      <c r="M80" s="102"/>
      <c r="N80" s="102"/>
      <c r="O80" s="102"/>
      <c r="P80" s="102"/>
      <c r="Q80" s="103"/>
      <c r="R80" s="105"/>
      <c r="S80" s="105"/>
      <c r="T80" s="105"/>
      <c r="U80" s="105"/>
      <c r="V80" s="105"/>
      <c r="W80" s="105"/>
      <c r="X80" s="105"/>
      <c r="Y80" s="103"/>
      <c r="Z80" s="102"/>
      <c r="AA80" s="102"/>
      <c r="AB80" s="102"/>
      <c r="AC80" s="102"/>
      <c r="AD80" s="102"/>
      <c r="AE80" s="102"/>
      <c r="AF80" s="102"/>
      <c r="AG80" s="103"/>
      <c r="AH80" s="105"/>
      <c r="AI80" s="105"/>
      <c r="AJ80" s="105"/>
      <c r="AK80" s="105"/>
      <c r="AL80" s="105"/>
      <c r="AM80" s="105"/>
      <c r="AN80" s="105"/>
      <c r="AO80" s="103"/>
      <c r="AP80" s="105"/>
      <c r="AQ80" s="105"/>
      <c r="AR80" s="105"/>
      <c r="AS80" s="105"/>
    </row>
    <row r="81" spans="1:45" x14ac:dyDescent="0.25">
      <c r="A81" s="19">
        <v>51</v>
      </c>
      <c r="B81" s="12">
        <v>42352</v>
      </c>
      <c r="C81" s="12">
        <v>42353</v>
      </c>
      <c r="D81" s="12">
        <v>42354</v>
      </c>
      <c r="E81" s="12">
        <v>42355</v>
      </c>
      <c r="F81" s="12">
        <v>42356</v>
      </c>
      <c r="G81" s="12">
        <v>42357</v>
      </c>
      <c r="H81" s="13">
        <v>42358</v>
      </c>
      <c r="J81" s="102"/>
      <c r="K81" s="102"/>
      <c r="L81" s="102"/>
      <c r="M81" s="102"/>
      <c r="N81" s="102"/>
      <c r="O81" s="102"/>
      <c r="P81" s="102"/>
      <c r="Q81" s="103"/>
      <c r="R81" s="105"/>
      <c r="S81" s="105"/>
      <c r="T81" s="105"/>
      <c r="U81" s="105"/>
      <c r="V81" s="105"/>
      <c r="W81" s="105"/>
      <c r="X81" s="105"/>
      <c r="Y81" s="103"/>
      <c r="Z81" s="102"/>
      <c r="AA81" s="102"/>
      <c r="AB81" s="102"/>
      <c r="AC81" s="102"/>
      <c r="AD81" s="102"/>
      <c r="AE81" s="102"/>
      <c r="AF81" s="102"/>
      <c r="AG81" s="103"/>
      <c r="AH81" s="105"/>
      <c r="AI81" s="105"/>
      <c r="AJ81" s="105"/>
      <c r="AK81" s="105"/>
      <c r="AL81" s="105"/>
      <c r="AM81" s="105"/>
      <c r="AN81" s="105"/>
      <c r="AO81" s="103"/>
      <c r="AP81" s="105"/>
      <c r="AQ81" s="105"/>
      <c r="AR81" s="105"/>
      <c r="AS81" s="105"/>
    </row>
    <row r="82" spans="1:45" x14ac:dyDescent="0.25">
      <c r="A82" s="19">
        <v>52</v>
      </c>
      <c r="B82" s="12">
        <v>42359</v>
      </c>
      <c r="C82" s="12">
        <v>42360</v>
      </c>
      <c r="D82" s="12">
        <v>42361</v>
      </c>
      <c r="E82" s="12">
        <v>42362</v>
      </c>
      <c r="F82" s="12">
        <v>42363</v>
      </c>
      <c r="G82" s="12">
        <v>42364</v>
      </c>
      <c r="H82" s="13">
        <v>42365</v>
      </c>
      <c r="J82" s="102"/>
      <c r="K82" s="102"/>
      <c r="L82" s="102"/>
      <c r="M82" s="102"/>
      <c r="N82" s="102"/>
      <c r="O82" s="102"/>
      <c r="P82" s="102"/>
      <c r="Q82" s="103"/>
      <c r="R82" s="105"/>
      <c r="S82" s="105"/>
      <c r="T82" s="105"/>
      <c r="U82" s="105"/>
      <c r="V82" s="105"/>
      <c r="W82" s="105"/>
      <c r="X82" s="105"/>
      <c r="Y82" s="103"/>
      <c r="Z82" s="102"/>
      <c r="AA82" s="102"/>
      <c r="AB82" s="102"/>
      <c r="AC82" s="102"/>
      <c r="AD82" s="102"/>
      <c r="AE82" s="102"/>
      <c r="AF82" s="102"/>
      <c r="AG82" s="103"/>
      <c r="AH82" s="105"/>
      <c r="AI82" s="105"/>
      <c r="AJ82" s="105"/>
      <c r="AK82" s="105"/>
      <c r="AL82" s="105"/>
      <c r="AM82" s="105"/>
      <c r="AN82" s="105"/>
      <c r="AO82" s="103"/>
      <c r="AP82" s="105"/>
      <c r="AQ82" s="105"/>
      <c r="AR82" s="105"/>
      <c r="AS82" s="105"/>
    </row>
    <row r="83" spans="1:45" x14ac:dyDescent="0.25">
      <c r="A83" s="20">
        <v>53</v>
      </c>
      <c r="B83" s="14">
        <v>42366</v>
      </c>
      <c r="C83" s="14">
        <v>42367</v>
      </c>
      <c r="D83" s="14">
        <v>42368</v>
      </c>
      <c r="E83" s="14">
        <v>42369</v>
      </c>
      <c r="F83" s="14">
        <v>42370</v>
      </c>
      <c r="G83" s="14">
        <v>42371</v>
      </c>
      <c r="H83" s="15">
        <v>42372</v>
      </c>
      <c r="J83" s="102"/>
      <c r="K83" s="102"/>
      <c r="L83" s="102"/>
      <c r="M83" s="102"/>
      <c r="N83" s="102"/>
      <c r="O83" s="102"/>
      <c r="P83" s="102"/>
      <c r="Q83" s="103"/>
      <c r="R83" s="105"/>
      <c r="S83" s="105"/>
      <c r="T83" s="105"/>
      <c r="U83" s="105"/>
      <c r="V83" s="105"/>
      <c r="W83" s="105"/>
      <c r="X83" s="105"/>
      <c r="Y83" s="103"/>
      <c r="Z83" s="102"/>
      <c r="AA83" s="102"/>
      <c r="AB83" s="102"/>
      <c r="AC83" s="102"/>
      <c r="AD83" s="102"/>
      <c r="AE83" s="102"/>
      <c r="AF83" s="102"/>
      <c r="AG83" s="103"/>
      <c r="AH83" s="105"/>
      <c r="AI83" s="105"/>
      <c r="AJ83" s="105"/>
      <c r="AK83" s="105"/>
      <c r="AL83" s="105"/>
      <c r="AM83" s="105"/>
      <c r="AN83" s="105"/>
      <c r="AO83" s="103"/>
      <c r="AP83" s="105"/>
      <c r="AQ83" s="105"/>
      <c r="AR83" s="105"/>
      <c r="AS83" s="105"/>
    </row>
    <row r="84" spans="1:45" x14ac:dyDescent="0.25">
      <c r="J84" s="102"/>
      <c r="K84" s="102"/>
      <c r="L84" s="102"/>
      <c r="M84" s="102"/>
      <c r="N84" s="102"/>
      <c r="O84" s="102"/>
      <c r="P84" s="102"/>
      <c r="Q84" s="103"/>
      <c r="R84" s="105"/>
      <c r="S84" s="105"/>
      <c r="T84" s="105"/>
      <c r="U84" s="105"/>
      <c r="V84" s="105"/>
      <c r="W84" s="105"/>
      <c r="X84" s="105"/>
      <c r="Y84" s="103"/>
      <c r="Z84" s="102"/>
      <c r="AA84" s="102"/>
      <c r="AB84" s="102"/>
      <c r="AC84" s="102"/>
      <c r="AD84" s="102"/>
      <c r="AE84" s="102"/>
      <c r="AF84" s="102"/>
      <c r="AG84" s="103"/>
      <c r="AH84" s="105"/>
      <c r="AI84" s="105"/>
      <c r="AJ84" s="105"/>
      <c r="AK84" s="105"/>
      <c r="AL84" s="105"/>
      <c r="AM84" s="105"/>
      <c r="AN84" s="105"/>
      <c r="AO84" s="103"/>
      <c r="AP84" s="105"/>
      <c r="AQ84" s="105"/>
      <c r="AR84" s="105"/>
      <c r="AS84" s="105"/>
    </row>
    <row r="85" spans="1:45" x14ac:dyDescent="0.25">
      <c r="A85" s="220" t="s">
        <v>44</v>
      </c>
      <c r="B85" s="221"/>
      <c r="C85" s="221"/>
      <c r="D85" s="221"/>
      <c r="E85" s="221"/>
      <c r="F85" s="221"/>
      <c r="G85" s="221"/>
      <c r="H85" s="222"/>
      <c r="J85" s="102"/>
      <c r="K85" s="102"/>
      <c r="L85" s="102"/>
      <c r="M85" s="102"/>
      <c r="N85" s="102"/>
      <c r="O85" s="102"/>
      <c r="P85" s="102"/>
      <c r="Q85" s="103"/>
      <c r="R85" s="105"/>
      <c r="S85" s="105"/>
      <c r="T85" s="105"/>
      <c r="U85" s="105"/>
      <c r="V85" s="105"/>
      <c r="W85" s="105"/>
      <c r="X85" s="105"/>
      <c r="Y85" s="103"/>
      <c r="Z85" s="102"/>
      <c r="AA85" s="102"/>
      <c r="AB85" s="102"/>
      <c r="AC85" s="102"/>
      <c r="AD85" s="102"/>
      <c r="AE85" s="102"/>
      <c r="AF85" s="102"/>
      <c r="AG85" s="103"/>
      <c r="AH85" s="105"/>
      <c r="AI85" s="105"/>
      <c r="AJ85" s="105"/>
      <c r="AK85" s="105"/>
      <c r="AL85" s="105"/>
      <c r="AM85" s="105"/>
      <c r="AN85" s="105"/>
      <c r="AO85" s="103"/>
      <c r="AP85" s="105"/>
      <c r="AQ85" s="105"/>
      <c r="AR85" s="105"/>
      <c r="AS85" s="105"/>
    </row>
    <row r="86" spans="1:45" x14ac:dyDescent="0.25">
      <c r="A86" s="16" t="s">
        <v>15</v>
      </c>
      <c r="B86" s="17" t="s">
        <v>45</v>
      </c>
      <c r="C86" s="17" t="s">
        <v>46</v>
      </c>
      <c r="D86" s="17" t="s">
        <v>47</v>
      </c>
      <c r="E86" s="17" t="s">
        <v>48</v>
      </c>
      <c r="F86" s="17" t="s">
        <v>49</v>
      </c>
      <c r="G86" s="17" t="s">
        <v>50</v>
      </c>
      <c r="H86" s="18" t="s">
        <v>57</v>
      </c>
      <c r="J86" s="102"/>
      <c r="K86" s="102"/>
      <c r="L86" s="102"/>
      <c r="M86" s="102"/>
      <c r="N86" s="102"/>
      <c r="O86" s="102"/>
      <c r="P86" s="102"/>
      <c r="Q86" s="103"/>
      <c r="R86" s="105"/>
      <c r="S86" s="105"/>
      <c r="T86" s="105"/>
      <c r="U86" s="105"/>
      <c r="V86" s="105"/>
      <c r="W86" s="105"/>
      <c r="X86" s="105"/>
      <c r="Y86" s="103"/>
      <c r="Z86" s="102"/>
      <c r="AA86" s="102"/>
      <c r="AB86" s="102"/>
      <c r="AC86" s="102"/>
      <c r="AD86" s="102"/>
      <c r="AE86" s="102"/>
      <c r="AF86" s="102"/>
      <c r="AG86" s="103"/>
      <c r="AH86" s="105"/>
      <c r="AI86" s="105"/>
      <c r="AJ86" s="105"/>
      <c r="AK86" s="105"/>
      <c r="AL86" s="105"/>
      <c r="AM86" s="105"/>
      <c r="AN86" s="105"/>
      <c r="AO86" s="103"/>
      <c r="AP86" s="105"/>
      <c r="AQ86" s="105"/>
      <c r="AR86" s="105"/>
      <c r="AS86" s="105"/>
    </row>
    <row r="87" spans="1:45" x14ac:dyDescent="0.25">
      <c r="A87" s="19">
        <v>1</v>
      </c>
      <c r="B87" s="12">
        <v>42002</v>
      </c>
      <c r="C87" s="12">
        <v>42008</v>
      </c>
      <c r="D87" s="12">
        <v>41988</v>
      </c>
      <c r="E87" s="12">
        <v>41995</v>
      </c>
      <c r="F87" s="12">
        <v>42002</v>
      </c>
      <c r="G87" s="12">
        <v>41995</v>
      </c>
      <c r="H87" s="13"/>
      <c r="J87" s="102"/>
      <c r="K87" s="102"/>
      <c r="L87" s="102"/>
      <c r="M87" s="102"/>
      <c r="N87" s="102"/>
      <c r="O87" s="102"/>
      <c r="P87" s="102"/>
      <c r="Q87" s="103"/>
      <c r="R87" s="105"/>
      <c r="S87" s="105"/>
      <c r="T87" s="105"/>
      <c r="U87" s="105"/>
      <c r="V87" s="105"/>
      <c r="W87" s="105"/>
      <c r="X87" s="105"/>
      <c r="Y87" s="103"/>
      <c r="Z87" s="102"/>
      <c r="AA87" s="102"/>
      <c r="AB87" s="102"/>
      <c r="AC87" s="102"/>
      <c r="AD87" s="102"/>
      <c r="AE87" s="102"/>
      <c r="AF87" s="102"/>
      <c r="AG87" s="103"/>
      <c r="AH87" s="105"/>
      <c r="AI87" s="105"/>
      <c r="AJ87" s="105"/>
      <c r="AK87" s="105"/>
      <c r="AL87" s="105"/>
      <c r="AM87" s="105"/>
      <c r="AN87" s="105"/>
      <c r="AO87" s="103"/>
      <c r="AP87" s="105"/>
      <c r="AQ87" s="105"/>
      <c r="AR87" s="105"/>
      <c r="AS87" s="105"/>
    </row>
    <row r="88" spans="1:45" x14ac:dyDescent="0.25">
      <c r="A88" s="19">
        <v>2</v>
      </c>
      <c r="B88" s="12">
        <v>42009</v>
      </c>
      <c r="C88" s="12">
        <v>42015</v>
      </c>
      <c r="D88" s="12">
        <v>41995</v>
      </c>
      <c r="E88" s="12">
        <v>42002</v>
      </c>
      <c r="F88" s="12">
        <v>42009</v>
      </c>
      <c r="G88" s="12">
        <v>42002</v>
      </c>
      <c r="H88" s="13"/>
      <c r="J88" s="102"/>
      <c r="K88" s="102"/>
      <c r="L88" s="102"/>
      <c r="M88" s="102"/>
      <c r="N88" s="102"/>
      <c r="O88" s="102"/>
      <c r="P88" s="102"/>
      <c r="Q88" s="103"/>
      <c r="R88" s="105"/>
      <c r="S88" s="105"/>
      <c r="T88" s="105"/>
      <c r="U88" s="105"/>
      <c r="V88" s="105"/>
      <c r="W88" s="105"/>
      <c r="X88" s="105"/>
      <c r="Y88" s="103"/>
      <c r="Z88" s="102"/>
      <c r="AA88" s="102"/>
      <c r="AB88" s="102"/>
      <c r="AC88" s="102"/>
      <c r="AD88" s="102"/>
      <c r="AE88" s="102"/>
      <c r="AF88" s="102"/>
      <c r="AG88" s="103"/>
      <c r="AH88" s="105"/>
      <c r="AI88" s="105"/>
      <c r="AJ88" s="105"/>
      <c r="AK88" s="105"/>
      <c r="AL88" s="105"/>
      <c r="AM88" s="105"/>
      <c r="AN88" s="105"/>
      <c r="AO88" s="103"/>
      <c r="AP88" s="105"/>
      <c r="AQ88" s="105"/>
      <c r="AR88" s="105"/>
      <c r="AS88" s="105"/>
    </row>
    <row r="89" spans="1:45" x14ac:dyDescent="0.25">
      <c r="A89" s="19">
        <v>3</v>
      </c>
      <c r="B89" s="12">
        <v>42016</v>
      </c>
      <c r="C89" s="12">
        <v>42022</v>
      </c>
      <c r="D89" s="12">
        <v>42002</v>
      </c>
      <c r="E89" s="12">
        <v>42009</v>
      </c>
      <c r="F89" s="12">
        <v>42016</v>
      </c>
      <c r="G89" s="12">
        <v>42009</v>
      </c>
      <c r="H89" s="13"/>
      <c r="J89" s="102"/>
      <c r="K89" s="102"/>
      <c r="L89" s="102"/>
      <c r="M89" s="102"/>
      <c r="N89" s="102"/>
      <c r="O89" s="102"/>
      <c r="P89" s="102"/>
      <c r="Q89" s="103"/>
      <c r="R89" s="105"/>
      <c r="S89" s="105"/>
      <c r="T89" s="105"/>
      <c r="U89" s="105"/>
      <c r="V89" s="105"/>
      <c r="W89" s="105"/>
      <c r="X89" s="105"/>
      <c r="Y89" s="103"/>
      <c r="Z89" s="102"/>
      <c r="AA89" s="102"/>
      <c r="AB89" s="102"/>
      <c r="AC89" s="102"/>
      <c r="AD89" s="102"/>
      <c r="AE89" s="102"/>
      <c r="AF89" s="102"/>
      <c r="AG89" s="103"/>
      <c r="AH89" s="105"/>
      <c r="AI89" s="105"/>
      <c r="AJ89" s="105"/>
      <c r="AK89" s="105"/>
      <c r="AL89" s="105"/>
      <c r="AM89" s="105"/>
      <c r="AN89" s="105"/>
      <c r="AO89" s="103"/>
      <c r="AP89" s="105"/>
      <c r="AQ89" s="105"/>
      <c r="AR89" s="105"/>
      <c r="AS89" s="105"/>
    </row>
    <row r="90" spans="1:45" x14ac:dyDescent="0.25">
      <c r="A90" s="19">
        <v>4</v>
      </c>
      <c r="B90" s="12">
        <v>42023</v>
      </c>
      <c r="C90" s="12">
        <v>42029</v>
      </c>
      <c r="D90" s="12">
        <v>42009</v>
      </c>
      <c r="E90" s="12">
        <v>42016</v>
      </c>
      <c r="F90" s="12">
        <v>42023</v>
      </c>
      <c r="G90" s="12">
        <v>42016</v>
      </c>
      <c r="H90" s="13"/>
      <c r="J90" s="102"/>
      <c r="K90" s="102"/>
      <c r="L90" s="102"/>
      <c r="M90" s="102"/>
      <c r="N90" s="102"/>
      <c r="O90" s="102"/>
      <c r="P90" s="102"/>
      <c r="Q90" s="103"/>
      <c r="R90" s="105"/>
      <c r="S90" s="105"/>
      <c r="T90" s="105"/>
      <c r="U90" s="105"/>
      <c r="V90" s="105"/>
      <c r="W90" s="105"/>
      <c r="X90" s="105"/>
      <c r="Y90" s="103"/>
      <c r="Z90" s="102"/>
      <c r="AA90" s="102"/>
      <c r="AB90" s="102"/>
      <c r="AC90" s="102"/>
      <c r="AD90" s="102"/>
      <c r="AE90" s="102"/>
      <c r="AF90" s="102"/>
      <c r="AG90" s="103"/>
      <c r="AH90" s="105"/>
      <c r="AI90" s="105"/>
      <c r="AJ90" s="105"/>
      <c r="AK90" s="105"/>
      <c r="AL90" s="105"/>
      <c r="AM90" s="105"/>
      <c r="AN90" s="105"/>
      <c r="AO90" s="103"/>
      <c r="AP90" s="105"/>
      <c r="AQ90" s="105"/>
      <c r="AR90" s="105"/>
      <c r="AS90" s="105"/>
    </row>
    <row r="91" spans="1:45" x14ac:dyDescent="0.25">
      <c r="A91" s="19">
        <v>5</v>
      </c>
      <c r="B91" s="12">
        <v>42030</v>
      </c>
      <c r="C91" s="12">
        <v>42036</v>
      </c>
      <c r="D91" s="12">
        <v>42016</v>
      </c>
      <c r="E91" s="12">
        <v>42023</v>
      </c>
      <c r="F91" s="12">
        <v>42030</v>
      </c>
      <c r="G91" s="12">
        <v>42023</v>
      </c>
      <c r="H91" s="13"/>
      <c r="J91" s="102"/>
      <c r="K91" s="102"/>
      <c r="L91" s="102"/>
      <c r="M91" s="102"/>
      <c r="N91" s="102"/>
      <c r="O91" s="102"/>
      <c r="P91" s="102"/>
      <c r="Q91" s="103"/>
      <c r="R91" s="105"/>
      <c r="S91" s="105"/>
      <c r="T91" s="105"/>
      <c r="U91" s="105"/>
      <c r="V91" s="105"/>
      <c r="W91" s="105"/>
      <c r="X91" s="105"/>
      <c r="Y91" s="103"/>
      <c r="Z91" s="102"/>
      <c r="AA91" s="102"/>
      <c r="AB91" s="102"/>
      <c r="AC91" s="102"/>
      <c r="AD91" s="102"/>
      <c r="AE91" s="102"/>
      <c r="AF91" s="102"/>
      <c r="AG91" s="103"/>
      <c r="AH91" s="105"/>
      <c r="AI91" s="105"/>
      <c r="AJ91" s="105"/>
      <c r="AK91" s="105"/>
      <c r="AL91" s="105"/>
      <c r="AM91" s="105"/>
      <c r="AN91" s="105"/>
      <c r="AO91" s="103"/>
      <c r="AP91" s="105"/>
      <c r="AQ91" s="105"/>
      <c r="AR91" s="105"/>
      <c r="AS91" s="105"/>
    </row>
    <row r="92" spans="1:45" x14ac:dyDescent="0.25">
      <c r="A92" s="19">
        <v>6</v>
      </c>
      <c r="B92" s="12">
        <v>42037</v>
      </c>
      <c r="C92" s="12">
        <v>42043</v>
      </c>
      <c r="D92" s="12">
        <v>42023</v>
      </c>
      <c r="E92" s="12">
        <v>42030</v>
      </c>
      <c r="F92" s="12">
        <v>42037</v>
      </c>
      <c r="G92" s="12">
        <v>42030</v>
      </c>
      <c r="H92" s="13"/>
      <c r="J92" s="102"/>
      <c r="K92" s="102"/>
      <c r="L92" s="102"/>
      <c r="M92" s="102"/>
      <c r="N92" s="102"/>
      <c r="O92" s="102"/>
      <c r="P92" s="102"/>
      <c r="Q92" s="103"/>
      <c r="R92" s="105"/>
      <c r="S92" s="105"/>
      <c r="T92" s="105"/>
      <c r="U92" s="105"/>
      <c r="V92" s="105"/>
      <c r="W92" s="105"/>
      <c r="X92" s="105"/>
      <c r="Y92" s="103"/>
      <c r="Z92" s="102"/>
      <c r="AA92" s="102"/>
      <c r="AB92" s="102"/>
      <c r="AC92" s="102"/>
      <c r="AD92" s="102"/>
      <c r="AE92" s="102"/>
      <c r="AF92" s="102"/>
      <c r="AG92" s="103"/>
      <c r="AH92" s="105"/>
      <c r="AI92" s="105"/>
      <c r="AJ92" s="105"/>
      <c r="AK92" s="105"/>
      <c r="AL92" s="105"/>
      <c r="AM92" s="105"/>
      <c r="AN92" s="105"/>
      <c r="AO92" s="103"/>
      <c r="AP92" s="105"/>
      <c r="AQ92" s="105"/>
      <c r="AR92" s="105"/>
      <c r="AS92" s="105"/>
    </row>
    <row r="93" spans="1:45" x14ac:dyDescent="0.25">
      <c r="A93" s="19">
        <v>7</v>
      </c>
      <c r="B93" s="12">
        <v>42044</v>
      </c>
      <c r="C93" s="12">
        <v>42050</v>
      </c>
      <c r="D93" s="12">
        <v>42030</v>
      </c>
      <c r="E93" s="12">
        <v>42037</v>
      </c>
      <c r="F93" s="12">
        <v>42044</v>
      </c>
      <c r="G93" s="12">
        <v>42037</v>
      </c>
      <c r="H93" s="13"/>
      <c r="J93" s="102"/>
      <c r="K93" s="102"/>
      <c r="L93" s="102"/>
      <c r="M93" s="102"/>
      <c r="N93" s="102"/>
      <c r="O93" s="102"/>
      <c r="P93" s="102"/>
      <c r="Q93" s="103"/>
      <c r="R93" s="105"/>
      <c r="S93" s="105"/>
      <c r="T93" s="105"/>
      <c r="U93" s="105"/>
      <c r="V93" s="105"/>
      <c r="W93" s="105"/>
      <c r="X93" s="105"/>
      <c r="Y93" s="103"/>
      <c r="Z93" s="102"/>
      <c r="AA93" s="102"/>
      <c r="AB93" s="102"/>
      <c r="AC93" s="102"/>
      <c r="AD93" s="102"/>
      <c r="AE93" s="102"/>
      <c r="AF93" s="102"/>
      <c r="AG93" s="103"/>
      <c r="AH93" s="105"/>
      <c r="AI93" s="105"/>
      <c r="AJ93" s="105"/>
      <c r="AK93" s="105"/>
      <c r="AL93" s="105"/>
      <c r="AM93" s="105"/>
      <c r="AN93" s="105"/>
      <c r="AO93" s="103"/>
      <c r="AP93" s="105"/>
      <c r="AQ93" s="105"/>
      <c r="AR93" s="105"/>
      <c r="AS93" s="105"/>
    </row>
    <row r="94" spans="1:45" x14ac:dyDescent="0.25">
      <c r="A94" s="19">
        <v>8</v>
      </c>
      <c r="B94" s="12">
        <v>42051</v>
      </c>
      <c r="C94" s="12">
        <v>42057</v>
      </c>
      <c r="D94" s="12">
        <v>42037</v>
      </c>
      <c r="E94" s="12">
        <v>42044</v>
      </c>
      <c r="F94" s="12">
        <v>42051</v>
      </c>
      <c r="G94" s="12">
        <v>42044</v>
      </c>
      <c r="H94" s="13"/>
      <c r="J94" s="102"/>
      <c r="K94" s="102"/>
      <c r="L94" s="102"/>
      <c r="M94" s="102"/>
      <c r="N94" s="102"/>
      <c r="O94" s="102"/>
      <c r="P94" s="102"/>
      <c r="Q94" s="103"/>
      <c r="R94" s="105"/>
      <c r="S94" s="105"/>
      <c r="T94" s="105"/>
      <c r="U94" s="105"/>
      <c r="V94" s="105"/>
      <c r="W94" s="105"/>
      <c r="X94" s="105"/>
      <c r="Y94" s="103"/>
      <c r="Z94" s="102"/>
      <c r="AA94" s="102"/>
      <c r="AB94" s="102"/>
      <c r="AC94" s="102"/>
      <c r="AD94" s="102"/>
      <c r="AE94" s="102"/>
      <c r="AF94" s="102"/>
      <c r="AG94" s="103"/>
      <c r="AH94" s="105"/>
      <c r="AI94" s="105"/>
      <c r="AJ94" s="105"/>
      <c r="AK94" s="105"/>
      <c r="AL94" s="105"/>
      <c r="AM94" s="105"/>
      <c r="AN94" s="105"/>
      <c r="AO94" s="103"/>
      <c r="AP94" s="105"/>
      <c r="AQ94" s="105"/>
      <c r="AR94" s="105"/>
      <c r="AS94" s="105"/>
    </row>
    <row r="95" spans="1:45" x14ac:dyDescent="0.25">
      <c r="A95" s="19">
        <v>9</v>
      </c>
      <c r="B95" s="12">
        <v>42058</v>
      </c>
      <c r="C95" s="12">
        <v>42064</v>
      </c>
      <c r="D95" s="12">
        <v>42044</v>
      </c>
      <c r="E95" s="12">
        <v>42051</v>
      </c>
      <c r="F95" s="12">
        <v>42058</v>
      </c>
      <c r="G95" s="12">
        <v>42051</v>
      </c>
      <c r="H95" s="13"/>
      <c r="J95" s="102"/>
      <c r="K95" s="102"/>
      <c r="L95" s="102"/>
      <c r="M95" s="102"/>
      <c r="N95" s="102"/>
      <c r="O95" s="102"/>
      <c r="P95" s="102"/>
      <c r="Q95" s="103"/>
      <c r="R95" s="105"/>
      <c r="S95" s="105"/>
      <c r="T95" s="105"/>
      <c r="U95" s="105"/>
      <c r="V95" s="105"/>
      <c r="W95" s="105"/>
      <c r="X95" s="105"/>
      <c r="Y95" s="103"/>
      <c r="Z95" s="102"/>
      <c r="AA95" s="102"/>
      <c r="AB95" s="102"/>
      <c r="AC95" s="102"/>
      <c r="AD95" s="102"/>
      <c r="AE95" s="102"/>
      <c r="AF95" s="102"/>
      <c r="AG95" s="103"/>
      <c r="AH95" s="105"/>
      <c r="AI95" s="105"/>
      <c r="AJ95" s="105"/>
      <c r="AK95" s="105"/>
      <c r="AL95" s="105"/>
      <c r="AM95" s="105"/>
      <c r="AN95" s="105"/>
      <c r="AO95" s="103"/>
      <c r="AP95" s="105"/>
      <c r="AQ95" s="105"/>
      <c r="AR95" s="105"/>
      <c r="AS95" s="105"/>
    </row>
    <row r="96" spans="1:45" x14ac:dyDescent="0.25">
      <c r="A96" s="19">
        <v>10</v>
      </c>
      <c r="B96" s="12">
        <v>42065</v>
      </c>
      <c r="C96" s="12">
        <v>42071</v>
      </c>
      <c r="D96" s="12">
        <v>42051</v>
      </c>
      <c r="E96" s="12">
        <v>42058</v>
      </c>
      <c r="F96" s="12">
        <v>42065</v>
      </c>
      <c r="G96" s="12">
        <v>42058</v>
      </c>
      <c r="H96" s="13"/>
      <c r="J96" s="102"/>
      <c r="K96" s="102"/>
      <c r="L96" s="102"/>
      <c r="M96" s="102"/>
      <c r="N96" s="102"/>
      <c r="O96" s="102"/>
      <c r="P96" s="102"/>
      <c r="Q96" s="103"/>
      <c r="R96" s="105"/>
      <c r="S96" s="105"/>
      <c r="T96" s="105"/>
      <c r="U96" s="105"/>
      <c r="V96" s="105"/>
      <c r="W96" s="105"/>
      <c r="X96" s="105"/>
      <c r="Y96" s="103"/>
      <c r="Z96" s="102"/>
      <c r="AA96" s="102"/>
      <c r="AB96" s="102"/>
      <c r="AC96" s="102"/>
      <c r="AD96" s="102"/>
      <c r="AE96" s="102"/>
      <c r="AF96" s="102"/>
      <c r="AG96" s="103"/>
      <c r="AH96" s="105"/>
      <c r="AI96" s="105"/>
      <c r="AJ96" s="105"/>
      <c r="AK96" s="105"/>
      <c r="AL96" s="105"/>
      <c r="AM96" s="105"/>
      <c r="AN96" s="105"/>
      <c r="AO96" s="103"/>
      <c r="AP96" s="105"/>
      <c r="AQ96" s="105"/>
      <c r="AR96" s="105"/>
      <c r="AS96" s="105"/>
    </row>
    <row r="97" spans="1:45" x14ac:dyDescent="0.25">
      <c r="A97" s="19">
        <v>11</v>
      </c>
      <c r="B97" s="12">
        <v>42072</v>
      </c>
      <c r="C97" s="12">
        <v>42078</v>
      </c>
      <c r="D97" s="12">
        <v>42058</v>
      </c>
      <c r="E97" s="12">
        <v>42065</v>
      </c>
      <c r="F97" s="12">
        <v>42072</v>
      </c>
      <c r="G97" s="12">
        <v>42065</v>
      </c>
      <c r="H97" s="13"/>
      <c r="J97" s="102"/>
      <c r="K97" s="102"/>
      <c r="L97" s="102"/>
      <c r="M97" s="102"/>
      <c r="N97" s="102"/>
      <c r="O97" s="102"/>
      <c r="P97" s="102"/>
      <c r="Q97" s="103"/>
      <c r="R97" s="105"/>
      <c r="S97" s="105"/>
      <c r="T97" s="105"/>
      <c r="U97" s="105"/>
      <c r="V97" s="105"/>
      <c r="W97" s="105"/>
      <c r="X97" s="105"/>
      <c r="Y97" s="103"/>
      <c r="Z97" s="102"/>
      <c r="AA97" s="102"/>
      <c r="AB97" s="102"/>
      <c r="AC97" s="102"/>
      <c r="AD97" s="102"/>
      <c r="AE97" s="102"/>
      <c r="AF97" s="102"/>
      <c r="AG97" s="103"/>
      <c r="AH97" s="105"/>
      <c r="AI97" s="105"/>
      <c r="AJ97" s="105"/>
      <c r="AK97" s="105"/>
      <c r="AL97" s="105"/>
      <c r="AM97" s="105"/>
      <c r="AN97" s="105"/>
      <c r="AO97" s="103"/>
      <c r="AP97" s="105"/>
      <c r="AQ97" s="105"/>
      <c r="AR97" s="105"/>
      <c r="AS97" s="105"/>
    </row>
    <row r="98" spans="1:45" x14ac:dyDescent="0.25">
      <c r="A98" s="19">
        <v>12</v>
      </c>
      <c r="B98" s="12">
        <v>42079</v>
      </c>
      <c r="C98" s="12">
        <v>42085</v>
      </c>
      <c r="D98" s="12">
        <v>42065</v>
      </c>
      <c r="E98" s="12">
        <v>42072</v>
      </c>
      <c r="F98" s="12">
        <v>42079</v>
      </c>
      <c r="G98" s="12">
        <v>42072</v>
      </c>
      <c r="H98" s="13"/>
      <c r="J98" s="102"/>
      <c r="K98" s="102"/>
      <c r="L98" s="102"/>
      <c r="M98" s="102"/>
      <c r="N98" s="102"/>
      <c r="O98" s="102"/>
      <c r="P98" s="102"/>
      <c r="Q98" s="103"/>
      <c r="R98" s="105"/>
      <c r="S98" s="105"/>
      <c r="T98" s="105"/>
      <c r="U98" s="105"/>
      <c r="V98" s="105"/>
      <c r="W98" s="105"/>
      <c r="X98" s="105"/>
      <c r="Y98" s="103"/>
      <c r="Z98" s="102"/>
      <c r="AA98" s="102"/>
      <c r="AB98" s="102"/>
      <c r="AC98" s="102"/>
      <c r="AD98" s="102"/>
      <c r="AE98" s="102"/>
      <c r="AF98" s="102"/>
      <c r="AG98" s="103"/>
      <c r="AH98" s="105"/>
      <c r="AI98" s="105"/>
      <c r="AJ98" s="105"/>
      <c r="AK98" s="105"/>
      <c r="AL98" s="105"/>
      <c r="AM98" s="105"/>
      <c r="AN98" s="105"/>
      <c r="AO98" s="103"/>
      <c r="AP98" s="105"/>
      <c r="AQ98" s="105"/>
      <c r="AR98" s="105"/>
      <c r="AS98" s="105"/>
    </row>
    <row r="99" spans="1:45" x14ac:dyDescent="0.25">
      <c r="A99" s="19">
        <v>13</v>
      </c>
      <c r="B99" s="12">
        <v>42086</v>
      </c>
      <c r="C99" s="12">
        <v>42092</v>
      </c>
      <c r="D99" s="12">
        <v>42072</v>
      </c>
      <c r="E99" s="12">
        <v>42079</v>
      </c>
      <c r="F99" s="12">
        <v>42086</v>
      </c>
      <c r="G99" s="12">
        <v>42079</v>
      </c>
      <c r="H99" s="13"/>
      <c r="J99" s="102"/>
      <c r="K99" s="102"/>
      <c r="L99" s="102"/>
      <c r="M99" s="102"/>
      <c r="N99" s="102"/>
      <c r="O99" s="102"/>
      <c r="P99" s="102"/>
      <c r="Q99" s="103"/>
      <c r="R99" s="105"/>
      <c r="S99" s="105"/>
      <c r="T99" s="105"/>
      <c r="U99" s="105"/>
      <c r="V99" s="105"/>
      <c r="W99" s="105"/>
      <c r="X99" s="105"/>
      <c r="Y99" s="103"/>
      <c r="Z99" s="102"/>
      <c r="AA99" s="102"/>
      <c r="AB99" s="102"/>
      <c r="AC99" s="102"/>
      <c r="AD99" s="102"/>
      <c r="AE99" s="102"/>
      <c r="AF99" s="102"/>
      <c r="AG99" s="103"/>
      <c r="AH99" s="105"/>
      <c r="AI99" s="105"/>
      <c r="AJ99" s="105"/>
      <c r="AK99" s="105"/>
      <c r="AL99" s="105"/>
      <c r="AM99" s="105"/>
      <c r="AN99" s="105"/>
      <c r="AO99" s="103"/>
      <c r="AP99" s="105"/>
      <c r="AQ99" s="105"/>
      <c r="AR99" s="105"/>
      <c r="AS99" s="105"/>
    </row>
    <row r="100" spans="1:45" x14ac:dyDescent="0.25">
      <c r="A100" s="19">
        <v>14</v>
      </c>
      <c r="B100" s="12">
        <v>42093</v>
      </c>
      <c r="C100" s="12">
        <v>42099</v>
      </c>
      <c r="D100" s="12">
        <v>42079</v>
      </c>
      <c r="E100" s="12">
        <v>42086</v>
      </c>
      <c r="F100" s="12">
        <v>42093</v>
      </c>
      <c r="G100" s="12">
        <v>42086</v>
      </c>
      <c r="H100" s="13"/>
      <c r="J100" s="102"/>
      <c r="K100" s="102"/>
      <c r="L100" s="102"/>
      <c r="M100" s="102"/>
      <c r="N100" s="102"/>
      <c r="O100" s="102"/>
      <c r="P100" s="102"/>
      <c r="Q100" s="103"/>
      <c r="R100" s="105"/>
      <c r="S100" s="105"/>
      <c r="T100" s="105"/>
      <c r="U100" s="105"/>
      <c r="V100" s="105"/>
      <c r="W100" s="105"/>
      <c r="X100" s="105"/>
      <c r="Y100" s="103"/>
      <c r="Z100" s="102"/>
      <c r="AA100" s="102"/>
      <c r="AB100" s="102"/>
      <c r="AC100" s="102"/>
      <c r="AD100" s="102"/>
      <c r="AE100" s="102"/>
      <c r="AF100" s="102"/>
      <c r="AG100" s="103"/>
      <c r="AH100" s="105"/>
      <c r="AI100" s="105"/>
      <c r="AJ100" s="105"/>
      <c r="AK100" s="105"/>
      <c r="AL100" s="105"/>
      <c r="AM100" s="105"/>
      <c r="AN100" s="105"/>
      <c r="AO100" s="103"/>
      <c r="AP100" s="105"/>
      <c r="AQ100" s="105"/>
      <c r="AR100" s="105"/>
      <c r="AS100" s="105"/>
    </row>
    <row r="101" spans="1:45" x14ac:dyDescent="0.25">
      <c r="A101" s="19">
        <v>15</v>
      </c>
      <c r="B101" s="12">
        <v>42100</v>
      </c>
      <c r="C101" s="12">
        <v>42106</v>
      </c>
      <c r="D101" s="12">
        <v>42086</v>
      </c>
      <c r="E101" s="12">
        <v>42093</v>
      </c>
      <c r="F101" s="12">
        <v>42100</v>
      </c>
      <c r="G101" s="12">
        <v>42093</v>
      </c>
      <c r="H101" s="13"/>
      <c r="J101" s="102"/>
      <c r="K101" s="102"/>
      <c r="L101" s="102"/>
      <c r="M101" s="102"/>
      <c r="N101" s="102"/>
      <c r="O101" s="102"/>
      <c r="P101" s="102"/>
      <c r="Q101" s="103"/>
      <c r="R101" s="105"/>
      <c r="S101" s="105"/>
      <c r="T101" s="105"/>
      <c r="U101" s="105"/>
      <c r="V101" s="105"/>
      <c r="W101" s="105"/>
      <c r="X101" s="105"/>
      <c r="Y101" s="103"/>
      <c r="Z101" s="102"/>
      <c r="AA101" s="102"/>
      <c r="AB101" s="102"/>
      <c r="AC101" s="102"/>
      <c r="AD101" s="102"/>
      <c r="AE101" s="102"/>
      <c r="AF101" s="102"/>
      <c r="AG101" s="103"/>
      <c r="AH101" s="105"/>
      <c r="AI101" s="105"/>
      <c r="AJ101" s="105"/>
      <c r="AK101" s="105"/>
      <c r="AL101" s="105"/>
      <c r="AM101" s="105"/>
      <c r="AN101" s="105"/>
      <c r="AO101" s="103"/>
      <c r="AP101" s="105"/>
      <c r="AQ101" s="105"/>
      <c r="AR101" s="105"/>
      <c r="AS101" s="105"/>
    </row>
    <row r="102" spans="1:45" x14ac:dyDescent="0.25">
      <c r="A102" s="19">
        <v>16</v>
      </c>
      <c r="B102" s="12">
        <v>42107</v>
      </c>
      <c r="C102" s="12">
        <v>42113</v>
      </c>
      <c r="D102" s="12">
        <v>42093</v>
      </c>
      <c r="E102" s="12">
        <v>42100</v>
      </c>
      <c r="F102" s="12">
        <v>42107</v>
      </c>
      <c r="G102" s="12">
        <v>42100</v>
      </c>
      <c r="H102" s="13"/>
      <c r="J102" s="102"/>
      <c r="K102" s="102"/>
      <c r="L102" s="102"/>
      <c r="M102" s="102"/>
      <c r="N102" s="102"/>
      <c r="O102" s="102"/>
      <c r="P102" s="102"/>
      <c r="Q102" s="103"/>
      <c r="R102" s="105"/>
      <c r="S102" s="105"/>
      <c r="T102" s="105"/>
      <c r="U102" s="105"/>
      <c r="V102" s="105"/>
      <c r="W102" s="105"/>
      <c r="X102" s="105"/>
      <c r="Y102" s="103"/>
      <c r="Z102" s="102"/>
      <c r="AA102" s="102"/>
      <c r="AB102" s="102"/>
      <c r="AC102" s="102"/>
      <c r="AD102" s="102"/>
      <c r="AE102" s="102"/>
      <c r="AF102" s="102"/>
      <c r="AG102" s="103"/>
      <c r="AH102" s="105"/>
      <c r="AI102" s="105"/>
      <c r="AJ102" s="105"/>
      <c r="AK102" s="105"/>
      <c r="AL102" s="105"/>
      <c r="AM102" s="105"/>
      <c r="AN102" s="105"/>
      <c r="AO102" s="103"/>
      <c r="AP102" s="105"/>
      <c r="AQ102" s="105"/>
      <c r="AR102" s="105"/>
      <c r="AS102" s="105"/>
    </row>
    <row r="103" spans="1:45" x14ac:dyDescent="0.25">
      <c r="A103" s="19">
        <v>17</v>
      </c>
      <c r="B103" s="12">
        <v>42114</v>
      </c>
      <c r="C103" s="12">
        <v>42120</v>
      </c>
      <c r="D103" s="12">
        <v>42100</v>
      </c>
      <c r="E103" s="12">
        <v>42107</v>
      </c>
      <c r="F103" s="12">
        <v>42114</v>
      </c>
      <c r="G103" s="12">
        <v>42107</v>
      </c>
      <c r="H103" s="13"/>
      <c r="J103" s="102"/>
      <c r="K103" s="102"/>
      <c r="L103" s="102"/>
      <c r="M103" s="102"/>
      <c r="N103" s="102"/>
      <c r="O103" s="102"/>
      <c r="P103" s="102"/>
      <c r="Q103" s="103"/>
      <c r="R103" s="105"/>
      <c r="S103" s="105"/>
      <c r="T103" s="105"/>
      <c r="U103" s="105"/>
      <c r="V103" s="105"/>
      <c r="W103" s="105"/>
      <c r="X103" s="105"/>
      <c r="Y103" s="103"/>
      <c r="Z103" s="102"/>
      <c r="AA103" s="102"/>
      <c r="AB103" s="102"/>
      <c r="AC103" s="102"/>
      <c r="AD103" s="102"/>
      <c r="AE103" s="102"/>
      <c r="AF103" s="102"/>
      <c r="AG103" s="103"/>
      <c r="AH103" s="105"/>
      <c r="AI103" s="105"/>
      <c r="AJ103" s="105"/>
      <c r="AK103" s="105"/>
      <c r="AL103" s="105"/>
      <c r="AM103" s="105"/>
      <c r="AN103" s="105"/>
      <c r="AO103" s="103"/>
      <c r="AP103" s="105"/>
      <c r="AQ103" s="105"/>
      <c r="AR103" s="105"/>
      <c r="AS103" s="105"/>
    </row>
    <row r="104" spans="1:45" x14ac:dyDescent="0.25">
      <c r="A104" s="19">
        <v>18</v>
      </c>
      <c r="B104" s="12">
        <v>42121</v>
      </c>
      <c r="C104" s="12">
        <v>42127</v>
      </c>
      <c r="D104" s="12">
        <v>42107</v>
      </c>
      <c r="E104" s="12">
        <v>42114</v>
      </c>
      <c r="F104" s="12">
        <v>42121</v>
      </c>
      <c r="G104" s="12">
        <v>42114</v>
      </c>
      <c r="H104" s="13"/>
      <c r="J104" s="102"/>
      <c r="K104" s="102"/>
      <c r="L104" s="102"/>
      <c r="M104" s="102"/>
      <c r="N104" s="102"/>
      <c r="O104" s="102"/>
      <c r="P104" s="102"/>
      <c r="Q104" s="103"/>
      <c r="R104" s="105"/>
      <c r="S104" s="105"/>
      <c r="T104" s="105"/>
      <c r="U104" s="105"/>
      <c r="V104" s="105"/>
      <c r="W104" s="105"/>
      <c r="X104" s="105"/>
      <c r="Y104" s="103"/>
      <c r="Z104" s="102"/>
      <c r="AA104" s="102"/>
      <c r="AB104" s="102"/>
      <c r="AC104" s="102"/>
      <c r="AD104" s="102"/>
      <c r="AE104" s="102"/>
      <c r="AF104" s="102"/>
      <c r="AG104" s="103"/>
      <c r="AH104" s="105"/>
      <c r="AI104" s="105"/>
      <c r="AJ104" s="105"/>
      <c r="AK104" s="105"/>
      <c r="AL104" s="105"/>
      <c r="AM104" s="105"/>
      <c r="AN104" s="105"/>
      <c r="AO104" s="103"/>
      <c r="AP104" s="105"/>
      <c r="AQ104" s="105"/>
      <c r="AR104" s="105"/>
      <c r="AS104" s="105"/>
    </row>
    <row r="105" spans="1:45" x14ac:dyDescent="0.25">
      <c r="A105" s="19">
        <v>19</v>
      </c>
      <c r="B105" s="12">
        <v>42128</v>
      </c>
      <c r="C105" s="12">
        <v>42134</v>
      </c>
      <c r="D105" s="12">
        <v>42114</v>
      </c>
      <c r="E105" s="12">
        <v>42121</v>
      </c>
      <c r="F105" s="12">
        <v>42128</v>
      </c>
      <c r="G105" s="12">
        <v>42121</v>
      </c>
      <c r="H105" s="13"/>
      <c r="J105" s="102"/>
      <c r="K105" s="102"/>
      <c r="L105" s="102"/>
      <c r="M105" s="102"/>
      <c r="N105" s="102"/>
      <c r="O105" s="102"/>
      <c r="P105" s="102"/>
      <c r="Q105" s="103"/>
      <c r="R105" s="105"/>
      <c r="S105" s="105"/>
      <c r="T105" s="105"/>
      <c r="U105" s="105"/>
      <c r="V105" s="105"/>
      <c r="W105" s="105"/>
      <c r="X105" s="105"/>
      <c r="Y105" s="103"/>
      <c r="Z105" s="102"/>
      <c r="AA105" s="102"/>
      <c r="AB105" s="102"/>
      <c r="AC105" s="102"/>
      <c r="AD105" s="102"/>
      <c r="AE105" s="102"/>
      <c r="AF105" s="102"/>
      <c r="AG105" s="103"/>
      <c r="AH105" s="105"/>
      <c r="AI105" s="105"/>
      <c r="AJ105" s="105"/>
      <c r="AK105" s="105"/>
      <c r="AL105" s="105"/>
      <c r="AM105" s="105"/>
      <c r="AN105" s="105"/>
      <c r="AO105" s="103"/>
      <c r="AP105" s="105"/>
      <c r="AQ105" s="105"/>
      <c r="AR105" s="105"/>
      <c r="AS105" s="105"/>
    </row>
    <row r="106" spans="1:45" x14ac:dyDescent="0.25">
      <c r="A106" s="19">
        <v>20</v>
      </c>
      <c r="B106" s="12">
        <v>42135</v>
      </c>
      <c r="C106" s="12">
        <v>42141</v>
      </c>
      <c r="D106" s="12">
        <v>42121</v>
      </c>
      <c r="E106" s="12">
        <v>42128</v>
      </c>
      <c r="F106" s="12">
        <v>42135</v>
      </c>
      <c r="G106" s="12">
        <v>42128</v>
      </c>
      <c r="H106" s="13"/>
      <c r="J106" s="102"/>
      <c r="K106" s="102"/>
      <c r="L106" s="102"/>
      <c r="M106" s="102"/>
      <c r="N106" s="102"/>
      <c r="O106" s="102"/>
      <c r="P106" s="102"/>
      <c r="Q106" s="103"/>
      <c r="R106" s="105"/>
      <c r="S106" s="105"/>
      <c r="T106" s="105"/>
      <c r="U106" s="105"/>
      <c r="V106" s="105"/>
      <c r="W106" s="105"/>
      <c r="X106" s="105"/>
      <c r="Y106" s="103"/>
      <c r="Z106" s="102"/>
      <c r="AA106" s="102"/>
      <c r="AB106" s="102"/>
      <c r="AC106" s="102"/>
      <c r="AD106" s="102"/>
      <c r="AE106" s="102"/>
      <c r="AF106" s="102"/>
      <c r="AG106" s="103"/>
      <c r="AH106" s="105"/>
      <c r="AI106" s="105"/>
      <c r="AJ106" s="105"/>
      <c r="AK106" s="105"/>
      <c r="AL106" s="105"/>
      <c r="AM106" s="105"/>
      <c r="AN106" s="105"/>
      <c r="AO106" s="103"/>
      <c r="AP106" s="105"/>
      <c r="AQ106" s="105"/>
      <c r="AR106" s="105"/>
      <c r="AS106" s="105"/>
    </row>
    <row r="107" spans="1:45" x14ac:dyDescent="0.25">
      <c r="A107" s="19">
        <v>21</v>
      </c>
      <c r="B107" s="12">
        <v>42142</v>
      </c>
      <c r="C107" s="12">
        <v>42148</v>
      </c>
      <c r="D107" s="12">
        <v>42128</v>
      </c>
      <c r="E107" s="12">
        <v>42135</v>
      </c>
      <c r="F107" s="12">
        <v>42142</v>
      </c>
      <c r="G107" s="12">
        <v>42135</v>
      </c>
      <c r="H107" s="13"/>
      <c r="J107" s="102"/>
      <c r="K107" s="102"/>
      <c r="L107" s="102"/>
      <c r="M107" s="102"/>
      <c r="N107" s="102"/>
      <c r="O107" s="102"/>
      <c r="P107" s="102"/>
      <c r="Q107" s="103"/>
      <c r="R107" s="105"/>
      <c r="S107" s="105"/>
      <c r="T107" s="105"/>
      <c r="U107" s="105"/>
      <c r="V107" s="105"/>
      <c r="W107" s="105"/>
      <c r="X107" s="105"/>
      <c r="Y107" s="103"/>
      <c r="Z107" s="102"/>
      <c r="AA107" s="102"/>
      <c r="AB107" s="102"/>
      <c r="AC107" s="102"/>
      <c r="AD107" s="102"/>
      <c r="AE107" s="102"/>
      <c r="AF107" s="102"/>
      <c r="AG107" s="103"/>
      <c r="AH107" s="105"/>
      <c r="AI107" s="105"/>
      <c r="AJ107" s="105"/>
      <c r="AK107" s="105"/>
      <c r="AL107" s="105"/>
      <c r="AM107" s="105"/>
      <c r="AN107" s="105"/>
      <c r="AO107" s="103"/>
      <c r="AP107" s="105"/>
      <c r="AQ107" s="105"/>
      <c r="AR107" s="105"/>
      <c r="AS107" s="105"/>
    </row>
    <row r="108" spans="1:45" x14ac:dyDescent="0.25">
      <c r="A108" s="19">
        <v>22</v>
      </c>
      <c r="B108" s="12">
        <v>42149</v>
      </c>
      <c r="C108" s="12">
        <v>42155</v>
      </c>
      <c r="D108" s="12">
        <v>42135</v>
      </c>
      <c r="E108" s="12">
        <v>42142</v>
      </c>
      <c r="F108" s="12">
        <v>42149</v>
      </c>
      <c r="G108" s="12">
        <v>42142</v>
      </c>
      <c r="H108" s="13"/>
      <c r="J108" s="102"/>
      <c r="K108" s="102"/>
      <c r="L108" s="102"/>
      <c r="M108" s="102"/>
      <c r="N108" s="102"/>
      <c r="O108" s="102"/>
      <c r="P108" s="102"/>
      <c r="Q108" s="103"/>
      <c r="R108" s="105"/>
      <c r="S108" s="105"/>
      <c r="T108" s="105"/>
      <c r="U108" s="105"/>
      <c r="V108" s="105"/>
      <c r="W108" s="105"/>
      <c r="X108" s="105"/>
      <c r="Y108" s="103"/>
      <c r="Z108" s="102"/>
      <c r="AA108" s="102"/>
      <c r="AB108" s="102"/>
      <c r="AC108" s="102"/>
      <c r="AD108" s="102"/>
      <c r="AE108" s="102"/>
      <c r="AF108" s="102"/>
      <c r="AG108" s="103"/>
      <c r="AH108" s="105"/>
      <c r="AI108" s="105"/>
      <c r="AJ108" s="105"/>
      <c r="AK108" s="105"/>
      <c r="AL108" s="105"/>
      <c r="AM108" s="105"/>
      <c r="AN108" s="105"/>
      <c r="AO108" s="103"/>
      <c r="AP108" s="105"/>
      <c r="AQ108" s="105"/>
      <c r="AR108" s="105"/>
      <c r="AS108" s="105"/>
    </row>
    <row r="109" spans="1:45" x14ac:dyDescent="0.25">
      <c r="A109" s="19">
        <v>23</v>
      </c>
      <c r="B109" s="12">
        <v>42156</v>
      </c>
      <c r="C109" s="12">
        <v>42162</v>
      </c>
      <c r="D109" s="12">
        <v>42142</v>
      </c>
      <c r="E109" s="12">
        <v>42149</v>
      </c>
      <c r="F109" s="12">
        <v>42156</v>
      </c>
      <c r="G109" s="12">
        <v>42149</v>
      </c>
      <c r="H109" s="13"/>
      <c r="J109" s="102"/>
      <c r="K109" s="102"/>
      <c r="L109" s="102"/>
      <c r="M109" s="102"/>
      <c r="N109" s="102"/>
      <c r="O109" s="102"/>
      <c r="P109" s="102"/>
      <c r="Q109" s="103"/>
      <c r="R109" s="105"/>
      <c r="S109" s="105"/>
      <c r="T109" s="105"/>
      <c r="U109" s="105"/>
      <c r="V109" s="105"/>
      <c r="W109" s="105"/>
      <c r="X109" s="105"/>
      <c r="Y109" s="103"/>
      <c r="Z109" s="102"/>
      <c r="AA109" s="102"/>
      <c r="AB109" s="102"/>
      <c r="AC109" s="102"/>
      <c r="AD109" s="102"/>
      <c r="AE109" s="102"/>
      <c r="AF109" s="102"/>
      <c r="AG109" s="103"/>
      <c r="AH109" s="105"/>
      <c r="AI109" s="105"/>
      <c r="AJ109" s="105"/>
      <c r="AK109" s="105"/>
      <c r="AL109" s="105"/>
      <c r="AM109" s="105"/>
      <c r="AN109" s="105"/>
      <c r="AO109" s="103"/>
      <c r="AP109" s="105"/>
      <c r="AQ109" s="105"/>
      <c r="AR109" s="105"/>
      <c r="AS109" s="105"/>
    </row>
    <row r="110" spans="1:45" x14ac:dyDescent="0.25">
      <c r="A110" s="19">
        <v>24</v>
      </c>
      <c r="B110" s="12">
        <v>42163</v>
      </c>
      <c r="C110" s="12">
        <v>42169</v>
      </c>
      <c r="D110" s="12">
        <v>42149</v>
      </c>
      <c r="E110" s="12">
        <v>42156</v>
      </c>
      <c r="F110" s="12">
        <v>42163</v>
      </c>
      <c r="G110" s="12">
        <v>42156</v>
      </c>
      <c r="H110" s="13"/>
      <c r="J110" s="102"/>
      <c r="K110" s="102"/>
      <c r="L110" s="102"/>
      <c r="M110" s="102"/>
      <c r="N110" s="102"/>
      <c r="O110" s="102"/>
      <c r="P110" s="102"/>
      <c r="Q110" s="103"/>
      <c r="R110" s="105"/>
      <c r="S110" s="105"/>
      <c r="T110" s="105"/>
      <c r="U110" s="105"/>
      <c r="V110" s="105"/>
      <c r="W110" s="105"/>
      <c r="X110" s="105"/>
      <c r="Y110" s="103"/>
      <c r="Z110" s="102"/>
      <c r="AA110" s="102"/>
      <c r="AB110" s="102"/>
      <c r="AC110" s="102"/>
      <c r="AD110" s="102"/>
      <c r="AE110" s="102"/>
      <c r="AF110" s="102"/>
      <c r="AG110" s="103"/>
      <c r="AH110" s="105"/>
      <c r="AI110" s="105"/>
      <c r="AJ110" s="105"/>
      <c r="AK110" s="105"/>
      <c r="AL110" s="105"/>
      <c r="AM110" s="105"/>
      <c r="AN110" s="105"/>
      <c r="AO110" s="103"/>
      <c r="AP110" s="105"/>
      <c r="AQ110" s="105"/>
      <c r="AR110" s="105"/>
      <c r="AS110" s="105"/>
    </row>
    <row r="111" spans="1:45" x14ac:dyDescent="0.25">
      <c r="A111" s="19">
        <v>25</v>
      </c>
      <c r="B111" s="12">
        <v>42170</v>
      </c>
      <c r="C111" s="12">
        <v>42176</v>
      </c>
      <c r="D111" s="12">
        <v>42156</v>
      </c>
      <c r="E111" s="12">
        <v>42163</v>
      </c>
      <c r="F111" s="12">
        <v>42170</v>
      </c>
      <c r="G111" s="12">
        <v>42163</v>
      </c>
      <c r="H111" s="13"/>
      <c r="J111" s="102"/>
      <c r="K111" s="102"/>
      <c r="L111" s="102"/>
      <c r="M111" s="102"/>
      <c r="N111" s="102"/>
      <c r="O111" s="102"/>
      <c r="P111" s="102"/>
      <c r="Q111" s="103"/>
      <c r="R111" s="105"/>
      <c r="S111" s="105"/>
      <c r="T111" s="105"/>
      <c r="U111" s="105"/>
      <c r="V111" s="105"/>
      <c r="W111" s="105"/>
      <c r="X111" s="105"/>
      <c r="Y111" s="103"/>
      <c r="Z111" s="102"/>
      <c r="AA111" s="102"/>
      <c r="AB111" s="102"/>
      <c r="AC111" s="102"/>
      <c r="AD111" s="102"/>
      <c r="AE111" s="102"/>
      <c r="AF111" s="102"/>
      <c r="AG111" s="103"/>
      <c r="AH111" s="105"/>
      <c r="AI111" s="105"/>
      <c r="AJ111" s="105"/>
      <c r="AK111" s="105"/>
      <c r="AL111" s="105"/>
      <c r="AM111" s="105"/>
      <c r="AN111" s="105"/>
      <c r="AO111" s="103"/>
      <c r="AP111" s="105"/>
      <c r="AQ111" s="105"/>
      <c r="AR111" s="105"/>
      <c r="AS111" s="105"/>
    </row>
    <row r="112" spans="1:45" x14ac:dyDescent="0.25">
      <c r="A112" s="19">
        <v>26</v>
      </c>
      <c r="B112" s="12">
        <v>42177</v>
      </c>
      <c r="C112" s="12">
        <v>42183</v>
      </c>
      <c r="D112" s="12">
        <v>42163</v>
      </c>
      <c r="E112" s="12">
        <v>42170</v>
      </c>
      <c r="F112" s="12">
        <v>42177</v>
      </c>
      <c r="G112" s="12">
        <v>42170</v>
      </c>
      <c r="H112" s="13"/>
      <c r="J112" s="102"/>
      <c r="K112" s="102"/>
      <c r="L112" s="102"/>
      <c r="M112" s="102"/>
      <c r="N112" s="102"/>
      <c r="O112" s="102"/>
      <c r="P112" s="102"/>
      <c r="Q112" s="103"/>
      <c r="R112" s="105"/>
      <c r="S112" s="105"/>
      <c r="T112" s="105"/>
      <c r="U112" s="105"/>
      <c r="V112" s="105"/>
      <c r="W112" s="105"/>
      <c r="X112" s="105"/>
      <c r="Y112" s="103"/>
      <c r="Z112" s="102"/>
      <c r="AA112" s="102"/>
      <c r="AB112" s="102"/>
      <c r="AC112" s="102"/>
      <c r="AD112" s="102"/>
      <c r="AE112" s="102"/>
      <c r="AF112" s="102"/>
      <c r="AG112" s="103"/>
      <c r="AH112" s="105"/>
      <c r="AI112" s="105"/>
      <c r="AJ112" s="105"/>
      <c r="AK112" s="105"/>
      <c r="AL112" s="105"/>
      <c r="AM112" s="105"/>
      <c r="AN112" s="105"/>
      <c r="AO112" s="103"/>
      <c r="AP112" s="105"/>
      <c r="AQ112" s="105"/>
      <c r="AR112" s="105"/>
      <c r="AS112" s="105"/>
    </row>
    <row r="113" spans="1:45" x14ac:dyDescent="0.25">
      <c r="A113" s="19">
        <v>27</v>
      </c>
      <c r="B113" s="12">
        <v>42184</v>
      </c>
      <c r="C113" s="12">
        <v>42190</v>
      </c>
      <c r="D113" s="12">
        <v>42170</v>
      </c>
      <c r="E113" s="12">
        <v>42177</v>
      </c>
      <c r="F113" s="12">
        <v>42184</v>
      </c>
      <c r="G113" s="12">
        <v>42177</v>
      </c>
      <c r="H113" s="13"/>
      <c r="J113" s="102"/>
      <c r="K113" s="102"/>
      <c r="L113" s="102"/>
      <c r="M113" s="102"/>
      <c r="N113" s="102"/>
      <c r="O113" s="102"/>
      <c r="P113" s="102"/>
      <c r="Q113" s="103"/>
      <c r="R113" s="105"/>
      <c r="S113" s="105"/>
      <c r="T113" s="105"/>
      <c r="U113" s="105"/>
      <c r="V113" s="105"/>
      <c r="W113" s="105"/>
      <c r="X113" s="105"/>
      <c r="Y113" s="103"/>
      <c r="Z113" s="102"/>
      <c r="AA113" s="102"/>
      <c r="AB113" s="102"/>
      <c r="AC113" s="102"/>
      <c r="AD113" s="102"/>
      <c r="AE113" s="102"/>
      <c r="AF113" s="102"/>
      <c r="AG113" s="103"/>
      <c r="AH113" s="105"/>
      <c r="AI113" s="105"/>
      <c r="AJ113" s="105"/>
      <c r="AK113" s="105"/>
      <c r="AL113" s="105"/>
      <c r="AM113" s="105"/>
      <c r="AN113" s="105"/>
      <c r="AO113" s="103"/>
      <c r="AP113" s="105"/>
      <c r="AQ113" s="105"/>
      <c r="AR113" s="105"/>
      <c r="AS113" s="105"/>
    </row>
    <row r="114" spans="1:45" x14ac:dyDescent="0.25">
      <c r="A114" s="19">
        <v>28</v>
      </c>
      <c r="B114" s="12">
        <v>42191</v>
      </c>
      <c r="C114" s="12">
        <v>42197</v>
      </c>
      <c r="D114" s="12">
        <v>42177</v>
      </c>
      <c r="E114" s="12">
        <v>42184</v>
      </c>
      <c r="F114" s="12">
        <v>42191</v>
      </c>
      <c r="G114" s="12">
        <v>42184</v>
      </c>
      <c r="H114" s="13"/>
      <c r="J114" s="102"/>
      <c r="K114" s="102"/>
      <c r="L114" s="102"/>
      <c r="M114" s="102"/>
      <c r="N114" s="102"/>
      <c r="O114" s="102"/>
      <c r="P114" s="102"/>
      <c r="Q114" s="103"/>
      <c r="R114" s="105"/>
      <c r="S114" s="105"/>
      <c r="T114" s="105"/>
      <c r="U114" s="105"/>
      <c r="V114" s="105"/>
      <c r="W114" s="105"/>
      <c r="X114" s="105"/>
      <c r="Y114" s="103"/>
      <c r="Z114" s="102"/>
      <c r="AA114" s="102"/>
      <c r="AB114" s="102"/>
      <c r="AC114" s="102"/>
      <c r="AD114" s="102"/>
      <c r="AE114" s="102"/>
      <c r="AF114" s="102"/>
      <c r="AG114" s="103"/>
      <c r="AH114" s="105"/>
      <c r="AI114" s="105"/>
      <c r="AJ114" s="105"/>
      <c r="AK114" s="105"/>
      <c r="AL114" s="105"/>
      <c r="AM114" s="105"/>
      <c r="AN114" s="105"/>
      <c r="AO114" s="103"/>
      <c r="AP114" s="105"/>
      <c r="AQ114" s="105"/>
      <c r="AR114" s="105"/>
      <c r="AS114" s="105"/>
    </row>
    <row r="115" spans="1:45" x14ac:dyDescent="0.25">
      <c r="A115" s="19">
        <v>29</v>
      </c>
      <c r="B115" s="12">
        <v>42198</v>
      </c>
      <c r="C115" s="12">
        <v>42204</v>
      </c>
      <c r="D115" s="12">
        <v>42184</v>
      </c>
      <c r="E115" s="12">
        <v>42191</v>
      </c>
      <c r="F115" s="12">
        <v>42198</v>
      </c>
      <c r="G115" s="12">
        <v>42191</v>
      </c>
      <c r="H115" s="13"/>
      <c r="J115" s="102"/>
      <c r="K115" s="102"/>
      <c r="L115" s="102"/>
      <c r="M115" s="102"/>
      <c r="N115" s="102"/>
      <c r="O115" s="102"/>
      <c r="P115" s="102"/>
      <c r="Q115" s="103"/>
      <c r="R115" s="105"/>
      <c r="S115" s="105"/>
      <c r="T115" s="105"/>
      <c r="U115" s="105"/>
      <c r="V115" s="105"/>
      <c r="W115" s="105"/>
      <c r="X115" s="105"/>
      <c r="Y115" s="103"/>
      <c r="Z115" s="102"/>
      <c r="AA115" s="102"/>
      <c r="AB115" s="102"/>
      <c r="AC115" s="102"/>
      <c r="AD115" s="102"/>
      <c r="AE115" s="102"/>
      <c r="AF115" s="102"/>
      <c r="AG115" s="103"/>
      <c r="AH115" s="105"/>
      <c r="AI115" s="105"/>
      <c r="AJ115" s="105"/>
      <c r="AK115" s="105"/>
      <c r="AL115" s="105"/>
      <c r="AM115" s="105"/>
      <c r="AN115" s="105"/>
      <c r="AO115" s="103"/>
      <c r="AP115" s="105"/>
      <c r="AQ115" s="105"/>
      <c r="AR115" s="105"/>
      <c r="AS115" s="105"/>
    </row>
    <row r="116" spans="1:45" x14ac:dyDescent="0.25">
      <c r="A116" s="19">
        <v>30</v>
      </c>
      <c r="B116" s="12">
        <v>42205</v>
      </c>
      <c r="C116" s="12">
        <v>42211</v>
      </c>
      <c r="D116" s="12">
        <v>42191</v>
      </c>
      <c r="E116" s="12">
        <v>42198</v>
      </c>
      <c r="F116" s="12">
        <v>42205</v>
      </c>
      <c r="G116" s="12">
        <v>42198</v>
      </c>
      <c r="H116" s="13"/>
      <c r="J116" s="102"/>
      <c r="K116" s="102"/>
      <c r="L116" s="102"/>
      <c r="M116" s="102"/>
      <c r="N116" s="102"/>
      <c r="O116" s="102"/>
      <c r="P116" s="102"/>
      <c r="Q116" s="103"/>
      <c r="R116" s="105"/>
      <c r="S116" s="105"/>
      <c r="T116" s="105"/>
      <c r="U116" s="105"/>
      <c r="V116" s="105"/>
      <c r="W116" s="105"/>
      <c r="X116" s="105"/>
      <c r="Y116" s="103"/>
      <c r="Z116" s="102"/>
      <c r="AA116" s="102"/>
      <c r="AB116" s="102"/>
      <c r="AC116" s="102"/>
      <c r="AD116" s="102"/>
      <c r="AE116" s="102"/>
      <c r="AF116" s="102"/>
      <c r="AG116" s="103"/>
      <c r="AH116" s="105"/>
      <c r="AI116" s="105"/>
      <c r="AJ116" s="105"/>
      <c r="AK116" s="105"/>
      <c r="AL116" s="105"/>
      <c r="AM116" s="105"/>
      <c r="AN116" s="105"/>
      <c r="AO116" s="103"/>
      <c r="AP116" s="105"/>
      <c r="AQ116" s="105"/>
      <c r="AR116" s="105"/>
      <c r="AS116" s="105"/>
    </row>
    <row r="117" spans="1:45" x14ac:dyDescent="0.25">
      <c r="A117" s="19">
        <v>31</v>
      </c>
      <c r="B117" s="12">
        <v>42212</v>
      </c>
      <c r="C117" s="12">
        <v>42218</v>
      </c>
      <c r="D117" s="12">
        <v>42198</v>
      </c>
      <c r="E117" s="12">
        <v>42205</v>
      </c>
      <c r="F117" s="12">
        <v>42212</v>
      </c>
      <c r="G117" s="12">
        <v>42205</v>
      </c>
      <c r="H117" s="13"/>
      <c r="J117" s="102"/>
      <c r="K117" s="102"/>
      <c r="L117" s="102"/>
      <c r="M117" s="102"/>
      <c r="N117" s="102"/>
      <c r="O117" s="102"/>
      <c r="P117" s="102"/>
      <c r="Q117" s="103"/>
      <c r="R117" s="105"/>
      <c r="S117" s="105"/>
      <c r="T117" s="105"/>
      <c r="U117" s="105"/>
      <c r="V117" s="105"/>
      <c r="W117" s="105"/>
      <c r="X117" s="105"/>
      <c r="Y117" s="103"/>
      <c r="Z117" s="102"/>
      <c r="AA117" s="102"/>
      <c r="AB117" s="102"/>
      <c r="AC117" s="102"/>
      <c r="AD117" s="102"/>
      <c r="AE117" s="102"/>
      <c r="AF117" s="102"/>
      <c r="AG117" s="103"/>
      <c r="AH117" s="105"/>
      <c r="AI117" s="105"/>
      <c r="AJ117" s="105"/>
      <c r="AK117" s="105"/>
      <c r="AL117" s="105"/>
      <c r="AM117" s="105"/>
      <c r="AN117" s="105"/>
      <c r="AO117" s="103"/>
      <c r="AP117" s="105"/>
      <c r="AQ117" s="105"/>
      <c r="AR117" s="105"/>
      <c r="AS117" s="105"/>
    </row>
    <row r="118" spans="1:45" x14ac:dyDescent="0.25">
      <c r="A118" s="19">
        <v>32</v>
      </c>
      <c r="B118" s="12">
        <v>42219</v>
      </c>
      <c r="C118" s="12">
        <v>42225</v>
      </c>
      <c r="D118" s="12">
        <v>42205</v>
      </c>
      <c r="E118" s="12">
        <v>42212</v>
      </c>
      <c r="F118" s="12">
        <v>42219</v>
      </c>
      <c r="G118" s="12">
        <v>42212</v>
      </c>
      <c r="H118" s="13"/>
      <c r="J118" s="102"/>
      <c r="K118" s="102"/>
      <c r="L118" s="102"/>
      <c r="M118" s="102"/>
      <c r="N118" s="102"/>
      <c r="O118" s="102"/>
      <c r="P118" s="102"/>
      <c r="Q118" s="103"/>
      <c r="R118" s="105"/>
      <c r="S118" s="105"/>
      <c r="T118" s="105"/>
      <c r="U118" s="105"/>
      <c r="V118" s="105"/>
      <c r="W118" s="105"/>
      <c r="X118" s="105"/>
      <c r="Y118" s="103"/>
      <c r="Z118" s="102"/>
      <c r="AA118" s="102"/>
      <c r="AB118" s="102"/>
      <c r="AC118" s="102"/>
      <c r="AD118" s="102"/>
      <c r="AE118" s="102"/>
      <c r="AF118" s="102"/>
      <c r="AG118" s="103"/>
      <c r="AH118" s="105"/>
      <c r="AI118" s="105"/>
      <c r="AJ118" s="105"/>
      <c r="AK118" s="105"/>
      <c r="AL118" s="105"/>
      <c r="AM118" s="105"/>
      <c r="AN118" s="105"/>
      <c r="AO118" s="103"/>
      <c r="AP118" s="105"/>
      <c r="AQ118" s="105"/>
      <c r="AR118" s="105"/>
      <c r="AS118" s="105"/>
    </row>
    <row r="119" spans="1:45" x14ac:dyDescent="0.25">
      <c r="A119" s="19">
        <v>33</v>
      </c>
      <c r="B119" s="12">
        <v>42226</v>
      </c>
      <c r="C119" s="12">
        <v>42232</v>
      </c>
      <c r="D119" s="12">
        <v>42212</v>
      </c>
      <c r="E119" s="12">
        <v>42219</v>
      </c>
      <c r="F119" s="12">
        <v>42226</v>
      </c>
      <c r="G119" s="12">
        <v>42219</v>
      </c>
      <c r="H119" s="13"/>
      <c r="J119" s="102"/>
      <c r="K119" s="102"/>
      <c r="L119" s="102"/>
      <c r="M119" s="102"/>
      <c r="N119" s="102"/>
      <c r="O119" s="102"/>
      <c r="P119" s="102"/>
      <c r="Q119" s="103"/>
      <c r="R119" s="105"/>
      <c r="S119" s="105"/>
      <c r="T119" s="105"/>
      <c r="U119" s="105"/>
      <c r="V119" s="105"/>
      <c r="W119" s="105"/>
      <c r="X119" s="105"/>
      <c r="Y119" s="103"/>
      <c r="Z119" s="102"/>
      <c r="AA119" s="102"/>
      <c r="AB119" s="102"/>
      <c r="AC119" s="102"/>
      <c r="AD119" s="102"/>
      <c r="AE119" s="102"/>
      <c r="AF119" s="102"/>
      <c r="AG119" s="103"/>
      <c r="AH119" s="105"/>
      <c r="AI119" s="105"/>
      <c r="AJ119" s="105"/>
      <c r="AK119" s="105"/>
      <c r="AL119" s="105"/>
      <c r="AM119" s="105"/>
      <c r="AN119" s="105"/>
      <c r="AO119" s="103"/>
      <c r="AP119" s="105"/>
      <c r="AQ119" s="105"/>
      <c r="AR119" s="105"/>
      <c r="AS119" s="105"/>
    </row>
    <row r="120" spans="1:45" x14ac:dyDescent="0.25">
      <c r="A120" s="19">
        <v>34</v>
      </c>
      <c r="B120" s="12">
        <v>42233</v>
      </c>
      <c r="C120" s="12">
        <v>42239</v>
      </c>
      <c r="D120" s="12">
        <v>42219</v>
      </c>
      <c r="E120" s="12">
        <v>42226</v>
      </c>
      <c r="F120" s="12">
        <v>42233</v>
      </c>
      <c r="G120" s="12">
        <v>42226</v>
      </c>
      <c r="H120" s="13"/>
      <c r="J120" s="102"/>
      <c r="K120" s="102"/>
      <c r="L120" s="102"/>
      <c r="M120" s="102"/>
      <c r="N120" s="102"/>
      <c r="O120" s="102"/>
      <c r="P120" s="102"/>
      <c r="Q120" s="103"/>
      <c r="R120" s="105"/>
      <c r="S120" s="105"/>
      <c r="T120" s="105"/>
      <c r="U120" s="105"/>
      <c r="V120" s="105"/>
      <c r="W120" s="105"/>
      <c r="X120" s="105"/>
      <c r="Y120" s="103"/>
      <c r="Z120" s="102"/>
      <c r="AA120" s="102"/>
      <c r="AB120" s="102"/>
      <c r="AC120" s="102"/>
      <c r="AD120" s="102"/>
      <c r="AE120" s="102"/>
      <c r="AF120" s="102"/>
      <c r="AG120" s="103"/>
      <c r="AH120" s="105"/>
      <c r="AI120" s="105"/>
      <c r="AJ120" s="105"/>
      <c r="AK120" s="105"/>
      <c r="AL120" s="105"/>
      <c r="AM120" s="105"/>
      <c r="AN120" s="105"/>
      <c r="AO120" s="103"/>
      <c r="AP120" s="105"/>
      <c r="AQ120" s="105"/>
      <c r="AR120" s="105"/>
      <c r="AS120" s="105"/>
    </row>
    <row r="121" spans="1:45" x14ac:dyDescent="0.25">
      <c r="A121" s="19">
        <v>35</v>
      </c>
      <c r="B121" s="12">
        <v>42240</v>
      </c>
      <c r="C121" s="12">
        <v>42246</v>
      </c>
      <c r="D121" s="12">
        <v>42226</v>
      </c>
      <c r="E121" s="12">
        <v>42233</v>
      </c>
      <c r="F121" s="12">
        <v>42240</v>
      </c>
      <c r="G121" s="12">
        <v>42233</v>
      </c>
      <c r="H121" s="13"/>
      <c r="J121" s="102"/>
      <c r="K121" s="102"/>
      <c r="L121" s="102"/>
      <c r="M121" s="102"/>
      <c r="N121" s="102"/>
      <c r="O121" s="102"/>
      <c r="P121" s="102"/>
      <c r="Q121" s="103"/>
      <c r="R121" s="105"/>
      <c r="S121" s="105"/>
      <c r="T121" s="105"/>
      <c r="U121" s="105"/>
      <c r="V121" s="105"/>
      <c r="W121" s="105"/>
      <c r="X121" s="105"/>
      <c r="Y121" s="103"/>
      <c r="Z121" s="102"/>
      <c r="AA121" s="102"/>
      <c r="AB121" s="102"/>
      <c r="AC121" s="102"/>
      <c r="AD121" s="102"/>
      <c r="AE121" s="102"/>
      <c r="AF121" s="102"/>
      <c r="AG121" s="103"/>
      <c r="AH121" s="105"/>
      <c r="AI121" s="105"/>
      <c r="AJ121" s="105"/>
      <c r="AK121" s="105"/>
      <c r="AL121" s="105"/>
      <c r="AM121" s="105"/>
      <c r="AN121" s="105"/>
      <c r="AO121" s="103"/>
      <c r="AP121" s="105"/>
      <c r="AQ121" s="105"/>
      <c r="AR121" s="105"/>
      <c r="AS121" s="105"/>
    </row>
    <row r="122" spans="1:45" x14ac:dyDescent="0.25">
      <c r="A122" s="19">
        <v>36</v>
      </c>
      <c r="B122" s="12">
        <v>42247</v>
      </c>
      <c r="C122" s="12">
        <v>42253</v>
      </c>
      <c r="D122" s="12">
        <v>42233</v>
      </c>
      <c r="E122" s="12">
        <v>42240</v>
      </c>
      <c r="F122" s="12">
        <v>42247</v>
      </c>
      <c r="G122" s="12">
        <v>42240</v>
      </c>
      <c r="H122" s="13"/>
      <c r="J122" s="102"/>
      <c r="K122" s="102"/>
      <c r="L122" s="102"/>
      <c r="M122" s="102"/>
      <c r="N122" s="102"/>
      <c r="O122" s="102"/>
      <c r="P122" s="102"/>
      <c r="Q122" s="103"/>
      <c r="R122" s="105"/>
      <c r="S122" s="105"/>
      <c r="T122" s="105"/>
      <c r="U122" s="105"/>
      <c r="V122" s="105"/>
      <c r="W122" s="105"/>
      <c r="X122" s="105"/>
      <c r="Y122" s="103"/>
      <c r="Z122" s="102"/>
      <c r="AA122" s="102"/>
      <c r="AB122" s="102"/>
      <c r="AC122" s="102"/>
      <c r="AD122" s="102"/>
      <c r="AE122" s="102"/>
      <c r="AF122" s="102"/>
      <c r="AG122" s="103"/>
      <c r="AH122" s="105"/>
      <c r="AI122" s="105"/>
      <c r="AJ122" s="105"/>
      <c r="AK122" s="105"/>
      <c r="AL122" s="105"/>
      <c r="AM122" s="105"/>
      <c r="AN122" s="105"/>
      <c r="AO122" s="103"/>
      <c r="AP122" s="105"/>
      <c r="AQ122" s="105"/>
      <c r="AR122" s="105"/>
      <c r="AS122" s="105"/>
    </row>
    <row r="123" spans="1:45" x14ac:dyDescent="0.25">
      <c r="A123" s="19">
        <v>37</v>
      </c>
      <c r="B123" s="12">
        <v>42254</v>
      </c>
      <c r="C123" s="12">
        <v>42260</v>
      </c>
      <c r="D123" s="12">
        <v>42240</v>
      </c>
      <c r="E123" s="12">
        <v>42247</v>
      </c>
      <c r="F123" s="12">
        <v>42254</v>
      </c>
      <c r="G123" s="12">
        <v>42247</v>
      </c>
      <c r="H123" s="13"/>
      <c r="J123" s="102"/>
      <c r="K123" s="102"/>
      <c r="L123" s="102"/>
      <c r="M123" s="102"/>
      <c r="N123" s="102"/>
      <c r="O123" s="102"/>
      <c r="P123" s="102"/>
      <c r="Q123" s="103"/>
      <c r="R123" s="105"/>
      <c r="S123" s="105"/>
      <c r="T123" s="105"/>
      <c r="U123" s="105"/>
      <c r="V123" s="105"/>
      <c r="W123" s="105"/>
      <c r="X123" s="105"/>
      <c r="Y123" s="103"/>
      <c r="Z123" s="102"/>
      <c r="AA123" s="102"/>
      <c r="AB123" s="102"/>
      <c r="AC123" s="102"/>
      <c r="AD123" s="102"/>
      <c r="AE123" s="102"/>
      <c r="AF123" s="102"/>
      <c r="AG123" s="103"/>
      <c r="AH123" s="105"/>
      <c r="AI123" s="105"/>
      <c r="AJ123" s="105"/>
      <c r="AK123" s="105"/>
      <c r="AL123" s="105"/>
      <c r="AM123" s="105"/>
      <c r="AN123" s="105"/>
      <c r="AO123" s="103"/>
      <c r="AP123" s="105"/>
      <c r="AQ123" s="105"/>
      <c r="AR123" s="105"/>
      <c r="AS123" s="105"/>
    </row>
    <row r="124" spans="1:45" x14ac:dyDescent="0.25">
      <c r="A124" s="19">
        <v>38</v>
      </c>
      <c r="B124" s="12">
        <v>42261</v>
      </c>
      <c r="C124" s="12">
        <v>42267</v>
      </c>
      <c r="D124" s="12">
        <v>42247</v>
      </c>
      <c r="E124" s="12">
        <v>42254</v>
      </c>
      <c r="F124" s="12">
        <v>42261</v>
      </c>
      <c r="G124" s="12">
        <v>42254</v>
      </c>
      <c r="H124" s="13"/>
      <c r="J124" s="102"/>
      <c r="K124" s="102"/>
      <c r="L124" s="102"/>
      <c r="M124" s="102"/>
      <c r="N124" s="102"/>
      <c r="O124" s="102"/>
      <c r="P124" s="102"/>
      <c r="Q124" s="103"/>
      <c r="R124" s="105"/>
      <c r="S124" s="105"/>
      <c r="T124" s="105"/>
      <c r="U124" s="105"/>
      <c r="V124" s="105"/>
      <c r="W124" s="105"/>
      <c r="X124" s="105"/>
      <c r="Y124" s="103"/>
      <c r="Z124" s="102"/>
      <c r="AA124" s="102"/>
      <c r="AB124" s="102"/>
      <c r="AC124" s="102"/>
      <c r="AD124" s="102"/>
      <c r="AE124" s="102"/>
      <c r="AF124" s="102"/>
      <c r="AG124" s="103"/>
      <c r="AH124" s="105"/>
      <c r="AI124" s="105"/>
      <c r="AJ124" s="105"/>
      <c r="AK124" s="105"/>
      <c r="AL124" s="105"/>
      <c r="AM124" s="105"/>
      <c r="AN124" s="105"/>
      <c r="AO124" s="103"/>
      <c r="AP124" s="105"/>
      <c r="AQ124" s="105"/>
      <c r="AR124" s="105"/>
      <c r="AS124" s="105"/>
    </row>
    <row r="125" spans="1:45" x14ac:dyDescent="0.25">
      <c r="A125" s="19">
        <v>39</v>
      </c>
      <c r="B125" s="12">
        <v>42268</v>
      </c>
      <c r="C125" s="12">
        <v>42274</v>
      </c>
      <c r="D125" s="12">
        <v>42254</v>
      </c>
      <c r="E125" s="12">
        <v>42261</v>
      </c>
      <c r="F125" s="12">
        <v>42268</v>
      </c>
      <c r="G125" s="12">
        <v>42261</v>
      </c>
      <c r="H125" s="13"/>
      <c r="R125" s="106"/>
      <c r="S125" s="106"/>
      <c r="T125" s="106"/>
      <c r="U125" s="106"/>
      <c r="V125" s="106"/>
      <c r="W125" s="106"/>
      <c r="X125" s="106"/>
      <c r="Z125" s="104"/>
      <c r="AA125" s="104"/>
      <c r="AB125" s="104"/>
      <c r="AC125" s="104"/>
      <c r="AD125" s="104"/>
      <c r="AE125" s="104"/>
      <c r="AF125" s="104"/>
    </row>
    <row r="126" spans="1:45" x14ac:dyDescent="0.25">
      <c r="A126" s="19">
        <v>40</v>
      </c>
      <c r="B126" s="12">
        <v>42275</v>
      </c>
      <c r="C126" s="12">
        <v>42281</v>
      </c>
      <c r="D126" s="12">
        <v>42261</v>
      </c>
      <c r="E126" s="12">
        <v>42268</v>
      </c>
      <c r="F126" s="12">
        <v>42275</v>
      </c>
      <c r="G126" s="12">
        <v>42268</v>
      </c>
      <c r="H126" s="13"/>
      <c r="R126" s="106"/>
      <c r="S126" s="106"/>
      <c r="T126" s="106"/>
      <c r="U126" s="106"/>
      <c r="V126" s="106"/>
      <c r="W126" s="106"/>
      <c r="X126" s="106"/>
      <c r="Z126" s="104"/>
      <c r="AA126" s="104"/>
      <c r="AB126" s="104"/>
      <c r="AC126" s="104"/>
      <c r="AD126" s="104"/>
      <c r="AE126" s="104"/>
      <c r="AF126" s="104"/>
    </row>
    <row r="127" spans="1:45" x14ac:dyDescent="0.25">
      <c r="A127" s="19">
        <v>41</v>
      </c>
      <c r="B127" s="12">
        <v>42282</v>
      </c>
      <c r="C127" s="12">
        <v>42288</v>
      </c>
      <c r="D127" s="12">
        <v>42268</v>
      </c>
      <c r="E127" s="12">
        <v>42275</v>
      </c>
      <c r="F127" s="12">
        <v>42282</v>
      </c>
      <c r="G127" s="12">
        <v>42275</v>
      </c>
      <c r="H127" s="13"/>
      <c r="R127" s="106"/>
      <c r="S127" s="106"/>
      <c r="T127" s="106"/>
      <c r="U127" s="106"/>
      <c r="V127" s="106"/>
      <c r="W127" s="106"/>
      <c r="X127" s="106"/>
      <c r="Z127" s="104"/>
      <c r="AA127" s="104"/>
      <c r="AB127" s="104"/>
      <c r="AC127" s="104"/>
      <c r="AD127" s="104"/>
      <c r="AE127" s="104"/>
      <c r="AF127" s="104"/>
    </row>
    <row r="128" spans="1:45" x14ac:dyDescent="0.25">
      <c r="A128" s="19">
        <v>42</v>
      </c>
      <c r="B128" s="12">
        <v>42289</v>
      </c>
      <c r="C128" s="12">
        <v>42295</v>
      </c>
      <c r="D128" s="12">
        <v>42275</v>
      </c>
      <c r="E128" s="12">
        <v>42282</v>
      </c>
      <c r="F128" s="12">
        <v>42289</v>
      </c>
      <c r="G128" s="12">
        <v>42282</v>
      </c>
      <c r="H128" s="13"/>
      <c r="R128" s="106"/>
      <c r="S128" s="106"/>
      <c r="T128" s="106"/>
      <c r="U128" s="106"/>
      <c r="V128" s="106"/>
      <c r="W128" s="106"/>
      <c r="X128" s="106"/>
      <c r="Z128" s="104"/>
      <c r="AA128" s="104"/>
      <c r="AB128" s="104"/>
      <c r="AC128" s="104"/>
      <c r="AD128" s="104"/>
      <c r="AE128" s="104"/>
      <c r="AF128" s="104"/>
    </row>
    <row r="129" spans="1:32" x14ac:dyDescent="0.25">
      <c r="A129" s="19">
        <v>43</v>
      </c>
      <c r="B129" s="12">
        <v>42296</v>
      </c>
      <c r="C129" s="12">
        <v>42302</v>
      </c>
      <c r="D129" s="12">
        <v>42282</v>
      </c>
      <c r="E129" s="12">
        <v>42289</v>
      </c>
      <c r="F129" s="12">
        <v>42296</v>
      </c>
      <c r="G129" s="12">
        <v>42289</v>
      </c>
      <c r="H129" s="13"/>
      <c r="R129" s="106"/>
      <c r="S129" s="106"/>
      <c r="T129" s="106"/>
      <c r="U129" s="106"/>
      <c r="V129" s="106"/>
      <c r="W129" s="106"/>
      <c r="X129" s="106"/>
      <c r="Z129" s="104"/>
      <c r="AA129" s="104"/>
      <c r="AB129" s="104"/>
      <c r="AC129" s="104"/>
      <c r="AD129" s="104"/>
      <c r="AE129" s="104"/>
      <c r="AF129" s="104"/>
    </row>
    <row r="130" spans="1:32" x14ac:dyDescent="0.25">
      <c r="A130" s="19">
        <v>44</v>
      </c>
      <c r="B130" s="12">
        <v>42303</v>
      </c>
      <c r="C130" s="12">
        <v>42309</v>
      </c>
      <c r="D130" s="12">
        <v>42289</v>
      </c>
      <c r="E130" s="12">
        <v>42296</v>
      </c>
      <c r="F130" s="12">
        <v>42303</v>
      </c>
      <c r="G130" s="12">
        <v>42296</v>
      </c>
      <c r="H130" s="13"/>
      <c r="R130" s="106"/>
      <c r="S130" s="106"/>
      <c r="T130" s="106"/>
      <c r="U130" s="106"/>
      <c r="V130" s="106"/>
      <c r="W130" s="106"/>
      <c r="X130" s="106"/>
      <c r="Z130" s="104"/>
      <c r="AA130" s="104"/>
      <c r="AB130" s="104"/>
      <c r="AC130" s="104"/>
      <c r="AD130" s="104"/>
      <c r="AE130" s="104"/>
      <c r="AF130" s="104"/>
    </row>
    <row r="131" spans="1:32" x14ac:dyDescent="0.25">
      <c r="A131" s="19">
        <v>45</v>
      </c>
      <c r="B131" s="12">
        <v>42310</v>
      </c>
      <c r="C131" s="12">
        <v>42316</v>
      </c>
      <c r="D131" s="12">
        <v>42296</v>
      </c>
      <c r="E131" s="12">
        <v>42303</v>
      </c>
      <c r="F131" s="12">
        <v>42310</v>
      </c>
      <c r="G131" s="12">
        <v>42303</v>
      </c>
      <c r="H131" s="13"/>
      <c r="R131" s="106"/>
      <c r="S131" s="106"/>
      <c r="T131" s="106"/>
      <c r="U131" s="106"/>
      <c r="V131" s="106"/>
      <c r="W131" s="106"/>
      <c r="X131" s="106"/>
      <c r="Z131" s="104"/>
      <c r="AA131" s="104"/>
      <c r="AB131" s="104"/>
      <c r="AC131" s="104"/>
      <c r="AD131" s="104"/>
      <c r="AE131" s="104"/>
      <c r="AF131" s="104"/>
    </row>
    <row r="132" spans="1:32" x14ac:dyDescent="0.25">
      <c r="A132" s="19">
        <v>46</v>
      </c>
      <c r="B132" s="12">
        <v>42317</v>
      </c>
      <c r="C132" s="12">
        <v>42323</v>
      </c>
      <c r="D132" s="12">
        <v>42303</v>
      </c>
      <c r="E132" s="12">
        <v>42310</v>
      </c>
      <c r="F132" s="12">
        <v>42317</v>
      </c>
      <c r="G132" s="12">
        <v>42310</v>
      </c>
      <c r="H132" s="13"/>
      <c r="R132" s="106"/>
      <c r="S132" s="106"/>
      <c r="T132" s="106"/>
      <c r="U132" s="106"/>
      <c r="V132" s="106"/>
      <c r="W132" s="106"/>
      <c r="X132" s="106"/>
      <c r="Z132" s="104"/>
      <c r="AA132" s="104"/>
      <c r="AB132" s="104"/>
      <c r="AC132" s="104"/>
      <c r="AD132" s="104"/>
      <c r="AE132" s="104"/>
      <c r="AF132" s="104"/>
    </row>
    <row r="133" spans="1:32" x14ac:dyDescent="0.25">
      <c r="A133" s="19">
        <v>47</v>
      </c>
      <c r="B133" s="12">
        <v>42324</v>
      </c>
      <c r="C133" s="12">
        <v>42330</v>
      </c>
      <c r="D133" s="12">
        <v>42310</v>
      </c>
      <c r="E133" s="12">
        <v>42317</v>
      </c>
      <c r="F133" s="12">
        <v>42324</v>
      </c>
      <c r="G133" s="12">
        <v>42317</v>
      </c>
      <c r="H133" s="13"/>
      <c r="R133" s="106"/>
      <c r="S133" s="106"/>
      <c r="T133" s="106"/>
      <c r="U133" s="106"/>
      <c r="V133" s="106"/>
      <c r="W133" s="106"/>
      <c r="X133" s="106"/>
      <c r="Z133" s="104"/>
      <c r="AA133" s="104"/>
      <c r="AB133" s="104"/>
      <c r="AC133" s="104"/>
      <c r="AD133" s="104"/>
      <c r="AE133" s="104"/>
      <c r="AF133" s="104"/>
    </row>
    <row r="134" spans="1:32" x14ac:dyDescent="0.25">
      <c r="A134" s="19">
        <v>48</v>
      </c>
      <c r="B134" s="12">
        <v>42331</v>
      </c>
      <c r="C134" s="12">
        <v>42337</v>
      </c>
      <c r="D134" s="12">
        <v>42317</v>
      </c>
      <c r="E134" s="12">
        <v>42324</v>
      </c>
      <c r="F134" s="12">
        <v>42331</v>
      </c>
      <c r="G134" s="12">
        <v>42324</v>
      </c>
      <c r="H134" s="13"/>
      <c r="R134" s="106"/>
      <c r="S134" s="106"/>
      <c r="T134" s="106"/>
      <c r="U134" s="106"/>
      <c r="V134" s="106"/>
      <c r="W134" s="106"/>
      <c r="X134" s="106"/>
      <c r="Z134" s="104"/>
      <c r="AA134" s="104"/>
      <c r="AB134" s="104"/>
      <c r="AC134" s="104"/>
      <c r="AD134" s="104"/>
      <c r="AE134" s="104"/>
      <c r="AF134" s="104"/>
    </row>
    <row r="135" spans="1:32" x14ac:dyDescent="0.25">
      <c r="A135" s="19">
        <v>49</v>
      </c>
      <c r="B135" s="12">
        <v>42338</v>
      </c>
      <c r="C135" s="12">
        <v>42344</v>
      </c>
      <c r="D135" s="12">
        <v>42324</v>
      </c>
      <c r="E135" s="12">
        <v>42331</v>
      </c>
      <c r="F135" s="12">
        <v>42338</v>
      </c>
      <c r="G135" s="12">
        <v>42331</v>
      </c>
      <c r="H135" s="13"/>
      <c r="R135" s="106"/>
      <c r="S135" s="106"/>
      <c r="T135" s="106"/>
      <c r="U135" s="106"/>
      <c r="V135" s="106"/>
      <c r="W135" s="106"/>
      <c r="X135" s="106"/>
    </row>
    <row r="136" spans="1:32" x14ac:dyDescent="0.25">
      <c r="A136" s="19">
        <v>50</v>
      </c>
      <c r="B136" s="12">
        <v>42345</v>
      </c>
      <c r="C136" s="12">
        <v>42351</v>
      </c>
      <c r="D136" s="12">
        <v>42331</v>
      </c>
      <c r="E136" s="12">
        <v>42338</v>
      </c>
      <c r="F136" s="12">
        <v>42345</v>
      </c>
      <c r="G136" s="12">
        <v>42338</v>
      </c>
      <c r="H136" s="13"/>
    </row>
    <row r="137" spans="1:32" x14ac:dyDescent="0.25">
      <c r="A137" s="19">
        <v>51</v>
      </c>
      <c r="B137" s="12">
        <v>42352</v>
      </c>
      <c r="C137" s="12">
        <v>42358</v>
      </c>
      <c r="D137" s="12">
        <v>42338</v>
      </c>
      <c r="E137" s="12">
        <v>42345</v>
      </c>
      <c r="F137" s="12">
        <v>42352</v>
      </c>
      <c r="G137" s="12">
        <v>42345</v>
      </c>
      <c r="H137" s="13"/>
    </row>
    <row r="138" spans="1:32" x14ac:dyDescent="0.25">
      <c r="A138" s="19">
        <v>52</v>
      </c>
      <c r="B138" s="12">
        <v>42359</v>
      </c>
      <c r="C138" s="12">
        <v>42365</v>
      </c>
      <c r="D138" s="12">
        <v>42345</v>
      </c>
      <c r="E138" s="12">
        <v>42352</v>
      </c>
      <c r="F138" s="12">
        <v>42359</v>
      </c>
      <c r="G138" s="12">
        <v>42352</v>
      </c>
      <c r="H138" s="13"/>
    </row>
    <row r="139" spans="1:32" x14ac:dyDescent="0.25">
      <c r="A139" s="20">
        <v>53</v>
      </c>
      <c r="B139" s="14">
        <v>42366</v>
      </c>
      <c r="C139" s="14">
        <v>42372</v>
      </c>
      <c r="D139" s="14">
        <v>42352</v>
      </c>
      <c r="E139" s="14">
        <v>42359</v>
      </c>
      <c r="F139" s="14">
        <v>42366</v>
      </c>
      <c r="G139" s="14">
        <v>42359</v>
      </c>
      <c r="H139" s="15"/>
    </row>
  </sheetData>
  <mergeCells count="5">
    <mergeCell ref="A2:B2"/>
    <mergeCell ref="A29:H29"/>
    <mergeCell ref="A85:H85"/>
    <mergeCell ref="D2:E2"/>
    <mergeCell ref="G2:H2"/>
  </mergeCells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UserInput</vt:lpstr>
      <vt:lpstr>PAYROLL</vt:lpstr>
      <vt:lpstr>REPORTS</vt:lpstr>
      <vt:lpstr>Tracking</vt:lpstr>
      <vt:lpstr>Tracking1</vt:lpstr>
      <vt:lpstr>Tracking2</vt:lpstr>
      <vt:lpstr>Tracking3</vt:lpstr>
      <vt:lpstr>EQLogs</vt:lpstr>
      <vt:lpstr>tblPayroll</vt:lpstr>
    </vt:vector>
  </TitlesOfParts>
  <Company>Hewlett-Packard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Danielle Cuilli</dc:creator>
  <cp:lastModifiedBy>Danielle Cuilli</cp:lastModifiedBy>
  <cp:lastPrinted>2015-08-11T15:47:10Z</cp:lastPrinted>
  <dcterms:created xsi:type="dcterms:W3CDTF">2015-06-14T20:34:55Z</dcterms:created>
  <dcterms:modified xsi:type="dcterms:W3CDTF">2015-08-25T15:02:58Z</dcterms:modified>
</cp:coreProperties>
</file>