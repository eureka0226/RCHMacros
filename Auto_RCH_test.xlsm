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365" yWindow="390" windowWidth="20085" windowHeight="9240"/>
  </bookViews>
  <sheets>
    <sheet name="UserInput" sheetId="2" r:id="rId1"/>
    <sheet name="PAYROLL" sheetId="39" state="hidden" r:id="rId2"/>
    <sheet name="REPORTS" sheetId="95" state="hidden" r:id="rId3"/>
    <sheet name="Tracking" sheetId="32" state="hidden" r:id="rId4"/>
    <sheet name="Tracking1" sheetId="92" r:id="rId5"/>
    <sheet name="Tracking2" sheetId="93" r:id="rId6"/>
    <sheet name="Tracking3" sheetId="94" r:id="rId7"/>
    <sheet name="EQLogs" sheetId="70" r:id="rId8"/>
    <sheet name="Reference" sheetId="28" state="veryHidden" r:id="rId9"/>
  </sheets>
  <functionGroups builtInGroupCount="17"/>
  <externalReferences>
    <externalReference r:id="rId10"/>
  </externalReferences>
  <definedNames>
    <definedName name="_xlnm._FilterDatabase" localSheetId="3" hidden="1">Tracking!#REF!</definedName>
    <definedName name="tblPayroll">PAYROLL!$A$1:$I$29</definedName>
  </definedNames>
  <calcPr calcId="145621"/>
</workbook>
</file>

<file path=xl/calcChain.xml><?xml version="1.0" encoding="utf-8"?>
<calcChain xmlns="http://schemas.openxmlformats.org/spreadsheetml/2006/main">
  <c r="H34" i="70" l="1"/>
  <c r="H15" i="70"/>
  <c r="H13" i="70"/>
  <c r="H12" i="70"/>
  <c r="H11" i="70"/>
  <c r="D6" i="95" l="1"/>
  <c r="F6" i="95" s="1"/>
  <c r="H6" i="95"/>
  <c r="Z7" i="95" l="1"/>
  <c r="X7" i="95"/>
  <c r="U7" i="95"/>
  <c r="T7" i="95"/>
  <c r="AA6" i="95"/>
  <c r="V7" i="95" l="1"/>
  <c r="AA7" i="95"/>
  <c r="Y7" i="95"/>
  <c r="W7" i="95"/>
  <c r="G7" i="95" l="1"/>
  <c r="P6" i="95" l="1"/>
  <c r="R6" i="95" s="1"/>
  <c r="Q7" i="95"/>
  <c r="O7" i="95"/>
  <c r="N7" i="95"/>
  <c r="M7" i="95"/>
  <c r="L7" i="95"/>
  <c r="J7" i="95"/>
  <c r="I7" i="95"/>
  <c r="E7" i="95"/>
  <c r="H7" i="95" s="1"/>
  <c r="C7" i="95"/>
  <c r="B7" i="95"/>
  <c r="D7" i="95" l="1"/>
  <c r="F7" i="95" s="1"/>
  <c r="P7" i="95"/>
  <c r="R7" i="95" s="1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4" i="28"/>
  <c r="B5" i="28"/>
  <c r="B3" i="28"/>
  <c r="AP4" i="28" l="1"/>
  <c r="AS4" i="28"/>
  <c r="AR4" i="28"/>
  <c r="AQ4" i="28"/>
  <c r="AN4" i="28" l="1"/>
  <c r="AM4" i="28"/>
  <c r="AL4" i="28"/>
  <c r="AK4" i="28"/>
  <c r="AJ4" i="28"/>
  <c r="AI4" i="28"/>
  <c r="AH4" i="28"/>
  <c r="X4" i="28"/>
  <c r="W4" i="28"/>
  <c r="V4" i="28"/>
  <c r="U4" i="28"/>
  <c r="T4" i="28"/>
  <c r="S4" i="28"/>
  <c r="R4" i="28"/>
  <c r="P4" i="28"/>
  <c r="O4" i="28"/>
  <c r="N4" i="28"/>
  <c r="M4" i="28"/>
  <c r="L4" i="28"/>
  <c r="K4" i="28"/>
  <c r="J4" i="28"/>
  <c r="AF4" i="28"/>
  <c r="AE4" i="28"/>
  <c r="AD4" i="28"/>
  <c r="AC4" i="28"/>
  <c r="AB4" i="28"/>
  <c r="AA4" i="28"/>
  <c r="Z4" i="28"/>
  <c r="F25" i="39" l="1"/>
  <c r="F27" i="39" l="1"/>
  <c r="F26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E3" i="28" l="1"/>
  <c r="E5" i="28" l="1"/>
  <c r="E4" i="28"/>
  <c r="E7" i="28"/>
  <c r="E6" i="28"/>
  <c r="E8" i="28" s="1"/>
  <c r="E9" i="28" s="1"/>
  <c r="E10" i="28" s="1"/>
  <c r="E11" i="28" s="1"/>
  <c r="E12" i="28" s="1"/>
  <c r="E13" i="28" s="1"/>
  <c r="E14" i="28" s="1"/>
  <c r="AN3" i="28" l="1"/>
  <c r="AJ3" i="28"/>
  <c r="AE3" i="28"/>
  <c r="AA3" i="28"/>
  <c r="V3" i="28"/>
  <c r="R3" i="28"/>
  <c r="M3" i="28"/>
  <c r="L3" i="28"/>
  <c r="AM3" i="28"/>
  <c r="AI3" i="28"/>
  <c r="AD3" i="28"/>
  <c r="Z3" i="28"/>
  <c r="U3" i="28"/>
  <c r="P3" i="28"/>
  <c r="AL3" i="28"/>
  <c r="AH3" i="28"/>
  <c r="AC3" i="28"/>
  <c r="X3" i="28"/>
  <c r="T3" i="28"/>
  <c r="O3" i="28"/>
  <c r="K3" i="28"/>
  <c r="AK3" i="28"/>
  <c r="AF3" i="28"/>
  <c r="AB3" i="28"/>
  <c r="W3" i="28"/>
  <c r="S3" i="28"/>
  <c r="N3" i="28"/>
  <c r="J3" i="28"/>
</calcChain>
</file>

<file path=xl/sharedStrings.xml><?xml version="1.0" encoding="utf-8"?>
<sst xmlns="http://schemas.openxmlformats.org/spreadsheetml/2006/main" count="16273" uniqueCount="4097">
  <si>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</si>
  <si>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</si>
  <si>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</si>
  <si>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</si>
  <si>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</si>
  <si>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</si>
  <si>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</si>
  <si>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</si>
  <si>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</si>
  <si>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</si>
  <si>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</si>
  <si>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Pool</t>
  </si>
  <si>
    <t>EMPLOYEE 11 TECH NUMBER:</t>
  </si>
  <si>
    <t>EMPLOYEE 12 TECH NUMBER:</t>
  </si>
  <si>
    <t>EMPLOYEE 13 TECH NUMBER:</t>
  </si>
  <si>
    <t>Number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</si>
  <si>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</si>
  <si>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</si>
  <si>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</si>
  <si>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</si>
  <si>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</si>
  <si>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</si>
  <si>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</si>
  <si>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</si>
  <si>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</si>
  <si>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</si>
  <si>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</si>
  <si>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</si>
  <si>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</si>
  <si>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</si>
  <si>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</si>
  <si>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</si>
  <si>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</si>
  <si>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</si>
  <si>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</si>
  <si>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</si>
  <si>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</si>
  <si>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</si>
  <si>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</si>
  <si>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</si>
  <si>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</si>
  <si>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</si>
  <si>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</si>
  <si>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</si>
  <si>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</si>
  <si>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</si>
  <si>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</si>
  <si>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</si>
  <si>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</si>
  <si>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</si>
  <si>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</si>
  <si>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</si>
  <si>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</si>
  <si>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</si>
  <si>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</si>
  <si>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</si>
  <si>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</si>
  <si>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</si>
  <si>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</si>
  <si>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</si>
  <si>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</si>
  <si>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</si>
  <si>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</si>
  <si>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</si>
  <si>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</si>
  <si>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</si>
  <si>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</si>
  <si>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</si>
  <si>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</si>
  <si>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</si>
  <si>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</si>
  <si>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</si>
  <si>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</si>
  <si>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</si>
  <si>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</si>
  <si>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</si>
  <si>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</si>
  <si>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</si>
  <si>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</si>
  <si>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</si>
  <si>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</si>
  <si>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</si>
  <si>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OLD ISSUE: Saves</t>
  </si>
  <si>
    <t>OLD ISSUE: Discos</t>
  </si>
  <si>
    <t>NEW ISSUE: Saves</t>
  </si>
  <si>
    <t>NEW ISSUE: Discos</t>
  </si>
  <si>
    <t>Orders Issued</t>
  </si>
  <si>
    <t>RS/Dups Other</t>
  </si>
  <si>
    <t>Net Issued</t>
  </si>
  <si>
    <t>Saves (Ct)</t>
  </si>
  <si>
    <t>Tech ID:</t>
  </si>
  <si>
    <t>Tech Name:</t>
  </si>
  <si>
    <t>ROUTER</t>
  </si>
  <si>
    <t>HD</t>
  </si>
  <si>
    <t>EMTA</t>
  </si>
  <si>
    <t>STAND</t>
  </si>
  <si>
    <t>EQUIPMENT RETRIEVED</t>
  </si>
  <si>
    <t>(Includes Everything on Equipment Log!)</t>
  </si>
  <si>
    <t>EMPLOYEE 14 TECH NUMBER:</t>
  </si>
  <si>
    <t>EMPLOYEE 15 TECH NUMBER:</t>
  </si>
  <si>
    <t>EMPLOYEE 16 TECH NUMBER:</t>
  </si>
  <si>
    <t>EMPLOYEE 17 TECH NUMBER:</t>
  </si>
  <si>
    <t>EMPLOYEE 18 TECH NUMBER:</t>
  </si>
  <si>
    <t>EMPLOYEE 19 TECH NUMBER:</t>
  </si>
  <si>
    <t>EMPLOYEE 20 TECH NUMBER:</t>
  </si>
  <si>
    <t>Tech Info</t>
  </si>
  <si>
    <t>dateMon</t>
  </si>
  <si>
    <t>dateTues</t>
  </si>
  <si>
    <t>dateWeds</t>
  </si>
  <si>
    <t>dateThurs</t>
  </si>
  <si>
    <t>dateFri</t>
  </si>
  <si>
    <t>dateSat</t>
  </si>
  <si>
    <t>dateSun</t>
  </si>
  <si>
    <t>Dates</t>
  </si>
  <si>
    <t>1.</t>
  </si>
  <si>
    <t>2.</t>
  </si>
  <si>
    <t>3.</t>
  </si>
  <si>
    <t>a)</t>
  </si>
  <si>
    <t>Issue Date</t>
  </si>
  <si>
    <t>Turn-In Date</t>
  </si>
  <si>
    <t>Tech ID</t>
  </si>
  <si>
    <t>Saves (%)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</si>
  <si>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</si>
  <si>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</si>
  <si>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</si>
  <si>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</si>
  <si>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</si>
  <si>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</si>
  <si>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</si>
  <si>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</si>
  <si>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</si>
  <si>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</si>
  <si>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b)</t>
  </si>
  <si>
    <t>c)</t>
  </si>
  <si>
    <t>Paste the contents into this workbook into the sheet labeled "Tracking1"</t>
  </si>
  <si>
    <r>
      <t xml:space="preserve">(This can be done by selecting cell "A1" and pressing </t>
    </r>
    <r>
      <rPr>
        <b/>
        <sz val="16"/>
        <color theme="1"/>
        <rFont val="Calibri"/>
        <family val="2"/>
        <scheme val="minor"/>
      </rPr>
      <t>ctrl-v</t>
    </r>
    <r>
      <rPr>
        <sz val="16"/>
        <color theme="1"/>
        <rFont val="Calibri"/>
        <family val="2"/>
        <scheme val="minor"/>
      </rPr>
      <t>)</t>
    </r>
  </si>
  <si>
    <t>d)</t>
  </si>
  <si>
    <t>Repeat for the other two tracking files.  Paste them into the sheets "Tracking2" and "Tracking3"</t>
  </si>
  <si>
    <t>**DO NOT CHANGE ANYTHING ABOUT HER SPREADSHEETS BEFORE DOING THIS**</t>
  </si>
  <si>
    <t>Copy &amp; Paste Equipment Logs Into This Workbook</t>
  </si>
  <si>
    <t>Follow the same instructions for copying/pasting tracking, but paste the contents into sheet "EQLogs"</t>
  </si>
  <si>
    <t>Fill In The Yellow Boxes In The Table On The Right</t>
  </si>
  <si>
    <t>Enter the week number and tech numbers you want included in this report</t>
  </si>
  <si>
    <t>**THE MACRO STOPS WHEN IT GETS TO A BLANK CELL IN THIS LIST.  DON'T LEAVE BLANKS BETWEEN TECHS**</t>
  </si>
  <si>
    <t>Press the Button!</t>
  </si>
  <si>
    <t>4.</t>
  </si>
  <si>
    <t>Copy the contents of the entire "Tech Tracker" worksheet</t>
  </si>
  <si>
    <t>INSTRUCTIONS FOR RUNNING THIS MACRO</t>
  </si>
  <si>
    <t>Open one of the three tracking spreadsheets Bernice sent you for this payroll</t>
  </si>
  <si>
    <t>Copy &amp; Paste Tracking Data Into This Workbook</t>
  </si>
  <si>
    <r>
      <t xml:space="preserve">(This can be done by selecting a cell in the spreadsheet, pressing </t>
    </r>
    <r>
      <rPr>
        <b/>
        <sz val="16"/>
        <color theme="1"/>
        <rFont val="Calibri"/>
        <family val="2"/>
        <scheme val="minor"/>
      </rPr>
      <t>ctrl-a</t>
    </r>
    <r>
      <rPr>
        <sz val="16"/>
        <color theme="1"/>
        <rFont val="Calibri"/>
        <family val="2"/>
        <scheme val="minor"/>
      </rPr>
      <t xml:space="preserve"> and then </t>
    </r>
    <r>
      <rPr>
        <b/>
        <sz val="16"/>
        <color theme="1"/>
        <rFont val="Calibri"/>
        <family val="2"/>
        <scheme val="minor"/>
      </rPr>
      <t>ctrl-c</t>
    </r>
    <r>
      <rPr>
        <sz val="16"/>
        <color theme="1"/>
        <rFont val="Calibri"/>
        <family val="2"/>
        <scheme val="minor"/>
      </rPr>
      <t>)</t>
    </r>
  </si>
  <si>
    <t>Saves ($)</t>
  </si>
  <si>
    <t>Post-Disco Collection Report</t>
  </si>
  <si>
    <t>Production Summary Report</t>
  </si>
  <si>
    <t>Issue        Date</t>
  </si>
  <si>
    <t>Turn In       Date</t>
  </si>
  <si>
    <t>Premium Digital</t>
  </si>
  <si>
    <t>Standard  Digital</t>
  </si>
  <si>
    <t>eMTA      MTA</t>
  </si>
  <si>
    <t>Modem/ Router</t>
  </si>
  <si>
    <t>Home Security</t>
  </si>
  <si>
    <t>Total</t>
  </si>
  <si>
    <t>TechID</t>
  </si>
  <si>
    <t>Invoice Week</t>
  </si>
  <si>
    <t>****These data cannot yet be determined****</t>
  </si>
  <si>
    <t>You do not need to include a bulk tech ID.  This will automatically be included in the report</t>
  </si>
  <si>
    <t>Date_Ent</t>
  </si>
  <si>
    <t>work_order_number</t>
  </si>
  <si>
    <t>account_number</t>
  </si>
  <si>
    <t>customer_name</t>
  </si>
  <si>
    <t>schedule_date</t>
  </si>
  <si>
    <t>Install_Date</t>
  </si>
  <si>
    <t>Cust_Type</t>
  </si>
  <si>
    <t>Home_Phone_Nbr</t>
  </si>
  <si>
    <t>Customer_Address</t>
  </si>
  <si>
    <t>Customer_Apartment</t>
  </si>
  <si>
    <t>City</t>
  </si>
  <si>
    <t>Zip</t>
  </si>
  <si>
    <t>Slice</t>
  </si>
  <si>
    <t>grid_id</t>
  </si>
  <si>
    <t>item_number</t>
  </si>
  <si>
    <t>serial_number</t>
  </si>
  <si>
    <t>GEO</t>
  </si>
  <si>
    <t>JobNbr</t>
  </si>
  <si>
    <t>tag_number</t>
  </si>
  <si>
    <t>second_tag_number</t>
  </si>
  <si>
    <t>TechNbr</t>
  </si>
  <si>
    <t>BulkCustomer</t>
  </si>
  <si>
    <t>Roommate</t>
  </si>
  <si>
    <t>billing_day</t>
  </si>
  <si>
    <t>Payment_Date_1</t>
  </si>
  <si>
    <t>last_payment_amount_1</t>
  </si>
  <si>
    <t>Payment_Date_2</t>
  </si>
  <si>
    <t>last_payment_amount_2</t>
  </si>
  <si>
    <t>Payment_Date_3</t>
  </si>
  <si>
    <t>last_payment_amount_3</t>
  </si>
  <si>
    <t>Service_Class</t>
  </si>
  <si>
    <t>Ar_Balance</t>
  </si>
  <si>
    <t>Current_Balance</t>
  </si>
  <si>
    <t>deposit_due</t>
  </si>
  <si>
    <t>AR_1_to_30</t>
  </si>
  <si>
    <t>AR_31_to_60</t>
  </si>
  <si>
    <t>AR_61_to_90</t>
  </si>
  <si>
    <t>AR_91_to_120</t>
  </si>
  <si>
    <t>AR_121_to_150</t>
  </si>
  <si>
    <t>AR_Over_150</t>
  </si>
  <si>
    <t>RGU_BASIC_FLAG</t>
  </si>
  <si>
    <t>RGU_DIGITAL_FLAG</t>
  </si>
  <si>
    <t>RGU_DATA_FLAG</t>
  </si>
  <si>
    <t>RGU_PHONE_FLAG</t>
  </si>
  <si>
    <t>Video</t>
  </si>
  <si>
    <t>Data</t>
  </si>
  <si>
    <t>phone</t>
  </si>
  <si>
    <t>WO_TYPE</t>
  </si>
  <si>
    <t>Q_CODES</t>
  </si>
  <si>
    <t>LAST_NSF_DATE</t>
  </si>
  <si>
    <t>NUMBER_OF_NSF_CHECKS</t>
  </si>
  <si>
    <t>HOME_PHONE</t>
  </si>
  <si>
    <t>BUSINESS_PHONE</t>
  </si>
  <si>
    <t>OTHER_PHONE</t>
  </si>
  <si>
    <t>PURCHASE_CODE</t>
  </si>
  <si>
    <t>SUB_NUMBER_INCREMENTED</t>
  </si>
  <si>
    <t>SITE_ID</t>
  </si>
  <si>
    <t>NAME</t>
  </si>
  <si>
    <t>RA NAME</t>
  </si>
  <si>
    <t>DATE</t>
  </si>
  <si>
    <t>STATUS</t>
  </si>
  <si>
    <t>AMOUNT</t>
  </si>
  <si>
    <t>INVOICE</t>
  </si>
  <si>
    <t>COMMENTS</t>
  </si>
  <si>
    <t>07/23/2015</t>
  </si>
  <si>
    <t>05/01/2015</t>
  </si>
  <si>
    <t>Residential</t>
  </si>
  <si>
    <t>DSA301U</t>
  </si>
  <si>
    <t>Non</t>
  </si>
  <si>
    <t>1</t>
  </si>
  <si>
    <t>06/15/2015</t>
  </si>
  <si>
    <t>-200.00</t>
  </si>
  <si>
    <t>.00</t>
  </si>
  <si>
    <t>0</t>
  </si>
  <si>
    <t>A</t>
  </si>
  <si>
    <t>NoService</t>
  </si>
  <si>
    <t>NP</t>
  </si>
  <si>
    <t>4</t>
  </si>
  <si>
    <t>000 000-0000</t>
  </si>
  <si>
    <t>SAVE</t>
  </si>
  <si>
    <t>CSH424H</t>
  </si>
  <si>
    <t>NonBulk</t>
  </si>
  <si>
    <t>NonRoommate</t>
  </si>
  <si>
    <t>23</t>
  </si>
  <si>
    <t>08/04/2015</t>
  </si>
  <si>
    <t>04/10/2015</t>
  </si>
  <si>
    <t>DGI510U</t>
  </si>
  <si>
    <t>9</t>
  </si>
  <si>
    <t>06/08/2015</t>
  </si>
  <si>
    <t>-140.00</t>
  </si>
  <si>
    <t>PUR</t>
  </si>
  <si>
    <t>08/05/2015</t>
  </si>
  <si>
    <t>04/27/2015</t>
  </si>
  <si>
    <t>08/03/2015</t>
  </si>
  <si>
    <t>-100.00</t>
  </si>
  <si>
    <t>05/29/2015</t>
  </si>
  <si>
    <t>Noservice</t>
  </si>
  <si>
    <t>05/05/2015</t>
  </si>
  <si>
    <t>DCI3825</t>
  </si>
  <si>
    <t>5</t>
  </si>
  <si>
    <t>07/02/2015</t>
  </si>
  <si>
    <t>DSA321N</t>
  </si>
  <si>
    <t>-60.00</t>
  </si>
  <si>
    <t>05/22/2015</t>
  </si>
  <si>
    <t>07/26/2015</t>
  </si>
  <si>
    <t>13</t>
  </si>
  <si>
    <t>3</t>
  </si>
  <si>
    <t>000 000 0000</t>
  </si>
  <si>
    <t>DUBW32N</t>
  </si>
  <si>
    <t>12</t>
  </si>
  <si>
    <t>07/04/2015</t>
  </si>
  <si>
    <t>06/04/2015</t>
  </si>
  <si>
    <t>04/07/2015</t>
  </si>
  <si>
    <t>06/14/2015</t>
  </si>
  <si>
    <t>07/27/2015</t>
  </si>
  <si>
    <t>06/29/2015</t>
  </si>
  <si>
    <t>05/30/2015</t>
  </si>
  <si>
    <t>06/05/2015</t>
  </si>
  <si>
    <t>-50.00</t>
  </si>
  <si>
    <t>-80.00</t>
  </si>
  <si>
    <t>06/19/2015</t>
  </si>
  <si>
    <t>07/22/2015</t>
  </si>
  <si>
    <t>CSH824H</t>
  </si>
  <si>
    <t>DUP</t>
  </si>
  <si>
    <t>CSA830H</t>
  </si>
  <si>
    <t>28</t>
  </si>
  <si>
    <t>06/06/2015</t>
  </si>
  <si>
    <t>-125.00</t>
  </si>
  <si>
    <t>07/21/2015</t>
  </si>
  <si>
    <t>15</t>
  </si>
  <si>
    <t>07/07/2015</t>
  </si>
  <si>
    <t>07/03/2015</t>
  </si>
  <si>
    <t>06/03/2015</t>
  </si>
  <si>
    <t>PD</t>
  </si>
  <si>
    <t>2</t>
  </si>
  <si>
    <t>DISCO</t>
  </si>
  <si>
    <t>7</t>
  </si>
  <si>
    <t>CSH8642</t>
  </si>
  <si>
    <t>06/23/2015</t>
  </si>
  <si>
    <t>-160.00</t>
  </si>
  <si>
    <t>05/23/2015</t>
  </si>
  <si>
    <t>06/09/2015</t>
  </si>
  <si>
    <t>07/01/2015</t>
  </si>
  <si>
    <t>6</t>
  </si>
  <si>
    <t>05/15/2015</t>
  </si>
  <si>
    <t>04/02/2015</t>
  </si>
  <si>
    <t>07/08/2015</t>
  </si>
  <si>
    <t>05/21/2015</t>
  </si>
  <si>
    <t>05/12/2015</t>
  </si>
  <si>
    <t>06/12/2015</t>
  </si>
  <si>
    <t>05/07/2015</t>
  </si>
  <si>
    <t>06/17/2015</t>
  </si>
  <si>
    <t>05/20/2015</t>
  </si>
  <si>
    <t>18</t>
  </si>
  <si>
    <t>07/24/2015</t>
  </si>
  <si>
    <t>04/21/2015</t>
  </si>
  <si>
    <t>04/16/2015</t>
  </si>
  <si>
    <t>CSH4642</t>
  </si>
  <si>
    <t>06/27/2015</t>
  </si>
  <si>
    <t>06/24/2015</t>
  </si>
  <si>
    <t>30</t>
  </si>
  <si>
    <t>07/10/2015</t>
  </si>
  <si>
    <t>05/02/2015</t>
  </si>
  <si>
    <t>07/09/2015</t>
  </si>
  <si>
    <t>DUBW65P</t>
  </si>
  <si>
    <t>16</t>
  </si>
  <si>
    <t>27</t>
  </si>
  <si>
    <t>05/06/2015</t>
  </si>
  <si>
    <t>-70.00</t>
  </si>
  <si>
    <t>19</t>
  </si>
  <si>
    <t>07/20/2015</t>
  </si>
  <si>
    <t>06/25/2015</t>
  </si>
  <si>
    <t>07/13/2015</t>
  </si>
  <si>
    <t>07/29/2015</t>
  </si>
  <si>
    <t>07/18/2015</t>
  </si>
  <si>
    <t>03/31/2015</t>
  </si>
  <si>
    <t>06/28/2015</t>
  </si>
  <si>
    <t>25</t>
  </si>
  <si>
    <t>DSA392N</t>
  </si>
  <si>
    <t>DDL0615</t>
  </si>
  <si>
    <t>06/02/2015</t>
  </si>
  <si>
    <t>04/29/2015</t>
  </si>
  <si>
    <t>05/11/2015</t>
  </si>
  <si>
    <t>04/25/2015</t>
  </si>
  <si>
    <t>21</t>
  </si>
  <si>
    <t>05/16/2015</t>
  </si>
  <si>
    <t>-75.00</t>
  </si>
  <si>
    <t xml:space="preserve">     1</t>
  </si>
  <si>
    <t>02/28/2015</t>
  </si>
  <si>
    <t>24</t>
  </si>
  <si>
    <t>06/11/2015</t>
  </si>
  <si>
    <t>05/08/2015</t>
  </si>
  <si>
    <t>06/26/2015</t>
  </si>
  <si>
    <t>05/04/2015</t>
  </si>
  <si>
    <t>07/05/2015</t>
  </si>
  <si>
    <t>04/03/2015</t>
  </si>
  <si>
    <t>06/18/2015</t>
  </si>
  <si>
    <t>8</t>
  </si>
  <si>
    <t>-250.00</t>
  </si>
  <si>
    <t xml:space="preserve">     3</t>
  </si>
  <si>
    <t>-90.00</t>
  </si>
  <si>
    <t>04/28/2015</t>
  </si>
  <si>
    <t>85.99</t>
  </si>
  <si>
    <t>05/10/2015</t>
  </si>
  <si>
    <t>-150.00</t>
  </si>
  <si>
    <t>06/13/2015</t>
  </si>
  <si>
    <t>05/27/2015</t>
  </si>
  <si>
    <t>04/30/2015</t>
  </si>
  <si>
    <t>03/23/2015</t>
  </si>
  <si>
    <t xml:space="preserve">     7</t>
  </si>
  <si>
    <t>06/07/2015</t>
  </si>
  <si>
    <t>CSA3250</t>
  </si>
  <si>
    <t>06/10/2015</t>
  </si>
  <si>
    <t xml:space="preserve">     2</t>
  </si>
  <si>
    <t>06/01/2015</t>
  </si>
  <si>
    <t xml:space="preserve">     4</t>
  </si>
  <si>
    <t>DN4500P</t>
  </si>
  <si>
    <t>07/12/2015</t>
  </si>
  <si>
    <t>05/03/2015</t>
  </si>
  <si>
    <t>04/19/2015</t>
  </si>
  <si>
    <t xml:space="preserve">     5</t>
  </si>
  <si>
    <t>-155.00</t>
  </si>
  <si>
    <t>GSH4742</t>
  </si>
  <si>
    <t>DN3002P</t>
  </si>
  <si>
    <t>17</t>
  </si>
  <si>
    <t>29</t>
  </si>
  <si>
    <t>06/16/2015</t>
  </si>
  <si>
    <t>03/26/2015</t>
  </si>
  <si>
    <t>06/20/2015</t>
  </si>
  <si>
    <t>R/S</t>
  </si>
  <si>
    <t>07/14/2015</t>
  </si>
  <si>
    <t>07/17/2015</t>
  </si>
  <si>
    <t>07/28/2015</t>
  </si>
  <si>
    <t>06/30/2015</t>
  </si>
  <si>
    <t>20</t>
  </si>
  <si>
    <t>06/21/2015</t>
  </si>
  <si>
    <t>05/14/2015</t>
  </si>
  <si>
    <t>03/05/2015</t>
  </si>
  <si>
    <t>RGI6121</t>
  </si>
  <si>
    <t>-30.00</t>
  </si>
  <si>
    <t>02/23/2015</t>
  </si>
  <si>
    <t>07/15/2015</t>
  </si>
  <si>
    <t>22</t>
  </si>
  <si>
    <t>DNG2000</t>
  </si>
  <si>
    <t>05/17/2015</t>
  </si>
  <si>
    <t>DN4500B</t>
  </si>
  <si>
    <t>04/14/2015</t>
  </si>
  <si>
    <t>07/30/2015</t>
  </si>
  <si>
    <t>08/01/2015</t>
  </si>
  <si>
    <t>08/02/2015</t>
  </si>
  <si>
    <t>07/16/2015</t>
  </si>
  <si>
    <t>07/31/2015</t>
  </si>
  <si>
    <t xml:space="preserve">   104</t>
  </si>
  <si>
    <t>-230.00</t>
  </si>
  <si>
    <t>2015-07-29 00:00:00</t>
  </si>
  <si>
    <t>GSH8742</t>
  </si>
  <si>
    <t>08/07/2015</t>
  </si>
  <si>
    <t xml:space="preserve">   202</t>
  </si>
  <si>
    <t xml:space="preserve">     6</t>
  </si>
  <si>
    <t>08/09/2015</t>
  </si>
  <si>
    <t>999 999-9999</t>
  </si>
  <si>
    <t>08/06/2015</t>
  </si>
  <si>
    <t>08/08/2015</t>
  </si>
  <si>
    <t>2015-07-01 00:00:00</t>
  </si>
  <si>
    <t>Tech#</t>
  </si>
  <si>
    <t>Assigned Date</t>
  </si>
  <si>
    <t>Days</t>
  </si>
  <si>
    <t>Serial Number</t>
  </si>
  <si>
    <t>Item</t>
  </si>
  <si>
    <t>Description</t>
  </si>
  <si>
    <t>Type</t>
  </si>
  <si>
    <t>DUBW32N-UBEE DVW32</t>
  </si>
  <si>
    <t>DSG S/A - TRIO 874</t>
  </si>
  <si>
    <t>DIG S/A 8240HDC HD</t>
  </si>
  <si>
    <t>Disco (%)</t>
  </si>
  <si>
    <t>Note: Only information in the "TOTAL" row is actually needed for your weekly report</t>
  </si>
  <si>
    <t>BROADVIEW HEIGHTS</t>
  </si>
  <si>
    <t>44147</t>
  </si>
  <si>
    <t>498A</t>
  </si>
  <si>
    <t>53727</t>
  </si>
  <si>
    <t>609</t>
  </si>
  <si>
    <t>PARMA HEIGHTS</t>
  </si>
  <si>
    <t>44130</t>
  </si>
  <si>
    <t>492D</t>
  </si>
  <si>
    <t>LAKEWOOD</t>
  </si>
  <si>
    <t>44107</t>
  </si>
  <si>
    <t>494B</t>
  </si>
  <si>
    <t>PARMA</t>
  </si>
  <si>
    <t>44129</t>
  </si>
  <si>
    <t>492A</t>
  </si>
  <si>
    <t>53732</t>
  </si>
  <si>
    <t>Joseph</t>
  </si>
  <si>
    <t>SEVEN HILLS</t>
  </si>
  <si>
    <t>44131</t>
  </si>
  <si>
    <t>495B</t>
  </si>
  <si>
    <t>44134</t>
  </si>
  <si>
    <t>492B</t>
  </si>
  <si>
    <t>494A</t>
  </si>
  <si>
    <t>OLMSTED FALLS</t>
  </si>
  <si>
    <t>44138</t>
  </si>
  <si>
    <t>500A</t>
  </si>
  <si>
    <t>DGI5101</t>
  </si>
  <si>
    <t>DGI5120</t>
  </si>
  <si>
    <t>5556   BROADVIEW RD</t>
  </si>
  <si>
    <t>495A</t>
  </si>
  <si>
    <t>FAIRVIEW PARK</t>
  </si>
  <si>
    <t>44126</t>
  </si>
  <si>
    <t>496A</t>
  </si>
  <si>
    <t>153.37</t>
  </si>
  <si>
    <t>ROCKY RIVER</t>
  </si>
  <si>
    <t>44116</t>
  </si>
  <si>
    <t>491A</t>
  </si>
  <si>
    <t>-57.54</t>
  </si>
  <si>
    <t>6100   LAURENT DR</t>
  </si>
  <si>
    <t xml:space="preserve">   203</t>
  </si>
  <si>
    <t>5686   BROADVIEW RD</t>
  </si>
  <si>
    <t>U</t>
  </si>
  <si>
    <t>6260   PEARL RD</t>
  </si>
  <si>
    <t>OLMSTED TWP</t>
  </si>
  <si>
    <t>62.54</t>
  </si>
  <si>
    <t>84.38</t>
  </si>
  <si>
    <t>73.54</t>
  </si>
  <si>
    <t>20375   CENTER RIDGE RD</t>
  </si>
  <si>
    <t>33.9</t>
  </si>
  <si>
    <t xml:space="preserve">     8</t>
  </si>
  <si>
    <t>63.54</t>
  </si>
  <si>
    <t>20100   LORAIN RD</t>
  </si>
  <si>
    <t>-86.11</t>
  </si>
  <si>
    <t>86.12</t>
  </si>
  <si>
    <t>79.54</t>
  </si>
  <si>
    <t>-65.99</t>
  </si>
  <si>
    <t>71.99</t>
  </si>
  <si>
    <t>65.99</t>
  </si>
  <si>
    <t>78.54</t>
  </si>
  <si>
    <t>9404  N CHURCH DR</t>
  </si>
  <si>
    <t>08/11/2015</t>
  </si>
  <si>
    <t>07/11/2015</t>
  </si>
  <si>
    <t>08/12/2015</t>
  </si>
  <si>
    <t xml:space="preserve">    10</t>
  </si>
  <si>
    <t>08/25/2015</t>
  </si>
  <si>
    <t>08/14/2015</t>
  </si>
  <si>
    <t>2015-08-03 00:00:00</t>
  </si>
  <si>
    <t>08/28/2014</t>
  </si>
  <si>
    <t>2015-08-17 00:00:00</t>
  </si>
  <si>
    <t>08/15/2015</t>
  </si>
  <si>
    <t>-85.00</t>
  </si>
  <si>
    <t>07/19/2015</t>
  </si>
  <si>
    <t>CSD2344</t>
  </si>
  <si>
    <t>08/17/2015</t>
  </si>
  <si>
    <t>08/21/2015</t>
  </si>
  <si>
    <t>08/18/2015</t>
  </si>
  <si>
    <t>07/25/2015</t>
  </si>
  <si>
    <t>08/22/2015</t>
  </si>
  <si>
    <t>08/23/2015</t>
  </si>
  <si>
    <t>09/01/2015</t>
  </si>
  <si>
    <t>09/30/2014</t>
  </si>
  <si>
    <t>-65.00</t>
  </si>
  <si>
    <t>5800   LAURENT DR</t>
  </si>
  <si>
    <t>08/20/2015</t>
  </si>
  <si>
    <t>05/24/2015</t>
  </si>
  <si>
    <t>10/15/2012</t>
  </si>
  <si>
    <t>-55.00</t>
  </si>
  <si>
    <t>-165.98</t>
  </si>
  <si>
    <t>53.54</t>
  </si>
  <si>
    <t>-220.00</t>
  </si>
  <si>
    <t>1327   BONNIEVIEW AVE</t>
  </si>
  <si>
    <t>RGI6141</t>
  </si>
  <si>
    <t>65.54</t>
  </si>
  <si>
    <t xml:space="preserve">   406</t>
  </si>
  <si>
    <t xml:space="preserve">   109</t>
  </si>
  <si>
    <t>-225.00</t>
  </si>
  <si>
    <t xml:space="preserve">   206</t>
  </si>
  <si>
    <t>Name</t>
  </si>
  <si>
    <t>2015-08-14 00:00:00</t>
  </si>
  <si>
    <t>5676   BROADVIEW RD</t>
  </si>
  <si>
    <t>08/26/2015</t>
  </si>
  <si>
    <t>10</t>
  </si>
  <si>
    <t>DAR502G</t>
  </si>
  <si>
    <t>6935   YORK RD</t>
  </si>
  <si>
    <t>12/04/2014</t>
  </si>
  <si>
    <t>11</t>
  </si>
  <si>
    <t>6951   YORK RD</t>
  </si>
  <si>
    <t>08/28/2015</t>
  </si>
  <si>
    <t>10/04/2014</t>
  </si>
  <si>
    <t>08/29/2015</t>
  </si>
  <si>
    <t xml:space="preserve">   506</t>
  </si>
  <si>
    <t>CANCEL</t>
  </si>
  <si>
    <t>-120.00</t>
  </si>
  <si>
    <t>08/30/2015</t>
  </si>
  <si>
    <t>-119.08</t>
  </si>
  <si>
    <t>162.1</t>
  </si>
  <si>
    <t xml:space="preserve">    11</t>
  </si>
  <si>
    <t>130.51</t>
  </si>
  <si>
    <t>-87.59</t>
  </si>
  <si>
    <t>03/02/2015</t>
  </si>
  <si>
    <t>08/31/2015</t>
  </si>
  <si>
    <t>03/13/2015</t>
  </si>
  <si>
    <t>231.55</t>
  </si>
  <si>
    <t>11/13/2014</t>
  </si>
  <si>
    <t>2015-08-26 00:00:00</t>
  </si>
  <si>
    <t>10/09/2014</t>
  </si>
  <si>
    <t>-186.00</t>
  </si>
  <si>
    <t xml:space="preserve">   228</t>
  </si>
  <si>
    <t>43.88</t>
  </si>
  <si>
    <t xml:space="preserve">   602</t>
  </si>
  <si>
    <t>DN30002</t>
  </si>
  <si>
    <t>07/06/2015</t>
  </si>
  <si>
    <t>20120   LORAIN RD</t>
  </si>
  <si>
    <t>09/02/2015</t>
  </si>
  <si>
    <t>100.71</t>
  </si>
  <si>
    <t xml:space="preserve">   110</t>
  </si>
  <si>
    <t>5932   STUMPH RD</t>
  </si>
  <si>
    <t>09/03/2015</t>
  </si>
  <si>
    <t>88.77</t>
  </si>
  <si>
    <t>09/04/2015</t>
  </si>
  <si>
    <t>-165.00</t>
  </si>
  <si>
    <t>03/16/2015</t>
  </si>
  <si>
    <t>-59.54</t>
  </si>
  <si>
    <t>7303114</t>
  </si>
  <si>
    <t>LATASHA COLEMAN</t>
  </si>
  <si>
    <t>216 965 8601</t>
  </si>
  <si>
    <t>1806   WEXFORD AVE</t>
  </si>
  <si>
    <t>272166667</t>
  </si>
  <si>
    <t>216 965-8601</t>
  </si>
  <si>
    <t>24903304</t>
  </si>
  <si>
    <t>NORMA TOVAR</t>
  </si>
  <si>
    <t>10/12/2012</t>
  </si>
  <si>
    <t>216 978 7673</t>
  </si>
  <si>
    <t>SABHRVVJH</t>
  </si>
  <si>
    <t>-300.00</t>
  </si>
  <si>
    <t>-216.68</t>
  </si>
  <si>
    <t>-210.68</t>
  </si>
  <si>
    <t>242.01</t>
  </si>
  <si>
    <t>217.01</t>
  </si>
  <si>
    <t>133.68</t>
  </si>
  <si>
    <t>300</t>
  </si>
  <si>
    <t>216 978-7673</t>
  </si>
  <si>
    <t>09/05/2015</t>
  </si>
  <si>
    <t>2015-06-22 00:00:00</t>
  </si>
  <si>
    <t>-134.00</t>
  </si>
  <si>
    <t>197.82</t>
  </si>
  <si>
    <t>90.74</t>
  </si>
  <si>
    <t>RGI5120</t>
  </si>
  <si>
    <t>09/16/2015</t>
  </si>
  <si>
    <t>09/06/2015</t>
  </si>
  <si>
    <t>01/31/2015</t>
  </si>
  <si>
    <t>-67.54</t>
  </si>
  <si>
    <t>166.08</t>
  </si>
  <si>
    <t>05/18/2015</t>
  </si>
  <si>
    <t>-138.00</t>
  </si>
  <si>
    <t>CISCO:DPC3825 GATE</t>
  </si>
  <si>
    <t>DIG S/A EXPLORER 8</t>
  </si>
  <si>
    <t>DLI160N</t>
  </si>
  <si>
    <t>09/08/2015</t>
  </si>
  <si>
    <t xml:space="preserve">   201</t>
  </si>
  <si>
    <t>DN6300P</t>
  </si>
  <si>
    <t>56.77</t>
  </si>
  <si>
    <t xml:space="preserve">    22</t>
  </si>
  <si>
    <t>09/09/2015</t>
  </si>
  <si>
    <t>04/24/2015</t>
  </si>
  <si>
    <t>184.62</t>
  </si>
  <si>
    <t>98.54</t>
  </si>
  <si>
    <t>09/10/2015</t>
  </si>
  <si>
    <t>RGI6120</t>
  </si>
  <si>
    <t>143.12</t>
  </si>
  <si>
    <t>9230   INDEPENDENCE BLVD</t>
  </si>
  <si>
    <t xml:space="preserve">   216</t>
  </si>
  <si>
    <t>135.19</t>
  </si>
  <si>
    <t>09/11/2015</t>
  </si>
  <si>
    <t xml:space="preserve">   309</t>
  </si>
  <si>
    <t>6350   STUMPH RD</t>
  </si>
  <si>
    <t>-78.43</t>
  </si>
  <si>
    <t>84.52</t>
  </si>
  <si>
    <t>09/12/2015</t>
  </si>
  <si>
    <t>26</t>
  </si>
  <si>
    <t>08/13/2015</t>
  </si>
  <si>
    <t>-143.46</t>
  </si>
  <si>
    <t>08/26/2014</t>
  </si>
  <si>
    <t>-174.33</t>
  </si>
  <si>
    <t>80.12</t>
  </si>
  <si>
    <t>09/13/2015</t>
  </si>
  <si>
    <t>09/17/2014</t>
  </si>
  <si>
    <t>04/26/2015</t>
  </si>
  <si>
    <t xml:space="preserve">    25</t>
  </si>
  <si>
    <t>67.54</t>
  </si>
  <si>
    <t>12506   EDGEWATER DR</t>
  </si>
  <si>
    <t>DGI5100</t>
  </si>
  <si>
    <t>2015-09-08 00:00:00</t>
  </si>
  <si>
    <t>9279207</t>
  </si>
  <si>
    <t>JAMES HENNESSEY</t>
  </si>
  <si>
    <t>440 975 6397</t>
  </si>
  <si>
    <t>6956   COLUMBIA RD</t>
  </si>
  <si>
    <t>07W7GVY4FGP7</t>
  </si>
  <si>
    <t>-220.01</t>
  </si>
  <si>
    <t>-280.00</t>
  </si>
  <si>
    <t>227.67</t>
  </si>
  <si>
    <t>130.76</t>
  </si>
  <si>
    <t>440 975-6397</t>
  </si>
  <si>
    <t>09/14/2015</t>
  </si>
  <si>
    <t>91.54</t>
  </si>
  <si>
    <t>21794807</t>
  </si>
  <si>
    <t>CHAD KRONENBERGER</t>
  </si>
  <si>
    <t>440 283 6474</t>
  </si>
  <si>
    <t>6666   STATE RD</t>
  </si>
  <si>
    <t>267591035</t>
  </si>
  <si>
    <t>-176.26</t>
  </si>
  <si>
    <t>-161.51</t>
  </si>
  <si>
    <t>-132.57</t>
  </si>
  <si>
    <t>203.35</t>
  </si>
  <si>
    <t>182.52</t>
  </si>
  <si>
    <t>2015-03-03 00:00:00</t>
  </si>
  <si>
    <t>440 283-6474</t>
  </si>
  <si>
    <t>-185.00</t>
  </si>
  <si>
    <t>Barbara Reisland</t>
  </si>
  <si>
    <t>09/15/2015</t>
  </si>
  <si>
    <t>6402082</t>
  </si>
  <si>
    <t>1722815</t>
  </si>
  <si>
    <t>Charmaine Green</t>
  </si>
  <si>
    <t>12/30/2014</t>
  </si>
  <si>
    <t>330 268 5804</t>
  </si>
  <si>
    <t>12065   EDGEWATER DR</t>
  </si>
  <si>
    <t xml:space="preserve">    24</t>
  </si>
  <si>
    <t>[0M16SDXD74S4]</t>
  </si>
  <si>
    <t>-236.59</t>
  </si>
  <si>
    <t>05/19/2015</t>
  </si>
  <si>
    <t>286.4</t>
  </si>
  <si>
    <t>113.55</t>
  </si>
  <si>
    <t>136.29</t>
  </si>
  <si>
    <t>36.56</t>
  </si>
  <si>
    <t>330 268-5804</t>
  </si>
  <si>
    <t>6402083</t>
  </si>
  <si>
    <t>9401304</t>
  </si>
  <si>
    <t>Jaman Davey</t>
  </si>
  <si>
    <t>02/17/2014</t>
  </si>
  <si>
    <t>440 832 9346</t>
  </si>
  <si>
    <t>1478   SUMMIT BLVD</t>
  </si>
  <si>
    <t>3HW143WY014CA</t>
  </si>
  <si>
    <t>-323.03</t>
  </si>
  <si>
    <t>-120.94</t>
  </si>
  <si>
    <t>434.32</t>
  </si>
  <si>
    <t>111.29</t>
  </si>
  <si>
    <t>323.03</t>
  </si>
  <si>
    <t>2015-09-10 00:00:00</t>
  </si>
  <si>
    <t>440 832-9346</t>
  </si>
  <si>
    <t>440 409-8518</t>
  </si>
  <si>
    <t>6402086</t>
  </si>
  <si>
    <t>10056506</t>
  </si>
  <si>
    <t>David Renta</t>
  </si>
  <si>
    <t>05/24/2012</t>
  </si>
  <si>
    <t>12550   LAKE AVE</t>
  </si>
  <si>
    <t xml:space="preserve">  1007</t>
  </si>
  <si>
    <t>233086764</t>
  </si>
  <si>
    <t>-200.19</t>
  </si>
  <si>
    <t>-466.38</t>
  </si>
  <si>
    <t>617.72</t>
  </si>
  <si>
    <t>206.16</t>
  </si>
  <si>
    <t>205.4</t>
  </si>
  <si>
    <t>440 915-7557</t>
  </si>
  <si>
    <t>6402088</t>
  </si>
  <si>
    <t>3177412</t>
  </si>
  <si>
    <t>TAUREAN V BURSTON</t>
  </si>
  <si>
    <t>216 905 4727</t>
  </si>
  <si>
    <t>1602   HOPKINS AVE</t>
  </si>
  <si>
    <t>EVY501D30437</t>
  </si>
  <si>
    <t>08/16/2015</t>
  </si>
  <si>
    <t>-146.70</t>
  </si>
  <si>
    <t>-329.00</t>
  </si>
  <si>
    <t>-155.80</t>
  </si>
  <si>
    <t>651.34</t>
  </si>
  <si>
    <t>198.62</t>
  </si>
  <si>
    <t>221.17</t>
  </si>
  <si>
    <t>216 905-4727</t>
  </si>
  <si>
    <t>6402105</t>
  </si>
  <si>
    <t>12989306</t>
  </si>
  <si>
    <t>JUDY PHIPPS</t>
  </si>
  <si>
    <t>01/26/2013</t>
  </si>
  <si>
    <t>216 255 4929</t>
  </si>
  <si>
    <t xml:space="preserve">   217</t>
  </si>
  <si>
    <t>-46.25</t>
  </si>
  <si>
    <t>182.81</t>
  </si>
  <si>
    <t>70.79</t>
  </si>
  <si>
    <t>41.23</t>
  </si>
  <si>
    <t>216 255-4929</t>
  </si>
  <si>
    <t>216 308-8417</t>
  </si>
  <si>
    <t>6402112</t>
  </si>
  <si>
    <t>6239204</t>
  </si>
  <si>
    <t>BRET ROGERS</t>
  </si>
  <si>
    <t>11/29/2014</t>
  </si>
  <si>
    <t>419 612 6874</t>
  </si>
  <si>
    <t>6023   HOLLYWOOD DR</t>
  </si>
  <si>
    <t>235561185</t>
  </si>
  <si>
    <t>-160.47</t>
  </si>
  <si>
    <t>-338.98</t>
  </si>
  <si>
    <t>240.66</t>
  </si>
  <si>
    <t>82.61</t>
  </si>
  <si>
    <t>57.34</t>
  </si>
  <si>
    <t>419 612-6874</t>
  </si>
  <si>
    <t>6402117</t>
  </si>
  <si>
    <t>7130004</t>
  </si>
  <si>
    <t>MEGAN WINTERICH</t>
  </si>
  <si>
    <t>10/29/2012</t>
  </si>
  <si>
    <t>440 476 1675</t>
  </si>
  <si>
    <t>3860  W 229TH ST</t>
  </si>
  <si>
    <t>[CSE31J599562]</t>
  </si>
  <si>
    <t>-95.14</t>
  </si>
  <si>
    <t>-90.23</t>
  </si>
  <si>
    <t>232.8</t>
  </si>
  <si>
    <t>93.54</t>
  </si>
  <si>
    <t>59.72</t>
  </si>
  <si>
    <t>440 476-1675</t>
  </si>
  <si>
    <t>6402123</t>
  </si>
  <si>
    <t>8202203</t>
  </si>
  <si>
    <t>Robert Burns</t>
  </si>
  <si>
    <t>440 333 2444</t>
  </si>
  <si>
    <t>4707  W 211TH ST</t>
  </si>
  <si>
    <t>SABHVLKSD</t>
  </si>
  <si>
    <t>761.1</t>
  </si>
  <si>
    <t>239.5</t>
  </si>
  <si>
    <t>282.1</t>
  </si>
  <si>
    <t>440 333-2444</t>
  </si>
  <si>
    <t>440 409-1595</t>
  </si>
  <si>
    <t>6402124</t>
  </si>
  <si>
    <t>23755403</t>
  </si>
  <si>
    <t>Laurie Rupert</t>
  </si>
  <si>
    <t>07/06/2014</t>
  </si>
  <si>
    <t>440 345 5203</t>
  </si>
  <si>
    <t xml:space="preserve">   416</t>
  </si>
  <si>
    <t>SACBKCVXC</t>
  </si>
  <si>
    <t>-165.30</t>
  </si>
  <si>
    <t>-145.98</t>
  </si>
  <si>
    <t>898.69</t>
  </si>
  <si>
    <t>279.69</t>
  </si>
  <si>
    <t>319</t>
  </si>
  <si>
    <t>2015-09-04 00:00:00</t>
  </si>
  <si>
    <t>440 345-5203</t>
  </si>
  <si>
    <t>216 978-4579</t>
  </si>
  <si>
    <t>6402315</t>
  </si>
  <si>
    <t>1287.58</t>
  </si>
  <si>
    <t>394.88</t>
  </si>
  <si>
    <t>6403728</t>
  </si>
  <si>
    <t>1631813</t>
  </si>
  <si>
    <t>Cameron Barham</t>
  </si>
  <si>
    <t>11/24/2012</t>
  </si>
  <si>
    <t>1392   WEBB RD</t>
  </si>
  <si>
    <t>SABPMRGZW</t>
  </si>
  <si>
    <t>-103.84</t>
  </si>
  <si>
    <t>-103.24</t>
  </si>
  <si>
    <t>323.55</t>
  </si>
  <si>
    <t>109.85</t>
  </si>
  <si>
    <t>103.85</t>
  </si>
  <si>
    <t>216 785-7777</t>
  </si>
  <si>
    <t>6403734</t>
  </si>
  <si>
    <t>10827823</t>
  </si>
  <si>
    <t>MICHAEL WOODBERRY</t>
  </si>
  <si>
    <t>01/28/2014</t>
  </si>
  <si>
    <t>5321   KNOLLWOOD DR</t>
  </si>
  <si>
    <t>SABLTHJZD</t>
  </si>
  <si>
    <t>-183.87</t>
  </si>
  <si>
    <t>-135.63</t>
  </si>
  <si>
    <t>571.5</t>
  </si>
  <si>
    <t>189.88</t>
  </si>
  <si>
    <t>197.74</t>
  </si>
  <si>
    <t>183.88</t>
  </si>
  <si>
    <t>216 319-9798</t>
  </si>
  <si>
    <t>216 404-9558</t>
  </si>
  <si>
    <t>6403735</t>
  </si>
  <si>
    <t>3161011</t>
  </si>
  <si>
    <t>Teri W Lowe</t>
  </si>
  <si>
    <t>216 956 9651</t>
  </si>
  <si>
    <t>1429   RIDGEWOOD AVE</t>
  </si>
  <si>
    <t>SACGRDGHJ</t>
  </si>
  <si>
    <t>467.44</t>
  </si>
  <si>
    <t>133.25</t>
  </si>
  <si>
    <t>143.87</t>
  </si>
  <si>
    <t>190.32</t>
  </si>
  <si>
    <t>216 956-9651</t>
  </si>
  <si>
    <t>6403736</t>
  </si>
  <si>
    <t>3164303</t>
  </si>
  <si>
    <t>REGAE DORMENDO</t>
  </si>
  <si>
    <t>216 860 5475</t>
  </si>
  <si>
    <t>1517   NEWMAN AVE</t>
  </si>
  <si>
    <t>SABSRGTWT</t>
  </si>
  <si>
    <t>490.68</t>
  </si>
  <si>
    <t>165.56</t>
  </si>
  <si>
    <t>159.56</t>
  </si>
  <si>
    <t>216 860-5475</t>
  </si>
  <si>
    <t>6403745</t>
  </si>
  <si>
    <t>12985607</t>
  </si>
  <si>
    <t>MARK HART</t>
  </si>
  <si>
    <t>20600   DETROIT RD</t>
  </si>
  <si>
    <t>3HW146W307102</t>
  </si>
  <si>
    <t>-344.92</t>
  </si>
  <si>
    <t>08/10/2015</t>
  </si>
  <si>
    <t>-400.00</t>
  </si>
  <si>
    <t>813.87</t>
  </si>
  <si>
    <t>169.9</t>
  </si>
  <si>
    <t>170.09</t>
  </si>
  <si>
    <t>473.88</t>
  </si>
  <si>
    <t>2015-09-11 00:00:00</t>
  </si>
  <si>
    <t>440 759-6784</t>
  </si>
  <si>
    <t>6403762</t>
  </si>
  <si>
    <t>23335009</t>
  </si>
  <si>
    <t>Corrie Williams</t>
  </si>
  <si>
    <t>330 524 0726</t>
  </si>
  <si>
    <t xml:space="preserve">  3215</t>
  </si>
  <si>
    <t>EVY501D88050</t>
  </si>
  <si>
    <t>-132.50</t>
  </si>
  <si>
    <t>398.83</t>
  </si>
  <si>
    <t>132.32</t>
  </si>
  <si>
    <t>150.7</t>
  </si>
  <si>
    <t>115.81</t>
  </si>
  <si>
    <t>330 524-0726</t>
  </si>
  <si>
    <t>6403765</t>
  </si>
  <si>
    <t>23545011</t>
  </si>
  <si>
    <t>CHRISTOPHE MANNING</t>
  </si>
  <si>
    <t>08/19/2013</t>
  </si>
  <si>
    <t>216 534 1933</t>
  </si>
  <si>
    <t>11430   SHARON DR</t>
  </si>
  <si>
    <t xml:space="preserve">  D210</t>
  </si>
  <si>
    <t>[359079228422012801012019]</t>
  </si>
  <si>
    <t>-88.00</t>
  </si>
  <si>
    <t>-63.58</t>
  </si>
  <si>
    <t>219.56</t>
  </si>
  <si>
    <t>61.58</t>
  </si>
  <si>
    <t>216 534-1933</t>
  </si>
  <si>
    <t>6403768</t>
  </si>
  <si>
    <t>24536002</t>
  </si>
  <si>
    <t>ABDULRAHMA ALARIFI</t>
  </si>
  <si>
    <t>216 672 8383</t>
  </si>
  <si>
    <t>11850   EDGEWATER DR</t>
  </si>
  <si>
    <t xml:space="preserve">   404</t>
  </si>
  <si>
    <t>146.08</t>
  </si>
  <si>
    <t>88.54</t>
  </si>
  <si>
    <t>57.54</t>
  </si>
  <si>
    <t>216 672-8383</t>
  </si>
  <si>
    <t>09/17/2015</t>
  </si>
  <si>
    <t>6404922</t>
  </si>
  <si>
    <t>23324502</t>
  </si>
  <si>
    <t>Ursula Kern</t>
  </si>
  <si>
    <t>08/05/2014</t>
  </si>
  <si>
    <t>216 609 6530</t>
  </si>
  <si>
    <t xml:space="preserve">  2604</t>
  </si>
  <si>
    <t>-170.40</t>
  </si>
  <si>
    <t>-185.82</t>
  </si>
  <si>
    <t>991.28</t>
  </si>
  <si>
    <t>77.53</t>
  </si>
  <si>
    <t>211.84</t>
  </si>
  <si>
    <t>701.91</t>
  </si>
  <si>
    <t>216 609-6530</t>
  </si>
  <si>
    <t>6405504</t>
  </si>
  <si>
    <t>1084706</t>
  </si>
  <si>
    <t>BRIAN RITCHIE</t>
  </si>
  <si>
    <t>440 714 1800</t>
  </si>
  <si>
    <t>7556   INLAND DR</t>
  </si>
  <si>
    <t>SABLBXLKK</t>
  </si>
  <si>
    <t>-41.67</t>
  </si>
  <si>
    <t>-67.05</t>
  </si>
  <si>
    <t>189.96</t>
  </si>
  <si>
    <t>86.87</t>
  </si>
  <si>
    <t>103.09</t>
  </si>
  <si>
    <t>440 714-1800</t>
  </si>
  <si>
    <t>6405527</t>
  </si>
  <si>
    <t>3265905</t>
  </si>
  <si>
    <t>Danielle Smith</t>
  </si>
  <si>
    <t>1473   NEWMAN AVE</t>
  </si>
  <si>
    <t>272322127</t>
  </si>
  <si>
    <t>-143.75</t>
  </si>
  <si>
    <t>-113.40</t>
  </si>
  <si>
    <t>-148.44</t>
  </si>
  <si>
    <t>576.31</t>
  </si>
  <si>
    <t>410.23</t>
  </si>
  <si>
    <t>6405538</t>
  </si>
  <si>
    <t>13010112</t>
  </si>
  <si>
    <t>SIARHEI AKULICH</t>
  </si>
  <si>
    <t>03/28/2015</t>
  </si>
  <si>
    <t>216 387 7583</t>
  </si>
  <si>
    <t>900   TOLLIS PKWY</t>
  </si>
  <si>
    <t xml:space="preserve">   407</t>
  </si>
  <si>
    <t>3HW14AWF0110A</t>
  </si>
  <si>
    <t>-115.08</t>
  </si>
  <si>
    <t>-122.34</t>
  </si>
  <si>
    <t>178.62</t>
  </si>
  <si>
    <t>216 387-7583</t>
  </si>
  <si>
    <t>6405539</t>
  </si>
  <si>
    <t>21258814</t>
  </si>
  <si>
    <t>ASIA CAMPBELL</t>
  </si>
  <si>
    <t>216 372 2649</t>
  </si>
  <si>
    <t>1261   FRY AVE</t>
  </si>
  <si>
    <t xml:space="preserve">   205</t>
  </si>
  <si>
    <t>SABNZCMLJ</t>
  </si>
  <si>
    <t>-285.00</t>
  </si>
  <si>
    <t>587.11</t>
  </si>
  <si>
    <t>186.16</t>
  </si>
  <si>
    <t>210</t>
  </si>
  <si>
    <t>190.95</t>
  </si>
  <si>
    <t>216 372-2649</t>
  </si>
  <si>
    <t>6405541</t>
  </si>
  <si>
    <t>21562202</t>
  </si>
  <si>
    <t>MICHAEL BEACHLER</t>
  </si>
  <si>
    <t>440 488 0708</t>
  </si>
  <si>
    <t>5559   SUNCREST CT</t>
  </si>
  <si>
    <t>SACBCWBHN</t>
  </si>
  <si>
    <t>-131.07</t>
  </si>
  <si>
    <t>-152.44</t>
  </si>
  <si>
    <t>256.14</t>
  </si>
  <si>
    <t>131.07</t>
  </si>
  <si>
    <t>125.07</t>
  </si>
  <si>
    <t>440 488-0708</t>
  </si>
  <si>
    <t>6405542</t>
  </si>
  <si>
    <t>5591301</t>
  </si>
  <si>
    <t>ELAINE VETOMSKIE</t>
  </si>
  <si>
    <t>11/08/1997</t>
  </si>
  <si>
    <t>440 886 1569</t>
  </si>
  <si>
    <t>7618   MARLBOROUGH AVE</t>
  </si>
  <si>
    <t>-134.92</t>
  </si>
  <si>
    <t>-45.27</t>
  </si>
  <si>
    <t>-105.40</t>
  </si>
  <si>
    <t>184.19</t>
  </si>
  <si>
    <t>78.28</t>
  </si>
  <si>
    <t>27.63</t>
  </si>
  <si>
    <t>440 886-1569</t>
  </si>
  <si>
    <t>6405543</t>
  </si>
  <si>
    <t>21653805</t>
  </si>
  <si>
    <t>Carmen Ortiz</t>
  </si>
  <si>
    <t>03/27/2015</t>
  </si>
  <si>
    <t>216 860 2002</t>
  </si>
  <si>
    <t>5629   CHEVROLET BLVD</t>
  </si>
  <si>
    <t>SABRRQFPV</t>
  </si>
  <si>
    <t>-196.86</t>
  </si>
  <si>
    <t>429.04</t>
  </si>
  <si>
    <t>153.59</t>
  </si>
  <si>
    <t>122.08</t>
  </si>
  <si>
    <t>216 860-2002</t>
  </si>
  <si>
    <t>6405544</t>
  </si>
  <si>
    <t>21816115</t>
  </si>
  <si>
    <t>Anthony Woods</t>
  </si>
  <si>
    <t>02/17/2015</t>
  </si>
  <si>
    <t>216 221 0191</t>
  </si>
  <si>
    <t>2031   ROBIN ST</t>
  </si>
  <si>
    <t>SACGTVJRV</t>
  </si>
  <si>
    <t>273.14</t>
  </si>
  <si>
    <t>126.29</t>
  </si>
  <si>
    <t>146.85</t>
  </si>
  <si>
    <t>216 221-0191</t>
  </si>
  <si>
    <t>614 946-1675</t>
  </si>
  <si>
    <t>6405546</t>
  </si>
  <si>
    <t>6233508</t>
  </si>
  <si>
    <t>Mary Stanly</t>
  </si>
  <si>
    <t>216 618 6264</t>
  </si>
  <si>
    <t>6090   WAREHAM DR</t>
  </si>
  <si>
    <t>SABWNDLDL</t>
  </si>
  <si>
    <t>605.89</t>
  </si>
  <si>
    <t>137.16</t>
  </si>
  <si>
    <t>132.26</t>
  </si>
  <si>
    <t>336.47</t>
  </si>
  <si>
    <t>216 618-6264</t>
  </si>
  <si>
    <t>6405550</t>
  </si>
  <si>
    <t>7294016</t>
  </si>
  <si>
    <t>Ms. Gertha Whitley</t>
  </si>
  <si>
    <t>11/28/2014</t>
  </si>
  <si>
    <t>440 658 9417</t>
  </si>
  <si>
    <t>1415   CLARENCE AVE</t>
  </si>
  <si>
    <t>SABNNZWCD</t>
  </si>
  <si>
    <t>-87.77</t>
  </si>
  <si>
    <t>-163.20</t>
  </si>
  <si>
    <t>-93.67</t>
  </si>
  <si>
    <t>294.01</t>
  </si>
  <si>
    <t>95.75</t>
  </si>
  <si>
    <t>98.51</t>
  </si>
  <si>
    <t>99.75</t>
  </si>
  <si>
    <t>440 658-9417</t>
  </si>
  <si>
    <t>6405551</t>
  </si>
  <si>
    <t>23580910</t>
  </si>
  <si>
    <t>Jamie M Hinkle</t>
  </si>
  <si>
    <t>216 387 0261</t>
  </si>
  <si>
    <t>SACFBXGWT</t>
  </si>
  <si>
    <t>456.88</t>
  </si>
  <si>
    <t>196.06</t>
  </si>
  <si>
    <t>117.86</t>
  </si>
  <si>
    <t>142.96</t>
  </si>
  <si>
    <t>216 387-0261</t>
  </si>
  <si>
    <t>6405566</t>
  </si>
  <si>
    <t>8930717</t>
  </si>
  <si>
    <t>Shelisa Holmes</t>
  </si>
  <si>
    <t>05/27/2014</t>
  </si>
  <si>
    <t>216 315 8676</t>
  </si>
  <si>
    <t>5437   KNOLLWOOD DR</t>
  </si>
  <si>
    <t>SABKBFTQT</t>
  </si>
  <si>
    <t>536.51</t>
  </si>
  <si>
    <t>176.73</t>
  </si>
  <si>
    <t>169.39</t>
  </si>
  <si>
    <t>13.66</t>
  </si>
  <si>
    <t>216 315-8676</t>
  </si>
  <si>
    <t>09/18/2015</t>
  </si>
  <si>
    <t>6408039</t>
  </si>
  <si>
    <t>11344609</t>
  </si>
  <si>
    <t>EDWARD GREIF</t>
  </si>
  <si>
    <t>216 937 5328</t>
  </si>
  <si>
    <t xml:space="preserve">   115</t>
  </si>
  <si>
    <t>SABQWQPCN</t>
  </si>
  <si>
    <t>-109.60</t>
  </si>
  <si>
    <t>-102.33</t>
  </si>
  <si>
    <t>328.71</t>
  </si>
  <si>
    <t>109.57</t>
  </si>
  <si>
    <t>216 937-5328</t>
  </si>
  <si>
    <t>6408045</t>
  </si>
  <si>
    <t>11976305</t>
  </si>
  <si>
    <t>PAUL BECKER</t>
  </si>
  <si>
    <t>440 263 2062</t>
  </si>
  <si>
    <t>1175   SAGAMORE RD</t>
  </si>
  <si>
    <t>267277160</t>
  </si>
  <si>
    <t>-275.93</t>
  </si>
  <si>
    <t>-111.74</t>
  </si>
  <si>
    <t>-130.68</t>
  </si>
  <si>
    <t>484.42</t>
  </si>
  <si>
    <t>179.11</t>
  </si>
  <si>
    <t>126.2</t>
  </si>
  <si>
    <t>440 263-2062</t>
  </si>
  <si>
    <t>6408049</t>
  </si>
  <si>
    <t>12523708</t>
  </si>
  <si>
    <t>HAROLD BITTINGER</t>
  </si>
  <si>
    <t>09/27/2014</t>
  </si>
  <si>
    <t>216 544 8190</t>
  </si>
  <si>
    <t>7660   BROADVIEW RD</t>
  </si>
  <si>
    <t xml:space="preserve">   123</t>
  </si>
  <si>
    <t>SABRPLWMT</t>
  </si>
  <si>
    <t>-183.90</t>
  </si>
  <si>
    <t>-155.45</t>
  </si>
  <si>
    <t>-162.29</t>
  </si>
  <si>
    <t>513.16</t>
  </si>
  <si>
    <t>191.89</t>
  </si>
  <si>
    <t>161.89</t>
  </si>
  <si>
    <t>159.38</t>
  </si>
  <si>
    <t>216 544-8190</t>
  </si>
  <si>
    <t>6408052</t>
  </si>
  <si>
    <t>5059213</t>
  </si>
  <si>
    <t>CORNELIUS GILES</t>
  </si>
  <si>
    <t>216 235 6082</t>
  </si>
  <si>
    <t>11840  S LANE DR</t>
  </si>
  <si>
    <t>3HW14BW00122D</t>
  </si>
  <si>
    <t>-121.74</t>
  </si>
  <si>
    <t>-72.54</t>
  </si>
  <si>
    <t>155.31</t>
  </si>
  <si>
    <t>216 235-6082</t>
  </si>
  <si>
    <t>6408055</t>
  </si>
  <si>
    <t>12730604</t>
  </si>
  <si>
    <t>ROY HOERTZ</t>
  </si>
  <si>
    <t>10/27/2011</t>
  </si>
  <si>
    <t>216 618 7684</t>
  </si>
  <si>
    <t>25033   RAINBOW DR</t>
  </si>
  <si>
    <t>QBAJ1B7005041</t>
  </si>
  <si>
    <t>09/29/2015</t>
  </si>
  <si>
    <t>-179.33</t>
  </si>
  <si>
    <t>-367.44</t>
  </si>
  <si>
    <t>256.2</t>
  </si>
  <si>
    <t>21.6</t>
  </si>
  <si>
    <t>170</t>
  </si>
  <si>
    <t>64.6</t>
  </si>
  <si>
    <t>216 618-7684</t>
  </si>
  <si>
    <t>6408057</t>
  </si>
  <si>
    <t>21652805</t>
  </si>
  <si>
    <t>DOROTHY STEWART</t>
  </si>
  <si>
    <t>02/26/2008</t>
  </si>
  <si>
    <t>440 842 5644</t>
  </si>
  <si>
    <t>5623   CHEVROLET BLVD</t>
  </si>
  <si>
    <t>SABHQWRCP</t>
  </si>
  <si>
    <t>-130.00</t>
  </si>
  <si>
    <t>-96.83</t>
  </si>
  <si>
    <t>272.84</t>
  </si>
  <si>
    <t>118.85</t>
  </si>
  <si>
    <t>74.13</t>
  </si>
  <si>
    <t>79.86</t>
  </si>
  <si>
    <t>440 842-5644</t>
  </si>
  <si>
    <t>6408059</t>
  </si>
  <si>
    <t>21834007</t>
  </si>
  <si>
    <t>JANET FOUNTAIN</t>
  </si>
  <si>
    <t>440 882 6857</t>
  </si>
  <si>
    <t>9275  N CHURCH DR</t>
  </si>
  <si>
    <t xml:space="preserve">   710</t>
  </si>
  <si>
    <t>SABNDFNLR</t>
  </si>
  <si>
    <t>-75.38</t>
  </si>
  <si>
    <t>-87.65</t>
  </si>
  <si>
    <t>-79.40</t>
  </si>
  <si>
    <t>276.72</t>
  </si>
  <si>
    <t>127.83</t>
  </si>
  <si>
    <t>105.01</t>
  </si>
  <si>
    <t>440 882-6857</t>
  </si>
  <si>
    <t>216 256-3421</t>
  </si>
  <si>
    <t>6408065</t>
  </si>
  <si>
    <t>22457207</t>
  </si>
  <si>
    <t>Elizabeth Arcuri</t>
  </si>
  <si>
    <t>12/18/2014</t>
  </si>
  <si>
    <t>440 453 3088</t>
  </si>
  <si>
    <t>14503   DELAWARE AVE</t>
  </si>
  <si>
    <t>SABTBTJPV</t>
  </si>
  <si>
    <t>-128.27</t>
  </si>
  <si>
    <t>-133.41</t>
  </si>
  <si>
    <t>-56.71</t>
  </si>
  <si>
    <t>194.98</t>
  </si>
  <si>
    <t>22.72</t>
  </si>
  <si>
    <t>82.49</t>
  </si>
  <si>
    <t>89.77</t>
  </si>
  <si>
    <t>2015-05-28 00:00:00</t>
  </si>
  <si>
    <t>440 453-3088</t>
  </si>
  <si>
    <t>6408066</t>
  </si>
  <si>
    <t>22574608</t>
  </si>
  <si>
    <t>Micayla Morgan</t>
  </si>
  <si>
    <t>216 776 8526</t>
  </si>
  <si>
    <t>2131   BUNTS RD</t>
  </si>
  <si>
    <t>3HW14CWX01D15</t>
  </si>
  <si>
    <t>377.57</t>
  </si>
  <si>
    <t>123.35</t>
  </si>
  <si>
    <t>130.87</t>
  </si>
  <si>
    <t>216 776-8526</t>
  </si>
  <si>
    <t>6408071</t>
  </si>
  <si>
    <t>23333111</t>
  </si>
  <si>
    <t>Jennifer Arnold</t>
  </si>
  <si>
    <t>330 541 1498</t>
  </si>
  <si>
    <t xml:space="preserve">  3125</t>
  </si>
  <si>
    <t>D5S3R44001295</t>
  </si>
  <si>
    <t>-57.69</t>
  </si>
  <si>
    <t>-485.27</t>
  </si>
  <si>
    <t>-394.83</t>
  </si>
  <si>
    <t>300.6</t>
  </si>
  <si>
    <t>153.3</t>
  </si>
  <si>
    <t>147.3</t>
  </si>
  <si>
    <t>330 541-1498</t>
  </si>
  <si>
    <t>6408076</t>
  </si>
  <si>
    <t>8823909</t>
  </si>
  <si>
    <t>JESSICA HARNEGIE</t>
  </si>
  <si>
    <t>440 281 5887</t>
  </si>
  <si>
    <t>9592   FERNWOOD DR</t>
  </si>
  <si>
    <t>EVY501D88696</t>
  </si>
  <si>
    <t>-131.31</t>
  </si>
  <si>
    <t>-106.15</t>
  </si>
  <si>
    <t>-121.49</t>
  </si>
  <si>
    <t>265.21</t>
  </si>
  <si>
    <t>121.53</t>
  </si>
  <si>
    <t>143.68</t>
  </si>
  <si>
    <t>440 281-5887</t>
  </si>
  <si>
    <t>6408079</t>
  </si>
  <si>
    <t>24168701</t>
  </si>
  <si>
    <t>JIM DORE</t>
  </si>
  <si>
    <t>05/27/2005</t>
  </si>
  <si>
    <t>440 823 7577</t>
  </si>
  <si>
    <t>5634  E WALLINGS RD</t>
  </si>
  <si>
    <t>[06H7GZG9Z3C7]</t>
  </si>
  <si>
    <t>-162.00</t>
  </si>
  <si>
    <t>-161.00</t>
  </si>
  <si>
    <t>497.92</t>
  </si>
  <si>
    <t>184.8</t>
  </si>
  <si>
    <t>151.02</t>
  </si>
  <si>
    <t>440 823-7577</t>
  </si>
  <si>
    <t>6408086</t>
  </si>
  <si>
    <t>25057802</t>
  </si>
  <si>
    <t>John Pavlik</t>
  </si>
  <si>
    <t>11/02/2013</t>
  </si>
  <si>
    <t>216 287 1028</t>
  </si>
  <si>
    <t>1   MICHAEL DR</t>
  </si>
  <si>
    <t>SABVQPHZD</t>
  </si>
  <si>
    <t>-151.25</t>
  </si>
  <si>
    <t>-270.00</t>
  </si>
  <si>
    <t>-9.56</t>
  </si>
  <si>
    <t>270.08</t>
  </si>
  <si>
    <t>135.04</t>
  </si>
  <si>
    <t>216 287-1028</t>
  </si>
  <si>
    <t>440 821-8468</t>
  </si>
  <si>
    <t>09/19/2015</t>
  </si>
  <si>
    <t>6409181</t>
  </si>
  <si>
    <t>1871610</t>
  </si>
  <si>
    <t>ROBERT MARSHALL</t>
  </si>
  <si>
    <t>03/03/2015</t>
  </si>
  <si>
    <t>216 860 7082</t>
  </si>
  <si>
    <t>15126   CLIFTON BLVD</t>
  </si>
  <si>
    <t>SACBJLLRM</t>
  </si>
  <si>
    <t>-71.33</t>
  </si>
  <si>
    <t>223.54</t>
  </si>
  <si>
    <t>157.25</t>
  </si>
  <si>
    <t>43.57</t>
  </si>
  <si>
    <t>2015-04-23 00:00:00</t>
  </si>
  <si>
    <t>216 860-7082</t>
  </si>
  <si>
    <t>6409205</t>
  </si>
  <si>
    <t>21362912</t>
  </si>
  <si>
    <t>KELLY NEEL</t>
  </si>
  <si>
    <t>09/04/2014</t>
  </si>
  <si>
    <t>216 402 4595</t>
  </si>
  <si>
    <t>950   TOLLIS PKWY</t>
  </si>
  <si>
    <t xml:space="preserve">   510</t>
  </si>
  <si>
    <t>3H2145WL0170E</t>
  </si>
  <si>
    <t>-154.00</t>
  </si>
  <si>
    <t>-42.81</t>
  </si>
  <si>
    <t>557.21</t>
  </si>
  <si>
    <t>28.26</t>
  </si>
  <si>
    <t>218.9</t>
  </si>
  <si>
    <t>310.05</t>
  </si>
  <si>
    <t>216 402-4595</t>
  </si>
  <si>
    <t>6409208</t>
  </si>
  <si>
    <t>21415203</t>
  </si>
  <si>
    <t>JERRY VALES</t>
  </si>
  <si>
    <t>08/17/2009</t>
  </si>
  <si>
    <t>216 271 1627</t>
  </si>
  <si>
    <t>11820   EDGEWATER DR</t>
  </si>
  <si>
    <t xml:space="preserve">   610</t>
  </si>
  <si>
    <t>[06634HMHCP17]</t>
  </si>
  <si>
    <t>605.17</t>
  </si>
  <si>
    <t>206.33</t>
  </si>
  <si>
    <t>192.51</t>
  </si>
  <si>
    <t>216 271-1627</t>
  </si>
  <si>
    <t>216 357-8862</t>
  </si>
  <si>
    <t>216 521-3732</t>
  </si>
  <si>
    <t>6409216</t>
  </si>
  <si>
    <t>22664005</t>
  </si>
  <si>
    <t>ETHEL HANER</t>
  </si>
  <si>
    <t>11/20/2009</t>
  </si>
  <si>
    <t>440 331 8920</t>
  </si>
  <si>
    <t xml:space="preserve">   204</t>
  </si>
  <si>
    <t>EVY506D19135</t>
  </si>
  <si>
    <t>-24.18</t>
  </si>
  <si>
    <t>-26.97</t>
  </si>
  <si>
    <t>05/13/2015</t>
  </si>
  <si>
    <t>-48.36</t>
  </si>
  <si>
    <t>84.57</t>
  </si>
  <si>
    <t>30.19</t>
  </si>
  <si>
    <t>24.19</t>
  </si>
  <si>
    <t>440 331-8920</t>
  </si>
  <si>
    <t>6409221</t>
  </si>
  <si>
    <t>23275707</t>
  </si>
  <si>
    <t>KELVIN SHAW</t>
  </si>
  <si>
    <t>12/30/2011</t>
  </si>
  <si>
    <t>216 712 8045</t>
  </si>
  <si>
    <t xml:space="preserve">   LL1</t>
  </si>
  <si>
    <t>[0HYTV136SWZ4]</t>
  </si>
  <si>
    <t>-154.82</t>
  </si>
  <si>
    <t>-150.47</t>
  </si>
  <si>
    <t>-140.91</t>
  </si>
  <si>
    <t>464.49</t>
  </si>
  <si>
    <t>154.83</t>
  </si>
  <si>
    <t>216 712-8045</t>
  </si>
  <si>
    <t>216 298-3816</t>
  </si>
  <si>
    <t>6409227</t>
  </si>
  <si>
    <t>24720601</t>
  </si>
  <si>
    <t>KATHLEEN WILLIAMSON</t>
  </si>
  <si>
    <t>08/27/2008</t>
  </si>
  <si>
    <t>440 356 5496</t>
  </si>
  <si>
    <t>20000   LORAIN RD</t>
  </si>
  <si>
    <t>SABVDNGKM</t>
  </si>
  <si>
    <t>-68.16</t>
  </si>
  <si>
    <t>-87.20</t>
  </si>
  <si>
    <t>456.51</t>
  </si>
  <si>
    <t>154.17</t>
  </si>
  <si>
    <t>148.17</t>
  </si>
  <si>
    <t>2014-06-12 00:00:00</t>
  </si>
  <si>
    <t>440 356-5496</t>
  </si>
  <si>
    <t>216 870-7014</t>
  </si>
  <si>
    <t>6409229</t>
  </si>
  <si>
    <t>24750203</t>
  </si>
  <si>
    <t>AUBREY ALLORE</t>
  </si>
  <si>
    <t>440 320 2912</t>
  </si>
  <si>
    <t xml:space="preserve">   421</t>
  </si>
  <si>
    <t>D8H4D31003515</t>
  </si>
  <si>
    <t>-194.84</t>
  </si>
  <si>
    <t>486.2</t>
  </si>
  <si>
    <t>143.07</t>
  </si>
  <si>
    <t>200.06</t>
  </si>
  <si>
    <t>440 320-2912</t>
  </si>
  <si>
    <t>6409230</t>
  </si>
  <si>
    <t>9141411</t>
  </si>
  <si>
    <t>Kash-Shae Singleton</t>
  </si>
  <si>
    <t>330 396 9592</t>
  </si>
  <si>
    <t>5261  W 45TH ST</t>
  </si>
  <si>
    <t>260156853</t>
  </si>
  <si>
    <t>545.42</t>
  </si>
  <si>
    <t>154.3</t>
  </si>
  <si>
    <t>236.82</t>
  </si>
  <si>
    <t>330 396-9592</t>
  </si>
  <si>
    <t>09/20/2015</t>
  </si>
  <si>
    <t>6409569</t>
  </si>
  <si>
    <t>126902</t>
  </si>
  <si>
    <t>Mrs Lillian A Koehler</t>
  </si>
  <si>
    <t>12/31/2014</t>
  </si>
  <si>
    <t>216 267 0871</t>
  </si>
  <si>
    <t>6080   POMONA DR</t>
  </si>
  <si>
    <t>[07WB0FCZ9C33]</t>
  </si>
  <si>
    <t>-268.21</t>
  </si>
  <si>
    <t>-129.73</t>
  </si>
  <si>
    <t>04/17/2015</t>
  </si>
  <si>
    <t>-255.51</t>
  </si>
  <si>
    <t>268.18</t>
  </si>
  <si>
    <t>147.07</t>
  </si>
  <si>
    <t>121.11</t>
  </si>
  <si>
    <t>216 267-0871</t>
  </si>
  <si>
    <t>6409575</t>
  </si>
  <si>
    <t>465017</t>
  </si>
  <si>
    <t>LINDA KUBITZ</t>
  </si>
  <si>
    <t>02/04/2015</t>
  </si>
  <si>
    <t>440 915 4254</t>
  </si>
  <si>
    <t>7077   PARMA PARK BLVD</t>
  </si>
  <si>
    <t>SABTQTNNG</t>
  </si>
  <si>
    <t>254.39</t>
  </si>
  <si>
    <t>112.02</t>
  </si>
  <si>
    <t>122.37</t>
  </si>
  <si>
    <t>440 915-4254</t>
  </si>
  <si>
    <t>6409579</t>
  </si>
  <si>
    <t>10159715</t>
  </si>
  <si>
    <t>SHUN LEVERT</t>
  </si>
  <si>
    <t xml:space="preserve">   507</t>
  </si>
  <si>
    <t>3HW14BWJ00037</t>
  </si>
  <si>
    <t>-139.48</t>
  </si>
  <si>
    <t>-139.51</t>
  </si>
  <si>
    <t>-132.32</t>
  </si>
  <si>
    <t>278.96</t>
  </si>
  <si>
    <t>139.48</t>
  </si>
  <si>
    <t>216 258-3168</t>
  </si>
  <si>
    <t>6409583</t>
  </si>
  <si>
    <t>10449911</t>
  </si>
  <si>
    <t>TERRY SHAFFER</t>
  </si>
  <si>
    <t>34   CARL LN</t>
  </si>
  <si>
    <t>[0HYTV0Y4FXT6]</t>
  </si>
  <si>
    <t>-359.27</t>
  </si>
  <si>
    <t>-62.00</t>
  </si>
  <si>
    <t>04/05/2014</t>
  </si>
  <si>
    <t>-44.83</t>
  </si>
  <si>
    <t>648.46</t>
  </si>
  <si>
    <t>162.27</t>
  </si>
  <si>
    <t>131.27</t>
  </si>
  <si>
    <t>354.92</t>
  </si>
  <si>
    <t>2015-09-09 00:00:00</t>
  </si>
  <si>
    <t>440 235-9198</t>
  </si>
  <si>
    <t>6409588</t>
  </si>
  <si>
    <t>11292906</t>
  </si>
  <si>
    <t>Carla Frank</t>
  </si>
  <si>
    <t>10/03/2014</t>
  </si>
  <si>
    <t>216 200 1250</t>
  </si>
  <si>
    <t>20606   LORAIN RD</t>
  </si>
  <si>
    <t xml:space="preserve">    D1</t>
  </si>
  <si>
    <t>SACCRPNND</t>
  </si>
  <si>
    <t>-115.73</t>
  </si>
  <si>
    <t>-15.72</t>
  </si>
  <si>
    <t>242.95</t>
  </si>
  <si>
    <t>138.46</t>
  </si>
  <si>
    <t>104.49</t>
  </si>
  <si>
    <t>216 200-1250</t>
  </si>
  <si>
    <t>6409591</t>
  </si>
  <si>
    <t>3246011</t>
  </si>
  <si>
    <t>Lynette Barrett</t>
  </si>
  <si>
    <t>12/02/2014</t>
  </si>
  <si>
    <t>216 346 5384</t>
  </si>
  <si>
    <t>1289   IDLEWOOD AVE</t>
  </si>
  <si>
    <t>3HW149WB07630</t>
  </si>
  <si>
    <t>-300.25</t>
  </si>
  <si>
    <t>-96.08</t>
  </si>
  <si>
    <t>404.59</t>
  </si>
  <si>
    <t>127.09</t>
  </si>
  <si>
    <t>277.5</t>
  </si>
  <si>
    <t>216 346-5384</t>
  </si>
  <si>
    <t>6409592</t>
  </si>
  <si>
    <t>11453011</t>
  </si>
  <si>
    <t>Ryan Morgan</t>
  </si>
  <si>
    <t>01/06/2015</t>
  </si>
  <si>
    <t>440 823 6983</t>
  </si>
  <si>
    <t>1345   SLOANE AVE</t>
  </si>
  <si>
    <t>262239235</t>
  </si>
  <si>
    <t>-155.26</t>
  </si>
  <si>
    <t>-136.71</t>
  </si>
  <si>
    <t>-137.16</t>
  </si>
  <si>
    <t>312.95</t>
  </si>
  <si>
    <t>157.69</t>
  </si>
  <si>
    <t>155.26</t>
  </si>
  <si>
    <t>440 823-6983</t>
  </si>
  <si>
    <t>6409597</t>
  </si>
  <si>
    <t>3869804</t>
  </si>
  <si>
    <t>TRISTAN ETHERTON</t>
  </si>
  <si>
    <t>03/02/2011</t>
  </si>
  <si>
    <t>440 520 0080</t>
  </si>
  <si>
    <t>5510   HAVERHILL AVE</t>
  </si>
  <si>
    <t>[0HYTSSVF2JF6]</t>
  </si>
  <si>
    <t>143.18</t>
  </si>
  <si>
    <t>57.19</t>
  </si>
  <si>
    <t>440 520-0080</t>
  </si>
  <si>
    <t>6409598</t>
  </si>
  <si>
    <t>12020003</t>
  </si>
  <si>
    <t>ELIZABETH BRUNO</t>
  </si>
  <si>
    <t>03/30/2015</t>
  </si>
  <si>
    <t>440 584 8289</t>
  </si>
  <si>
    <t>1103   OLD ROCKSIDE RD</t>
  </si>
  <si>
    <t>[0L78T2BHPLR7]</t>
  </si>
  <si>
    <t>99.86</t>
  </si>
  <si>
    <t>49.99</t>
  </si>
  <si>
    <t>49.87</t>
  </si>
  <si>
    <t>440 584-8289</t>
  </si>
  <si>
    <t>216 647-6978</t>
  </si>
  <si>
    <t>6409602</t>
  </si>
  <si>
    <t>4181011</t>
  </si>
  <si>
    <t>AMBER HAHN</t>
  </si>
  <si>
    <t>04/01/2015</t>
  </si>
  <si>
    <t>216 357 1813</t>
  </si>
  <si>
    <t>7802   ESSEN AVE</t>
  </si>
  <si>
    <t>260205375</t>
  </si>
  <si>
    <t>-335.00</t>
  </si>
  <si>
    <t>-141.82</t>
  </si>
  <si>
    <t>-291.00</t>
  </si>
  <si>
    <t>1094.22</t>
  </si>
  <si>
    <t>582.53</t>
  </si>
  <si>
    <t>511.69</t>
  </si>
  <si>
    <t>216 357-1813</t>
  </si>
  <si>
    <t>6409603</t>
  </si>
  <si>
    <t>12531103</t>
  </si>
  <si>
    <t>LIVIJA GOLUBOV</t>
  </si>
  <si>
    <t>01/30/2015</t>
  </si>
  <si>
    <t>216 972 4143</t>
  </si>
  <si>
    <t>7656   BROADVIEW RD</t>
  </si>
  <si>
    <t xml:space="preserve">   311</t>
  </si>
  <si>
    <t>SACBZFVND</t>
  </si>
  <si>
    <t>-25.00</t>
  </si>
  <si>
    <t>92.42</t>
  </si>
  <si>
    <t>69.7</t>
  </si>
  <si>
    <t>216 972-4143</t>
  </si>
  <si>
    <t>6409608</t>
  </si>
  <si>
    <t>4431204</t>
  </si>
  <si>
    <t>KAREN MUELLER</t>
  </si>
  <si>
    <t>12/15/2014</t>
  </si>
  <si>
    <t>216 385 6993</t>
  </si>
  <si>
    <t>5911   VELMA AVE</t>
  </si>
  <si>
    <t>[06HB0DYHKTV8]</t>
  </si>
  <si>
    <t>-66.00</t>
  </si>
  <si>
    <t>-157.07</t>
  </si>
  <si>
    <t>-93.75</t>
  </si>
  <si>
    <t>66.91</t>
  </si>
  <si>
    <t>44.19</t>
  </si>
  <si>
    <t>216 385-6993</t>
  </si>
  <si>
    <t>6409610</t>
  </si>
  <si>
    <t>21356620</t>
  </si>
  <si>
    <t>Chris Schmidt</t>
  </si>
  <si>
    <t>440 773 5621</t>
  </si>
  <si>
    <t>8032   STEARNS RD</t>
  </si>
  <si>
    <t>3HW149WS07C02</t>
  </si>
  <si>
    <t>-205.00</t>
  </si>
  <si>
    <t>-206.72</t>
  </si>
  <si>
    <t>-197.81</t>
  </si>
  <si>
    <t>420.7</t>
  </si>
  <si>
    <t>214.67</t>
  </si>
  <si>
    <t>206.03</t>
  </si>
  <si>
    <t>2015-04-13 00:00:00</t>
  </si>
  <si>
    <t>440 773-5621</t>
  </si>
  <si>
    <t>440 429-4932</t>
  </si>
  <si>
    <t>6409613</t>
  </si>
  <si>
    <t>21764905</t>
  </si>
  <si>
    <t>BRIAN VOIGHT</t>
  </si>
  <si>
    <t>01/04/2006</t>
  </si>
  <si>
    <t>440 526 2466</t>
  </si>
  <si>
    <t>1450   PEPPERCORN CT</t>
  </si>
  <si>
    <t>[07W7GVYJ2913]</t>
  </si>
  <si>
    <t>-216.52</t>
  </si>
  <si>
    <t>-230.53</t>
  </si>
  <si>
    <t>-185.41</t>
  </si>
  <si>
    <t>411.98</t>
  </si>
  <si>
    <t>230.51</t>
  </si>
  <si>
    <t>181.47</t>
  </si>
  <si>
    <t>440 526-2466</t>
  </si>
  <si>
    <t>6409623</t>
  </si>
  <si>
    <t>5934805</t>
  </si>
  <si>
    <t>David Dynia</t>
  </si>
  <si>
    <t>440 364 5765</t>
  </si>
  <si>
    <t>8313   KENTON AVE</t>
  </si>
  <si>
    <t>SABWCNRZK</t>
  </si>
  <si>
    <t>384.03</t>
  </si>
  <si>
    <t>218.11</t>
  </si>
  <si>
    <t>165.92</t>
  </si>
  <si>
    <t>440 364-5765</t>
  </si>
  <si>
    <t>6409624</t>
  </si>
  <si>
    <t>22835316</t>
  </si>
  <si>
    <t>TERMAINE STEWART</t>
  </si>
  <si>
    <t>216 415 0673</t>
  </si>
  <si>
    <t>4307   YORKSHIRE AVE</t>
  </si>
  <si>
    <t>3HW14CWR02FA3</t>
  </si>
  <si>
    <t>125.08</t>
  </si>
  <si>
    <t>216 415-0673</t>
  </si>
  <si>
    <t>6409639</t>
  </si>
  <si>
    <t>23756605</t>
  </si>
  <si>
    <t>DANIELLE GIBSON</t>
  </si>
  <si>
    <t>336 508 7558</t>
  </si>
  <si>
    <t xml:space="preserve">   428</t>
  </si>
  <si>
    <t>3HW14AWB0166B</t>
  </si>
  <si>
    <t>-77.72</t>
  </si>
  <si>
    <t>77.58</t>
  </si>
  <si>
    <t>42.54</t>
  </si>
  <si>
    <t>35.04</t>
  </si>
  <si>
    <t>336 508-7558</t>
  </si>
  <si>
    <t>6409647</t>
  </si>
  <si>
    <t>8111009</t>
  </si>
  <si>
    <t>WILLIAM COMAI</t>
  </si>
  <si>
    <t>216 408 6765</t>
  </si>
  <si>
    <t>11821   DETROIT AVE</t>
  </si>
  <si>
    <t xml:space="preserve">    20</t>
  </si>
  <si>
    <t>D8H4D31003422</t>
  </si>
  <si>
    <t>-51.02</t>
  </si>
  <si>
    <t>-85.15</t>
  </si>
  <si>
    <t>111.58</t>
  </si>
  <si>
    <t>58.79</t>
  </si>
  <si>
    <t>52.79</t>
  </si>
  <si>
    <t>216 408-6765</t>
  </si>
  <si>
    <t>6409648</t>
  </si>
  <si>
    <t>8113910</t>
  </si>
  <si>
    <t>Robert Wolfe</t>
  </si>
  <si>
    <t>11/08/2014</t>
  </si>
  <si>
    <t>216 712 4536</t>
  </si>
  <si>
    <t>11824   MADISON AVE</t>
  </si>
  <si>
    <t xml:space="preserve">   20C</t>
  </si>
  <si>
    <t>DC24M13003797</t>
  </si>
  <si>
    <t>-172.00</t>
  </si>
  <si>
    <t>-171.78</t>
  </si>
  <si>
    <t>-46.50</t>
  </si>
  <si>
    <t>578.41</t>
  </si>
  <si>
    <t>203.84</t>
  </si>
  <si>
    <t>202.57</t>
  </si>
  <si>
    <t>172</t>
  </si>
  <si>
    <t>2015-09-15 00:00:00</t>
  </si>
  <si>
    <t>216 712-4536</t>
  </si>
  <si>
    <t>216 647-2528</t>
  </si>
  <si>
    <t>6409654</t>
  </si>
  <si>
    <t>25135401</t>
  </si>
  <si>
    <t>EARL KEY</t>
  </si>
  <si>
    <t>06/02/2010</t>
  </si>
  <si>
    <t>440 235 8423</t>
  </si>
  <si>
    <t>6   SCENIC DR</t>
  </si>
  <si>
    <t>[0HYTV15T62D6]</t>
  </si>
  <si>
    <t>-388.29</t>
  </si>
  <si>
    <t>-178.64</t>
  </si>
  <si>
    <t>-178.58</t>
  </si>
  <si>
    <t>390.06</t>
  </si>
  <si>
    <t>184.65</t>
  </si>
  <si>
    <t>205.41</t>
  </si>
  <si>
    <t>440 235-8423</t>
  </si>
  <si>
    <t>6409659</t>
  </si>
  <si>
    <t>9007602</t>
  </si>
  <si>
    <t>MARYANNE RUBINO</t>
  </si>
  <si>
    <t>07/03/2013</t>
  </si>
  <si>
    <t>440 521 3310</t>
  </si>
  <si>
    <t>12169  W PLEASANT VALLEY RD</t>
  </si>
  <si>
    <t>EVY451D43729</t>
  </si>
  <si>
    <t>-86.12</t>
  </si>
  <si>
    <t>-81.98</t>
  </si>
  <si>
    <t>194.96</t>
  </si>
  <si>
    <t>108.84</t>
  </si>
  <si>
    <t>440 521-3310</t>
  </si>
  <si>
    <t>6409667</t>
  </si>
  <si>
    <t>9291110</t>
  </si>
  <si>
    <t>HEATHER PARTHEMORE</t>
  </si>
  <si>
    <t>26878   COOK RD</t>
  </si>
  <si>
    <t>[374781419701955510020022]</t>
  </si>
  <si>
    <t>-55.99</t>
  </si>
  <si>
    <t>-59.99</t>
  </si>
  <si>
    <t>-135.58</t>
  </si>
  <si>
    <t>155.98</t>
  </si>
  <si>
    <t>79.99</t>
  </si>
  <si>
    <t>75.99</t>
  </si>
  <si>
    <t>09/21/2015</t>
  </si>
  <si>
    <t>6411366</t>
  </si>
  <si>
    <t>11895404</t>
  </si>
  <si>
    <t>David Stringer</t>
  </si>
  <si>
    <t>440 655 9723</t>
  </si>
  <si>
    <t>7370   LEWIS RD</t>
  </si>
  <si>
    <t>SABQWQQMB</t>
  </si>
  <si>
    <t>-119.12</t>
  </si>
  <si>
    <t>-113.08</t>
  </si>
  <si>
    <t>206.97</t>
  </si>
  <si>
    <t>119.14</t>
  </si>
  <si>
    <t>87.83</t>
  </si>
  <si>
    <t>440 655-9723</t>
  </si>
  <si>
    <t>6411367</t>
  </si>
  <si>
    <t>4417405</t>
  </si>
  <si>
    <t>KEVIN PINSON</t>
  </si>
  <si>
    <t>12/05/2011</t>
  </si>
  <si>
    <t>440 231 3436</t>
  </si>
  <si>
    <t>8214   WHITTINGTON DR</t>
  </si>
  <si>
    <t>SABQLRHWR</t>
  </si>
  <si>
    <t>-238.25</t>
  </si>
  <si>
    <t>-57.23</t>
  </si>
  <si>
    <t>-163.47</t>
  </si>
  <si>
    <t>624.18</t>
  </si>
  <si>
    <t>68.54</t>
  </si>
  <si>
    <t>555.64</t>
  </si>
  <si>
    <t>440 231-3436</t>
  </si>
  <si>
    <t>6411369</t>
  </si>
  <si>
    <t>5193608</t>
  </si>
  <si>
    <t>BRUNO KAMAL HDIDOU</t>
  </si>
  <si>
    <t>216 466 3272</t>
  </si>
  <si>
    <t>670   SMITH CT</t>
  </si>
  <si>
    <t>236021778</t>
  </si>
  <si>
    <t>-125.11</t>
  </si>
  <si>
    <t>-128.00</t>
  </si>
  <si>
    <t>1803.75</t>
  </si>
  <si>
    <t>152.03</t>
  </si>
  <si>
    <t>139.84</t>
  </si>
  <si>
    <t>1511.88</t>
  </si>
  <si>
    <t>216 466-3272</t>
  </si>
  <si>
    <t>6411371</t>
  </si>
  <si>
    <t>12734516</t>
  </si>
  <si>
    <t>RAYMOND ROBERTSON</t>
  </si>
  <si>
    <t>216 673 9442</t>
  </si>
  <si>
    <t>2196   ELBUR AVE</t>
  </si>
  <si>
    <t>SABHFFDMZ</t>
  </si>
  <si>
    <t>-450.00</t>
  </si>
  <si>
    <t>-131.84</t>
  </si>
  <si>
    <t>515.71</t>
  </si>
  <si>
    <t>13.76</t>
  </si>
  <si>
    <t>324.69</t>
  </si>
  <si>
    <t>177.26</t>
  </si>
  <si>
    <t>2015-04-28 00:00:00</t>
  </si>
  <si>
    <t>216 673-9442</t>
  </si>
  <si>
    <t>6411373</t>
  </si>
  <si>
    <t>12967109</t>
  </si>
  <si>
    <t>JACKIE COSTLOW</t>
  </si>
  <si>
    <t>216 318 0149</t>
  </si>
  <si>
    <t>15207   MADISON AVE</t>
  </si>
  <si>
    <t>SABPVWMGH</t>
  </si>
  <si>
    <t>-141.56</t>
  </si>
  <si>
    <t>-151.55</t>
  </si>
  <si>
    <t>-152.14</t>
  </si>
  <si>
    <t>294.6</t>
  </si>
  <si>
    <t>10.72</t>
  </si>
  <si>
    <t>216 318-0149</t>
  </si>
  <si>
    <t>6411374</t>
  </si>
  <si>
    <t>5520102</t>
  </si>
  <si>
    <t>MICHAEL POOLE</t>
  </si>
  <si>
    <t>06/02/2012</t>
  </si>
  <si>
    <t>440 381 5957</t>
  </si>
  <si>
    <t>7005   BRANDYWINE RD</t>
  </si>
  <si>
    <t>EVY505D22966</t>
  </si>
  <si>
    <t>-135.11</t>
  </si>
  <si>
    <t>-135.96</t>
  </si>
  <si>
    <t>-135.64</t>
  </si>
  <si>
    <t>271.94</t>
  </si>
  <si>
    <t>135.97</t>
  </si>
  <si>
    <t>440 381-5957</t>
  </si>
  <si>
    <t>6411380</t>
  </si>
  <si>
    <t>22230010</t>
  </si>
  <si>
    <t>DAVID TURNER</t>
  </si>
  <si>
    <t>12/28/2011</t>
  </si>
  <si>
    <t>216 524 1159</t>
  </si>
  <si>
    <t>3069   SPARROW FLIGHT DR</t>
  </si>
  <si>
    <t>SABPFXCGB</t>
  </si>
  <si>
    <t>09/25/2015</t>
  </si>
  <si>
    <t>-320.00</t>
  </si>
  <si>
    <t>-134.93</t>
  </si>
  <si>
    <t>730.4</t>
  </si>
  <si>
    <t>330.16</t>
  </si>
  <si>
    <t>267.06</t>
  </si>
  <si>
    <t>133.18</t>
  </si>
  <si>
    <t>216 524-1159</t>
  </si>
  <si>
    <t>440 503-6899</t>
  </si>
  <si>
    <t>6411384</t>
  </si>
  <si>
    <t>7310402</t>
  </si>
  <si>
    <t>MARIE RAMIREZ</t>
  </si>
  <si>
    <t>04/29/2010</t>
  </si>
  <si>
    <t>216 570 9789</t>
  </si>
  <si>
    <t>4815   TUXEDO AVE</t>
  </si>
  <si>
    <t>[07W7GVYJ0575]</t>
  </si>
  <si>
    <t>-329.34</t>
  </si>
  <si>
    <t>-395.00</t>
  </si>
  <si>
    <t>-392.65</t>
  </si>
  <si>
    <t>162.92</t>
  </si>
  <si>
    <t>216 570-9789</t>
  </si>
  <si>
    <t>6411386</t>
  </si>
  <si>
    <t>7429004</t>
  </si>
  <si>
    <t>AMBER KORPONIC</t>
  </si>
  <si>
    <t>216 496 2953</t>
  </si>
  <si>
    <t>3010   LINCOLN AVE</t>
  </si>
  <si>
    <t>172.24</t>
  </si>
  <si>
    <t>216 496-2953</t>
  </si>
  <si>
    <t>6411392</t>
  </si>
  <si>
    <t>7855208</t>
  </si>
  <si>
    <t>EDWARD KITKO</t>
  </si>
  <si>
    <t>216 749 4444</t>
  </si>
  <si>
    <t>3225   ROCKSIDE RD</t>
  </si>
  <si>
    <t>3CC1335L16738</t>
  </si>
  <si>
    <t>-245.50</t>
  </si>
  <si>
    <t>-245.00</t>
  </si>
  <si>
    <t>-247.19</t>
  </si>
  <si>
    <t>584.31</t>
  </si>
  <si>
    <t>281.68</t>
  </si>
  <si>
    <t>302.63</t>
  </si>
  <si>
    <t>216 749-4444</t>
  </si>
  <si>
    <t>216 301-4934</t>
  </si>
  <si>
    <t>6411396</t>
  </si>
  <si>
    <t>8498802</t>
  </si>
  <si>
    <t>JOHN BARKER JR</t>
  </si>
  <si>
    <t>01/22/2015</t>
  </si>
  <si>
    <t>216 544 3395</t>
  </si>
  <si>
    <t>6850   BRYANT LN</t>
  </si>
  <si>
    <t>262429411</t>
  </si>
  <si>
    <t>-187.96</t>
  </si>
  <si>
    <t>-245.01</t>
  </si>
  <si>
    <t>481.75</t>
  </si>
  <si>
    <t>61.66</t>
  </si>
  <si>
    <t>230.42</t>
  </si>
  <si>
    <t>189.67</t>
  </si>
  <si>
    <t>216 544-3395</t>
  </si>
  <si>
    <t>6411397</t>
  </si>
  <si>
    <t>8692210</t>
  </si>
  <si>
    <t>Charles Lee</t>
  </si>
  <si>
    <t>12/05/2012</t>
  </si>
  <si>
    <t>281 702 4119</t>
  </si>
  <si>
    <t>7438   YORK RD</t>
  </si>
  <si>
    <t>236702865</t>
  </si>
  <si>
    <t>-75.11</t>
  </si>
  <si>
    <t>97.13</t>
  </si>
  <si>
    <t>45.37</t>
  </si>
  <si>
    <t>51.76</t>
  </si>
  <si>
    <t>281 702-4119</t>
  </si>
  <si>
    <t>6411404</t>
  </si>
  <si>
    <t>9414409</t>
  </si>
  <si>
    <t>Michael Rinaldi</t>
  </si>
  <si>
    <t>02/05/2015</t>
  </si>
  <si>
    <t>216 688 8813</t>
  </si>
  <si>
    <t>9140   CRESCENT BLVD</t>
  </si>
  <si>
    <t>D5S3R44006493</t>
  </si>
  <si>
    <t>-156.68</t>
  </si>
  <si>
    <t>-140.92</t>
  </si>
  <si>
    <t>-139.88</t>
  </si>
  <si>
    <t>150.57</t>
  </si>
  <si>
    <t>83.03</t>
  </si>
  <si>
    <t>216 688-8813</t>
  </si>
  <si>
    <t>6402114</t>
  </si>
  <si>
    <t>6547507</t>
  </si>
  <si>
    <t>Arthur Downing</t>
  </si>
  <si>
    <t>216 355 9972</t>
  </si>
  <si>
    <t>1352   CLARENCE AVE</t>
  </si>
  <si>
    <t>SABPVGFLT</t>
  </si>
  <si>
    <t>-177.30</t>
  </si>
  <si>
    <t>-322.20</t>
  </si>
  <si>
    <t>1424.77</t>
  </si>
  <si>
    <t>663.42</t>
  </si>
  <si>
    <t>259.91</t>
  </si>
  <si>
    <t>242.85</t>
  </si>
  <si>
    <t>258.59</t>
  </si>
  <si>
    <t>216 355-9972</t>
  </si>
  <si>
    <t>6402130</t>
  </si>
  <si>
    <t>441.3</t>
  </si>
  <si>
    <t>82.87</t>
  </si>
  <si>
    <t>6403751</t>
  </si>
  <si>
    <t>566.5</t>
  </si>
  <si>
    <t>180.63</t>
  </si>
  <si>
    <t>6403775</t>
  </si>
  <si>
    <t>25588901</t>
  </si>
  <si>
    <t>JUDITH KIKITZ</t>
  </si>
  <si>
    <t>04/24/2014</t>
  </si>
  <si>
    <t>440 915 8029</t>
  </si>
  <si>
    <t>3102   INGLESIDE DR</t>
  </si>
  <si>
    <t>265401752</t>
  </si>
  <si>
    <t>RMMT</t>
  </si>
  <si>
    <t>-49.41</t>
  </si>
  <si>
    <t>-43.97</t>
  </si>
  <si>
    <t>-33.44</t>
  </si>
  <si>
    <t>150.8</t>
  </si>
  <si>
    <t>49.35</t>
  </si>
  <si>
    <t>52.1</t>
  </si>
  <si>
    <t>440 915-8029</t>
  </si>
  <si>
    <t>6405511</t>
  </si>
  <si>
    <t>6405516</t>
  </si>
  <si>
    <t>6405526</t>
  </si>
  <si>
    <t>6405553</t>
  </si>
  <si>
    <t>6405559</t>
  </si>
  <si>
    <t>6408035</t>
  </si>
  <si>
    <t>6408058</t>
  </si>
  <si>
    <t>6012713</t>
  </si>
  <si>
    <t>SHARNELLE LOCKETT</t>
  </si>
  <si>
    <t>03/22/2014</t>
  </si>
  <si>
    <t>440 305 3267</t>
  </si>
  <si>
    <t>SABQSRBBC</t>
  </si>
  <si>
    <t>-104.73</t>
  </si>
  <si>
    <t>732.61</t>
  </si>
  <si>
    <t>41.82</t>
  </si>
  <si>
    <t>346.29</t>
  </si>
  <si>
    <t>134.93</t>
  </si>
  <si>
    <t>157.67</t>
  </si>
  <si>
    <t>51.9</t>
  </si>
  <si>
    <t>440 305-3267</t>
  </si>
  <si>
    <t>6409187</t>
  </si>
  <si>
    <t>6409211</t>
  </si>
  <si>
    <t>6409218</t>
  </si>
  <si>
    <t>6409590</t>
  </si>
  <si>
    <t>6409596</t>
  </si>
  <si>
    <t>6409601</t>
  </si>
  <si>
    <t>6409607</t>
  </si>
  <si>
    <t>6409617</t>
  </si>
  <si>
    <t>6409622</t>
  </si>
  <si>
    <t>22518004</t>
  </si>
  <si>
    <t>Laura Fejzoski</t>
  </si>
  <si>
    <t>216 326 7601</t>
  </si>
  <si>
    <t>4415   YORKSHIRE AVE</t>
  </si>
  <si>
    <t>SACCRRQGW</t>
  </si>
  <si>
    <t>-140.15</t>
  </si>
  <si>
    <t>-147.07</t>
  </si>
  <si>
    <t>04/18/2015</t>
  </si>
  <si>
    <t>-147.32</t>
  </si>
  <si>
    <t>1155.49</t>
  </si>
  <si>
    <t>900.42</t>
  </si>
  <si>
    <t>76.4</t>
  </si>
  <si>
    <t>89.94</t>
  </si>
  <si>
    <t>88.73</t>
  </si>
  <si>
    <t>216 326-7601</t>
  </si>
  <si>
    <t>6411375</t>
  </si>
  <si>
    <t>SA:DPQ3925-NO BATT</t>
  </si>
  <si>
    <t>RA Name</t>
  </si>
  <si>
    <t>Date</t>
  </si>
  <si>
    <t>Status</t>
  </si>
  <si>
    <t>Amount</t>
  </si>
  <si>
    <t>Invoice</t>
  </si>
  <si>
    <t>Comment</t>
  </si>
  <si>
    <t>09/23/2015</t>
  </si>
  <si>
    <t>6417502</t>
  </si>
  <si>
    <t>24927801</t>
  </si>
  <si>
    <t>LISA CARLSON</t>
  </si>
  <si>
    <t>05/07/2009</t>
  </si>
  <si>
    <t>440 554 6895</t>
  </si>
  <si>
    <t>10100  W RIDGEWOOD DR</t>
  </si>
  <si>
    <t>SABNJWZLG</t>
  </si>
  <si>
    <t>-108.30</t>
  </si>
  <si>
    <t>340.26</t>
  </si>
  <si>
    <t>203.05</t>
  </si>
  <si>
    <t>137.21</t>
  </si>
  <si>
    <t>440 554-6895</t>
  </si>
  <si>
    <t>09/22/2015</t>
  </si>
  <si>
    <t>6412912</t>
  </si>
  <si>
    <t>9389418</t>
  </si>
  <si>
    <t>KRISTIN ROCK</t>
  </si>
  <si>
    <t>12/06/2014</t>
  </si>
  <si>
    <t>216 256 8357</t>
  </si>
  <si>
    <t>18645   DETROIT AVE</t>
  </si>
  <si>
    <t xml:space="preserve">   721</t>
  </si>
  <si>
    <t>F3BK6B2006107</t>
  </si>
  <si>
    <t>-138.57</t>
  </si>
  <si>
    <t>-181.00</t>
  </si>
  <si>
    <t>-239.76</t>
  </si>
  <si>
    <t>322.65</t>
  </si>
  <si>
    <t>176.54</t>
  </si>
  <si>
    <t>146.11</t>
  </si>
  <si>
    <t>216 256-8357</t>
  </si>
  <si>
    <t>6412918</t>
  </si>
  <si>
    <t>10014611</t>
  </si>
  <si>
    <t>ROBIN TAPPERSON</t>
  </si>
  <si>
    <t>864 350 7417</t>
  </si>
  <si>
    <t>16101   MADISON AVE</t>
  </si>
  <si>
    <t xml:space="preserve">    16</t>
  </si>
  <si>
    <t>EVY501D61911</t>
  </si>
  <si>
    <t>-166.23</t>
  </si>
  <si>
    <t>05/09/2015</t>
  </si>
  <si>
    <t>03/22/2015</t>
  </si>
  <si>
    <t>-80.98</t>
  </si>
  <si>
    <t>166.24</t>
  </si>
  <si>
    <t>864 350-7417</t>
  </si>
  <si>
    <t>6412925</t>
  </si>
  <si>
    <t>2842713</t>
  </si>
  <si>
    <t>Michael Petruska</t>
  </si>
  <si>
    <t>11/06/2014</t>
  </si>
  <si>
    <t>216 370 0186</t>
  </si>
  <si>
    <t>2063   CARABEL AVE</t>
  </si>
  <si>
    <t>SABKPGDTD</t>
  </si>
  <si>
    <t>-367.73</t>
  </si>
  <si>
    <t>05/26/2015</t>
  </si>
  <si>
    <t>-202.91</t>
  </si>
  <si>
    <t>-193.24</t>
  </si>
  <si>
    <t>406.73</t>
  </si>
  <si>
    <t>167.99</t>
  </si>
  <si>
    <t>238.74</t>
  </si>
  <si>
    <t>216 370-0186</t>
  </si>
  <si>
    <t>6412927</t>
  </si>
  <si>
    <t>10973616</t>
  </si>
  <si>
    <t>JESSIE TYLER</t>
  </si>
  <si>
    <t>216 338 2035</t>
  </si>
  <si>
    <t>5225   BIG CREEK PKWY</t>
  </si>
  <si>
    <t>3HW138UY062CD</t>
  </si>
  <si>
    <t>-82.54</t>
  </si>
  <si>
    <t>-50.03</t>
  </si>
  <si>
    <t>-105.74</t>
  </si>
  <si>
    <t>207.36</t>
  </si>
  <si>
    <t>82.54</t>
  </si>
  <si>
    <t>56.28</t>
  </si>
  <si>
    <t>216 338-2035</t>
  </si>
  <si>
    <t>6412932</t>
  </si>
  <si>
    <t>11251703</t>
  </si>
  <si>
    <t>THERESA TERESCHENKO</t>
  </si>
  <si>
    <t>06/06/2014</t>
  </si>
  <si>
    <t>216 287 8519</t>
  </si>
  <si>
    <t>666   NEMET DR</t>
  </si>
  <si>
    <t>235622876</t>
  </si>
  <si>
    <t>-44.64</t>
  </si>
  <si>
    <t>-62.07</t>
  </si>
  <si>
    <t>-69.11</t>
  </si>
  <si>
    <t>145.58</t>
  </si>
  <si>
    <t>72.79</t>
  </si>
  <si>
    <t>216 287-8519</t>
  </si>
  <si>
    <t>6412948</t>
  </si>
  <si>
    <t>21891708</t>
  </si>
  <si>
    <t>. Charles Staffor</t>
  </si>
  <si>
    <t>05/10/2014</t>
  </si>
  <si>
    <t>440 305 2856</t>
  </si>
  <si>
    <t>11713   NELSON CT</t>
  </si>
  <si>
    <t>SABRTBDSX</t>
  </si>
  <si>
    <t>-393.48</t>
  </si>
  <si>
    <t>-54.93</t>
  </si>
  <si>
    <t>559.98</t>
  </si>
  <si>
    <t>30.36</t>
  </si>
  <si>
    <t>136.14</t>
  </si>
  <si>
    <t>393.48</t>
  </si>
  <si>
    <t>2015-09-17 00:00:00</t>
  </si>
  <si>
    <t>440 305-2856</t>
  </si>
  <si>
    <t>6417444</t>
  </si>
  <si>
    <t>2860708</t>
  </si>
  <si>
    <t>Joel Serrano</t>
  </si>
  <si>
    <t>03/07/2012</t>
  </si>
  <si>
    <t>216 738 6651</t>
  </si>
  <si>
    <t>2148   GLENBURY AVE</t>
  </si>
  <si>
    <t>-170.15</t>
  </si>
  <si>
    <t>-139.04</t>
  </si>
  <si>
    <t>-156.22</t>
  </si>
  <si>
    <t>331.92</t>
  </si>
  <si>
    <t>167.01</t>
  </si>
  <si>
    <t>164.91</t>
  </si>
  <si>
    <t>216 738-6651</t>
  </si>
  <si>
    <t>6417451</t>
  </si>
  <si>
    <t>3642901</t>
  </si>
  <si>
    <t>JUDITH HANCOCK</t>
  </si>
  <si>
    <t>11/06/1997</t>
  </si>
  <si>
    <t>440 356 2523</t>
  </si>
  <si>
    <t>21935   COTTONWOOD DR</t>
  </si>
  <si>
    <t>SABNTKQXJ</t>
  </si>
  <si>
    <t>-258.59</t>
  </si>
  <si>
    <t>-252.63</t>
  </si>
  <si>
    <t>-251.44</t>
  </si>
  <si>
    <t>770.25</t>
  </si>
  <si>
    <t>267.19</t>
  </si>
  <si>
    <t>222.87</t>
  </si>
  <si>
    <t>440 356-2523</t>
  </si>
  <si>
    <t>6417454</t>
  </si>
  <si>
    <t>11495817</t>
  </si>
  <si>
    <t>ASHLEY LIGHT</t>
  </si>
  <si>
    <t>06/26/2012</t>
  </si>
  <si>
    <t>440 479 9437</t>
  </si>
  <si>
    <t>17465   WOODFORD AVE</t>
  </si>
  <si>
    <t>235405101</t>
  </si>
  <si>
    <t>-58.79</t>
  </si>
  <si>
    <t>-52.79</t>
  </si>
  <si>
    <t>192.85</t>
  </si>
  <si>
    <t>78.79</t>
  </si>
  <si>
    <t>55.27</t>
  </si>
  <si>
    <t>440 479-9437</t>
  </si>
  <si>
    <t>6417473</t>
  </si>
  <si>
    <t>21654812</t>
  </si>
  <si>
    <t>RYAN CRUM</t>
  </si>
  <si>
    <t>216 925 9264</t>
  </si>
  <si>
    <t>5641   CHEVROLET BLVD</t>
  </si>
  <si>
    <t>D8D4M13002625</t>
  </si>
  <si>
    <t>-129.22</t>
  </si>
  <si>
    <t>-66.66</t>
  </si>
  <si>
    <t>424.88</t>
  </si>
  <si>
    <t>8.05</t>
  </si>
  <si>
    <t>143.58</t>
  </si>
  <si>
    <t>143.65</t>
  </si>
  <si>
    <t>137.65</t>
  </si>
  <si>
    <t>216 925-9264</t>
  </si>
  <si>
    <t>6417480</t>
  </si>
  <si>
    <t>6453501</t>
  </si>
  <si>
    <t>Radmila Kristovic</t>
  </si>
  <si>
    <t>04/03/2014</t>
  </si>
  <si>
    <t>440 845 1838</t>
  </si>
  <si>
    <t>6307   WESTLAKE AVE</t>
  </si>
  <si>
    <t>-83.15</t>
  </si>
  <si>
    <t>-81.00</t>
  </si>
  <si>
    <t>230.41</t>
  </si>
  <si>
    <t>51.33</t>
  </si>
  <si>
    <t>85.93</t>
  </si>
  <si>
    <t>93.15</t>
  </si>
  <si>
    <t>440 845-1838</t>
  </si>
  <si>
    <t>6417485</t>
  </si>
  <si>
    <t>7682913</t>
  </si>
  <si>
    <t>MEGAN L LIZZINI</t>
  </si>
  <si>
    <t>5441   KNOLLWOOD DR</t>
  </si>
  <si>
    <t>DAH4M13003769</t>
  </si>
  <si>
    <t>-179.74</t>
  </si>
  <si>
    <t>-340.75</t>
  </si>
  <si>
    <t>-182.27</t>
  </si>
  <si>
    <t>635.23</t>
  </si>
  <si>
    <t>213.2</t>
  </si>
  <si>
    <t>213.28</t>
  </si>
  <si>
    <t>208.75</t>
  </si>
  <si>
    <t>6417496</t>
  </si>
  <si>
    <t>24839705</t>
  </si>
  <si>
    <t>VINCENT LAKATOS</t>
  </si>
  <si>
    <t>02/12/2015</t>
  </si>
  <si>
    <t>440 308 0996</t>
  </si>
  <si>
    <t>27031   OAKWOOD DR</t>
  </si>
  <si>
    <t xml:space="preserve"> H-208</t>
  </si>
  <si>
    <t>[QBAJ1B8008771]</t>
  </si>
  <si>
    <t>-142.32</t>
  </si>
  <si>
    <t>-136.35</t>
  </si>
  <si>
    <t>-74.36</t>
  </si>
  <si>
    <t>480.89</t>
  </si>
  <si>
    <t>172.25</t>
  </si>
  <si>
    <t>172.32</t>
  </si>
  <si>
    <t>136.32</t>
  </si>
  <si>
    <t>440 308-0996</t>
  </si>
  <si>
    <t>440 310-0748</t>
  </si>
  <si>
    <t>09/24/2015</t>
  </si>
  <si>
    <t>6419195</t>
  </si>
  <si>
    <t>515303</t>
  </si>
  <si>
    <t>Jorge Roman</t>
  </si>
  <si>
    <t>09/28/2012</t>
  </si>
  <si>
    <t>440 884 8045</t>
  </si>
  <si>
    <t>6288   BEVERLY DR</t>
  </si>
  <si>
    <t>[QBAJ1C2000788]</t>
  </si>
  <si>
    <t>-187.51</t>
  </si>
  <si>
    <t>-185.92</t>
  </si>
  <si>
    <t>584.48</t>
  </si>
  <si>
    <t>212.07</t>
  </si>
  <si>
    <t>187.47</t>
  </si>
  <si>
    <t>184.94</t>
  </si>
  <si>
    <t>440 884-8045</t>
  </si>
  <si>
    <t>216 410-7663</t>
  </si>
  <si>
    <t>6419211</t>
  </si>
  <si>
    <t>12539707</t>
  </si>
  <si>
    <t>ALEJANDRA LUGO</t>
  </si>
  <si>
    <t>216 600 7089</t>
  </si>
  <si>
    <t>6230   BIG CREEK PKWY</t>
  </si>
  <si>
    <t xml:space="preserve">    4B</t>
  </si>
  <si>
    <t>[3H214AWH01BC4]</t>
  </si>
  <si>
    <t>47.54</t>
  </si>
  <si>
    <t>137.66</t>
  </si>
  <si>
    <t>216 600-7089</t>
  </si>
  <si>
    <t>6419218</t>
  </si>
  <si>
    <t>22033504</t>
  </si>
  <si>
    <t>STUART BERGER</t>
  </si>
  <si>
    <t>03/08/2010</t>
  </si>
  <si>
    <t>216 651 2561</t>
  </si>
  <si>
    <t>22555   CENTER RIDGE RD</t>
  </si>
  <si>
    <t>[0HYTV12VWPR5]</t>
  </si>
  <si>
    <t>-78.38</t>
  </si>
  <si>
    <t>-78.37</t>
  </si>
  <si>
    <t>-78.36</t>
  </si>
  <si>
    <t>162.76</t>
  </si>
  <si>
    <t>78.38</t>
  </si>
  <si>
    <t>2015-01-07 00:00:00</t>
  </si>
  <si>
    <t>216 651-2561</t>
  </si>
  <si>
    <t>6419219</t>
  </si>
  <si>
    <t>22046005</t>
  </si>
  <si>
    <t>Jeffrey Patterson</t>
  </si>
  <si>
    <t>216 255 2079</t>
  </si>
  <si>
    <t>2050   DOWD AVE</t>
  </si>
  <si>
    <t>3HW14CW401B75</t>
  </si>
  <si>
    <t>216 255-2079</t>
  </si>
  <si>
    <t>6419227</t>
  </si>
  <si>
    <t>6210003</t>
  </si>
  <si>
    <t>STEPHANIE HUNT</t>
  </si>
  <si>
    <t>06/02/2003</t>
  </si>
  <si>
    <t>440 476 1800</t>
  </si>
  <si>
    <t>6402   VIRGINIA AVE</t>
  </si>
  <si>
    <t>[0HYTSSJ9HVV3]</t>
  </si>
  <si>
    <t>-110.00</t>
  </si>
  <si>
    <t>-275.12</t>
  </si>
  <si>
    <t>-127.72</t>
  </si>
  <si>
    <t>505.31</t>
  </si>
  <si>
    <t>199.91</t>
  </si>
  <si>
    <t>161.07</t>
  </si>
  <si>
    <t>135.08</t>
  </si>
  <si>
    <t>9.25</t>
  </si>
  <si>
    <t>440 476-1800</t>
  </si>
  <si>
    <t>6419235</t>
  </si>
  <si>
    <t>23593911</t>
  </si>
  <si>
    <t>JOSEPH MOSACK</t>
  </si>
  <si>
    <t>09/05/2014</t>
  </si>
  <si>
    <t>216 906 3657</t>
  </si>
  <si>
    <t>6919   YORK RD</t>
  </si>
  <si>
    <t>SABQSVQTJ</t>
  </si>
  <si>
    <t>-187.13</t>
  </si>
  <si>
    <t>634.21</t>
  </si>
  <si>
    <t>227</t>
  </si>
  <si>
    <t>227.51</t>
  </si>
  <si>
    <t>179.7</t>
  </si>
  <si>
    <t>216 906-3657</t>
  </si>
  <si>
    <t>6419236</t>
  </si>
  <si>
    <t>23629002</t>
  </si>
  <si>
    <t>MAHMOUD ALSHRIEM</t>
  </si>
  <si>
    <t>216 577 9774</t>
  </si>
  <si>
    <t>3HW14AWJ07185</t>
  </si>
  <si>
    <t>-62.54</t>
  </si>
  <si>
    <t>-168.28</t>
  </si>
  <si>
    <t>213.62</t>
  </si>
  <si>
    <t>216 577-9774</t>
  </si>
  <si>
    <t>6419246</t>
  </si>
  <si>
    <t>24755904</t>
  </si>
  <si>
    <t>KATHLEEN HERZOG</t>
  </si>
  <si>
    <t>216 501 8050</t>
  </si>
  <si>
    <t xml:space="preserve">   520</t>
  </si>
  <si>
    <t>SABRPQMZH</t>
  </si>
  <si>
    <t>-146.12</t>
  </si>
  <si>
    <t>536.39</t>
  </si>
  <si>
    <t>143.72</t>
  </si>
  <si>
    <t>192.67</t>
  </si>
  <si>
    <t>200</t>
  </si>
  <si>
    <t>216 501-8050</t>
  </si>
  <si>
    <t>6420621</t>
  </si>
  <si>
    <t>366609</t>
  </si>
  <si>
    <t>Sarah Amaya</t>
  </si>
  <si>
    <t>07/01/2013</t>
  </si>
  <si>
    <t>440 345 5552</t>
  </si>
  <si>
    <t>5211   MAPLECREST AVE</t>
  </si>
  <si>
    <t>EVY506D17846</t>
  </si>
  <si>
    <t>-153.31</t>
  </si>
  <si>
    <t>-133.06</t>
  </si>
  <si>
    <t>-154.78</t>
  </si>
  <si>
    <t>626.76</t>
  </si>
  <si>
    <t>190.2</t>
  </si>
  <si>
    <t>222.98</t>
  </si>
  <si>
    <t>213.58</t>
  </si>
  <si>
    <t>2014-07-21 00:00:00</t>
  </si>
  <si>
    <t>440 345-5552</t>
  </si>
  <si>
    <t>216 799-9160</t>
  </si>
  <si>
    <t>6420623</t>
  </si>
  <si>
    <t>9325917</t>
  </si>
  <si>
    <t>Steve Eiland</t>
  </si>
  <si>
    <t>216 496 8586</t>
  </si>
  <si>
    <t>1552  W ROYALTON RD</t>
  </si>
  <si>
    <t>249463627</t>
  </si>
  <si>
    <t>709</t>
  </si>
  <si>
    <t>268.2</t>
  </si>
  <si>
    <t>440.8</t>
  </si>
  <si>
    <t>216 496-8586</t>
  </si>
  <si>
    <t>6420628</t>
  </si>
  <si>
    <t>9885711</t>
  </si>
  <si>
    <t>GLADYS NAVIES</t>
  </si>
  <si>
    <t>10/03/2011</t>
  </si>
  <si>
    <t>440 345 5796</t>
  </si>
  <si>
    <t>6900   STATE RD</t>
  </si>
  <si>
    <t xml:space="preserve">   118</t>
  </si>
  <si>
    <t>SABHQRLFD</t>
  </si>
  <si>
    <t>-579.90</t>
  </si>
  <si>
    <t>588.65</t>
  </si>
  <si>
    <t>185.81</t>
  </si>
  <si>
    <t>185.88</t>
  </si>
  <si>
    <t>216.96</t>
  </si>
  <si>
    <t>2015-07-07 00:00:00</t>
  </si>
  <si>
    <t>440 345-5796</t>
  </si>
  <si>
    <t>440 457-2159</t>
  </si>
  <si>
    <t>216 326-6112</t>
  </si>
  <si>
    <t>6420631</t>
  </si>
  <si>
    <t>9909112</t>
  </si>
  <si>
    <t>Amanda Duggan</t>
  </si>
  <si>
    <t>05/09/2013</t>
  </si>
  <si>
    <t>9631   FERNWOOD DR</t>
  </si>
  <si>
    <t xml:space="preserve">  H191</t>
  </si>
  <si>
    <t>236078176</t>
  </si>
  <si>
    <t>-78.54</t>
  </si>
  <si>
    <t>-58.54</t>
  </si>
  <si>
    <t>121.04</t>
  </si>
  <si>
    <t>32.5</t>
  </si>
  <si>
    <t>440 371-6989</t>
  </si>
  <si>
    <t>6420635</t>
  </si>
  <si>
    <t>1562308</t>
  </si>
  <si>
    <t>Connie Bressler</t>
  </si>
  <si>
    <t>216 644 7935</t>
  </si>
  <si>
    <t>12943   CLIFTON BLVD</t>
  </si>
  <si>
    <t>SABTQZHFC</t>
  </si>
  <si>
    <t>-296.54</t>
  </si>
  <si>
    <t>-175.00</t>
  </si>
  <si>
    <t>-157.18</t>
  </si>
  <si>
    <t>1001.67</t>
  </si>
  <si>
    <t>683.86</t>
  </si>
  <si>
    <t>208.42</t>
  </si>
  <si>
    <t>109.39</t>
  </si>
  <si>
    <t>216 644-7935</t>
  </si>
  <si>
    <t>6420637</t>
  </si>
  <si>
    <t>1708311</t>
  </si>
  <si>
    <t>Katie Fox</t>
  </si>
  <si>
    <t>03/07/2015</t>
  </si>
  <si>
    <t>216 785 0435</t>
  </si>
  <si>
    <t xml:space="preserve">   119</t>
  </si>
  <si>
    <t>3H214AWN011E3</t>
  </si>
  <si>
    <t>-147.54</t>
  </si>
  <si>
    <t>05/31/2015</t>
  </si>
  <si>
    <t>-76.77</t>
  </si>
  <si>
    <t>-70.77</t>
  </si>
  <si>
    <t>167.54</t>
  </si>
  <si>
    <t>76.77</t>
  </si>
  <si>
    <t>90.77</t>
  </si>
  <si>
    <t>216 785-0435</t>
  </si>
  <si>
    <t>6420641</t>
  </si>
  <si>
    <t>10516714</t>
  </si>
  <si>
    <t>James Morgan</t>
  </si>
  <si>
    <t>10/26/2013</t>
  </si>
  <si>
    <t>216 407 4726</t>
  </si>
  <si>
    <t>1579   WARREN RD</t>
  </si>
  <si>
    <t>SABWPRRFV</t>
  </si>
  <si>
    <t>08/27/2015</t>
  </si>
  <si>
    <t>-191.01</t>
  </si>
  <si>
    <t>-184.11</t>
  </si>
  <si>
    <t>617.62</t>
  </si>
  <si>
    <t>207.8</t>
  </si>
  <si>
    <t>384.82</t>
  </si>
  <si>
    <t>2015-09-14 00:00:00</t>
  </si>
  <si>
    <t>216 407-4726</t>
  </si>
  <si>
    <t>6420651</t>
  </si>
  <si>
    <t>3894903</t>
  </si>
  <si>
    <t>KYLA BRANTL</t>
  </si>
  <si>
    <t>02/09/2012</t>
  </si>
  <si>
    <t>440 481 3553</t>
  </si>
  <si>
    <t>3006   INGLESIDE DR</t>
  </si>
  <si>
    <t>SACBMBWJV</t>
  </si>
  <si>
    <t>-310.70</t>
  </si>
  <si>
    <t>-201.29</t>
  </si>
  <si>
    <t>430.34</t>
  </si>
  <si>
    <t>252.07</t>
  </si>
  <si>
    <t>178.27</t>
  </si>
  <si>
    <t>440 481-3553</t>
  </si>
  <si>
    <t>6420659</t>
  </si>
  <si>
    <t>12984907</t>
  </si>
  <si>
    <t>MICHAEL CHAYA</t>
  </si>
  <si>
    <t>440 283 9363</t>
  </si>
  <si>
    <t>SABTBVPWC</t>
  </si>
  <si>
    <t>-327.42</t>
  </si>
  <si>
    <t>493.95</t>
  </si>
  <si>
    <t>191.02</t>
  </si>
  <si>
    <t>191.11</t>
  </si>
  <si>
    <t>111.82</t>
  </si>
  <si>
    <t>440 283-9363</t>
  </si>
  <si>
    <t>6420661</t>
  </si>
  <si>
    <t>4777014</t>
  </si>
  <si>
    <t>Sharon Norman</t>
  </si>
  <si>
    <t>10/17/2014</t>
  </si>
  <si>
    <t>330 807 0362</t>
  </si>
  <si>
    <t>301   RIVERDALE DR</t>
  </si>
  <si>
    <t>DGI6182</t>
  </si>
  <si>
    <t>0LRJ1MLT38T1</t>
  </si>
  <si>
    <t>177.54</t>
  </si>
  <si>
    <t>330 807-0362</t>
  </si>
  <si>
    <t>6420660</t>
  </si>
  <si>
    <t>21549215</t>
  </si>
  <si>
    <t>Demetriana Barnett</t>
  </si>
  <si>
    <t>05/20/2014</t>
  </si>
  <si>
    <t>216 832 0104</t>
  </si>
  <si>
    <t>6630   STATE RD</t>
  </si>
  <si>
    <t xml:space="preserve">   232</t>
  </si>
  <si>
    <t>RGI6580</t>
  </si>
  <si>
    <t>[379781404401731906020006]</t>
  </si>
  <si>
    <t>-528.71</t>
  </si>
  <si>
    <t>-1.00</t>
  </si>
  <si>
    <t>950.01</t>
  </si>
  <si>
    <t>283.52</t>
  </si>
  <si>
    <t>276.01</t>
  </si>
  <si>
    <t>390.48</t>
  </si>
  <si>
    <t>2015-09-05 00:00:00</t>
  </si>
  <si>
    <t>216 832-0104</t>
  </si>
  <si>
    <t>6420663</t>
  </si>
  <si>
    <t>5326112</t>
  </si>
  <si>
    <t>SCOTT SCHREIBMAN</t>
  </si>
  <si>
    <t>03/19/2008</t>
  </si>
  <si>
    <t>216 210 2385</t>
  </si>
  <si>
    <t>1650   ELMWOOD AVE</t>
  </si>
  <si>
    <t>[073G4F5YBW82]</t>
  </si>
  <si>
    <t>09/30/2015</t>
  </si>
  <si>
    <t>-200.25</t>
  </si>
  <si>
    <t>-147.00</t>
  </si>
  <si>
    <t>373.22</t>
  </si>
  <si>
    <t>200.25</t>
  </si>
  <si>
    <t>172.97</t>
  </si>
  <si>
    <t>216 210-2385</t>
  </si>
  <si>
    <t>216 470-1841</t>
  </si>
  <si>
    <t>6420665</t>
  </si>
  <si>
    <t>22383403</t>
  </si>
  <si>
    <t>Nicholas jaye</t>
  </si>
  <si>
    <t>216 408 3313</t>
  </si>
  <si>
    <t>6608   MANDALAY DR</t>
  </si>
  <si>
    <t>EVY504D09907</t>
  </si>
  <si>
    <t>198.03</t>
  </si>
  <si>
    <t>32.79</t>
  </si>
  <si>
    <t>32.72</t>
  </si>
  <si>
    <t>132.52</t>
  </si>
  <si>
    <t>216 408-3313</t>
  </si>
  <si>
    <t>6420670</t>
  </si>
  <si>
    <t>6129711</t>
  </si>
  <si>
    <t>Eric Melendez</t>
  </si>
  <si>
    <t>10/16/2014</t>
  </si>
  <si>
    <t>216 408 5061</t>
  </si>
  <si>
    <t>6507   SUNDERLAND DR</t>
  </si>
  <si>
    <t>269971571</t>
  </si>
  <si>
    <t>-170.00</t>
  </si>
  <si>
    <t>-127.90</t>
  </si>
  <si>
    <t>478.98</t>
  </si>
  <si>
    <t>172.07</t>
  </si>
  <si>
    <t>146.87</t>
  </si>
  <si>
    <t>160.04</t>
  </si>
  <si>
    <t>216 408-5061</t>
  </si>
  <si>
    <t>6420674</t>
  </si>
  <si>
    <t>23640704</t>
  </si>
  <si>
    <t>TAMARA NERONOVA</t>
  </si>
  <si>
    <t>09/04/2009</t>
  </si>
  <si>
    <t>440 243 3620</t>
  </si>
  <si>
    <t xml:space="preserve">   426</t>
  </si>
  <si>
    <t>SABKPGDVS</t>
  </si>
  <si>
    <t>-117.15</t>
  </si>
  <si>
    <t>-117.19</t>
  </si>
  <si>
    <t>-120.24</t>
  </si>
  <si>
    <t>418.17</t>
  </si>
  <si>
    <t>150.47</t>
  </si>
  <si>
    <t>150.55</t>
  </si>
  <si>
    <t>117.15</t>
  </si>
  <si>
    <t>440 243-3620</t>
  </si>
  <si>
    <t>440 886-1586</t>
  </si>
  <si>
    <t>6420679</t>
  </si>
  <si>
    <t>7735908</t>
  </si>
  <si>
    <t>MARKO BELJIN</t>
  </si>
  <si>
    <t>04/07/2014</t>
  </si>
  <si>
    <t>440 454 1209</t>
  </si>
  <si>
    <t>12972  W SPRAGUE RD</t>
  </si>
  <si>
    <t>3H213CWB00352</t>
  </si>
  <si>
    <t>-96.78</t>
  </si>
  <si>
    <t>-41.81</t>
  </si>
  <si>
    <t>-153.54</t>
  </si>
  <si>
    <t>103.18</t>
  </si>
  <si>
    <t>51.59</t>
  </si>
  <si>
    <t>440 454-1209</t>
  </si>
  <si>
    <t>09/26/2015</t>
  </si>
  <si>
    <t>6421542</t>
  </si>
  <si>
    <t>3263705</t>
  </si>
  <si>
    <t>Daniel OBrien</t>
  </si>
  <si>
    <t>440 476 8627</t>
  </si>
  <si>
    <t>9457   ROXBURY RD</t>
  </si>
  <si>
    <t>DC24M13003689</t>
  </si>
  <si>
    <t>-222.00</t>
  </si>
  <si>
    <t>-228.00</t>
  </si>
  <si>
    <t>-232.87</t>
  </si>
  <si>
    <t>809.2</t>
  </si>
  <si>
    <t>390.43</t>
  </si>
  <si>
    <t>257.75</t>
  </si>
  <si>
    <t>161.02</t>
  </si>
  <si>
    <t>440 476-8627</t>
  </si>
  <si>
    <t>6421548</t>
  </si>
  <si>
    <t>11397007</t>
  </si>
  <si>
    <t>Joseph Lynn</t>
  </si>
  <si>
    <t>330 590 0870</t>
  </si>
  <si>
    <t>1526  W CLIFTON BLVD</t>
  </si>
  <si>
    <t>3HW14CWF02BA6</t>
  </si>
  <si>
    <t>121.08</t>
  </si>
  <si>
    <t>330 590-0870</t>
  </si>
  <si>
    <t>6421556</t>
  </si>
  <si>
    <t>12035403</t>
  </si>
  <si>
    <t>MICHAEL HUDSON</t>
  </si>
  <si>
    <t>216 239 7529</t>
  </si>
  <si>
    <t>8006   STRATFORD DR</t>
  </si>
  <si>
    <t>GSH1642</t>
  </si>
  <si>
    <t>SABVMRLLV</t>
  </si>
  <si>
    <t>-388.92</t>
  </si>
  <si>
    <t>-157.00</t>
  </si>
  <si>
    <t>861.76</t>
  </si>
  <si>
    <t>272.78</t>
  </si>
  <si>
    <t>388.92</t>
  </si>
  <si>
    <t>2015-09-21 00:00:00</t>
  </si>
  <si>
    <t>216 239-7529</t>
  </si>
  <si>
    <t>6421558</t>
  </si>
  <si>
    <t>12164801</t>
  </si>
  <si>
    <t>MARK A ANDERSON</t>
  </si>
  <si>
    <t>09/15/2004</t>
  </si>
  <si>
    <t>440 845 4859</t>
  </si>
  <si>
    <t>5010   GRANTWOOD DR</t>
  </si>
  <si>
    <t>[06634DLCY031]</t>
  </si>
  <si>
    <t>156.98</t>
  </si>
  <si>
    <t>90.99</t>
  </si>
  <si>
    <t>2015-08-30 00:00:00</t>
  </si>
  <si>
    <t>440 845-4859</t>
  </si>
  <si>
    <t>6421564</t>
  </si>
  <si>
    <t>21478701</t>
  </si>
  <si>
    <t>JOHN MALM JR</t>
  </si>
  <si>
    <t>02/28/1997</t>
  </si>
  <si>
    <t>216 221 2739</t>
  </si>
  <si>
    <t>12700   LAKE AVE</t>
  </si>
  <si>
    <t xml:space="preserve">  2801</t>
  </si>
  <si>
    <t>SABQDHLCZ</t>
  </si>
  <si>
    <t>Bulk</t>
  </si>
  <si>
    <t>12/24/2014</t>
  </si>
  <si>
    <t>-9.80</t>
  </si>
  <si>
    <t>59.78</t>
  </si>
  <si>
    <t>18.76</t>
  </si>
  <si>
    <t>22.02</t>
  </si>
  <si>
    <t>216 221-2739</t>
  </si>
  <si>
    <t>6421566</t>
  </si>
  <si>
    <t>21671505</t>
  </si>
  <si>
    <t>Cindy Tausch</t>
  </si>
  <si>
    <t>440 478 4464</t>
  </si>
  <si>
    <t>12225   HUFFMAN RD</t>
  </si>
  <si>
    <t>SACBGWCND</t>
  </si>
  <si>
    <t>168.37</t>
  </si>
  <si>
    <t>87.4</t>
  </si>
  <si>
    <t>80.97</t>
  </si>
  <si>
    <t>440 478-4464</t>
  </si>
  <si>
    <t>6421568</t>
  </si>
  <si>
    <t>21724205</t>
  </si>
  <si>
    <t>anna M wiedefeld</t>
  </si>
  <si>
    <t>03/06/2012</t>
  </si>
  <si>
    <t>440 356 0723</t>
  </si>
  <si>
    <t>22900   CENTER RIDGE RD</t>
  </si>
  <si>
    <t>-27.90</t>
  </si>
  <si>
    <t>-61.78</t>
  </si>
  <si>
    <t>-39.89</t>
  </si>
  <si>
    <t>61.8</t>
  </si>
  <si>
    <t>27.9</t>
  </si>
  <si>
    <t>440 356-0723</t>
  </si>
  <si>
    <t>6421575</t>
  </si>
  <si>
    <t>23528309</t>
  </si>
  <si>
    <t>LATEEFAH WILLIAMS</t>
  </si>
  <si>
    <t>10/27/2014</t>
  </si>
  <si>
    <t>216 318 7318</t>
  </si>
  <si>
    <t>5491   CHEVROLET BLVD</t>
  </si>
  <si>
    <t>D734M13004347</t>
  </si>
  <si>
    <t>-170.91</t>
  </si>
  <si>
    <t>-181.49</t>
  </si>
  <si>
    <t>639.38</t>
  </si>
  <si>
    <t>238.29</t>
  </si>
  <si>
    <t>231.14</t>
  </si>
  <si>
    <t>169.95</t>
  </si>
  <si>
    <t>216 318-7318</t>
  </si>
  <si>
    <t>6421578</t>
  </si>
  <si>
    <t>23574809</t>
  </si>
  <si>
    <t>KAREN MATTISON</t>
  </si>
  <si>
    <t>07/19/2013</t>
  </si>
  <si>
    <t>440 888 7666</t>
  </si>
  <si>
    <t>QBAJ1B4007875</t>
  </si>
  <si>
    <t>-74.93</t>
  </si>
  <si>
    <t>-79.06</t>
  </si>
  <si>
    <t>-174.41</t>
  </si>
  <si>
    <t>248.62</t>
  </si>
  <si>
    <t>440 888-7666</t>
  </si>
  <si>
    <t>216 252-0243</t>
  </si>
  <si>
    <t>6421581</t>
  </si>
  <si>
    <t>8840802</t>
  </si>
  <si>
    <t>PAM MILLER</t>
  </si>
  <si>
    <t>12/26/2000</t>
  </si>
  <si>
    <t>440 427 0322</t>
  </si>
  <si>
    <t>9292   FERNWOOD DR</t>
  </si>
  <si>
    <t>SABVKVNGP</t>
  </si>
  <si>
    <t>-143.76</t>
  </si>
  <si>
    <t>-135.51</t>
  </si>
  <si>
    <t>383.42</t>
  </si>
  <si>
    <t>133.06</t>
  </si>
  <si>
    <t>132.33</t>
  </si>
  <si>
    <t>118.03</t>
  </si>
  <si>
    <t>440 427-0322</t>
  </si>
  <si>
    <t>6421588</t>
  </si>
  <si>
    <t>25107802</t>
  </si>
  <si>
    <t>HENRY NELSON</t>
  </si>
  <si>
    <t>01/10/2015</t>
  </si>
  <si>
    <t>440 570 0863</t>
  </si>
  <si>
    <t>18   MICHAEL DR</t>
  </si>
  <si>
    <t>SABPMQLFJ</t>
  </si>
  <si>
    <t>-358.08</t>
  </si>
  <si>
    <t>-125.30</t>
  </si>
  <si>
    <t>-92.42</t>
  </si>
  <si>
    <t>125.24</t>
  </si>
  <si>
    <t>69.72</t>
  </si>
  <si>
    <t>440 570-0863</t>
  </si>
  <si>
    <t>09/27/2015</t>
  </si>
  <si>
    <t>6421977</t>
  </si>
  <si>
    <t>1226808</t>
  </si>
  <si>
    <t>BRANDON BEHNEY</t>
  </si>
  <si>
    <t>440 759 0639</t>
  </si>
  <si>
    <t>2712   LINCOLN AVE</t>
  </si>
  <si>
    <t>267479743</t>
  </si>
  <si>
    <t>-272.50</t>
  </si>
  <si>
    <t>989.18</t>
  </si>
  <si>
    <t>266.74</t>
  </si>
  <si>
    <t>192.37</t>
  </si>
  <si>
    <t>530.07</t>
  </si>
  <si>
    <t>2015-09-22 00:00:00</t>
  </si>
  <si>
    <t>440 759-0639</t>
  </si>
  <si>
    <t>6421995</t>
  </si>
  <si>
    <t>11358601</t>
  </si>
  <si>
    <t>MARILYN LITTLE</t>
  </si>
  <si>
    <t>04/12/2011</t>
  </si>
  <si>
    <t>216 521 7321</t>
  </si>
  <si>
    <t>1368   BEACH PKWY</t>
  </si>
  <si>
    <t>SABGFDTCZ</t>
  </si>
  <si>
    <t>-178.22</t>
  </si>
  <si>
    <t>-290.22</t>
  </si>
  <si>
    <t>-295.22</t>
  </si>
  <si>
    <t>192.22</t>
  </si>
  <si>
    <t>99.11</t>
  </si>
  <si>
    <t>93.11</t>
  </si>
  <si>
    <t>2015-06-03 00:00:00</t>
  </si>
  <si>
    <t>216 521-7321</t>
  </si>
  <si>
    <t>6422005</t>
  </si>
  <si>
    <t>12283409</t>
  </si>
  <si>
    <t>Patricia Comodeca</t>
  </si>
  <si>
    <t>19070   LORAIN RD</t>
  </si>
  <si>
    <t>236755880</t>
  </si>
  <si>
    <t>-134.66</t>
  </si>
  <si>
    <t>-67.64</t>
  </si>
  <si>
    <t>-346.59</t>
  </si>
  <si>
    <t>200.2</t>
  </si>
  <si>
    <t>134.66</t>
  </si>
  <si>
    <t>6422010</t>
  </si>
  <si>
    <t>12536211</t>
  </si>
  <si>
    <t>john gogerty</t>
  </si>
  <si>
    <t>216 548 8576</t>
  </si>
  <si>
    <t>2036   QUAIL ST</t>
  </si>
  <si>
    <t>SABHCSDMB</t>
  </si>
  <si>
    <t>-90.66</t>
  </si>
  <si>
    <t>395.65</t>
  </si>
  <si>
    <t>68.25</t>
  </si>
  <si>
    <t>327.4</t>
  </si>
  <si>
    <t>216 548-8576</t>
  </si>
  <si>
    <t>6422019</t>
  </si>
  <si>
    <t>21762201</t>
  </si>
  <si>
    <t>JEANNIE BERES</t>
  </si>
  <si>
    <t>630 251 7430</t>
  </si>
  <si>
    <t>1315   OLD MILL PATH</t>
  </si>
  <si>
    <t>[073G4F1LRNB8]</t>
  </si>
  <si>
    <t>-313.73</t>
  </si>
  <si>
    <t>-198.03</t>
  </si>
  <si>
    <t>02/27/2015</t>
  </si>
  <si>
    <t>549.14</t>
  </si>
  <si>
    <t>204.64</t>
  </si>
  <si>
    <t>344.5</t>
  </si>
  <si>
    <t>2015-04-27 00:00:00</t>
  </si>
  <si>
    <t>630 251-7430</t>
  </si>
  <si>
    <t>216 831-4000</t>
  </si>
  <si>
    <t>6422024</t>
  </si>
  <si>
    <t>4819815</t>
  </si>
  <si>
    <t>SHANNON WASHINGTON</t>
  </si>
  <si>
    <t>216 860 3180</t>
  </si>
  <si>
    <t>1276   COVE AVE</t>
  </si>
  <si>
    <t>263815501</t>
  </si>
  <si>
    <t>-295.04</t>
  </si>
  <si>
    <t>-298.78</t>
  </si>
  <si>
    <t>958.21</t>
  </si>
  <si>
    <t>212.57</t>
  </si>
  <si>
    <t>240.12</t>
  </si>
  <si>
    <t>505.52</t>
  </si>
  <si>
    <t>2015-09-16 00:00:00</t>
  </si>
  <si>
    <t>216 860-3180</t>
  </si>
  <si>
    <t>6422032</t>
  </si>
  <si>
    <t>5540707</t>
  </si>
  <si>
    <t>DAVID LEWIS</t>
  </si>
  <si>
    <t>09/09/2013</t>
  </si>
  <si>
    <t>216 200 6177</t>
  </si>
  <si>
    <t>14410   LAKEWOOD HEIGHTS BLVD</t>
  </si>
  <si>
    <t>233057747</t>
  </si>
  <si>
    <t>-201.18</t>
  </si>
  <si>
    <t>-166.00</t>
  </si>
  <si>
    <t>04/22/2015</t>
  </si>
  <si>
    <t>296.28</t>
  </si>
  <si>
    <t>25.27</t>
  </si>
  <si>
    <t>166.47</t>
  </si>
  <si>
    <t>104.54</t>
  </si>
  <si>
    <t>216 200-6177</t>
  </si>
  <si>
    <t>216 224-6888</t>
  </si>
  <si>
    <t>6422034</t>
  </si>
  <si>
    <t>22915606</t>
  </si>
  <si>
    <t>JACOB MOSTOLLER</t>
  </si>
  <si>
    <t>704 907 8253</t>
  </si>
  <si>
    <t>1334   COOK AVE</t>
  </si>
  <si>
    <t>244127832</t>
  </si>
  <si>
    <t>-70.35</t>
  </si>
  <si>
    <t>-106.25</t>
  </si>
  <si>
    <t>150</t>
  </si>
  <si>
    <t>704 907-8253</t>
  </si>
  <si>
    <t>6422044</t>
  </si>
  <si>
    <t>23646505</t>
  </si>
  <si>
    <t>NANCY SPIRAKUS</t>
  </si>
  <si>
    <t>10/15/2014</t>
  </si>
  <si>
    <t>440 842 6382</t>
  </si>
  <si>
    <t xml:space="preserve">   616</t>
  </si>
  <si>
    <t>EVY505DA3108</t>
  </si>
  <si>
    <t>-168.94</t>
  </si>
  <si>
    <t>-84.43</t>
  </si>
  <si>
    <t>249.69</t>
  </si>
  <si>
    <t>22.21</t>
  </si>
  <si>
    <t>58.44</t>
  </si>
  <si>
    <t>440 842-6382</t>
  </si>
  <si>
    <t>6422047</t>
  </si>
  <si>
    <t>23783304</t>
  </si>
  <si>
    <t>mike simonelli</t>
  </si>
  <si>
    <t>10/11/2014</t>
  </si>
  <si>
    <t>440 539 0574</t>
  </si>
  <si>
    <t>5500   LAURENT DR</t>
  </si>
  <si>
    <t xml:space="preserve">   618</t>
  </si>
  <si>
    <t>SACCRPNBK</t>
  </si>
  <si>
    <t>-332.04</t>
  </si>
  <si>
    <t>-156.89</t>
  </si>
  <si>
    <t>-162.89</t>
  </si>
  <si>
    <t>332.64</t>
  </si>
  <si>
    <t>163.26</t>
  </si>
  <si>
    <t>169.38</t>
  </si>
  <si>
    <t>2014-12-05 00:00:00</t>
  </si>
  <si>
    <t>440 539-0574</t>
  </si>
  <si>
    <t>440 596-0906</t>
  </si>
  <si>
    <t>6422053</t>
  </si>
  <si>
    <t>24490101</t>
  </si>
  <si>
    <t>DAVID SMITH</t>
  </si>
  <si>
    <t>10/12/2006</t>
  </si>
  <si>
    <t>216 409 4538</t>
  </si>
  <si>
    <t>1310   JACKSON AVE</t>
  </si>
  <si>
    <t>[073G495YL1H6]</t>
  </si>
  <si>
    <t>-77.99</t>
  </si>
  <si>
    <t>-64.20</t>
  </si>
  <si>
    <t>-99.59</t>
  </si>
  <si>
    <t>175.98</t>
  </si>
  <si>
    <t>97.99</t>
  </si>
  <si>
    <t>77.99</t>
  </si>
  <si>
    <t>2010-03-18 00:00:00</t>
  </si>
  <si>
    <t>216 409-4538</t>
  </si>
  <si>
    <t>216 409-0994</t>
  </si>
  <si>
    <t>6422054</t>
  </si>
  <si>
    <t>24553202</t>
  </si>
  <si>
    <t>BERNICE HUBKA</t>
  </si>
  <si>
    <t>02/05/2008</t>
  </si>
  <si>
    <t>440 235 1834</t>
  </si>
  <si>
    <t>27380   COOK RD</t>
  </si>
  <si>
    <t xml:space="preserve">    38</t>
  </si>
  <si>
    <t>SABGMDBDQ</t>
  </si>
  <si>
    <t>-167.72</t>
  </si>
  <si>
    <t>505.13</t>
  </si>
  <si>
    <t>163.74</t>
  </si>
  <si>
    <t>209.79</t>
  </si>
  <si>
    <t>131.6</t>
  </si>
  <si>
    <t>440 235-1834</t>
  </si>
  <si>
    <t>440 506-6941</t>
  </si>
  <si>
    <t>09/28/2015</t>
  </si>
  <si>
    <t>6423842</t>
  </si>
  <si>
    <t>9523510</t>
  </si>
  <si>
    <t>TERRY PETERSON</t>
  </si>
  <si>
    <t>08/13/2014</t>
  </si>
  <si>
    <t>601 665 0266</t>
  </si>
  <si>
    <t>9505  N CHURCH DR</t>
  </si>
  <si>
    <t>262119198</t>
  </si>
  <si>
    <t>-217.07</t>
  </si>
  <si>
    <t>-106.33</t>
  </si>
  <si>
    <t>-268.99</t>
  </si>
  <si>
    <t>368.86</t>
  </si>
  <si>
    <t>228.94</t>
  </si>
  <si>
    <t>139.92</t>
  </si>
  <si>
    <t>2015-06-30 00:00:00</t>
  </si>
  <si>
    <t>601 665-0266</t>
  </si>
  <si>
    <t>6423843</t>
  </si>
  <si>
    <t>9866709</t>
  </si>
  <si>
    <t>Jonathon Jaslove</t>
  </si>
  <si>
    <t>440 843 4430</t>
  </si>
  <si>
    <t>6640   PEARL RD</t>
  </si>
  <si>
    <t xml:space="preserve">   102</t>
  </si>
  <si>
    <t>266427546</t>
  </si>
  <si>
    <t>-143.39</t>
  </si>
  <si>
    <t>-101.10</t>
  </si>
  <si>
    <t>-54.51</t>
  </si>
  <si>
    <t>150.36</t>
  </si>
  <si>
    <t>93.39</t>
  </si>
  <si>
    <t>56.97</t>
  </si>
  <si>
    <t>440 843-4430</t>
  </si>
  <si>
    <t>6423848</t>
  </si>
  <si>
    <t>10086909</t>
  </si>
  <si>
    <t>MATHEW MILLER</t>
  </si>
  <si>
    <t>216 200 9102</t>
  </si>
  <si>
    <t>11821  N LANE DR</t>
  </si>
  <si>
    <t>3HW14CW401C2C</t>
  </si>
  <si>
    <t>08/19/2015</t>
  </si>
  <si>
    <t>-68.54</t>
  </si>
  <si>
    <t>137.08</t>
  </si>
  <si>
    <t>216 200-9102</t>
  </si>
  <si>
    <t>6423853</t>
  </si>
  <si>
    <t>10471312</t>
  </si>
  <si>
    <t>RACHEL  RAVANELLI</t>
  </si>
  <si>
    <t>440 522 1169</t>
  </si>
  <si>
    <t>12   CARL LN</t>
  </si>
  <si>
    <t>243622692</t>
  </si>
  <si>
    <t>191.82</t>
  </si>
  <si>
    <t>440 522-1169</t>
  </si>
  <si>
    <t>6423862</t>
  </si>
  <si>
    <t>2585002</t>
  </si>
  <si>
    <t>CAROLYNE KLOSOWSKY</t>
  </si>
  <si>
    <t>04/10/2013</t>
  </si>
  <si>
    <t>218 260 1354</t>
  </si>
  <si>
    <t>1640   WESTWOOD AVE</t>
  </si>
  <si>
    <t>EVY507D08293</t>
  </si>
  <si>
    <t>-59.50</t>
  </si>
  <si>
    <t>-140.63</t>
  </si>
  <si>
    <t>316.12</t>
  </si>
  <si>
    <t>232.06</t>
  </si>
  <si>
    <t>84.06</t>
  </si>
  <si>
    <t>218 260-1354</t>
  </si>
  <si>
    <t>6423887</t>
  </si>
  <si>
    <t>5332704</t>
  </si>
  <si>
    <t>TINA YAMIN</t>
  </si>
  <si>
    <t>06/10/2011</t>
  </si>
  <si>
    <t>440 759 3374</t>
  </si>
  <si>
    <t>6880   COMMONWEALTH BLVD</t>
  </si>
  <si>
    <t>[08GG4JWN5MV1]</t>
  </si>
  <si>
    <t>-79.38</t>
  </si>
  <si>
    <t>334.83</t>
  </si>
  <si>
    <t>198.8</t>
  </si>
  <si>
    <t>136.03</t>
  </si>
  <si>
    <t>440 759-3374</t>
  </si>
  <si>
    <t>6423897</t>
  </si>
  <si>
    <t>24036007</t>
  </si>
  <si>
    <t>ADAM REPKO</t>
  </si>
  <si>
    <t>440 396 9441</t>
  </si>
  <si>
    <t>8570   EVERGREEN TRL</t>
  </si>
  <si>
    <t>EVY504D04881</t>
  </si>
  <si>
    <t>306.07</t>
  </si>
  <si>
    <t>165.82</t>
  </si>
  <si>
    <t>140.25</t>
  </si>
  <si>
    <t>440 396-9441</t>
  </si>
  <si>
    <t>440 724-3011</t>
  </si>
  <si>
    <t>6423899</t>
  </si>
  <si>
    <t>24712805</t>
  </si>
  <si>
    <t>JAMIE SHELLEY</t>
  </si>
  <si>
    <t>216 798 7784</t>
  </si>
  <si>
    <t>SABSQSKCK</t>
  </si>
  <si>
    <t>10/04/2015</t>
  </si>
  <si>
    <t>-125.36</t>
  </si>
  <si>
    <t>-176.38</t>
  </si>
  <si>
    <t>242.52</t>
  </si>
  <si>
    <t>141.11</t>
  </si>
  <si>
    <t>101.41</t>
  </si>
  <si>
    <t>216 798-7784</t>
  </si>
  <si>
    <t>6423901</t>
  </si>
  <si>
    <t>7135104</t>
  </si>
  <si>
    <t>CAROLYN LATTNER</t>
  </si>
  <si>
    <t>216 741 4159</t>
  </si>
  <si>
    <t>4178  W 226TH ST</t>
  </si>
  <si>
    <t>191.19</t>
  </si>
  <si>
    <t>117.65</t>
  </si>
  <si>
    <t>216 741-4159</t>
  </si>
  <si>
    <t>6423902</t>
  </si>
  <si>
    <t>24747303</t>
  </si>
  <si>
    <t>BETTE A GARBUS</t>
  </si>
  <si>
    <t>10/04/2013</t>
  </si>
  <si>
    <t>216 712 7876</t>
  </si>
  <si>
    <t xml:space="preserve">   415</t>
  </si>
  <si>
    <t>SABGMRCWK</t>
  </si>
  <si>
    <t>-207.69</t>
  </si>
  <si>
    <t>-336.66</t>
  </si>
  <si>
    <t>436.4</t>
  </si>
  <si>
    <t>194.42</t>
  </si>
  <si>
    <t>241.98</t>
  </si>
  <si>
    <t>2015-08-06 00:00:00</t>
  </si>
  <si>
    <t>216 712-7876</t>
  </si>
  <si>
    <t>6423905</t>
  </si>
  <si>
    <t>24906305</t>
  </si>
  <si>
    <t>Hailey Bacon</t>
  </si>
  <si>
    <t>440 476 8105</t>
  </si>
  <si>
    <t xml:space="preserve">   509</t>
  </si>
  <si>
    <t>SABSSNXKZ</t>
  </si>
  <si>
    <t>-120.28</t>
  </si>
  <si>
    <t>179.45</t>
  </si>
  <si>
    <t>104.68</t>
  </si>
  <si>
    <t>74.77</t>
  </si>
  <si>
    <t>440 476-8105</t>
  </si>
  <si>
    <t>6423908</t>
  </si>
  <si>
    <t>24966406</t>
  </si>
  <si>
    <t>Lisa Smith</t>
  </si>
  <si>
    <t>12/01/2014</t>
  </si>
  <si>
    <t>216 372 2136</t>
  </si>
  <si>
    <t xml:space="preserve">   117</t>
  </si>
  <si>
    <t>-165.82</t>
  </si>
  <si>
    <t>-209.35</t>
  </si>
  <si>
    <t>646.15</t>
  </si>
  <si>
    <t>68.33</t>
  </si>
  <si>
    <t>224.9</t>
  </si>
  <si>
    <t>218.55</t>
  </si>
  <si>
    <t>134.37</t>
  </si>
  <si>
    <t>2015-09-23 00:00:00</t>
  </si>
  <si>
    <t>216 372-2136</t>
  </si>
  <si>
    <t>6423909</t>
  </si>
  <si>
    <t>8112409</t>
  </si>
  <si>
    <t>Sandra Worthing-Alves</t>
  </si>
  <si>
    <t>09/11/2014</t>
  </si>
  <si>
    <t>440 591 0354</t>
  </si>
  <si>
    <t xml:space="preserve">   19B</t>
  </si>
  <si>
    <t>3HW146W207101</t>
  </si>
  <si>
    <t>-240.00</t>
  </si>
  <si>
    <t>-66.40</t>
  </si>
  <si>
    <t>369.19</t>
  </si>
  <si>
    <t>146.71</t>
  </si>
  <si>
    <t>197.48</t>
  </si>
  <si>
    <t>440 591-0354</t>
  </si>
  <si>
    <t>6412920</t>
  </si>
  <si>
    <t>418.38</t>
  </si>
  <si>
    <t>139.42</t>
  </si>
  <si>
    <t>6412933</t>
  </si>
  <si>
    <t>468.14</t>
  </si>
  <si>
    <t>157.62</t>
  </si>
  <si>
    <t>152.83</t>
  </si>
  <si>
    <t>6412957</t>
  </si>
  <si>
    <t>6417466</t>
  </si>
  <si>
    <t>439.23</t>
  </si>
  <si>
    <t>163.78</t>
  </si>
  <si>
    <t>6417472</t>
  </si>
  <si>
    <t>6417488</t>
  </si>
  <si>
    <t>23686409</t>
  </si>
  <si>
    <t>PATRICK J CHIKE</t>
  </si>
  <si>
    <t>505 697 1885</t>
  </si>
  <si>
    <t xml:space="preserve">   613</t>
  </si>
  <si>
    <t>SACBJBZGC</t>
  </si>
  <si>
    <t>752.19</t>
  </si>
  <si>
    <t>488.86</t>
  </si>
  <si>
    <t>109.96</t>
  </si>
  <si>
    <t>505 697-1885</t>
  </si>
  <si>
    <t>6420650</t>
  </si>
  <si>
    <t>3867001</t>
  </si>
  <si>
    <t>STELLA DEMBKOWSKI</t>
  </si>
  <si>
    <t>01/26/2004</t>
  </si>
  <si>
    <t>440 882 6381</t>
  </si>
  <si>
    <t>5614   MORNINGSIDE DR</t>
  </si>
  <si>
    <t>DAR602G</t>
  </si>
  <si>
    <t>871BNE89C418789</t>
  </si>
  <si>
    <t>-137.83</t>
  </si>
  <si>
    <t>328.79</t>
  </si>
  <si>
    <t>48.77</t>
  </si>
  <si>
    <t>132.88</t>
  </si>
  <si>
    <t>137.14</t>
  </si>
  <si>
    <t>2014-07-07 00:00:00</t>
  </si>
  <si>
    <t>440 882-6381</t>
  </si>
  <si>
    <t>440 521-1098</t>
  </si>
  <si>
    <t>6420652</t>
  </si>
  <si>
    <t>3973410</t>
  </si>
  <si>
    <t>Darby Norris</t>
  </si>
  <si>
    <t>07/21/2014</t>
  </si>
  <si>
    <t>216 387 6851</t>
  </si>
  <si>
    <t>5706   MORNINGSIDE DR</t>
  </si>
  <si>
    <t>268886674</t>
  </si>
  <si>
    <t>650.75</t>
  </si>
  <si>
    <t>160.84</t>
  </si>
  <si>
    <t>226.85</t>
  </si>
  <si>
    <t>216.79</t>
  </si>
  <si>
    <t>46.27</t>
  </si>
  <si>
    <t>216 387-6851</t>
  </si>
  <si>
    <t>6420662</t>
  </si>
  <si>
    <t>6420672</t>
  </si>
  <si>
    <t>6619525</t>
  </si>
  <si>
    <t>YALANDA COLEMAN</t>
  </si>
  <si>
    <t>1380   CLARENCE AVE</t>
  </si>
  <si>
    <t>DCJ4M13004906</t>
  </si>
  <si>
    <t>-147.03</t>
  </si>
  <si>
    <t>-137.46</t>
  </si>
  <si>
    <t>-128.97</t>
  </si>
  <si>
    <t>547.2</t>
  </si>
  <si>
    <t>230.97</t>
  </si>
  <si>
    <t>162.86</t>
  </si>
  <si>
    <t>216 703-4350</t>
  </si>
  <si>
    <t>6420678</t>
  </si>
  <si>
    <t>6420683</t>
  </si>
  <si>
    <t>24745803</t>
  </si>
  <si>
    <t>francis ducre</t>
  </si>
  <si>
    <t>10/07/2014</t>
  </si>
  <si>
    <t>216 479 9914</t>
  </si>
  <si>
    <t xml:space="preserve">   405</t>
  </si>
  <si>
    <t>SABRZQFND</t>
  </si>
  <si>
    <t>-217.00</t>
  </si>
  <si>
    <t>-213.95</t>
  </si>
  <si>
    <t>1411.99</t>
  </si>
  <si>
    <t>1048.03</t>
  </si>
  <si>
    <t>241.62</t>
  </si>
  <si>
    <t>122.34</t>
  </si>
  <si>
    <t>216 479-9914</t>
  </si>
  <si>
    <t>6420685</t>
  </si>
  <si>
    <t>6421570</t>
  </si>
  <si>
    <t>6421571</t>
  </si>
  <si>
    <t>907.01</t>
  </si>
  <si>
    <t>508.98</t>
  </si>
  <si>
    <t>181.39</t>
  </si>
  <si>
    <t>155.67</t>
  </si>
  <si>
    <t>60.97</t>
  </si>
  <si>
    <t>6421580</t>
  </si>
  <si>
    <t>6421974</t>
  </si>
  <si>
    <t>468006</t>
  </si>
  <si>
    <t>SHARON MCCANN</t>
  </si>
  <si>
    <t>216 647 1007</t>
  </si>
  <si>
    <t>6977   GREENLEAF AVE</t>
  </si>
  <si>
    <t>SABWQGQXN</t>
  </si>
  <si>
    <t>-112.90</t>
  </si>
  <si>
    <t>918.98</t>
  </si>
  <si>
    <t>543.43</t>
  </si>
  <si>
    <t>186.07</t>
  </si>
  <si>
    <t>176.19</t>
  </si>
  <si>
    <t>13.29</t>
  </si>
  <si>
    <t>216 647-1007</t>
  </si>
  <si>
    <t>6421976</t>
  </si>
  <si>
    <t>6422016</t>
  </si>
  <si>
    <t>6422029</t>
  </si>
  <si>
    <t>6422041</t>
  </si>
  <si>
    <t>6422043</t>
  </si>
  <si>
    <t>6422059</t>
  </si>
  <si>
    <t>8426606</t>
  </si>
  <si>
    <t>Nick Tenaglia</t>
  </si>
  <si>
    <t>01/08/2014</t>
  </si>
  <si>
    <t>21815   MASTICK RD</t>
  </si>
  <si>
    <t>3CC133500ABE7</t>
  </si>
  <si>
    <t>-238.47</t>
  </si>
  <si>
    <t>426.79</t>
  </si>
  <si>
    <t>60.04</t>
  </si>
  <si>
    <t>256.67</t>
  </si>
  <si>
    <t>104.77</t>
  </si>
  <si>
    <t>5.31</t>
  </si>
  <si>
    <t>901 413-3432</t>
  </si>
  <si>
    <t>6423863</t>
  </si>
  <si>
    <t>2598606</t>
  </si>
  <si>
    <t>DAVID KALINOSKI</t>
  </si>
  <si>
    <t>440 320 1379</t>
  </si>
  <si>
    <t>2015   RICHLAND AVE</t>
  </si>
  <si>
    <t>E124M13003532</t>
  </si>
  <si>
    <t>-127.46</t>
  </si>
  <si>
    <t>808.81</t>
  </si>
  <si>
    <t>494.13</t>
  </si>
  <si>
    <t>135.54</t>
  </si>
  <si>
    <t>128.99</t>
  </si>
  <si>
    <t>50.15</t>
  </si>
  <si>
    <t>440 320-1379</t>
  </si>
  <si>
    <t>6423888</t>
  </si>
  <si>
    <t>6423912</t>
  </si>
  <si>
    <t>DIG S/A 4240HDC HD</t>
  </si>
  <si>
    <t>CISCO/EVOLUTION DM</t>
  </si>
  <si>
    <t>GSH4642</t>
  </si>
  <si>
    <t>GSH9865</t>
  </si>
  <si>
    <t>DSG S/A - TRIO 986</t>
  </si>
  <si>
    <t>NETGEAR CG3000DV2</t>
  </si>
  <si>
    <t>SA:DPQ3212-NO BATT</t>
  </si>
  <si>
    <t>ARRIS:TM502G</t>
  </si>
  <si>
    <t>SABVFDQSR</t>
  </si>
  <si>
    <t>SACCWPGNT</t>
  </si>
  <si>
    <t>DSG S/A - TRIO 474</t>
  </si>
  <si>
    <t>SACDVFQBB</t>
  </si>
  <si>
    <t>SACDXTBQQ</t>
  </si>
  <si>
    <t>SACFZKCXD</t>
  </si>
  <si>
    <t>SACGCXBJS</t>
  </si>
  <si>
    <t>SACGZCGQV</t>
  </si>
  <si>
    <t>SACHCNHRX</t>
  </si>
  <si>
    <t>3HW138UW07926</t>
  </si>
  <si>
    <t>59LBMK39R013417</t>
  </si>
  <si>
    <t>DAR40P2</t>
  </si>
  <si>
    <t>ARRIS:TM402PV2</t>
  </si>
  <si>
    <t>EVY503D12247</t>
  </si>
  <si>
    <t>EVY503D12700</t>
  </si>
  <si>
    <t>EVY503D13045</t>
  </si>
  <si>
    <t>SABVDTQKH</t>
  </si>
  <si>
    <t>6BFBMU58S271976</t>
  </si>
  <si>
    <t>881BNE8AC484223</t>
  </si>
  <si>
    <t>ARRIS:TM602G/NA-0</t>
  </si>
  <si>
    <t>SABNXLDMJ</t>
  </si>
  <si>
    <t>CSA830P</t>
  </si>
  <si>
    <t>SACDDBBTS</t>
  </si>
  <si>
    <t>SACDFHWRW</t>
  </si>
  <si>
    <t>SABQVZBGW</t>
  </si>
  <si>
    <t>6424013</t>
  </si>
  <si>
    <t>4342705</t>
  </si>
  <si>
    <t>KATIE GREGORY-TAYLOR</t>
  </si>
  <si>
    <t>216 644 8551</t>
  </si>
  <si>
    <t>5906   HAVERHILL AVE</t>
  </si>
  <si>
    <t>3H214AW601C38</t>
  </si>
  <si>
    <t>08/24/2015</t>
  </si>
  <si>
    <t>-162.64</t>
  </si>
  <si>
    <t>-141.25</t>
  </si>
  <si>
    <t>-138.33</t>
  </si>
  <si>
    <t>470.54</t>
  </si>
  <si>
    <t>164.71</t>
  </si>
  <si>
    <t>164.7</t>
  </si>
  <si>
    <t>141.13</t>
  </si>
  <si>
    <t>216 644-8551</t>
  </si>
  <si>
    <t>6425428</t>
  </si>
  <si>
    <t>10804104</t>
  </si>
  <si>
    <t>BETH CAILKOWSKI</t>
  </si>
  <si>
    <t>216 633 2693</t>
  </si>
  <si>
    <t>20490   LORAIN RD</t>
  </si>
  <si>
    <t>SACCRPLNZ</t>
  </si>
  <si>
    <t>-131.99</t>
  </si>
  <si>
    <t>295.9</t>
  </si>
  <si>
    <t>92.32</t>
  </si>
  <si>
    <t>93.05</t>
  </si>
  <si>
    <t>110.53</t>
  </si>
  <si>
    <t>216 633-2693</t>
  </si>
  <si>
    <t>6425430</t>
  </si>
  <si>
    <t>2286104</t>
  </si>
  <si>
    <t>Michael Gibson</t>
  </si>
  <si>
    <t>727 420 2960</t>
  </si>
  <si>
    <t>20512   DETROIT RD</t>
  </si>
  <si>
    <t>45U155WV000BF</t>
  </si>
  <si>
    <t>-141.00</t>
  </si>
  <si>
    <t>-150.25</t>
  </si>
  <si>
    <t>05/28/2015</t>
  </si>
  <si>
    <t>-141.44</t>
  </si>
  <si>
    <t>348.73</t>
  </si>
  <si>
    <t>76.78</t>
  </si>
  <si>
    <t>124.62</t>
  </si>
  <si>
    <t>147.33</t>
  </si>
  <si>
    <t>727 420-2960</t>
  </si>
  <si>
    <t>6425436</t>
  </si>
  <si>
    <t>2684803</t>
  </si>
  <si>
    <t>Ryan Henderson</t>
  </si>
  <si>
    <t>216 797 0443</t>
  </si>
  <si>
    <t>14228   BAYES AVE</t>
  </si>
  <si>
    <t>249461293</t>
  </si>
  <si>
    <t>-33.50</t>
  </si>
  <si>
    <t>12/17/2014</t>
  </si>
  <si>
    <t>-144.62</t>
  </si>
  <si>
    <t>697.12</t>
  </si>
  <si>
    <t>135.99</t>
  </si>
  <si>
    <t>387.58</t>
  </si>
  <si>
    <t>63.93</t>
  </si>
  <si>
    <t>109.62</t>
  </si>
  <si>
    <t>2015-07-22 00:00:00</t>
  </si>
  <si>
    <t>216 797-0443</t>
  </si>
  <si>
    <t>6425438</t>
  </si>
  <si>
    <t>11668303</t>
  </si>
  <si>
    <t>Anita Eisenmann</t>
  </si>
  <si>
    <t>12/11/2014</t>
  </si>
  <si>
    <t>216 269 3235</t>
  </si>
  <si>
    <t>9233   INDEPENDENCE BLVD</t>
  </si>
  <si>
    <t xml:space="preserve">   502</t>
  </si>
  <si>
    <t>SACBXFVCB</t>
  </si>
  <si>
    <t>-107.43</t>
  </si>
  <si>
    <t>-189.16</t>
  </si>
  <si>
    <t>-185.88</t>
  </si>
  <si>
    <t>285.31</t>
  </si>
  <si>
    <t>96.91</t>
  </si>
  <si>
    <t>97.2</t>
  </si>
  <si>
    <t>91.2</t>
  </si>
  <si>
    <t>216 269-3235</t>
  </si>
  <si>
    <t>6425449</t>
  </si>
  <si>
    <t>12595007</t>
  </si>
  <si>
    <t>RACHEL POLLACK</t>
  </si>
  <si>
    <t>12/08/2014</t>
  </si>
  <si>
    <t>952 594 0993</t>
  </si>
  <si>
    <t>7003   STATE RD</t>
  </si>
  <si>
    <t xml:space="preserve">   310</t>
  </si>
  <si>
    <t>3CC1425E08F0C</t>
  </si>
  <si>
    <t>-166.52</t>
  </si>
  <si>
    <t>-163.66</t>
  </si>
  <si>
    <t>-168.31</t>
  </si>
  <si>
    <t>484.06</t>
  </si>
  <si>
    <t>166.51</t>
  </si>
  <si>
    <t>167.3</t>
  </si>
  <si>
    <t>150.25</t>
  </si>
  <si>
    <t>952 594-0993</t>
  </si>
  <si>
    <t>6425460</t>
  </si>
  <si>
    <t>23258006</t>
  </si>
  <si>
    <t>Zebedee Thomas</t>
  </si>
  <si>
    <t>06/23/2014</t>
  </si>
  <si>
    <t>216 681 9295</t>
  </si>
  <si>
    <t>6065   COMMANCHE CT</t>
  </si>
  <si>
    <t xml:space="preserve">     C</t>
  </si>
  <si>
    <t>262925264</t>
  </si>
  <si>
    <t>-88.91</t>
  </si>
  <si>
    <t>793.34</t>
  </si>
  <si>
    <t>339.29</t>
  </si>
  <si>
    <t>264.05</t>
  </si>
  <si>
    <t>190</t>
  </si>
  <si>
    <t>2015-09-24 00:00:00</t>
  </si>
  <si>
    <t>216 681-9295</t>
  </si>
  <si>
    <t>6425463</t>
  </si>
  <si>
    <t>23332007</t>
  </si>
  <si>
    <t>STEPHEN WILSON</t>
  </si>
  <si>
    <t>03/11/2015</t>
  </si>
  <si>
    <t>440 990 6639</t>
  </si>
  <si>
    <t xml:space="preserve">  3113</t>
  </si>
  <si>
    <t>244222734</t>
  </si>
  <si>
    <t>189.02</t>
  </si>
  <si>
    <t>77.54</t>
  </si>
  <si>
    <t>47.94</t>
  </si>
  <si>
    <t>440 990-6639</t>
  </si>
  <si>
    <t>6425468</t>
  </si>
  <si>
    <t>5992917</t>
  </si>
  <si>
    <t>KEN PINKNEY</t>
  </si>
  <si>
    <t>216 315 4698</t>
  </si>
  <si>
    <t>5340   KNOLLWOOD DR</t>
  </si>
  <si>
    <t xml:space="preserve">     9</t>
  </si>
  <si>
    <t>D7E4M13005474</t>
  </si>
  <si>
    <t>-203.00</t>
  </si>
  <si>
    <t>549.13</t>
  </si>
  <si>
    <t>208.7</t>
  </si>
  <si>
    <t>229.15</t>
  </si>
  <si>
    <t>111.28</t>
  </si>
  <si>
    <t>216 315-4698</t>
  </si>
  <si>
    <t>6425482</t>
  </si>
  <si>
    <t>8089017</t>
  </si>
  <si>
    <t>John Penney</t>
  </si>
  <si>
    <t>530 354 1501</t>
  </si>
  <si>
    <t>12206   CLIFTON BLVD</t>
  </si>
  <si>
    <t xml:space="preserve">    34</t>
  </si>
  <si>
    <t>E364M13001443</t>
  </si>
  <si>
    <t>608.27</t>
  </si>
  <si>
    <t>221.7</t>
  </si>
  <si>
    <t>276.23</t>
  </si>
  <si>
    <t>110.34</t>
  </si>
  <si>
    <t>530 354-1501</t>
  </si>
  <si>
    <t>6425484</t>
  </si>
  <si>
    <t>8942010</t>
  </si>
  <si>
    <t>Teresa Hook</t>
  </si>
  <si>
    <t>216 855 3017</t>
  </si>
  <si>
    <t>9600   FERNWOOD DR</t>
  </si>
  <si>
    <t>3U814A5L0A0BC</t>
  </si>
  <si>
    <t>-200.76</t>
  </si>
  <si>
    <t>365.58</t>
  </si>
  <si>
    <t>-5.98</t>
  </si>
  <si>
    <t>150.74</t>
  </si>
  <si>
    <t>171.07</t>
  </si>
  <si>
    <t>49.75</t>
  </si>
  <si>
    <t>216 855-3017</t>
  </si>
  <si>
    <t>6427140</t>
  </si>
  <si>
    <t>10273120</t>
  </si>
  <si>
    <t>JOANNE ASPERY</t>
  </si>
  <si>
    <t>10/22/2014</t>
  </si>
  <si>
    <t>440 886 1171</t>
  </si>
  <si>
    <t>9727   PLEASANT LAKE BLVD</t>
  </si>
  <si>
    <t xml:space="preserve">   S34</t>
  </si>
  <si>
    <t>[07W7GW1R0R27]</t>
  </si>
  <si>
    <t>-209.06</t>
  </si>
  <si>
    <t>-238.70</t>
  </si>
  <si>
    <t>-254.80</t>
  </si>
  <si>
    <t>774.77</t>
  </si>
  <si>
    <t>47.27</t>
  </si>
  <si>
    <t>263.72</t>
  </si>
  <si>
    <t>225.08</t>
  </si>
  <si>
    <t>238.7</t>
  </si>
  <si>
    <t>440 886-1171</t>
  </si>
  <si>
    <t>6427157</t>
  </si>
  <si>
    <t>21666106</t>
  </si>
  <si>
    <t>MARY L WOODEN</t>
  </si>
  <si>
    <t>216 526 5528</t>
  </si>
  <si>
    <t>6240   STUMPH RD</t>
  </si>
  <si>
    <t xml:space="preserve">   321</t>
  </si>
  <si>
    <t>EVY503D11454</t>
  </si>
  <si>
    <t>-197.09</t>
  </si>
  <si>
    <t>-167.16</t>
  </si>
  <si>
    <t>596.43</t>
  </si>
  <si>
    <t>260.53</t>
  </si>
  <si>
    <t>163.24</t>
  </si>
  <si>
    <t>172.66</t>
  </si>
  <si>
    <t>216 526-5528</t>
  </si>
  <si>
    <t>6427161</t>
  </si>
  <si>
    <t>6014413</t>
  </si>
  <si>
    <t>MONIQUE HAWKINS</t>
  </si>
  <si>
    <t>02/19/2015</t>
  </si>
  <si>
    <t>216 647 1154</t>
  </si>
  <si>
    <t>5374   KNOLLWOOD DR</t>
  </si>
  <si>
    <t>SABVFQJHL</t>
  </si>
  <si>
    <t>-68.69</t>
  </si>
  <si>
    <t>-164.00</t>
  </si>
  <si>
    <t>-97.00</t>
  </si>
  <si>
    <t>572.33</t>
  </si>
  <si>
    <t>197.36</t>
  </si>
  <si>
    <t>198.27</t>
  </si>
  <si>
    <t>176.7</t>
  </si>
  <si>
    <t>216 647-1154</t>
  </si>
  <si>
    <t>6427165</t>
  </si>
  <si>
    <t>22896611</t>
  </si>
  <si>
    <t>Shayla Sutton</t>
  </si>
  <si>
    <t>216 965 9850</t>
  </si>
  <si>
    <t>1623   NEWMAN AVE</t>
  </si>
  <si>
    <t>236344101</t>
  </si>
  <si>
    <t>-92.34</t>
  </si>
  <si>
    <t>-83.81</t>
  </si>
  <si>
    <t>-33.00</t>
  </si>
  <si>
    <t>221</t>
  </si>
  <si>
    <t>71.17</t>
  </si>
  <si>
    <t>149.83</t>
  </si>
  <si>
    <t>2015-08-31 00:00:00</t>
  </si>
  <si>
    <t>216 965-9850</t>
  </si>
  <si>
    <t>6427170</t>
  </si>
  <si>
    <t>7378605</t>
  </si>
  <si>
    <t>MARILYN BURWELL</t>
  </si>
  <si>
    <t>04/13/2010</t>
  </si>
  <si>
    <t>216 398 6565</t>
  </si>
  <si>
    <t>2133   BROOKVIEW BLVD</t>
  </si>
  <si>
    <t>[08GG4JWN2ZT3]</t>
  </si>
  <si>
    <t>-96.21</t>
  </si>
  <si>
    <t>-127.29</t>
  </si>
  <si>
    <t>309.92</t>
  </si>
  <si>
    <t>159.35</t>
  </si>
  <si>
    <t>216 398-6565</t>
  </si>
  <si>
    <t>6427169</t>
  </si>
  <si>
    <t>23663307</t>
  </si>
  <si>
    <t>angel mercez</t>
  </si>
  <si>
    <t>08/15/2014</t>
  </si>
  <si>
    <t xml:space="preserve">   211</t>
  </si>
  <si>
    <t>EVY449D15573</t>
  </si>
  <si>
    <t>-123.30</t>
  </si>
  <si>
    <t>-118.88</t>
  </si>
  <si>
    <t>-233.52</t>
  </si>
  <si>
    <t>293.2</t>
  </si>
  <si>
    <t>149.6</t>
  </si>
  <si>
    <t>143.6</t>
  </si>
  <si>
    <t>6427176</t>
  </si>
  <si>
    <t>8115413</t>
  </si>
  <si>
    <t>Aaron Cimo</t>
  </si>
  <si>
    <t>216 609 7213</t>
  </si>
  <si>
    <t xml:space="preserve">    23</t>
  </si>
  <si>
    <t>3HW147W606F96</t>
  </si>
  <si>
    <t>-63.54</t>
  </si>
  <si>
    <t>216 609-7213</t>
  </si>
  <si>
    <t>10/01/2015</t>
  </si>
  <si>
    <t>6428652</t>
  </si>
  <si>
    <t>1209818</t>
  </si>
  <si>
    <t>Kristin Bublavy</t>
  </si>
  <si>
    <t>216 551 0389</t>
  </si>
  <si>
    <t>3439   TUXEDO AVE</t>
  </si>
  <si>
    <t>SABXRMGWZ</t>
  </si>
  <si>
    <t>-215.24</t>
  </si>
  <si>
    <t>-37.24</t>
  </si>
  <si>
    <t>-79.00</t>
  </si>
  <si>
    <t>467.34</t>
  </si>
  <si>
    <t>269.12</t>
  </si>
  <si>
    <t>198.22</t>
  </si>
  <si>
    <t>216 551-0389</t>
  </si>
  <si>
    <t>6428660</t>
  </si>
  <si>
    <t>10509403</t>
  </si>
  <si>
    <t>Tom Kanasz</t>
  </si>
  <si>
    <t>10/12/2013</t>
  </si>
  <si>
    <t>216 526 3069</t>
  </si>
  <si>
    <t>9834   PLEASANT LAKE BLVD</t>
  </si>
  <si>
    <t xml:space="preserve">    U8</t>
  </si>
  <si>
    <t>-124.54</t>
  </si>
  <si>
    <t>-277.18</t>
  </si>
  <si>
    <t>-249.10</t>
  </si>
  <si>
    <t>385.13</t>
  </si>
  <si>
    <t>130.05</t>
  </si>
  <si>
    <t>130.54</t>
  </si>
  <si>
    <t>124.54</t>
  </si>
  <si>
    <t>216 526-3069</t>
  </si>
  <si>
    <t>6428661</t>
  </si>
  <si>
    <t>2137308</t>
  </si>
  <si>
    <t>Denise Demmitt</t>
  </si>
  <si>
    <t>06/10/2013</t>
  </si>
  <si>
    <t>216 659 1533</t>
  </si>
  <si>
    <t>1654   WYANDOTTE AVE</t>
  </si>
  <si>
    <t>SABVKRTGN</t>
  </si>
  <si>
    <t>-228.96</t>
  </si>
  <si>
    <t>-222.95</t>
  </si>
  <si>
    <t>-255.95</t>
  </si>
  <si>
    <t>696.51</t>
  </si>
  <si>
    <t>228.11</t>
  </si>
  <si>
    <t>239.44</t>
  </si>
  <si>
    <t>228.96</t>
  </si>
  <si>
    <t>216 659-1533</t>
  </si>
  <si>
    <t>6428678</t>
  </si>
  <si>
    <t>12687409</t>
  </si>
  <si>
    <t>TIANNA RACHTEN</t>
  </si>
  <si>
    <t>216 310 0663</t>
  </si>
  <si>
    <t>2112   LINCOLN AVE</t>
  </si>
  <si>
    <t>3H214AW501FDA</t>
  </si>
  <si>
    <t>14</t>
  </si>
  <si>
    <t>-90.71</t>
  </si>
  <si>
    <t>-96.77</t>
  </si>
  <si>
    <t>-133.97</t>
  </si>
  <si>
    <t>227.5</t>
  </si>
  <si>
    <t>116.79</t>
  </si>
  <si>
    <t>110.71</t>
  </si>
  <si>
    <t>216 310-0663</t>
  </si>
  <si>
    <t>6428693</t>
  </si>
  <si>
    <t>22851308</t>
  </si>
  <si>
    <t>ANN LITNAR</t>
  </si>
  <si>
    <t>12/30/2013</t>
  </si>
  <si>
    <t>216 228 4474</t>
  </si>
  <si>
    <t xml:space="preserve">   350</t>
  </si>
  <si>
    <t>-61.79</t>
  </si>
  <si>
    <t>-95.67</t>
  </si>
  <si>
    <t>-27.69</t>
  </si>
  <si>
    <t>101.69</t>
  </si>
  <si>
    <t>33.89</t>
  </si>
  <si>
    <t>216 228-4474</t>
  </si>
  <si>
    <t>6428697</t>
  </si>
  <si>
    <t>6315602</t>
  </si>
  <si>
    <t>SHADIYE JACKSON</t>
  </si>
  <si>
    <t>10/16/2012</t>
  </si>
  <si>
    <t>216 299 3191</t>
  </si>
  <si>
    <t>6091  W 54TH ST</t>
  </si>
  <si>
    <t>SABVKRHMQ</t>
  </si>
  <si>
    <t>-93.86</t>
  </si>
  <si>
    <t>-116.57</t>
  </si>
  <si>
    <t>-116.09</t>
  </si>
  <si>
    <t>264.9</t>
  </si>
  <si>
    <t>132.45</t>
  </si>
  <si>
    <t>216 299-3191</t>
  </si>
  <si>
    <t>6428708</t>
  </si>
  <si>
    <t>23724507</t>
  </si>
  <si>
    <t>ANTHONY GRIFFITH</t>
  </si>
  <si>
    <t>11/10/2014</t>
  </si>
  <si>
    <t>330 988 3995</t>
  </si>
  <si>
    <t>6841   DAY DR</t>
  </si>
  <si>
    <t xml:space="preserve">   809</t>
  </si>
  <si>
    <t>3HW148WT01DD5</t>
  </si>
  <si>
    <t>-139.64</t>
  </si>
  <si>
    <t>-132.87</t>
  </si>
  <si>
    <t>403.96</t>
  </si>
  <si>
    <t>132.46</t>
  </si>
  <si>
    <t>133.07</t>
  </si>
  <si>
    <t>138.43</t>
  </si>
  <si>
    <t>330 988-3995</t>
  </si>
  <si>
    <t>10/03/2015</t>
  </si>
  <si>
    <t>6431079</t>
  </si>
  <si>
    <t>10335004</t>
  </si>
  <si>
    <t>TAMMY L CLARK</t>
  </si>
  <si>
    <t>08/13/2009</t>
  </si>
  <si>
    <t>440 310 2492</t>
  </si>
  <si>
    <t>5909   WILLISTON DR</t>
  </si>
  <si>
    <t>EVY501D62884</t>
  </si>
  <si>
    <t>.</t>
  </si>
  <si>
    <t>-14.00</t>
  </si>
  <si>
    <t>-565.47</t>
  </si>
  <si>
    <t>619.63</t>
  </si>
  <si>
    <t>229.13</t>
  </si>
  <si>
    <t>390.5</t>
  </si>
  <si>
    <t>440 310-2492</t>
  </si>
  <si>
    <t>216 322-8256</t>
  </si>
  <si>
    <t>6431086</t>
  </si>
  <si>
    <t>11243615</t>
  </si>
  <si>
    <t>Daniel Kish</t>
  </si>
  <si>
    <t>330 208 8455</t>
  </si>
  <si>
    <t>5305   KNOLLWOOD DR</t>
  </si>
  <si>
    <t>D7E4M13006306</t>
  </si>
  <si>
    <t>-180.96</t>
  </si>
  <si>
    <t>-143.11</t>
  </si>
  <si>
    <t>-194.14</t>
  </si>
  <si>
    <t>558.7</t>
  </si>
  <si>
    <t>210.16</t>
  </si>
  <si>
    <t>167.58</t>
  </si>
  <si>
    <t>180.96</t>
  </si>
  <si>
    <t>330 208-8455</t>
  </si>
  <si>
    <t>6431092</t>
  </si>
  <si>
    <t>11720205</t>
  </si>
  <si>
    <t>JAMIE RANDALL</t>
  </si>
  <si>
    <t>216 767 5170</t>
  </si>
  <si>
    <t>22065   RIVER OAKS DR</t>
  </si>
  <si>
    <t>SACCRPBCN</t>
  </si>
  <si>
    <t>-256.24</t>
  </si>
  <si>
    <t>428.43</t>
  </si>
  <si>
    <t>147.19</t>
  </si>
  <si>
    <t>256.24</t>
  </si>
  <si>
    <t>216 767-5170</t>
  </si>
  <si>
    <t>216 551-9720</t>
  </si>
  <si>
    <t>6431095</t>
  </si>
  <si>
    <t>11823320</t>
  </si>
  <si>
    <t>Gregory Basniak II</t>
  </si>
  <si>
    <t>05/28/2014</t>
  </si>
  <si>
    <t>216 925 3991</t>
  </si>
  <si>
    <t>18900   DETROIT EXT</t>
  </si>
  <si>
    <t xml:space="preserve">   301</t>
  </si>
  <si>
    <t>SABQNSBRJ</t>
  </si>
  <si>
    <t>-420.36</t>
  </si>
  <si>
    <t>-196.11</t>
  </si>
  <si>
    <t>-184.55</t>
  </si>
  <si>
    <t>878.27</t>
  </si>
  <si>
    <t>11.77</t>
  </si>
  <si>
    <t>257.01</t>
  </si>
  <si>
    <t>189.13</t>
  </si>
  <si>
    <t>420.36</t>
  </si>
  <si>
    <t>2015-09-28 00:00:00</t>
  </si>
  <si>
    <t>216 925-3991</t>
  </si>
  <si>
    <t>6431094</t>
  </si>
  <si>
    <t>3938706</t>
  </si>
  <si>
    <t>John Arthur</t>
  </si>
  <si>
    <t>03/11/2014</t>
  </si>
  <si>
    <t>216 543 0085</t>
  </si>
  <si>
    <t>5602   HAVERHILL AVE</t>
  </si>
  <si>
    <t>EVY507D15071</t>
  </si>
  <si>
    <t>-174.18</t>
  </si>
  <si>
    <t>-173.82</t>
  </si>
  <si>
    <t>-182.71</t>
  </si>
  <si>
    <t>618.22</t>
  </si>
  <si>
    <t>215.99</t>
  </si>
  <si>
    <t>212.12</t>
  </si>
  <si>
    <t>190.11</t>
  </si>
  <si>
    <t>216 543-0085</t>
  </si>
  <si>
    <t>6431103</t>
  </si>
  <si>
    <t>12512504</t>
  </si>
  <si>
    <t>MARCIA S VOGEL</t>
  </si>
  <si>
    <t>08/16/2013</t>
  </si>
  <si>
    <t>440 342 8638</t>
  </si>
  <si>
    <t>21900   ADDINGTON BLVD</t>
  </si>
  <si>
    <t>EVY451D60590</t>
  </si>
  <si>
    <t>-33.90</t>
  </si>
  <si>
    <t>-27.89</t>
  </si>
  <si>
    <t>84.01</t>
  </si>
  <si>
    <t>56.11</t>
  </si>
  <si>
    <t>440 342-8638</t>
  </si>
  <si>
    <t>6431105</t>
  </si>
  <si>
    <t>4881710</t>
  </si>
  <si>
    <t>AMANDA SPAYD</t>
  </si>
  <si>
    <t>12/21/2012</t>
  </si>
  <si>
    <t>330 321 4116</t>
  </si>
  <si>
    <t>1360  W CLIFTON BLVD</t>
  </si>
  <si>
    <t xml:space="preserve">    14</t>
  </si>
  <si>
    <t>262737717</t>
  </si>
  <si>
    <t>-73.54</t>
  </si>
  <si>
    <t>178.08</t>
  </si>
  <si>
    <t>330 321-4116</t>
  </si>
  <si>
    <t>6431110</t>
  </si>
  <si>
    <t>12742710</t>
  </si>
  <si>
    <t>Margo D McMaster</t>
  </si>
  <si>
    <t>614 649 8713</t>
  </si>
  <si>
    <t>1416   LEWIS DR</t>
  </si>
  <si>
    <t xml:space="preserve">   106</t>
  </si>
  <si>
    <t>RGI6180</t>
  </si>
  <si>
    <t>[D5E3R34002506]</t>
  </si>
  <si>
    <t>-364.97</t>
  </si>
  <si>
    <t>-75.32</t>
  </si>
  <si>
    <t>-16.52</t>
  </si>
  <si>
    <t>541.62</t>
  </si>
  <si>
    <t>151.65</t>
  </si>
  <si>
    <t>364.97</t>
  </si>
  <si>
    <t>614 649-8713</t>
  </si>
  <si>
    <t>6431112</t>
  </si>
  <si>
    <t>21529316</t>
  </si>
  <si>
    <t>Joshua Rouse</t>
  </si>
  <si>
    <t>5900   WOOLMAN CT</t>
  </si>
  <si>
    <t>CSA824H</t>
  </si>
  <si>
    <t>SABNQVFBS</t>
  </si>
  <si>
    <t>-125.50</t>
  </si>
  <si>
    <t>-415.79</t>
  </si>
  <si>
    <t>296.7</t>
  </si>
  <si>
    <t>.68</t>
  </si>
  <si>
    <t>161.85</t>
  </si>
  <si>
    <t>134.85</t>
  </si>
  <si>
    <t>2014-03-24 00:00:00</t>
  </si>
  <si>
    <t>440 503-8374</t>
  </si>
  <si>
    <t>6431114</t>
  </si>
  <si>
    <t>21529608</t>
  </si>
  <si>
    <t>tania martin</t>
  </si>
  <si>
    <t>12/13/2014</t>
  </si>
  <si>
    <t>206 973 1840</t>
  </si>
  <si>
    <t>SABKFLBXK</t>
  </si>
  <si>
    <t>-87.90</t>
  </si>
  <si>
    <t>-87.89</t>
  </si>
  <si>
    <t>169.8</t>
  </si>
  <si>
    <t>87.9</t>
  </si>
  <si>
    <t>81.9</t>
  </si>
  <si>
    <t>206 973-1840</t>
  </si>
  <si>
    <t>6431116</t>
  </si>
  <si>
    <t>21621807</t>
  </si>
  <si>
    <t>DANTE WITHERS</t>
  </si>
  <si>
    <t>10/13/2015</t>
  </si>
  <si>
    <t>216 200 0175</t>
  </si>
  <si>
    <t>1600   SENECA BLVD</t>
  </si>
  <si>
    <t xml:space="preserve">  B302</t>
  </si>
  <si>
    <t>-31.19</t>
  </si>
  <si>
    <t>-29.39</t>
  </si>
  <si>
    <t>-10.00</t>
  </si>
  <si>
    <t>37.2</t>
  </si>
  <si>
    <t>216 200-0175</t>
  </si>
  <si>
    <t>6431125</t>
  </si>
  <si>
    <t>6036616</t>
  </si>
  <si>
    <t>BRENDA COOPER</t>
  </si>
  <si>
    <t>440 444 2602</t>
  </si>
  <si>
    <t>5320   KNOLLWOOD DR</t>
  </si>
  <si>
    <t>262429267</t>
  </si>
  <si>
    <t>-355.01</t>
  </si>
  <si>
    <t>-169.01</t>
  </si>
  <si>
    <t>715.48</t>
  </si>
  <si>
    <t>281.77</t>
  </si>
  <si>
    <t>78.7</t>
  </si>
  <si>
    <t>355.01</t>
  </si>
  <si>
    <t>440 444-2602</t>
  </si>
  <si>
    <t>6431126</t>
  </si>
  <si>
    <t>23336206</t>
  </si>
  <si>
    <t>Brian Tierney</t>
  </si>
  <si>
    <t>10/02/2014</t>
  </si>
  <si>
    <t>216 398 8911</t>
  </si>
  <si>
    <t xml:space="preserve">  3227</t>
  </si>
  <si>
    <t>-76.70</t>
  </si>
  <si>
    <t>-240.56</t>
  </si>
  <si>
    <t>186.24</t>
  </si>
  <si>
    <t>100.12</t>
  </si>
  <si>
    <t>216 398-8911</t>
  </si>
  <si>
    <t>6431433</t>
  </si>
  <si>
    <t>388106</t>
  </si>
  <si>
    <t>ANTHONY BANKOWSKI</t>
  </si>
  <si>
    <t>11/22/2014</t>
  </si>
  <si>
    <t>216 509 3504</t>
  </si>
  <si>
    <t>6765   PARMA PARK BLVD</t>
  </si>
  <si>
    <t>EVY506D19051</t>
  </si>
  <si>
    <t>-212.77</t>
  </si>
  <si>
    <t>-212.76</t>
  </si>
  <si>
    <t>-211.72</t>
  </si>
  <si>
    <t>431.63</t>
  </si>
  <si>
    <t>214.97</t>
  </si>
  <si>
    <t>216.66</t>
  </si>
  <si>
    <t>216 509-3504</t>
  </si>
  <si>
    <t>6431440</t>
  </si>
  <si>
    <t>10453906</t>
  </si>
  <si>
    <t>Brian Proppe</t>
  </si>
  <si>
    <t>01/19/2013</t>
  </si>
  <si>
    <t>440 773 4472</t>
  </si>
  <si>
    <t>28   CARL LN</t>
  </si>
  <si>
    <t>EVY447D57776</t>
  </si>
  <si>
    <t>91.55</t>
  </si>
  <si>
    <t>46.91</t>
  </si>
  <si>
    <t>440 773-4472</t>
  </si>
  <si>
    <t>6431441</t>
  </si>
  <si>
    <t>10491402</t>
  </si>
  <si>
    <t>IGOR FAE</t>
  </si>
  <si>
    <t>02/14/2014</t>
  </si>
  <si>
    <t>216 882 6742</t>
  </si>
  <si>
    <t>14300   MADISON AVE</t>
  </si>
  <si>
    <t xml:space="preserve">   308</t>
  </si>
  <si>
    <t>EVY511D04733</t>
  </si>
  <si>
    <t>-204.63</t>
  </si>
  <si>
    <t>-149.19</t>
  </si>
  <si>
    <t>317.2</t>
  </si>
  <si>
    <t>155.32</t>
  </si>
  <si>
    <t>161.88</t>
  </si>
  <si>
    <t>216 882-6742</t>
  </si>
  <si>
    <t>6431447</t>
  </si>
  <si>
    <t>11103604</t>
  </si>
  <si>
    <t>JENNIFER L ANTIO</t>
  </si>
  <si>
    <t>07/14/2012</t>
  </si>
  <si>
    <t>216 254 8085</t>
  </si>
  <si>
    <t>4223  W 220TH ST</t>
  </si>
  <si>
    <t>[0HYTSSTY6Y09]</t>
  </si>
  <si>
    <t>-61.46</t>
  </si>
  <si>
    <t>-101.00</t>
  </si>
  <si>
    <t>-154.81</t>
  </si>
  <si>
    <t>100.28</t>
  </si>
  <si>
    <t>50.14</t>
  </si>
  <si>
    <t>216 254-8085</t>
  </si>
  <si>
    <t>6431455</t>
  </si>
  <si>
    <t>3379002</t>
  </si>
  <si>
    <t>JESSICA N NOSS</t>
  </si>
  <si>
    <t>09/19/2009</t>
  </si>
  <si>
    <t>440 481 3844</t>
  </si>
  <si>
    <t>6264   ALDERWOOD RD</t>
  </si>
  <si>
    <t>[0HYTV0Y4G7M8]</t>
  </si>
  <si>
    <t>-223.24</t>
  </si>
  <si>
    <t>-235.05</t>
  </si>
  <si>
    <t>-233.35</t>
  </si>
  <si>
    <t>562.68</t>
  </si>
  <si>
    <t>327.5</t>
  </si>
  <si>
    <t>235.18</t>
  </si>
  <si>
    <t>440 481-3844</t>
  </si>
  <si>
    <t>216 970-6054</t>
  </si>
  <si>
    <t>6431472</t>
  </si>
  <si>
    <t>12745706</t>
  </si>
  <si>
    <t>HALEY CATES</t>
  </si>
  <si>
    <t>216 319 9035</t>
  </si>
  <si>
    <t>9503   FERNHILL AVE</t>
  </si>
  <si>
    <t>3HW14AWF07158</t>
  </si>
  <si>
    <t>390.58</t>
  </si>
  <si>
    <t>186.96</t>
  </si>
  <si>
    <t>203.62</t>
  </si>
  <si>
    <t>216 319-9035</t>
  </si>
  <si>
    <t>6431485</t>
  </si>
  <si>
    <t>22058512</t>
  </si>
  <si>
    <t>Anthony F Ely</t>
  </si>
  <si>
    <t>216 644 3517</t>
  </si>
  <si>
    <t>1418  W CLIFTON BLVD</t>
  </si>
  <si>
    <t>3HW14BWH003F5</t>
  </si>
  <si>
    <t>-21.10</t>
  </si>
  <si>
    <t>140.75</t>
  </si>
  <si>
    <t>67.21</t>
  </si>
  <si>
    <t>216 644-3517</t>
  </si>
  <si>
    <t>6431500</t>
  </si>
  <si>
    <t>23576206</t>
  </si>
  <si>
    <t>TANNER SCHULER</t>
  </si>
  <si>
    <t>01/15/2015</t>
  </si>
  <si>
    <t>216 624 2774</t>
  </si>
  <si>
    <t>[358981303620280404030015]</t>
  </si>
  <si>
    <t>-69.98</t>
  </si>
  <si>
    <t>-85.75</t>
  </si>
  <si>
    <t>69.98</t>
  </si>
  <si>
    <t>34.99</t>
  </si>
  <si>
    <t>216 624-2774</t>
  </si>
  <si>
    <t>6431503</t>
  </si>
  <si>
    <t>24184602</t>
  </si>
  <si>
    <t>Allan Emley</t>
  </si>
  <si>
    <t>08/09/2012</t>
  </si>
  <si>
    <t>440 225 3584</t>
  </si>
  <si>
    <t>27383   WHEATON PL</t>
  </si>
  <si>
    <t>235561013</t>
  </si>
  <si>
    <t>846</t>
  </si>
  <si>
    <t>-263.50</t>
  </si>
  <si>
    <t>-298.75</t>
  </si>
  <si>
    <t>-237.80</t>
  </si>
  <si>
    <t>1046.98</t>
  </si>
  <si>
    <t>263.99</t>
  </si>
  <si>
    <t>293.47</t>
  </si>
  <si>
    <t>489.52</t>
  </si>
  <si>
    <t>440 225-3584</t>
  </si>
  <si>
    <t>6431509</t>
  </si>
  <si>
    <t>24976802</t>
  </si>
  <si>
    <t>WILLIAM WEBER</t>
  </si>
  <si>
    <t>08/12/2010</t>
  </si>
  <si>
    <t>440 476 8235</t>
  </si>
  <si>
    <t>5936   STUMPH RD</t>
  </si>
  <si>
    <t xml:space="preserve">   218</t>
  </si>
  <si>
    <t>[0HYTV0RKYR27]</t>
  </si>
  <si>
    <t>-136.29</t>
  </si>
  <si>
    <t>-180.30</t>
  </si>
  <si>
    <t>-202.19</t>
  </si>
  <si>
    <t>431.22</t>
  </si>
  <si>
    <t>165.93</t>
  </si>
  <si>
    <t>230.29</t>
  </si>
  <si>
    <t>35</t>
  </si>
  <si>
    <t>440 476-8235</t>
  </si>
  <si>
    <t>6431511</t>
  </si>
  <si>
    <t>8685004</t>
  </si>
  <si>
    <t>AIMMEE LUCARELL</t>
  </si>
  <si>
    <t>440 842 8146</t>
  </si>
  <si>
    <t>7694   ANN ARBOR DR</t>
  </si>
  <si>
    <t>262585422</t>
  </si>
  <si>
    <t>-100.78</t>
  </si>
  <si>
    <t>-237.58</t>
  </si>
  <si>
    <t>369.92</t>
  </si>
  <si>
    <t>195</t>
  </si>
  <si>
    <t>174.92</t>
  </si>
  <si>
    <t>440 842-8146</t>
  </si>
  <si>
    <t>10/05/2015</t>
  </si>
  <si>
    <t>6433042</t>
  </si>
  <si>
    <t>916605</t>
  </si>
  <si>
    <t>TRAVIS ULLE</t>
  </si>
  <si>
    <t>440 478 9234</t>
  </si>
  <si>
    <t>1347   ANDREWS AVE</t>
  </si>
  <si>
    <t>265.31</t>
  </si>
  <si>
    <t>107.1</t>
  </si>
  <si>
    <t>152.21</t>
  </si>
  <si>
    <t>440 478-9234</t>
  </si>
  <si>
    <t>6433045</t>
  </si>
  <si>
    <t>281110</t>
  </si>
  <si>
    <t>ADAM REGALO</t>
  </si>
  <si>
    <t>02/15/2007</t>
  </si>
  <si>
    <t>440 310 6655</t>
  </si>
  <si>
    <t>6942   OAKWOOD RD</t>
  </si>
  <si>
    <t>[07WB0FLS3570]</t>
  </si>
  <si>
    <t>-130.41</t>
  </si>
  <si>
    <t>-117.96</t>
  </si>
  <si>
    <t>75.45</t>
  </si>
  <si>
    <t>41.59</t>
  </si>
  <si>
    <t>33.86</t>
  </si>
  <si>
    <t>440 310-6655</t>
  </si>
  <si>
    <t>6433051</t>
  </si>
  <si>
    <t>10156709</t>
  </si>
  <si>
    <t>Carolyn Mcbride</t>
  </si>
  <si>
    <t>216 956 0310</t>
  </si>
  <si>
    <t>1452   NEWMAN AVE</t>
  </si>
  <si>
    <t>EVY504D10195</t>
  </si>
  <si>
    <t>589.38</t>
  </si>
  <si>
    <t>200.09</t>
  </si>
  <si>
    <t>289.29</t>
  </si>
  <si>
    <t>100</t>
  </si>
  <si>
    <t>216 956-0310</t>
  </si>
  <si>
    <t>6433054</t>
  </si>
  <si>
    <t>2095508</t>
  </si>
  <si>
    <t>Erika Golod</t>
  </si>
  <si>
    <t>440 799 8521</t>
  </si>
  <si>
    <t>1641   BUNTS RD</t>
  </si>
  <si>
    <t>DSA3925</t>
  </si>
  <si>
    <t>260204153</t>
  </si>
  <si>
    <t>-50.31</t>
  </si>
  <si>
    <t>-112.00</t>
  </si>
  <si>
    <t>-157.63</t>
  </si>
  <si>
    <t>507.44</t>
  </si>
  <si>
    <t>185.41</t>
  </si>
  <si>
    <t>178.91</t>
  </si>
  <si>
    <t>440 799-8521</t>
  </si>
  <si>
    <t>6433063</t>
  </si>
  <si>
    <t>11015211</t>
  </si>
  <si>
    <t>ALICIA HURD</t>
  </si>
  <si>
    <t>216 372 8488</t>
  </si>
  <si>
    <t>9675   FERNWOOD DR</t>
  </si>
  <si>
    <t xml:space="preserve">  D111</t>
  </si>
  <si>
    <t>E2U4M13005009</t>
  </si>
  <si>
    <t>-313.03</t>
  </si>
  <si>
    <t>-133.15</t>
  </si>
  <si>
    <t>571.12</t>
  </si>
  <si>
    <t>47.21</t>
  </si>
  <si>
    <t>210.88</t>
  </si>
  <si>
    <t>313.03</t>
  </si>
  <si>
    <t>2015-09-30 00:00:00</t>
  </si>
  <si>
    <t>216 372-8488</t>
  </si>
  <si>
    <t>6433065</t>
  </si>
  <si>
    <t>2788711</t>
  </si>
  <si>
    <t>Cynthia Hall</t>
  </si>
  <si>
    <t>09/03/2014</t>
  </si>
  <si>
    <t>216 609 2333</t>
  </si>
  <si>
    <t>1439   LAUDERDALE AVE</t>
  </si>
  <si>
    <t>EVY507D13329</t>
  </si>
  <si>
    <t>-234.94</t>
  </si>
  <si>
    <t>824.3</t>
  </si>
  <si>
    <t>262.82</t>
  </si>
  <si>
    <t>252.91</t>
  </si>
  <si>
    <t>308.57</t>
  </si>
  <si>
    <t>216 609-2333</t>
  </si>
  <si>
    <t>6433072</t>
  </si>
  <si>
    <t>3274305</t>
  </si>
  <si>
    <t>ANA ESLAQUIT</t>
  </si>
  <si>
    <t>440 915 2892</t>
  </si>
  <si>
    <t>10406   MANORFORD DR</t>
  </si>
  <si>
    <t>3HW14BW301721</t>
  </si>
  <si>
    <t>385.37</t>
  </si>
  <si>
    <t>159.87</t>
  </si>
  <si>
    <t>225.5</t>
  </si>
  <si>
    <t>440 915-2892</t>
  </si>
  <si>
    <t>6433086</t>
  </si>
  <si>
    <t>12403303</t>
  </si>
  <si>
    <t>LJUBOMIR RUZIC</t>
  </si>
  <si>
    <t>12400   MADISON AVE</t>
  </si>
  <si>
    <t xml:space="preserve">   414</t>
  </si>
  <si>
    <t>272760935</t>
  </si>
  <si>
    <t>81.89</t>
  </si>
  <si>
    <t>183.32</t>
  </si>
  <si>
    <t>216 235-5356</t>
  </si>
  <si>
    <t>6433091</t>
  </si>
  <si>
    <t>12702814</t>
  </si>
  <si>
    <t>Michelle Dawson</t>
  </si>
  <si>
    <t>12/17/2013</t>
  </si>
  <si>
    <t>216 374 4634</t>
  </si>
  <si>
    <t>1412   RIDGEWOOD AVE</t>
  </si>
  <si>
    <t>SABHGGBJT</t>
  </si>
  <si>
    <t>-145.00</t>
  </si>
  <si>
    <t>-160.87</t>
  </si>
  <si>
    <t>-207.75</t>
  </si>
  <si>
    <t>360.97</t>
  </si>
  <si>
    <t>200.39</t>
  </si>
  <si>
    <t>160.58</t>
  </si>
  <si>
    <t>216 374-4634</t>
  </si>
  <si>
    <t>6433093</t>
  </si>
  <si>
    <t>4852307</t>
  </si>
  <si>
    <t>Kevin C Williams</t>
  </si>
  <si>
    <t>11/16/2013</t>
  </si>
  <si>
    <t>216 712 6730</t>
  </si>
  <si>
    <t>1303   COVE AVE</t>
  </si>
  <si>
    <t>248279093</t>
  </si>
  <si>
    <t>-86.60</t>
  </si>
  <si>
    <t>-179.45</t>
  </si>
  <si>
    <t>-302.65</t>
  </si>
  <si>
    <t>296.55</t>
  </si>
  <si>
    <t>125.48</t>
  </si>
  <si>
    <t>216 712-6730</t>
  </si>
  <si>
    <t>216 855-8806</t>
  </si>
  <si>
    <t>6433100</t>
  </si>
  <si>
    <t>21613611</t>
  </si>
  <si>
    <t>Amy R Walden</t>
  </si>
  <si>
    <t>12/26/2014</t>
  </si>
  <si>
    <t>216 233 1584</t>
  </si>
  <si>
    <t>11573  E HUFFMAN RD</t>
  </si>
  <si>
    <t xml:space="preserve">   A10</t>
  </si>
  <si>
    <t>SABHNFCZF</t>
  </si>
  <si>
    <t>295.02</t>
  </si>
  <si>
    <t>6.25</t>
  </si>
  <si>
    <t>167.31</t>
  </si>
  <si>
    <t>121.46</t>
  </si>
  <si>
    <t>216 233-1584</t>
  </si>
  <si>
    <t>216 375-3993</t>
  </si>
  <si>
    <t>6433108</t>
  </si>
  <si>
    <t>5916006</t>
  </si>
  <si>
    <t>LAWRENCE CLEMONS</t>
  </si>
  <si>
    <t>216 703 7535</t>
  </si>
  <si>
    <t>8006   LANYARD DR</t>
  </si>
  <si>
    <t>DC24M13003870</t>
  </si>
  <si>
    <t>-159.94</t>
  </si>
  <si>
    <t>-136.65</t>
  </si>
  <si>
    <t>441.94</t>
  </si>
  <si>
    <t>184.88</t>
  </si>
  <si>
    <t>120.41</t>
  </si>
  <si>
    <t>136.65</t>
  </si>
  <si>
    <t>216 703-7535</t>
  </si>
  <si>
    <t>216 801-5636</t>
  </si>
  <si>
    <t>6433110</t>
  </si>
  <si>
    <t>22178712</t>
  </si>
  <si>
    <t>Darlene Stralka-Peskar</t>
  </si>
  <si>
    <t>216 303 2643</t>
  </si>
  <si>
    <t>7523   BROOKPARK RD</t>
  </si>
  <si>
    <t>[3HW147WN06F16]</t>
  </si>
  <si>
    <t>-303.60</t>
  </si>
  <si>
    <t>-119.00</t>
  </si>
  <si>
    <t>596.04</t>
  </si>
  <si>
    <t>5.24</t>
  </si>
  <si>
    <t>156.62</t>
  </si>
  <si>
    <t>130.58</t>
  </si>
  <si>
    <t>303.6</t>
  </si>
  <si>
    <t>216 303-2643</t>
  </si>
  <si>
    <t>6433121</t>
  </si>
  <si>
    <t>22809905</t>
  </si>
  <si>
    <t>RICHARD CUEVAS</t>
  </si>
  <si>
    <t>440 799 8315</t>
  </si>
  <si>
    <t>13531   DETROIT AVE</t>
  </si>
  <si>
    <t>DCI382P</t>
  </si>
  <si>
    <t>262301079</t>
  </si>
  <si>
    <t>-185.35</t>
  </si>
  <si>
    <t>470.03</t>
  </si>
  <si>
    <t>186.5</t>
  </si>
  <si>
    <t>258.53</t>
  </si>
  <si>
    <t>440 799-8315</t>
  </si>
  <si>
    <t>216 258-9913</t>
  </si>
  <si>
    <t>216 741-2911</t>
  </si>
  <si>
    <t>6433123</t>
  </si>
  <si>
    <t>23035306</t>
  </si>
  <si>
    <t>Stacie Godina</t>
  </si>
  <si>
    <t>440 479 0245</t>
  </si>
  <si>
    <t>22689   LENOX DR</t>
  </si>
  <si>
    <t>SABNDFGFN</t>
  </si>
  <si>
    <t>-454.14</t>
  </si>
  <si>
    <t>205.68</t>
  </si>
  <si>
    <t>147.65</t>
  </si>
  <si>
    <t>58.03</t>
  </si>
  <si>
    <t>440 479-0245</t>
  </si>
  <si>
    <t>6433125</t>
  </si>
  <si>
    <t>23229310</t>
  </si>
  <si>
    <t>Michelle K Moore</t>
  </si>
  <si>
    <t>216 406 8979</t>
  </si>
  <si>
    <t>11121   NAVAJO LN</t>
  </si>
  <si>
    <t xml:space="preserve">   303</t>
  </si>
  <si>
    <t>EVY452D84246</t>
  </si>
  <si>
    <t>-91.66</t>
  </si>
  <si>
    <t>616.67</t>
  </si>
  <si>
    <t>167.64</t>
  </si>
  <si>
    <t>170.35</t>
  </si>
  <si>
    <t>243.68</t>
  </si>
  <si>
    <t>2015-10-07 00:00:00</t>
  </si>
  <si>
    <t>216 406-8979</t>
  </si>
  <si>
    <t>6433132</t>
  </si>
  <si>
    <t>7396503</t>
  </si>
  <si>
    <t>BOB SKUFCA</t>
  </si>
  <si>
    <t>07/13/2009</t>
  </si>
  <si>
    <t>216 661 6643</t>
  </si>
  <si>
    <t>2001   GROVEWOOD AVE</t>
  </si>
  <si>
    <t>CSA325H</t>
  </si>
  <si>
    <t>SABMCDCGF</t>
  </si>
  <si>
    <t>-118.55</t>
  </si>
  <si>
    <t>-242.36</t>
  </si>
  <si>
    <t>-117.82</t>
  </si>
  <si>
    <t>249.1</t>
  </si>
  <si>
    <t>124.55</t>
  </si>
  <si>
    <t>216 661-6643</t>
  </si>
  <si>
    <t>6433139</t>
  </si>
  <si>
    <t>23622309</t>
  </si>
  <si>
    <t>BURT SZANTAY</t>
  </si>
  <si>
    <t>440 384 4928</t>
  </si>
  <si>
    <t>9235  N CHURCH DR</t>
  </si>
  <si>
    <t xml:space="preserve">   526</t>
  </si>
  <si>
    <t>SACDFSJPS</t>
  </si>
  <si>
    <t>-93.68</t>
  </si>
  <si>
    <t>-99.00</t>
  </si>
  <si>
    <t>-88.73</t>
  </si>
  <si>
    <t>207.23</t>
  </si>
  <si>
    <t>95.92</t>
  </si>
  <si>
    <t>111.31</t>
  </si>
  <si>
    <t>440 384-4928</t>
  </si>
  <si>
    <t>6433144</t>
  </si>
  <si>
    <t>8110410</t>
  </si>
  <si>
    <t>MARYANN HRUBY</t>
  </si>
  <si>
    <t>07/15/2011</t>
  </si>
  <si>
    <t>216 221 0856</t>
  </si>
  <si>
    <t>12810   DETROIT AVE</t>
  </si>
  <si>
    <t>[08GG4KB80KF3]</t>
  </si>
  <si>
    <t>358.93</t>
  </si>
  <si>
    <t>180.2</t>
  </si>
  <si>
    <t>178.73</t>
  </si>
  <si>
    <t>216 221-0856</t>
  </si>
  <si>
    <t>6433148</t>
  </si>
  <si>
    <t>23992105</t>
  </si>
  <si>
    <t>NICOLE CASTILLO</t>
  </si>
  <si>
    <t>02/15/2014</t>
  </si>
  <si>
    <t>216 253 2223</t>
  </si>
  <si>
    <t>16801   HILLIARD RD</t>
  </si>
  <si>
    <t>[111111112222222222333333]</t>
  </si>
  <si>
    <t>-167.98</t>
  </si>
  <si>
    <t>-83.99</t>
  </si>
  <si>
    <t>-94.13</t>
  </si>
  <si>
    <t>161.98</t>
  </si>
  <si>
    <t>83.99</t>
  </si>
  <si>
    <t>216 253-2223</t>
  </si>
  <si>
    <t>6433152</t>
  </si>
  <si>
    <t>24152805</t>
  </si>
  <si>
    <t>THOMAS LEWIS</t>
  </si>
  <si>
    <t>330 631 4100</t>
  </si>
  <si>
    <t>16805   HILLIARD RD</t>
  </si>
  <si>
    <t>SACBMGFPT</t>
  </si>
  <si>
    <t>-75.69</t>
  </si>
  <si>
    <t>-73.77</t>
  </si>
  <si>
    <t>-117.60</t>
  </si>
  <si>
    <t>386.39</t>
  </si>
  <si>
    <t>102.78</t>
  </si>
  <si>
    <t>283.61</t>
  </si>
  <si>
    <t>330 631-4100</t>
  </si>
  <si>
    <t>6433156</t>
  </si>
  <si>
    <t>24820004</t>
  </si>
  <si>
    <t>RYAN SEGEDI</t>
  </si>
  <si>
    <t>03/06/2014</t>
  </si>
  <si>
    <t>440 666 6285</t>
  </si>
  <si>
    <t>27032   OAKWOOD CIR</t>
  </si>
  <si>
    <t xml:space="preserve"> P-101</t>
  </si>
  <si>
    <t>SABSCRQZD</t>
  </si>
  <si>
    <t>-275.81</t>
  </si>
  <si>
    <t>-139.99</t>
  </si>
  <si>
    <t>622.47</t>
  </si>
  <si>
    <t>198.32</t>
  </si>
  <si>
    <t>148.34</t>
  </si>
  <si>
    <t>275.81</t>
  </si>
  <si>
    <t>440 666-6285</t>
  </si>
  <si>
    <t>6433159</t>
  </si>
  <si>
    <t>8646702</t>
  </si>
  <si>
    <t>MICHAEL D LOUIS</t>
  </si>
  <si>
    <t>09/13/2013</t>
  </si>
  <si>
    <t>440 292 7250</t>
  </si>
  <si>
    <t>2746   BOWMEN LN</t>
  </si>
  <si>
    <t>EVY501D26098</t>
  </si>
  <si>
    <t>-153.65</t>
  </si>
  <si>
    <t>-153.64</t>
  </si>
  <si>
    <t>330.02</t>
  </si>
  <si>
    <t>176.37</t>
  </si>
  <si>
    <t>153.65</t>
  </si>
  <si>
    <t>440 292-7250</t>
  </si>
  <si>
    <t>6433161</t>
  </si>
  <si>
    <t>8752005</t>
  </si>
  <si>
    <t>Denise DiCaprio</t>
  </si>
  <si>
    <t>03/10/2012</t>
  </si>
  <si>
    <t>440 882 6646</t>
  </si>
  <si>
    <t>7236   NOBB HILL DR</t>
  </si>
  <si>
    <t>SACBJZZLS</t>
  </si>
  <si>
    <t>-192.18</t>
  </si>
  <si>
    <t>-196.70</t>
  </si>
  <si>
    <t>-184.37</t>
  </si>
  <si>
    <t>753.32</t>
  </si>
  <si>
    <t>246.38</t>
  </si>
  <si>
    <t>259.76</t>
  </si>
  <si>
    <t>247.18</t>
  </si>
  <si>
    <t>440 882-6646</t>
  </si>
  <si>
    <t>440 552-6230</t>
  </si>
  <si>
    <t>6433165</t>
  </si>
  <si>
    <t>25062702</t>
  </si>
  <si>
    <t>MARY ANN HORVATH</t>
  </si>
  <si>
    <t>07/16/2010</t>
  </si>
  <si>
    <t>440 235 1438</t>
  </si>
  <si>
    <t>12   ASH DR</t>
  </si>
  <si>
    <t>EVY448DD1373</t>
  </si>
  <si>
    <t>-67.79</t>
  </si>
  <si>
    <t>-33.89</t>
  </si>
  <si>
    <t>440 235-1438</t>
  </si>
  <si>
    <t>6433169</t>
  </si>
  <si>
    <t>9333616</t>
  </si>
  <si>
    <t>DAKOTA MCCOY</t>
  </si>
  <si>
    <t>502 904 3484</t>
  </si>
  <si>
    <t>2006   WATERBURY RD</t>
  </si>
  <si>
    <t>SABNNZNHM</t>
  </si>
  <si>
    <t>-59.80</t>
  </si>
  <si>
    <t>-76.89</t>
  </si>
  <si>
    <t>185.67</t>
  </si>
  <si>
    <t>82.77</t>
  </si>
  <si>
    <t>82.9</t>
  </si>
  <si>
    <t>502 904-3484</t>
  </si>
  <si>
    <t>6425421</t>
  </si>
  <si>
    <t>6425462</t>
  </si>
  <si>
    <t>6427173</t>
  </si>
  <si>
    <t>460.68</t>
  </si>
  <si>
    <t>163.04</t>
  </si>
  <si>
    <t>131.82</t>
  </si>
  <si>
    <t>6428676</t>
  </si>
  <si>
    <t>6428698</t>
  </si>
  <si>
    <t>10/02/2015</t>
  </si>
  <si>
    <t>6430036</t>
  </si>
  <si>
    <t>2986203</t>
  </si>
  <si>
    <t>John C Manz</t>
  </si>
  <si>
    <t>216 227 2060</t>
  </si>
  <si>
    <t>2236   LINCOLN AVE</t>
  </si>
  <si>
    <t>SABNDCZQM</t>
  </si>
  <si>
    <t>-109.98</t>
  </si>
  <si>
    <t>-51.99</t>
  </si>
  <si>
    <t>958.46</t>
  </si>
  <si>
    <t>671.99</t>
  </si>
  <si>
    <t>130.83</t>
  </si>
  <si>
    <t>131.11</t>
  </si>
  <si>
    <t>24.53</t>
  </si>
  <si>
    <t>216 227-2060</t>
  </si>
  <si>
    <t>6430037</t>
  </si>
  <si>
    <t>6430038</t>
  </si>
  <si>
    <t>6430039</t>
  </si>
  <si>
    <t>8738203</t>
  </si>
  <si>
    <t>CINDY HARHAY</t>
  </si>
  <si>
    <t>440 334 7174</t>
  </si>
  <si>
    <t>7285   GLENN OVAL DR</t>
  </si>
  <si>
    <t>E184M13000527</t>
  </si>
  <si>
    <t>-146.98</t>
  </si>
  <si>
    <t>1025.34</t>
  </si>
  <si>
    <t>647.65</t>
  </si>
  <si>
    <t>201.78</t>
  </si>
  <si>
    <t>175.91</t>
  </si>
  <si>
    <t>440 334-7174</t>
  </si>
  <si>
    <t>6431076</t>
  </si>
  <si>
    <t>6431097</t>
  </si>
  <si>
    <t>12042702</t>
  </si>
  <si>
    <t>INEZ L WILLIAMS</t>
  </si>
  <si>
    <t>06/13/2014</t>
  </si>
  <si>
    <t>6291  S PARK BLVD</t>
  </si>
  <si>
    <t>-195.65</t>
  </si>
  <si>
    <t>447.84</t>
  </si>
  <si>
    <t>174.18</t>
  </si>
  <si>
    <t>216.53</t>
  </si>
  <si>
    <t>57.13</t>
  </si>
  <si>
    <t>216 338-3590</t>
  </si>
  <si>
    <t>6431442</t>
  </si>
  <si>
    <t>6431446</t>
  </si>
  <si>
    <t>6431470</t>
  </si>
  <si>
    <t>6431483</t>
  </si>
  <si>
    <t>5142618</t>
  </si>
  <si>
    <t>Emily Anderson</t>
  </si>
  <si>
    <t>216 776 2419</t>
  </si>
  <si>
    <t>1277   COVE AVE</t>
  </si>
  <si>
    <t>EVY501D30494</t>
  </si>
  <si>
    <t>-102.57</t>
  </si>
  <si>
    <t>-96.19</t>
  </si>
  <si>
    <t>333.26</t>
  </si>
  <si>
    <t>123.12</t>
  </si>
  <si>
    <t>85.51</t>
  </si>
  <si>
    <t>111.67</t>
  </si>
  <si>
    <t>12.96</t>
  </si>
  <si>
    <t>216 776-2419</t>
  </si>
  <si>
    <t>6431497</t>
  </si>
  <si>
    <t>6431515</t>
  </si>
  <si>
    <t>6433068</t>
  </si>
  <si>
    <t>6433071</t>
  </si>
  <si>
    <t>6433079</t>
  </si>
  <si>
    <t>6433094</t>
  </si>
  <si>
    <t>6433096</t>
  </si>
  <si>
    <t>6433111</t>
  </si>
  <si>
    <t>6433153</t>
  </si>
  <si>
    <t>8388802</t>
  </si>
  <si>
    <t>Donald Klingensmith</t>
  </si>
  <si>
    <t>07/10/2014</t>
  </si>
  <si>
    <t>440 779 5759</t>
  </si>
  <si>
    <t>22380   MASTICK RD</t>
  </si>
  <si>
    <t>-172.22</t>
  </si>
  <si>
    <t>562.39</t>
  </si>
  <si>
    <t>153.19</t>
  </si>
  <si>
    <t>225.53</t>
  </si>
  <si>
    <t>172.59</t>
  </si>
  <si>
    <t>11.08</t>
  </si>
  <si>
    <t>440 779-5759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</si>
</sst>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trike/>
      <sz val="10"/>
      <color indexed="8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trike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</fills>
  <borders count="9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2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vertical="top" wrapText="1"/>
    </xf>
    <xf numFmtId="0" fontId="24" fillId="0" borderId="0" xfId="0" applyFont="1"/>
    <xf numFmtId="0" fontId="24" fillId="0" borderId="11" xfId="0" applyFont="1" applyBorder="1" applyAlignment="1">
      <alignment horizontal="right"/>
    </xf>
    <xf numFmtId="0" fontId="24" fillId="0" borderId="11" xfId="0" applyFont="1" applyFill="1" applyBorder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0" fillId="0" borderId="0" xfId="0"/>
    <xf numFmtId="0" fontId="25" fillId="0" borderId="0" xfId="0" applyFont="1" applyFill="1" applyBorder="1" applyAlignment="1">
      <alignment horizontal="left"/>
    </xf>
    <xf numFmtId="49" fontId="24" fillId="0" borderId="11" xfId="0" applyNumberFormat="1" applyFont="1" applyBorder="1"/>
    <xf numFmtId="49" fontId="24" fillId="0" borderId="19" xfId="0" applyNumberFormat="1" applyFont="1" applyBorder="1"/>
    <xf numFmtId="49" fontId="24" fillId="0" borderId="26" xfId="0" applyNumberFormat="1" applyFont="1" applyBorder="1"/>
    <xf numFmtId="49" fontId="24" fillId="0" borderId="13" xfId="0" applyNumberFormat="1" applyFont="1" applyBorder="1"/>
    <xf numFmtId="0" fontId="25" fillId="25" borderId="22" xfId="0" applyFont="1" applyFill="1" applyBorder="1" applyAlignment="1">
      <alignment horizontal="center"/>
    </xf>
    <xf numFmtId="0" fontId="25" fillId="25" borderId="23" xfId="0" applyFont="1" applyFill="1" applyBorder="1" applyAlignment="1">
      <alignment horizontal="center"/>
    </xf>
    <xf numFmtId="0" fontId="25" fillId="25" borderId="24" xfId="0" applyFont="1" applyFill="1" applyBorder="1" applyAlignment="1">
      <alignment horizontal="center"/>
    </xf>
    <xf numFmtId="49" fontId="24" fillId="0" borderId="20" xfId="0" applyNumberFormat="1" applyFont="1" applyBorder="1" applyAlignment="1">
      <alignment horizontal="center"/>
    </xf>
    <xf numFmtId="49" fontId="24" fillId="0" borderId="25" xfId="0" applyNumberFormat="1" applyFont="1" applyBorder="1" applyAlignment="1">
      <alignment horizontal="center"/>
    </xf>
    <xf numFmtId="14" fontId="24" fillId="0" borderId="0" xfId="0" applyNumberFormat="1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" fontId="24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4" fillId="0" borderId="11" xfId="0" applyNumberFormat="1" applyFont="1" applyFill="1" applyBorder="1" applyAlignment="1">
      <alignment horizontal="right"/>
    </xf>
    <xf numFmtId="0" fontId="26" fillId="0" borderId="0" xfId="0" applyFont="1" applyAlignment="1" applyProtection="1">
      <alignment wrapText="1"/>
    </xf>
    <xf numFmtId="0" fontId="26" fillId="0" borderId="0" xfId="0" applyFont="1" applyProtection="1"/>
    <xf numFmtId="0" fontId="26" fillId="0" borderId="0" xfId="0" applyFont="1" applyAlignment="1" applyProtection="1"/>
    <xf numFmtId="0" fontId="27" fillId="0" borderId="0" xfId="0" applyFont="1" applyProtection="1"/>
    <xf numFmtId="0" fontId="25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5" fillId="29" borderId="27" xfId="0" applyFont="1" applyFill="1" applyBorder="1"/>
    <xf numFmtId="0" fontId="25" fillId="29" borderId="46" xfId="0" applyFont="1" applyFill="1" applyBorder="1"/>
    <xf numFmtId="0" fontId="25" fillId="29" borderId="47" xfId="0" applyFont="1" applyFill="1" applyBorder="1"/>
    <xf numFmtId="0" fontId="1" fillId="32" borderId="42" xfId="0" applyFont="1" applyFill="1" applyBorder="1" applyAlignment="1">
      <alignment horizontal="center" vertical="center"/>
    </xf>
    <xf numFmtId="14" fontId="1" fillId="32" borderId="45" xfId="0" applyNumberFormat="1" applyFont="1" applyFill="1" applyBorder="1" applyAlignment="1">
      <alignment horizontal="center"/>
    </xf>
    <xf numFmtId="0" fontId="1" fillId="32" borderId="48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49" xfId="0" applyFont="1" applyFill="1" applyBorder="1" applyAlignment="1">
      <alignment horizontal="center" vertical="center"/>
    </xf>
    <xf numFmtId="14" fontId="1" fillId="32" borderId="50" xfId="0" applyNumberFormat="1" applyFont="1" applyFill="1" applyBorder="1" applyAlignment="1">
      <alignment horizontal="center"/>
    </xf>
    <xf numFmtId="0" fontId="25" fillId="30" borderId="27" xfId="0" applyFont="1" applyFill="1" applyBorder="1"/>
    <xf numFmtId="0" fontId="25" fillId="30" borderId="46" xfId="0" applyFont="1" applyFill="1" applyBorder="1"/>
    <xf numFmtId="0" fontId="25" fillId="30" borderId="47" xfId="0" applyFont="1" applyFill="1" applyBorder="1"/>
    <xf numFmtId="0" fontId="1" fillId="31" borderId="42" xfId="0" applyFont="1" applyFill="1" applyBorder="1" applyAlignment="1">
      <alignment horizontal="center" vertical="center"/>
    </xf>
    <xf numFmtId="14" fontId="1" fillId="31" borderId="45" xfId="0" applyNumberFormat="1" applyFont="1" applyFill="1" applyBorder="1" applyAlignment="1">
      <alignment horizontal="center"/>
    </xf>
    <xf numFmtId="0" fontId="1" fillId="31" borderId="48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52" xfId="0" applyNumberFormat="1" applyFont="1" applyFill="1" applyBorder="1" applyAlignment="1">
      <alignment horizontal="center"/>
    </xf>
    <xf numFmtId="0" fontId="29" fillId="0" borderId="0" xfId="0" applyFont="1" applyProtection="1"/>
    <xf numFmtId="0" fontId="27" fillId="28" borderId="32" xfId="0" applyFont="1" applyFill="1" applyBorder="1" applyAlignment="1" applyProtection="1">
      <alignment horizontal="center" wrapText="1"/>
    </xf>
    <xf numFmtId="166" fontId="29" fillId="28" borderId="34" xfId="0" applyNumberFormat="1" applyFont="1" applyFill="1" applyBorder="1" applyAlignment="1" applyProtection="1">
      <alignment horizontal="center" wrapText="1"/>
    </xf>
    <xf numFmtId="166" fontId="29" fillId="28" borderId="35" xfId="0" applyNumberFormat="1" applyFont="1" applyFill="1" applyBorder="1" applyAlignment="1" applyProtection="1">
      <alignment horizontal="center" wrapText="1"/>
    </xf>
    <xf numFmtId="0" fontId="29" fillId="28" borderId="32" xfId="0" applyFont="1" applyFill="1" applyBorder="1" applyAlignment="1" applyProtection="1">
      <alignment horizontal="center" wrapText="1"/>
    </xf>
    <xf numFmtId="0" fontId="29" fillId="0" borderId="36" xfId="0" applyFont="1" applyBorder="1" applyAlignment="1" applyProtection="1">
      <alignment horizontal="center" wrapText="1"/>
    </xf>
    <xf numFmtId="44" fontId="30" fillId="0" borderId="18" xfId="32" applyFont="1" applyFill="1" applyBorder="1" applyAlignment="1" applyProtection="1">
      <alignment horizontal="center" wrapText="1"/>
      <protection locked="0"/>
    </xf>
    <xf numFmtId="44" fontId="30" fillId="0" borderId="37" xfId="32" applyFont="1" applyFill="1" applyBorder="1" applyAlignment="1" applyProtection="1">
      <alignment horizontal="center" wrapText="1"/>
      <protection locked="0"/>
    </xf>
    <xf numFmtId="44" fontId="30" fillId="0" borderId="17" xfId="32" applyFont="1" applyFill="1" applyBorder="1" applyAlignment="1" applyProtection="1">
      <alignment horizontal="center" wrapText="1"/>
      <protection locked="0"/>
    </xf>
    <xf numFmtId="44" fontId="30" fillId="28" borderId="43" xfId="32" applyFont="1" applyFill="1" applyBorder="1" applyAlignment="1" applyProtection="1">
      <alignment horizontal="center" wrapText="1"/>
    </xf>
    <xf numFmtId="165" fontId="30" fillId="0" borderId="12" xfId="32" applyNumberFormat="1" applyFont="1" applyFill="1" applyBorder="1" applyAlignment="1" applyProtection="1">
      <alignment horizontal="center" wrapText="1"/>
      <protection locked="0"/>
    </xf>
    <xf numFmtId="165" fontId="30" fillId="0" borderId="19" xfId="32" applyNumberFormat="1" applyFont="1" applyFill="1" applyBorder="1" applyAlignment="1" applyProtection="1">
      <alignment horizontal="center" wrapText="1"/>
      <protection locked="0"/>
    </xf>
    <xf numFmtId="165" fontId="30" fillId="0" borderId="14" xfId="32" applyNumberFormat="1" applyFont="1" applyFill="1" applyBorder="1" applyAlignment="1" applyProtection="1">
      <alignment horizontal="center" wrapText="1"/>
      <protection locked="0"/>
    </xf>
    <xf numFmtId="44" fontId="30" fillId="28" borderId="44" xfId="32" applyFont="1" applyFill="1" applyBorder="1" applyAlignment="1" applyProtection="1">
      <alignment horizontal="center" wrapText="1"/>
    </xf>
    <xf numFmtId="1" fontId="31" fillId="0" borderId="12" xfId="32" applyNumberFormat="1" applyFont="1" applyFill="1" applyBorder="1" applyAlignment="1" applyProtection="1">
      <alignment horizontal="center" wrapText="1"/>
      <protection locked="0"/>
    </xf>
    <xf numFmtId="1" fontId="31" fillId="0" borderId="19" xfId="32" applyNumberFormat="1" applyFont="1" applyFill="1" applyBorder="1" applyAlignment="1" applyProtection="1">
      <alignment horizontal="center" wrapText="1"/>
      <protection locked="0"/>
    </xf>
    <xf numFmtId="1" fontId="31" fillId="0" borderId="14" xfId="32" applyNumberFormat="1" applyFont="1" applyFill="1" applyBorder="1" applyAlignment="1" applyProtection="1">
      <alignment horizontal="center" wrapText="1"/>
      <protection locked="0"/>
    </xf>
    <xf numFmtId="1" fontId="30" fillId="28" borderId="44" xfId="32" applyNumberFormat="1" applyFont="1" applyFill="1" applyBorder="1" applyAlignment="1" applyProtection="1">
      <alignment horizontal="center" wrapText="1"/>
    </xf>
    <xf numFmtId="1" fontId="31" fillId="0" borderId="12" xfId="0" applyNumberFormat="1" applyFont="1" applyFill="1" applyBorder="1" applyAlignment="1" applyProtection="1">
      <alignment horizontal="center" wrapText="1"/>
      <protection locked="0"/>
    </xf>
    <xf numFmtId="1" fontId="31" fillId="0" borderId="19" xfId="0" applyNumberFormat="1" applyFont="1" applyFill="1" applyBorder="1" applyAlignment="1" applyProtection="1">
      <alignment horizontal="center" wrapText="1"/>
      <protection locked="0"/>
    </xf>
    <xf numFmtId="1" fontId="31" fillId="0" borderId="14" xfId="0" applyNumberFormat="1" applyFont="1" applyFill="1" applyBorder="1" applyAlignment="1" applyProtection="1">
      <alignment horizontal="center" wrapText="1"/>
      <protection locked="0"/>
    </xf>
    <xf numFmtId="1" fontId="31" fillId="0" borderId="29" xfId="0" applyNumberFormat="1" applyFont="1" applyFill="1" applyBorder="1" applyAlignment="1" applyProtection="1">
      <alignment horizontal="center" wrapText="1"/>
      <protection locked="0"/>
    </xf>
    <xf numFmtId="1" fontId="31" fillId="0" borderId="39" xfId="0" applyNumberFormat="1" applyFont="1" applyFill="1" applyBorder="1" applyAlignment="1" applyProtection="1">
      <alignment horizontal="center" wrapText="1"/>
      <protection locked="0"/>
    </xf>
    <xf numFmtId="1" fontId="31" fillId="0" borderId="40" xfId="0" applyNumberFormat="1" applyFont="1" applyFill="1" applyBorder="1" applyAlignment="1" applyProtection="1">
      <alignment horizontal="center" wrapText="1"/>
      <protection locked="0"/>
    </xf>
    <xf numFmtId="1" fontId="30" fillId="28" borderId="45" xfId="32" applyNumberFormat="1" applyFont="1" applyFill="1" applyBorder="1" applyAlignment="1" applyProtection="1">
      <alignment horizontal="center" wrapText="1"/>
    </xf>
    <xf numFmtId="0" fontId="27" fillId="28" borderId="27" xfId="0" applyFont="1" applyFill="1" applyBorder="1" applyAlignment="1" applyProtection="1">
      <alignment horizontal="center" wrapText="1"/>
    </xf>
    <xf numFmtId="0" fontId="32" fillId="28" borderId="41" xfId="0" applyFont="1" applyFill="1" applyBorder="1" applyAlignment="1" applyProtection="1">
      <alignment horizontal="center" wrapText="1"/>
    </xf>
    <xf numFmtId="0" fontId="27" fillId="28" borderId="45" xfId="0" applyFont="1" applyFill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 wrapText="1"/>
    </xf>
    <xf numFmtId="1" fontId="31" fillId="0" borderId="0" xfId="0" applyNumberFormat="1" applyFont="1" applyFill="1" applyBorder="1" applyAlignment="1" applyProtection="1">
      <alignment horizontal="center" wrapText="1"/>
    </xf>
    <xf numFmtId="0" fontId="27" fillId="0" borderId="0" xfId="0" applyFont="1" applyAlignment="1" applyProtection="1">
      <alignment horizontal="right"/>
    </xf>
    <xf numFmtId="0" fontId="27" fillId="0" borderId="0" xfId="0" applyFont="1" applyAlignment="1" applyProtection="1"/>
    <xf numFmtId="0" fontId="27" fillId="0" borderId="0" xfId="0" applyFont="1" applyAlignment="1" applyProtection="1">
      <alignment horizontal="right" indent="1"/>
    </xf>
    <xf numFmtId="10" fontId="27" fillId="0" borderId="38" xfId="79" applyNumberFormat="1" applyFont="1" applyBorder="1" applyAlignment="1" applyProtection="1">
      <alignment horizontal="center"/>
    </xf>
    <xf numFmtId="10" fontId="27" fillId="0" borderId="28" xfId="79" applyNumberFormat="1" applyFont="1" applyBorder="1" applyAlignment="1" applyProtection="1">
      <alignment horizontal="center"/>
    </xf>
    <xf numFmtId="10" fontId="27" fillId="0" borderId="30" xfId="79" applyNumberFormat="1" applyFont="1" applyBorder="1" applyAlignment="1" applyProtection="1">
      <alignment horizontal="center"/>
    </xf>
    <xf numFmtId="0" fontId="29" fillId="28" borderId="27" xfId="0" applyFont="1" applyFill="1" applyBorder="1" applyAlignment="1" applyProtection="1">
      <alignment horizontal="center"/>
    </xf>
    <xf numFmtId="0" fontId="29" fillId="28" borderId="33" xfId="0" applyFont="1" applyFill="1" applyBorder="1" applyAlignment="1" applyProtection="1">
      <alignment horizontal="center"/>
    </xf>
    <xf numFmtId="0" fontId="29" fillId="28" borderId="42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right"/>
    </xf>
    <xf numFmtId="165" fontId="1" fillId="24" borderId="34" xfId="0" applyNumberFormat="1" applyFont="1" applyFill="1" applyBorder="1" applyAlignment="1">
      <alignment horizontal="right"/>
    </xf>
    <xf numFmtId="165" fontId="1" fillId="24" borderId="35" xfId="0" applyNumberFormat="1" applyFont="1" applyFill="1" applyBorder="1" applyAlignment="1">
      <alignment horizontal="right"/>
    </xf>
    <xf numFmtId="165" fontId="1" fillId="24" borderId="47" xfId="0" applyNumberFormat="1" applyFont="1" applyFill="1" applyBorder="1" applyAlignment="1">
      <alignment horizontal="right"/>
    </xf>
    <xf numFmtId="165" fontId="1" fillId="24" borderId="34" xfId="0" applyNumberFormat="1" applyFont="1" applyFill="1" applyBorder="1" applyAlignment="1">
      <alignment horizontal="center"/>
    </xf>
    <xf numFmtId="165" fontId="1" fillId="24" borderId="35" xfId="0" applyNumberFormat="1" applyFont="1" applyFill="1" applyBorder="1" applyAlignment="1">
      <alignment horizontal="center"/>
    </xf>
    <xf numFmtId="165" fontId="1" fillId="24" borderId="47" xfId="0" applyNumberFormat="1" applyFont="1" applyFill="1" applyBorder="1" applyAlignment="1">
      <alignment horizontal="center"/>
    </xf>
    <xf numFmtId="1" fontId="1" fillId="24" borderId="34" xfId="0" applyNumberFormat="1" applyFont="1" applyFill="1" applyBorder="1" applyAlignment="1">
      <alignment horizontal="center"/>
    </xf>
    <xf numFmtId="1" fontId="1" fillId="24" borderId="35" xfId="0" applyNumberFormat="1" applyFont="1" applyFill="1" applyBorder="1" applyAlignment="1">
      <alignment horizontal="center"/>
    </xf>
    <xf numFmtId="1" fontId="1" fillId="24" borderId="47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165" fontId="24" fillId="0" borderId="0" xfId="0" applyNumberFormat="1" applyFont="1"/>
    <xf numFmtId="1" fontId="0" fillId="0" borderId="0" xfId="0" applyNumberFormat="1" applyBorder="1" applyAlignment="1">
      <alignment horizontal="right"/>
    </xf>
    <xf numFmtId="1" fontId="24" fillId="0" borderId="0" xfId="0" applyNumberFormat="1" applyFont="1"/>
    <xf numFmtId="0" fontId="27" fillId="0" borderId="0" xfId="0" applyFont="1" applyFill="1" applyBorder="1" applyProtection="1"/>
    <xf numFmtId="0" fontId="29" fillId="0" borderId="0" xfId="0" applyFont="1" applyAlignment="1" applyProtection="1">
      <alignment horizontal="center"/>
    </xf>
    <xf numFmtId="1" fontId="27" fillId="0" borderId="38" xfId="0" applyNumberFormat="1" applyFont="1" applyBorder="1" applyAlignment="1" applyProtection="1">
      <alignment horizontal="right"/>
      <protection locked="0"/>
    </xf>
    <xf numFmtId="1" fontId="27" fillId="0" borderId="28" xfId="0" applyNumberFormat="1" applyFont="1" applyBorder="1" applyAlignment="1" applyProtection="1">
      <alignment horizontal="right" wrapText="1"/>
      <protection locked="0"/>
    </xf>
    <xf numFmtId="1" fontId="27" fillId="0" borderId="31" xfId="0" applyNumberFormat="1" applyFont="1" applyBorder="1" applyAlignment="1" applyProtection="1">
      <alignment horizontal="right" wrapText="1"/>
      <protection locked="0"/>
    </xf>
    <xf numFmtId="1" fontId="1" fillId="24" borderId="53" xfId="0" applyNumberFormat="1" applyFont="1" applyFill="1" applyBorder="1" applyAlignment="1">
      <alignment horizontal="center"/>
    </xf>
    <xf numFmtId="0" fontId="25" fillId="35" borderId="54" xfId="0" applyFont="1" applyFill="1" applyBorder="1"/>
    <xf numFmtId="0" fontId="25" fillId="35" borderId="33" xfId="0" applyFont="1" applyFill="1" applyBorder="1"/>
    <xf numFmtId="0" fontId="25" fillId="35" borderId="42" xfId="0" applyFont="1" applyFill="1" applyBorder="1"/>
    <xf numFmtId="0" fontId="1" fillId="35" borderId="58" xfId="0" applyFont="1" applyFill="1" applyBorder="1" applyAlignment="1">
      <alignment vertical="center"/>
    </xf>
    <xf numFmtId="0" fontId="1" fillId="35" borderId="41" xfId="0" applyFont="1" applyFill="1" applyBorder="1" applyAlignment="1">
      <alignment horizontal="center" vertical="center"/>
    </xf>
    <xf numFmtId="0" fontId="1" fillId="35" borderId="45" xfId="0" applyFont="1" applyFill="1" applyBorder="1" applyAlignment="1">
      <alignment horizontal="center" vertical="center"/>
    </xf>
    <xf numFmtId="0" fontId="1" fillId="34" borderId="55" xfId="0" applyFont="1" applyFill="1" applyBorder="1" applyAlignment="1">
      <alignment horizontal="center" vertical="center"/>
    </xf>
    <xf numFmtId="0" fontId="1" fillId="34" borderId="56" xfId="0" applyFont="1" applyFill="1" applyBorder="1" applyAlignment="1">
      <alignment horizontal="center" vertical="center"/>
    </xf>
    <xf numFmtId="0" fontId="1" fillId="34" borderId="57" xfId="0" applyFont="1" applyFill="1" applyBorder="1" applyAlignment="1">
      <alignment horizontal="center" vertical="center"/>
    </xf>
    <xf numFmtId="0" fontId="0" fillId="0" borderId="0" xfId="0"/>
    <xf numFmtId="0" fontId="24" fillId="0" borderId="11" xfId="0" applyFont="1" applyFill="1" applyBorder="1" applyAlignment="1">
      <alignment horizontal="right"/>
    </xf>
    <xf numFmtId="0" fontId="33" fillId="0" borderId="0" xfId="0" quotePrefix="1" applyFont="1" applyAlignment="1">
      <alignment horizontal="righ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4" fillId="0" borderId="0" xfId="0" quotePrefix="1" applyFont="1" applyAlignment="1">
      <alignment horizontal="left"/>
    </xf>
    <xf numFmtId="0" fontId="37" fillId="0" borderId="18" xfId="0" applyFont="1" applyBorder="1" applyAlignment="1">
      <alignment horizontal="right" vertical="center"/>
    </xf>
    <xf numFmtId="0" fontId="37" fillId="0" borderId="12" xfId="0" applyFont="1" applyBorder="1" applyAlignment="1">
      <alignment horizontal="right" vertical="center"/>
    </xf>
    <xf numFmtId="1" fontId="39" fillId="24" borderId="14" xfId="0" applyNumberFormat="1" applyFont="1" applyFill="1" applyBorder="1" applyAlignment="1">
      <alignment horizontal="right" vertical="center"/>
    </xf>
    <xf numFmtId="0" fontId="37" fillId="0" borderId="12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right" vertical="center"/>
    </xf>
    <xf numFmtId="1" fontId="39" fillId="24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34" fillId="0" borderId="0" xfId="0" applyFont="1" applyAlignment="1"/>
    <xf numFmtId="0" fontId="34" fillId="0" borderId="0" xfId="0" applyFont="1"/>
    <xf numFmtId="1" fontId="0" fillId="36" borderId="73" xfId="0" applyNumberFormat="1" applyFont="1" applyFill="1" applyBorder="1" applyAlignment="1">
      <alignment horizontal="center"/>
    </xf>
    <xf numFmtId="1" fontId="0" fillId="36" borderId="67" xfId="0" applyNumberFormat="1" applyFont="1" applyFill="1" applyBorder="1" applyAlignment="1" applyProtection="1">
      <alignment horizontal="center"/>
      <protection locked="0"/>
    </xf>
    <xf numFmtId="1" fontId="0" fillId="36" borderId="68" xfId="0" applyNumberFormat="1" applyFont="1" applyFill="1" applyBorder="1" applyAlignment="1" applyProtection="1">
      <alignment horizontal="center"/>
      <protection locked="0"/>
    </xf>
    <xf numFmtId="1" fontId="0" fillId="36" borderId="69" xfId="0" applyNumberFormat="1" applyFont="1" applyFill="1" applyBorder="1" applyAlignment="1">
      <alignment horizontal="center"/>
    </xf>
    <xf numFmtId="1" fontId="1" fillId="36" borderId="70" xfId="0" applyNumberFormat="1" applyFont="1" applyFill="1" applyBorder="1" applyAlignment="1">
      <alignment horizontal="center"/>
    </xf>
    <xf numFmtId="1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2" xfId="0" applyNumberFormat="1" applyFont="1" applyFill="1" applyBorder="1" applyAlignment="1">
      <alignment horizontal="center"/>
    </xf>
    <xf numFmtId="0" fontId="0" fillId="0" borderId="75" xfId="0" applyNumberFormat="1" applyFont="1" applyFill="1" applyBorder="1" applyAlignment="1">
      <alignment horizontal="center"/>
    </xf>
    <xf numFmtId="0" fontId="28" fillId="37" borderId="35" xfId="0" applyFont="1" applyFill="1" applyBorder="1" applyAlignment="1">
      <alignment horizontal="center" vertical="center" wrapText="1"/>
    </xf>
    <xf numFmtId="0" fontId="28" fillId="37" borderId="74" xfId="0" applyFont="1" applyFill="1" applyBorder="1" applyAlignment="1">
      <alignment horizontal="center" vertical="center" wrapText="1"/>
    </xf>
    <xf numFmtId="14" fontId="0" fillId="0" borderId="64" xfId="0" applyNumberFormat="1" applyFont="1" applyFill="1" applyBorder="1" applyAlignment="1" applyProtection="1">
      <alignment horizontal="center"/>
      <protection locked="0"/>
    </xf>
    <xf numFmtId="14" fontId="0" fillId="0" borderId="65" xfId="0" applyNumberFormat="1" applyFont="1" applyFill="1" applyBorder="1" applyAlignment="1" applyProtection="1">
      <alignment horizontal="center"/>
      <protection locked="0"/>
    </xf>
    <xf numFmtId="1" fontId="0" fillId="0" borderId="66" xfId="0" applyNumberFormat="1" applyFont="1" applyFill="1" applyBorder="1" applyAlignment="1">
      <alignment horizontal="center"/>
    </xf>
    <xf numFmtId="1" fontId="0" fillId="0" borderId="64" xfId="0" applyNumberFormat="1" applyFont="1" applyFill="1" applyBorder="1" applyAlignment="1" applyProtection="1">
      <alignment horizontal="center"/>
      <protection locked="0"/>
    </xf>
    <xf numFmtId="1" fontId="1" fillId="0" borderId="62" xfId="94" applyNumberFormat="1" applyFont="1" applyFill="1" applyBorder="1" applyAlignment="1">
      <alignment horizontal="center"/>
    </xf>
    <xf numFmtId="1" fontId="0" fillId="0" borderId="63" xfId="93" applyNumberFormat="1" applyFont="1" applyFill="1" applyBorder="1" applyAlignment="1" applyProtection="1">
      <alignment horizontal="center"/>
      <protection locked="0"/>
    </xf>
    <xf numFmtId="1" fontId="0" fillId="0" borderId="71" xfId="0" applyNumberFormat="1" applyFont="1" applyFill="1" applyBorder="1" applyAlignment="1">
      <alignment horizontal="center"/>
    </xf>
    <xf numFmtId="14" fontId="0" fillId="0" borderId="33" xfId="0" applyNumberFormat="1" applyBorder="1" applyAlignment="1"/>
    <xf numFmtId="1" fontId="0" fillId="24" borderId="60" xfId="0" applyNumberFormat="1" applyFont="1" applyFill="1" applyBorder="1" applyAlignment="1">
      <alignment horizontal="right"/>
    </xf>
    <xf numFmtId="1" fontId="0" fillId="24" borderId="61" xfId="0" applyNumberFormat="1" applyFont="1" applyFill="1" applyBorder="1" applyAlignment="1">
      <alignment horizontal="right"/>
    </xf>
    <xf numFmtId="0" fontId="28" fillId="37" borderId="74" xfId="0" applyFont="1" applyFill="1" applyBorder="1" applyAlignment="1">
      <alignment horizontal="center" wrapText="1"/>
    </xf>
    <xf numFmtId="1" fontId="43" fillId="0" borderId="77" xfId="0" applyNumberFormat="1" applyFont="1" applyBorder="1" applyAlignment="1" applyProtection="1">
      <alignment horizontal="center"/>
      <protection locked="0"/>
    </xf>
    <xf numFmtId="9" fontId="44" fillId="0" borderId="77" xfId="94" applyFont="1" applyBorder="1" applyAlignment="1">
      <alignment horizontal="center"/>
    </xf>
    <xf numFmtId="165" fontId="43" fillId="0" borderId="77" xfId="93" applyNumberFormat="1" applyFont="1" applyBorder="1" applyAlignment="1" applyProtection="1">
      <alignment horizontal="center"/>
      <protection locked="0"/>
    </xf>
    <xf numFmtId="0" fontId="43" fillId="26" borderId="77" xfId="0" applyFont="1" applyFill="1" applyBorder="1" applyAlignment="1" applyProtection="1">
      <alignment horizontal="center"/>
      <protection locked="0"/>
    </xf>
    <xf numFmtId="9" fontId="44" fillId="26" borderId="77" xfId="94" applyFont="1" applyFill="1" applyBorder="1" applyAlignment="1">
      <alignment horizontal="center"/>
    </xf>
    <xf numFmtId="9" fontId="44" fillId="0" borderId="78" xfId="94" applyNumberFormat="1" applyFont="1" applyBorder="1" applyAlignment="1">
      <alignment horizontal="center"/>
    </xf>
    <xf numFmtId="0" fontId="42" fillId="33" borderId="79" xfId="0" applyFont="1" applyFill="1" applyBorder="1" applyAlignment="1">
      <alignment horizontal="center" vertical="center" wrapText="1"/>
    </xf>
    <xf numFmtId="0" fontId="45" fillId="33" borderId="79" xfId="0" applyFont="1" applyFill="1" applyBorder="1" applyAlignment="1">
      <alignment horizontal="center" vertical="center" wrapText="1"/>
    </xf>
    <xf numFmtId="0" fontId="42" fillId="33" borderId="80" xfId="0" applyFont="1" applyFill="1" applyBorder="1" applyAlignment="1">
      <alignment horizontal="center" vertical="center" wrapText="1"/>
    </xf>
    <xf numFmtId="0" fontId="43" fillId="36" borderId="81" xfId="0" applyFont="1" applyFill="1" applyBorder="1" applyAlignment="1" applyProtection="1">
      <alignment horizontal="center"/>
      <protection locked="0"/>
    </xf>
    <xf numFmtId="9" fontId="44" fillId="36" borderId="81" xfId="0" applyNumberFormat="1" applyFont="1" applyFill="1" applyBorder="1" applyAlignment="1">
      <alignment horizontal="center"/>
    </xf>
    <xf numFmtId="165" fontId="43" fillId="36" borderId="81" xfId="0" applyNumberFormat="1" applyFont="1" applyFill="1" applyBorder="1" applyAlignment="1" applyProtection="1">
      <alignment horizontal="center"/>
      <protection locked="0"/>
    </xf>
    <xf numFmtId="0" fontId="46" fillId="27" borderId="81" xfId="0" applyFont="1" applyFill="1" applyBorder="1" applyAlignment="1" applyProtection="1">
      <alignment horizontal="center"/>
      <protection locked="0"/>
    </xf>
    <xf numFmtId="0" fontId="47" fillId="27" borderId="81" xfId="0" applyNumberFormat="1" applyFont="1" applyFill="1" applyBorder="1" applyAlignment="1">
      <alignment horizontal="center"/>
    </xf>
    <xf numFmtId="9" fontId="44" fillId="36" borderId="82" xfId="0" applyNumberFormat="1" applyFont="1" applyFill="1" applyBorder="1" applyAlignment="1">
      <alignment horizontal="center"/>
    </xf>
    <xf numFmtId="1" fontId="43" fillId="0" borderId="83" xfId="0" applyNumberFormat="1" applyFont="1" applyBorder="1" applyAlignment="1">
      <alignment horizontal="center"/>
    </xf>
    <xf numFmtId="1" fontId="43" fillId="0" borderId="76" xfId="0" applyNumberFormat="1" applyFont="1" applyBorder="1" applyAlignment="1" applyProtection="1">
      <alignment horizontal="center"/>
      <protection locked="0"/>
    </xf>
    <xf numFmtId="0" fontId="42" fillId="33" borderId="84" xfId="0" applyFont="1" applyFill="1" applyBorder="1" applyAlignment="1">
      <alignment horizontal="center" vertical="center" wrapText="1"/>
    </xf>
    <xf numFmtId="165" fontId="42" fillId="33" borderId="86" xfId="0" applyNumberFormat="1" applyFont="1" applyFill="1" applyBorder="1" applyAlignment="1">
      <alignment horizontal="center" vertical="center" wrapText="1"/>
    </xf>
    <xf numFmtId="0" fontId="45" fillId="33" borderId="84" xfId="0" applyFont="1" applyFill="1" applyBorder="1" applyAlignment="1">
      <alignment horizontal="center" vertical="center" wrapText="1"/>
    </xf>
    <xf numFmtId="0" fontId="42" fillId="33" borderId="85" xfId="0" applyFont="1" applyFill="1" applyBorder="1" applyAlignment="1">
      <alignment horizontal="center" vertical="center" wrapText="1"/>
    </xf>
    <xf numFmtId="0" fontId="45" fillId="33" borderId="86" xfId="0" applyFont="1" applyFill="1" applyBorder="1" applyAlignment="1">
      <alignment horizontal="center" vertical="center" wrapText="1"/>
    </xf>
    <xf numFmtId="0" fontId="43" fillId="26" borderId="87" xfId="0" applyFont="1" applyFill="1" applyBorder="1" applyAlignment="1" applyProtection="1">
      <alignment horizontal="center"/>
      <protection locked="0"/>
    </xf>
    <xf numFmtId="0" fontId="46" fillId="27" borderId="89" xfId="0" applyFont="1" applyFill="1" applyBorder="1" applyAlignment="1" applyProtection="1">
      <alignment horizontal="center"/>
      <protection locked="0"/>
    </xf>
    <xf numFmtId="0" fontId="43" fillId="36" borderId="90" xfId="0" applyFont="1" applyFill="1" applyBorder="1" applyAlignment="1" applyProtection="1">
      <alignment horizontal="center"/>
      <protection locked="0"/>
    </xf>
    <xf numFmtId="0" fontId="43" fillId="26" borderId="88" xfId="0" applyFont="1" applyFill="1" applyBorder="1" applyAlignment="1" applyProtection="1">
      <alignment horizontal="center"/>
      <protection locked="0"/>
    </xf>
    <xf numFmtId="0" fontId="46" fillId="27" borderId="91" xfId="0" applyFont="1" applyFill="1" applyBorder="1" applyAlignment="1" applyProtection="1">
      <alignment horizontal="center"/>
      <protection locked="0"/>
    </xf>
    <xf numFmtId="1" fontId="43" fillId="0" borderId="87" xfId="0" applyNumberFormat="1" applyFont="1" applyBorder="1" applyAlignment="1" applyProtection="1">
      <alignment horizontal="center"/>
      <protection locked="0"/>
    </xf>
    <xf numFmtId="1" fontId="43" fillId="0" borderId="88" xfId="0" applyNumberFormat="1" applyFont="1" applyBorder="1" applyAlignment="1">
      <alignment horizontal="center"/>
    </xf>
    <xf numFmtId="165" fontId="43" fillId="0" borderId="88" xfId="0" applyNumberFormat="1" applyFont="1" applyBorder="1" applyAlignment="1">
      <alignment horizontal="center"/>
    </xf>
    <xf numFmtId="1" fontId="42" fillId="33" borderId="92" xfId="0" applyNumberFormat="1" applyFont="1" applyFill="1" applyBorder="1" applyAlignment="1">
      <alignment horizontal="center" vertical="center" wrapText="1"/>
    </xf>
    <xf numFmtId="0" fontId="42" fillId="33" borderId="86" xfId="0" applyFont="1" applyFill="1" applyBorder="1" applyAlignment="1">
      <alignment horizontal="center" vertical="center" wrapText="1"/>
    </xf>
    <xf numFmtId="1" fontId="43" fillId="36" borderId="93" xfId="0" applyNumberFormat="1" applyFont="1" applyFill="1" applyBorder="1" applyAlignment="1">
      <alignment horizontal="center"/>
    </xf>
    <xf numFmtId="0" fontId="43" fillId="36" borderId="89" xfId="0" applyFont="1" applyFill="1" applyBorder="1" applyAlignment="1" applyProtection="1">
      <alignment horizontal="center"/>
      <protection locked="0"/>
    </xf>
    <xf numFmtId="0" fontId="43" fillId="36" borderId="91" xfId="0" applyFont="1" applyFill="1" applyBorder="1" applyAlignment="1">
      <alignment horizontal="center"/>
    </xf>
    <xf numFmtId="165" fontId="43" fillId="36" borderId="91" xfId="0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/>
    <xf numFmtId="0" fontId="50" fillId="24" borderId="0" xfId="0" applyFont="1" applyFill="1"/>
    <xf numFmtId="0" fontId="49" fillId="24" borderId="0" xfId="0" applyFont="1" applyFill="1"/>
    <xf numFmtId="0" fontId="0" fillId="0" borderId="0" xfId="0" applyAlignment="1">
      <alignment horizontal="left"/>
    </xf>
    <xf numFmtId="0" fontId="0" fillId="0" borderId="0" xfId="0" quotePrefix="1" applyNumberFormat="1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/>
    <xf numFmtId="0" fontId="1" fillId="0" borderId="94" xfId="0" applyFont="1" applyBorder="1"/>
    <xf numFmtId="0" fontId="33" fillId="0" borderId="0" xfId="0" applyFont="1" applyAlignment="1">
      <alignment horizontal="left"/>
    </xf>
    <xf numFmtId="0" fontId="35" fillId="0" borderId="59" xfId="0" applyFont="1" applyBorder="1" applyAlignment="1">
      <alignment horizontal="center"/>
    </xf>
    <xf numFmtId="0" fontId="38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41" fillId="0" borderId="0" xfId="0" applyFont="1" applyAlignment="1">
      <alignment horizontal="center" wrapText="1"/>
    </xf>
    <xf numFmtId="14" fontId="0" fillId="0" borderId="0" xfId="0" applyNumberFormat="1" applyAlignment="1">
      <alignment horizontal="center"/>
    </xf>
    <xf numFmtId="0" fontId="25" fillId="26" borderId="19" xfId="0" applyFont="1" applyFill="1" applyBorder="1" applyAlignment="1">
      <alignment horizontal="left"/>
    </xf>
    <xf numFmtId="0" fontId="25" fillId="26" borderId="20" xfId="0" applyFont="1" applyFill="1" applyBorder="1" applyAlignment="1">
      <alignment horizontal="left"/>
    </xf>
    <xf numFmtId="0" fontId="25" fillId="27" borderId="19" xfId="0" applyFont="1" applyFill="1" applyBorder="1" applyAlignment="1">
      <alignment horizontal="left"/>
    </xf>
    <xf numFmtId="0" fontId="25" fillId="27" borderId="21" xfId="0" applyFont="1" applyFill="1" applyBorder="1" applyAlignment="1">
      <alignment horizontal="left"/>
    </xf>
    <xf numFmtId="0" fontId="25" fillId="27" borderId="20" xfId="0" applyFont="1" applyFill="1" applyBorder="1" applyAlignment="1">
      <alignment horizontal="left"/>
    </xf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medium">
          <color auto="1"/>
        </top>
      </border>
    </dxf>
    <dxf>
      <fill>
        <patternFill patternType="solid">
          <fgColor indexed="64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18</xdr:row>
          <xdr:rowOff>228600</xdr:rowOff>
        </xdr:from>
        <xdr:to>
          <xdr:col>2</xdr:col>
          <xdr:colOff>8305800</xdr:colOff>
          <xdr:row>21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RUN THE DAMN MACRO ALREADY!!!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le/Desktop/WEEK%2042%20EQ%20LOG%2010%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E"/>
      <sheetName val="RHI"/>
      <sheetName val="LAS"/>
      <sheetName val="GAN"/>
      <sheetName val="MAC"/>
      <sheetName val="PEN"/>
      <sheetName val="OMA"/>
      <sheetName val="ARK"/>
      <sheetName val="KAN"/>
      <sheetName val="NOLA"/>
      <sheetName val="LAF"/>
      <sheetName val="EQ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CMH3200</v>
          </cell>
          <cell r="B2" t="str">
            <v>Premium</v>
          </cell>
        </row>
        <row r="3">
          <cell r="A3" t="str">
            <v>CMH3416</v>
          </cell>
          <cell r="B3" t="str">
            <v>Premium</v>
          </cell>
        </row>
        <row r="4">
          <cell r="A4" t="str">
            <v>CMO3416</v>
          </cell>
          <cell r="B4" t="str">
            <v>Premium</v>
          </cell>
        </row>
        <row r="5">
          <cell r="A5" t="str">
            <v>CMO6416</v>
          </cell>
          <cell r="B5" t="str">
            <v>Premium</v>
          </cell>
        </row>
        <row r="6">
          <cell r="A6" t="str">
            <v>CMX3202</v>
          </cell>
          <cell r="B6" t="str">
            <v>Premium</v>
          </cell>
        </row>
        <row r="7">
          <cell r="A7" t="str">
            <v>CMX3203</v>
          </cell>
          <cell r="B7" t="str">
            <v>Premium</v>
          </cell>
        </row>
        <row r="8">
          <cell r="A8" t="str">
            <v>CMX320M</v>
          </cell>
          <cell r="B8" t="str">
            <v>Premium</v>
          </cell>
        </row>
        <row r="9">
          <cell r="A9" t="str">
            <v>CMX3400</v>
          </cell>
          <cell r="B9" t="str">
            <v>Premium</v>
          </cell>
        </row>
        <row r="10">
          <cell r="A10" t="str">
            <v>CSA2100</v>
          </cell>
          <cell r="B10" t="str">
            <v>Standard</v>
          </cell>
        </row>
        <row r="11">
          <cell r="A11" t="str">
            <v>CSA2200</v>
          </cell>
          <cell r="B11" t="str">
            <v>Standard</v>
          </cell>
        </row>
        <row r="12">
          <cell r="A12" t="str">
            <v>CSA3100</v>
          </cell>
          <cell r="B12" t="str">
            <v>Standard</v>
          </cell>
        </row>
        <row r="13">
          <cell r="A13" t="str">
            <v>CSA3250</v>
          </cell>
          <cell r="B13" t="str">
            <v>Standard</v>
          </cell>
        </row>
        <row r="14">
          <cell r="A14" t="str">
            <v>CSA325C</v>
          </cell>
          <cell r="B14" t="str">
            <v>Standard</v>
          </cell>
        </row>
        <row r="15">
          <cell r="A15" t="str">
            <v>CSA325H</v>
          </cell>
          <cell r="B15" t="str">
            <v>Premium</v>
          </cell>
        </row>
        <row r="16">
          <cell r="A16" t="str">
            <v>CSA325S</v>
          </cell>
          <cell r="B16" t="str">
            <v>Standard</v>
          </cell>
        </row>
        <row r="17">
          <cell r="A17" t="str">
            <v>CSA800</v>
          </cell>
          <cell r="B17" t="str">
            <v>Standard</v>
          </cell>
        </row>
        <row r="18">
          <cell r="A18" t="str">
            <v>CSA8240</v>
          </cell>
          <cell r="B18" t="str">
            <v>Premium</v>
          </cell>
        </row>
        <row r="19">
          <cell r="A19" t="str">
            <v>CSA824H</v>
          </cell>
          <cell r="B19" t="str">
            <v>Premium</v>
          </cell>
        </row>
        <row r="20">
          <cell r="A20" t="str">
            <v>CSA830H</v>
          </cell>
          <cell r="B20" t="str">
            <v>Premium</v>
          </cell>
        </row>
        <row r="21">
          <cell r="A21" t="str">
            <v>CSA830P</v>
          </cell>
          <cell r="B21" t="str">
            <v>Premium</v>
          </cell>
        </row>
        <row r="22">
          <cell r="A22" t="str">
            <v>CSA830S</v>
          </cell>
          <cell r="B22" t="str">
            <v>Standard</v>
          </cell>
        </row>
        <row r="23">
          <cell r="A23" t="str">
            <v>CSH424H</v>
          </cell>
          <cell r="B23" t="str">
            <v>Premium</v>
          </cell>
        </row>
        <row r="24">
          <cell r="A24" t="str">
            <v>CSH425H</v>
          </cell>
          <cell r="B24" t="str">
            <v>Premium</v>
          </cell>
        </row>
        <row r="25">
          <cell r="A25" t="str">
            <v>CSH4642</v>
          </cell>
          <cell r="B25" t="str">
            <v>Premium</v>
          </cell>
        </row>
        <row r="26">
          <cell r="A26" t="str">
            <v>CSH824H</v>
          </cell>
          <cell r="B26" t="str">
            <v>Premium</v>
          </cell>
        </row>
        <row r="27">
          <cell r="A27" t="str">
            <v>CSH8642</v>
          </cell>
          <cell r="B27" t="str">
            <v>Premium</v>
          </cell>
        </row>
        <row r="28">
          <cell r="A28" t="str">
            <v>DAR40P2</v>
          </cell>
          <cell r="B28" t="str">
            <v>EMTA</v>
          </cell>
        </row>
        <row r="29">
          <cell r="A29" t="str">
            <v>DAR502G</v>
          </cell>
          <cell r="B29" t="str">
            <v>EMTA</v>
          </cell>
        </row>
        <row r="30">
          <cell r="A30" t="str">
            <v>DAR52GN</v>
          </cell>
          <cell r="B30" t="str">
            <v>EMTA</v>
          </cell>
        </row>
        <row r="31">
          <cell r="A31" t="str">
            <v>DAR6022</v>
          </cell>
          <cell r="B31" t="str">
            <v>EMTA</v>
          </cell>
        </row>
        <row r="32">
          <cell r="A32" t="str">
            <v>DAR6024</v>
          </cell>
          <cell r="B32" t="str">
            <v>EMTA</v>
          </cell>
        </row>
        <row r="33">
          <cell r="A33" t="str">
            <v>DAR602R</v>
          </cell>
          <cell r="B33" t="str">
            <v>Modem/Router</v>
          </cell>
        </row>
        <row r="34">
          <cell r="A34" t="str">
            <v>DAR604G</v>
          </cell>
          <cell r="B34" t="str">
            <v>EMTA</v>
          </cell>
        </row>
        <row r="35">
          <cell r="A35" t="str">
            <v>DAR622N</v>
          </cell>
          <cell r="B35" t="str">
            <v>EMTA</v>
          </cell>
        </row>
        <row r="36">
          <cell r="A36" t="str">
            <v>DAR62GN</v>
          </cell>
          <cell r="B36" t="str">
            <v>EMTA</v>
          </cell>
        </row>
        <row r="37">
          <cell r="A37" t="str">
            <v>DAR62RN</v>
          </cell>
          <cell r="B37" t="str">
            <v>EMTA</v>
          </cell>
        </row>
        <row r="38">
          <cell r="A38" t="str">
            <v>DCI3825</v>
          </cell>
          <cell r="B38" t="str">
            <v>EMTA</v>
          </cell>
        </row>
        <row r="39">
          <cell r="A39" t="str">
            <v>DCI382P</v>
          </cell>
          <cell r="B39" t="str">
            <v>Modem/Router</v>
          </cell>
        </row>
        <row r="40">
          <cell r="A40" t="str">
            <v>DCI382R</v>
          </cell>
          <cell r="B40" t="str">
            <v>Modem/Router</v>
          </cell>
        </row>
        <row r="41">
          <cell r="A41" t="str">
            <v>DGI5101</v>
          </cell>
          <cell r="B41" t="str">
            <v>EMTA</v>
          </cell>
        </row>
        <row r="42">
          <cell r="A42" t="str">
            <v>DGI5220</v>
          </cell>
          <cell r="B42" t="str">
            <v>EMTA</v>
          </cell>
        </row>
        <row r="43">
          <cell r="A43" t="str">
            <v>DGI5222</v>
          </cell>
          <cell r="B43" t="str">
            <v>EMTA</v>
          </cell>
        </row>
        <row r="44">
          <cell r="A44" t="str">
            <v>DGI6180</v>
          </cell>
          <cell r="B44" t="str">
            <v>Modem/Router</v>
          </cell>
        </row>
        <row r="45">
          <cell r="A45" t="str">
            <v>DN30002</v>
          </cell>
          <cell r="B45" t="str">
            <v>Modem/Router</v>
          </cell>
        </row>
        <row r="46">
          <cell r="A46" t="str">
            <v>DN3000D</v>
          </cell>
          <cell r="B46" t="str">
            <v>Modem/Router</v>
          </cell>
        </row>
        <row r="47">
          <cell r="A47" t="str">
            <v>DN3000P</v>
          </cell>
          <cell r="B47" t="str">
            <v>Modem/Router</v>
          </cell>
        </row>
        <row r="48">
          <cell r="A48" t="str">
            <v>DN3002P</v>
          </cell>
          <cell r="B48" t="str">
            <v>Modem/Router</v>
          </cell>
        </row>
        <row r="49">
          <cell r="A49" t="str">
            <v>DN4500B</v>
          </cell>
          <cell r="B49" t="str">
            <v>Modem/Router</v>
          </cell>
        </row>
        <row r="50">
          <cell r="A50" t="str">
            <v>DN4500P</v>
          </cell>
          <cell r="B50" t="str">
            <v>Modem/Router</v>
          </cell>
        </row>
        <row r="51">
          <cell r="A51" t="str">
            <v>DNG1000</v>
          </cell>
          <cell r="B51" t="str">
            <v>Modem/Router</v>
          </cell>
        </row>
        <row r="52">
          <cell r="A52" t="str">
            <v>DNG2000</v>
          </cell>
          <cell r="B52" t="str">
            <v>Modem/Router</v>
          </cell>
        </row>
        <row r="53">
          <cell r="A53" t="str">
            <v>DSA3212</v>
          </cell>
          <cell r="B53" t="str">
            <v>EMTA</v>
          </cell>
        </row>
        <row r="54">
          <cell r="A54" t="str">
            <v>DSA321N</v>
          </cell>
          <cell r="B54" t="str">
            <v>EMTA</v>
          </cell>
        </row>
        <row r="55">
          <cell r="A55" t="str">
            <v>DSA3925</v>
          </cell>
          <cell r="B55" t="str">
            <v>EMTA</v>
          </cell>
        </row>
        <row r="56">
          <cell r="A56" t="str">
            <v>DSA392N</v>
          </cell>
          <cell r="B56" t="str">
            <v>EMTA</v>
          </cell>
        </row>
        <row r="57">
          <cell r="A57" t="str">
            <v>DSAC210</v>
          </cell>
          <cell r="B57" t="str">
            <v>Modem/Router</v>
          </cell>
        </row>
        <row r="58">
          <cell r="A58" t="str">
            <v>DTER715</v>
          </cell>
          <cell r="B58" t="str">
            <v>Modem/Router</v>
          </cell>
        </row>
        <row r="59">
          <cell r="A59" t="str">
            <v>DUBW32N</v>
          </cell>
          <cell r="B59" t="str">
            <v>EMTA</v>
          </cell>
        </row>
        <row r="60">
          <cell r="A60" t="str">
            <v>DUBW656</v>
          </cell>
          <cell r="B60" t="str">
            <v>Modem/Router</v>
          </cell>
        </row>
        <row r="61">
          <cell r="A61" t="str">
            <v>DUBW65P</v>
          </cell>
          <cell r="B61" t="str">
            <v>Modem/Router</v>
          </cell>
        </row>
        <row r="62">
          <cell r="A62" t="str">
            <v>DUBW666</v>
          </cell>
          <cell r="B62" t="str">
            <v>Modem/Router</v>
          </cell>
        </row>
        <row r="63">
          <cell r="A63" t="str">
            <v>DUBW66P</v>
          </cell>
          <cell r="B63" t="str">
            <v>Modem/Router</v>
          </cell>
        </row>
        <row r="64">
          <cell r="A64" t="str">
            <v>GMH1642</v>
          </cell>
          <cell r="B64" t="str">
            <v>Premium</v>
          </cell>
        </row>
        <row r="65">
          <cell r="A65" t="str">
            <v>GMH4642</v>
          </cell>
          <cell r="B65" t="str">
            <v>Premium</v>
          </cell>
        </row>
        <row r="66">
          <cell r="A66" t="str">
            <v>GMH4742</v>
          </cell>
          <cell r="B66" t="str">
            <v>Premium</v>
          </cell>
        </row>
        <row r="67">
          <cell r="A67" t="str">
            <v>GMH8642</v>
          </cell>
          <cell r="B67" t="str">
            <v>Premium</v>
          </cell>
        </row>
        <row r="68">
          <cell r="A68" t="str">
            <v>GMH8742</v>
          </cell>
          <cell r="B68" t="str">
            <v>Premium</v>
          </cell>
        </row>
        <row r="69">
          <cell r="A69" t="str">
            <v>GMH9865</v>
          </cell>
          <cell r="B69" t="str">
            <v>Premium</v>
          </cell>
        </row>
        <row r="70">
          <cell r="A70" t="str">
            <v>GSH1642</v>
          </cell>
          <cell r="B70" t="str">
            <v>Premium</v>
          </cell>
        </row>
        <row r="71">
          <cell r="A71" t="str">
            <v>GSH4642</v>
          </cell>
          <cell r="B71" t="str">
            <v>Premium</v>
          </cell>
        </row>
        <row r="72">
          <cell r="A72" t="str">
            <v>GSH4742</v>
          </cell>
          <cell r="B72" t="str">
            <v>Premium</v>
          </cell>
        </row>
        <row r="73">
          <cell r="A73" t="str">
            <v>GSH8642</v>
          </cell>
          <cell r="B73" t="str">
            <v>Premium</v>
          </cell>
        </row>
        <row r="74">
          <cell r="A74" t="str">
            <v>GSH8742</v>
          </cell>
          <cell r="B74" t="str">
            <v>Premium</v>
          </cell>
        </row>
        <row r="75">
          <cell r="A75" t="str">
            <v>GSH9865</v>
          </cell>
          <cell r="B75" t="str">
            <v>Premium</v>
          </cell>
        </row>
        <row r="76">
          <cell r="A76" t="str">
            <v>HSM5701</v>
          </cell>
          <cell r="B76" t="str">
            <v>Home Security</v>
          </cell>
        </row>
        <row r="77">
          <cell r="A77" t="str">
            <v>HTER200</v>
          </cell>
          <cell r="B77" t="str">
            <v>Home Security</v>
          </cell>
        </row>
        <row r="78">
          <cell r="A78" t="str">
            <v>HTET200</v>
          </cell>
          <cell r="B78" t="str">
            <v>Home Security</v>
          </cell>
        </row>
        <row r="79">
          <cell r="A79" t="str">
            <v>HTET203</v>
          </cell>
          <cell r="B79" t="str">
            <v>Home Security</v>
          </cell>
        </row>
        <row r="80">
          <cell r="A80" t="str">
            <v>CSA2003</v>
          </cell>
          <cell r="B80" t="str">
            <v>Standard</v>
          </cell>
        </row>
        <row r="81">
          <cell r="A81" t="str">
            <v>SDPCS</v>
          </cell>
          <cell r="B81" t="str">
            <v>Cable Card</v>
          </cell>
        </row>
        <row r="82">
          <cell r="A82" t="str">
            <v>CSA908</v>
          </cell>
          <cell r="B82" t="str">
            <v>Cable Card</v>
          </cell>
        </row>
        <row r="83">
          <cell r="A83" t="str">
            <v>CST1500</v>
          </cell>
          <cell r="B83" t="str">
            <v>Standard</v>
          </cell>
        </row>
        <row r="84">
          <cell r="A84" t="str">
            <v>CSA2003</v>
          </cell>
          <cell r="B84" t="str">
            <v>Standard</v>
          </cell>
        </row>
        <row r="85">
          <cell r="A85" t="str">
            <v>DN6300P</v>
          </cell>
          <cell r="B85" t="str">
            <v>Modem/Router</v>
          </cell>
        </row>
        <row r="86">
          <cell r="A86" t="str">
            <v>DN6300B</v>
          </cell>
          <cell r="B86" t="str">
            <v>Modem/Router</v>
          </cell>
        </row>
        <row r="87">
          <cell r="A87" t="str">
            <v>DNG3700</v>
          </cell>
          <cell r="B87" t="str">
            <v>Modem/Router</v>
          </cell>
        </row>
        <row r="88">
          <cell r="A88" t="str">
            <v>CMO20H7</v>
          </cell>
          <cell r="B88" t="str">
            <v>Standard</v>
          </cell>
        </row>
        <row r="89">
          <cell r="A89" t="str">
            <v>CMO510S</v>
          </cell>
          <cell r="B89" t="str">
            <v>Standard</v>
          </cell>
        </row>
        <row r="90">
          <cell r="A90" t="str">
            <v>CMD2344</v>
          </cell>
          <cell r="B90" t="str">
            <v>Modem/Router</v>
          </cell>
        </row>
        <row r="91">
          <cell r="A91" t="str">
            <v>DSA3010</v>
          </cell>
          <cell r="B91" t="str">
            <v>Modem/Router</v>
          </cell>
        </row>
        <row r="92">
          <cell r="A92" t="str">
            <v>HTE203E</v>
          </cell>
          <cell r="B92" t="str">
            <v>Home Security</v>
          </cell>
        </row>
        <row r="93">
          <cell r="A93" t="str">
            <v>CMO200H</v>
          </cell>
          <cell r="B93" t="str">
            <v>Premium</v>
          </cell>
        </row>
        <row r="94">
          <cell r="A94" t="str">
            <v>CMO2500</v>
          </cell>
          <cell r="B94" t="str">
            <v>Premium</v>
          </cell>
        </row>
      </sheetData>
    </sheetDataSet>
  </externalBook>
</externalLink>
</file>

<file path=xl/tables/table1.xml><?xml version="1.0" encoding="utf-8"?>
<table xmlns="http://schemas.openxmlformats.org/spreadsheetml/2006/main" id="1" name="Production" displayName="Production" ref="A5:R7" totalsRowCount="1" headerRowDxfId="90" dataDxfId="88" totalsRowDxfId="86" headerRowBorderDxfId="89" tableBorderDxfId="87" totalsRowBorderDxfId="85">
  <autoFilter ref="A5:R6"/>
  <tableColumns count="18">
    <tableColumn id="1" name="Tech ID" totalsRowLabel="TOTAL" dataDxfId="84" totalsRowDxfId="83"/>
    <tableColumn id="4" name="Orders Issued" totalsRowFunction="sum" dataDxfId="82" totalsRowDxfId="81"/>
    <tableColumn id="5" name="RS/Dups Other" totalsRowFunction="sum" dataDxfId="80" totalsRowDxfId="79"/>
    <tableColumn id="6" name="Net Issued" totalsRowFunction="custom" dataDxfId="78" totalsRowDxfId="77">
      <calculatedColumnFormula>Production[Orders Issued]-Production[RS/Dups Other]</calculatedColumnFormula>
      <totalsRowFormula>Production[[#Totals],[Orders Issued]]-Production[[#Totals],[RS/Dups Other]]</totalsRowFormula>
    </tableColumn>
    <tableColumn id="7" name="Saves (Ct)" totalsRowFunction="sum" dataDxfId="76" totalsRowDxfId="75"/>
    <tableColumn id="8" name="Saves (%)" totalsRowFunction="custom" dataDxfId="74" totalsRowDxfId="73" dataCellStyle="Percent">
      <calculatedColumnFormula>IF(Production[[#This Row],[Net Issued]]=0,1,Production[[#This Row],[Saves (Ct)]]/Production[[#This Row],[Net Issued]])</calculatedColumnFormula>
      <totalsRowFormula>IF(Production[[#Totals],[Net Issued]]=0,1,Production[[#Totals],[Saves (Ct)]]/Production[[#Totals],[Net Issued]])</totalsRowFormula>
    </tableColumn>
    <tableColumn id="9" name="Saves ($)" totalsRowFunction="sum" dataDxfId="72" totalsRowDxfId="71" dataCellStyle="Currency"/>
    <tableColumn id="10" name="Avg per Save" totalsRowFunction="custom" dataDxfId="70" totalsRowDxfId="69">
      <calculatedColumnFormula>IF(Production[[#This Row],[Saves (Ct)]]=0,"N/A",Production[[#This Row],[Saves ($)]]/Production[[#This Row],[Saves (Ct)]])</calculatedColumnFormula>
      <totalsRowFormula>IF(Production[[#Totals],[Saves (Ct)]]=0,"N/A",Production[[#Totals],[Saves ($)]]/Production[[#Totals],[Saves (Ct)]])</totalsRowFormula>
    </tableColumn>
    <tableColumn id="11" name="EQ Assn'd" totalsRowFunction="sum" dataDxfId="68" totalsRowDxfId="67"/>
    <tableColumn id="12" name="CPE Ret'd" totalsRowFunction="sum" dataDxfId="66" totalsRowDxfId="65"/>
    <tableColumn id="13" name="CPE           %" totalsRowLabel="0" dataDxfId="64" totalsRowDxfId="63" dataCellStyle="Percent"/>
    <tableColumn id="14" name="Prem Dig" totalsRowFunction="sum" dataDxfId="62" totalsRowDxfId="61"/>
    <tableColumn id="15" name="Std Dig" totalsRowFunction="sum" dataDxfId="60" totalsRowDxfId="59"/>
    <tableColumn id="16" name="eMTA   MTA" totalsRowFunction="sum" dataDxfId="58" totalsRowDxfId="57"/>
    <tableColumn id="17" name="Home Sec" totalsRowFunction="sum" dataDxfId="56" totalsRowDxfId="55"/>
    <tableColumn id="18" name="To Be Disco'd" totalsRowFunction="sum" dataDxfId="54" totalsRowDxfId="53">
      <calculatedColumnFormula>Production[Net Issued]-Production[Saves (Ct)]</calculatedColumnFormula>
    </tableColumn>
    <tableColumn id="19" name="Discos Done" totalsRowFunction="sum" dataDxfId="52" totalsRowDxfId="51"/>
    <tableColumn id="20" name="Disco (%)" totalsRowFunction="custom" dataDxfId="50" totalsRowDxfId="49" dataCellStyle="Percent">
      <calculatedColumnFormula>IF(Production[[#This Row],[To Be Disco''d]]=0,1,Production[[#This Row],[Discos Done]]/Production[[#This Row],[To Be Disco''d]])</calculatedColumnFormula>
      <totalsRowFormula>IF(Production[[#Totals],[To Be Disco''d]]=0,1,Production[[#Totals],[Discos Done]]/Production[[#Totals],[To Be Disco''d]])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Production7" displayName="Production7" ref="S5:AA7" totalsRowCount="1" headerRowDxfId="48" dataDxfId="46" totalsRowDxfId="44" headerRowBorderDxfId="47" tableBorderDxfId="45">
  <autoFilter ref="S5:AA6"/>
  <tableColumns count="9">
    <tableColumn id="1" name="TechID" totalsRowLabel="TOTAL" dataDxfId="43" totalsRowDxfId="42"/>
    <tableColumn id="4" name="Issue        Date" totalsRowFunction="max" dataDxfId="41" totalsRowDxfId="40"/>
    <tableColumn id="5" name="Turn In       Date" totalsRowFunction="max" dataDxfId="39" totalsRowDxfId="38"/>
    <tableColumn id="6" name="Premium Digital" totalsRowFunction="sum" dataDxfId="37" totalsRowDxfId="36"/>
    <tableColumn id="7" name="Standard  Digital" totalsRowFunction="sum" dataDxfId="35" totalsRowDxfId="34"/>
    <tableColumn id="8" name="eMTA      MTA" totalsRowFunction="sum" dataDxfId="33" totalsRowDxfId="32" dataCellStyle="Percent"/>
    <tableColumn id="9" name="Modem/ Router" totalsRowFunction="sum" dataDxfId="31" totalsRowDxfId="30" dataCellStyle="Currency"/>
    <tableColumn id="10" name="Home Security" totalsRowFunction="sum" dataDxfId="29" totalsRowDxfId="28"/>
    <tableColumn id="18" name="Total" totalsRowFunction="sum" dataDxfId="27" totalsRowDxfId="26">
      <calculatedColumnFormula>SUM(V6:Z6)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25" dataDxfId="23" headerRowBorderDxfId="24" tableBorderDxfId="22" totalsRowBorderDxfId="21">
  <autoFilter ref="A86:H139"/>
  <tableColumns count="8">
    <tableColumn id="1" name="Number" dataDxfId="20"/>
    <tableColumn id="2" name="Starting Date" dataDxfId="19"/>
    <tableColumn id="3" name="Ending Date" dataDxfId="18"/>
    <tableColumn id="4" name="Issue1 (Old)" dataDxfId="17"/>
    <tableColumn id="5" name="Issue2 (Old)" dataDxfId="16"/>
    <tableColumn id="6" name="Issue3 (New)" dataDxfId="15"/>
    <tableColumn id="7" name="LastClosed" dataDxfId="14"/>
    <tableColumn id="8" name="Column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12" dataDxfId="10" headerRowBorderDxfId="11" tableBorderDxfId="9" totalsRowBorderDxfId="8">
  <autoFilter ref="A30:H83"/>
  <tableColumns count="8">
    <tableColumn id="1" name="Number" dataDxfId="7"/>
    <tableColumn id="2" name="Monday" dataDxfId="6"/>
    <tableColumn id="3" name="Tuesday" dataDxfId="5"/>
    <tableColumn id="4" name="Wednesday" dataDxfId="4"/>
    <tableColumn id="5" name="Thursday" dataDxfId="3"/>
    <tableColumn id="6" name="Friday" dataDxfId="2"/>
    <tableColumn id="7" name="Saturday" dataDxfId="1"/>
    <tableColumn id="8" name="Sun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put"/>
  <dimension ref="A1:F24"/>
  <sheetViews>
    <sheetView showGridLines="0" tabSelected="1" showRuler="0" view="pageLayout" topLeftCell="A13" zoomScale="70" zoomScaleNormal="100" zoomScalePageLayoutView="70" workbookViewId="0">
      <selection activeCell="F4" sqref="F4"/>
    </sheetView>
  </sheetViews>
  <sheetFormatPr defaultRowHeight="21" x14ac:dyDescent="0.35"/>
  <cols>
    <col min="1" max="1" width="4.42578125" style="10" customWidth="1"/>
    <col min="2" max="2" width="4.140625" style="125" customWidth="1"/>
    <col min="3" max="3" width="125.5703125" style="126" customWidth="1"/>
    <col min="4" max="4" width="3.28515625" style="10" customWidth="1"/>
    <col min="5" max="5" width="34.28515625" style="10" customWidth="1"/>
    <col min="6" max="6" width="13.5703125" style="135" customWidth="1"/>
    <col min="7" max="16384" width="9.140625" style="10"/>
  </cols>
  <sheetData>
    <row r="1" spans="1:6" ht="15" x14ac:dyDescent="0.25">
      <c r="B1" s="3"/>
      <c r="C1" s="10"/>
    </row>
    <row r="2" spans="1:6" ht="15" x14ac:dyDescent="0.25">
      <c r="B2" s="210"/>
      <c r="C2" s="210"/>
      <c r="D2" s="210"/>
    </row>
    <row r="3" spans="1:6" ht="30.75" customHeight="1" thickBot="1" x14ac:dyDescent="0.4">
      <c r="A3" s="208" t="s">
        <v>147</v>
      </c>
      <c r="B3" s="208"/>
      <c r="C3" s="208"/>
      <c r="D3" s="23"/>
    </row>
    <row r="4" spans="1:6" ht="27.75" customHeight="1" thickTop="1" x14ac:dyDescent="0.35">
      <c r="A4" s="124" t="s">
        <v>114</v>
      </c>
      <c r="B4" s="207" t="s">
        <v>149</v>
      </c>
      <c r="C4" s="207"/>
      <c r="D4" s="2"/>
      <c r="E4" s="129" t="s">
        <v>0</v>
      </c>
      <c r="F4" s="156">
        <v>42</v>
      </c>
    </row>
    <row r="5" spans="1:6" ht="27.75" customHeight="1" x14ac:dyDescent="0.35">
      <c r="A5" s="136"/>
      <c r="B5" s="127" t="s">
        <v>117</v>
      </c>
      <c r="C5" s="126" t="s">
        <v>148</v>
      </c>
      <c r="E5" s="130" t="s">
        <v>1</v>
      </c>
      <c r="F5" s="157">
        <v>53732</v>
      </c>
    </row>
    <row r="6" spans="1:6" ht="27.75" customHeight="1" x14ac:dyDescent="0.35">
      <c r="A6" s="136"/>
      <c r="B6" s="127" t="s">
        <v>132</v>
      </c>
      <c r="C6" s="128" t="s">
        <v>146</v>
      </c>
      <c r="E6" s="130" t="s">
        <v>2</v>
      </c>
      <c r="F6" s="157"/>
    </row>
    <row r="7" spans="1:6" ht="27.75" customHeight="1" x14ac:dyDescent="0.35">
      <c r="A7" s="136"/>
      <c r="C7" s="128" t="s">
        <v>150</v>
      </c>
      <c r="E7" s="130" t="s">
        <v>3</v>
      </c>
      <c r="F7" s="157"/>
    </row>
    <row r="8" spans="1:6" ht="27.75" customHeight="1" x14ac:dyDescent="0.35">
      <c r="A8" s="137"/>
      <c r="B8" s="127" t="s">
        <v>133</v>
      </c>
      <c r="C8" s="126" t="s">
        <v>134</v>
      </c>
      <c r="E8" s="130" t="s">
        <v>4</v>
      </c>
      <c r="F8" s="157"/>
    </row>
    <row r="9" spans="1:6" ht="27.75" customHeight="1" x14ac:dyDescent="0.35">
      <c r="A9" s="137"/>
      <c r="C9" s="126" t="s">
        <v>135</v>
      </c>
      <c r="D9" s="4"/>
      <c r="E9" s="130" t="s">
        <v>5</v>
      </c>
      <c r="F9" s="157"/>
    </row>
    <row r="10" spans="1:6" ht="27.75" customHeight="1" x14ac:dyDescent="0.35">
      <c r="A10" s="137"/>
      <c r="B10" s="127" t="s">
        <v>136</v>
      </c>
      <c r="C10" s="126" t="s">
        <v>137</v>
      </c>
      <c r="E10" s="130" t="s">
        <v>6</v>
      </c>
      <c r="F10" s="157"/>
    </row>
    <row r="11" spans="1:6" ht="27.75" customHeight="1" x14ac:dyDescent="0.35">
      <c r="A11" s="211" t="s">
        <v>138</v>
      </c>
      <c r="B11" s="211"/>
      <c r="C11" s="211"/>
      <c r="E11" s="130" t="s">
        <v>7</v>
      </c>
      <c r="F11" s="157"/>
    </row>
    <row r="12" spans="1:6" ht="27.75" customHeight="1" x14ac:dyDescent="0.35">
      <c r="A12" s="124" t="s">
        <v>115</v>
      </c>
      <c r="B12" s="207" t="s">
        <v>139</v>
      </c>
      <c r="C12" s="207"/>
      <c r="E12" s="130" t="s">
        <v>8</v>
      </c>
      <c r="F12" s="157"/>
    </row>
    <row r="13" spans="1:6" ht="27.75" customHeight="1" x14ac:dyDescent="0.35">
      <c r="A13" s="137"/>
      <c r="B13" s="127" t="s">
        <v>117</v>
      </c>
      <c r="C13" s="126" t="s">
        <v>140</v>
      </c>
      <c r="E13" s="130" t="s">
        <v>9</v>
      </c>
      <c r="F13" s="157"/>
    </row>
    <row r="14" spans="1:6" ht="27.75" customHeight="1" x14ac:dyDescent="0.35">
      <c r="A14" s="124" t="s">
        <v>116</v>
      </c>
      <c r="B14" s="207" t="s">
        <v>141</v>
      </c>
      <c r="C14" s="207"/>
      <c r="E14" s="130" t="s">
        <v>10</v>
      </c>
      <c r="F14" s="157"/>
    </row>
    <row r="15" spans="1:6" ht="27.75" customHeight="1" x14ac:dyDescent="0.35">
      <c r="A15" s="137"/>
      <c r="B15" s="127" t="s">
        <v>117</v>
      </c>
      <c r="C15" s="126" t="s">
        <v>142</v>
      </c>
      <c r="D15" s="1"/>
      <c r="E15" s="132" t="s">
        <v>12</v>
      </c>
      <c r="F15" s="157"/>
    </row>
    <row r="16" spans="1:6" ht="27.75" customHeight="1" x14ac:dyDescent="0.35">
      <c r="A16" s="137"/>
      <c r="B16" s="127" t="s">
        <v>132</v>
      </c>
      <c r="C16" s="126" t="s">
        <v>165</v>
      </c>
      <c r="E16" s="132" t="s">
        <v>13</v>
      </c>
      <c r="F16" s="157"/>
    </row>
    <row r="17" spans="1:6" ht="27.75" customHeight="1" x14ac:dyDescent="0.35">
      <c r="A17" s="209" t="s">
        <v>143</v>
      </c>
      <c r="B17" s="209"/>
      <c r="C17" s="209"/>
      <c r="E17" s="132" t="s">
        <v>14</v>
      </c>
      <c r="F17" s="157"/>
    </row>
    <row r="18" spans="1:6" ht="27.75" customHeight="1" x14ac:dyDescent="0.35">
      <c r="A18" s="124" t="s">
        <v>145</v>
      </c>
      <c r="B18" s="207" t="s">
        <v>144</v>
      </c>
      <c r="C18" s="207"/>
      <c r="E18" s="132" t="s">
        <v>98</v>
      </c>
      <c r="F18" s="157"/>
    </row>
    <row r="19" spans="1:6" ht="27.75" customHeight="1" x14ac:dyDescent="0.35">
      <c r="A19" s="137"/>
      <c r="C19" s="128"/>
      <c r="E19" s="132" t="s">
        <v>99</v>
      </c>
      <c r="F19" s="157"/>
    </row>
    <row r="20" spans="1:6" ht="27.75" customHeight="1" x14ac:dyDescent="0.35">
      <c r="E20" s="132" t="s">
        <v>100</v>
      </c>
      <c r="F20" s="157"/>
    </row>
    <row r="21" spans="1:6" ht="27.75" customHeight="1" x14ac:dyDescent="0.35">
      <c r="E21" s="132" t="s">
        <v>101</v>
      </c>
      <c r="F21" s="157"/>
    </row>
    <row r="22" spans="1:6" ht="27.75" customHeight="1" x14ac:dyDescent="0.35">
      <c r="A22" s="122"/>
      <c r="E22" s="132" t="s">
        <v>102</v>
      </c>
      <c r="F22" s="131"/>
    </row>
    <row r="23" spans="1:6" ht="27.75" customHeight="1" x14ac:dyDescent="0.35">
      <c r="A23" s="122"/>
      <c r="E23" s="132" t="s">
        <v>103</v>
      </c>
      <c r="F23" s="131"/>
    </row>
    <row r="24" spans="1:6" ht="27.75" customHeight="1" thickBot="1" x14ac:dyDescent="0.4">
      <c r="A24" s="122"/>
      <c r="E24" s="133" t="s">
        <v>104</v>
      </c>
      <c r="F24" s="134"/>
    </row>
  </sheetData>
  <mergeCells count="8">
    <mergeCell ref="B18:C18"/>
    <mergeCell ref="A3:C3"/>
    <mergeCell ref="A17:C17"/>
    <mergeCell ref="B2:D2"/>
    <mergeCell ref="B4:C4"/>
    <mergeCell ref="B12:C12"/>
    <mergeCell ref="B14:C14"/>
    <mergeCell ref="A11:C11"/>
  </mergeCells>
  <pageMargins left="0.27555555555555555" right="0.25" top="0.25" bottom="0.25" header="0.25" footer="0.25"/>
  <pageSetup paperSize="34" scale="62" orientation="landscape" r:id="rId1"/>
  <ignoredErrors>
    <ignoredError sqref="A4 A12 A14 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sterButton_Click">
                <anchor moveWithCells="1" sizeWithCells="1">
                  <from>
                    <xdr:col>2</xdr:col>
                    <xdr:colOff>419100</xdr:colOff>
                    <xdr:row>18</xdr:row>
                    <xdr:rowOff>228600</xdr:rowOff>
                  </from>
                  <to>
                    <xdr:col>2</xdr:col>
                    <xdr:colOff>8305800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I30"/>
  <sheetViews>
    <sheetView showGridLines="0" showRowColHeaders="0" showRuler="0" view="pageLayout" zoomScale="75" zoomScaleNormal="55" zoomScalePageLayoutView="75" workbookViewId="0">
      <selection activeCell="B24" sqref="B24"/>
    </sheetView>
  </sheetViews>
  <sheetFormatPr defaultRowHeight="15.75" x14ac:dyDescent="0.25"/>
  <cols>
    <col min="1" max="1" width="32.42578125" style="30" customWidth="1"/>
    <col min="2" max="8" width="14.7109375" style="30" customWidth="1"/>
    <col min="9" max="9" width="14.7109375" style="30" bestFit="1" customWidth="1"/>
    <col min="10" max="38" width="9.140625" style="30"/>
    <col min="39" max="39" width="40.7109375" style="30" customWidth="1"/>
    <col min="40" max="51" width="22.7109375" style="30" customWidth="1"/>
    <col min="52" max="54" width="15" style="30" customWidth="1"/>
    <col min="55" max="294" width="9.140625" style="30"/>
    <col min="295" max="295" width="40.7109375" style="30" customWidth="1"/>
    <col min="296" max="307" width="22.7109375" style="30" customWidth="1"/>
    <col min="308" max="310" width="15" style="30" customWidth="1"/>
    <col min="311" max="550" width="9.140625" style="30"/>
    <col min="551" max="551" width="40.7109375" style="30" customWidth="1"/>
    <col min="552" max="563" width="22.7109375" style="30" customWidth="1"/>
    <col min="564" max="566" width="15" style="30" customWidth="1"/>
    <col min="567" max="806" width="9.140625" style="30"/>
    <col min="807" max="807" width="40.7109375" style="30" customWidth="1"/>
    <col min="808" max="819" width="22.7109375" style="30" customWidth="1"/>
    <col min="820" max="822" width="15" style="30" customWidth="1"/>
    <col min="823" max="1062" width="9.140625" style="30"/>
    <col min="1063" max="1063" width="40.7109375" style="30" customWidth="1"/>
    <col min="1064" max="1075" width="22.7109375" style="30" customWidth="1"/>
    <col min="1076" max="1078" width="15" style="30" customWidth="1"/>
    <col min="1079" max="1318" width="9.140625" style="30"/>
    <col min="1319" max="1319" width="40.7109375" style="30" customWidth="1"/>
    <col min="1320" max="1331" width="22.7109375" style="30" customWidth="1"/>
    <col min="1332" max="1334" width="15" style="30" customWidth="1"/>
    <col min="1335" max="1574" width="9.140625" style="30"/>
    <col min="1575" max="1575" width="40.7109375" style="30" customWidth="1"/>
    <col min="1576" max="1587" width="22.7109375" style="30" customWidth="1"/>
    <col min="1588" max="1590" width="15" style="30" customWidth="1"/>
    <col min="1591" max="1830" width="9.140625" style="30"/>
    <col min="1831" max="1831" width="40.7109375" style="30" customWidth="1"/>
    <col min="1832" max="1843" width="22.7109375" style="30" customWidth="1"/>
    <col min="1844" max="1846" width="15" style="30" customWidth="1"/>
    <col min="1847" max="2086" width="9.140625" style="30"/>
    <col min="2087" max="2087" width="40.7109375" style="30" customWidth="1"/>
    <col min="2088" max="2099" width="22.7109375" style="30" customWidth="1"/>
    <col min="2100" max="2102" width="15" style="30" customWidth="1"/>
    <col min="2103" max="2342" width="9.140625" style="30"/>
    <col min="2343" max="2343" width="40.7109375" style="30" customWidth="1"/>
    <col min="2344" max="2355" width="22.7109375" style="30" customWidth="1"/>
    <col min="2356" max="2358" width="15" style="30" customWidth="1"/>
    <col min="2359" max="2598" width="9.140625" style="30"/>
    <col min="2599" max="2599" width="40.7109375" style="30" customWidth="1"/>
    <col min="2600" max="2611" width="22.7109375" style="30" customWidth="1"/>
    <col min="2612" max="2614" width="15" style="30" customWidth="1"/>
    <col min="2615" max="2854" width="9.140625" style="30"/>
    <col min="2855" max="2855" width="40.7109375" style="30" customWidth="1"/>
    <col min="2856" max="2867" width="22.7109375" style="30" customWidth="1"/>
    <col min="2868" max="2870" width="15" style="30" customWidth="1"/>
    <col min="2871" max="3110" width="9.140625" style="30"/>
    <col min="3111" max="3111" width="40.7109375" style="30" customWidth="1"/>
    <col min="3112" max="3123" width="22.7109375" style="30" customWidth="1"/>
    <col min="3124" max="3126" width="15" style="30" customWidth="1"/>
    <col min="3127" max="3366" width="9.140625" style="30"/>
    <col min="3367" max="3367" width="40.7109375" style="30" customWidth="1"/>
    <col min="3368" max="3379" width="22.7109375" style="30" customWidth="1"/>
    <col min="3380" max="3382" width="15" style="30" customWidth="1"/>
    <col min="3383" max="3622" width="9.140625" style="30"/>
    <col min="3623" max="3623" width="40.7109375" style="30" customWidth="1"/>
    <col min="3624" max="3635" width="22.7109375" style="30" customWidth="1"/>
    <col min="3636" max="3638" width="15" style="30" customWidth="1"/>
    <col min="3639" max="3878" width="9.140625" style="30"/>
    <col min="3879" max="3879" width="40.7109375" style="30" customWidth="1"/>
    <col min="3880" max="3891" width="22.7109375" style="30" customWidth="1"/>
    <col min="3892" max="3894" width="15" style="30" customWidth="1"/>
    <col min="3895" max="4134" width="9.140625" style="30"/>
    <col min="4135" max="4135" width="40.7109375" style="30" customWidth="1"/>
    <col min="4136" max="4147" width="22.7109375" style="30" customWidth="1"/>
    <col min="4148" max="4150" width="15" style="30" customWidth="1"/>
    <col min="4151" max="4390" width="9.140625" style="30"/>
    <col min="4391" max="4391" width="40.7109375" style="30" customWidth="1"/>
    <col min="4392" max="4403" width="22.7109375" style="30" customWidth="1"/>
    <col min="4404" max="4406" width="15" style="30" customWidth="1"/>
    <col min="4407" max="4646" width="9.140625" style="30"/>
    <col min="4647" max="4647" width="40.7109375" style="30" customWidth="1"/>
    <col min="4648" max="4659" width="22.7109375" style="30" customWidth="1"/>
    <col min="4660" max="4662" width="15" style="30" customWidth="1"/>
    <col min="4663" max="4902" width="9.140625" style="30"/>
    <col min="4903" max="4903" width="40.7109375" style="30" customWidth="1"/>
    <col min="4904" max="4915" width="22.7109375" style="30" customWidth="1"/>
    <col min="4916" max="4918" width="15" style="30" customWidth="1"/>
    <col min="4919" max="5158" width="9.140625" style="30"/>
    <col min="5159" max="5159" width="40.7109375" style="30" customWidth="1"/>
    <col min="5160" max="5171" width="22.7109375" style="30" customWidth="1"/>
    <col min="5172" max="5174" width="15" style="30" customWidth="1"/>
    <col min="5175" max="5414" width="9.140625" style="30"/>
    <col min="5415" max="5415" width="40.7109375" style="30" customWidth="1"/>
    <col min="5416" max="5427" width="22.7109375" style="30" customWidth="1"/>
    <col min="5428" max="5430" width="15" style="30" customWidth="1"/>
    <col min="5431" max="5670" width="9.140625" style="30"/>
    <col min="5671" max="5671" width="40.7109375" style="30" customWidth="1"/>
    <col min="5672" max="5683" width="22.7109375" style="30" customWidth="1"/>
    <col min="5684" max="5686" width="15" style="30" customWidth="1"/>
    <col min="5687" max="5926" width="9.140625" style="30"/>
    <col min="5927" max="5927" width="40.7109375" style="30" customWidth="1"/>
    <col min="5928" max="5939" width="22.7109375" style="30" customWidth="1"/>
    <col min="5940" max="5942" width="15" style="30" customWidth="1"/>
    <col min="5943" max="6182" width="9.140625" style="30"/>
    <col min="6183" max="6183" width="40.7109375" style="30" customWidth="1"/>
    <col min="6184" max="6195" width="22.7109375" style="30" customWidth="1"/>
    <col min="6196" max="6198" width="15" style="30" customWidth="1"/>
    <col min="6199" max="6438" width="9.140625" style="30"/>
    <col min="6439" max="6439" width="40.7109375" style="30" customWidth="1"/>
    <col min="6440" max="6451" width="22.7109375" style="30" customWidth="1"/>
    <col min="6452" max="6454" width="15" style="30" customWidth="1"/>
    <col min="6455" max="6694" width="9.140625" style="30"/>
    <col min="6695" max="6695" width="40.7109375" style="30" customWidth="1"/>
    <col min="6696" max="6707" width="22.7109375" style="30" customWidth="1"/>
    <col min="6708" max="6710" width="15" style="30" customWidth="1"/>
    <col min="6711" max="6950" width="9.140625" style="30"/>
    <col min="6951" max="6951" width="40.7109375" style="30" customWidth="1"/>
    <col min="6952" max="6963" width="22.7109375" style="30" customWidth="1"/>
    <col min="6964" max="6966" width="15" style="30" customWidth="1"/>
    <col min="6967" max="7206" width="9.140625" style="30"/>
    <col min="7207" max="7207" width="40.7109375" style="30" customWidth="1"/>
    <col min="7208" max="7219" width="22.7109375" style="30" customWidth="1"/>
    <col min="7220" max="7222" width="15" style="30" customWidth="1"/>
    <col min="7223" max="7462" width="9.140625" style="30"/>
    <col min="7463" max="7463" width="40.7109375" style="30" customWidth="1"/>
    <col min="7464" max="7475" width="22.7109375" style="30" customWidth="1"/>
    <col min="7476" max="7478" width="15" style="30" customWidth="1"/>
    <col min="7479" max="7718" width="9.140625" style="30"/>
    <col min="7719" max="7719" width="40.7109375" style="30" customWidth="1"/>
    <col min="7720" max="7731" width="22.7109375" style="30" customWidth="1"/>
    <col min="7732" max="7734" width="15" style="30" customWidth="1"/>
    <col min="7735" max="7974" width="9.140625" style="30"/>
    <col min="7975" max="7975" width="40.7109375" style="30" customWidth="1"/>
    <col min="7976" max="7987" width="22.7109375" style="30" customWidth="1"/>
    <col min="7988" max="7990" width="15" style="30" customWidth="1"/>
    <col min="7991" max="8230" width="9.140625" style="30"/>
    <col min="8231" max="8231" width="40.7109375" style="30" customWidth="1"/>
    <col min="8232" max="8243" width="22.7109375" style="30" customWidth="1"/>
    <col min="8244" max="8246" width="15" style="30" customWidth="1"/>
    <col min="8247" max="8486" width="9.140625" style="30"/>
    <col min="8487" max="8487" width="40.7109375" style="30" customWidth="1"/>
    <col min="8488" max="8499" width="22.7109375" style="30" customWidth="1"/>
    <col min="8500" max="8502" width="15" style="30" customWidth="1"/>
    <col min="8503" max="8742" width="9.140625" style="30"/>
    <col min="8743" max="8743" width="40.7109375" style="30" customWidth="1"/>
    <col min="8744" max="8755" width="22.7109375" style="30" customWidth="1"/>
    <col min="8756" max="8758" width="15" style="30" customWidth="1"/>
    <col min="8759" max="8998" width="9.140625" style="30"/>
    <col min="8999" max="8999" width="40.7109375" style="30" customWidth="1"/>
    <col min="9000" max="9011" width="22.7109375" style="30" customWidth="1"/>
    <col min="9012" max="9014" width="15" style="30" customWidth="1"/>
    <col min="9015" max="9254" width="9.140625" style="30"/>
    <col min="9255" max="9255" width="40.7109375" style="30" customWidth="1"/>
    <col min="9256" max="9267" width="22.7109375" style="30" customWidth="1"/>
    <col min="9268" max="9270" width="15" style="30" customWidth="1"/>
    <col min="9271" max="9510" width="9.140625" style="30"/>
    <col min="9511" max="9511" width="40.7109375" style="30" customWidth="1"/>
    <col min="9512" max="9523" width="22.7109375" style="30" customWidth="1"/>
    <col min="9524" max="9526" width="15" style="30" customWidth="1"/>
    <col min="9527" max="9766" width="9.140625" style="30"/>
    <col min="9767" max="9767" width="40.7109375" style="30" customWidth="1"/>
    <col min="9768" max="9779" width="22.7109375" style="30" customWidth="1"/>
    <col min="9780" max="9782" width="15" style="30" customWidth="1"/>
    <col min="9783" max="10022" width="9.140625" style="30"/>
    <col min="10023" max="10023" width="40.7109375" style="30" customWidth="1"/>
    <col min="10024" max="10035" width="22.7109375" style="30" customWidth="1"/>
    <col min="10036" max="10038" width="15" style="30" customWidth="1"/>
    <col min="10039" max="10278" width="9.140625" style="30"/>
    <col min="10279" max="10279" width="40.7109375" style="30" customWidth="1"/>
    <col min="10280" max="10291" width="22.7109375" style="30" customWidth="1"/>
    <col min="10292" max="10294" width="15" style="30" customWidth="1"/>
    <col min="10295" max="10534" width="9.140625" style="30"/>
    <col min="10535" max="10535" width="40.7109375" style="30" customWidth="1"/>
    <col min="10536" max="10547" width="22.7109375" style="30" customWidth="1"/>
    <col min="10548" max="10550" width="15" style="30" customWidth="1"/>
    <col min="10551" max="10790" width="9.140625" style="30"/>
    <col min="10791" max="10791" width="40.7109375" style="30" customWidth="1"/>
    <col min="10792" max="10803" width="22.7109375" style="30" customWidth="1"/>
    <col min="10804" max="10806" width="15" style="30" customWidth="1"/>
    <col min="10807" max="11046" width="9.140625" style="30"/>
    <col min="11047" max="11047" width="40.7109375" style="30" customWidth="1"/>
    <col min="11048" max="11059" width="22.7109375" style="30" customWidth="1"/>
    <col min="11060" max="11062" width="15" style="30" customWidth="1"/>
    <col min="11063" max="11302" width="9.140625" style="30"/>
    <col min="11303" max="11303" width="40.7109375" style="30" customWidth="1"/>
    <col min="11304" max="11315" width="22.7109375" style="30" customWidth="1"/>
    <col min="11316" max="11318" width="15" style="30" customWidth="1"/>
    <col min="11319" max="11558" width="9.140625" style="30"/>
    <col min="11559" max="11559" width="40.7109375" style="30" customWidth="1"/>
    <col min="11560" max="11571" width="22.7109375" style="30" customWidth="1"/>
    <col min="11572" max="11574" width="15" style="30" customWidth="1"/>
    <col min="11575" max="11814" width="9.140625" style="30"/>
    <col min="11815" max="11815" width="40.7109375" style="30" customWidth="1"/>
    <col min="11816" max="11827" width="22.7109375" style="30" customWidth="1"/>
    <col min="11828" max="11830" width="15" style="30" customWidth="1"/>
    <col min="11831" max="12070" width="9.140625" style="30"/>
    <col min="12071" max="12071" width="40.7109375" style="30" customWidth="1"/>
    <col min="12072" max="12083" width="22.7109375" style="30" customWidth="1"/>
    <col min="12084" max="12086" width="15" style="30" customWidth="1"/>
    <col min="12087" max="12326" width="9.140625" style="30"/>
    <col min="12327" max="12327" width="40.7109375" style="30" customWidth="1"/>
    <col min="12328" max="12339" width="22.7109375" style="30" customWidth="1"/>
    <col min="12340" max="12342" width="15" style="30" customWidth="1"/>
    <col min="12343" max="12582" width="9.140625" style="30"/>
    <col min="12583" max="12583" width="40.7109375" style="30" customWidth="1"/>
    <col min="12584" max="12595" width="22.7109375" style="30" customWidth="1"/>
    <col min="12596" max="12598" width="15" style="30" customWidth="1"/>
    <col min="12599" max="12838" width="9.140625" style="30"/>
    <col min="12839" max="12839" width="40.7109375" style="30" customWidth="1"/>
    <col min="12840" max="12851" width="22.7109375" style="30" customWidth="1"/>
    <col min="12852" max="12854" width="15" style="30" customWidth="1"/>
    <col min="12855" max="13094" width="9.140625" style="30"/>
    <col min="13095" max="13095" width="40.7109375" style="30" customWidth="1"/>
    <col min="13096" max="13107" width="22.7109375" style="30" customWidth="1"/>
    <col min="13108" max="13110" width="15" style="30" customWidth="1"/>
    <col min="13111" max="13350" width="9.140625" style="30"/>
    <col min="13351" max="13351" width="40.7109375" style="30" customWidth="1"/>
    <col min="13352" max="13363" width="22.7109375" style="30" customWidth="1"/>
    <col min="13364" max="13366" width="15" style="30" customWidth="1"/>
    <col min="13367" max="13606" width="9.140625" style="30"/>
    <col min="13607" max="13607" width="40.7109375" style="30" customWidth="1"/>
    <col min="13608" max="13619" width="22.7109375" style="30" customWidth="1"/>
    <col min="13620" max="13622" width="15" style="30" customWidth="1"/>
    <col min="13623" max="13862" width="9.140625" style="30"/>
    <col min="13863" max="13863" width="40.7109375" style="30" customWidth="1"/>
    <col min="13864" max="13875" width="22.7109375" style="30" customWidth="1"/>
    <col min="13876" max="13878" width="15" style="30" customWidth="1"/>
    <col min="13879" max="14118" width="9.140625" style="30"/>
    <col min="14119" max="14119" width="40.7109375" style="30" customWidth="1"/>
    <col min="14120" max="14131" width="22.7109375" style="30" customWidth="1"/>
    <col min="14132" max="14134" width="15" style="30" customWidth="1"/>
    <col min="14135" max="14374" width="9.140625" style="30"/>
    <col min="14375" max="14375" width="40.7109375" style="30" customWidth="1"/>
    <col min="14376" max="14387" width="22.7109375" style="30" customWidth="1"/>
    <col min="14388" max="14390" width="15" style="30" customWidth="1"/>
    <col min="14391" max="14630" width="9.140625" style="30"/>
    <col min="14631" max="14631" width="40.7109375" style="30" customWidth="1"/>
    <col min="14632" max="14643" width="22.7109375" style="30" customWidth="1"/>
    <col min="14644" max="14646" width="15" style="30" customWidth="1"/>
    <col min="14647" max="14886" width="9.140625" style="30"/>
    <col min="14887" max="14887" width="40.7109375" style="30" customWidth="1"/>
    <col min="14888" max="14899" width="22.7109375" style="30" customWidth="1"/>
    <col min="14900" max="14902" width="15" style="30" customWidth="1"/>
    <col min="14903" max="15142" width="9.140625" style="30"/>
    <col min="15143" max="15143" width="40.7109375" style="30" customWidth="1"/>
    <col min="15144" max="15155" width="22.7109375" style="30" customWidth="1"/>
    <col min="15156" max="15158" width="15" style="30" customWidth="1"/>
    <col min="15159" max="15398" width="9.140625" style="30"/>
    <col min="15399" max="15399" width="40.7109375" style="30" customWidth="1"/>
    <col min="15400" max="15411" width="22.7109375" style="30" customWidth="1"/>
    <col min="15412" max="15414" width="15" style="30" customWidth="1"/>
    <col min="15415" max="15654" width="9.140625" style="30"/>
    <col min="15655" max="15655" width="40.7109375" style="30" customWidth="1"/>
    <col min="15656" max="15667" width="22.7109375" style="30" customWidth="1"/>
    <col min="15668" max="15670" width="15" style="30" customWidth="1"/>
    <col min="15671" max="15910" width="9.140625" style="30"/>
    <col min="15911" max="15911" width="40.7109375" style="30" customWidth="1"/>
    <col min="15912" max="15923" width="22.7109375" style="30" customWidth="1"/>
    <col min="15924" max="15926" width="15" style="30" customWidth="1"/>
    <col min="15927" max="16384" width="9.140625" style="30"/>
  </cols>
  <sheetData>
    <row r="1" spans="1:9" ht="18.75" customHeight="1" x14ac:dyDescent="0.25">
      <c r="A1" s="92" t="s">
        <v>91</v>
      </c>
      <c r="B1" s="108" t="s">
        <v>11</v>
      </c>
    </row>
    <row r="2" spans="1:9" ht="20.25" customHeight="1" x14ac:dyDescent="0.25">
      <c r="A2" s="92" t="s">
        <v>90</v>
      </c>
      <c r="B2" s="108">
        <v>53727</v>
      </c>
      <c r="C2" s="108"/>
    </row>
    <row r="3" spans="1:9" ht="8.25" customHeight="1" thickBot="1" x14ac:dyDescent="0.3">
      <c r="A3" s="53"/>
    </row>
    <row r="4" spans="1:9" ht="18.75" customHeight="1" thickBot="1" x14ac:dyDescent="0.3">
      <c r="A4" s="89" t="s">
        <v>59</v>
      </c>
      <c r="B4" s="90"/>
      <c r="C4" s="90"/>
      <c r="D4" s="90"/>
      <c r="E4" s="90"/>
      <c r="F4" s="90"/>
      <c r="G4" s="90"/>
      <c r="H4" s="90"/>
      <c r="I4" s="91"/>
    </row>
    <row r="5" spans="1:9" s="27" customFormat="1" ht="19.5" thickBot="1" x14ac:dyDescent="0.35">
      <c r="A5" s="54"/>
      <c r="B5" s="55" t="s">
        <v>16</v>
      </c>
      <c r="C5" s="56" t="s">
        <v>17</v>
      </c>
      <c r="D5" s="56" t="s">
        <v>18</v>
      </c>
      <c r="E5" s="56" t="s">
        <v>19</v>
      </c>
      <c r="F5" s="56" t="s">
        <v>20</v>
      </c>
      <c r="G5" s="56" t="s">
        <v>21</v>
      </c>
      <c r="H5" s="56" t="s">
        <v>22</v>
      </c>
      <c r="I5" s="57" t="s">
        <v>60</v>
      </c>
    </row>
    <row r="6" spans="1:9" s="28" customFormat="1" ht="18" customHeight="1" x14ac:dyDescent="0.3">
      <c r="A6" s="58" t="s">
        <v>71</v>
      </c>
      <c r="B6" s="59"/>
      <c r="C6" s="60"/>
      <c r="D6" s="60"/>
      <c r="E6" s="60"/>
      <c r="F6" s="60"/>
      <c r="G6" s="60"/>
      <c r="H6" s="61"/>
      <c r="I6" s="62">
        <f t="shared" ref="I6:I22" si="0">SUM(B6:H6)</f>
        <v>0</v>
      </c>
    </row>
    <row r="7" spans="1:9" s="28" customFormat="1" ht="18" customHeight="1" x14ac:dyDescent="0.3">
      <c r="A7" s="58" t="s">
        <v>68</v>
      </c>
      <c r="B7" s="63"/>
      <c r="C7" s="64"/>
      <c r="D7" s="64"/>
      <c r="E7" s="64"/>
      <c r="F7" s="64"/>
      <c r="G7" s="64"/>
      <c r="H7" s="65"/>
      <c r="I7" s="66">
        <f t="shared" si="0"/>
        <v>0</v>
      </c>
    </row>
    <row r="8" spans="1:9" s="28" customFormat="1" ht="18" customHeight="1" x14ac:dyDescent="0.3">
      <c r="A8" s="58" t="s">
        <v>69</v>
      </c>
      <c r="B8" s="63"/>
      <c r="C8" s="64"/>
      <c r="D8" s="64"/>
      <c r="E8" s="64"/>
      <c r="F8" s="64"/>
      <c r="G8" s="64"/>
      <c r="H8" s="65"/>
      <c r="I8" s="66">
        <f t="shared" si="0"/>
        <v>0</v>
      </c>
    </row>
    <row r="9" spans="1:9" s="28" customFormat="1" ht="18" customHeight="1" x14ac:dyDescent="0.3">
      <c r="A9" s="58" t="s">
        <v>70</v>
      </c>
      <c r="B9" s="63"/>
      <c r="C9" s="64"/>
      <c r="D9" s="64"/>
      <c r="E9" s="64"/>
      <c r="F9" s="64"/>
      <c r="G9" s="64"/>
      <c r="H9" s="65"/>
      <c r="I9" s="66">
        <f t="shared" si="0"/>
        <v>0</v>
      </c>
    </row>
    <row r="10" spans="1:9" s="28" customFormat="1" ht="18" customHeight="1" x14ac:dyDescent="0.3">
      <c r="A10" s="58" t="s">
        <v>71</v>
      </c>
      <c r="B10" s="67"/>
      <c r="C10" s="68"/>
      <c r="D10" s="68"/>
      <c r="E10" s="68"/>
      <c r="F10" s="68"/>
      <c r="G10" s="68"/>
      <c r="H10" s="69"/>
      <c r="I10" s="70">
        <f t="shared" si="0"/>
        <v>0</v>
      </c>
    </row>
    <row r="11" spans="1:9" s="28" customFormat="1" ht="18" customHeight="1" x14ac:dyDescent="0.3">
      <c r="A11" s="58" t="s">
        <v>72</v>
      </c>
      <c r="B11" s="67"/>
      <c r="C11" s="68"/>
      <c r="D11" s="68"/>
      <c r="E11" s="68"/>
      <c r="F11" s="68"/>
      <c r="G11" s="68"/>
      <c r="H11" s="69"/>
      <c r="I11" s="70">
        <f t="shared" si="0"/>
        <v>0</v>
      </c>
    </row>
    <row r="12" spans="1:9" s="28" customFormat="1" ht="18" customHeight="1" x14ac:dyDescent="0.3">
      <c r="A12" s="58" t="s">
        <v>73</v>
      </c>
      <c r="B12" s="67"/>
      <c r="C12" s="68"/>
      <c r="D12" s="68"/>
      <c r="E12" s="68"/>
      <c r="F12" s="68"/>
      <c r="G12" s="68"/>
      <c r="H12" s="69"/>
      <c r="I12" s="70">
        <f t="shared" si="0"/>
        <v>0</v>
      </c>
    </row>
    <row r="13" spans="1:9" s="28" customFormat="1" ht="18" customHeight="1" x14ac:dyDescent="0.3">
      <c r="A13" s="58" t="s">
        <v>74</v>
      </c>
      <c r="B13" s="67"/>
      <c r="C13" s="68"/>
      <c r="D13" s="68"/>
      <c r="E13" s="68"/>
      <c r="F13" s="68"/>
      <c r="G13" s="68"/>
      <c r="H13" s="69"/>
      <c r="I13" s="70">
        <f t="shared" si="0"/>
        <v>0</v>
      </c>
    </row>
    <row r="14" spans="1:9" s="28" customFormat="1" ht="18" customHeight="1" x14ac:dyDescent="0.3">
      <c r="A14" s="58" t="s">
        <v>75</v>
      </c>
      <c r="B14" s="67"/>
      <c r="C14" s="68"/>
      <c r="D14" s="68"/>
      <c r="E14" s="68"/>
      <c r="F14" s="68"/>
      <c r="G14" s="68"/>
      <c r="H14" s="69"/>
      <c r="I14" s="70">
        <f t="shared" si="0"/>
        <v>0</v>
      </c>
    </row>
    <row r="15" spans="1:9" s="28" customFormat="1" ht="18" customHeight="1" x14ac:dyDescent="0.3">
      <c r="A15" s="58" t="s">
        <v>76</v>
      </c>
      <c r="B15" s="67"/>
      <c r="C15" s="68"/>
      <c r="D15" s="68"/>
      <c r="E15" s="68"/>
      <c r="F15" s="68"/>
      <c r="G15" s="68"/>
      <c r="H15" s="69"/>
      <c r="I15" s="70">
        <f t="shared" si="0"/>
        <v>0</v>
      </c>
    </row>
    <row r="16" spans="1:9" s="28" customFormat="1" ht="18" customHeight="1" x14ac:dyDescent="0.3">
      <c r="A16" s="58" t="s">
        <v>77</v>
      </c>
      <c r="B16" s="67"/>
      <c r="C16" s="68"/>
      <c r="D16" s="68"/>
      <c r="E16" s="68"/>
      <c r="F16" s="68"/>
      <c r="G16" s="68"/>
      <c r="H16" s="69"/>
      <c r="I16" s="70">
        <f t="shared" si="0"/>
        <v>0</v>
      </c>
    </row>
    <row r="17" spans="1:9" s="28" customFormat="1" ht="18" customHeight="1" x14ac:dyDescent="0.3">
      <c r="A17" s="58" t="s">
        <v>78</v>
      </c>
      <c r="B17" s="71"/>
      <c r="C17" s="72"/>
      <c r="D17" s="72"/>
      <c r="E17" s="72"/>
      <c r="F17" s="72"/>
      <c r="G17" s="72"/>
      <c r="H17" s="73"/>
      <c r="I17" s="70">
        <f t="shared" si="0"/>
        <v>0</v>
      </c>
    </row>
    <row r="18" spans="1:9" s="28" customFormat="1" ht="18" customHeight="1" x14ac:dyDescent="0.3">
      <c r="A18" s="58" t="s">
        <v>79</v>
      </c>
      <c r="B18" s="71"/>
      <c r="C18" s="72"/>
      <c r="D18" s="72"/>
      <c r="E18" s="72"/>
      <c r="F18" s="72"/>
      <c r="G18" s="72"/>
      <c r="H18" s="73"/>
      <c r="I18" s="70">
        <f t="shared" si="0"/>
        <v>0</v>
      </c>
    </row>
    <row r="19" spans="1:9" s="28" customFormat="1" ht="18" customHeight="1" x14ac:dyDescent="0.3">
      <c r="A19" s="58" t="s">
        <v>71</v>
      </c>
      <c r="B19" s="71"/>
      <c r="C19" s="72"/>
      <c r="D19" s="72"/>
      <c r="E19" s="72"/>
      <c r="F19" s="72"/>
      <c r="G19" s="72"/>
      <c r="H19" s="73"/>
      <c r="I19" s="70">
        <f t="shared" si="0"/>
        <v>0</v>
      </c>
    </row>
    <row r="20" spans="1:9" s="28" customFormat="1" ht="18" customHeight="1" x14ac:dyDescent="0.3">
      <c r="A20" s="58" t="s">
        <v>80</v>
      </c>
      <c r="B20" s="71"/>
      <c r="C20" s="72"/>
      <c r="D20" s="72"/>
      <c r="E20" s="72"/>
      <c r="F20" s="72"/>
      <c r="G20" s="72"/>
      <c r="H20" s="73"/>
      <c r="I20" s="70">
        <f t="shared" si="0"/>
        <v>0</v>
      </c>
    </row>
    <row r="21" spans="1:9" s="28" customFormat="1" ht="18" customHeight="1" x14ac:dyDescent="0.3">
      <c r="A21" s="58" t="s">
        <v>81</v>
      </c>
      <c r="B21" s="71"/>
      <c r="C21" s="72"/>
      <c r="D21" s="72"/>
      <c r="E21" s="72"/>
      <c r="F21" s="72"/>
      <c r="G21" s="72"/>
      <c r="H21" s="73"/>
      <c r="I21" s="70">
        <f t="shared" si="0"/>
        <v>0</v>
      </c>
    </row>
    <row r="22" spans="1:9" s="28" customFormat="1" ht="18" customHeight="1" thickBot="1" x14ac:dyDescent="0.35">
      <c r="A22" s="58" t="s">
        <v>71</v>
      </c>
      <c r="B22" s="74"/>
      <c r="C22" s="75"/>
      <c r="D22" s="75"/>
      <c r="E22" s="75"/>
      <c r="F22" s="75"/>
      <c r="G22" s="75"/>
      <c r="H22" s="76"/>
      <c r="I22" s="77">
        <f t="shared" si="0"/>
        <v>0</v>
      </c>
    </row>
    <row r="23" spans="1:9" s="28" customFormat="1" ht="19.5" thickBot="1" x14ac:dyDescent="0.35">
      <c r="A23" s="78"/>
      <c r="B23" s="79"/>
      <c r="C23" s="79"/>
      <c r="D23" s="79"/>
      <c r="E23" s="79"/>
      <c r="F23" s="79"/>
      <c r="G23" s="79"/>
      <c r="H23" s="79"/>
      <c r="I23" s="80"/>
    </row>
    <row r="24" spans="1:9" s="28" customFormat="1" ht="19.5" thickBot="1" x14ac:dyDescent="0.35"/>
    <row r="25" spans="1:9" s="28" customFormat="1" ht="18.75" x14ac:dyDescent="0.3">
      <c r="A25" s="83" t="s">
        <v>61</v>
      </c>
      <c r="B25" s="109"/>
      <c r="C25" s="84"/>
      <c r="E25" s="85" t="s">
        <v>62</v>
      </c>
      <c r="F25" s="86">
        <f>IF(B25=0,0,B27/B25)</f>
        <v>0</v>
      </c>
      <c r="G25" s="81"/>
      <c r="H25" s="81"/>
      <c r="I25" s="81"/>
    </row>
    <row r="26" spans="1:9" s="28" customFormat="1" ht="18.75" x14ac:dyDescent="0.3">
      <c r="A26" s="83" t="s">
        <v>63</v>
      </c>
      <c r="B26" s="110"/>
      <c r="C26" s="30"/>
      <c r="E26" s="85" t="s">
        <v>64</v>
      </c>
      <c r="F26" s="87">
        <f>IF(B25=0,0,(B27/(B25-B26-B28)))</f>
        <v>0</v>
      </c>
      <c r="G26" s="81"/>
      <c r="H26" s="81"/>
      <c r="I26" s="81"/>
    </row>
    <row r="27" spans="1:9" s="28" customFormat="1" ht="19.5" thickBot="1" x14ac:dyDescent="0.35">
      <c r="A27" s="83" t="s">
        <v>65</v>
      </c>
      <c r="B27" s="110"/>
      <c r="C27" s="30"/>
      <c r="E27" s="85" t="s">
        <v>66</v>
      </c>
      <c r="F27" s="88">
        <f>IF(B25=0,0,(B27+B26)/(B25-B28))</f>
        <v>0</v>
      </c>
      <c r="G27" s="81"/>
      <c r="H27" s="81"/>
      <c r="I27" s="81"/>
    </row>
    <row r="28" spans="1:9" s="28" customFormat="1" ht="19.5" thickBot="1" x14ac:dyDescent="0.35">
      <c r="A28" s="83" t="s">
        <v>67</v>
      </c>
      <c r="B28" s="111"/>
      <c r="C28" s="30"/>
      <c r="E28" s="30"/>
      <c r="F28" s="30"/>
      <c r="G28" s="82"/>
      <c r="H28" s="82"/>
      <c r="I28" s="81"/>
    </row>
    <row r="29" spans="1:9" s="29" customFormat="1" ht="18.75" x14ac:dyDescent="0.3">
      <c r="G29" s="84"/>
      <c r="H29" s="84"/>
      <c r="I29" s="84"/>
    </row>
    <row r="30" spans="1:9" x14ac:dyDescent="0.25">
      <c r="A30" s="107"/>
      <c r="B30" s="107"/>
      <c r="C30" s="107"/>
      <c r="D30" s="107"/>
      <c r="E30" s="107"/>
      <c r="F30" s="107"/>
      <c r="G30" s="107"/>
      <c r="H30" s="107"/>
      <c r="I30" s="107"/>
    </row>
  </sheetData>
  <sheetProtection insertColumns="0" insertRows="0" insertHyperlinks="0" deleteColumns="0" deleteRows="0"/>
  <pageMargins left="0.7" right="0.7" top="0.75" bottom="0.75" header="0.3" footer="0.3"/>
  <pageSetup scale="75" fitToHeight="0" orientation="landscape" errors="NA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orts">
    <pageSetUpPr fitToPage="1"/>
  </sheetPr>
  <dimension ref="A1:AA9"/>
  <sheetViews>
    <sheetView showGridLines="0" showRuler="0" view="pageLayout" zoomScaleNormal="100" workbookViewId="0">
      <selection activeCell="G12" sqref="G12"/>
    </sheetView>
  </sheetViews>
  <sheetFormatPr defaultRowHeight="15" x14ac:dyDescent="0.25"/>
  <cols>
    <col min="1" max="1" width="7.42578125" style="122" customWidth="1"/>
    <col min="2" max="2" width="6.42578125" style="122" customWidth="1"/>
    <col min="3" max="3" width="7.7109375" style="122" customWidth="1"/>
    <col min="4" max="5" width="6.7109375" style="122" customWidth="1"/>
    <col min="6" max="6" width="7.28515625" style="122" customWidth="1"/>
    <col min="7" max="7" width="10" style="122" customWidth="1"/>
    <col min="8" max="8" width="9.28515625" style="122" customWidth="1"/>
    <col min="9" max="9" width="5.7109375" style="122" customWidth="1"/>
    <col min="10" max="10" width="5.28515625" style="122" customWidth="1"/>
    <col min="11" max="11" width="4.7109375" style="122" customWidth="1"/>
    <col min="12" max="12" width="5.140625" style="122" customWidth="1"/>
    <col min="13" max="13" width="4.7109375" style="122" customWidth="1"/>
    <col min="14" max="15" width="6" style="122" customWidth="1"/>
    <col min="16" max="16" width="7.7109375" style="122" customWidth="1"/>
    <col min="17" max="17" width="6.85546875" style="122" customWidth="1"/>
    <col min="18" max="18" width="8" style="122" customWidth="1"/>
    <col min="19" max="19" width="9.140625" style="122" customWidth="1"/>
    <col min="20" max="20" width="10" style="122" customWidth="1"/>
    <col min="21" max="22" width="9.85546875" style="122" customWidth="1"/>
    <col min="23" max="23" width="10" style="122" customWidth="1"/>
    <col min="24" max="24" width="8.28515625" style="122" customWidth="1"/>
    <col min="25" max="25" width="9" style="122" customWidth="1"/>
    <col min="26" max="26" width="8.42578125" style="122" customWidth="1"/>
    <col min="27" max="27" width="7.28515625" style="122" customWidth="1"/>
    <col min="28" max="16384" width="9.140625" style="122"/>
  </cols>
  <sheetData>
    <row r="1" spans="1:27" ht="19.5" customHeight="1" thickBot="1" x14ac:dyDescent="0.3">
      <c r="A1" s="212" t="s">
        <v>153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 t="s">
        <v>152</v>
      </c>
      <c r="T1" s="212"/>
      <c r="U1" s="212"/>
      <c r="V1" s="212"/>
      <c r="W1" s="212"/>
      <c r="X1" s="212"/>
      <c r="Y1" s="212"/>
      <c r="Z1" s="212"/>
      <c r="AA1" s="212"/>
    </row>
    <row r="2" spans="1:27" x14ac:dyDescent="0.25">
      <c r="A2" s="210" t="s">
        <v>118</v>
      </c>
      <c r="B2" s="210"/>
      <c r="C2" s="214"/>
      <c r="D2" s="214"/>
      <c r="S2" s="210" t="s">
        <v>163</v>
      </c>
      <c r="T2" s="210"/>
      <c r="U2" s="155"/>
      <c r="V2" s="155"/>
    </row>
    <row r="3" spans="1:27" ht="15" customHeight="1" x14ac:dyDescent="0.25">
      <c r="A3" s="210" t="s">
        <v>119</v>
      </c>
      <c r="B3" s="210"/>
      <c r="C3" s="214"/>
      <c r="D3" s="214"/>
      <c r="S3" s="213" t="s">
        <v>164</v>
      </c>
      <c r="T3" s="213"/>
      <c r="U3" s="213"/>
      <c r="V3" s="213"/>
      <c r="W3" s="213"/>
      <c r="X3" s="213"/>
      <c r="Y3" s="213"/>
      <c r="Z3" s="213"/>
      <c r="AA3" s="213"/>
    </row>
    <row r="4" spans="1:27" ht="15.75" thickBot="1" x14ac:dyDescent="0.3">
      <c r="B4" s="195"/>
      <c r="C4" s="196"/>
      <c r="D4" s="196"/>
      <c r="E4" s="196"/>
      <c r="F4" s="196"/>
      <c r="G4" s="196"/>
      <c r="H4" s="196"/>
      <c r="I4" s="196"/>
      <c r="J4" s="196"/>
    </row>
    <row r="5" spans="1:27" ht="32.25" customHeight="1" thickBot="1" x14ac:dyDescent="0.3">
      <c r="A5" s="189" t="s">
        <v>120</v>
      </c>
      <c r="B5" s="176" t="s">
        <v>86</v>
      </c>
      <c r="C5" s="165" t="s">
        <v>87</v>
      </c>
      <c r="D5" s="190" t="s">
        <v>88</v>
      </c>
      <c r="E5" s="176" t="s">
        <v>89</v>
      </c>
      <c r="F5" s="165" t="s">
        <v>121</v>
      </c>
      <c r="G5" s="165" t="s">
        <v>151</v>
      </c>
      <c r="H5" s="177" t="s">
        <v>122</v>
      </c>
      <c r="I5" s="178" t="s">
        <v>123</v>
      </c>
      <c r="J5" s="166" t="s">
        <v>124</v>
      </c>
      <c r="K5" s="166" t="s">
        <v>125</v>
      </c>
      <c r="L5" s="166" t="s">
        <v>126</v>
      </c>
      <c r="M5" s="166" t="s">
        <v>127</v>
      </c>
      <c r="N5" s="166" t="s">
        <v>128</v>
      </c>
      <c r="O5" s="180" t="s">
        <v>129</v>
      </c>
      <c r="P5" s="179" t="s">
        <v>130</v>
      </c>
      <c r="Q5" s="165" t="s">
        <v>131</v>
      </c>
      <c r="R5" s="167" t="s">
        <v>440</v>
      </c>
      <c r="S5" s="158" t="s">
        <v>162</v>
      </c>
      <c r="T5" s="147" t="s">
        <v>154</v>
      </c>
      <c r="U5" s="146" t="s">
        <v>155</v>
      </c>
      <c r="V5" s="146" t="s">
        <v>156</v>
      </c>
      <c r="W5" s="146" t="s">
        <v>157</v>
      </c>
      <c r="X5" s="146" t="s">
        <v>158</v>
      </c>
      <c r="Y5" s="146" t="s">
        <v>159</v>
      </c>
      <c r="Z5" s="146" t="s">
        <v>160</v>
      </c>
      <c r="AA5" s="146" t="s">
        <v>161</v>
      </c>
    </row>
    <row r="6" spans="1:27" ht="15.75" thickBot="1" x14ac:dyDescent="0.3">
      <c r="A6" s="174" t="s">
        <v>11</v>
      </c>
      <c r="B6" s="186"/>
      <c r="C6" s="159"/>
      <c r="D6" s="187">
        <f>Production[Orders Issued]-Production[RS/Dups Other]</f>
        <v>0</v>
      </c>
      <c r="E6" s="186"/>
      <c r="F6" s="160">
        <f>IF(Production[[#This Row],[Net Issued]]=0,1,Production[[#This Row],[Saves (Ct)]]/Production[[#This Row],[Net Issued]])</f>
        <v>1</v>
      </c>
      <c r="G6" s="161"/>
      <c r="H6" s="188" t="str">
        <f>IF(Production[[#This Row],[Saves (Ct)]]=0,"N/A",Production[[#This Row],[Saves ($)]]/Production[[#This Row],[Saves (Ct)]])</f>
        <v>N/A</v>
      </c>
      <c r="I6" s="181"/>
      <c r="J6" s="162"/>
      <c r="K6" s="163"/>
      <c r="L6" s="162"/>
      <c r="M6" s="162"/>
      <c r="N6" s="162"/>
      <c r="O6" s="184"/>
      <c r="P6" s="175">
        <f>Production[Net Issued]-Production[Saves (Ct)]</f>
        <v>0</v>
      </c>
      <c r="Q6" s="159">
        <v>0</v>
      </c>
      <c r="R6" s="164">
        <f>IF(Production[[#This Row],[To Be Disco''d]]=0,1,Production[[#This Row],[Discos Done]]/Production[[#This Row],[To Be Disco''d]])</f>
        <v>1</v>
      </c>
      <c r="S6" s="145">
        <v>11111</v>
      </c>
      <c r="T6" s="148"/>
      <c r="U6" s="149"/>
      <c r="V6" s="150"/>
      <c r="W6" s="151"/>
      <c r="X6" s="152"/>
      <c r="Y6" s="153"/>
      <c r="Z6" s="154"/>
      <c r="AA6" s="151">
        <f t="shared" ref="AA6" si="0">SUM(V6:Z6)</f>
        <v>0</v>
      </c>
    </row>
    <row r="7" spans="1:27" ht="15.75" thickBot="1" x14ac:dyDescent="0.3">
      <c r="A7" s="191" t="s">
        <v>60</v>
      </c>
      <c r="B7" s="192">
        <f>SUBTOTAL(109,Production[Orders Issued])</f>
        <v>0</v>
      </c>
      <c r="C7" s="168">
        <f>SUBTOTAL(109,Production[RS/Dups Other])</f>
        <v>0</v>
      </c>
      <c r="D7" s="193">
        <f>Production[[#Totals],[Orders Issued]]-Production[[#Totals],[RS/Dups Other]]</f>
        <v>0</v>
      </c>
      <c r="E7" s="192">
        <f>SUBTOTAL(109,Production[Saves (Ct)])</f>
        <v>0</v>
      </c>
      <c r="F7" s="169">
        <f>IF(Production[[#Totals],[Net Issued]]=0,1,Production[[#Totals],[Saves (Ct)]]/Production[[#Totals],[Net Issued]])</f>
        <v>1</v>
      </c>
      <c r="G7" s="170">
        <f>SUBTOTAL(109,Production[Saves ($)])</f>
        <v>0</v>
      </c>
      <c r="H7" s="194" t="str">
        <f>IF(Production[[#Totals],[Saves (Ct)]]=0,"N/A",Production[[#Totals],[Saves ($)]]/Production[[#Totals],[Saves (Ct)]])</f>
        <v>N/A</v>
      </c>
      <c r="I7" s="182">
        <f>SUBTOTAL(109,Production[EQ Assn''d])</f>
        <v>0</v>
      </c>
      <c r="J7" s="171">
        <f>SUBTOTAL(109,Production[CPE Ret''d])</f>
        <v>0</v>
      </c>
      <c r="K7" s="172" t="s">
        <v>239</v>
      </c>
      <c r="L7" s="171">
        <f>SUBTOTAL(109,Production[Prem Dig])</f>
        <v>0</v>
      </c>
      <c r="M7" s="171">
        <f>SUBTOTAL(109,Production[Std Dig])</f>
        <v>0</v>
      </c>
      <c r="N7" s="171">
        <f>SUBTOTAL(109,Production[eMTA   MTA])</f>
        <v>0</v>
      </c>
      <c r="O7" s="185">
        <f>SUBTOTAL(109,Production[Home Sec])</f>
        <v>0</v>
      </c>
      <c r="P7" s="183">
        <f>SUBTOTAL(109,Production[To Be Disco''d])</f>
        <v>0</v>
      </c>
      <c r="Q7" s="168">
        <f>SUBTOTAL(109,Production[Discos Done])</f>
        <v>0</v>
      </c>
      <c r="R7" s="173">
        <f>IF(Production[[#Totals],[To Be Disco''d]]=0,1,Production[[#Totals],[Discos Done]]/Production[[#Totals],[To Be Disco''d]])</f>
        <v>1</v>
      </c>
      <c r="S7" s="138" t="s">
        <v>60</v>
      </c>
      <c r="T7" s="139">
        <f>SUBTOTAL(104,Production7[Issue        Date])</f>
        <v>0</v>
      </c>
      <c r="U7" s="140">
        <f>SUBTOTAL(104,Production7[Turn In       Date])</f>
        <v>0</v>
      </c>
      <c r="V7" s="141">
        <f>SUBTOTAL(109,Production7[Premium Digital])</f>
        <v>0</v>
      </c>
      <c r="W7" s="139">
        <f>SUBTOTAL(109,Production7[Standard  Digital])</f>
        <v>0</v>
      </c>
      <c r="X7" s="142">
        <f>SUBTOTAL(109,Production7[eMTA      MTA])</f>
        <v>0</v>
      </c>
      <c r="Y7" s="143">
        <f>SUBTOTAL(109,Production7[Modem/ Router])</f>
        <v>0</v>
      </c>
      <c r="Z7" s="144">
        <f>SUBTOTAL(109,Production7[Home Security])</f>
        <v>0</v>
      </c>
      <c r="AA7" s="139">
        <f>SUBTOTAL(109,Production7[Total])</f>
        <v>0</v>
      </c>
    </row>
    <row r="9" spans="1:27" x14ac:dyDescent="0.25">
      <c r="B9" s="197" t="s">
        <v>441</v>
      </c>
      <c r="C9" s="198"/>
      <c r="D9" s="198"/>
      <c r="E9" s="198"/>
      <c r="F9" s="198"/>
      <c r="G9" s="198"/>
      <c r="H9" s="198"/>
      <c r="I9" s="198"/>
      <c r="J9" s="198"/>
    </row>
  </sheetData>
  <sheetProtection sort="0" autoFilter="0" pivotTables="0"/>
  <mergeCells count="8">
    <mergeCell ref="S1:AA1"/>
    <mergeCell ref="S2:T2"/>
    <mergeCell ref="S3:AA3"/>
    <mergeCell ref="A1:R1"/>
    <mergeCell ref="A2:B2"/>
    <mergeCell ref="A3:B3"/>
    <mergeCell ref="C2:D2"/>
    <mergeCell ref="C3:D3"/>
  </mergeCells>
  <pageMargins left="0.7" right="0.7" top="0.75" bottom="0.75" header="0.3" footer="0.3"/>
  <pageSetup fitToWidth="2" fitToHeight="0" orientation="landscape" r:id="rId1"/>
  <headerFooter>
    <oddHeader>&amp;L&amp;"-,Bold"Weekly Reports</oddHeader>
  </headerFooter>
  <colBreaks count="1" manualBreakCount="1">
    <brk id="18" max="1048575" man="1"/>
  </colBreak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"/>
  <sheetViews>
    <sheetView workbookViewId="0">
      <selection activeCell="G26" sqref="G26"/>
    </sheetView>
  </sheetViews>
  <sheetFormatPr defaultRowHeight="15" x14ac:dyDescent="0.25"/>
  <cols>
    <col min="1" max="16384" width="9.140625" style="25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502"/>
  <sheetViews>
    <sheetView workbookViewId="0">
      <selection sqref="A1:BN110"/>
    </sheetView>
  </sheetViews>
  <sheetFormatPr defaultRowHeight="15" x14ac:dyDescent="0.25"/>
  <cols>
    <col min="1" max="1" width="10.5703125" style="205" bestFit="1" customWidth="1"/>
    <col min="2" max="2" width="18" style="205" bestFit="1" customWidth="1"/>
    <col min="3" max="3" width="14.85546875" style="205" bestFit="1" customWidth="1"/>
    <col min="4" max="4" width="21.28515625" style="205" bestFit="1" customWidth="1"/>
    <col min="5" max="5" width="12.7109375" style="205" bestFit="1" customWidth="1"/>
    <col min="6" max="8" width="0" style="205" hidden="1" customWidth="1"/>
    <col min="9" max="9" width="27.140625" style="205" bestFit="1" customWidth="1"/>
    <col min="10" max="15" width="0" style="205" hidden="1" customWidth="1"/>
    <col min="16" max="16" width="25.42578125" style="205" hidden="1" customWidth="1"/>
    <col min="17" max="57" width="0" style="205" hidden="1" customWidth="1"/>
    <col min="58" max="61" width="9.140625" style="205"/>
    <col min="62" max="62" width="10.5703125" style="201" bestFit="1" customWidth="1"/>
    <col min="63" max="63" width="9.140625" style="203"/>
    <col min="64" max="64" width="9.140625" style="204"/>
    <col min="65" max="16384" width="9.140625" style="205"/>
  </cols>
  <sheetData>
    <row r="1" spans="1:66" x14ac:dyDescent="0.25">
      <c r="A1" s="205" t="s">
        <v>166</v>
      </c>
      <c r="B1" s="205" t="s">
        <v>167</v>
      </c>
      <c r="C1" s="205" t="s">
        <v>168</v>
      </c>
      <c r="D1" s="205" t="s">
        <v>169</v>
      </c>
      <c r="E1" s="205" t="s">
        <v>170</v>
      </c>
      <c r="F1" s="205" t="s">
        <v>171</v>
      </c>
      <c r="G1" s="205" t="s">
        <v>172</v>
      </c>
      <c r="H1" s="205" t="s">
        <v>173</v>
      </c>
      <c r="I1" s="205" t="s">
        <v>174</v>
      </c>
      <c r="J1" s="205" t="s">
        <v>175</v>
      </c>
      <c r="K1" s="205" t="s">
        <v>176</v>
      </c>
      <c r="L1" s="205" t="s">
        <v>177</v>
      </c>
      <c r="M1" s="205" t="s">
        <v>178</v>
      </c>
      <c r="N1" s="205" t="s">
        <v>179</v>
      </c>
      <c r="O1" s="205" t="s">
        <v>180</v>
      </c>
      <c r="P1" s="205" t="s">
        <v>181</v>
      </c>
      <c r="Q1" s="205" t="s">
        <v>182</v>
      </c>
      <c r="R1" s="205" t="s">
        <v>183</v>
      </c>
      <c r="S1" s="205" t="s">
        <v>184</v>
      </c>
      <c r="T1" s="205" t="s">
        <v>185</v>
      </c>
      <c r="U1" s="205" t="s">
        <v>186</v>
      </c>
      <c r="V1" s="205" t="s">
        <v>187</v>
      </c>
      <c r="W1" s="205" t="s">
        <v>188</v>
      </c>
      <c r="X1" s="205" t="s">
        <v>189</v>
      </c>
      <c r="Y1" s="205" t="s">
        <v>190</v>
      </c>
      <c r="Z1" s="205" t="s">
        <v>191</v>
      </c>
      <c r="AA1" s="205" t="s">
        <v>192</v>
      </c>
      <c r="AB1" s="205" t="s">
        <v>193</v>
      </c>
      <c r="AC1" s="205" t="s">
        <v>194</v>
      </c>
      <c r="AD1" s="205" t="s">
        <v>195</v>
      </c>
      <c r="AE1" s="205" t="s">
        <v>196</v>
      </c>
      <c r="AF1" s="205" t="s">
        <v>197</v>
      </c>
      <c r="AG1" s="205" t="s">
        <v>198</v>
      </c>
      <c r="AH1" s="205" t="s">
        <v>199</v>
      </c>
      <c r="AI1" s="205" t="s">
        <v>200</v>
      </c>
      <c r="AJ1" s="205" t="s">
        <v>201</v>
      </c>
      <c r="AK1" s="205" t="s">
        <v>202</v>
      </c>
      <c r="AL1" s="205" t="s">
        <v>203</v>
      </c>
      <c r="AM1" s="205" t="s">
        <v>204</v>
      </c>
      <c r="AN1" s="205" t="s">
        <v>205</v>
      </c>
      <c r="AO1" s="205" t="s">
        <v>206</v>
      </c>
      <c r="AP1" s="205" t="s">
        <v>207</v>
      </c>
      <c r="AQ1" s="205" t="s">
        <v>208</v>
      </c>
      <c r="AR1" s="205" t="s">
        <v>209</v>
      </c>
      <c r="AS1" s="205" t="s">
        <v>210</v>
      </c>
      <c r="AT1" s="205" t="s">
        <v>211</v>
      </c>
      <c r="AU1" s="205" t="s">
        <v>212</v>
      </c>
      <c r="AV1" s="205" t="s">
        <v>213</v>
      </c>
      <c r="AW1" s="205" t="s">
        <v>214</v>
      </c>
      <c r="AX1" s="205" t="s">
        <v>215</v>
      </c>
      <c r="AY1" s="205" t="s">
        <v>216</v>
      </c>
      <c r="AZ1" s="205" t="s">
        <v>217</v>
      </c>
      <c r="BA1" s="205" t="s">
        <v>218</v>
      </c>
      <c r="BB1" s="205" t="s">
        <v>219</v>
      </c>
      <c r="BC1" s="205" t="s">
        <v>220</v>
      </c>
      <c r="BD1" s="205" t="s">
        <v>221</v>
      </c>
      <c r="BE1" s="205" t="s">
        <v>222</v>
      </c>
      <c r="BF1" s="205" t="s">
        <v>223</v>
      </c>
      <c r="BG1" s="205" t="s">
        <v>224</v>
      </c>
      <c r="BH1" s="205" t="s">
        <v>186</v>
      </c>
      <c r="BI1" s="205" t="s">
        <v>183</v>
      </c>
      <c r="BJ1" s="201" t="s">
        <v>225</v>
      </c>
      <c r="BK1" s="203" t="s">
        <v>226</v>
      </c>
      <c r="BL1" s="204" t="s">
        <v>227</v>
      </c>
      <c r="BM1" s="205" t="s">
        <v>228</v>
      </c>
      <c r="BN1" s="205" t="s">
        <v>229</v>
      </c>
    </row>
    <row r="2" spans="1:66" x14ac:dyDescent="0.25">
      <c r="A2" s="201">
        <v>42265</v>
      </c>
      <c r="B2" s="199">
        <v>6408026</v>
      </c>
      <c r="C2" s="199">
        <v>9463707</v>
      </c>
      <c r="D2" s="205" t="s">
        <v>679</v>
      </c>
      <c r="E2" s="201">
        <v>42275</v>
      </c>
      <c r="BF2" s="205" t="s">
        <v>11</v>
      </c>
      <c r="BH2" s="199">
        <v>53727</v>
      </c>
      <c r="BI2" s="205">
        <v>33</v>
      </c>
      <c r="BJ2" s="201">
        <v>42275</v>
      </c>
      <c r="BK2" s="203" t="s">
        <v>245</v>
      </c>
      <c r="BL2" s="204">
        <v>166.11</v>
      </c>
      <c r="BM2" s="205">
        <v>40</v>
      </c>
    </row>
    <row r="3" spans="1:66" x14ac:dyDescent="0.25">
      <c r="A3" s="205" t="s">
        <v>680</v>
      </c>
      <c r="B3" s="205" t="s">
        <v>681</v>
      </c>
      <c r="C3" s="205" t="s">
        <v>682</v>
      </c>
      <c r="D3" s="205" t="s">
        <v>683</v>
      </c>
      <c r="E3" s="201">
        <v>42275</v>
      </c>
      <c r="F3" s="205" t="s">
        <v>684</v>
      </c>
      <c r="G3" s="205" t="s">
        <v>232</v>
      </c>
      <c r="H3" s="205" t="s">
        <v>685</v>
      </c>
      <c r="I3" s="205" t="s">
        <v>686</v>
      </c>
      <c r="J3" s="205" t="s">
        <v>687</v>
      </c>
      <c r="K3" s="205" t="s">
        <v>450</v>
      </c>
      <c r="L3" s="205" t="s">
        <v>451</v>
      </c>
      <c r="M3" s="205" t="s">
        <v>452</v>
      </c>
      <c r="O3" s="200" t="s">
        <v>532</v>
      </c>
      <c r="P3" s="200" t="s">
        <v>688</v>
      </c>
      <c r="Q3" s="205" t="s">
        <v>452</v>
      </c>
      <c r="R3" s="202">
        <v>1</v>
      </c>
      <c r="U3" s="205" t="s">
        <v>456</v>
      </c>
      <c r="W3" s="205" t="s">
        <v>234</v>
      </c>
      <c r="X3" s="205" t="s">
        <v>326</v>
      </c>
      <c r="Y3" s="200" t="s">
        <v>427</v>
      </c>
      <c r="Z3" s="205" t="s">
        <v>689</v>
      </c>
      <c r="AA3" s="200" t="s">
        <v>394</v>
      </c>
      <c r="AB3" s="205" t="s">
        <v>553</v>
      </c>
      <c r="AC3" s="200" t="s">
        <v>690</v>
      </c>
      <c r="AD3" s="205" t="s">
        <v>260</v>
      </c>
      <c r="AE3" s="205" t="s">
        <v>232</v>
      </c>
      <c r="AF3" s="205" t="s">
        <v>691</v>
      </c>
      <c r="AG3" s="205" t="s">
        <v>239</v>
      </c>
      <c r="AH3" s="205" t="s">
        <v>239</v>
      </c>
      <c r="AI3" s="205" t="s">
        <v>692</v>
      </c>
      <c r="AJ3" s="205" t="s">
        <v>693</v>
      </c>
      <c r="AK3" s="205" t="s">
        <v>694</v>
      </c>
      <c r="AL3" s="205" t="s">
        <v>239</v>
      </c>
      <c r="AM3" s="205" t="s">
        <v>239</v>
      </c>
      <c r="AN3" s="205" t="s">
        <v>239</v>
      </c>
      <c r="AO3" s="200" t="s">
        <v>235</v>
      </c>
      <c r="AP3" s="200" t="s">
        <v>235</v>
      </c>
      <c r="AQ3" s="200" t="s">
        <v>235</v>
      </c>
      <c r="AR3" s="200" t="s">
        <v>239</v>
      </c>
      <c r="AS3" s="200" t="s">
        <v>299</v>
      </c>
      <c r="AT3" s="200" t="s">
        <v>299</v>
      </c>
      <c r="AU3" s="200" t="s">
        <v>241</v>
      </c>
      <c r="AV3" s="205" t="s">
        <v>242</v>
      </c>
      <c r="AW3" s="205" t="s">
        <v>243</v>
      </c>
      <c r="AY3" s="200" t="s">
        <v>239</v>
      </c>
      <c r="AZ3" s="205" t="s">
        <v>695</v>
      </c>
      <c r="BA3" s="205" t="s">
        <v>244</v>
      </c>
      <c r="BB3" s="205" t="s">
        <v>244</v>
      </c>
      <c r="BC3" s="200" t="s">
        <v>256</v>
      </c>
      <c r="BD3" s="205" t="s">
        <v>239</v>
      </c>
      <c r="BE3" s="205" t="s">
        <v>446</v>
      </c>
      <c r="BF3" s="205" t="s">
        <v>457</v>
      </c>
      <c r="BH3" s="205" t="s">
        <v>456</v>
      </c>
      <c r="BI3" s="202">
        <v>1</v>
      </c>
      <c r="BJ3" s="201">
        <v>42289</v>
      </c>
      <c r="BK3" s="203" t="s">
        <v>301</v>
      </c>
      <c r="BM3" s="205">
        <v>42</v>
      </c>
    </row>
    <row r="4" spans="1:66" x14ac:dyDescent="0.25">
      <c r="A4" s="205" t="s">
        <v>680</v>
      </c>
      <c r="B4" s="205" t="s">
        <v>696</v>
      </c>
      <c r="C4" s="205" t="s">
        <v>697</v>
      </c>
      <c r="D4" s="205" t="s">
        <v>698</v>
      </c>
      <c r="E4" s="201">
        <v>42275</v>
      </c>
      <c r="F4" s="205" t="s">
        <v>699</v>
      </c>
      <c r="G4" s="205" t="s">
        <v>232</v>
      </c>
      <c r="H4" s="205" t="s">
        <v>700</v>
      </c>
      <c r="I4" s="205" t="s">
        <v>701</v>
      </c>
      <c r="K4" s="205" t="s">
        <v>442</v>
      </c>
      <c r="L4" s="205" t="s">
        <v>443</v>
      </c>
      <c r="M4" s="205" t="s">
        <v>444</v>
      </c>
      <c r="O4" s="200" t="s">
        <v>389</v>
      </c>
      <c r="P4" s="200" t="s">
        <v>702</v>
      </c>
      <c r="Q4" s="205" t="s">
        <v>444</v>
      </c>
      <c r="R4" s="202">
        <v>2</v>
      </c>
      <c r="U4" s="205" t="s">
        <v>456</v>
      </c>
      <c r="W4" s="205" t="s">
        <v>234</v>
      </c>
      <c r="X4" s="205" t="s">
        <v>390</v>
      </c>
      <c r="Y4" s="200" t="s">
        <v>603</v>
      </c>
      <c r="Z4" s="205" t="s">
        <v>703</v>
      </c>
      <c r="AA4" s="200" t="s">
        <v>422</v>
      </c>
      <c r="AB4" s="205" t="s">
        <v>260</v>
      </c>
      <c r="AC4" s="200" t="s">
        <v>502</v>
      </c>
      <c r="AD4" s="205" t="s">
        <v>704</v>
      </c>
      <c r="AE4" s="205" t="s">
        <v>232</v>
      </c>
      <c r="AF4" s="205" t="s">
        <v>705</v>
      </c>
      <c r="AG4" s="205" t="s">
        <v>239</v>
      </c>
      <c r="AH4" s="205" t="s">
        <v>239</v>
      </c>
      <c r="AI4" s="205" t="s">
        <v>706</v>
      </c>
      <c r="AJ4" s="205" t="s">
        <v>239</v>
      </c>
      <c r="AK4" s="205" t="s">
        <v>239</v>
      </c>
      <c r="AL4" s="205" t="s">
        <v>707</v>
      </c>
      <c r="AM4" s="205" t="s">
        <v>239</v>
      </c>
      <c r="AN4" s="205" t="s">
        <v>239</v>
      </c>
      <c r="AO4" s="200" t="s">
        <v>239</v>
      </c>
      <c r="AP4" s="200" t="s">
        <v>239</v>
      </c>
      <c r="AQ4" s="200" t="s">
        <v>235</v>
      </c>
      <c r="AR4" s="200" t="s">
        <v>235</v>
      </c>
      <c r="AS4" s="200" t="s">
        <v>262</v>
      </c>
      <c r="AT4" s="200" t="s">
        <v>299</v>
      </c>
      <c r="AU4" s="200" t="s">
        <v>299</v>
      </c>
      <c r="AV4" s="205" t="s">
        <v>242</v>
      </c>
      <c r="AW4" s="205" t="s">
        <v>243</v>
      </c>
      <c r="AX4" s="200" t="s">
        <v>708</v>
      </c>
      <c r="AY4" s="200" t="s">
        <v>243</v>
      </c>
      <c r="AZ4" s="205" t="s">
        <v>709</v>
      </c>
      <c r="BA4" s="205" t="s">
        <v>244</v>
      </c>
      <c r="BB4" s="205" t="s">
        <v>710</v>
      </c>
      <c r="BD4" s="205" t="s">
        <v>239</v>
      </c>
      <c r="BE4" s="205" t="s">
        <v>446</v>
      </c>
      <c r="BF4" s="205" t="s">
        <v>457</v>
      </c>
      <c r="BH4" s="205" t="s">
        <v>456</v>
      </c>
      <c r="BI4" s="202">
        <v>2</v>
      </c>
      <c r="BJ4" s="201">
        <v>42283</v>
      </c>
      <c r="BK4" s="203" t="s">
        <v>245</v>
      </c>
      <c r="BL4" s="204">
        <v>323.02999999999997</v>
      </c>
      <c r="BM4" s="205">
        <v>41</v>
      </c>
    </row>
    <row r="5" spans="1:66" x14ac:dyDescent="0.25">
      <c r="A5" s="205" t="s">
        <v>680</v>
      </c>
      <c r="B5" s="205" t="s">
        <v>711</v>
      </c>
      <c r="C5" s="205" t="s">
        <v>712</v>
      </c>
      <c r="D5" s="205" t="s">
        <v>713</v>
      </c>
      <c r="E5" s="201">
        <v>42275</v>
      </c>
      <c r="F5" s="205" t="s">
        <v>714</v>
      </c>
      <c r="G5" s="205" t="s">
        <v>232</v>
      </c>
      <c r="H5" s="205" t="s">
        <v>273</v>
      </c>
      <c r="I5" s="205" t="s">
        <v>715</v>
      </c>
      <c r="J5" s="205" t="s">
        <v>716</v>
      </c>
      <c r="K5" s="205" t="s">
        <v>450</v>
      </c>
      <c r="L5" s="205" t="s">
        <v>451</v>
      </c>
      <c r="M5" s="205" t="s">
        <v>452</v>
      </c>
      <c r="O5" s="200" t="s">
        <v>267</v>
      </c>
      <c r="P5" s="200" t="s">
        <v>717</v>
      </c>
      <c r="Q5" s="205" t="s">
        <v>452</v>
      </c>
      <c r="R5" s="202">
        <v>3</v>
      </c>
      <c r="U5" s="205" t="s">
        <v>456</v>
      </c>
      <c r="W5" s="205" t="s">
        <v>234</v>
      </c>
      <c r="X5" s="205" t="s">
        <v>355</v>
      </c>
      <c r="Y5" s="200" t="s">
        <v>517</v>
      </c>
      <c r="Z5" s="205" t="s">
        <v>718</v>
      </c>
      <c r="AA5" s="200" t="s">
        <v>315</v>
      </c>
      <c r="AB5" s="205" t="s">
        <v>644</v>
      </c>
      <c r="AC5" s="200" t="s">
        <v>347</v>
      </c>
      <c r="AD5" s="205" t="s">
        <v>719</v>
      </c>
      <c r="AE5" s="205" t="s">
        <v>232</v>
      </c>
      <c r="AF5" s="205" t="s">
        <v>720</v>
      </c>
      <c r="AG5" s="205" t="s">
        <v>239</v>
      </c>
      <c r="AH5" s="205" t="s">
        <v>239</v>
      </c>
      <c r="AI5" s="205" t="s">
        <v>721</v>
      </c>
      <c r="AJ5" s="205" t="s">
        <v>721</v>
      </c>
      <c r="AK5" s="205" t="s">
        <v>722</v>
      </c>
      <c r="AL5" s="205" t="s">
        <v>239</v>
      </c>
      <c r="AM5" s="205" t="s">
        <v>239</v>
      </c>
      <c r="AN5" s="205" t="s">
        <v>239</v>
      </c>
      <c r="AO5" s="200" t="s">
        <v>235</v>
      </c>
      <c r="AP5" s="200" t="s">
        <v>235</v>
      </c>
      <c r="AQ5" s="200" t="s">
        <v>235</v>
      </c>
      <c r="AR5" s="200" t="s">
        <v>235</v>
      </c>
      <c r="AS5" s="200" t="s">
        <v>299</v>
      </c>
      <c r="AT5" s="200" t="s">
        <v>299</v>
      </c>
      <c r="AU5" s="200" t="s">
        <v>299</v>
      </c>
      <c r="AV5" s="205" t="s">
        <v>242</v>
      </c>
      <c r="AW5" s="205" t="s">
        <v>243</v>
      </c>
      <c r="AY5" s="200" t="s">
        <v>239</v>
      </c>
      <c r="AZ5" s="205" t="s">
        <v>244</v>
      </c>
      <c r="BA5" s="205" t="s">
        <v>244</v>
      </c>
      <c r="BB5" s="205" t="s">
        <v>723</v>
      </c>
      <c r="BD5" s="205" t="s">
        <v>239</v>
      </c>
      <c r="BE5" s="205" t="s">
        <v>446</v>
      </c>
      <c r="BF5" s="205" t="s">
        <v>457</v>
      </c>
      <c r="BH5" s="205" t="s">
        <v>456</v>
      </c>
      <c r="BI5" s="202">
        <v>3</v>
      </c>
      <c r="BJ5" s="201">
        <v>42282</v>
      </c>
      <c r="BK5" s="203" t="s">
        <v>245</v>
      </c>
      <c r="BL5" s="204">
        <v>411.56</v>
      </c>
      <c r="BM5" s="205">
        <v>41</v>
      </c>
    </row>
    <row r="6" spans="1:66" x14ac:dyDescent="0.25">
      <c r="A6" s="205" t="s">
        <v>680</v>
      </c>
      <c r="B6" s="205" t="s">
        <v>724</v>
      </c>
      <c r="C6" s="205" t="s">
        <v>725</v>
      </c>
      <c r="D6" s="205" t="s">
        <v>726</v>
      </c>
      <c r="E6" s="201">
        <v>42275</v>
      </c>
      <c r="F6" s="205" t="s">
        <v>347</v>
      </c>
      <c r="G6" s="205" t="s">
        <v>232</v>
      </c>
      <c r="H6" s="205" t="s">
        <v>727</v>
      </c>
      <c r="I6" s="205" t="s">
        <v>728</v>
      </c>
      <c r="K6" s="205" t="s">
        <v>450</v>
      </c>
      <c r="L6" s="205" t="s">
        <v>451</v>
      </c>
      <c r="M6" s="205" t="s">
        <v>452</v>
      </c>
      <c r="O6" s="200" t="s">
        <v>513</v>
      </c>
      <c r="P6" s="200" t="s">
        <v>729</v>
      </c>
      <c r="Q6" s="205" t="s">
        <v>452</v>
      </c>
      <c r="R6" s="202">
        <v>4</v>
      </c>
      <c r="U6" s="205" t="s">
        <v>456</v>
      </c>
      <c r="W6" s="205" t="s">
        <v>234</v>
      </c>
      <c r="X6" s="205" t="s">
        <v>391</v>
      </c>
      <c r="Y6" s="200" t="s">
        <v>730</v>
      </c>
      <c r="Z6" s="205" t="s">
        <v>731</v>
      </c>
      <c r="AA6" s="200" t="s">
        <v>398</v>
      </c>
      <c r="AB6" s="205" t="s">
        <v>732</v>
      </c>
      <c r="AC6" s="200" t="s">
        <v>277</v>
      </c>
      <c r="AD6" s="205" t="s">
        <v>733</v>
      </c>
      <c r="AE6" s="205" t="s">
        <v>232</v>
      </c>
      <c r="AF6" s="205" t="s">
        <v>734</v>
      </c>
      <c r="AG6" s="205" t="s">
        <v>239</v>
      </c>
      <c r="AH6" s="205" t="s">
        <v>239</v>
      </c>
      <c r="AI6" s="205" t="s">
        <v>735</v>
      </c>
      <c r="AJ6" s="205" t="s">
        <v>736</v>
      </c>
      <c r="AK6" s="205" t="s">
        <v>563</v>
      </c>
      <c r="AL6" s="205" t="s">
        <v>239</v>
      </c>
      <c r="AM6" s="205" t="s">
        <v>239</v>
      </c>
      <c r="AN6" s="205" t="s">
        <v>239</v>
      </c>
      <c r="AO6" s="200" t="s">
        <v>235</v>
      </c>
      <c r="AP6" s="200" t="s">
        <v>235</v>
      </c>
      <c r="AQ6" s="200" t="s">
        <v>235</v>
      </c>
      <c r="AR6" s="200" t="s">
        <v>235</v>
      </c>
      <c r="AS6" s="200" t="s">
        <v>299</v>
      </c>
      <c r="AT6" s="200" t="s">
        <v>299</v>
      </c>
      <c r="AU6" s="200" t="s">
        <v>299</v>
      </c>
      <c r="AV6" s="205" t="s">
        <v>242</v>
      </c>
      <c r="AW6" s="205" t="s">
        <v>243</v>
      </c>
      <c r="AY6" s="200" t="s">
        <v>239</v>
      </c>
      <c r="AZ6" s="205" t="s">
        <v>737</v>
      </c>
      <c r="BA6" s="205" t="s">
        <v>244</v>
      </c>
      <c r="BB6" s="205" t="s">
        <v>244</v>
      </c>
      <c r="BD6" s="205" t="s">
        <v>239</v>
      </c>
      <c r="BE6" s="205" t="s">
        <v>446</v>
      </c>
      <c r="BF6" s="205" t="s">
        <v>457</v>
      </c>
      <c r="BH6" s="205" t="s">
        <v>456</v>
      </c>
      <c r="BI6" s="202">
        <v>4</v>
      </c>
      <c r="BJ6" s="201">
        <v>42286</v>
      </c>
      <c r="BK6" s="203" t="s">
        <v>301</v>
      </c>
      <c r="BM6" s="205">
        <v>41</v>
      </c>
    </row>
    <row r="7" spans="1:66" x14ac:dyDescent="0.25">
      <c r="A7" s="205" t="s">
        <v>680</v>
      </c>
      <c r="B7" s="205" t="s">
        <v>738</v>
      </c>
      <c r="C7" s="205" t="s">
        <v>739</v>
      </c>
      <c r="D7" s="205" t="s">
        <v>740</v>
      </c>
      <c r="E7" s="201">
        <v>42275</v>
      </c>
      <c r="F7" s="205" t="s">
        <v>741</v>
      </c>
      <c r="G7" s="205" t="s">
        <v>232</v>
      </c>
      <c r="H7" s="205" t="s">
        <v>742</v>
      </c>
      <c r="I7" s="205" t="s">
        <v>651</v>
      </c>
      <c r="J7" s="205" t="s">
        <v>743</v>
      </c>
      <c r="K7" s="205" t="s">
        <v>450</v>
      </c>
      <c r="L7" s="205" t="s">
        <v>451</v>
      </c>
      <c r="M7" s="205" t="s">
        <v>452</v>
      </c>
      <c r="Q7" s="205" t="s">
        <v>452</v>
      </c>
      <c r="R7" s="202">
        <v>6</v>
      </c>
      <c r="S7" s="205" t="s">
        <v>243</v>
      </c>
      <c r="U7" s="205" t="s">
        <v>456</v>
      </c>
      <c r="W7" s="205" t="s">
        <v>234</v>
      </c>
      <c r="X7" s="205" t="s">
        <v>640</v>
      </c>
      <c r="Y7" s="200" t="s">
        <v>634</v>
      </c>
      <c r="Z7" s="205" t="s">
        <v>744</v>
      </c>
      <c r="AA7" s="200" t="s">
        <v>427</v>
      </c>
      <c r="AB7" s="205" t="s">
        <v>744</v>
      </c>
      <c r="AC7" s="200" t="s">
        <v>502</v>
      </c>
      <c r="AD7" s="205" t="s">
        <v>744</v>
      </c>
      <c r="AE7" s="205" t="s">
        <v>232</v>
      </c>
      <c r="AF7" s="205" t="s">
        <v>745</v>
      </c>
      <c r="AG7" s="205" t="s">
        <v>239</v>
      </c>
      <c r="AH7" s="205" t="s">
        <v>239</v>
      </c>
      <c r="AI7" s="205" t="s">
        <v>746</v>
      </c>
      <c r="AJ7" s="205" t="s">
        <v>746</v>
      </c>
      <c r="AK7" s="205" t="s">
        <v>747</v>
      </c>
      <c r="AL7" s="205" t="s">
        <v>239</v>
      </c>
      <c r="AM7" s="205" t="s">
        <v>239</v>
      </c>
      <c r="AN7" s="205" t="s">
        <v>239</v>
      </c>
      <c r="AO7" s="200" t="s">
        <v>235</v>
      </c>
      <c r="AP7" s="200" t="s">
        <v>239</v>
      </c>
      <c r="AQ7" s="200" t="s">
        <v>239</v>
      </c>
      <c r="AR7" s="200" t="s">
        <v>239</v>
      </c>
      <c r="AS7" s="200" t="s">
        <v>299</v>
      </c>
      <c r="AT7" s="200" t="s">
        <v>241</v>
      </c>
      <c r="AU7" s="200" t="s">
        <v>241</v>
      </c>
      <c r="AV7" s="205" t="s">
        <v>242</v>
      </c>
      <c r="AW7" s="205" t="s">
        <v>243</v>
      </c>
      <c r="AY7" s="200" t="s">
        <v>239</v>
      </c>
      <c r="AZ7" s="205" t="s">
        <v>748</v>
      </c>
      <c r="BA7" s="205" t="s">
        <v>244</v>
      </c>
      <c r="BB7" s="205" t="s">
        <v>749</v>
      </c>
      <c r="BD7" s="205" t="s">
        <v>239</v>
      </c>
      <c r="BE7" s="205" t="s">
        <v>446</v>
      </c>
      <c r="BF7" s="205" t="s">
        <v>457</v>
      </c>
      <c r="BH7" s="205" t="s">
        <v>456</v>
      </c>
      <c r="BI7" s="202">
        <v>6</v>
      </c>
      <c r="BJ7" s="201">
        <v>42285</v>
      </c>
      <c r="BK7" s="203" t="s">
        <v>245</v>
      </c>
      <c r="BL7" s="204">
        <v>112.02</v>
      </c>
      <c r="BM7" s="205">
        <v>41</v>
      </c>
    </row>
    <row r="8" spans="1:66" x14ac:dyDescent="0.25">
      <c r="A8" s="205" t="s">
        <v>680</v>
      </c>
      <c r="B8" s="205" t="s">
        <v>750</v>
      </c>
      <c r="C8" s="205" t="s">
        <v>751</v>
      </c>
      <c r="D8" s="205" t="s">
        <v>752</v>
      </c>
      <c r="E8" s="201">
        <v>42275</v>
      </c>
      <c r="F8" s="205" t="s">
        <v>753</v>
      </c>
      <c r="G8" s="205" t="s">
        <v>232</v>
      </c>
      <c r="H8" s="205" t="s">
        <v>754</v>
      </c>
      <c r="I8" s="205" t="s">
        <v>755</v>
      </c>
      <c r="K8" s="205" t="s">
        <v>453</v>
      </c>
      <c r="L8" s="205" t="s">
        <v>454</v>
      </c>
      <c r="M8" s="205" t="s">
        <v>462</v>
      </c>
      <c r="O8" s="200" t="s">
        <v>264</v>
      </c>
      <c r="P8" s="200" t="s">
        <v>756</v>
      </c>
      <c r="Q8" s="205" t="s">
        <v>462</v>
      </c>
      <c r="R8" s="202">
        <v>7</v>
      </c>
      <c r="U8" s="205" t="s">
        <v>456</v>
      </c>
      <c r="W8" s="205" t="s">
        <v>234</v>
      </c>
      <c r="X8" s="205" t="s">
        <v>391</v>
      </c>
      <c r="Y8" s="200" t="s">
        <v>550</v>
      </c>
      <c r="Z8" s="205" t="s">
        <v>757</v>
      </c>
      <c r="AA8" s="200" t="s">
        <v>360</v>
      </c>
      <c r="AB8" s="205" t="s">
        <v>758</v>
      </c>
      <c r="AC8" s="200" t="s">
        <v>286</v>
      </c>
      <c r="AD8" s="205" t="s">
        <v>387</v>
      </c>
      <c r="AE8" s="205" t="s">
        <v>232</v>
      </c>
      <c r="AF8" s="205" t="s">
        <v>759</v>
      </c>
      <c r="AG8" s="205" t="s">
        <v>239</v>
      </c>
      <c r="AH8" s="205" t="s">
        <v>239</v>
      </c>
      <c r="AI8" s="205" t="s">
        <v>760</v>
      </c>
      <c r="AJ8" s="205" t="s">
        <v>575</v>
      </c>
      <c r="AK8" s="205" t="s">
        <v>761</v>
      </c>
      <c r="AL8" s="205" t="s">
        <v>239</v>
      </c>
      <c r="AM8" s="205" t="s">
        <v>239</v>
      </c>
      <c r="AN8" s="205" t="s">
        <v>239</v>
      </c>
      <c r="AO8" s="200" t="s">
        <v>239</v>
      </c>
      <c r="AP8" s="200" t="s">
        <v>239</v>
      </c>
      <c r="AQ8" s="200" t="s">
        <v>235</v>
      </c>
      <c r="AR8" s="200" t="s">
        <v>239</v>
      </c>
      <c r="AS8" s="200" t="s">
        <v>262</v>
      </c>
      <c r="AT8" s="200" t="s">
        <v>299</v>
      </c>
      <c r="AU8" s="200" t="s">
        <v>241</v>
      </c>
      <c r="AV8" s="205" t="s">
        <v>242</v>
      </c>
      <c r="AW8" s="205" t="s">
        <v>243</v>
      </c>
      <c r="AX8" s="200" t="s">
        <v>429</v>
      </c>
      <c r="AY8" s="200" t="s">
        <v>300</v>
      </c>
      <c r="AZ8" s="205" t="s">
        <v>762</v>
      </c>
      <c r="BA8" s="205" t="s">
        <v>244</v>
      </c>
      <c r="BB8" s="205" t="s">
        <v>244</v>
      </c>
      <c r="BD8" s="205" t="s">
        <v>239</v>
      </c>
      <c r="BE8" s="205" t="s">
        <v>446</v>
      </c>
      <c r="BF8" s="205" t="s">
        <v>457</v>
      </c>
      <c r="BH8" s="205" t="s">
        <v>456</v>
      </c>
      <c r="BI8" s="202">
        <v>7</v>
      </c>
      <c r="BJ8" s="201">
        <v>42278</v>
      </c>
      <c r="BK8" s="203" t="s">
        <v>245</v>
      </c>
      <c r="BL8" s="204">
        <v>240.66</v>
      </c>
      <c r="BM8" s="205">
        <v>40</v>
      </c>
    </row>
    <row r="9" spans="1:66" x14ac:dyDescent="0.25">
      <c r="A9" s="205" t="s">
        <v>680</v>
      </c>
      <c r="B9" s="205" t="s">
        <v>763</v>
      </c>
      <c r="C9" s="205" t="s">
        <v>764</v>
      </c>
      <c r="D9" s="205" t="s">
        <v>765</v>
      </c>
      <c r="E9" s="201">
        <v>42275</v>
      </c>
      <c r="F9" s="205" t="s">
        <v>766</v>
      </c>
      <c r="G9" s="205" t="s">
        <v>232</v>
      </c>
      <c r="H9" s="205" t="s">
        <v>767</v>
      </c>
      <c r="I9" s="205" t="s">
        <v>768</v>
      </c>
      <c r="K9" s="205" t="s">
        <v>471</v>
      </c>
      <c r="L9" s="205" t="s">
        <v>472</v>
      </c>
      <c r="M9" s="205" t="s">
        <v>473</v>
      </c>
      <c r="O9" s="200" t="s">
        <v>618</v>
      </c>
      <c r="P9" s="200" t="s">
        <v>769</v>
      </c>
      <c r="Q9" s="205" t="s">
        <v>473</v>
      </c>
      <c r="R9" s="202">
        <v>8</v>
      </c>
      <c r="U9" s="205" t="s">
        <v>456</v>
      </c>
      <c r="W9" s="205" t="s">
        <v>234</v>
      </c>
      <c r="X9" s="205" t="s">
        <v>326</v>
      </c>
      <c r="Y9" s="200" t="s">
        <v>514</v>
      </c>
      <c r="Z9" s="205" t="s">
        <v>260</v>
      </c>
      <c r="AA9" s="200" t="s">
        <v>572</v>
      </c>
      <c r="AB9" s="205" t="s">
        <v>770</v>
      </c>
      <c r="AC9" s="200" t="s">
        <v>236</v>
      </c>
      <c r="AD9" s="205" t="s">
        <v>771</v>
      </c>
      <c r="AE9" s="205" t="s">
        <v>232</v>
      </c>
      <c r="AF9" s="205" t="s">
        <v>772</v>
      </c>
      <c r="AG9" s="205" t="s">
        <v>239</v>
      </c>
      <c r="AH9" s="205" t="s">
        <v>239</v>
      </c>
      <c r="AI9" s="205" t="s">
        <v>495</v>
      </c>
      <c r="AJ9" s="205" t="s">
        <v>773</v>
      </c>
      <c r="AK9" s="205" t="s">
        <v>774</v>
      </c>
      <c r="AL9" s="205" t="s">
        <v>239</v>
      </c>
      <c r="AM9" s="205" t="s">
        <v>239</v>
      </c>
      <c r="AN9" s="205" t="s">
        <v>239</v>
      </c>
      <c r="AO9" s="200" t="s">
        <v>239</v>
      </c>
      <c r="AP9" s="200" t="s">
        <v>239</v>
      </c>
      <c r="AQ9" s="200" t="s">
        <v>235</v>
      </c>
      <c r="AR9" s="200" t="s">
        <v>239</v>
      </c>
      <c r="AS9" s="200" t="s">
        <v>262</v>
      </c>
      <c r="AT9" s="200" t="s">
        <v>299</v>
      </c>
      <c r="AU9" s="200" t="s">
        <v>241</v>
      </c>
      <c r="AV9" s="205" t="s">
        <v>242</v>
      </c>
      <c r="AW9" s="205" t="s">
        <v>243</v>
      </c>
      <c r="AY9" s="200" t="s">
        <v>239</v>
      </c>
      <c r="AZ9" s="205" t="s">
        <v>775</v>
      </c>
      <c r="BA9" s="205" t="s">
        <v>244</v>
      </c>
      <c r="BB9" s="205" t="s">
        <v>244</v>
      </c>
      <c r="BC9" s="200" t="s">
        <v>256</v>
      </c>
      <c r="BD9" s="205" t="s">
        <v>239</v>
      </c>
      <c r="BE9" s="205" t="s">
        <v>446</v>
      </c>
      <c r="BF9" s="205" t="s">
        <v>457</v>
      </c>
      <c r="BH9" s="205" t="s">
        <v>456</v>
      </c>
      <c r="BI9" s="202">
        <v>8</v>
      </c>
      <c r="BJ9" s="201">
        <v>42287</v>
      </c>
      <c r="BK9" s="203" t="s">
        <v>301</v>
      </c>
      <c r="BM9" s="205">
        <v>41</v>
      </c>
    </row>
    <row r="10" spans="1:66" x14ac:dyDescent="0.25">
      <c r="A10" s="205" t="s">
        <v>680</v>
      </c>
      <c r="B10" s="205" t="s">
        <v>776</v>
      </c>
      <c r="C10" s="205" t="s">
        <v>777</v>
      </c>
      <c r="D10" s="205" t="s">
        <v>778</v>
      </c>
      <c r="E10" s="201">
        <v>42275</v>
      </c>
      <c r="F10" s="205" t="s">
        <v>320</v>
      </c>
      <c r="G10" s="205" t="s">
        <v>232</v>
      </c>
      <c r="H10" s="205" t="s">
        <v>779</v>
      </c>
      <c r="I10" s="205" t="s">
        <v>780</v>
      </c>
      <c r="K10" s="205" t="s">
        <v>471</v>
      </c>
      <c r="L10" s="205" t="s">
        <v>472</v>
      </c>
      <c r="M10" s="205" t="s">
        <v>473</v>
      </c>
      <c r="O10" s="200" t="s">
        <v>377</v>
      </c>
      <c r="P10" s="200" t="s">
        <v>781</v>
      </c>
      <c r="Q10" s="205" t="s">
        <v>473</v>
      </c>
      <c r="R10" s="202">
        <v>9</v>
      </c>
      <c r="U10" s="205" t="s">
        <v>456</v>
      </c>
      <c r="W10" s="205" t="s">
        <v>234</v>
      </c>
      <c r="X10" s="205" t="s">
        <v>355</v>
      </c>
      <c r="Z10" s="205" t="s">
        <v>238</v>
      </c>
      <c r="AB10" s="205" t="s">
        <v>238</v>
      </c>
      <c r="AD10" s="205" t="s">
        <v>238</v>
      </c>
      <c r="AE10" s="205" t="s">
        <v>232</v>
      </c>
      <c r="AF10" s="205" t="s">
        <v>782</v>
      </c>
      <c r="AG10" s="205" t="s">
        <v>239</v>
      </c>
      <c r="AH10" s="205" t="s">
        <v>239</v>
      </c>
      <c r="AI10" s="205" t="s">
        <v>783</v>
      </c>
      <c r="AJ10" s="205" t="s">
        <v>783</v>
      </c>
      <c r="AK10" s="205" t="s">
        <v>784</v>
      </c>
      <c r="AL10" s="205" t="s">
        <v>239</v>
      </c>
      <c r="AM10" s="205" t="s">
        <v>239</v>
      </c>
      <c r="AN10" s="205" t="s">
        <v>239</v>
      </c>
      <c r="AO10" s="200" t="s">
        <v>235</v>
      </c>
      <c r="AP10" s="200" t="s">
        <v>235</v>
      </c>
      <c r="AQ10" s="200" t="s">
        <v>235</v>
      </c>
      <c r="AR10" s="200" t="s">
        <v>235</v>
      </c>
      <c r="AS10" s="200" t="s">
        <v>299</v>
      </c>
      <c r="AT10" s="200" t="s">
        <v>299</v>
      </c>
      <c r="AU10" s="200" t="s">
        <v>299</v>
      </c>
      <c r="AV10" s="205" t="s">
        <v>242</v>
      </c>
      <c r="AW10" s="205" t="s">
        <v>243</v>
      </c>
      <c r="AY10" s="200" t="s">
        <v>239</v>
      </c>
      <c r="AZ10" s="205" t="s">
        <v>785</v>
      </c>
      <c r="BA10" s="205" t="s">
        <v>244</v>
      </c>
      <c r="BB10" s="205" t="s">
        <v>786</v>
      </c>
      <c r="BD10" s="205" t="s">
        <v>239</v>
      </c>
      <c r="BE10" s="205" t="s">
        <v>446</v>
      </c>
      <c r="BF10" s="205" t="s">
        <v>457</v>
      </c>
      <c r="BH10" s="205" t="s">
        <v>456</v>
      </c>
      <c r="BI10" s="202">
        <v>9</v>
      </c>
      <c r="BJ10" s="201">
        <v>42286</v>
      </c>
      <c r="BK10" s="203" t="s">
        <v>301</v>
      </c>
      <c r="BM10" s="205">
        <v>41</v>
      </c>
    </row>
    <row r="11" spans="1:66" x14ac:dyDescent="0.25">
      <c r="A11" s="205" t="s">
        <v>680</v>
      </c>
      <c r="B11" s="205" t="s">
        <v>787</v>
      </c>
      <c r="C11" s="205" t="s">
        <v>788</v>
      </c>
      <c r="D11" s="205" t="s">
        <v>789</v>
      </c>
      <c r="E11" s="201">
        <v>42275</v>
      </c>
      <c r="F11" s="205" t="s">
        <v>790</v>
      </c>
      <c r="G11" s="205" t="s">
        <v>232</v>
      </c>
      <c r="H11" s="205" t="s">
        <v>791</v>
      </c>
      <c r="I11" s="205" t="s">
        <v>523</v>
      </c>
      <c r="J11" s="205" t="s">
        <v>792</v>
      </c>
      <c r="K11" s="205" t="s">
        <v>453</v>
      </c>
      <c r="L11" s="205" t="s">
        <v>454</v>
      </c>
      <c r="M11" s="205" t="s">
        <v>462</v>
      </c>
      <c r="O11" s="200" t="s">
        <v>323</v>
      </c>
      <c r="P11" s="200" t="s">
        <v>793</v>
      </c>
      <c r="Q11" s="205" t="s">
        <v>462</v>
      </c>
      <c r="R11" s="202">
        <v>10</v>
      </c>
      <c r="U11" s="205" t="s">
        <v>456</v>
      </c>
      <c r="W11" s="205" t="s">
        <v>234</v>
      </c>
      <c r="X11" s="205" t="s">
        <v>309</v>
      </c>
      <c r="Y11" s="200" t="s">
        <v>520</v>
      </c>
      <c r="Z11" s="205" t="s">
        <v>595</v>
      </c>
      <c r="AA11" s="200" t="s">
        <v>297</v>
      </c>
      <c r="AB11" s="205" t="s">
        <v>794</v>
      </c>
      <c r="AC11" s="200" t="s">
        <v>277</v>
      </c>
      <c r="AD11" s="205" t="s">
        <v>795</v>
      </c>
      <c r="AE11" s="205" t="s">
        <v>232</v>
      </c>
      <c r="AF11" s="205" t="s">
        <v>796</v>
      </c>
      <c r="AG11" s="205" t="s">
        <v>239</v>
      </c>
      <c r="AH11" s="205" t="s">
        <v>239</v>
      </c>
      <c r="AI11" s="205" t="s">
        <v>797</v>
      </c>
      <c r="AJ11" s="205" t="s">
        <v>798</v>
      </c>
      <c r="AK11" s="205" t="s">
        <v>601</v>
      </c>
      <c r="AL11" s="205" t="s">
        <v>239</v>
      </c>
      <c r="AM11" s="205" t="s">
        <v>239</v>
      </c>
      <c r="AN11" s="205" t="s">
        <v>239</v>
      </c>
      <c r="AO11" s="200" t="s">
        <v>235</v>
      </c>
      <c r="AP11" s="200" t="s">
        <v>235</v>
      </c>
      <c r="AQ11" s="200" t="s">
        <v>235</v>
      </c>
      <c r="AR11" s="200" t="s">
        <v>235</v>
      </c>
      <c r="AS11" s="200" t="s">
        <v>299</v>
      </c>
      <c r="AT11" s="200" t="s">
        <v>299</v>
      </c>
      <c r="AU11" s="200" t="s">
        <v>299</v>
      </c>
      <c r="AV11" s="205" t="s">
        <v>242</v>
      </c>
      <c r="AW11" s="205" t="s">
        <v>243</v>
      </c>
      <c r="AX11" s="200" t="s">
        <v>799</v>
      </c>
      <c r="AY11" s="200" t="s">
        <v>235</v>
      </c>
      <c r="AZ11" s="205" t="s">
        <v>800</v>
      </c>
      <c r="BA11" s="205" t="s">
        <v>244</v>
      </c>
      <c r="BB11" s="205" t="s">
        <v>801</v>
      </c>
      <c r="BD11" s="205" t="s">
        <v>239</v>
      </c>
      <c r="BE11" s="205" t="s">
        <v>446</v>
      </c>
      <c r="BF11" s="205" t="s">
        <v>457</v>
      </c>
      <c r="BH11" s="205" t="s">
        <v>456</v>
      </c>
      <c r="BI11" s="202">
        <v>10</v>
      </c>
      <c r="BJ11" s="201">
        <v>42287</v>
      </c>
      <c r="BK11" s="203" t="s">
        <v>301</v>
      </c>
      <c r="BM11" s="205">
        <v>41</v>
      </c>
    </row>
    <row r="12" spans="1:66" x14ac:dyDescent="0.25">
      <c r="A12" s="205" t="s">
        <v>609</v>
      </c>
      <c r="B12" s="205" t="s">
        <v>802</v>
      </c>
      <c r="C12" s="205" t="s">
        <v>590</v>
      </c>
      <c r="D12" s="205" t="s">
        <v>591</v>
      </c>
      <c r="E12" s="201">
        <v>42275</v>
      </c>
      <c r="F12" s="205" t="s">
        <v>592</v>
      </c>
      <c r="G12" s="205" t="s">
        <v>232</v>
      </c>
      <c r="H12" s="205" t="s">
        <v>593</v>
      </c>
      <c r="I12" s="205" t="s">
        <v>483</v>
      </c>
      <c r="J12" s="205" t="s">
        <v>534</v>
      </c>
      <c r="K12" s="205" t="s">
        <v>447</v>
      </c>
      <c r="L12" s="205" t="s">
        <v>448</v>
      </c>
      <c r="M12" s="205" t="s">
        <v>455</v>
      </c>
      <c r="O12" s="200" t="s">
        <v>377</v>
      </c>
      <c r="P12" s="200" t="s">
        <v>594</v>
      </c>
      <c r="Q12" s="205" t="s">
        <v>455</v>
      </c>
      <c r="R12" s="202">
        <v>11</v>
      </c>
      <c r="U12" s="205" t="s">
        <v>456</v>
      </c>
      <c r="W12" s="205" t="s">
        <v>234</v>
      </c>
      <c r="X12" s="205" t="s">
        <v>326</v>
      </c>
      <c r="Y12" s="200" t="s">
        <v>417</v>
      </c>
      <c r="Z12" s="205" t="s">
        <v>595</v>
      </c>
      <c r="AA12" s="200" t="s">
        <v>346</v>
      </c>
      <c r="AB12" s="205" t="s">
        <v>596</v>
      </c>
      <c r="AC12" s="200" t="s">
        <v>328</v>
      </c>
      <c r="AD12" s="205" t="s">
        <v>597</v>
      </c>
      <c r="AE12" s="205" t="s">
        <v>232</v>
      </c>
      <c r="AF12" s="205" t="s">
        <v>803</v>
      </c>
      <c r="AG12" s="205" t="s">
        <v>239</v>
      </c>
      <c r="AH12" s="205" t="s">
        <v>239</v>
      </c>
      <c r="AI12" s="205" t="s">
        <v>804</v>
      </c>
      <c r="AJ12" s="205" t="s">
        <v>598</v>
      </c>
      <c r="AK12" s="205" t="s">
        <v>599</v>
      </c>
      <c r="AL12" s="205" t="s">
        <v>600</v>
      </c>
      <c r="AM12" s="205" t="s">
        <v>601</v>
      </c>
      <c r="AN12" s="205" t="s">
        <v>239</v>
      </c>
      <c r="AO12" s="200" t="s">
        <v>235</v>
      </c>
      <c r="AP12" s="200" t="s">
        <v>235</v>
      </c>
      <c r="AQ12" s="200" t="s">
        <v>235</v>
      </c>
      <c r="AR12" s="200" t="s">
        <v>239</v>
      </c>
      <c r="AS12" s="200" t="s">
        <v>299</v>
      </c>
      <c r="AT12" s="200" t="s">
        <v>299</v>
      </c>
      <c r="AU12" s="200" t="s">
        <v>241</v>
      </c>
      <c r="AV12" s="205" t="s">
        <v>242</v>
      </c>
      <c r="AW12" s="205" t="s">
        <v>243</v>
      </c>
      <c r="AX12" s="200" t="s">
        <v>509</v>
      </c>
      <c r="AY12" s="200" t="s">
        <v>235</v>
      </c>
      <c r="AZ12" s="205" t="s">
        <v>602</v>
      </c>
      <c r="BA12" s="205" t="s">
        <v>244</v>
      </c>
      <c r="BB12" s="205" t="s">
        <v>244</v>
      </c>
      <c r="BD12" s="205" t="s">
        <v>235</v>
      </c>
      <c r="BE12" s="205" t="s">
        <v>446</v>
      </c>
      <c r="BF12" s="205" t="s">
        <v>457</v>
      </c>
      <c r="BH12" s="205" t="s">
        <v>456</v>
      </c>
      <c r="BI12" s="202">
        <v>11</v>
      </c>
      <c r="BJ12" s="201">
        <v>42278</v>
      </c>
      <c r="BK12" s="203" t="s">
        <v>395</v>
      </c>
      <c r="BM12" s="205">
        <v>40</v>
      </c>
    </row>
    <row r="13" spans="1:66" x14ac:dyDescent="0.25">
      <c r="A13" s="205" t="s">
        <v>609</v>
      </c>
      <c r="B13" s="205" t="s">
        <v>805</v>
      </c>
      <c r="C13" s="205" t="s">
        <v>806</v>
      </c>
      <c r="D13" s="205" t="s">
        <v>807</v>
      </c>
      <c r="E13" s="201">
        <v>42275</v>
      </c>
      <c r="F13" s="205" t="s">
        <v>808</v>
      </c>
      <c r="G13" s="205" t="s">
        <v>232</v>
      </c>
      <c r="H13" s="205" t="s">
        <v>273</v>
      </c>
      <c r="I13" s="205" t="s">
        <v>809</v>
      </c>
      <c r="J13" s="205" t="s">
        <v>504</v>
      </c>
      <c r="K13" s="205" t="s">
        <v>450</v>
      </c>
      <c r="L13" s="205" t="s">
        <v>451</v>
      </c>
      <c r="M13" s="205" t="s">
        <v>463</v>
      </c>
      <c r="O13" s="200" t="s">
        <v>246</v>
      </c>
      <c r="P13" s="200" t="s">
        <v>810</v>
      </c>
      <c r="Q13" s="205" t="s">
        <v>463</v>
      </c>
      <c r="R13" s="202">
        <v>12</v>
      </c>
      <c r="U13" s="205" t="s">
        <v>456</v>
      </c>
      <c r="W13" s="205" t="s">
        <v>234</v>
      </c>
      <c r="X13" s="205" t="s">
        <v>355</v>
      </c>
      <c r="Y13" s="200" t="s">
        <v>407</v>
      </c>
      <c r="Z13" s="205" t="s">
        <v>811</v>
      </c>
      <c r="AA13" s="200" t="s">
        <v>378</v>
      </c>
      <c r="AB13" s="205" t="s">
        <v>812</v>
      </c>
      <c r="AC13" s="200" t="s">
        <v>351</v>
      </c>
      <c r="AD13" s="205" t="s">
        <v>812</v>
      </c>
      <c r="AE13" s="205" t="s">
        <v>232</v>
      </c>
      <c r="AF13" s="205" t="s">
        <v>813</v>
      </c>
      <c r="AG13" s="205" t="s">
        <v>239</v>
      </c>
      <c r="AH13" s="205" t="s">
        <v>239</v>
      </c>
      <c r="AI13" s="205" t="s">
        <v>814</v>
      </c>
      <c r="AJ13" s="205" t="s">
        <v>814</v>
      </c>
      <c r="AK13" s="205" t="s">
        <v>815</v>
      </c>
      <c r="AL13" s="205" t="s">
        <v>239</v>
      </c>
      <c r="AM13" s="205" t="s">
        <v>239</v>
      </c>
      <c r="AN13" s="205" t="s">
        <v>239</v>
      </c>
      <c r="AO13" s="200" t="s">
        <v>235</v>
      </c>
      <c r="AP13" s="200" t="s">
        <v>235</v>
      </c>
      <c r="AQ13" s="200" t="s">
        <v>239</v>
      </c>
      <c r="AR13" s="200" t="s">
        <v>239</v>
      </c>
      <c r="AS13" s="200" t="s">
        <v>299</v>
      </c>
      <c r="AT13" s="200" t="s">
        <v>241</v>
      </c>
      <c r="AU13" s="200" t="s">
        <v>241</v>
      </c>
      <c r="AV13" s="205" t="s">
        <v>242</v>
      </c>
      <c r="AW13" s="205" t="s">
        <v>243</v>
      </c>
      <c r="AY13" s="200" t="s">
        <v>239</v>
      </c>
      <c r="AZ13" s="205" t="s">
        <v>244</v>
      </c>
      <c r="BA13" s="205" t="s">
        <v>244</v>
      </c>
      <c r="BB13" s="205" t="s">
        <v>816</v>
      </c>
      <c r="BD13" s="205" t="s">
        <v>239</v>
      </c>
      <c r="BE13" s="205" t="s">
        <v>446</v>
      </c>
      <c r="BF13" s="205" t="s">
        <v>457</v>
      </c>
      <c r="BH13" s="205" t="s">
        <v>456</v>
      </c>
      <c r="BI13" s="202">
        <v>12</v>
      </c>
      <c r="BJ13" s="201">
        <v>42285</v>
      </c>
      <c r="BK13" s="203" t="s">
        <v>301</v>
      </c>
      <c r="BM13" s="205">
        <v>41</v>
      </c>
    </row>
    <row r="14" spans="1:66" x14ac:dyDescent="0.25">
      <c r="A14" s="205" t="s">
        <v>609</v>
      </c>
      <c r="B14" s="205" t="s">
        <v>817</v>
      </c>
      <c r="C14" s="205" t="s">
        <v>818</v>
      </c>
      <c r="D14" s="205" t="s">
        <v>819</v>
      </c>
      <c r="E14" s="201">
        <v>42275</v>
      </c>
      <c r="F14" s="205" t="s">
        <v>820</v>
      </c>
      <c r="G14" s="205" t="s">
        <v>232</v>
      </c>
      <c r="H14" s="205" t="s">
        <v>273</v>
      </c>
      <c r="I14" s="205" t="s">
        <v>821</v>
      </c>
      <c r="J14" s="205" t="s">
        <v>386</v>
      </c>
      <c r="K14" s="205" t="s">
        <v>453</v>
      </c>
      <c r="L14" s="205" t="s">
        <v>454</v>
      </c>
      <c r="M14" s="205" t="s">
        <v>455</v>
      </c>
      <c r="O14" s="200" t="s">
        <v>290</v>
      </c>
      <c r="P14" s="200" t="s">
        <v>822</v>
      </c>
      <c r="Q14" s="205" t="s">
        <v>455</v>
      </c>
      <c r="R14" s="202">
        <v>13</v>
      </c>
      <c r="U14" s="205" t="s">
        <v>456</v>
      </c>
      <c r="W14" s="205" t="s">
        <v>234</v>
      </c>
      <c r="X14" s="205" t="s">
        <v>291</v>
      </c>
      <c r="Y14" s="200" t="s">
        <v>339</v>
      </c>
      <c r="Z14" s="205" t="s">
        <v>823</v>
      </c>
      <c r="AA14" s="200" t="s">
        <v>399</v>
      </c>
      <c r="AB14" s="205" t="s">
        <v>255</v>
      </c>
      <c r="AC14" s="200" t="s">
        <v>286</v>
      </c>
      <c r="AD14" s="205" t="s">
        <v>824</v>
      </c>
      <c r="AE14" s="205" t="s">
        <v>232</v>
      </c>
      <c r="AF14" s="205" t="s">
        <v>825</v>
      </c>
      <c r="AG14" s="205" t="s">
        <v>239</v>
      </c>
      <c r="AH14" s="205" t="s">
        <v>239</v>
      </c>
      <c r="AI14" s="205" t="s">
        <v>826</v>
      </c>
      <c r="AJ14" s="205" t="s">
        <v>827</v>
      </c>
      <c r="AK14" s="205" t="s">
        <v>828</v>
      </c>
      <c r="AL14" s="205" t="s">
        <v>239</v>
      </c>
      <c r="AM14" s="205" t="s">
        <v>239</v>
      </c>
      <c r="AN14" s="205" t="s">
        <v>239</v>
      </c>
      <c r="AO14" s="200" t="s">
        <v>235</v>
      </c>
      <c r="AP14" s="200" t="s">
        <v>235</v>
      </c>
      <c r="AQ14" s="200" t="s">
        <v>235</v>
      </c>
      <c r="AR14" s="200" t="s">
        <v>239</v>
      </c>
      <c r="AS14" s="200" t="s">
        <v>299</v>
      </c>
      <c r="AT14" s="200" t="s">
        <v>299</v>
      </c>
      <c r="AU14" s="200" t="s">
        <v>241</v>
      </c>
      <c r="AV14" s="205" t="s">
        <v>242</v>
      </c>
      <c r="AW14" s="205" t="s">
        <v>243</v>
      </c>
      <c r="AY14" s="200" t="s">
        <v>239</v>
      </c>
      <c r="AZ14" s="205" t="s">
        <v>244</v>
      </c>
      <c r="BA14" s="205" t="s">
        <v>829</v>
      </c>
      <c r="BB14" s="205" t="s">
        <v>830</v>
      </c>
      <c r="BD14" s="205" t="s">
        <v>239</v>
      </c>
      <c r="BE14" s="205" t="s">
        <v>446</v>
      </c>
      <c r="BF14" s="205" t="s">
        <v>457</v>
      </c>
      <c r="BH14" s="205" t="s">
        <v>456</v>
      </c>
      <c r="BI14" s="202">
        <v>13</v>
      </c>
      <c r="BJ14" s="201">
        <v>42283</v>
      </c>
      <c r="BK14" s="203" t="s">
        <v>301</v>
      </c>
      <c r="BM14" s="205">
        <v>41</v>
      </c>
    </row>
    <row r="15" spans="1:66" x14ac:dyDescent="0.25">
      <c r="A15" s="205" t="s">
        <v>609</v>
      </c>
      <c r="B15" s="205" t="s">
        <v>831</v>
      </c>
      <c r="C15" s="205" t="s">
        <v>832</v>
      </c>
      <c r="D15" s="205" t="s">
        <v>833</v>
      </c>
      <c r="E15" s="201">
        <v>42275</v>
      </c>
      <c r="F15" s="205" t="s">
        <v>413</v>
      </c>
      <c r="G15" s="205" t="s">
        <v>232</v>
      </c>
      <c r="H15" s="205" t="s">
        <v>834</v>
      </c>
      <c r="I15" s="205" t="s">
        <v>835</v>
      </c>
      <c r="K15" s="205" t="s">
        <v>450</v>
      </c>
      <c r="L15" s="205" t="s">
        <v>451</v>
      </c>
      <c r="M15" s="205" t="s">
        <v>452</v>
      </c>
      <c r="O15" s="200" t="s">
        <v>388</v>
      </c>
      <c r="P15" s="200" t="s">
        <v>836</v>
      </c>
      <c r="Q15" s="205" t="s">
        <v>452</v>
      </c>
      <c r="R15" s="202">
        <v>14</v>
      </c>
      <c r="U15" s="205" t="s">
        <v>456</v>
      </c>
      <c r="W15" s="205" t="s">
        <v>234</v>
      </c>
      <c r="X15" s="205" t="s">
        <v>326</v>
      </c>
      <c r="Z15" s="205" t="s">
        <v>238</v>
      </c>
      <c r="AB15" s="205" t="s">
        <v>238</v>
      </c>
      <c r="AD15" s="205" t="s">
        <v>238</v>
      </c>
      <c r="AE15" s="205" t="s">
        <v>232</v>
      </c>
      <c r="AF15" s="205" t="s">
        <v>837</v>
      </c>
      <c r="AG15" s="205" t="s">
        <v>239</v>
      </c>
      <c r="AH15" s="205" t="s">
        <v>239</v>
      </c>
      <c r="AI15" s="205" t="s">
        <v>838</v>
      </c>
      <c r="AJ15" s="205" t="s">
        <v>839</v>
      </c>
      <c r="AK15" s="205" t="s">
        <v>840</v>
      </c>
      <c r="AL15" s="205" t="s">
        <v>239</v>
      </c>
      <c r="AM15" s="205" t="s">
        <v>239</v>
      </c>
      <c r="AN15" s="205" t="s">
        <v>239</v>
      </c>
      <c r="AO15" s="200" t="s">
        <v>235</v>
      </c>
      <c r="AP15" s="200" t="s">
        <v>235</v>
      </c>
      <c r="AQ15" s="200" t="s">
        <v>239</v>
      </c>
      <c r="AR15" s="200" t="s">
        <v>239</v>
      </c>
      <c r="AS15" s="200" t="s">
        <v>299</v>
      </c>
      <c r="AT15" s="200" t="s">
        <v>241</v>
      </c>
      <c r="AU15" s="200" t="s">
        <v>241</v>
      </c>
      <c r="AV15" s="205" t="s">
        <v>242</v>
      </c>
      <c r="AW15" s="205" t="s">
        <v>243</v>
      </c>
      <c r="AY15" s="200" t="s">
        <v>239</v>
      </c>
      <c r="AZ15" s="205" t="s">
        <v>841</v>
      </c>
      <c r="BA15" s="205" t="s">
        <v>244</v>
      </c>
      <c r="BB15" s="205" t="s">
        <v>244</v>
      </c>
      <c r="BD15" s="205" t="s">
        <v>239</v>
      </c>
      <c r="BE15" s="205" t="s">
        <v>446</v>
      </c>
      <c r="BF15" s="205" t="s">
        <v>457</v>
      </c>
      <c r="BH15" s="205" t="s">
        <v>456</v>
      </c>
      <c r="BI15" s="202">
        <v>14</v>
      </c>
      <c r="BJ15" s="201">
        <v>42288</v>
      </c>
      <c r="BK15" s="203" t="s">
        <v>245</v>
      </c>
      <c r="BL15" s="204">
        <v>467.44</v>
      </c>
      <c r="BM15" s="205">
        <v>41</v>
      </c>
    </row>
    <row r="16" spans="1:66" x14ac:dyDescent="0.25">
      <c r="A16" s="205" t="s">
        <v>609</v>
      </c>
      <c r="B16" s="205" t="s">
        <v>842</v>
      </c>
      <c r="C16" s="205" t="s">
        <v>843</v>
      </c>
      <c r="D16" s="205" t="s">
        <v>844</v>
      </c>
      <c r="E16" s="201">
        <v>42275</v>
      </c>
      <c r="F16" s="205" t="s">
        <v>339</v>
      </c>
      <c r="G16" s="205" t="s">
        <v>232</v>
      </c>
      <c r="H16" s="205" t="s">
        <v>845</v>
      </c>
      <c r="I16" s="205" t="s">
        <v>846</v>
      </c>
      <c r="K16" s="205" t="s">
        <v>450</v>
      </c>
      <c r="L16" s="205" t="s">
        <v>451</v>
      </c>
      <c r="M16" s="205" t="s">
        <v>452</v>
      </c>
      <c r="O16" s="200" t="s">
        <v>288</v>
      </c>
      <c r="P16" s="200" t="s">
        <v>847</v>
      </c>
      <c r="Q16" s="205" t="s">
        <v>452</v>
      </c>
      <c r="R16" s="202">
        <v>15</v>
      </c>
      <c r="U16" s="205" t="s">
        <v>456</v>
      </c>
      <c r="W16" s="205" t="s">
        <v>234</v>
      </c>
      <c r="X16" s="205" t="s">
        <v>391</v>
      </c>
      <c r="Z16" s="205" t="s">
        <v>238</v>
      </c>
      <c r="AB16" s="205" t="s">
        <v>238</v>
      </c>
      <c r="AD16" s="205" t="s">
        <v>238</v>
      </c>
      <c r="AE16" s="205" t="s">
        <v>232</v>
      </c>
      <c r="AF16" s="205" t="s">
        <v>848</v>
      </c>
      <c r="AG16" s="205" t="s">
        <v>239</v>
      </c>
      <c r="AH16" s="205" t="s">
        <v>239</v>
      </c>
      <c r="AI16" s="205" t="s">
        <v>849</v>
      </c>
      <c r="AJ16" s="205" t="s">
        <v>849</v>
      </c>
      <c r="AK16" s="205" t="s">
        <v>850</v>
      </c>
      <c r="AL16" s="205" t="s">
        <v>239</v>
      </c>
      <c r="AM16" s="205" t="s">
        <v>239</v>
      </c>
      <c r="AN16" s="205" t="s">
        <v>239</v>
      </c>
      <c r="AO16" s="200" t="s">
        <v>235</v>
      </c>
      <c r="AP16" s="200" t="s">
        <v>235</v>
      </c>
      <c r="AQ16" s="200" t="s">
        <v>235</v>
      </c>
      <c r="AR16" s="200" t="s">
        <v>235</v>
      </c>
      <c r="AS16" s="200" t="s">
        <v>299</v>
      </c>
      <c r="AT16" s="200" t="s">
        <v>299</v>
      </c>
      <c r="AU16" s="200" t="s">
        <v>299</v>
      </c>
      <c r="AV16" s="205" t="s">
        <v>242</v>
      </c>
      <c r="AW16" s="205" t="s">
        <v>243</v>
      </c>
      <c r="AY16" s="200" t="s">
        <v>239</v>
      </c>
      <c r="AZ16" s="205" t="s">
        <v>851</v>
      </c>
      <c r="BA16" s="205" t="s">
        <v>244</v>
      </c>
      <c r="BB16" s="205" t="s">
        <v>244</v>
      </c>
      <c r="BD16" s="205" t="s">
        <v>239</v>
      </c>
      <c r="BE16" s="205" t="s">
        <v>446</v>
      </c>
      <c r="BF16" s="205" t="s">
        <v>457</v>
      </c>
      <c r="BH16" s="205" t="s">
        <v>456</v>
      </c>
      <c r="BI16" s="202">
        <v>15</v>
      </c>
      <c r="BJ16" s="201">
        <v>42289</v>
      </c>
      <c r="BK16" s="203" t="s">
        <v>301</v>
      </c>
      <c r="BM16" s="205">
        <v>42</v>
      </c>
    </row>
    <row r="17" spans="1:65" x14ac:dyDescent="0.25">
      <c r="A17" s="205" t="s">
        <v>609</v>
      </c>
      <c r="B17" s="205" t="s">
        <v>852</v>
      </c>
      <c r="C17" s="205" t="s">
        <v>853</v>
      </c>
      <c r="D17" s="205" t="s">
        <v>854</v>
      </c>
      <c r="E17" s="201">
        <v>42275</v>
      </c>
      <c r="F17" s="205" t="s">
        <v>521</v>
      </c>
      <c r="G17" s="205" t="s">
        <v>232</v>
      </c>
      <c r="H17" s="205" t="s">
        <v>273</v>
      </c>
      <c r="I17" s="205" t="s">
        <v>855</v>
      </c>
      <c r="J17" s="205" t="s">
        <v>381</v>
      </c>
      <c r="K17" s="205" t="s">
        <v>475</v>
      </c>
      <c r="L17" s="205" t="s">
        <v>476</v>
      </c>
      <c r="M17" s="205" t="s">
        <v>477</v>
      </c>
      <c r="O17" s="200" t="s">
        <v>389</v>
      </c>
      <c r="P17" s="200" t="s">
        <v>856</v>
      </c>
      <c r="Q17" s="205" t="s">
        <v>477</v>
      </c>
      <c r="R17" s="202">
        <v>16</v>
      </c>
      <c r="U17" s="205" t="s">
        <v>456</v>
      </c>
      <c r="W17" s="205" t="s">
        <v>234</v>
      </c>
      <c r="X17" s="205" t="s">
        <v>326</v>
      </c>
      <c r="Y17" s="200" t="s">
        <v>541</v>
      </c>
      <c r="Z17" s="205" t="s">
        <v>857</v>
      </c>
      <c r="AA17" s="200" t="s">
        <v>858</v>
      </c>
      <c r="AB17" s="205" t="s">
        <v>857</v>
      </c>
      <c r="AC17" s="200" t="s">
        <v>393</v>
      </c>
      <c r="AD17" s="205" t="s">
        <v>859</v>
      </c>
      <c r="AE17" s="205" t="s">
        <v>232</v>
      </c>
      <c r="AF17" s="205" t="s">
        <v>860</v>
      </c>
      <c r="AG17" s="205" t="s">
        <v>239</v>
      </c>
      <c r="AH17" s="205" t="s">
        <v>239</v>
      </c>
      <c r="AI17" s="205" t="s">
        <v>861</v>
      </c>
      <c r="AJ17" s="205" t="s">
        <v>862</v>
      </c>
      <c r="AK17" s="205" t="s">
        <v>863</v>
      </c>
      <c r="AL17" s="205" t="s">
        <v>239</v>
      </c>
      <c r="AM17" s="205" t="s">
        <v>239</v>
      </c>
      <c r="AN17" s="205" t="s">
        <v>239</v>
      </c>
      <c r="AO17" s="200" t="s">
        <v>235</v>
      </c>
      <c r="AP17" s="200" t="s">
        <v>235</v>
      </c>
      <c r="AQ17" s="200" t="s">
        <v>235</v>
      </c>
      <c r="AR17" s="200" t="s">
        <v>239</v>
      </c>
      <c r="AS17" s="200" t="s">
        <v>299</v>
      </c>
      <c r="AT17" s="200" t="s">
        <v>299</v>
      </c>
      <c r="AU17" s="200" t="s">
        <v>241</v>
      </c>
      <c r="AV17" s="205" t="s">
        <v>242</v>
      </c>
      <c r="AW17" s="205" t="s">
        <v>243</v>
      </c>
      <c r="AX17" s="200" t="s">
        <v>864</v>
      </c>
      <c r="AY17" s="200" t="s">
        <v>300</v>
      </c>
      <c r="AZ17" s="205" t="s">
        <v>244</v>
      </c>
      <c r="BA17" s="205" t="s">
        <v>244</v>
      </c>
      <c r="BB17" s="205" t="s">
        <v>865</v>
      </c>
      <c r="BD17" s="205" t="s">
        <v>239</v>
      </c>
      <c r="BE17" s="205" t="s">
        <v>446</v>
      </c>
      <c r="BF17" s="205" t="s">
        <v>457</v>
      </c>
      <c r="BH17" s="205" t="s">
        <v>456</v>
      </c>
      <c r="BI17" s="202">
        <v>16</v>
      </c>
      <c r="BJ17" s="201">
        <v>42280</v>
      </c>
      <c r="BK17" s="203" t="s">
        <v>245</v>
      </c>
      <c r="BL17" s="204">
        <v>643.97</v>
      </c>
      <c r="BM17" s="205">
        <v>40</v>
      </c>
    </row>
    <row r="18" spans="1:65" x14ac:dyDescent="0.25">
      <c r="A18" s="205" t="s">
        <v>609</v>
      </c>
      <c r="B18" s="205" t="s">
        <v>866</v>
      </c>
      <c r="C18" s="205" t="s">
        <v>867</v>
      </c>
      <c r="D18" s="205" t="s">
        <v>868</v>
      </c>
      <c r="E18" s="201">
        <v>42275</v>
      </c>
      <c r="F18" s="205" t="s">
        <v>282</v>
      </c>
      <c r="G18" s="205" t="s">
        <v>232</v>
      </c>
      <c r="H18" s="205" t="s">
        <v>869</v>
      </c>
      <c r="I18" s="205" t="s">
        <v>469</v>
      </c>
      <c r="J18" s="205" t="s">
        <v>870</v>
      </c>
      <c r="K18" s="205" t="s">
        <v>453</v>
      </c>
      <c r="L18" s="205" t="s">
        <v>461</v>
      </c>
      <c r="M18" s="205" t="s">
        <v>470</v>
      </c>
      <c r="O18" s="200" t="s">
        <v>513</v>
      </c>
      <c r="P18" s="200" t="s">
        <v>871</v>
      </c>
      <c r="Q18" s="205" t="s">
        <v>470</v>
      </c>
      <c r="R18" s="202">
        <v>17</v>
      </c>
      <c r="U18" s="205" t="s">
        <v>456</v>
      </c>
      <c r="W18" s="205" t="s">
        <v>234</v>
      </c>
      <c r="X18" s="205" t="s">
        <v>326</v>
      </c>
      <c r="Y18" s="200" t="s">
        <v>515</v>
      </c>
      <c r="Z18" s="205" t="s">
        <v>872</v>
      </c>
      <c r="AA18" s="200" t="s">
        <v>340</v>
      </c>
      <c r="AB18" s="205" t="s">
        <v>522</v>
      </c>
      <c r="AC18" s="200" t="s">
        <v>317</v>
      </c>
      <c r="AD18" s="205" t="s">
        <v>522</v>
      </c>
      <c r="AE18" s="205" t="s">
        <v>232</v>
      </c>
      <c r="AF18" s="205" t="s">
        <v>873</v>
      </c>
      <c r="AG18" s="205" t="s">
        <v>239</v>
      </c>
      <c r="AH18" s="205" t="s">
        <v>239</v>
      </c>
      <c r="AI18" s="205" t="s">
        <v>874</v>
      </c>
      <c r="AJ18" s="205" t="s">
        <v>875</v>
      </c>
      <c r="AK18" s="205" t="s">
        <v>876</v>
      </c>
      <c r="AL18" s="205" t="s">
        <v>239</v>
      </c>
      <c r="AM18" s="205" t="s">
        <v>239</v>
      </c>
      <c r="AN18" s="205" t="s">
        <v>239</v>
      </c>
      <c r="AO18" s="200" t="s">
        <v>235</v>
      </c>
      <c r="AP18" s="200" t="s">
        <v>235</v>
      </c>
      <c r="AQ18" s="200" t="s">
        <v>235</v>
      </c>
      <c r="AR18" s="200" t="s">
        <v>239</v>
      </c>
      <c r="AS18" s="200" t="s">
        <v>299</v>
      </c>
      <c r="AT18" s="200" t="s">
        <v>299</v>
      </c>
      <c r="AU18" s="200" t="s">
        <v>241</v>
      </c>
      <c r="AV18" s="205" t="s">
        <v>242</v>
      </c>
      <c r="AW18" s="205" t="s">
        <v>243</v>
      </c>
      <c r="AY18" s="200" t="s">
        <v>239</v>
      </c>
      <c r="AZ18" s="205" t="s">
        <v>877</v>
      </c>
      <c r="BA18" s="205" t="s">
        <v>244</v>
      </c>
      <c r="BB18" s="205" t="s">
        <v>244</v>
      </c>
      <c r="BD18" s="205" t="s">
        <v>239</v>
      </c>
      <c r="BE18" s="205" t="s">
        <v>446</v>
      </c>
      <c r="BF18" s="205" t="s">
        <v>457</v>
      </c>
      <c r="BH18" s="205" t="s">
        <v>456</v>
      </c>
      <c r="BI18" s="202">
        <v>17</v>
      </c>
      <c r="BJ18" s="201">
        <v>42287</v>
      </c>
      <c r="BK18" s="203" t="s">
        <v>301</v>
      </c>
      <c r="BM18" s="205">
        <v>41</v>
      </c>
    </row>
    <row r="19" spans="1:65" x14ac:dyDescent="0.25">
      <c r="A19" s="205" t="s">
        <v>609</v>
      </c>
      <c r="B19" s="205" t="s">
        <v>878</v>
      </c>
      <c r="C19" s="205" t="s">
        <v>879</v>
      </c>
      <c r="D19" s="205" t="s">
        <v>880</v>
      </c>
      <c r="E19" s="201">
        <v>42275</v>
      </c>
      <c r="F19" s="205" t="s">
        <v>881</v>
      </c>
      <c r="G19" s="205" t="s">
        <v>232</v>
      </c>
      <c r="H19" s="205" t="s">
        <v>882</v>
      </c>
      <c r="I19" s="205" t="s">
        <v>883</v>
      </c>
      <c r="J19" s="205" t="s">
        <v>884</v>
      </c>
      <c r="K19" s="205" t="s">
        <v>453</v>
      </c>
      <c r="L19" s="205" t="s">
        <v>448</v>
      </c>
      <c r="M19" s="205" t="s">
        <v>455</v>
      </c>
      <c r="O19" s="200" t="s">
        <v>404</v>
      </c>
      <c r="P19" s="200" t="s">
        <v>885</v>
      </c>
      <c r="Q19" s="205" t="s">
        <v>455</v>
      </c>
      <c r="R19" s="202">
        <v>18</v>
      </c>
      <c r="U19" s="205" t="s">
        <v>456</v>
      </c>
      <c r="W19" s="205" t="s">
        <v>234</v>
      </c>
      <c r="X19" s="205" t="s">
        <v>391</v>
      </c>
      <c r="Y19" s="200" t="s">
        <v>554</v>
      </c>
      <c r="Z19" s="205" t="s">
        <v>886</v>
      </c>
      <c r="AA19" s="200" t="s">
        <v>416</v>
      </c>
      <c r="AB19" s="205" t="s">
        <v>887</v>
      </c>
      <c r="AC19" s="200" t="s">
        <v>279</v>
      </c>
      <c r="AD19" s="205" t="s">
        <v>366</v>
      </c>
      <c r="AE19" s="205" t="s">
        <v>232</v>
      </c>
      <c r="AF19" s="205" t="s">
        <v>888</v>
      </c>
      <c r="AG19" s="205" t="s">
        <v>239</v>
      </c>
      <c r="AH19" s="205" t="s">
        <v>239</v>
      </c>
      <c r="AI19" s="205" t="s">
        <v>497</v>
      </c>
      <c r="AJ19" s="205" t="s">
        <v>368</v>
      </c>
      <c r="AK19" s="205" t="s">
        <v>889</v>
      </c>
      <c r="AL19" s="205" t="s">
        <v>239</v>
      </c>
      <c r="AM19" s="205" t="s">
        <v>239</v>
      </c>
      <c r="AN19" s="205" t="s">
        <v>239</v>
      </c>
      <c r="AO19" s="200" t="s">
        <v>239</v>
      </c>
      <c r="AP19" s="200" t="s">
        <v>239</v>
      </c>
      <c r="AQ19" s="200" t="s">
        <v>235</v>
      </c>
      <c r="AR19" s="200" t="s">
        <v>239</v>
      </c>
      <c r="AS19" s="200" t="s">
        <v>262</v>
      </c>
      <c r="AT19" s="200" t="s">
        <v>299</v>
      </c>
      <c r="AU19" s="200" t="s">
        <v>241</v>
      </c>
      <c r="AV19" s="205" t="s">
        <v>242</v>
      </c>
      <c r="AW19" s="205" t="s">
        <v>243</v>
      </c>
      <c r="AY19" s="200" t="s">
        <v>239</v>
      </c>
      <c r="AZ19" s="205" t="s">
        <v>890</v>
      </c>
      <c r="BA19" s="205" t="s">
        <v>890</v>
      </c>
      <c r="BB19" s="205" t="s">
        <v>244</v>
      </c>
      <c r="BC19" s="200" t="s">
        <v>256</v>
      </c>
      <c r="BD19" s="205" t="s">
        <v>239</v>
      </c>
      <c r="BE19" s="205" t="s">
        <v>446</v>
      </c>
      <c r="BF19" s="205" t="s">
        <v>457</v>
      </c>
      <c r="BH19" s="205" t="s">
        <v>456</v>
      </c>
      <c r="BI19" s="202">
        <v>18</v>
      </c>
      <c r="BJ19" s="201">
        <v>42287</v>
      </c>
      <c r="BK19" s="203" t="s">
        <v>245</v>
      </c>
      <c r="BL19" s="204">
        <v>147.57</v>
      </c>
      <c r="BM19" s="205">
        <v>41</v>
      </c>
    </row>
    <row r="20" spans="1:65" x14ac:dyDescent="0.25">
      <c r="A20" s="205" t="s">
        <v>609</v>
      </c>
      <c r="B20" s="205" t="s">
        <v>891</v>
      </c>
      <c r="C20" s="205" t="s">
        <v>892</v>
      </c>
      <c r="D20" s="205" t="s">
        <v>893</v>
      </c>
      <c r="E20" s="201">
        <v>42275</v>
      </c>
      <c r="F20" s="205" t="s">
        <v>403</v>
      </c>
      <c r="G20" s="205" t="s">
        <v>232</v>
      </c>
      <c r="H20" s="205" t="s">
        <v>894</v>
      </c>
      <c r="I20" s="205" t="s">
        <v>895</v>
      </c>
      <c r="J20" s="205" t="s">
        <v>896</v>
      </c>
      <c r="K20" s="205" t="s">
        <v>450</v>
      </c>
      <c r="L20" s="205" t="s">
        <v>451</v>
      </c>
      <c r="M20" s="205" t="s">
        <v>452</v>
      </c>
      <c r="Q20" s="205" t="s">
        <v>452</v>
      </c>
      <c r="R20" s="202">
        <v>19</v>
      </c>
      <c r="U20" s="205" t="s">
        <v>456</v>
      </c>
      <c r="W20" s="205" t="s">
        <v>234</v>
      </c>
      <c r="X20" s="205" t="s">
        <v>265</v>
      </c>
      <c r="Y20" s="200" t="s">
        <v>515</v>
      </c>
      <c r="Z20" s="205" t="s">
        <v>478</v>
      </c>
      <c r="AA20" s="200" t="s">
        <v>294</v>
      </c>
      <c r="AB20" s="205" t="s">
        <v>478</v>
      </c>
      <c r="AC20" s="200" t="s">
        <v>401</v>
      </c>
      <c r="AD20" s="205" t="s">
        <v>478</v>
      </c>
      <c r="AE20" s="205" t="s">
        <v>232</v>
      </c>
      <c r="AF20" s="205" t="s">
        <v>897</v>
      </c>
      <c r="AG20" s="205" t="s">
        <v>239</v>
      </c>
      <c r="AH20" s="205" t="s">
        <v>239</v>
      </c>
      <c r="AI20" s="205" t="s">
        <v>898</v>
      </c>
      <c r="AJ20" s="205" t="s">
        <v>899</v>
      </c>
      <c r="AK20" s="205" t="s">
        <v>239</v>
      </c>
      <c r="AL20" s="205" t="s">
        <v>239</v>
      </c>
      <c r="AM20" s="205" t="s">
        <v>239</v>
      </c>
      <c r="AN20" s="205" t="s">
        <v>239</v>
      </c>
      <c r="AO20" s="200" t="s">
        <v>239</v>
      </c>
      <c r="AP20" s="200" t="s">
        <v>239</v>
      </c>
      <c r="AQ20" s="200" t="s">
        <v>235</v>
      </c>
      <c r="AR20" s="200" t="s">
        <v>239</v>
      </c>
      <c r="AS20" s="200" t="s">
        <v>262</v>
      </c>
      <c r="AT20" s="200" t="s">
        <v>299</v>
      </c>
      <c r="AU20" s="200" t="s">
        <v>241</v>
      </c>
      <c r="AV20" s="205" t="s">
        <v>242</v>
      </c>
      <c r="AW20" s="205" t="s">
        <v>243</v>
      </c>
      <c r="AX20" s="200" t="s">
        <v>565</v>
      </c>
      <c r="AY20" s="200" t="s">
        <v>235</v>
      </c>
      <c r="AZ20" s="205" t="s">
        <v>900</v>
      </c>
      <c r="BA20" s="205" t="s">
        <v>244</v>
      </c>
      <c r="BB20" s="205" t="s">
        <v>244</v>
      </c>
      <c r="BD20" s="205" t="s">
        <v>239</v>
      </c>
      <c r="BE20" s="205" t="s">
        <v>446</v>
      </c>
      <c r="BF20" s="205" t="s">
        <v>457</v>
      </c>
      <c r="BH20" s="205" t="s">
        <v>456</v>
      </c>
      <c r="BI20" s="202">
        <v>19</v>
      </c>
      <c r="BJ20" s="201">
        <v>42285</v>
      </c>
      <c r="BK20" s="203" t="s">
        <v>301</v>
      </c>
      <c r="BM20" s="205">
        <v>41</v>
      </c>
    </row>
    <row r="21" spans="1:65" x14ac:dyDescent="0.25">
      <c r="A21" s="205" t="s">
        <v>901</v>
      </c>
      <c r="B21" s="205" t="s">
        <v>902</v>
      </c>
      <c r="C21" s="205" t="s">
        <v>903</v>
      </c>
      <c r="D21" s="205" t="s">
        <v>904</v>
      </c>
      <c r="E21" s="201">
        <v>42275</v>
      </c>
      <c r="F21" s="205" t="s">
        <v>905</v>
      </c>
      <c r="G21" s="205" t="s">
        <v>232</v>
      </c>
      <c r="H21" s="205" t="s">
        <v>906</v>
      </c>
      <c r="I21" s="205" t="s">
        <v>481</v>
      </c>
      <c r="J21" s="205" t="s">
        <v>907</v>
      </c>
      <c r="K21" s="205" t="s">
        <v>453</v>
      </c>
      <c r="L21" s="205" t="s">
        <v>461</v>
      </c>
      <c r="M21" s="205" t="s">
        <v>470</v>
      </c>
      <c r="Q21" s="205" t="s">
        <v>470</v>
      </c>
      <c r="R21" s="202">
        <v>20</v>
      </c>
      <c r="U21" s="205" t="s">
        <v>456</v>
      </c>
      <c r="W21" s="205" t="s">
        <v>234</v>
      </c>
      <c r="X21" s="205" t="s">
        <v>265</v>
      </c>
      <c r="Y21" s="200" t="s">
        <v>510</v>
      </c>
      <c r="Z21" s="205" t="s">
        <v>908</v>
      </c>
      <c r="AA21" s="200" t="s">
        <v>340</v>
      </c>
      <c r="AB21" s="205" t="s">
        <v>581</v>
      </c>
      <c r="AC21" s="200" t="s">
        <v>281</v>
      </c>
      <c r="AD21" s="205" t="s">
        <v>909</v>
      </c>
      <c r="AE21" s="205" t="s">
        <v>232</v>
      </c>
      <c r="AF21" s="205" t="s">
        <v>910</v>
      </c>
      <c r="AG21" s="205" t="s">
        <v>911</v>
      </c>
      <c r="AH21" s="205" t="s">
        <v>239</v>
      </c>
      <c r="AI21" s="205" t="s">
        <v>912</v>
      </c>
      <c r="AJ21" s="205" t="s">
        <v>913</v>
      </c>
      <c r="AK21" s="205" t="s">
        <v>239</v>
      </c>
      <c r="AL21" s="205" t="s">
        <v>239</v>
      </c>
      <c r="AM21" s="205" t="s">
        <v>239</v>
      </c>
      <c r="AN21" s="205" t="s">
        <v>239</v>
      </c>
      <c r="AO21" s="200" t="s">
        <v>235</v>
      </c>
      <c r="AP21" s="200" t="s">
        <v>235</v>
      </c>
      <c r="AQ21" s="200" t="s">
        <v>235</v>
      </c>
      <c r="AR21" s="200" t="s">
        <v>235</v>
      </c>
      <c r="AS21" s="200" t="s">
        <v>299</v>
      </c>
      <c r="AT21" s="200" t="s">
        <v>299</v>
      </c>
      <c r="AU21" s="200" t="s">
        <v>240</v>
      </c>
      <c r="AV21" s="205" t="s">
        <v>242</v>
      </c>
      <c r="AW21" s="205" t="s">
        <v>243</v>
      </c>
      <c r="AY21" s="200" t="s">
        <v>239</v>
      </c>
      <c r="AZ21" s="205" t="s">
        <v>914</v>
      </c>
      <c r="BA21" s="205" t="s">
        <v>244</v>
      </c>
      <c r="BB21" s="205" t="s">
        <v>244</v>
      </c>
      <c r="BD21" s="205" t="s">
        <v>239</v>
      </c>
      <c r="BE21" s="205" t="s">
        <v>446</v>
      </c>
      <c r="BF21" s="205" t="s">
        <v>457</v>
      </c>
      <c r="BH21" s="205" t="s">
        <v>456</v>
      </c>
      <c r="BI21" s="202">
        <v>20</v>
      </c>
      <c r="BJ21" s="201">
        <v>42287</v>
      </c>
      <c r="BK21" s="203" t="s">
        <v>301</v>
      </c>
      <c r="BM21" s="205">
        <v>41</v>
      </c>
    </row>
    <row r="22" spans="1:65" x14ac:dyDescent="0.25">
      <c r="A22" s="205" t="s">
        <v>901</v>
      </c>
      <c r="B22" s="205" t="s">
        <v>915</v>
      </c>
      <c r="C22" s="205" t="s">
        <v>916</v>
      </c>
      <c r="D22" s="205" t="s">
        <v>917</v>
      </c>
      <c r="E22" s="201">
        <v>42275</v>
      </c>
      <c r="F22" s="205" t="s">
        <v>566</v>
      </c>
      <c r="G22" s="205" t="s">
        <v>232</v>
      </c>
      <c r="H22" s="205" t="s">
        <v>918</v>
      </c>
      <c r="I22" s="205" t="s">
        <v>919</v>
      </c>
      <c r="K22" s="205" t="s">
        <v>464</v>
      </c>
      <c r="L22" s="205" t="s">
        <v>465</v>
      </c>
      <c r="M22" s="205" t="s">
        <v>466</v>
      </c>
      <c r="O22" s="200" t="s">
        <v>290</v>
      </c>
      <c r="P22" s="200" t="s">
        <v>920</v>
      </c>
      <c r="Q22" s="205" t="s">
        <v>466</v>
      </c>
      <c r="R22" s="202">
        <v>21</v>
      </c>
      <c r="U22" s="205" t="s">
        <v>456</v>
      </c>
      <c r="W22" s="205" t="s">
        <v>234</v>
      </c>
      <c r="X22" s="205" t="s">
        <v>235</v>
      </c>
      <c r="Y22" s="200" t="s">
        <v>515</v>
      </c>
      <c r="Z22" s="205" t="s">
        <v>921</v>
      </c>
      <c r="AA22" s="200" t="s">
        <v>287</v>
      </c>
      <c r="AB22" s="205" t="s">
        <v>922</v>
      </c>
      <c r="AC22" s="200" t="s">
        <v>287</v>
      </c>
      <c r="AD22" s="205" t="s">
        <v>922</v>
      </c>
      <c r="AE22" s="205" t="s">
        <v>232</v>
      </c>
      <c r="AF22" s="205" t="s">
        <v>923</v>
      </c>
      <c r="AG22" s="205" t="s">
        <v>239</v>
      </c>
      <c r="AH22" s="205" t="s">
        <v>239</v>
      </c>
      <c r="AI22" s="205" t="s">
        <v>924</v>
      </c>
      <c r="AJ22" s="205" t="s">
        <v>925</v>
      </c>
      <c r="AK22" s="205" t="s">
        <v>239</v>
      </c>
      <c r="AL22" s="205" t="s">
        <v>239</v>
      </c>
      <c r="AM22" s="205" t="s">
        <v>239</v>
      </c>
      <c r="AN22" s="205" t="s">
        <v>239</v>
      </c>
      <c r="AO22" s="200" t="s">
        <v>235</v>
      </c>
      <c r="AP22" s="200" t="s">
        <v>235</v>
      </c>
      <c r="AQ22" s="200" t="s">
        <v>235</v>
      </c>
      <c r="AR22" s="200" t="s">
        <v>239</v>
      </c>
      <c r="AS22" s="200" t="s">
        <v>299</v>
      </c>
      <c r="AT22" s="200" t="s">
        <v>299</v>
      </c>
      <c r="AU22" s="200" t="s">
        <v>241</v>
      </c>
      <c r="AV22" s="205" t="s">
        <v>242</v>
      </c>
      <c r="AW22" s="205" t="s">
        <v>243</v>
      </c>
      <c r="AY22" s="200" t="s">
        <v>239</v>
      </c>
      <c r="AZ22" s="205" t="s">
        <v>926</v>
      </c>
      <c r="BA22" s="205" t="s">
        <v>244</v>
      </c>
      <c r="BB22" s="205" t="s">
        <v>244</v>
      </c>
      <c r="BD22" s="205" t="s">
        <v>239</v>
      </c>
      <c r="BE22" s="205" t="s">
        <v>446</v>
      </c>
      <c r="BF22" s="205" t="s">
        <v>457</v>
      </c>
      <c r="BH22" s="205" t="s">
        <v>456</v>
      </c>
      <c r="BI22" s="202">
        <v>21</v>
      </c>
      <c r="BJ22" s="201">
        <v>42286</v>
      </c>
      <c r="BK22" s="203" t="s">
        <v>301</v>
      </c>
      <c r="BM22" s="205">
        <v>41</v>
      </c>
    </row>
    <row r="23" spans="1:65" x14ac:dyDescent="0.25">
      <c r="A23" s="205" t="s">
        <v>901</v>
      </c>
      <c r="B23" s="205" t="s">
        <v>927</v>
      </c>
      <c r="C23" s="205" t="s">
        <v>928</v>
      </c>
      <c r="D23" s="205" t="s">
        <v>929</v>
      </c>
      <c r="E23" s="201">
        <v>42275</v>
      </c>
      <c r="F23" s="205" t="s">
        <v>287</v>
      </c>
      <c r="G23" s="205" t="s">
        <v>232</v>
      </c>
      <c r="H23" s="205" t="s">
        <v>273</v>
      </c>
      <c r="I23" s="205" t="s">
        <v>930</v>
      </c>
      <c r="K23" s="205" t="s">
        <v>450</v>
      </c>
      <c r="L23" s="205" t="s">
        <v>451</v>
      </c>
      <c r="M23" s="205" t="s">
        <v>452</v>
      </c>
      <c r="O23" s="200" t="s">
        <v>267</v>
      </c>
      <c r="P23" s="200" t="s">
        <v>931</v>
      </c>
      <c r="Q23" s="205" t="s">
        <v>452</v>
      </c>
      <c r="R23" s="202">
        <v>22</v>
      </c>
      <c r="U23" s="205" t="s">
        <v>456</v>
      </c>
      <c r="W23" s="205" t="s">
        <v>234</v>
      </c>
      <c r="X23" s="205" t="s">
        <v>235</v>
      </c>
      <c r="Y23" s="200" t="s">
        <v>416</v>
      </c>
      <c r="Z23" s="205" t="s">
        <v>932</v>
      </c>
      <c r="AA23" s="200" t="s">
        <v>690</v>
      </c>
      <c r="AB23" s="205" t="s">
        <v>933</v>
      </c>
      <c r="AC23" s="200" t="s">
        <v>347</v>
      </c>
      <c r="AD23" s="205" t="s">
        <v>934</v>
      </c>
      <c r="AE23" s="205" t="s">
        <v>232</v>
      </c>
      <c r="AF23" s="205" t="s">
        <v>935</v>
      </c>
      <c r="AG23" s="205" t="s">
        <v>239</v>
      </c>
      <c r="AH23" s="205" t="s">
        <v>239</v>
      </c>
      <c r="AI23" s="205" t="s">
        <v>613</v>
      </c>
      <c r="AJ23" s="205" t="s">
        <v>936</v>
      </c>
      <c r="AK23" s="205" t="s">
        <v>239</v>
      </c>
      <c r="AL23" s="205" t="s">
        <v>239</v>
      </c>
      <c r="AM23" s="205" t="s">
        <v>239</v>
      </c>
      <c r="AN23" s="205" t="s">
        <v>239</v>
      </c>
      <c r="AO23" s="200" t="s">
        <v>235</v>
      </c>
      <c r="AP23" s="200" t="s">
        <v>235</v>
      </c>
      <c r="AQ23" s="200" t="s">
        <v>235</v>
      </c>
      <c r="AR23" s="200" t="s">
        <v>235</v>
      </c>
      <c r="AS23" s="200" t="s">
        <v>299</v>
      </c>
      <c r="AT23" s="200" t="s">
        <v>299</v>
      </c>
      <c r="AU23" s="200" t="s">
        <v>299</v>
      </c>
      <c r="AV23" s="205" t="s">
        <v>242</v>
      </c>
      <c r="AW23" s="205" t="s">
        <v>243</v>
      </c>
      <c r="AY23" s="200" t="s">
        <v>239</v>
      </c>
      <c r="AZ23" s="205" t="s">
        <v>244</v>
      </c>
      <c r="BA23" s="205" t="s">
        <v>244</v>
      </c>
      <c r="BB23" s="205" t="s">
        <v>244</v>
      </c>
      <c r="BD23" s="205" t="s">
        <v>239</v>
      </c>
      <c r="BE23" s="205" t="s">
        <v>446</v>
      </c>
      <c r="BF23" s="205" t="s">
        <v>457</v>
      </c>
      <c r="BH23" s="205" t="s">
        <v>456</v>
      </c>
      <c r="BI23" s="202">
        <v>22</v>
      </c>
      <c r="BJ23" s="201">
        <v>42285</v>
      </c>
      <c r="BK23" s="203" t="s">
        <v>301</v>
      </c>
      <c r="BM23" s="205">
        <v>41</v>
      </c>
    </row>
    <row r="24" spans="1:65" x14ac:dyDescent="0.25">
      <c r="A24" s="205" t="s">
        <v>901</v>
      </c>
      <c r="B24" s="205" t="s">
        <v>937</v>
      </c>
      <c r="C24" s="205" t="s">
        <v>938</v>
      </c>
      <c r="D24" s="205" t="s">
        <v>939</v>
      </c>
      <c r="E24" s="201">
        <v>42275</v>
      </c>
      <c r="F24" s="205" t="s">
        <v>940</v>
      </c>
      <c r="G24" s="205" t="s">
        <v>232</v>
      </c>
      <c r="H24" s="205" t="s">
        <v>941</v>
      </c>
      <c r="I24" s="205" t="s">
        <v>942</v>
      </c>
      <c r="J24" s="205" t="s">
        <v>943</v>
      </c>
      <c r="K24" s="205" t="s">
        <v>442</v>
      </c>
      <c r="L24" s="205" t="s">
        <v>443</v>
      </c>
      <c r="M24" s="205" t="s">
        <v>444</v>
      </c>
      <c r="O24" s="200" t="s">
        <v>389</v>
      </c>
      <c r="P24" s="200" t="s">
        <v>944</v>
      </c>
      <c r="Q24" s="205" t="s">
        <v>444</v>
      </c>
      <c r="R24" s="202">
        <v>23</v>
      </c>
      <c r="U24" s="205" t="s">
        <v>456</v>
      </c>
      <c r="W24" s="205" t="s">
        <v>234</v>
      </c>
      <c r="X24" s="205" t="s">
        <v>291</v>
      </c>
      <c r="Y24" s="200" t="s">
        <v>281</v>
      </c>
      <c r="Z24" s="205" t="s">
        <v>945</v>
      </c>
      <c r="AA24" s="200" t="s">
        <v>402</v>
      </c>
      <c r="AB24" s="205" t="s">
        <v>612</v>
      </c>
      <c r="AC24" s="200" t="s">
        <v>648</v>
      </c>
      <c r="AD24" s="205" t="s">
        <v>946</v>
      </c>
      <c r="AE24" s="205" t="s">
        <v>232</v>
      </c>
      <c r="AF24" s="205" t="s">
        <v>947</v>
      </c>
      <c r="AG24" s="205" t="s">
        <v>239</v>
      </c>
      <c r="AH24" s="205" t="s">
        <v>239</v>
      </c>
      <c r="AI24" s="205" t="s">
        <v>491</v>
      </c>
      <c r="AJ24" s="205" t="s">
        <v>899</v>
      </c>
      <c r="AK24" s="205" t="s">
        <v>899</v>
      </c>
      <c r="AL24" s="205" t="s">
        <v>239</v>
      </c>
      <c r="AM24" s="205" t="s">
        <v>239</v>
      </c>
      <c r="AN24" s="205" t="s">
        <v>239</v>
      </c>
      <c r="AO24" s="200" t="s">
        <v>239</v>
      </c>
      <c r="AP24" s="200" t="s">
        <v>239</v>
      </c>
      <c r="AQ24" s="200" t="s">
        <v>235</v>
      </c>
      <c r="AR24" s="200" t="s">
        <v>239</v>
      </c>
      <c r="AS24" s="200" t="s">
        <v>262</v>
      </c>
      <c r="AT24" s="200" t="s">
        <v>299</v>
      </c>
      <c r="AU24" s="200" t="s">
        <v>241</v>
      </c>
      <c r="AV24" s="205" t="s">
        <v>242</v>
      </c>
      <c r="AW24" s="205" t="s">
        <v>243</v>
      </c>
      <c r="AY24" s="200" t="s">
        <v>239</v>
      </c>
      <c r="AZ24" s="205" t="s">
        <v>948</v>
      </c>
      <c r="BA24" s="205" t="s">
        <v>244</v>
      </c>
      <c r="BB24" s="205" t="s">
        <v>244</v>
      </c>
      <c r="BD24" s="205" t="s">
        <v>239</v>
      </c>
      <c r="BE24" s="205" t="s">
        <v>446</v>
      </c>
      <c r="BF24" s="205" t="s">
        <v>457</v>
      </c>
      <c r="BH24" s="205" t="s">
        <v>456</v>
      </c>
      <c r="BI24" s="202">
        <v>23</v>
      </c>
      <c r="BJ24" s="201">
        <v>42281</v>
      </c>
      <c r="BK24" s="203" t="s">
        <v>245</v>
      </c>
      <c r="BL24" s="204">
        <v>178.62</v>
      </c>
      <c r="BM24" s="205">
        <v>40</v>
      </c>
    </row>
    <row r="25" spans="1:65" x14ac:dyDescent="0.25">
      <c r="A25" s="205" t="s">
        <v>901</v>
      </c>
      <c r="B25" s="205" t="s">
        <v>949</v>
      </c>
      <c r="C25" s="205" t="s">
        <v>950</v>
      </c>
      <c r="D25" s="205" t="s">
        <v>951</v>
      </c>
      <c r="E25" s="201">
        <v>42275</v>
      </c>
      <c r="F25" s="205" t="s">
        <v>359</v>
      </c>
      <c r="G25" s="205" t="s">
        <v>232</v>
      </c>
      <c r="H25" s="205" t="s">
        <v>952</v>
      </c>
      <c r="I25" s="205" t="s">
        <v>953</v>
      </c>
      <c r="J25" s="205" t="s">
        <v>954</v>
      </c>
      <c r="K25" s="205" t="s">
        <v>450</v>
      </c>
      <c r="L25" s="205" t="s">
        <v>451</v>
      </c>
      <c r="M25" s="205" t="s">
        <v>452</v>
      </c>
      <c r="O25" s="200" t="s">
        <v>290</v>
      </c>
      <c r="P25" s="200" t="s">
        <v>955</v>
      </c>
      <c r="Q25" s="205" t="s">
        <v>452</v>
      </c>
      <c r="R25" s="202">
        <v>24</v>
      </c>
      <c r="U25" s="205" t="s">
        <v>456</v>
      </c>
      <c r="W25" s="205" t="s">
        <v>234</v>
      </c>
      <c r="X25" s="205" t="s">
        <v>291</v>
      </c>
      <c r="Y25" s="200" t="s">
        <v>505</v>
      </c>
      <c r="Z25" s="205" t="s">
        <v>293</v>
      </c>
      <c r="AA25" s="200" t="s">
        <v>337</v>
      </c>
      <c r="AB25" s="205" t="s">
        <v>956</v>
      </c>
      <c r="AD25" s="205" t="s">
        <v>238</v>
      </c>
      <c r="AE25" s="205" t="s">
        <v>232</v>
      </c>
      <c r="AF25" s="205" t="s">
        <v>957</v>
      </c>
      <c r="AG25" s="205" t="s">
        <v>239</v>
      </c>
      <c r="AH25" s="205" t="s">
        <v>239</v>
      </c>
      <c r="AI25" s="205" t="s">
        <v>958</v>
      </c>
      <c r="AJ25" s="205" t="s">
        <v>959</v>
      </c>
      <c r="AK25" s="205" t="s">
        <v>960</v>
      </c>
      <c r="AL25" s="205" t="s">
        <v>239</v>
      </c>
      <c r="AM25" s="205" t="s">
        <v>239</v>
      </c>
      <c r="AN25" s="205" t="s">
        <v>239</v>
      </c>
      <c r="AO25" s="200" t="s">
        <v>235</v>
      </c>
      <c r="AP25" s="200" t="s">
        <v>235</v>
      </c>
      <c r="AQ25" s="200" t="s">
        <v>235</v>
      </c>
      <c r="AR25" s="200" t="s">
        <v>235</v>
      </c>
      <c r="AS25" s="200" t="s">
        <v>299</v>
      </c>
      <c r="AT25" s="200" t="s">
        <v>299</v>
      </c>
      <c r="AU25" s="200" t="s">
        <v>240</v>
      </c>
      <c r="AV25" s="205" t="s">
        <v>242</v>
      </c>
      <c r="AW25" s="205" t="s">
        <v>243</v>
      </c>
      <c r="AY25" s="200" t="s">
        <v>239</v>
      </c>
      <c r="AZ25" s="205" t="s">
        <v>961</v>
      </c>
      <c r="BA25" s="205" t="s">
        <v>244</v>
      </c>
      <c r="BB25" s="205" t="s">
        <v>244</v>
      </c>
      <c r="BD25" s="205" t="s">
        <v>239</v>
      </c>
      <c r="BE25" s="205" t="s">
        <v>446</v>
      </c>
      <c r="BF25" s="205" t="s">
        <v>457</v>
      </c>
      <c r="BH25" s="205" t="s">
        <v>456</v>
      </c>
      <c r="BI25" s="202">
        <v>24</v>
      </c>
      <c r="BJ25" s="201">
        <v>42286</v>
      </c>
      <c r="BK25" s="203" t="s">
        <v>301</v>
      </c>
      <c r="BM25" s="205">
        <v>41</v>
      </c>
    </row>
    <row r="26" spans="1:65" x14ac:dyDescent="0.25">
      <c r="A26" s="205" t="s">
        <v>901</v>
      </c>
      <c r="B26" s="205" t="s">
        <v>962</v>
      </c>
      <c r="C26" s="205" t="s">
        <v>963</v>
      </c>
      <c r="D26" s="205" t="s">
        <v>964</v>
      </c>
      <c r="E26" s="201">
        <v>42275</v>
      </c>
      <c r="F26" s="205" t="s">
        <v>318</v>
      </c>
      <c r="G26" s="205" t="s">
        <v>232</v>
      </c>
      <c r="H26" s="205" t="s">
        <v>965</v>
      </c>
      <c r="I26" s="205" t="s">
        <v>966</v>
      </c>
      <c r="K26" s="205" t="s">
        <v>453</v>
      </c>
      <c r="L26" s="205" t="s">
        <v>461</v>
      </c>
      <c r="M26" s="205" t="s">
        <v>470</v>
      </c>
      <c r="O26" s="200" t="s">
        <v>303</v>
      </c>
      <c r="P26" s="200" t="s">
        <v>967</v>
      </c>
      <c r="Q26" s="205" t="s">
        <v>470</v>
      </c>
      <c r="R26" s="202">
        <v>25</v>
      </c>
      <c r="U26" s="205" t="s">
        <v>456</v>
      </c>
      <c r="W26" s="205" t="s">
        <v>234</v>
      </c>
      <c r="X26" s="205" t="s">
        <v>235</v>
      </c>
      <c r="Y26" s="200" t="s">
        <v>339</v>
      </c>
      <c r="Z26" s="205" t="s">
        <v>968</v>
      </c>
      <c r="AA26" s="200" t="s">
        <v>397</v>
      </c>
      <c r="AB26" s="205" t="s">
        <v>260</v>
      </c>
      <c r="AC26" s="200" t="s">
        <v>297</v>
      </c>
      <c r="AD26" s="205" t="s">
        <v>969</v>
      </c>
      <c r="AE26" s="205" t="s">
        <v>232</v>
      </c>
      <c r="AF26" s="205" t="s">
        <v>970</v>
      </c>
      <c r="AG26" s="205" t="s">
        <v>239</v>
      </c>
      <c r="AH26" s="205" t="s">
        <v>239</v>
      </c>
      <c r="AI26" s="205" t="s">
        <v>971</v>
      </c>
      <c r="AJ26" s="205" t="s">
        <v>972</v>
      </c>
      <c r="AK26" s="205" t="s">
        <v>239</v>
      </c>
      <c r="AL26" s="205" t="s">
        <v>239</v>
      </c>
      <c r="AM26" s="205" t="s">
        <v>239</v>
      </c>
      <c r="AN26" s="205" t="s">
        <v>239</v>
      </c>
      <c r="AO26" s="200" t="s">
        <v>235</v>
      </c>
      <c r="AP26" s="200" t="s">
        <v>235</v>
      </c>
      <c r="AQ26" s="200" t="s">
        <v>235</v>
      </c>
      <c r="AR26" s="200" t="s">
        <v>239</v>
      </c>
      <c r="AS26" s="200" t="s">
        <v>299</v>
      </c>
      <c r="AT26" s="200" t="s">
        <v>299</v>
      </c>
      <c r="AU26" s="200" t="s">
        <v>241</v>
      </c>
      <c r="AV26" s="205" t="s">
        <v>242</v>
      </c>
      <c r="AW26" s="205" t="s">
        <v>243</v>
      </c>
      <c r="AY26" s="200" t="s">
        <v>239</v>
      </c>
      <c r="AZ26" s="205" t="s">
        <v>973</v>
      </c>
      <c r="BA26" s="205" t="s">
        <v>244</v>
      </c>
      <c r="BB26" s="205" t="s">
        <v>244</v>
      </c>
      <c r="BD26" s="205" t="s">
        <v>239</v>
      </c>
      <c r="BE26" s="205" t="s">
        <v>446</v>
      </c>
      <c r="BF26" s="205" t="s">
        <v>457</v>
      </c>
      <c r="BH26" s="205" t="s">
        <v>456</v>
      </c>
      <c r="BI26" s="202">
        <v>25</v>
      </c>
      <c r="BJ26" s="201">
        <v>42287</v>
      </c>
      <c r="BK26" s="203" t="s">
        <v>301</v>
      </c>
      <c r="BM26" s="205">
        <v>41</v>
      </c>
    </row>
    <row r="27" spans="1:65" x14ac:dyDescent="0.25">
      <c r="A27" s="205" t="s">
        <v>901</v>
      </c>
      <c r="B27" s="205" t="s">
        <v>974</v>
      </c>
      <c r="C27" s="205" t="s">
        <v>975</v>
      </c>
      <c r="D27" s="205" t="s">
        <v>976</v>
      </c>
      <c r="E27" s="201">
        <v>42275</v>
      </c>
      <c r="F27" s="205" t="s">
        <v>977</v>
      </c>
      <c r="G27" s="205" t="s">
        <v>232</v>
      </c>
      <c r="H27" s="205" t="s">
        <v>978</v>
      </c>
      <c r="I27" s="205" t="s">
        <v>979</v>
      </c>
      <c r="K27" s="205" t="s">
        <v>453</v>
      </c>
      <c r="L27" s="205" t="s">
        <v>454</v>
      </c>
      <c r="M27" s="205" t="s">
        <v>462</v>
      </c>
      <c r="Q27" s="205" t="s">
        <v>462</v>
      </c>
      <c r="R27" s="202">
        <v>26</v>
      </c>
      <c r="U27" s="205" t="s">
        <v>456</v>
      </c>
      <c r="W27" s="205" t="s">
        <v>234</v>
      </c>
      <c r="X27" s="205" t="s">
        <v>332</v>
      </c>
      <c r="Y27" s="200" t="s">
        <v>516</v>
      </c>
      <c r="Z27" s="205" t="s">
        <v>980</v>
      </c>
      <c r="AA27" s="200" t="s">
        <v>279</v>
      </c>
      <c r="AB27" s="205" t="s">
        <v>981</v>
      </c>
      <c r="AC27" s="200" t="s">
        <v>372</v>
      </c>
      <c r="AD27" s="205" t="s">
        <v>982</v>
      </c>
      <c r="AE27" s="205" t="s">
        <v>232</v>
      </c>
      <c r="AF27" s="205" t="s">
        <v>983</v>
      </c>
      <c r="AG27" s="205" t="s">
        <v>239</v>
      </c>
      <c r="AH27" s="205" t="s">
        <v>239</v>
      </c>
      <c r="AI27" s="205" t="s">
        <v>984</v>
      </c>
      <c r="AJ27" s="205" t="s">
        <v>984</v>
      </c>
      <c r="AK27" s="205" t="s">
        <v>985</v>
      </c>
      <c r="AL27" s="205" t="s">
        <v>239</v>
      </c>
      <c r="AM27" s="205" t="s">
        <v>239</v>
      </c>
      <c r="AN27" s="205" t="s">
        <v>239</v>
      </c>
      <c r="AO27" s="200" t="s">
        <v>235</v>
      </c>
      <c r="AP27" s="200" t="s">
        <v>239</v>
      </c>
      <c r="AQ27" s="200" t="s">
        <v>239</v>
      </c>
      <c r="AR27" s="200" t="s">
        <v>239</v>
      </c>
      <c r="AS27" s="200" t="s">
        <v>299</v>
      </c>
      <c r="AT27" s="200" t="s">
        <v>241</v>
      </c>
      <c r="AU27" s="200" t="s">
        <v>241</v>
      </c>
      <c r="AV27" s="205" t="s">
        <v>242</v>
      </c>
      <c r="AW27" s="205" t="s">
        <v>243</v>
      </c>
      <c r="AY27" s="200" t="s">
        <v>239</v>
      </c>
      <c r="AZ27" s="205" t="s">
        <v>986</v>
      </c>
      <c r="BA27" s="205" t="s">
        <v>244</v>
      </c>
      <c r="BB27" s="205" t="s">
        <v>244</v>
      </c>
      <c r="BD27" s="205" t="s">
        <v>239</v>
      </c>
      <c r="BE27" s="205" t="s">
        <v>446</v>
      </c>
      <c r="BF27" s="205" t="s">
        <v>457</v>
      </c>
      <c r="BH27" s="205" t="s">
        <v>456</v>
      </c>
      <c r="BI27" s="202">
        <v>26</v>
      </c>
      <c r="BJ27" s="201">
        <v>42287</v>
      </c>
      <c r="BK27" s="203" t="s">
        <v>301</v>
      </c>
      <c r="BM27" s="205">
        <v>41</v>
      </c>
    </row>
    <row r="28" spans="1:65" x14ac:dyDescent="0.25">
      <c r="A28" s="205" t="s">
        <v>901</v>
      </c>
      <c r="B28" s="205" t="s">
        <v>987</v>
      </c>
      <c r="C28" s="205" t="s">
        <v>988</v>
      </c>
      <c r="D28" s="205" t="s">
        <v>989</v>
      </c>
      <c r="E28" s="201">
        <v>42275</v>
      </c>
      <c r="F28" s="205" t="s">
        <v>990</v>
      </c>
      <c r="G28" s="205" t="s">
        <v>232</v>
      </c>
      <c r="H28" s="205" t="s">
        <v>991</v>
      </c>
      <c r="I28" s="205" t="s">
        <v>992</v>
      </c>
      <c r="J28" s="205" t="s">
        <v>386</v>
      </c>
      <c r="K28" s="205" t="s">
        <v>453</v>
      </c>
      <c r="L28" s="205" t="s">
        <v>448</v>
      </c>
      <c r="M28" s="205" t="s">
        <v>455</v>
      </c>
      <c r="O28" s="200" t="s">
        <v>246</v>
      </c>
      <c r="P28" s="200" t="s">
        <v>993</v>
      </c>
      <c r="Q28" s="205" t="s">
        <v>455</v>
      </c>
      <c r="R28" s="202">
        <v>27</v>
      </c>
      <c r="U28" s="205" t="s">
        <v>456</v>
      </c>
      <c r="W28" s="205" t="s">
        <v>234</v>
      </c>
      <c r="X28" s="205" t="s">
        <v>332</v>
      </c>
      <c r="Y28" s="200" t="s">
        <v>417</v>
      </c>
      <c r="Z28" s="205" t="s">
        <v>994</v>
      </c>
      <c r="AA28" s="200" t="s">
        <v>297</v>
      </c>
      <c r="AB28" s="205" t="s">
        <v>260</v>
      </c>
      <c r="AC28" s="200" t="s">
        <v>380</v>
      </c>
      <c r="AD28" s="205" t="s">
        <v>642</v>
      </c>
      <c r="AE28" s="205" t="s">
        <v>232</v>
      </c>
      <c r="AF28" s="205" t="s">
        <v>995</v>
      </c>
      <c r="AG28" s="205" t="s">
        <v>239</v>
      </c>
      <c r="AH28" s="205" t="s">
        <v>239</v>
      </c>
      <c r="AI28" s="205" t="s">
        <v>996</v>
      </c>
      <c r="AJ28" s="205" t="s">
        <v>474</v>
      </c>
      <c r="AK28" s="205" t="s">
        <v>997</v>
      </c>
      <c r="AL28" s="205" t="s">
        <v>239</v>
      </c>
      <c r="AM28" s="205" t="s">
        <v>239</v>
      </c>
      <c r="AN28" s="205" t="s">
        <v>239</v>
      </c>
      <c r="AO28" s="200" t="s">
        <v>235</v>
      </c>
      <c r="AP28" s="200" t="s">
        <v>235</v>
      </c>
      <c r="AQ28" s="200" t="s">
        <v>235</v>
      </c>
      <c r="AR28" s="200" t="s">
        <v>235</v>
      </c>
      <c r="AS28" s="200" t="s">
        <v>299</v>
      </c>
      <c r="AT28" s="200" t="s">
        <v>299</v>
      </c>
      <c r="AU28" s="200" t="s">
        <v>299</v>
      </c>
      <c r="AV28" s="205" t="s">
        <v>242</v>
      </c>
      <c r="AW28" s="205" t="s">
        <v>243</v>
      </c>
      <c r="AY28" s="200" t="s">
        <v>239</v>
      </c>
      <c r="AZ28" s="205" t="s">
        <v>998</v>
      </c>
      <c r="BA28" s="205" t="s">
        <v>244</v>
      </c>
      <c r="BB28" s="205" t="s">
        <v>244</v>
      </c>
      <c r="BD28" s="205" t="s">
        <v>239</v>
      </c>
      <c r="BE28" s="205" t="s">
        <v>446</v>
      </c>
      <c r="BF28" s="205" t="s">
        <v>457</v>
      </c>
      <c r="BH28" s="205" t="s">
        <v>456</v>
      </c>
      <c r="BI28" s="202">
        <v>27</v>
      </c>
      <c r="BJ28" s="201">
        <v>42287</v>
      </c>
      <c r="BK28" s="203" t="s">
        <v>301</v>
      </c>
      <c r="BM28" s="205">
        <v>41</v>
      </c>
    </row>
    <row r="29" spans="1:65" x14ac:dyDescent="0.25">
      <c r="A29" s="205" t="s">
        <v>901</v>
      </c>
      <c r="B29" s="205" t="s">
        <v>999</v>
      </c>
      <c r="C29" s="205" t="s">
        <v>1000</v>
      </c>
      <c r="D29" s="205" t="s">
        <v>1001</v>
      </c>
      <c r="E29" s="201">
        <v>42275</v>
      </c>
      <c r="F29" s="205" t="s">
        <v>1002</v>
      </c>
      <c r="G29" s="205" t="s">
        <v>232</v>
      </c>
      <c r="H29" s="205" t="s">
        <v>1003</v>
      </c>
      <c r="I29" s="205" t="s">
        <v>1004</v>
      </c>
      <c r="J29" s="205" t="s">
        <v>365</v>
      </c>
      <c r="K29" s="205" t="s">
        <v>450</v>
      </c>
      <c r="L29" s="205" t="s">
        <v>451</v>
      </c>
      <c r="M29" s="205" t="s">
        <v>452</v>
      </c>
      <c r="O29" s="200" t="s">
        <v>388</v>
      </c>
      <c r="P29" s="200" t="s">
        <v>1005</v>
      </c>
      <c r="Q29" s="205" t="s">
        <v>452</v>
      </c>
      <c r="R29" s="202">
        <v>28</v>
      </c>
      <c r="U29" s="205" t="s">
        <v>456</v>
      </c>
      <c r="W29" s="205" t="s">
        <v>234</v>
      </c>
      <c r="X29" s="205" t="s">
        <v>235</v>
      </c>
      <c r="Y29" s="200" t="s">
        <v>425</v>
      </c>
      <c r="Z29" s="205" t="s">
        <v>260</v>
      </c>
      <c r="AA29" s="200" t="s">
        <v>329</v>
      </c>
      <c r="AB29" s="205" t="s">
        <v>352</v>
      </c>
      <c r="AC29" s="200" t="s">
        <v>307</v>
      </c>
      <c r="AD29" s="205" t="s">
        <v>352</v>
      </c>
      <c r="AE29" s="205" t="s">
        <v>232</v>
      </c>
      <c r="AF29" s="205" t="s">
        <v>1006</v>
      </c>
      <c r="AG29" s="205" t="s">
        <v>239</v>
      </c>
      <c r="AH29" s="205" t="s">
        <v>239</v>
      </c>
      <c r="AI29" s="205" t="s">
        <v>1007</v>
      </c>
      <c r="AJ29" s="205" t="s">
        <v>1008</v>
      </c>
      <c r="AK29" s="205" t="s">
        <v>239</v>
      </c>
      <c r="AL29" s="205" t="s">
        <v>239</v>
      </c>
      <c r="AM29" s="205" t="s">
        <v>239</v>
      </c>
      <c r="AN29" s="205" t="s">
        <v>239</v>
      </c>
      <c r="AO29" s="200" t="s">
        <v>235</v>
      </c>
      <c r="AP29" s="200" t="s">
        <v>235</v>
      </c>
      <c r="AQ29" s="200" t="s">
        <v>239</v>
      </c>
      <c r="AR29" s="200" t="s">
        <v>239</v>
      </c>
      <c r="AS29" s="200" t="s">
        <v>299</v>
      </c>
      <c r="AT29" s="200" t="s">
        <v>241</v>
      </c>
      <c r="AU29" s="200" t="s">
        <v>241</v>
      </c>
      <c r="AV29" s="205" t="s">
        <v>242</v>
      </c>
      <c r="AW29" s="205" t="s">
        <v>243</v>
      </c>
      <c r="AY29" s="200" t="s">
        <v>239</v>
      </c>
      <c r="AZ29" s="205" t="s">
        <v>1009</v>
      </c>
      <c r="BA29" s="205" t="s">
        <v>1010</v>
      </c>
      <c r="BB29" s="205" t="s">
        <v>244</v>
      </c>
      <c r="BD29" s="205" t="s">
        <v>239</v>
      </c>
      <c r="BE29" s="205" t="s">
        <v>446</v>
      </c>
      <c r="BF29" s="205" t="s">
        <v>457</v>
      </c>
      <c r="BH29" s="205" t="s">
        <v>456</v>
      </c>
      <c r="BI29" s="202">
        <v>28</v>
      </c>
      <c r="BJ29" s="201">
        <v>42289</v>
      </c>
      <c r="BK29" s="203" t="s">
        <v>301</v>
      </c>
      <c r="BM29" s="205">
        <v>42</v>
      </c>
    </row>
    <row r="30" spans="1:65" x14ac:dyDescent="0.25">
      <c r="A30" s="205" t="s">
        <v>901</v>
      </c>
      <c r="B30" s="205" t="s">
        <v>1011</v>
      </c>
      <c r="C30" s="205" t="s">
        <v>1012</v>
      </c>
      <c r="D30" s="205" t="s">
        <v>1013</v>
      </c>
      <c r="E30" s="201">
        <v>42275</v>
      </c>
      <c r="F30" s="205" t="s">
        <v>266</v>
      </c>
      <c r="G30" s="205" t="s">
        <v>232</v>
      </c>
      <c r="H30" s="205" t="s">
        <v>1014</v>
      </c>
      <c r="I30" s="205" t="s">
        <v>1015</v>
      </c>
      <c r="K30" s="205" t="s">
        <v>453</v>
      </c>
      <c r="L30" s="205" t="s">
        <v>454</v>
      </c>
      <c r="M30" s="205" t="s">
        <v>462</v>
      </c>
      <c r="O30" s="200" t="s">
        <v>288</v>
      </c>
      <c r="P30" s="200" t="s">
        <v>1016</v>
      </c>
      <c r="Q30" s="205" t="s">
        <v>462</v>
      </c>
      <c r="R30" s="202">
        <v>29</v>
      </c>
      <c r="U30" s="205" t="s">
        <v>456</v>
      </c>
      <c r="W30" s="205" t="s">
        <v>234</v>
      </c>
      <c r="X30" s="205" t="s">
        <v>335</v>
      </c>
      <c r="Z30" s="205" t="s">
        <v>238</v>
      </c>
      <c r="AB30" s="205" t="s">
        <v>238</v>
      </c>
      <c r="AD30" s="205" t="s">
        <v>238</v>
      </c>
      <c r="AE30" s="205" t="s">
        <v>232</v>
      </c>
      <c r="AF30" s="205" t="s">
        <v>1017</v>
      </c>
      <c r="AG30" s="205" t="s">
        <v>239</v>
      </c>
      <c r="AH30" s="205" t="s">
        <v>239</v>
      </c>
      <c r="AI30" s="205" t="s">
        <v>1018</v>
      </c>
      <c r="AJ30" s="205" t="s">
        <v>1019</v>
      </c>
      <c r="AK30" s="205" t="s">
        <v>1020</v>
      </c>
      <c r="AL30" s="205" t="s">
        <v>239</v>
      </c>
      <c r="AM30" s="205" t="s">
        <v>239</v>
      </c>
      <c r="AN30" s="205" t="s">
        <v>239</v>
      </c>
      <c r="AO30" s="200" t="s">
        <v>235</v>
      </c>
      <c r="AP30" s="200" t="s">
        <v>235</v>
      </c>
      <c r="AQ30" s="200" t="s">
        <v>235</v>
      </c>
      <c r="AR30" s="200" t="s">
        <v>239</v>
      </c>
      <c r="AS30" s="200" t="s">
        <v>299</v>
      </c>
      <c r="AT30" s="200" t="s">
        <v>299</v>
      </c>
      <c r="AU30" s="200" t="s">
        <v>241</v>
      </c>
      <c r="AV30" s="205" t="s">
        <v>242</v>
      </c>
      <c r="AW30" s="205" t="s">
        <v>243</v>
      </c>
      <c r="AY30" s="200" t="s">
        <v>239</v>
      </c>
      <c r="AZ30" s="205" t="s">
        <v>1021</v>
      </c>
      <c r="BA30" s="205" t="s">
        <v>244</v>
      </c>
      <c r="BB30" s="205" t="s">
        <v>1021</v>
      </c>
      <c r="BD30" s="205" t="s">
        <v>239</v>
      </c>
      <c r="BE30" s="205" t="s">
        <v>446</v>
      </c>
      <c r="BF30" s="205" t="s">
        <v>457</v>
      </c>
      <c r="BH30" s="205" t="s">
        <v>456</v>
      </c>
      <c r="BI30" s="202">
        <v>29</v>
      </c>
      <c r="BJ30" s="201">
        <v>42287</v>
      </c>
      <c r="BK30" s="203" t="s">
        <v>301</v>
      </c>
      <c r="BM30" s="205">
        <v>41</v>
      </c>
    </row>
    <row r="31" spans="1:65" x14ac:dyDescent="0.25">
      <c r="A31" s="205" t="s">
        <v>901</v>
      </c>
      <c r="B31" s="205" t="s">
        <v>1022</v>
      </c>
      <c r="C31" s="205" t="s">
        <v>1023</v>
      </c>
      <c r="D31" s="205" t="s">
        <v>1024</v>
      </c>
      <c r="E31" s="201">
        <v>42275</v>
      </c>
      <c r="F31" s="205" t="s">
        <v>1025</v>
      </c>
      <c r="G31" s="205" t="s">
        <v>232</v>
      </c>
      <c r="H31" s="205" t="s">
        <v>1026</v>
      </c>
      <c r="I31" s="205" t="s">
        <v>1027</v>
      </c>
      <c r="J31" s="205" t="s">
        <v>423</v>
      </c>
      <c r="K31" s="205" t="s">
        <v>450</v>
      </c>
      <c r="L31" s="205" t="s">
        <v>451</v>
      </c>
      <c r="M31" s="205" t="s">
        <v>452</v>
      </c>
      <c r="O31" s="200" t="s">
        <v>290</v>
      </c>
      <c r="P31" s="200" t="s">
        <v>1028</v>
      </c>
      <c r="Q31" s="205" t="s">
        <v>452</v>
      </c>
      <c r="R31" s="202">
        <v>30</v>
      </c>
      <c r="U31" s="205" t="s">
        <v>456</v>
      </c>
      <c r="W31" s="205" t="s">
        <v>234</v>
      </c>
      <c r="X31" s="205" t="s">
        <v>291</v>
      </c>
      <c r="Y31" s="200" t="s">
        <v>416</v>
      </c>
      <c r="Z31" s="205" t="s">
        <v>1029</v>
      </c>
      <c r="AA31" s="200" t="s">
        <v>317</v>
      </c>
      <c r="AB31" s="205" t="s">
        <v>1030</v>
      </c>
      <c r="AC31" s="200" t="s">
        <v>263</v>
      </c>
      <c r="AD31" s="205" t="s">
        <v>1031</v>
      </c>
      <c r="AE31" s="205" t="s">
        <v>232</v>
      </c>
      <c r="AF31" s="205" t="s">
        <v>1032</v>
      </c>
      <c r="AG31" s="205" t="s">
        <v>239</v>
      </c>
      <c r="AH31" s="205" t="s">
        <v>239</v>
      </c>
      <c r="AI31" s="205" t="s">
        <v>1033</v>
      </c>
      <c r="AJ31" s="205" t="s">
        <v>1034</v>
      </c>
      <c r="AK31" s="205" t="s">
        <v>1035</v>
      </c>
      <c r="AL31" s="205" t="s">
        <v>239</v>
      </c>
      <c r="AM31" s="205" t="s">
        <v>239</v>
      </c>
      <c r="AN31" s="205" t="s">
        <v>239</v>
      </c>
      <c r="AO31" s="200" t="s">
        <v>235</v>
      </c>
      <c r="AP31" s="200" t="s">
        <v>235</v>
      </c>
      <c r="AQ31" s="200" t="s">
        <v>239</v>
      </c>
      <c r="AR31" s="200" t="s">
        <v>235</v>
      </c>
      <c r="AS31" s="200" t="s">
        <v>299</v>
      </c>
      <c r="AT31" s="200" t="s">
        <v>241</v>
      </c>
      <c r="AU31" s="200" t="s">
        <v>299</v>
      </c>
      <c r="AV31" s="205" t="s">
        <v>242</v>
      </c>
      <c r="AW31" s="205" t="s">
        <v>243</v>
      </c>
      <c r="AY31" s="200" t="s">
        <v>239</v>
      </c>
      <c r="AZ31" s="205" t="s">
        <v>1036</v>
      </c>
      <c r="BA31" s="205" t="s">
        <v>244</v>
      </c>
      <c r="BB31" s="205" t="s">
        <v>244</v>
      </c>
      <c r="BD31" s="205" t="s">
        <v>239</v>
      </c>
      <c r="BE31" s="205" t="s">
        <v>446</v>
      </c>
      <c r="BF31" s="205" t="s">
        <v>457</v>
      </c>
      <c r="BH31" s="205" t="s">
        <v>456</v>
      </c>
      <c r="BI31" s="202">
        <v>30</v>
      </c>
      <c r="BJ31" s="201">
        <v>42285</v>
      </c>
      <c r="BK31" s="203" t="s">
        <v>301</v>
      </c>
      <c r="BM31" s="205">
        <v>41</v>
      </c>
    </row>
    <row r="32" spans="1:65" x14ac:dyDescent="0.25">
      <c r="A32" s="205" t="s">
        <v>901</v>
      </c>
      <c r="B32" s="205" t="s">
        <v>1037</v>
      </c>
      <c r="C32" s="205" t="s">
        <v>1038</v>
      </c>
      <c r="D32" s="205" t="s">
        <v>1039</v>
      </c>
      <c r="E32" s="201">
        <v>42275</v>
      </c>
      <c r="F32" s="205" t="s">
        <v>398</v>
      </c>
      <c r="G32" s="205" t="s">
        <v>232</v>
      </c>
      <c r="H32" s="205" t="s">
        <v>1040</v>
      </c>
      <c r="I32" s="205" t="s">
        <v>544</v>
      </c>
      <c r="J32" s="205" t="s">
        <v>620</v>
      </c>
      <c r="K32" s="205" t="s">
        <v>447</v>
      </c>
      <c r="L32" s="205" t="s">
        <v>448</v>
      </c>
      <c r="M32" s="205" t="s">
        <v>449</v>
      </c>
      <c r="O32" s="200" t="s">
        <v>388</v>
      </c>
      <c r="P32" s="200" t="s">
        <v>1041</v>
      </c>
      <c r="Q32" s="205" t="s">
        <v>449</v>
      </c>
      <c r="R32" s="202">
        <v>31</v>
      </c>
      <c r="U32" s="205" t="s">
        <v>456</v>
      </c>
      <c r="W32" s="205" t="s">
        <v>234</v>
      </c>
      <c r="X32" s="205" t="s">
        <v>291</v>
      </c>
      <c r="Z32" s="205" t="s">
        <v>238</v>
      </c>
      <c r="AB32" s="205" t="s">
        <v>238</v>
      </c>
      <c r="AD32" s="205" t="s">
        <v>238</v>
      </c>
      <c r="AE32" s="205" t="s">
        <v>232</v>
      </c>
      <c r="AF32" s="205" t="s">
        <v>1042</v>
      </c>
      <c r="AG32" s="205" t="s">
        <v>239</v>
      </c>
      <c r="AH32" s="205" t="s">
        <v>239</v>
      </c>
      <c r="AI32" s="205" t="s">
        <v>1043</v>
      </c>
      <c r="AJ32" s="205" t="s">
        <v>1044</v>
      </c>
      <c r="AK32" s="205" t="s">
        <v>1045</v>
      </c>
      <c r="AL32" s="205" t="s">
        <v>239</v>
      </c>
      <c r="AM32" s="205" t="s">
        <v>239</v>
      </c>
      <c r="AN32" s="205" t="s">
        <v>239</v>
      </c>
      <c r="AO32" s="200" t="s">
        <v>235</v>
      </c>
      <c r="AP32" s="200" t="s">
        <v>235</v>
      </c>
      <c r="AQ32" s="200" t="s">
        <v>239</v>
      </c>
      <c r="AR32" s="200" t="s">
        <v>239</v>
      </c>
      <c r="AS32" s="200" t="s">
        <v>299</v>
      </c>
      <c r="AT32" s="200" t="s">
        <v>241</v>
      </c>
      <c r="AU32" s="200" t="s">
        <v>241</v>
      </c>
      <c r="AV32" s="205" t="s">
        <v>242</v>
      </c>
      <c r="AW32" s="205" t="s">
        <v>243</v>
      </c>
      <c r="AY32" s="200" t="s">
        <v>239</v>
      </c>
      <c r="AZ32" s="205" t="s">
        <v>1046</v>
      </c>
      <c r="BA32" s="205" t="s">
        <v>244</v>
      </c>
      <c r="BB32" s="205" t="s">
        <v>244</v>
      </c>
      <c r="BD32" s="205" t="s">
        <v>239</v>
      </c>
      <c r="BE32" s="205" t="s">
        <v>446</v>
      </c>
      <c r="BF32" s="205" t="s">
        <v>457</v>
      </c>
      <c r="BH32" s="205" t="s">
        <v>456</v>
      </c>
      <c r="BI32" s="202">
        <v>31</v>
      </c>
      <c r="BJ32" s="201">
        <v>42289</v>
      </c>
      <c r="BK32" s="203" t="s">
        <v>245</v>
      </c>
      <c r="BL32" s="204">
        <v>260.82</v>
      </c>
      <c r="BM32" s="205">
        <v>42</v>
      </c>
    </row>
    <row r="33" spans="1:65" x14ac:dyDescent="0.25">
      <c r="A33" s="205" t="s">
        <v>901</v>
      </c>
      <c r="B33" s="205" t="s">
        <v>1047</v>
      </c>
      <c r="C33" s="205" t="s">
        <v>1048</v>
      </c>
      <c r="D33" s="205" t="s">
        <v>1049</v>
      </c>
      <c r="E33" s="201">
        <v>42275</v>
      </c>
      <c r="F33" s="205" t="s">
        <v>1050</v>
      </c>
      <c r="G33" s="205" t="s">
        <v>232</v>
      </c>
      <c r="H33" s="205" t="s">
        <v>1051</v>
      </c>
      <c r="I33" s="205" t="s">
        <v>1052</v>
      </c>
      <c r="J33" s="205" t="s">
        <v>386</v>
      </c>
      <c r="K33" s="205" t="s">
        <v>453</v>
      </c>
      <c r="L33" s="205" t="s">
        <v>454</v>
      </c>
      <c r="M33" s="205" t="s">
        <v>455</v>
      </c>
      <c r="O33" s="200" t="s">
        <v>290</v>
      </c>
      <c r="P33" s="200" t="s">
        <v>1053</v>
      </c>
      <c r="Q33" s="205" t="s">
        <v>455</v>
      </c>
      <c r="R33" s="202">
        <v>32</v>
      </c>
      <c r="U33" s="205" t="s">
        <v>456</v>
      </c>
      <c r="W33" s="205" t="s">
        <v>234</v>
      </c>
      <c r="X33" s="205" t="s">
        <v>332</v>
      </c>
      <c r="Y33" s="200" t="s">
        <v>425</v>
      </c>
      <c r="Z33" s="205" t="s">
        <v>260</v>
      </c>
      <c r="AA33" s="200" t="s">
        <v>502</v>
      </c>
      <c r="AB33" s="205" t="s">
        <v>237</v>
      </c>
      <c r="AC33" s="200" t="s">
        <v>371</v>
      </c>
      <c r="AD33" s="205" t="s">
        <v>260</v>
      </c>
      <c r="AE33" s="205" t="s">
        <v>232</v>
      </c>
      <c r="AF33" s="205" t="s">
        <v>1054</v>
      </c>
      <c r="AG33" s="205" t="s">
        <v>239</v>
      </c>
      <c r="AH33" s="205" t="s">
        <v>239</v>
      </c>
      <c r="AI33" s="205" t="s">
        <v>1055</v>
      </c>
      <c r="AJ33" s="205" t="s">
        <v>1055</v>
      </c>
      <c r="AK33" s="205" t="s">
        <v>1056</v>
      </c>
      <c r="AL33" s="205" t="s">
        <v>1057</v>
      </c>
      <c r="AM33" s="205" t="s">
        <v>239</v>
      </c>
      <c r="AN33" s="205" t="s">
        <v>239</v>
      </c>
      <c r="AO33" s="200" t="s">
        <v>235</v>
      </c>
      <c r="AP33" s="200" t="s">
        <v>235</v>
      </c>
      <c r="AQ33" s="200" t="s">
        <v>235</v>
      </c>
      <c r="AR33" s="200" t="s">
        <v>239</v>
      </c>
      <c r="AS33" s="200" t="s">
        <v>299</v>
      </c>
      <c r="AT33" s="200" t="s">
        <v>299</v>
      </c>
      <c r="AU33" s="200" t="s">
        <v>241</v>
      </c>
      <c r="AV33" s="205" t="s">
        <v>242</v>
      </c>
      <c r="AW33" s="205" t="s">
        <v>243</v>
      </c>
      <c r="AY33" s="200" t="s">
        <v>239</v>
      </c>
      <c r="AZ33" s="205" t="s">
        <v>1058</v>
      </c>
      <c r="BA33" s="205" t="s">
        <v>244</v>
      </c>
      <c r="BB33" s="205" t="s">
        <v>244</v>
      </c>
      <c r="BD33" s="205" t="s">
        <v>239</v>
      </c>
      <c r="BE33" s="205" t="s">
        <v>446</v>
      </c>
      <c r="BF33" s="205" t="s">
        <v>457</v>
      </c>
      <c r="BH33" s="205" t="s">
        <v>456</v>
      </c>
      <c r="BI33" s="202">
        <v>32</v>
      </c>
      <c r="BJ33" s="201">
        <v>42289</v>
      </c>
      <c r="BK33" s="203" t="s">
        <v>301</v>
      </c>
      <c r="BM33" s="205">
        <v>42</v>
      </c>
    </row>
    <row r="34" spans="1:65" x14ac:dyDescent="0.25">
      <c r="A34" s="205" t="s">
        <v>1059</v>
      </c>
      <c r="B34" s="205" t="s">
        <v>1060</v>
      </c>
      <c r="C34" s="205" t="s">
        <v>1061</v>
      </c>
      <c r="D34" s="205" t="s">
        <v>1062</v>
      </c>
      <c r="E34" s="201">
        <v>42275</v>
      </c>
      <c r="F34" s="205" t="s">
        <v>258</v>
      </c>
      <c r="G34" s="205" t="s">
        <v>232</v>
      </c>
      <c r="H34" s="205" t="s">
        <v>1063</v>
      </c>
      <c r="I34" s="205" t="s">
        <v>531</v>
      </c>
      <c r="J34" s="205" t="s">
        <v>1064</v>
      </c>
      <c r="K34" s="205" t="s">
        <v>450</v>
      </c>
      <c r="L34" s="205" t="s">
        <v>451</v>
      </c>
      <c r="M34" s="205" t="s">
        <v>463</v>
      </c>
      <c r="O34" s="200" t="s">
        <v>246</v>
      </c>
      <c r="P34" s="200" t="s">
        <v>1065</v>
      </c>
      <c r="Q34" s="205" t="s">
        <v>463</v>
      </c>
      <c r="R34" s="202">
        <v>33</v>
      </c>
      <c r="U34" s="205" t="s">
        <v>456</v>
      </c>
      <c r="W34" s="205" t="s">
        <v>234</v>
      </c>
      <c r="X34" s="205" t="s">
        <v>332</v>
      </c>
      <c r="Y34" s="200" t="s">
        <v>417</v>
      </c>
      <c r="Z34" s="205" t="s">
        <v>1066</v>
      </c>
      <c r="AA34" s="200" t="s">
        <v>276</v>
      </c>
      <c r="AB34" s="205" t="s">
        <v>1067</v>
      </c>
      <c r="AC34" s="200" t="s">
        <v>351</v>
      </c>
      <c r="AD34" s="205" t="s">
        <v>1067</v>
      </c>
      <c r="AE34" s="205" t="s">
        <v>232</v>
      </c>
      <c r="AF34" s="205" t="s">
        <v>1068</v>
      </c>
      <c r="AG34" s="205" t="s">
        <v>239</v>
      </c>
      <c r="AH34" s="205" t="s">
        <v>239</v>
      </c>
      <c r="AI34" s="205" t="s">
        <v>1069</v>
      </c>
      <c r="AJ34" s="205" t="s">
        <v>1069</v>
      </c>
      <c r="AK34" s="205" t="s">
        <v>1069</v>
      </c>
      <c r="AL34" s="205" t="s">
        <v>239</v>
      </c>
      <c r="AM34" s="205" t="s">
        <v>239</v>
      </c>
      <c r="AN34" s="205" t="s">
        <v>239</v>
      </c>
      <c r="AO34" s="200" t="s">
        <v>235</v>
      </c>
      <c r="AP34" s="200" t="s">
        <v>235</v>
      </c>
      <c r="AQ34" s="200" t="s">
        <v>235</v>
      </c>
      <c r="AR34" s="200" t="s">
        <v>235</v>
      </c>
      <c r="AS34" s="200" t="s">
        <v>299</v>
      </c>
      <c r="AT34" s="200" t="s">
        <v>299</v>
      </c>
      <c r="AU34" s="200" t="s">
        <v>299</v>
      </c>
      <c r="AV34" s="205" t="s">
        <v>242</v>
      </c>
      <c r="AW34" s="205" t="s">
        <v>243</v>
      </c>
      <c r="AY34" s="200" t="s">
        <v>239</v>
      </c>
      <c r="AZ34" s="205" t="s">
        <v>1070</v>
      </c>
      <c r="BA34" s="205" t="s">
        <v>244</v>
      </c>
      <c r="BB34" s="205" t="s">
        <v>244</v>
      </c>
      <c r="BD34" s="205" t="s">
        <v>239</v>
      </c>
      <c r="BE34" s="205" t="s">
        <v>446</v>
      </c>
      <c r="BF34" s="205" t="s">
        <v>457</v>
      </c>
      <c r="BH34" s="205" t="s">
        <v>456</v>
      </c>
      <c r="BI34" s="202">
        <v>33</v>
      </c>
      <c r="BJ34" s="201">
        <v>42285</v>
      </c>
      <c r="BK34" s="203" t="s">
        <v>301</v>
      </c>
      <c r="BM34" s="205">
        <v>41</v>
      </c>
    </row>
    <row r="35" spans="1:65" x14ac:dyDescent="0.25">
      <c r="A35" s="205" t="s">
        <v>1059</v>
      </c>
      <c r="B35" s="205" t="s">
        <v>1071</v>
      </c>
      <c r="C35" s="205" t="s">
        <v>1072</v>
      </c>
      <c r="D35" s="205" t="s">
        <v>1073</v>
      </c>
      <c r="E35" s="201">
        <v>42275</v>
      </c>
      <c r="F35" s="205" t="s">
        <v>643</v>
      </c>
      <c r="G35" s="205" t="s">
        <v>232</v>
      </c>
      <c r="H35" s="205" t="s">
        <v>1074</v>
      </c>
      <c r="I35" s="205" t="s">
        <v>1075</v>
      </c>
      <c r="K35" s="205" t="s">
        <v>453</v>
      </c>
      <c r="L35" s="205" t="s">
        <v>461</v>
      </c>
      <c r="M35" s="205" t="s">
        <v>460</v>
      </c>
      <c r="O35" s="200" t="s">
        <v>267</v>
      </c>
      <c r="P35" s="200" t="s">
        <v>1076</v>
      </c>
      <c r="Q35" s="205" t="s">
        <v>460</v>
      </c>
      <c r="R35" s="202">
        <v>34</v>
      </c>
      <c r="U35" s="205" t="s">
        <v>456</v>
      </c>
      <c r="W35" s="205" t="s">
        <v>234</v>
      </c>
      <c r="X35" s="205" t="s">
        <v>640</v>
      </c>
      <c r="Y35" s="200" t="s">
        <v>397</v>
      </c>
      <c r="Z35" s="205" t="s">
        <v>1077</v>
      </c>
      <c r="AA35" s="200" t="s">
        <v>282</v>
      </c>
      <c r="AB35" s="205" t="s">
        <v>1078</v>
      </c>
      <c r="AC35" s="200" t="s">
        <v>349</v>
      </c>
      <c r="AD35" s="205" t="s">
        <v>1079</v>
      </c>
      <c r="AE35" s="205" t="s">
        <v>232</v>
      </c>
      <c r="AF35" s="205" t="s">
        <v>1080</v>
      </c>
      <c r="AG35" s="205" t="s">
        <v>239</v>
      </c>
      <c r="AH35" s="205" t="s">
        <v>239</v>
      </c>
      <c r="AI35" s="205" t="s">
        <v>1081</v>
      </c>
      <c r="AJ35" s="205" t="s">
        <v>1081</v>
      </c>
      <c r="AK35" s="205" t="s">
        <v>1082</v>
      </c>
      <c r="AL35" s="205" t="s">
        <v>239</v>
      </c>
      <c r="AM35" s="205" t="s">
        <v>239</v>
      </c>
      <c r="AN35" s="205" t="s">
        <v>239</v>
      </c>
      <c r="AO35" s="200" t="s">
        <v>235</v>
      </c>
      <c r="AP35" s="200" t="s">
        <v>235</v>
      </c>
      <c r="AQ35" s="200" t="s">
        <v>235</v>
      </c>
      <c r="AR35" s="200" t="s">
        <v>235</v>
      </c>
      <c r="AS35" s="200" t="s">
        <v>299</v>
      </c>
      <c r="AT35" s="200" t="s">
        <v>299</v>
      </c>
      <c r="AU35" s="200" t="s">
        <v>299</v>
      </c>
      <c r="AV35" s="205" t="s">
        <v>242</v>
      </c>
      <c r="AW35" s="205" t="s">
        <v>243</v>
      </c>
      <c r="AY35" s="200" t="s">
        <v>239</v>
      </c>
      <c r="AZ35" s="205" t="s">
        <v>1083</v>
      </c>
      <c r="BA35" s="205" t="s">
        <v>244</v>
      </c>
      <c r="BB35" s="205" t="s">
        <v>244</v>
      </c>
      <c r="BD35" s="205" t="s">
        <v>239</v>
      </c>
      <c r="BE35" s="205" t="s">
        <v>446</v>
      </c>
      <c r="BF35" s="205" t="s">
        <v>457</v>
      </c>
      <c r="BH35" s="205" t="s">
        <v>456</v>
      </c>
      <c r="BI35" s="202">
        <v>34</v>
      </c>
      <c r="BJ35" s="201">
        <v>42279</v>
      </c>
      <c r="BK35" s="203" t="s">
        <v>245</v>
      </c>
      <c r="BL35" s="204">
        <v>285.32</v>
      </c>
      <c r="BM35" s="205">
        <v>40</v>
      </c>
    </row>
    <row r="36" spans="1:65" x14ac:dyDescent="0.25">
      <c r="A36" s="205" t="s">
        <v>1059</v>
      </c>
      <c r="B36" s="205" t="s">
        <v>1084</v>
      </c>
      <c r="C36" s="205" t="s">
        <v>1085</v>
      </c>
      <c r="D36" s="205" t="s">
        <v>1086</v>
      </c>
      <c r="E36" s="201">
        <v>42275</v>
      </c>
      <c r="F36" s="205" t="s">
        <v>1087</v>
      </c>
      <c r="G36" s="205" t="s">
        <v>232</v>
      </c>
      <c r="H36" s="205" t="s">
        <v>1088</v>
      </c>
      <c r="I36" s="205" t="s">
        <v>1089</v>
      </c>
      <c r="J36" s="205" t="s">
        <v>1090</v>
      </c>
      <c r="K36" s="205" t="s">
        <v>453</v>
      </c>
      <c r="L36" s="205" t="s">
        <v>461</v>
      </c>
      <c r="M36" s="205" t="s">
        <v>460</v>
      </c>
      <c r="O36" s="200" t="s">
        <v>288</v>
      </c>
      <c r="P36" s="200" t="s">
        <v>1091</v>
      </c>
      <c r="Q36" s="205" t="s">
        <v>460</v>
      </c>
      <c r="R36" s="202">
        <v>35</v>
      </c>
      <c r="U36" s="205" t="s">
        <v>456</v>
      </c>
      <c r="W36" s="205" t="s">
        <v>234</v>
      </c>
      <c r="X36" s="205" t="s">
        <v>332</v>
      </c>
      <c r="Y36" s="200" t="s">
        <v>338</v>
      </c>
      <c r="Z36" s="205" t="s">
        <v>1092</v>
      </c>
      <c r="AA36" s="200" t="s">
        <v>371</v>
      </c>
      <c r="AB36" s="205" t="s">
        <v>1093</v>
      </c>
      <c r="AC36" s="200" t="s">
        <v>402</v>
      </c>
      <c r="AD36" s="205" t="s">
        <v>1094</v>
      </c>
      <c r="AE36" s="205" t="s">
        <v>232</v>
      </c>
      <c r="AF36" s="205" t="s">
        <v>1095</v>
      </c>
      <c r="AG36" s="205" t="s">
        <v>239</v>
      </c>
      <c r="AH36" s="205" t="s">
        <v>239</v>
      </c>
      <c r="AI36" s="205" t="s">
        <v>1096</v>
      </c>
      <c r="AJ36" s="205" t="s">
        <v>1097</v>
      </c>
      <c r="AK36" s="205" t="s">
        <v>1098</v>
      </c>
      <c r="AL36" s="205" t="s">
        <v>239</v>
      </c>
      <c r="AM36" s="205" t="s">
        <v>239</v>
      </c>
      <c r="AN36" s="205" t="s">
        <v>239</v>
      </c>
      <c r="AO36" s="200" t="s">
        <v>235</v>
      </c>
      <c r="AP36" s="200" t="s">
        <v>235</v>
      </c>
      <c r="AQ36" s="200" t="s">
        <v>235</v>
      </c>
      <c r="AR36" s="200" t="s">
        <v>235</v>
      </c>
      <c r="AS36" s="200" t="s">
        <v>299</v>
      </c>
      <c r="AT36" s="200" t="s">
        <v>299</v>
      </c>
      <c r="AU36" s="200" t="s">
        <v>299</v>
      </c>
      <c r="AV36" s="205" t="s">
        <v>242</v>
      </c>
      <c r="AW36" s="205" t="s">
        <v>243</v>
      </c>
      <c r="AY36" s="200" t="s">
        <v>239</v>
      </c>
      <c r="AZ36" s="205" t="s">
        <v>1099</v>
      </c>
      <c r="BA36" s="205" t="s">
        <v>244</v>
      </c>
      <c r="BB36" s="205" t="s">
        <v>244</v>
      </c>
      <c r="BD36" s="205" t="s">
        <v>239</v>
      </c>
      <c r="BE36" s="205" t="s">
        <v>446</v>
      </c>
      <c r="BF36" s="205" t="s">
        <v>457</v>
      </c>
      <c r="BH36" s="205" t="s">
        <v>456</v>
      </c>
      <c r="BI36" s="202">
        <v>35</v>
      </c>
      <c r="BJ36" s="201">
        <v>42287</v>
      </c>
      <c r="BK36" s="203" t="s">
        <v>301</v>
      </c>
      <c r="BM36" s="205">
        <v>41</v>
      </c>
    </row>
    <row r="37" spans="1:65" x14ac:dyDescent="0.25">
      <c r="A37" s="205" t="s">
        <v>1059</v>
      </c>
      <c r="B37" s="205" t="s">
        <v>1100</v>
      </c>
      <c r="C37" s="205" t="s">
        <v>1101</v>
      </c>
      <c r="D37" s="205" t="s">
        <v>1102</v>
      </c>
      <c r="E37" s="201">
        <v>42275</v>
      </c>
      <c r="F37" s="205" t="s">
        <v>380</v>
      </c>
      <c r="G37" s="205" t="s">
        <v>232</v>
      </c>
      <c r="H37" s="205" t="s">
        <v>1103</v>
      </c>
      <c r="I37" s="205" t="s">
        <v>1104</v>
      </c>
      <c r="J37" s="205" t="s">
        <v>381</v>
      </c>
      <c r="K37" s="205" t="s">
        <v>450</v>
      </c>
      <c r="L37" s="205" t="s">
        <v>451</v>
      </c>
      <c r="M37" s="205" t="s">
        <v>452</v>
      </c>
      <c r="O37" s="200" t="s">
        <v>389</v>
      </c>
      <c r="P37" s="200" t="s">
        <v>1105</v>
      </c>
      <c r="Q37" s="205" t="s">
        <v>452</v>
      </c>
      <c r="R37" s="202">
        <v>36</v>
      </c>
      <c r="U37" s="205" t="s">
        <v>456</v>
      </c>
      <c r="W37" s="205" t="s">
        <v>234</v>
      </c>
      <c r="X37" s="205" t="s">
        <v>235</v>
      </c>
      <c r="Y37" s="200" t="s">
        <v>550</v>
      </c>
      <c r="Z37" s="205" t="s">
        <v>1106</v>
      </c>
      <c r="AA37" s="200" t="s">
        <v>287</v>
      </c>
      <c r="AB37" s="205" t="s">
        <v>1107</v>
      </c>
      <c r="AD37" s="205" t="s">
        <v>238</v>
      </c>
      <c r="AE37" s="205" t="s">
        <v>232</v>
      </c>
      <c r="AF37" s="205" t="s">
        <v>1108</v>
      </c>
      <c r="AG37" s="205" t="s">
        <v>239</v>
      </c>
      <c r="AH37" s="205" t="s">
        <v>239</v>
      </c>
      <c r="AI37" s="205" t="s">
        <v>627</v>
      </c>
      <c r="AJ37" s="205" t="s">
        <v>622</v>
      </c>
      <c r="AK37" s="205" t="s">
        <v>239</v>
      </c>
      <c r="AL37" s="205" t="s">
        <v>239</v>
      </c>
      <c r="AM37" s="205" t="s">
        <v>239</v>
      </c>
      <c r="AN37" s="205" t="s">
        <v>239</v>
      </c>
      <c r="AO37" s="200" t="s">
        <v>239</v>
      </c>
      <c r="AP37" s="200" t="s">
        <v>239</v>
      </c>
      <c r="AQ37" s="200" t="s">
        <v>235</v>
      </c>
      <c r="AR37" s="200" t="s">
        <v>239</v>
      </c>
      <c r="AS37" s="200" t="s">
        <v>262</v>
      </c>
      <c r="AT37" s="200" t="s">
        <v>299</v>
      </c>
      <c r="AU37" s="200" t="s">
        <v>241</v>
      </c>
      <c r="AV37" s="205" t="s">
        <v>242</v>
      </c>
      <c r="AW37" s="205" t="s">
        <v>243</v>
      </c>
      <c r="AY37" s="200" t="s">
        <v>239</v>
      </c>
      <c r="AZ37" s="205" t="s">
        <v>1109</v>
      </c>
      <c r="BA37" s="205" t="s">
        <v>244</v>
      </c>
      <c r="BB37" s="205" t="s">
        <v>244</v>
      </c>
      <c r="BD37" s="205" t="s">
        <v>239</v>
      </c>
      <c r="BE37" s="205" t="s">
        <v>446</v>
      </c>
      <c r="BF37" s="205" t="s">
        <v>457</v>
      </c>
      <c r="BH37" s="205" t="s">
        <v>456</v>
      </c>
      <c r="BI37" s="202">
        <v>36</v>
      </c>
      <c r="BJ37" s="201">
        <v>42289</v>
      </c>
      <c r="BK37" s="203" t="s">
        <v>301</v>
      </c>
      <c r="BM37" s="205">
        <v>42</v>
      </c>
    </row>
    <row r="38" spans="1:65" x14ac:dyDescent="0.25">
      <c r="A38" s="205" t="s">
        <v>1059</v>
      </c>
      <c r="B38" s="205" t="s">
        <v>1110</v>
      </c>
      <c r="C38" s="205" t="s">
        <v>1111</v>
      </c>
      <c r="D38" s="205" t="s">
        <v>1112</v>
      </c>
      <c r="E38" s="201">
        <v>42275</v>
      </c>
      <c r="F38" s="205" t="s">
        <v>1113</v>
      </c>
      <c r="G38" s="205" t="s">
        <v>232</v>
      </c>
      <c r="H38" s="205" t="s">
        <v>1114</v>
      </c>
      <c r="I38" s="205" t="s">
        <v>1115</v>
      </c>
      <c r="K38" s="205" t="s">
        <v>464</v>
      </c>
      <c r="L38" s="205" t="s">
        <v>465</v>
      </c>
      <c r="M38" s="205" t="s">
        <v>466</v>
      </c>
      <c r="O38" s="200" t="s">
        <v>345</v>
      </c>
      <c r="P38" s="200" t="s">
        <v>1116</v>
      </c>
      <c r="Q38" s="205" t="s">
        <v>466</v>
      </c>
      <c r="R38" s="202">
        <v>37</v>
      </c>
      <c r="U38" s="205" t="s">
        <v>456</v>
      </c>
      <c r="W38" s="205" t="s">
        <v>234</v>
      </c>
      <c r="X38" s="205" t="s">
        <v>332</v>
      </c>
      <c r="Y38" s="200" t="s">
        <v>1117</v>
      </c>
      <c r="Z38" s="205" t="s">
        <v>595</v>
      </c>
      <c r="AA38" s="200" t="s">
        <v>296</v>
      </c>
      <c r="AB38" s="205" t="s">
        <v>1118</v>
      </c>
      <c r="AC38" s="200" t="s">
        <v>356</v>
      </c>
      <c r="AD38" s="205" t="s">
        <v>1119</v>
      </c>
      <c r="AE38" s="205" t="s">
        <v>232</v>
      </c>
      <c r="AF38" s="205" t="s">
        <v>1120</v>
      </c>
      <c r="AG38" s="205" t="s">
        <v>1121</v>
      </c>
      <c r="AH38" s="205" t="s">
        <v>239</v>
      </c>
      <c r="AI38" s="205" t="s">
        <v>1122</v>
      </c>
      <c r="AJ38" s="205" t="s">
        <v>1123</v>
      </c>
      <c r="AK38" s="205" t="s">
        <v>239</v>
      </c>
      <c r="AL38" s="205" t="s">
        <v>239</v>
      </c>
      <c r="AM38" s="205" t="s">
        <v>239</v>
      </c>
      <c r="AN38" s="205" t="s">
        <v>239</v>
      </c>
      <c r="AO38" s="200" t="s">
        <v>235</v>
      </c>
      <c r="AP38" s="200" t="s">
        <v>239</v>
      </c>
      <c r="AQ38" s="200" t="s">
        <v>235</v>
      </c>
      <c r="AR38" s="200" t="s">
        <v>235</v>
      </c>
      <c r="AS38" s="200" t="s">
        <v>299</v>
      </c>
      <c r="AT38" s="200" t="s">
        <v>299</v>
      </c>
      <c r="AU38" s="200" t="s">
        <v>240</v>
      </c>
      <c r="AV38" s="205" t="s">
        <v>242</v>
      </c>
      <c r="AW38" s="205" t="s">
        <v>243</v>
      </c>
      <c r="AY38" s="200" t="s">
        <v>239</v>
      </c>
      <c r="AZ38" s="205" t="s">
        <v>1124</v>
      </c>
      <c r="BA38" s="205" t="s">
        <v>244</v>
      </c>
      <c r="BB38" s="205" t="s">
        <v>244</v>
      </c>
      <c r="BD38" s="205" t="s">
        <v>239</v>
      </c>
      <c r="BE38" s="205" t="s">
        <v>446</v>
      </c>
      <c r="BF38" s="205" t="s">
        <v>457</v>
      </c>
      <c r="BH38" s="205" t="s">
        <v>456</v>
      </c>
      <c r="BI38" s="202">
        <v>37</v>
      </c>
      <c r="BJ38" s="201">
        <v>42289</v>
      </c>
      <c r="BK38" s="203" t="s">
        <v>301</v>
      </c>
      <c r="BM38" s="205">
        <v>42</v>
      </c>
    </row>
    <row r="39" spans="1:65" x14ac:dyDescent="0.25">
      <c r="A39" s="205" t="s">
        <v>1059</v>
      </c>
      <c r="B39" s="205" t="s">
        <v>1125</v>
      </c>
      <c r="C39" s="205" t="s">
        <v>1126</v>
      </c>
      <c r="D39" s="205" t="s">
        <v>1127</v>
      </c>
      <c r="E39" s="201">
        <v>42275</v>
      </c>
      <c r="F39" s="205" t="s">
        <v>1128</v>
      </c>
      <c r="G39" s="205" t="s">
        <v>232</v>
      </c>
      <c r="H39" s="205" t="s">
        <v>1129</v>
      </c>
      <c r="I39" s="205" t="s">
        <v>1130</v>
      </c>
      <c r="J39" s="205" t="s">
        <v>353</v>
      </c>
      <c r="K39" s="205" t="s">
        <v>453</v>
      </c>
      <c r="L39" s="205" t="s">
        <v>448</v>
      </c>
      <c r="M39" s="205" t="s">
        <v>455</v>
      </c>
      <c r="O39" s="200" t="s">
        <v>377</v>
      </c>
      <c r="P39" s="200" t="s">
        <v>1131</v>
      </c>
      <c r="Q39" s="205" t="s">
        <v>455</v>
      </c>
      <c r="R39" s="202">
        <v>38</v>
      </c>
      <c r="U39" s="205" t="s">
        <v>456</v>
      </c>
      <c r="W39" s="205" t="s">
        <v>234</v>
      </c>
      <c r="X39" s="205" t="s">
        <v>640</v>
      </c>
      <c r="Y39" s="200" t="s">
        <v>624</v>
      </c>
      <c r="Z39" s="205" t="s">
        <v>268</v>
      </c>
      <c r="AA39" s="200" t="s">
        <v>296</v>
      </c>
      <c r="AB39" s="205" t="s">
        <v>1132</v>
      </c>
      <c r="AC39" s="200" t="s">
        <v>277</v>
      </c>
      <c r="AD39" s="205" t="s">
        <v>1133</v>
      </c>
      <c r="AE39" s="205" t="s">
        <v>232</v>
      </c>
      <c r="AF39" s="205" t="s">
        <v>1134</v>
      </c>
      <c r="AG39" s="205" t="s">
        <v>239</v>
      </c>
      <c r="AH39" s="205" t="s">
        <v>239</v>
      </c>
      <c r="AI39" s="205" t="s">
        <v>1135</v>
      </c>
      <c r="AJ39" s="205" t="s">
        <v>1136</v>
      </c>
      <c r="AK39" s="205" t="s">
        <v>1137</v>
      </c>
      <c r="AL39" s="205" t="s">
        <v>239</v>
      </c>
      <c r="AM39" s="205" t="s">
        <v>239</v>
      </c>
      <c r="AN39" s="205" t="s">
        <v>239</v>
      </c>
      <c r="AO39" s="200" t="s">
        <v>235</v>
      </c>
      <c r="AP39" s="200" t="s">
        <v>235</v>
      </c>
      <c r="AQ39" s="200" t="s">
        <v>235</v>
      </c>
      <c r="AR39" s="200" t="s">
        <v>239</v>
      </c>
      <c r="AS39" s="200" t="s">
        <v>299</v>
      </c>
      <c r="AT39" s="200" t="s">
        <v>299</v>
      </c>
      <c r="AU39" s="200" t="s">
        <v>241</v>
      </c>
      <c r="AV39" s="205" t="s">
        <v>242</v>
      </c>
      <c r="AW39" s="205" t="s">
        <v>243</v>
      </c>
      <c r="AY39" s="200" t="s">
        <v>239</v>
      </c>
      <c r="AZ39" s="205" t="s">
        <v>1138</v>
      </c>
      <c r="BA39" s="205" t="s">
        <v>244</v>
      </c>
      <c r="BB39" s="205" t="s">
        <v>244</v>
      </c>
      <c r="BD39" s="205" t="s">
        <v>239</v>
      </c>
      <c r="BE39" s="205" t="s">
        <v>446</v>
      </c>
      <c r="BF39" s="205" t="s">
        <v>457</v>
      </c>
      <c r="BH39" s="205" t="s">
        <v>456</v>
      </c>
      <c r="BI39" s="202">
        <v>38</v>
      </c>
      <c r="BJ39" s="201">
        <v>42289</v>
      </c>
      <c r="BK39" s="203" t="s">
        <v>245</v>
      </c>
      <c r="BL39" s="204">
        <v>153.99</v>
      </c>
      <c r="BM39" s="205">
        <v>42</v>
      </c>
    </row>
    <row r="40" spans="1:65" x14ac:dyDescent="0.25">
      <c r="A40" s="205" t="s">
        <v>1059</v>
      </c>
      <c r="B40" s="205" t="s">
        <v>1139</v>
      </c>
      <c r="C40" s="205" t="s">
        <v>1140</v>
      </c>
      <c r="D40" s="205" t="s">
        <v>1141</v>
      </c>
      <c r="E40" s="201">
        <v>42275</v>
      </c>
      <c r="F40" s="205" t="s">
        <v>311</v>
      </c>
      <c r="G40" s="205" t="s">
        <v>232</v>
      </c>
      <c r="H40" s="205" t="s">
        <v>1142</v>
      </c>
      <c r="I40" s="205" t="s">
        <v>1143</v>
      </c>
      <c r="J40" s="205" t="s">
        <v>1144</v>
      </c>
      <c r="K40" s="205" t="s">
        <v>447</v>
      </c>
      <c r="L40" s="205" t="s">
        <v>448</v>
      </c>
      <c r="M40" s="205" t="s">
        <v>449</v>
      </c>
      <c r="O40" s="200" t="s">
        <v>290</v>
      </c>
      <c r="P40" s="200" t="s">
        <v>1145</v>
      </c>
      <c r="Q40" s="205" t="s">
        <v>449</v>
      </c>
      <c r="R40" s="202">
        <v>39</v>
      </c>
      <c r="U40" s="205" t="s">
        <v>456</v>
      </c>
      <c r="W40" s="205" t="s">
        <v>234</v>
      </c>
      <c r="X40" s="205" t="s">
        <v>300</v>
      </c>
      <c r="Y40" s="200" t="s">
        <v>506</v>
      </c>
      <c r="Z40" s="205" t="s">
        <v>1146</v>
      </c>
      <c r="AA40" s="200" t="s">
        <v>517</v>
      </c>
      <c r="AB40" s="205" t="s">
        <v>1147</v>
      </c>
      <c r="AC40" s="200" t="s">
        <v>298</v>
      </c>
      <c r="AD40" s="205" t="s">
        <v>1148</v>
      </c>
      <c r="AE40" s="205" t="s">
        <v>232</v>
      </c>
      <c r="AF40" s="205" t="s">
        <v>1149</v>
      </c>
      <c r="AG40" s="205" t="s">
        <v>569</v>
      </c>
      <c r="AH40" s="205" t="s">
        <v>239</v>
      </c>
      <c r="AI40" s="205" t="s">
        <v>1150</v>
      </c>
      <c r="AJ40" s="205" t="s">
        <v>1151</v>
      </c>
      <c r="AK40" s="205" t="s">
        <v>239</v>
      </c>
      <c r="AL40" s="205" t="s">
        <v>239</v>
      </c>
      <c r="AM40" s="205" t="s">
        <v>239</v>
      </c>
      <c r="AN40" s="205" t="s">
        <v>239</v>
      </c>
      <c r="AO40" s="200" t="s">
        <v>235</v>
      </c>
      <c r="AP40" s="200" t="s">
        <v>235</v>
      </c>
      <c r="AQ40" s="200" t="s">
        <v>239</v>
      </c>
      <c r="AR40" s="200" t="s">
        <v>235</v>
      </c>
      <c r="AS40" s="200" t="s">
        <v>240</v>
      </c>
      <c r="AT40" s="200" t="s">
        <v>241</v>
      </c>
      <c r="AU40" s="200" t="s">
        <v>240</v>
      </c>
      <c r="AV40" s="205" t="s">
        <v>242</v>
      </c>
      <c r="AW40" s="205" t="s">
        <v>243</v>
      </c>
      <c r="AY40" s="200" t="s">
        <v>239</v>
      </c>
      <c r="AZ40" s="205" t="s">
        <v>1152</v>
      </c>
      <c r="BA40" s="205" t="s">
        <v>244</v>
      </c>
      <c r="BB40" s="205" t="s">
        <v>1153</v>
      </c>
      <c r="BD40" s="205" t="s">
        <v>239</v>
      </c>
      <c r="BE40" s="205" t="s">
        <v>446</v>
      </c>
      <c r="BF40" s="205" t="s">
        <v>457</v>
      </c>
      <c r="BH40" s="205" t="s">
        <v>456</v>
      </c>
      <c r="BI40" s="202">
        <v>39</v>
      </c>
      <c r="BJ40" s="201">
        <v>42276</v>
      </c>
      <c r="BK40" s="203" t="s">
        <v>245</v>
      </c>
      <c r="BL40" s="204">
        <v>265.31</v>
      </c>
      <c r="BM40" s="205">
        <v>40</v>
      </c>
    </row>
    <row r="41" spans="1:65" x14ac:dyDescent="0.25">
      <c r="A41" s="205" t="s">
        <v>1059</v>
      </c>
      <c r="B41" s="205" t="s">
        <v>1154</v>
      </c>
      <c r="C41" s="205" t="s">
        <v>1155</v>
      </c>
      <c r="D41" s="205" t="s">
        <v>1156</v>
      </c>
      <c r="E41" s="201">
        <v>42275</v>
      </c>
      <c r="F41" s="205" t="s">
        <v>1157</v>
      </c>
      <c r="G41" s="205" t="s">
        <v>232</v>
      </c>
      <c r="H41" s="205" t="s">
        <v>1158</v>
      </c>
      <c r="I41" s="205" t="s">
        <v>1159</v>
      </c>
      <c r="J41" s="205" t="s">
        <v>365</v>
      </c>
      <c r="K41" s="205" t="s">
        <v>450</v>
      </c>
      <c r="L41" s="205" t="s">
        <v>451</v>
      </c>
      <c r="M41" s="205" t="s">
        <v>452</v>
      </c>
      <c r="O41" s="200" t="s">
        <v>288</v>
      </c>
      <c r="P41" s="200" t="s">
        <v>1160</v>
      </c>
      <c r="Q41" s="205" t="s">
        <v>452</v>
      </c>
      <c r="R41" s="202">
        <v>40</v>
      </c>
      <c r="U41" s="205" t="s">
        <v>456</v>
      </c>
      <c r="W41" s="205" t="s">
        <v>234</v>
      </c>
      <c r="X41" s="205" t="s">
        <v>235</v>
      </c>
      <c r="Y41" s="200" t="s">
        <v>510</v>
      </c>
      <c r="Z41" s="205" t="s">
        <v>1161</v>
      </c>
      <c r="AA41" s="200" t="s">
        <v>280</v>
      </c>
      <c r="AB41" s="205" t="s">
        <v>1162</v>
      </c>
      <c r="AC41" s="200" t="s">
        <v>286</v>
      </c>
      <c r="AD41" s="205" t="s">
        <v>1163</v>
      </c>
      <c r="AE41" s="205" t="s">
        <v>232</v>
      </c>
      <c r="AF41" s="205" t="s">
        <v>1164</v>
      </c>
      <c r="AG41" s="205" t="s">
        <v>1165</v>
      </c>
      <c r="AH41" s="205" t="s">
        <v>239</v>
      </c>
      <c r="AI41" s="205" t="s">
        <v>1166</v>
      </c>
      <c r="AJ41" s="205" t="s">
        <v>1167</v>
      </c>
      <c r="AK41" s="205" t="s">
        <v>239</v>
      </c>
      <c r="AL41" s="205" t="s">
        <v>239</v>
      </c>
      <c r="AM41" s="205" t="s">
        <v>239</v>
      </c>
      <c r="AN41" s="205" t="s">
        <v>239</v>
      </c>
      <c r="AO41" s="200" t="s">
        <v>235</v>
      </c>
      <c r="AP41" s="200" t="s">
        <v>235</v>
      </c>
      <c r="AQ41" s="200" t="s">
        <v>235</v>
      </c>
      <c r="AR41" s="200" t="s">
        <v>239</v>
      </c>
      <c r="AS41" s="200" t="s">
        <v>240</v>
      </c>
      <c r="AT41" s="200" t="s">
        <v>240</v>
      </c>
      <c r="AU41" s="200" t="s">
        <v>241</v>
      </c>
      <c r="AV41" s="205" t="s">
        <v>242</v>
      </c>
      <c r="AW41" s="205" t="s">
        <v>243</v>
      </c>
      <c r="AX41" s="200" t="s">
        <v>1168</v>
      </c>
      <c r="AY41" s="200" t="s">
        <v>235</v>
      </c>
      <c r="AZ41" s="205" t="s">
        <v>1169</v>
      </c>
      <c r="BA41" s="205" t="s">
        <v>244</v>
      </c>
      <c r="BB41" s="205" t="s">
        <v>244</v>
      </c>
      <c r="BD41" s="205" t="s">
        <v>239</v>
      </c>
      <c r="BE41" s="205" t="s">
        <v>446</v>
      </c>
      <c r="BF41" s="205" t="s">
        <v>457</v>
      </c>
      <c r="BH41" s="205" t="s">
        <v>456</v>
      </c>
      <c r="BI41" s="202">
        <v>40</v>
      </c>
      <c r="BJ41" s="201">
        <v>42276</v>
      </c>
      <c r="BK41" s="203" t="s">
        <v>245</v>
      </c>
      <c r="BL41" s="204">
        <v>203.54</v>
      </c>
      <c r="BM41" s="205">
        <v>40</v>
      </c>
    </row>
    <row r="42" spans="1:65" x14ac:dyDescent="0.25">
      <c r="A42" s="205" t="s">
        <v>1059</v>
      </c>
      <c r="B42" s="205" t="s">
        <v>1170</v>
      </c>
      <c r="C42" s="205" t="s">
        <v>1171</v>
      </c>
      <c r="D42" s="205" t="s">
        <v>1172</v>
      </c>
      <c r="E42" s="201">
        <v>42275</v>
      </c>
      <c r="F42" s="205" t="s">
        <v>294</v>
      </c>
      <c r="G42" s="205" t="s">
        <v>232</v>
      </c>
      <c r="H42" s="205" t="s">
        <v>1173</v>
      </c>
      <c r="I42" s="205" t="s">
        <v>1174</v>
      </c>
      <c r="K42" s="205" t="s">
        <v>450</v>
      </c>
      <c r="L42" s="205" t="s">
        <v>451</v>
      </c>
      <c r="M42" s="205" t="s">
        <v>452</v>
      </c>
      <c r="O42" s="200" t="s">
        <v>389</v>
      </c>
      <c r="P42" s="200" t="s">
        <v>1175</v>
      </c>
      <c r="Q42" s="205" t="s">
        <v>452</v>
      </c>
      <c r="R42" s="202">
        <v>41</v>
      </c>
      <c r="U42" s="205" t="s">
        <v>456</v>
      </c>
      <c r="W42" s="205" t="s">
        <v>234</v>
      </c>
      <c r="X42" s="205" t="s">
        <v>350</v>
      </c>
      <c r="Y42" s="200" t="s">
        <v>628</v>
      </c>
      <c r="Z42" s="205" t="s">
        <v>370</v>
      </c>
      <c r="AB42" s="205" t="s">
        <v>238</v>
      </c>
      <c r="AD42" s="205" t="s">
        <v>238</v>
      </c>
      <c r="AE42" s="205" t="s">
        <v>232</v>
      </c>
      <c r="AF42" s="205" t="s">
        <v>1176</v>
      </c>
      <c r="AG42" s="205" t="s">
        <v>239</v>
      </c>
      <c r="AH42" s="205" t="s">
        <v>239</v>
      </c>
      <c r="AI42" s="205" t="s">
        <v>1177</v>
      </c>
      <c r="AJ42" s="205" t="s">
        <v>1177</v>
      </c>
      <c r="AK42" s="205" t="s">
        <v>1178</v>
      </c>
      <c r="AL42" s="205" t="s">
        <v>239</v>
      </c>
      <c r="AM42" s="205" t="s">
        <v>239</v>
      </c>
      <c r="AN42" s="205" t="s">
        <v>239</v>
      </c>
      <c r="AO42" s="200" t="s">
        <v>235</v>
      </c>
      <c r="AP42" s="200" t="s">
        <v>235</v>
      </c>
      <c r="AQ42" s="200" t="s">
        <v>235</v>
      </c>
      <c r="AR42" s="200" t="s">
        <v>239</v>
      </c>
      <c r="AS42" s="200" t="s">
        <v>299</v>
      </c>
      <c r="AT42" s="200" t="s">
        <v>299</v>
      </c>
      <c r="AU42" s="200" t="s">
        <v>241</v>
      </c>
      <c r="AV42" s="205" t="s">
        <v>242</v>
      </c>
      <c r="AW42" s="205" t="s">
        <v>243</v>
      </c>
      <c r="AY42" s="200" t="s">
        <v>239</v>
      </c>
      <c r="AZ42" s="205" t="s">
        <v>1179</v>
      </c>
      <c r="BA42" s="205" t="s">
        <v>244</v>
      </c>
      <c r="BB42" s="205" t="s">
        <v>244</v>
      </c>
      <c r="BD42" s="205" t="s">
        <v>239</v>
      </c>
      <c r="BE42" s="205" t="s">
        <v>446</v>
      </c>
      <c r="BF42" s="205" t="s">
        <v>457</v>
      </c>
      <c r="BH42" s="205" t="s">
        <v>456</v>
      </c>
      <c r="BI42" s="202">
        <v>41</v>
      </c>
      <c r="BJ42" s="201">
        <v>42285</v>
      </c>
      <c r="BK42" s="203" t="s">
        <v>245</v>
      </c>
      <c r="BL42" s="204">
        <v>254.22</v>
      </c>
      <c r="BM42" s="205">
        <v>41</v>
      </c>
    </row>
    <row r="43" spans="1:65" x14ac:dyDescent="0.25">
      <c r="A43" s="205" t="s">
        <v>1059</v>
      </c>
      <c r="B43" s="205" t="s">
        <v>1180</v>
      </c>
      <c r="C43" s="205" t="s">
        <v>1181</v>
      </c>
      <c r="D43" s="205" t="s">
        <v>1182</v>
      </c>
      <c r="E43" s="201">
        <v>42275</v>
      </c>
      <c r="F43" s="205" t="s">
        <v>611</v>
      </c>
      <c r="G43" s="205" t="s">
        <v>232</v>
      </c>
      <c r="H43" s="205" t="s">
        <v>1183</v>
      </c>
      <c r="I43" s="205" t="s">
        <v>469</v>
      </c>
      <c r="J43" s="205" t="s">
        <v>1184</v>
      </c>
      <c r="K43" s="205" t="s">
        <v>453</v>
      </c>
      <c r="L43" s="205" t="s">
        <v>461</v>
      </c>
      <c r="M43" s="205" t="s">
        <v>470</v>
      </c>
      <c r="O43" s="200" t="s">
        <v>330</v>
      </c>
      <c r="P43" s="200" t="s">
        <v>1185</v>
      </c>
      <c r="Q43" s="205" t="s">
        <v>470</v>
      </c>
      <c r="R43" s="202">
        <v>42</v>
      </c>
      <c r="U43" s="205" t="s">
        <v>456</v>
      </c>
      <c r="W43" s="205" t="s">
        <v>234</v>
      </c>
      <c r="X43" s="205" t="s">
        <v>235</v>
      </c>
      <c r="Y43" s="200" t="s">
        <v>287</v>
      </c>
      <c r="Z43" s="205" t="s">
        <v>1186</v>
      </c>
      <c r="AA43" s="200" t="s">
        <v>315</v>
      </c>
      <c r="AB43" s="205" t="s">
        <v>1187</v>
      </c>
      <c r="AC43" s="200" t="s">
        <v>374</v>
      </c>
      <c r="AD43" s="205" t="s">
        <v>1188</v>
      </c>
      <c r="AE43" s="205" t="s">
        <v>232</v>
      </c>
      <c r="AF43" s="205" t="s">
        <v>1189</v>
      </c>
      <c r="AG43" s="205" t="s">
        <v>239</v>
      </c>
      <c r="AH43" s="205" t="s">
        <v>239</v>
      </c>
      <c r="AI43" s="205" t="s">
        <v>1190</v>
      </c>
      <c r="AJ43" s="205" t="s">
        <v>1191</v>
      </c>
      <c r="AK43" s="205" t="s">
        <v>239</v>
      </c>
      <c r="AL43" s="205" t="s">
        <v>239</v>
      </c>
      <c r="AM43" s="205" t="s">
        <v>239</v>
      </c>
      <c r="AN43" s="205" t="s">
        <v>239</v>
      </c>
      <c r="AO43" s="200" t="s">
        <v>235</v>
      </c>
      <c r="AP43" s="200" t="s">
        <v>235</v>
      </c>
      <c r="AQ43" s="200" t="s">
        <v>235</v>
      </c>
      <c r="AR43" s="200" t="s">
        <v>239</v>
      </c>
      <c r="AS43" s="200" t="s">
        <v>299</v>
      </c>
      <c r="AT43" s="200" t="s">
        <v>299</v>
      </c>
      <c r="AU43" s="200" t="s">
        <v>241</v>
      </c>
      <c r="AV43" s="205" t="s">
        <v>242</v>
      </c>
      <c r="AW43" s="205" t="s">
        <v>243</v>
      </c>
      <c r="AY43" s="200" t="s">
        <v>239</v>
      </c>
      <c r="AZ43" s="205" t="s">
        <v>1192</v>
      </c>
      <c r="BA43" s="205" t="s">
        <v>244</v>
      </c>
      <c r="BB43" s="205" t="s">
        <v>244</v>
      </c>
      <c r="BD43" s="205" t="s">
        <v>239</v>
      </c>
      <c r="BE43" s="205" t="s">
        <v>446</v>
      </c>
      <c r="BF43" s="205" t="s">
        <v>457</v>
      </c>
      <c r="BH43" s="205" t="s">
        <v>456</v>
      </c>
      <c r="BI43" s="202">
        <v>42</v>
      </c>
      <c r="BJ43" s="201">
        <v>42287</v>
      </c>
      <c r="BK43" s="203" t="s">
        <v>301</v>
      </c>
      <c r="BM43" s="205">
        <v>41</v>
      </c>
    </row>
    <row r="44" spans="1:65" x14ac:dyDescent="0.25">
      <c r="A44" s="205" t="s">
        <v>1059</v>
      </c>
      <c r="B44" s="205" t="s">
        <v>1193</v>
      </c>
      <c r="C44" s="205" t="s">
        <v>1194</v>
      </c>
      <c r="D44" s="205" t="s">
        <v>1195</v>
      </c>
      <c r="E44" s="201">
        <v>42275</v>
      </c>
      <c r="F44" s="205" t="s">
        <v>611</v>
      </c>
      <c r="G44" s="205" t="s">
        <v>232</v>
      </c>
      <c r="H44" s="205" t="s">
        <v>1196</v>
      </c>
      <c r="I44" s="205" t="s">
        <v>1197</v>
      </c>
      <c r="K44" s="205" t="s">
        <v>464</v>
      </c>
      <c r="L44" s="205" t="s">
        <v>465</v>
      </c>
      <c r="M44" s="205" t="s">
        <v>466</v>
      </c>
      <c r="O44" s="200" t="s">
        <v>513</v>
      </c>
      <c r="P44" s="200" t="s">
        <v>1198</v>
      </c>
      <c r="Q44" s="205" t="s">
        <v>466</v>
      </c>
      <c r="R44" s="202">
        <v>43</v>
      </c>
      <c r="U44" s="205" t="s">
        <v>456</v>
      </c>
      <c r="W44" s="205" t="s">
        <v>234</v>
      </c>
      <c r="X44" s="205" t="s">
        <v>235</v>
      </c>
      <c r="Y44" s="200" t="s">
        <v>520</v>
      </c>
      <c r="Z44" s="205" t="s">
        <v>1199</v>
      </c>
      <c r="AA44" s="200" t="s">
        <v>414</v>
      </c>
      <c r="AB44" s="205" t="s">
        <v>1200</v>
      </c>
      <c r="AC44" s="200" t="s">
        <v>325</v>
      </c>
      <c r="AD44" s="205" t="s">
        <v>1201</v>
      </c>
      <c r="AE44" s="205" t="s">
        <v>232</v>
      </c>
      <c r="AF44" s="205" t="s">
        <v>1202</v>
      </c>
      <c r="AG44" s="205" t="s">
        <v>239</v>
      </c>
      <c r="AH44" s="205" t="s">
        <v>239</v>
      </c>
      <c r="AI44" s="205" t="s">
        <v>1203</v>
      </c>
      <c r="AJ44" s="205" t="s">
        <v>1204</v>
      </c>
      <c r="AK44" s="205" t="s">
        <v>239</v>
      </c>
      <c r="AL44" s="205" t="s">
        <v>239</v>
      </c>
      <c r="AM44" s="205" t="s">
        <v>239</v>
      </c>
      <c r="AN44" s="205" t="s">
        <v>239</v>
      </c>
      <c r="AO44" s="200" t="s">
        <v>235</v>
      </c>
      <c r="AP44" s="200" t="s">
        <v>235</v>
      </c>
      <c r="AQ44" s="200" t="s">
        <v>235</v>
      </c>
      <c r="AR44" s="200" t="s">
        <v>239</v>
      </c>
      <c r="AS44" s="200" t="s">
        <v>299</v>
      </c>
      <c r="AT44" s="200" t="s">
        <v>299</v>
      </c>
      <c r="AU44" s="200" t="s">
        <v>241</v>
      </c>
      <c r="AV44" s="205" t="s">
        <v>242</v>
      </c>
      <c r="AW44" s="205" t="s">
        <v>243</v>
      </c>
      <c r="AY44" s="200" t="s">
        <v>239</v>
      </c>
      <c r="AZ44" s="205" t="s">
        <v>1205</v>
      </c>
      <c r="BA44" s="205" t="s">
        <v>244</v>
      </c>
      <c r="BB44" s="205" t="s">
        <v>244</v>
      </c>
      <c r="BD44" s="205" t="s">
        <v>239</v>
      </c>
      <c r="BE44" s="205" t="s">
        <v>446</v>
      </c>
      <c r="BF44" s="205" t="s">
        <v>457</v>
      </c>
      <c r="BH44" s="205" t="s">
        <v>456</v>
      </c>
      <c r="BI44" s="202">
        <v>43</v>
      </c>
      <c r="BJ44" s="201">
        <v>42286</v>
      </c>
      <c r="BK44" s="203" t="s">
        <v>245</v>
      </c>
      <c r="BL44" s="204">
        <v>122.21</v>
      </c>
      <c r="BM44" s="205">
        <v>41</v>
      </c>
    </row>
    <row r="45" spans="1:65" x14ac:dyDescent="0.25">
      <c r="A45" s="205" t="s">
        <v>1059</v>
      </c>
      <c r="B45" s="205" t="s">
        <v>1206</v>
      </c>
      <c r="C45" s="205" t="s">
        <v>1207</v>
      </c>
      <c r="D45" s="205" t="s">
        <v>1208</v>
      </c>
      <c r="E45" s="201">
        <v>42275</v>
      </c>
      <c r="F45" s="205" t="s">
        <v>1209</v>
      </c>
      <c r="G45" s="205" t="s">
        <v>232</v>
      </c>
      <c r="H45" s="205" t="s">
        <v>1210</v>
      </c>
      <c r="I45" s="205" t="s">
        <v>1211</v>
      </c>
      <c r="K45" s="205" t="s">
        <v>442</v>
      </c>
      <c r="L45" s="205" t="s">
        <v>443</v>
      </c>
      <c r="M45" s="205" t="s">
        <v>444</v>
      </c>
      <c r="O45" s="200" t="s">
        <v>652</v>
      </c>
      <c r="P45" s="200" t="s">
        <v>1212</v>
      </c>
      <c r="Q45" s="205" t="s">
        <v>444</v>
      </c>
      <c r="R45" s="202">
        <v>44</v>
      </c>
      <c r="U45" s="205" t="s">
        <v>456</v>
      </c>
      <c r="W45" s="205" t="s">
        <v>234</v>
      </c>
      <c r="X45" s="205" t="s">
        <v>332</v>
      </c>
      <c r="Y45" s="200" t="s">
        <v>524</v>
      </c>
      <c r="Z45" s="205" t="s">
        <v>1213</v>
      </c>
      <c r="AA45" s="200" t="s">
        <v>416</v>
      </c>
      <c r="AB45" s="205" t="s">
        <v>1214</v>
      </c>
      <c r="AC45" s="200" t="s">
        <v>315</v>
      </c>
      <c r="AD45" s="205" t="s">
        <v>305</v>
      </c>
      <c r="AE45" s="205" t="s">
        <v>232</v>
      </c>
      <c r="AF45" s="205" t="s">
        <v>1215</v>
      </c>
      <c r="AG45" s="205" t="s">
        <v>239</v>
      </c>
      <c r="AH45" s="205" t="s">
        <v>239</v>
      </c>
      <c r="AI45" s="205" t="s">
        <v>556</v>
      </c>
      <c r="AJ45" s="205" t="s">
        <v>1216</v>
      </c>
      <c r="AK45" s="205" t="s">
        <v>1217</v>
      </c>
      <c r="AL45" s="205" t="s">
        <v>239</v>
      </c>
      <c r="AM45" s="205" t="s">
        <v>239</v>
      </c>
      <c r="AN45" s="205" t="s">
        <v>239</v>
      </c>
      <c r="AO45" s="200" t="s">
        <v>235</v>
      </c>
      <c r="AP45" s="200" t="s">
        <v>235</v>
      </c>
      <c r="AQ45" s="200" t="s">
        <v>235</v>
      </c>
      <c r="AR45" s="200" t="s">
        <v>239</v>
      </c>
      <c r="AS45" s="200" t="s">
        <v>299</v>
      </c>
      <c r="AT45" s="200" t="s">
        <v>299</v>
      </c>
      <c r="AU45" s="200" t="s">
        <v>241</v>
      </c>
      <c r="AV45" s="205" t="s">
        <v>242</v>
      </c>
      <c r="AW45" s="205" t="s">
        <v>243</v>
      </c>
      <c r="AY45" s="200" t="s">
        <v>239</v>
      </c>
      <c r="AZ45" s="205" t="s">
        <v>1218</v>
      </c>
      <c r="BA45" s="205" t="s">
        <v>244</v>
      </c>
      <c r="BB45" s="205" t="s">
        <v>244</v>
      </c>
      <c r="BC45" s="200" t="s">
        <v>256</v>
      </c>
      <c r="BD45" s="205" t="s">
        <v>239</v>
      </c>
      <c r="BE45" s="205" t="s">
        <v>446</v>
      </c>
      <c r="BF45" s="205" t="s">
        <v>457</v>
      </c>
      <c r="BH45" s="205" t="s">
        <v>456</v>
      </c>
      <c r="BI45" s="202">
        <v>44</v>
      </c>
      <c r="BJ45" s="201">
        <v>42287</v>
      </c>
      <c r="BK45" s="203" t="s">
        <v>301</v>
      </c>
      <c r="BM45" s="205">
        <v>41</v>
      </c>
    </row>
    <row r="46" spans="1:65" x14ac:dyDescent="0.25">
      <c r="A46" s="205" t="s">
        <v>1059</v>
      </c>
      <c r="B46" s="205" t="s">
        <v>1219</v>
      </c>
      <c r="C46" s="205" t="s">
        <v>1220</v>
      </c>
      <c r="D46" s="205" t="s">
        <v>1221</v>
      </c>
      <c r="E46" s="201">
        <v>42275</v>
      </c>
      <c r="F46" s="205" t="s">
        <v>1222</v>
      </c>
      <c r="G46" s="205" t="s">
        <v>232</v>
      </c>
      <c r="H46" s="205" t="s">
        <v>1223</v>
      </c>
      <c r="I46" s="205" t="s">
        <v>1224</v>
      </c>
      <c r="K46" s="205" t="s">
        <v>484</v>
      </c>
      <c r="L46" s="205" t="s">
        <v>465</v>
      </c>
      <c r="M46" s="205" t="s">
        <v>466</v>
      </c>
      <c r="O46" s="200" t="s">
        <v>246</v>
      </c>
      <c r="P46" s="200" t="s">
        <v>1225</v>
      </c>
      <c r="Q46" s="205" t="s">
        <v>466</v>
      </c>
      <c r="R46" s="202">
        <v>45</v>
      </c>
      <c r="U46" s="205" t="s">
        <v>456</v>
      </c>
      <c r="W46" s="205" t="s">
        <v>234</v>
      </c>
      <c r="X46" s="205" t="s">
        <v>300</v>
      </c>
      <c r="Y46" s="200" t="s">
        <v>550</v>
      </c>
      <c r="Z46" s="205" t="s">
        <v>1226</v>
      </c>
      <c r="AA46" s="200" t="s">
        <v>324</v>
      </c>
      <c r="AB46" s="205" t="s">
        <v>1227</v>
      </c>
      <c r="AC46" s="200" t="s">
        <v>384</v>
      </c>
      <c r="AD46" s="205" t="s">
        <v>1228</v>
      </c>
      <c r="AE46" s="205" t="s">
        <v>232</v>
      </c>
      <c r="AF46" s="205" t="s">
        <v>1229</v>
      </c>
      <c r="AG46" s="205" t="s">
        <v>239</v>
      </c>
      <c r="AH46" s="205" t="s">
        <v>239</v>
      </c>
      <c r="AI46" s="205" t="s">
        <v>1230</v>
      </c>
      <c r="AJ46" s="205" t="s">
        <v>1230</v>
      </c>
      <c r="AK46" s="205" t="s">
        <v>239</v>
      </c>
      <c r="AL46" s="205" t="s">
        <v>239</v>
      </c>
      <c r="AM46" s="205" t="s">
        <v>239</v>
      </c>
      <c r="AN46" s="205" t="s">
        <v>239</v>
      </c>
      <c r="AO46" s="200" t="s">
        <v>235</v>
      </c>
      <c r="AP46" s="200" t="s">
        <v>235</v>
      </c>
      <c r="AQ46" s="200" t="s">
        <v>239</v>
      </c>
      <c r="AR46" s="200" t="s">
        <v>239</v>
      </c>
      <c r="AS46" s="200" t="s">
        <v>299</v>
      </c>
      <c r="AT46" s="200" t="s">
        <v>241</v>
      </c>
      <c r="AU46" s="200" t="s">
        <v>241</v>
      </c>
      <c r="AV46" s="205" t="s">
        <v>242</v>
      </c>
      <c r="AW46" s="205" t="s">
        <v>243</v>
      </c>
      <c r="AY46" s="200" t="s">
        <v>239</v>
      </c>
      <c r="AZ46" s="205" t="s">
        <v>1231</v>
      </c>
      <c r="BA46" s="205" t="s">
        <v>1231</v>
      </c>
      <c r="BB46" s="205" t="s">
        <v>1232</v>
      </c>
      <c r="BD46" s="205" t="s">
        <v>239</v>
      </c>
      <c r="BE46" s="205" t="s">
        <v>446</v>
      </c>
      <c r="BF46" s="205" t="s">
        <v>457</v>
      </c>
      <c r="BH46" s="205" t="s">
        <v>456</v>
      </c>
      <c r="BI46" s="202">
        <v>45</v>
      </c>
      <c r="BJ46" s="201">
        <v>42286</v>
      </c>
      <c r="BK46" s="203" t="s">
        <v>301</v>
      </c>
      <c r="BM46" s="205">
        <v>41</v>
      </c>
    </row>
    <row r="47" spans="1:65" x14ac:dyDescent="0.25">
      <c r="A47" s="205" t="s">
        <v>1233</v>
      </c>
      <c r="B47" s="205" t="s">
        <v>1234</v>
      </c>
      <c r="C47" s="205" t="s">
        <v>1235</v>
      </c>
      <c r="D47" s="205" t="s">
        <v>1236</v>
      </c>
      <c r="E47" s="201">
        <v>42275</v>
      </c>
      <c r="F47" s="205" t="s">
        <v>1237</v>
      </c>
      <c r="G47" s="205" t="s">
        <v>232</v>
      </c>
      <c r="H47" s="205" t="s">
        <v>1238</v>
      </c>
      <c r="I47" s="205" t="s">
        <v>1239</v>
      </c>
      <c r="J47" s="205" t="s">
        <v>386</v>
      </c>
      <c r="K47" s="205" t="s">
        <v>450</v>
      </c>
      <c r="L47" s="205" t="s">
        <v>451</v>
      </c>
      <c r="M47" s="205" t="s">
        <v>463</v>
      </c>
      <c r="O47" s="200" t="s">
        <v>303</v>
      </c>
      <c r="P47" s="200" t="s">
        <v>1240</v>
      </c>
      <c r="Q47" s="205" t="s">
        <v>463</v>
      </c>
      <c r="R47" s="202">
        <v>46</v>
      </c>
      <c r="U47" s="205" t="s">
        <v>456</v>
      </c>
      <c r="W47" s="205" t="s">
        <v>234</v>
      </c>
      <c r="X47" s="205" t="s">
        <v>272</v>
      </c>
      <c r="Y47" s="200" t="s">
        <v>680</v>
      </c>
      <c r="Z47" s="205" t="s">
        <v>334</v>
      </c>
      <c r="AA47" s="200" t="s">
        <v>524</v>
      </c>
      <c r="AB47" s="205" t="s">
        <v>1241</v>
      </c>
      <c r="AC47" s="200" t="s">
        <v>641</v>
      </c>
      <c r="AD47" s="205" t="s">
        <v>284</v>
      </c>
      <c r="AE47" s="205" t="s">
        <v>232</v>
      </c>
      <c r="AF47" s="205" t="s">
        <v>1242</v>
      </c>
      <c r="AG47" s="205" t="s">
        <v>1165</v>
      </c>
      <c r="AH47" s="205" t="s">
        <v>239</v>
      </c>
      <c r="AI47" s="205" t="s">
        <v>1243</v>
      </c>
      <c r="AJ47" s="205" t="s">
        <v>1244</v>
      </c>
      <c r="AK47" s="205" t="s">
        <v>239</v>
      </c>
      <c r="AL47" s="205" t="s">
        <v>239</v>
      </c>
      <c r="AM47" s="205" t="s">
        <v>239</v>
      </c>
      <c r="AN47" s="205" t="s">
        <v>239</v>
      </c>
      <c r="AO47" s="200" t="s">
        <v>235</v>
      </c>
      <c r="AP47" s="200" t="s">
        <v>235</v>
      </c>
      <c r="AQ47" s="200" t="s">
        <v>235</v>
      </c>
      <c r="AR47" s="200" t="s">
        <v>239</v>
      </c>
      <c r="AS47" s="200" t="s">
        <v>240</v>
      </c>
      <c r="AT47" s="200" t="s">
        <v>240</v>
      </c>
      <c r="AU47" s="200" t="s">
        <v>241</v>
      </c>
      <c r="AV47" s="205" t="s">
        <v>242</v>
      </c>
      <c r="AW47" s="205" t="s">
        <v>243</v>
      </c>
      <c r="AX47" s="200" t="s">
        <v>1245</v>
      </c>
      <c r="AY47" s="200" t="s">
        <v>300</v>
      </c>
      <c r="AZ47" s="205" t="s">
        <v>1246</v>
      </c>
      <c r="BA47" s="205" t="s">
        <v>244</v>
      </c>
      <c r="BB47" s="205" t="s">
        <v>244</v>
      </c>
      <c r="BD47" s="205" t="s">
        <v>239</v>
      </c>
      <c r="BE47" s="205" t="s">
        <v>446</v>
      </c>
      <c r="BF47" s="205" t="s">
        <v>457</v>
      </c>
      <c r="BH47" s="205" t="s">
        <v>456</v>
      </c>
      <c r="BI47" s="202">
        <v>46</v>
      </c>
      <c r="BJ47" s="201">
        <v>42276</v>
      </c>
      <c r="BK47" s="203" t="s">
        <v>245</v>
      </c>
      <c r="BL47" s="204">
        <v>86.32</v>
      </c>
      <c r="BM47" s="205">
        <v>40</v>
      </c>
    </row>
    <row r="48" spans="1:65" x14ac:dyDescent="0.25">
      <c r="A48" s="205" t="s">
        <v>1233</v>
      </c>
      <c r="B48" s="205" t="s">
        <v>1247</v>
      </c>
      <c r="C48" s="205" t="s">
        <v>1248</v>
      </c>
      <c r="D48" s="205" t="s">
        <v>1249</v>
      </c>
      <c r="E48" s="201">
        <v>42275</v>
      </c>
      <c r="F48" s="205" t="s">
        <v>1250</v>
      </c>
      <c r="G48" s="205" t="s">
        <v>232</v>
      </c>
      <c r="H48" s="205" t="s">
        <v>1251</v>
      </c>
      <c r="I48" s="205" t="s">
        <v>1252</v>
      </c>
      <c r="J48" s="205" t="s">
        <v>1253</v>
      </c>
      <c r="K48" s="205" t="s">
        <v>442</v>
      </c>
      <c r="L48" s="205" t="s">
        <v>443</v>
      </c>
      <c r="M48" s="205" t="s">
        <v>444</v>
      </c>
      <c r="O48" s="200" t="s">
        <v>382</v>
      </c>
      <c r="P48" s="200" t="s">
        <v>1254</v>
      </c>
      <c r="Q48" s="205" t="s">
        <v>444</v>
      </c>
      <c r="R48" s="202">
        <v>47</v>
      </c>
      <c r="U48" s="205" t="s">
        <v>456</v>
      </c>
      <c r="W48" s="205" t="s">
        <v>234</v>
      </c>
      <c r="X48" s="205" t="s">
        <v>243</v>
      </c>
      <c r="Y48" s="200" t="s">
        <v>518</v>
      </c>
      <c r="Z48" s="205" t="s">
        <v>1255</v>
      </c>
      <c r="AA48" s="200" t="s">
        <v>397</v>
      </c>
      <c r="AB48" s="205" t="s">
        <v>387</v>
      </c>
      <c r="AC48" s="200" t="s">
        <v>317</v>
      </c>
      <c r="AD48" s="205" t="s">
        <v>1256</v>
      </c>
      <c r="AE48" s="205" t="s">
        <v>232</v>
      </c>
      <c r="AF48" s="205" t="s">
        <v>1257</v>
      </c>
      <c r="AG48" s="205" t="s">
        <v>1258</v>
      </c>
      <c r="AH48" s="205" t="s">
        <v>239</v>
      </c>
      <c r="AI48" s="205" t="s">
        <v>1259</v>
      </c>
      <c r="AJ48" s="205" t="s">
        <v>1260</v>
      </c>
      <c r="AK48" s="205" t="s">
        <v>239</v>
      </c>
      <c r="AL48" s="205" t="s">
        <v>239</v>
      </c>
      <c r="AM48" s="205" t="s">
        <v>239</v>
      </c>
      <c r="AN48" s="205" t="s">
        <v>239</v>
      </c>
      <c r="AO48" s="200" t="s">
        <v>235</v>
      </c>
      <c r="AP48" s="200" t="s">
        <v>235</v>
      </c>
      <c r="AQ48" s="200" t="s">
        <v>235</v>
      </c>
      <c r="AR48" s="200" t="s">
        <v>239</v>
      </c>
      <c r="AS48" s="200" t="s">
        <v>299</v>
      </c>
      <c r="AT48" s="200" t="s">
        <v>299</v>
      </c>
      <c r="AU48" s="200" t="s">
        <v>241</v>
      </c>
      <c r="AV48" s="205" t="s">
        <v>242</v>
      </c>
      <c r="AW48" s="205" t="s">
        <v>243</v>
      </c>
      <c r="AX48" s="200" t="s">
        <v>653</v>
      </c>
      <c r="AY48" s="200" t="s">
        <v>235</v>
      </c>
      <c r="AZ48" s="205" t="s">
        <v>1261</v>
      </c>
      <c r="BA48" s="205" t="s">
        <v>244</v>
      </c>
      <c r="BB48" s="205" t="s">
        <v>244</v>
      </c>
      <c r="BD48" s="205" t="s">
        <v>239</v>
      </c>
      <c r="BE48" s="205" t="s">
        <v>446</v>
      </c>
      <c r="BF48" s="205" t="s">
        <v>457</v>
      </c>
      <c r="BH48" s="205" t="s">
        <v>456</v>
      </c>
      <c r="BI48" s="202">
        <v>47</v>
      </c>
      <c r="BJ48" s="201">
        <v>42286</v>
      </c>
      <c r="BK48" s="203" t="s">
        <v>395</v>
      </c>
      <c r="BM48" s="205">
        <v>41</v>
      </c>
    </row>
    <row r="49" spans="1:65" x14ac:dyDescent="0.25">
      <c r="A49" s="205" t="s">
        <v>1233</v>
      </c>
      <c r="B49" s="205" t="s">
        <v>1262</v>
      </c>
      <c r="C49" s="205" t="s">
        <v>1263</v>
      </c>
      <c r="D49" s="205" t="s">
        <v>1264</v>
      </c>
      <c r="E49" s="201">
        <v>42275</v>
      </c>
      <c r="F49" s="205" t="s">
        <v>1265</v>
      </c>
      <c r="G49" s="205" t="s">
        <v>232</v>
      </c>
      <c r="H49" s="205" t="s">
        <v>1266</v>
      </c>
      <c r="I49" s="205" t="s">
        <v>1267</v>
      </c>
      <c r="J49" s="205" t="s">
        <v>1268</v>
      </c>
      <c r="K49" s="205" t="s">
        <v>450</v>
      </c>
      <c r="L49" s="205" t="s">
        <v>451</v>
      </c>
      <c r="M49" s="205" t="s">
        <v>452</v>
      </c>
      <c r="O49" s="200" t="s">
        <v>468</v>
      </c>
      <c r="P49" s="200" t="s">
        <v>1269</v>
      </c>
      <c r="Q49" s="205" t="s">
        <v>452</v>
      </c>
      <c r="R49" s="202">
        <v>48</v>
      </c>
      <c r="U49" s="205" t="s">
        <v>456</v>
      </c>
      <c r="W49" s="205" t="s">
        <v>234</v>
      </c>
      <c r="X49" s="205" t="s">
        <v>326</v>
      </c>
      <c r="Y49" s="200" t="s">
        <v>503</v>
      </c>
      <c r="Z49" s="205" t="s">
        <v>567</v>
      </c>
      <c r="AA49" s="200" t="s">
        <v>416</v>
      </c>
      <c r="AB49" s="205" t="s">
        <v>237</v>
      </c>
      <c r="AC49" s="200" t="s">
        <v>362</v>
      </c>
      <c r="AD49" s="205" t="s">
        <v>237</v>
      </c>
      <c r="AE49" s="205" t="s">
        <v>232</v>
      </c>
      <c r="AF49" s="205" t="s">
        <v>1270</v>
      </c>
      <c r="AG49" s="205" t="s">
        <v>239</v>
      </c>
      <c r="AH49" s="205" t="s">
        <v>239</v>
      </c>
      <c r="AI49" s="205" t="s">
        <v>1271</v>
      </c>
      <c r="AJ49" s="205" t="s">
        <v>1271</v>
      </c>
      <c r="AK49" s="205" t="s">
        <v>1272</v>
      </c>
      <c r="AL49" s="205" t="s">
        <v>239</v>
      </c>
      <c r="AM49" s="205" t="s">
        <v>239</v>
      </c>
      <c r="AN49" s="205" t="s">
        <v>239</v>
      </c>
      <c r="AO49" s="200" t="s">
        <v>235</v>
      </c>
      <c r="AP49" s="200" t="s">
        <v>235</v>
      </c>
      <c r="AQ49" s="200" t="s">
        <v>235</v>
      </c>
      <c r="AR49" s="200" t="s">
        <v>235</v>
      </c>
      <c r="AS49" s="200" t="s">
        <v>299</v>
      </c>
      <c r="AT49" s="200" t="s">
        <v>299</v>
      </c>
      <c r="AU49" s="200" t="s">
        <v>299</v>
      </c>
      <c r="AV49" s="205" t="s">
        <v>242</v>
      </c>
      <c r="AW49" s="205" t="s">
        <v>243</v>
      </c>
      <c r="AY49" s="200" t="s">
        <v>239</v>
      </c>
      <c r="AZ49" s="205" t="s">
        <v>1273</v>
      </c>
      <c r="BA49" s="205" t="s">
        <v>1274</v>
      </c>
      <c r="BB49" s="205" t="s">
        <v>1275</v>
      </c>
      <c r="BC49" s="200" t="s">
        <v>256</v>
      </c>
      <c r="BD49" s="205" t="s">
        <v>239</v>
      </c>
      <c r="BE49" s="205" t="s">
        <v>446</v>
      </c>
      <c r="BF49" s="205" t="s">
        <v>457</v>
      </c>
      <c r="BH49" s="205" t="s">
        <v>456</v>
      </c>
      <c r="BI49" s="202">
        <v>48</v>
      </c>
      <c r="BJ49" s="201">
        <v>42285</v>
      </c>
      <c r="BK49" s="203" t="s">
        <v>301</v>
      </c>
      <c r="BM49" s="205">
        <v>41</v>
      </c>
    </row>
    <row r="50" spans="1:65" x14ac:dyDescent="0.25">
      <c r="A50" s="205" t="s">
        <v>1233</v>
      </c>
      <c r="B50" s="205" t="s">
        <v>1276</v>
      </c>
      <c r="C50" s="205" t="s">
        <v>1277</v>
      </c>
      <c r="D50" s="205" t="s">
        <v>1278</v>
      </c>
      <c r="E50" s="201">
        <v>42275</v>
      </c>
      <c r="F50" s="205" t="s">
        <v>1279</v>
      </c>
      <c r="G50" s="205" t="s">
        <v>232</v>
      </c>
      <c r="H50" s="205" t="s">
        <v>1280</v>
      </c>
      <c r="I50" s="205" t="s">
        <v>488</v>
      </c>
      <c r="J50" s="205" t="s">
        <v>1281</v>
      </c>
      <c r="K50" s="205" t="s">
        <v>475</v>
      </c>
      <c r="L50" s="205" t="s">
        <v>476</v>
      </c>
      <c r="M50" s="205" t="s">
        <v>477</v>
      </c>
      <c r="O50" s="200" t="s">
        <v>513</v>
      </c>
      <c r="P50" s="200" t="s">
        <v>1282</v>
      </c>
      <c r="Q50" s="205" t="s">
        <v>477</v>
      </c>
      <c r="R50" s="202">
        <v>49</v>
      </c>
      <c r="U50" s="205" t="s">
        <v>456</v>
      </c>
      <c r="W50" s="205" t="s">
        <v>234</v>
      </c>
      <c r="X50" s="205" t="s">
        <v>291</v>
      </c>
      <c r="Y50" s="200" t="s">
        <v>383</v>
      </c>
      <c r="Z50" s="205" t="s">
        <v>1283</v>
      </c>
      <c r="AA50" s="200" t="s">
        <v>315</v>
      </c>
      <c r="AB50" s="205" t="s">
        <v>1284</v>
      </c>
      <c r="AC50" s="200" t="s">
        <v>1285</v>
      </c>
      <c r="AD50" s="205" t="s">
        <v>1286</v>
      </c>
      <c r="AE50" s="205" t="s">
        <v>232</v>
      </c>
      <c r="AF50" s="205" t="s">
        <v>1287</v>
      </c>
      <c r="AG50" s="205" t="s">
        <v>239</v>
      </c>
      <c r="AH50" s="205" t="s">
        <v>239</v>
      </c>
      <c r="AI50" s="205" t="s">
        <v>1288</v>
      </c>
      <c r="AJ50" s="205" t="s">
        <v>1288</v>
      </c>
      <c r="AK50" s="205" t="s">
        <v>1289</v>
      </c>
      <c r="AL50" s="205" t="s">
        <v>239</v>
      </c>
      <c r="AM50" s="205" t="s">
        <v>239</v>
      </c>
      <c r="AN50" s="205" t="s">
        <v>239</v>
      </c>
      <c r="AO50" s="200" t="s">
        <v>235</v>
      </c>
      <c r="AP50" s="200" t="s">
        <v>239</v>
      </c>
      <c r="AQ50" s="200" t="s">
        <v>239</v>
      </c>
      <c r="AR50" s="200" t="s">
        <v>239</v>
      </c>
      <c r="AS50" s="200" t="s">
        <v>299</v>
      </c>
      <c r="AT50" s="200" t="s">
        <v>241</v>
      </c>
      <c r="AU50" s="200" t="s">
        <v>241</v>
      </c>
      <c r="AV50" s="205" t="s">
        <v>242</v>
      </c>
      <c r="AW50" s="205" t="s">
        <v>243</v>
      </c>
      <c r="AY50" s="200" t="s">
        <v>239</v>
      </c>
      <c r="AZ50" s="205" t="s">
        <v>1290</v>
      </c>
      <c r="BA50" s="205" t="s">
        <v>244</v>
      </c>
      <c r="BB50" s="205" t="s">
        <v>244</v>
      </c>
      <c r="BD50" s="205" t="s">
        <v>239</v>
      </c>
      <c r="BE50" s="205" t="s">
        <v>446</v>
      </c>
      <c r="BF50" s="205" t="s">
        <v>457</v>
      </c>
      <c r="BH50" s="205" t="s">
        <v>456</v>
      </c>
      <c r="BI50" s="202">
        <v>49</v>
      </c>
      <c r="BJ50" s="201">
        <v>42289</v>
      </c>
      <c r="BK50" s="203" t="s">
        <v>301</v>
      </c>
      <c r="BM50" s="205">
        <v>42</v>
      </c>
    </row>
    <row r="51" spans="1:65" x14ac:dyDescent="0.25">
      <c r="A51" s="205" t="s">
        <v>1233</v>
      </c>
      <c r="B51" s="205" t="s">
        <v>1291</v>
      </c>
      <c r="C51" s="205" t="s">
        <v>1292</v>
      </c>
      <c r="D51" s="205" t="s">
        <v>1293</v>
      </c>
      <c r="E51" s="201">
        <v>42275</v>
      </c>
      <c r="F51" s="205" t="s">
        <v>1294</v>
      </c>
      <c r="G51" s="205" t="s">
        <v>232</v>
      </c>
      <c r="H51" s="205" t="s">
        <v>1295</v>
      </c>
      <c r="I51" s="205" t="s">
        <v>540</v>
      </c>
      <c r="J51" s="205" t="s">
        <v>1296</v>
      </c>
      <c r="K51" s="205" t="s">
        <v>453</v>
      </c>
      <c r="L51" s="205" t="s">
        <v>461</v>
      </c>
      <c r="M51" s="205" t="s">
        <v>470</v>
      </c>
      <c r="O51" s="200" t="s">
        <v>252</v>
      </c>
      <c r="P51" s="200" t="s">
        <v>1297</v>
      </c>
      <c r="Q51" s="205" t="s">
        <v>470</v>
      </c>
      <c r="R51" s="202">
        <v>50</v>
      </c>
      <c r="U51" s="205" t="s">
        <v>456</v>
      </c>
      <c r="W51" s="205" t="s">
        <v>234</v>
      </c>
      <c r="X51" s="205" t="s">
        <v>326</v>
      </c>
      <c r="Y51" s="200" t="s">
        <v>506</v>
      </c>
      <c r="Z51" s="205" t="s">
        <v>1298</v>
      </c>
      <c r="AA51" s="200" t="s">
        <v>340</v>
      </c>
      <c r="AB51" s="205" t="s">
        <v>1299</v>
      </c>
      <c r="AC51" s="200" t="s">
        <v>269</v>
      </c>
      <c r="AD51" s="205" t="s">
        <v>1300</v>
      </c>
      <c r="AE51" s="205" t="s">
        <v>232</v>
      </c>
      <c r="AF51" s="205" t="s">
        <v>1301</v>
      </c>
      <c r="AG51" s="205" t="s">
        <v>239</v>
      </c>
      <c r="AH51" s="205" t="s">
        <v>239</v>
      </c>
      <c r="AI51" s="205" t="s">
        <v>1302</v>
      </c>
      <c r="AJ51" s="205" t="s">
        <v>1302</v>
      </c>
      <c r="AK51" s="205" t="s">
        <v>1302</v>
      </c>
      <c r="AL51" s="205" t="s">
        <v>239</v>
      </c>
      <c r="AM51" s="205" t="s">
        <v>239</v>
      </c>
      <c r="AN51" s="205" t="s">
        <v>239</v>
      </c>
      <c r="AO51" s="200" t="s">
        <v>235</v>
      </c>
      <c r="AP51" s="200" t="s">
        <v>235</v>
      </c>
      <c r="AQ51" s="200" t="s">
        <v>235</v>
      </c>
      <c r="AR51" s="200" t="s">
        <v>239</v>
      </c>
      <c r="AS51" s="200" t="s">
        <v>299</v>
      </c>
      <c r="AT51" s="200" t="s">
        <v>299</v>
      </c>
      <c r="AU51" s="200" t="s">
        <v>241</v>
      </c>
      <c r="AV51" s="205" t="s">
        <v>242</v>
      </c>
      <c r="AW51" s="205" t="s">
        <v>243</v>
      </c>
      <c r="AY51" s="200" t="s">
        <v>239</v>
      </c>
      <c r="AZ51" s="205" t="s">
        <v>1303</v>
      </c>
      <c r="BA51" s="205" t="s">
        <v>1304</v>
      </c>
      <c r="BB51" s="205" t="s">
        <v>244</v>
      </c>
      <c r="BC51" s="200" t="s">
        <v>256</v>
      </c>
      <c r="BD51" s="205" t="s">
        <v>239</v>
      </c>
      <c r="BE51" s="205" t="s">
        <v>446</v>
      </c>
      <c r="BF51" s="205" t="s">
        <v>457</v>
      </c>
      <c r="BH51" s="205" t="s">
        <v>456</v>
      </c>
      <c r="BI51" s="202">
        <v>50</v>
      </c>
      <c r="BJ51" s="201">
        <v>42287</v>
      </c>
      <c r="BK51" s="203" t="s">
        <v>301</v>
      </c>
      <c r="BM51" s="205">
        <v>41</v>
      </c>
    </row>
    <row r="52" spans="1:65" x14ac:dyDescent="0.25">
      <c r="A52" s="205" t="s">
        <v>1233</v>
      </c>
      <c r="B52" s="205" t="s">
        <v>1305</v>
      </c>
      <c r="C52" s="205" t="s">
        <v>1306</v>
      </c>
      <c r="D52" s="205" t="s">
        <v>1307</v>
      </c>
      <c r="E52" s="201">
        <v>42275</v>
      </c>
      <c r="F52" s="205" t="s">
        <v>1308</v>
      </c>
      <c r="G52" s="205" t="s">
        <v>232</v>
      </c>
      <c r="H52" s="205" t="s">
        <v>1309</v>
      </c>
      <c r="I52" s="205" t="s">
        <v>1310</v>
      </c>
      <c r="J52" s="205" t="s">
        <v>570</v>
      </c>
      <c r="K52" s="205" t="s">
        <v>471</v>
      </c>
      <c r="L52" s="205" t="s">
        <v>472</v>
      </c>
      <c r="M52" s="205" t="s">
        <v>473</v>
      </c>
      <c r="O52" s="200" t="s">
        <v>288</v>
      </c>
      <c r="P52" s="200" t="s">
        <v>1311</v>
      </c>
      <c r="Q52" s="205" t="s">
        <v>473</v>
      </c>
      <c r="R52" s="202">
        <v>51</v>
      </c>
      <c r="U52" s="205" t="s">
        <v>456</v>
      </c>
      <c r="W52" s="205" t="s">
        <v>234</v>
      </c>
      <c r="X52" s="205" t="s">
        <v>332</v>
      </c>
      <c r="Y52" s="200" t="s">
        <v>270</v>
      </c>
      <c r="Z52" s="205" t="s">
        <v>1312</v>
      </c>
      <c r="AA52" s="200" t="s">
        <v>336</v>
      </c>
      <c r="AB52" s="205" t="s">
        <v>285</v>
      </c>
      <c r="AC52" s="200" t="s">
        <v>394</v>
      </c>
      <c r="AD52" s="205" t="s">
        <v>1313</v>
      </c>
      <c r="AE52" s="205" t="s">
        <v>232</v>
      </c>
      <c r="AF52" s="205" t="s">
        <v>1314</v>
      </c>
      <c r="AG52" s="205" t="s">
        <v>239</v>
      </c>
      <c r="AH52" s="205" t="s">
        <v>239</v>
      </c>
      <c r="AI52" s="205" t="s">
        <v>1315</v>
      </c>
      <c r="AJ52" s="205" t="s">
        <v>1315</v>
      </c>
      <c r="AK52" s="205" t="s">
        <v>1316</v>
      </c>
      <c r="AL52" s="205" t="s">
        <v>239</v>
      </c>
      <c r="AM52" s="205" t="s">
        <v>239</v>
      </c>
      <c r="AN52" s="205" t="s">
        <v>239</v>
      </c>
      <c r="AO52" s="200" t="s">
        <v>235</v>
      </c>
      <c r="AP52" s="200" t="s">
        <v>235</v>
      </c>
      <c r="AQ52" s="200" t="s">
        <v>239</v>
      </c>
      <c r="AR52" s="200" t="s">
        <v>239</v>
      </c>
      <c r="AS52" s="200" t="s">
        <v>299</v>
      </c>
      <c r="AT52" s="200" t="s">
        <v>241</v>
      </c>
      <c r="AU52" s="200" t="s">
        <v>241</v>
      </c>
      <c r="AV52" s="205" t="s">
        <v>242</v>
      </c>
      <c r="AW52" s="205" t="s">
        <v>243</v>
      </c>
      <c r="AX52" s="200" t="s">
        <v>1317</v>
      </c>
      <c r="AY52" s="200" t="s">
        <v>235</v>
      </c>
      <c r="AZ52" s="205" t="s">
        <v>1318</v>
      </c>
      <c r="BA52" s="205" t="s">
        <v>1319</v>
      </c>
      <c r="BB52" s="205" t="s">
        <v>244</v>
      </c>
      <c r="BD52" s="205" t="s">
        <v>239</v>
      </c>
      <c r="BE52" s="205" t="s">
        <v>446</v>
      </c>
      <c r="BF52" s="205" t="s">
        <v>457</v>
      </c>
      <c r="BH52" s="205" t="s">
        <v>456</v>
      </c>
      <c r="BI52" s="202">
        <v>51</v>
      </c>
      <c r="BJ52" s="201">
        <v>42286</v>
      </c>
      <c r="BK52" s="203" t="s">
        <v>301</v>
      </c>
      <c r="BM52" s="205">
        <v>41</v>
      </c>
    </row>
    <row r="53" spans="1:65" x14ac:dyDescent="0.25">
      <c r="A53" s="205" t="s">
        <v>1233</v>
      </c>
      <c r="B53" s="205" t="s">
        <v>1320</v>
      </c>
      <c r="C53" s="205" t="s">
        <v>1321</v>
      </c>
      <c r="D53" s="205" t="s">
        <v>1322</v>
      </c>
      <c r="E53" s="201">
        <v>42275</v>
      </c>
      <c r="F53" s="205" t="s">
        <v>282</v>
      </c>
      <c r="G53" s="205" t="s">
        <v>232</v>
      </c>
      <c r="H53" s="205" t="s">
        <v>1323</v>
      </c>
      <c r="I53" s="205" t="s">
        <v>492</v>
      </c>
      <c r="J53" s="205" t="s">
        <v>1324</v>
      </c>
      <c r="K53" s="205" t="s">
        <v>471</v>
      </c>
      <c r="L53" s="205" t="s">
        <v>472</v>
      </c>
      <c r="M53" s="205" t="s">
        <v>473</v>
      </c>
      <c r="O53" s="200" t="s">
        <v>330</v>
      </c>
      <c r="P53" s="200" t="s">
        <v>1325</v>
      </c>
      <c r="Q53" s="205" t="s">
        <v>473</v>
      </c>
      <c r="R53" s="202">
        <v>52</v>
      </c>
      <c r="U53" s="205" t="s">
        <v>456</v>
      </c>
      <c r="W53" s="205" t="s">
        <v>234</v>
      </c>
      <c r="X53" s="205" t="s">
        <v>326</v>
      </c>
      <c r="Y53" s="200" t="s">
        <v>280</v>
      </c>
      <c r="Z53" s="205" t="s">
        <v>1326</v>
      </c>
      <c r="AB53" s="205" t="s">
        <v>238</v>
      </c>
      <c r="AD53" s="205" t="s">
        <v>238</v>
      </c>
      <c r="AE53" s="205" t="s">
        <v>232</v>
      </c>
      <c r="AF53" s="205" t="s">
        <v>1327</v>
      </c>
      <c r="AG53" s="205" t="s">
        <v>239</v>
      </c>
      <c r="AH53" s="205" t="s">
        <v>239</v>
      </c>
      <c r="AI53" s="205" t="s">
        <v>1328</v>
      </c>
      <c r="AJ53" s="205" t="s">
        <v>1328</v>
      </c>
      <c r="AK53" s="205" t="s">
        <v>1329</v>
      </c>
      <c r="AL53" s="205" t="s">
        <v>239</v>
      </c>
      <c r="AM53" s="205" t="s">
        <v>239</v>
      </c>
      <c r="AN53" s="205" t="s">
        <v>239</v>
      </c>
      <c r="AO53" s="200" t="s">
        <v>235</v>
      </c>
      <c r="AP53" s="200" t="s">
        <v>235</v>
      </c>
      <c r="AQ53" s="200" t="s">
        <v>235</v>
      </c>
      <c r="AR53" s="200" t="s">
        <v>239</v>
      </c>
      <c r="AS53" s="200" t="s">
        <v>299</v>
      </c>
      <c r="AT53" s="200" t="s">
        <v>299</v>
      </c>
      <c r="AU53" s="200" t="s">
        <v>241</v>
      </c>
      <c r="AV53" s="205" t="s">
        <v>242</v>
      </c>
      <c r="AW53" s="205" t="s">
        <v>243</v>
      </c>
      <c r="AY53" s="200" t="s">
        <v>239</v>
      </c>
      <c r="AZ53" s="205" t="s">
        <v>1330</v>
      </c>
      <c r="BA53" s="205" t="s">
        <v>244</v>
      </c>
      <c r="BB53" s="205" t="s">
        <v>244</v>
      </c>
      <c r="BD53" s="205" t="s">
        <v>239</v>
      </c>
      <c r="BE53" s="205" t="s">
        <v>446</v>
      </c>
      <c r="BF53" s="205" t="s">
        <v>457</v>
      </c>
      <c r="BH53" s="205" t="s">
        <v>456</v>
      </c>
      <c r="BI53" s="202">
        <v>52</v>
      </c>
      <c r="BJ53" s="201">
        <v>42286</v>
      </c>
      <c r="BK53" s="203" t="s">
        <v>301</v>
      </c>
      <c r="BM53" s="205">
        <v>41</v>
      </c>
    </row>
    <row r="54" spans="1:65" x14ac:dyDescent="0.25">
      <c r="A54" s="205" t="s">
        <v>1233</v>
      </c>
      <c r="B54" s="205" t="s">
        <v>1331</v>
      </c>
      <c r="C54" s="205" t="s">
        <v>1332</v>
      </c>
      <c r="D54" s="205" t="s">
        <v>1333</v>
      </c>
      <c r="E54" s="201">
        <v>42275</v>
      </c>
      <c r="F54" s="205" t="s">
        <v>413</v>
      </c>
      <c r="G54" s="205" t="s">
        <v>232</v>
      </c>
      <c r="H54" s="205" t="s">
        <v>1334</v>
      </c>
      <c r="I54" s="205" t="s">
        <v>1335</v>
      </c>
      <c r="K54" s="205" t="s">
        <v>453</v>
      </c>
      <c r="L54" s="205" t="s">
        <v>461</v>
      </c>
      <c r="M54" s="205" t="s">
        <v>462</v>
      </c>
      <c r="O54" s="200" t="s">
        <v>264</v>
      </c>
      <c r="P54" s="200" t="s">
        <v>1336</v>
      </c>
      <c r="Q54" s="205" t="s">
        <v>462</v>
      </c>
      <c r="R54" s="202">
        <v>53</v>
      </c>
      <c r="U54" s="205" t="s">
        <v>456</v>
      </c>
      <c r="W54" s="205" t="s">
        <v>234</v>
      </c>
      <c r="X54" s="205" t="s">
        <v>326</v>
      </c>
      <c r="Z54" s="205" t="s">
        <v>238</v>
      </c>
      <c r="AB54" s="205" t="s">
        <v>238</v>
      </c>
      <c r="AD54" s="205" t="s">
        <v>238</v>
      </c>
      <c r="AE54" s="205" t="s">
        <v>232</v>
      </c>
      <c r="AF54" s="205" t="s">
        <v>1337</v>
      </c>
      <c r="AG54" s="205" t="s">
        <v>239</v>
      </c>
      <c r="AH54" s="205" t="s">
        <v>239</v>
      </c>
      <c r="AI54" s="205" t="s">
        <v>1338</v>
      </c>
      <c r="AJ54" s="205" t="s">
        <v>1338</v>
      </c>
      <c r="AK54" s="205" t="s">
        <v>1339</v>
      </c>
      <c r="AL54" s="205" t="s">
        <v>239</v>
      </c>
      <c r="AM54" s="205" t="s">
        <v>239</v>
      </c>
      <c r="AN54" s="205" t="s">
        <v>239</v>
      </c>
      <c r="AO54" s="200" t="s">
        <v>235</v>
      </c>
      <c r="AP54" s="200" t="s">
        <v>235</v>
      </c>
      <c r="AQ54" s="200" t="s">
        <v>235</v>
      </c>
      <c r="AR54" s="200" t="s">
        <v>239</v>
      </c>
      <c r="AS54" s="200" t="s">
        <v>299</v>
      </c>
      <c r="AT54" s="200" t="s">
        <v>299</v>
      </c>
      <c r="AU54" s="200" t="s">
        <v>241</v>
      </c>
      <c r="AV54" s="205" t="s">
        <v>242</v>
      </c>
      <c r="AW54" s="205" t="s">
        <v>243</v>
      </c>
      <c r="AY54" s="200" t="s">
        <v>239</v>
      </c>
      <c r="AZ54" s="205" t="s">
        <v>1340</v>
      </c>
      <c r="BA54" s="205" t="s">
        <v>244</v>
      </c>
      <c r="BB54" s="205" t="s">
        <v>244</v>
      </c>
      <c r="BD54" s="205" t="s">
        <v>239</v>
      </c>
      <c r="BE54" s="205" t="s">
        <v>446</v>
      </c>
      <c r="BF54" s="205" t="s">
        <v>457</v>
      </c>
      <c r="BH54" s="205" t="s">
        <v>456</v>
      </c>
      <c r="BI54" s="202">
        <v>53</v>
      </c>
      <c r="BJ54" s="201">
        <v>42289</v>
      </c>
      <c r="BK54" s="203" t="s">
        <v>301</v>
      </c>
      <c r="BM54" s="205">
        <v>42</v>
      </c>
    </row>
    <row r="55" spans="1:65" x14ac:dyDescent="0.25">
      <c r="A55" s="205" t="s">
        <v>1341</v>
      </c>
      <c r="B55" s="205" t="s">
        <v>1342</v>
      </c>
      <c r="C55" s="205" t="s">
        <v>1343</v>
      </c>
      <c r="D55" s="205" t="s">
        <v>1344</v>
      </c>
      <c r="E55" s="201">
        <v>42275</v>
      </c>
      <c r="F55" s="205" t="s">
        <v>1345</v>
      </c>
      <c r="G55" s="205" t="s">
        <v>232</v>
      </c>
      <c r="H55" s="205" t="s">
        <v>1346</v>
      </c>
      <c r="I55" s="205" t="s">
        <v>1347</v>
      </c>
      <c r="K55" s="205" t="s">
        <v>453</v>
      </c>
      <c r="L55" s="205" t="s">
        <v>448</v>
      </c>
      <c r="M55" s="205" t="s">
        <v>455</v>
      </c>
      <c r="O55" s="200" t="s">
        <v>468</v>
      </c>
      <c r="P55" s="200" t="s">
        <v>1348</v>
      </c>
      <c r="Q55" s="205" t="s">
        <v>455</v>
      </c>
      <c r="R55" s="202">
        <v>54</v>
      </c>
      <c r="U55" s="205" t="s">
        <v>456</v>
      </c>
      <c r="W55" s="205" t="s">
        <v>234</v>
      </c>
      <c r="X55" s="205" t="s">
        <v>235</v>
      </c>
      <c r="Y55" s="200" t="s">
        <v>502</v>
      </c>
      <c r="Z55" s="205" t="s">
        <v>1349</v>
      </c>
      <c r="AA55" s="200" t="s">
        <v>318</v>
      </c>
      <c r="AB55" s="205" t="s">
        <v>1350</v>
      </c>
      <c r="AC55" s="200" t="s">
        <v>1351</v>
      </c>
      <c r="AD55" s="205" t="s">
        <v>1352</v>
      </c>
      <c r="AE55" s="205" t="s">
        <v>232</v>
      </c>
      <c r="AF55" s="205" t="s">
        <v>1353</v>
      </c>
      <c r="AG55" s="205" t="s">
        <v>239</v>
      </c>
      <c r="AH55" s="205" t="s">
        <v>239</v>
      </c>
      <c r="AI55" s="205" t="s">
        <v>1354</v>
      </c>
      <c r="AJ55" s="205" t="s">
        <v>1355</v>
      </c>
      <c r="AK55" s="205" t="s">
        <v>239</v>
      </c>
      <c r="AL55" s="205" t="s">
        <v>239</v>
      </c>
      <c r="AM55" s="205" t="s">
        <v>239</v>
      </c>
      <c r="AN55" s="205" t="s">
        <v>239</v>
      </c>
      <c r="AO55" s="200" t="s">
        <v>235</v>
      </c>
      <c r="AP55" s="200" t="s">
        <v>235</v>
      </c>
      <c r="AQ55" s="200" t="s">
        <v>235</v>
      </c>
      <c r="AR55" s="200" t="s">
        <v>235</v>
      </c>
      <c r="AS55" s="200" t="s">
        <v>299</v>
      </c>
      <c r="AT55" s="200" t="s">
        <v>299</v>
      </c>
      <c r="AU55" s="200" t="s">
        <v>240</v>
      </c>
      <c r="AV55" s="205" t="s">
        <v>242</v>
      </c>
      <c r="AW55" s="205" t="s">
        <v>243</v>
      </c>
      <c r="AY55" s="200" t="s">
        <v>239</v>
      </c>
      <c r="AZ55" s="205" t="s">
        <v>1356</v>
      </c>
      <c r="BA55" s="205" t="s">
        <v>244</v>
      </c>
      <c r="BB55" s="205" t="s">
        <v>244</v>
      </c>
      <c r="BC55" s="200" t="s">
        <v>256</v>
      </c>
      <c r="BD55" s="205" t="s">
        <v>239</v>
      </c>
      <c r="BE55" s="205" t="s">
        <v>446</v>
      </c>
      <c r="BF55" s="205" t="s">
        <v>457</v>
      </c>
      <c r="BH55" s="205" t="s">
        <v>456</v>
      </c>
      <c r="BI55" s="202">
        <v>54</v>
      </c>
      <c r="BJ55" s="201">
        <v>42289</v>
      </c>
      <c r="BK55" s="203" t="s">
        <v>245</v>
      </c>
      <c r="BL55" s="204">
        <v>405.2</v>
      </c>
      <c r="BM55" s="205">
        <v>42</v>
      </c>
    </row>
    <row r="56" spans="1:65" x14ac:dyDescent="0.25">
      <c r="A56" s="205" t="s">
        <v>1341</v>
      </c>
      <c r="B56" s="205" t="s">
        <v>1357</v>
      </c>
      <c r="C56" s="205" t="s">
        <v>1358</v>
      </c>
      <c r="D56" s="205" t="s">
        <v>1359</v>
      </c>
      <c r="E56" s="201">
        <v>42275</v>
      </c>
      <c r="F56" s="205" t="s">
        <v>1360</v>
      </c>
      <c r="G56" s="205" t="s">
        <v>232</v>
      </c>
      <c r="H56" s="205" t="s">
        <v>1361</v>
      </c>
      <c r="I56" s="205" t="s">
        <v>1362</v>
      </c>
      <c r="K56" s="205" t="s">
        <v>447</v>
      </c>
      <c r="L56" s="205" t="s">
        <v>448</v>
      </c>
      <c r="M56" s="205" t="s">
        <v>449</v>
      </c>
      <c r="O56" s="200" t="s">
        <v>246</v>
      </c>
      <c r="P56" s="200" t="s">
        <v>1363</v>
      </c>
      <c r="Q56" s="205" t="s">
        <v>449</v>
      </c>
      <c r="R56" s="202">
        <v>55</v>
      </c>
      <c r="S56" s="205" t="s">
        <v>265</v>
      </c>
      <c r="U56" s="205" t="s">
        <v>456</v>
      </c>
      <c r="W56" s="205" t="s">
        <v>234</v>
      </c>
      <c r="X56" s="205" t="s">
        <v>243</v>
      </c>
      <c r="Y56" s="200" t="s">
        <v>515</v>
      </c>
      <c r="Z56" s="205" t="s">
        <v>255</v>
      </c>
      <c r="AA56" s="200" t="s">
        <v>336</v>
      </c>
      <c r="AB56" s="205" t="s">
        <v>615</v>
      </c>
      <c r="AC56" s="200" t="s">
        <v>371</v>
      </c>
      <c r="AD56" s="205" t="s">
        <v>293</v>
      </c>
      <c r="AE56" s="205" t="s">
        <v>232</v>
      </c>
      <c r="AF56" s="205" t="s">
        <v>1364</v>
      </c>
      <c r="AG56" s="205" t="s">
        <v>400</v>
      </c>
      <c r="AH56" s="205" t="s">
        <v>239</v>
      </c>
      <c r="AI56" s="205" t="s">
        <v>1365</v>
      </c>
      <c r="AJ56" s="205" t="s">
        <v>1366</v>
      </c>
      <c r="AK56" s="205" t="s">
        <v>239</v>
      </c>
      <c r="AL56" s="205" t="s">
        <v>239</v>
      </c>
      <c r="AM56" s="205" t="s">
        <v>239</v>
      </c>
      <c r="AN56" s="205" t="s">
        <v>239</v>
      </c>
      <c r="AO56" s="200" t="s">
        <v>235</v>
      </c>
      <c r="AP56" s="200" t="s">
        <v>235</v>
      </c>
      <c r="AQ56" s="200" t="s">
        <v>235</v>
      </c>
      <c r="AR56" s="200" t="s">
        <v>239</v>
      </c>
      <c r="AS56" s="200" t="s">
        <v>299</v>
      </c>
      <c r="AT56" s="200" t="s">
        <v>299</v>
      </c>
      <c r="AU56" s="200" t="s">
        <v>241</v>
      </c>
      <c r="AV56" s="205" t="s">
        <v>242</v>
      </c>
      <c r="AW56" s="205" t="s">
        <v>243</v>
      </c>
      <c r="AY56" s="200" t="s">
        <v>239</v>
      </c>
      <c r="AZ56" s="205" t="s">
        <v>1367</v>
      </c>
      <c r="BA56" s="205" t="s">
        <v>244</v>
      </c>
      <c r="BB56" s="205" t="s">
        <v>244</v>
      </c>
      <c r="BD56" s="205" t="s">
        <v>239</v>
      </c>
      <c r="BE56" s="205" t="s">
        <v>446</v>
      </c>
      <c r="BF56" s="205" t="s">
        <v>457</v>
      </c>
      <c r="BH56" s="205" t="s">
        <v>456</v>
      </c>
      <c r="BI56" s="202">
        <v>55</v>
      </c>
      <c r="BJ56" s="201">
        <v>42276</v>
      </c>
      <c r="BK56" s="203" t="s">
        <v>552</v>
      </c>
      <c r="BM56" s="205">
        <v>40</v>
      </c>
    </row>
    <row r="57" spans="1:65" x14ac:dyDescent="0.25">
      <c r="A57" s="205" t="s">
        <v>1341</v>
      </c>
      <c r="B57" s="205" t="s">
        <v>1368</v>
      </c>
      <c r="C57" s="205" t="s">
        <v>1369</v>
      </c>
      <c r="D57" s="205" t="s">
        <v>1370</v>
      </c>
      <c r="E57" s="201">
        <v>42275</v>
      </c>
      <c r="F57" s="205" t="s">
        <v>341</v>
      </c>
      <c r="G57" s="205" t="s">
        <v>232</v>
      </c>
      <c r="H57" s="205" t="s">
        <v>273</v>
      </c>
      <c r="I57" s="205" t="s">
        <v>500</v>
      </c>
      <c r="J57" s="205" t="s">
        <v>1371</v>
      </c>
      <c r="K57" s="205" t="s">
        <v>447</v>
      </c>
      <c r="L57" s="205" t="s">
        <v>448</v>
      </c>
      <c r="M57" s="205" t="s">
        <v>449</v>
      </c>
      <c r="O57" s="200" t="s">
        <v>389</v>
      </c>
      <c r="P57" s="200" t="s">
        <v>1372</v>
      </c>
      <c r="Q57" s="205" t="s">
        <v>449</v>
      </c>
      <c r="R57" s="202">
        <v>56</v>
      </c>
      <c r="U57" s="205" t="s">
        <v>456</v>
      </c>
      <c r="W57" s="205" t="s">
        <v>234</v>
      </c>
      <c r="X57" s="205" t="s">
        <v>235</v>
      </c>
      <c r="Y57" s="200" t="s">
        <v>503</v>
      </c>
      <c r="Z57" s="205" t="s">
        <v>1373</v>
      </c>
      <c r="AA57" s="200" t="s">
        <v>407</v>
      </c>
      <c r="AB57" s="205" t="s">
        <v>1374</v>
      </c>
      <c r="AC57" s="200" t="s">
        <v>307</v>
      </c>
      <c r="AD57" s="205" t="s">
        <v>1375</v>
      </c>
      <c r="AE57" s="205" t="s">
        <v>232</v>
      </c>
      <c r="AF57" s="205" t="s">
        <v>1376</v>
      </c>
      <c r="AG57" s="205" t="s">
        <v>239</v>
      </c>
      <c r="AH57" s="205" t="s">
        <v>239</v>
      </c>
      <c r="AI57" s="205" t="s">
        <v>1377</v>
      </c>
      <c r="AJ57" s="205" t="s">
        <v>1377</v>
      </c>
      <c r="AK57" s="205" t="s">
        <v>239</v>
      </c>
      <c r="AL57" s="205" t="s">
        <v>239</v>
      </c>
      <c r="AM57" s="205" t="s">
        <v>239</v>
      </c>
      <c r="AN57" s="205" t="s">
        <v>239</v>
      </c>
      <c r="AO57" s="200" t="s">
        <v>235</v>
      </c>
      <c r="AP57" s="200" t="s">
        <v>235</v>
      </c>
      <c r="AQ57" s="200" t="s">
        <v>235</v>
      </c>
      <c r="AR57" s="200" t="s">
        <v>235</v>
      </c>
      <c r="AS57" s="200" t="s">
        <v>299</v>
      </c>
      <c r="AT57" s="200" t="s">
        <v>299</v>
      </c>
      <c r="AU57" s="200" t="s">
        <v>299</v>
      </c>
      <c r="AV57" s="205" t="s">
        <v>242</v>
      </c>
      <c r="AW57" s="205" t="s">
        <v>243</v>
      </c>
      <c r="AY57" s="200" t="s">
        <v>239</v>
      </c>
      <c r="AZ57" s="205" t="s">
        <v>244</v>
      </c>
      <c r="BA57" s="205" t="s">
        <v>244</v>
      </c>
      <c r="BB57" s="205" t="s">
        <v>1378</v>
      </c>
      <c r="BD57" s="205" t="s">
        <v>239</v>
      </c>
      <c r="BE57" s="205" t="s">
        <v>446</v>
      </c>
      <c r="BF57" s="205" t="s">
        <v>457</v>
      </c>
      <c r="BH57" s="205" t="s">
        <v>456</v>
      </c>
      <c r="BI57" s="202">
        <v>56</v>
      </c>
      <c r="BJ57" s="201">
        <v>42289</v>
      </c>
      <c r="BK57" s="203" t="s">
        <v>301</v>
      </c>
      <c r="BM57" s="205">
        <v>42</v>
      </c>
    </row>
    <row r="58" spans="1:65" x14ac:dyDescent="0.25">
      <c r="A58" s="205" t="s">
        <v>1341</v>
      </c>
      <c r="B58" s="205" t="s">
        <v>1379</v>
      </c>
      <c r="C58" s="205" t="s">
        <v>1380</v>
      </c>
      <c r="D58" s="205" t="s">
        <v>1381</v>
      </c>
      <c r="E58" s="201">
        <v>42275</v>
      </c>
      <c r="F58" s="205" t="s">
        <v>261</v>
      </c>
      <c r="G58" s="205" t="s">
        <v>232</v>
      </c>
      <c r="H58" s="205" t="s">
        <v>273</v>
      </c>
      <c r="I58" s="205" t="s">
        <v>1382</v>
      </c>
      <c r="K58" s="205" t="s">
        <v>464</v>
      </c>
      <c r="L58" s="205" t="s">
        <v>465</v>
      </c>
      <c r="M58" s="205" t="s">
        <v>466</v>
      </c>
      <c r="O58" s="200" t="s">
        <v>252</v>
      </c>
      <c r="P58" s="200" t="s">
        <v>1383</v>
      </c>
      <c r="Q58" s="205" t="s">
        <v>466</v>
      </c>
      <c r="R58" s="202">
        <v>57</v>
      </c>
      <c r="U58" s="205" t="s">
        <v>456</v>
      </c>
      <c r="W58" s="205" t="s">
        <v>234</v>
      </c>
      <c r="X58" s="205" t="s">
        <v>390</v>
      </c>
      <c r="Y58" s="200" t="s">
        <v>578</v>
      </c>
      <c r="Z58" s="205" t="s">
        <v>1384</v>
      </c>
      <c r="AA58" s="200" t="s">
        <v>329</v>
      </c>
      <c r="AB58" s="205" t="s">
        <v>1385</v>
      </c>
      <c r="AC58" s="200" t="s">
        <v>1386</v>
      </c>
      <c r="AD58" s="205" t="s">
        <v>1387</v>
      </c>
      <c r="AE58" s="205" t="s">
        <v>232</v>
      </c>
      <c r="AF58" s="205" t="s">
        <v>1388</v>
      </c>
      <c r="AG58" s="205" t="s">
        <v>239</v>
      </c>
      <c r="AH58" s="205" t="s">
        <v>239</v>
      </c>
      <c r="AI58" s="205" t="s">
        <v>1389</v>
      </c>
      <c r="AJ58" s="205" t="s">
        <v>1390</v>
      </c>
      <c r="AK58" s="205" t="s">
        <v>239</v>
      </c>
      <c r="AL58" s="205" t="s">
        <v>1391</v>
      </c>
      <c r="AM58" s="205" t="s">
        <v>239</v>
      </c>
      <c r="AN58" s="205" t="s">
        <v>239</v>
      </c>
      <c r="AO58" s="200" t="s">
        <v>235</v>
      </c>
      <c r="AP58" s="200" t="s">
        <v>235</v>
      </c>
      <c r="AQ58" s="200" t="s">
        <v>239</v>
      </c>
      <c r="AR58" s="200" t="s">
        <v>239</v>
      </c>
      <c r="AS58" s="200" t="s">
        <v>299</v>
      </c>
      <c r="AT58" s="200" t="s">
        <v>241</v>
      </c>
      <c r="AU58" s="200" t="s">
        <v>241</v>
      </c>
      <c r="AV58" s="205" t="s">
        <v>242</v>
      </c>
      <c r="AW58" s="205" t="s">
        <v>243</v>
      </c>
      <c r="AX58" s="200" t="s">
        <v>1392</v>
      </c>
      <c r="AY58" s="200" t="s">
        <v>235</v>
      </c>
      <c r="AZ58" s="205" t="s">
        <v>244</v>
      </c>
      <c r="BA58" s="205" t="s">
        <v>244</v>
      </c>
      <c r="BB58" s="205" t="s">
        <v>1393</v>
      </c>
      <c r="BC58" s="200" t="s">
        <v>256</v>
      </c>
      <c r="BD58" s="205" t="s">
        <v>235</v>
      </c>
      <c r="BE58" s="205" t="s">
        <v>446</v>
      </c>
      <c r="BF58" s="205" t="s">
        <v>457</v>
      </c>
      <c r="BH58" s="205" t="s">
        <v>456</v>
      </c>
      <c r="BI58" s="202">
        <v>57</v>
      </c>
      <c r="BJ58" s="201">
        <v>42286</v>
      </c>
      <c r="BK58" s="203" t="s">
        <v>301</v>
      </c>
      <c r="BM58" s="205">
        <v>41</v>
      </c>
    </row>
    <row r="59" spans="1:65" x14ac:dyDescent="0.25">
      <c r="A59" s="205" t="s">
        <v>1341</v>
      </c>
      <c r="B59" s="205" t="s">
        <v>1394</v>
      </c>
      <c r="C59" s="205" t="s">
        <v>1395</v>
      </c>
      <c r="D59" s="205" t="s">
        <v>1396</v>
      </c>
      <c r="E59" s="201">
        <v>42275</v>
      </c>
      <c r="F59" s="205" t="s">
        <v>1397</v>
      </c>
      <c r="G59" s="205" t="s">
        <v>232</v>
      </c>
      <c r="H59" s="205" t="s">
        <v>1398</v>
      </c>
      <c r="I59" s="205" t="s">
        <v>1399</v>
      </c>
      <c r="J59" s="205" t="s">
        <v>1400</v>
      </c>
      <c r="K59" s="205" t="s">
        <v>471</v>
      </c>
      <c r="L59" s="205" t="s">
        <v>472</v>
      </c>
      <c r="M59" s="205" t="s">
        <v>473</v>
      </c>
      <c r="O59" s="200" t="s">
        <v>323</v>
      </c>
      <c r="P59" s="200" t="s">
        <v>1401</v>
      </c>
      <c r="Q59" s="205" t="s">
        <v>473</v>
      </c>
      <c r="R59" s="202">
        <v>58</v>
      </c>
      <c r="U59" s="205" t="s">
        <v>456</v>
      </c>
      <c r="W59" s="205" t="s">
        <v>234</v>
      </c>
      <c r="X59" s="205" t="s">
        <v>272</v>
      </c>
      <c r="Y59" s="200" t="s">
        <v>518</v>
      </c>
      <c r="Z59" s="205" t="s">
        <v>1402</v>
      </c>
      <c r="AA59" s="200" t="s">
        <v>416</v>
      </c>
      <c r="AB59" s="205" t="s">
        <v>260</v>
      </c>
      <c r="AC59" s="200" t="s">
        <v>383</v>
      </c>
      <c r="AD59" s="205" t="s">
        <v>1403</v>
      </c>
      <c r="AE59" s="205" t="s">
        <v>232</v>
      </c>
      <c r="AF59" s="205" t="s">
        <v>1404</v>
      </c>
      <c r="AG59" s="205" t="s">
        <v>239</v>
      </c>
      <c r="AH59" s="205" t="s">
        <v>239</v>
      </c>
      <c r="AI59" s="205" t="s">
        <v>1405</v>
      </c>
      <c r="AJ59" s="205" t="s">
        <v>1406</v>
      </c>
      <c r="AK59" s="205" t="s">
        <v>239</v>
      </c>
      <c r="AL59" s="205" t="s">
        <v>239</v>
      </c>
      <c r="AM59" s="205" t="s">
        <v>239</v>
      </c>
      <c r="AN59" s="205" t="s">
        <v>239</v>
      </c>
      <c r="AO59" s="200" t="s">
        <v>235</v>
      </c>
      <c r="AP59" s="200" t="s">
        <v>235</v>
      </c>
      <c r="AQ59" s="200" t="s">
        <v>235</v>
      </c>
      <c r="AR59" s="200" t="s">
        <v>239</v>
      </c>
      <c r="AS59" s="200" t="s">
        <v>299</v>
      </c>
      <c r="AT59" s="200" t="s">
        <v>299</v>
      </c>
      <c r="AU59" s="200" t="s">
        <v>241</v>
      </c>
      <c r="AV59" s="205" t="s">
        <v>242</v>
      </c>
      <c r="AW59" s="205" t="s">
        <v>243</v>
      </c>
      <c r="AY59" s="200" t="s">
        <v>239</v>
      </c>
      <c r="AZ59" s="205" t="s">
        <v>1407</v>
      </c>
      <c r="BA59" s="205" t="s">
        <v>244</v>
      </c>
      <c r="BB59" s="205" t="s">
        <v>244</v>
      </c>
      <c r="BD59" s="205" t="s">
        <v>239</v>
      </c>
      <c r="BE59" s="205" t="s">
        <v>446</v>
      </c>
      <c r="BF59" s="205" t="s">
        <v>457</v>
      </c>
      <c r="BH59" s="205" t="s">
        <v>456</v>
      </c>
      <c r="BI59" s="202">
        <v>58</v>
      </c>
      <c r="BJ59" s="201">
        <v>42287</v>
      </c>
      <c r="BK59" s="203" t="s">
        <v>301</v>
      </c>
      <c r="BM59" s="205">
        <v>41</v>
      </c>
    </row>
    <row r="60" spans="1:65" x14ac:dyDescent="0.25">
      <c r="A60" s="205" t="s">
        <v>1341</v>
      </c>
      <c r="B60" s="205" t="s">
        <v>1408</v>
      </c>
      <c r="C60" s="205" t="s">
        <v>1409</v>
      </c>
      <c r="D60" s="205" t="s">
        <v>1410</v>
      </c>
      <c r="E60" s="201">
        <v>42275</v>
      </c>
      <c r="F60" s="205" t="s">
        <v>1411</v>
      </c>
      <c r="G60" s="205" t="s">
        <v>232</v>
      </c>
      <c r="H60" s="205" t="s">
        <v>1412</v>
      </c>
      <c r="I60" s="205" t="s">
        <v>1413</v>
      </c>
      <c r="K60" s="205" t="s">
        <v>450</v>
      </c>
      <c r="L60" s="205" t="s">
        <v>451</v>
      </c>
      <c r="M60" s="205" t="s">
        <v>452</v>
      </c>
      <c r="O60" s="200" t="s">
        <v>389</v>
      </c>
      <c r="P60" s="200" t="s">
        <v>1414</v>
      </c>
      <c r="Q60" s="205" t="s">
        <v>452</v>
      </c>
      <c r="R60" s="202">
        <v>59</v>
      </c>
      <c r="U60" s="205" t="s">
        <v>456</v>
      </c>
      <c r="W60" s="205" t="s">
        <v>234</v>
      </c>
      <c r="X60" s="205" t="s">
        <v>300</v>
      </c>
      <c r="Y60" s="200" t="s">
        <v>680</v>
      </c>
      <c r="Z60" s="205" t="s">
        <v>260</v>
      </c>
      <c r="AA60" s="200" t="s">
        <v>340</v>
      </c>
      <c r="AB60" s="205" t="s">
        <v>1415</v>
      </c>
      <c r="AC60" s="200" t="s">
        <v>367</v>
      </c>
      <c r="AD60" s="205" t="s">
        <v>1416</v>
      </c>
      <c r="AE60" s="205" t="s">
        <v>232</v>
      </c>
      <c r="AF60" s="205" t="s">
        <v>1417</v>
      </c>
      <c r="AG60" s="205" t="s">
        <v>239</v>
      </c>
      <c r="AH60" s="205" t="s">
        <v>239</v>
      </c>
      <c r="AI60" s="205" t="s">
        <v>1418</v>
      </c>
      <c r="AJ60" s="205" t="s">
        <v>1419</v>
      </c>
      <c r="AK60" s="205" t="s">
        <v>239</v>
      </c>
      <c r="AL60" s="205" t="s">
        <v>239</v>
      </c>
      <c r="AM60" s="205" t="s">
        <v>239</v>
      </c>
      <c r="AN60" s="205" t="s">
        <v>239</v>
      </c>
      <c r="AO60" s="200" t="s">
        <v>235</v>
      </c>
      <c r="AP60" s="200" t="s">
        <v>239</v>
      </c>
      <c r="AQ60" s="200" t="s">
        <v>235</v>
      </c>
      <c r="AR60" s="200" t="s">
        <v>239</v>
      </c>
      <c r="AS60" s="200" t="s">
        <v>299</v>
      </c>
      <c r="AT60" s="200" t="s">
        <v>299</v>
      </c>
      <c r="AU60" s="200" t="s">
        <v>241</v>
      </c>
      <c r="AV60" s="205" t="s">
        <v>242</v>
      </c>
      <c r="AW60" s="205" t="s">
        <v>243</v>
      </c>
      <c r="AX60" s="200" t="s">
        <v>507</v>
      </c>
      <c r="AY60" s="200" t="s">
        <v>235</v>
      </c>
      <c r="AZ60" s="205" t="s">
        <v>1420</v>
      </c>
      <c r="BA60" s="205" t="s">
        <v>244</v>
      </c>
      <c r="BB60" s="205" t="s">
        <v>244</v>
      </c>
      <c r="BD60" s="205" t="s">
        <v>239</v>
      </c>
      <c r="BE60" s="205" t="s">
        <v>446</v>
      </c>
      <c r="BF60" s="205" t="s">
        <v>457</v>
      </c>
      <c r="BH60" s="205" t="s">
        <v>456</v>
      </c>
      <c r="BI60" s="202">
        <v>59</v>
      </c>
      <c r="BJ60" s="201">
        <v>42285</v>
      </c>
      <c r="BK60" s="203" t="s">
        <v>301</v>
      </c>
      <c r="BM60" s="205">
        <v>41</v>
      </c>
    </row>
    <row r="61" spans="1:65" x14ac:dyDescent="0.25">
      <c r="A61" s="205" t="s">
        <v>1341</v>
      </c>
      <c r="B61" s="205" t="s">
        <v>1421</v>
      </c>
      <c r="C61" s="205" t="s">
        <v>1422</v>
      </c>
      <c r="D61" s="205" t="s">
        <v>1423</v>
      </c>
      <c r="E61" s="201">
        <v>42275</v>
      </c>
      <c r="F61" s="205" t="s">
        <v>1424</v>
      </c>
      <c r="G61" s="205" t="s">
        <v>232</v>
      </c>
      <c r="H61" s="205" t="s">
        <v>1425</v>
      </c>
      <c r="I61" s="205" t="s">
        <v>1426</v>
      </c>
      <c r="J61" s="205" t="s">
        <v>381</v>
      </c>
      <c r="K61" s="205" t="s">
        <v>450</v>
      </c>
      <c r="L61" s="205" t="s">
        <v>451</v>
      </c>
      <c r="M61" s="205" t="s">
        <v>463</v>
      </c>
      <c r="O61" s="200" t="s">
        <v>344</v>
      </c>
      <c r="P61" s="200" t="s">
        <v>1427</v>
      </c>
      <c r="Q61" s="205" t="s">
        <v>463</v>
      </c>
      <c r="R61" s="202">
        <v>60</v>
      </c>
      <c r="U61" s="205" t="s">
        <v>456</v>
      </c>
      <c r="W61" s="205" t="s">
        <v>234</v>
      </c>
      <c r="X61" s="205" t="s">
        <v>235</v>
      </c>
      <c r="Y61" s="200" t="s">
        <v>510</v>
      </c>
      <c r="Z61" s="205" t="s">
        <v>1428</v>
      </c>
      <c r="AA61" s="200" t="s">
        <v>416</v>
      </c>
      <c r="AB61" s="205" t="s">
        <v>1429</v>
      </c>
      <c r="AC61" s="200" t="s">
        <v>282</v>
      </c>
      <c r="AD61" s="205" t="s">
        <v>1430</v>
      </c>
      <c r="AE61" s="205" t="s">
        <v>232</v>
      </c>
      <c r="AF61" s="205" t="s">
        <v>1431</v>
      </c>
      <c r="AG61" s="205" t="s">
        <v>239</v>
      </c>
      <c r="AH61" s="205" t="s">
        <v>239</v>
      </c>
      <c r="AI61" s="205" t="s">
        <v>1432</v>
      </c>
      <c r="AJ61" s="205" t="s">
        <v>1433</v>
      </c>
      <c r="AK61" s="205" t="s">
        <v>239</v>
      </c>
      <c r="AL61" s="205" t="s">
        <v>239</v>
      </c>
      <c r="AM61" s="205" t="s">
        <v>239</v>
      </c>
      <c r="AN61" s="205" t="s">
        <v>239</v>
      </c>
      <c r="AO61" s="200" t="s">
        <v>235</v>
      </c>
      <c r="AP61" s="200" t="s">
        <v>235</v>
      </c>
      <c r="AQ61" s="200" t="s">
        <v>235</v>
      </c>
      <c r="AR61" s="200" t="s">
        <v>235</v>
      </c>
      <c r="AS61" s="200" t="s">
        <v>299</v>
      </c>
      <c r="AT61" s="200" t="s">
        <v>299</v>
      </c>
      <c r="AU61" s="200" t="s">
        <v>299</v>
      </c>
      <c r="AV61" s="205" t="s">
        <v>242</v>
      </c>
      <c r="AW61" s="205" t="s">
        <v>243</v>
      </c>
      <c r="AY61" s="200" t="s">
        <v>239</v>
      </c>
      <c r="AZ61" s="205" t="s">
        <v>1434</v>
      </c>
      <c r="BA61" s="205" t="s">
        <v>244</v>
      </c>
      <c r="BB61" s="205" t="s">
        <v>244</v>
      </c>
      <c r="BD61" s="205" t="s">
        <v>239</v>
      </c>
      <c r="BE61" s="205" t="s">
        <v>446</v>
      </c>
      <c r="BF61" s="205" t="s">
        <v>457</v>
      </c>
      <c r="BH61" s="205" t="s">
        <v>456</v>
      </c>
      <c r="BI61" s="202">
        <v>60</v>
      </c>
      <c r="BJ61" s="201">
        <v>42289</v>
      </c>
      <c r="BK61" s="203" t="s">
        <v>301</v>
      </c>
      <c r="BM61" s="205">
        <v>42</v>
      </c>
    </row>
    <row r="62" spans="1:65" x14ac:dyDescent="0.25">
      <c r="A62" s="205" t="s">
        <v>1341</v>
      </c>
      <c r="B62" s="205" t="s">
        <v>1435</v>
      </c>
      <c r="C62" s="205" t="s">
        <v>1436</v>
      </c>
      <c r="D62" s="205" t="s">
        <v>1437</v>
      </c>
      <c r="E62" s="201">
        <v>42275</v>
      </c>
      <c r="F62" s="205" t="s">
        <v>1438</v>
      </c>
      <c r="G62" s="205" t="s">
        <v>232</v>
      </c>
      <c r="H62" s="205" t="s">
        <v>1439</v>
      </c>
      <c r="I62" s="205" t="s">
        <v>1440</v>
      </c>
      <c r="K62" s="205" t="s">
        <v>453</v>
      </c>
      <c r="L62" s="205" t="s">
        <v>454</v>
      </c>
      <c r="M62" s="205" t="s">
        <v>462</v>
      </c>
      <c r="O62" s="200" t="s">
        <v>252</v>
      </c>
      <c r="P62" s="200" t="s">
        <v>1441</v>
      </c>
      <c r="Q62" s="205" t="s">
        <v>462</v>
      </c>
      <c r="R62" s="202">
        <v>61</v>
      </c>
      <c r="U62" s="205" t="s">
        <v>456</v>
      </c>
      <c r="W62" s="205" t="s">
        <v>234</v>
      </c>
      <c r="X62" s="205" t="s">
        <v>300</v>
      </c>
      <c r="Y62" s="200" t="s">
        <v>505</v>
      </c>
      <c r="Z62" s="205" t="s">
        <v>496</v>
      </c>
      <c r="AA62" s="200" t="s">
        <v>358</v>
      </c>
      <c r="AB62" s="205" t="s">
        <v>559</v>
      </c>
      <c r="AC62" s="200" t="s">
        <v>356</v>
      </c>
      <c r="AD62" s="205" t="s">
        <v>496</v>
      </c>
      <c r="AE62" s="205" t="s">
        <v>232</v>
      </c>
      <c r="AF62" s="205" t="s">
        <v>1442</v>
      </c>
      <c r="AG62" s="205" t="s">
        <v>239</v>
      </c>
      <c r="AH62" s="205" t="s">
        <v>239</v>
      </c>
      <c r="AI62" s="205" t="s">
        <v>368</v>
      </c>
      <c r="AJ62" s="205" t="s">
        <v>1443</v>
      </c>
      <c r="AK62" s="205" t="s">
        <v>239</v>
      </c>
      <c r="AL62" s="205" t="s">
        <v>239</v>
      </c>
      <c r="AM62" s="205" t="s">
        <v>239</v>
      </c>
      <c r="AN62" s="205" t="s">
        <v>239</v>
      </c>
      <c r="AO62" s="200" t="s">
        <v>239</v>
      </c>
      <c r="AP62" s="200" t="s">
        <v>239</v>
      </c>
      <c r="AQ62" s="200" t="s">
        <v>235</v>
      </c>
      <c r="AR62" s="200" t="s">
        <v>239</v>
      </c>
      <c r="AS62" s="200" t="s">
        <v>262</v>
      </c>
      <c r="AT62" s="200" t="s">
        <v>299</v>
      </c>
      <c r="AU62" s="200" t="s">
        <v>241</v>
      </c>
      <c r="AV62" s="205" t="s">
        <v>242</v>
      </c>
      <c r="AW62" s="205" t="s">
        <v>243</v>
      </c>
      <c r="AY62" s="200" t="s">
        <v>239</v>
      </c>
      <c r="AZ62" s="205" t="s">
        <v>1444</v>
      </c>
      <c r="BA62" s="205" t="s">
        <v>244</v>
      </c>
      <c r="BB62" s="205" t="s">
        <v>244</v>
      </c>
      <c r="BC62" s="200" t="s">
        <v>256</v>
      </c>
      <c r="BD62" s="205" t="s">
        <v>239</v>
      </c>
      <c r="BE62" s="205" t="s">
        <v>446</v>
      </c>
      <c r="BF62" s="205" t="s">
        <v>457</v>
      </c>
      <c r="BH62" s="205" t="s">
        <v>456</v>
      </c>
      <c r="BI62" s="202">
        <v>61</v>
      </c>
      <c r="BJ62" s="201">
        <v>42277</v>
      </c>
      <c r="BK62" s="203" t="s">
        <v>245</v>
      </c>
      <c r="BL62" s="204">
        <v>57.19</v>
      </c>
      <c r="BM62" s="205">
        <v>40</v>
      </c>
    </row>
    <row r="63" spans="1:65" x14ac:dyDescent="0.25">
      <c r="A63" s="205" t="s">
        <v>1341</v>
      </c>
      <c r="B63" s="205" t="s">
        <v>1445</v>
      </c>
      <c r="C63" s="205" t="s">
        <v>1446</v>
      </c>
      <c r="D63" s="205" t="s">
        <v>1447</v>
      </c>
      <c r="E63" s="201">
        <v>42275</v>
      </c>
      <c r="F63" s="205" t="s">
        <v>1448</v>
      </c>
      <c r="G63" s="205" t="s">
        <v>232</v>
      </c>
      <c r="H63" s="205" t="s">
        <v>1449</v>
      </c>
      <c r="I63" s="205" t="s">
        <v>1450</v>
      </c>
      <c r="K63" s="205" t="s">
        <v>453</v>
      </c>
      <c r="L63" s="205" t="s">
        <v>461</v>
      </c>
      <c r="M63" s="205" t="s">
        <v>470</v>
      </c>
      <c r="O63" s="200" t="s">
        <v>404</v>
      </c>
      <c r="P63" s="200" t="s">
        <v>1451</v>
      </c>
      <c r="Q63" s="205" t="s">
        <v>470</v>
      </c>
      <c r="R63" s="202">
        <v>62</v>
      </c>
      <c r="U63" s="205" t="s">
        <v>456</v>
      </c>
      <c r="W63" s="205" t="s">
        <v>234</v>
      </c>
      <c r="X63" s="205" t="s">
        <v>235</v>
      </c>
      <c r="Y63" s="200" t="s">
        <v>397</v>
      </c>
      <c r="Z63" s="205" t="s">
        <v>284</v>
      </c>
      <c r="AA63" s="200" t="s">
        <v>358</v>
      </c>
      <c r="AB63" s="205" t="s">
        <v>284</v>
      </c>
      <c r="AC63" s="200" t="s">
        <v>690</v>
      </c>
      <c r="AD63" s="205" t="s">
        <v>284</v>
      </c>
      <c r="AE63" s="205" t="s">
        <v>232</v>
      </c>
      <c r="AF63" s="205" t="s">
        <v>1452</v>
      </c>
      <c r="AG63" s="205" t="s">
        <v>239</v>
      </c>
      <c r="AH63" s="205" t="s">
        <v>239</v>
      </c>
      <c r="AI63" s="205" t="s">
        <v>1453</v>
      </c>
      <c r="AJ63" s="205" t="s">
        <v>1454</v>
      </c>
      <c r="AK63" s="205" t="s">
        <v>239</v>
      </c>
      <c r="AL63" s="205" t="s">
        <v>239</v>
      </c>
      <c r="AM63" s="205" t="s">
        <v>239</v>
      </c>
      <c r="AN63" s="205" t="s">
        <v>239</v>
      </c>
      <c r="AO63" s="200" t="s">
        <v>239</v>
      </c>
      <c r="AP63" s="200" t="s">
        <v>239</v>
      </c>
      <c r="AQ63" s="200" t="s">
        <v>235</v>
      </c>
      <c r="AR63" s="200" t="s">
        <v>239</v>
      </c>
      <c r="AS63" s="200" t="s">
        <v>262</v>
      </c>
      <c r="AT63" s="200" t="s">
        <v>299</v>
      </c>
      <c r="AU63" s="200" t="s">
        <v>241</v>
      </c>
      <c r="AV63" s="205" t="s">
        <v>242</v>
      </c>
      <c r="AW63" s="205" t="s">
        <v>243</v>
      </c>
      <c r="AY63" s="200" t="s">
        <v>239</v>
      </c>
      <c r="AZ63" s="205" t="s">
        <v>1455</v>
      </c>
      <c r="BA63" s="205" t="s">
        <v>1456</v>
      </c>
      <c r="BB63" s="205" t="s">
        <v>244</v>
      </c>
      <c r="BC63" s="200" t="s">
        <v>256</v>
      </c>
      <c r="BD63" s="205" t="s">
        <v>239</v>
      </c>
      <c r="BE63" s="205" t="s">
        <v>446</v>
      </c>
      <c r="BF63" s="205" t="s">
        <v>457</v>
      </c>
      <c r="BH63" s="205" t="s">
        <v>456</v>
      </c>
      <c r="BI63" s="202">
        <v>62</v>
      </c>
      <c r="BJ63" s="201">
        <v>42277</v>
      </c>
      <c r="BK63" s="203" t="s">
        <v>245</v>
      </c>
      <c r="BL63" s="204">
        <v>100</v>
      </c>
      <c r="BM63" s="205">
        <v>40</v>
      </c>
    </row>
    <row r="64" spans="1:65" x14ac:dyDescent="0.25">
      <c r="A64" s="205" t="s">
        <v>1341</v>
      </c>
      <c r="B64" s="205" t="s">
        <v>1457</v>
      </c>
      <c r="C64" s="205" t="s">
        <v>1458</v>
      </c>
      <c r="D64" s="205" t="s">
        <v>1459</v>
      </c>
      <c r="E64" s="201">
        <v>42275</v>
      </c>
      <c r="F64" s="205" t="s">
        <v>1460</v>
      </c>
      <c r="G64" s="205" t="s">
        <v>232</v>
      </c>
      <c r="H64" s="205" t="s">
        <v>1461</v>
      </c>
      <c r="I64" s="205" t="s">
        <v>1462</v>
      </c>
      <c r="K64" s="205" t="s">
        <v>453</v>
      </c>
      <c r="L64" s="205" t="s">
        <v>454</v>
      </c>
      <c r="M64" s="205" t="s">
        <v>455</v>
      </c>
      <c r="O64" s="200" t="s">
        <v>344</v>
      </c>
      <c r="P64" s="200" t="s">
        <v>1463</v>
      </c>
      <c r="Q64" s="205" t="s">
        <v>455</v>
      </c>
      <c r="R64" s="202">
        <v>63</v>
      </c>
      <c r="U64" s="205" t="s">
        <v>456</v>
      </c>
      <c r="W64" s="205" t="s">
        <v>234</v>
      </c>
      <c r="X64" s="205" t="s">
        <v>235</v>
      </c>
      <c r="Y64" s="200" t="s">
        <v>428</v>
      </c>
      <c r="Z64" s="205" t="s">
        <v>1464</v>
      </c>
      <c r="AA64" s="200" t="s">
        <v>337</v>
      </c>
      <c r="AB64" s="205" t="s">
        <v>1465</v>
      </c>
      <c r="AC64" s="200" t="s">
        <v>298</v>
      </c>
      <c r="AD64" s="205" t="s">
        <v>1466</v>
      </c>
      <c r="AE64" s="205" t="s">
        <v>232</v>
      </c>
      <c r="AF64" s="205" t="s">
        <v>1467</v>
      </c>
      <c r="AG64" s="205" t="s">
        <v>239</v>
      </c>
      <c r="AH64" s="205" t="s">
        <v>239</v>
      </c>
      <c r="AI64" s="205" t="s">
        <v>1468</v>
      </c>
      <c r="AJ64" s="205" t="s">
        <v>1469</v>
      </c>
      <c r="AK64" s="205" t="s">
        <v>239</v>
      </c>
      <c r="AL64" s="205" t="s">
        <v>239</v>
      </c>
      <c r="AM64" s="205" t="s">
        <v>239</v>
      </c>
      <c r="AN64" s="205" t="s">
        <v>239</v>
      </c>
      <c r="AO64" s="200" t="s">
        <v>235</v>
      </c>
      <c r="AP64" s="200" t="s">
        <v>235</v>
      </c>
      <c r="AQ64" s="200" t="s">
        <v>235</v>
      </c>
      <c r="AR64" s="200" t="s">
        <v>239</v>
      </c>
      <c r="AS64" s="200" t="s">
        <v>299</v>
      </c>
      <c r="AT64" s="200" t="s">
        <v>299</v>
      </c>
      <c r="AU64" s="200" t="s">
        <v>241</v>
      </c>
      <c r="AV64" s="205" t="s">
        <v>242</v>
      </c>
      <c r="AW64" s="205" t="s">
        <v>243</v>
      </c>
      <c r="AY64" s="200" t="s">
        <v>239</v>
      </c>
      <c r="AZ64" s="205" t="s">
        <v>1470</v>
      </c>
      <c r="BA64" s="205" t="s">
        <v>244</v>
      </c>
      <c r="BB64" s="205" t="s">
        <v>244</v>
      </c>
      <c r="BD64" s="205" t="s">
        <v>235</v>
      </c>
      <c r="BE64" s="205" t="s">
        <v>446</v>
      </c>
      <c r="BF64" s="205" t="s">
        <v>457</v>
      </c>
      <c r="BH64" s="205" t="s">
        <v>456</v>
      </c>
      <c r="BI64" s="202">
        <v>63</v>
      </c>
      <c r="BJ64" s="201">
        <v>42279</v>
      </c>
      <c r="BK64" s="203" t="s">
        <v>395</v>
      </c>
      <c r="BM64" s="205">
        <v>40</v>
      </c>
    </row>
    <row r="65" spans="1:65" x14ac:dyDescent="0.25">
      <c r="A65" s="205" t="s">
        <v>1341</v>
      </c>
      <c r="B65" s="205" t="s">
        <v>1471</v>
      </c>
      <c r="C65" s="205" t="s">
        <v>1472</v>
      </c>
      <c r="D65" s="205" t="s">
        <v>1473</v>
      </c>
      <c r="E65" s="201">
        <v>42275</v>
      </c>
      <c r="F65" s="205" t="s">
        <v>1474</v>
      </c>
      <c r="G65" s="205" t="s">
        <v>232</v>
      </c>
      <c r="H65" s="205" t="s">
        <v>1475</v>
      </c>
      <c r="I65" s="205" t="s">
        <v>1476</v>
      </c>
      <c r="J65" s="205" t="s">
        <v>1477</v>
      </c>
      <c r="K65" s="205" t="s">
        <v>453</v>
      </c>
      <c r="L65" s="205" t="s">
        <v>461</v>
      </c>
      <c r="M65" s="205" t="s">
        <v>460</v>
      </c>
      <c r="O65" s="200" t="s">
        <v>323</v>
      </c>
      <c r="P65" s="200" t="s">
        <v>1478</v>
      </c>
      <c r="Q65" s="205" t="s">
        <v>460</v>
      </c>
      <c r="R65" s="202">
        <v>64</v>
      </c>
      <c r="U65" s="205" t="s">
        <v>456</v>
      </c>
      <c r="W65" s="205" t="s">
        <v>234</v>
      </c>
      <c r="X65" s="205" t="s">
        <v>243</v>
      </c>
      <c r="Y65" s="200" t="s">
        <v>1117</v>
      </c>
      <c r="Z65" s="205" t="s">
        <v>268</v>
      </c>
      <c r="AA65" s="200" t="s">
        <v>1117</v>
      </c>
      <c r="AB65" s="205" t="s">
        <v>1479</v>
      </c>
      <c r="AC65" s="200" t="s">
        <v>516</v>
      </c>
      <c r="AD65" s="205" t="s">
        <v>553</v>
      </c>
      <c r="AE65" s="205" t="s">
        <v>232</v>
      </c>
      <c r="AF65" s="205" t="s">
        <v>1480</v>
      </c>
      <c r="AG65" s="205" t="s">
        <v>1165</v>
      </c>
      <c r="AH65" s="205" t="s">
        <v>239</v>
      </c>
      <c r="AI65" s="205" t="s">
        <v>1481</v>
      </c>
      <c r="AJ65" s="205" t="s">
        <v>239</v>
      </c>
      <c r="AK65" s="205" t="s">
        <v>239</v>
      </c>
      <c r="AL65" s="205" t="s">
        <v>239</v>
      </c>
      <c r="AM65" s="205" t="s">
        <v>239</v>
      </c>
      <c r="AN65" s="205" t="s">
        <v>239</v>
      </c>
      <c r="AO65" s="200" t="s">
        <v>235</v>
      </c>
      <c r="AP65" s="200" t="s">
        <v>235</v>
      </c>
      <c r="AQ65" s="200" t="s">
        <v>239</v>
      </c>
      <c r="AR65" s="200" t="s">
        <v>239</v>
      </c>
      <c r="AS65" s="200" t="s">
        <v>240</v>
      </c>
      <c r="AT65" s="200" t="s">
        <v>241</v>
      </c>
      <c r="AU65" s="200" t="s">
        <v>241</v>
      </c>
      <c r="AV65" s="205" t="s">
        <v>242</v>
      </c>
      <c r="AW65" s="205" t="s">
        <v>243</v>
      </c>
      <c r="AY65" s="200" t="s">
        <v>239</v>
      </c>
      <c r="AZ65" s="205" t="s">
        <v>1482</v>
      </c>
      <c r="BA65" s="205" t="s">
        <v>244</v>
      </c>
      <c r="BB65" s="205" t="s">
        <v>244</v>
      </c>
      <c r="BD65" s="205" t="s">
        <v>239</v>
      </c>
      <c r="BE65" s="205" t="s">
        <v>446</v>
      </c>
      <c r="BF65" s="205" t="s">
        <v>457</v>
      </c>
      <c r="BH65" s="205" t="s">
        <v>456</v>
      </c>
      <c r="BI65" s="202">
        <v>64</v>
      </c>
      <c r="BJ65" s="201">
        <v>42276</v>
      </c>
      <c r="BK65" s="203" t="s">
        <v>245</v>
      </c>
      <c r="BL65" s="204">
        <v>85</v>
      </c>
      <c r="BM65" s="205">
        <v>40</v>
      </c>
    </row>
    <row r="66" spans="1:65" x14ac:dyDescent="0.25">
      <c r="A66" s="205" t="s">
        <v>1341</v>
      </c>
      <c r="B66" s="205" t="s">
        <v>1483</v>
      </c>
      <c r="C66" s="205" t="s">
        <v>1484</v>
      </c>
      <c r="D66" s="205" t="s">
        <v>1485</v>
      </c>
      <c r="E66" s="201">
        <v>42275</v>
      </c>
      <c r="F66" s="205" t="s">
        <v>1486</v>
      </c>
      <c r="G66" s="205" t="s">
        <v>232</v>
      </c>
      <c r="H66" s="205" t="s">
        <v>1487</v>
      </c>
      <c r="I66" s="205" t="s">
        <v>1488</v>
      </c>
      <c r="K66" s="205" t="s">
        <v>453</v>
      </c>
      <c r="L66" s="205" t="s">
        <v>454</v>
      </c>
      <c r="M66" s="205" t="s">
        <v>462</v>
      </c>
      <c r="O66" s="200" t="s">
        <v>652</v>
      </c>
      <c r="P66" s="200" t="s">
        <v>1489</v>
      </c>
      <c r="Q66" s="205" t="s">
        <v>462</v>
      </c>
      <c r="R66" s="202">
        <v>65</v>
      </c>
      <c r="U66" s="205" t="s">
        <v>456</v>
      </c>
      <c r="W66" s="205" t="s">
        <v>234</v>
      </c>
      <c r="X66" s="205" t="s">
        <v>243</v>
      </c>
      <c r="Y66" s="200" t="s">
        <v>1117</v>
      </c>
      <c r="Z66" s="205" t="s">
        <v>1490</v>
      </c>
      <c r="AA66" s="200" t="s">
        <v>259</v>
      </c>
      <c r="AB66" s="205" t="s">
        <v>1491</v>
      </c>
      <c r="AC66" s="200" t="s">
        <v>614</v>
      </c>
      <c r="AD66" s="205" t="s">
        <v>1492</v>
      </c>
      <c r="AE66" s="205" t="s">
        <v>232</v>
      </c>
      <c r="AF66" s="205" t="s">
        <v>1493</v>
      </c>
      <c r="AG66" s="205" t="s">
        <v>1165</v>
      </c>
      <c r="AH66" s="205" t="s">
        <v>239</v>
      </c>
      <c r="AI66" s="205" t="s">
        <v>1494</v>
      </c>
      <c r="AJ66" s="205" t="s">
        <v>239</v>
      </c>
      <c r="AK66" s="205" t="s">
        <v>239</v>
      </c>
      <c r="AL66" s="205" t="s">
        <v>239</v>
      </c>
      <c r="AM66" s="205" t="s">
        <v>239</v>
      </c>
      <c r="AN66" s="205" t="s">
        <v>239</v>
      </c>
      <c r="AO66" s="200" t="s">
        <v>235</v>
      </c>
      <c r="AP66" s="200" t="s">
        <v>239</v>
      </c>
      <c r="AQ66" s="200" t="s">
        <v>235</v>
      </c>
      <c r="AR66" s="200" t="s">
        <v>239</v>
      </c>
      <c r="AS66" s="200" t="s">
        <v>240</v>
      </c>
      <c r="AT66" s="200" t="s">
        <v>240</v>
      </c>
      <c r="AU66" s="200" t="s">
        <v>241</v>
      </c>
      <c r="AV66" s="205" t="s">
        <v>242</v>
      </c>
      <c r="AW66" s="205" t="s">
        <v>243</v>
      </c>
      <c r="AY66" s="200" t="s">
        <v>239</v>
      </c>
      <c r="AZ66" s="205" t="s">
        <v>1495</v>
      </c>
      <c r="BA66" s="205" t="s">
        <v>244</v>
      </c>
      <c r="BB66" s="205" t="s">
        <v>244</v>
      </c>
      <c r="BC66" s="200" t="s">
        <v>256</v>
      </c>
      <c r="BD66" s="205" t="s">
        <v>239</v>
      </c>
      <c r="BE66" s="205" t="s">
        <v>446</v>
      </c>
      <c r="BF66" s="205" t="s">
        <v>457</v>
      </c>
      <c r="BH66" s="205" t="s">
        <v>456</v>
      </c>
      <c r="BI66" s="202">
        <v>65</v>
      </c>
      <c r="BJ66" s="201">
        <v>42276</v>
      </c>
      <c r="BK66" s="203" t="s">
        <v>245</v>
      </c>
      <c r="BL66" s="204">
        <v>66</v>
      </c>
      <c r="BM66" s="205">
        <v>40</v>
      </c>
    </row>
    <row r="67" spans="1:65" x14ac:dyDescent="0.25">
      <c r="A67" s="205" t="s">
        <v>1341</v>
      </c>
      <c r="B67" s="205" t="s">
        <v>1496</v>
      </c>
      <c r="C67" s="205" t="s">
        <v>1497</v>
      </c>
      <c r="D67" s="205" t="s">
        <v>1498</v>
      </c>
      <c r="E67" s="201">
        <v>42275</v>
      </c>
      <c r="F67" s="205" t="s">
        <v>545</v>
      </c>
      <c r="G67" s="205" t="s">
        <v>232</v>
      </c>
      <c r="H67" s="205" t="s">
        <v>1499</v>
      </c>
      <c r="I67" s="205" t="s">
        <v>1500</v>
      </c>
      <c r="K67" s="205" t="s">
        <v>464</v>
      </c>
      <c r="L67" s="205" t="s">
        <v>465</v>
      </c>
      <c r="M67" s="205" t="s">
        <v>466</v>
      </c>
      <c r="O67" s="200" t="s">
        <v>389</v>
      </c>
      <c r="P67" s="200" t="s">
        <v>1501</v>
      </c>
      <c r="Q67" s="205" t="s">
        <v>466</v>
      </c>
      <c r="R67" s="202">
        <v>66</v>
      </c>
      <c r="U67" s="205" t="s">
        <v>456</v>
      </c>
      <c r="W67" s="205" t="s">
        <v>234</v>
      </c>
      <c r="X67" s="205" t="s">
        <v>243</v>
      </c>
      <c r="Y67" s="200" t="s">
        <v>524</v>
      </c>
      <c r="Z67" s="205" t="s">
        <v>1502</v>
      </c>
      <c r="AA67" s="200" t="s">
        <v>336</v>
      </c>
      <c r="AB67" s="205" t="s">
        <v>1503</v>
      </c>
      <c r="AC67" s="200" t="s">
        <v>394</v>
      </c>
      <c r="AD67" s="205" t="s">
        <v>1504</v>
      </c>
      <c r="AE67" s="205" t="s">
        <v>232</v>
      </c>
      <c r="AF67" s="205" t="s">
        <v>1505</v>
      </c>
      <c r="AG67" s="205" t="s">
        <v>239</v>
      </c>
      <c r="AH67" s="205" t="s">
        <v>239</v>
      </c>
      <c r="AI67" s="205" t="s">
        <v>1506</v>
      </c>
      <c r="AJ67" s="205" t="s">
        <v>1507</v>
      </c>
      <c r="AK67" s="205" t="s">
        <v>239</v>
      </c>
      <c r="AL67" s="205" t="s">
        <v>239</v>
      </c>
      <c r="AM67" s="205" t="s">
        <v>239</v>
      </c>
      <c r="AN67" s="205" t="s">
        <v>239</v>
      </c>
      <c r="AO67" s="200" t="s">
        <v>235</v>
      </c>
      <c r="AP67" s="200" t="s">
        <v>235</v>
      </c>
      <c r="AQ67" s="200" t="s">
        <v>235</v>
      </c>
      <c r="AR67" s="200" t="s">
        <v>239</v>
      </c>
      <c r="AS67" s="200" t="s">
        <v>299</v>
      </c>
      <c r="AT67" s="200" t="s">
        <v>299</v>
      </c>
      <c r="AU67" s="200" t="s">
        <v>241</v>
      </c>
      <c r="AV67" s="205" t="s">
        <v>242</v>
      </c>
      <c r="AW67" s="205" t="s">
        <v>243</v>
      </c>
      <c r="AX67" s="200" t="s">
        <v>1508</v>
      </c>
      <c r="AY67" s="200" t="s">
        <v>300</v>
      </c>
      <c r="AZ67" s="205" t="s">
        <v>1509</v>
      </c>
      <c r="BA67" s="205" t="s">
        <v>244</v>
      </c>
      <c r="BB67" s="205" t="s">
        <v>1510</v>
      </c>
      <c r="BD67" s="205" t="s">
        <v>239</v>
      </c>
      <c r="BE67" s="205" t="s">
        <v>446</v>
      </c>
      <c r="BF67" s="205" t="s">
        <v>457</v>
      </c>
      <c r="BH67" s="205" t="s">
        <v>456</v>
      </c>
      <c r="BI67" s="202">
        <v>66</v>
      </c>
      <c r="BJ67" s="201">
        <v>42289</v>
      </c>
      <c r="BK67" s="203" t="s">
        <v>301</v>
      </c>
      <c r="BM67" s="205">
        <v>42</v>
      </c>
    </row>
    <row r="68" spans="1:65" x14ac:dyDescent="0.25">
      <c r="A68" s="205" t="s">
        <v>1341</v>
      </c>
      <c r="B68" s="205" t="s">
        <v>1511</v>
      </c>
      <c r="C68" s="205" t="s">
        <v>1512</v>
      </c>
      <c r="D68" s="205" t="s">
        <v>1513</v>
      </c>
      <c r="E68" s="201">
        <v>42275</v>
      </c>
      <c r="F68" s="205" t="s">
        <v>1514</v>
      </c>
      <c r="G68" s="205" t="s">
        <v>232</v>
      </c>
      <c r="H68" s="205" t="s">
        <v>1515</v>
      </c>
      <c r="I68" s="205" t="s">
        <v>1516</v>
      </c>
      <c r="K68" s="205" t="s">
        <v>442</v>
      </c>
      <c r="L68" s="205" t="s">
        <v>443</v>
      </c>
      <c r="M68" s="205" t="s">
        <v>444</v>
      </c>
      <c r="O68" s="200" t="s">
        <v>468</v>
      </c>
      <c r="P68" s="200" t="s">
        <v>1517</v>
      </c>
      <c r="Q68" s="205" t="s">
        <v>444</v>
      </c>
      <c r="R68" s="202">
        <v>67</v>
      </c>
      <c r="U68" s="205" t="s">
        <v>456</v>
      </c>
      <c r="W68" s="205" t="s">
        <v>234</v>
      </c>
      <c r="X68" s="205" t="s">
        <v>243</v>
      </c>
      <c r="Y68" s="200" t="s">
        <v>541</v>
      </c>
      <c r="Z68" s="205" t="s">
        <v>1518</v>
      </c>
      <c r="AA68" s="200" t="s">
        <v>294</v>
      </c>
      <c r="AB68" s="205" t="s">
        <v>1519</v>
      </c>
      <c r="AC68" s="200" t="s">
        <v>394</v>
      </c>
      <c r="AD68" s="205" t="s">
        <v>1520</v>
      </c>
      <c r="AE68" s="205" t="s">
        <v>232</v>
      </c>
      <c r="AF68" s="205" t="s">
        <v>1521</v>
      </c>
      <c r="AG68" s="205" t="s">
        <v>239</v>
      </c>
      <c r="AH68" s="205" t="s">
        <v>239</v>
      </c>
      <c r="AI68" s="205" t="s">
        <v>1522</v>
      </c>
      <c r="AJ68" s="205" t="s">
        <v>1523</v>
      </c>
      <c r="AK68" s="205" t="s">
        <v>239</v>
      </c>
      <c r="AL68" s="205" t="s">
        <v>239</v>
      </c>
      <c r="AM68" s="205" t="s">
        <v>239</v>
      </c>
      <c r="AN68" s="205" t="s">
        <v>239</v>
      </c>
      <c r="AO68" s="200" t="s">
        <v>235</v>
      </c>
      <c r="AP68" s="200" t="s">
        <v>235</v>
      </c>
      <c r="AQ68" s="200" t="s">
        <v>235</v>
      </c>
      <c r="AR68" s="200" t="s">
        <v>239</v>
      </c>
      <c r="AS68" s="200" t="s">
        <v>299</v>
      </c>
      <c r="AT68" s="200" t="s">
        <v>299</v>
      </c>
      <c r="AU68" s="200" t="s">
        <v>241</v>
      </c>
      <c r="AV68" s="205" t="s">
        <v>242</v>
      </c>
      <c r="AW68" s="205" t="s">
        <v>243</v>
      </c>
      <c r="AY68" s="200" t="s">
        <v>239</v>
      </c>
      <c r="AZ68" s="205" t="s">
        <v>1524</v>
      </c>
      <c r="BA68" s="205" t="s">
        <v>244</v>
      </c>
      <c r="BB68" s="205" t="s">
        <v>244</v>
      </c>
      <c r="BC68" s="200" t="s">
        <v>256</v>
      </c>
      <c r="BD68" s="205" t="s">
        <v>239</v>
      </c>
      <c r="BE68" s="205" t="s">
        <v>446</v>
      </c>
      <c r="BF68" s="205" t="s">
        <v>457</v>
      </c>
      <c r="BH68" s="205" t="s">
        <v>456</v>
      </c>
      <c r="BI68" s="202">
        <v>67</v>
      </c>
      <c r="BJ68" s="201">
        <v>42283</v>
      </c>
      <c r="BK68" s="203" t="s">
        <v>245</v>
      </c>
      <c r="BL68" s="204">
        <v>411.98</v>
      </c>
      <c r="BM68" s="205">
        <v>41</v>
      </c>
    </row>
    <row r="69" spans="1:65" x14ac:dyDescent="0.25">
      <c r="A69" s="205" t="s">
        <v>1341</v>
      </c>
      <c r="B69" s="205" t="s">
        <v>1525</v>
      </c>
      <c r="C69" s="205" t="s">
        <v>1526</v>
      </c>
      <c r="D69" s="205" t="s">
        <v>1527</v>
      </c>
      <c r="E69" s="201">
        <v>42275</v>
      </c>
      <c r="F69" s="205" t="s">
        <v>277</v>
      </c>
      <c r="G69" s="205" t="s">
        <v>232</v>
      </c>
      <c r="H69" s="205" t="s">
        <v>1528</v>
      </c>
      <c r="I69" s="205" t="s">
        <v>1529</v>
      </c>
      <c r="K69" s="205" t="s">
        <v>453</v>
      </c>
      <c r="L69" s="205" t="s">
        <v>454</v>
      </c>
      <c r="M69" s="205" t="s">
        <v>455</v>
      </c>
      <c r="O69" s="200" t="s">
        <v>288</v>
      </c>
      <c r="P69" s="200" t="s">
        <v>1530</v>
      </c>
      <c r="Q69" s="205" t="s">
        <v>455</v>
      </c>
      <c r="R69" s="202">
        <v>68</v>
      </c>
      <c r="U69" s="205" t="s">
        <v>456</v>
      </c>
      <c r="W69" s="205" t="s">
        <v>234</v>
      </c>
      <c r="X69" s="205" t="s">
        <v>235</v>
      </c>
      <c r="Y69" s="200" t="s">
        <v>518</v>
      </c>
      <c r="Z69" s="205" t="s">
        <v>1031</v>
      </c>
      <c r="AA69" s="200" t="s">
        <v>518</v>
      </c>
      <c r="AB69" s="205" t="s">
        <v>237</v>
      </c>
      <c r="AC69" s="200" t="s">
        <v>514</v>
      </c>
      <c r="AD69" s="205" t="s">
        <v>237</v>
      </c>
      <c r="AE69" s="205" t="s">
        <v>232</v>
      </c>
      <c r="AF69" s="205" t="s">
        <v>1531</v>
      </c>
      <c r="AG69" s="205" t="s">
        <v>239</v>
      </c>
      <c r="AH69" s="205" t="s">
        <v>239</v>
      </c>
      <c r="AI69" s="205" t="s">
        <v>1532</v>
      </c>
      <c r="AJ69" s="205" t="s">
        <v>1533</v>
      </c>
      <c r="AK69" s="205" t="s">
        <v>239</v>
      </c>
      <c r="AL69" s="205" t="s">
        <v>239</v>
      </c>
      <c r="AM69" s="205" t="s">
        <v>239</v>
      </c>
      <c r="AN69" s="205" t="s">
        <v>239</v>
      </c>
      <c r="AO69" s="200" t="s">
        <v>235</v>
      </c>
      <c r="AP69" s="200" t="s">
        <v>235</v>
      </c>
      <c r="AQ69" s="200" t="s">
        <v>235</v>
      </c>
      <c r="AR69" s="200" t="s">
        <v>239</v>
      </c>
      <c r="AS69" s="200" t="s">
        <v>299</v>
      </c>
      <c r="AT69" s="200" t="s">
        <v>299</v>
      </c>
      <c r="AU69" s="200" t="s">
        <v>241</v>
      </c>
      <c r="AV69" s="205" t="s">
        <v>242</v>
      </c>
      <c r="AW69" s="205" t="s">
        <v>243</v>
      </c>
      <c r="AY69" s="200" t="s">
        <v>239</v>
      </c>
      <c r="AZ69" s="205" t="s">
        <v>1534</v>
      </c>
      <c r="BA69" s="205" t="s">
        <v>244</v>
      </c>
      <c r="BB69" s="205" t="s">
        <v>244</v>
      </c>
      <c r="BD69" s="205" t="s">
        <v>239</v>
      </c>
      <c r="BE69" s="205" t="s">
        <v>446</v>
      </c>
      <c r="BF69" s="205" t="s">
        <v>457</v>
      </c>
      <c r="BH69" s="205" t="s">
        <v>456</v>
      </c>
      <c r="BI69" s="202">
        <v>68</v>
      </c>
      <c r="BJ69" s="201">
        <v>42287</v>
      </c>
      <c r="BK69" s="203" t="s">
        <v>301</v>
      </c>
      <c r="BM69" s="205">
        <v>41</v>
      </c>
    </row>
    <row r="70" spans="1:65" x14ac:dyDescent="0.25">
      <c r="A70" s="205" t="s">
        <v>1341</v>
      </c>
      <c r="B70" s="205" t="s">
        <v>1535</v>
      </c>
      <c r="C70" s="205" t="s">
        <v>1536</v>
      </c>
      <c r="D70" s="205" t="s">
        <v>1537</v>
      </c>
      <c r="E70" s="201">
        <v>42275</v>
      </c>
      <c r="F70" s="205" t="s">
        <v>417</v>
      </c>
      <c r="G70" s="205" t="s">
        <v>232</v>
      </c>
      <c r="H70" s="205" t="s">
        <v>1538</v>
      </c>
      <c r="I70" s="205" t="s">
        <v>1539</v>
      </c>
      <c r="J70" s="205" t="s">
        <v>353</v>
      </c>
      <c r="K70" s="205" t="s">
        <v>453</v>
      </c>
      <c r="L70" s="205" t="s">
        <v>461</v>
      </c>
      <c r="M70" s="205" t="s">
        <v>462</v>
      </c>
      <c r="O70" s="200" t="s">
        <v>389</v>
      </c>
      <c r="P70" s="200" t="s">
        <v>1540</v>
      </c>
      <c r="Q70" s="205" t="s">
        <v>462</v>
      </c>
      <c r="R70" s="202">
        <v>69</v>
      </c>
      <c r="U70" s="205" t="s">
        <v>456</v>
      </c>
      <c r="W70" s="205" t="s">
        <v>234</v>
      </c>
      <c r="X70" s="205" t="s">
        <v>235</v>
      </c>
      <c r="Z70" s="205" t="s">
        <v>238</v>
      </c>
      <c r="AB70" s="205" t="s">
        <v>238</v>
      </c>
      <c r="AD70" s="205" t="s">
        <v>238</v>
      </c>
      <c r="AE70" s="205" t="s">
        <v>232</v>
      </c>
      <c r="AF70" s="205" t="s">
        <v>1541</v>
      </c>
      <c r="AG70" s="205" t="s">
        <v>239</v>
      </c>
      <c r="AH70" s="205" t="s">
        <v>239</v>
      </c>
      <c r="AI70" s="205" t="s">
        <v>485</v>
      </c>
      <c r="AJ70" s="205" t="s">
        <v>485</v>
      </c>
      <c r="AK70" s="205" t="s">
        <v>239</v>
      </c>
      <c r="AL70" s="205" t="s">
        <v>239</v>
      </c>
      <c r="AM70" s="205" t="s">
        <v>239</v>
      </c>
      <c r="AN70" s="205" t="s">
        <v>239</v>
      </c>
      <c r="AO70" s="200" t="s">
        <v>239</v>
      </c>
      <c r="AP70" s="200" t="s">
        <v>239</v>
      </c>
      <c r="AQ70" s="200" t="s">
        <v>235</v>
      </c>
      <c r="AR70" s="200" t="s">
        <v>239</v>
      </c>
      <c r="AS70" s="200" t="s">
        <v>262</v>
      </c>
      <c r="AT70" s="200" t="s">
        <v>299</v>
      </c>
      <c r="AU70" s="200" t="s">
        <v>241</v>
      </c>
      <c r="AV70" s="205" t="s">
        <v>242</v>
      </c>
      <c r="AW70" s="205" t="s">
        <v>243</v>
      </c>
      <c r="AY70" s="200" t="s">
        <v>239</v>
      </c>
      <c r="AZ70" s="205" t="s">
        <v>1542</v>
      </c>
      <c r="BA70" s="205" t="s">
        <v>244</v>
      </c>
      <c r="BB70" s="205" t="s">
        <v>244</v>
      </c>
      <c r="BD70" s="205" t="s">
        <v>239</v>
      </c>
      <c r="BE70" s="205" t="s">
        <v>446</v>
      </c>
      <c r="BF70" s="205" t="s">
        <v>457</v>
      </c>
      <c r="BH70" s="205" t="s">
        <v>456</v>
      </c>
      <c r="BI70" s="202">
        <v>69</v>
      </c>
      <c r="BJ70" s="201">
        <v>42287</v>
      </c>
      <c r="BK70" s="203" t="s">
        <v>301</v>
      </c>
      <c r="BM70" s="205">
        <v>41</v>
      </c>
    </row>
    <row r="71" spans="1:65" x14ac:dyDescent="0.25">
      <c r="A71" s="205" t="s">
        <v>1341</v>
      </c>
      <c r="B71" s="205" t="s">
        <v>1543</v>
      </c>
      <c r="C71" s="205" t="s">
        <v>1544</v>
      </c>
      <c r="D71" s="205" t="s">
        <v>1545</v>
      </c>
      <c r="E71" s="201">
        <v>42275</v>
      </c>
      <c r="F71" s="205" t="s">
        <v>1448</v>
      </c>
      <c r="G71" s="205" t="s">
        <v>232</v>
      </c>
      <c r="H71" s="205" t="s">
        <v>1546</v>
      </c>
      <c r="I71" s="205" t="s">
        <v>523</v>
      </c>
      <c r="J71" s="205" t="s">
        <v>1547</v>
      </c>
      <c r="K71" s="205" t="s">
        <v>453</v>
      </c>
      <c r="L71" s="205" t="s">
        <v>454</v>
      </c>
      <c r="M71" s="205" t="s">
        <v>462</v>
      </c>
      <c r="O71" s="200" t="s">
        <v>389</v>
      </c>
      <c r="P71" s="200" t="s">
        <v>1548</v>
      </c>
      <c r="Q71" s="205" t="s">
        <v>462</v>
      </c>
      <c r="R71" s="202">
        <v>70</v>
      </c>
      <c r="U71" s="205" t="s">
        <v>456</v>
      </c>
      <c r="W71" s="205" t="s">
        <v>234</v>
      </c>
      <c r="X71" s="205" t="s">
        <v>235</v>
      </c>
      <c r="Y71" s="200" t="s">
        <v>561</v>
      </c>
      <c r="Z71" s="205" t="s">
        <v>284</v>
      </c>
      <c r="AA71" s="200" t="s">
        <v>312</v>
      </c>
      <c r="AB71" s="205" t="s">
        <v>284</v>
      </c>
      <c r="AC71" s="200" t="s">
        <v>282</v>
      </c>
      <c r="AD71" s="205" t="s">
        <v>1549</v>
      </c>
      <c r="AE71" s="205" t="s">
        <v>232</v>
      </c>
      <c r="AF71" s="205" t="s">
        <v>1550</v>
      </c>
      <c r="AG71" s="205" t="s">
        <v>239</v>
      </c>
      <c r="AH71" s="205" t="s">
        <v>239</v>
      </c>
      <c r="AI71" s="205" t="s">
        <v>1551</v>
      </c>
      <c r="AJ71" s="205" t="s">
        <v>1552</v>
      </c>
      <c r="AK71" s="205" t="s">
        <v>239</v>
      </c>
      <c r="AL71" s="205" t="s">
        <v>239</v>
      </c>
      <c r="AM71" s="205" t="s">
        <v>239</v>
      </c>
      <c r="AN71" s="205" t="s">
        <v>239</v>
      </c>
      <c r="AO71" s="200" t="s">
        <v>239</v>
      </c>
      <c r="AP71" s="200" t="s">
        <v>239</v>
      </c>
      <c r="AQ71" s="200" t="s">
        <v>235</v>
      </c>
      <c r="AR71" s="200" t="s">
        <v>239</v>
      </c>
      <c r="AS71" s="200" t="s">
        <v>262</v>
      </c>
      <c r="AT71" s="200" t="s">
        <v>299</v>
      </c>
      <c r="AU71" s="200" t="s">
        <v>241</v>
      </c>
      <c r="AV71" s="205" t="s">
        <v>242</v>
      </c>
      <c r="AW71" s="205" t="s">
        <v>243</v>
      </c>
      <c r="AY71" s="200" t="s">
        <v>239</v>
      </c>
      <c r="AZ71" s="205" t="s">
        <v>1553</v>
      </c>
      <c r="BA71" s="205" t="s">
        <v>244</v>
      </c>
      <c r="BB71" s="205" t="s">
        <v>244</v>
      </c>
      <c r="BD71" s="205" t="s">
        <v>239</v>
      </c>
      <c r="BE71" s="205" t="s">
        <v>446</v>
      </c>
      <c r="BF71" s="205" t="s">
        <v>457</v>
      </c>
      <c r="BH71" s="205" t="s">
        <v>456</v>
      </c>
      <c r="BI71" s="202">
        <v>70</v>
      </c>
      <c r="BJ71" s="201">
        <v>42277</v>
      </c>
      <c r="BK71" s="203" t="s">
        <v>245</v>
      </c>
      <c r="BL71" s="204">
        <v>35.04</v>
      </c>
      <c r="BM71" s="205">
        <v>40</v>
      </c>
    </row>
    <row r="72" spans="1:65" x14ac:dyDescent="0.25">
      <c r="A72" s="205" t="s">
        <v>1341</v>
      </c>
      <c r="B72" s="205" t="s">
        <v>1554</v>
      </c>
      <c r="C72" s="205" t="s">
        <v>1555</v>
      </c>
      <c r="D72" s="205" t="s">
        <v>1556</v>
      </c>
      <c r="E72" s="201">
        <v>42275</v>
      </c>
      <c r="F72" s="205" t="s">
        <v>1360</v>
      </c>
      <c r="G72" s="205" t="s">
        <v>232</v>
      </c>
      <c r="H72" s="205" t="s">
        <v>1557</v>
      </c>
      <c r="I72" s="205" t="s">
        <v>1558</v>
      </c>
      <c r="J72" s="205" t="s">
        <v>1559</v>
      </c>
      <c r="K72" s="205" t="s">
        <v>450</v>
      </c>
      <c r="L72" s="205" t="s">
        <v>451</v>
      </c>
      <c r="M72" s="205" t="s">
        <v>452</v>
      </c>
      <c r="O72" s="200" t="s">
        <v>330</v>
      </c>
      <c r="P72" s="200" t="s">
        <v>1560</v>
      </c>
      <c r="Q72" s="205" t="s">
        <v>452</v>
      </c>
      <c r="R72" s="202">
        <v>71</v>
      </c>
      <c r="U72" s="205" t="s">
        <v>456</v>
      </c>
      <c r="W72" s="205" t="s">
        <v>234</v>
      </c>
      <c r="X72" s="205" t="s">
        <v>243</v>
      </c>
      <c r="Y72" s="200" t="s">
        <v>417</v>
      </c>
      <c r="Z72" s="205" t="s">
        <v>1561</v>
      </c>
      <c r="AA72" s="200" t="s">
        <v>383</v>
      </c>
      <c r="AB72" s="205" t="s">
        <v>284</v>
      </c>
      <c r="AC72" s="200" t="s">
        <v>525</v>
      </c>
      <c r="AD72" s="205" t="s">
        <v>1562</v>
      </c>
      <c r="AE72" s="205" t="s">
        <v>232</v>
      </c>
      <c r="AF72" s="205" t="s">
        <v>1563</v>
      </c>
      <c r="AG72" s="205" t="s">
        <v>239</v>
      </c>
      <c r="AH72" s="205" t="s">
        <v>239</v>
      </c>
      <c r="AI72" s="205" t="s">
        <v>1564</v>
      </c>
      <c r="AJ72" s="205" t="s">
        <v>1565</v>
      </c>
      <c r="AK72" s="205" t="s">
        <v>239</v>
      </c>
      <c r="AL72" s="205" t="s">
        <v>239</v>
      </c>
      <c r="AM72" s="205" t="s">
        <v>239</v>
      </c>
      <c r="AN72" s="205" t="s">
        <v>239</v>
      </c>
      <c r="AO72" s="200" t="s">
        <v>239</v>
      </c>
      <c r="AP72" s="200" t="s">
        <v>239</v>
      </c>
      <c r="AQ72" s="200" t="s">
        <v>235</v>
      </c>
      <c r="AR72" s="200" t="s">
        <v>239</v>
      </c>
      <c r="AS72" s="200" t="s">
        <v>262</v>
      </c>
      <c r="AT72" s="200" t="s">
        <v>299</v>
      </c>
      <c r="AU72" s="200" t="s">
        <v>241</v>
      </c>
      <c r="AV72" s="205" t="s">
        <v>242</v>
      </c>
      <c r="AW72" s="205" t="s">
        <v>243</v>
      </c>
      <c r="AY72" s="200" t="s">
        <v>239</v>
      </c>
      <c r="AZ72" s="205" t="s">
        <v>1566</v>
      </c>
      <c r="BA72" s="205" t="s">
        <v>244</v>
      </c>
      <c r="BB72" s="205" t="s">
        <v>244</v>
      </c>
      <c r="BD72" s="205" t="s">
        <v>239</v>
      </c>
      <c r="BE72" s="205" t="s">
        <v>446</v>
      </c>
      <c r="BF72" s="205" t="s">
        <v>457</v>
      </c>
      <c r="BH72" s="205" t="s">
        <v>456</v>
      </c>
      <c r="BI72" s="202">
        <v>71</v>
      </c>
      <c r="BJ72" s="201">
        <v>42285</v>
      </c>
      <c r="BK72" s="203" t="s">
        <v>245</v>
      </c>
      <c r="BL72" s="204">
        <v>111.58</v>
      </c>
      <c r="BM72" s="205">
        <v>41</v>
      </c>
    </row>
    <row r="73" spans="1:65" x14ac:dyDescent="0.25">
      <c r="A73" s="205" t="s">
        <v>1341</v>
      </c>
      <c r="B73" s="205" t="s">
        <v>1567</v>
      </c>
      <c r="C73" s="205" t="s">
        <v>1568</v>
      </c>
      <c r="D73" s="205" t="s">
        <v>1569</v>
      </c>
      <c r="E73" s="201">
        <v>42275</v>
      </c>
      <c r="F73" s="205" t="s">
        <v>1570</v>
      </c>
      <c r="G73" s="205" t="s">
        <v>232</v>
      </c>
      <c r="H73" s="205" t="s">
        <v>1571</v>
      </c>
      <c r="I73" s="205" t="s">
        <v>1572</v>
      </c>
      <c r="J73" s="205" t="s">
        <v>1573</v>
      </c>
      <c r="K73" s="205" t="s">
        <v>450</v>
      </c>
      <c r="L73" s="205" t="s">
        <v>451</v>
      </c>
      <c r="M73" s="205" t="s">
        <v>452</v>
      </c>
      <c r="O73" s="200" t="s">
        <v>274</v>
      </c>
      <c r="P73" s="200" t="s">
        <v>1574</v>
      </c>
      <c r="Q73" s="205" t="s">
        <v>452</v>
      </c>
      <c r="R73" s="202">
        <v>72</v>
      </c>
      <c r="U73" s="205" t="s">
        <v>456</v>
      </c>
      <c r="W73" s="205" t="s">
        <v>234</v>
      </c>
      <c r="X73" s="205" t="s">
        <v>331</v>
      </c>
      <c r="Y73" s="200" t="s">
        <v>574</v>
      </c>
      <c r="Z73" s="205" t="s">
        <v>1575</v>
      </c>
      <c r="AA73" s="200" t="s">
        <v>414</v>
      </c>
      <c r="AB73" s="205" t="s">
        <v>1576</v>
      </c>
      <c r="AC73" s="200" t="s">
        <v>266</v>
      </c>
      <c r="AD73" s="205" t="s">
        <v>1577</v>
      </c>
      <c r="AE73" s="205" t="s">
        <v>232</v>
      </c>
      <c r="AF73" s="205" t="s">
        <v>1578</v>
      </c>
      <c r="AG73" s="205" t="s">
        <v>239</v>
      </c>
      <c r="AH73" s="205" t="s">
        <v>239</v>
      </c>
      <c r="AI73" s="205" t="s">
        <v>1579</v>
      </c>
      <c r="AJ73" s="205" t="s">
        <v>1580</v>
      </c>
      <c r="AK73" s="205" t="s">
        <v>1581</v>
      </c>
      <c r="AL73" s="205" t="s">
        <v>239</v>
      </c>
      <c r="AM73" s="205" t="s">
        <v>239</v>
      </c>
      <c r="AN73" s="205" t="s">
        <v>239</v>
      </c>
      <c r="AO73" s="200" t="s">
        <v>235</v>
      </c>
      <c r="AP73" s="200" t="s">
        <v>235</v>
      </c>
      <c r="AQ73" s="200" t="s">
        <v>235</v>
      </c>
      <c r="AR73" s="200" t="s">
        <v>235</v>
      </c>
      <c r="AS73" s="200" t="s">
        <v>299</v>
      </c>
      <c r="AT73" s="200" t="s">
        <v>299</v>
      </c>
      <c r="AU73" s="200" t="s">
        <v>299</v>
      </c>
      <c r="AV73" s="205" t="s">
        <v>242</v>
      </c>
      <c r="AW73" s="205" t="s">
        <v>243</v>
      </c>
      <c r="AX73" s="200" t="s">
        <v>1582</v>
      </c>
      <c r="AY73" s="200" t="s">
        <v>300</v>
      </c>
      <c r="AZ73" s="205" t="s">
        <v>1583</v>
      </c>
      <c r="BA73" s="205" t="s">
        <v>244</v>
      </c>
      <c r="BB73" s="205" t="s">
        <v>1584</v>
      </c>
      <c r="BD73" s="205" t="s">
        <v>239</v>
      </c>
      <c r="BE73" s="205" t="s">
        <v>446</v>
      </c>
      <c r="BF73" s="205" t="s">
        <v>457</v>
      </c>
      <c r="BH73" s="205" t="s">
        <v>456</v>
      </c>
      <c r="BI73" s="202">
        <v>72</v>
      </c>
      <c r="BJ73" s="201">
        <v>42285</v>
      </c>
      <c r="BK73" s="203" t="s">
        <v>301</v>
      </c>
      <c r="BM73" s="205">
        <v>41</v>
      </c>
    </row>
    <row r="74" spans="1:65" x14ac:dyDescent="0.25">
      <c r="A74" s="205" t="s">
        <v>1341</v>
      </c>
      <c r="B74" s="205" t="s">
        <v>1585</v>
      </c>
      <c r="C74" s="205" t="s">
        <v>1586</v>
      </c>
      <c r="D74" s="205" t="s">
        <v>1587</v>
      </c>
      <c r="E74" s="201">
        <v>42275</v>
      </c>
      <c r="F74" s="205" t="s">
        <v>1588</v>
      </c>
      <c r="G74" s="205" t="s">
        <v>232</v>
      </c>
      <c r="H74" s="205" t="s">
        <v>1589</v>
      </c>
      <c r="I74" s="205" t="s">
        <v>1590</v>
      </c>
      <c r="K74" s="205" t="s">
        <v>484</v>
      </c>
      <c r="L74" s="205" t="s">
        <v>465</v>
      </c>
      <c r="M74" s="205" t="s">
        <v>466</v>
      </c>
      <c r="O74" s="200" t="s">
        <v>252</v>
      </c>
      <c r="P74" s="200" t="s">
        <v>1591</v>
      </c>
      <c r="Q74" s="205" t="s">
        <v>466</v>
      </c>
      <c r="R74" s="202">
        <v>73</v>
      </c>
      <c r="U74" s="205" t="s">
        <v>456</v>
      </c>
      <c r="W74" s="205" t="s">
        <v>234</v>
      </c>
      <c r="X74" s="205" t="s">
        <v>300</v>
      </c>
      <c r="Y74" s="200" t="s">
        <v>338</v>
      </c>
      <c r="Z74" s="205" t="s">
        <v>1592</v>
      </c>
      <c r="AA74" s="200" t="s">
        <v>362</v>
      </c>
      <c r="AB74" s="205" t="s">
        <v>1593</v>
      </c>
      <c r="AC74" s="200" t="s">
        <v>614</v>
      </c>
      <c r="AD74" s="205" t="s">
        <v>1594</v>
      </c>
      <c r="AE74" s="205" t="s">
        <v>232</v>
      </c>
      <c r="AF74" s="205" t="s">
        <v>1595</v>
      </c>
      <c r="AG74" s="205" t="s">
        <v>239</v>
      </c>
      <c r="AH74" s="205" t="s">
        <v>239</v>
      </c>
      <c r="AI74" s="205" t="s">
        <v>1596</v>
      </c>
      <c r="AJ74" s="205" t="s">
        <v>1597</v>
      </c>
      <c r="AK74" s="205" t="s">
        <v>239</v>
      </c>
      <c r="AL74" s="205" t="s">
        <v>239</v>
      </c>
      <c r="AM74" s="205" t="s">
        <v>239</v>
      </c>
      <c r="AN74" s="205" t="s">
        <v>239</v>
      </c>
      <c r="AO74" s="200" t="s">
        <v>235</v>
      </c>
      <c r="AP74" s="200" t="s">
        <v>235</v>
      </c>
      <c r="AQ74" s="200" t="s">
        <v>235</v>
      </c>
      <c r="AR74" s="200" t="s">
        <v>239</v>
      </c>
      <c r="AS74" s="200" t="s">
        <v>299</v>
      </c>
      <c r="AT74" s="200" t="s">
        <v>299</v>
      </c>
      <c r="AU74" s="200" t="s">
        <v>241</v>
      </c>
      <c r="AV74" s="205" t="s">
        <v>242</v>
      </c>
      <c r="AW74" s="205" t="s">
        <v>243</v>
      </c>
      <c r="AX74" s="200" t="s">
        <v>604</v>
      </c>
      <c r="AY74" s="200" t="s">
        <v>235</v>
      </c>
      <c r="AZ74" s="205" t="s">
        <v>1598</v>
      </c>
      <c r="BA74" s="205" t="s">
        <v>244</v>
      </c>
      <c r="BB74" s="205" t="s">
        <v>244</v>
      </c>
      <c r="BC74" s="200" t="s">
        <v>256</v>
      </c>
      <c r="BD74" s="205" t="s">
        <v>239</v>
      </c>
      <c r="BE74" s="205" t="s">
        <v>446</v>
      </c>
      <c r="BF74" s="205" t="s">
        <v>457</v>
      </c>
      <c r="BH74" s="205" t="s">
        <v>456</v>
      </c>
      <c r="BI74" s="202">
        <v>73</v>
      </c>
      <c r="BJ74" s="201">
        <v>42277</v>
      </c>
      <c r="BK74" s="203" t="s">
        <v>245</v>
      </c>
      <c r="BL74" s="204">
        <v>390.06</v>
      </c>
      <c r="BM74" s="205">
        <v>40</v>
      </c>
    </row>
    <row r="75" spans="1:65" x14ac:dyDescent="0.25">
      <c r="A75" s="205" t="s">
        <v>1341</v>
      </c>
      <c r="B75" s="205" t="s">
        <v>1599</v>
      </c>
      <c r="C75" s="205" t="s">
        <v>1600</v>
      </c>
      <c r="D75" s="205" t="s">
        <v>1601</v>
      </c>
      <c r="E75" s="201">
        <v>42275</v>
      </c>
      <c r="F75" s="205" t="s">
        <v>1602</v>
      </c>
      <c r="G75" s="205" t="s">
        <v>232</v>
      </c>
      <c r="H75" s="205" t="s">
        <v>1603</v>
      </c>
      <c r="I75" s="205" t="s">
        <v>1604</v>
      </c>
      <c r="K75" s="205" t="s">
        <v>453</v>
      </c>
      <c r="L75" s="205" t="s">
        <v>448</v>
      </c>
      <c r="M75" s="205" t="s">
        <v>449</v>
      </c>
      <c r="O75" s="200" t="s">
        <v>513</v>
      </c>
      <c r="P75" s="200" t="s">
        <v>1605</v>
      </c>
      <c r="Q75" s="205" t="s">
        <v>449</v>
      </c>
      <c r="R75" s="202">
        <v>74</v>
      </c>
      <c r="U75" s="205" t="s">
        <v>456</v>
      </c>
      <c r="W75" s="205" t="s">
        <v>234</v>
      </c>
      <c r="X75" s="205" t="s">
        <v>272</v>
      </c>
      <c r="Y75" s="200" t="s">
        <v>624</v>
      </c>
      <c r="Z75" s="205" t="s">
        <v>1606</v>
      </c>
      <c r="AA75" s="200" t="s">
        <v>416</v>
      </c>
      <c r="AB75" s="205" t="s">
        <v>493</v>
      </c>
      <c r="AC75" s="200" t="s">
        <v>362</v>
      </c>
      <c r="AD75" s="205" t="s">
        <v>1607</v>
      </c>
      <c r="AE75" s="205" t="s">
        <v>232</v>
      </c>
      <c r="AF75" s="205" t="s">
        <v>1608</v>
      </c>
      <c r="AG75" s="205" t="s">
        <v>239</v>
      </c>
      <c r="AH75" s="205" t="s">
        <v>239</v>
      </c>
      <c r="AI75" s="205" t="s">
        <v>1609</v>
      </c>
      <c r="AJ75" s="205" t="s">
        <v>494</v>
      </c>
      <c r="AK75" s="205" t="s">
        <v>239</v>
      </c>
      <c r="AL75" s="205" t="s">
        <v>239</v>
      </c>
      <c r="AM75" s="205" t="s">
        <v>239</v>
      </c>
      <c r="AN75" s="205" t="s">
        <v>239</v>
      </c>
      <c r="AO75" s="200" t="s">
        <v>235</v>
      </c>
      <c r="AP75" s="200" t="s">
        <v>239</v>
      </c>
      <c r="AQ75" s="200" t="s">
        <v>239</v>
      </c>
      <c r="AR75" s="200" t="s">
        <v>239</v>
      </c>
      <c r="AS75" s="200" t="s">
        <v>299</v>
      </c>
      <c r="AT75" s="200" t="s">
        <v>241</v>
      </c>
      <c r="AU75" s="200" t="s">
        <v>241</v>
      </c>
      <c r="AV75" s="205" t="s">
        <v>242</v>
      </c>
      <c r="AW75" s="205" t="s">
        <v>243</v>
      </c>
      <c r="AY75" s="200" t="s">
        <v>239</v>
      </c>
      <c r="AZ75" s="205" t="s">
        <v>1610</v>
      </c>
      <c r="BA75" s="205" t="s">
        <v>244</v>
      </c>
      <c r="BB75" s="205" t="s">
        <v>244</v>
      </c>
      <c r="BD75" s="205" t="s">
        <v>239</v>
      </c>
      <c r="BE75" s="205" t="s">
        <v>446</v>
      </c>
      <c r="BF75" s="205" t="s">
        <v>457</v>
      </c>
      <c r="BH75" s="205" t="s">
        <v>456</v>
      </c>
      <c r="BI75" s="202">
        <v>74</v>
      </c>
      <c r="BJ75" s="201">
        <v>42289</v>
      </c>
      <c r="BK75" s="203" t="s">
        <v>245</v>
      </c>
      <c r="BL75" s="204">
        <v>180</v>
      </c>
      <c r="BM75" s="205">
        <v>42</v>
      </c>
    </row>
    <row r="76" spans="1:65" x14ac:dyDescent="0.25">
      <c r="A76" s="205" t="s">
        <v>1341</v>
      </c>
      <c r="B76" s="205" t="s">
        <v>1611</v>
      </c>
      <c r="C76" s="205" t="s">
        <v>1612</v>
      </c>
      <c r="D76" s="205" t="s">
        <v>1613</v>
      </c>
      <c r="E76" s="201">
        <v>42275</v>
      </c>
      <c r="F76" s="205" t="s">
        <v>549</v>
      </c>
      <c r="G76" s="205" t="s">
        <v>232</v>
      </c>
      <c r="H76" s="205" t="s">
        <v>273</v>
      </c>
      <c r="I76" s="205" t="s">
        <v>1614</v>
      </c>
      <c r="K76" s="205" t="s">
        <v>464</v>
      </c>
      <c r="L76" s="205" t="s">
        <v>465</v>
      </c>
      <c r="M76" s="205" t="s">
        <v>466</v>
      </c>
      <c r="O76" s="200" t="s">
        <v>532</v>
      </c>
      <c r="P76" s="200" t="s">
        <v>1615</v>
      </c>
      <c r="Q76" s="205" t="s">
        <v>466</v>
      </c>
      <c r="R76" s="202">
        <v>75</v>
      </c>
      <c r="U76" s="205" t="s">
        <v>456</v>
      </c>
      <c r="W76" s="205" t="s">
        <v>234</v>
      </c>
      <c r="X76" s="205" t="s">
        <v>243</v>
      </c>
      <c r="Y76" s="200" t="s">
        <v>515</v>
      </c>
      <c r="Z76" s="205" t="s">
        <v>1616</v>
      </c>
      <c r="AA76" s="200" t="s">
        <v>230</v>
      </c>
      <c r="AB76" s="205" t="s">
        <v>1617</v>
      </c>
      <c r="AC76" s="200" t="s">
        <v>369</v>
      </c>
      <c r="AD76" s="205" t="s">
        <v>1618</v>
      </c>
      <c r="AE76" s="205" t="s">
        <v>232</v>
      </c>
      <c r="AF76" s="205" t="s">
        <v>1619</v>
      </c>
      <c r="AG76" s="205" t="s">
        <v>239</v>
      </c>
      <c r="AH76" s="205" t="s">
        <v>239</v>
      </c>
      <c r="AI76" s="205" t="s">
        <v>1620</v>
      </c>
      <c r="AJ76" s="205" t="s">
        <v>1621</v>
      </c>
      <c r="AK76" s="205" t="s">
        <v>239</v>
      </c>
      <c r="AL76" s="205" t="s">
        <v>239</v>
      </c>
      <c r="AM76" s="205" t="s">
        <v>239</v>
      </c>
      <c r="AN76" s="205" t="s">
        <v>239</v>
      </c>
      <c r="AO76" s="200" t="s">
        <v>239</v>
      </c>
      <c r="AP76" s="200" t="s">
        <v>239</v>
      </c>
      <c r="AQ76" s="200" t="s">
        <v>235</v>
      </c>
      <c r="AR76" s="200" t="s">
        <v>239</v>
      </c>
      <c r="AS76" s="200" t="s">
        <v>262</v>
      </c>
      <c r="AT76" s="200" t="s">
        <v>299</v>
      </c>
      <c r="AU76" s="200" t="s">
        <v>241</v>
      </c>
      <c r="AV76" s="205" t="s">
        <v>242</v>
      </c>
      <c r="AW76" s="205" t="s">
        <v>243</v>
      </c>
      <c r="AY76" s="200" t="s">
        <v>239</v>
      </c>
      <c r="AZ76" s="205" t="s">
        <v>244</v>
      </c>
      <c r="BA76" s="205" t="s">
        <v>244</v>
      </c>
      <c r="BB76" s="205" t="s">
        <v>244</v>
      </c>
      <c r="BC76" s="200" t="s">
        <v>256</v>
      </c>
      <c r="BD76" s="205" t="s">
        <v>239</v>
      </c>
      <c r="BE76" s="205" t="s">
        <v>446</v>
      </c>
      <c r="BF76" s="205" t="s">
        <v>457</v>
      </c>
      <c r="BH76" s="205" t="s">
        <v>456</v>
      </c>
      <c r="BI76" s="202">
        <v>75</v>
      </c>
      <c r="BJ76" s="201">
        <v>42286</v>
      </c>
      <c r="BK76" s="203" t="s">
        <v>301</v>
      </c>
      <c r="BM76" s="205">
        <v>41</v>
      </c>
    </row>
    <row r="77" spans="1:65" x14ac:dyDescent="0.25">
      <c r="A77" s="205" t="s">
        <v>1622</v>
      </c>
      <c r="B77" s="205" t="s">
        <v>1623</v>
      </c>
      <c r="C77" s="205" t="s">
        <v>1624</v>
      </c>
      <c r="D77" s="205" t="s">
        <v>1625</v>
      </c>
      <c r="E77" s="201">
        <v>42275</v>
      </c>
      <c r="F77" s="205" t="s">
        <v>905</v>
      </c>
      <c r="G77" s="205" t="s">
        <v>232</v>
      </c>
      <c r="H77" s="205" t="s">
        <v>1626</v>
      </c>
      <c r="I77" s="205" t="s">
        <v>1627</v>
      </c>
      <c r="K77" s="205" t="s">
        <v>464</v>
      </c>
      <c r="L77" s="205" t="s">
        <v>465</v>
      </c>
      <c r="M77" s="205" t="s">
        <v>466</v>
      </c>
      <c r="O77" s="200" t="s">
        <v>246</v>
      </c>
      <c r="P77" s="200" t="s">
        <v>1628</v>
      </c>
      <c r="Q77" s="205" t="s">
        <v>466</v>
      </c>
      <c r="R77" s="202">
        <v>76</v>
      </c>
      <c r="U77" s="205" t="s">
        <v>456</v>
      </c>
      <c r="W77" s="205" t="s">
        <v>234</v>
      </c>
      <c r="X77" s="205" t="s">
        <v>265</v>
      </c>
      <c r="Y77" s="200" t="s">
        <v>519</v>
      </c>
      <c r="Z77" s="205" t="s">
        <v>1629</v>
      </c>
      <c r="AA77" s="200" t="s">
        <v>416</v>
      </c>
      <c r="AB77" s="205" t="s">
        <v>1630</v>
      </c>
      <c r="AC77" s="200" t="s">
        <v>401</v>
      </c>
      <c r="AD77" s="205" t="s">
        <v>555</v>
      </c>
      <c r="AE77" s="205" t="s">
        <v>232</v>
      </c>
      <c r="AF77" s="205" t="s">
        <v>1631</v>
      </c>
      <c r="AG77" s="205" t="s">
        <v>239</v>
      </c>
      <c r="AH77" s="205" t="s">
        <v>239</v>
      </c>
      <c r="AI77" s="205" t="s">
        <v>1632</v>
      </c>
      <c r="AJ77" s="205" t="s">
        <v>1633</v>
      </c>
      <c r="AK77" s="205" t="s">
        <v>239</v>
      </c>
      <c r="AL77" s="205" t="s">
        <v>239</v>
      </c>
      <c r="AM77" s="205" t="s">
        <v>239</v>
      </c>
      <c r="AN77" s="205" t="s">
        <v>239</v>
      </c>
      <c r="AO77" s="200" t="s">
        <v>235</v>
      </c>
      <c r="AP77" s="200" t="s">
        <v>235</v>
      </c>
      <c r="AQ77" s="200" t="s">
        <v>239</v>
      </c>
      <c r="AR77" s="200" t="s">
        <v>239</v>
      </c>
      <c r="AS77" s="200" t="s">
        <v>299</v>
      </c>
      <c r="AT77" s="200" t="s">
        <v>241</v>
      </c>
      <c r="AU77" s="200" t="s">
        <v>241</v>
      </c>
      <c r="AV77" s="205" t="s">
        <v>242</v>
      </c>
      <c r="AW77" s="205" t="s">
        <v>243</v>
      </c>
      <c r="AY77" s="200" t="s">
        <v>239</v>
      </c>
      <c r="AZ77" s="205" t="s">
        <v>1634</v>
      </c>
      <c r="BA77" s="205" t="s">
        <v>244</v>
      </c>
      <c r="BB77" s="205" t="s">
        <v>244</v>
      </c>
      <c r="BD77" s="205" t="s">
        <v>239</v>
      </c>
      <c r="BE77" s="205" t="s">
        <v>446</v>
      </c>
      <c r="BF77" s="205" t="s">
        <v>457</v>
      </c>
      <c r="BH77" s="205" t="s">
        <v>456</v>
      </c>
      <c r="BI77" s="202">
        <v>76</v>
      </c>
      <c r="BJ77" s="201">
        <v>42289</v>
      </c>
      <c r="BK77" s="203" t="s">
        <v>301</v>
      </c>
      <c r="BM77" s="205">
        <v>42</v>
      </c>
    </row>
    <row r="78" spans="1:65" x14ac:dyDescent="0.25">
      <c r="A78" s="205" t="s">
        <v>1622</v>
      </c>
      <c r="B78" s="205" t="s">
        <v>1635</v>
      </c>
      <c r="C78" s="205" t="s">
        <v>1636</v>
      </c>
      <c r="D78" s="205" t="s">
        <v>1637</v>
      </c>
      <c r="E78" s="201">
        <v>42275</v>
      </c>
      <c r="F78" s="205" t="s">
        <v>1638</v>
      </c>
      <c r="G78" s="205" t="s">
        <v>232</v>
      </c>
      <c r="H78" s="205" t="s">
        <v>1639</v>
      </c>
      <c r="I78" s="205" t="s">
        <v>1640</v>
      </c>
      <c r="K78" s="205" t="s">
        <v>453</v>
      </c>
      <c r="L78" s="205" t="s">
        <v>454</v>
      </c>
      <c r="M78" s="205" t="s">
        <v>455</v>
      </c>
      <c r="O78" s="200" t="s">
        <v>288</v>
      </c>
      <c r="P78" s="200" t="s">
        <v>1641</v>
      </c>
      <c r="Q78" s="205" t="s">
        <v>455</v>
      </c>
      <c r="R78" s="202">
        <v>77</v>
      </c>
      <c r="U78" s="205" t="s">
        <v>456</v>
      </c>
      <c r="W78" s="205" t="s">
        <v>234</v>
      </c>
      <c r="X78" s="205" t="s">
        <v>265</v>
      </c>
      <c r="Y78" s="200" t="s">
        <v>518</v>
      </c>
      <c r="Z78" s="205" t="s">
        <v>1642</v>
      </c>
      <c r="AA78" s="200" t="s">
        <v>512</v>
      </c>
      <c r="AB78" s="205" t="s">
        <v>1643</v>
      </c>
      <c r="AC78" s="200" t="s">
        <v>401</v>
      </c>
      <c r="AD78" s="205" t="s">
        <v>1644</v>
      </c>
      <c r="AE78" s="205" t="s">
        <v>232</v>
      </c>
      <c r="AF78" s="205" t="s">
        <v>1645</v>
      </c>
      <c r="AG78" s="205" t="s">
        <v>239</v>
      </c>
      <c r="AH78" s="205" t="s">
        <v>239</v>
      </c>
      <c r="AI78" s="205" t="s">
        <v>1646</v>
      </c>
      <c r="AJ78" s="205" t="s">
        <v>1647</v>
      </c>
      <c r="AK78" s="205" t="s">
        <v>239</v>
      </c>
      <c r="AL78" s="205" t="s">
        <v>239</v>
      </c>
      <c r="AM78" s="205" t="s">
        <v>239</v>
      </c>
      <c r="AN78" s="205" t="s">
        <v>239</v>
      </c>
      <c r="AO78" s="200" t="s">
        <v>239</v>
      </c>
      <c r="AP78" s="200" t="s">
        <v>239</v>
      </c>
      <c r="AQ78" s="200" t="s">
        <v>235</v>
      </c>
      <c r="AR78" s="200" t="s">
        <v>239</v>
      </c>
      <c r="AS78" s="200" t="s">
        <v>262</v>
      </c>
      <c r="AT78" s="200" t="s">
        <v>299</v>
      </c>
      <c r="AU78" s="200" t="s">
        <v>241</v>
      </c>
      <c r="AV78" s="205" t="s">
        <v>242</v>
      </c>
      <c r="AW78" s="205" t="s">
        <v>243</v>
      </c>
      <c r="AY78" s="200" t="s">
        <v>239</v>
      </c>
      <c r="AZ78" s="205" t="s">
        <v>1648</v>
      </c>
      <c r="BA78" s="205" t="s">
        <v>244</v>
      </c>
      <c r="BB78" s="205" t="s">
        <v>244</v>
      </c>
      <c r="BD78" s="205" t="s">
        <v>239</v>
      </c>
      <c r="BE78" s="205" t="s">
        <v>446</v>
      </c>
      <c r="BF78" s="205" t="s">
        <v>457</v>
      </c>
      <c r="BH78" s="205" t="s">
        <v>456</v>
      </c>
      <c r="BI78" s="202">
        <v>77</v>
      </c>
      <c r="BJ78" s="201">
        <v>42282</v>
      </c>
      <c r="BK78" s="203" t="s">
        <v>245</v>
      </c>
      <c r="BL78" s="204">
        <v>43.71</v>
      </c>
      <c r="BM78" s="205">
        <v>41</v>
      </c>
    </row>
    <row r="79" spans="1:65" x14ac:dyDescent="0.25">
      <c r="A79" s="205" t="s">
        <v>1622</v>
      </c>
      <c r="B79" s="205" t="s">
        <v>1649</v>
      </c>
      <c r="C79" s="205" t="s">
        <v>1650</v>
      </c>
      <c r="D79" s="205" t="s">
        <v>1651</v>
      </c>
      <c r="E79" s="201">
        <v>42275</v>
      </c>
      <c r="F79" s="205" t="s">
        <v>1025</v>
      </c>
      <c r="G79" s="205" t="s">
        <v>232</v>
      </c>
      <c r="H79" s="205" t="s">
        <v>1652</v>
      </c>
      <c r="I79" s="205" t="s">
        <v>1653</v>
      </c>
      <c r="J79" s="205" t="s">
        <v>632</v>
      </c>
      <c r="K79" s="205" t="s">
        <v>475</v>
      </c>
      <c r="L79" s="205" t="s">
        <v>476</v>
      </c>
      <c r="M79" s="205" t="s">
        <v>477</v>
      </c>
      <c r="O79" s="200" t="s">
        <v>264</v>
      </c>
      <c r="P79" s="200" t="s">
        <v>1654</v>
      </c>
      <c r="Q79" s="205" t="s">
        <v>477</v>
      </c>
      <c r="R79" s="202">
        <v>78</v>
      </c>
      <c r="U79" s="205" t="s">
        <v>456</v>
      </c>
      <c r="W79" s="205" t="s">
        <v>234</v>
      </c>
      <c r="X79" s="205" t="s">
        <v>291</v>
      </c>
      <c r="Y79" s="200" t="s">
        <v>425</v>
      </c>
      <c r="Z79" s="205" t="s">
        <v>1655</v>
      </c>
      <c r="AA79" s="200" t="s">
        <v>327</v>
      </c>
      <c r="AB79" s="205" t="s">
        <v>370</v>
      </c>
      <c r="AC79" s="200" t="s">
        <v>286</v>
      </c>
      <c r="AD79" s="205" t="s">
        <v>1656</v>
      </c>
      <c r="AE79" s="205" t="s">
        <v>232</v>
      </c>
      <c r="AF79" s="205" t="s">
        <v>1657</v>
      </c>
      <c r="AG79" s="205" t="s">
        <v>239</v>
      </c>
      <c r="AH79" s="205" t="s">
        <v>239</v>
      </c>
      <c r="AI79" s="205" t="s">
        <v>1658</v>
      </c>
      <c r="AJ79" s="205" t="s">
        <v>1659</v>
      </c>
      <c r="AK79" s="205" t="s">
        <v>1660</v>
      </c>
      <c r="AL79" s="205" t="s">
        <v>239</v>
      </c>
      <c r="AM79" s="205" t="s">
        <v>239</v>
      </c>
      <c r="AN79" s="205" t="s">
        <v>239</v>
      </c>
      <c r="AO79" s="200" t="s">
        <v>235</v>
      </c>
      <c r="AP79" s="200" t="s">
        <v>235</v>
      </c>
      <c r="AQ79" s="200" t="s">
        <v>235</v>
      </c>
      <c r="AR79" s="200" t="s">
        <v>235</v>
      </c>
      <c r="AS79" s="200" t="s">
        <v>299</v>
      </c>
      <c r="AT79" s="200" t="s">
        <v>299</v>
      </c>
      <c r="AU79" s="200" t="s">
        <v>299</v>
      </c>
      <c r="AV79" s="205" t="s">
        <v>242</v>
      </c>
      <c r="AW79" s="205" t="s">
        <v>243</v>
      </c>
      <c r="AY79" s="200" t="s">
        <v>239</v>
      </c>
      <c r="AZ79" s="205" t="s">
        <v>1661</v>
      </c>
      <c r="BA79" s="205" t="s">
        <v>244</v>
      </c>
      <c r="BB79" s="205" t="s">
        <v>244</v>
      </c>
      <c r="BD79" s="205" t="s">
        <v>239</v>
      </c>
      <c r="BE79" s="205" t="s">
        <v>446</v>
      </c>
      <c r="BF79" s="205" t="s">
        <v>457</v>
      </c>
      <c r="BH79" s="205" t="s">
        <v>456</v>
      </c>
      <c r="BI79" s="202">
        <v>78</v>
      </c>
      <c r="BJ79" s="201">
        <v>42286</v>
      </c>
      <c r="BK79" s="203" t="s">
        <v>301</v>
      </c>
      <c r="BM79" s="205">
        <v>41</v>
      </c>
    </row>
    <row r="80" spans="1:65" x14ac:dyDescent="0.25">
      <c r="A80" s="205" t="s">
        <v>1622</v>
      </c>
      <c r="B80" s="205" t="s">
        <v>1662</v>
      </c>
      <c r="C80" s="205" t="s">
        <v>1663</v>
      </c>
      <c r="D80" s="205" t="s">
        <v>1664</v>
      </c>
      <c r="E80" s="201">
        <v>42275</v>
      </c>
      <c r="F80" s="205" t="s">
        <v>905</v>
      </c>
      <c r="G80" s="205" t="s">
        <v>232</v>
      </c>
      <c r="H80" s="205" t="s">
        <v>1665</v>
      </c>
      <c r="I80" s="205" t="s">
        <v>1666</v>
      </c>
      <c r="K80" s="205" t="s">
        <v>450</v>
      </c>
      <c r="L80" s="205" t="s">
        <v>451</v>
      </c>
      <c r="M80" s="205" t="s">
        <v>452</v>
      </c>
      <c r="O80" s="200" t="s">
        <v>377</v>
      </c>
      <c r="P80" s="200" t="s">
        <v>1667</v>
      </c>
      <c r="Q80" s="205" t="s">
        <v>452</v>
      </c>
      <c r="R80" s="202">
        <v>79</v>
      </c>
      <c r="U80" s="205" t="s">
        <v>456</v>
      </c>
      <c r="W80" s="205" t="s">
        <v>234</v>
      </c>
      <c r="X80" s="205" t="s">
        <v>265</v>
      </c>
      <c r="Y80" s="200" t="s">
        <v>580</v>
      </c>
      <c r="Z80" s="205" t="s">
        <v>605</v>
      </c>
      <c r="AA80" s="200" t="s">
        <v>417</v>
      </c>
      <c r="AB80" s="205" t="s">
        <v>1668</v>
      </c>
      <c r="AC80" s="200" t="s">
        <v>376</v>
      </c>
      <c r="AD80" s="205" t="s">
        <v>1669</v>
      </c>
      <c r="AE80" s="205" t="s">
        <v>232</v>
      </c>
      <c r="AF80" s="205" t="s">
        <v>1670</v>
      </c>
      <c r="AG80" s="205" t="s">
        <v>1671</v>
      </c>
      <c r="AH80" s="205" t="s">
        <v>239</v>
      </c>
      <c r="AI80" s="205" t="s">
        <v>1672</v>
      </c>
      <c r="AJ80" s="205" t="s">
        <v>1673</v>
      </c>
      <c r="AK80" s="205" t="s">
        <v>239</v>
      </c>
      <c r="AL80" s="205" t="s">
        <v>239</v>
      </c>
      <c r="AM80" s="205" t="s">
        <v>239</v>
      </c>
      <c r="AN80" s="205" t="s">
        <v>239</v>
      </c>
      <c r="AO80" s="200" t="s">
        <v>235</v>
      </c>
      <c r="AP80" s="200" t="s">
        <v>235</v>
      </c>
      <c r="AQ80" s="200" t="s">
        <v>235</v>
      </c>
      <c r="AR80" s="200" t="s">
        <v>235</v>
      </c>
      <c r="AS80" s="200" t="s">
        <v>299</v>
      </c>
      <c r="AT80" s="200" t="s">
        <v>299</v>
      </c>
      <c r="AU80" s="200" t="s">
        <v>240</v>
      </c>
      <c r="AV80" s="205" t="s">
        <v>242</v>
      </c>
      <c r="AW80" s="205" t="s">
        <v>243</v>
      </c>
      <c r="AX80" s="200" t="s">
        <v>1674</v>
      </c>
      <c r="AY80" s="200" t="s">
        <v>300</v>
      </c>
      <c r="AZ80" s="205" t="s">
        <v>1675</v>
      </c>
      <c r="BA80" s="205" t="s">
        <v>244</v>
      </c>
      <c r="BB80" s="205" t="s">
        <v>1675</v>
      </c>
      <c r="BD80" s="205" t="s">
        <v>239</v>
      </c>
      <c r="BE80" s="205" t="s">
        <v>446</v>
      </c>
      <c r="BF80" s="205" t="s">
        <v>457</v>
      </c>
      <c r="BH80" s="205" t="s">
        <v>456</v>
      </c>
      <c r="BI80" s="202">
        <v>79</v>
      </c>
      <c r="BJ80" s="201">
        <v>42287</v>
      </c>
      <c r="BK80" s="203" t="s">
        <v>245</v>
      </c>
      <c r="BL80" s="204">
        <v>502</v>
      </c>
      <c r="BM80" s="205">
        <v>41</v>
      </c>
    </row>
    <row r="81" spans="1:65" x14ac:dyDescent="0.25">
      <c r="A81" s="205" t="s">
        <v>1622</v>
      </c>
      <c r="B81" s="205" t="s">
        <v>1676</v>
      </c>
      <c r="C81" s="205" t="s">
        <v>1677</v>
      </c>
      <c r="D81" s="205" t="s">
        <v>1678</v>
      </c>
      <c r="E81" s="201">
        <v>42275</v>
      </c>
      <c r="F81" s="205" t="s">
        <v>311</v>
      </c>
      <c r="G81" s="205" t="s">
        <v>232</v>
      </c>
      <c r="H81" s="205" t="s">
        <v>1679</v>
      </c>
      <c r="I81" s="205" t="s">
        <v>1680</v>
      </c>
      <c r="J81" s="205" t="s">
        <v>418</v>
      </c>
      <c r="K81" s="205" t="s">
        <v>450</v>
      </c>
      <c r="L81" s="205" t="s">
        <v>451</v>
      </c>
      <c r="M81" s="205" t="s">
        <v>452</v>
      </c>
      <c r="O81" s="200" t="s">
        <v>246</v>
      </c>
      <c r="P81" s="200" t="s">
        <v>1681</v>
      </c>
      <c r="Q81" s="205" t="s">
        <v>452</v>
      </c>
      <c r="R81" s="202">
        <v>80</v>
      </c>
      <c r="U81" s="205" t="s">
        <v>456</v>
      </c>
      <c r="W81" s="205" t="s">
        <v>234</v>
      </c>
      <c r="X81" s="205" t="s">
        <v>300</v>
      </c>
      <c r="Y81" s="200" t="s">
        <v>396</v>
      </c>
      <c r="Z81" s="205" t="s">
        <v>1682</v>
      </c>
      <c r="AA81" s="200" t="s">
        <v>337</v>
      </c>
      <c r="AB81" s="205" t="s">
        <v>1683</v>
      </c>
      <c r="AC81" s="200" t="s">
        <v>690</v>
      </c>
      <c r="AD81" s="205" t="s">
        <v>1684</v>
      </c>
      <c r="AE81" s="205" t="s">
        <v>232</v>
      </c>
      <c r="AF81" s="205" t="s">
        <v>1685</v>
      </c>
      <c r="AG81" s="205" t="s">
        <v>1686</v>
      </c>
      <c r="AH81" s="205" t="s">
        <v>239</v>
      </c>
      <c r="AI81" s="205" t="s">
        <v>474</v>
      </c>
      <c r="AJ81" s="205" t="s">
        <v>558</v>
      </c>
      <c r="AK81" s="205" t="s">
        <v>239</v>
      </c>
      <c r="AL81" s="205" t="s">
        <v>239</v>
      </c>
      <c r="AM81" s="205" t="s">
        <v>239</v>
      </c>
      <c r="AN81" s="205" t="s">
        <v>239</v>
      </c>
      <c r="AO81" s="200" t="s">
        <v>235</v>
      </c>
      <c r="AP81" s="200" t="s">
        <v>235</v>
      </c>
      <c r="AQ81" s="200" t="s">
        <v>235</v>
      </c>
      <c r="AR81" s="200" t="s">
        <v>235</v>
      </c>
      <c r="AS81" s="200" t="s">
        <v>299</v>
      </c>
      <c r="AT81" s="200" t="s">
        <v>299</v>
      </c>
      <c r="AU81" s="200" t="s">
        <v>299</v>
      </c>
      <c r="AV81" s="205" t="s">
        <v>242</v>
      </c>
      <c r="AW81" s="205" t="s">
        <v>243</v>
      </c>
      <c r="AY81" s="200" t="s">
        <v>239</v>
      </c>
      <c r="AZ81" s="205" t="s">
        <v>1687</v>
      </c>
      <c r="BA81" s="205" t="s">
        <v>244</v>
      </c>
      <c r="BB81" s="205" t="s">
        <v>244</v>
      </c>
      <c r="BD81" s="205" t="s">
        <v>239</v>
      </c>
      <c r="BE81" s="205" t="s">
        <v>446</v>
      </c>
      <c r="BF81" s="205" t="s">
        <v>457</v>
      </c>
      <c r="BH81" s="205" t="s">
        <v>456</v>
      </c>
      <c r="BI81" s="202">
        <v>80</v>
      </c>
      <c r="BJ81" s="201">
        <v>42286</v>
      </c>
      <c r="BK81" s="203" t="s">
        <v>245</v>
      </c>
      <c r="BL81" s="204">
        <v>283.88</v>
      </c>
      <c r="BM81" s="205">
        <v>41</v>
      </c>
    </row>
    <row r="82" spans="1:65" x14ac:dyDescent="0.25">
      <c r="A82" s="205" t="s">
        <v>1622</v>
      </c>
      <c r="B82" s="205" t="s">
        <v>1688</v>
      </c>
      <c r="C82" s="205" t="s">
        <v>1689</v>
      </c>
      <c r="D82" s="205" t="s">
        <v>1690</v>
      </c>
      <c r="E82" s="201">
        <v>42275</v>
      </c>
      <c r="F82" s="205" t="s">
        <v>1691</v>
      </c>
      <c r="G82" s="205" t="s">
        <v>232</v>
      </c>
      <c r="H82" s="205" t="s">
        <v>1692</v>
      </c>
      <c r="I82" s="205" t="s">
        <v>1693</v>
      </c>
      <c r="K82" s="205" t="s">
        <v>447</v>
      </c>
      <c r="L82" s="205" t="s">
        <v>448</v>
      </c>
      <c r="M82" s="205" t="s">
        <v>449</v>
      </c>
      <c r="O82" s="200" t="s">
        <v>513</v>
      </c>
      <c r="P82" s="200" t="s">
        <v>1694</v>
      </c>
      <c r="Q82" s="205" t="s">
        <v>449</v>
      </c>
      <c r="R82" s="202">
        <v>81</v>
      </c>
      <c r="U82" s="205" t="s">
        <v>456</v>
      </c>
      <c r="W82" s="205" t="s">
        <v>234</v>
      </c>
      <c r="X82" s="205" t="s">
        <v>300</v>
      </c>
      <c r="Y82" s="200" t="s">
        <v>428</v>
      </c>
      <c r="Z82" s="205" t="s">
        <v>1695</v>
      </c>
      <c r="AA82" s="200" t="s">
        <v>308</v>
      </c>
      <c r="AB82" s="205" t="s">
        <v>1696</v>
      </c>
      <c r="AC82" s="200" t="s">
        <v>371</v>
      </c>
      <c r="AD82" s="205" t="s">
        <v>1697</v>
      </c>
      <c r="AE82" s="205" t="s">
        <v>232</v>
      </c>
      <c r="AF82" s="205" t="s">
        <v>1698</v>
      </c>
      <c r="AG82" s="205" t="s">
        <v>239</v>
      </c>
      <c r="AH82" s="205" t="s">
        <v>239</v>
      </c>
      <c r="AI82" s="205" t="s">
        <v>1699</v>
      </c>
      <c r="AJ82" s="205" t="s">
        <v>1699</v>
      </c>
      <c r="AK82" s="205" t="s">
        <v>239</v>
      </c>
      <c r="AL82" s="205" t="s">
        <v>239</v>
      </c>
      <c r="AM82" s="205" t="s">
        <v>239</v>
      </c>
      <c r="AN82" s="205" t="s">
        <v>239</v>
      </c>
      <c r="AO82" s="200" t="s">
        <v>235</v>
      </c>
      <c r="AP82" s="200" t="s">
        <v>235</v>
      </c>
      <c r="AQ82" s="200" t="s">
        <v>235</v>
      </c>
      <c r="AR82" s="200" t="s">
        <v>239</v>
      </c>
      <c r="AS82" s="200" t="s">
        <v>299</v>
      </c>
      <c r="AT82" s="200" t="s">
        <v>299</v>
      </c>
      <c r="AU82" s="200" t="s">
        <v>241</v>
      </c>
      <c r="AV82" s="205" t="s">
        <v>242</v>
      </c>
      <c r="AW82" s="205" t="s">
        <v>243</v>
      </c>
      <c r="AY82" s="200" t="s">
        <v>239</v>
      </c>
      <c r="AZ82" s="205" t="s">
        <v>1700</v>
      </c>
      <c r="BA82" s="205" t="s">
        <v>244</v>
      </c>
      <c r="BB82" s="205" t="s">
        <v>244</v>
      </c>
      <c r="BD82" s="205" t="s">
        <v>239</v>
      </c>
      <c r="BE82" s="205" t="s">
        <v>446</v>
      </c>
      <c r="BF82" s="205" t="s">
        <v>457</v>
      </c>
      <c r="BH82" s="205" t="s">
        <v>456</v>
      </c>
      <c r="BI82" s="202">
        <v>81</v>
      </c>
      <c r="BJ82" s="201">
        <v>42289</v>
      </c>
      <c r="BK82" s="203" t="s">
        <v>301</v>
      </c>
      <c r="BM82" s="205">
        <v>42</v>
      </c>
    </row>
    <row r="83" spans="1:65" x14ac:dyDescent="0.25">
      <c r="A83" s="205" t="s">
        <v>1622</v>
      </c>
      <c r="B83" s="205" t="s">
        <v>1701</v>
      </c>
      <c r="C83" s="205" t="s">
        <v>1702</v>
      </c>
      <c r="D83" s="205" t="s">
        <v>1703</v>
      </c>
      <c r="E83" s="201">
        <v>42275</v>
      </c>
      <c r="F83" s="205" t="s">
        <v>1704</v>
      </c>
      <c r="G83" s="205" t="s">
        <v>232</v>
      </c>
      <c r="H83" s="205" t="s">
        <v>1705</v>
      </c>
      <c r="I83" s="205" t="s">
        <v>1706</v>
      </c>
      <c r="K83" s="205" t="s">
        <v>458</v>
      </c>
      <c r="L83" s="205" t="s">
        <v>459</v>
      </c>
      <c r="M83" s="205" t="s">
        <v>460</v>
      </c>
      <c r="O83" s="200" t="s">
        <v>377</v>
      </c>
      <c r="P83" s="200" t="s">
        <v>1707</v>
      </c>
      <c r="Q83" s="205" t="s">
        <v>460</v>
      </c>
      <c r="R83" s="202">
        <v>82</v>
      </c>
      <c r="U83" s="205" t="s">
        <v>456</v>
      </c>
      <c r="W83" s="205" t="s">
        <v>234</v>
      </c>
      <c r="X83" s="205" t="s">
        <v>291</v>
      </c>
      <c r="Y83" s="200" t="s">
        <v>1708</v>
      </c>
      <c r="Z83" s="205" t="s">
        <v>1709</v>
      </c>
      <c r="AA83" s="200" t="s">
        <v>548</v>
      </c>
      <c r="AB83" s="205" t="s">
        <v>1710</v>
      </c>
      <c r="AC83" s="200" t="s">
        <v>506</v>
      </c>
      <c r="AD83" s="205" t="s">
        <v>1710</v>
      </c>
      <c r="AE83" s="205" t="s">
        <v>232</v>
      </c>
      <c r="AF83" s="205" t="s">
        <v>1711</v>
      </c>
      <c r="AG83" s="205" t="s">
        <v>239</v>
      </c>
      <c r="AH83" s="205" t="s">
        <v>239</v>
      </c>
      <c r="AI83" s="205" t="s">
        <v>1712</v>
      </c>
      <c r="AJ83" s="205" t="s">
        <v>1713</v>
      </c>
      <c r="AK83" s="205" t="s">
        <v>1714</v>
      </c>
      <c r="AL83" s="205" t="s">
        <v>239</v>
      </c>
      <c r="AM83" s="205" t="s">
        <v>239</v>
      </c>
      <c r="AN83" s="205" t="s">
        <v>239</v>
      </c>
      <c r="AO83" s="200" t="s">
        <v>235</v>
      </c>
      <c r="AP83" s="200" t="s">
        <v>235</v>
      </c>
      <c r="AQ83" s="200" t="s">
        <v>239</v>
      </c>
      <c r="AR83" s="200" t="s">
        <v>235</v>
      </c>
      <c r="AS83" s="200" t="s">
        <v>299</v>
      </c>
      <c r="AT83" s="200" t="s">
        <v>241</v>
      </c>
      <c r="AU83" s="200" t="s">
        <v>240</v>
      </c>
      <c r="AV83" s="205" t="s">
        <v>242</v>
      </c>
      <c r="AW83" s="205" t="s">
        <v>243</v>
      </c>
      <c r="AX83" s="200" t="s">
        <v>708</v>
      </c>
      <c r="AY83" s="200" t="s">
        <v>272</v>
      </c>
      <c r="AZ83" s="205" t="s">
        <v>1715</v>
      </c>
      <c r="BA83" s="205" t="s">
        <v>244</v>
      </c>
      <c r="BB83" s="205" t="s">
        <v>1716</v>
      </c>
      <c r="BD83" s="205" t="s">
        <v>239</v>
      </c>
      <c r="BE83" s="205" t="s">
        <v>446</v>
      </c>
      <c r="BF83" s="205" t="s">
        <v>457</v>
      </c>
      <c r="BH83" s="205" t="s">
        <v>456</v>
      </c>
      <c r="BI83" s="202">
        <v>82</v>
      </c>
      <c r="BJ83" s="201">
        <v>42288</v>
      </c>
      <c r="BK83" s="203" t="s">
        <v>245</v>
      </c>
      <c r="BL83" s="204">
        <v>400.24</v>
      </c>
      <c r="BM83" s="205">
        <v>41</v>
      </c>
    </row>
    <row r="84" spans="1:65" x14ac:dyDescent="0.25">
      <c r="A84" s="205" t="s">
        <v>1622</v>
      </c>
      <c r="B84" s="205" t="s">
        <v>1717</v>
      </c>
      <c r="C84" s="205" t="s">
        <v>1718</v>
      </c>
      <c r="D84" s="205" t="s">
        <v>1719</v>
      </c>
      <c r="E84" s="201">
        <v>42275</v>
      </c>
      <c r="F84" s="205" t="s">
        <v>1720</v>
      </c>
      <c r="G84" s="205" t="s">
        <v>232</v>
      </c>
      <c r="H84" s="205" t="s">
        <v>1721</v>
      </c>
      <c r="I84" s="205" t="s">
        <v>1722</v>
      </c>
      <c r="K84" s="205" t="s">
        <v>453</v>
      </c>
      <c r="L84" s="205" t="s">
        <v>461</v>
      </c>
      <c r="M84" s="205" t="s">
        <v>462</v>
      </c>
      <c r="O84" s="200" t="s">
        <v>468</v>
      </c>
      <c r="P84" s="200" t="s">
        <v>1723</v>
      </c>
      <c r="Q84" s="205" t="s">
        <v>462</v>
      </c>
      <c r="R84" s="202">
        <v>83</v>
      </c>
      <c r="U84" s="205" t="s">
        <v>456</v>
      </c>
      <c r="W84" s="205" t="s">
        <v>234</v>
      </c>
      <c r="X84" s="205" t="s">
        <v>391</v>
      </c>
      <c r="Y84" s="200" t="s">
        <v>1117</v>
      </c>
      <c r="Z84" s="205" t="s">
        <v>1724</v>
      </c>
      <c r="AA84" s="200" t="s">
        <v>858</v>
      </c>
      <c r="AB84" s="205" t="s">
        <v>1725</v>
      </c>
      <c r="AC84" s="200" t="s">
        <v>378</v>
      </c>
      <c r="AD84" s="205" t="s">
        <v>1726</v>
      </c>
      <c r="AE84" s="205" t="s">
        <v>232</v>
      </c>
      <c r="AF84" s="205" t="s">
        <v>1727</v>
      </c>
      <c r="AG84" s="205" t="s">
        <v>239</v>
      </c>
      <c r="AH84" s="205" t="s">
        <v>239</v>
      </c>
      <c r="AI84" s="205" t="s">
        <v>1727</v>
      </c>
      <c r="AJ84" s="205" t="s">
        <v>239</v>
      </c>
      <c r="AK84" s="205" t="s">
        <v>239</v>
      </c>
      <c r="AL84" s="205" t="s">
        <v>239</v>
      </c>
      <c r="AM84" s="205" t="s">
        <v>239</v>
      </c>
      <c r="AN84" s="205" t="s">
        <v>239</v>
      </c>
      <c r="AO84" s="200" t="s">
        <v>235</v>
      </c>
      <c r="AP84" s="200" t="s">
        <v>235</v>
      </c>
      <c r="AQ84" s="200" t="s">
        <v>235</v>
      </c>
      <c r="AR84" s="200" t="s">
        <v>239</v>
      </c>
      <c r="AS84" s="200" t="s">
        <v>240</v>
      </c>
      <c r="AT84" s="200" t="s">
        <v>240</v>
      </c>
      <c r="AU84" s="200" t="s">
        <v>241</v>
      </c>
      <c r="AV84" s="205" t="s">
        <v>242</v>
      </c>
      <c r="AW84" s="205" t="s">
        <v>243</v>
      </c>
      <c r="AY84" s="200" t="s">
        <v>239</v>
      </c>
      <c r="AZ84" s="205" t="s">
        <v>1728</v>
      </c>
      <c r="BA84" s="205" t="s">
        <v>244</v>
      </c>
      <c r="BB84" s="205" t="s">
        <v>244</v>
      </c>
      <c r="BC84" s="200" t="s">
        <v>256</v>
      </c>
      <c r="BD84" s="205" t="s">
        <v>239</v>
      </c>
      <c r="BE84" s="205" t="s">
        <v>446</v>
      </c>
      <c r="BF84" s="205" t="s">
        <v>457</v>
      </c>
      <c r="BH84" s="205" t="s">
        <v>456</v>
      </c>
      <c r="BI84" s="202">
        <v>83</v>
      </c>
      <c r="BJ84" s="201">
        <v>42276</v>
      </c>
      <c r="BK84" s="203" t="s">
        <v>245</v>
      </c>
      <c r="BL84" s="204">
        <v>329.34</v>
      </c>
      <c r="BM84" s="205">
        <v>40</v>
      </c>
    </row>
    <row r="85" spans="1:65" x14ac:dyDescent="0.25">
      <c r="A85" s="205" t="s">
        <v>1622</v>
      </c>
      <c r="B85" s="205" t="s">
        <v>1729</v>
      </c>
      <c r="C85" s="205" t="s">
        <v>1730</v>
      </c>
      <c r="D85" s="205" t="s">
        <v>1731</v>
      </c>
      <c r="E85" s="201">
        <v>42275</v>
      </c>
      <c r="F85" s="205" t="s">
        <v>1345</v>
      </c>
      <c r="G85" s="205" t="s">
        <v>232</v>
      </c>
      <c r="H85" s="205" t="s">
        <v>1732</v>
      </c>
      <c r="I85" s="205" t="s">
        <v>1733</v>
      </c>
      <c r="K85" s="205" t="s">
        <v>453</v>
      </c>
      <c r="L85" s="205" t="s">
        <v>461</v>
      </c>
      <c r="M85" s="205" t="s">
        <v>470</v>
      </c>
      <c r="Q85" s="205" t="s">
        <v>470</v>
      </c>
      <c r="R85" s="202">
        <v>84</v>
      </c>
      <c r="U85" s="205" t="s">
        <v>456</v>
      </c>
      <c r="W85" s="205" t="s">
        <v>234</v>
      </c>
      <c r="X85" s="205" t="s">
        <v>265</v>
      </c>
      <c r="Y85" s="200" t="s">
        <v>506</v>
      </c>
      <c r="Z85" s="205" t="s">
        <v>1606</v>
      </c>
      <c r="AA85" s="200" t="s">
        <v>501</v>
      </c>
      <c r="AB85" s="205" t="s">
        <v>493</v>
      </c>
      <c r="AC85" s="200" t="s">
        <v>315</v>
      </c>
      <c r="AD85" s="205" t="s">
        <v>528</v>
      </c>
      <c r="AE85" s="205" t="s">
        <v>232</v>
      </c>
      <c r="AF85" s="205" t="s">
        <v>1734</v>
      </c>
      <c r="AG85" s="205" t="s">
        <v>239</v>
      </c>
      <c r="AH85" s="205" t="s">
        <v>239</v>
      </c>
      <c r="AI85" s="205" t="s">
        <v>494</v>
      </c>
      <c r="AJ85" s="205" t="s">
        <v>494</v>
      </c>
      <c r="AK85" s="205" t="s">
        <v>239</v>
      </c>
      <c r="AL85" s="205" t="s">
        <v>239</v>
      </c>
      <c r="AM85" s="205" t="s">
        <v>239</v>
      </c>
      <c r="AN85" s="205" t="s">
        <v>239</v>
      </c>
      <c r="AO85" s="200" t="s">
        <v>235</v>
      </c>
      <c r="AP85" s="200" t="s">
        <v>239</v>
      </c>
      <c r="AQ85" s="200" t="s">
        <v>239</v>
      </c>
      <c r="AR85" s="200" t="s">
        <v>239</v>
      </c>
      <c r="AS85" s="200" t="s">
        <v>299</v>
      </c>
      <c r="AT85" s="200" t="s">
        <v>241</v>
      </c>
      <c r="AU85" s="200" t="s">
        <v>241</v>
      </c>
      <c r="AV85" s="205" t="s">
        <v>242</v>
      </c>
      <c r="AW85" s="205" t="s">
        <v>243</v>
      </c>
      <c r="AY85" s="200" t="s">
        <v>239</v>
      </c>
      <c r="AZ85" s="205" t="s">
        <v>1735</v>
      </c>
      <c r="BA85" s="205" t="s">
        <v>244</v>
      </c>
      <c r="BB85" s="205" t="s">
        <v>244</v>
      </c>
      <c r="BD85" s="205" t="s">
        <v>239</v>
      </c>
      <c r="BE85" s="205" t="s">
        <v>446</v>
      </c>
      <c r="BF85" s="205" t="s">
        <v>457</v>
      </c>
      <c r="BH85" s="205" t="s">
        <v>456</v>
      </c>
      <c r="BI85" s="202">
        <v>84</v>
      </c>
      <c r="BJ85" s="201">
        <v>42287</v>
      </c>
      <c r="BK85" s="203" t="s">
        <v>245</v>
      </c>
      <c r="BL85" s="204">
        <v>172.24</v>
      </c>
      <c r="BM85" s="205">
        <v>41</v>
      </c>
    </row>
    <row r="86" spans="1:65" x14ac:dyDescent="0.25">
      <c r="A86" s="205" t="s">
        <v>1622</v>
      </c>
      <c r="B86" s="205" t="s">
        <v>1736</v>
      </c>
      <c r="C86" s="205" t="s">
        <v>1737</v>
      </c>
      <c r="D86" s="205" t="s">
        <v>1738</v>
      </c>
      <c r="E86" s="201">
        <v>42275</v>
      </c>
      <c r="F86" s="205" t="s">
        <v>905</v>
      </c>
      <c r="G86" s="205" t="s">
        <v>232</v>
      </c>
      <c r="H86" s="205" t="s">
        <v>1739</v>
      </c>
      <c r="I86" s="205" t="s">
        <v>1740</v>
      </c>
      <c r="K86" s="205" t="s">
        <v>458</v>
      </c>
      <c r="L86" s="205" t="s">
        <v>459</v>
      </c>
      <c r="M86" s="205" t="s">
        <v>470</v>
      </c>
      <c r="O86" s="200" t="s">
        <v>409</v>
      </c>
      <c r="P86" s="200" t="s">
        <v>1741</v>
      </c>
      <c r="Q86" s="205" t="s">
        <v>470</v>
      </c>
      <c r="R86" s="202">
        <v>85</v>
      </c>
      <c r="U86" s="205" t="s">
        <v>456</v>
      </c>
      <c r="W86" s="205" t="s">
        <v>234</v>
      </c>
      <c r="X86" s="205" t="s">
        <v>265</v>
      </c>
      <c r="Y86" s="200" t="s">
        <v>505</v>
      </c>
      <c r="Z86" s="205" t="s">
        <v>1742</v>
      </c>
      <c r="AA86" s="200" t="s">
        <v>230</v>
      </c>
      <c r="AB86" s="205" t="s">
        <v>1743</v>
      </c>
      <c r="AC86" s="200" t="s">
        <v>304</v>
      </c>
      <c r="AD86" s="205" t="s">
        <v>1744</v>
      </c>
      <c r="AE86" s="205" t="s">
        <v>232</v>
      </c>
      <c r="AF86" s="205" t="s">
        <v>1745</v>
      </c>
      <c r="AG86" s="205" t="s">
        <v>239</v>
      </c>
      <c r="AH86" s="205" t="s">
        <v>239</v>
      </c>
      <c r="AI86" s="205" t="s">
        <v>1746</v>
      </c>
      <c r="AJ86" s="205" t="s">
        <v>1747</v>
      </c>
      <c r="AK86" s="205" t="s">
        <v>239</v>
      </c>
      <c r="AL86" s="205" t="s">
        <v>239</v>
      </c>
      <c r="AM86" s="205" t="s">
        <v>239</v>
      </c>
      <c r="AN86" s="205" t="s">
        <v>239</v>
      </c>
      <c r="AO86" s="200" t="s">
        <v>235</v>
      </c>
      <c r="AP86" s="200" t="s">
        <v>235</v>
      </c>
      <c r="AQ86" s="200" t="s">
        <v>235</v>
      </c>
      <c r="AR86" s="200" t="s">
        <v>235</v>
      </c>
      <c r="AS86" s="200" t="s">
        <v>299</v>
      </c>
      <c r="AT86" s="200" t="s">
        <v>299</v>
      </c>
      <c r="AU86" s="200" t="s">
        <v>299</v>
      </c>
      <c r="AV86" s="205" t="s">
        <v>242</v>
      </c>
      <c r="AW86" s="205" t="s">
        <v>243</v>
      </c>
      <c r="AY86" s="200" t="s">
        <v>239</v>
      </c>
      <c r="AZ86" s="205" t="s">
        <v>1748</v>
      </c>
      <c r="BA86" s="205" t="s">
        <v>244</v>
      </c>
      <c r="BB86" s="205" t="s">
        <v>1749</v>
      </c>
      <c r="BD86" s="205" t="s">
        <v>235</v>
      </c>
      <c r="BE86" s="205" t="s">
        <v>446</v>
      </c>
      <c r="BF86" s="205" t="s">
        <v>457</v>
      </c>
      <c r="BH86" s="205" t="s">
        <v>456</v>
      </c>
      <c r="BI86" s="202">
        <v>85</v>
      </c>
      <c r="BJ86" s="201">
        <v>42278</v>
      </c>
      <c r="BK86" s="203" t="s">
        <v>245</v>
      </c>
      <c r="BL86" s="204">
        <v>605.26</v>
      </c>
      <c r="BM86" s="205">
        <v>40</v>
      </c>
    </row>
    <row r="87" spans="1:65" x14ac:dyDescent="0.25">
      <c r="A87" s="205" t="s">
        <v>1622</v>
      </c>
      <c r="B87" s="205" t="s">
        <v>1750</v>
      </c>
      <c r="C87" s="205" t="s">
        <v>1751</v>
      </c>
      <c r="D87" s="205" t="s">
        <v>1752</v>
      </c>
      <c r="E87" s="201">
        <v>42275</v>
      </c>
      <c r="F87" s="205" t="s">
        <v>1753</v>
      </c>
      <c r="G87" s="205" t="s">
        <v>232</v>
      </c>
      <c r="H87" s="205" t="s">
        <v>1754</v>
      </c>
      <c r="I87" s="205" t="s">
        <v>1755</v>
      </c>
      <c r="K87" s="205" t="s">
        <v>458</v>
      </c>
      <c r="L87" s="205" t="s">
        <v>459</v>
      </c>
      <c r="M87" s="205" t="s">
        <v>470</v>
      </c>
      <c r="O87" s="200" t="s">
        <v>344</v>
      </c>
      <c r="P87" s="200" t="s">
        <v>1756</v>
      </c>
      <c r="Q87" s="205" t="s">
        <v>470</v>
      </c>
      <c r="R87" s="202">
        <v>86</v>
      </c>
      <c r="U87" s="205" t="s">
        <v>456</v>
      </c>
      <c r="W87" s="205" t="s">
        <v>234</v>
      </c>
      <c r="X87" s="205" t="s">
        <v>265</v>
      </c>
      <c r="Y87" s="200" t="s">
        <v>519</v>
      </c>
      <c r="Z87" s="205" t="s">
        <v>1757</v>
      </c>
      <c r="AA87" s="200" t="s">
        <v>320</v>
      </c>
      <c r="AB87" s="205" t="s">
        <v>305</v>
      </c>
      <c r="AC87" s="200" t="s">
        <v>325</v>
      </c>
      <c r="AD87" s="205" t="s">
        <v>1758</v>
      </c>
      <c r="AE87" s="205" t="s">
        <v>232</v>
      </c>
      <c r="AF87" s="205" t="s">
        <v>1759</v>
      </c>
      <c r="AG87" s="205" t="s">
        <v>1760</v>
      </c>
      <c r="AH87" s="205" t="s">
        <v>239</v>
      </c>
      <c r="AI87" s="205" t="s">
        <v>1761</v>
      </c>
      <c r="AJ87" s="205" t="s">
        <v>1762</v>
      </c>
      <c r="AK87" s="205" t="s">
        <v>239</v>
      </c>
      <c r="AL87" s="205" t="s">
        <v>239</v>
      </c>
      <c r="AM87" s="205" t="s">
        <v>239</v>
      </c>
      <c r="AN87" s="205" t="s">
        <v>239</v>
      </c>
      <c r="AO87" s="200" t="s">
        <v>235</v>
      </c>
      <c r="AP87" s="200" t="s">
        <v>235</v>
      </c>
      <c r="AQ87" s="200" t="s">
        <v>235</v>
      </c>
      <c r="AR87" s="200" t="s">
        <v>235</v>
      </c>
      <c r="AS87" s="200" t="s">
        <v>240</v>
      </c>
      <c r="AT87" s="200" t="s">
        <v>240</v>
      </c>
      <c r="AU87" s="200" t="s">
        <v>240</v>
      </c>
      <c r="AV87" s="205" t="s">
        <v>242</v>
      </c>
      <c r="AW87" s="205" t="s">
        <v>243</v>
      </c>
      <c r="AY87" s="200" t="s">
        <v>239</v>
      </c>
      <c r="AZ87" s="205" t="s">
        <v>1763</v>
      </c>
      <c r="BA87" s="205" t="s">
        <v>244</v>
      </c>
      <c r="BB87" s="205" t="s">
        <v>244</v>
      </c>
      <c r="BD87" s="205" t="s">
        <v>239</v>
      </c>
      <c r="BE87" s="205" t="s">
        <v>446</v>
      </c>
      <c r="BF87" s="205" t="s">
        <v>457</v>
      </c>
      <c r="BH87" s="205" t="s">
        <v>456</v>
      </c>
      <c r="BI87" s="202">
        <v>86</v>
      </c>
      <c r="BJ87" s="201">
        <v>42276</v>
      </c>
      <c r="BK87" s="203" t="s">
        <v>245</v>
      </c>
      <c r="BL87" s="204">
        <v>204.38</v>
      </c>
      <c r="BM87" s="205">
        <v>40</v>
      </c>
    </row>
    <row r="88" spans="1:65" x14ac:dyDescent="0.25">
      <c r="A88" s="205" t="s">
        <v>1622</v>
      </c>
      <c r="B88" s="205" t="s">
        <v>1764</v>
      </c>
      <c r="C88" s="205" t="s">
        <v>1765</v>
      </c>
      <c r="D88" s="205" t="s">
        <v>1766</v>
      </c>
      <c r="E88" s="201">
        <v>42275</v>
      </c>
      <c r="F88" s="205" t="s">
        <v>1767</v>
      </c>
      <c r="G88" s="205" t="s">
        <v>232</v>
      </c>
      <c r="H88" s="205" t="s">
        <v>1768</v>
      </c>
      <c r="I88" s="205" t="s">
        <v>1769</v>
      </c>
      <c r="K88" s="205" t="s">
        <v>453</v>
      </c>
      <c r="L88" s="205" t="s">
        <v>448</v>
      </c>
      <c r="M88" s="205" t="s">
        <v>449</v>
      </c>
      <c r="O88" s="200" t="s">
        <v>264</v>
      </c>
      <c r="P88" s="200" t="s">
        <v>1770</v>
      </c>
      <c r="Q88" s="205" t="s">
        <v>449</v>
      </c>
      <c r="R88" s="202">
        <v>87</v>
      </c>
      <c r="U88" s="205" t="s">
        <v>456</v>
      </c>
      <c r="W88" s="205" t="s">
        <v>234</v>
      </c>
      <c r="X88" s="205" t="s">
        <v>265</v>
      </c>
      <c r="Y88" s="200" t="s">
        <v>413</v>
      </c>
      <c r="Z88" s="205" t="s">
        <v>1771</v>
      </c>
      <c r="AA88" s="200" t="s">
        <v>362</v>
      </c>
      <c r="AB88" s="205" t="s">
        <v>405</v>
      </c>
      <c r="AC88" s="200" t="s">
        <v>614</v>
      </c>
      <c r="AD88" s="205" t="s">
        <v>284</v>
      </c>
      <c r="AE88" s="205" t="s">
        <v>232</v>
      </c>
      <c r="AF88" s="205" t="s">
        <v>1772</v>
      </c>
      <c r="AG88" s="205" t="s">
        <v>239</v>
      </c>
      <c r="AH88" s="205" t="s">
        <v>239</v>
      </c>
      <c r="AI88" s="205" t="s">
        <v>1773</v>
      </c>
      <c r="AJ88" s="205" t="s">
        <v>1774</v>
      </c>
      <c r="AK88" s="205" t="s">
        <v>239</v>
      </c>
      <c r="AL88" s="205" t="s">
        <v>239</v>
      </c>
      <c r="AM88" s="205" t="s">
        <v>239</v>
      </c>
      <c r="AN88" s="205" t="s">
        <v>239</v>
      </c>
      <c r="AO88" s="200" t="s">
        <v>239</v>
      </c>
      <c r="AP88" s="200" t="s">
        <v>239</v>
      </c>
      <c r="AQ88" s="200" t="s">
        <v>235</v>
      </c>
      <c r="AR88" s="200" t="s">
        <v>239</v>
      </c>
      <c r="AS88" s="200" t="s">
        <v>262</v>
      </c>
      <c r="AT88" s="200" t="s">
        <v>299</v>
      </c>
      <c r="AU88" s="200" t="s">
        <v>241</v>
      </c>
      <c r="AV88" s="205" t="s">
        <v>242</v>
      </c>
      <c r="AW88" s="205" t="s">
        <v>243</v>
      </c>
      <c r="AY88" s="200" t="s">
        <v>239</v>
      </c>
      <c r="AZ88" s="205" t="s">
        <v>1775</v>
      </c>
      <c r="BA88" s="205" t="s">
        <v>244</v>
      </c>
      <c r="BB88" s="205" t="s">
        <v>1775</v>
      </c>
      <c r="BD88" s="205" t="s">
        <v>239</v>
      </c>
      <c r="BE88" s="205" t="s">
        <v>446</v>
      </c>
      <c r="BF88" s="205" t="s">
        <v>457</v>
      </c>
      <c r="BH88" s="205" t="s">
        <v>456</v>
      </c>
      <c r="BI88" s="202">
        <v>87</v>
      </c>
      <c r="BJ88" s="201">
        <v>42289</v>
      </c>
      <c r="BK88" s="203" t="s">
        <v>245</v>
      </c>
      <c r="BL88" s="204">
        <v>97.13</v>
      </c>
      <c r="BM88" s="205">
        <v>42</v>
      </c>
    </row>
    <row r="89" spans="1:65" x14ac:dyDescent="0.25">
      <c r="A89" s="205" t="s">
        <v>1622</v>
      </c>
      <c r="B89" s="205" t="s">
        <v>1776</v>
      </c>
      <c r="C89" s="205" t="s">
        <v>1777</v>
      </c>
      <c r="D89" s="205" t="s">
        <v>1778</v>
      </c>
      <c r="E89" s="201">
        <v>42275</v>
      </c>
      <c r="F89" s="205" t="s">
        <v>1779</v>
      </c>
      <c r="G89" s="205" t="s">
        <v>232</v>
      </c>
      <c r="H89" s="205" t="s">
        <v>1780</v>
      </c>
      <c r="I89" s="205" t="s">
        <v>1781</v>
      </c>
      <c r="K89" s="205" t="s">
        <v>442</v>
      </c>
      <c r="L89" s="205" t="s">
        <v>443</v>
      </c>
      <c r="M89" s="205" t="s">
        <v>444</v>
      </c>
      <c r="O89" s="200" t="s">
        <v>330</v>
      </c>
      <c r="P89" s="200" t="s">
        <v>1782</v>
      </c>
      <c r="Q89" s="205" t="s">
        <v>444</v>
      </c>
      <c r="R89" s="202">
        <v>88</v>
      </c>
      <c r="U89" s="205" t="s">
        <v>456</v>
      </c>
      <c r="W89" s="205" t="s">
        <v>234</v>
      </c>
      <c r="X89" s="205" t="s">
        <v>265</v>
      </c>
      <c r="Y89" s="200" t="s">
        <v>427</v>
      </c>
      <c r="Z89" s="205" t="s">
        <v>1783</v>
      </c>
      <c r="AA89" s="200" t="s">
        <v>525</v>
      </c>
      <c r="AB89" s="205" t="s">
        <v>1784</v>
      </c>
      <c r="AC89" s="200" t="s">
        <v>361</v>
      </c>
      <c r="AD89" s="205" t="s">
        <v>1785</v>
      </c>
      <c r="AE89" s="205" t="s">
        <v>232</v>
      </c>
      <c r="AF89" s="205" t="s">
        <v>1786</v>
      </c>
      <c r="AG89" s="205" t="s">
        <v>239</v>
      </c>
      <c r="AH89" s="205" t="s">
        <v>239</v>
      </c>
      <c r="AI89" s="205" t="s">
        <v>650</v>
      </c>
      <c r="AJ89" s="205" t="s">
        <v>1787</v>
      </c>
      <c r="AK89" s="205" t="s">
        <v>239</v>
      </c>
      <c r="AL89" s="205" t="s">
        <v>239</v>
      </c>
      <c r="AM89" s="205" t="s">
        <v>239</v>
      </c>
      <c r="AN89" s="205" t="s">
        <v>239</v>
      </c>
      <c r="AO89" s="200" t="s">
        <v>239</v>
      </c>
      <c r="AP89" s="200" t="s">
        <v>239</v>
      </c>
      <c r="AQ89" s="200" t="s">
        <v>235</v>
      </c>
      <c r="AR89" s="200" t="s">
        <v>239</v>
      </c>
      <c r="AS89" s="200" t="s">
        <v>262</v>
      </c>
      <c r="AT89" s="200" t="s">
        <v>299</v>
      </c>
      <c r="AU89" s="200" t="s">
        <v>241</v>
      </c>
      <c r="AV89" s="205" t="s">
        <v>242</v>
      </c>
      <c r="AW89" s="205" t="s">
        <v>243</v>
      </c>
      <c r="AY89" s="200" t="s">
        <v>239</v>
      </c>
      <c r="AZ89" s="205" t="s">
        <v>1788</v>
      </c>
      <c r="BA89" s="205" t="s">
        <v>244</v>
      </c>
      <c r="BB89" s="205" t="s">
        <v>244</v>
      </c>
      <c r="BD89" s="205" t="s">
        <v>239</v>
      </c>
      <c r="BE89" s="205" t="s">
        <v>446</v>
      </c>
      <c r="BF89" s="205" t="s">
        <v>457</v>
      </c>
      <c r="BH89" s="205" t="s">
        <v>456</v>
      </c>
      <c r="BI89" s="202">
        <v>88</v>
      </c>
      <c r="BJ89" s="201">
        <v>42287</v>
      </c>
      <c r="BK89" s="203" t="s">
        <v>301</v>
      </c>
      <c r="BM89" s="205">
        <v>41</v>
      </c>
    </row>
    <row r="90" spans="1:65" x14ac:dyDescent="0.25">
      <c r="A90" s="205" t="s">
        <v>680</v>
      </c>
      <c r="B90" s="205" t="s">
        <v>1789</v>
      </c>
      <c r="C90" s="205" t="s">
        <v>1790</v>
      </c>
      <c r="D90" s="205" t="s">
        <v>1791</v>
      </c>
      <c r="E90" s="201">
        <v>42275</v>
      </c>
      <c r="F90" s="205" t="s">
        <v>560</v>
      </c>
      <c r="G90" s="205" t="s">
        <v>232</v>
      </c>
      <c r="H90" s="205" t="s">
        <v>1792</v>
      </c>
      <c r="I90" s="205" t="s">
        <v>1793</v>
      </c>
      <c r="J90" s="205" t="s">
        <v>623</v>
      </c>
      <c r="K90" s="205" t="s">
        <v>450</v>
      </c>
      <c r="L90" s="205" t="s">
        <v>451</v>
      </c>
      <c r="M90" s="205" t="s">
        <v>452</v>
      </c>
      <c r="O90" s="200" t="s">
        <v>246</v>
      </c>
      <c r="P90" s="200" t="s">
        <v>1794</v>
      </c>
      <c r="Q90" s="205" t="s">
        <v>452</v>
      </c>
      <c r="R90" s="202">
        <v>89</v>
      </c>
      <c r="U90" s="205" t="s">
        <v>456</v>
      </c>
      <c r="W90" s="205" t="s">
        <v>234</v>
      </c>
      <c r="X90" s="205" t="s">
        <v>300</v>
      </c>
      <c r="Y90" s="200" t="s">
        <v>340</v>
      </c>
      <c r="Z90" s="205" t="s">
        <v>1795</v>
      </c>
      <c r="AA90" s="200" t="s">
        <v>266</v>
      </c>
      <c r="AB90" s="205" t="s">
        <v>370</v>
      </c>
      <c r="AC90" s="200" t="s">
        <v>308</v>
      </c>
      <c r="AD90" s="205" t="s">
        <v>1796</v>
      </c>
      <c r="AE90" s="205" t="s">
        <v>232</v>
      </c>
      <c r="AF90" s="205" t="s">
        <v>1797</v>
      </c>
      <c r="AG90" s="205" t="s">
        <v>239</v>
      </c>
      <c r="AH90" s="205" t="s">
        <v>239</v>
      </c>
      <c r="AI90" s="205" t="s">
        <v>1798</v>
      </c>
      <c r="AJ90" s="205" t="s">
        <v>1799</v>
      </c>
      <c r="AK90" s="205" t="s">
        <v>1800</v>
      </c>
      <c r="AL90" s="205" t="s">
        <v>1801</v>
      </c>
      <c r="AM90" s="205" t="s">
        <v>239</v>
      </c>
      <c r="AN90" s="205" t="s">
        <v>239</v>
      </c>
      <c r="AO90" s="200" t="s">
        <v>239</v>
      </c>
      <c r="AP90" s="200" t="s">
        <v>239</v>
      </c>
      <c r="AQ90" s="200" t="s">
        <v>239</v>
      </c>
      <c r="AR90" s="200" t="s">
        <v>235</v>
      </c>
      <c r="AS90" s="200" t="s">
        <v>262</v>
      </c>
      <c r="AT90" s="200" t="s">
        <v>241</v>
      </c>
      <c r="AU90" s="200" t="s">
        <v>299</v>
      </c>
      <c r="AV90" s="205" t="s">
        <v>242</v>
      </c>
      <c r="AW90" s="205" t="s">
        <v>482</v>
      </c>
      <c r="AX90" s="200" t="s">
        <v>420</v>
      </c>
      <c r="AY90" s="200" t="s">
        <v>243</v>
      </c>
      <c r="AZ90" s="205" t="s">
        <v>1802</v>
      </c>
      <c r="BA90" s="205" t="s">
        <v>244</v>
      </c>
      <c r="BB90" s="205" t="s">
        <v>244</v>
      </c>
      <c r="BD90" s="205" t="s">
        <v>239</v>
      </c>
      <c r="BE90" s="205" t="s">
        <v>446</v>
      </c>
      <c r="BF90" s="205" t="s">
        <v>457</v>
      </c>
      <c r="BH90" s="205" t="s">
        <v>456</v>
      </c>
      <c r="BI90" s="202">
        <v>89</v>
      </c>
      <c r="BJ90" s="201">
        <v>42286</v>
      </c>
      <c r="BK90" s="203" t="s">
        <v>301</v>
      </c>
      <c r="BM90" s="205">
        <v>41</v>
      </c>
    </row>
    <row r="91" spans="1:65" x14ac:dyDescent="0.25">
      <c r="A91" s="205" t="s">
        <v>680</v>
      </c>
      <c r="B91" s="205" t="s">
        <v>1803</v>
      </c>
      <c r="C91" s="205" t="s">
        <v>654</v>
      </c>
      <c r="D91" s="205" t="s">
        <v>655</v>
      </c>
      <c r="E91" s="201">
        <v>42275</v>
      </c>
      <c r="F91" s="205" t="s">
        <v>526</v>
      </c>
      <c r="G91" s="205" t="s">
        <v>232</v>
      </c>
      <c r="H91" s="205" t="s">
        <v>656</v>
      </c>
      <c r="I91" s="205" t="s">
        <v>657</v>
      </c>
      <c r="K91" s="205" t="s">
        <v>464</v>
      </c>
      <c r="L91" s="205" t="s">
        <v>465</v>
      </c>
      <c r="M91" s="205" t="s">
        <v>466</v>
      </c>
      <c r="O91" s="200" t="s">
        <v>468</v>
      </c>
      <c r="P91" s="200" t="s">
        <v>658</v>
      </c>
      <c r="Q91" s="205" t="s">
        <v>466</v>
      </c>
      <c r="R91" s="202">
        <v>90</v>
      </c>
      <c r="U91" s="205" t="s">
        <v>456</v>
      </c>
      <c r="W91" s="205" t="s">
        <v>234</v>
      </c>
      <c r="X91" s="205" t="s">
        <v>408</v>
      </c>
      <c r="Y91" s="200" t="s">
        <v>428</v>
      </c>
      <c r="Z91" s="205" t="s">
        <v>659</v>
      </c>
      <c r="AA91" s="200" t="s">
        <v>312</v>
      </c>
      <c r="AB91" s="205" t="s">
        <v>660</v>
      </c>
      <c r="AC91" s="200" t="s">
        <v>292</v>
      </c>
      <c r="AD91" s="205" t="s">
        <v>595</v>
      </c>
      <c r="AE91" s="205" t="s">
        <v>232</v>
      </c>
      <c r="AF91" s="205" t="s">
        <v>1804</v>
      </c>
      <c r="AG91" s="205" t="s">
        <v>239</v>
      </c>
      <c r="AH91" s="205" t="s">
        <v>239</v>
      </c>
      <c r="AI91" s="205" t="s">
        <v>1805</v>
      </c>
      <c r="AJ91" s="205" t="s">
        <v>661</v>
      </c>
      <c r="AK91" s="205" t="s">
        <v>662</v>
      </c>
      <c r="AL91" s="205" t="s">
        <v>239</v>
      </c>
      <c r="AM91" s="205" t="s">
        <v>239</v>
      </c>
      <c r="AN91" s="205" t="s">
        <v>239</v>
      </c>
      <c r="AO91" s="200" t="s">
        <v>239</v>
      </c>
      <c r="AP91" s="200" t="s">
        <v>239</v>
      </c>
      <c r="AQ91" s="200" t="s">
        <v>235</v>
      </c>
      <c r="AR91" s="200" t="s">
        <v>235</v>
      </c>
      <c r="AS91" s="200" t="s">
        <v>262</v>
      </c>
      <c r="AT91" s="200" t="s">
        <v>299</v>
      </c>
      <c r="AU91" s="200" t="s">
        <v>299</v>
      </c>
      <c r="AV91" s="205" t="s">
        <v>242</v>
      </c>
      <c r="AW91" s="205" t="s">
        <v>482</v>
      </c>
      <c r="AY91" s="200" t="s">
        <v>239</v>
      </c>
      <c r="AZ91" s="205" t="s">
        <v>663</v>
      </c>
      <c r="BA91" s="205" t="s">
        <v>244</v>
      </c>
      <c r="BB91" s="205" t="s">
        <v>244</v>
      </c>
      <c r="BD91" s="205" t="s">
        <v>239</v>
      </c>
      <c r="BE91" s="205" t="s">
        <v>446</v>
      </c>
      <c r="BF91" s="205" t="s">
        <v>457</v>
      </c>
      <c r="BH91" s="205" t="s">
        <v>456</v>
      </c>
      <c r="BI91" s="202">
        <v>90</v>
      </c>
      <c r="BK91" s="203" t="s">
        <v>289</v>
      </c>
    </row>
    <row r="92" spans="1:65" x14ac:dyDescent="0.25">
      <c r="A92" s="205" t="s">
        <v>609</v>
      </c>
      <c r="B92" s="205" t="s">
        <v>1806</v>
      </c>
      <c r="C92" s="205" t="s">
        <v>666</v>
      </c>
      <c r="D92" s="205" t="s">
        <v>667</v>
      </c>
      <c r="E92" s="201">
        <v>42275</v>
      </c>
      <c r="F92" s="205" t="s">
        <v>508</v>
      </c>
      <c r="G92" s="205" t="s">
        <v>232</v>
      </c>
      <c r="H92" s="205" t="s">
        <v>668</v>
      </c>
      <c r="I92" s="205" t="s">
        <v>669</v>
      </c>
      <c r="J92" s="205" t="s">
        <v>353</v>
      </c>
      <c r="K92" s="205" t="s">
        <v>453</v>
      </c>
      <c r="L92" s="205" t="s">
        <v>461</v>
      </c>
      <c r="M92" s="205" t="s">
        <v>462</v>
      </c>
      <c r="O92" s="200" t="s">
        <v>344</v>
      </c>
      <c r="P92" s="200" t="s">
        <v>670</v>
      </c>
      <c r="Q92" s="205" t="s">
        <v>462</v>
      </c>
      <c r="R92" s="202">
        <v>91</v>
      </c>
      <c r="U92" s="205" t="s">
        <v>456</v>
      </c>
      <c r="W92" s="205" t="s">
        <v>234</v>
      </c>
      <c r="X92" s="205" t="s">
        <v>291</v>
      </c>
      <c r="Y92" s="200" t="s">
        <v>506</v>
      </c>
      <c r="Z92" s="205" t="s">
        <v>671</v>
      </c>
      <c r="AA92" s="200" t="s">
        <v>407</v>
      </c>
      <c r="AB92" s="205" t="s">
        <v>672</v>
      </c>
      <c r="AC92" s="200" t="s">
        <v>236</v>
      </c>
      <c r="AD92" s="205" t="s">
        <v>673</v>
      </c>
      <c r="AE92" s="205" t="s">
        <v>232</v>
      </c>
      <c r="AF92" s="205" t="s">
        <v>1807</v>
      </c>
      <c r="AG92" s="205" t="s">
        <v>239</v>
      </c>
      <c r="AH92" s="205" t="s">
        <v>239</v>
      </c>
      <c r="AI92" s="205" t="s">
        <v>1808</v>
      </c>
      <c r="AJ92" s="205" t="s">
        <v>674</v>
      </c>
      <c r="AK92" s="205" t="s">
        <v>675</v>
      </c>
      <c r="AL92" s="205" t="s">
        <v>239</v>
      </c>
      <c r="AM92" s="205" t="s">
        <v>239</v>
      </c>
      <c r="AN92" s="205" t="s">
        <v>239</v>
      </c>
      <c r="AO92" s="200" t="s">
        <v>235</v>
      </c>
      <c r="AP92" s="200" t="s">
        <v>235</v>
      </c>
      <c r="AQ92" s="200" t="s">
        <v>235</v>
      </c>
      <c r="AR92" s="200" t="s">
        <v>235</v>
      </c>
      <c r="AS92" s="200" t="s">
        <v>299</v>
      </c>
      <c r="AT92" s="200" t="s">
        <v>299</v>
      </c>
      <c r="AU92" s="200" t="s">
        <v>299</v>
      </c>
      <c r="AV92" s="205" t="s">
        <v>242</v>
      </c>
      <c r="AW92" s="205" t="s">
        <v>482</v>
      </c>
      <c r="AX92" s="200" t="s">
        <v>676</v>
      </c>
      <c r="AY92" s="200" t="s">
        <v>235</v>
      </c>
      <c r="AZ92" s="205" t="s">
        <v>677</v>
      </c>
      <c r="BA92" s="205" t="s">
        <v>244</v>
      </c>
      <c r="BB92" s="205" t="s">
        <v>244</v>
      </c>
      <c r="BD92" s="205" t="s">
        <v>239</v>
      </c>
      <c r="BE92" s="205" t="s">
        <v>446</v>
      </c>
      <c r="BF92" s="205" t="s">
        <v>457</v>
      </c>
      <c r="BH92" s="205" t="s">
        <v>456</v>
      </c>
      <c r="BI92" s="202">
        <v>91</v>
      </c>
      <c r="BK92" s="203" t="s">
        <v>289</v>
      </c>
    </row>
    <row r="93" spans="1:65" x14ac:dyDescent="0.25">
      <c r="A93" s="205" t="s">
        <v>609</v>
      </c>
      <c r="B93" s="205" t="s">
        <v>1809</v>
      </c>
      <c r="C93" s="205" t="s">
        <v>1810</v>
      </c>
      <c r="D93" s="205" t="s">
        <v>1811</v>
      </c>
      <c r="E93" s="201">
        <v>42275</v>
      </c>
      <c r="F93" s="205" t="s">
        <v>1812</v>
      </c>
      <c r="G93" s="205" t="s">
        <v>232</v>
      </c>
      <c r="H93" s="205" t="s">
        <v>1813</v>
      </c>
      <c r="I93" s="205" t="s">
        <v>1814</v>
      </c>
      <c r="K93" s="205" t="s">
        <v>453</v>
      </c>
      <c r="L93" s="205" t="s">
        <v>461</v>
      </c>
      <c r="M93" s="205" t="s">
        <v>462</v>
      </c>
      <c r="O93" s="200" t="s">
        <v>267</v>
      </c>
      <c r="P93" s="200" t="s">
        <v>1815</v>
      </c>
      <c r="Q93" s="205" t="s">
        <v>462</v>
      </c>
      <c r="R93" s="202">
        <v>92</v>
      </c>
      <c r="S93" s="205" t="s">
        <v>1816</v>
      </c>
      <c r="U93" s="205" t="s">
        <v>456</v>
      </c>
      <c r="X93" s="205" t="s">
        <v>355</v>
      </c>
      <c r="Y93" s="200" t="s">
        <v>339</v>
      </c>
      <c r="Z93" s="205" t="s">
        <v>1817</v>
      </c>
      <c r="AA93" s="200" t="s">
        <v>383</v>
      </c>
      <c r="AB93" s="205" t="s">
        <v>1818</v>
      </c>
      <c r="AC93" s="200" t="s">
        <v>283</v>
      </c>
      <c r="AD93" s="205" t="s">
        <v>1819</v>
      </c>
      <c r="AE93" s="205" t="s">
        <v>232</v>
      </c>
      <c r="AF93" s="205" t="s">
        <v>1820</v>
      </c>
      <c r="AG93" s="205" t="s">
        <v>239</v>
      </c>
      <c r="AH93" s="205" t="s">
        <v>239</v>
      </c>
      <c r="AI93" s="205" t="s">
        <v>1821</v>
      </c>
      <c r="AJ93" s="205" t="s">
        <v>1821</v>
      </c>
      <c r="AK93" s="205" t="s">
        <v>1822</v>
      </c>
      <c r="AL93" s="205" t="s">
        <v>239</v>
      </c>
      <c r="AM93" s="205" t="s">
        <v>239</v>
      </c>
      <c r="AN93" s="205" t="s">
        <v>239</v>
      </c>
      <c r="AO93" s="200" t="s">
        <v>239</v>
      </c>
      <c r="AP93" s="200" t="s">
        <v>239</v>
      </c>
      <c r="AQ93" s="200" t="s">
        <v>239</v>
      </c>
      <c r="AR93" s="200" t="s">
        <v>235</v>
      </c>
      <c r="AS93" s="200" t="s">
        <v>262</v>
      </c>
      <c r="AT93" s="200" t="s">
        <v>241</v>
      </c>
      <c r="AU93" s="200" t="s">
        <v>299</v>
      </c>
      <c r="AV93" s="205" t="s">
        <v>242</v>
      </c>
      <c r="AW93" s="205" t="s">
        <v>482</v>
      </c>
      <c r="AY93" s="200" t="s">
        <v>239</v>
      </c>
      <c r="AZ93" s="205" t="s">
        <v>1823</v>
      </c>
      <c r="BA93" s="205" t="s">
        <v>244</v>
      </c>
      <c r="BB93" s="205" t="s">
        <v>244</v>
      </c>
      <c r="BD93" s="205" t="s">
        <v>239</v>
      </c>
      <c r="BE93" s="205" t="s">
        <v>446</v>
      </c>
      <c r="BF93" s="205" t="s">
        <v>457</v>
      </c>
      <c r="BH93" s="205" t="s">
        <v>456</v>
      </c>
      <c r="BI93" s="202">
        <v>92</v>
      </c>
      <c r="BJ93" s="201">
        <v>42287</v>
      </c>
      <c r="BK93" s="203" t="s">
        <v>301</v>
      </c>
      <c r="BM93" s="205">
        <v>41</v>
      </c>
    </row>
    <row r="94" spans="1:65" x14ac:dyDescent="0.25">
      <c r="A94" s="205" t="s">
        <v>901</v>
      </c>
      <c r="B94" s="205" t="s">
        <v>1824</v>
      </c>
      <c r="C94" s="205" t="s">
        <v>697</v>
      </c>
      <c r="D94" s="205" t="s">
        <v>698</v>
      </c>
      <c r="E94" s="201">
        <v>42275</v>
      </c>
      <c r="F94" s="205" t="s">
        <v>699</v>
      </c>
      <c r="G94" s="205" t="s">
        <v>232</v>
      </c>
      <c r="H94" s="205" t="s">
        <v>700</v>
      </c>
      <c r="I94" s="205" t="s">
        <v>701</v>
      </c>
      <c r="K94" s="205" t="s">
        <v>442</v>
      </c>
      <c r="L94" s="205" t="s">
        <v>443</v>
      </c>
      <c r="M94" s="205" t="s">
        <v>444</v>
      </c>
      <c r="O94" s="200" t="s">
        <v>389</v>
      </c>
      <c r="P94" s="200" t="s">
        <v>702</v>
      </c>
      <c r="Q94" s="205" t="s">
        <v>444</v>
      </c>
      <c r="R94" s="202">
        <v>93</v>
      </c>
      <c r="U94" s="205" t="s">
        <v>456</v>
      </c>
      <c r="W94" s="205" t="s">
        <v>234</v>
      </c>
      <c r="X94" s="205" t="s">
        <v>390</v>
      </c>
      <c r="Y94" s="200" t="s">
        <v>603</v>
      </c>
      <c r="Z94" s="205" t="s">
        <v>703</v>
      </c>
      <c r="AA94" s="200" t="s">
        <v>422</v>
      </c>
      <c r="AB94" s="205" t="s">
        <v>260</v>
      </c>
      <c r="AC94" s="200" t="s">
        <v>502</v>
      </c>
      <c r="AD94" s="205" t="s">
        <v>704</v>
      </c>
      <c r="AE94" s="205" t="s">
        <v>232</v>
      </c>
      <c r="AF94" s="205" t="s">
        <v>705</v>
      </c>
      <c r="AG94" s="205" t="s">
        <v>239</v>
      </c>
      <c r="AH94" s="205" t="s">
        <v>239</v>
      </c>
      <c r="AI94" s="205" t="s">
        <v>706</v>
      </c>
      <c r="AJ94" s="205" t="s">
        <v>239</v>
      </c>
      <c r="AK94" s="205" t="s">
        <v>239</v>
      </c>
      <c r="AL94" s="205" t="s">
        <v>707</v>
      </c>
      <c r="AM94" s="205" t="s">
        <v>239</v>
      </c>
      <c r="AN94" s="205" t="s">
        <v>239</v>
      </c>
      <c r="AO94" s="200" t="s">
        <v>239</v>
      </c>
      <c r="AP94" s="200" t="s">
        <v>239</v>
      </c>
      <c r="AQ94" s="200" t="s">
        <v>235</v>
      </c>
      <c r="AR94" s="200" t="s">
        <v>235</v>
      </c>
      <c r="AS94" s="200" t="s">
        <v>262</v>
      </c>
      <c r="AT94" s="200" t="s">
        <v>299</v>
      </c>
      <c r="AU94" s="200" t="s">
        <v>299</v>
      </c>
      <c r="AV94" s="205" t="s">
        <v>242</v>
      </c>
      <c r="AW94" s="205" t="s">
        <v>482</v>
      </c>
      <c r="AX94" s="200" t="s">
        <v>708</v>
      </c>
      <c r="AY94" s="200" t="s">
        <v>243</v>
      </c>
      <c r="AZ94" s="205" t="s">
        <v>709</v>
      </c>
      <c r="BA94" s="205" t="s">
        <v>244</v>
      </c>
      <c r="BB94" s="205" t="s">
        <v>710</v>
      </c>
      <c r="BD94" s="205" t="s">
        <v>239</v>
      </c>
      <c r="BE94" s="205" t="s">
        <v>446</v>
      </c>
      <c r="BF94" s="205" t="s">
        <v>457</v>
      </c>
      <c r="BH94" s="205" t="s">
        <v>456</v>
      </c>
      <c r="BI94" s="202">
        <v>93</v>
      </c>
      <c r="BK94" s="203" t="s">
        <v>289</v>
      </c>
    </row>
    <row r="95" spans="1:65" x14ac:dyDescent="0.25">
      <c r="A95" s="205" t="s">
        <v>901</v>
      </c>
      <c r="B95" s="205" t="s">
        <v>1825</v>
      </c>
      <c r="C95" s="205" t="s">
        <v>712</v>
      </c>
      <c r="D95" s="205" t="s">
        <v>713</v>
      </c>
      <c r="E95" s="201">
        <v>42275</v>
      </c>
      <c r="F95" s="205" t="s">
        <v>714</v>
      </c>
      <c r="G95" s="205" t="s">
        <v>232</v>
      </c>
      <c r="H95" s="205" t="s">
        <v>273</v>
      </c>
      <c r="I95" s="205" t="s">
        <v>715</v>
      </c>
      <c r="J95" s="205" t="s">
        <v>716</v>
      </c>
      <c r="K95" s="205" t="s">
        <v>450</v>
      </c>
      <c r="L95" s="205" t="s">
        <v>451</v>
      </c>
      <c r="M95" s="205" t="s">
        <v>452</v>
      </c>
      <c r="O95" s="200" t="s">
        <v>267</v>
      </c>
      <c r="P95" s="200" t="s">
        <v>717</v>
      </c>
      <c r="Q95" s="205" t="s">
        <v>452</v>
      </c>
      <c r="R95" s="202">
        <v>94</v>
      </c>
      <c r="U95" s="205" t="s">
        <v>456</v>
      </c>
      <c r="W95" s="205" t="s">
        <v>234</v>
      </c>
      <c r="X95" s="205" t="s">
        <v>355</v>
      </c>
      <c r="Y95" s="200" t="s">
        <v>517</v>
      </c>
      <c r="Z95" s="205" t="s">
        <v>718</v>
      </c>
      <c r="AA95" s="200" t="s">
        <v>315</v>
      </c>
      <c r="AB95" s="205" t="s">
        <v>644</v>
      </c>
      <c r="AC95" s="200" t="s">
        <v>347</v>
      </c>
      <c r="AD95" s="205" t="s">
        <v>719</v>
      </c>
      <c r="AE95" s="205" t="s">
        <v>232</v>
      </c>
      <c r="AF95" s="205" t="s">
        <v>720</v>
      </c>
      <c r="AG95" s="205" t="s">
        <v>239</v>
      </c>
      <c r="AH95" s="205" t="s">
        <v>239</v>
      </c>
      <c r="AI95" s="205" t="s">
        <v>721</v>
      </c>
      <c r="AJ95" s="205" t="s">
        <v>721</v>
      </c>
      <c r="AK95" s="205" t="s">
        <v>722</v>
      </c>
      <c r="AL95" s="205" t="s">
        <v>239</v>
      </c>
      <c r="AM95" s="205" t="s">
        <v>239</v>
      </c>
      <c r="AN95" s="205" t="s">
        <v>239</v>
      </c>
      <c r="AO95" s="200" t="s">
        <v>235</v>
      </c>
      <c r="AP95" s="200" t="s">
        <v>235</v>
      </c>
      <c r="AQ95" s="200" t="s">
        <v>235</v>
      </c>
      <c r="AR95" s="200" t="s">
        <v>235</v>
      </c>
      <c r="AS95" s="200" t="s">
        <v>299</v>
      </c>
      <c r="AT95" s="200" t="s">
        <v>299</v>
      </c>
      <c r="AU95" s="200" t="s">
        <v>299</v>
      </c>
      <c r="AV95" s="205" t="s">
        <v>242</v>
      </c>
      <c r="AW95" s="205" t="s">
        <v>482</v>
      </c>
      <c r="AY95" s="200" t="s">
        <v>239</v>
      </c>
      <c r="AZ95" s="205" t="s">
        <v>244</v>
      </c>
      <c r="BA95" s="205" t="s">
        <v>244</v>
      </c>
      <c r="BB95" s="205" t="s">
        <v>723</v>
      </c>
      <c r="BD95" s="205" t="s">
        <v>239</v>
      </c>
      <c r="BE95" s="205" t="s">
        <v>446</v>
      </c>
      <c r="BF95" s="205" t="s">
        <v>457</v>
      </c>
      <c r="BH95" s="205" t="s">
        <v>456</v>
      </c>
      <c r="BI95" s="202">
        <v>94</v>
      </c>
      <c r="BK95" s="203" t="s">
        <v>289</v>
      </c>
    </row>
    <row r="96" spans="1:65" x14ac:dyDescent="0.25">
      <c r="A96" s="205" t="s">
        <v>901</v>
      </c>
      <c r="B96" s="205" t="s">
        <v>1826</v>
      </c>
      <c r="C96" s="205" t="s">
        <v>725</v>
      </c>
      <c r="D96" s="205" t="s">
        <v>726</v>
      </c>
      <c r="E96" s="201">
        <v>42275</v>
      </c>
      <c r="F96" s="205" t="s">
        <v>347</v>
      </c>
      <c r="G96" s="205" t="s">
        <v>232</v>
      </c>
      <c r="H96" s="205" t="s">
        <v>727</v>
      </c>
      <c r="I96" s="205" t="s">
        <v>728</v>
      </c>
      <c r="K96" s="205" t="s">
        <v>450</v>
      </c>
      <c r="L96" s="205" t="s">
        <v>451</v>
      </c>
      <c r="M96" s="205" t="s">
        <v>452</v>
      </c>
      <c r="O96" s="200" t="s">
        <v>513</v>
      </c>
      <c r="P96" s="200" t="s">
        <v>729</v>
      </c>
      <c r="Q96" s="205" t="s">
        <v>452</v>
      </c>
      <c r="R96" s="202">
        <v>95</v>
      </c>
      <c r="U96" s="205" t="s">
        <v>456</v>
      </c>
      <c r="W96" s="205" t="s">
        <v>234</v>
      </c>
      <c r="X96" s="205" t="s">
        <v>391</v>
      </c>
      <c r="Y96" s="200" t="s">
        <v>730</v>
      </c>
      <c r="Z96" s="205" t="s">
        <v>731</v>
      </c>
      <c r="AA96" s="200" t="s">
        <v>398</v>
      </c>
      <c r="AB96" s="205" t="s">
        <v>732</v>
      </c>
      <c r="AC96" s="200" t="s">
        <v>277</v>
      </c>
      <c r="AD96" s="205" t="s">
        <v>733</v>
      </c>
      <c r="AE96" s="205" t="s">
        <v>232</v>
      </c>
      <c r="AF96" s="205" t="s">
        <v>734</v>
      </c>
      <c r="AG96" s="205" t="s">
        <v>239</v>
      </c>
      <c r="AH96" s="205" t="s">
        <v>239</v>
      </c>
      <c r="AI96" s="205" t="s">
        <v>735</v>
      </c>
      <c r="AJ96" s="205" t="s">
        <v>736</v>
      </c>
      <c r="AK96" s="205" t="s">
        <v>563</v>
      </c>
      <c r="AL96" s="205" t="s">
        <v>239</v>
      </c>
      <c r="AM96" s="205" t="s">
        <v>239</v>
      </c>
      <c r="AN96" s="205" t="s">
        <v>239</v>
      </c>
      <c r="AO96" s="200" t="s">
        <v>235</v>
      </c>
      <c r="AP96" s="200" t="s">
        <v>235</v>
      </c>
      <c r="AQ96" s="200" t="s">
        <v>235</v>
      </c>
      <c r="AR96" s="200" t="s">
        <v>235</v>
      </c>
      <c r="AS96" s="200" t="s">
        <v>299</v>
      </c>
      <c r="AT96" s="200" t="s">
        <v>299</v>
      </c>
      <c r="AU96" s="200" t="s">
        <v>299</v>
      </c>
      <c r="AV96" s="205" t="s">
        <v>242</v>
      </c>
      <c r="AW96" s="205" t="s">
        <v>482</v>
      </c>
      <c r="AY96" s="200" t="s">
        <v>239</v>
      </c>
      <c r="AZ96" s="205" t="s">
        <v>737</v>
      </c>
      <c r="BA96" s="205" t="s">
        <v>244</v>
      </c>
      <c r="BB96" s="205" t="s">
        <v>244</v>
      </c>
      <c r="BD96" s="205" t="s">
        <v>239</v>
      </c>
      <c r="BE96" s="205" t="s">
        <v>446</v>
      </c>
      <c r="BF96" s="205" t="s">
        <v>457</v>
      </c>
      <c r="BH96" s="205" t="s">
        <v>456</v>
      </c>
      <c r="BI96" s="202">
        <v>95</v>
      </c>
      <c r="BK96" s="203" t="s">
        <v>289</v>
      </c>
    </row>
    <row r="97" spans="1:65" x14ac:dyDescent="0.25">
      <c r="A97" s="205" t="s">
        <v>901</v>
      </c>
      <c r="B97" s="205" t="s">
        <v>1827</v>
      </c>
      <c r="C97" s="205" t="s">
        <v>788</v>
      </c>
      <c r="D97" s="205" t="s">
        <v>789</v>
      </c>
      <c r="E97" s="201">
        <v>42275</v>
      </c>
      <c r="F97" s="205" t="s">
        <v>790</v>
      </c>
      <c r="G97" s="205" t="s">
        <v>232</v>
      </c>
      <c r="H97" s="205" t="s">
        <v>791</v>
      </c>
      <c r="I97" s="205" t="s">
        <v>523</v>
      </c>
      <c r="J97" s="205" t="s">
        <v>792</v>
      </c>
      <c r="K97" s="205" t="s">
        <v>453</v>
      </c>
      <c r="L97" s="205" t="s">
        <v>454</v>
      </c>
      <c r="M97" s="205" t="s">
        <v>462</v>
      </c>
      <c r="O97" s="200" t="s">
        <v>323</v>
      </c>
      <c r="P97" s="200" t="s">
        <v>793</v>
      </c>
      <c r="Q97" s="205" t="s">
        <v>462</v>
      </c>
      <c r="R97" s="202">
        <v>96</v>
      </c>
      <c r="U97" s="205" t="s">
        <v>456</v>
      </c>
      <c r="W97" s="205" t="s">
        <v>234</v>
      </c>
      <c r="X97" s="205" t="s">
        <v>309</v>
      </c>
      <c r="Y97" s="200" t="s">
        <v>520</v>
      </c>
      <c r="Z97" s="205" t="s">
        <v>595</v>
      </c>
      <c r="AA97" s="200" t="s">
        <v>297</v>
      </c>
      <c r="AB97" s="205" t="s">
        <v>794</v>
      </c>
      <c r="AC97" s="200" t="s">
        <v>277</v>
      </c>
      <c r="AD97" s="205" t="s">
        <v>795</v>
      </c>
      <c r="AE97" s="205" t="s">
        <v>232</v>
      </c>
      <c r="AF97" s="205" t="s">
        <v>796</v>
      </c>
      <c r="AG97" s="205" t="s">
        <v>239</v>
      </c>
      <c r="AH97" s="205" t="s">
        <v>239</v>
      </c>
      <c r="AI97" s="205" t="s">
        <v>797</v>
      </c>
      <c r="AJ97" s="205" t="s">
        <v>798</v>
      </c>
      <c r="AK97" s="205" t="s">
        <v>601</v>
      </c>
      <c r="AL97" s="205" t="s">
        <v>239</v>
      </c>
      <c r="AM97" s="205" t="s">
        <v>239</v>
      </c>
      <c r="AN97" s="205" t="s">
        <v>239</v>
      </c>
      <c r="AO97" s="200" t="s">
        <v>235</v>
      </c>
      <c r="AP97" s="200" t="s">
        <v>235</v>
      </c>
      <c r="AQ97" s="200" t="s">
        <v>235</v>
      </c>
      <c r="AR97" s="200" t="s">
        <v>235</v>
      </c>
      <c r="AS97" s="200" t="s">
        <v>299</v>
      </c>
      <c r="AT97" s="200" t="s">
        <v>299</v>
      </c>
      <c r="AU97" s="200" t="s">
        <v>299</v>
      </c>
      <c r="AV97" s="205" t="s">
        <v>242</v>
      </c>
      <c r="AW97" s="205" t="s">
        <v>482</v>
      </c>
      <c r="AX97" s="200" t="s">
        <v>799</v>
      </c>
      <c r="AY97" s="200" t="s">
        <v>235</v>
      </c>
      <c r="AZ97" s="205" t="s">
        <v>800</v>
      </c>
      <c r="BA97" s="205" t="s">
        <v>244</v>
      </c>
      <c r="BB97" s="205" t="s">
        <v>801</v>
      </c>
      <c r="BD97" s="205" t="s">
        <v>239</v>
      </c>
      <c r="BE97" s="205" t="s">
        <v>446</v>
      </c>
      <c r="BF97" s="205" t="s">
        <v>457</v>
      </c>
      <c r="BH97" s="205" t="s">
        <v>456</v>
      </c>
      <c r="BI97" s="202">
        <v>96</v>
      </c>
      <c r="BK97" s="203" t="s">
        <v>289</v>
      </c>
    </row>
    <row r="98" spans="1:65" x14ac:dyDescent="0.25">
      <c r="A98" s="205" t="s">
        <v>901</v>
      </c>
      <c r="B98" s="205" t="s">
        <v>1828</v>
      </c>
      <c r="C98" s="205" t="s">
        <v>777</v>
      </c>
      <c r="D98" s="205" t="s">
        <v>778</v>
      </c>
      <c r="E98" s="201">
        <v>42275</v>
      </c>
      <c r="F98" s="205" t="s">
        <v>320</v>
      </c>
      <c r="G98" s="205" t="s">
        <v>232</v>
      </c>
      <c r="H98" s="205" t="s">
        <v>779</v>
      </c>
      <c r="I98" s="205" t="s">
        <v>780</v>
      </c>
      <c r="K98" s="205" t="s">
        <v>471</v>
      </c>
      <c r="L98" s="205" t="s">
        <v>472</v>
      </c>
      <c r="M98" s="205" t="s">
        <v>473</v>
      </c>
      <c r="O98" s="200" t="s">
        <v>377</v>
      </c>
      <c r="P98" s="200" t="s">
        <v>781</v>
      </c>
      <c r="Q98" s="205" t="s">
        <v>473</v>
      </c>
      <c r="R98" s="202">
        <v>97</v>
      </c>
      <c r="U98" s="205" t="s">
        <v>456</v>
      </c>
      <c r="W98" s="205" t="s">
        <v>234</v>
      </c>
      <c r="X98" s="205" t="s">
        <v>355</v>
      </c>
      <c r="Z98" s="205" t="s">
        <v>238</v>
      </c>
      <c r="AB98" s="205" t="s">
        <v>238</v>
      </c>
      <c r="AD98" s="205" t="s">
        <v>238</v>
      </c>
      <c r="AE98" s="205" t="s">
        <v>232</v>
      </c>
      <c r="AF98" s="205" t="s">
        <v>782</v>
      </c>
      <c r="AG98" s="205" t="s">
        <v>239</v>
      </c>
      <c r="AH98" s="205" t="s">
        <v>239</v>
      </c>
      <c r="AI98" s="205" t="s">
        <v>783</v>
      </c>
      <c r="AJ98" s="205" t="s">
        <v>783</v>
      </c>
      <c r="AK98" s="205" t="s">
        <v>784</v>
      </c>
      <c r="AL98" s="205" t="s">
        <v>239</v>
      </c>
      <c r="AM98" s="205" t="s">
        <v>239</v>
      </c>
      <c r="AN98" s="205" t="s">
        <v>239</v>
      </c>
      <c r="AO98" s="200" t="s">
        <v>235</v>
      </c>
      <c r="AP98" s="200" t="s">
        <v>235</v>
      </c>
      <c r="AQ98" s="200" t="s">
        <v>235</v>
      </c>
      <c r="AR98" s="200" t="s">
        <v>235</v>
      </c>
      <c r="AS98" s="200" t="s">
        <v>299</v>
      </c>
      <c r="AT98" s="200" t="s">
        <v>299</v>
      </c>
      <c r="AU98" s="200" t="s">
        <v>299</v>
      </c>
      <c r="AV98" s="205" t="s">
        <v>242</v>
      </c>
      <c r="AW98" s="205" t="s">
        <v>482</v>
      </c>
      <c r="AY98" s="200" t="s">
        <v>239</v>
      </c>
      <c r="AZ98" s="205" t="s">
        <v>785</v>
      </c>
      <c r="BA98" s="205" t="s">
        <v>244</v>
      </c>
      <c r="BB98" s="205" t="s">
        <v>786</v>
      </c>
      <c r="BD98" s="205" t="s">
        <v>239</v>
      </c>
      <c r="BE98" s="205" t="s">
        <v>446</v>
      </c>
      <c r="BF98" s="205" t="s">
        <v>457</v>
      </c>
      <c r="BH98" s="205" t="s">
        <v>456</v>
      </c>
      <c r="BI98" s="202">
        <v>97</v>
      </c>
      <c r="BK98" s="203" t="s">
        <v>289</v>
      </c>
    </row>
    <row r="99" spans="1:65" x14ac:dyDescent="0.25">
      <c r="A99" s="205" t="s">
        <v>1059</v>
      </c>
      <c r="B99" s="205" t="s">
        <v>1829</v>
      </c>
      <c r="C99" s="205" t="s">
        <v>843</v>
      </c>
      <c r="D99" s="205" t="s">
        <v>844</v>
      </c>
      <c r="E99" s="201">
        <v>42275</v>
      </c>
      <c r="F99" s="205" t="s">
        <v>339</v>
      </c>
      <c r="G99" s="205" t="s">
        <v>232</v>
      </c>
      <c r="H99" s="205" t="s">
        <v>845</v>
      </c>
      <c r="I99" s="205" t="s">
        <v>846</v>
      </c>
      <c r="K99" s="205" t="s">
        <v>450</v>
      </c>
      <c r="L99" s="205" t="s">
        <v>451</v>
      </c>
      <c r="M99" s="205" t="s">
        <v>452</v>
      </c>
      <c r="O99" s="200" t="s">
        <v>288</v>
      </c>
      <c r="P99" s="200" t="s">
        <v>847</v>
      </c>
      <c r="Q99" s="205" t="s">
        <v>452</v>
      </c>
      <c r="R99" s="202">
        <v>98</v>
      </c>
      <c r="U99" s="205" t="s">
        <v>456</v>
      </c>
      <c r="W99" s="205" t="s">
        <v>234</v>
      </c>
      <c r="X99" s="205" t="s">
        <v>391</v>
      </c>
      <c r="Z99" s="205" t="s">
        <v>238</v>
      </c>
      <c r="AB99" s="205" t="s">
        <v>238</v>
      </c>
      <c r="AD99" s="205" t="s">
        <v>238</v>
      </c>
      <c r="AE99" s="205" t="s">
        <v>232</v>
      </c>
      <c r="AF99" s="205" t="s">
        <v>848</v>
      </c>
      <c r="AG99" s="205" t="s">
        <v>239</v>
      </c>
      <c r="AH99" s="205" t="s">
        <v>239</v>
      </c>
      <c r="AI99" s="205" t="s">
        <v>849</v>
      </c>
      <c r="AJ99" s="205" t="s">
        <v>849</v>
      </c>
      <c r="AK99" s="205" t="s">
        <v>850</v>
      </c>
      <c r="AL99" s="205" t="s">
        <v>239</v>
      </c>
      <c r="AM99" s="205" t="s">
        <v>239</v>
      </c>
      <c r="AN99" s="205" t="s">
        <v>239</v>
      </c>
      <c r="AO99" s="200" t="s">
        <v>235</v>
      </c>
      <c r="AP99" s="200" t="s">
        <v>235</v>
      </c>
      <c r="AQ99" s="200" t="s">
        <v>235</v>
      </c>
      <c r="AR99" s="200" t="s">
        <v>235</v>
      </c>
      <c r="AS99" s="200" t="s">
        <v>299</v>
      </c>
      <c r="AT99" s="200" t="s">
        <v>299</v>
      </c>
      <c r="AU99" s="200" t="s">
        <v>299</v>
      </c>
      <c r="AV99" s="205" t="s">
        <v>242</v>
      </c>
      <c r="AW99" s="205" t="s">
        <v>482</v>
      </c>
      <c r="AY99" s="200" t="s">
        <v>239</v>
      </c>
      <c r="AZ99" s="205" t="s">
        <v>851</v>
      </c>
      <c r="BA99" s="205" t="s">
        <v>244</v>
      </c>
      <c r="BB99" s="205" t="s">
        <v>244</v>
      </c>
      <c r="BD99" s="205" t="s">
        <v>239</v>
      </c>
      <c r="BE99" s="205" t="s">
        <v>446</v>
      </c>
      <c r="BF99" s="205" t="s">
        <v>457</v>
      </c>
      <c r="BH99" s="205" t="s">
        <v>456</v>
      </c>
      <c r="BI99" s="202">
        <v>98</v>
      </c>
      <c r="BK99" s="203" t="s">
        <v>289</v>
      </c>
    </row>
    <row r="100" spans="1:65" x14ac:dyDescent="0.25">
      <c r="A100" s="205" t="s">
        <v>1059</v>
      </c>
      <c r="B100" s="205" t="s">
        <v>1830</v>
      </c>
      <c r="C100" s="205" t="s">
        <v>1831</v>
      </c>
      <c r="D100" s="205" t="s">
        <v>1832</v>
      </c>
      <c r="E100" s="201">
        <v>42275</v>
      </c>
      <c r="F100" s="205" t="s">
        <v>1833</v>
      </c>
      <c r="G100" s="205" t="s">
        <v>232</v>
      </c>
      <c r="H100" s="205" t="s">
        <v>1834</v>
      </c>
      <c r="I100" s="205" t="s">
        <v>821</v>
      </c>
      <c r="J100" s="205" t="s">
        <v>375</v>
      </c>
      <c r="K100" s="205" t="s">
        <v>453</v>
      </c>
      <c r="L100" s="205" t="s">
        <v>454</v>
      </c>
      <c r="M100" s="205" t="s">
        <v>455</v>
      </c>
      <c r="O100" s="200" t="s">
        <v>246</v>
      </c>
      <c r="P100" s="200" t="s">
        <v>1835</v>
      </c>
      <c r="Q100" s="205" t="s">
        <v>455</v>
      </c>
      <c r="R100" s="202">
        <v>99</v>
      </c>
      <c r="U100" s="205" t="s">
        <v>456</v>
      </c>
      <c r="W100" s="205" t="s">
        <v>234</v>
      </c>
      <c r="X100" s="205" t="s">
        <v>326</v>
      </c>
      <c r="Y100" s="200" t="s">
        <v>315</v>
      </c>
      <c r="Z100" s="205" t="s">
        <v>419</v>
      </c>
      <c r="AA100" s="200" t="s">
        <v>231</v>
      </c>
      <c r="AB100" s="205" t="s">
        <v>260</v>
      </c>
      <c r="AC100" s="200" t="s">
        <v>385</v>
      </c>
      <c r="AD100" s="205" t="s">
        <v>1836</v>
      </c>
      <c r="AE100" s="205" t="s">
        <v>232</v>
      </c>
      <c r="AF100" s="205" t="s">
        <v>1837</v>
      </c>
      <c r="AG100" s="205" t="s">
        <v>239</v>
      </c>
      <c r="AH100" s="205" t="s">
        <v>239</v>
      </c>
      <c r="AI100" s="205" t="s">
        <v>1838</v>
      </c>
      <c r="AJ100" s="205" t="s">
        <v>1839</v>
      </c>
      <c r="AK100" s="205" t="s">
        <v>1840</v>
      </c>
      <c r="AL100" s="205" t="s">
        <v>1841</v>
      </c>
      <c r="AM100" s="205" t="s">
        <v>1842</v>
      </c>
      <c r="AN100" s="205" t="s">
        <v>239</v>
      </c>
      <c r="AO100" s="200" t="s">
        <v>239</v>
      </c>
      <c r="AP100" s="200" t="s">
        <v>239</v>
      </c>
      <c r="AQ100" s="200" t="s">
        <v>239</v>
      </c>
      <c r="AR100" s="200" t="s">
        <v>235</v>
      </c>
      <c r="AS100" s="200" t="s">
        <v>262</v>
      </c>
      <c r="AT100" s="200" t="s">
        <v>241</v>
      </c>
      <c r="AU100" s="200" t="s">
        <v>299</v>
      </c>
      <c r="AV100" s="205" t="s">
        <v>242</v>
      </c>
      <c r="AW100" s="205" t="s">
        <v>482</v>
      </c>
      <c r="AY100" s="200" t="s">
        <v>239</v>
      </c>
      <c r="AZ100" s="205" t="s">
        <v>1843</v>
      </c>
      <c r="BA100" s="205" t="s">
        <v>244</v>
      </c>
      <c r="BB100" s="205" t="s">
        <v>244</v>
      </c>
      <c r="BD100" s="205" t="s">
        <v>239</v>
      </c>
      <c r="BE100" s="205" t="s">
        <v>446</v>
      </c>
      <c r="BF100" s="205" t="s">
        <v>457</v>
      </c>
      <c r="BH100" s="205" t="s">
        <v>456</v>
      </c>
      <c r="BI100" s="202">
        <v>99</v>
      </c>
      <c r="BJ100" s="201">
        <v>42287</v>
      </c>
      <c r="BK100" s="203" t="s">
        <v>301</v>
      </c>
      <c r="BM100" s="205">
        <v>41</v>
      </c>
    </row>
    <row r="101" spans="1:65" x14ac:dyDescent="0.25">
      <c r="A101" s="205" t="s">
        <v>1233</v>
      </c>
      <c r="B101" s="205" t="s">
        <v>1844</v>
      </c>
      <c r="C101" s="205" t="s">
        <v>928</v>
      </c>
      <c r="D101" s="205" t="s">
        <v>929</v>
      </c>
      <c r="E101" s="201">
        <v>42275</v>
      </c>
      <c r="F101" s="205" t="s">
        <v>287</v>
      </c>
      <c r="G101" s="205" t="s">
        <v>232</v>
      </c>
      <c r="H101" s="205" t="s">
        <v>273</v>
      </c>
      <c r="I101" s="205" t="s">
        <v>930</v>
      </c>
      <c r="K101" s="205" t="s">
        <v>450</v>
      </c>
      <c r="L101" s="205" t="s">
        <v>451</v>
      </c>
      <c r="M101" s="205" t="s">
        <v>452</v>
      </c>
      <c r="O101" s="200" t="s">
        <v>267</v>
      </c>
      <c r="P101" s="200" t="s">
        <v>931</v>
      </c>
      <c r="Q101" s="205" t="s">
        <v>452</v>
      </c>
      <c r="R101" s="202">
        <v>100</v>
      </c>
      <c r="U101" s="205" t="s">
        <v>456</v>
      </c>
      <c r="W101" s="205" t="s">
        <v>234</v>
      </c>
      <c r="X101" s="205" t="s">
        <v>235</v>
      </c>
      <c r="Y101" s="200" t="s">
        <v>416</v>
      </c>
      <c r="Z101" s="205" t="s">
        <v>932</v>
      </c>
      <c r="AA101" s="200" t="s">
        <v>690</v>
      </c>
      <c r="AB101" s="205" t="s">
        <v>933</v>
      </c>
      <c r="AC101" s="200" t="s">
        <v>347</v>
      </c>
      <c r="AD101" s="205" t="s">
        <v>934</v>
      </c>
      <c r="AE101" s="205" t="s">
        <v>232</v>
      </c>
      <c r="AF101" s="205" t="s">
        <v>935</v>
      </c>
      <c r="AG101" s="205" t="s">
        <v>239</v>
      </c>
      <c r="AH101" s="205" t="s">
        <v>239</v>
      </c>
      <c r="AI101" s="205" t="s">
        <v>613</v>
      </c>
      <c r="AJ101" s="205" t="s">
        <v>936</v>
      </c>
      <c r="AK101" s="205" t="s">
        <v>239</v>
      </c>
      <c r="AL101" s="205" t="s">
        <v>239</v>
      </c>
      <c r="AM101" s="205" t="s">
        <v>239</v>
      </c>
      <c r="AN101" s="205" t="s">
        <v>239</v>
      </c>
      <c r="AO101" s="200" t="s">
        <v>235</v>
      </c>
      <c r="AP101" s="200" t="s">
        <v>235</v>
      </c>
      <c r="AQ101" s="200" t="s">
        <v>235</v>
      </c>
      <c r="AR101" s="200" t="s">
        <v>235</v>
      </c>
      <c r="AS101" s="200" t="s">
        <v>299</v>
      </c>
      <c r="AT101" s="200" t="s">
        <v>299</v>
      </c>
      <c r="AU101" s="200" t="s">
        <v>299</v>
      </c>
      <c r="AV101" s="205" t="s">
        <v>242</v>
      </c>
      <c r="AW101" s="205" t="s">
        <v>482</v>
      </c>
      <c r="AY101" s="200" t="s">
        <v>239</v>
      </c>
      <c r="AZ101" s="205" t="s">
        <v>244</v>
      </c>
      <c r="BA101" s="205" t="s">
        <v>244</v>
      </c>
      <c r="BB101" s="205" t="s">
        <v>244</v>
      </c>
      <c r="BD101" s="205" t="s">
        <v>239</v>
      </c>
      <c r="BE101" s="205" t="s">
        <v>446</v>
      </c>
      <c r="BF101" s="205" t="s">
        <v>457</v>
      </c>
      <c r="BH101" s="205" t="s">
        <v>456</v>
      </c>
      <c r="BI101" s="202">
        <v>100</v>
      </c>
      <c r="BK101" s="203" t="s">
        <v>289</v>
      </c>
    </row>
    <row r="102" spans="1:65" x14ac:dyDescent="0.25">
      <c r="A102" s="205" t="s">
        <v>1233</v>
      </c>
      <c r="B102" s="205" t="s">
        <v>1845</v>
      </c>
      <c r="C102" s="205" t="s">
        <v>988</v>
      </c>
      <c r="D102" s="205" t="s">
        <v>989</v>
      </c>
      <c r="E102" s="201">
        <v>42275</v>
      </c>
      <c r="F102" s="205" t="s">
        <v>990</v>
      </c>
      <c r="G102" s="205" t="s">
        <v>232</v>
      </c>
      <c r="H102" s="205" t="s">
        <v>991</v>
      </c>
      <c r="I102" s="205" t="s">
        <v>992</v>
      </c>
      <c r="J102" s="205" t="s">
        <v>386</v>
      </c>
      <c r="K102" s="205" t="s">
        <v>453</v>
      </c>
      <c r="L102" s="205" t="s">
        <v>448</v>
      </c>
      <c r="M102" s="205" t="s">
        <v>455</v>
      </c>
      <c r="O102" s="200" t="s">
        <v>246</v>
      </c>
      <c r="P102" s="200" t="s">
        <v>993</v>
      </c>
      <c r="Q102" s="205" t="s">
        <v>455</v>
      </c>
      <c r="R102" s="202">
        <v>101</v>
      </c>
      <c r="U102" s="205" t="s">
        <v>456</v>
      </c>
      <c r="W102" s="205" t="s">
        <v>234</v>
      </c>
      <c r="X102" s="205" t="s">
        <v>332</v>
      </c>
      <c r="Y102" s="200" t="s">
        <v>417</v>
      </c>
      <c r="Z102" s="205" t="s">
        <v>994</v>
      </c>
      <c r="AA102" s="200" t="s">
        <v>297</v>
      </c>
      <c r="AB102" s="205" t="s">
        <v>260</v>
      </c>
      <c r="AC102" s="200" t="s">
        <v>380</v>
      </c>
      <c r="AD102" s="205" t="s">
        <v>642</v>
      </c>
      <c r="AE102" s="205" t="s">
        <v>232</v>
      </c>
      <c r="AF102" s="205" t="s">
        <v>995</v>
      </c>
      <c r="AG102" s="205" t="s">
        <v>239</v>
      </c>
      <c r="AH102" s="205" t="s">
        <v>239</v>
      </c>
      <c r="AI102" s="205" t="s">
        <v>996</v>
      </c>
      <c r="AJ102" s="205" t="s">
        <v>474</v>
      </c>
      <c r="AK102" s="205" t="s">
        <v>997</v>
      </c>
      <c r="AL102" s="205" t="s">
        <v>239</v>
      </c>
      <c r="AM102" s="205" t="s">
        <v>239</v>
      </c>
      <c r="AN102" s="205" t="s">
        <v>239</v>
      </c>
      <c r="AO102" s="200" t="s">
        <v>235</v>
      </c>
      <c r="AP102" s="200" t="s">
        <v>235</v>
      </c>
      <c r="AQ102" s="200" t="s">
        <v>235</v>
      </c>
      <c r="AR102" s="200" t="s">
        <v>235</v>
      </c>
      <c r="AS102" s="200" t="s">
        <v>299</v>
      </c>
      <c r="AT102" s="200" t="s">
        <v>299</v>
      </c>
      <c r="AU102" s="200" t="s">
        <v>299</v>
      </c>
      <c r="AV102" s="205" t="s">
        <v>242</v>
      </c>
      <c r="AW102" s="205" t="s">
        <v>482</v>
      </c>
      <c r="AY102" s="200" t="s">
        <v>239</v>
      </c>
      <c r="AZ102" s="205" t="s">
        <v>998</v>
      </c>
      <c r="BA102" s="205" t="s">
        <v>244</v>
      </c>
      <c r="BB102" s="205" t="s">
        <v>244</v>
      </c>
      <c r="BD102" s="205" t="s">
        <v>239</v>
      </c>
      <c r="BE102" s="205" t="s">
        <v>446</v>
      </c>
      <c r="BF102" s="205" t="s">
        <v>457</v>
      </c>
      <c r="BH102" s="205" t="s">
        <v>456</v>
      </c>
      <c r="BI102" s="202">
        <v>101</v>
      </c>
      <c r="BK102" s="203" t="s">
        <v>289</v>
      </c>
    </row>
    <row r="103" spans="1:65" x14ac:dyDescent="0.25">
      <c r="A103" s="205" t="s">
        <v>1233</v>
      </c>
      <c r="B103" s="205" t="s">
        <v>1846</v>
      </c>
      <c r="C103" s="205" t="s">
        <v>1023</v>
      </c>
      <c r="D103" s="205" t="s">
        <v>1024</v>
      </c>
      <c r="E103" s="201">
        <v>42275</v>
      </c>
      <c r="F103" s="205" t="s">
        <v>1025</v>
      </c>
      <c r="G103" s="205" t="s">
        <v>232</v>
      </c>
      <c r="H103" s="205" t="s">
        <v>1026</v>
      </c>
      <c r="I103" s="205" t="s">
        <v>1027</v>
      </c>
      <c r="J103" s="205" t="s">
        <v>423</v>
      </c>
      <c r="K103" s="205" t="s">
        <v>450</v>
      </c>
      <c r="L103" s="205" t="s">
        <v>451</v>
      </c>
      <c r="M103" s="205" t="s">
        <v>452</v>
      </c>
      <c r="O103" s="200" t="s">
        <v>290</v>
      </c>
      <c r="P103" s="200" t="s">
        <v>1028</v>
      </c>
      <c r="Q103" s="205" t="s">
        <v>452</v>
      </c>
      <c r="R103" s="202">
        <v>102</v>
      </c>
      <c r="U103" s="205" t="s">
        <v>456</v>
      </c>
      <c r="W103" s="205" t="s">
        <v>234</v>
      </c>
      <c r="X103" s="205" t="s">
        <v>291</v>
      </c>
      <c r="Y103" s="200" t="s">
        <v>416</v>
      </c>
      <c r="Z103" s="205" t="s">
        <v>1029</v>
      </c>
      <c r="AA103" s="200" t="s">
        <v>317</v>
      </c>
      <c r="AB103" s="205" t="s">
        <v>1030</v>
      </c>
      <c r="AC103" s="200" t="s">
        <v>263</v>
      </c>
      <c r="AD103" s="205" t="s">
        <v>1031</v>
      </c>
      <c r="AE103" s="205" t="s">
        <v>232</v>
      </c>
      <c r="AF103" s="205" t="s">
        <v>1032</v>
      </c>
      <c r="AG103" s="205" t="s">
        <v>239</v>
      </c>
      <c r="AH103" s="205" t="s">
        <v>239</v>
      </c>
      <c r="AI103" s="205" t="s">
        <v>1033</v>
      </c>
      <c r="AJ103" s="205" t="s">
        <v>1034</v>
      </c>
      <c r="AK103" s="205" t="s">
        <v>1035</v>
      </c>
      <c r="AL103" s="205" t="s">
        <v>239</v>
      </c>
      <c r="AM103" s="205" t="s">
        <v>239</v>
      </c>
      <c r="AN103" s="205" t="s">
        <v>239</v>
      </c>
      <c r="AO103" s="200" t="s">
        <v>235</v>
      </c>
      <c r="AP103" s="200" t="s">
        <v>235</v>
      </c>
      <c r="AQ103" s="200" t="s">
        <v>239</v>
      </c>
      <c r="AR103" s="200" t="s">
        <v>235</v>
      </c>
      <c r="AS103" s="200" t="s">
        <v>299</v>
      </c>
      <c r="AT103" s="200" t="s">
        <v>241</v>
      </c>
      <c r="AU103" s="200" t="s">
        <v>299</v>
      </c>
      <c r="AV103" s="205" t="s">
        <v>242</v>
      </c>
      <c r="AW103" s="205" t="s">
        <v>482</v>
      </c>
      <c r="AY103" s="200" t="s">
        <v>239</v>
      </c>
      <c r="AZ103" s="205" t="s">
        <v>1036</v>
      </c>
      <c r="BA103" s="205" t="s">
        <v>244</v>
      </c>
      <c r="BB103" s="205" t="s">
        <v>244</v>
      </c>
      <c r="BD103" s="205" t="s">
        <v>239</v>
      </c>
      <c r="BE103" s="205" t="s">
        <v>446</v>
      </c>
      <c r="BF103" s="205" t="s">
        <v>457</v>
      </c>
      <c r="BH103" s="205" t="s">
        <v>456</v>
      </c>
      <c r="BI103" s="202">
        <v>102</v>
      </c>
      <c r="BK103" s="203" t="s">
        <v>289</v>
      </c>
    </row>
    <row r="104" spans="1:65" x14ac:dyDescent="0.25">
      <c r="A104" s="205" t="s">
        <v>1341</v>
      </c>
      <c r="B104" s="205" t="s">
        <v>1847</v>
      </c>
      <c r="C104" s="205" t="s">
        <v>1061</v>
      </c>
      <c r="D104" s="205" t="s">
        <v>1062</v>
      </c>
      <c r="E104" s="201">
        <v>42275</v>
      </c>
      <c r="F104" s="205" t="s">
        <v>258</v>
      </c>
      <c r="G104" s="205" t="s">
        <v>232</v>
      </c>
      <c r="H104" s="205" t="s">
        <v>1063</v>
      </c>
      <c r="I104" s="205" t="s">
        <v>531</v>
      </c>
      <c r="J104" s="205" t="s">
        <v>1064</v>
      </c>
      <c r="K104" s="205" t="s">
        <v>450</v>
      </c>
      <c r="L104" s="205" t="s">
        <v>451</v>
      </c>
      <c r="M104" s="205" t="s">
        <v>463</v>
      </c>
      <c r="O104" s="200" t="s">
        <v>246</v>
      </c>
      <c r="P104" s="200" t="s">
        <v>1065</v>
      </c>
      <c r="Q104" s="205" t="s">
        <v>463</v>
      </c>
      <c r="R104" s="202">
        <v>103</v>
      </c>
      <c r="U104" s="205" t="s">
        <v>456</v>
      </c>
      <c r="W104" s="205" t="s">
        <v>234</v>
      </c>
      <c r="X104" s="205" t="s">
        <v>332</v>
      </c>
      <c r="Y104" s="200" t="s">
        <v>417</v>
      </c>
      <c r="Z104" s="205" t="s">
        <v>1066</v>
      </c>
      <c r="AA104" s="200" t="s">
        <v>276</v>
      </c>
      <c r="AB104" s="205" t="s">
        <v>1067</v>
      </c>
      <c r="AC104" s="200" t="s">
        <v>351</v>
      </c>
      <c r="AD104" s="205" t="s">
        <v>1067</v>
      </c>
      <c r="AE104" s="205" t="s">
        <v>232</v>
      </c>
      <c r="AF104" s="205" t="s">
        <v>1068</v>
      </c>
      <c r="AG104" s="205" t="s">
        <v>239</v>
      </c>
      <c r="AH104" s="205" t="s">
        <v>239</v>
      </c>
      <c r="AI104" s="205" t="s">
        <v>1069</v>
      </c>
      <c r="AJ104" s="205" t="s">
        <v>1069</v>
      </c>
      <c r="AK104" s="205" t="s">
        <v>1069</v>
      </c>
      <c r="AL104" s="205" t="s">
        <v>239</v>
      </c>
      <c r="AM104" s="205" t="s">
        <v>239</v>
      </c>
      <c r="AN104" s="205" t="s">
        <v>239</v>
      </c>
      <c r="AO104" s="200" t="s">
        <v>235</v>
      </c>
      <c r="AP104" s="200" t="s">
        <v>235</v>
      </c>
      <c r="AQ104" s="200" t="s">
        <v>235</v>
      </c>
      <c r="AR104" s="200" t="s">
        <v>235</v>
      </c>
      <c r="AS104" s="200" t="s">
        <v>299</v>
      </c>
      <c r="AT104" s="200" t="s">
        <v>299</v>
      </c>
      <c r="AU104" s="200" t="s">
        <v>299</v>
      </c>
      <c r="AV104" s="205" t="s">
        <v>242</v>
      </c>
      <c r="AW104" s="205" t="s">
        <v>482</v>
      </c>
      <c r="AY104" s="200" t="s">
        <v>239</v>
      </c>
      <c r="AZ104" s="205" t="s">
        <v>1070</v>
      </c>
      <c r="BA104" s="205" t="s">
        <v>244</v>
      </c>
      <c r="BB104" s="205" t="s">
        <v>244</v>
      </c>
      <c r="BD104" s="205" t="s">
        <v>239</v>
      </c>
      <c r="BE104" s="205" t="s">
        <v>446</v>
      </c>
      <c r="BF104" s="205" t="s">
        <v>457</v>
      </c>
      <c r="BH104" s="205" t="s">
        <v>456</v>
      </c>
      <c r="BI104" s="202">
        <v>103</v>
      </c>
      <c r="BK104" s="203" t="s">
        <v>289</v>
      </c>
    </row>
    <row r="105" spans="1:65" x14ac:dyDescent="0.25">
      <c r="A105" s="205" t="s">
        <v>1341</v>
      </c>
      <c r="B105" s="205" t="s">
        <v>1848</v>
      </c>
      <c r="C105" s="205" t="s">
        <v>1072</v>
      </c>
      <c r="D105" s="205" t="s">
        <v>1073</v>
      </c>
      <c r="E105" s="201">
        <v>42275</v>
      </c>
      <c r="F105" s="205" t="s">
        <v>643</v>
      </c>
      <c r="G105" s="205" t="s">
        <v>232</v>
      </c>
      <c r="H105" s="205" t="s">
        <v>1074</v>
      </c>
      <c r="I105" s="205" t="s">
        <v>1075</v>
      </c>
      <c r="K105" s="205" t="s">
        <v>453</v>
      </c>
      <c r="L105" s="205" t="s">
        <v>461</v>
      </c>
      <c r="M105" s="205" t="s">
        <v>460</v>
      </c>
      <c r="O105" s="200" t="s">
        <v>267</v>
      </c>
      <c r="P105" s="200" t="s">
        <v>1076</v>
      </c>
      <c r="Q105" s="205" t="s">
        <v>460</v>
      </c>
      <c r="R105" s="202">
        <v>104</v>
      </c>
      <c r="U105" s="205" t="s">
        <v>456</v>
      </c>
      <c r="W105" s="205" t="s">
        <v>234</v>
      </c>
      <c r="X105" s="205" t="s">
        <v>640</v>
      </c>
      <c r="Y105" s="200" t="s">
        <v>397</v>
      </c>
      <c r="Z105" s="205" t="s">
        <v>1077</v>
      </c>
      <c r="AA105" s="200" t="s">
        <v>282</v>
      </c>
      <c r="AB105" s="205" t="s">
        <v>1078</v>
      </c>
      <c r="AC105" s="200" t="s">
        <v>349</v>
      </c>
      <c r="AD105" s="205" t="s">
        <v>1079</v>
      </c>
      <c r="AE105" s="205" t="s">
        <v>232</v>
      </c>
      <c r="AF105" s="205" t="s">
        <v>1080</v>
      </c>
      <c r="AG105" s="205" t="s">
        <v>239</v>
      </c>
      <c r="AH105" s="205" t="s">
        <v>239</v>
      </c>
      <c r="AI105" s="205" t="s">
        <v>1081</v>
      </c>
      <c r="AJ105" s="205" t="s">
        <v>1081</v>
      </c>
      <c r="AK105" s="205" t="s">
        <v>1082</v>
      </c>
      <c r="AL105" s="205" t="s">
        <v>239</v>
      </c>
      <c r="AM105" s="205" t="s">
        <v>239</v>
      </c>
      <c r="AN105" s="205" t="s">
        <v>239</v>
      </c>
      <c r="AO105" s="200" t="s">
        <v>235</v>
      </c>
      <c r="AP105" s="200" t="s">
        <v>235</v>
      </c>
      <c r="AQ105" s="200" t="s">
        <v>235</v>
      </c>
      <c r="AR105" s="200" t="s">
        <v>235</v>
      </c>
      <c r="AS105" s="200" t="s">
        <v>299</v>
      </c>
      <c r="AT105" s="200" t="s">
        <v>299</v>
      </c>
      <c r="AU105" s="200" t="s">
        <v>299</v>
      </c>
      <c r="AV105" s="205" t="s">
        <v>242</v>
      </c>
      <c r="AW105" s="205" t="s">
        <v>482</v>
      </c>
      <c r="AY105" s="200" t="s">
        <v>239</v>
      </c>
      <c r="AZ105" s="205" t="s">
        <v>1083</v>
      </c>
      <c r="BA105" s="205" t="s">
        <v>244</v>
      </c>
      <c r="BB105" s="205" t="s">
        <v>244</v>
      </c>
      <c r="BD105" s="205" t="s">
        <v>239</v>
      </c>
      <c r="BE105" s="205" t="s">
        <v>446</v>
      </c>
      <c r="BF105" s="205" t="s">
        <v>457</v>
      </c>
      <c r="BH105" s="205" t="s">
        <v>456</v>
      </c>
      <c r="BI105" s="202">
        <v>104</v>
      </c>
      <c r="BK105" s="203" t="s">
        <v>289</v>
      </c>
    </row>
    <row r="106" spans="1:65" x14ac:dyDescent="0.25">
      <c r="A106" s="205" t="s">
        <v>1341</v>
      </c>
      <c r="B106" s="205" t="s">
        <v>1849</v>
      </c>
      <c r="C106" s="205" t="s">
        <v>1085</v>
      </c>
      <c r="D106" s="205" t="s">
        <v>1086</v>
      </c>
      <c r="E106" s="201">
        <v>42275</v>
      </c>
      <c r="F106" s="205" t="s">
        <v>1087</v>
      </c>
      <c r="G106" s="205" t="s">
        <v>232</v>
      </c>
      <c r="H106" s="205" t="s">
        <v>1088</v>
      </c>
      <c r="I106" s="205" t="s">
        <v>1089</v>
      </c>
      <c r="J106" s="205" t="s">
        <v>1090</v>
      </c>
      <c r="K106" s="205" t="s">
        <v>453</v>
      </c>
      <c r="L106" s="205" t="s">
        <v>461</v>
      </c>
      <c r="M106" s="205" t="s">
        <v>460</v>
      </c>
      <c r="O106" s="200" t="s">
        <v>288</v>
      </c>
      <c r="P106" s="200" t="s">
        <v>1091</v>
      </c>
      <c r="Q106" s="205" t="s">
        <v>460</v>
      </c>
      <c r="R106" s="202">
        <v>105</v>
      </c>
      <c r="U106" s="205" t="s">
        <v>456</v>
      </c>
      <c r="W106" s="205" t="s">
        <v>234</v>
      </c>
      <c r="X106" s="205" t="s">
        <v>332</v>
      </c>
      <c r="Y106" s="200" t="s">
        <v>338</v>
      </c>
      <c r="Z106" s="205" t="s">
        <v>1092</v>
      </c>
      <c r="AA106" s="200" t="s">
        <v>371</v>
      </c>
      <c r="AB106" s="205" t="s">
        <v>1093</v>
      </c>
      <c r="AC106" s="200" t="s">
        <v>402</v>
      </c>
      <c r="AD106" s="205" t="s">
        <v>1094</v>
      </c>
      <c r="AE106" s="205" t="s">
        <v>232</v>
      </c>
      <c r="AF106" s="205" t="s">
        <v>1095</v>
      </c>
      <c r="AG106" s="205" t="s">
        <v>239</v>
      </c>
      <c r="AH106" s="205" t="s">
        <v>239</v>
      </c>
      <c r="AI106" s="205" t="s">
        <v>1096</v>
      </c>
      <c r="AJ106" s="205" t="s">
        <v>1097</v>
      </c>
      <c r="AK106" s="205" t="s">
        <v>1098</v>
      </c>
      <c r="AL106" s="205" t="s">
        <v>239</v>
      </c>
      <c r="AM106" s="205" t="s">
        <v>239</v>
      </c>
      <c r="AN106" s="205" t="s">
        <v>239</v>
      </c>
      <c r="AO106" s="200" t="s">
        <v>235</v>
      </c>
      <c r="AP106" s="200" t="s">
        <v>235</v>
      </c>
      <c r="AQ106" s="200" t="s">
        <v>235</v>
      </c>
      <c r="AR106" s="200" t="s">
        <v>235</v>
      </c>
      <c r="AS106" s="200" t="s">
        <v>299</v>
      </c>
      <c r="AT106" s="200" t="s">
        <v>299</v>
      </c>
      <c r="AU106" s="200" t="s">
        <v>299</v>
      </c>
      <c r="AV106" s="205" t="s">
        <v>242</v>
      </c>
      <c r="AW106" s="205" t="s">
        <v>482</v>
      </c>
      <c r="AY106" s="200" t="s">
        <v>239</v>
      </c>
      <c r="AZ106" s="205" t="s">
        <v>1099</v>
      </c>
      <c r="BA106" s="205" t="s">
        <v>244</v>
      </c>
      <c r="BB106" s="205" t="s">
        <v>244</v>
      </c>
      <c r="BD106" s="205" t="s">
        <v>239</v>
      </c>
      <c r="BE106" s="205" t="s">
        <v>446</v>
      </c>
      <c r="BF106" s="205" t="s">
        <v>457</v>
      </c>
      <c r="BH106" s="205" t="s">
        <v>456</v>
      </c>
      <c r="BI106" s="202">
        <v>105</v>
      </c>
      <c r="BK106" s="203" t="s">
        <v>289</v>
      </c>
    </row>
    <row r="107" spans="1:65" x14ac:dyDescent="0.25">
      <c r="A107" s="205" t="s">
        <v>1341</v>
      </c>
      <c r="B107" s="205" t="s">
        <v>1850</v>
      </c>
      <c r="C107" s="205" t="s">
        <v>1111</v>
      </c>
      <c r="D107" s="205" t="s">
        <v>1112</v>
      </c>
      <c r="E107" s="201">
        <v>42275</v>
      </c>
      <c r="F107" s="205" t="s">
        <v>1113</v>
      </c>
      <c r="G107" s="205" t="s">
        <v>232</v>
      </c>
      <c r="H107" s="205" t="s">
        <v>1114</v>
      </c>
      <c r="I107" s="205" t="s">
        <v>1115</v>
      </c>
      <c r="K107" s="205" t="s">
        <v>464</v>
      </c>
      <c r="L107" s="205" t="s">
        <v>465</v>
      </c>
      <c r="M107" s="205" t="s">
        <v>466</v>
      </c>
      <c r="O107" s="200" t="s">
        <v>345</v>
      </c>
      <c r="P107" s="200" t="s">
        <v>1116</v>
      </c>
      <c r="Q107" s="205" t="s">
        <v>466</v>
      </c>
      <c r="R107" s="202">
        <v>106</v>
      </c>
      <c r="U107" s="205" t="s">
        <v>456</v>
      </c>
      <c r="W107" s="205" t="s">
        <v>234</v>
      </c>
      <c r="X107" s="205" t="s">
        <v>332</v>
      </c>
      <c r="Y107" s="200" t="s">
        <v>1117</v>
      </c>
      <c r="Z107" s="205" t="s">
        <v>595</v>
      </c>
      <c r="AA107" s="200" t="s">
        <v>296</v>
      </c>
      <c r="AB107" s="205" t="s">
        <v>1118</v>
      </c>
      <c r="AC107" s="200" t="s">
        <v>356</v>
      </c>
      <c r="AD107" s="205" t="s">
        <v>1119</v>
      </c>
      <c r="AE107" s="205" t="s">
        <v>232</v>
      </c>
      <c r="AF107" s="205" t="s">
        <v>1120</v>
      </c>
      <c r="AG107" s="205" t="s">
        <v>1121</v>
      </c>
      <c r="AH107" s="205" t="s">
        <v>239</v>
      </c>
      <c r="AI107" s="205" t="s">
        <v>1122</v>
      </c>
      <c r="AJ107" s="205" t="s">
        <v>1123</v>
      </c>
      <c r="AK107" s="205" t="s">
        <v>239</v>
      </c>
      <c r="AL107" s="205" t="s">
        <v>239</v>
      </c>
      <c r="AM107" s="205" t="s">
        <v>239</v>
      </c>
      <c r="AN107" s="205" t="s">
        <v>239</v>
      </c>
      <c r="AO107" s="200" t="s">
        <v>235</v>
      </c>
      <c r="AP107" s="200" t="s">
        <v>239</v>
      </c>
      <c r="AQ107" s="200" t="s">
        <v>235</v>
      </c>
      <c r="AR107" s="200" t="s">
        <v>235</v>
      </c>
      <c r="AS107" s="200" t="s">
        <v>299</v>
      </c>
      <c r="AT107" s="200" t="s">
        <v>299</v>
      </c>
      <c r="AU107" s="200" t="s">
        <v>240</v>
      </c>
      <c r="AV107" s="205" t="s">
        <v>242</v>
      </c>
      <c r="AW107" s="205" t="s">
        <v>482</v>
      </c>
      <c r="AY107" s="200" t="s">
        <v>239</v>
      </c>
      <c r="AZ107" s="205" t="s">
        <v>1124</v>
      </c>
      <c r="BA107" s="205" t="s">
        <v>244</v>
      </c>
      <c r="BB107" s="205" t="s">
        <v>244</v>
      </c>
      <c r="BD107" s="205" t="s">
        <v>239</v>
      </c>
      <c r="BE107" s="205" t="s">
        <v>446</v>
      </c>
      <c r="BF107" s="205" t="s">
        <v>457</v>
      </c>
      <c r="BH107" s="205" t="s">
        <v>456</v>
      </c>
      <c r="BI107" s="202">
        <v>106</v>
      </c>
      <c r="BK107" s="203" t="s">
        <v>289</v>
      </c>
    </row>
    <row r="108" spans="1:65" x14ac:dyDescent="0.25">
      <c r="A108" s="205" t="s">
        <v>1341</v>
      </c>
      <c r="B108" s="205" t="s">
        <v>1851</v>
      </c>
      <c r="C108" s="205" t="s">
        <v>1140</v>
      </c>
      <c r="D108" s="205" t="s">
        <v>1141</v>
      </c>
      <c r="E108" s="201">
        <v>42275</v>
      </c>
      <c r="F108" s="205" t="s">
        <v>311</v>
      </c>
      <c r="G108" s="205" t="s">
        <v>232</v>
      </c>
      <c r="H108" s="205" t="s">
        <v>1142</v>
      </c>
      <c r="I108" s="205" t="s">
        <v>1143</v>
      </c>
      <c r="J108" s="205" t="s">
        <v>1144</v>
      </c>
      <c r="K108" s="205" t="s">
        <v>447</v>
      </c>
      <c r="L108" s="205" t="s">
        <v>448</v>
      </c>
      <c r="M108" s="205" t="s">
        <v>449</v>
      </c>
      <c r="O108" s="200" t="s">
        <v>290</v>
      </c>
      <c r="P108" s="200" t="s">
        <v>1145</v>
      </c>
      <c r="Q108" s="205" t="s">
        <v>449</v>
      </c>
      <c r="R108" s="202">
        <v>107</v>
      </c>
      <c r="U108" s="205" t="s">
        <v>456</v>
      </c>
      <c r="W108" s="205" t="s">
        <v>234</v>
      </c>
      <c r="X108" s="205" t="s">
        <v>300</v>
      </c>
      <c r="Y108" s="200" t="s">
        <v>506</v>
      </c>
      <c r="Z108" s="205" t="s">
        <v>1146</v>
      </c>
      <c r="AA108" s="200" t="s">
        <v>517</v>
      </c>
      <c r="AB108" s="205" t="s">
        <v>1147</v>
      </c>
      <c r="AC108" s="200" t="s">
        <v>298</v>
      </c>
      <c r="AD108" s="205" t="s">
        <v>1148</v>
      </c>
      <c r="AE108" s="205" t="s">
        <v>232</v>
      </c>
      <c r="AF108" s="205" t="s">
        <v>1149</v>
      </c>
      <c r="AG108" s="205" t="s">
        <v>569</v>
      </c>
      <c r="AH108" s="205" t="s">
        <v>239</v>
      </c>
      <c r="AI108" s="205" t="s">
        <v>1150</v>
      </c>
      <c r="AJ108" s="205" t="s">
        <v>1151</v>
      </c>
      <c r="AK108" s="205" t="s">
        <v>239</v>
      </c>
      <c r="AL108" s="205" t="s">
        <v>239</v>
      </c>
      <c r="AM108" s="205" t="s">
        <v>239</v>
      </c>
      <c r="AN108" s="205" t="s">
        <v>239</v>
      </c>
      <c r="AO108" s="200" t="s">
        <v>235</v>
      </c>
      <c r="AP108" s="200" t="s">
        <v>235</v>
      </c>
      <c r="AQ108" s="200" t="s">
        <v>239</v>
      </c>
      <c r="AR108" s="200" t="s">
        <v>235</v>
      </c>
      <c r="AS108" s="200" t="s">
        <v>240</v>
      </c>
      <c r="AT108" s="200" t="s">
        <v>241</v>
      </c>
      <c r="AU108" s="200" t="s">
        <v>240</v>
      </c>
      <c r="AV108" s="205" t="s">
        <v>242</v>
      </c>
      <c r="AW108" s="205" t="s">
        <v>482</v>
      </c>
      <c r="AY108" s="200" t="s">
        <v>239</v>
      </c>
      <c r="AZ108" s="205" t="s">
        <v>1152</v>
      </c>
      <c r="BA108" s="205" t="s">
        <v>244</v>
      </c>
      <c r="BB108" s="205" t="s">
        <v>1153</v>
      </c>
      <c r="BD108" s="205" t="s">
        <v>239</v>
      </c>
      <c r="BE108" s="205" t="s">
        <v>446</v>
      </c>
      <c r="BF108" s="205" t="s">
        <v>457</v>
      </c>
      <c r="BH108" s="205" t="s">
        <v>456</v>
      </c>
      <c r="BI108" s="202">
        <v>107</v>
      </c>
      <c r="BK108" s="203" t="s">
        <v>289</v>
      </c>
    </row>
    <row r="109" spans="1:65" x14ac:dyDescent="0.25">
      <c r="A109" s="205" t="s">
        <v>1341</v>
      </c>
      <c r="B109" s="205" t="s">
        <v>1852</v>
      </c>
      <c r="C109" s="205" t="s">
        <v>1853</v>
      </c>
      <c r="D109" s="205" t="s">
        <v>1854</v>
      </c>
      <c r="E109" s="201">
        <v>42275</v>
      </c>
      <c r="F109" s="205" t="s">
        <v>341</v>
      </c>
      <c r="G109" s="205" t="s">
        <v>232</v>
      </c>
      <c r="H109" s="205" t="s">
        <v>1855</v>
      </c>
      <c r="I109" s="205" t="s">
        <v>1856</v>
      </c>
      <c r="K109" s="205" t="s">
        <v>453</v>
      </c>
      <c r="L109" s="205" t="s">
        <v>461</v>
      </c>
      <c r="M109" s="205" t="s">
        <v>462</v>
      </c>
      <c r="O109" s="200" t="s">
        <v>323</v>
      </c>
      <c r="P109" s="200" t="s">
        <v>1857</v>
      </c>
      <c r="Q109" s="205" t="s">
        <v>462</v>
      </c>
      <c r="R109" s="202">
        <v>108</v>
      </c>
      <c r="U109" s="205" t="s">
        <v>456</v>
      </c>
      <c r="W109" s="205" t="s">
        <v>234</v>
      </c>
      <c r="X109" s="205" t="s">
        <v>235</v>
      </c>
      <c r="Y109" s="200" t="s">
        <v>517</v>
      </c>
      <c r="Z109" s="205" t="s">
        <v>1858</v>
      </c>
      <c r="AA109" s="200" t="s">
        <v>318</v>
      </c>
      <c r="AB109" s="205" t="s">
        <v>1859</v>
      </c>
      <c r="AC109" s="200" t="s">
        <v>1860</v>
      </c>
      <c r="AD109" s="205" t="s">
        <v>1861</v>
      </c>
      <c r="AE109" s="205" t="s">
        <v>232</v>
      </c>
      <c r="AF109" s="205" t="s">
        <v>1862</v>
      </c>
      <c r="AG109" s="205" t="s">
        <v>1863</v>
      </c>
      <c r="AH109" s="205" t="s">
        <v>239</v>
      </c>
      <c r="AI109" s="205" t="s">
        <v>1864</v>
      </c>
      <c r="AJ109" s="205" t="s">
        <v>1865</v>
      </c>
      <c r="AK109" s="205" t="s">
        <v>1866</v>
      </c>
      <c r="AL109" s="205" t="s">
        <v>239</v>
      </c>
      <c r="AM109" s="205" t="s">
        <v>239</v>
      </c>
      <c r="AN109" s="205" t="s">
        <v>239</v>
      </c>
      <c r="AO109" s="200" t="s">
        <v>239</v>
      </c>
      <c r="AP109" s="200" t="s">
        <v>239</v>
      </c>
      <c r="AQ109" s="200" t="s">
        <v>239</v>
      </c>
      <c r="AR109" s="200" t="s">
        <v>235</v>
      </c>
      <c r="AS109" s="200" t="s">
        <v>262</v>
      </c>
      <c r="AT109" s="200" t="s">
        <v>241</v>
      </c>
      <c r="AU109" s="200" t="s">
        <v>299</v>
      </c>
      <c r="AV109" s="205" t="s">
        <v>242</v>
      </c>
      <c r="AW109" s="205" t="s">
        <v>482</v>
      </c>
      <c r="AY109" s="200" t="s">
        <v>239</v>
      </c>
      <c r="AZ109" s="205" t="s">
        <v>1867</v>
      </c>
      <c r="BA109" s="205" t="s">
        <v>244</v>
      </c>
      <c r="BB109" s="205" t="s">
        <v>244</v>
      </c>
      <c r="BD109" s="205" t="s">
        <v>239</v>
      </c>
      <c r="BE109" s="205" t="s">
        <v>446</v>
      </c>
      <c r="BF109" s="205" t="s">
        <v>457</v>
      </c>
      <c r="BH109" s="205" t="s">
        <v>456</v>
      </c>
      <c r="BI109" s="202">
        <v>108</v>
      </c>
      <c r="BJ109" s="201">
        <v>42287</v>
      </c>
      <c r="BK109" s="203" t="s">
        <v>301</v>
      </c>
      <c r="BM109" s="205">
        <v>41</v>
      </c>
    </row>
    <row r="110" spans="1:65" x14ac:dyDescent="0.25">
      <c r="A110" s="205" t="s">
        <v>1622</v>
      </c>
      <c r="B110" s="205" t="s">
        <v>1868</v>
      </c>
      <c r="C110" s="205" t="s">
        <v>1263</v>
      </c>
      <c r="D110" s="205" t="s">
        <v>1264</v>
      </c>
      <c r="E110" s="201">
        <v>42275</v>
      </c>
      <c r="F110" s="205" t="s">
        <v>1265</v>
      </c>
      <c r="G110" s="205" t="s">
        <v>232</v>
      </c>
      <c r="H110" s="205" t="s">
        <v>1266</v>
      </c>
      <c r="I110" s="205" t="s">
        <v>1267</v>
      </c>
      <c r="J110" s="205" t="s">
        <v>1268</v>
      </c>
      <c r="K110" s="205" t="s">
        <v>450</v>
      </c>
      <c r="L110" s="205" t="s">
        <v>451</v>
      </c>
      <c r="M110" s="205" t="s">
        <v>452</v>
      </c>
      <c r="O110" s="200" t="s">
        <v>468</v>
      </c>
      <c r="P110" s="200" t="s">
        <v>1269</v>
      </c>
      <c r="Q110" s="205" t="s">
        <v>452</v>
      </c>
      <c r="R110" s="202">
        <v>109</v>
      </c>
      <c r="U110" s="205" t="s">
        <v>456</v>
      </c>
      <c r="W110" s="205" t="s">
        <v>234</v>
      </c>
      <c r="X110" s="205" t="s">
        <v>326</v>
      </c>
      <c r="Y110" s="200" t="s">
        <v>503</v>
      </c>
      <c r="Z110" s="205" t="s">
        <v>567</v>
      </c>
      <c r="AA110" s="200" t="s">
        <v>416</v>
      </c>
      <c r="AB110" s="205" t="s">
        <v>237</v>
      </c>
      <c r="AC110" s="200" t="s">
        <v>362</v>
      </c>
      <c r="AD110" s="205" t="s">
        <v>237</v>
      </c>
      <c r="AE110" s="205" t="s">
        <v>232</v>
      </c>
      <c r="AF110" s="205" t="s">
        <v>1270</v>
      </c>
      <c r="AG110" s="205" t="s">
        <v>239</v>
      </c>
      <c r="AH110" s="205" t="s">
        <v>239</v>
      </c>
      <c r="AI110" s="205" t="s">
        <v>1271</v>
      </c>
      <c r="AJ110" s="205" t="s">
        <v>1271</v>
      </c>
      <c r="AK110" s="205" t="s">
        <v>1272</v>
      </c>
      <c r="AL110" s="205" t="s">
        <v>239</v>
      </c>
      <c r="AM110" s="205" t="s">
        <v>239</v>
      </c>
      <c r="AN110" s="205" t="s">
        <v>239</v>
      </c>
      <c r="AO110" s="200" t="s">
        <v>235</v>
      </c>
      <c r="AP110" s="200" t="s">
        <v>235</v>
      </c>
      <c r="AQ110" s="200" t="s">
        <v>235</v>
      </c>
      <c r="AR110" s="200" t="s">
        <v>235</v>
      </c>
      <c r="AS110" s="200" t="s">
        <v>299</v>
      </c>
      <c r="AT110" s="200" t="s">
        <v>299</v>
      </c>
      <c r="AU110" s="200" t="s">
        <v>299</v>
      </c>
      <c r="AV110" s="205" t="s">
        <v>242</v>
      </c>
      <c r="AW110" s="205" t="s">
        <v>482</v>
      </c>
      <c r="AY110" s="200" t="s">
        <v>239</v>
      </c>
      <c r="AZ110" s="205" t="s">
        <v>1273</v>
      </c>
      <c r="BA110" s="205" t="s">
        <v>1274</v>
      </c>
      <c r="BB110" s="205" t="s">
        <v>1275</v>
      </c>
      <c r="BC110" s="200" t="s">
        <v>256</v>
      </c>
      <c r="BD110" s="205" t="s">
        <v>239</v>
      </c>
      <c r="BE110" s="205" t="s">
        <v>446</v>
      </c>
      <c r="BF110" s="205" t="s">
        <v>457</v>
      </c>
      <c r="BH110" s="205" t="s">
        <v>456</v>
      </c>
      <c r="BI110" s="202">
        <v>109</v>
      </c>
      <c r="BK110" s="203" t="s">
        <v>289</v>
      </c>
    </row>
    <row r="113" spans="62:64" x14ac:dyDescent="0.25">
      <c r="BJ113" s="205"/>
      <c r="BK113" s="205"/>
      <c r="BL113" s="205"/>
    </row>
    <row r="114" spans="62:64" x14ac:dyDescent="0.25">
      <c r="BJ114" s="205"/>
      <c r="BK114" s="205"/>
      <c r="BL114" s="205"/>
    </row>
    <row r="115" spans="62:64" x14ac:dyDescent="0.25">
      <c r="BJ115" s="205"/>
      <c r="BK115" s="205"/>
      <c r="BL115" s="205"/>
    </row>
    <row r="116" spans="62:64" x14ac:dyDescent="0.25">
      <c r="BJ116" s="205"/>
      <c r="BK116" s="205"/>
      <c r="BL116" s="205"/>
    </row>
    <row r="117" spans="62:64" x14ac:dyDescent="0.25">
      <c r="BJ117" s="205"/>
      <c r="BK117" s="205"/>
      <c r="BL117" s="205"/>
    </row>
    <row r="118" spans="62:64" x14ac:dyDescent="0.25">
      <c r="BJ118" s="205"/>
      <c r="BK118" s="205"/>
      <c r="BL118" s="205"/>
    </row>
    <row r="119" spans="62:64" x14ac:dyDescent="0.25">
      <c r="BJ119" s="205"/>
      <c r="BK119" s="205"/>
      <c r="BL119" s="205"/>
    </row>
    <row r="120" spans="62:64" x14ac:dyDescent="0.25">
      <c r="BJ120" s="205"/>
      <c r="BK120" s="205"/>
      <c r="BL120" s="205"/>
    </row>
    <row r="121" spans="62:64" x14ac:dyDescent="0.25">
      <c r="BJ121" s="205"/>
      <c r="BK121" s="205"/>
      <c r="BL121" s="205"/>
    </row>
    <row r="122" spans="62:64" x14ac:dyDescent="0.25">
      <c r="BJ122" s="205"/>
      <c r="BK122" s="205"/>
      <c r="BL122" s="205"/>
    </row>
    <row r="123" spans="62:64" x14ac:dyDescent="0.25">
      <c r="BJ123" s="205"/>
      <c r="BK123" s="205"/>
      <c r="BL123" s="205"/>
    </row>
    <row r="124" spans="62:64" x14ac:dyDescent="0.25">
      <c r="BJ124" s="205"/>
      <c r="BK124" s="205"/>
      <c r="BL124" s="205"/>
    </row>
    <row r="125" spans="62:64" x14ac:dyDescent="0.25">
      <c r="BJ125" s="205"/>
      <c r="BK125" s="205"/>
      <c r="BL125" s="205"/>
    </row>
    <row r="126" spans="62:64" x14ac:dyDescent="0.25">
      <c r="BJ126" s="205"/>
      <c r="BK126" s="205"/>
      <c r="BL126" s="205"/>
    </row>
    <row r="127" spans="62:64" x14ac:dyDescent="0.25">
      <c r="BJ127" s="205"/>
      <c r="BK127" s="205"/>
      <c r="BL127" s="205"/>
    </row>
    <row r="128" spans="62:64" x14ac:dyDescent="0.25">
      <c r="BJ128" s="205"/>
      <c r="BK128" s="205"/>
      <c r="BL128" s="205"/>
    </row>
    <row r="129" spans="62:64" x14ac:dyDescent="0.25">
      <c r="BJ129" s="205"/>
      <c r="BK129" s="205"/>
      <c r="BL129" s="205"/>
    </row>
    <row r="130" spans="62:64" x14ac:dyDescent="0.25">
      <c r="BJ130" s="205"/>
      <c r="BK130" s="205"/>
      <c r="BL130" s="205"/>
    </row>
    <row r="131" spans="62:64" x14ac:dyDescent="0.25">
      <c r="BJ131" s="205"/>
      <c r="BK131" s="205"/>
      <c r="BL131" s="205"/>
    </row>
    <row r="132" spans="62:64" x14ac:dyDescent="0.25">
      <c r="BJ132" s="205"/>
      <c r="BK132" s="205"/>
      <c r="BL132" s="205"/>
    </row>
    <row r="133" spans="62:64" x14ac:dyDescent="0.25">
      <c r="BJ133" s="205"/>
      <c r="BK133" s="205"/>
      <c r="BL133" s="205"/>
    </row>
    <row r="134" spans="62:64" x14ac:dyDescent="0.25">
      <c r="BJ134" s="205"/>
      <c r="BK134" s="205"/>
      <c r="BL134" s="205"/>
    </row>
    <row r="135" spans="62:64" x14ac:dyDescent="0.25">
      <c r="BJ135" s="205"/>
      <c r="BK135" s="205"/>
      <c r="BL135" s="205"/>
    </row>
    <row r="136" spans="62:64" x14ac:dyDescent="0.25">
      <c r="BJ136" s="205"/>
      <c r="BK136" s="205"/>
      <c r="BL136" s="205"/>
    </row>
    <row r="137" spans="62:64" x14ac:dyDescent="0.25">
      <c r="BJ137" s="205"/>
      <c r="BK137" s="205"/>
      <c r="BL137" s="205"/>
    </row>
    <row r="138" spans="62:64" x14ac:dyDescent="0.25">
      <c r="BJ138" s="205"/>
      <c r="BK138" s="205"/>
      <c r="BL138" s="205"/>
    </row>
    <row r="139" spans="62:64" x14ac:dyDescent="0.25">
      <c r="BJ139" s="205"/>
      <c r="BK139" s="205"/>
      <c r="BL139" s="205"/>
    </row>
    <row r="140" spans="62:64" x14ac:dyDescent="0.25">
      <c r="BJ140" s="205"/>
      <c r="BK140" s="205"/>
      <c r="BL140" s="205"/>
    </row>
    <row r="141" spans="62:64" x14ac:dyDescent="0.25">
      <c r="BJ141" s="205"/>
      <c r="BK141" s="205"/>
      <c r="BL141" s="205"/>
    </row>
    <row r="142" spans="62:64" x14ac:dyDescent="0.25">
      <c r="BJ142" s="205"/>
      <c r="BK142" s="205"/>
      <c r="BL142" s="205"/>
    </row>
    <row r="143" spans="62:64" x14ac:dyDescent="0.25">
      <c r="BJ143" s="205"/>
      <c r="BK143" s="205"/>
      <c r="BL143" s="205"/>
    </row>
    <row r="144" spans="62:64" x14ac:dyDescent="0.25">
      <c r="BJ144" s="205"/>
      <c r="BK144" s="205"/>
      <c r="BL144" s="205"/>
    </row>
    <row r="145" spans="62:64" x14ac:dyDescent="0.25">
      <c r="BJ145" s="205"/>
      <c r="BK145" s="205"/>
      <c r="BL145" s="205"/>
    </row>
    <row r="146" spans="62:64" x14ac:dyDescent="0.25">
      <c r="BJ146" s="205"/>
      <c r="BK146" s="205"/>
      <c r="BL146" s="205"/>
    </row>
    <row r="147" spans="62:64" x14ac:dyDescent="0.25">
      <c r="BJ147" s="205"/>
      <c r="BK147" s="205"/>
      <c r="BL147" s="205"/>
    </row>
    <row r="148" spans="62:64" x14ac:dyDescent="0.25">
      <c r="BJ148" s="205"/>
      <c r="BK148" s="205"/>
      <c r="BL148" s="205"/>
    </row>
    <row r="149" spans="62:64" x14ac:dyDescent="0.25">
      <c r="BJ149" s="205"/>
      <c r="BK149" s="205"/>
      <c r="BL149" s="205"/>
    </row>
    <row r="150" spans="62:64" x14ac:dyDescent="0.25">
      <c r="BJ150" s="205"/>
      <c r="BK150" s="205"/>
      <c r="BL150" s="205"/>
    </row>
    <row r="151" spans="62:64" x14ac:dyDescent="0.25">
      <c r="BJ151" s="205"/>
      <c r="BK151" s="205"/>
      <c r="BL151" s="205"/>
    </row>
    <row r="152" spans="62:64" x14ac:dyDescent="0.25">
      <c r="BJ152" s="205"/>
      <c r="BK152" s="205"/>
      <c r="BL152" s="205"/>
    </row>
    <row r="153" spans="62:64" x14ac:dyDescent="0.25">
      <c r="BJ153" s="205"/>
      <c r="BK153" s="205"/>
      <c r="BL153" s="205"/>
    </row>
    <row r="154" spans="62:64" x14ac:dyDescent="0.25">
      <c r="BJ154" s="205"/>
      <c r="BK154" s="205"/>
      <c r="BL154" s="205"/>
    </row>
    <row r="155" spans="62:64" x14ac:dyDescent="0.25">
      <c r="BJ155" s="205"/>
      <c r="BK155" s="205"/>
      <c r="BL155" s="205"/>
    </row>
    <row r="156" spans="62:64" x14ac:dyDescent="0.25">
      <c r="BJ156" s="205"/>
      <c r="BK156" s="205"/>
      <c r="BL156" s="205"/>
    </row>
    <row r="157" spans="62:64" x14ac:dyDescent="0.25">
      <c r="BJ157" s="205"/>
      <c r="BK157" s="205"/>
      <c r="BL157" s="205"/>
    </row>
    <row r="158" spans="62:64" x14ac:dyDescent="0.25">
      <c r="BJ158" s="205"/>
      <c r="BK158" s="205"/>
      <c r="BL158" s="205"/>
    </row>
    <row r="159" spans="62:64" x14ac:dyDescent="0.25">
      <c r="BJ159" s="205"/>
      <c r="BK159" s="205"/>
      <c r="BL159" s="205"/>
    </row>
    <row r="160" spans="62:64" x14ac:dyDescent="0.25">
      <c r="BJ160" s="205"/>
      <c r="BK160" s="205"/>
      <c r="BL160" s="205"/>
    </row>
    <row r="161" spans="62:64" x14ac:dyDescent="0.25">
      <c r="BJ161" s="205"/>
      <c r="BK161" s="205"/>
      <c r="BL161" s="205"/>
    </row>
    <row r="162" spans="62:64" x14ac:dyDescent="0.25">
      <c r="BJ162" s="205"/>
      <c r="BK162" s="205"/>
      <c r="BL162" s="205"/>
    </row>
    <row r="163" spans="62:64" x14ac:dyDescent="0.25">
      <c r="BJ163" s="205"/>
      <c r="BK163" s="205"/>
      <c r="BL163" s="205"/>
    </row>
    <row r="164" spans="62:64" x14ac:dyDescent="0.25">
      <c r="BJ164" s="205"/>
      <c r="BK164" s="205"/>
      <c r="BL164" s="205"/>
    </row>
    <row r="165" spans="62:64" x14ac:dyDescent="0.25">
      <c r="BJ165" s="205"/>
      <c r="BK165" s="205"/>
      <c r="BL165" s="205"/>
    </row>
    <row r="166" spans="62:64" x14ac:dyDescent="0.25">
      <c r="BJ166" s="205"/>
      <c r="BK166" s="205"/>
      <c r="BL166" s="205"/>
    </row>
    <row r="167" spans="62:64" x14ac:dyDescent="0.25">
      <c r="BJ167" s="205"/>
      <c r="BK167" s="205"/>
      <c r="BL167" s="205"/>
    </row>
    <row r="168" spans="62:64" x14ac:dyDescent="0.25">
      <c r="BJ168" s="205"/>
      <c r="BK168" s="205"/>
      <c r="BL168" s="205"/>
    </row>
    <row r="169" spans="62:64" x14ac:dyDescent="0.25">
      <c r="BJ169" s="205"/>
      <c r="BK169" s="205"/>
      <c r="BL169" s="205"/>
    </row>
    <row r="170" spans="62:64" x14ac:dyDescent="0.25">
      <c r="BJ170" s="205"/>
      <c r="BK170" s="205"/>
      <c r="BL170" s="205"/>
    </row>
    <row r="171" spans="62:64" x14ac:dyDescent="0.25">
      <c r="BJ171" s="205"/>
      <c r="BK171" s="205"/>
      <c r="BL171" s="205"/>
    </row>
    <row r="172" spans="62:64" x14ac:dyDescent="0.25">
      <c r="BJ172" s="205"/>
      <c r="BK172" s="205"/>
      <c r="BL172" s="205"/>
    </row>
    <row r="173" spans="62:64" x14ac:dyDescent="0.25">
      <c r="BJ173" s="205"/>
      <c r="BK173" s="205"/>
      <c r="BL173" s="205"/>
    </row>
    <row r="174" spans="62:64" x14ac:dyDescent="0.25">
      <c r="BJ174" s="205"/>
      <c r="BK174" s="205"/>
      <c r="BL174" s="205"/>
    </row>
    <row r="175" spans="62:64" x14ac:dyDescent="0.25">
      <c r="BJ175" s="205"/>
      <c r="BK175" s="205"/>
      <c r="BL175" s="205"/>
    </row>
    <row r="176" spans="62:64" x14ac:dyDescent="0.25">
      <c r="BJ176" s="205"/>
      <c r="BK176" s="205"/>
      <c r="BL176" s="205"/>
    </row>
    <row r="177" spans="62:64" x14ac:dyDescent="0.25">
      <c r="BJ177" s="205"/>
      <c r="BK177" s="205"/>
      <c r="BL177" s="205"/>
    </row>
    <row r="178" spans="62:64" x14ac:dyDescent="0.25">
      <c r="BJ178" s="205"/>
      <c r="BK178" s="205"/>
      <c r="BL178" s="205"/>
    </row>
    <row r="179" spans="62:64" x14ac:dyDescent="0.25">
      <c r="BJ179" s="205"/>
      <c r="BK179" s="205"/>
      <c r="BL179" s="205"/>
    </row>
    <row r="180" spans="62:64" x14ac:dyDescent="0.25">
      <c r="BJ180" s="205"/>
      <c r="BK180" s="205"/>
      <c r="BL180" s="205"/>
    </row>
    <row r="181" spans="62:64" x14ac:dyDescent="0.25">
      <c r="BJ181" s="205"/>
      <c r="BK181" s="205"/>
      <c r="BL181" s="205"/>
    </row>
    <row r="182" spans="62:64" x14ac:dyDescent="0.25">
      <c r="BJ182" s="205"/>
      <c r="BK182" s="205"/>
      <c r="BL182" s="205"/>
    </row>
    <row r="183" spans="62:64" x14ac:dyDescent="0.25">
      <c r="BJ183" s="205"/>
      <c r="BK183" s="205"/>
      <c r="BL183" s="205"/>
    </row>
    <row r="184" spans="62:64" x14ac:dyDescent="0.25">
      <c r="BJ184" s="205"/>
      <c r="BK184" s="205"/>
      <c r="BL184" s="205"/>
    </row>
    <row r="185" spans="62:64" x14ac:dyDescent="0.25">
      <c r="BJ185" s="205"/>
      <c r="BK185" s="205"/>
      <c r="BL185" s="205"/>
    </row>
    <row r="186" spans="62:64" x14ac:dyDescent="0.25">
      <c r="BJ186" s="205"/>
      <c r="BK186" s="205"/>
      <c r="BL186" s="205"/>
    </row>
    <row r="187" spans="62:64" x14ac:dyDescent="0.25">
      <c r="BJ187" s="205"/>
      <c r="BK187" s="205"/>
      <c r="BL187" s="205"/>
    </row>
    <row r="188" spans="62:64" x14ac:dyDescent="0.25">
      <c r="BJ188" s="205"/>
      <c r="BK188" s="205"/>
      <c r="BL188" s="205"/>
    </row>
    <row r="189" spans="62:64" x14ac:dyDescent="0.25">
      <c r="BJ189" s="205"/>
      <c r="BK189" s="205"/>
      <c r="BL189" s="205"/>
    </row>
    <row r="190" spans="62:64" x14ac:dyDescent="0.25">
      <c r="BJ190" s="205"/>
      <c r="BK190" s="205"/>
      <c r="BL190" s="205"/>
    </row>
    <row r="191" spans="62:64" x14ac:dyDescent="0.25">
      <c r="BJ191" s="205"/>
      <c r="BK191" s="205"/>
      <c r="BL191" s="205"/>
    </row>
    <row r="192" spans="62:64" x14ac:dyDescent="0.25">
      <c r="BJ192" s="205"/>
      <c r="BK192" s="205"/>
      <c r="BL192" s="205"/>
    </row>
    <row r="193" spans="62:64" x14ac:dyDescent="0.25">
      <c r="BJ193" s="205"/>
      <c r="BK193" s="205"/>
      <c r="BL193" s="205"/>
    </row>
    <row r="194" spans="62:64" x14ac:dyDescent="0.25">
      <c r="BJ194" s="205"/>
      <c r="BK194" s="205"/>
      <c r="BL194" s="205"/>
    </row>
    <row r="195" spans="62:64" x14ac:dyDescent="0.25">
      <c r="BJ195" s="205"/>
      <c r="BK195" s="205"/>
      <c r="BL195" s="205"/>
    </row>
    <row r="196" spans="62:64" x14ac:dyDescent="0.25">
      <c r="BJ196" s="205"/>
      <c r="BK196" s="205"/>
      <c r="BL196" s="205"/>
    </row>
    <row r="197" spans="62:64" x14ac:dyDescent="0.25">
      <c r="BJ197" s="205"/>
      <c r="BK197" s="205"/>
      <c r="BL197" s="205"/>
    </row>
    <row r="198" spans="62:64" x14ac:dyDescent="0.25">
      <c r="BJ198" s="205"/>
      <c r="BK198" s="205"/>
      <c r="BL198" s="205"/>
    </row>
    <row r="199" spans="62:64" x14ac:dyDescent="0.25">
      <c r="BJ199" s="205"/>
      <c r="BK199" s="205"/>
      <c r="BL199" s="205"/>
    </row>
    <row r="200" spans="62:64" x14ac:dyDescent="0.25">
      <c r="BJ200" s="205"/>
      <c r="BK200" s="205"/>
      <c r="BL200" s="205"/>
    </row>
    <row r="201" spans="62:64" x14ac:dyDescent="0.25">
      <c r="BJ201" s="205"/>
      <c r="BK201" s="205"/>
      <c r="BL201" s="205"/>
    </row>
    <row r="202" spans="62:64" x14ac:dyDescent="0.25">
      <c r="BJ202" s="205"/>
      <c r="BK202" s="205"/>
      <c r="BL202" s="205"/>
    </row>
    <row r="203" spans="62:64" x14ac:dyDescent="0.25">
      <c r="BJ203" s="205"/>
      <c r="BK203" s="205"/>
      <c r="BL203" s="205"/>
    </row>
    <row r="204" spans="62:64" x14ac:dyDescent="0.25">
      <c r="BJ204" s="205"/>
      <c r="BK204" s="205"/>
      <c r="BL204" s="205"/>
    </row>
    <row r="205" spans="62:64" x14ac:dyDescent="0.25">
      <c r="BJ205" s="205"/>
      <c r="BK205" s="205"/>
      <c r="BL205" s="205"/>
    </row>
    <row r="206" spans="62:64" x14ac:dyDescent="0.25">
      <c r="BJ206" s="205"/>
      <c r="BK206" s="205"/>
      <c r="BL206" s="205"/>
    </row>
    <row r="207" spans="62:64" x14ac:dyDescent="0.25">
      <c r="BJ207" s="205"/>
      <c r="BK207" s="205"/>
      <c r="BL207" s="205"/>
    </row>
    <row r="208" spans="62:64" x14ac:dyDescent="0.25">
      <c r="BJ208" s="205"/>
      <c r="BK208" s="205"/>
      <c r="BL208" s="205"/>
    </row>
    <row r="209" spans="62:64" x14ac:dyDescent="0.25">
      <c r="BJ209" s="205"/>
      <c r="BK209" s="205"/>
      <c r="BL209" s="205"/>
    </row>
    <row r="210" spans="62:64" x14ac:dyDescent="0.25">
      <c r="BJ210" s="205"/>
      <c r="BK210" s="205"/>
      <c r="BL210" s="205"/>
    </row>
    <row r="211" spans="62:64" x14ac:dyDescent="0.25">
      <c r="BJ211" s="205"/>
      <c r="BK211" s="205"/>
      <c r="BL211" s="205"/>
    </row>
    <row r="212" spans="62:64" x14ac:dyDescent="0.25">
      <c r="BJ212" s="205"/>
      <c r="BK212" s="205"/>
      <c r="BL212" s="205"/>
    </row>
    <row r="213" spans="62:64" x14ac:dyDescent="0.25">
      <c r="BJ213" s="205"/>
      <c r="BK213" s="205"/>
      <c r="BL213" s="205"/>
    </row>
    <row r="214" spans="62:64" x14ac:dyDescent="0.25">
      <c r="BJ214" s="205"/>
      <c r="BK214" s="205"/>
      <c r="BL214" s="205"/>
    </row>
    <row r="215" spans="62:64" x14ac:dyDescent="0.25">
      <c r="BJ215" s="205"/>
      <c r="BK215" s="205"/>
      <c r="BL215" s="205"/>
    </row>
    <row r="216" spans="62:64" x14ac:dyDescent="0.25">
      <c r="BJ216" s="205"/>
      <c r="BK216" s="205"/>
      <c r="BL216" s="205"/>
    </row>
    <row r="217" spans="62:64" x14ac:dyDescent="0.25">
      <c r="BJ217" s="205"/>
      <c r="BK217" s="205"/>
      <c r="BL217" s="205"/>
    </row>
    <row r="218" spans="62:64" x14ac:dyDescent="0.25">
      <c r="BJ218" s="205"/>
      <c r="BK218" s="205"/>
      <c r="BL218" s="205"/>
    </row>
    <row r="219" spans="62:64" x14ac:dyDescent="0.25">
      <c r="BJ219" s="205"/>
      <c r="BK219" s="205"/>
      <c r="BL219" s="205"/>
    </row>
    <row r="220" spans="62:64" x14ac:dyDescent="0.25">
      <c r="BJ220" s="205"/>
      <c r="BK220" s="205"/>
      <c r="BL220" s="205"/>
    </row>
    <row r="221" spans="62:64" x14ac:dyDescent="0.25">
      <c r="BJ221" s="205"/>
      <c r="BK221" s="205"/>
      <c r="BL221" s="205"/>
    </row>
    <row r="222" spans="62:64" x14ac:dyDescent="0.25">
      <c r="BJ222" s="205"/>
      <c r="BK222" s="205"/>
      <c r="BL222" s="205"/>
    </row>
    <row r="223" spans="62:64" x14ac:dyDescent="0.25">
      <c r="BJ223" s="205"/>
      <c r="BK223" s="205"/>
      <c r="BL223" s="205"/>
    </row>
    <row r="224" spans="62:64" x14ac:dyDescent="0.25">
      <c r="BJ224" s="205"/>
      <c r="BK224" s="205"/>
      <c r="BL224" s="205"/>
    </row>
    <row r="225" spans="62:64" x14ac:dyDescent="0.25">
      <c r="BJ225" s="205"/>
      <c r="BK225" s="205"/>
      <c r="BL225" s="205"/>
    </row>
    <row r="226" spans="62:64" x14ac:dyDescent="0.25">
      <c r="BJ226" s="205"/>
      <c r="BK226" s="205"/>
      <c r="BL226" s="205"/>
    </row>
    <row r="227" spans="62:64" x14ac:dyDescent="0.25">
      <c r="BJ227" s="205"/>
      <c r="BK227" s="205"/>
      <c r="BL227" s="205"/>
    </row>
    <row r="228" spans="62:64" x14ac:dyDescent="0.25">
      <c r="BJ228" s="205"/>
      <c r="BK228" s="205"/>
      <c r="BL228" s="205"/>
    </row>
    <row r="229" spans="62:64" x14ac:dyDescent="0.25">
      <c r="BJ229" s="205"/>
      <c r="BK229" s="205"/>
      <c r="BL229" s="205"/>
    </row>
    <row r="230" spans="62:64" x14ac:dyDescent="0.25">
      <c r="BJ230" s="205"/>
      <c r="BK230" s="205"/>
      <c r="BL230" s="205"/>
    </row>
    <row r="231" spans="62:64" x14ac:dyDescent="0.25">
      <c r="BJ231" s="205"/>
      <c r="BK231" s="205"/>
      <c r="BL231" s="205"/>
    </row>
    <row r="232" spans="62:64" x14ac:dyDescent="0.25">
      <c r="BJ232" s="205"/>
      <c r="BK232" s="205"/>
      <c r="BL232" s="205"/>
    </row>
    <row r="233" spans="62:64" x14ac:dyDescent="0.25">
      <c r="BJ233" s="205"/>
      <c r="BK233" s="205"/>
      <c r="BL233" s="205"/>
    </row>
    <row r="234" spans="62:64" x14ac:dyDescent="0.25">
      <c r="BJ234" s="205"/>
      <c r="BK234" s="205"/>
      <c r="BL234" s="205"/>
    </row>
    <row r="235" spans="62:64" x14ac:dyDescent="0.25">
      <c r="BJ235" s="205"/>
      <c r="BK235" s="205"/>
      <c r="BL235" s="205"/>
    </row>
    <row r="236" spans="62:64" x14ac:dyDescent="0.25">
      <c r="BJ236" s="205"/>
      <c r="BK236" s="205"/>
      <c r="BL236" s="205"/>
    </row>
    <row r="237" spans="62:64" x14ac:dyDescent="0.25">
      <c r="BJ237" s="205"/>
      <c r="BK237" s="205"/>
      <c r="BL237" s="205"/>
    </row>
    <row r="238" spans="62:64" x14ac:dyDescent="0.25">
      <c r="BJ238" s="205"/>
      <c r="BK238" s="205"/>
      <c r="BL238" s="205"/>
    </row>
    <row r="239" spans="62:64" x14ac:dyDescent="0.25">
      <c r="BJ239" s="205"/>
      <c r="BK239" s="205"/>
      <c r="BL239" s="205"/>
    </row>
    <row r="240" spans="62:64" x14ac:dyDescent="0.25">
      <c r="BJ240" s="205"/>
      <c r="BK240" s="205"/>
      <c r="BL240" s="205"/>
    </row>
    <row r="241" spans="62:64" x14ac:dyDescent="0.25">
      <c r="BJ241" s="205"/>
      <c r="BK241" s="205"/>
      <c r="BL241" s="205"/>
    </row>
    <row r="242" spans="62:64" x14ac:dyDescent="0.25">
      <c r="BJ242" s="205"/>
      <c r="BK242" s="205"/>
      <c r="BL242" s="205"/>
    </row>
    <row r="243" spans="62:64" x14ac:dyDescent="0.25">
      <c r="BJ243" s="205"/>
      <c r="BK243" s="205"/>
      <c r="BL243" s="205"/>
    </row>
    <row r="244" spans="62:64" x14ac:dyDescent="0.25">
      <c r="BJ244" s="205"/>
      <c r="BK244" s="205"/>
      <c r="BL244" s="205"/>
    </row>
    <row r="245" spans="62:64" x14ac:dyDescent="0.25">
      <c r="BJ245" s="205"/>
      <c r="BK245" s="205"/>
      <c r="BL245" s="205"/>
    </row>
    <row r="246" spans="62:64" x14ac:dyDescent="0.25">
      <c r="BJ246" s="205"/>
      <c r="BK246" s="205"/>
      <c r="BL246" s="205"/>
    </row>
    <row r="247" spans="62:64" x14ac:dyDescent="0.25">
      <c r="BJ247" s="205"/>
      <c r="BK247" s="205"/>
      <c r="BL247" s="205"/>
    </row>
    <row r="248" spans="62:64" x14ac:dyDescent="0.25">
      <c r="BJ248" s="205"/>
      <c r="BK248" s="205"/>
      <c r="BL248" s="205"/>
    </row>
    <row r="249" spans="62:64" x14ac:dyDescent="0.25">
      <c r="BJ249" s="205"/>
      <c r="BK249" s="205"/>
      <c r="BL249" s="205"/>
    </row>
    <row r="250" spans="62:64" x14ac:dyDescent="0.25">
      <c r="BJ250" s="205"/>
      <c r="BK250" s="205"/>
      <c r="BL250" s="205"/>
    </row>
    <row r="251" spans="62:64" x14ac:dyDescent="0.25">
      <c r="BJ251" s="205"/>
      <c r="BK251" s="205"/>
      <c r="BL251" s="205"/>
    </row>
    <row r="252" spans="62:64" x14ac:dyDescent="0.25">
      <c r="BJ252" s="205"/>
      <c r="BK252" s="205"/>
      <c r="BL252" s="205"/>
    </row>
    <row r="253" spans="62:64" x14ac:dyDescent="0.25">
      <c r="BJ253" s="205"/>
      <c r="BK253" s="205"/>
      <c r="BL253" s="205"/>
    </row>
    <row r="254" spans="62:64" x14ac:dyDescent="0.25">
      <c r="BJ254" s="205"/>
      <c r="BK254" s="205"/>
      <c r="BL254" s="205"/>
    </row>
    <row r="255" spans="62:64" x14ac:dyDescent="0.25">
      <c r="BJ255" s="205"/>
      <c r="BK255" s="205"/>
      <c r="BL255" s="205"/>
    </row>
    <row r="256" spans="62:64" x14ac:dyDescent="0.25">
      <c r="BJ256" s="205"/>
      <c r="BK256" s="205"/>
      <c r="BL256" s="205"/>
    </row>
    <row r="257" spans="62:64" x14ac:dyDescent="0.25">
      <c r="BJ257" s="205"/>
      <c r="BK257" s="205"/>
      <c r="BL257" s="205"/>
    </row>
    <row r="258" spans="62:64" x14ac:dyDescent="0.25">
      <c r="BJ258" s="205"/>
      <c r="BK258" s="205"/>
      <c r="BL258" s="205"/>
    </row>
    <row r="259" spans="62:64" x14ac:dyDescent="0.25">
      <c r="BJ259" s="205"/>
      <c r="BK259" s="205"/>
      <c r="BL259" s="205"/>
    </row>
    <row r="260" spans="62:64" x14ac:dyDescent="0.25">
      <c r="BJ260" s="205"/>
      <c r="BK260" s="205"/>
      <c r="BL260" s="205"/>
    </row>
    <row r="261" spans="62:64" x14ac:dyDescent="0.25">
      <c r="BJ261" s="205"/>
      <c r="BK261" s="205"/>
      <c r="BL261" s="205"/>
    </row>
    <row r="262" spans="62:64" x14ac:dyDescent="0.25">
      <c r="BJ262" s="205"/>
      <c r="BK262" s="205"/>
      <c r="BL262" s="205"/>
    </row>
    <row r="263" spans="62:64" x14ac:dyDescent="0.25">
      <c r="BJ263" s="205"/>
      <c r="BK263" s="205"/>
      <c r="BL263" s="205"/>
    </row>
    <row r="264" spans="62:64" x14ac:dyDescent="0.25">
      <c r="BJ264" s="205"/>
      <c r="BK264" s="205"/>
      <c r="BL264" s="205"/>
    </row>
    <row r="265" spans="62:64" x14ac:dyDescent="0.25">
      <c r="BJ265" s="205"/>
      <c r="BK265" s="205"/>
      <c r="BL265" s="205"/>
    </row>
    <row r="266" spans="62:64" x14ac:dyDescent="0.25">
      <c r="BJ266" s="205"/>
      <c r="BK266" s="205"/>
      <c r="BL266" s="205"/>
    </row>
    <row r="267" spans="62:64" x14ac:dyDescent="0.25">
      <c r="BJ267" s="205"/>
      <c r="BK267" s="205"/>
      <c r="BL267" s="205"/>
    </row>
    <row r="268" spans="62:64" x14ac:dyDescent="0.25">
      <c r="BJ268" s="205"/>
      <c r="BK268" s="205"/>
      <c r="BL268" s="205"/>
    </row>
    <row r="269" spans="62:64" x14ac:dyDescent="0.25">
      <c r="BJ269" s="205"/>
      <c r="BK269" s="205"/>
      <c r="BL269" s="205"/>
    </row>
    <row r="270" spans="62:64" x14ac:dyDescent="0.25">
      <c r="BJ270" s="205"/>
      <c r="BK270" s="205"/>
      <c r="BL270" s="205"/>
    </row>
    <row r="271" spans="62:64" x14ac:dyDescent="0.25">
      <c r="BJ271" s="205"/>
      <c r="BK271" s="205"/>
      <c r="BL271" s="205"/>
    </row>
    <row r="272" spans="62:64" x14ac:dyDescent="0.25">
      <c r="BJ272" s="205"/>
      <c r="BK272" s="205"/>
      <c r="BL272" s="205"/>
    </row>
    <row r="273" spans="62:64" x14ac:dyDescent="0.25">
      <c r="BJ273" s="205"/>
      <c r="BK273" s="205"/>
      <c r="BL273" s="205"/>
    </row>
    <row r="274" spans="62:64" x14ac:dyDescent="0.25">
      <c r="BJ274" s="205"/>
      <c r="BK274" s="205"/>
      <c r="BL274" s="205"/>
    </row>
    <row r="275" spans="62:64" x14ac:dyDescent="0.25">
      <c r="BJ275" s="205"/>
      <c r="BK275" s="205"/>
      <c r="BL275" s="205"/>
    </row>
    <row r="276" spans="62:64" x14ac:dyDescent="0.25">
      <c r="BJ276" s="205"/>
      <c r="BK276" s="205"/>
      <c r="BL276" s="205"/>
    </row>
    <row r="277" spans="62:64" x14ac:dyDescent="0.25">
      <c r="BJ277" s="205"/>
      <c r="BK277" s="205"/>
      <c r="BL277" s="205"/>
    </row>
    <row r="278" spans="62:64" x14ac:dyDescent="0.25">
      <c r="BJ278" s="205"/>
      <c r="BK278" s="205"/>
      <c r="BL278" s="205"/>
    </row>
    <row r="279" spans="62:64" x14ac:dyDescent="0.25">
      <c r="BJ279" s="205"/>
      <c r="BK279" s="205"/>
      <c r="BL279" s="205"/>
    </row>
    <row r="280" spans="62:64" x14ac:dyDescent="0.25">
      <c r="BJ280" s="205"/>
      <c r="BK280" s="205"/>
      <c r="BL280" s="205"/>
    </row>
    <row r="281" spans="62:64" x14ac:dyDescent="0.25">
      <c r="BJ281" s="205"/>
      <c r="BK281" s="205"/>
      <c r="BL281" s="205"/>
    </row>
    <row r="282" spans="62:64" x14ac:dyDescent="0.25">
      <c r="BJ282" s="205"/>
      <c r="BK282" s="205"/>
      <c r="BL282" s="205"/>
    </row>
    <row r="283" spans="62:64" x14ac:dyDescent="0.25">
      <c r="BJ283" s="205"/>
      <c r="BK283" s="205"/>
      <c r="BL283" s="205"/>
    </row>
    <row r="284" spans="62:64" x14ac:dyDescent="0.25">
      <c r="BJ284" s="205"/>
      <c r="BK284" s="205"/>
      <c r="BL284" s="205"/>
    </row>
    <row r="285" spans="62:64" x14ac:dyDescent="0.25">
      <c r="BJ285" s="205"/>
      <c r="BK285" s="205"/>
      <c r="BL285" s="205"/>
    </row>
    <row r="286" spans="62:64" x14ac:dyDescent="0.25">
      <c r="BJ286" s="205"/>
      <c r="BK286" s="205"/>
      <c r="BL286" s="205"/>
    </row>
    <row r="287" spans="62:64" x14ac:dyDescent="0.25">
      <c r="BJ287" s="205"/>
      <c r="BK287" s="205"/>
      <c r="BL287" s="205"/>
    </row>
    <row r="288" spans="62:64" x14ac:dyDescent="0.25">
      <c r="BJ288" s="205"/>
      <c r="BK288" s="205"/>
      <c r="BL288" s="205"/>
    </row>
    <row r="289" spans="62:64" x14ac:dyDescent="0.25">
      <c r="BJ289" s="205"/>
      <c r="BK289" s="205"/>
      <c r="BL289" s="205"/>
    </row>
    <row r="290" spans="62:64" x14ac:dyDescent="0.25">
      <c r="BJ290" s="205"/>
      <c r="BK290" s="205"/>
      <c r="BL290" s="205"/>
    </row>
    <row r="291" spans="62:64" x14ac:dyDescent="0.25">
      <c r="BJ291" s="205"/>
      <c r="BK291" s="205"/>
      <c r="BL291" s="205"/>
    </row>
    <row r="292" spans="62:64" x14ac:dyDescent="0.25">
      <c r="BJ292" s="205"/>
      <c r="BK292" s="205"/>
      <c r="BL292" s="205"/>
    </row>
    <row r="293" spans="62:64" x14ac:dyDescent="0.25">
      <c r="BJ293" s="205"/>
      <c r="BK293" s="205"/>
      <c r="BL293" s="205"/>
    </row>
    <row r="294" spans="62:64" x14ac:dyDescent="0.25">
      <c r="BJ294" s="205"/>
      <c r="BK294" s="205"/>
      <c r="BL294" s="205"/>
    </row>
    <row r="295" spans="62:64" x14ac:dyDescent="0.25">
      <c r="BJ295" s="205"/>
      <c r="BK295" s="205"/>
      <c r="BL295" s="205"/>
    </row>
    <row r="296" spans="62:64" x14ac:dyDescent="0.25">
      <c r="BJ296" s="205"/>
      <c r="BK296" s="205"/>
      <c r="BL296" s="205"/>
    </row>
    <row r="297" spans="62:64" x14ac:dyDescent="0.25">
      <c r="BJ297" s="205"/>
      <c r="BK297" s="205"/>
      <c r="BL297" s="205"/>
    </row>
    <row r="298" spans="62:64" x14ac:dyDescent="0.25">
      <c r="BJ298" s="205"/>
      <c r="BK298" s="205"/>
      <c r="BL298" s="205"/>
    </row>
    <row r="299" spans="62:64" x14ac:dyDescent="0.25">
      <c r="BJ299" s="205"/>
      <c r="BK299" s="205"/>
      <c r="BL299" s="205"/>
    </row>
    <row r="300" spans="62:64" x14ac:dyDescent="0.25">
      <c r="BJ300" s="205"/>
      <c r="BK300" s="205"/>
      <c r="BL300" s="205"/>
    </row>
    <row r="301" spans="62:64" x14ac:dyDescent="0.25">
      <c r="BJ301" s="205"/>
      <c r="BK301" s="205"/>
      <c r="BL301" s="205"/>
    </row>
    <row r="302" spans="62:64" x14ac:dyDescent="0.25">
      <c r="BJ302" s="205"/>
      <c r="BK302" s="205"/>
      <c r="BL302" s="205"/>
    </row>
    <row r="303" spans="62:64" x14ac:dyDescent="0.25">
      <c r="BJ303" s="205"/>
      <c r="BK303" s="205"/>
      <c r="BL303" s="205"/>
    </row>
    <row r="304" spans="62:64" x14ac:dyDescent="0.25">
      <c r="BJ304" s="205"/>
      <c r="BK304" s="205"/>
      <c r="BL304" s="205"/>
    </row>
    <row r="305" spans="62:64" x14ac:dyDescent="0.25">
      <c r="BJ305" s="205"/>
      <c r="BK305" s="205"/>
      <c r="BL305" s="205"/>
    </row>
    <row r="306" spans="62:64" x14ac:dyDescent="0.25">
      <c r="BJ306" s="205"/>
      <c r="BK306" s="205"/>
      <c r="BL306" s="205"/>
    </row>
    <row r="307" spans="62:64" x14ac:dyDescent="0.25">
      <c r="BJ307" s="205"/>
      <c r="BK307" s="205"/>
      <c r="BL307" s="205"/>
    </row>
    <row r="308" spans="62:64" x14ac:dyDescent="0.25">
      <c r="BJ308" s="205"/>
      <c r="BK308" s="205"/>
      <c r="BL308" s="205"/>
    </row>
    <row r="309" spans="62:64" x14ac:dyDescent="0.25">
      <c r="BJ309" s="205"/>
      <c r="BK309" s="205"/>
      <c r="BL309" s="205"/>
    </row>
    <row r="310" spans="62:64" x14ac:dyDescent="0.25">
      <c r="BJ310" s="205"/>
      <c r="BK310" s="205"/>
      <c r="BL310" s="205"/>
    </row>
    <row r="311" spans="62:64" x14ac:dyDescent="0.25">
      <c r="BJ311" s="205"/>
      <c r="BK311" s="205"/>
      <c r="BL311" s="205"/>
    </row>
    <row r="312" spans="62:64" x14ac:dyDescent="0.25">
      <c r="BJ312" s="205"/>
      <c r="BK312" s="205"/>
      <c r="BL312" s="205"/>
    </row>
    <row r="313" spans="62:64" x14ac:dyDescent="0.25">
      <c r="BJ313" s="205"/>
      <c r="BK313" s="205"/>
      <c r="BL313" s="205"/>
    </row>
    <row r="314" spans="62:64" x14ac:dyDescent="0.25">
      <c r="BJ314" s="205"/>
      <c r="BK314" s="205"/>
      <c r="BL314" s="205"/>
    </row>
    <row r="315" spans="62:64" x14ac:dyDescent="0.25">
      <c r="BJ315" s="205"/>
      <c r="BK315" s="205"/>
      <c r="BL315" s="205"/>
    </row>
    <row r="316" spans="62:64" x14ac:dyDescent="0.25">
      <c r="BJ316" s="205"/>
      <c r="BK316" s="205"/>
      <c r="BL316" s="205"/>
    </row>
    <row r="317" spans="62:64" x14ac:dyDescent="0.25">
      <c r="BJ317" s="205"/>
      <c r="BK317" s="205"/>
      <c r="BL317" s="205"/>
    </row>
    <row r="318" spans="62:64" x14ac:dyDescent="0.25">
      <c r="BJ318" s="205"/>
      <c r="BK318" s="205"/>
      <c r="BL318" s="205"/>
    </row>
    <row r="319" spans="62:64" x14ac:dyDescent="0.25">
      <c r="BJ319" s="205"/>
      <c r="BK319" s="205"/>
      <c r="BL319" s="205"/>
    </row>
    <row r="320" spans="62:64" x14ac:dyDescent="0.25">
      <c r="BJ320" s="205"/>
      <c r="BK320" s="205"/>
      <c r="BL320" s="205"/>
    </row>
    <row r="321" spans="62:64" x14ac:dyDescent="0.25">
      <c r="BJ321" s="205"/>
      <c r="BK321" s="205"/>
      <c r="BL321" s="205"/>
    </row>
    <row r="322" spans="62:64" x14ac:dyDescent="0.25">
      <c r="BJ322" s="205"/>
      <c r="BK322" s="205"/>
      <c r="BL322" s="205"/>
    </row>
    <row r="323" spans="62:64" x14ac:dyDescent="0.25">
      <c r="BJ323" s="205"/>
      <c r="BK323" s="205"/>
      <c r="BL323" s="205"/>
    </row>
    <row r="324" spans="62:64" x14ac:dyDescent="0.25">
      <c r="BJ324" s="205"/>
      <c r="BK324" s="205"/>
      <c r="BL324" s="205"/>
    </row>
    <row r="325" spans="62:64" x14ac:dyDescent="0.25">
      <c r="BJ325" s="205"/>
      <c r="BK325" s="205"/>
      <c r="BL325" s="205"/>
    </row>
    <row r="326" spans="62:64" x14ac:dyDescent="0.25">
      <c r="BJ326" s="205"/>
      <c r="BK326" s="205"/>
      <c r="BL326" s="205"/>
    </row>
    <row r="327" spans="62:64" x14ac:dyDescent="0.25">
      <c r="BJ327" s="205"/>
      <c r="BK327" s="205"/>
      <c r="BL327" s="205"/>
    </row>
    <row r="328" spans="62:64" x14ac:dyDescent="0.25">
      <c r="BJ328" s="205"/>
      <c r="BK328" s="205"/>
      <c r="BL328" s="205"/>
    </row>
    <row r="329" spans="62:64" x14ac:dyDescent="0.25">
      <c r="BJ329" s="205"/>
      <c r="BK329" s="205"/>
      <c r="BL329" s="205"/>
    </row>
    <row r="330" spans="62:64" x14ac:dyDescent="0.25">
      <c r="BJ330" s="205"/>
      <c r="BK330" s="205"/>
      <c r="BL330" s="205"/>
    </row>
    <row r="331" spans="62:64" x14ac:dyDescent="0.25">
      <c r="BJ331" s="205"/>
      <c r="BK331" s="205"/>
      <c r="BL331" s="205"/>
    </row>
    <row r="332" spans="62:64" x14ac:dyDescent="0.25">
      <c r="BJ332" s="205"/>
      <c r="BK332" s="205"/>
      <c r="BL332" s="205"/>
    </row>
    <row r="333" spans="62:64" x14ac:dyDescent="0.25">
      <c r="BJ333" s="205"/>
      <c r="BK333" s="205"/>
      <c r="BL333" s="205"/>
    </row>
    <row r="334" spans="62:64" x14ac:dyDescent="0.25">
      <c r="BJ334" s="205"/>
      <c r="BK334" s="205"/>
      <c r="BL334" s="205"/>
    </row>
    <row r="335" spans="62:64" x14ac:dyDescent="0.25">
      <c r="BJ335" s="205"/>
      <c r="BK335" s="205"/>
      <c r="BL335" s="205"/>
    </row>
    <row r="336" spans="62:64" x14ac:dyDescent="0.25">
      <c r="BJ336" s="205"/>
      <c r="BK336" s="205"/>
      <c r="BL336" s="205"/>
    </row>
    <row r="337" spans="62:64" x14ac:dyDescent="0.25">
      <c r="BJ337" s="205"/>
      <c r="BK337" s="205"/>
      <c r="BL337" s="205"/>
    </row>
    <row r="338" spans="62:64" x14ac:dyDescent="0.25">
      <c r="BJ338" s="205"/>
      <c r="BK338" s="205"/>
      <c r="BL338" s="205"/>
    </row>
    <row r="339" spans="62:64" x14ac:dyDescent="0.25">
      <c r="BJ339" s="205"/>
      <c r="BK339" s="205"/>
      <c r="BL339" s="205"/>
    </row>
    <row r="340" spans="62:64" x14ac:dyDescent="0.25">
      <c r="BJ340" s="205"/>
      <c r="BK340" s="205"/>
      <c r="BL340" s="205"/>
    </row>
    <row r="341" spans="62:64" x14ac:dyDescent="0.25">
      <c r="BJ341" s="205"/>
      <c r="BK341" s="205"/>
      <c r="BL341" s="205"/>
    </row>
    <row r="342" spans="62:64" x14ac:dyDescent="0.25">
      <c r="BJ342" s="205"/>
      <c r="BK342" s="205"/>
      <c r="BL342" s="205"/>
    </row>
    <row r="343" spans="62:64" x14ac:dyDescent="0.25">
      <c r="BJ343" s="205"/>
      <c r="BK343" s="205"/>
      <c r="BL343" s="205"/>
    </row>
    <row r="344" spans="62:64" x14ac:dyDescent="0.25">
      <c r="BJ344" s="205"/>
      <c r="BK344" s="205"/>
      <c r="BL344" s="205"/>
    </row>
    <row r="345" spans="62:64" x14ac:dyDescent="0.25">
      <c r="BJ345" s="205"/>
      <c r="BK345" s="205"/>
      <c r="BL345" s="205"/>
    </row>
    <row r="346" spans="62:64" x14ac:dyDescent="0.25">
      <c r="BJ346" s="205"/>
      <c r="BK346" s="205"/>
      <c r="BL346" s="205"/>
    </row>
    <row r="347" spans="62:64" x14ac:dyDescent="0.25">
      <c r="BJ347" s="205"/>
      <c r="BK347" s="205"/>
      <c r="BL347" s="205"/>
    </row>
    <row r="348" spans="62:64" x14ac:dyDescent="0.25">
      <c r="BJ348" s="205"/>
      <c r="BK348" s="205"/>
      <c r="BL348" s="205"/>
    </row>
    <row r="349" spans="62:64" x14ac:dyDescent="0.25">
      <c r="BJ349" s="205"/>
      <c r="BK349" s="205"/>
      <c r="BL349" s="205"/>
    </row>
    <row r="350" spans="62:64" x14ac:dyDescent="0.25">
      <c r="BJ350" s="205"/>
      <c r="BK350" s="205"/>
      <c r="BL350" s="205"/>
    </row>
    <row r="351" spans="62:64" x14ac:dyDescent="0.25">
      <c r="BJ351" s="205"/>
      <c r="BK351" s="205"/>
      <c r="BL351" s="205"/>
    </row>
    <row r="352" spans="62:64" x14ac:dyDescent="0.25">
      <c r="BJ352" s="205"/>
      <c r="BK352" s="205"/>
      <c r="BL352" s="205"/>
    </row>
    <row r="353" spans="62:64" x14ac:dyDescent="0.25">
      <c r="BJ353" s="205"/>
      <c r="BK353" s="205"/>
      <c r="BL353" s="205"/>
    </row>
    <row r="354" spans="62:64" x14ac:dyDescent="0.25">
      <c r="BJ354" s="205"/>
      <c r="BK354" s="205"/>
      <c r="BL354" s="205"/>
    </row>
    <row r="355" spans="62:64" x14ac:dyDescent="0.25">
      <c r="BJ355" s="205"/>
      <c r="BK355" s="205"/>
      <c r="BL355" s="205"/>
    </row>
    <row r="356" spans="62:64" x14ac:dyDescent="0.25">
      <c r="BJ356" s="205"/>
      <c r="BK356" s="205"/>
      <c r="BL356" s="205"/>
    </row>
    <row r="357" spans="62:64" x14ac:dyDescent="0.25">
      <c r="BJ357" s="205"/>
      <c r="BK357" s="205"/>
      <c r="BL357" s="205"/>
    </row>
    <row r="358" spans="62:64" x14ac:dyDescent="0.25">
      <c r="BJ358" s="205"/>
      <c r="BK358" s="205"/>
      <c r="BL358" s="205"/>
    </row>
    <row r="359" spans="62:64" x14ac:dyDescent="0.25">
      <c r="BJ359" s="205"/>
      <c r="BK359" s="205"/>
      <c r="BL359" s="205"/>
    </row>
    <row r="360" spans="62:64" x14ac:dyDescent="0.25">
      <c r="BJ360" s="205"/>
      <c r="BK360" s="205"/>
      <c r="BL360" s="205"/>
    </row>
    <row r="361" spans="62:64" x14ac:dyDescent="0.25">
      <c r="BJ361" s="205"/>
      <c r="BK361" s="205"/>
      <c r="BL361" s="205"/>
    </row>
    <row r="362" spans="62:64" x14ac:dyDescent="0.25">
      <c r="BJ362" s="205"/>
      <c r="BK362" s="205"/>
      <c r="BL362" s="205"/>
    </row>
    <row r="363" spans="62:64" x14ac:dyDescent="0.25">
      <c r="BJ363" s="205"/>
      <c r="BK363" s="205"/>
      <c r="BL363" s="205"/>
    </row>
    <row r="364" spans="62:64" x14ac:dyDescent="0.25">
      <c r="BJ364" s="205"/>
      <c r="BK364" s="205"/>
      <c r="BL364" s="205"/>
    </row>
    <row r="365" spans="62:64" x14ac:dyDescent="0.25">
      <c r="BJ365" s="205"/>
      <c r="BK365" s="205"/>
      <c r="BL365" s="205"/>
    </row>
    <row r="366" spans="62:64" x14ac:dyDescent="0.25">
      <c r="BJ366" s="205"/>
      <c r="BK366" s="205"/>
      <c r="BL366" s="205"/>
    </row>
    <row r="367" spans="62:64" x14ac:dyDescent="0.25">
      <c r="BJ367" s="205"/>
      <c r="BK367" s="205"/>
      <c r="BL367" s="205"/>
    </row>
    <row r="368" spans="62:64" x14ac:dyDescent="0.25">
      <c r="BJ368" s="205"/>
      <c r="BK368" s="205"/>
      <c r="BL368" s="205"/>
    </row>
    <row r="369" spans="62:64" x14ac:dyDescent="0.25">
      <c r="BJ369" s="205"/>
      <c r="BK369" s="205"/>
      <c r="BL369" s="205"/>
    </row>
    <row r="370" spans="62:64" x14ac:dyDescent="0.25">
      <c r="BJ370" s="205"/>
      <c r="BK370" s="205"/>
      <c r="BL370" s="205"/>
    </row>
    <row r="371" spans="62:64" x14ac:dyDescent="0.25">
      <c r="BJ371" s="205"/>
      <c r="BK371" s="205"/>
      <c r="BL371" s="205"/>
    </row>
    <row r="372" spans="62:64" x14ac:dyDescent="0.25">
      <c r="BJ372" s="205"/>
      <c r="BK372" s="205"/>
      <c r="BL372" s="205"/>
    </row>
    <row r="373" spans="62:64" x14ac:dyDescent="0.25">
      <c r="BJ373" s="205"/>
      <c r="BK373" s="205"/>
      <c r="BL373" s="205"/>
    </row>
    <row r="374" spans="62:64" x14ac:dyDescent="0.25">
      <c r="BJ374" s="205"/>
      <c r="BK374" s="205"/>
      <c r="BL374" s="205"/>
    </row>
    <row r="375" spans="62:64" x14ac:dyDescent="0.25">
      <c r="BJ375" s="205"/>
      <c r="BK375" s="205"/>
      <c r="BL375" s="205"/>
    </row>
    <row r="376" spans="62:64" x14ac:dyDescent="0.25">
      <c r="BJ376" s="205"/>
      <c r="BK376" s="205"/>
      <c r="BL376" s="205"/>
    </row>
    <row r="377" spans="62:64" x14ac:dyDescent="0.25">
      <c r="BJ377" s="205"/>
      <c r="BK377" s="205"/>
      <c r="BL377" s="205"/>
    </row>
    <row r="378" spans="62:64" x14ac:dyDescent="0.25">
      <c r="BJ378" s="205"/>
      <c r="BK378" s="205"/>
      <c r="BL378" s="205"/>
    </row>
    <row r="379" spans="62:64" x14ac:dyDescent="0.25">
      <c r="BJ379" s="205"/>
      <c r="BK379" s="205"/>
      <c r="BL379" s="205"/>
    </row>
    <row r="380" spans="62:64" x14ac:dyDescent="0.25">
      <c r="BJ380" s="205"/>
      <c r="BK380" s="205"/>
      <c r="BL380" s="205"/>
    </row>
    <row r="381" spans="62:64" x14ac:dyDescent="0.25">
      <c r="BJ381" s="205"/>
      <c r="BK381" s="205"/>
      <c r="BL381" s="205"/>
    </row>
    <row r="382" spans="62:64" x14ac:dyDescent="0.25">
      <c r="BJ382" s="205"/>
      <c r="BK382" s="205"/>
      <c r="BL382" s="205"/>
    </row>
    <row r="383" spans="62:64" x14ac:dyDescent="0.25">
      <c r="BJ383" s="205"/>
      <c r="BK383" s="205"/>
      <c r="BL383" s="205"/>
    </row>
    <row r="384" spans="62:64" x14ac:dyDescent="0.25">
      <c r="BJ384" s="205"/>
      <c r="BK384" s="205"/>
      <c r="BL384" s="205"/>
    </row>
    <row r="385" spans="62:64" x14ac:dyDescent="0.25">
      <c r="BJ385" s="205"/>
      <c r="BK385" s="205"/>
      <c r="BL385" s="205"/>
    </row>
    <row r="386" spans="62:64" x14ac:dyDescent="0.25">
      <c r="BJ386" s="205"/>
      <c r="BK386" s="205"/>
      <c r="BL386" s="205"/>
    </row>
    <row r="387" spans="62:64" x14ac:dyDescent="0.25">
      <c r="BJ387" s="205"/>
      <c r="BK387" s="205"/>
      <c r="BL387" s="205"/>
    </row>
    <row r="388" spans="62:64" x14ac:dyDescent="0.25">
      <c r="BJ388" s="205"/>
      <c r="BK388" s="205"/>
      <c r="BL388" s="205"/>
    </row>
    <row r="389" spans="62:64" x14ac:dyDescent="0.25">
      <c r="BJ389" s="205"/>
      <c r="BK389" s="205"/>
      <c r="BL389" s="205"/>
    </row>
    <row r="390" spans="62:64" x14ac:dyDescent="0.25">
      <c r="BJ390" s="205"/>
      <c r="BK390" s="205"/>
      <c r="BL390" s="205"/>
    </row>
    <row r="391" spans="62:64" x14ac:dyDescent="0.25">
      <c r="BJ391" s="205"/>
      <c r="BK391" s="205"/>
      <c r="BL391" s="205"/>
    </row>
    <row r="392" spans="62:64" x14ac:dyDescent="0.25">
      <c r="BJ392" s="205"/>
      <c r="BK392" s="205"/>
      <c r="BL392" s="205"/>
    </row>
    <row r="393" spans="62:64" x14ac:dyDescent="0.25">
      <c r="BJ393" s="205"/>
      <c r="BK393" s="205"/>
      <c r="BL393" s="205"/>
    </row>
    <row r="394" spans="62:64" x14ac:dyDescent="0.25">
      <c r="BJ394" s="205"/>
      <c r="BK394" s="205"/>
      <c r="BL394" s="205"/>
    </row>
    <row r="395" spans="62:64" x14ac:dyDescent="0.25">
      <c r="BJ395" s="205"/>
      <c r="BK395" s="205"/>
      <c r="BL395" s="205"/>
    </row>
    <row r="396" spans="62:64" x14ac:dyDescent="0.25">
      <c r="BJ396" s="205"/>
      <c r="BK396" s="205"/>
      <c r="BL396" s="205"/>
    </row>
    <row r="397" spans="62:64" x14ac:dyDescent="0.25">
      <c r="BJ397" s="205"/>
      <c r="BK397" s="205"/>
      <c r="BL397" s="205"/>
    </row>
    <row r="398" spans="62:64" x14ac:dyDescent="0.25">
      <c r="BJ398" s="205"/>
      <c r="BK398" s="205"/>
      <c r="BL398" s="205"/>
    </row>
    <row r="399" spans="62:64" x14ac:dyDescent="0.25">
      <c r="BJ399" s="205"/>
      <c r="BK399" s="205"/>
      <c r="BL399" s="205"/>
    </row>
    <row r="400" spans="62:64" x14ac:dyDescent="0.25">
      <c r="BJ400" s="205"/>
      <c r="BK400" s="205"/>
      <c r="BL400" s="205"/>
    </row>
    <row r="401" spans="62:64" x14ac:dyDescent="0.25">
      <c r="BJ401" s="205"/>
      <c r="BK401" s="205"/>
      <c r="BL401" s="205"/>
    </row>
    <row r="402" spans="62:64" x14ac:dyDescent="0.25">
      <c r="BJ402" s="205"/>
      <c r="BK402" s="205"/>
      <c r="BL402" s="205"/>
    </row>
    <row r="403" spans="62:64" x14ac:dyDescent="0.25">
      <c r="BJ403" s="205"/>
      <c r="BK403" s="205"/>
      <c r="BL403" s="205"/>
    </row>
    <row r="404" spans="62:64" x14ac:dyDescent="0.25">
      <c r="BJ404" s="205"/>
      <c r="BK404" s="205"/>
      <c r="BL404" s="205"/>
    </row>
    <row r="405" spans="62:64" x14ac:dyDescent="0.25">
      <c r="BJ405" s="205"/>
      <c r="BK405" s="205"/>
      <c r="BL405" s="205"/>
    </row>
    <row r="406" spans="62:64" x14ac:dyDescent="0.25">
      <c r="BJ406" s="205"/>
      <c r="BK406" s="205"/>
      <c r="BL406" s="205"/>
    </row>
    <row r="407" spans="62:64" x14ac:dyDescent="0.25">
      <c r="BJ407" s="205"/>
      <c r="BK407" s="205"/>
      <c r="BL407" s="205"/>
    </row>
    <row r="408" spans="62:64" x14ac:dyDescent="0.25">
      <c r="BJ408" s="205"/>
      <c r="BK408" s="205"/>
      <c r="BL408" s="205"/>
    </row>
    <row r="409" spans="62:64" x14ac:dyDescent="0.25">
      <c r="BJ409" s="205"/>
      <c r="BK409" s="205"/>
      <c r="BL409" s="205"/>
    </row>
    <row r="410" spans="62:64" x14ac:dyDescent="0.25">
      <c r="BJ410" s="205"/>
      <c r="BK410" s="205"/>
      <c r="BL410" s="205"/>
    </row>
    <row r="411" spans="62:64" x14ac:dyDescent="0.25">
      <c r="BJ411" s="205"/>
      <c r="BK411" s="205"/>
      <c r="BL411" s="205"/>
    </row>
    <row r="412" spans="62:64" x14ac:dyDescent="0.25">
      <c r="BJ412" s="205"/>
      <c r="BK412" s="205"/>
      <c r="BL412" s="205"/>
    </row>
    <row r="413" spans="62:64" x14ac:dyDescent="0.25">
      <c r="BJ413" s="205"/>
      <c r="BK413" s="205"/>
      <c r="BL413" s="205"/>
    </row>
    <row r="414" spans="62:64" x14ac:dyDescent="0.25">
      <c r="BJ414" s="205"/>
      <c r="BK414" s="205"/>
      <c r="BL414" s="205"/>
    </row>
    <row r="415" spans="62:64" x14ac:dyDescent="0.25">
      <c r="BJ415" s="205"/>
      <c r="BK415" s="205"/>
      <c r="BL415" s="205"/>
    </row>
    <row r="416" spans="62:64" x14ac:dyDescent="0.25">
      <c r="BJ416" s="205"/>
      <c r="BK416" s="205"/>
      <c r="BL416" s="205"/>
    </row>
    <row r="417" spans="62:64" x14ac:dyDescent="0.25">
      <c r="BJ417" s="205"/>
      <c r="BK417" s="205"/>
      <c r="BL417" s="205"/>
    </row>
    <row r="418" spans="62:64" x14ac:dyDescent="0.25">
      <c r="BJ418" s="205"/>
      <c r="BK418" s="205"/>
      <c r="BL418" s="205"/>
    </row>
    <row r="419" spans="62:64" x14ac:dyDescent="0.25">
      <c r="BJ419" s="205"/>
      <c r="BK419" s="205"/>
      <c r="BL419" s="205"/>
    </row>
    <row r="420" spans="62:64" x14ac:dyDescent="0.25">
      <c r="BJ420" s="205"/>
      <c r="BK420" s="205"/>
      <c r="BL420" s="205"/>
    </row>
    <row r="421" spans="62:64" x14ac:dyDescent="0.25">
      <c r="BJ421" s="205"/>
      <c r="BK421" s="205"/>
      <c r="BL421" s="205"/>
    </row>
    <row r="422" spans="62:64" x14ac:dyDescent="0.25">
      <c r="BJ422" s="205"/>
      <c r="BK422" s="205"/>
      <c r="BL422" s="205"/>
    </row>
    <row r="423" spans="62:64" x14ac:dyDescent="0.25">
      <c r="BJ423" s="205"/>
      <c r="BK423" s="205"/>
      <c r="BL423" s="205"/>
    </row>
    <row r="424" spans="62:64" x14ac:dyDescent="0.25">
      <c r="BJ424" s="205"/>
      <c r="BK424" s="205"/>
      <c r="BL424" s="205"/>
    </row>
    <row r="425" spans="62:64" x14ac:dyDescent="0.25">
      <c r="BJ425" s="205"/>
      <c r="BK425" s="205"/>
      <c r="BL425" s="205"/>
    </row>
    <row r="426" spans="62:64" x14ac:dyDescent="0.25">
      <c r="BJ426" s="205"/>
      <c r="BK426" s="205"/>
      <c r="BL426" s="205"/>
    </row>
    <row r="427" spans="62:64" x14ac:dyDescent="0.25">
      <c r="BJ427" s="205"/>
      <c r="BK427" s="205"/>
      <c r="BL427" s="205"/>
    </row>
    <row r="428" spans="62:64" x14ac:dyDescent="0.25">
      <c r="BJ428" s="205"/>
      <c r="BK428" s="205"/>
      <c r="BL428" s="205"/>
    </row>
    <row r="429" spans="62:64" x14ac:dyDescent="0.25">
      <c r="BJ429" s="205"/>
      <c r="BK429" s="205"/>
      <c r="BL429" s="205"/>
    </row>
    <row r="430" spans="62:64" x14ac:dyDescent="0.25">
      <c r="BJ430" s="205"/>
      <c r="BK430" s="205"/>
      <c r="BL430" s="205"/>
    </row>
    <row r="431" spans="62:64" x14ac:dyDescent="0.25">
      <c r="BJ431" s="205"/>
      <c r="BK431" s="205"/>
      <c r="BL431" s="205"/>
    </row>
    <row r="432" spans="62:64" x14ac:dyDescent="0.25">
      <c r="BJ432" s="205"/>
      <c r="BK432" s="205"/>
      <c r="BL432" s="205"/>
    </row>
    <row r="433" spans="62:64" x14ac:dyDescent="0.25">
      <c r="BJ433" s="205"/>
      <c r="BK433" s="205"/>
      <c r="BL433" s="205"/>
    </row>
    <row r="434" spans="62:64" x14ac:dyDescent="0.25">
      <c r="BJ434" s="205"/>
      <c r="BK434" s="205"/>
      <c r="BL434" s="205"/>
    </row>
    <row r="435" spans="62:64" x14ac:dyDescent="0.25">
      <c r="BJ435" s="205"/>
      <c r="BK435" s="205"/>
      <c r="BL435" s="205"/>
    </row>
    <row r="436" spans="62:64" x14ac:dyDescent="0.25">
      <c r="BJ436" s="205"/>
      <c r="BK436" s="205"/>
      <c r="BL436" s="205"/>
    </row>
    <row r="437" spans="62:64" x14ac:dyDescent="0.25">
      <c r="BJ437" s="205"/>
      <c r="BK437" s="205"/>
      <c r="BL437" s="205"/>
    </row>
    <row r="438" spans="62:64" x14ac:dyDescent="0.25">
      <c r="BJ438" s="205"/>
      <c r="BK438" s="205"/>
      <c r="BL438" s="205"/>
    </row>
    <row r="439" spans="62:64" x14ac:dyDescent="0.25">
      <c r="BJ439" s="205"/>
      <c r="BK439" s="205"/>
      <c r="BL439" s="205"/>
    </row>
    <row r="440" spans="62:64" x14ac:dyDescent="0.25">
      <c r="BJ440" s="205"/>
      <c r="BK440" s="205"/>
      <c r="BL440" s="205"/>
    </row>
    <row r="441" spans="62:64" x14ac:dyDescent="0.25">
      <c r="BJ441" s="205"/>
      <c r="BK441" s="205"/>
      <c r="BL441" s="205"/>
    </row>
    <row r="442" spans="62:64" x14ac:dyDescent="0.25">
      <c r="BJ442" s="205"/>
      <c r="BK442" s="205"/>
      <c r="BL442" s="205"/>
    </row>
    <row r="443" spans="62:64" x14ac:dyDescent="0.25">
      <c r="BJ443" s="205"/>
      <c r="BK443" s="205"/>
      <c r="BL443" s="205"/>
    </row>
    <row r="444" spans="62:64" x14ac:dyDescent="0.25">
      <c r="BJ444" s="205"/>
      <c r="BK444" s="205"/>
      <c r="BL444" s="205"/>
    </row>
    <row r="445" spans="62:64" x14ac:dyDescent="0.25">
      <c r="BJ445" s="205"/>
      <c r="BK445" s="205"/>
      <c r="BL445" s="205"/>
    </row>
    <row r="446" spans="62:64" x14ac:dyDescent="0.25">
      <c r="BJ446" s="205"/>
      <c r="BK446" s="205"/>
      <c r="BL446" s="205"/>
    </row>
    <row r="447" spans="62:64" x14ac:dyDescent="0.25">
      <c r="BJ447" s="205"/>
      <c r="BK447" s="205"/>
      <c r="BL447" s="205"/>
    </row>
    <row r="448" spans="62:64" x14ac:dyDescent="0.25">
      <c r="BJ448" s="205"/>
      <c r="BK448" s="205"/>
      <c r="BL448" s="205"/>
    </row>
    <row r="449" spans="62:64" x14ac:dyDescent="0.25">
      <c r="BJ449" s="205"/>
      <c r="BK449" s="205"/>
      <c r="BL449" s="205"/>
    </row>
    <row r="450" spans="62:64" x14ac:dyDescent="0.25">
      <c r="BJ450" s="205"/>
      <c r="BK450" s="205"/>
      <c r="BL450" s="205"/>
    </row>
    <row r="451" spans="62:64" x14ac:dyDescent="0.25">
      <c r="BJ451" s="205"/>
      <c r="BK451" s="205"/>
      <c r="BL451" s="205"/>
    </row>
    <row r="452" spans="62:64" x14ac:dyDescent="0.25">
      <c r="BJ452" s="205"/>
      <c r="BK452" s="205"/>
      <c r="BL452" s="205"/>
    </row>
    <row r="453" spans="62:64" x14ac:dyDescent="0.25">
      <c r="BJ453" s="205"/>
      <c r="BK453" s="205"/>
      <c r="BL453" s="205"/>
    </row>
    <row r="454" spans="62:64" x14ac:dyDescent="0.25">
      <c r="BJ454" s="205"/>
      <c r="BK454" s="205"/>
      <c r="BL454" s="205"/>
    </row>
    <row r="455" spans="62:64" x14ac:dyDescent="0.25">
      <c r="BJ455" s="205"/>
      <c r="BK455" s="205"/>
      <c r="BL455" s="205"/>
    </row>
    <row r="456" spans="62:64" x14ac:dyDescent="0.25">
      <c r="BJ456" s="205"/>
      <c r="BK456" s="205"/>
      <c r="BL456" s="205"/>
    </row>
    <row r="457" spans="62:64" x14ac:dyDescent="0.25">
      <c r="BJ457" s="205"/>
      <c r="BK457" s="205"/>
      <c r="BL457" s="205"/>
    </row>
    <row r="458" spans="62:64" x14ac:dyDescent="0.25">
      <c r="BJ458" s="205"/>
      <c r="BK458" s="205"/>
      <c r="BL458" s="205"/>
    </row>
    <row r="459" spans="62:64" x14ac:dyDescent="0.25">
      <c r="BJ459" s="205"/>
      <c r="BK459" s="205"/>
      <c r="BL459" s="205"/>
    </row>
    <row r="460" spans="62:64" x14ac:dyDescent="0.25">
      <c r="BJ460" s="205"/>
      <c r="BK460" s="205"/>
      <c r="BL460" s="205"/>
    </row>
    <row r="461" spans="62:64" x14ac:dyDescent="0.25">
      <c r="BJ461" s="205"/>
      <c r="BK461" s="205"/>
      <c r="BL461" s="205"/>
    </row>
    <row r="462" spans="62:64" x14ac:dyDescent="0.25">
      <c r="BJ462" s="205"/>
      <c r="BK462" s="205"/>
      <c r="BL462" s="205"/>
    </row>
    <row r="463" spans="62:64" x14ac:dyDescent="0.25">
      <c r="BJ463" s="205"/>
      <c r="BK463" s="205"/>
      <c r="BL463" s="205"/>
    </row>
    <row r="464" spans="62:64" x14ac:dyDescent="0.25">
      <c r="BJ464" s="205"/>
      <c r="BK464" s="205"/>
      <c r="BL464" s="205"/>
    </row>
    <row r="465" spans="62:64" x14ac:dyDescent="0.25">
      <c r="BJ465" s="205"/>
      <c r="BK465" s="205"/>
      <c r="BL465" s="205"/>
    </row>
    <row r="466" spans="62:64" x14ac:dyDescent="0.25">
      <c r="BJ466" s="205"/>
      <c r="BK466" s="205"/>
      <c r="BL466" s="205"/>
    </row>
    <row r="467" spans="62:64" x14ac:dyDescent="0.25">
      <c r="BJ467" s="205"/>
      <c r="BK467" s="205"/>
      <c r="BL467" s="205"/>
    </row>
    <row r="468" spans="62:64" x14ac:dyDescent="0.25">
      <c r="BJ468" s="205"/>
      <c r="BK468" s="205"/>
      <c r="BL468" s="205"/>
    </row>
    <row r="469" spans="62:64" x14ac:dyDescent="0.25">
      <c r="BJ469" s="205"/>
      <c r="BK469" s="205"/>
      <c r="BL469" s="205"/>
    </row>
    <row r="470" spans="62:64" x14ac:dyDescent="0.25">
      <c r="BJ470" s="205"/>
      <c r="BK470" s="205"/>
      <c r="BL470" s="205"/>
    </row>
    <row r="471" spans="62:64" x14ac:dyDescent="0.25">
      <c r="BJ471" s="205"/>
      <c r="BK471" s="205"/>
      <c r="BL471" s="205"/>
    </row>
    <row r="472" spans="62:64" x14ac:dyDescent="0.25">
      <c r="BJ472" s="205"/>
      <c r="BK472" s="205"/>
      <c r="BL472" s="205"/>
    </row>
    <row r="473" spans="62:64" x14ac:dyDescent="0.25">
      <c r="BJ473" s="205"/>
      <c r="BK473" s="205"/>
      <c r="BL473" s="205"/>
    </row>
    <row r="474" spans="62:64" x14ac:dyDescent="0.25">
      <c r="BJ474" s="205"/>
      <c r="BK474" s="205"/>
      <c r="BL474" s="205"/>
    </row>
    <row r="475" spans="62:64" x14ac:dyDescent="0.25">
      <c r="BJ475" s="205"/>
      <c r="BK475" s="205"/>
      <c r="BL475" s="205"/>
    </row>
    <row r="476" spans="62:64" x14ac:dyDescent="0.25">
      <c r="BJ476" s="205"/>
      <c r="BK476" s="205"/>
      <c r="BL476" s="205"/>
    </row>
    <row r="477" spans="62:64" x14ac:dyDescent="0.25">
      <c r="BJ477" s="205"/>
      <c r="BK477" s="205"/>
      <c r="BL477" s="205"/>
    </row>
    <row r="478" spans="62:64" x14ac:dyDescent="0.25">
      <c r="BJ478" s="205"/>
      <c r="BK478" s="205"/>
      <c r="BL478" s="205"/>
    </row>
    <row r="479" spans="62:64" x14ac:dyDescent="0.25">
      <c r="BJ479" s="205"/>
      <c r="BK479" s="205"/>
      <c r="BL479" s="205"/>
    </row>
    <row r="480" spans="62:64" x14ac:dyDescent="0.25">
      <c r="BJ480" s="205"/>
      <c r="BK480" s="205"/>
      <c r="BL480" s="205"/>
    </row>
    <row r="481" spans="62:64" x14ac:dyDescent="0.25">
      <c r="BJ481" s="205"/>
      <c r="BK481" s="205"/>
      <c r="BL481" s="205"/>
    </row>
    <row r="482" spans="62:64" x14ac:dyDescent="0.25">
      <c r="BJ482" s="205"/>
      <c r="BK482" s="205"/>
      <c r="BL482" s="205"/>
    </row>
    <row r="483" spans="62:64" x14ac:dyDescent="0.25">
      <c r="BJ483" s="205"/>
      <c r="BK483" s="205"/>
      <c r="BL483" s="205"/>
    </row>
    <row r="484" spans="62:64" x14ac:dyDescent="0.25">
      <c r="BJ484" s="205"/>
      <c r="BK484" s="205"/>
      <c r="BL484" s="205"/>
    </row>
    <row r="485" spans="62:64" x14ac:dyDescent="0.25">
      <c r="BJ485" s="205"/>
      <c r="BK485" s="205"/>
      <c r="BL485" s="205"/>
    </row>
    <row r="486" spans="62:64" x14ac:dyDescent="0.25">
      <c r="BJ486" s="205"/>
      <c r="BK486" s="205"/>
      <c r="BL486" s="205"/>
    </row>
    <row r="487" spans="62:64" x14ac:dyDescent="0.25">
      <c r="BJ487" s="205"/>
      <c r="BK487" s="205"/>
      <c r="BL487" s="205"/>
    </row>
    <row r="488" spans="62:64" x14ac:dyDescent="0.25">
      <c r="BJ488" s="205"/>
      <c r="BK488" s="205"/>
      <c r="BL488" s="205"/>
    </row>
    <row r="489" spans="62:64" x14ac:dyDescent="0.25">
      <c r="BJ489" s="205"/>
      <c r="BK489" s="205"/>
      <c r="BL489" s="205"/>
    </row>
    <row r="490" spans="62:64" x14ac:dyDescent="0.25">
      <c r="BJ490" s="205"/>
      <c r="BK490" s="205"/>
      <c r="BL490" s="205"/>
    </row>
    <row r="491" spans="62:64" x14ac:dyDescent="0.25">
      <c r="BJ491" s="205"/>
      <c r="BK491" s="205"/>
      <c r="BL491" s="205"/>
    </row>
    <row r="492" spans="62:64" x14ac:dyDescent="0.25">
      <c r="BJ492" s="205"/>
      <c r="BK492" s="205"/>
      <c r="BL492" s="205"/>
    </row>
    <row r="493" spans="62:64" x14ac:dyDescent="0.25">
      <c r="BJ493" s="205"/>
      <c r="BK493" s="205"/>
      <c r="BL493" s="205"/>
    </row>
    <row r="494" spans="62:64" x14ac:dyDescent="0.25">
      <c r="BJ494" s="205"/>
      <c r="BK494" s="205"/>
      <c r="BL494" s="205"/>
    </row>
    <row r="495" spans="62:64" x14ac:dyDescent="0.25">
      <c r="BJ495" s="205"/>
      <c r="BK495" s="205"/>
      <c r="BL495" s="205"/>
    </row>
    <row r="496" spans="62:64" x14ac:dyDescent="0.25">
      <c r="BJ496" s="205"/>
      <c r="BK496" s="205"/>
      <c r="BL496" s="205"/>
    </row>
    <row r="497" spans="62:64" x14ac:dyDescent="0.25">
      <c r="BJ497" s="205"/>
      <c r="BK497" s="205"/>
      <c r="BL497" s="205"/>
    </row>
    <row r="498" spans="62:64" x14ac:dyDescent="0.25">
      <c r="BJ498" s="205"/>
      <c r="BK498" s="205"/>
      <c r="BL498" s="205"/>
    </row>
    <row r="499" spans="62:64" x14ac:dyDescent="0.25">
      <c r="BJ499" s="205"/>
      <c r="BK499" s="205"/>
      <c r="BL499" s="205"/>
    </row>
    <row r="500" spans="62:64" x14ac:dyDescent="0.25">
      <c r="BJ500" s="205"/>
      <c r="BK500" s="205"/>
      <c r="BL500" s="205"/>
    </row>
    <row r="501" spans="62:64" x14ac:dyDescent="0.25">
      <c r="BJ501" s="205"/>
      <c r="BK501" s="205"/>
      <c r="BL501" s="205"/>
    </row>
    <row r="502" spans="62:64" x14ac:dyDescent="0.25">
      <c r="BJ502" s="205"/>
      <c r="BK502" s="205"/>
      <c r="BL502" s="205"/>
    </row>
    <row r="503" spans="62:64" x14ac:dyDescent="0.25">
      <c r="BJ503" s="205"/>
      <c r="BK503" s="205"/>
      <c r="BL503" s="205"/>
    </row>
    <row r="504" spans="62:64" x14ac:dyDescent="0.25">
      <c r="BJ504" s="205"/>
      <c r="BK504" s="205"/>
      <c r="BL504" s="205"/>
    </row>
    <row r="505" spans="62:64" x14ac:dyDescent="0.25">
      <c r="BJ505" s="205"/>
      <c r="BK505" s="205"/>
      <c r="BL505" s="205"/>
    </row>
    <row r="506" spans="62:64" x14ac:dyDescent="0.25">
      <c r="BJ506" s="205"/>
      <c r="BK506" s="205"/>
      <c r="BL506" s="205"/>
    </row>
    <row r="507" spans="62:64" x14ac:dyDescent="0.25">
      <c r="BJ507" s="205"/>
      <c r="BK507" s="205"/>
      <c r="BL507" s="205"/>
    </row>
    <row r="508" spans="62:64" x14ac:dyDescent="0.25">
      <c r="BJ508" s="205"/>
      <c r="BK508" s="205"/>
      <c r="BL508" s="205"/>
    </row>
    <row r="509" spans="62:64" x14ac:dyDescent="0.25">
      <c r="BJ509" s="205"/>
      <c r="BK509" s="205"/>
      <c r="BL509" s="205"/>
    </row>
    <row r="510" spans="62:64" x14ac:dyDescent="0.25">
      <c r="BJ510" s="205"/>
      <c r="BK510" s="205"/>
      <c r="BL510" s="205"/>
    </row>
    <row r="511" spans="62:64" x14ac:dyDescent="0.25">
      <c r="BJ511" s="205"/>
      <c r="BK511" s="205"/>
      <c r="BL511" s="205"/>
    </row>
    <row r="512" spans="62:64" x14ac:dyDescent="0.25">
      <c r="BJ512" s="205"/>
      <c r="BK512" s="205"/>
      <c r="BL512" s="205"/>
    </row>
    <row r="513" spans="62:64" x14ac:dyDescent="0.25">
      <c r="BJ513" s="205"/>
      <c r="BK513" s="205"/>
      <c r="BL513" s="205"/>
    </row>
    <row r="514" spans="62:64" x14ac:dyDescent="0.25">
      <c r="BJ514" s="205"/>
      <c r="BK514" s="205"/>
      <c r="BL514" s="205"/>
    </row>
    <row r="515" spans="62:64" x14ac:dyDescent="0.25">
      <c r="BJ515" s="205"/>
      <c r="BK515" s="205"/>
      <c r="BL515" s="205"/>
    </row>
    <row r="516" spans="62:64" x14ac:dyDescent="0.25">
      <c r="BJ516" s="205"/>
      <c r="BK516" s="205"/>
      <c r="BL516" s="205"/>
    </row>
    <row r="517" spans="62:64" x14ac:dyDescent="0.25">
      <c r="BJ517" s="205"/>
      <c r="BK517" s="205"/>
      <c r="BL517" s="205"/>
    </row>
    <row r="518" spans="62:64" x14ac:dyDescent="0.25">
      <c r="BJ518" s="205"/>
      <c r="BK518" s="205"/>
      <c r="BL518" s="205"/>
    </row>
    <row r="519" spans="62:64" x14ac:dyDescent="0.25">
      <c r="BJ519" s="205"/>
      <c r="BK519" s="205"/>
      <c r="BL519" s="205"/>
    </row>
    <row r="520" spans="62:64" x14ac:dyDescent="0.25">
      <c r="BJ520" s="205"/>
      <c r="BK520" s="205"/>
      <c r="BL520" s="205"/>
    </row>
    <row r="521" spans="62:64" x14ac:dyDescent="0.25">
      <c r="BJ521" s="205"/>
      <c r="BK521" s="205"/>
      <c r="BL521" s="205"/>
    </row>
    <row r="522" spans="62:64" x14ac:dyDescent="0.25">
      <c r="BJ522" s="205"/>
      <c r="BK522" s="205"/>
      <c r="BL522" s="205"/>
    </row>
    <row r="523" spans="62:64" x14ac:dyDescent="0.25">
      <c r="BJ523" s="205"/>
      <c r="BK523" s="205"/>
      <c r="BL523" s="205"/>
    </row>
    <row r="524" spans="62:64" x14ac:dyDescent="0.25">
      <c r="BJ524" s="205"/>
      <c r="BK524" s="205"/>
      <c r="BL524" s="205"/>
    </row>
    <row r="525" spans="62:64" x14ac:dyDescent="0.25">
      <c r="BJ525" s="205"/>
      <c r="BK525" s="205"/>
      <c r="BL525" s="205"/>
    </row>
    <row r="526" spans="62:64" x14ac:dyDescent="0.25">
      <c r="BJ526" s="205"/>
      <c r="BK526" s="205"/>
      <c r="BL526" s="205"/>
    </row>
    <row r="527" spans="62:64" x14ac:dyDescent="0.25">
      <c r="BJ527" s="205"/>
      <c r="BK527" s="205"/>
      <c r="BL527" s="205"/>
    </row>
    <row r="528" spans="62:64" x14ac:dyDescent="0.25">
      <c r="BJ528" s="205"/>
      <c r="BK528" s="205"/>
      <c r="BL528" s="205"/>
    </row>
    <row r="529" spans="62:64" x14ac:dyDescent="0.25">
      <c r="BJ529" s="205"/>
      <c r="BK529" s="205"/>
      <c r="BL529" s="205"/>
    </row>
    <row r="530" spans="62:64" x14ac:dyDescent="0.25">
      <c r="BJ530" s="205"/>
      <c r="BK530" s="205"/>
      <c r="BL530" s="205"/>
    </row>
    <row r="531" spans="62:64" x14ac:dyDescent="0.25">
      <c r="BJ531" s="205"/>
      <c r="BK531" s="205"/>
      <c r="BL531" s="205"/>
    </row>
    <row r="532" spans="62:64" x14ac:dyDescent="0.25">
      <c r="BJ532" s="205"/>
      <c r="BK532" s="205"/>
      <c r="BL532" s="205"/>
    </row>
    <row r="533" spans="62:64" x14ac:dyDescent="0.25">
      <c r="BJ533" s="205"/>
      <c r="BK533" s="205"/>
      <c r="BL533" s="205"/>
    </row>
    <row r="534" spans="62:64" x14ac:dyDescent="0.25">
      <c r="BJ534" s="205"/>
      <c r="BK534" s="205"/>
      <c r="BL534" s="205"/>
    </row>
    <row r="535" spans="62:64" x14ac:dyDescent="0.25">
      <c r="BJ535" s="205"/>
      <c r="BK535" s="205"/>
      <c r="BL535" s="205"/>
    </row>
    <row r="536" spans="62:64" x14ac:dyDescent="0.25">
      <c r="BJ536" s="205"/>
      <c r="BK536" s="205"/>
      <c r="BL536" s="205"/>
    </row>
    <row r="537" spans="62:64" x14ac:dyDescent="0.25">
      <c r="BJ537" s="205"/>
      <c r="BK537" s="205"/>
      <c r="BL537" s="205"/>
    </row>
    <row r="538" spans="62:64" x14ac:dyDescent="0.25">
      <c r="BJ538" s="205"/>
      <c r="BK538" s="205"/>
      <c r="BL538" s="205"/>
    </row>
    <row r="539" spans="62:64" x14ac:dyDescent="0.25">
      <c r="BJ539" s="205"/>
      <c r="BK539" s="205"/>
      <c r="BL539" s="205"/>
    </row>
    <row r="540" spans="62:64" x14ac:dyDescent="0.25">
      <c r="BJ540" s="205"/>
      <c r="BK540" s="205"/>
      <c r="BL540" s="205"/>
    </row>
    <row r="541" spans="62:64" x14ac:dyDescent="0.25">
      <c r="BJ541" s="205"/>
      <c r="BK541" s="205"/>
      <c r="BL541" s="205"/>
    </row>
    <row r="542" spans="62:64" x14ac:dyDescent="0.25">
      <c r="BJ542" s="205"/>
      <c r="BK542" s="205"/>
      <c r="BL542" s="205"/>
    </row>
    <row r="543" spans="62:64" x14ac:dyDescent="0.25">
      <c r="BJ543" s="205"/>
      <c r="BK543" s="205"/>
      <c r="BL543" s="205"/>
    </row>
    <row r="544" spans="62:64" x14ac:dyDescent="0.25">
      <c r="BJ544" s="205"/>
      <c r="BK544" s="205"/>
      <c r="BL544" s="205"/>
    </row>
    <row r="545" spans="62:64" x14ac:dyDescent="0.25">
      <c r="BJ545" s="205"/>
      <c r="BK545" s="205"/>
      <c r="BL545" s="205"/>
    </row>
    <row r="546" spans="62:64" x14ac:dyDescent="0.25">
      <c r="BJ546" s="205"/>
      <c r="BK546" s="205"/>
      <c r="BL546" s="205"/>
    </row>
    <row r="547" spans="62:64" x14ac:dyDescent="0.25">
      <c r="BJ547" s="205"/>
      <c r="BK547" s="205"/>
      <c r="BL547" s="205"/>
    </row>
    <row r="548" spans="62:64" x14ac:dyDescent="0.25">
      <c r="BJ548" s="205"/>
      <c r="BK548" s="205"/>
      <c r="BL548" s="205"/>
    </row>
    <row r="549" spans="62:64" x14ac:dyDescent="0.25">
      <c r="BJ549" s="205"/>
      <c r="BK549" s="205"/>
      <c r="BL549" s="205"/>
    </row>
    <row r="550" spans="62:64" x14ac:dyDescent="0.25">
      <c r="BJ550" s="205"/>
      <c r="BK550" s="205"/>
      <c r="BL550" s="205"/>
    </row>
    <row r="551" spans="62:64" x14ac:dyDescent="0.25">
      <c r="BJ551" s="205"/>
      <c r="BK551" s="205"/>
      <c r="BL551" s="205"/>
    </row>
    <row r="552" spans="62:64" x14ac:dyDescent="0.25">
      <c r="BJ552" s="205"/>
      <c r="BK552" s="205"/>
      <c r="BL552" s="205"/>
    </row>
    <row r="553" spans="62:64" x14ac:dyDescent="0.25">
      <c r="BJ553" s="205"/>
      <c r="BK553" s="205"/>
      <c r="BL553" s="205"/>
    </row>
    <row r="554" spans="62:64" x14ac:dyDescent="0.25">
      <c r="BJ554" s="205"/>
      <c r="BK554" s="205"/>
      <c r="BL554" s="205"/>
    </row>
    <row r="555" spans="62:64" x14ac:dyDescent="0.25">
      <c r="BJ555" s="205"/>
      <c r="BK555" s="205"/>
      <c r="BL555" s="205"/>
    </row>
    <row r="556" spans="62:64" x14ac:dyDescent="0.25">
      <c r="BJ556" s="205"/>
      <c r="BK556" s="205"/>
      <c r="BL556" s="205"/>
    </row>
    <row r="557" spans="62:64" x14ac:dyDescent="0.25">
      <c r="BJ557" s="205"/>
      <c r="BK557" s="205"/>
      <c r="BL557" s="205"/>
    </row>
    <row r="558" spans="62:64" x14ac:dyDescent="0.25">
      <c r="BJ558" s="205"/>
      <c r="BK558" s="205"/>
      <c r="BL558" s="205"/>
    </row>
    <row r="559" spans="62:64" x14ac:dyDescent="0.25">
      <c r="BJ559" s="205"/>
      <c r="BK559" s="205"/>
      <c r="BL559" s="205"/>
    </row>
    <row r="560" spans="62:64" x14ac:dyDescent="0.25">
      <c r="BJ560" s="205"/>
      <c r="BK560" s="205"/>
      <c r="BL560" s="205"/>
    </row>
    <row r="561" spans="62:64" x14ac:dyDescent="0.25">
      <c r="BJ561" s="205"/>
      <c r="BK561" s="205"/>
      <c r="BL561" s="205"/>
    </row>
    <row r="562" spans="62:64" x14ac:dyDescent="0.25">
      <c r="BJ562" s="205"/>
      <c r="BK562" s="205"/>
      <c r="BL562" s="205"/>
    </row>
    <row r="563" spans="62:64" x14ac:dyDescent="0.25">
      <c r="BJ563" s="205"/>
      <c r="BK563" s="205"/>
      <c r="BL563" s="205"/>
    </row>
    <row r="564" spans="62:64" x14ac:dyDescent="0.25">
      <c r="BJ564" s="205"/>
      <c r="BK564" s="205"/>
      <c r="BL564" s="205"/>
    </row>
    <row r="565" spans="62:64" x14ac:dyDescent="0.25">
      <c r="BJ565" s="205"/>
      <c r="BK565" s="205"/>
      <c r="BL565" s="205"/>
    </row>
    <row r="566" spans="62:64" x14ac:dyDescent="0.25">
      <c r="BJ566" s="205"/>
      <c r="BK566" s="205"/>
      <c r="BL566" s="205"/>
    </row>
    <row r="567" spans="62:64" x14ac:dyDescent="0.25">
      <c r="BJ567" s="205"/>
      <c r="BK567" s="205"/>
      <c r="BL567" s="205"/>
    </row>
    <row r="568" spans="62:64" x14ac:dyDescent="0.25">
      <c r="BJ568" s="205"/>
      <c r="BK568" s="205"/>
      <c r="BL568" s="205"/>
    </row>
    <row r="569" spans="62:64" x14ac:dyDescent="0.25">
      <c r="BJ569" s="205"/>
      <c r="BK569" s="205"/>
      <c r="BL569" s="205"/>
    </row>
    <row r="570" spans="62:64" x14ac:dyDescent="0.25">
      <c r="BJ570" s="205"/>
      <c r="BK570" s="205"/>
      <c r="BL570" s="205"/>
    </row>
    <row r="571" spans="62:64" x14ac:dyDescent="0.25">
      <c r="BJ571" s="205"/>
      <c r="BK571" s="205"/>
      <c r="BL571" s="205"/>
    </row>
    <row r="572" spans="62:64" x14ac:dyDescent="0.25">
      <c r="BJ572" s="205"/>
      <c r="BK572" s="205"/>
      <c r="BL572" s="205"/>
    </row>
    <row r="573" spans="62:64" x14ac:dyDescent="0.25">
      <c r="BJ573" s="205"/>
      <c r="BK573" s="205"/>
      <c r="BL573" s="205"/>
    </row>
    <row r="574" spans="62:64" x14ac:dyDescent="0.25">
      <c r="BJ574" s="205"/>
      <c r="BK574" s="205"/>
      <c r="BL574" s="205"/>
    </row>
    <row r="575" spans="62:64" x14ac:dyDescent="0.25">
      <c r="BJ575" s="205"/>
      <c r="BK575" s="205"/>
      <c r="BL575" s="205"/>
    </row>
    <row r="576" spans="62:64" x14ac:dyDescent="0.25">
      <c r="BJ576" s="205"/>
      <c r="BK576" s="205"/>
      <c r="BL576" s="205"/>
    </row>
    <row r="577" spans="62:64" x14ac:dyDescent="0.25">
      <c r="BJ577" s="205"/>
      <c r="BK577" s="205"/>
      <c r="BL577" s="205"/>
    </row>
    <row r="578" spans="62:64" x14ac:dyDescent="0.25">
      <c r="BJ578" s="205"/>
      <c r="BK578" s="205"/>
      <c r="BL578" s="205"/>
    </row>
    <row r="579" spans="62:64" x14ac:dyDescent="0.25">
      <c r="BJ579" s="205"/>
      <c r="BK579" s="205"/>
      <c r="BL579" s="205"/>
    </row>
    <row r="580" spans="62:64" x14ac:dyDescent="0.25">
      <c r="BJ580" s="205"/>
      <c r="BK580" s="205"/>
      <c r="BL580" s="205"/>
    </row>
    <row r="581" spans="62:64" x14ac:dyDescent="0.25">
      <c r="BJ581" s="205"/>
      <c r="BK581" s="205"/>
      <c r="BL581" s="205"/>
    </row>
    <row r="582" spans="62:64" x14ac:dyDescent="0.25">
      <c r="BJ582" s="205"/>
      <c r="BK582" s="205"/>
      <c r="BL582" s="205"/>
    </row>
    <row r="583" spans="62:64" x14ac:dyDescent="0.25">
      <c r="BJ583" s="205"/>
      <c r="BK583" s="205"/>
      <c r="BL583" s="205"/>
    </row>
    <row r="584" spans="62:64" x14ac:dyDescent="0.25">
      <c r="BJ584" s="205"/>
      <c r="BK584" s="205"/>
      <c r="BL584" s="205"/>
    </row>
    <row r="585" spans="62:64" x14ac:dyDescent="0.25">
      <c r="BJ585" s="205"/>
      <c r="BK585" s="205"/>
      <c r="BL585" s="205"/>
    </row>
    <row r="586" spans="62:64" x14ac:dyDescent="0.25">
      <c r="BJ586" s="205"/>
      <c r="BK586" s="205"/>
      <c r="BL586" s="205"/>
    </row>
    <row r="587" spans="62:64" x14ac:dyDescent="0.25">
      <c r="BJ587" s="205"/>
      <c r="BK587" s="205"/>
      <c r="BL587" s="205"/>
    </row>
    <row r="588" spans="62:64" x14ac:dyDescent="0.25">
      <c r="BJ588" s="205"/>
      <c r="BK588" s="205"/>
      <c r="BL588" s="205"/>
    </row>
    <row r="589" spans="62:64" x14ac:dyDescent="0.25">
      <c r="BJ589" s="205"/>
      <c r="BK589" s="205"/>
      <c r="BL589" s="205"/>
    </row>
    <row r="590" spans="62:64" x14ac:dyDescent="0.25">
      <c r="BJ590" s="205"/>
      <c r="BK590" s="205"/>
      <c r="BL590" s="205"/>
    </row>
    <row r="591" spans="62:64" x14ac:dyDescent="0.25">
      <c r="BJ591" s="205"/>
      <c r="BK591" s="205"/>
      <c r="BL591" s="205"/>
    </row>
    <row r="592" spans="62:64" x14ac:dyDescent="0.25">
      <c r="BJ592" s="205"/>
      <c r="BK592" s="205"/>
      <c r="BL592" s="205"/>
    </row>
    <row r="593" spans="62:64" x14ac:dyDescent="0.25">
      <c r="BJ593" s="205"/>
      <c r="BK593" s="205"/>
      <c r="BL593" s="205"/>
    </row>
    <row r="594" spans="62:64" x14ac:dyDescent="0.25">
      <c r="BJ594" s="205"/>
      <c r="BK594" s="205"/>
      <c r="BL594" s="205"/>
    </row>
    <row r="595" spans="62:64" x14ac:dyDescent="0.25">
      <c r="BJ595" s="205"/>
      <c r="BK595" s="205"/>
      <c r="BL595" s="205"/>
    </row>
    <row r="596" spans="62:64" x14ac:dyDescent="0.25">
      <c r="BJ596" s="205"/>
      <c r="BK596" s="205"/>
      <c r="BL596" s="205"/>
    </row>
    <row r="597" spans="62:64" x14ac:dyDescent="0.25">
      <c r="BJ597" s="205"/>
      <c r="BK597" s="205"/>
      <c r="BL597" s="205"/>
    </row>
    <row r="598" spans="62:64" x14ac:dyDescent="0.25">
      <c r="BJ598" s="205"/>
      <c r="BK598" s="205"/>
      <c r="BL598" s="205"/>
    </row>
    <row r="599" spans="62:64" x14ac:dyDescent="0.25">
      <c r="BJ599" s="205"/>
      <c r="BK599" s="205"/>
      <c r="BL599" s="205"/>
    </row>
    <row r="600" spans="62:64" x14ac:dyDescent="0.25">
      <c r="BJ600" s="205"/>
      <c r="BK600" s="205"/>
      <c r="BL600" s="205"/>
    </row>
    <row r="601" spans="62:64" x14ac:dyDescent="0.25">
      <c r="BJ601" s="205"/>
      <c r="BK601" s="205"/>
      <c r="BL601" s="205"/>
    </row>
    <row r="602" spans="62:64" x14ac:dyDescent="0.25">
      <c r="BJ602" s="205"/>
      <c r="BK602" s="205"/>
      <c r="BL602" s="205"/>
    </row>
    <row r="603" spans="62:64" x14ac:dyDescent="0.25">
      <c r="BJ603" s="205"/>
      <c r="BK603" s="205"/>
      <c r="BL603" s="205"/>
    </row>
    <row r="604" spans="62:64" x14ac:dyDescent="0.25">
      <c r="BJ604" s="205"/>
      <c r="BK604" s="205"/>
      <c r="BL604" s="205"/>
    </row>
    <row r="605" spans="62:64" x14ac:dyDescent="0.25">
      <c r="BJ605" s="205"/>
      <c r="BK605" s="205"/>
      <c r="BL605" s="205"/>
    </row>
    <row r="606" spans="62:64" x14ac:dyDescent="0.25">
      <c r="BJ606" s="205"/>
      <c r="BK606" s="205"/>
      <c r="BL606" s="205"/>
    </row>
    <row r="607" spans="62:64" x14ac:dyDescent="0.25">
      <c r="BJ607" s="205"/>
      <c r="BK607" s="205"/>
      <c r="BL607" s="205"/>
    </row>
    <row r="608" spans="62:64" x14ac:dyDescent="0.25">
      <c r="BJ608" s="205"/>
      <c r="BK608" s="205"/>
      <c r="BL608" s="205"/>
    </row>
    <row r="609" spans="62:64" x14ac:dyDescent="0.25">
      <c r="BJ609" s="205"/>
      <c r="BK609" s="205"/>
      <c r="BL609" s="205"/>
    </row>
    <row r="610" spans="62:64" x14ac:dyDescent="0.25">
      <c r="BJ610" s="205"/>
      <c r="BK610" s="205"/>
      <c r="BL610" s="205"/>
    </row>
    <row r="611" spans="62:64" x14ac:dyDescent="0.25">
      <c r="BJ611" s="205"/>
      <c r="BK611" s="205"/>
      <c r="BL611" s="205"/>
    </row>
    <row r="612" spans="62:64" x14ac:dyDescent="0.25">
      <c r="BJ612" s="205"/>
      <c r="BK612" s="205"/>
      <c r="BL612" s="205"/>
    </row>
    <row r="613" spans="62:64" x14ac:dyDescent="0.25">
      <c r="BJ613" s="205"/>
      <c r="BK613" s="205"/>
      <c r="BL613" s="205"/>
    </row>
    <row r="614" spans="62:64" x14ac:dyDescent="0.25">
      <c r="BJ614" s="205"/>
      <c r="BK614" s="205"/>
      <c r="BL614" s="205"/>
    </row>
    <row r="615" spans="62:64" x14ac:dyDescent="0.25">
      <c r="BJ615" s="205"/>
      <c r="BK615" s="205"/>
      <c r="BL615" s="205"/>
    </row>
    <row r="616" spans="62:64" x14ac:dyDescent="0.25">
      <c r="BJ616" s="205"/>
      <c r="BK616" s="205"/>
      <c r="BL616" s="205"/>
    </row>
    <row r="617" spans="62:64" x14ac:dyDescent="0.25">
      <c r="BJ617" s="205"/>
      <c r="BK617" s="205"/>
      <c r="BL617" s="205"/>
    </row>
    <row r="618" spans="62:64" x14ac:dyDescent="0.25">
      <c r="BJ618" s="205"/>
      <c r="BK618" s="205"/>
      <c r="BL618" s="205"/>
    </row>
    <row r="619" spans="62:64" x14ac:dyDescent="0.25">
      <c r="BJ619" s="205"/>
      <c r="BK619" s="205"/>
      <c r="BL619" s="205"/>
    </row>
    <row r="620" spans="62:64" x14ac:dyDescent="0.25">
      <c r="BJ620" s="205"/>
      <c r="BK620" s="205"/>
      <c r="BL620" s="205"/>
    </row>
    <row r="621" spans="62:64" x14ac:dyDescent="0.25">
      <c r="BJ621" s="205"/>
      <c r="BK621" s="205"/>
      <c r="BL621" s="205"/>
    </row>
    <row r="622" spans="62:64" x14ac:dyDescent="0.25">
      <c r="BJ622" s="205"/>
      <c r="BK622" s="205"/>
      <c r="BL622" s="205"/>
    </row>
    <row r="623" spans="62:64" x14ac:dyDescent="0.25">
      <c r="BJ623" s="205"/>
      <c r="BK623" s="205"/>
      <c r="BL623" s="205"/>
    </row>
    <row r="624" spans="62:64" x14ac:dyDescent="0.25">
      <c r="BJ624" s="205"/>
      <c r="BK624" s="205"/>
      <c r="BL624" s="205"/>
    </row>
    <row r="625" spans="62:64" x14ac:dyDescent="0.25">
      <c r="BJ625" s="205"/>
      <c r="BK625" s="205"/>
      <c r="BL625" s="205"/>
    </row>
    <row r="626" spans="62:64" x14ac:dyDescent="0.25">
      <c r="BJ626" s="205"/>
      <c r="BK626" s="205"/>
      <c r="BL626" s="205"/>
    </row>
    <row r="627" spans="62:64" x14ac:dyDescent="0.25">
      <c r="BJ627" s="205"/>
      <c r="BK627" s="205"/>
      <c r="BL627" s="205"/>
    </row>
    <row r="628" spans="62:64" x14ac:dyDescent="0.25">
      <c r="BJ628" s="205"/>
      <c r="BK628" s="205"/>
      <c r="BL628" s="205"/>
    </row>
    <row r="629" spans="62:64" x14ac:dyDescent="0.25">
      <c r="BJ629" s="205"/>
      <c r="BK629" s="205"/>
      <c r="BL629" s="205"/>
    </row>
    <row r="630" spans="62:64" x14ac:dyDescent="0.25">
      <c r="BJ630" s="205"/>
      <c r="BK630" s="205"/>
      <c r="BL630" s="205"/>
    </row>
    <row r="631" spans="62:64" x14ac:dyDescent="0.25">
      <c r="BJ631" s="205"/>
      <c r="BK631" s="205"/>
      <c r="BL631" s="205"/>
    </row>
    <row r="632" spans="62:64" x14ac:dyDescent="0.25">
      <c r="BJ632" s="205"/>
      <c r="BK632" s="205"/>
      <c r="BL632" s="205"/>
    </row>
    <row r="633" spans="62:64" x14ac:dyDescent="0.25">
      <c r="BJ633" s="205"/>
      <c r="BK633" s="205"/>
      <c r="BL633" s="205"/>
    </row>
    <row r="634" spans="62:64" x14ac:dyDescent="0.25">
      <c r="BJ634" s="205"/>
      <c r="BK634" s="205"/>
      <c r="BL634" s="205"/>
    </row>
    <row r="635" spans="62:64" x14ac:dyDescent="0.25">
      <c r="BJ635" s="205"/>
      <c r="BK635" s="205"/>
      <c r="BL635" s="205"/>
    </row>
    <row r="636" spans="62:64" x14ac:dyDescent="0.25">
      <c r="BJ636" s="205"/>
      <c r="BK636" s="205"/>
      <c r="BL636" s="205"/>
    </row>
    <row r="637" spans="62:64" x14ac:dyDescent="0.25">
      <c r="BJ637" s="205"/>
      <c r="BK637" s="205"/>
      <c r="BL637" s="205"/>
    </row>
    <row r="638" spans="62:64" x14ac:dyDescent="0.25">
      <c r="BJ638" s="205"/>
      <c r="BK638" s="205"/>
      <c r="BL638" s="205"/>
    </row>
    <row r="639" spans="62:64" x14ac:dyDescent="0.25">
      <c r="BJ639" s="205"/>
      <c r="BK639" s="205"/>
      <c r="BL639" s="205"/>
    </row>
    <row r="640" spans="62:64" x14ac:dyDescent="0.25">
      <c r="BJ640" s="205"/>
      <c r="BK640" s="205"/>
      <c r="BL640" s="205"/>
    </row>
    <row r="641" spans="62:64" x14ac:dyDescent="0.25">
      <c r="BJ641" s="205"/>
      <c r="BK641" s="205"/>
      <c r="BL641" s="205"/>
    </row>
    <row r="642" spans="62:64" x14ac:dyDescent="0.25">
      <c r="BJ642" s="205"/>
      <c r="BK642" s="205"/>
      <c r="BL642" s="205"/>
    </row>
    <row r="643" spans="62:64" x14ac:dyDescent="0.25">
      <c r="BJ643" s="205"/>
      <c r="BK643" s="205"/>
      <c r="BL643" s="205"/>
    </row>
    <row r="644" spans="62:64" x14ac:dyDescent="0.25">
      <c r="BJ644" s="205"/>
      <c r="BK644" s="205"/>
      <c r="BL644" s="205"/>
    </row>
    <row r="645" spans="62:64" x14ac:dyDescent="0.25">
      <c r="BJ645" s="205"/>
      <c r="BK645" s="205"/>
      <c r="BL645" s="205"/>
    </row>
    <row r="646" spans="62:64" x14ac:dyDescent="0.25">
      <c r="BJ646" s="205"/>
      <c r="BK646" s="205"/>
      <c r="BL646" s="205"/>
    </row>
    <row r="647" spans="62:64" x14ac:dyDescent="0.25">
      <c r="BJ647" s="205"/>
      <c r="BK647" s="205"/>
      <c r="BL647" s="205"/>
    </row>
    <row r="648" spans="62:64" x14ac:dyDescent="0.25">
      <c r="BJ648" s="205"/>
      <c r="BK648" s="205"/>
      <c r="BL648" s="205"/>
    </row>
    <row r="649" spans="62:64" x14ac:dyDescent="0.25">
      <c r="BJ649" s="205"/>
      <c r="BK649" s="205"/>
      <c r="BL649" s="205"/>
    </row>
    <row r="650" spans="62:64" x14ac:dyDescent="0.25">
      <c r="BJ650" s="205"/>
      <c r="BK650" s="205"/>
      <c r="BL650" s="205"/>
    </row>
    <row r="651" spans="62:64" x14ac:dyDescent="0.25">
      <c r="BJ651" s="205"/>
      <c r="BK651" s="205"/>
      <c r="BL651" s="205"/>
    </row>
    <row r="652" spans="62:64" x14ac:dyDescent="0.25">
      <c r="BJ652" s="205"/>
      <c r="BK652" s="205"/>
      <c r="BL652" s="205"/>
    </row>
    <row r="653" spans="62:64" x14ac:dyDescent="0.25">
      <c r="BJ653" s="205"/>
      <c r="BK653" s="205"/>
      <c r="BL653" s="205"/>
    </row>
    <row r="654" spans="62:64" x14ac:dyDescent="0.25">
      <c r="BJ654" s="205"/>
      <c r="BK654" s="205"/>
      <c r="BL654" s="205"/>
    </row>
    <row r="655" spans="62:64" x14ac:dyDescent="0.25">
      <c r="BJ655" s="205"/>
      <c r="BK655" s="205"/>
      <c r="BL655" s="205"/>
    </row>
    <row r="656" spans="62:64" x14ac:dyDescent="0.25">
      <c r="BJ656" s="205"/>
      <c r="BK656" s="205"/>
      <c r="BL656" s="205"/>
    </row>
    <row r="657" spans="62:64" x14ac:dyDescent="0.25">
      <c r="BJ657" s="205"/>
      <c r="BK657" s="205"/>
      <c r="BL657" s="205"/>
    </row>
    <row r="658" spans="62:64" x14ac:dyDescent="0.25">
      <c r="BJ658" s="205"/>
      <c r="BK658" s="205"/>
      <c r="BL658" s="205"/>
    </row>
    <row r="659" spans="62:64" x14ac:dyDescent="0.25">
      <c r="BJ659" s="205"/>
      <c r="BK659" s="205"/>
      <c r="BL659" s="205"/>
    </row>
    <row r="660" spans="62:64" x14ac:dyDescent="0.25">
      <c r="BJ660" s="205"/>
      <c r="BK660" s="205"/>
      <c r="BL660" s="205"/>
    </row>
    <row r="661" spans="62:64" x14ac:dyDescent="0.25">
      <c r="BJ661" s="205"/>
      <c r="BK661" s="205"/>
      <c r="BL661" s="205"/>
    </row>
    <row r="662" spans="62:64" x14ac:dyDescent="0.25">
      <c r="BJ662" s="205"/>
      <c r="BK662" s="205"/>
      <c r="BL662" s="205"/>
    </row>
    <row r="663" spans="62:64" x14ac:dyDescent="0.25">
      <c r="BJ663" s="205"/>
      <c r="BK663" s="205"/>
      <c r="BL663" s="205"/>
    </row>
    <row r="664" spans="62:64" x14ac:dyDescent="0.25">
      <c r="BJ664" s="205"/>
      <c r="BK664" s="205"/>
      <c r="BL664" s="205"/>
    </row>
    <row r="665" spans="62:64" x14ac:dyDescent="0.25">
      <c r="BJ665" s="205"/>
      <c r="BK665" s="205"/>
      <c r="BL665" s="205"/>
    </row>
    <row r="666" spans="62:64" x14ac:dyDescent="0.25">
      <c r="BJ666" s="205"/>
      <c r="BK666" s="205"/>
      <c r="BL666" s="205"/>
    </row>
    <row r="667" spans="62:64" x14ac:dyDescent="0.25">
      <c r="BJ667" s="205"/>
      <c r="BK667" s="205"/>
      <c r="BL667" s="205"/>
    </row>
    <row r="668" spans="62:64" x14ac:dyDescent="0.25">
      <c r="BJ668" s="205"/>
      <c r="BK668" s="205"/>
      <c r="BL668" s="205"/>
    </row>
    <row r="669" spans="62:64" x14ac:dyDescent="0.25">
      <c r="BJ669" s="205"/>
      <c r="BK669" s="205"/>
      <c r="BL669" s="205"/>
    </row>
    <row r="670" spans="62:64" x14ac:dyDescent="0.25">
      <c r="BJ670" s="205"/>
      <c r="BK670" s="205"/>
      <c r="BL670" s="205"/>
    </row>
    <row r="671" spans="62:64" x14ac:dyDescent="0.25">
      <c r="BJ671" s="205"/>
      <c r="BK671" s="205"/>
      <c r="BL671" s="205"/>
    </row>
    <row r="672" spans="62:64" x14ac:dyDescent="0.25">
      <c r="BJ672" s="205"/>
      <c r="BK672" s="205"/>
      <c r="BL672" s="205"/>
    </row>
    <row r="673" spans="62:64" x14ac:dyDescent="0.25">
      <c r="BJ673" s="205"/>
      <c r="BK673" s="205"/>
      <c r="BL673" s="205"/>
    </row>
    <row r="674" spans="62:64" x14ac:dyDescent="0.25">
      <c r="BJ674" s="205"/>
      <c r="BK674" s="205"/>
      <c r="BL674" s="205"/>
    </row>
    <row r="675" spans="62:64" x14ac:dyDescent="0.25">
      <c r="BJ675" s="205"/>
      <c r="BK675" s="205"/>
      <c r="BL675" s="205"/>
    </row>
    <row r="676" spans="62:64" x14ac:dyDescent="0.25">
      <c r="BJ676" s="205"/>
      <c r="BK676" s="205"/>
      <c r="BL676" s="205"/>
    </row>
    <row r="677" spans="62:64" x14ac:dyDescent="0.25">
      <c r="BJ677" s="205"/>
      <c r="BK677" s="205"/>
      <c r="BL677" s="205"/>
    </row>
    <row r="678" spans="62:64" x14ac:dyDescent="0.25">
      <c r="BJ678" s="205"/>
      <c r="BK678" s="205"/>
      <c r="BL678" s="205"/>
    </row>
    <row r="679" spans="62:64" x14ac:dyDescent="0.25">
      <c r="BJ679" s="205"/>
      <c r="BK679" s="205"/>
      <c r="BL679" s="205"/>
    </row>
    <row r="680" spans="62:64" x14ac:dyDescent="0.25">
      <c r="BJ680" s="205"/>
      <c r="BK680" s="205"/>
      <c r="BL680" s="205"/>
    </row>
    <row r="681" spans="62:64" x14ac:dyDescent="0.25">
      <c r="BJ681" s="205"/>
      <c r="BK681" s="205"/>
      <c r="BL681" s="205"/>
    </row>
    <row r="682" spans="62:64" x14ac:dyDescent="0.25">
      <c r="BJ682" s="205"/>
      <c r="BK682" s="205"/>
      <c r="BL682" s="205"/>
    </row>
    <row r="683" spans="62:64" x14ac:dyDescent="0.25">
      <c r="BJ683" s="205"/>
      <c r="BK683" s="205"/>
      <c r="BL683" s="205"/>
    </row>
    <row r="684" spans="62:64" x14ac:dyDescent="0.25">
      <c r="BJ684" s="205"/>
      <c r="BK684" s="205"/>
      <c r="BL684" s="205"/>
    </row>
    <row r="685" spans="62:64" x14ac:dyDescent="0.25">
      <c r="BJ685" s="205"/>
      <c r="BK685" s="205"/>
      <c r="BL685" s="205"/>
    </row>
    <row r="686" spans="62:64" x14ac:dyDescent="0.25">
      <c r="BJ686" s="205"/>
      <c r="BK686" s="205"/>
      <c r="BL686" s="205"/>
    </row>
    <row r="687" spans="62:64" x14ac:dyDescent="0.25">
      <c r="BJ687" s="205"/>
      <c r="BK687" s="205"/>
      <c r="BL687" s="205"/>
    </row>
    <row r="688" spans="62:64" x14ac:dyDescent="0.25">
      <c r="BJ688" s="205"/>
      <c r="BK688" s="205"/>
      <c r="BL688" s="205"/>
    </row>
    <row r="689" spans="62:64" x14ac:dyDescent="0.25">
      <c r="BJ689" s="205"/>
      <c r="BK689" s="205"/>
      <c r="BL689" s="205"/>
    </row>
    <row r="690" spans="62:64" x14ac:dyDescent="0.25">
      <c r="BJ690" s="205"/>
      <c r="BK690" s="205"/>
      <c r="BL690" s="205"/>
    </row>
    <row r="691" spans="62:64" x14ac:dyDescent="0.25">
      <c r="BJ691" s="205"/>
      <c r="BK691" s="205"/>
      <c r="BL691" s="205"/>
    </row>
    <row r="692" spans="62:64" x14ac:dyDescent="0.25">
      <c r="BJ692" s="205"/>
      <c r="BK692" s="205"/>
      <c r="BL692" s="205"/>
    </row>
    <row r="693" spans="62:64" x14ac:dyDescent="0.25">
      <c r="BJ693" s="205"/>
      <c r="BK693" s="205"/>
      <c r="BL693" s="205"/>
    </row>
    <row r="694" spans="62:64" x14ac:dyDescent="0.25">
      <c r="BJ694" s="205"/>
      <c r="BK694" s="205"/>
      <c r="BL694" s="205"/>
    </row>
    <row r="695" spans="62:64" x14ac:dyDescent="0.25">
      <c r="BJ695" s="205"/>
      <c r="BK695" s="205"/>
      <c r="BL695" s="205"/>
    </row>
    <row r="696" spans="62:64" x14ac:dyDescent="0.25">
      <c r="BJ696" s="205"/>
      <c r="BK696" s="205"/>
      <c r="BL696" s="205"/>
    </row>
    <row r="697" spans="62:64" x14ac:dyDescent="0.25">
      <c r="BJ697" s="205"/>
      <c r="BK697" s="205"/>
      <c r="BL697" s="205"/>
    </row>
    <row r="698" spans="62:64" x14ac:dyDescent="0.25">
      <c r="BJ698" s="205"/>
      <c r="BK698" s="205"/>
      <c r="BL698" s="205"/>
    </row>
    <row r="699" spans="62:64" x14ac:dyDescent="0.25">
      <c r="BJ699" s="205"/>
      <c r="BK699" s="205"/>
      <c r="BL699" s="205"/>
    </row>
    <row r="700" spans="62:64" x14ac:dyDescent="0.25">
      <c r="BJ700" s="205"/>
      <c r="BK700" s="205"/>
      <c r="BL700" s="205"/>
    </row>
    <row r="701" spans="62:64" x14ac:dyDescent="0.25">
      <c r="BJ701" s="205"/>
      <c r="BK701" s="205"/>
      <c r="BL701" s="205"/>
    </row>
    <row r="702" spans="62:64" x14ac:dyDescent="0.25">
      <c r="BJ702" s="205"/>
      <c r="BK702" s="205"/>
      <c r="BL702" s="205"/>
    </row>
    <row r="703" spans="62:64" x14ac:dyDescent="0.25">
      <c r="BJ703" s="205"/>
      <c r="BK703" s="205"/>
      <c r="BL703" s="205"/>
    </row>
    <row r="704" spans="62:64" x14ac:dyDescent="0.25">
      <c r="BJ704" s="205"/>
      <c r="BK704" s="205"/>
      <c r="BL704" s="205"/>
    </row>
    <row r="705" spans="62:64" x14ac:dyDescent="0.25">
      <c r="BJ705" s="205"/>
      <c r="BK705" s="205"/>
      <c r="BL705" s="205"/>
    </row>
    <row r="706" spans="62:64" x14ac:dyDescent="0.25">
      <c r="BJ706" s="205"/>
      <c r="BK706" s="205"/>
      <c r="BL706" s="205"/>
    </row>
    <row r="707" spans="62:64" x14ac:dyDescent="0.25">
      <c r="BJ707" s="205"/>
      <c r="BK707" s="205"/>
      <c r="BL707" s="205"/>
    </row>
    <row r="708" spans="62:64" x14ac:dyDescent="0.25">
      <c r="BJ708" s="205"/>
      <c r="BK708" s="205"/>
      <c r="BL708" s="205"/>
    </row>
    <row r="709" spans="62:64" x14ac:dyDescent="0.25">
      <c r="BJ709" s="205"/>
      <c r="BK709" s="205"/>
      <c r="BL709" s="205"/>
    </row>
    <row r="710" spans="62:64" x14ac:dyDescent="0.25">
      <c r="BJ710" s="205"/>
      <c r="BK710" s="205"/>
      <c r="BL710" s="205"/>
    </row>
    <row r="711" spans="62:64" x14ac:dyDescent="0.25">
      <c r="BJ711" s="205"/>
      <c r="BK711" s="205"/>
      <c r="BL711" s="205"/>
    </row>
    <row r="712" spans="62:64" x14ac:dyDescent="0.25">
      <c r="BJ712" s="205"/>
      <c r="BK712" s="205"/>
      <c r="BL712" s="205"/>
    </row>
    <row r="713" spans="62:64" x14ac:dyDescent="0.25">
      <c r="BJ713" s="205"/>
      <c r="BK713" s="205"/>
      <c r="BL713" s="205"/>
    </row>
    <row r="714" spans="62:64" x14ac:dyDescent="0.25">
      <c r="BJ714" s="205"/>
      <c r="BK714" s="205"/>
      <c r="BL714" s="205"/>
    </row>
    <row r="715" spans="62:64" x14ac:dyDescent="0.25">
      <c r="BJ715" s="205"/>
      <c r="BK715" s="205"/>
      <c r="BL715" s="205"/>
    </row>
    <row r="716" spans="62:64" x14ac:dyDescent="0.25">
      <c r="BJ716" s="205"/>
      <c r="BK716" s="205"/>
      <c r="BL716" s="205"/>
    </row>
    <row r="717" spans="62:64" x14ac:dyDescent="0.25">
      <c r="BJ717" s="205"/>
      <c r="BK717" s="205"/>
      <c r="BL717" s="205"/>
    </row>
    <row r="718" spans="62:64" x14ac:dyDescent="0.25">
      <c r="BJ718" s="205"/>
      <c r="BK718" s="205"/>
      <c r="BL718" s="205"/>
    </row>
    <row r="719" spans="62:64" x14ac:dyDescent="0.25">
      <c r="BJ719" s="205"/>
      <c r="BK719" s="205"/>
      <c r="BL719" s="205"/>
    </row>
    <row r="720" spans="62:64" x14ac:dyDescent="0.25">
      <c r="BJ720" s="205"/>
      <c r="BK720" s="205"/>
      <c r="BL720" s="205"/>
    </row>
    <row r="721" spans="62:64" x14ac:dyDescent="0.25">
      <c r="BJ721" s="205"/>
      <c r="BK721" s="205"/>
      <c r="BL721" s="205"/>
    </row>
    <row r="722" spans="62:64" x14ac:dyDescent="0.25">
      <c r="BJ722" s="205"/>
      <c r="BK722" s="205"/>
      <c r="BL722" s="205"/>
    </row>
    <row r="723" spans="62:64" x14ac:dyDescent="0.25">
      <c r="BJ723" s="205"/>
      <c r="BK723" s="205"/>
      <c r="BL723" s="205"/>
    </row>
    <row r="724" spans="62:64" x14ac:dyDescent="0.25">
      <c r="BJ724" s="205"/>
      <c r="BK724" s="205"/>
      <c r="BL724" s="205"/>
    </row>
    <row r="725" spans="62:64" x14ac:dyDescent="0.25">
      <c r="BJ725" s="205"/>
      <c r="BK725" s="205"/>
      <c r="BL725" s="205"/>
    </row>
    <row r="726" spans="62:64" x14ac:dyDescent="0.25">
      <c r="BJ726" s="205"/>
      <c r="BK726" s="205"/>
      <c r="BL726" s="205"/>
    </row>
    <row r="727" spans="62:64" x14ac:dyDescent="0.25">
      <c r="BJ727" s="205"/>
      <c r="BK727" s="205"/>
      <c r="BL727" s="205"/>
    </row>
    <row r="728" spans="62:64" x14ac:dyDescent="0.25">
      <c r="BJ728" s="205"/>
      <c r="BK728" s="205"/>
      <c r="BL728" s="205"/>
    </row>
    <row r="729" spans="62:64" x14ac:dyDescent="0.25">
      <c r="BJ729" s="205"/>
      <c r="BK729" s="205"/>
      <c r="BL729" s="205"/>
    </row>
    <row r="730" spans="62:64" x14ac:dyDescent="0.25">
      <c r="BJ730" s="205"/>
      <c r="BK730" s="205"/>
      <c r="BL730" s="205"/>
    </row>
    <row r="731" spans="62:64" x14ac:dyDescent="0.25">
      <c r="BJ731" s="205"/>
      <c r="BK731" s="205"/>
      <c r="BL731" s="205"/>
    </row>
    <row r="732" spans="62:64" x14ac:dyDescent="0.25">
      <c r="BJ732" s="205"/>
      <c r="BK732" s="205"/>
      <c r="BL732" s="205"/>
    </row>
    <row r="733" spans="62:64" x14ac:dyDescent="0.25">
      <c r="BJ733" s="205"/>
      <c r="BK733" s="205"/>
      <c r="BL733" s="205"/>
    </row>
    <row r="734" spans="62:64" x14ac:dyDescent="0.25">
      <c r="BJ734" s="205"/>
      <c r="BK734" s="205"/>
      <c r="BL734" s="205"/>
    </row>
    <row r="735" spans="62:64" x14ac:dyDescent="0.25">
      <c r="BJ735" s="205"/>
      <c r="BK735" s="205"/>
      <c r="BL735" s="205"/>
    </row>
    <row r="736" spans="62:64" x14ac:dyDescent="0.25">
      <c r="BJ736" s="205"/>
      <c r="BK736" s="205"/>
      <c r="BL736" s="205"/>
    </row>
    <row r="737" spans="62:64" x14ac:dyDescent="0.25">
      <c r="BJ737" s="205"/>
      <c r="BK737" s="205"/>
      <c r="BL737" s="205"/>
    </row>
    <row r="738" spans="62:64" x14ac:dyDescent="0.25">
      <c r="BJ738" s="205"/>
      <c r="BK738" s="205"/>
      <c r="BL738" s="205"/>
    </row>
    <row r="739" spans="62:64" x14ac:dyDescent="0.25">
      <c r="BJ739" s="205"/>
      <c r="BK739" s="205"/>
      <c r="BL739" s="205"/>
    </row>
    <row r="740" spans="62:64" x14ac:dyDescent="0.25">
      <c r="BJ740" s="205"/>
      <c r="BK740" s="205"/>
      <c r="BL740" s="205"/>
    </row>
    <row r="741" spans="62:64" x14ac:dyDescent="0.25">
      <c r="BJ741" s="205"/>
      <c r="BK741" s="205"/>
      <c r="BL741" s="205"/>
    </row>
    <row r="742" spans="62:64" x14ac:dyDescent="0.25">
      <c r="BJ742" s="205"/>
      <c r="BK742" s="205"/>
      <c r="BL742" s="205"/>
    </row>
    <row r="743" spans="62:64" x14ac:dyDescent="0.25">
      <c r="BJ743" s="205"/>
      <c r="BK743" s="205"/>
      <c r="BL743" s="205"/>
    </row>
    <row r="744" spans="62:64" x14ac:dyDescent="0.25">
      <c r="BJ744" s="205"/>
      <c r="BK744" s="205"/>
      <c r="BL744" s="205"/>
    </row>
    <row r="745" spans="62:64" x14ac:dyDescent="0.25">
      <c r="BJ745" s="205"/>
      <c r="BK745" s="205"/>
      <c r="BL745" s="205"/>
    </row>
    <row r="746" spans="62:64" x14ac:dyDescent="0.25">
      <c r="BJ746" s="205"/>
      <c r="BK746" s="205"/>
      <c r="BL746" s="205"/>
    </row>
    <row r="747" spans="62:64" x14ac:dyDescent="0.25">
      <c r="BJ747" s="205"/>
      <c r="BK747" s="205"/>
      <c r="BL747" s="205"/>
    </row>
    <row r="748" spans="62:64" x14ac:dyDescent="0.25">
      <c r="BJ748" s="205"/>
      <c r="BK748" s="205"/>
      <c r="BL748" s="205"/>
    </row>
    <row r="749" spans="62:64" x14ac:dyDescent="0.25">
      <c r="BJ749" s="205"/>
      <c r="BK749" s="205"/>
      <c r="BL749" s="205"/>
    </row>
    <row r="750" spans="62:64" x14ac:dyDescent="0.25">
      <c r="BJ750" s="205"/>
      <c r="BK750" s="205"/>
      <c r="BL750" s="205"/>
    </row>
    <row r="751" spans="62:64" x14ac:dyDescent="0.25">
      <c r="BJ751" s="205"/>
      <c r="BK751" s="205"/>
      <c r="BL751" s="205"/>
    </row>
    <row r="752" spans="62:64" x14ac:dyDescent="0.25">
      <c r="BJ752" s="205"/>
      <c r="BK752" s="205"/>
      <c r="BL752" s="205"/>
    </row>
    <row r="753" spans="62:64" x14ac:dyDescent="0.25">
      <c r="BJ753" s="205"/>
      <c r="BK753" s="205"/>
      <c r="BL753" s="205"/>
    </row>
    <row r="754" spans="62:64" x14ac:dyDescent="0.25">
      <c r="BJ754" s="205"/>
      <c r="BK754" s="205"/>
      <c r="BL754" s="205"/>
    </row>
    <row r="755" spans="62:64" x14ac:dyDescent="0.25">
      <c r="BJ755" s="205"/>
      <c r="BK755" s="205"/>
      <c r="BL755" s="205"/>
    </row>
    <row r="756" spans="62:64" x14ac:dyDescent="0.25">
      <c r="BJ756" s="205"/>
      <c r="BK756" s="205"/>
      <c r="BL756" s="205"/>
    </row>
    <row r="757" spans="62:64" x14ac:dyDescent="0.25">
      <c r="BJ757" s="205"/>
      <c r="BK757" s="205"/>
      <c r="BL757" s="205"/>
    </row>
    <row r="758" spans="62:64" x14ac:dyDescent="0.25">
      <c r="BJ758" s="205"/>
      <c r="BK758" s="205"/>
      <c r="BL758" s="205"/>
    </row>
    <row r="759" spans="62:64" x14ac:dyDescent="0.25">
      <c r="BJ759" s="205"/>
      <c r="BK759" s="205"/>
      <c r="BL759" s="205"/>
    </row>
    <row r="760" spans="62:64" x14ac:dyDescent="0.25">
      <c r="BJ760" s="205"/>
      <c r="BK760" s="205"/>
      <c r="BL760" s="205"/>
    </row>
    <row r="761" spans="62:64" x14ac:dyDescent="0.25">
      <c r="BJ761" s="205"/>
      <c r="BK761" s="205"/>
      <c r="BL761" s="205"/>
    </row>
    <row r="762" spans="62:64" x14ac:dyDescent="0.25">
      <c r="BJ762" s="205"/>
      <c r="BK762" s="205"/>
      <c r="BL762" s="205"/>
    </row>
    <row r="763" spans="62:64" x14ac:dyDescent="0.25">
      <c r="BJ763" s="205"/>
      <c r="BK763" s="205"/>
      <c r="BL763" s="205"/>
    </row>
    <row r="764" spans="62:64" x14ac:dyDescent="0.25">
      <c r="BJ764" s="205"/>
      <c r="BK764" s="205"/>
      <c r="BL764" s="205"/>
    </row>
    <row r="765" spans="62:64" x14ac:dyDescent="0.25">
      <c r="BJ765" s="205"/>
      <c r="BK765" s="205"/>
      <c r="BL765" s="205"/>
    </row>
    <row r="766" spans="62:64" x14ac:dyDescent="0.25">
      <c r="BJ766" s="205"/>
      <c r="BK766" s="205"/>
      <c r="BL766" s="205"/>
    </row>
    <row r="767" spans="62:64" x14ac:dyDescent="0.25">
      <c r="BJ767" s="205"/>
      <c r="BK767" s="205"/>
      <c r="BL767" s="205"/>
    </row>
    <row r="768" spans="62:64" x14ac:dyDescent="0.25">
      <c r="BJ768" s="205"/>
      <c r="BK768" s="205"/>
      <c r="BL768" s="205"/>
    </row>
    <row r="769" spans="62:64" x14ac:dyDescent="0.25">
      <c r="BJ769" s="205"/>
      <c r="BK769" s="205"/>
      <c r="BL769" s="205"/>
    </row>
    <row r="770" spans="62:64" x14ac:dyDescent="0.25">
      <c r="BJ770" s="205"/>
      <c r="BK770" s="205"/>
      <c r="BL770" s="205"/>
    </row>
    <row r="771" spans="62:64" x14ac:dyDescent="0.25">
      <c r="BJ771" s="205"/>
      <c r="BK771" s="205"/>
      <c r="BL771" s="205"/>
    </row>
    <row r="772" spans="62:64" x14ac:dyDescent="0.25">
      <c r="BJ772" s="205"/>
      <c r="BK772" s="205"/>
      <c r="BL772" s="205"/>
    </row>
    <row r="773" spans="62:64" x14ac:dyDescent="0.25">
      <c r="BJ773" s="205"/>
      <c r="BK773" s="205"/>
      <c r="BL773" s="205"/>
    </row>
    <row r="774" spans="62:64" x14ac:dyDescent="0.25">
      <c r="BJ774" s="205"/>
      <c r="BK774" s="205"/>
      <c r="BL774" s="205"/>
    </row>
    <row r="775" spans="62:64" x14ac:dyDescent="0.25">
      <c r="BJ775" s="205"/>
      <c r="BK775" s="205"/>
      <c r="BL775" s="205"/>
    </row>
    <row r="776" spans="62:64" x14ac:dyDescent="0.25">
      <c r="BJ776" s="205"/>
      <c r="BK776" s="205"/>
      <c r="BL776" s="205"/>
    </row>
    <row r="777" spans="62:64" x14ac:dyDescent="0.25">
      <c r="BJ777" s="205"/>
      <c r="BK777" s="205"/>
      <c r="BL777" s="205"/>
    </row>
    <row r="778" spans="62:64" x14ac:dyDescent="0.25">
      <c r="BJ778" s="205"/>
      <c r="BK778" s="205"/>
      <c r="BL778" s="205"/>
    </row>
    <row r="779" spans="62:64" x14ac:dyDescent="0.25">
      <c r="BJ779" s="205"/>
      <c r="BK779" s="205"/>
      <c r="BL779" s="205"/>
    </row>
    <row r="780" spans="62:64" x14ac:dyDescent="0.25">
      <c r="BJ780" s="205"/>
      <c r="BK780" s="205"/>
      <c r="BL780" s="205"/>
    </row>
    <row r="781" spans="62:64" x14ac:dyDescent="0.25">
      <c r="BJ781" s="205"/>
      <c r="BK781" s="205"/>
      <c r="BL781" s="205"/>
    </row>
    <row r="782" spans="62:64" x14ac:dyDescent="0.25">
      <c r="BJ782" s="205"/>
      <c r="BK782" s="205"/>
      <c r="BL782" s="205"/>
    </row>
    <row r="783" spans="62:64" x14ac:dyDescent="0.25">
      <c r="BJ783" s="205"/>
      <c r="BK783" s="205"/>
      <c r="BL783" s="205"/>
    </row>
    <row r="784" spans="62:64" x14ac:dyDescent="0.25">
      <c r="BJ784" s="205"/>
      <c r="BK784" s="205"/>
      <c r="BL784" s="205"/>
    </row>
    <row r="785" spans="62:64" x14ac:dyDescent="0.25">
      <c r="BJ785" s="205"/>
      <c r="BK785" s="205"/>
      <c r="BL785" s="205"/>
    </row>
    <row r="786" spans="62:64" x14ac:dyDescent="0.25">
      <c r="BJ786" s="205"/>
      <c r="BK786" s="205"/>
      <c r="BL786" s="205"/>
    </row>
    <row r="787" spans="62:64" x14ac:dyDescent="0.25">
      <c r="BJ787" s="205"/>
      <c r="BK787" s="205"/>
      <c r="BL787" s="205"/>
    </row>
    <row r="788" spans="62:64" x14ac:dyDescent="0.25">
      <c r="BJ788" s="205"/>
      <c r="BK788" s="205"/>
      <c r="BL788" s="205"/>
    </row>
    <row r="789" spans="62:64" x14ac:dyDescent="0.25">
      <c r="BJ789" s="205"/>
      <c r="BK789" s="205"/>
      <c r="BL789" s="205"/>
    </row>
    <row r="790" spans="62:64" x14ac:dyDescent="0.25">
      <c r="BJ790" s="205"/>
      <c r="BK790" s="205"/>
      <c r="BL790" s="205"/>
    </row>
    <row r="791" spans="62:64" x14ac:dyDescent="0.25">
      <c r="BJ791" s="205"/>
      <c r="BK791" s="205"/>
      <c r="BL791" s="205"/>
    </row>
    <row r="792" spans="62:64" x14ac:dyDescent="0.25">
      <c r="BJ792" s="205"/>
      <c r="BK792" s="205"/>
      <c r="BL792" s="205"/>
    </row>
    <row r="793" spans="62:64" x14ac:dyDescent="0.25">
      <c r="BJ793" s="205"/>
      <c r="BK793" s="205"/>
      <c r="BL793" s="205"/>
    </row>
    <row r="794" spans="62:64" x14ac:dyDescent="0.25">
      <c r="BJ794" s="205"/>
      <c r="BK794" s="205"/>
      <c r="BL794" s="205"/>
    </row>
    <row r="795" spans="62:64" x14ac:dyDescent="0.25">
      <c r="BJ795" s="205"/>
      <c r="BK795" s="205"/>
      <c r="BL795" s="205"/>
    </row>
    <row r="796" spans="62:64" x14ac:dyDescent="0.25">
      <c r="BJ796" s="205"/>
      <c r="BK796" s="205"/>
      <c r="BL796" s="205"/>
    </row>
    <row r="797" spans="62:64" x14ac:dyDescent="0.25">
      <c r="BJ797" s="205"/>
      <c r="BK797" s="205"/>
      <c r="BL797" s="205"/>
    </row>
    <row r="798" spans="62:64" x14ac:dyDescent="0.25">
      <c r="BJ798" s="205"/>
      <c r="BK798" s="205"/>
      <c r="BL798" s="205"/>
    </row>
    <row r="799" spans="62:64" x14ac:dyDescent="0.25">
      <c r="BJ799" s="205"/>
      <c r="BK799" s="205"/>
      <c r="BL799" s="205"/>
    </row>
    <row r="800" spans="62:64" x14ac:dyDescent="0.25">
      <c r="BJ800" s="205"/>
      <c r="BK800" s="205"/>
      <c r="BL800" s="205"/>
    </row>
    <row r="801" spans="62:64" x14ac:dyDescent="0.25">
      <c r="BJ801" s="205"/>
      <c r="BK801" s="205"/>
      <c r="BL801" s="205"/>
    </row>
    <row r="802" spans="62:64" x14ac:dyDescent="0.25">
      <c r="BJ802" s="205"/>
      <c r="BK802" s="205"/>
      <c r="BL802" s="205"/>
    </row>
    <row r="803" spans="62:64" x14ac:dyDescent="0.25">
      <c r="BJ803" s="205"/>
      <c r="BK803" s="205"/>
      <c r="BL803" s="205"/>
    </row>
    <row r="804" spans="62:64" x14ac:dyDescent="0.25">
      <c r="BJ804" s="205"/>
      <c r="BK804" s="205"/>
      <c r="BL804" s="205"/>
    </row>
    <row r="805" spans="62:64" x14ac:dyDescent="0.25">
      <c r="BJ805" s="205"/>
      <c r="BK805" s="205"/>
      <c r="BL805" s="205"/>
    </row>
    <row r="806" spans="62:64" x14ac:dyDescent="0.25">
      <c r="BJ806" s="205"/>
      <c r="BK806" s="205"/>
      <c r="BL806" s="205"/>
    </row>
    <row r="807" spans="62:64" x14ac:dyDescent="0.25">
      <c r="BJ807" s="205"/>
      <c r="BK807" s="205"/>
      <c r="BL807" s="205"/>
    </row>
    <row r="808" spans="62:64" x14ac:dyDescent="0.25">
      <c r="BJ808" s="205"/>
      <c r="BK808" s="205"/>
      <c r="BL808" s="205"/>
    </row>
    <row r="809" spans="62:64" x14ac:dyDescent="0.25">
      <c r="BJ809" s="205"/>
      <c r="BK809" s="205"/>
      <c r="BL809" s="205"/>
    </row>
    <row r="810" spans="62:64" x14ac:dyDescent="0.25">
      <c r="BJ810" s="205"/>
      <c r="BK810" s="205"/>
      <c r="BL810" s="205"/>
    </row>
    <row r="811" spans="62:64" x14ac:dyDescent="0.25">
      <c r="BJ811" s="205"/>
      <c r="BK811" s="205"/>
      <c r="BL811" s="205"/>
    </row>
    <row r="812" spans="62:64" x14ac:dyDescent="0.25">
      <c r="BJ812" s="205"/>
      <c r="BK812" s="205"/>
      <c r="BL812" s="205"/>
    </row>
    <row r="813" spans="62:64" x14ac:dyDescent="0.25">
      <c r="BJ813" s="205"/>
      <c r="BK813" s="205"/>
      <c r="BL813" s="205"/>
    </row>
    <row r="814" spans="62:64" x14ac:dyDescent="0.25">
      <c r="BJ814" s="205"/>
      <c r="BK814" s="205"/>
      <c r="BL814" s="205"/>
    </row>
    <row r="815" spans="62:64" x14ac:dyDescent="0.25">
      <c r="BJ815" s="205"/>
      <c r="BK815" s="205"/>
      <c r="BL815" s="205"/>
    </row>
    <row r="816" spans="62:64" x14ac:dyDescent="0.25">
      <c r="BJ816" s="205"/>
      <c r="BK816" s="205"/>
      <c r="BL816" s="205"/>
    </row>
    <row r="817" spans="62:64" x14ac:dyDescent="0.25">
      <c r="BJ817" s="205"/>
      <c r="BK817" s="205"/>
      <c r="BL817" s="205"/>
    </row>
    <row r="818" spans="62:64" x14ac:dyDescent="0.25">
      <c r="BJ818" s="205"/>
      <c r="BK818" s="205"/>
      <c r="BL818" s="205"/>
    </row>
    <row r="819" spans="62:64" x14ac:dyDescent="0.25">
      <c r="BJ819" s="205"/>
      <c r="BK819" s="205"/>
      <c r="BL819" s="205"/>
    </row>
    <row r="820" spans="62:64" x14ac:dyDescent="0.25">
      <c r="BJ820" s="205"/>
      <c r="BK820" s="205"/>
      <c r="BL820" s="205"/>
    </row>
    <row r="821" spans="62:64" x14ac:dyDescent="0.25">
      <c r="BJ821" s="205"/>
      <c r="BK821" s="205"/>
      <c r="BL821" s="205"/>
    </row>
    <row r="822" spans="62:64" x14ac:dyDescent="0.25">
      <c r="BJ822" s="205"/>
      <c r="BK822" s="205"/>
      <c r="BL822" s="205"/>
    </row>
    <row r="823" spans="62:64" x14ac:dyDescent="0.25">
      <c r="BJ823" s="205"/>
      <c r="BK823" s="205"/>
      <c r="BL823" s="205"/>
    </row>
    <row r="824" spans="62:64" x14ac:dyDescent="0.25">
      <c r="BJ824" s="205"/>
      <c r="BK824" s="205"/>
      <c r="BL824" s="205"/>
    </row>
    <row r="825" spans="62:64" x14ac:dyDescent="0.25">
      <c r="BJ825" s="205"/>
      <c r="BK825" s="205"/>
      <c r="BL825" s="205"/>
    </row>
    <row r="826" spans="62:64" x14ac:dyDescent="0.25">
      <c r="BJ826" s="205"/>
      <c r="BK826" s="205"/>
      <c r="BL826" s="205"/>
    </row>
    <row r="827" spans="62:64" x14ac:dyDescent="0.25">
      <c r="BJ827" s="205"/>
      <c r="BK827" s="205"/>
      <c r="BL827" s="205"/>
    </row>
    <row r="828" spans="62:64" x14ac:dyDescent="0.25">
      <c r="BJ828" s="205"/>
      <c r="BK828" s="205"/>
      <c r="BL828" s="205"/>
    </row>
    <row r="829" spans="62:64" x14ac:dyDescent="0.25">
      <c r="BJ829" s="205"/>
      <c r="BK829" s="205"/>
      <c r="BL829" s="205"/>
    </row>
    <row r="830" spans="62:64" x14ac:dyDescent="0.25">
      <c r="BJ830" s="205"/>
      <c r="BK830" s="205"/>
      <c r="BL830" s="205"/>
    </row>
    <row r="831" spans="62:64" x14ac:dyDescent="0.25">
      <c r="BJ831" s="205"/>
      <c r="BK831" s="205"/>
      <c r="BL831" s="205"/>
    </row>
    <row r="832" spans="62:64" x14ac:dyDescent="0.25">
      <c r="BJ832" s="205"/>
      <c r="BK832" s="205"/>
      <c r="BL832" s="205"/>
    </row>
    <row r="833" spans="62:64" x14ac:dyDescent="0.25">
      <c r="BJ833" s="205"/>
      <c r="BK833" s="205"/>
      <c r="BL833" s="205"/>
    </row>
    <row r="834" spans="62:64" x14ac:dyDescent="0.25">
      <c r="BJ834" s="205"/>
      <c r="BK834" s="205"/>
      <c r="BL834" s="205"/>
    </row>
    <row r="835" spans="62:64" x14ac:dyDescent="0.25">
      <c r="BJ835" s="205"/>
      <c r="BK835" s="205"/>
      <c r="BL835" s="205"/>
    </row>
    <row r="836" spans="62:64" x14ac:dyDescent="0.25">
      <c r="BJ836" s="205"/>
      <c r="BK836" s="205"/>
      <c r="BL836" s="205"/>
    </row>
    <row r="837" spans="62:64" x14ac:dyDescent="0.25">
      <c r="BJ837" s="205"/>
      <c r="BK837" s="205"/>
      <c r="BL837" s="205"/>
    </row>
    <row r="838" spans="62:64" x14ac:dyDescent="0.25">
      <c r="BJ838" s="205"/>
      <c r="BK838" s="205"/>
      <c r="BL838" s="205"/>
    </row>
    <row r="839" spans="62:64" x14ac:dyDescent="0.25">
      <c r="BJ839" s="205"/>
      <c r="BK839" s="205"/>
      <c r="BL839" s="205"/>
    </row>
    <row r="840" spans="62:64" x14ac:dyDescent="0.25">
      <c r="BJ840" s="205"/>
      <c r="BK840" s="205"/>
      <c r="BL840" s="205"/>
    </row>
    <row r="841" spans="62:64" x14ac:dyDescent="0.25">
      <c r="BJ841" s="205"/>
      <c r="BK841" s="205"/>
      <c r="BL841" s="205"/>
    </row>
    <row r="842" spans="62:64" x14ac:dyDescent="0.25">
      <c r="BJ842" s="205"/>
      <c r="BK842" s="205"/>
      <c r="BL842" s="205"/>
    </row>
    <row r="843" spans="62:64" x14ac:dyDescent="0.25">
      <c r="BJ843" s="205"/>
      <c r="BK843" s="205"/>
      <c r="BL843" s="205"/>
    </row>
    <row r="844" spans="62:64" x14ac:dyDescent="0.25">
      <c r="BJ844" s="205"/>
      <c r="BK844" s="205"/>
      <c r="BL844" s="205"/>
    </row>
    <row r="845" spans="62:64" x14ac:dyDescent="0.25">
      <c r="BJ845" s="205"/>
      <c r="BK845" s="205"/>
      <c r="BL845" s="205"/>
    </row>
    <row r="846" spans="62:64" x14ac:dyDescent="0.25">
      <c r="BJ846" s="205"/>
      <c r="BK846" s="205"/>
      <c r="BL846" s="205"/>
    </row>
    <row r="847" spans="62:64" x14ac:dyDescent="0.25">
      <c r="BJ847" s="205"/>
      <c r="BK847" s="205"/>
      <c r="BL847" s="205"/>
    </row>
    <row r="848" spans="62:64" x14ac:dyDescent="0.25">
      <c r="BJ848" s="205"/>
      <c r="BK848" s="205"/>
      <c r="BL848" s="205"/>
    </row>
    <row r="849" spans="62:64" x14ac:dyDescent="0.25">
      <c r="BJ849" s="205"/>
      <c r="BK849" s="205"/>
      <c r="BL849" s="205"/>
    </row>
    <row r="850" spans="62:64" x14ac:dyDescent="0.25">
      <c r="BJ850" s="205"/>
      <c r="BK850" s="205"/>
      <c r="BL850" s="205"/>
    </row>
    <row r="851" spans="62:64" x14ac:dyDescent="0.25">
      <c r="BJ851" s="205"/>
      <c r="BK851" s="205"/>
      <c r="BL851" s="205"/>
    </row>
    <row r="852" spans="62:64" x14ac:dyDescent="0.25">
      <c r="BJ852" s="205"/>
      <c r="BK852" s="205"/>
      <c r="BL852" s="205"/>
    </row>
    <row r="853" spans="62:64" x14ac:dyDescent="0.25">
      <c r="BJ853" s="205"/>
      <c r="BK853" s="205"/>
      <c r="BL853" s="205"/>
    </row>
    <row r="854" spans="62:64" x14ac:dyDescent="0.25">
      <c r="BJ854" s="205"/>
      <c r="BK854" s="205"/>
      <c r="BL854" s="205"/>
    </row>
    <row r="855" spans="62:64" x14ac:dyDescent="0.25">
      <c r="BJ855" s="205"/>
      <c r="BK855" s="205"/>
      <c r="BL855" s="205"/>
    </row>
    <row r="856" spans="62:64" x14ac:dyDescent="0.25">
      <c r="BJ856" s="205"/>
      <c r="BK856" s="205"/>
      <c r="BL856" s="205"/>
    </row>
    <row r="857" spans="62:64" x14ac:dyDescent="0.25">
      <c r="BJ857" s="205"/>
      <c r="BK857" s="205"/>
      <c r="BL857" s="205"/>
    </row>
    <row r="858" spans="62:64" x14ac:dyDescent="0.25">
      <c r="BJ858" s="205"/>
      <c r="BK858" s="205"/>
      <c r="BL858" s="205"/>
    </row>
    <row r="859" spans="62:64" x14ac:dyDescent="0.25">
      <c r="BJ859" s="205"/>
      <c r="BK859" s="205"/>
      <c r="BL859" s="205"/>
    </row>
    <row r="860" spans="62:64" x14ac:dyDescent="0.25">
      <c r="BJ860" s="205"/>
      <c r="BK860" s="205"/>
      <c r="BL860" s="205"/>
    </row>
    <row r="861" spans="62:64" x14ac:dyDescent="0.25">
      <c r="BJ861" s="205"/>
      <c r="BK861" s="205"/>
      <c r="BL861" s="205"/>
    </row>
    <row r="862" spans="62:64" x14ac:dyDescent="0.25">
      <c r="BJ862" s="205"/>
      <c r="BK862" s="205"/>
      <c r="BL862" s="205"/>
    </row>
    <row r="863" spans="62:64" x14ac:dyDescent="0.25">
      <c r="BJ863" s="205"/>
      <c r="BK863" s="205"/>
      <c r="BL863" s="205"/>
    </row>
    <row r="864" spans="62:64" x14ac:dyDescent="0.25">
      <c r="BJ864" s="205"/>
      <c r="BK864" s="205"/>
      <c r="BL864" s="205"/>
    </row>
    <row r="865" spans="62:64" x14ac:dyDescent="0.25">
      <c r="BJ865" s="205"/>
      <c r="BK865" s="205"/>
      <c r="BL865" s="205"/>
    </row>
    <row r="866" spans="62:64" x14ac:dyDescent="0.25">
      <c r="BJ866" s="205"/>
      <c r="BK866" s="205"/>
      <c r="BL866" s="205"/>
    </row>
    <row r="867" spans="62:64" x14ac:dyDescent="0.25">
      <c r="BJ867" s="205"/>
      <c r="BK867" s="205"/>
      <c r="BL867" s="205"/>
    </row>
    <row r="868" spans="62:64" x14ac:dyDescent="0.25">
      <c r="BJ868" s="205"/>
      <c r="BK868" s="205"/>
      <c r="BL868" s="205"/>
    </row>
    <row r="869" spans="62:64" x14ac:dyDescent="0.25">
      <c r="BJ869" s="205"/>
      <c r="BK869" s="205"/>
      <c r="BL869" s="205"/>
    </row>
    <row r="870" spans="62:64" x14ac:dyDescent="0.25">
      <c r="BJ870" s="205"/>
      <c r="BK870" s="205"/>
      <c r="BL870" s="205"/>
    </row>
    <row r="871" spans="62:64" x14ac:dyDescent="0.25">
      <c r="BJ871" s="205"/>
      <c r="BK871" s="205"/>
      <c r="BL871" s="205"/>
    </row>
    <row r="872" spans="62:64" x14ac:dyDescent="0.25">
      <c r="BJ872" s="205"/>
      <c r="BK872" s="205"/>
      <c r="BL872" s="205"/>
    </row>
    <row r="873" spans="62:64" x14ac:dyDescent="0.25">
      <c r="BJ873" s="205"/>
      <c r="BK873" s="205"/>
      <c r="BL873" s="205"/>
    </row>
    <row r="874" spans="62:64" x14ac:dyDescent="0.25">
      <c r="BJ874" s="205"/>
      <c r="BK874" s="205"/>
      <c r="BL874" s="205"/>
    </row>
    <row r="875" spans="62:64" x14ac:dyDescent="0.25">
      <c r="BJ875" s="205"/>
      <c r="BK875" s="205"/>
      <c r="BL875" s="205"/>
    </row>
    <row r="876" spans="62:64" x14ac:dyDescent="0.25">
      <c r="BJ876" s="205"/>
      <c r="BK876" s="205"/>
      <c r="BL876" s="205"/>
    </row>
    <row r="877" spans="62:64" x14ac:dyDescent="0.25">
      <c r="BJ877" s="205"/>
      <c r="BK877" s="205"/>
      <c r="BL877" s="205"/>
    </row>
    <row r="878" spans="62:64" x14ac:dyDescent="0.25">
      <c r="BJ878" s="205"/>
      <c r="BK878" s="205"/>
      <c r="BL878" s="205"/>
    </row>
    <row r="879" spans="62:64" x14ac:dyDescent="0.25">
      <c r="BJ879" s="205"/>
      <c r="BK879" s="205"/>
      <c r="BL879" s="205"/>
    </row>
    <row r="880" spans="62:64" x14ac:dyDescent="0.25">
      <c r="BJ880" s="205"/>
      <c r="BK880" s="205"/>
      <c r="BL880" s="205"/>
    </row>
    <row r="881" spans="62:64" x14ac:dyDescent="0.25">
      <c r="BJ881" s="205"/>
      <c r="BK881" s="205"/>
      <c r="BL881" s="205"/>
    </row>
    <row r="882" spans="62:64" x14ac:dyDescent="0.25">
      <c r="BJ882" s="205"/>
      <c r="BK882" s="205"/>
      <c r="BL882" s="205"/>
    </row>
    <row r="883" spans="62:64" x14ac:dyDescent="0.25">
      <c r="BJ883" s="205"/>
      <c r="BK883" s="205"/>
      <c r="BL883" s="205"/>
    </row>
    <row r="884" spans="62:64" x14ac:dyDescent="0.25">
      <c r="BJ884" s="205"/>
      <c r="BK884" s="205"/>
      <c r="BL884" s="205"/>
    </row>
    <row r="885" spans="62:64" x14ac:dyDescent="0.25">
      <c r="BJ885" s="205"/>
      <c r="BK885" s="205"/>
      <c r="BL885" s="205"/>
    </row>
    <row r="886" spans="62:64" x14ac:dyDescent="0.25">
      <c r="BJ886" s="205"/>
      <c r="BK886" s="205"/>
      <c r="BL886" s="205"/>
    </row>
    <row r="887" spans="62:64" x14ac:dyDescent="0.25">
      <c r="BJ887" s="205"/>
      <c r="BK887" s="205"/>
      <c r="BL887" s="205"/>
    </row>
    <row r="888" spans="62:64" x14ac:dyDescent="0.25">
      <c r="BJ888" s="205"/>
      <c r="BK888" s="205"/>
      <c r="BL888" s="205"/>
    </row>
    <row r="889" spans="62:64" x14ac:dyDescent="0.25">
      <c r="BJ889" s="205"/>
      <c r="BK889" s="205"/>
      <c r="BL889" s="205"/>
    </row>
    <row r="890" spans="62:64" x14ac:dyDescent="0.25">
      <c r="BJ890" s="205"/>
      <c r="BK890" s="205"/>
      <c r="BL890" s="205"/>
    </row>
    <row r="891" spans="62:64" x14ac:dyDescent="0.25">
      <c r="BJ891" s="205"/>
      <c r="BK891" s="205"/>
      <c r="BL891" s="205"/>
    </row>
    <row r="892" spans="62:64" x14ac:dyDescent="0.25">
      <c r="BJ892" s="205"/>
      <c r="BK892" s="205"/>
      <c r="BL892" s="205"/>
    </row>
    <row r="893" spans="62:64" x14ac:dyDescent="0.25">
      <c r="BJ893" s="205"/>
      <c r="BK893" s="205"/>
      <c r="BL893" s="205"/>
    </row>
    <row r="894" spans="62:64" x14ac:dyDescent="0.25">
      <c r="BJ894" s="205"/>
      <c r="BK894" s="205"/>
      <c r="BL894" s="205"/>
    </row>
    <row r="895" spans="62:64" x14ac:dyDescent="0.25">
      <c r="BJ895" s="205"/>
      <c r="BK895" s="205"/>
      <c r="BL895" s="205"/>
    </row>
    <row r="896" spans="62:64" x14ac:dyDescent="0.25">
      <c r="BJ896" s="205"/>
      <c r="BK896" s="205"/>
      <c r="BL896" s="205"/>
    </row>
    <row r="897" spans="62:64" x14ac:dyDescent="0.25">
      <c r="BJ897" s="205"/>
      <c r="BK897" s="205"/>
      <c r="BL897" s="205"/>
    </row>
    <row r="898" spans="62:64" x14ac:dyDescent="0.25">
      <c r="BJ898" s="205"/>
      <c r="BK898" s="205"/>
      <c r="BL898" s="205"/>
    </row>
    <row r="899" spans="62:64" x14ac:dyDescent="0.25">
      <c r="BJ899" s="205"/>
      <c r="BK899" s="205"/>
      <c r="BL899" s="205"/>
    </row>
    <row r="900" spans="62:64" x14ac:dyDescent="0.25">
      <c r="BJ900" s="205"/>
      <c r="BK900" s="205"/>
      <c r="BL900" s="205"/>
    </row>
    <row r="901" spans="62:64" x14ac:dyDescent="0.25">
      <c r="BJ901" s="205"/>
      <c r="BK901" s="205"/>
      <c r="BL901" s="205"/>
    </row>
    <row r="902" spans="62:64" x14ac:dyDescent="0.25">
      <c r="BJ902" s="205"/>
      <c r="BK902" s="205"/>
      <c r="BL902" s="205"/>
    </row>
    <row r="903" spans="62:64" x14ac:dyDescent="0.25">
      <c r="BJ903" s="205"/>
      <c r="BK903" s="205"/>
      <c r="BL903" s="205"/>
    </row>
    <row r="904" spans="62:64" x14ac:dyDescent="0.25">
      <c r="BJ904" s="205"/>
      <c r="BK904" s="205"/>
      <c r="BL904" s="205"/>
    </row>
    <row r="905" spans="62:64" x14ac:dyDescent="0.25">
      <c r="BJ905" s="205"/>
      <c r="BK905" s="205"/>
      <c r="BL905" s="205"/>
    </row>
    <row r="906" spans="62:64" x14ac:dyDescent="0.25">
      <c r="BJ906" s="205"/>
      <c r="BK906" s="205"/>
      <c r="BL906" s="205"/>
    </row>
    <row r="907" spans="62:64" x14ac:dyDescent="0.25">
      <c r="BJ907" s="205"/>
      <c r="BK907" s="205"/>
      <c r="BL907" s="205"/>
    </row>
    <row r="908" spans="62:64" x14ac:dyDescent="0.25">
      <c r="BJ908" s="205"/>
      <c r="BK908" s="205"/>
      <c r="BL908" s="205"/>
    </row>
    <row r="909" spans="62:64" x14ac:dyDescent="0.25">
      <c r="BJ909" s="205"/>
      <c r="BK909" s="205"/>
      <c r="BL909" s="205"/>
    </row>
    <row r="910" spans="62:64" x14ac:dyDescent="0.25">
      <c r="BJ910" s="205"/>
      <c r="BK910" s="205"/>
      <c r="BL910" s="205"/>
    </row>
    <row r="911" spans="62:64" x14ac:dyDescent="0.25">
      <c r="BJ911" s="205"/>
      <c r="BK911" s="205"/>
      <c r="BL911" s="205"/>
    </row>
    <row r="912" spans="62:64" x14ac:dyDescent="0.25">
      <c r="BJ912" s="205"/>
      <c r="BK912" s="205"/>
      <c r="BL912" s="205"/>
    </row>
    <row r="913" spans="62:64" x14ac:dyDescent="0.25">
      <c r="BJ913" s="205"/>
      <c r="BK913" s="205"/>
      <c r="BL913" s="205"/>
    </row>
    <row r="914" spans="62:64" x14ac:dyDescent="0.25">
      <c r="BJ914" s="205"/>
      <c r="BK914" s="205"/>
      <c r="BL914" s="205"/>
    </row>
    <row r="915" spans="62:64" x14ac:dyDescent="0.25">
      <c r="BJ915" s="205"/>
      <c r="BK915" s="205"/>
      <c r="BL915" s="205"/>
    </row>
    <row r="916" spans="62:64" x14ac:dyDescent="0.25">
      <c r="BJ916" s="205"/>
      <c r="BK916" s="205"/>
      <c r="BL916" s="205"/>
    </row>
    <row r="917" spans="62:64" x14ac:dyDescent="0.25">
      <c r="BJ917" s="205"/>
      <c r="BK917" s="205"/>
      <c r="BL917" s="205"/>
    </row>
    <row r="918" spans="62:64" x14ac:dyDescent="0.25">
      <c r="BJ918" s="205"/>
      <c r="BK918" s="205"/>
      <c r="BL918" s="205"/>
    </row>
    <row r="919" spans="62:64" x14ac:dyDescent="0.25">
      <c r="BJ919" s="205"/>
      <c r="BK919" s="205"/>
      <c r="BL919" s="205"/>
    </row>
    <row r="920" spans="62:64" x14ac:dyDescent="0.25">
      <c r="BJ920" s="205"/>
      <c r="BK920" s="205"/>
      <c r="BL920" s="205"/>
    </row>
    <row r="921" spans="62:64" x14ac:dyDescent="0.25">
      <c r="BJ921" s="205"/>
      <c r="BK921" s="205"/>
      <c r="BL921" s="205"/>
    </row>
    <row r="922" spans="62:64" x14ac:dyDescent="0.25">
      <c r="BJ922" s="205"/>
      <c r="BK922" s="205"/>
      <c r="BL922" s="205"/>
    </row>
    <row r="923" spans="62:64" x14ac:dyDescent="0.25">
      <c r="BJ923" s="205"/>
      <c r="BK923" s="205"/>
      <c r="BL923" s="205"/>
    </row>
    <row r="924" spans="62:64" x14ac:dyDescent="0.25">
      <c r="BJ924" s="205"/>
      <c r="BK924" s="205"/>
      <c r="BL924" s="205"/>
    </row>
    <row r="925" spans="62:64" x14ac:dyDescent="0.25">
      <c r="BJ925" s="205"/>
      <c r="BK925" s="205"/>
      <c r="BL925" s="205"/>
    </row>
    <row r="926" spans="62:64" x14ac:dyDescent="0.25">
      <c r="BJ926" s="205"/>
      <c r="BK926" s="205"/>
      <c r="BL926" s="205"/>
    </row>
    <row r="927" spans="62:64" x14ac:dyDescent="0.25">
      <c r="BJ927" s="205"/>
      <c r="BK927" s="205"/>
      <c r="BL927" s="205"/>
    </row>
    <row r="928" spans="62:64" x14ac:dyDescent="0.25">
      <c r="BJ928" s="205"/>
      <c r="BK928" s="205"/>
      <c r="BL928" s="205"/>
    </row>
    <row r="929" spans="62:64" x14ac:dyDescent="0.25">
      <c r="BJ929" s="205"/>
      <c r="BK929" s="205"/>
      <c r="BL929" s="205"/>
    </row>
    <row r="930" spans="62:64" x14ac:dyDescent="0.25">
      <c r="BJ930" s="205"/>
      <c r="BK930" s="205"/>
      <c r="BL930" s="205"/>
    </row>
    <row r="931" spans="62:64" x14ac:dyDescent="0.25">
      <c r="BJ931" s="205"/>
      <c r="BK931" s="205"/>
      <c r="BL931" s="205"/>
    </row>
    <row r="932" spans="62:64" x14ac:dyDescent="0.25">
      <c r="BJ932" s="205"/>
      <c r="BK932" s="205"/>
      <c r="BL932" s="205"/>
    </row>
    <row r="933" spans="62:64" x14ac:dyDescent="0.25">
      <c r="BJ933" s="205"/>
      <c r="BK933" s="205"/>
      <c r="BL933" s="205"/>
    </row>
    <row r="934" spans="62:64" x14ac:dyDescent="0.25">
      <c r="BJ934" s="205"/>
      <c r="BK934" s="205"/>
      <c r="BL934" s="205"/>
    </row>
    <row r="935" spans="62:64" x14ac:dyDescent="0.25">
      <c r="BJ935" s="205"/>
      <c r="BK935" s="205"/>
      <c r="BL935" s="205"/>
    </row>
    <row r="936" spans="62:64" x14ac:dyDescent="0.25">
      <c r="BJ936" s="205"/>
      <c r="BK936" s="205"/>
      <c r="BL936" s="205"/>
    </row>
    <row r="937" spans="62:64" x14ac:dyDescent="0.25">
      <c r="BJ937" s="205"/>
      <c r="BK937" s="205"/>
      <c r="BL937" s="205"/>
    </row>
    <row r="938" spans="62:64" x14ac:dyDescent="0.25">
      <c r="BJ938" s="205"/>
      <c r="BK938" s="205"/>
      <c r="BL938" s="205"/>
    </row>
    <row r="939" spans="62:64" x14ac:dyDescent="0.25">
      <c r="BJ939" s="205"/>
      <c r="BK939" s="205"/>
      <c r="BL939" s="205"/>
    </row>
    <row r="940" spans="62:64" x14ac:dyDescent="0.25">
      <c r="BJ940" s="205"/>
      <c r="BK940" s="205"/>
      <c r="BL940" s="205"/>
    </row>
    <row r="941" spans="62:64" x14ac:dyDescent="0.25">
      <c r="BJ941" s="205"/>
      <c r="BK941" s="205"/>
      <c r="BL941" s="205"/>
    </row>
    <row r="942" spans="62:64" x14ac:dyDescent="0.25">
      <c r="BJ942" s="205"/>
      <c r="BK942" s="205"/>
      <c r="BL942" s="205"/>
    </row>
    <row r="943" spans="62:64" x14ac:dyDescent="0.25">
      <c r="BJ943" s="205"/>
      <c r="BK943" s="205"/>
      <c r="BL943" s="205"/>
    </row>
    <row r="944" spans="62:64" x14ac:dyDescent="0.25">
      <c r="BJ944" s="205"/>
      <c r="BK944" s="205"/>
      <c r="BL944" s="205"/>
    </row>
    <row r="945" spans="62:64" x14ac:dyDescent="0.25">
      <c r="BJ945" s="205"/>
      <c r="BK945" s="205"/>
      <c r="BL945" s="205"/>
    </row>
    <row r="946" spans="62:64" x14ac:dyDescent="0.25">
      <c r="BJ946" s="205"/>
      <c r="BK946" s="205"/>
      <c r="BL946" s="205"/>
    </row>
    <row r="947" spans="62:64" x14ac:dyDescent="0.25">
      <c r="BJ947" s="205"/>
      <c r="BK947" s="205"/>
      <c r="BL947" s="205"/>
    </row>
    <row r="948" spans="62:64" x14ac:dyDescent="0.25">
      <c r="BJ948" s="205"/>
      <c r="BK948" s="205"/>
      <c r="BL948" s="205"/>
    </row>
    <row r="949" spans="62:64" x14ac:dyDescent="0.25">
      <c r="BJ949" s="205"/>
      <c r="BK949" s="205"/>
      <c r="BL949" s="205"/>
    </row>
    <row r="950" spans="62:64" x14ac:dyDescent="0.25">
      <c r="BJ950" s="205"/>
      <c r="BK950" s="205"/>
      <c r="BL950" s="205"/>
    </row>
    <row r="951" spans="62:64" x14ac:dyDescent="0.25">
      <c r="BJ951" s="205"/>
      <c r="BK951" s="205"/>
      <c r="BL951" s="205"/>
    </row>
    <row r="952" spans="62:64" x14ac:dyDescent="0.25">
      <c r="BJ952" s="205"/>
      <c r="BK952" s="205"/>
      <c r="BL952" s="205"/>
    </row>
    <row r="953" spans="62:64" x14ac:dyDescent="0.25">
      <c r="BJ953" s="205"/>
      <c r="BK953" s="205"/>
      <c r="BL953" s="205"/>
    </row>
    <row r="954" spans="62:64" x14ac:dyDescent="0.25">
      <c r="BJ954" s="205"/>
      <c r="BK954" s="205"/>
      <c r="BL954" s="205"/>
    </row>
    <row r="955" spans="62:64" x14ac:dyDescent="0.25">
      <c r="BJ955" s="205"/>
      <c r="BK955" s="205"/>
      <c r="BL955" s="205"/>
    </row>
    <row r="956" spans="62:64" x14ac:dyDescent="0.25">
      <c r="BJ956" s="205"/>
      <c r="BK956" s="205"/>
      <c r="BL956" s="205"/>
    </row>
    <row r="957" spans="62:64" x14ac:dyDescent="0.25">
      <c r="BJ957" s="205"/>
      <c r="BK957" s="205"/>
      <c r="BL957" s="205"/>
    </row>
    <row r="958" spans="62:64" x14ac:dyDescent="0.25">
      <c r="BJ958" s="205"/>
      <c r="BK958" s="205"/>
      <c r="BL958" s="205"/>
    </row>
    <row r="959" spans="62:64" x14ac:dyDescent="0.25">
      <c r="BJ959" s="205"/>
      <c r="BK959" s="205"/>
      <c r="BL959" s="205"/>
    </row>
    <row r="960" spans="62:64" x14ac:dyDescent="0.25">
      <c r="BJ960" s="205"/>
      <c r="BK960" s="205"/>
      <c r="BL960" s="205"/>
    </row>
    <row r="961" spans="62:64" x14ac:dyDescent="0.25">
      <c r="BJ961" s="205"/>
      <c r="BK961" s="205"/>
      <c r="BL961" s="205"/>
    </row>
    <row r="962" spans="62:64" x14ac:dyDescent="0.25">
      <c r="BJ962" s="205"/>
      <c r="BK962" s="205"/>
      <c r="BL962" s="205"/>
    </row>
    <row r="963" spans="62:64" x14ac:dyDescent="0.25">
      <c r="BJ963" s="205"/>
      <c r="BK963" s="205"/>
      <c r="BL963" s="205"/>
    </row>
    <row r="964" spans="62:64" x14ac:dyDescent="0.25">
      <c r="BJ964" s="205"/>
      <c r="BK964" s="205"/>
      <c r="BL964" s="205"/>
    </row>
    <row r="965" spans="62:64" x14ac:dyDescent="0.25">
      <c r="BJ965" s="205"/>
      <c r="BK965" s="205"/>
      <c r="BL965" s="205"/>
    </row>
    <row r="966" spans="62:64" x14ac:dyDescent="0.25">
      <c r="BJ966" s="205"/>
      <c r="BK966" s="205"/>
      <c r="BL966" s="205"/>
    </row>
    <row r="967" spans="62:64" x14ac:dyDescent="0.25">
      <c r="BJ967" s="205"/>
      <c r="BK967" s="205"/>
      <c r="BL967" s="205"/>
    </row>
    <row r="968" spans="62:64" x14ac:dyDescent="0.25">
      <c r="BJ968" s="205"/>
      <c r="BK968" s="205"/>
      <c r="BL968" s="205"/>
    </row>
    <row r="969" spans="62:64" x14ac:dyDescent="0.25">
      <c r="BJ969" s="205"/>
      <c r="BK969" s="205"/>
      <c r="BL969" s="205"/>
    </row>
    <row r="970" spans="62:64" x14ac:dyDescent="0.25">
      <c r="BJ970" s="205"/>
      <c r="BK970" s="205"/>
      <c r="BL970" s="205"/>
    </row>
    <row r="971" spans="62:64" x14ac:dyDescent="0.25">
      <c r="BJ971" s="205"/>
      <c r="BK971" s="205"/>
      <c r="BL971" s="205"/>
    </row>
    <row r="972" spans="62:64" x14ac:dyDescent="0.25">
      <c r="BJ972" s="205"/>
      <c r="BK972" s="205"/>
      <c r="BL972" s="205"/>
    </row>
    <row r="973" spans="62:64" x14ac:dyDescent="0.25">
      <c r="BJ973" s="205"/>
      <c r="BK973" s="205"/>
      <c r="BL973" s="205"/>
    </row>
    <row r="974" spans="62:64" x14ac:dyDescent="0.25">
      <c r="BJ974" s="205"/>
      <c r="BK974" s="205"/>
      <c r="BL974" s="205"/>
    </row>
    <row r="975" spans="62:64" x14ac:dyDescent="0.25">
      <c r="BJ975" s="205"/>
      <c r="BK975" s="205"/>
      <c r="BL975" s="205"/>
    </row>
    <row r="976" spans="62:64" x14ac:dyDescent="0.25">
      <c r="BJ976" s="205"/>
      <c r="BK976" s="205"/>
      <c r="BL976" s="205"/>
    </row>
    <row r="977" spans="62:64" x14ac:dyDescent="0.25">
      <c r="BJ977" s="205"/>
      <c r="BK977" s="205"/>
      <c r="BL977" s="205"/>
    </row>
    <row r="978" spans="62:64" x14ac:dyDescent="0.25">
      <c r="BJ978" s="205"/>
      <c r="BK978" s="205"/>
      <c r="BL978" s="205"/>
    </row>
    <row r="979" spans="62:64" x14ac:dyDescent="0.25">
      <c r="BJ979" s="205"/>
      <c r="BK979" s="205"/>
      <c r="BL979" s="205"/>
    </row>
    <row r="980" spans="62:64" x14ac:dyDescent="0.25">
      <c r="BJ980" s="205"/>
      <c r="BK980" s="205"/>
      <c r="BL980" s="205"/>
    </row>
    <row r="981" spans="62:64" x14ac:dyDescent="0.25">
      <c r="BJ981" s="205"/>
      <c r="BK981" s="205"/>
      <c r="BL981" s="205"/>
    </row>
    <row r="982" spans="62:64" x14ac:dyDescent="0.25">
      <c r="BJ982" s="205"/>
      <c r="BK982" s="205"/>
      <c r="BL982" s="205"/>
    </row>
    <row r="983" spans="62:64" x14ac:dyDescent="0.25">
      <c r="BJ983" s="205"/>
      <c r="BK983" s="205"/>
      <c r="BL983" s="205"/>
    </row>
    <row r="984" spans="62:64" x14ac:dyDescent="0.25">
      <c r="BJ984" s="205"/>
      <c r="BK984" s="205"/>
      <c r="BL984" s="205"/>
    </row>
    <row r="985" spans="62:64" x14ac:dyDescent="0.25">
      <c r="BJ985" s="205"/>
      <c r="BK985" s="205"/>
      <c r="BL985" s="205"/>
    </row>
    <row r="986" spans="62:64" x14ac:dyDescent="0.25">
      <c r="BJ986" s="205"/>
      <c r="BK986" s="205"/>
      <c r="BL986" s="205"/>
    </row>
    <row r="987" spans="62:64" x14ac:dyDescent="0.25">
      <c r="BJ987" s="205"/>
      <c r="BK987" s="205"/>
      <c r="BL987" s="205"/>
    </row>
    <row r="988" spans="62:64" x14ac:dyDescent="0.25">
      <c r="BJ988" s="205"/>
      <c r="BK988" s="205"/>
      <c r="BL988" s="205"/>
    </row>
    <row r="989" spans="62:64" x14ac:dyDescent="0.25">
      <c r="BJ989" s="205"/>
      <c r="BK989" s="205"/>
      <c r="BL989" s="205"/>
    </row>
    <row r="990" spans="62:64" x14ac:dyDescent="0.25">
      <c r="BJ990" s="205"/>
      <c r="BK990" s="205"/>
      <c r="BL990" s="205"/>
    </row>
    <row r="991" spans="62:64" x14ac:dyDescent="0.25">
      <c r="BJ991" s="205"/>
      <c r="BK991" s="205"/>
      <c r="BL991" s="205"/>
    </row>
    <row r="992" spans="62:64" x14ac:dyDescent="0.25">
      <c r="BJ992" s="205"/>
      <c r="BK992" s="205"/>
      <c r="BL992" s="205"/>
    </row>
    <row r="993" spans="62:64" x14ac:dyDescent="0.25">
      <c r="BJ993" s="205"/>
      <c r="BK993" s="205"/>
      <c r="BL993" s="205"/>
    </row>
    <row r="994" spans="62:64" x14ac:dyDescent="0.25">
      <c r="BJ994" s="205"/>
      <c r="BK994" s="205"/>
      <c r="BL994" s="205"/>
    </row>
    <row r="995" spans="62:64" x14ac:dyDescent="0.25">
      <c r="BJ995" s="205"/>
      <c r="BK995" s="205"/>
      <c r="BL995" s="205"/>
    </row>
    <row r="996" spans="62:64" x14ac:dyDescent="0.25">
      <c r="BJ996" s="205"/>
      <c r="BK996" s="205"/>
      <c r="BL996" s="205"/>
    </row>
    <row r="997" spans="62:64" x14ac:dyDescent="0.25">
      <c r="BJ997" s="205"/>
      <c r="BK997" s="205"/>
      <c r="BL997" s="205"/>
    </row>
    <row r="998" spans="62:64" x14ac:dyDescent="0.25">
      <c r="BJ998" s="205"/>
      <c r="BK998" s="205"/>
      <c r="BL998" s="205"/>
    </row>
    <row r="999" spans="62:64" x14ac:dyDescent="0.25">
      <c r="BJ999" s="205"/>
      <c r="BK999" s="205"/>
      <c r="BL999" s="205"/>
    </row>
    <row r="1000" spans="62:64" x14ac:dyDescent="0.25">
      <c r="BJ1000" s="205"/>
      <c r="BK1000" s="205"/>
      <c r="BL1000" s="205"/>
    </row>
    <row r="1001" spans="62:64" x14ac:dyDescent="0.25">
      <c r="BJ1001" s="205"/>
      <c r="BK1001" s="205"/>
      <c r="BL1001" s="205"/>
    </row>
    <row r="1002" spans="62:64" x14ac:dyDescent="0.25">
      <c r="BJ1002" s="205"/>
      <c r="BK1002" s="205"/>
      <c r="BL1002" s="205"/>
    </row>
    <row r="1003" spans="62:64" x14ac:dyDescent="0.25">
      <c r="BJ1003" s="205"/>
      <c r="BK1003" s="205"/>
      <c r="BL1003" s="205"/>
    </row>
    <row r="1004" spans="62:64" x14ac:dyDescent="0.25">
      <c r="BJ1004" s="205"/>
      <c r="BK1004" s="205"/>
      <c r="BL1004" s="205"/>
    </row>
    <row r="1005" spans="62:64" x14ac:dyDescent="0.25">
      <c r="BJ1005" s="205"/>
      <c r="BK1005" s="205"/>
      <c r="BL1005" s="205"/>
    </row>
    <row r="1006" spans="62:64" x14ac:dyDescent="0.25">
      <c r="BJ1006" s="205"/>
      <c r="BK1006" s="205"/>
      <c r="BL1006" s="205"/>
    </row>
    <row r="1007" spans="62:64" x14ac:dyDescent="0.25">
      <c r="BJ1007" s="205"/>
      <c r="BK1007" s="205"/>
      <c r="BL1007" s="205"/>
    </row>
    <row r="1008" spans="62:64" x14ac:dyDescent="0.25">
      <c r="BJ1008" s="205"/>
      <c r="BK1008" s="205"/>
      <c r="BL1008" s="205"/>
    </row>
    <row r="1009" spans="62:64" x14ac:dyDescent="0.25">
      <c r="BJ1009" s="205"/>
      <c r="BK1009" s="205"/>
      <c r="BL1009" s="205"/>
    </row>
    <row r="1010" spans="62:64" x14ac:dyDescent="0.25">
      <c r="BJ1010" s="205"/>
      <c r="BK1010" s="205"/>
      <c r="BL1010" s="205"/>
    </row>
    <row r="1011" spans="62:64" x14ac:dyDescent="0.25">
      <c r="BJ1011" s="205"/>
      <c r="BK1011" s="205"/>
      <c r="BL1011" s="205"/>
    </row>
    <row r="1012" spans="62:64" x14ac:dyDescent="0.25">
      <c r="BJ1012" s="205"/>
      <c r="BK1012" s="205"/>
      <c r="BL1012" s="205"/>
    </row>
    <row r="1013" spans="62:64" x14ac:dyDescent="0.25">
      <c r="BJ1013" s="205"/>
      <c r="BK1013" s="205"/>
      <c r="BL1013" s="205"/>
    </row>
    <row r="1014" spans="62:64" x14ac:dyDescent="0.25">
      <c r="BJ1014" s="205"/>
      <c r="BK1014" s="205"/>
      <c r="BL1014" s="205"/>
    </row>
    <row r="1015" spans="62:64" x14ac:dyDescent="0.25">
      <c r="BJ1015" s="205"/>
      <c r="BK1015" s="205"/>
      <c r="BL1015" s="205"/>
    </row>
    <row r="1016" spans="62:64" x14ac:dyDescent="0.25">
      <c r="BJ1016" s="205"/>
      <c r="BK1016" s="205"/>
      <c r="BL1016" s="205"/>
    </row>
    <row r="1017" spans="62:64" x14ac:dyDescent="0.25">
      <c r="BJ1017" s="205"/>
      <c r="BK1017" s="205"/>
      <c r="BL1017" s="205"/>
    </row>
    <row r="1018" spans="62:64" x14ac:dyDescent="0.25">
      <c r="BJ1018" s="205"/>
      <c r="BK1018" s="205"/>
      <c r="BL1018" s="205"/>
    </row>
    <row r="1019" spans="62:64" x14ac:dyDescent="0.25">
      <c r="BJ1019" s="205"/>
      <c r="BK1019" s="205"/>
      <c r="BL1019" s="205"/>
    </row>
    <row r="1020" spans="62:64" x14ac:dyDescent="0.25">
      <c r="BJ1020" s="205"/>
      <c r="BK1020" s="205"/>
      <c r="BL1020" s="205"/>
    </row>
    <row r="1021" spans="62:64" x14ac:dyDescent="0.25">
      <c r="BJ1021" s="205"/>
      <c r="BK1021" s="205"/>
      <c r="BL1021" s="205"/>
    </row>
    <row r="1022" spans="62:64" x14ac:dyDescent="0.25">
      <c r="BJ1022" s="205"/>
      <c r="BK1022" s="205"/>
      <c r="BL1022" s="205"/>
    </row>
    <row r="1023" spans="62:64" x14ac:dyDescent="0.25">
      <c r="BJ1023" s="205"/>
      <c r="BK1023" s="205"/>
      <c r="BL1023" s="205"/>
    </row>
    <row r="1024" spans="62:64" x14ac:dyDescent="0.25">
      <c r="BJ1024" s="205"/>
      <c r="BK1024" s="205"/>
      <c r="BL1024" s="205"/>
    </row>
    <row r="1025" spans="62:64" x14ac:dyDescent="0.25">
      <c r="BJ1025" s="205"/>
      <c r="BK1025" s="205"/>
      <c r="BL1025" s="205"/>
    </row>
    <row r="1026" spans="62:64" x14ac:dyDescent="0.25">
      <c r="BJ1026" s="205"/>
      <c r="BK1026" s="205"/>
      <c r="BL1026" s="205"/>
    </row>
    <row r="1027" spans="62:64" x14ac:dyDescent="0.25">
      <c r="BJ1027" s="205"/>
      <c r="BK1027" s="205"/>
      <c r="BL1027" s="205"/>
    </row>
    <row r="1028" spans="62:64" x14ac:dyDescent="0.25">
      <c r="BJ1028" s="205"/>
      <c r="BK1028" s="205"/>
      <c r="BL1028" s="205"/>
    </row>
    <row r="1029" spans="62:64" x14ac:dyDescent="0.25">
      <c r="BJ1029" s="205"/>
      <c r="BK1029" s="205"/>
      <c r="BL1029" s="205"/>
    </row>
    <row r="1030" spans="62:64" x14ac:dyDescent="0.25">
      <c r="BJ1030" s="205"/>
      <c r="BK1030" s="205"/>
      <c r="BL1030" s="205"/>
    </row>
    <row r="1031" spans="62:64" x14ac:dyDescent="0.25">
      <c r="BJ1031" s="205"/>
      <c r="BK1031" s="205"/>
      <c r="BL1031" s="205"/>
    </row>
    <row r="1032" spans="62:64" x14ac:dyDescent="0.25">
      <c r="BJ1032" s="205"/>
      <c r="BK1032" s="205"/>
      <c r="BL1032" s="205"/>
    </row>
    <row r="1033" spans="62:64" x14ac:dyDescent="0.25">
      <c r="BJ1033" s="205"/>
      <c r="BK1033" s="205"/>
      <c r="BL1033" s="205"/>
    </row>
    <row r="1034" spans="62:64" x14ac:dyDescent="0.25">
      <c r="BJ1034" s="205"/>
      <c r="BK1034" s="205"/>
      <c r="BL1034" s="205"/>
    </row>
    <row r="1035" spans="62:64" x14ac:dyDescent="0.25">
      <c r="BJ1035" s="205"/>
      <c r="BK1035" s="205"/>
      <c r="BL1035" s="205"/>
    </row>
    <row r="1036" spans="62:64" x14ac:dyDescent="0.25">
      <c r="BJ1036" s="205"/>
      <c r="BK1036" s="205"/>
      <c r="BL1036" s="205"/>
    </row>
    <row r="1037" spans="62:64" x14ac:dyDescent="0.25">
      <c r="BJ1037" s="205"/>
      <c r="BK1037" s="205"/>
      <c r="BL1037" s="205"/>
    </row>
    <row r="1038" spans="62:64" x14ac:dyDescent="0.25">
      <c r="BJ1038" s="205"/>
      <c r="BK1038" s="205"/>
      <c r="BL1038" s="205"/>
    </row>
    <row r="1039" spans="62:64" x14ac:dyDescent="0.25">
      <c r="BJ1039" s="205"/>
      <c r="BK1039" s="205"/>
      <c r="BL1039" s="205"/>
    </row>
    <row r="1040" spans="62:64" x14ac:dyDescent="0.25">
      <c r="BJ1040" s="205"/>
      <c r="BK1040" s="205"/>
      <c r="BL1040" s="205"/>
    </row>
    <row r="1041" spans="62:64" x14ac:dyDescent="0.25">
      <c r="BJ1041" s="205"/>
      <c r="BK1041" s="205"/>
      <c r="BL1041" s="205"/>
    </row>
    <row r="1042" spans="62:64" x14ac:dyDescent="0.25">
      <c r="BJ1042" s="205"/>
      <c r="BK1042" s="205"/>
      <c r="BL1042" s="205"/>
    </row>
    <row r="1043" spans="62:64" x14ac:dyDescent="0.25">
      <c r="BJ1043" s="205"/>
      <c r="BK1043" s="205"/>
      <c r="BL1043" s="205"/>
    </row>
    <row r="1044" spans="62:64" x14ac:dyDescent="0.25">
      <c r="BJ1044" s="205"/>
      <c r="BK1044" s="205"/>
      <c r="BL1044" s="205"/>
    </row>
    <row r="1045" spans="62:64" x14ac:dyDescent="0.25">
      <c r="BJ1045" s="205"/>
      <c r="BK1045" s="205"/>
      <c r="BL1045" s="205"/>
    </row>
    <row r="1046" spans="62:64" x14ac:dyDescent="0.25">
      <c r="BJ1046" s="205"/>
      <c r="BK1046" s="205"/>
      <c r="BL1046" s="205"/>
    </row>
    <row r="1047" spans="62:64" x14ac:dyDescent="0.25">
      <c r="BJ1047" s="205"/>
      <c r="BK1047" s="205"/>
      <c r="BL1047" s="205"/>
    </row>
    <row r="1048" spans="62:64" x14ac:dyDescent="0.25">
      <c r="BJ1048" s="205"/>
      <c r="BK1048" s="205"/>
      <c r="BL1048" s="205"/>
    </row>
    <row r="1049" spans="62:64" x14ac:dyDescent="0.25">
      <c r="BJ1049" s="205"/>
      <c r="BK1049" s="205"/>
      <c r="BL1049" s="205"/>
    </row>
    <row r="1050" spans="62:64" x14ac:dyDescent="0.25">
      <c r="BJ1050" s="205"/>
      <c r="BK1050" s="205"/>
      <c r="BL1050" s="205"/>
    </row>
    <row r="1051" spans="62:64" x14ac:dyDescent="0.25">
      <c r="BJ1051" s="205"/>
      <c r="BK1051" s="205"/>
      <c r="BL1051" s="205"/>
    </row>
    <row r="1052" spans="62:64" x14ac:dyDescent="0.25">
      <c r="BJ1052" s="205"/>
      <c r="BK1052" s="205"/>
      <c r="BL1052" s="205"/>
    </row>
    <row r="1053" spans="62:64" x14ac:dyDescent="0.25">
      <c r="BJ1053" s="205"/>
      <c r="BK1053" s="205"/>
      <c r="BL1053" s="205"/>
    </row>
    <row r="1054" spans="62:64" x14ac:dyDescent="0.25">
      <c r="BJ1054" s="205"/>
      <c r="BK1054" s="205"/>
      <c r="BL1054" s="205"/>
    </row>
    <row r="1055" spans="62:64" x14ac:dyDescent="0.25">
      <c r="BJ1055" s="205"/>
      <c r="BK1055" s="205"/>
      <c r="BL1055" s="205"/>
    </row>
    <row r="1056" spans="62:64" x14ac:dyDescent="0.25">
      <c r="BJ1056" s="205"/>
      <c r="BK1056" s="205"/>
      <c r="BL1056" s="205"/>
    </row>
    <row r="1057" spans="62:64" x14ac:dyDescent="0.25">
      <c r="BJ1057" s="205"/>
      <c r="BK1057" s="205"/>
      <c r="BL1057" s="205"/>
    </row>
    <row r="1058" spans="62:64" x14ac:dyDescent="0.25">
      <c r="BJ1058" s="205"/>
      <c r="BK1058" s="205"/>
      <c r="BL1058" s="205"/>
    </row>
    <row r="1059" spans="62:64" x14ac:dyDescent="0.25">
      <c r="BJ1059" s="205"/>
      <c r="BK1059" s="205"/>
      <c r="BL1059" s="205"/>
    </row>
    <row r="1060" spans="62:64" x14ac:dyDescent="0.25">
      <c r="BJ1060" s="205"/>
      <c r="BK1060" s="205"/>
      <c r="BL1060" s="205"/>
    </row>
    <row r="1061" spans="62:64" x14ac:dyDescent="0.25">
      <c r="BJ1061" s="205"/>
      <c r="BK1061" s="205"/>
      <c r="BL1061" s="205"/>
    </row>
    <row r="1062" spans="62:64" x14ac:dyDescent="0.25">
      <c r="BJ1062" s="205"/>
      <c r="BK1062" s="205"/>
      <c r="BL1062" s="205"/>
    </row>
    <row r="1063" spans="62:64" x14ac:dyDescent="0.25">
      <c r="BJ1063" s="205"/>
      <c r="BK1063" s="205"/>
      <c r="BL1063" s="205"/>
    </row>
    <row r="1064" spans="62:64" x14ac:dyDescent="0.25">
      <c r="BJ1064" s="205"/>
      <c r="BK1064" s="205"/>
      <c r="BL1064" s="205"/>
    </row>
    <row r="1065" spans="62:64" x14ac:dyDescent="0.25">
      <c r="BJ1065" s="205"/>
      <c r="BK1065" s="205"/>
      <c r="BL1065" s="205"/>
    </row>
    <row r="1066" spans="62:64" x14ac:dyDescent="0.25">
      <c r="BJ1066" s="205"/>
      <c r="BK1066" s="205"/>
      <c r="BL1066" s="205"/>
    </row>
    <row r="1067" spans="62:64" x14ac:dyDescent="0.25">
      <c r="BJ1067" s="205"/>
      <c r="BK1067" s="205"/>
      <c r="BL1067" s="205"/>
    </row>
    <row r="1068" spans="62:64" x14ac:dyDescent="0.25">
      <c r="BJ1068" s="205"/>
      <c r="BK1068" s="205"/>
      <c r="BL1068" s="205"/>
    </row>
    <row r="1069" spans="62:64" x14ac:dyDescent="0.25">
      <c r="BJ1069" s="205"/>
      <c r="BK1069" s="205"/>
      <c r="BL1069" s="205"/>
    </row>
    <row r="1070" spans="62:64" x14ac:dyDescent="0.25">
      <c r="BJ1070" s="205"/>
      <c r="BK1070" s="205"/>
      <c r="BL1070" s="205"/>
    </row>
    <row r="1071" spans="62:64" x14ac:dyDescent="0.25">
      <c r="BJ1071" s="205"/>
      <c r="BK1071" s="205"/>
      <c r="BL1071" s="205"/>
    </row>
    <row r="1072" spans="62:64" x14ac:dyDescent="0.25">
      <c r="BJ1072" s="205"/>
      <c r="BK1072" s="205"/>
      <c r="BL1072" s="205"/>
    </row>
    <row r="1073" spans="62:64" x14ac:dyDescent="0.25">
      <c r="BJ1073" s="205"/>
      <c r="BK1073" s="205"/>
      <c r="BL1073" s="205"/>
    </row>
    <row r="1074" spans="62:64" x14ac:dyDescent="0.25">
      <c r="BJ1074" s="205"/>
      <c r="BK1074" s="205"/>
      <c r="BL1074" s="205"/>
    </row>
    <row r="1075" spans="62:64" x14ac:dyDescent="0.25">
      <c r="BJ1075" s="205"/>
      <c r="BK1075" s="205"/>
      <c r="BL1075" s="205"/>
    </row>
    <row r="1076" spans="62:64" x14ac:dyDescent="0.25">
      <c r="BJ1076" s="205"/>
      <c r="BK1076" s="205"/>
      <c r="BL1076" s="205"/>
    </row>
    <row r="1077" spans="62:64" x14ac:dyDescent="0.25">
      <c r="BJ1077" s="205"/>
      <c r="BK1077" s="205"/>
      <c r="BL1077" s="205"/>
    </row>
    <row r="1078" spans="62:64" x14ac:dyDescent="0.25">
      <c r="BJ1078" s="205"/>
      <c r="BK1078" s="205"/>
      <c r="BL1078" s="205"/>
    </row>
    <row r="1079" spans="62:64" x14ac:dyDescent="0.25">
      <c r="BJ1079" s="205"/>
      <c r="BK1079" s="205"/>
      <c r="BL1079" s="205"/>
    </row>
    <row r="1080" spans="62:64" x14ac:dyDescent="0.25">
      <c r="BJ1080" s="205"/>
      <c r="BK1080" s="205"/>
      <c r="BL1080" s="205"/>
    </row>
    <row r="1081" spans="62:64" x14ac:dyDescent="0.25">
      <c r="BJ1081" s="205"/>
      <c r="BK1081" s="205"/>
      <c r="BL1081" s="205"/>
    </row>
    <row r="1082" spans="62:64" x14ac:dyDescent="0.25">
      <c r="BJ1082" s="205"/>
      <c r="BK1082" s="205"/>
      <c r="BL1082" s="205"/>
    </row>
    <row r="1083" spans="62:64" x14ac:dyDescent="0.25">
      <c r="BJ1083" s="205"/>
      <c r="BK1083" s="205"/>
      <c r="BL1083" s="205"/>
    </row>
    <row r="1084" spans="62:64" x14ac:dyDescent="0.25">
      <c r="BJ1084" s="205"/>
      <c r="BK1084" s="205"/>
      <c r="BL1084" s="205"/>
    </row>
    <row r="1085" spans="62:64" x14ac:dyDescent="0.25">
      <c r="BJ1085" s="205"/>
      <c r="BK1085" s="205"/>
      <c r="BL1085" s="205"/>
    </row>
    <row r="1086" spans="62:64" x14ac:dyDescent="0.25">
      <c r="BJ1086" s="205"/>
      <c r="BK1086" s="205"/>
      <c r="BL1086" s="205"/>
    </row>
    <row r="1087" spans="62:64" x14ac:dyDescent="0.25">
      <c r="BJ1087" s="205"/>
      <c r="BK1087" s="205"/>
      <c r="BL1087" s="205"/>
    </row>
    <row r="1088" spans="62:64" x14ac:dyDescent="0.25">
      <c r="BJ1088" s="205"/>
      <c r="BK1088" s="205"/>
      <c r="BL1088" s="205"/>
    </row>
    <row r="1089" spans="62:64" x14ac:dyDescent="0.25">
      <c r="BJ1089" s="205"/>
      <c r="BK1089" s="205"/>
      <c r="BL1089" s="205"/>
    </row>
    <row r="1090" spans="62:64" x14ac:dyDescent="0.25">
      <c r="BJ1090" s="205"/>
      <c r="BK1090" s="205"/>
      <c r="BL1090" s="205"/>
    </row>
    <row r="1091" spans="62:64" x14ac:dyDescent="0.25">
      <c r="BJ1091" s="205"/>
      <c r="BK1091" s="205"/>
      <c r="BL1091" s="205"/>
    </row>
    <row r="1092" spans="62:64" x14ac:dyDescent="0.25">
      <c r="BJ1092" s="205"/>
      <c r="BK1092" s="205"/>
      <c r="BL1092" s="205"/>
    </row>
    <row r="1093" spans="62:64" x14ac:dyDescent="0.25">
      <c r="BJ1093" s="205"/>
      <c r="BK1093" s="205"/>
      <c r="BL1093" s="205"/>
    </row>
    <row r="1094" spans="62:64" x14ac:dyDescent="0.25">
      <c r="BJ1094" s="205"/>
      <c r="BK1094" s="205"/>
      <c r="BL1094" s="205"/>
    </row>
    <row r="1095" spans="62:64" x14ac:dyDescent="0.25">
      <c r="BJ1095" s="205"/>
      <c r="BK1095" s="205"/>
      <c r="BL1095" s="205"/>
    </row>
    <row r="1096" spans="62:64" x14ac:dyDescent="0.25">
      <c r="BJ1096" s="205"/>
      <c r="BK1096" s="205"/>
      <c r="BL1096" s="205"/>
    </row>
    <row r="1097" spans="62:64" x14ac:dyDescent="0.25">
      <c r="BJ1097" s="205"/>
      <c r="BK1097" s="205"/>
      <c r="BL1097" s="205"/>
    </row>
    <row r="1098" spans="62:64" x14ac:dyDescent="0.25">
      <c r="BJ1098" s="205"/>
      <c r="BK1098" s="205"/>
      <c r="BL1098" s="205"/>
    </row>
    <row r="1099" spans="62:64" x14ac:dyDescent="0.25">
      <c r="BJ1099" s="205"/>
      <c r="BK1099" s="205"/>
      <c r="BL1099" s="205"/>
    </row>
    <row r="1100" spans="62:64" x14ac:dyDescent="0.25">
      <c r="BJ1100" s="205"/>
      <c r="BK1100" s="205"/>
      <c r="BL1100" s="205"/>
    </row>
    <row r="1101" spans="62:64" x14ac:dyDescent="0.25">
      <c r="BJ1101" s="205"/>
      <c r="BK1101" s="205"/>
      <c r="BL1101" s="205"/>
    </row>
    <row r="1102" spans="62:64" x14ac:dyDescent="0.25">
      <c r="BJ1102" s="205"/>
      <c r="BK1102" s="205"/>
      <c r="BL1102" s="205"/>
    </row>
    <row r="1103" spans="62:64" x14ac:dyDescent="0.25">
      <c r="BJ1103" s="205"/>
      <c r="BK1103" s="205"/>
      <c r="BL1103" s="205"/>
    </row>
    <row r="1104" spans="62:64" x14ac:dyDescent="0.25">
      <c r="BJ1104" s="205"/>
      <c r="BK1104" s="205"/>
      <c r="BL1104" s="205"/>
    </row>
    <row r="1105" spans="62:64" x14ac:dyDescent="0.25">
      <c r="BJ1105" s="205"/>
      <c r="BK1105" s="205"/>
      <c r="BL1105" s="205"/>
    </row>
    <row r="1106" spans="62:64" x14ac:dyDescent="0.25">
      <c r="BJ1106" s="205"/>
      <c r="BK1106" s="205"/>
      <c r="BL1106" s="205"/>
    </row>
    <row r="1107" spans="62:64" x14ac:dyDescent="0.25">
      <c r="BJ1107" s="205"/>
      <c r="BK1107" s="205"/>
      <c r="BL1107" s="205"/>
    </row>
    <row r="1108" spans="62:64" x14ac:dyDescent="0.25">
      <c r="BJ1108" s="205"/>
      <c r="BK1108" s="205"/>
      <c r="BL1108" s="205"/>
    </row>
    <row r="1109" spans="62:64" x14ac:dyDescent="0.25">
      <c r="BJ1109" s="205"/>
      <c r="BK1109" s="205"/>
      <c r="BL1109" s="205"/>
    </row>
    <row r="1110" spans="62:64" x14ac:dyDescent="0.25">
      <c r="BJ1110" s="205"/>
      <c r="BK1110" s="205"/>
      <c r="BL1110" s="205"/>
    </row>
    <row r="1111" spans="62:64" x14ac:dyDescent="0.25">
      <c r="BJ1111" s="205"/>
      <c r="BK1111" s="205"/>
      <c r="BL1111" s="205"/>
    </row>
    <row r="1112" spans="62:64" x14ac:dyDescent="0.25">
      <c r="BJ1112" s="205"/>
      <c r="BK1112" s="205"/>
      <c r="BL1112" s="205"/>
    </row>
    <row r="1113" spans="62:64" x14ac:dyDescent="0.25">
      <c r="BJ1113" s="205"/>
      <c r="BK1113" s="205"/>
      <c r="BL1113" s="205"/>
    </row>
    <row r="1114" spans="62:64" x14ac:dyDescent="0.25">
      <c r="BJ1114" s="205"/>
      <c r="BK1114" s="205"/>
      <c r="BL1114" s="205"/>
    </row>
    <row r="1115" spans="62:64" x14ac:dyDescent="0.25">
      <c r="BJ1115" s="205"/>
      <c r="BK1115" s="205"/>
      <c r="BL1115" s="205"/>
    </row>
    <row r="1116" spans="62:64" x14ac:dyDescent="0.25">
      <c r="BJ1116" s="205"/>
      <c r="BK1116" s="205"/>
      <c r="BL1116" s="205"/>
    </row>
    <row r="1117" spans="62:64" x14ac:dyDescent="0.25">
      <c r="BJ1117" s="205"/>
      <c r="BK1117" s="205"/>
      <c r="BL1117" s="205"/>
    </row>
    <row r="1118" spans="62:64" x14ac:dyDescent="0.25">
      <c r="BJ1118" s="205"/>
      <c r="BK1118" s="205"/>
      <c r="BL1118" s="205"/>
    </row>
    <row r="1119" spans="62:64" x14ac:dyDescent="0.25">
      <c r="BJ1119" s="205"/>
      <c r="BK1119" s="205"/>
      <c r="BL1119" s="205"/>
    </row>
    <row r="1120" spans="62:64" x14ac:dyDescent="0.25">
      <c r="BJ1120" s="205"/>
      <c r="BK1120" s="205"/>
      <c r="BL1120" s="205"/>
    </row>
    <row r="1121" spans="62:64" x14ac:dyDescent="0.25">
      <c r="BJ1121" s="205"/>
      <c r="BK1121" s="205"/>
      <c r="BL1121" s="205"/>
    </row>
    <row r="1122" spans="62:64" x14ac:dyDescent="0.25">
      <c r="BJ1122" s="205"/>
      <c r="BK1122" s="205"/>
      <c r="BL1122" s="205"/>
    </row>
    <row r="1123" spans="62:64" x14ac:dyDescent="0.25">
      <c r="BJ1123" s="205"/>
      <c r="BK1123" s="205"/>
      <c r="BL1123" s="205"/>
    </row>
    <row r="1124" spans="62:64" x14ac:dyDescent="0.25">
      <c r="BJ1124" s="205"/>
      <c r="BK1124" s="205"/>
      <c r="BL1124" s="205"/>
    </row>
    <row r="1125" spans="62:64" x14ac:dyDescent="0.25">
      <c r="BJ1125" s="205"/>
      <c r="BK1125" s="205"/>
      <c r="BL1125" s="205"/>
    </row>
    <row r="1126" spans="62:64" x14ac:dyDescent="0.25">
      <c r="BJ1126" s="205"/>
      <c r="BK1126" s="205"/>
      <c r="BL1126" s="205"/>
    </row>
    <row r="1127" spans="62:64" x14ac:dyDescent="0.25">
      <c r="BJ1127" s="205"/>
      <c r="BK1127" s="205"/>
      <c r="BL1127" s="205"/>
    </row>
    <row r="1128" spans="62:64" x14ac:dyDescent="0.25">
      <c r="BJ1128" s="205"/>
      <c r="BK1128" s="205"/>
      <c r="BL1128" s="205"/>
    </row>
    <row r="1129" spans="62:64" x14ac:dyDescent="0.25">
      <c r="BJ1129" s="205"/>
      <c r="BK1129" s="205"/>
      <c r="BL1129" s="205"/>
    </row>
    <row r="1130" spans="62:64" x14ac:dyDescent="0.25">
      <c r="BJ1130" s="205"/>
      <c r="BK1130" s="205"/>
      <c r="BL1130" s="205"/>
    </row>
    <row r="1131" spans="62:64" x14ac:dyDescent="0.25">
      <c r="BJ1131" s="205"/>
      <c r="BK1131" s="205"/>
      <c r="BL1131" s="205"/>
    </row>
    <row r="1132" spans="62:64" x14ac:dyDescent="0.25">
      <c r="BJ1132" s="205"/>
      <c r="BK1132" s="205"/>
      <c r="BL1132" s="205"/>
    </row>
    <row r="1133" spans="62:64" x14ac:dyDescent="0.25">
      <c r="BJ1133" s="205"/>
      <c r="BK1133" s="205"/>
      <c r="BL1133" s="205"/>
    </row>
    <row r="1134" spans="62:64" x14ac:dyDescent="0.25">
      <c r="BJ1134" s="205"/>
      <c r="BK1134" s="205"/>
      <c r="BL1134" s="205"/>
    </row>
    <row r="1135" spans="62:64" x14ac:dyDescent="0.25">
      <c r="BJ1135" s="205"/>
      <c r="BK1135" s="205"/>
      <c r="BL1135" s="205"/>
    </row>
    <row r="1136" spans="62:64" x14ac:dyDescent="0.25">
      <c r="BJ1136" s="205"/>
      <c r="BK1136" s="205"/>
      <c r="BL1136" s="205"/>
    </row>
    <row r="1137" spans="62:64" x14ac:dyDescent="0.25">
      <c r="BJ1137" s="205"/>
      <c r="BK1137" s="205"/>
      <c r="BL1137" s="205"/>
    </row>
    <row r="1138" spans="62:64" x14ac:dyDescent="0.25">
      <c r="BJ1138" s="205"/>
      <c r="BK1138" s="205"/>
      <c r="BL1138" s="205"/>
    </row>
    <row r="1139" spans="62:64" x14ac:dyDescent="0.25">
      <c r="BJ1139" s="205"/>
      <c r="BK1139" s="205"/>
      <c r="BL1139" s="205"/>
    </row>
    <row r="1140" spans="62:64" x14ac:dyDescent="0.25">
      <c r="BJ1140" s="205"/>
      <c r="BK1140" s="205"/>
      <c r="BL1140" s="205"/>
    </row>
    <row r="1141" spans="62:64" x14ac:dyDescent="0.25">
      <c r="BJ1141" s="205"/>
      <c r="BK1141" s="205"/>
      <c r="BL1141" s="205"/>
    </row>
    <row r="1142" spans="62:64" x14ac:dyDescent="0.25">
      <c r="BJ1142" s="205"/>
      <c r="BK1142" s="205"/>
      <c r="BL1142" s="205"/>
    </row>
    <row r="1143" spans="62:64" x14ac:dyDescent="0.25">
      <c r="BJ1143" s="205"/>
      <c r="BK1143" s="205"/>
      <c r="BL1143" s="205"/>
    </row>
    <row r="1144" spans="62:64" x14ac:dyDescent="0.25">
      <c r="BJ1144" s="205"/>
      <c r="BK1144" s="205"/>
      <c r="BL1144" s="205"/>
    </row>
    <row r="1145" spans="62:64" x14ac:dyDescent="0.25">
      <c r="BJ1145" s="205"/>
      <c r="BK1145" s="205"/>
      <c r="BL1145" s="205"/>
    </row>
    <row r="1146" spans="62:64" x14ac:dyDescent="0.25">
      <c r="BJ1146" s="205"/>
      <c r="BK1146" s="205"/>
      <c r="BL1146" s="205"/>
    </row>
    <row r="1147" spans="62:64" x14ac:dyDescent="0.25">
      <c r="BJ1147" s="205"/>
      <c r="BK1147" s="205"/>
      <c r="BL1147" s="205"/>
    </row>
    <row r="1148" spans="62:64" x14ac:dyDescent="0.25">
      <c r="BJ1148" s="205"/>
      <c r="BK1148" s="205"/>
      <c r="BL1148" s="205"/>
    </row>
    <row r="1149" spans="62:64" x14ac:dyDescent="0.25">
      <c r="BJ1149" s="205"/>
      <c r="BK1149" s="205"/>
      <c r="BL1149" s="205"/>
    </row>
    <row r="1150" spans="62:64" x14ac:dyDescent="0.25">
      <c r="BJ1150" s="205"/>
      <c r="BK1150" s="205"/>
      <c r="BL1150" s="205"/>
    </row>
    <row r="1151" spans="62:64" x14ac:dyDescent="0.25">
      <c r="BJ1151" s="205"/>
      <c r="BK1151" s="205"/>
      <c r="BL1151" s="205"/>
    </row>
    <row r="1152" spans="62:64" x14ac:dyDescent="0.25">
      <c r="BJ1152" s="205"/>
      <c r="BK1152" s="205"/>
      <c r="BL1152" s="205"/>
    </row>
    <row r="1153" spans="62:64" x14ac:dyDescent="0.25">
      <c r="BJ1153" s="205"/>
      <c r="BK1153" s="205"/>
      <c r="BL1153" s="205"/>
    </row>
    <row r="1154" spans="62:64" x14ac:dyDescent="0.25">
      <c r="BJ1154" s="205"/>
      <c r="BK1154" s="205"/>
      <c r="BL1154" s="205"/>
    </row>
    <row r="1155" spans="62:64" x14ac:dyDescent="0.25">
      <c r="BJ1155" s="205"/>
      <c r="BK1155" s="205"/>
      <c r="BL1155" s="205"/>
    </row>
    <row r="1156" spans="62:64" x14ac:dyDescent="0.25">
      <c r="BJ1156" s="205"/>
      <c r="BK1156" s="205"/>
      <c r="BL1156" s="205"/>
    </row>
    <row r="1157" spans="62:64" x14ac:dyDescent="0.25">
      <c r="BJ1157" s="205"/>
      <c r="BK1157" s="205"/>
      <c r="BL1157" s="205"/>
    </row>
    <row r="1158" spans="62:64" x14ac:dyDescent="0.25">
      <c r="BJ1158" s="205"/>
      <c r="BK1158" s="205"/>
      <c r="BL1158" s="205"/>
    </row>
    <row r="1159" spans="62:64" x14ac:dyDescent="0.25">
      <c r="BJ1159" s="205"/>
      <c r="BK1159" s="205"/>
      <c r="BL1159" s="205"/>
    </row>
    <row r="1160" spans="62:64" x14ac:dyDescent="0.25">
      <c r="BJ1160" s="205"/>
      <c r="BK1160" s="205"/>
      <c r="BL1160" s="205"/>
    </row>
    <row r="1161" spans="62:64" x14ac:dyDescent="0.25">
      <c r="BJ1161" s="205"/>
      <c r="BK1161" s="205"/>
      <c r="BL1161" s="205"/>
    </row>
    <row r="1162" spans="62:64" x14ac:dyDescent="0.25">
      <c r="BJ1162" s="205"/>
      <c r="BK1162" s="205"/>
      <c r="BL1162" s="205"/>
    </row>
    <row r="1163" spans="62:64" x14ac:dyDescent="0.25">
      <c r="BJ1163" s="205"/>
      <c r="BK1163" s="205"/>
      <c r="BL1163" s="205"/>
    </row>
    <row r="1164" spans="62:64" x14ac:dyDescent="0.25">
      <c r="BJ1164" s="205"/>
      <c r="BK1164" s="205"/>
      <c r="BL1164" s="205"/>
    </row>
    <row r="1165" spans="62:64" x14ac:dyDescent="0.25">
      <c r="BJ1165" s="205"/>
      <c r="BK1165" s="205"/>
      <c r="BL1165" s="205"/>
    </row>
    <row r="1166" spans="62:64" x14ac:dyDescent="0.25">
      <c r="BJ1166" s="205"/>
      <c r="BK1166" s="205"/>
      <c r="BL1166" s="205"/>
    </row>
    <row r="1167" spans="62:64" x14ac:dyDescent="0.25">
      <c r="BJ1167" s="205"/>
      <c r="BK1167" s="205"/>
      <c r="BL1167" s="205"/>
    </row>
    <row r="1168" spans="62:64" x14ac:dyDescent="0.25">
      <c r="BJ1168" s="205"/>
      <c r="BK1168" s="205"/>
      <c r="BL1168" s="205"/>
    </row>
    <row r="1169" spans="62:64" x14ac:dyDescent="0.25">
      <c r="BJ1169" s="205"/>
      <c r="BK1169" s="205"/>
      <c r="BL1169" s="205"/>
    </row>
    <row r="1170" spans="62:64" x14ac:dyDescent="0.25">
      <c r="BJ1170" s="205"/>
      <c r="BK1170" s="205"/>
      <c r="BL1170" s="205"/>
    </row>
    <row r="1171" spans="62:64" x14ac:dyDescent="0.25">
      <c r="BJ1171" s="205"/>
      <c r="BK1171" s="205"/>
      <c r="BL1171" s="205"/>
    </row>
    <row r="1172" spans="62:64" x14ac:dyDescent="0.25">
      <c r="BJ1172" s="205"/>
      <c r="BK1172" s="205"/>
      <c r="BL1172" s="205"/>
    </row>
    <row r="1173" spans="62:64" x14ac:dyDescent="0.25">
      <c r="BJ1173" s="205"/>
      <c r="BK1173" s="205"/>
      <c r="BL1173" s="205"/>
    </row>
    <row r="1174" spans="62:64" x14ac:dyDescent="0.25">
      <c r="BJ1174" s="205"/>
      <c r="BK1174" s="205"/>
      <c r="BL1174" s="205"/>
    </row>
    <row r="1175" spans="62:64" x14ac:dyDescent="0.25">
      <c r="BJ1175" s="205"/>
      <c r="BK1175" s="205"/>
      <c r="BL1175" s="205"/>
    </row>
    <row r="1176" spans="62:64" x14ac:dyDescent="0.25">
      <c r="BJ1176" s="205"/>
      <c r="BK1176" s="205"/>
      <c r="BL1176" s="205"/>
    </row>
    <row r="1177" spans="62:64" x14ac:dyDescent="0.25">
      <c r="BJ1177" s="205"/>
      <c r="BK1177" s="205"/>
      <c r="BL1177" s="205"/>
    </row>
    <row r="1178" spans="62:64" x14ac:dyDescent="0.25">
      <c r="BJ1178" s="205"/>
      <c r="BK1178" s="205"/>
      <c r="BL1178" s="205"/>
    </row>
    <row r="1179" spans="62:64" x14ac:dyDescent="0.25">
      <c r="BJ1179" s="205"/>
      <c r="BK1179" s="205"/>
      <c r="BL1179" s="205"/>
    </row>
    <row r="1180" spans="62:64" x14ac:dyDescent="0.25">
      <c r="BJ1180" s="205"/>
      <c r="BK1180" s="205"/>
      <c r="BL1180" s="205"/>
    </row>
    <row r="1181" spans="62:64" x14ac:dyDescent="0.25">
      <c r="BJ1181" s="205"/>
      <c r="BK1181" s="205"/>
      <c r="BL1181" s="205"/>
    </row>
    <row r="1182" spans="62:64" x14ac:dyDescent="0.25">
      <c r="BJ1182" s="205"/>
      <c r="BK1182" s="205"/>
      <c r="BL1182" s="205"/>
    </row>
    <row r="1183" spans="62:64" x14ac:dyDescent="0.25">
      <c r="BJ1183" s="205"/>
      <c r="BK1183" s="205"/>
      <c r="BL1183" s="205"/>
    </row>
    <row r="1184" spans="62:64" x14ac:dyDescent="0.25">
      <c r="BJ1184" s="205"/>
      <c r="BK1184" s="205"/>
      <c r="BL1184" s="205"/>
    </row>
    <row r="1185" spans="62:64" x14ac:dyDescent="0.25">
      <c r="BJ1185" s="205"/>
      <c r="BK1185" s="205"/>
      <c r="BL1185" s="205"/>
    </row>
    <row r="1186" spans="62:64" x14ac:dyDescent="0.25">
      <c r="BJ1186" s="205"/>
      <c r="BK1186" s="205"/>
      <c r="BL1186" s="205"/>
    </row>
    <row r="1187" spans="62:64" x14ac:dyDescent="0.25">
      <c r="BJ1187" s="205"/>
      <c r="BK1187" s="205"/>
      <c r="BL1187" s="205"/>
    </row>
    <row r="1188" spans="62:64" x14ac:dyDescent="0.25">
      <c r="BJ1188" s="205"/>
      <c r="BK1188" s="205"/>
      <c r="BL1188" s="205"/>
    </row>
    <row r="1189" spans="62:64" x14ac:dyDescent="0.25">
      <c r="BJ1189" s="205"/>
      <c r="BK1189" s="205"/>
      <c r="BL1189" s="205"/>
    </row>
    <row r="1190" spans="62:64" x14ac:dyDescent="0.25">
      <c r="BJ1190" s="205"/>
      <c r="BK1190" s="205"/>
      <c r="BL1190" s="205"/>
    </row>
    <row r="1191" spans="62:64" x14ac:dyDescent="0.25">
      <c r="BJ1191" s="205"/>
      <c r="BK1191" s="205"/>
      <c r="BL1191" s="205"/>
    </row>
    <row r="1192" spans="62:64" x14ac:dyDescent="0.25">
      <c r="BJ1192" s="205"/>
      <c r="BK1192" s="205"/>
      <c r="BL1192" s="205"/>
    </row>
    <row r="1193" spans="62:64" x14ac:dyDescent="0.25">
      <c r="BJ1193" s="205"/>
      <c r="BK1193" s="205"/>
      <c r="BL1193" s="205"/>
    </row>
    <row r="1194" spans="62:64" x14ac:dyDescent="0.25">
      <c r="BJ1194" s="205"/>
      <c r="BK1194" s="205"/>
      <c r="BL1194" s="205"/>
    </row>
    <row r="1195" spans="62:64" x14ac:dyDescent="0.25">
      <c r="BJ1195" s="205"/>
      <c r="BK1195" s="205"/>
      <c r="BL1195" s="205"/>
    </row>
    <row r="1196" spans="62:64" x14ac:dyDescent="0.25">
      <c r="BJ1196" s="205"/>
      <c r="BK1196" s="205"/>
      <c r="BL1196" s="205"/>
    </row>
    <row r="1197" spans="62:64" x14ac:dyDescent="0.25">
      <c r="BJ1197" s="205"/>
      <c r="BK1197" s="205"/>
      <c r="BL1197" s="205"/>
    </row>
    <row r="1198" spans="62:64" x14ac:dyDescent="0.25">
      <c r="BJ1198" s="205"/>
      <c r="BK1198" s="205"/>
      <c r="BL1198" s="205"/>
    </row>
    <row r="1199" spans="62:64" x14ac:dyDescent="0.25">
      <c r="BJ1199" s="205"/>
      <c r="BK1199" s="205"/>
      <c r="BL1199" s="205"/>
    </row>
    <row r="1200" spans="62:64" x14ac:dyDescent="0.25">
      <c r="BJ1200" s="205"/>
      <c r="BK1200" s="205"/>
      <c r="BL1200" s="205"/>
    </row>
    <row r="1201" spans="62:64" x14ac:dyDescent="0.25">
      <c r="BJ1201" s="205"/>
      <c r="BK1201" s="205"/>
      <c r="BL1201" s="205"/>
    </row>
    <row r="1202" spans="62:64" x14ac:dyDescent="0.25">
      <c r="BJ1202" s="205"/>
      <c r="BK1202" s="205"/>
      <c r="BL1202" s="205"/>
    </row>
    <row r="1203" spans="62:64" x14ac:dyDescent="0.25">
      <c r="BJ1203" s="205"/>
      <c r="BK1203" s="205"/>
      <c r="BL1203" s="205"/>
    </row>
    <row r="1204" spans="62:64" x14ac:dyDescent="0.25">
      <c r="BJ1204" s="205"/>
      <c r="BK1204" s="205"/>
      <c r="BL1204" s="205"/>
    </row>
    <row r="1205" spans="62:64" x14ac:dyDescent="0.25">
      <c r="BJ1205" s="205"/>
      <c r="BK1205" s="205"/>
      <c r="BL1205" s="205"/>
    </row>
    <row r="1206" spans="62:64" x14ac:dyDescent="0.25">
      <c r="BJ1206" s="205"/>
      <c r="BK1206" s="205"/>
      <c r="BL1206" s="205"/>
    </row>
    <row r="1207" spans="62:64" x14ac:dyDescent="0.25">
      <c r="BJ1207" s="205"/>
      <c r="BK1207" s="205"/>
      <c r="BL1207" s="205"/>
    </row>
    <row r="1208" spans="62:64" x14ac:dyDescent="0.25">
      <c r="BJ1208" s="205"/>
      <c r="BK1208" s="205"/>
      <c r="BL1208" s="205"/>
    </row>
    <row r="1209" spans="62:64" x14ac:dyDescent="0.25">
      <c r="BJ1209" s="205"/>
      <c r="BK1209" s="205"/>
      <c r="BL1209" s="205"/>
    </row>
    <row r="1210" spans="62:64" x14ac:dyDescent="0.25">
      <c r="BJ1210" s="205"/>
      <c r="BK1210" s="205"/>
      <c r="BL1210" s="205"/>
    </row>
    <row r="1211" spans="62:64" x14ac:dyDescent="0.25">
      <c r="BJ1211" s="205"/>
      <c r="BK1211" s="205"/>
      <c r="BL1211" s="205"/>
    </row>
    <row r="1212" spans="62:64" x14ac:dyDescent="0.25">
      <c r="BJ1212" s="205"/>
      <c r="BK1212" s="205"/>
      <c r="BL1212" s="205"/>
    </row>
    <row r="1213" spans="62:64" x14ac:dyDescent="0.25">
      <c r="BJ1213" s="205"/>
      <c r="BK1213" s="205"/>
      <c r="BL1213" s="205"/>
    </row>
    <row r="1214" spans="62:64" x14ac:dyDescent="0.25">
      <c r="BJ1214" s="205"/>
      <c r="BK1214" s="205"/>
      <c r="BL1214" s="205"/>
    </row>
    <row r="1215" spans="62:64" x14ac:dyDescent="0.25">
      <c r="BJ1215" s="205"/>
      <c r="BK1215" s="205"/>
      <c r="BL1215" s="205"/>
    </row>
    <row r="1216" spans="62:64" x14ac:dyDescent="0.25">
      <c r="BJ1216" s="205"/>
      <c r="BK1216" s="205"/>
      <c r="BL1216" s="205"/>
    </row>
    <row r="1217" spans="62:64" x14ac:dyDescent="0.25">
      <c r="BJ1217" s="205"/>
      <c r="BK1217" s="205"/>
      <c r="BL1217" s="205"/>
    </row>
    <row r="1218" spans="62:64" x14ac:dyDescent="0.25">
      <c r="BJ1218" s="205"/>
      <c r="BK1218" s="205"/>
      <c r="BL1218" s="205"/>
    </row>
    <row r="1219" spans="62:64" x14ac:dyDescent="0.25">
      <c r="BJ1219" s="205"/>
      <c r="BK1219" s="205"/>
      <c r="BL1219" s="205"/>
    </row>
    <row r="1220" spans="62:64" x14ac:dyDescent="0.25">
      <c r="BJ1220" s="205"/>
      <c r="BK1220" s="205"/>
      <c r="BL1220" s="205"/>
    </row>
    <row r="1221" spans="62:64" x14ac:dyDescent="0.25">
      <c r="BJ1221" s="205"/>
      <c r="BK1221" s="205"/>
      <c r="BL1221" s="205"/>
    </row>
    <row r="1222" spans="62:64" x14ac:dyDescent="0.25">
      <c r="BJ1222" s="205"/>
      <c r="BK1222" s="205"/>
      <c r="BL1222" s="205"/>
    </row>
    <row r="1223" spans="62:64" x14ac:dyDescent="0.25">
      <c r="BJ1223" s="205"/>
      <c r="BK1223" s="205"/>
      <c r="BL1223" s="205"/>
    </row>
    <row r="1224" spans="62:64" x14ac:dyDescent="0.25">
      <c r="BJ1224" s="205"/>
      <c r="BK1224" s="205"/>
      <c r="BL1224" s="205"/>
    </row>
    <row r="1225" spans="62:64" x14ac:dyDescent="0.25">
      <c r="BJ1225" s="205"/>
      <c r="BK1225" s="205"/>
      <c r="BL1225" s="205"/>
    </row>
    <row r="1226" spans="62:64" x14ac:dyDescent="0.25">
      <c r="BJ1226" s="205"/>
      <c r="BK1226" s="205"/>
      <c r="BL1226" s="205"/>
    </row>
    <row r="1227" spans="62:64" x14ac:dyDescent="0.25">
      <c r="BJ1227" s="205"/>
      <c r="BK1227" s="205"/>
      <c r="BL1227" s="205"/>
    </row>
    <row r="1228" spans="62:64" x14ac:dyDescent="0.25">
      <c r="BJ1228" s="205"/>
      <c r="BK1228" s="205"/>
      <c r="BL1228" s="205"/>
    </row>
    <row r="1229" spans="62:64" x14ac:dyDescent="0.25">
      <c r="BJ1229" s="205"/>
      <c r="BK1229" s="205"/>
      <c r="BL1229" s="205"/>
    </row>
    <row r="1230" spans="62:64" x14ac:dyDescent="0.25">
      <c r="BJ1230" s="205"/>
      <c r="BK1230" s="205"/>
      <c r="BL1230" s="205"/>
    </row>
    <row r="1231" spans="62:64" x14ac:dyDescent="0.25">
      <c r="BJ1231" s="205"/>
      <c r="BK1231" s="205"/>
      <c r="BL1231" s="205"/>
    </row>
    <row r="1232" spans="62:64" x14ac:dyDescent="0.25">
      <c r="BJ1232" s="205"/>
      <c r="BK1232" s="205"/>
      <c r="BL1232" s="205"/>
    </row>
    <row r="1233" spans="62:64" x14ac:dyDescent="0.25">
      <c r="BJ1233" s="205"/>
      <c r="BK1233" s="205"/>
      <c r="BL1233" s="205"/>
    </row>
    <row r="1234" spans="62:64" x14ac:dyDescent="0.25">
      <c r="BJ1234" s="205"/>
      <c r="BK1234" s="205"/>
      <c r="BL1234" s="205"/>
    </row>
    <row r="1235" spans="62:64" x14ac:dyDescent="0.25">
      <c r="BJ1235" s="205"/>
      <c r="BK1235" s="205"/>
      <c r="BL1235" s="205"/>
    </row>
    <row r="1236" spans="62:64" x14ac:dyDescent="0.25">
      <c r="BJ1236" s="205"/>
      <c r="BK1236" s="205"/>
      <c r="BL1236" s="205"/>
    </row>
    <row r="1237" spans="62:64" x14ac:dyDescent="0.25">
      <c r="BJ1237" s="205"/>
      <c r="BK1237" s="205"/>
      <c r="BL1237" s="205"/>
    </row>
    <row r="1238" spans="62:64" x14ac:dyDescent="0.25">
      <c r="BJ1238" s="205"/>
      <c r="BK1238" s="205"/>
      <c r="BL1238" s="205"/>
    </row>
    <row r="1239" spans="62:64" x14ac:dyDescent="0.25">
      <c r="BJ1239" s="205"/>
      <c r="BK1239" s="205"/>
      <c r="BL1239" s="205"/>
    </row>
    <row r="1240" spans="62:64" x14ac:dyDescent="0.25">
      <c r="BJ1240" s="205"/>
      <c r="BK1240" s="205"/>
      <c r="BL1240" s="205"/>
    </row>
    <row r="1241" spans="62:64" x14ac:dyDescent="0.25">
      <c r="BJ1241" s="205"/>
      <c r="BK1241" s="205"/>
      <c r="BL1241" s="205"/>
    </row>
    <row r="1242" spans="62:64" x14ac:dyDescent="0.25">
      <c r="BJ1242" s="205"/>
      <c r="BK1242" s="205"/>
      <c r="BL1242" s="205"/>
    </row>
    <row r="1243" spans="62:64" x14ac:dyDescent="0.25">
      <c r="BJ1243" s="205"/>
      <c r="BK1243" s="205"/>
      <c r="BL1243" s="205"/>
    </row>
    <row r="1244" spans="62:64" x14ac:dyDescent="0.25">
      <c r="BJ1244" s="205"/>
      <c r="BK1244" s="205"/>
      <c r="BL1244" s="205"/>
    </row>
    <row r="1245" spans="62:64" x14ac:dyDescent="0.25">
      <c r="BJ1245" s="205"/>
      <c r="BK1245" s="205"/>
      <c r="BL1245" s="205"/>
    </row>
    <row r="1246" spans="62:64" x14ac:dyDescent="0.25">
      <c r="BJ1246" s="205"/>
      <c r="BK1246" s="205"/>
      <c r="BL1246" s="205"/>
    </row>
    <row r="1247" spans="62:64" x14ac:dyDescent="0.25">
      <c r="BJ1247" s="205"/>
      <c r="BK1247" s="205"/>
      <c r="BL1247" s="205"/>
    </row>
    <row r="1248" spans="62:64" x14ac:dyDescent="0.25">
      <c r="BJ1248" s="205"/>
      <c r="BK1248" s="205"/>
      <c r="BL1248" s="205"/>
    </row>
    <row r="1249" spans="62:64" x14ac:dyDescent="0.25">
      <c r="BJ1249" s="205"/>
      <c r="BK1249" s="205"/>
      <c r="BL1249" s="205"/>
    </row>
    <row r="1250" spans="62:64" x14ac:dyDescent="0.25">
      <c r="BJ1250" s="205"/>
      <c r="BK1250" s="205"/>
      <c r="BL1250" s="205"/>
    </row>
    <row r="1251" spans="62:64" x14ac:dyDescent="0.25">
      <c r="BJ1251" s="205"/>
      <c r="BK1251" s="205"/>
      <c r="BL1251" s="205"/>
    </row>
    <row r="1252" spans="62:64" x14ac:dyDescent="0.25">
      <c r="BJ1252" s="205"/>
      <c r="BK1252" s="205"/>
      <c r="BL1252" s="205"/>
    </row>
    <row r="1253" spans="62:64" x14ac:dyDescent="0.25">
      <c r="BJ1253" s="205"/>
      <c r="BK1253" s="205"/>
      <c r="BL1253" s="205"/>
    </row>
    <row r="1254" spans="62:64" x14ac:dyDescent="0.25">
      <c r="BJ1254" s="205"/>
      <c r="BK1254" s="205"/>
      <c r="BL1254" s="205"/>
    </row>
    <row r="1255" spans="62:64" x14ac:dyDescent="0.25">
      <c r="BJ1255" s="205"/>
      <c r="BK1255" s="205"/>
      <c r="BL1255" s="205"/>
    </row>
    <row r="1256" spans="62:64" x14ac:dyDescent="0.25">
      <c r="BJ1256" s="205"/>
      <c r="BK1256" s="205"/>
      <c r="BL1256" s="205"/>
    </row>
    <row r="1257" spans="62:64" x14ac:dyDescent="0.25">
      <c r="BJ1257" s="205"/>
      <c r="BK1257" s="205"/>
      <c r="BL1257" s="205"/>
    </row>
    <row r="1258" spans="62:64" x14ac:dyDescent="0.25">
      <c r="BJ1258" s="205"/>
      <c r="BK1258" s="205"/>
      <c r="BL1258" s="205"/>
    </row>
    <row r="1259" spans="62:64" x14ac:dyDescent="0.25">
      <c r="BJ1259" s="205"/>
      <c r="BK1259" s="205"/>
      <c r="BL1259" s="205"/>
    </row>
    <row r="1260" spans="62:64" x14ac:dyDescent="0.25">
      <c r="BJ1260" s="205"/>
      <c r="BK1260" s="205"/>
      <c r="BL1260" s="205"/>
    </row>
    <row r="1261" spans="62:64" x14ac:dyDescent="0.25">
      <c r="BJ1261" s="205"/>
      <c r="BK1261" s="205"/>
      <c r="BL1261" s="205"/>
    </row>
    <row r="1262" spans="62:64" x14ac:dyDescent="0.25">
      <c r="BJ1262" s="205"/>
      <c r="BK1262" s="205"/>
      <c r="BL1262" s="205"/>
    </row>
    <row r="1263" spans="62:64" x14ac:dyDescent="0.25">
      <c r="BJ1263" s="205"/>
      <c r="BK1263" s="205"/>
      <c r="BL1263" s="205"/>
    </row>
    <row r="1264" spans="62:64" x14ac:dyDescent="0.25">
      <c r="BJ1264" s="205"/>
      <c r="BK1264" s="205"/>
      <c r="BL1264" s="205"/>
    </row>
    <row r="1265" spans="62:64" x14ac:dyDescent="0.25">
      <c r="BJ1265" s="205"/>
      <c r="BK1265" s="205"/>
      <c r="BL1265" s="205"/>
    </row>
    <row r="1266" spans="62:64" x14ac:dyDescent="0.25">
      <c r="BJ1266" s="205"/>
      <c r="BK1266" s="205"/>
      <c r="BL1266" s="205"/>
    </row>
    <row r="1267" spans="62:64" x14ac:dyDescent="0.25">
      <c r="BJ1267" s="205"/>
      <c r="BK1267" s="205"/>
      <c r="BL1267" s="205"/>
    </row>
    <row r="1268" spans="62:64" x14ac:dyDescent="0.25">
      <c r="BJ1268" s="205"/>
      <c r="BK1268" s="205"/>
      <c r="BL1268" s="205"/>
    </row>
    <row r="1269" spans="62:64" x14ac:dyDescent="0.25">
      <c r="BJ1269" s="205"/>
      <c r="BK1269" s="205"/>
      <c r="BL1269" s="205"/>
    </row>
    <row r="1270" spans="62:64" x14ac:dyDescent="0.25">
      <c r="BJ1270" s="205"/>
      <c r="BK1270" s="205"/>
      <c r="BL1270" s="205"/>
    </row>
    <row r="1271" spans="62:64" x14ac:dyDescent="0.25">
      <c r="BJ1271" s="205"/>
      <c r="BK1271" s="205"/>
      <c r="BL1271" s="205"/>
    </row>
    <row r="1272" spans="62:64" x14ac:dyDescent="0.25">
      <c r="BJ1272" s="205"/>
      <c r="BK1272" s="205"/>
      <c r="BL1272" s="205"/>
    </row>
    <row r="1273" spans="62:64" x14ac:dyDescent="0.25">
      <c r="BJ1273" s="205"/>
      <c r="BK1273" s="205"/>
      <c r="BL1273" s="205"/>
    </row>
    <row r="1274" spans="62:64" x14ac:dyDescent="0.25">
      <c r="BJ1274" s="205"/>
      <c r="BK1274" s="205"/>
      <c r="BL1274" s="205"/>
    </row>
    <row r="1275" spans="62:64" x14ac:dyDescent="0.25">
      <c r="BJ1275" s="205"/>
      <c r="BK1275" s="205"/>
      <c r="BL1275" s="205"/>
    </row>
    <row r="1276" spans="62:64" x14ac:dyDescent="0.25">
      <c r="BJ1276" s="205"/>
      <c r="BK1276" s="205"/>
      <c r="BL1276" s="205"/>
    </row>
    <row r="1277" spans="62:64" x14ac:dyDescent="0.25">
      <c r="BJ1277" s="205"/>
      <c r="BK1277" s="205"/>
      <c r="BL1277" s="205"/>
    </row>
    <row r="1278" spans="62:64" x14ac:dyDescent="0.25">
      <c r="BJ1278" s="205"/>
      <c r="BK1278" s="205"/>
      <c r="BL1278" s="205"/>
    </row>
    <row r="1279" spans="62:64" x14ac:dyDescent="0.25">
      <c r="BJ1279" s="205"/>
      <c r="BK1279" s="205"/>
      <c r="BL1279" s="205"/>
    </row>
    <row r="1280" spans="62:64" x14ac:dyDescent="0.25">
      <c r="BJ1280" s="205"/>
      <c r="BK1280" s="205"/>
      <c r="BL1280" s="205"/>
    </row>
    <row r="1281" spans="62:64" x14ac:dyDescent="0.25">
      <c r="BJ1281" s="205"/>
      <c r="BK1281" s="205"/>
      <c r="BL1281" s="205"/>
    </row>
    <row r="1282" spans="62:64" x14ac:dyDescent="0.25">
      <c r="BJ1282" s="205"/>
      <c r="BK1282" s="205"/>
      <c r="BL1282" s="205"/>
    </row>
    <row r="1283" spans="62:64" x14ac:dyDescent="0.25">
      <c r="BJ1283" s="205"/>
      <c r="BK1283" s="205"/>
      <c r="BL1283" s="205"/>
    </row>
    <row r="1284" spans="62:64" x14ac:dyDescent="0.25">
      <c r="BJ1284" s="205"/>
      <c r="BK1284" s="205"/>
      <c r="BL1284" s="205"/>
    </row>
    <row r="1285" spans="62:64" x14ac:dyDescent="0.25">
      <c r="BJ1285" s="205"/>
      <c r="BK1285" s="205"/>
      <c r="BL1285" s="205"/>
    </row>
    <row r="1286" spans="62:64" x14ac:dyDescent="0.25">
      <c r="BJ1286" s="205"/>
      <c r="BK1286" s="205"/>
      <c r="BL1286" s="205"/>
    </row>
    <row r="1287" spans="62:64" x14ac:dyDescent="0.25">
      <c r="BJ1287" s="205"/>
      <c r="BK1287" s="205"/>
      <c r="BL1287" s="205"/>
    </row>
    <row r="1288" spans="62:64" x14ac:dyDescent="0.25">
      <c r="BJ1288" s="205"/>
      <c r="BK1288" s="205"/>
      <c r="BL1288" s="205"/>
    </row>
    <row r="1289" spans="62:64" x14ac:dyDescent="0.25">
      <c r="BJ1289" s="205"/>
      <c r="BK1289" s="205"/>
      <c r="BL1289" s="205"/>
    </row>
    <row r="1290" spans="62:64" x14ac:dyDescent="0.25">
      <c r="BJ1290" s="205"/>
      <c r="BK1290" s="205"/>
      <c r="BL1290" s="205"/>
    </row>
    <row r="1291" spans="62:64" x14ac:dyDescent="0.25">
      <c r="BJ1291" s="205"/>
      <c r="BK1291" s="205"/>
      <c r="BL1291" s="205"/>
    </row>
    <row r="1292" spans="62:64" x14ac:dyDescent="0.25">
      <c r="BJ1292" s="205"/>
      <c r="BK1292" s="205"/>
      <c r="BL1292" s="205"/>
    </row>
    <row r="1293" spans="62:64" x14ac:dyDescent="0.25">
      <c r="BJ1293" s="205"/>
      <c r="BK1293" s="205"/>
      <c r="BL1293" s="205"/>
    </row>
    <row r="1294" spans="62:64" x14ac:dyDescent="0.25">
      <c r="BJ1294" s="205"/>
      <c r="BK1294" s="205"/>
      <c r="BL1294" s="205"/>
    </row>
    <row r="1295" spans="62:64" x14ac:dyDescent="0.25">
      <c r="BJ1295" s="205"/>
      <c r="BK1295" s="205"/>
      <c r="BL1295" s="205"/>
    </row>
    <row r="1296" spans="62:64" x14ac:dyDescent="0.25">
      <c r="BJ1296" s="205"/>
      <c r="BK1296" s="205"/>
      <c r="BL1296" s="205"/>
    </row>
    <row r="1297" spans="62:64" x14ac:dyDescent="0.25">
      <c r="BJ1297" s="205"/>
      <c r="BK1297" s="205"/>
      <c r="BL1297" s="205"/>
    </row>
    <row r="1298" spans="62:64" x14ac:dyDescent="0.25">
      <c r="BJ1298" s="205"/>
      <c r="BK1298" s="205"/>
      <c r="BL1298" s="205"/>
    </row>
    <row r="1299" spans="62:64" x14ac:dyDescent="0.25">
      <c r="BJ1299" s="205"/>
      <c r="BK1299" s="205"/>
      <c r="BL1299" s="205"/>
    </row>
    <row r="1300" spans="62:64" x14ac:dyDescent="0.25">
      <c r="BJ1300" s="205"/>
      <c r="BK1300" s="205"/>
      <c r="BL1300" s="205"/>
    </row>
    <row r="1301" spans="62:64" x14ac:dyDescent="0.25">
      <c r="BJ1301" s="205"/>
      <c r="BK1301" s="205"/>
      <c r="BL1301" s="205"/>
    </row>
    <row r="1302" spans="62:64" x14ac:dyDescent="0.25">
      <c r="BJ1302" s="205"/>
      <c r="BK1302" s="205"/>
      <c r="BL1302" s="205"/>
    </row>
    <row r="1303" spans="62:64" x14ac:dyDescent="0.25">
      <c r="BJ1303" s="205"/>
      <c r="BK1303" s="205"/>
      <c r="BL1303" s="205"/>
    </row>
    <row r="1304" spans="62:64" x14ac:dyDescent="0.25">
      <c r="BJ1304" s="205"/>
      <c r="BK1304" s="205"/>
      <c r="BL1304" s="205"/>
    </row>
    <row r="1305" spans="62:64" x14ac:dyDescent="0.25">
      <c r="BJ1305" s="205"/>
      <c r="BK1305" s="205"/>
      <c r="BL1305" s="205"/>
    </row>
    <row r="1306" spans="62:64" x14ac:dyDescent="0.25">
      <c r="BJ1306" s="205"/>
      <c r="BK1306" s="205"/>
      <c r="BL1306" s="205"/>
    </row>
    <row r="1307" spans="62:64" x14ac:dyDescent="0.25">
      <c r="BJ1307" s="205"/>
      <c r="BK1307" s="205"/>
      <c r="BL1307" s="205"/>
    </row>
    <row r="1308" spans="62:64" x14ac:dyDescent="0.25">
      <c r="BJ1308" s="205"/>
      <c r="BK1308" s="205"/>
      <c r="BL1308" s="205"/>
    </row>
    <row r="1309" spans="62:64" x14ac:dyDescent="0.25">
      <c r="BJ1309" s="205"/>
      <c r="BK1309" s="205"/>
      <c r="BL1309" s="205"/>
    </row>
    <row r="1310" spans="62:64" x14ac:dyDescent="0.25">
      <c r="BJ1310" s="205"/>
      <c r="BK1310" s="205"/>
      <c r="BL1310" s="205"/>
    </row>
    <row r="1311" spans="62:64" x14ac:dyDescent="0.25">
      <c r="BJ1311" s="205"/>
      <c r="BK1311" s="205"/>
      <c r="BL1311" s="205"/>
    </row>
    <row r="1312" spans="62:64" x14ac:dyDescent="0.25">
      <c r="BJ1312" s="205"/>
      <c r="BK1312" s="205"/>
      <c r="BL1312" s="205"/>
    </row>
    <row r="1313" spans="62:64" x14ac:dyDescent="0.25">
      <c r="BJ1313" s="205"/>
      <c r="BK1313" s="205"/>
      <c r="BL1313" s="205"/>
    </row>
    <row r="1314" spans="62:64" x14ac:dyDescent="0.25">
      <c r="BJ1314" s="205"/>
      <c r="BK1314" s="205"/>
      <c r="BL1314" s="205"/>
    </row>
    <row r="1315" spans="62:64" x14ac:dyDescent="0.25">
      <c r="BJ1315" s="205"/>
      <c r="BK1315" s="205"/>
      <c r="BL1315" s="205"/>
    </row>
    <row r="1316" spans="62:64" x14ac:dyDescent="0.25">
      <c r="BJ1316" s="205"/>
      <c r="BK1316" s="205"/>
      <c r="BL1316" s="205"/>
    </row>
    <row r="1317" spans="62:64" x14ac:dyDescent="0.25">
      <c r="BJ1317" s="205"/>
      <c r="BK1317" s="205"/>
      <c r="BL1317" s="205"/>
    </row>
    <row r="1318" spans="62:64" x14ac:dyDescent="0.25">
      <c r="BJ1318" s="205"/>
      <c r="BK1318" s="205"/>
      <c r="BL1318" s="205"/>
    </row>
    <row r="1319" spans="62:64" x14ac:dyDescent="0.25">
      <c r="BJ1319" s="205"/>
      <c r="BK1319" s="205"/>
      <c r="BL1319" s="205"/>
    </row>
    <row r="1320" spans="62:64" x14ac:dyDescent="0.25">
      <c r="BJ1320" s="205"/>
      <c r="BK1320" s="205"/>
      <c r="BL1320" s="205"/>
    </row>
    <row r="1321" spans="62:64" x14ac:dyDescent="0.25">
      <c r="BJ1321" s="205"/>
      <c r="BK1321" s="205"/>
      <c r="BL1321" s="205"/>
    </row>
    <row r="1322" spans="62:64" x14ac:dyDescent="0.25">
      <c r="BJ1322" s="205"/>
      <c r="BK1322" s="205"/>
      <c r="BL1322" s="205"/>
    </row>
    <row r="1323" spans="62:64" x14ac:dyDescent="0.25">
      <c r="BJ1323" s="205"/>
      <c r="BK1323" s="205"/>
      <c r="BL1323" s="205"/>
    </row>
    <row r="1324" spans="62:64" x14ac:dyDescent="0.25">
      <c r="BJ1324" s="205"/>
      <c r="BK1324" s="205"/>
      <c r="BL1324" s="205"/>
    </row>
    <row r="1325" spans="62:64" x14ac:dyDescent="0.25">
      <c r="BJ1325" s="205"/>
      <c r="BK1325" s="205"/>
      <c r="BL1325" s="205"/>
    </row>
    <row r="1326" spans="62:64" x14ac:dyDescent="0.25">
      <c r="BJ1326" s="205"/>
      <c r="BK1326" s="205"/>
      <c r="BL1326" s="205"/>
    </row>
    <row r="1327" spans="62:64" x14ac:dyDescent="0.25">
      <c r="BJ1327" s="205"/>
      <c r="BK1327" s="205"/>
      <c r="BL1327" s="205"/>
    </row>
    <row r="1328" spans="62:64" x14ac:dyDescent="0.25">
      <c r="BJ1328" s="205"/>
      <c r="BK1328" s="205"/>
      <c r="BL1328" s="205"/>
    </row>
    <row r="1329" spans="62:64" x14ac:dyDescent="0.25">
      <c r="BJ1329" s="205"/>
      <c r="BK1329" s="205"/>
      <c r="BL1329" s="205"/>
    </row>
    <row r="1330" spans="62:64" x14ac:dyDescent="0.25">
      <c r="BJ1330" s="205"/>
      <c r="BK1330" s="205"/>
      <c r="BL1330" s="205"/>
    </row>
    <row r="1331" spans="62:64" x14ac:dyDescent="0.25">
      <c r="BJ1331" s="205"/>
      <c r="BK1331" s="205"/>
      <c r="BL1331" s="205"/>
    </row>
    <row r="1332" spans="62:64" x14ac:dyDescent="0.25">
      <c r="BJ1332" s="205"/>
      <c r="BK1332" s="205"/>
      <c r="BL1332" s="205"/>
    </row>
    <row r="1333" spans="62:64" x14ac:dyDescent="0.25">
      <c r="BJ1333" s="205"/>
      <c r="BK1333" s="205"/>
      <c r="BL1333" s="205"/>
    </row>
    <row r="1334" spans="62:64" x14ac:dyDescent="0.25">
      <c r="BJ1334" s="205"/>
      <c r="BK1334" s="205"/>
      <c r="BL1334" s="205"/>
    </row>
    <row r="1335" spans="62:64" x14ac:dyDescent="0.25">
      <c r="BJ1335" s="205"/>
      <c r="BK1335" s="205"/>
      <c r="BL1335" s="205"/>
    </row>
    <row r="1336" spans="62:64" x14ac:dyDescent="0.25">
      <c r="BJ1336" s="205"/>
      <c r="BK1336" s="205"/>
      <c r="BL1336" s="205"/>
    </row>
    <row r="1337" spans="62:64" x14ac:dyDescent="0.25">
      <c r="BJ1337" s="205"/>
      <c r="BK1337" s="205"/>
      <c r="BL1337" s="205"/>
    </row>
    <row r="1338" spans="62:64" x14ac:dyDescent="0.25">
      <c r="BJ1338" s="205"/>
      <c r="BK1338" s="205"/>
      <c r="BL1338" s="205"/>
    </row>
    <row r="1339" spans="62:64" x14ac:dyDescent="0.25">
      <c r="BJ1339" s="205"/>
      <c r="BK1339" s="205"/>
      <c r="BL1339" s="205"/>
    </row>
    <row r="1340" spans="62:64" x14ac:dyDescent="0.25">
      <c r="BJ1340" s="205"/>
      <c r="BK1340" s="205"/>
      <c r="BL1340" s="205"/>
    </row>
    <row r="1341" spans="62:64" x14ac:dyDescent="0.25">
      <c r="BJ1341" s="205"/>
      <c r="BK1341" s="205"/>
      <c r="BL1341" s="205"/>
    </row>
    <row r="1342" spans="62:64" x14ac:dyDescent="0.25">
      <c r="BJ1342" s="205"/>
      <c r="BK1342" s="205"/>
      <c r="BL1342" s="205"/>
    </row>
    <row r="1343" spans="62:64" x14ac:dyDescent="0.25">
      <c r="BJ1343" s="205"/>
      <c r="BK1343" s="205"/>
      <c r="BL1343" s="205"/>
    </row>
    <row r="1344" spans="62:64" x14ac:dyDescent="0.25">
      <c r="BJ1344" s="205"/>
      <c r="BK1344" s="205"/>
      <c r="BL1344" s="205"/>
    </row>
    <row r="1345" spans="62:64" x14ac:dyDescent="0.25">
      <c r="BJ1345" s="205"/>
      <c r="BK1345" s="205"/>
      <c r="BL1345" s="205"/>
    </row>
    <row r="1346" spans="62:64" x14ac:dyDescent="0.25">
      <c r="BJ1346" s="205"/>
      <c r="BK1346" s="205"/>
      <c r="BL1346" s="205"/>
    </row>
    <row r="1347" spans="62:64" x14ac:dyDescent="0.25">
      <c r="BJ1347" s="205"/>
      <c r="BK1347" s="205"/>
      <c r="BL1347" s="205"/>
    </row>
    <row r="1348" spans="62:64" x14ac:dyDescent="0.25">
      <c r="BJ1348" s="205"/>
      <c r="BK1348" s="205"/>
      <c r="BL1348" s="205"/>
    </row>
    <row r="1349" spans="62:64" x14ac:dyDescent="0.25">
      <c r="BJ1349" s="205"/>
      <c r="BK1349" s="205"/>
      <c r="BL1349" s="205"/>
    </row>
    <row r="1350" spans="62:64" x14ac:dyDescent="0.25">
      <c r="BJ1350" s="205"/>
      <c r="BK1350" s="205"/>
      <c r="BL1350" s="205"/>
    </row>
    <row r="1351" spans="62:64" x14ac:dyDescent="0.25">
      <c r="BJ1351" s="205"/>
      <c r="BK1351" s="205"/>
      <c r="BL1351" s="205"/>
    </row>
    <row r="1352" spans="62:64" x14ac:dyDescent="0.25">
      <c r="BJ1352" s="205"/>
      <c r="BK1352" s="205"/>
      <c r="BL1352" s="205"/>
    </row>
    <row r="1353" spans="62:64" x14ac:dyDescent="0.25">
      <c r="BJ1353" s="205"/>
      <c r="BK1353" s="205"/>
      <c r="BL1353" s="205"/>
    </row>
    <row r="1354" spans="62:64" x14ac:dyDescent="0.25">
      <c r="BJ1354" s="205"/>
      <c r="BK1354" s="205"/>
      <c r="BL1354" s="205"/>
    </row>
    <row r="1355" spans="62:64" x14ac:dyDescent="0.25">
      <c r="BJ1355" s="205"/>
      <c r="BK1355" s="205"/>
      <c r="BL1355" s="205"/>
    </row>
    <row r="1356" spans="62:64" x14ac:dyDescent="0.25">
      <c r="BJ1356" s="205"/>
      <c r="BK1356" s="205"/>
      <c r="BL1356" s="205"/>
    </row>
    <row r="1357" spans="62:64" x14ac:dyDescent="0.25">
      <c r="BJ1357" s="205"/>
      <c r="BK1357" s="205"/>
      <c r="BL1357" s="205"/>
    </row>
    <row r="1358" spans="62:64" x14ac:dyDescent="0.25">
      <c r="BJ1358" s="205"/>
      <c r="BK1358" s="205"/>
      <c r="BL1358" s="205"/>
    </row>
    <row r="1359" spans="62:64" x14ac:dyDescent="0.25">
      <c r="BJ1359" s="205"/>
      <c r="BK1359" s="205"/>
      <c r="BL1359" s="205"/>
    </row>
    <row r="1360" spans="62:64" x14ac:dyDescent="0.25">
      <c r="BJ1360" s="205"/>
      <c r="BK1360" s="205"/>
      <c r="BL1360" s="205"/>
    </row>
    <row r="1361" spans="62:64" x14ac:dyDescent="0.25">
      <c r="BJ1361" s="205"/>
      <c r="BK1361" s="205"/>
      <c r="BL1361" s="205"/>
    </row>
    <row r="1362" spans="62:64" x14ac:dyDescent="0.25">
      <c r="BJ1362" s="205"/>
      <c r="BK1362" s="205"/>
      <c r="BL1362" s="205"/>
    </row>
    <row r="1363" spans="62:64" x14ac:dyDescent="0.25">
      <c r="BJ1363" s="205"/>
      <c r="BK1363" s="205"/>
      <c r="BL1363" s="205"/>
    </row>
    <row r="1364" spans="62:64" x14ac:dyDescent="0.25">
      <c r="BJ1364" s="205"/>
      <c r="BK1364" s="205"/>
      <c r="BL1364" s="205"/>
    </row>
    <row r="1365" spans="62:64" x14ac:dyDescent="0.25">
      <c r="BJ1365" s="205"/>
      <c r="BK1365" s="205"/>
      <c r="BL1365" s="205"/>
    </row>
    <row r="1366" spans="62:64" x14ac:dyDescent="0.25">
      <c r="BJ1366" s="205"/>
      <c r="BK1366" s="205"/>
      <c r="BL1366" s="205"/>
    </row>
    <row r="1367" spans="62:64" x14ac:dyDescent="0.25">
      <c r="BJ1367" s="205"/>
      <c r="BK1367" s="205"/>
      <c r="BL1367" s="205"/>
    </row>
    <row r="1368" spans="62:64" x14ac:dyDescent="0.25">
      <c r="BJ1368" s="205"/>
      <c r="BK1368" s="205"/>
      <c r="BL1368" s="205"/>
    </row>
    <row r="1369" spans="62:64" x14ac:dyDescent="0.25">
      <c r="BJ1369" s="205"/>
      <c r="BK1369" s="205"/>
      <c r="BL1369" s="205"/>
    </row>
    <row r="1370" spans="62:64" x14ac:dyDescent="0.25">
      <c r="BJ1370" s="205"/>
      <c r="BK1370" s="205"/>
      <c r="BL1370" s="205"/>
    </row>
    <row r="1371" spans="62:64" x14ac:dyDescent="0.25">
      <c r="BJ1371" s="205"/>
      <c r="BK1371" s="205"/>
      <c r="BL1371" s="205"/>
    </row>
    <row r="1372" spans="62:64" x14ac:dyDescent="0.25">
      <c r="BJ1372" s="205"/>
      <c r="BK1372" s="205"/>
      <c r="BL1372" s="205"/>
    </row>
    <row r="1373" spans="62:64" x14ac:dyDescent="0.25">
      <c r="BJ1373" s="205"/>
      <c r="BK1373" s="205"/>
      <c r="BL1373" s="205"/>
    </row>
    <row r="1374" spans="62:64" x14ac:dyDescent="0.25">
      <c r="BJ1374" s="205"/>
      <c r="BK1374" s="205"/>
      <c r="BL1374" s="205"/>
    </row>
    <row r="1375" spans="62:64" x14ac:dyDescent="0.25">
      <c r="BJ1375" s="205"/>
      <c r="BK1375" s="205"/>
      <c r="BL1375" s="205"/>
    </row>
    <row r="1376" spans="62:64" x14ac:dyDescent="0.25">
      <c r="BJ1376" s="205"/>
      <c r="BK1376" s="205"/>
      <c r="BL1376" s="205"/>
    </row>
    <row r="1377" spans="62:64" x14ac:dyDescent="0.25">
      <c r="BJ1377" s="205"/>
      <c r="BK1377" s="205"/>
      <c r="BL1377" s="205"/>
    </row>
    <row r="1378" spans="62:64" x14ac:dyDescent="0.25">
      <c r="BJ1378" s="205"/>
      <c r="BK1378" s="205"/>
      <c r="BL1378" s="205"/>
    </row>
    <row r="1379" spans="62:64" x14ac:dyDescent="0.25">
      <c r="BJ1379" s="205"/>
      <c r="BK1379" s="205"/>
      <c r="BL1379" s="205"/>
    </row>
    <row r="1380" spans="62:64" x14ac:dyDescent="0.25">
      <c r="BJ1380" s="205"/>
      <c r="BK1380" s="205"/>
      <c r="BL1380" s="205"/>
    </row>
    <row r="1381" spans="62:64" x14ac:dyDescent="0.25">
      <c r="BJ1381" s="205"/>
      <c r="BK1381" s="205"/>
      <c r="BL1381" s="205"/>
    </row>
    <row r="1382" spans="62:64" x14ac:dyDescent="0.25">
      <c r="BJ1382" s="205"/>
      <c r="BK1382" s="205"/>
      <c r="BL1382" s="205"/>
    </row>
    <row r="1383" spans="62:64" x14ac:dyDescent="0.25">
      <c r="BJ1383" s="205"/>
      <c r="BK1383" s="205"/>
      <c r="BL1383" s="205"/>
    </row>
    <row r="1384" spans="62:64" x14ac:dyDescent="0.25">
      <c r="BJ1384" s="205"/>
      <c r="BK1384" s="205"/>
      <c r="BL1384" s="205"/>
    </row>
    <row r="1385" spans="62:64" x14ac:dyDescent="0.25">
      <c r="BJ1385" s="205"/>
      <c r="BK1385" s="205"/>
      <c r="BL1385" s="205"/>
    </row>
    <row r="1386" spans="62:64" x14ac:dyDescent="0.25">
      <c r="BJ1386" s="205"/>
      <c r="BK1386" s="205"/>
      <c r="BL1386" s="205"/>
    </row>
    <row r="1387" spans="62:64" x14ac:dyDescent="0.25">
      <c r="BJ1387" s="205"/>
      <c r="BK1387" s="205"/>
      <c r="BL1387" s="205"/>
    </row>
    <row r="1388" spans="62:64" x14ac:dyDescent="0.25">
      <c r="BJ1388" s="205"/>
      <c r="BK1388" s="205"/>
      <c r="BL1388" s="205"/>
    </row>
    <row r="1389" spans="62:64" x14ac:dyDescent="0.25">
      <c r="BJ1389" s="205"/>
      <c r="BK1389" s="205"/>
      <c r="BL1389" s="205"/>
    </row>
    <row r="1390" spans="62:64" x14ac:dyDescent="0.25">
      <c r="BJ1390" s="205"/>
      <c r="BK1390" s="205"/>
      <c r="BL1390" s="205"/>
    </row>
    <row r="1391" spans="62:64" x14ac:dyDescent="0.25">
      <c r="BJ1391" s="205"/>
      <c r="BK1391" s="205"/>
      <c r="BL1391" s="205"/>
    </row>
    <row r="1392" spans="62:64" x14ac:dyDescent="0.25">
      <c r="BJ1392" s="205"/>
      <c r="BK1392" s="205"/>
      <c r="BL1392" s="205"/>
    </row>
    <row r="1393" spans="62:64" x14ac:dyDescent="0.25">
      <c r="BJ1393" s="205"/>
      <c r="BK1393" s="205"/>
      <c r="BL1393" s="205"/>
    </row>
    <row r="1394" spans="62:64" x14ac:dyDescent="0.25">
      <c r="BJ1394" s="205"/>
      <c r="BK1394" s="205"/>
      <c r="BL1394" s="205"/>
    </row>
    <row r="1395" spans="62:64" x14ac:dyDescent="0.25">
      <c r="BJ1395" s="205"/>
      <c r="BK1395" s="205"/>
      <c r="BL1395" s="205"/>
    </row>
    <row r="1396" spans="62:64" x14ac:dyDescent="0.25">
      <c r="BJ1396" s="205"/>
      <c r="BK1396" s="205"/>
      <c r="BL1396" s="205"/>
    </row>
    <row r="1397" spans="62:64" x14ac:dyDescent="0.25">
      <c r="BJ1397" s="205"/>
      <c r="BK1397" s="205"/>
      <c r="BL1397" s="205"/>
    </row>
    <row r="1398" spans="62:64" x14ac:dyDescent="0.25">
      <c r="BJ1398" s="205"/>
      <c r="BK1398" s="205"/>
      <c r="BL1398" s="205"/>
    </row>
    <row r="1399" spans="62:64" x14ac:dyDescent="0.25">
      <c r="BJ1399" s="205"/>
      <c r="BK1399" s="205"/>
      <c r="BL1399" s="205"/>
    </row>
    <row r="1400" spans="62:64" x14ac:dyDescent="0.25">
      <c r="BJ1400" s="205"/>
      <c r="BK1400" s="205"/>
      <c r="BL1400" s="205"/>
    </row>
    <row r="1401" spans="62:64" x14ac:dyDescent="0.25">
      <c r="BJ1401" s="205"/>
      <c r="BK1401" s="205"/>
      <c r="BL1401" s="205"/>
    </row>
    <row r="1402" spans="62:64" x14ac:dyDescent="0.25">
      <c r="BJ1402" s="205"/>
      <c r="BK1402" s="205"/>
      <c r="BL1402" s="205"/>
    </row>
    <row r="1403" spans="62:64" x14ac:dyDescent="0.25">
      <c r="BJ1403" s="205"/>
      <c r="BK1403" s="205"/>
      <c r="BL1403" s="205"/>
    </row>
    <row r="1404" spans="62:64" x14ac:dyDescent="0.25">
      <c r="BJ1404" s="205"/>
      <c r="BK1404" s="205"/>
      <c r="BL1404" s="205"/>
    </row>
    <row r="1405" spans="62:64" x14ac:dyDescent="0.25">
      <c r="BJ1405" s="205"/>
      <c r="BK1405" s="205"/>
      <c r="BL1405" s="205"/>
    </row>
    <row r="1406" spans="62:64" x14ac:dyDescent="0.25">
      <c r="BJ1406" s="205"/>
      <c r="BK1406" s="205"/>
      <c r="BL1406" s="205"/>
    </row>
    <row r="1407" spans="62:64" x14ac:dyDescent="0.25">
      <c r="BJ1407" s="205"/>
      <c r="BK1407" s="205"/>
      <c r="BL1407" s="205"/>
    </row>
    <row r="1408" spans="62:64" x14ac:dyDescent="0.25">
      <c r="BJ1408" s="205"/>
      <c r="BK1408" s="205"/>
      <c r="BL1408" s="205"/>
    </row>
    <row r="1409" spans="62:64" x14ac:dyDescent="0.25">
      <c r="BJ1409" s="205"/>
      <c r="BK1409" s="205"/>
      <c r="BL1409" s="205"/>
    </row>
    <row r="1410" spans="62:64" x14ac:dyDescent="0.25">
      <c r="BJ1410" s="205"/>
      <c r="BK1410" s="205"/>
      <c r="BL1410" s="205"/>
    </row>
    <row r="1411" spans="62:64" x14ac:dyDescent="0.25">
      <c r="BJ1411" s="205"/>
      <c r="BK1411" s="205"/>
      <c r="BL1411" s="205"/>
    </row>
    <row r="1412" spans="62:64" x14ac:dyDescent="0.25">
      <c r="BJ1412" s="205"/>
      <c r="BK1412" s="205"/>
      <c r="BL1412" s="205"/>
    </row>
    <row r="1413" spans="62:64" x14ac:dyDescent="0.25">
      <c r="BJ1413" s="205"/>
      <c r="BK1413" s="205"/>
      <c r="BL1413" s="205"/>
    </row>
    <row r="1414" spans="62:64" x14ac:dyDescent="0.25">
      <c r="BJ1414" s="205"/>
      <c r="BK1414" s="205"/>
      <c r="BL1414" s="205"/>
    </row>
    <row r="1415" spans="62:64" x14ac:dyDescent="0.25">
      <c r="BJ1415" s="205"/>
      <c r="BK1415" s="205"/>
      <c r="BL1415" s="205"/>
    </row>
    <row r="1416" spans="62:64" x14ac:dyDescent="0.25">
      <c r="BJ1416" s="205"/>
      <c r="BK1416" s="205"/>
      <c r="BL1416" s="205"/>
    </row>
    <row r="1417" spans="62:64" x14ac:dyDescent="0.25">
      <c r="BJ1417" s="205"/>
      <c r="BK1417" s="205"/>
      <c r="BL1417" s="205"/>
    </row>
    <row r="1418" spans="62:64" x14ac:dyDescent="0.25">
      <c r="BJ1418" s="205"/>
      <c r="BK1418" s="205"/>
      <c r="BL1418" s="205"/>
    </row>
    <row r="1419" spans="62:64" x14ac:dyDescent="0.25">
      <c r="BJ1419" s="205"/>
      <c r="BK1419" s="205"/>
      <c r="BL1419" s="205"/>
    </row>
    <row r="1420" spans="62:64" x14ac:dyDescent="0.25">
      <c r="BJ1420" s="205"/>
      <c r="BK1420" s="205"/>
      <c r="BL1420" s="205"/>
    </row>
    <row r="1421" spans="62:64" x14ac:dyDescent="0.25">
      <c r="BJ1421" s="205"/>
      <c r="BK1421" s="205"/>
      <c r="BL1421" s="205"/>
    </row>
    <row r="1422" spans="62:64" x14ac:dyDescent="0.25">
      <c r="BJ1422" s="205"/>
      <c r="BK1422" s="205"/>
      <c r="BL1422" s="205"/>
    </row>
    <row r="1423" spans="62:64" x14ac:dyDescent="0.25">
      <c r="BJ1423" s="205"/>
      <c r="BK1423" s="205"/>
      <c r="BL1423" s="205"/>
    </row>
    <row r="1424" spans="62:64" x14ac:dyDescent="0.25">
      <c r="BJ1424" s="205"/>
      <c r="BK1424" s="205"/>
      <c r="BL1424" s="205"/>
    </row>
    <row r="1425" spans="62:64" x14ac:dyDescent="0.25">
      <c r="BJ1425" s="205"/>
      <c r="BK1425" s="205"/>
      <c r="BL1425" s="205"/>
    </row>
    <row r="1426" spans="62:64" x14ac:dyDescent="0.25">
      <c r="BJ1426" s="205"/>
      <c r="BK1426" s="205"/>
      <c r="BL1426" s="205"/>
    </row>
    <row r="1427" spans="62:64" x14ac:dyDescent="0.25">
      <c r="BJ1427" s="205"/>
      <c r="BK1427" s="205"/>
      <c r="BL1427" s="205"/>
    </row>
    <row r="1428" spans="62:64" x14ac:dyDescent="0.25">
      <c r="BJ1428" s="205"/>
      <c r="BK1428" s="205"/>
      <c r="BL1428" s="205"/>
    </row>
    <row r="1429" spans="62:64" x14ac:dyDescent="0.25">
      <c r="BJ1429" s="205"/>
      <c r="BK1429" s="205"/>
      <c r="BL1429" s="205"/>
    </row>
    <row r="1430" spans="62:64" x14ac:dyDescent="0.25">
      <c r="BJ1430" s="205"/>
      <c r="BK1430" s="205"/>
      <c r="BL1430" s="205"/>
    </row>
    <row r="1431" spans="62:64" x14ac:dyDescent="0.25">
      <c r="BJ1431" s="205"/>
      <c r="BK1431" s="205"/>
      <c r="BL1431" s="205"/>
    </row>
    <row r="1432" spans="62:64" x14ac:dyDescent="0.25">
      <c r="BJ1432" s="205"/>
      <c r="BK1432" s="205"/>
      <c r="BL1432" s="205"/>
    </row>
    <row r="1433" spans="62:64" x14ac:dyDescent="0.25">
      <c r="BJ1433" s="205"/>
      <c r="BK1433" s="205"/>
      <c r="BL1433" s="205"/>
    </row>
    <row r="1434" spans="62:64" x14ac:dyDescent="0.25">
      <c r="BJ1434" s="205"/>
      <c r="BK1434" s="205"/>
      <c r="BL1434" s="205"/>
    </row>
    <row r="1435" spans="62:64" x14ac:dyDescent="0.25">
      <c r="BJ1435" s="205"/>
      <c r="BK1435" s="205"/>
      <c r="BL1435" s="205"/>
    </row>
    <row r="1436" spans="62:64" x14ac:dyDescent="0.25">
      <c r="BJ1436" s="205"/>
      <c r="BK1436" s="205"/>
      <c r="BL1436" s="205"/>
    </row>
    <row r="1437" spans="62:64" x14ac:dyDescent="0.25">
      <c r="BJ1437" s="205"/>
      <c r="BK1437" s="205"/>
      <c r="BL1437" s="205"/>
    </row>
    <row r="1438" spans="62:64" x14ac:dyDescent="0.25">
      <c r="BJ1438" s="205"/>
      <c r="BK1438" s="205"/>
      <c r="BL1438" s="205"/>
    </row>
    <row r="1439" spans="62:64" x14ac:dyDescent="0.25">
      <c r="BJ1439" s="205"/>
      <c r="BK1439" s="205"/>
      <c r="BL1439" s="205"/>
    </row>
    <row r="1440" spans="62:64" x14ac:dyDescent="0.25">
      <c r="BJ1440" s="205"/>
      <c r="BK1440" s="205"/>
      <c r="BL1440" s="205"/>
    </row>
    <row r="1441" spans="62:64" x14ac:dyDescent="0.25">
      <c r="BJ1441" s="205"/>
      <c r="BK1441" s="205"/>
      <c r="BL1441" s="205"/>
    </row>
    <row r="1442" spans="62:64" x14ac:dyDescent="0.25">
      <c r="BJ1442" s="205"/>
      <c r="BK1442" s="205"/>
      <c r="BL1442" s="205"/>
    </row>
    <row r="1443" spans="62:64" x14ac:dyDescent="0.25">
      <c r="BJ1443" s="205"/>
      <c r="BK1443" s="205"/>
      <c r="BL1443" s="205"/>
    </row>
    <row r="1444" spans="62:64" x14ac:dyDescent="0.25">
      <c r="BJ1444" s="205"/>
      <c r="BK1444" s="205"/>
      <c r="BL1444" s="205"/>
    </row>
    <row r="1445" spans="62:64" x14ac:dyDescent="0.25">
      <c r="BJ1445" s="205"/>
      <c r="BK1445" s="205"/>
      <c r="BL1445" s="205"/>
    </row>
    <row r="1446" spans="62:64" x14ac:dyDescent="0.25">
      <c r="BJ1446" s="205"/>
      <c r="BK1446" s="205"/>
      <c r="BL1446" s="205"/>
    </row>
    <row r="1447" spans="62:64" x14ac:dyDescent="0.25">
      <c r="BJ1447" s="205"/>
      <c r="BK1447" s="205"/>
      <c r="BL1447" s="205"/>
    </row>
    <row r="1448" spans="62:64" x14ac:dyDescent="0.25">
      <c r="BJ1448" s="205"/>
      <c r="BK1448" s="205"/>
      <c r="BL1448" s="205"/>
    </row>
    <row r="1449" spans="62:64" x14ac:dyDescent="0.25">
      <c r="BJ1449" s="205"/>
      <c r="BK1449" s="205"/>
      <c r="BL1449" s="205"/>
    </row>
    <row r="1450" spans="62:64" x14ac:dyDescent="0.25">
      <c r="BJ1450" s="205"/>
      <c r="BK1450" s="205"/>
      <c r="BL1450" s="205"/>
    </row>
    <row r="1451" spans="62:64" x14ac:dyDescent="0.25">
      <c r="BJ1451" s="205"/>
      <c r="BK1451" s="205"/>
      <c r="BL1451" s="205"/>
    </row>
    <row r="1452" spans="62:64" x14ac:dyDescent="0.25">
      <c r="BJ1452" s="205"/>
      <c r="BK1452" s="205"/>
      <c r="BL1452" s="205"/>
    </row>
    <row r="1453" spans="62:64" x14ac:dyDescent="0.25">
      <c r="BJ1453" s="205"/>
      <c r="BK1453" s="205"/>
      <c r="BL1453" s="205"/>
    </row>
    <row r="1454" spans="62:64" x14ac:dyDescent="0.25">
      <c r="BJ1454" s="205"/>
      <c r="BK1454" s="205"/>
      <c r="BL1454" s="205"/>
    </row>
    <row r="1455" spans="62:64" x14ac:dyDescent="0.25">
      <c r="BJ1455" s="205"/>
      <c r="BK1455" s="205"/>
      <c r="BL1455" s="205"/>
    </row>
    <row r="1456" spans="62:64" x14ac:dyDescent="0.25">
      <c r="BJ1456" s="205"/>
      <c r="BK1456" s="205"/>
      <c r="BL1456" s="205"/>
    </row>
    <row r="1457" spans="62:64" x14ac:dyDescent="0.25">
      <c r="BJ1457" s="205"/>
      <c r="BK1457" s="205"/>
      <c r="BL1457" s="205"/>
    </row>
    <row r="1458" spans="62:64" x14ac:dyDescent="0.25">
      <c r="BJ1458" s="205"/>
      <c r="BK1458" s="205"/>
      <c r="BL1458" s="205"/>
    </row>
    <row r="1459" spans="62:64" x14ac:dyDescent="0.25">
      <c r="BJ1459" s="205"/>
      <c r="BK1459" s="205"/>
      <c r="BL1459" s="205"/>
    </row>
    <row r="1460" spans="62:64" x14ac:dyDescent="0.25">
      <c r="BJ1460" s="205"/>
      <c r="BK1460" s="205"/>
      <c r="BL1460" s="205"/>
    </row>
    <row r="1461" spans="62:64" x14ac:dyDescent="0.25">
      <c r="BJ1461" s="205"/>
      <c r="BK1461" s="205"/>
      <c r="BL1461" s="205"/>
    </row>
    <row r="1462" spans="62:64" x14ac:dyDescent="0.25">
      <c r="BJ1462" s="205"/>
      <c r="BK1462" s="205"/>
      <c r="BL1462" s="205"/>
    </row>
    <row r="1463" spans="62:64" x14ac:dyDescent="0.25">
      <c r="BJ1463" s="205"/>
      <c r="BK1463" s="205"/>
      <c r="BL1463" s="205"/>
    </row>
    <row r="1464" spans="62:64" x14ac:dyDescent="0.25">
      <c r="BJ1464" s="205"/>
      <c r="BK1464" s="205"/>
      <c r="BL1464" s="205"/>
    </row>
    <row r="1465" spans="62:64" x14ac:dyDescent="0.25">
      <c r="BJ1465" s="205"/>
      <c r="BK1465" s="205"/>
      <c r="BL1465" s="205"/>
    </row>
    <row r="1466" spans="62:64" x14ac:dyDescent="0.25">
      <c r="BJ1466" s="205"/>
      <c r="BK1466" s="205"/>
      <c r="BL1466" s="205"/>
    </row>
    <row r="1467" spans="62:64" x14ac:dyDescent="0.25">
      <c r="BJ1467" s="205"/>
      <c r="BK1467" s="205"/>
      <c r="BL1467" s="205"/>
    </row>
    <row r="1468" spans="62:64" x14ac:dyDescent="0.25">
      <c r="BJ1468" s="205"/>
      <c r="BK1468" s="205"/>
      <c r="BL1468" s="205"/>
    </row>
    <row r="1469" spans="62:64" x14ac:dyDescent="0.25">
      <c r="BJ1469" s="205"/>
      <c r="BK1469" s="205"/>
      <c r="BL1469" s="205"/>
    </row>
    <row r="1470" spans="62:64" x14ac:dyDescent="0.25">
      <c r="BJ1470" s="205"/>
      <c r="BK1470" s="205"/>
      <c r="BL1470" s="205"/>
    </row>
    <row r="1471" spans="62:64" x14ac:dyDescent="0.25">
      <c r="BJ1471" s="205"/>
      <c r="BK1471" s="205"/>
      <c r="BL1471" s="205"/>
    </row>
    <row r="1472" spans="62:64" x14ac:dyDescent="0.25">
      <c r="BJ1472" s="205"/>
      <c r="BK1472" s="205"/>
      <c r="BL1472" s="205"/>
    </row>
    <row r="1473" spans="62:64" x14ac:dyDescent="0.25">
      <c r="BJ1473" s="205"/>
      <c r="BK1473" s="205"/>
      <c r="BL1473" s="205"/>
    </row>
    <row r="1474" spans="62:64" x14ac:dyDescent="0.25">
      <c r="BJ1474" s="205"/>
      <c r="BK1474" s="205"/>
      <c r="BL1474" s="205"/>
    </row>
    <row r="1475" spans="62:64" x14ac:dyDescent="0.25">
      <c r="BJ1475" s="205"/>
      <c r="BK1475" s="205"/>
      <c r="BL1475" s="205"/>
    </row>
    <row r="1476" spans="62:64" x14ac:dyDescent="0.25">
      <c r="BJ1476" s="205"/>
      <c r="BK1476" s="205"/>
      <c r="BL1476" s="205"/>
    </row>
    <row r="1477" spans="62:64" x14ac:dyDescent="0.25">
      <c r="BJ1477" s="205"/>
      <c r="BK1477" s="205"/>
      <c r="BL1477" s="205"/>
    </row>
    <row r="1478" spans="62:64" x14ac:dyDescent="0.25">
      <c r="BJ1478" s="205"/>
      <c r="BK1478" s="205"/>
      <c r="BL1478" s="205"/>
    </row>
    <row r="1479" spans="62:64" x14ac:dyDescent="0.25">
      <c r="BJ1479" s="205"/>
      <c r="BK1479" s="205"/>
      <c r="BL1479" s="205"/>
    </row>
    <row r="1480" spans="62:64" x14ac:dyDescent="0.25">
      <c r="BJ1480" s="205"/>
      <c r="BK1480" s="205"/>
      <c r="BL1480" s="205"/>
    </row>
    <row r="1481" spans="62:64" x14ac:dyDescent="0.25">
      <c r="BJ1481" s="205"/>
      <c r="BK1481" s="205"/>
      <c r="BL1481" s="205"/>
    </row>
    <row r="1482" spans="62:64" x14ac:dyDescent="0.25">
      <c r="BJ1482" s="205"/>
      <c r="BK1482" s="205"/>
      <c r="BL1482" s="205"/>
    </row>
    <row r="1483" spans="62:64" x14ac:dyDescent="0.25">
      <c r="BJ1483" s="205"/>
      <c r="BK1483" s="205"/>
      <c r="BL1483" s="205"/>
    </row>
    <row r="1484" spans="62:64" x14ac:dyDescent="0.25">
      <c r="BJ1484" s="205"/>
      <c r="BK1484" s="205"/>
      <c r="BL1484" s="205"/>
    </row>
    <row r="1485" spans="62:64" x14ac:dyDescent="0.25">
      <c r="BJ1485" s="205"/>
      <c r="BK1485" s="205"/>
      <c r="BL1485" s="205"/>
    </row>
    <row r="1486" spans="62:64" x14ac:dyDescent="0.25">
      <c r="BJ1486" s="205"/>
      <c r="BK1486" s="205"/>
      <c r="BL1486" s="205"/>
    </row>
    <row r="1487" spans="62:64" x14ac:dyDescent="0.25">
      <c r="BJ1487" s="205"/>
      <c r="BK1487" s="205"/>
      <c r="BL1487" s="205"/>
    </row>
    <row r="1488" spans="62:64" x14ac:dyDescent="0.25">
      <c r="BJ1488" s="205"/>
      <c r="BK1488" s="205"/>
      <c r="BL1488" s="205"/>
    </row>
    <row r="1489" spans="62:64" x14ac:dyDescent="0.25">
      <c r="BJ1489" s="205"/>
      <c r="BK1489" s="205"/>
      <c r="BL1489" s="205"/>
    </row>
    <row r="1490" spans="62:64" x14ac:dyDescent="0.25">
      <c r="BJ1490" s="205"/>
      <c r="BK1490" s="205"/>
      <c r="BL1490" s="205"/>
    </row>
    <row r="1491" spans="62:64" x14ac:dyDescent="0.25">
      <c r="BJ1491" s="205"/>
      <c r="BK1491" s="205"/>
      <c r="BL1491" s="205"/>
    </row>
    <row r="1492" spans="62:64" x14ac:dyDescent="0.25">
      <c r="BJ1492" s="205"/>
      <c r="BK1492" s="205"/>
      <c r="BL1492" s="205"/>
    </row>
    <row r="1493" spans="62:64" x14ac:dyDescent="0.25">
      <c r="BJ1493" s="205"/>
      <c r="BK1493" s="205"/>
      <c r="BL1493" s="205"/>
    </row>
    <row r="1494" spans="62:64" x14ac:dyDescent="0.25">
      <c r="BJ1494" s="205"/>
      <c r="BK1494" s="205"/>
      <c r="BL1494" s="205"/>
    </row>
    <row r="1495" spans="62:64" x14ac:dyDescent="0.25">
      <c r="BJ1495" s="205"/>
      <c r="BK1495" s="205"/>
      <c r="BL1495" s="205"/>
    </row>
    <row r="1496" spans="62:64" x14ac:dyDescent="0.25">
      <c r="BJ1496" s="205"/>
      <c r="BK1496" s="205"/>
      <c r="BL1496" s="205"/>
    </row>
    <row r="1497" spans="62:64" x14ac:dyDescent="0.25">
      <c r="BJ1497" s="205"/>
      <c r="BK1497" s="205"/>
      <c r="BL1497" s="205"/>
    </row>
    <row r="1498" spans="62:64" x14ac:dyDescent="0.25">
      <c r="BJ1498" s="205"/>
      <c r="BK1498" s="205"/>
      <c r="BL1498" s="205"/>
    </row>
    <row r="1499" spans="62:64" x14ac:dyDescent="0.25">
      <c r="BJ1499" s="205"/>
      <c r="BK1499" s="205"/>
      <c r="BL1499" s="205"/>
    </row>
    <row r="1500" spans="62:64" x14ac:dyDescent="0.25">
      <c r="BJ1500" s="205"/>
      <c r="BK1500" s="205"/>
      <c r="BL1500" s="205"/>
    </row>
    <row r="1501" spans="62:64" x14ac:dyDescent="0.25">
      <c r="BJ1501" s="205"/>
      <c r="BK1501" s="205"/>
      <c r="BL1501" s="205"/>
    </row>
    <row r="1502" spans="62:64" x14ac:dyDescent="0.25">
      <c r="BJ1502" s="205"/>
      <c r="BK1502" s="205"/>
      <c r="BL1502" s="20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1284"/>
  <sheetViews>
    <sheetView workbookViewId="0">
      <selection activeCell="BP6" sqref="BP6"/>
    </sheetView>
  </sheetViews>
  <sheetFormatPr defaultRowHeight="15" x14ac:dyDescent="0.25"/>
  <cols>
    <col min="1" max="4" width="9.140625" style="205"/>
    <col min="5" max="5" width="10.42578125" style="205" customWidth="1"/>
    <col min="6" max="8" width="9.140625" style="205" hidden="1" customWidth="1"/>
    <col min="9" max="9" width="27.140625" style="205" customWidth="1"/>
    <col min="10" max="57" width="9.140625" style="205" hidden="1" customWidth="1"/>
    <col min="58" max="60" width="9.140625" style="205"/>
    <col min="61" max="61" width="9.140625" style="205" customWidth="1"/>
    <col min="62" max="62" width="10.5703125" style="201" bestFit="1" customWidth="1"/>
    <col min="63" max="63" width="9.140625" style="203"/>
    <col min="64" max="64" width="9.140625" style="204"/>
    <col min="65" max="16384" width="9.140625" style="205"/>
  </cols>
  <sheetData>
    <row r="1" spans="1:66" x14ac:dyDescent="0.25">
      <c r="A1" s="205" t="s">
        <v>166</v>
      </c>
      <c r="B1" s="205" t="s">
        <v>167</v>
      </c>
      <c r="C1" s="205" t="s">
        <v>168</v>
      </c>
      <c r="D1" s="205" t="s">
        <v>169</v>
      </c>
      <c r="E1" s="205" t="s">
        <v>170</v>
      </c>
      <c r="F1" s="205" t="s">
        <v>171</v>
      </c>
      <c r="G1" s="205" t="s">
        <v>172</v>
      </c>
      <c r="H1" s="205" t="s">
        <v>173</v>
      </c>
      <c r="I1" s="205" t="s">
        <v>174</v>
      </c>
      <c r="J1" s="205" t="s">
        <v>175</v>
      </c>
      <c r="K1" s="205" t="s">
        <v>176</v>
      </c>
      <c r="L1" s="205" t="s">
        <v>177</v>
      </c>
      <c r="M1" s="205" t="s">
        <v>178</v>
      </c>
      <c r="N1" s="205" t="s">
        <v>179</v>
      </c>
      <c r="O1" s="205" t="s">
        <v>180</v>
      </c>
      <c r="P1" s="205" t="s">
        <v>181</v>
      </c>
      <c r="Q1" s="205" t="s">
        <v>182</v>
      </c>
      <c r="R1" s="205" t="s">
        <v>183</v>
      </c>
      <c r="S1" s="205" t="s">
        <v>184</v>
      </c>
      <c r="T1" s="205" t="s">
        <v>185</v>
      </c>
      <c r="U1" s="205" t="s">
        <v>186</v>
      </c>
      <c r="V1" s="205" t="s">
        <v>187</v>
      </c>
      <c r="X1" s="205" t="s">
        <v>189</v>
      </c>
      <c r="Y1" s="205" t="s">
        <v>190</v>
      </c>
      <c r="Z1" s="205" t="s">
        <v>191</v>
      </c>
      <c r="AA1" s="205" t="s">
        <v>192</v>
      </c>
      <c r="AB1" s="205" t="s">
        <v>193</v>
      </c>
      <c r="AC1" s="205" t="s">
        <v>194</v>
      </c>
      <c r="AD1" s="205" t="s">
        <v>195</v>
      </c>
      <c r="AE1" s="205" t="s">
        <v>196</v>
      </c>
      <c r="AF1" s="205" t="s">
        <v>197</v>
      </c>
      <c r="AG1" s="205" t="s">
        <v>198</v>
      </c>
      <c r="AH1" s="205" t="s">
        <v>199</v>
      </c>
      <c r="AI1" s="205" t="s">
        <v>200</v>
      </c>
      <c r="AJ1" s="205" t="s">
        <v>201</v>
      </c>
      <c r="AK1" s="205" t="s">
        <v>202</v>
      </c>
      <c r="AL1" s="205" t="s">
        <v>203</v>
      </c>
      <c r="AM1" s="205" t="s">
        <v>204</v>
      </c>
      <c r="AN1" s="205" t="s">
        <v>205</v>
      </c>
      <c r="AO1" s="205" t="s">
        <v>206</v>
      </c>
      <c r="AP1" s="205" t="s">
        <v>207</v>
      </c>
      <c r="AQ1" s="205" t="s">
        <v>208</v>
      </c>
      <c r="AR1" s="205" t="s">
        <v>209</v>
      </c>
      <c r="AS1" s="205" t="s">
        <v>210</v>
      </c>
      <c r="AT1" s="205" t="s">
        <v>211</v>
      </c>
      <c r="AU1" s="205" t="s">
        <v>212</v>
      </c>
      <c r="AV1" s="205" t="s">
        <v>213</v>
      </c>
      <c r="AW1" s="205" t="s">
        <v>214</v>
      </c>
      <c r="AX1" s="205" t="s">
        <v>215</v>
      </c>
      <c r="AY1" s="205" t="s">
        <v>216</v>
      </c>
      <c r="AZ1" s="205" t="s">
        <v>217</v>
      </c>
      <c r="BA1" s="205" t="s">
        <v>218</v>
      </c>
      <c r="BB1" s="205" t="s">
        <v>219</v>
      </c>
      <c r="BC1" s="205" t="s">
        <v>220</v>
      </c>
      <c r="BD1" s="205" t="s">
        <v>221</v>
      </c>
      <c r="BE1" s="205" t="s">
        <v>222</v>
      </c>
      <c r="BF1" s="205" t="s">
        <v>538</v>
      </c>
      <c r="BG1" s="205" t="s">
        <v>1870</v>
      </c>
      <c r="BH1" s="205" t="s">
        <v>186</v>
      </c>
      <c r="BI1" s="205" t="s">
        <v>183</v>
      </c>
      <c r="BJ1" s="201" t="s">
        <v>1871</v>
      </c>
      <c r="BK1" s="203" t="s">
        <v>1872</v>
      </c>
      <c r="BL1" s="204" t="s">
        <v>1873</v>
      </c>
      <c r="BM1" s="205" t="s">
        <v>1874</v>
      </c>
      <c r="BN1" s="205" t="s">
        <v>1875</v>
      </c>
    </row>
    <row r="2" spans="1:66" x14ac:dyDescent="0.25">
      <c r="A2" s="205" t="s">
        <v>1876</v>
      </c>
      <c r="B2" s="205" t="s">
        <v>1877</v>
      </c>
      <c r="C2" s="205" t="s">
        <v>1878</v>
      </c>
      <c r="D2" s="205" t="s">
        <v>1879</v>
      </c>
      <c r="E2" s="201">
        <v>42282</v>
      </c>
      <c r="F2" s="205" t="s">
        <v>1880</v>
      </c>
      <c r="G2" s="205" t="s">
        <v>232</v>
      </c>
      <c r="H2" s="205" t="s">
        <v>1881</v>
      </c>
      <c r="I2" s="205" t="s">
        <v>1882</v>
      </c>
      <c r="J2" s="205" t="s">
        <v>379</v>
      </c>
      <c r="K2" s="205" t="s">
        <v>447</v>
      </c>
      <c r="L2" s="205" t="s">
        <v>448</v>
      </c>
      <c r="M2" s="205" t="s">
        <v>449</v>
      </c>
      <c r="O2" s="200" t="s">
        <v>290</v>
      </c>
      <c r="P2" s="200" t="s">
        <v>1883</v>
      </c>
      <c r="Q2" s="205" t="s">
        <v>449</v>
      </c>
      <c r="R2" s="202">
        <v>14</v>
      </c>
      <c r="U2" s="205" t="s">
        <v>445</v>
      </c>
      <c r="V2" s="205" t="s">
        <v>247</v>
      </c>
      <c r="W2" s="205" t="s">
        <v>248</v>
      </c>
      <c r="X2" s="205" t="s">
        <v>302</v>
      </c>
      <c r="Y2" s="200" t="s">
        <v>554</v>
      </c>
      <c r="Z2" s="205" t="s">
        <v>1884</v>
      </c>
      <c r="AA2" s="200" t="s">
        <v>259</v>
      </c>
      <c r="AB2" s="205" t="s">
        <v>284</v>
      </c>
      <c r="AC2" s="200" t="s">
        <v>266</v>
      </c>
      <c r="AD2" s="205" t="s">
        <v>293</v>
      </c>
      <c r="AE2" s="205" t="s">
        <v>232</v>
      </c>
      <c r="AF2" s="205" t="s">
        <v>1885</v>
      </c>
      <c r="AG2" s="205" t="s">
        <v>239</v>
      </c>
      <c r="AH2" s="205" t="s">
        <v>239</v>
      </c>
      <c r="AI2" s="205" t="s">
        <v>1886</v>
      </c>
      <c r="AJ2" s="205" t="s">
        <v>1887</v>
      </c>
      <c r="AK2" s="205" t="s">
        <v>239</v>
      </c>
      <c r="AL2" s="205" t="s">
        <v>239</v>
      </c>
      <c r="AM2" s="205" t="s">
        <v>239</v>
      </c>
      <c r="AN2" s="205" t="s">
        <v>239</v>
      </c>
      <c r="AO2" s="200" t="s">
        <v>235</v>
      </c>
      <c r="AP2" s="200" t="s">
        <v>235</v>
      </c>
      <c r="AQ2" s="200" t="s">
        <v>235</v>
      </c>
      <c r="AR2" s="200" t="s">
        <v>235</v>
      </c>
      <c r="AS2" s="200" t="s">
        <v>299</v>
      </c>
      <c r="AT2" s="200" t="s">
        <v>299</v>
      </c>
      <c r="AU2" s="200" t="s">
        <v>240</v>
      </c>
      <c r="AV2" s="205" t="s">
        <v>242</v>
      </c>
      <c r="AW2" s="205" t="s">
        <v>243</v>
      </c>
      <c r="AY2" s="200" t="s">
        <v>239</v>
      </c>
      <c r="AZ2" s="205" t="s">
        <v>1888</v>
      </c>
      <c r="BA2" s="205" t="s">
        <v>244</v>
      </c>
      <c r="BB2" s="205" t="s">
        <v>244</v>
      </c>
      <c r="BD2" s="205" t="s">
        <v>239</v>
      </c>
      <c r="BE2" s="205" t="s">
        <v>446</v>
      </c>
      <c r="BF2" s="205" t="s">
        <v>11</v>
      </c>
      <c r="BH2" s="199">
        <v>53727</v>
      </c>
      <c r="BI2" s="202">
        <v>14</v>
      </c>
      <c r="BK2" s="203" t="s">
        <v>289</v>
      </c>
    </row>
    <row r="3" spans="1:66" x14ac:dyDescent="0.25">
      <c r="A3" s="205" t="s">
        <v>1889</v>
      </c>
      <c r="B3" s="205" t="s">
        <v>1890</v>
      </c>
      <c r="C3" s="205" t="s">
        <v>1891</v>
      </c>
      <c r="D3" s="205" t="s">
        <v>1892</v>
      </c>
      <c r="E3" s="201">
        <v>42282</v>
      </c>
      <c r="F3" s="205" t="s">
        <v>1893</v>
      </c>
      <c r="G3" s="205" t="s">
        <v>232</v>
      </c>
      <c r="H3" s="205" t="s">
        <v>1894</v>
      </c>
      <c r="I3" s="205" t="s">
        <v>1895</v>
      </c>
      <c r="J3" s="205" t="s">
        <v>1896</v>
      </c>
      <c r="K3" s="205" t="s">
        <v>450</v>
      </c>
      <c r="L3" s="205" t="s">
        <v>451</v>
      </c>
      <c r="M3" s="205" t="s">
        <v>463</v>
      </c>
      <c r="O3" s="200" t="s">
        <v>345</v>
      </c>
      <c r="P3" s="200" t="s">
        <v>1897</v>
      </c>
      <c r="Q3" s="205" t="s">
        <v>463</v>
      </c>
      <c r="R3" s="202">
        <v>8</v>
      </c>
      <c r="U3" s="205" t="s">
        <v>456</v>
      </c>
      <c r="W3" s="205" t="s">
        <v>234</v>
      </c>
      <c r="X3" s="205" t="s">
        <v>309</v>
      </c>
      <c r="Y3" s="200" t="s">
        <v>548</v>
      </c>
      <c r="Z3" s="205" t="s">
        <v>1898</v>
      </c>
      <c r="AA3" s="200" t="s">
        <v>320</v>
      </c>
      <c r="AB3" s="205" t="s">
        <v>1899</v>
      </c>
      <c r="AC3" s="200" t="s">
        <v>394</v>
      </c>
      <c r="AD3" s="205" t="s">
        <v>1900</v>
      </c>
      <c r="AE3" s="205" t="s">
        <v>232</v>
      </c>
      <c r="AF3" s="205" t="s">
        <v>1901</v>
      </c>
      <c r="AG3" s="205" t="s">
        <v>239</v>
      </c>
      <c r="AH3" s="205" t="s">
        <v>239</v>
      </c>
      <c r="AI3" s="205" t="s">
        <v>1902</v>
      </c>
      <c r="AJ3" s="205" t="s">
        <v>1903</v>
      </c>
      <c r="AK3" s="205" t="s">
        <v>239</v>
      </c>
      <c r="AL3" s="205" t="s">
        <v>239</v>
      </c>
      <c r="AM3" s="205" t="s">
        <v>239</v>
      </c>
      <c r="AN3" s="205" t="s">
        <v>239</v>
      </c>
      <c r="AO3" s="200" t="s">
        <v>235</v>
      </c>
      <c r="AP3" s="200" t="s">
        <v>235</v>
      </c>
      <c r="AQ3" s="200" t="s">
        <v>235</v>
      </c>
      <c r="AR3" s="200" t="s">
        <v>239</v>
      </c>
      <c r="AS3" s="200" t="s">
        <v>299</v>
      </c>
      <c r="AT3" s="200" t="s">
        <v>299</v>
      </c>
      <c r="AU3" s="200" t="s">
        <v>241</v>
      </c>
      <c r="AV3" s="205" t="s">
        <v>242</v>
      </c>
      <c r="AW3" s="205" t="s">
        <v>243</v>
      </c>
      <c r="AY3" s="205" t="s">
        <v>239</v>
      </c>
      <c r="AZ3" s="205" t="s">
        <v>1904</v>
      </c>
      <c r="BA3" s="205" t="s">
        <v>244</v>
      </c>
      <c r="BB3" s="205" t="s">
        <v>1904</v>
      </c>
      <c r="BD3" s="205" t="s">
        <v>239</v>
      </c>
      <c r="BE3" s="205" t="s">
        <v>446</v>
      </c>
      <c r="BF3" s="205" t="s">
        <v>457</v>
      </c>
      <c r="BH3" s="205" t="s">
        <v>456</v>
      </c>
      <c r="BI3" s="202">
        <v>8</v>
      </c>
      <c r="BJ3" s="201">
        <v>42292</v>
      </c>
      <c r="BK3" s="203" t="s">
        <v>301</v>
      </c>
      <c r="BM3" s="205">
        <v>42</v>
      </c>
    </row>
    <row r="4" spans="1:66" x14ac:dyDescent="0.25">
      <c r="A4" s="205" t="s">
        <v>1889</v>
      </c>
      <c r="B4" s="205" t="s">
        <v>1905</v>
      </c>
      <c r="C4" s="205" t="s">
        <v>1906</v>
      </c>
      <c r="D4" s="205" t="s">
        <v>1907</v>
      </c>
      <c r="E4" s="201">
        <v>42282</v>
      </c>
      <c r="F4" s="205" t="s">
        <v>647</v>
      </c>
      <c r="G4" s="205" t="s">
        <v>232</v>
      </c>
      <c r="H4" s="205" t="s">
        <v>1908</v>
      </c>
      <c r="I4" s="205" t="s">
        <v>1909</v>
      </c>
      <c r="J4" s="205" t="s">
        <v>1910</v>
      </c>
      <c r="K4" s="205" t="s">
        <v>450</v>
      </c>
      <c r="L4" s="205" t="s">
        <v>451</v>
      </c>
      <c r="M4" s="205" t="s">
        <v>463</v>
      </c>
      <c r="O4" s="200" t="s">
        <v>513</v>
      </c>
      <c r="P4" s="200" t="s">
        <v>1911</v>
      </c>
      <c r="Q4" s="205" t="s">
        <v>463</v>
      </c>
      <c r="R4" s="202">
        <v>9</v>
      </c>
      <c r="U4" s="205" t="s">
        <v>456</v>
      </c>
      <c r="W4" s="205" t="s">
        <v>234</v>
      </c>
      <c r="X4" s="205" t="s">
        <v>309</v>
      </c>
      <c r="Y4" s="200" t="s">
        <v>415</v>
      </c>
      <c r="Z4" s="205" t="s">
        <v>1912</v>
      </c>
      <c r="AA4" s="200" t="s">
        <v>1913</v>
      </c>
      <c r="AB4" s="205" t="s">
        <v>528</v>
      </c>
      <c r="AC4" s="200" t="s">
        <v>1914</v>
      </c>
      <c r="AD4" s="205" t="s">
        <v>1915</v>
      </c>
      <c r="AE4" s="205" t="s">
        <v>232</v>
      </c>
      <c r="AF4" s="205" t="s">
        <v>1916</v>
      </c>
      <c r="AG4" s="205" t="s">
        <v>239</v>
      </c>
      <c r="AH4" s="205" t="s">
        <v>239</v>
      </c>
      <c r="AI4" s="205" t="s">
        <v>494</v>
      </c>
      <c r="AJ4" s="205" t="s">
        <v>645</v>
      </c>
      <c r="AK4" s="205" t="s">
        <v>239</v>
      </c>
      <c r="AL4" s="205" t="s">
        <v>239</v>
      </c>
      <c r="AM4" s="205" t="s">
        <v>239</v>
      </c>
      <c r="AN4" s="205" t="s">
        <v>239</v>
      </c>
      <c r="AO4" s="200" t="s">
        <v>235</v>
      </c>
      <c r="AP4" s="200" t="s">
        <v>239</v>
      </c>
      <c r="AQ4" s="200" t="s">
        <v>239</v>
      </c>
      <c r="AR4" s="200" t="s">
        <v>239</v>
      </c>
      <c r="AS4" s="200" t="s">
        <v>299</v>
      </c>
      <c r="AT4" s="200" t="s">
        <v>241</v>
      </c>
      <c r="AU4" s="200" t="s">
        <v>241</v>
      </c>
      <c r="AV4" s="205" t="s">
        <v>242</v>
      </c>
      <c r="AW4" s="205" t="s">
        <v>243</v>
      </c>
      <c r="AY4" s="205" t="s">
        <v>239</v>
      </c>
      <c r="AZ4" s="205" t="s">
        <v>1917</v>
      </c>
      <c r="BA4" s="205" t="s">
        <v>244</v>
      </c>
      <c r="BB4" s="205" t="s">
        <v>244</v>
      </c>
      <c r="BD4" s="205" t="s">
        <v>239</v>
      </c>
      <c r="BE4" s="205" t="s">
        <v>446</v>
      </c>
      <c r="BF4" s="205" t="s">
        <v>457</v>
      </c>
      <c r="BH4" s="205" t="s">
        <v>456</v>
      </c>
      <c r="BI4" s="202">
        <v>9</v>
      </c>
      <c r="BJ4" s="201">
        <v>42296</v>
      </c>
      <c r="BK4" s="203" t="s">
        <v>301</v>
      </c>
    </row>
    <row r="5" spans="1:66" x14ac:dyDescent="0.25">
      <c r="A5" s="205" t="s">
        <v>1889</v>
      </c>
      <c r="B5" s="205" t="s">
        <v>1918</v>
      </c>
      <c r="C5" s="205" t="s">
        <v>1919</v>
      </c>
      <c r="D5" s="205" t="s">
        <v>1920</v>
      </c>
      <c r="E5" s="201">
        <v>42282</v>
      </c>
      <c r="F5" s="205" t="s">
        <v>1921</v>
      </c>
      <c r="G5" s="205" t="s">
        <v>232</v>
      </c>
      <c r="H5" s="205" t="s">
        <v>1922</v>
      </c>
      <c r="I5" s="205" t="s">
        <v>1923</v>
      </c>
      <c r="K5" s="205" t="s">
        <v>450</v>
      </c>
      <c r="L5" s="205" t="s">
        <v>451</v>
      </c>
      <c r="M5" s="205" t="s">
        <v>463</v>
      </c>
      <c r="O5" s="200" t="s">
        <v>290</v>
      </c>
      <c r="P5" s="200" t="s">
        <v>1924</v>
      </c>
      <c r="Q5" s="205" t="s">
        <v>463</v>
      </c>
      <c r="R5" s="202">
        <v>10</v>
      </c>
      <c r="U5" s="205" t="s">
        <v>456</v>
      </c>
      <c r="W5" s="205" t="s">
        <v>234</v>
      </c>
      <c r="X5" s="205" t="s">
        <v>309</v>
      </c>
      <c r="Y5" s="200" t="s">
        <v>280</v>
      </c>
      <c r="Z5" s="205" t="s">
        <v>1925</v>
      </c>
      <c r="AA5" s="200" t="s">
        <v>1926</v>
      </c>
      <c r="AB5" s="205" t="s">
        <v>1927</v>
      </c>
      <c r="AC5" s="200" t="s">
        <v>258</v>
      </c>
      <c r="AD5" s="205" t="s">
        <v>1928</v>
      </c>
      <c r="AE5" s="205" t="s">
        <v>232</v>
      </c>
      <c r="AF5" s="205" t="s">
        <v>1929</v>
      </c>
      <c r="AG5" s="205" t="s">
        <v>239</v>
      </c>
      <c r="AH5" s="205" t="s">
        <v>239</v>
      </c>
      <c r="AI5" s="205" t="s">
        <v>1930</v>
      </c>
      <c r="AJ5" s="205" t="s">
        <v>1931</v>
      </c>
      <c r="AK5" s="205" t="s">
        <v>239</v>
      </c>
      <c r="AL5" s="205" t="s">
        <v>239</v>
      </c>
      <c r="AM5" s="205" t="s">
        <v>239</v>
      </c>
      <c r="AN5" s="205" t="s">
        <v>239</v>
      </c>
      <c r="AO5" s="200" t="s">
        <v>235</v>
      </c>
      <c r="AP5" s="200" t="s">
        <v>235</v>
      </c>
      <c r="AQ5" s="200" t="s">
        <v>235</v>
      </c>
      <c r="AR5" s="200" t="s">
        <v>239</v>
      </c>
      <c r="AS5" s="200" t="s">
        <v>299</v>
      </c>
      <c r="AT5" s="200" t="s">
        <v>299</v>
      </c>
      <c r="AU5" s="200" t="s">
        <v>241</v>
      </c>
      <c r="AV5" s="205" t="s">
        <v>242</v>
      </c>
      <c r="AW5" s="205" t="s">
        <v>243</v>
      </c>
      <c r="AY5" s="205" t="s">
        <v>239</v>
      </c>
      <c r="AZ5" s="205" t="s">
        <v>1932</v>
      </c>
      <c r="BA5" s="205" t="s">
        <v>244</v>
      </c>
      <c r="BB5" s="205" t="s">
        <v>244</v>
      </c>
      <c r="BD5" s="205" t="s">
        <v>239</v>
      </c>
      <c r="BE5" s="205" t="s">
        <v>446</v>
      </c>
      <c r="BF5" s="205" t="s">
        <v>457</v>
      </c>
      <c r="BH5" s="205" t="s">
        <v>456</v>
      </c>
      <c r="BI5" s="202">
        <v>10</v>
      </c>
      <c r="BJ5" s="201">
        <v>42292</v>
      </c>
      <c r="BK5" s="203" t="s">
        <v>301</v>
      </c>
      <c r="BM5" s="205">
        <v>42</v>
      </c>
    </row>
    <row r="6" spans="1:66" x14ac:dyDescent="0.25">
      <c r="A6" s="205" t="s">
        <v>1889</v>
      </c>
      <c r="B6" s="205" t="s">
        <v>1933</v>
      </c>
      <c r="C6" s="205" t="s">
        <v>1934</v>
      </c>
      <c r="D6" s="205" t="s">
        <v>1935</v>
      </c>
      <c r="E6" s="201">
        <v>42282</v>
      </c>
      <c r="F6" s="205" t="s">
        <v>263</v>
      </c>
      <c r="G6" s="205" t="s">
        <v>232</v>
      </c>
      <c r="H6" s="205" t="s">
        <v>1936</v>
      </c>
      <c r="I6" s="205" t="s">
        <v>1937</v>
      </c>
      <c r="J6" s="205" t="s">
        <v>375</v>
      </c>
      <c r="K6" s="205" t="s">
        <v>453</v>
      </c>
      <c r="L6" s="205" t="s">
        <v>454</v>
      </c>
      <c r="M6" s="205" t="s">
        <v>455</v>
      </c>
      <c r="O6" s="200" t="s">
        <v>571</v>
      </c>
      <c r="P6" s="200" t="s">
        <v>1938</v>
      </c>
      <c r="Q6" s="205" t="s">
        <v>455</v>
      </c>
      <c r="R6" s="202">
        <v>11</v>
      </c>
      <c r="U6" s="205" t="s">
        <v>456</v>
      </c>
      <c r="W6" s="205" t="s">
        <v>234</v>
      </c>
      <c r="X6" s="205" t="s">
        <v>265</v>
      </c>
      <c r="Y6" s="200" t="s">
        <v>554</v>
      </c>
      <c r="Z6" s="205" t="s">
        <v>1939</v>
      </c>
      <c r="AA6" s="200" t="s">
        <v>294</v>
      </c>
      <c r="AB6" s="205" t="s">
        <v>1940</v>
      </c>
      <c r="AC6" s="200" t="s">
        <v>297</v>
      </c>
      <c r="AD6" s="205" t="s">
        <v>1941</v>
      </c>
      <c r="AE6" s="205" t="s">
        <v>232</v>
      </c>
      <c r="AF6" s="205" t="s">
        <v>1942</v>
      </c>
      <c r="AG6" s="205" t="s">
        <v>239</v>
      </c>
      <c r="AH6" s="205" t="s">
        <v>239</v>
      </c>
      <c r="AI6" s="205" t="s">
        <v>1646</v>
      </c>
      <c r="AJ6" s="205" t="s">
        <v>1943</v>
      </c>
      <c r="AK6" s="205" t="s">
        <v>1944</v>
      </c>
      <c r="AL6" s="205" t="s">
        <v>239</v>
      </c>
      <c r="AM6" s="205" t="s">
        <v>239</v>
      </c>
      <c r="AN6" s="205" t="s">
        <v>239</v>
      </c>
      <c r="AO6" s="200" t="s">
        <v>239</v>
      </c>
      <c r="AP6" s="200" t="s">
        <v>239</v>
      </c>
      <c r="AQ6" s="200" t="s">
        <v>235</v>
      </c>
      <c r="AR6" s="200" t="s">
        <v>239</v>
      </c>
      <c r="AS6" s="200" t="s">
        <v>262</v>
      </c>
      <c r="AT6" s="200" t="s">
        <v>299</v>
      </c>
      <c r="AU6" s="200" t="s">
        <v>241</v>
      </c>
      <c r="AV6" s="205" t="s">
        <v>242</v>
      </c>
      <c r="AW6" s="205" t="s">
        <v>243</v>
      </c>
      <c r="AY6" s="205" t="s">
        <v>239</v>
      </c>
      <c r="AZ6" s="205" t="s">
        <v>1945</v>
      </c>
      <c r="BA6" s="205" t="s">
        <v>244</v>
      </c>
      <c r="BB6" s="205" t="s">
        <v>244</v>
      </c>
      <c r="BD6" s="205" t="s">
        <v>239</v>
      </c>
      <c r="BE6" s="205" t="s">
        <v>446</v>
      </c>
      <c r="BF6" s="205" t="s">
        <v>457</v>
      </c>
      <c r="BH6" s="205" t="s">
        <v>456</v>
      </c>
      <c r="BI6" s="202">
        <v>11</v>
      </c>
      <c r="BJ6" s="201">
        <v>42296</v>
      </c>
      <c r="BK6" s="203" t="s">
        <v>301</v>
      </c>
    </row>
    <row r="7" spans="1:66" x14ac:dyDescent="0.25">
      <c r="A7" s="205" t="s">
        <v>1889</v>
      </c>
      <c r="B7" s="205" t="s">
        <v>1946</v>
      </c>
      <c r="C7" s="205" t="s">
        <v>1947</v>
      </c>
      <c r="D7" s="205" t="s">
        <v>1948</v>
      </c>
      <c r="E7" s="201">
        <v>42282</v>
      </c>
      <c r="F7" s="205" t="s">
        <v>1949</v>
      </c>
      <c r="G7" s="205" t="s">
        <v>232</v>
      </c>
      <c r="H7" s="205" t="s">
        <v>1950</v>
      </c>
      <c r="I7" s="205" t="s">
        <v>1951</v>
      </c>
      <c r="K7" s="205" t="s">
        <v>458</v>
      </c>
      <c r="L7" s="205" t="s">
        <v>459</v>
      </c>
      <c r="M7" s="205" t="s">
        <v>460</v>
      </c>
      <c r="O7" s="200" t="s">
        <v>233</v>
      </c>
      <c r="P7" s="200" t="s">
        <v>1952</v>
      </c>
      <c r="Q7" s="205" t="s">
        <v>460</v>
      </c>
      <c r="R7" s="202">
        <v>12</v>
      </c>
      <c r="U7" s="205" t="s">
        <v>456</v>
      </c>
      <c r="W7" s="205" t="s">
        <v>234</v>
      </c>
      <c r="X7" s="205" t="s">
        <v>309</v>
      </c>
      <c r="Y7" s="200" t="s">
        <v>519</v>
      </c>
      <c r="Z7" s="205" t="s">
        <v>1953</v>
      </c>
      <c r="AA7" s="200" t="s">
        <v>422</v>
      </c>
      <c r="AB7" s="205" t="s">
        <v>1954</v>
      </c>
      <c r="AC7" s="200" t="s">
        <v>342</v>
      </c>
      <c r="AD7" s="205" t="s">
        <v>1955</v>
      </c>
      <c r="AE7" s="205" t="s">
        <v>232</v>
      </c>
      <c r="AF7" s="205" t="s">
        <v>1956</v>
      </c>
      <c r="AG7" s="205" t="s">
        <v>239</v>
      </c>
      <c r="AH7" s="205" t="s">
        <v>239</v>
      </c>
      <c r="AI7" s="205" t="s">
        <v>1957</v>
      </c>
      <c r="AJ7" s="205" t="s">
        <v>1957</v>
      </c>
      <c r="AK7" s="205" t="s">
        <v>239</v>
      </c>
      <c r="AL7" s="205" t="s">
        <v>239</v>
      </c>
      <c r="AM7" s="205" t="s">
        <v>239</v>
      </c>
      <c r="AN7" s="205" t="s">
        <v>239</v>
      </c>
      <c r="AO7" s="200" t="s">
        <v>239</v>
      </c>
      <c r="AP7" s="200" t="s">
        <v>239</v>
      </c>
      <c r="AQ7" s="200" t="s">
        <v>235</v>
      </c>
      <c r="AR7" s="200" t="s">
        <v>239</v>
      </c>
      <c r="AS7" s="200" t="s">
        <v>262</v>
      </c>
      <c r="AT7" s="200" t="s">
        <v>299</v>
      </c>
      <c r="AU7" s="200" t="s">
        <v>241</v>
      </c>
      <c r="AV7" s="205" t="s">
        <v>242</v>
      </c>
      <c r="AW7" s="205" t="s">
        <v>243</v>
      </c>
      <c r="AY7" s="205" t="s">
        <v>239</v>
      </c>
      <c r="AZ7" s="205" t="s">
        <v>1958</v>
      </c>
      <c r="BA7" s="205" t="s">
        <v>244</v>
      </c>
      <c r="BB7" s="205" t="s">
        <v>244</v>
      </c>
      <c r="BD7" s="205" t="s">
        <v>239</v>
      </c>
      <c r="BE7" s="205" t="s">
        <v>446</v>
      </c>
      <c r="BF7" s="205" t="s">
        <v>457</v>
      </c>
      <c r="BH7" s="205" t="s">
        <v>456</v>
      </c>
      <c r="BI7" s="202">
        <v>12</v>
      </c>
      <c r="BJ7" s="201">
        <v>42294</v>
      </c>
      <c r="BK7" s="203" t="s">
        <v>301</v>
      </c>
      <c r="BM7" s="205">
        <v>42</v>
      </c>
    </row>
    <row r="8" spans="1:66" x14ac:dyDescent="0.25">
      <c r="A8" s="205" t="s">
        <v>1889</v>
      </c>
      <c r="B8" s="205" t="s">
        <v>1959</v>
      </c>
      <c r="C8" s="205" t="s">
        <v>1960</v>
      </c>
      <c r="D8" s="205" t="s">
        <v>1961</v>
      </c>
      <c r="E8" s="201">
        <v>42282</v>
      </c>
      <c r="F8" s="205" t="s">
        <v>1962</v>
      </c>
      <c r="G8" s="205" t="s">
        <v>232</v>
      </c>
      <c r="H8" s="205" t="s">
        <v>1963</v>
      </c>
      <c r="I8" s="205" t="s">
        <v>1964</v>
      </c>
      <c r="J8" s="205" t="s">
        <v>353</v>
      </c>
      <c r="K8" s="205" t="s">
        <v>450</v>
      </c>
      <c r="L8" s="205" t="s">
        <v>451</v>
      </c>
      <c r="M8" s="205" t="s">
        <v>452</v>
      </c>
      <c r="O8" s="200" t="s">
        <v>288</v>
      </c>
      <c r="P8" s="200" t="s">
        <v>1965</v>
      </c>
      <c r="Q8" s="205" t="s">
        <v>452</v>
      </c>
      <c r="R8" s="202">
        <v>13</v>
      </c>
      <c r="U8" s="205" t="s">
        <v>456</v>
      </c>
      <c r="W8" s="205" t="s">
        <v>234</v>
      </c>
      <c r="X8" s="205" t="s">
        <v>542</v>
      </c>
      <c r="Y8" s="200" t="s">
        <v>664</v>
      </c>
      <c r="Z8" s="205" t="s">
        <v>1966</v>
      </c>
      <c r="AA8" s="200" t="s">
        <v>230</v>
      </c>
      <c r="AB8" s="205" t="s">
        <v>1967</v>
      </c>
      <c r="AC8" s="200" t="s">
        <v>230</v>
      </c>
      <c r="AD8" s="205" t="s">
        <v>260</v>
      </c>
      <c r="AE8" s="205" t="s">
        <v>232</v>
      </c>
      <c r="AF8" s="205" t="s">
        <v>1968</v>
      </c>
      <c r="AG8" s="205" t="s">
        <v>1969</v>
      </c>
      <c r="AH8" s="205" t="s">
        <v>239</v>
      </c>
      <c r="AI8" s="205" t="s">
        <v>1970</v>
      </c>
      <c r="AJ8" s="205" t="s">
        <v>239</v>
      </c>
      <c r="AK8" s="205" t="s">
        <v>1971</v>
      </c>
      <c r="AL8" s="205" t="s">
        <v>239</v>
      </c>
      <c r="AM8" s="205" t="s">
        <v>239</v>
      </c>
      <c r="AN8" s="205" t="s">
        <v>239</v>
      </c>
      <c r="AO8" s="200" t="s">
        <v>235</v>
      </c>
      <c r="AP8" s="200" t="s">
        <v>235</v>
      </c>
      <c r="AQ8" s="200" t="s">
        <v>235</v>
      </c>
      <c r="AR8" s="200" t="s">
        <v>239</v>
      </c>
      <c r="AS8" s="200" t="s">
        <v>299</v>
      </c>
      <c r="AT8" s="200" t="s">
        <v>299</v>
      </c>
      <c r="AU8" s="200" t="s">
        <v>241</v>
      </c>
      <c r="AV8" s="205" t="s">
        <v>242</v>
      </c>
      <c r="AW8" s="205" t="s">
        <v>243</v>
      </c>
      <c r="AX8" s="200" t="s">
        <v>1972</v>
      </c>
      <c r="AY8" s="205" t="s">
        <v>300</v>
      </c>
      <c r="AZ8" s="205" t="s">
        <v>1973</v>
      </c>
      <c r="BA8" s="205" t="s">
        <v>244</v>
      </c>
      <c r="BB8" s="205" t="s">
        <v>244</v>
      </c>
      <c r="BD8" s="205" t="s">
        <v>239</v>
      </c>
      <c r="BE8" s="205" t="s">
        <v>446</v>
      </c>
      <c r="BF8" s="205" t="s">
        <v>457</v>
      </c>
      <c r="BH8" s="205" t="s">
        <v>456</v>
      </c>
      <c r="BI8" s="202">
        <v>13</v>
      </c>
      <c r="BJ8" s="201">
        <v>42293</v>
      </c>
      <c r="BK8" s="203" t="s">
        <v>245</v>
      </c>
      <c r="BL8" s="204">
        <v>701.63</v>
      </c>
      <c r="BM8" s="205">
        <v>42</v>
      </c>
    </row>
    <row r="9" spans="1:66" x14ac:dyDescent="0.25">
      <c r="A9" s="205" t="s">
        <v>1876</v>
      </c>
      <c r="B9" s="205" t="s">
        <v>1974</v>
      </c>
      <c r="C9" s="205" t="s">
        <v>1975</v>
      </c>
      <c r="D9" s="205" t="s">
        <v>1976</v>
      </c>
      <c r="E9" s="201">
        <v>42282</v>
      </c>
      <c r="F9" s="205" t="s">
        <v>1977</v>
      </c>
      <c r="G9" s="205" t="s">
        <v>232</v>
      </c>
      <c r="H9" s="205" t="s">
        <v>1978</v>
      </c>
      <c r="I9" s="205" t="s">
        <v>1979</v>
      </c>
      <c r="K9" s="205" t="s">
        <v>450</v>
      </c>
      <c r="L9" s="205" t="s">
        <v>451</v>
      </c>
      <c r="M9" s="205" t="s">
        <v>463</v>
      </c>
      <c r="Q9" s="205" t="s">
        <v>463</v>
      </c>
      <c r="R9" s="202">
        <v>14</v>
      </c>
      <c r="U9" s="205" t="s">
        <v>456</v>
      </c>
      <c r="W9" s="205" t="s">
        <v>234</v>
      </c>
      <c r="X9" s="205" t="s">
        <v>302</v>
      </c>
      <c r="Y9" s="200" t="s">
        <v>519</v>
      </c>
      <c r="Z9" s="205" t="s">
        <v>1980</v>
      </c>
      <c r="AA9" s="200" t="s">
        <v>230</v>
      </c>
      <c r="AB9" s="205" t="s">
        <v>1981</v>
      </c>
      <c r="AC9" s="200" t="s">
        <v>304</v>
      </c>
      <c r="AD9" s="205" t="s">
        <v>1982</v>
      </c>
      <c r="AE9" s="205" t="s">
        <v>232</v>
      </c>
      <c r="AF9" s="205" t="s">
        <v>1983</v>
      </c>
      <c r="AG9" s="205" t="s">
        <v>239</v>
      </c>
      <c r="AH9" s="205" t="s">
        <v>239</v>
      </c>
      <c r="AI9" s="205" t="s">
        <v>1984</v>
      </c>
      <c r="AJ9" s="205" t="s">
        <v>1985</v>
      </c>
      <c r="AK9" s="205" t="s">
        <v>239</v>
      </c>
      <c r="AL9" s="205" t="s">
        <v>239</v>
      </c>
      <c r="AM9" s="205" t="s">
        <v>239</v>
      </c>
      <c r="AN9" s="205" t="s">
        <v>239</v>
      </c>
      <c r="AO9" s="200" t="s">
        <v>235</v>
      </c>
      <c r="AP9" s="200" t="s">
        <v>235</v>
      </c>
      <c r="AQ9" s="200" t="s">
        <v>235</v>
      </c>
      <c r="AR9" s="200" t="s">
        <v>239</v>
      </c>
      <c r="AS9" s="200" t="s">
        <v>299</v>
      </c>
      <c r="AT9" s="200" t="s">
        <v>299</v>
      </c>
      <c r="AU9" s="200" t="s">
        <v>241</v>
      </c>
      <c r="AV9" s="205" t="s">
        <v>242</v>
      </c>
      <c r="AW9" s="205" t="s">
        <v>243</v>
      </c>
      <c r="AY9" s="205" t="s">
        <v>239</v>
      </c>
      <c r="AZ9" s="205" t="s">
        <v>1986</v>
      </c>
      <c r="BA9" s="205" t="s">
        <v>244</v>
      </c>
      <c r="BB9" s="205" t="s">
        <v>244</v>
      </c>
      <c r="BD9" s="205" t="s">
        <v>239</v>
      </c>
      <c r="BE9" s="205" t="s">
        <v>446</v>
      </c>
      <c r="BF9" s="205" t="s">
        <v>457</v>
      </c>
      <c r="BH9" s="205" t="s">
        <v>456</v>
      </c>
      <c r="BI9" s="202">
        <v>14</v>
      </c>
      <c r="BJ9" s="201">
        <v>42292</v>
      </c>
      <c r="BK9" s="203" t="s">
        <v>301</v>
      </c>
      <c r="BM9" s="205">
        <v>42</v>
      </c>
    </row>
    <row r="10" spans="1:66" x14ac:dyDescent="0.25">
      <c r="A10" s="205" t="s">
        <v>1876</v>
      </c>
      <c r="B10" s="205" t="s">
        <v>1987</v>
      </c>
      <c r="C10" s="205" t="s">
        <v>1988</v>
      </c>
      <c r="D10" s="205" t="s">
        <v>1989</v>
      </c>
      <c r="E10" s="201">
        <v>42282</v>
      </c>
      <c r="F10" s="205" t="s">
        <v>1990</v>
      </c>
      <c r="G10" s="205" t="s">
        <v>232</v>
      </c>
      <c r="H10" s="205" t="s">
        <v>1991</v>
      </c>
      <c r="I10" s="205" t="s">
        <v>1992</v>
      </c>
      <c r="K10" s="205" t="s">
        <v>475</v>
      </c>
      <c r="L10" s="205" t="s">
        <v>476</v>
      </c>
      <c r="M10" s="205" t="s">
        <v>477</v>
      </c>
      <c r="O10" s="200" t="s">
        <v>290</v>
      </c>
      <c r="P10" s="200" t="s">
        <v>1993</v>
      </c>
      <c r="Q10" s="205" t="s">
        <v>477</v>
      </c>
      <c r="R10" s="202">
        <v>15</v>
      </c>
      <c r="U10" s="205" t="s">
        <v>456</v>
      </c>
      <c r="W10" s="205" t="s">
        <v>234</v>
      </c>
      <c r="X10" s="205" t="s">
        <v>235</v>
      </c>
      <c r="Y10" s="200" t="s">
        <v>516</v>
      </c>
      <c r="Z10" s="205" t="s">
        <v>1994</v>
      </c>
      <c r="AA10" s="200" t="s">
        <v>296</v>
      </c>
      <c r="AB10" s="205" t="s">
        <v>1995</v>
      </c>
      <c r="AC10" s="200" t="s">
        <v>372</v>
      </c>
      <c r="AD10" s="205" t="s">
        <v>1996</v>
      </c>
      <c r="AE10" s="205" t="s">
        <v>232</v>
      </c>
      <c r="AF10" s="205" t="s">
        <v>1997</v>
      </c>
      <c r="AG10" s="205" t="s">
        <v>1121</v>
      </c>
      <c r="AH10" s="205" t="s">
        <v>239</v>
      </c>
      <c r="AI10" s="205" t="s">
        <v>1998</v>
      </c>
      <c r="AJ10" s="205" t="s">
        <v>1801</v>
      </c>
      <c r="AK10" s="205" t="s">
        <v>1999</v>
      </c>
      <c r="AL10" s="205" t="s">
        <v>239</v>
      </c>
      <c r="AM10" s="205" t="s">
        <v>239</v>
      </c>
      <c r="AN10" s="205" t="s">
        <v>239</v>
      </c>
      <c r="AO10" s="200" t="s">
        <v>235</v>
      </c>
      <c r="AP10" s="200" t="s">
        <v>235</v>
      </c>
      <c r="AQ10" s="200" t="s">
        <v>235</v>
      </c>
      <c r="AR10" s="200" t="s">
        <v>239</v>
      </c>
      <c r="AS10" s="200" t="s">
        <v>299</v>
      </c>
      <c r="AT10" s="200" t="s">
        <v>299</v>
      </c>
      <c r="AU10" s="200" t="s">
        <v>241</v>
      </c>
      <c r="AV10" s="205" t="s">
        <v>242</v>
      </c>
      <c r="AW10" s="205" t="s">
        <v>243</v>
      </c>
      <c r="AY10" s="205" t="s">
        <v>239</v>
      </c>
      <c r="AZ10" s="205" t="s">
        <v>2000</v>
      </c>
      <c r="BA10" s="205" t="s">
        <v>244</v>
      </c>
      <c r="BB10" s="205" t="s">
        <v>244</v>
      </c>
      <c r="BD10" s="205" t="s">
        <v>239</v>
      </c>
      <c r="BE10" s="205" t="s">
        <v>446</v>
      </c>
      <c r="BF10" s="205" t="s">
        <v>457</v>
      </c>
      <c r="BH10" s="205" t="s">
        <v>456</v>
      </c>
      <c r="BI10" s="202">
        <v>15</v>
      </c>
      <c r="BJ10" s="201">
        <v>42293</v>
      </c>
      <c r="BK10" s="203" t="s">
        <v>301</v>
      </c>
      <c r="BM10" s="205">
        <v>42</v>
      </c>
    </row>
    <row r="11" spans="1:66" x14ac:dyDescent="0.25">
      <c r="A11" s="205" t="s">
        <v>1876</v>
      </c>
      <c r="B11" s="205" t="s">
        <v>2001</v>
      </c>
      <c r="C11" s="205" t="s">
        <v>2002</v>
      </c>
      <c r="D11" s="205" t="s">
        <v>2003</v>
      </c>
      <c r="E11" s="201">
        <v>42282</v>
      </c>
      <c r="F11" s="205" t="s">
        <v>2004</v>
      </c>
      <c r="G11" s="205" t="s">
        <v>232</v>
      </c>
      <c r="H11" s="205" t="s">
        <v>2005</v>
      </c>
      <c r="I11" s="205" t="s">
        <v>2006</v>
      </c>
      <c r="K11" s="205" t="s">
        <v>450</v>
      </c>
      <c r="L11" s="205" t="s">
        <v>451</v>
      </c>
      <c r="M11" s="205" t="s">
        <v>463</v>
      </c>
      <c r="O11" s="200" t="s">
        <v>233</v>
      </c>
      <c r="P11" s="200" t="s">
        <v>2007</v>
      </c>
      <c r="Q11" s="205" t="s">
        <v>463</v>
      </c>
      <c r="R11" s="202">
        <v>16</v>
      </c>
      <c r="U11" s="205" t="s">
        <v>456</v>
      </c>
      <c r="W11" s="205" t="s">
        <v>234</v>
      </c>
      <c r="X11" s="205" t="s">
        <v>272</v>
      </c>
      <c r="Y11" s="200" t="s">
        <v>505</v>
      </c>
      <c r="Z11" s="205" t="s">
        <v>2008</v>
      </c>
      <c r="AA11" s="200" t="s">
        <v>336</v>
      </c>
      <c r="AB11" s="205" t="s">
        <v>2008</v>
      </c>
      <c r="AC11" s="200" t="s">
        <v>292</v>
      </c>
      <c r="AD11" s="205" t="s">
        <v>2009</v>
      </c>
      <c r="AE11" s="205" t="s">
        <v>232</v>
      </c>
      <c r="AF11" s="205" t="s">
        <v>2010</v>
      </c>
      <c r="AG11" s="205" t="s">
        <v>239</v>
      </c>
      <c r="AH11" s="205" t="s">
        <v>239</v>
      </c>
      <c r="AI11" s="205" t="s">
        <v>1564</v>
      </c>
      <c r="AJ11" s="205" t="s">
        <v>2011</v>
      </c>
      <c r="AK11" s="205" t="s">
        <v>2012</v>
      </c>
      <c r="AL11" s="205" t="s">
        <v>239</v>
      </c>
      <c r="AM11" s="205" t="s">
        <v>239</v>
      </c>
      <c r="AN11" s="205" t="s">
        <v>239</v>
      </c>
      <c r="AO11" s="200" t="s">
        <v>239</v>
      </c>
      <c r="AP11" s="200" t="s">
        <v>239</v>
      </c>
      <c r="AQ11" s="200" t="s">
        <v>235</v>
      </c>
      <c r="AR11" s="200" t="s">
        <v>239</v>
      </c>
      <c r="AS11" s="200" t="s">
        <v>262</v>
      </c>
      <c r="AT11" s="200" t="s">
        <v>299</v>
      </c>
      <c r="AU11" s="200" t="s">
        <v>241</v>
      </c>
      <c r="AV11" s="205" t="s">
        <v>242</v>
      </c>
      <c r="AW11" s="205" t="s">
        <v>243</v>
      </c>
      <c r="AY11" s="205" t="s">
        <v>239</v>
      </c>
      <c r="AZ11" s="205" t="s">
        <v>2013</v>
      </c>
      <c r="BA11" s="205" t="s">
        <v>244</v>
      </c>
      <c r="BB11" s="205" t="s">
        <v>244</v>
      </c>
      <c r="BD11" s="205" t="s">
        <v>239</v>
      </c>
      <c r="BE11" s="205" t="s">
        <v>446</v>
      </c>
      <c r="BF11" s="205" t="s">
        <v>457</v>
      </c>
      <c r="BH11" s="205" t="s">
        <v>456</v>
      </c>
      <c r="BI11" s="202">
        <v>16</v>
      </c>
      <c r="BJ11" s="201">
        <v>42292</v>
      </c>
      <c r="BK11" s="203" t="s">
        <v>301</v>
      </c>
      <c r="BM11" s="205">
        <v>42</v>
      </c>
    </row>
    <row r="12" spans="1:66" x14ac:dyDescent="0.25">
      <c r="A12" s="205" t="s">
        <v>1876</v>
      </c>
      <c r="B12" s="205" t="s">
        <v>2014</v>
      </c>
      <c r="C12" s="205" t="s">
        <v>2015</v>
      </c>
      <c r="D12" s="205" t="s">
        <v>2016</v>
      </c>
      <c r="E12" s="201">
        <v>42282</v>
      </c>
      <c r="F12" s="205" t="s">
        <v>297</v>
      </c>
      <c r="G12" s="205" t="s">
        <v>232</v>
      </c>
      <c r="H12" s="205" t="s">
        <v>2017</v>
      </c>
      <c r="I12" s="205" t="s">
        <v>2018</v>
      </c>
      <c r="J12" s="205" t="s">
        <v>379</v>
      </c>
      <c r="K12" s="205" t="s">
        <v>453</v>
      </c>
      <c r="L12" s="205" t="s">
        <v>448</v>
      </c>
      <c r="M12" s="205" t="s">
        <v>455</v>
      </c>
      <c r="O12" s="200" t="s">
        <v>274</v>
      </c>
      <c r="P12" s="200" t="s">
        <v>2019</v>
      </c>
      <c r="Q12" s="205" t="s">
        <v>455</v>
      </c>
      <c r="R12" s="202">
        <v>17</v>
      </c>
      <c r="U12" s="205" t="s">
        <v>456</v>
      </c>
      <c r="W12" s="205" t="s">
        <v>234</v>
      </c>
      <c r="X12" s="205" t="s">
        <v>272</v>
      </c>
      <c r="Y12" s="200" t="s">
        <v>259</v>
      </c>
      <c r="Z12" s="205" t="s">
        <v>2020</v>
      </c>
      <c r="AA12" s="200" t="s">
        <v>266</v>
      </c>
      <c r="AB12" s="205" t="s">
        <v>2021</v>
      </c>
      <c r="AD12" s="205" t="s">
        <v>238</v>
      </c>
      <c r="AE12" s="205" t="s">
        <v>232</v>
      </c>
      <c r="AF12" s="205" t="s">
        <v>2022</v>
      </c>
      <c r="AG12" s="205" t="s">
        <v>239</v>
      </c>
      <c r="AH12" s="205" t="s">
        <v>2023</v>
      </c>
      <c r="AI12" s="205" t="s">
        <v>2024</v>
      </c>
      <c r="AJ12" s="205" t="s">
        <v>2025</v>
      </c>
      <c r="AK12" s="205" t="s">
        <v>2026</v>
      </c>
      <c r="AL12" s="205" t="s">
        <v>239</v>
      </c>
      <c r="AM12" s="205" t="s">
        <v>239</v>
      </c>
      <c r="AN12" s="205" t="s">
        <v>239</v>
      </c>
      <c r="AO12" s="200" t="s">
        <v>235</v>
      </c>
      <c r="AP12" s="200" t="s">
        <v>235</v>
      </c>
      <c r="AQ12" s="200" t="s">
        <v>235</v>
      </c>
      <c r="AR12" s="200" t="s">
        <v>235</v>
      </c>
      <c r="AS12" s="200" t="s">
        <v>299</v>
      </c>
      <c r="AT12" s="200" t="s">
        <v>299</v>
      </c>
      <c r="AU12" s="200" t="s">
        <v>299</v>
      </c>
      <c r="AV12" s="205" t="s">
        <v>242</v>
      </c>
      <c r="AW12" s="205" t="s">
        <v>243</v>
      </c>
      <c r="AY12" s="205" t="s">
        <v>239</v>
      </c>
      <c r="AZ12" s="205" t="s">
        <v>2027</v>
      </c>
      <c r="BA12" s="205" t="s">
        <v>244</v>
      </c>
      <c r="BB12" s="205" t="s">
        <v>244</v>
      </c>
      <c r="BD12" s="205" t="s">
        <v>239</v>
      </c>
      <c r="BE12" s="205" t="s">
        <v>446</v>
      </c>
      <c r="BF12" s="205" t="s">
        <v>457</v>
      </c>
      <c r="BH12" s="205" t="s">
        <v>456</v>
      </c>
      <c r="BI12" s="202">
        <v>17</v>
      </c>
      <c r="BJ12" s="201">
        <v>42296</v>
      </c>
      <c r="BK12" s="203" t="s">
        <v>301</v>
      </c>
    </row>
    <row r="13" spans="1:66" x14ac:dyDescent="0.25">
      <c r="A13" s="205" t="s">
        <v>1876</v>
      </c>
      <c r="B13" s="205" t="s">
        <v>2028</v>
      </c>
      <c r="C13" s="205" t="s">
        <v>2029</v>
      </c>
      <c r="D13" s="205" t="s">
        <v>2030</v>
      </c>
      <c r="E13" s="201">
        <v>42282</v>
      </c>
      <c r="F13" s="205" t="s">
        <v>2031</v>
      </c>
      <c r="G13" s="205" t="s">
        <v>232</v>
      </c>
      <c r="H13" s="205" t="s">
        <v>2032</v>
      </c>
      <c r="I13" s="205" t="s">
        <v>2033</v>
      </c>
      <c r="K13" s="205" t="s">
        <v>453</v>
      </c>
      <c r="L13" s="205" t="s">
        <v>454</v>
      </c>
      <c r="M13" s="205" t="s">
        <v>462</v>
      </c>
      <c r="Q13" s="205" t="s">
        <v>462</v>
      </c>
      <c r="R13" s="202">
        <v>18</v>
      </c>
      <c r="U13" s="205" t="s">
        <v>456</v>
      </c>
      <c r="W13" s="205" t="s">
        <v>234</v>
      </c>
      <c r="X13" s="205" t="s">
        <v>272</v>
      </c>
      <c r="Y13" s="200" t="s">
        <v>519</v>
      </c>
      <c r="Z13" s="205" t="s">
        <v>2034</v>
      </c>
      <c r="AA13" s="200" t="s">
        <v>312</v>
      </c>
      <c r="AB13" s="205" t="s">
        <v>2035</v>
      </c>
      <c r="AC13" s="200" t="s">
        <v>286</v>
      </c>
      <c r="AD13" s="205" t="s">
        <v>2035</v>
      </c>
      <c r="AE13" s="205" t="s">
        <v>232</v>
      </c>
      <c r="AF13" s="205" t="s">
        <v>2036</v>
      </c>
      <c r="AG13" s="205" t="s">
        <v>239</v>
      </c>
      <c r="AH13" s="205" t="s">
        <v>239</v>
      </c>
      <c r="AI13" s="205" t="s">
        <v>2037</v>
      </c>
      <c r="AJ13" s="205" t="s">
        <v>2038</v>
      </c>
      <c r="AK13" s="205" t="s">
        <v>2039</v>
      </c>
      <c r="AL13" s="205" t="s">
        <v>239</v>
      </c>
      <c r="AM13" s="205" t="s">
        <v>239</v>
      </c>
      <c r="AN13" s="205" t="s">
        <v>239</v>
      </c>
      <c r="AO13" s="200" t="s">
        <v>235</v>
      </c>
      <c r="AP13" s="200" t="s">
        <v>235</v>
      </c>
      <c r="AQ13" s="200" t="s">
        <v>239</v>
      </c>
      <c r="AR13" s="200" t="s">
        <v>239</v>
      </c>
      <c r="AS13" s="200" t="s">
        <v>299</v>
      </c>
      <c r="AT13" s="200" t="s">
        <v>241</v>
      </c>
      <c r="AU13" s="200" t="s">
        <v>241</v>
      </c>
      <c r="AV13" s="205" t="s">
        <v>242</v>
      </c>
      <c r="AW13" s="205" t="s">
        <v>243</v>
      </c>
      <c r="AY13" s="205" t="s">
        <v>239</v>
      </c>
      <c r="AZ13" s="205" t="s">
        <v>2040</v>
      </c>
      <c r="BA13" s="205" t="s">
        <v>244</v>
      </c>
      <c r="BB13" s="205" t="s">
        <v>244</v>
      </c>
      <c r="BD13" s="205" t="s">
        <v>239</v>
      </c>
      <c r="BE13" s="205" t="s">
        <v>446</v>
      </c>
      <c r="BF13" s="205" t="s">
        <v>457</v>
      </c>
      <c r="BH13" s="205" t="s">
        <v>456</v>
      </c>
      <c r="BI13" s="202">
        <v>18</v>
      </c>
      <c r="BJ13" s="201">
        <v>42294</v>
      </c>
      <c r="BK13" s="203" t="s">
        <v>301</v>
      </c>
      <c r="BM13" s="205">
        <v>42</v>
      </c>
    </row>
    <row r="14" spans="1:66" x14ac:dyDescent="0.25">
      <c r="A14" s="205" t="s">
        <v>1876</v>
      </c>
      <c r="B14" s="205" t="s">
        <v>2041</v>
      </c>
      <c r="C14" s="205" t="s">
        <v>2042</v>
      </c>
      <c r="D14" s="205" t="s">
        <v>2043</v>
      </c>
      <c r="E14" s="201">
        <v>42282</v>
      </c>
      <c r="F14" s="205" t="s">
        <v>359</v>
      </c>
      <c r="G14" s="205" t="s">
        <v>232</v>
      </c>
      <c r="H14" s="205" t="s">
        <v>273</v>
      </c>
      <c r="I14" s="205" t="s">
        <v>2044</v>
      </c>
      <c r="J14" s="205" t="s">
        <v>381</v>
      </c>
      <c r="K14" s="205" t="s">
        <v>453</v>
      </c>
      <c r="L14" s="205" t="s">
        <v>454</v>
      </c>
      <c r="M14" s="205" t="s">
        <v>455</v>
      </c>
      <c r="O14" s="200" t="s">
        <v>274</v>
      </c>
      <c r="P14" s="200" t="s">
        <v>2045</v>
      </c>
      <c r="Q14" s="205" t="s">
        <v>455</v>
      </c>
      <c r="R14" s="202">
        <v>19</v>
      </c>
      <c r="U14" s="205" t="s">
        <v>456</v>
      </c>
      <c r="W14" s="205" t="s">
        <v>234</v>
      </c>
      <c r="X14" s="205" t="s">
        <v>243</v>
      </c>
      <c r="Y14" s="200" t="s">
        <v>422</v>
      </c>
      <c r="Z14" s="205" t="s">
        <v>2046</v>
      </c>
      <c r="AA14" s="200" t="s">
        <v>414</v>
      </c>
      <c r="AB14" s="205" t="s">
        <v>2047</v>
      </c>
      <c r="AC14" s="200" t="s">
        <v>614</v>
      </c>
      <c r="AD14" s="205" t="s">
        <v>2048</v>
      </c>
      <c r="AE14" s="205" t="s">
        <v>232</v>
      </c>
      <c r="AF14" s="205" t="s">
        <v>2049</v>
      </c>
      <c r="AG14" s="205" t="s">
        <v>239</v>
      </c>
      <c r="AH14" s="205" t="s">
        <v>239</v>
      </c>
      <c r="AI14" s="205" t="s">
        <v>2050</v>
      </c>
      <c r="AJ14" s="205" t="s">
        <v>2051</v>
      </c>
      <c r="AK14" s="205" t="s">
        <v>2052</v>
      </c>
      <c r="AL14" s="205" t="s">
        <v>239</v>
      </c>
      <c r="AM14" s="205" t="s">
        <v>239</v>
      </c>
      <c r="AN14" s="205" t="s">
        <v>239</v>
      </c>
      <c r="AO14" s="200" t="s">
        <v>235</v>
      </c>
      <c r="AP14" s="200" t="s">
        <v>235</v>
      </c>
      <c r="AQ14" s="200" t="s">
        <v>235</v>
      </c>
      <c r="AR14" s="200" t="s">
        <v>235</v>
      </c>
      <c r="AS14" s="200" t="s">
        <v>299</v>
      </c>
      <c r="AT14" s="200" t="s">
        <v>299</v>
      </c>
      <c r="AU14" s="200" t="s">
        <v>299</v>
      </c>
      <c r="AV14" s="205" t="s">
        <v>242</v>
      </c>
      <c r="AW14" s="205" t="s">
        <v>243</v>
      </c>
      <c r="AY14" s="205" t="s">
        <v>239</v>
      </c>
      <c r="AZ14" s="205" t="s">
        <v>244</v>
      </c>
      <c r="BA14" s="205" t="s">
        <v>244</v>
      </c>
      <c r="BB14" s="205" t="s">
        <v>244</v>
      </c>
      <c r="BD14" s="205" t="s">
        <v>239</v>
      </c>
      <c r="BE14" s="205" t="s">
        <v>446</v>
      </c>
      <c r="BF14" s="205" t="s">
        <v>457</v>
      </c>
      <c r="BH14" s="205" t="s">
        <v>456</v>
      </c>
      <c r="BI14" s="202">
        <v>19</v>
      </c>
      <c r="BJ14" s="201">
        <v>42294</v>
      </c>
      <c r="BK14" s="203" t="s">
        <v>301</v>
      </c>
      <c r="BM14" s="205">
        <v>42</v>
      </c>
    </row>
    <row r="15" spans="1:66" x14ac:dyDescent="0.25">
      <c r="A15" s="205" t="s">
        <v>1876</v>
      </c>
      <c r="B15" s="205" t="s">
        <v>2053</v>
      </c>
      <c r="C15" s="205" t="s">
        <v>2054</v>
      </c>
      <c r="D15" s="205" t="s">
        <v>2055</v>
      </c>
      <c r="E15" s="201">
        <v>42282</v>
      </c>
      <c r="F15" s="205" t="s">
        <v>2056</v>
      </c>
      <c r="G15" s="205" t="s">
        <v>232</v>
      </c>
      <c r="H15" s="205" t="s">
        <v>2057</v>
      </c>
      <c r="I15" s="205" t="s">
        <v>2058</v>
      </c>
      <c r="J15" s="205" t="s">
        <v>2059</v>
      </c>
      <c r="K15" s="205" t="s">
        <v>464</v>
      </c>
      <c r="L15" s="205" t="s">
        <v>465</v>
      </c>
      <c r="M15" s="205" t="s">
        <v>466</v>
      </c>
      <c r="O15" s="200" t="s">
        <v>345</v>
      </c>
      <c r="P15" s="200" t="s">
        <v>2060</v>
      </c>
      <c r="Q15" s="205" t="s">
        <v>466</v>
      </c>
      <c r="R15" s="202">
        <v>20</v>
      </c>
      <c r="U15" s="205" t="s">
        <v>456</v>
      </c>
      <c r="W15" s="205" t="s">
        <v>234</v>
      </c>
      <c r="X15" s="205" t="s">
        <v>300</v>
      </c>
      <c r="Y15" s="200" t="s">
        <v>340</v>
      </c>
      <c r="Z15" s="205" t="s">
        <v>2061</v>
      </c>
      <c r="AA15" s="200" t="s">
        <v>276</v>
      </c>
      <c r="AB15" s="205" t="s">
        <v>2062</v>
      </c>
      <c r="AC15" s="200" t="s">
        <v>380</v>
      </c>
      <c r="AD15" s="205" t="s">
        <v>2063</v>
      </c>
      <c r="AE15" s="205" t="s">
        <v>232</v>
      </c>
      <c r="AF15" s="205" t="s">
        <v>2064</v>
      </c>
      <c r="AG15" s="205" t="s">
        <v>239</v>
      </c>
      <c r="AH15" s="205" t="s">
        <v>239</v>
      </c>
      <c r="AI15" s="205" t="s">
        <v>2065</v>
      </c>
      <c r="AJ15" s="205" t="s">
        <v>2066</v>
      </c>
      <c r="AK15" s="205" t="s">
        <v>2067</v>
      </c>
      <c r="AL15" s="205" t="s">
        <v>239</v>
      </c>
      <c r="AM15" s="205" t="s">
        <v>239</v>
      </c>
      <c r="AN15" s="205" t="s">
        <v>239</v>
      </c>
      <c r="AO15" s="200" t="s">
        <v>235</v>
      </c>
      <c r="AP15" s="200" t="s">
        <v>235</v>
      </c>
      <c r="AQ15" s="200" t="s">
        <v>235</v>
      </c>
      <c r="AR15" s="200" t="s">
        <v>235</v>
      </c>
      <c r="AS15" s="200" t="s">
        <v>299</v>
      </c>
      <c r="AT15" s="200" t="s">
        <v>299</v>
      </c>
      <c r="AU15" s="200" t="s">
        <v>299</v>
      </c>
      <c r="AV15" s="205" t="s">
        <v>242</v>
      </c>
      <c r="AW15" s="205" t="s">
        <v>243</v>
      </c>
      <c r="AY15" s="205" t="s">
        <v>239</v>
      </c>
      <c r="AZ15" s="205" t="s">
        <v>2068</v>
      </c>
      <c r="BA15" s="205" t="s">
        <v>244</v>
      </c>
      <c r="BB15" s="205" t="s">
        <v>2069</v>
      </c>
      <c r="BC15" s="200" t="s">
        <v>256</v>
      </c>
      <c r="BD15" s="205" t="s">
        <v>239</v>
      </c>
      <c r="BE15" s="205" t="s">
        <v>446</v>
      </c>
      <c r="BF15" s="205" t="s">
        <v>457</v>
      </c>
      <c r="BH15" s="205" t="s">
        <v>456</v>
      </c>
      <c r="BI15" s="202">
        <v>20</v>
      </c>
      <c r="BJ15" s="201">
        <v>42294</v>
      </c>
      <c r="BK15" s="203" t="s">
        <v>301</v>
      </c>
      <c r="BM15" s="205">
        <v>42</v>
      </c>
    </row>
    <row r="16" spans="1:66" x14ac:dyDescent="0.25">
      <c r="A16" s="205" t="s">
        <v>1876</v>
      </c>
      <c r="B16" s="205" t="s">
        <v>1877</v>
      </c>
      <c r="C16" s="205" t="s">
        <v>1878</v>
      </c>
      <c r="D16" s="205" t="s">
        <v>1879</v>
      </c>
      <c r="E16" s="201">
        <v>42282</v>
      </c>
      <c r="F16" s="205" t="s">
        <v>1880</v>
      </c>
      <c r="G16" s="205" t="s">
        <v>232</v>
      </c>
      <c r="H16" s="205" t="s">
        <v>1881</v>
      </c>
      <c r="I16" s="205" t="s">
        <v>1882</v>
      </c>
      <c r="J16" s="205" t="s">
        <v>379</v>
      </c>
      <c r="K16" s="205" t="s">
        <v>447</v>
      </c>
      <c r="L16" s="205" t="s">
        <v>448</v>
      </c>
      <c r="M16" s="205" t="s">
        <v>449</v>
      </c>
      <c r="O16" s="200" t="s">
        <v>290</v>
      </c>
      <c r="P16" s="200" t="s">
        <v>1883</v>
      </c>
      <c r="Q16" s="205" t="s">
        <v>449</v>
      </c>
      <c r="R16" s="202">
        <v>21</v>
      </c>
      <c r="U16" s="205" t="s">
        <v>456</v>
      </c>
      <c r="W16" s="205" t="s">
        <v>234</v>
      </c>
      <c r="X16" s="205" t="s">
        <v>302</v>
      </c>
      <c r="Y16" s="200" t="s">
        <v>554</v>
      </c>
      <c r="Z16" s="205" t="s">
        <v>1884</v>
      </c>
      <c r="AA16" s="200" t="s">
        <v>259</v>
      </c>
      <c r="AB16" s="205" t="s">
        <v>284</v>
      </c>
      <c r="AC16" s="200" t="s">
        <v>266</v>
      </c>
      <c r="AD16" s="205" t="s">
        <v>293</v>
      </c>
      <c r="AE16" s="205" t="s">
        <v>232</v>
      </c>
      <c r="AF16" s="205" t="s">
        <v>1885</v>
      </c>
      <c r="AG16" s="205" t="s">
        <v>239</v>
      </c>
      <c r="AH16" s="205" t="s">
        <v>239</v>
      </c>
      <c r="AI16" s="205" t="s">
        <v>1886</v>
      </c>
      <c r="AJ16" s="205" t="s">
        <v>1887</v>
      </c>
      <c r="AK16" s="205" t="s">
        <v>239</v>
      </c>
      <c r="AL16" s="205" t="s">
        <v>239</v>
      </c>
      <c r="AM16" s="205" t="s">
        <v>239</v>
      </c>
      <c r="AN16" s="205" t="s">
        <v>239</v>
      </c>
      <c r="AO16" s="200" t="s">
        <v>235</v>
      </c>
      <c r="AP16" s="200" t="s">
        <v>235</v>
      </c>
      <c r="AQ16" s="200" t="s">
        <v>235</v>
      </c>
      <c r="AR16" s="200" t="s">
        <v>235</v>
      </c>
      <c r="AS16" s="200" t="s">
        <v>299</v>
      </c>
      <c r="AT16" s="200" t="s">
        <v>299</v>
      </c>
      <c r="AU16" s="200" t="s">
        <v>240</v>
      </c>
      <c r="AV16" s="205" t="s">
        <v>242</v>
      </c>
      <c r="AW16" s="205" t="s">
        <v>243</v>
      </c>
      <c r="AY16" s="205" t="s">
        <v>239</v>
      </c>
      <c r="AZ16" s="205" t="s">
        <v>1888</v>
      </c>
      <c r="BA16" s="205" t="s">
        <v>244</v>
      </c>
      <c r="BB16" s="205" t="s">
        <v>244</v>
      </c>
      <c r="BD16" s="205" t="s">
        <v>239</v>
      </c>
      <c r="BE16" s="205" t="s">
        <v>446</v>
      </c>
      <c r="BF16" s="205" t="s">
        <v>457</v>
      </c>
      <c r="BH16" s="205" t="s">
        <v>456</v>
      </c>
      <c r="BI16" s="202">
        <v>21</v>
      </c>
      <c r="BJ16" s="201">
        <v>42296</v>
      </c>
      <c r="BK16" s="203" t="s">
        <v>301</v>
      </c>
    </row>
    <row r="17" spans="1:65" x14ac:dyDescent="0.25">
      <c r="A17" s="205" t="s">
        <v>2070</v>
      </c>
      <c r="B17" s="205" t="s">
        <v>2071</v>
      </c>
      <c r="C17" s="205" t="s">
        <v>2072</v>
      </c>
      <c r="D17" s="205" t="s">
        <v>2073</v>
      </c>
      <c r="E17" s="201">
        <v>42282</v>
      </c>
      <c r="F17" s="205" t="s">
        <v>2074</v>
      </c>
      <c r="G17" s="205" t="s">
        <v>232</v>
      </c>
      <c r="H17" s="205" t="s">
        <v>2075</v>
      </c>
      <c r="I17" s="205" t="s">
        <v>2076</v>
      </c>
      <c r="K17" s="205" t="s">
        <v>447</v>
      </c>
      <c r="L17" s="205" t="s">
        <v>448</v>
      </c>
      <c r="M17" s="205" t="s">
        <v>455</v>
      </c>
      <c r="O17" s="200" t="s">
        <v>345</v>
      </c>
      <c r="P17" s="200" t="s">
        <v>2077</v>
      </c>
      <c r="Q17" s="205" t="s">
        <v>455</v>
      </c>
      <c r="R17" s="202">
        <v>22</v>
      </c>
      <c r="U17" s="205" t="s">
        <v>456</v>
      </c>
      <c r="W17" s="205" t="s">
        <v>234</v>
      </c>
      <c r="X17" s="205" t="s">
        <v>291</v>
      </c>
      <c r="Y17" s="200" t="s">
        <v>730</v>
      </c>
      <c r="Z17" s="205" t="s">
        <v>2078</v>
      </c>
      <c r="AA17" s="200" t="s">
        <v>416</v>
      </c>
      <c r="AB17" s="205" t="s">
        <v>2079</v>
      </c>
      <c r="AC17" s="200" t="s">
        <v>317</v>
      </c>
      <c r="AD17" s="205" t="s">
        <v>2079</v>
      </c>
      <c r="AE17" s="205" t="s">
        <v>232</v>
      </c>
      <c r="AF17" s="205" t="s">
        <v>2080</v>
      </c>
      <c r="AG17" s="205" t="s">
        <v>239</v>
      </c>
      <c r="AH17" s="205" t="s">
        <v>239</v>
      </c>
      <c r="AI17" s="205" t="s">
        <v>2081</v>
      </c>
      <c r="AJ17" s="205" t="s">
        <v>2082</v>
      </c>
      <c r="AK17" s="205" t="s">
        <v>2083</v>
      </c>
      <c r="AL17" s="205" t="s">
        <v>239</v>
      </c>
      <c r="AM17" s="205" t="s">
        <v>239</v>
      </c>
      <c r="AN17" s="205" t="s">
        <v>239</v>
      </c>
      <c r="AO17" s="200" t="s">
        <v>235</v>
      </c>
      <c r="AP17" s="200" t="s">
        <v>235</v>
      </c>
      <c r="AQ17" s="200" t="s">
        <v>235</v>
      </c>
      <c r="AR17" s="200" t="s">
        <v>239</v>
      </c>
      <c r="AS17" s="200" t="s">
        <v>299</v>
      </c>
      <c r="AT17" s="200" t="s">
        <v>299</v>
      </c>
      <c r="AU17" s="200" t="s">
        <v>241</v>
      </c>
      <c r="AV17" s="205" t="s">
        <v>242</v>
      </c>
      <c r="AW17" s="205" t="s">
        <v>243</v>
      </c>
      <c r="AY17" s="205" t="s">
        <v>239</v>
      </c>
      <c r="AZ17" s="205" t="s">
        <v>2084</v>
      </c>
      <c r="BA17" s="205" t="s">
        <v>244</v>
      </c>
      <c r="BB17" s="205" t="s">
        <v>2085</v>
      </c>
      <c r="BC17" s="200" t="s">
        <v>256</v>
      </c>
      <c r="BD17" s="205" t="s">
        <v>239</v>
      </c>
      <c r="BE17" s="205" t="s">
        <v>446</v>
      </c>
      <c r="BF17" s="205" t="s">
        <v>457</v>
      </c>
      <c r="BH17" s="205" t="s">
        <v>456</v>
      </c>
      <c r="BI17" s="202">
        <v>22</v>
      </c>
      <c r="BJ17" s="201">
        <v>42296</v>
      </c>
      <c r="BK17" s="203" t="s">
        <v>301</v>
      </c>
    </row>
    <row r="18" spans="1:65" x14ac:dyDescent="0.25">
      <c r="A18" s="205" t="s">
        <v>2070</v>
      </c>
      <c r="B18" s="205" t="s">
        <v>2086</v>
      </c>
      <c r="C18" s="205" t="s">
        <v>2087</v>
      </c>
      <c r="D18" s="205" t="s">
        <v>2088</v>
      </c>
      <c r="E18" s="201">
        <v>42282</v>
      </c>
      <c r="F18" s="205" t="s">
        <v>294</v>
      </c>
      <c r="G18" s="205" t="s">
        <v>232</v>
      </c>
      <c r="H18" s="205" t="s">
        <v>2089</v>
      </c>
      <c r="I18" s="205" t="s">
        <v>2090</v>
      </c>
      <c r="J18" s="205" t="s">
        <v>2091</v>
      </c>
      <c r="K18" s="205" t="s">
        <v>447</v>
      </c>
      <c r="L18" s="205" t="s">
        <v>448</v>
      </c>
      <c r="M18" s="205" t="s">
        <v>455</v>
      </c>
      <c r="O18" s="200" t="s">
        <v>382</v>
      </c>
      <c r="P18" s="200" t="s">
        <v>2092</v>
      </c>
      <c r="Q18" s="205" t="s">
        <v>455</v>
      </c>
      <c r="R18" s="202">
        <v>23</v>
      </c>
      <c r="U18" s="205" t="s">
        <v>456</v>
      </c>
      <c r="W18" s="205" t="s">
        <v>234</v>
      </c>
      <c r="X18" s="205" t="s">
        <v>265</v>
      </c>
      <c r="Z18" s="205" t="s">
        <v>238</v>
      </c>
      <c r="AB18" s="205" t="s">
        <v>238</v>
      </c>
      <c r="AD18" s="205" t="s">
        <v>238</v>
      </c>
      <c r="AE18" s="205" t="s">
        <v>232</v>
      </c>
      <c r="AF18" s="205" t="s">
        <v>1931</v>
      </c>
      <c r="AG18" s="205" t="s">
        <v>239</v>
      </c>
      <c r="AH18" s="205" t="s">
        <v>239</v>
      </c>
      <c r="AI18" s="205" t="s">
        <v>529</v>
      </c>
      <c r="AJ18" s="205" t="s">
        <v>2093</v>
      </c>
      <c r="AK18" s="205" t="s">
        <v>2094</v>
      </c>
      <c r="AL18" s="205" t="s">
        <v>239</v>
      </c>
      <c r="AM18" s="205" t="s">
        <v>239</v>
      </c>
      <c r="AN18" s="205" t="s">
        <v>239</v>
      </c>
      <c r="AO18" s="200" t="s">
        <v>239</v>
      </c>
      <c r="AP18" s="200" t="s">
        <v>239</v>
      </c>
      <c r="AQ18" s="200" t="s">
        <v>235</v>
      </c>
      <c r="AR18" s="200" t="s">
        <v>239</v>
      </c>
      <c r="AS18" s="200" t="s">
        <v>262</v>
      </c>
      <c r="AT18" s="200" t="s">
        <v>299</v>
      </c>
      <c r="AU18" s="200" t="s">
        <v>241</v>
      </c>
      <c r="AV18" s="205" t="s">
        <v>242</v>
      </c>
      <c r="AW18" s="205" t="s">
        <v>243</v>
      </c>
      <c r="AY18" s="205" t="s">
        <v>239</v>
      </c>
      <c r="AZ18" s="205" t="s">
        <v>2095</v>
      </c>
      <c r="BA18" s="205" t="s">
        <v>244</v>
      </c>
      <c r="BB18" s="205" t="s">
        <v>244</v>
      </c>
      <c r="BC18" s="200" t="s">
        <v>256</v>
      </c>
      <c r="BD18" s="205" t="s">
        <v>239</v>
      </c>
      <c r="BE18" s="205" t="s">
        <v>446</v>
      </c>
      <c r="BF18" s="205" t="s">
        <v>457</v>
      </c>
      <c r="BH18" s="205" t="s">
        <v>456</v>
      </c>
      <c r="BI18" s="202">
        <v>23</v>
      </c>
      <c r="BJ18" s="201">
        <v>42294</v>
      </c>
      <c r="BK18" s="203" t="s">
        <v>301</v>
      </c>
      <c r="BM18" s="205">
        <v>42</v>
      </c>
    </row>
    <row r="19" spans="1:65" x14ac:dyDescent="0.25">
      <c r="A19" s="205" t="s">
        <v>2070</v>
      </c>
      <c r="B19" s="205" t="s">
        <v>2096</v>
      </c>
      <c r="C19" s="205" t="s">
        <v>2097</v>
      </c>
      <c r="D19" s="205" t="s">
        <v>2098</v>
      </c>
      <c r="E19" s="201">
        <v>42282</v>
      </c>
      <c r="F19" s="205" t="s">
        <v>2099</v>
      </c>
      <c r="G19" s="205" t="s">
        <v>232</v>
      </c>
      <c r="H19" s="205" t="s">
        <v>2100</v>
      </c>
      <c r="I19" s="205" t="s">
        <v>2101</v>
      </c>
      <c r="J19" s="205" t="s">
        <v>620</v>
      </c>
      <c r="K19" s="205" t="s">
        <v>475</v>
      </c>
      <c r="L19" s="205" t="s">
        <v>476</v>
      </c>
      <c r="M19" s="205" t="s">
        <v>477</v>
      </c>
      <c r="O19" s="200" t="s">
        <v>252</v>
      </c>
      <c r="P19" s="200" t="s">
        <v>2102</v>
      </c>
      <c r="Q19" s="205" t="s">
        <v>477</v>
      </c>
      <c r="R19" s="202">
        <v>24</v>
      </c>
      <c r="U19" s="205" t="s">
        <v>456</v>
      </c>
      <c r="W19" s="205" t="s">
        <v>234</v>
      </c>
      <c r="X19" s="205" t="s">
        <v>363</v>
      </c>
      <c r="Y19" s="200" t="s">
        <v>336</v>
      </c>
      <c r="Z19" s="205" t="s">
        <v>2103</v>
      </c>
      <c r="AA19" s="200" t="s">
        <v>304</v>
      </c>
      <c r="AB19" s="205" t="s">
        <v>2104</v>
      </c>
      <c r="AC19" s="200" t="s">
        <v>690</v>
      </c>
      <c r="AD19" s="205" t="s">
        <v>2105</v>
      </c>
      <c r="AE19" s="205" t="s">
        <v>232</v>
      </c>
      <c r="AF19" s="205" t="s">
        <v>2106</v>
      </c>
      <c r="AG19" s="205" t="s">
        <v>239</v>
      </c>
      <c r="AH19" s="205" t="s">
        <v>239</v>
      </c>
      <c r="AI19" s="205" t="s">
        <v>486</v>
      </c>
      <c r="AJ19" s="205" t="s">
        <v>2107</v>
      </c>
      <c r="AK19" s="205" t="s">
        <v>239</v>
      </c>
      <c r="AL19" s="205" t="s">
        <v>239</v>
      </c>
      <c r="AM19" s="205" t="s">
        <v>239</v>
      </c>
      <c r="AN19" s="205" t="s">
        <v>239</v>
      </c>
      <c r="AO19" s="200" t="s">
        <v>235</v>
      </c>
      <c r="AP19" s="200" t="s">
        <v>239</v>
      </c>
      <c r="AQ19" s="200" t="s">
        <v>239</v>
      </c>
      <c r="AR19" s="200" t="s">
        <v>239</v>
      </c>
      <c r="AS19" s="200" t="s">
        <v>299</v>
      </c>
      <c r="AT19" s="200" t="s">
        <v>241</v>
      </c>
      <c r="AU19" s="200" t="s">
        <v>241</v>
      </c>
      <c r="AV19" s="205" t="s">
        <v>242</v>
      </c>
      <c r="AW19" s="205" t="s">
        <v>243</v>
      </c>
      <c r="AX19" s="200" t="s">
        <v>2108</v>
      </c>
      <c r="AY19" s="205" t="s">
        <v>235</v>
      </c>
      <c r="AZ19" s="205" t="s">
        <v>2109</v>
      </c>
      <c r="BA19" s="205" t="s">
        <v>2109</v>
      </c>
      <c r="BB19" s="205" t="s">
        <v>244</v>
      </c>
      <c r="BC19" s="200" t="s">
        <v>256</v>
      </c>
      <c r="BD19" s="205" t="s">
        <v>239</v>
      </c>
      <c r="BE19" s="205" t="s">
        <v>446</v>
      </c>
      <c r="BF19" s="205" t="s">
        <v>457</v>
      </c>
      <c r="BH19" s="205" t="s">
        <v>456</v>
      </c>
      <c r="BI19" s="202">
        <v>24</v>
      </c>
      <c r="BJ19" s="201">
        <v>42293</v>
      </c>
      <c r="BK19" s="203" t="s">
        <v>301</v>
      </c>
      <c r="BM19" s="205">
        <v>42</v>
      </c>
    </row>
    <row r="20" spans="1:65" x14ac:dyDescent="0.25">
      <c r="A20" s="205" t="s">
        <v>2070</v>
      </c>
      <c r="B20" s="205" t="s">
        <v>2110</v>
      </c>
      <c r="C20" s="205" t="s">
        <v>2111</v>
      </c>
      <c r="D20" s="205" t="s">
        <v>2112</v>
      </c>
      <c r="E20" s="201">
        <v>42282</v>
      </c>
      <c r="F20" s="205" t="s">
        <v>257</v>
      </c>
      <c r="G20" s="205" t="s">
        <v>232</v>
      </c>
      <c r="H20" s="205" t="s">
        <v>2113</v>
      </c>
      <c r="I20" s="205" t="s">
        <v>2114</v>
      </c>
      <c r="J20" s="205" t="s">
        <v>365</v>
      </c>
      <c r="K20" s="205" t="s">
        <v>450</v>
      </c>
      <c r="L20" s="205" t="s">
        <v>451</v>
      </c>
      <c r="M20" s="205" t="s">
        <v>452</v>
      </c>
      <c r="O20" s="200" t="s">
        <v>389</v>
      </c>
      <c r="P20" s="200" t="s">
        <v>2115</v>
      </c>
      <c r="Q20" s="205" t="s">
        <v>452</v>
      </c>
      <c r="R20" s="202">
        <v>25</v>
      </c>
      <c r="U20" s="205" t="s">
        <v>456</v>
      </c>
      <c r="W20" s="205" t="s">
        <v>234</v>
      </c>
      <c r="X20" s="205" t="s">
        <v>265</v>
      </c>
      <c r="Z20" s="205" t="s">
        <v>238</v>
      </c>
      <c r="AB20" s="205" t="s">
        <v>238</v>
      </c>
      <c r="AD20" s="205" t="s">
        <v>238</v>
      </c>
      <c r="AE20" s="205" t="s">
        <v>232</v>
      </c>
      <c r="AF20" s="205" t="s">
        <v>606</v>
      </c>
      <c r="AG20" s="205" t="s">
        <v>239</v>
      </c>
      <c r="AH20" s="205" t="s">
        <v>239</v>
      </c>
      <c r="AI20" s="205" t="s">
        <v>529</v>
      </c>
      <c r="AJ20" s="205" t="s">
        <v>529</v>
      </c>
      <c r="AK20" s="205" t="s">
        <v>607</v>
      </c>
      <c r="AL20" s="205" t="s">
        <v>239</v>
      </c>
      <c r="AM20" s="205" t="s">
        <v>239</v>
      </c>
      <c r="AN20" s="205" t="s">
        <v>239</v>
      </c>
      <c r="AO20" s="200" t="s">
        <v>239</v>
      </c>
      <c r="AP20" s="200" t="s">
        <v>239</v>
      </c>
      <c r="AQ20" s="200" t="s">
        <v>235</v>
      </c>
      <c r="AR20" s="200" t="s">
        <v>239</v>
      </c>
      <c r="AS20" s="200" t="s">
        <v>262</v>
      </c>
      <c r="AT20" s="200" t="s">
        <v>299</v>
      </c>
      <c r="AU20" s="200" t="s">
        <v>241</v>
      </c>
      <c r="AV20" s="205" t="s">
        <v>242</v>
      </c>
      <c r="AW20" s="205" t="s">
        <v>243</v>
      </c>
      <c r="AY20" s="205" t="s">
        <v>239</v>
      </c>
      <c r="AZ20" s="205" t="s">
        <v>2116</v>
      </c>
      <c r="BA20" s="205" t="s">
        <v>244</v>
      </c>
      <c r="BB20" s="205" t="s">
        <v>244</v>
      </c>
      <c r="BD20" s="205" t="s">
        <v>239</v>
      </c>
      <c r="BE20" s="205" t="s">
        <v>446</v>
      </c>
      <c r="BF20" s="205" t="s">
        <v>457</v>
      </c>
      <c r="BH20" s="205" t="s">
        <v>456</v>
      </c>
      <c r="BI20" s="202">
        <v>25</v>
      </c>
      <c r="BJ20" s="201">
        <v>42292</v>
      </c>
      <c r="BK20" s="203" t="s">
        <v>301</v>
      </c>
      <c r="BM20" s="205">
        <v>42</v>
      </c>
    </row>
    <row r="21" spans="1:65" x14ac:dyDescent="0.25">
      <c r="A21" s="205" t="s">
        <v>2070</v>
      </c>
      <c r="B21" s="205" t="s">
        <v>2117</v>
      </c>
      <c r="C21" s="205" t="s">
        <v>2118</v>
      </c>
      <c r="D21" s="205" t="s">
        <v>2119</v>
      </c>
      <c r="E21" s="201">
        <v>42282</v>
      </c>
      <c r="F21" s="205" t="s">
        <v>2120</v>
      </c>
      <c r="G21" s="205" t="s">
        <v>232</v>
      </c>
      <c r="H21" s="205" t="s">
        <v>2121</v>
      </c>
      <c r="I21" s="205" t="s">
        <v>2122</v>
      </c>
      <c r="K21" s="205" t="s">
        <v>453</v>
      </c>
      <c r="L21" s="205" t="s">
        <v>454</v>
      </c>
      <c r="M21" s="205" t="s">
        <v>462</v>
      </c>
      <c r="O21" s="200" t="s">
        <v>252</v>
      </c>
      <c r="P21" s="200" t="s">
        <v>2123</v>
      </c>
      <c r="Q21" s="205" t="s">
        <v>462</v>
      </c>
      <c r="R21" s="202">
        <v>26</v>
      </c>
      <c r="U21" s="205" t="s">
        <v>456</v>
      </c>
      <c r="W21" s="205" t="s">
        <v>234</v>
      </c>
      <c r="X21" s="205" t="s">
        <v>300</v>
      </c>
      <c r="Y21" s="200" t="s">
        <v>550</v>
      </c>
      <c r="Z21" s="205" t="s">
        <v>2124</v>
      </c>
      <c r="AA21" s="200" t="s">
        <v>277</v>
      </c>
      <c r="AB21" s="205" t="s">
        <v>2125</v>
      </c>
      <c r="AC21" s="200" t="s">
        <v>333</v>
      </c>
      <c r="AD21" s="205" t="s">
        <v>2126</v>
      </c>
      <c r="AE21" s="205" t="s">
        <v>232</v>
      </c>
      <c r="AF21" s="205" t="s">
        <v>2127</v>
      </c>
      <c r="AG21" s="205" t="s">
        <v>239</v>
      </c>
      <c r="AH21" s="205" t="s">
        <v>239</v>
      </c>
      <c r="AI21" s="205" t="s">
        <v>2128</v>
      </c>
      <c r="AJ21" s="205" t="s">
        <v>2129</v>
      </c>
      <c r="AK21" s="205" t="s">
        <v>2130</v>
      </c>
      <c r="AL21" s="205" t="s">
        <v>2131</v>
      </c>
      <c r="AM21" s="205" t="s">
        <v>239</v>
      </c>
      <c r="AN21" s="205" t="s">
        <v>239</v>
      </c>
      <c r="AO21" s="200" t="s">
        <v>235</v>
      </c>
      <c r="AP21" s="200" t="s">
        <v>235</v>
      </c>
      <c r="AQ21" s="200" t="s">
        <v>235</v>
      </c>
      <c r="AR21" s="200" t="s">
        <v>235</v>
      </c>
      <c r="AS21" s="200" t="s">
        <v>299</v>
      </c>
      <c r="AT21" s="200" t="s">
        <v>299</v>
      </c>
      <c r="AU21" s="200" t="s">
        <v>299</v>
      </c>
      <c r="AV21" s="205" t="s">
        <v>242</v>
      </c>
      <c r="AW21" s="205" t="s">
        <v>243</v>
      </c>
      <c r="AY21" s="205" t="s">
        <v>239</v>
      </c>
      <c r="AZ21" s="205" t="s">
        <v>2132</v>
      </c>
      <c r="BA21" s="205" t="s">
        <v>244</v>
      </c>
      <c r="BB21" s="205" t="s">
        <v>244</v>
      </c>
      <c r="BC21" s="200" t="s">
        <v>256</v>
      </c>
      <c r="BD21" s="205" t="s">
        <v>239</v>
      </c>
      <c r="BE21" s="205" t="s">
        <v>446</v>
      </c>
      <c r="BF21" s="205" t="s">
        <v>457</v>
      </c>
      <c r="BH21" s="205" t="s">
        <v>456</v>
      </c>
      <c r="BI21" s="202">
        <v>26</v>
      </c>
      <c r="BJ21" s="201">
        <v>42294</v>
      </c>
      <c r="BK21" s="203" t="s">
        <v>301</v>
      </c>
      <c r="BM21" s="205">
        <v>42</v>
      </c>
    </row>
    <row r="22" spans="1:65" x14ac:dyDescent="0.25">
      <c r="A22" s="205" t="s">
        <v>2070</v>
      </c>
      <c r="B22" s="205" t="s">
        <v>2133</v>
      </c>
      <c r="C22" s="205" t="s">
        <v>2134</v>
      </c>
      <c r="D22" s="205" t="s">
        <v>2135</v>
      </c>
      <c r="E22" s="201">
        <v>42282</v>
      </c>
      <c r="F22" s="205" t="s">
        <v>2136</v>
      </c>
      <c r="G22" s="205" t="s">
        <v>232</v>
      </c>
      <c r="H22" s="205" t="s">
        <v>2137</v>
      </c>
      <c r="I22" s="205" t="s">
        <v>2138</v>
      </c>
      <c r="J22" s="205" t="s">
        <v>480</v>
      </c>
      <c r="K22" s="205" t="s">
        <v>447</v>
      </c>
      <c r="L22" s="205" t="s">
        <v>448</v>
      </c>
      <c r="M22" s="205" t="s">
        <v>449</v>
      </c>
      <c r="O22" s="200" t="s">
        <v>246</v>
      </c>
      <c r="P22" s="200" t="s">
        <v>2139</v>
      </c>
      <c r="Q22" s="205" t="s">
        <v>449</v>
      </c>
      <c r="R22" s="202">
        <v>27</v>
      </c>
      <c r="U22" s="205" t="s">
        <v>456</v>
      </c>
      <c r="W22" s="205" t="s">
        <v>234</v>
      </c>
      <c r="X22" s="205" t="s">
        <v>265</v>
      </c>
      <c r="Y22" s="200" t="s">
        <v>515</v>
      </c>
      <c r="Z22" s="205" t="s">
        <v>678</v>
      </c>
      <c r="AA22" s="200" t="s">
        <v>517</v>
      </c>
      <c r="AB22" s="205" t="s">
        <v>2140</v>
      </c>
      <c r="AC22" s="200" t="s">
        <v>325</v>
      </c>
      <c r="AD22" s="205" t="s">
        <v>678</v>
      </c>
      <c r="AE22" s="205" t="s">
        <v>232</v>
      </c>
      <c r="AF22" s="205" t="s">
        <v>2141</v>
      </c>
      <c r="AG22" s="205" t="s">
        <v>239</v>
      </c>
      <c r="AH22" s="205" t="s">
        <v>239</v>
      </c>
      <c r="AI22" s="205" t="s">
        <v>2142</v>
      </c>
      <c r="AJ22" s="205" t="s">
        <v>2143</v>
      </c>
      <c r="AK22" s="205" t="s">
        <v>2144</v>
      </c>
      <c r="AL22" s="205" t="s">
        <v>239</v>
      </c>
      <c r="AM22" s="205" t="s">
        <v>239</v>
      </c>
      <c r="AN22" s="205" t="s">
        <v>239</v>
      </c>
      <c r="AO22" s="200" t="s">
        <v>235</v>
      </c>
      <c r="AP22" s="200" t="s">
        <v>235</v>
      </c>
      <c r="AQ22" s="200" t="s">
        <v>235</v>
      </c>
      <c r="AR22" s="200" t="s">
        <v>235</v>
      </c>
      <c r="AS22" s="200" t="s">
        <v>299</v>
      </c>
      <c r="AT22" s="200" t="s">
        <v>299</v>
      </c>
      <c r="AU22" s="200" t="s">
        <v>299</v>
      </c>
      <c r="AV22" s="205" t="s">
        <v>242</v>
      </c>
      <c r="AW22" s="205" t="s">
        <v>243</v>
      </c>
      <c r="AY22" s="205" t="s">
        <v>239</v>
      </c>
      <c r="AZ22" s="205" t="s">
        <v>2145</v>
      </c>
      <c r="BA22" s="205" t="s">
        <v>244</v>
      </c>
      <c r="BB22" s="205" t="s">
        <v>244</v>
      </c>
      <c r="BD22" s="205" t="s">
        <v>239</v>
      </c>
      <c r="BE22" s="205" t="s">
        <v>446</v>
      </c>
      <c r="BF22" s="205" t="s">
        <v>457</v>
      </c>
      <c r="BH22" s="205" t="s">
        <v>456</v>
      </c>
      <c r="BI22" s="202">
        <v>27</v>
      </c>
      <c r="BJ22" s="201">
        <v>42294</v>
      </c>
      <c r="BK22" s="203" t="s">
        <v>301</v>
      </c>
      <c r="BM22" s="205">
        <v>42</v>
      </c>
    </row>
    <row r="23" spans="1:65" x14ac:dyDescent="0.25">
      <c r="A23" s="205" t="s">
        <v>2070</v>
      </c>
      <c r="B23" s="205" t="s">
        <v>2146</v>
      </c>
      <c r="C23" s="205" t="s">
        <v>2147</v>
      </c>
      <c r="D23" s="205" t="s">
        <v>2148</v>
      </c>
      <c r="E23" s="201">
        <v>42282</v>
      </c>
      <c r="F23" s="205" t="s">
        <v>263</v>
      </c>
      <c r="G23" s="205" t="s">
        <v>232</v>
      </c>
      <c r="H23" s="205" t="s">
        <v>2149</v>
      </c>
      <c r="I23" s="205" t="s">
        <v>631</v>
      </c>
      <c r="J23" s="205" t="s">
        <v>535</v>
      </c>
      <c r="K23" s="205" t="s">
        <v>447</v>
      </c>
      <c r="L23" s="205" t="s">
        <v>448</v>
      </c>
      <c r="M23" s="205" t="s">
        <v>449</v>
      </c>
      <c r="O23" s="200" t="s">
        <v>389</v>
      </c>
      <c r="P23" s="200" t="s">
        <v>2150</v>
      </c>
      <c r="Q23" s="205" t="s">
        <v>449</v>
      </c>
      <c r="R23" s="202">
        <v>28</v>
      </c>
      <c r="U23" s="205" t="s">
        <v>456</v>
      </c>
      <c r="W23" s="205" t="s">
        <v>234</v>
      </c>
      <c r="X23" s="205" t="s">
        <v>265</v>
      </c>
      <c r="Y23" s="200" t="s">
        <v>505</v>
      </c>
      <c r="Z23" s="205" t="s">
        <v>2151</v>
      </c>
      <c r="AA23" s="200" t="s">
        <v>376</v>
      </c>
      <c r="AB23" s="205" t="s">
        <v>2152</v>
      </c>
      <c r="AD23" s="205" t="s">
        <v>238</v>
      </c>
      <c r="AE23" s="205" t="s">
        <v>232</v>
      </c>
      <c r="AF23" s="205" t="s">
        <v>2153</v>
      </c>
      <c r="AG23" s="205" t="s">
        <v>239</v>
      </c>
      <c r="AH23" s="205" t="s">
        <v>239</v>
      </c>
      <c r="AI23" s="205" t="s">
        <v>1646</v>
      </c>
      <c r="AJ23" s="205" t="s">
        <v>1943</v>
      </c>
      <c r="AK23" s="205" t="s">
        <v>485</v>
      </c>
      <c r="AL23" s="205" t="s">
        <v>239</v>
      </c>
      <c r="AM23" s="205" t="s">
        <v>239</v>
      </c>
      <c r="AN23" s="205" t="s">
        <v>239</v>
      </c>
      <c r="AO23" s="200" t="s">
        <v>239</v>
      </c>
      <c r="AP23" s="200" t="s">
        <v>239</v>
      </c>
      <c r="AQ23" s="200" t="s">
        <v>235</v>
      </c>
      <c r="AR23" s="200" t="s">
        <v>239</v>
      </c>
      <c r="AS23" s="200" t="s">
        <v>262</v>
      </c>
      <c r="AT23" s="200" t="s">
        <v>299</v>
      </c>
      <c r="AU23" s="200" t="s">
        <v>241</v>
      </c>
      <c r="AV23" s="205" t="s">
        <v>242</v>
      </c>
      <c r="AW23" s="205" t="s">
        <v>243</v>
      </c>
      <c r="AY23" s="205" t="s">
        <v>239</v>
      </c>
      <c r="AZ23" s="205" t="s">
        <v>2154</v>
      </c>
      <c r="BA23" s="205" t="s">
        <v>244</v>
      </c>
      <c r="BB23" s="205" t="s">
        <v>244</v>
      </c>
      <c r="BD23" s="205" t="s">
        <v>239</v>
      </c>
      <c r="BE23" s="205" t="s">
        <v>446</v>
      </c>
      <c r="BF23" s="205" t="s">
        <v>457</v>
      </c>
      <c r="BH23" s="205" t="s">
        <v>456</v>
      </c>
      <c r="BI23" s="202">
        <v>28</v>
      </c>
      <c r="BJ23" s="201">
        <v>42294</v>
      </c>
      <c r="BK23" s="203" t="s">
        <v>301</v>
      </c>
      <c r="BM23" s="205">
        <v>42</v>
      </c>
    </row>
    <row r="24" spans="1:65" x14ac:dyDescent="0.25">
      <c r="A24" s="205" t="s">
        <v>2070</v>
      </c>
      <c r="B24" s="205" t="s">
        <v>2155</v>
      </c>
      <c r="C24" s="205" t="s">
        <v>2156</v>
      </c>
      <c r="D24" s="205" t="s">
        <v>2157</v>
      </c>
      <c r="E24" s="201">
        <v>42282</v>
      </c>
      <c r="F24" s="205" t="s">
        <v>339</v>
      </c>
      <c r="G24" s="205" t="s">
        <v>232</v>
      </c>
      <c r="H24" s="205" t="s">
        <v>2158</v>
      </c>
      <c r="I24" s="205" t="s">
        <v>492</v>
      </c>
      <c r="J24" s="205" t="s">
        <v>2159</v>
      </c>
      <c r="K24" s="205" t="s">
        <v>471</v>
      </c>
      <c r="L24" s="205" t="s">
        <v>472</v>
      </c>
      <c r="M24" s="205" t="s">
        <v>473</v>
      </c>
      <c r="O24" s="200" t="s">
        <v>288</v>
      </c>
      <c r="P24" s="200" t="s">
        <v>2160</v>
      </c>
      <c r="Q24" s="205" t="s">
        <v>473</v>
      </c>
      <c r="R24" s="202">
        <v>29</v>
      </c>
      <c r="U24" s="205" t="s">
        <v>456</v>
      </c>
      <c r="W24" s="205" t="s">
        <v>234</v>
      </c>
      <c r="X24" s="205" t="s">
        <v>272</v>
      </c>
      <c r="Y24" s="200" t="s">
        <v>646</v>
      </c>
      <c r="Z24" s="205" t="s">
        <v>2161</v>
      </c>
      <c r="AB24" s="205" t="s">
        <v>238</v>
      </c>
      <c r="AD24" s="205" t="s">
        <v>238</v>
      </c>
      <c r="AE24" s="205" t="s">
        <v>232</v>
      </c>
      <c r="AF24" s="205" t="s">
        <v>2162</v>
      </c>
      <c r="AG24" s="205" t="s">
        <v>239</v>
      </c>
      <c r="AH24" s="205" t="s">
        <v>239</v>
      </c>
      <c r="AI24" s="205" t="s">
        <v>2163</v>
      </c>
      <c r="AJ24" s="205" t="s">
        <v>2164</v>
      </c>
      <c r="AK24" s="205" t="s">
        <v>2165</v>
      </c>
      <c r="AL24" s="205" t="s">
        <v>239</v>
      </c>
      <c r="AM24" s="205" t="s">
        <v>239</v>
      </c>
      <c r="AN24" s="205" t="s">
        <v>239</v>
      </c>
      <c r="AO24" s="200" t="s">
        <v>235</v>
      </c>
      <c r="AP24" s="200" t="s">
        <v>235</v>
      </c>
      <c r="AQ24" s="200" t="s">
        <v>235</v>
      </c>
      <c r="AR24" s="200" t="s">
        <v>235</v>
      </c>
      <c r="AS24" s="200" t="s">
        <v>299</v>
      </c>
      <c r="AT24" s="200" t="s">
        <v>299</v>
      </c>
      <c r="AU24" s="200" t="s">
        <v>240</v>
      </c>
      <c r="AV24" s="205" t="s">
        <v>242</v>
      </c>
      <c r="AW24" s="205" t="s">
        <v>243</v>
      </c>
      <c r="AY24" s="205" t="s">
        <v>239</v>
      </c>
      <c r="AZ24" s="205" t="s">
        <v>2166</v>
      </c>
      <c r="BA24" s="205" t="s">
        <v>244</v>
      </c>
      <c r="BB24" s="205" t="s">
        <v>244</v>
      </c>
      <c r="BD24" s="205" t="s">
        <v>239</v>
      </c>
      <c r="BE24" s="205" t="s">
        <v>446</v>
      </c>
      <c r="BF24" s="205" t="s">
        <v>457</v>
      </c>
      <c r="BH24" s="205" t="s">
        <v>456</v>
      </c>
      <c r="BI24" s="202">
        <v>29</v>
      </c>
      <c r="BJ24" s="201">
        <v>42287</v>
      </c>
      <c r="BK24" s="203" t="s">
        <v>245</v>
      </c>
      <c r="BL24" s="204">
        <v>192.67</v>
      </c>
      <c r="BM24" s="205">
        <v>41</v>
      </c>
    </row>
    <row r="25" spans="1:65" x14ac:dyDescent="0.25">
      <c r="A25" s="205" t="s">
        <v>1708</v>
      </c>
      <c r="B25" s="205" t="s">
        <v>2167</v>
      </c>
      <c r="C25" s="205" t="s">
        <v>2168</v>
      </c>
      <c r="D25" s="205" t="s">
        <v>2169</v>
      </c>
      <c r="E25" s="201">
        <v>42282</v>
      </c>
      <c r="F25" s="205" t="s">
        <v>2170</v>
      </c>
      <c r="G25" s="205" t="s">
        <v>232</v>
      </c>
      <c r="H25" s="205" t="s">
        <v>2171</v>
      </c>
      <c r="I25" s="205" t="s">
        <v>2172</v>
      </c>
      <c r="K25" s="205" t="s">
        <v>453</v>
      </c>
      <c r="L25" s="205" t="s">
        <v>461</v>
      </c>
      <c r="M25" s="205" t="s">
        <v>462</v>
      </c>
      <c r="O25" s="200" t="s">
        <v>513</v>
      </c>
      <c r="P25" s="200" t="s">
        <v>2173</v>
      </c>
      <c r="Q25" s="205" t="s">
        <v>462</v>
      </c>
      <c r="R25" s="202">
        <v>30</v>
      </c>
      <c r="U25" s="205" t="s">
        <v>456</v>
      </c>
      <c r="W25" s="205" t="s">
        <v>234</v>
      </c>
      <c r="X25" s="205" t="s">
        <v>235</v>
      </c>
      <c r="Y25" s="200" t="s">
        <v>505</v>
      </c>
      <c r="Z25" s="205" t="s">
        <v>2174</v>
      </c>
      <c r="AA25" s="200" t="s">
        <v>397</v>
      </c>
      <c r="AB25" s="205" t="s">
        <v>2175</v>
      </c>
      <c r="AC25" s="200" t="s">
        <v>298</v>
      </c>
      <c r="AD25" s="205" t="s">
        <v>2176</v>
      </c>
      <c r="AE25" s="205" t="s">
        <v>232</v>
      </c>
      <c r="AF25" s="205" t="s">
        <v>2177</v>
      </c>
      <c r="AG25" s="205" t="s">
        <v>239</v>
      </c>
      <c r="AH25" s="205" t="s">
        <v>239</v>
      </c>
      <c r="AI25" s="205" t="s">
        <v>2178</v>
      </c>
      <c r="AJ25" s="205" t="s">
        <v>2179</v>
      </c>
      <c r="AK25" s="205" t="s">
        <v>2180</v>
      </c>
      <c r="AL25" s="205" t="s">
        <v>239</v>
      </c>
      <c r="AM25" s="205" t="s">
        <v>239</v>
      </c>
      <c r="AN25" s="205" t="s">
        <v>239</v>
      </c>
      <c r="AO25" s="200" t="s">
        <v>235</v>
      </c>
      <c r="AP25" s="200" t="s">
        <v>235</v>
      </c>
      <c r="AQ25" s="200" t="s">
        <v>235</v>
      </c>
      <c r="AR25" s="200" t="s">
        <v>235</v>
      </c>
      <c r="AS25" s="200" t="s">
        <v>299</v>
      </c>
      <c r="AT25" s="200" t="s">
        <v>299</v>
      </c>
      <c r="AU25" s="200" t="s">
        <v>240</v>
      </c>
      <c r="AV25" s="205" t="s">
        <v>242</v>
      </c>
      <c r="AW25" s="205" t="s">
        <v>243</v>
      </c>
      <c r="AX25" s="200" t="s">
        <v>2181</v>
      </c>
      <c r="AY25" s="205" t="s">
        <v>235</v>
      </c>
      <c r="AZ25" s="205" t="s">
        <v>2182</v>
      </c>
      <c r="BA25" s="205" t="s">
        <v>244</v>
      </c>
      <c r="BB25" s="205" t="s">
        <v>2183</v>
      </c>
      <c r="BD25" s="205" t="s">
        <v>239</v>
      </c>
      <c r="BE25" s="205" t="s">
        <v>446</v>
      </c>
      <c r="BF25" s="205" t="s">
        <v>457</v>
      </c>
      <c r="BH25" s="205" t="s">
        <v>456</v>
      </c>
      <c r="BI25" s="202">
        <v>30</v>
      </c>
      <c r="BJ25" s="201">
        <v>42294</v>
      </c>
      <c r="BK25" s="203" t="s">
        <v>301</v>
      </c>
      <c r="BM25" s="205">
        <v>42</v>
      </c>
    </row>
    <row r="26" spans="1:65" x14ac:dyDescent="0.25">
      <c r="A26" s="205" t="s">
        <v>1708</v>
      </c>
      <c r="B26" s="205" t="s">
        <v>2184</v>
      </c>
      <c r="C26" s="205" t="s">
        <v>2185</v>
      </c>
      <c r="D26" s="205" t="s">
        <v>2186</v>
      </c>
      <c r="E26" s="201">
        <v>42282</v>
      </c>
      <c r="F26" s="205" t="s">
        <v>524</v>
      </c>
      <c r="G26" s="205" t="s">
        <v>232</v>
      </c>
      <c r="H26" s="205" t="s">
        <v>2187</v>
      </c>
      <c r="I26" s="205" t="s">
        <v>2188</v>
      </c>
      <c r="J26" s="205" t="s">
        <v>379</v>
      </c>
      <c r="K26" s="205" t="s">
        <v>442</v>
      </c>
      <c r="L26" s="205" t="s">
        <v>443</v>
      </c>
      <c r="M26" s="205" t="s">
        <v>444</v>
      </c>
      <c r="O26" s="200" t="s">
        <v>264</v>
      </c>
      <c r="P26" s="200" t="s">
        <v>2189</v>
      </c>
      <c r="Q26" s="205" t="s">
        <v>444</v>
      </c>
      <c r="R26" s="202">
        <v>31</v>
      </c>
      <c r="U26" s="205" t="s">
        <v>456</v>
      </c>
      <c r="W26" s="205" t="s">
        <v>234</v>
      </c>
      <c r="X26" s="205" t="s">
        <v>400</v>
      </c>
      <c r="Y26" s="200" t="s">
        <v>501</v>
      </c>
      <c r="Z26" s="205" t="s">
        <v>293</v>
      </c>
      <c r="AA26" s="200" t="s">
        <v>501</v>
      </c>
      <c r="AB26" s="205" t="s">
        <v>293</v>
      </c>
      <c r="AD26" s="205" t="s">
        <v>238</v>
      </c>
      <c r="AE26" s="205" t="s">
        <v>232</v>
      </c>
      <c r="AF26" s="205" t="s">
        <v>2190</v>
      </c>
      <c r="AG26" s="205" t="s">
        <v>239</v>
      </c>
      <c r="AH26" s="205" t="s">
        <v>239</v>
      </c>
      <c r="AI26" s="205" t="s">
        <v>2191</v>
      </c>
      <c r="AJ26" s="205" t="s">
        <v>2192</v>
      </c>
      <c r="AK26" s="205" t="s">
        <v>239</v>
      </c>
      <c r="AL26" s="205" t="s">
        <v>239</v>
      </c>
      <c r="AM26" s="205" t="s">
        <v>239</v>
      </c>
      <c r="AN26" s="205" t="s">
        <v>239</v>
      </c>
      <c r="AO26" s="200" t="s">
        <v>235</v>
      </c>
      <c r="AP26" s="200" t="s">
        <v>235</v>
      </c>
      <c r="AQ26" s="200" t="s">
        <v>235</v>
      </c>
      <c r="AR26" s="200" t="s">
        <v>239</v>
      </c>
      <c r="AS26" s="200" t="s">
        <v>299</v>
      </c>
      <c r="AT26" s="200" t="s">
        <v>299</v>
      </c>
      <c r="AU26" s="200" t="s">
        <v>241</v>
      </c>
      <c r="AV26" s="205" t="s">
        <v>242</v>
      </c>
      <c r="AW26" s="205" t="s">
        <v>243</v>
      </c>
      <c r="AX26" s="200" t="s">
        <v>539</v>
      </c>
      <c r="AY26" s="205" t="s">
        <v>300</v>
      </c>
      <c r="AZ26" s="205" t="s">
        <v>2193</v>
      </c>
      <c r="BA26" s="205" t="s">
        <v>244</v>
      </c>
      <c r="BB26" s="205" t="s">
        <v>244</v>
      </c>
      <c r="BD26" s="205" t="s">
        <v>239</v>
      </c>
      <c r="BE26" s="205" t="s">
        <v>446</v>
      </c>
      <c r="BF26" s="205" t="s">
        <v>457</v>
      </c>
      <c r="BH26" s="205" t="s">
        <v>456</v>
      </c>
      <c r="BI26" s="202">
        <v>31</v>
      </c>
      <c r="BJ26" s="201">
        <v>42294</v>
      </c>
      <c r="BK26" s="203" t="s">
        <v>301</v>
      </c>
      <c r="BM26" s="205">
        <v>42</v>
      </c>
    </row>
    <row r="27" spans="1:65" x14ac:dyDescent="0.25">
      <c r="A27" s="205" t="s">
        <v>1708</v>
      </c>
      <c r="B27" s="205" t="s">
        <v>2194</v>
      </c>
      <c r="C27" s="205" t="s">
        <v>2195</v>
      </c>
      <c r="D27" s="205" t="s">
        <v>2196</v>
      </c>
      <c r="E27" s="201">
        <v>42282</v>
      </c>
      <c r="F27" s="205" t="s">
        <v>2197</v>
      </c>
      <c r="G27" s="205" t="s">
        <v>232</v>
      </c>
      <c r="H27" s="205" t="s">
        <v>2198</v>
      </c>
      <c r="I27" s="205" t="s">
        <v>2199</v>
      </c>
      <c r="J27" s="205" t="s">
        <v>2200</v>
      </c>
      <c r="K27" s="205" t="s">
        <v>453</v>
      </c>
      <c r="L27" s="205" t="s">
        <v>461</v>
      </c>
      <c r="M27" s="205" t="s">
        <v>460</v>
      </c>
      <c r="O27" s="200" t="s">
        <v>377</v>
      </c>
      <c r="P27" s="200" t="s">
        <v>2201</v>
      </c>
      <c r="Q27" s="205" t="s">
        <v>460</v>
      </c>
      <c r="R27" s="202">
        <v>32</v>
      </c>
      <c r="U27" s="205" t="s">
        <v>456</v>
      </c>
      <c r="W27" s="205" t="s">
        <v>234</v>
      </c>
      <c r="X27" s="205" t="s">
        <v>235</v>
      </c>
      <c r="Y27" s="200" t="s">
        <v>340</v>
      </c>
      <c r="Z27" s="205" t="s">
        <v>2202</v>
      </c>
      <c r="AA27" s="200" t="s">
        <v>297</v>
      </c>
      <c r="AB27" s="205" t="s">
        <v>859</v>
      </c>
      <c r="AC27" s="200" t="s">
        <v>380</v>
      </c>
      <c r="AD27" s="205" t="s">
        <v>260</v>
      </c>
      <c r="AE27" s="205" t="s">
        <v>232</v>
      </c>
      <c r="AF27" s="205" t="s">
        <v>2203</v>
      </c>
      <c r="AG27" s="205" t="s">
        <v>239</v>
      </c>
      <c r="AH27" s="205" t="s">
        <v>239</v>
      </c>
      <c r="AI27" s="205" t="s">
        <v>2204</v>
      </c>
      <c r="AJ27" s="205" t="s">
        <v>2205</v>
      </c>
      <c r="AK27" s="205" t="s">
        <v>2206</v>
      </c>
      <c r="AL27" s="205" t="s">
        <v>239</v>
      </c>
      <c r="AM27" s="205" t="s">
        <v>239</v>
      </c>
      <c r="AN27" s="205" t="s">
        <v>239</v>
      </c>
      <c r="AO27" s="200" t="s">
        <v>235</v>
      </c>
      <c r="AP27" s="200" t="s">
        <v>235</v>
      </c>
      <c r="AQ27" s="200" t="s">
        <v>239</v>
      </c>
      <c r="AR27" s="200" t="s">
        <v>235</v>
      </c>
      <c r="AS27" s="200" t="s">
        <v>299</v>
      </c>
      <c r="AT27" s="200" t="s">
        <v>241</v>
      </c>
      <c r="AU27" s="200" t="s">
        <v>299</v>
      </c>
      <c r="AV27" s="205" t="s">
        <v>242</v>
      </c>
      <c r="AW27" s="205" t="s">
        <v>243</v>
      </c>
      <c r="AX27" s="200" t="s">
        <v>2207</v>
      </c>
      <c r="AY27" s="205" t="s">
        <v>243</v>
      </c>
      <c r="AZ27" s="205" t="s">
        <v>2208</v>
      </c>
      <c r="BA27" s="205" t="s">
        <v>2209</v>
      </c>
      <c r="BB27" s="205" t="s">
        <v>2210</v>
      </c>
      <c r="BD27" s="205" t="s">
        <v>239</v>
      </c>
      <c r="BE27" s="205" t="s">
        <v>446</v>
      </c>
      <c r="BF27" s="205" t="s">
        <v>457</v>
      </c>
      <c r="BH27" s="205" t="s">
        <v>456</v>
      </c>
      <c r="BI27" s="202">
        <v>32</v>
      </c>
      <c r="BJ27" s="201">
        <v>42296</v>
      </c>
      <c r="BK27" s="203" t="s">
        <v>301</v>
      </c>
    </row>
    <row r="28" spans="1:65" x14ac:dyDescent="0.25">
      <c r="A28" s="205" t="s">
        <v>1708</v>
      </c>
      <c r="B28" s="205" t="s">
        <v>2211</v>
      </c>
      <c r="C28" s="205" t="s">
        <v>2212</v>
      </c>
      <c r="D28" s="205" t="s">
        <v>2213</v>
      </c>
      <c r="E28" s="201">
        <v>42282</v>
      </c>
      <c r="F28" s="205" t="s">
        <v>2214</v>
      </c>
      <c r="G28" s="205" t="s">
        <v>232</v>
      </c>
      <c r="H28" s="205" t="s">
        <v>273</v>
      </c>
      <c r="I28" s="205" t="s">
        <v>2215</v>
      </c>
      <c r="J28" s="205" t="s">
        <v>2216</v>
      </c>
      <c r="K28" s="205" t="s">
        <v>464</v>
      </c>
      <c r="L28" s="205" t="s">
        <v>465</v>
      </c>
      <c r="M28" s="205" t="s">
        <v>466</v>
      </c>
      <c r="O28" s="200" t="s">
        <v>264</v>
      </c>
      <c r="P28" s="200" t="s">
        <v>2217</v>
      </c>
      <c r="Q28" s="205" t="s">
        <v>466</v>
      </c>
      <c r="R28" s="202">
        <v>33</v>
      </c>
      <c r="U28" s="205" t="s">
        <v>456</v>
      </c>
      <c r="W28" s="205" t="s">
        <v>234</v>
      </c>
      <c r="X28" s="205" t="s">
        <v>253</v>
      </c>
      <c r="Y28" s="200" t="s">
        <v>541</v>
      </c>
      <c r="Z28" s="205" t="s">
        <v>260</v>
      </c>
      <c r="AA28" s="200" t="s">
        <v>336</v>
      </c>
      <c r="AB28" s="205" t="s">
        <v>2218</v>
      </c>
      <c r="AC28" s="200" t="s">
        <v>317</v>
      </c>
      <c r="AD28" s="205" t="s">
        <v>2219</v>
      </c>
      <c r="AE28" s="205" t="s">
        <v>232</v>
      </c>
      <c r="AF28" s="205" t="s">
        <v>2220</v>
      </c>
      <c r="AG28" s="205" t="s">
        <v>239</v>
      </c>
      <c r="AH28" s="205" t="s">
        <v>239</v>
      </c>
      <c r="AI28" s="205" t="s">
        <v>898</v>
      </c>
      <c r="AJ28" s="205" t="s">
        <v>2221</v>
      </c>
      <c r="AK28" s="205" t="s">
        <v>239</v>
      </c>
      <c r="AL28" s="205" t="s">
        <v>239</v>
      </c>
      <c r="AM28" s="205" t="s">
        <v>239</v>
      </c>
      <c r="AN28" s="205" t="s">
        <v>239</v>
      </c>
      <c r="AO28" s="200" t="s">
        <v>239</v>
      </c>
      <c r="AP28" s="200" t="s">
        <v>239</v>
      </c>
      <c r="AQ28" s="200" t="s">
        <v>235</v>
      </c>
      <c r="AR28" s="200" t="s">
        <v>239</v>
      </c>
      <c r="AS28" s="200" t="s">
        <v>262</v>
      </c>
      <c r="AT28" s="200" t="s">
        <v>299</v>
      </c>
      <c r="AU28" s="200" t="s">
        <v>241</v>
      </c>
      <c r="AV28" s="205" t="s">
        <v>242</v>
      </c>
      <c r="AW28" s="205" t="s">
        <v>243</v>
      </c>
      <c r="AY28" s="205" t="s">
        <v>239</v>
      </c>
      <c r="AZ28" s="205" t="s">
        <v>244</v>
      </c>
      <c r="BA28" s="205" t="s">
        <v>244</v>
      </c>
      <c r="BB28" s="205" t="s">
        <v>2222</v>
      </c>
      <c r="BD28" s="205" t="s">
        <v>239</v>
      </c>
      <c r="BE28" s="205" t="s">
        <v>446</v>
      </c>
      <c r="BF28" s="205" t="s">
        <v>457</v>
      </c>
      <c r="BH28" s="205" t="s">
        <v>456</v>
      </c>
      <c r="BI28" s="202">
        <v>33</v>
      </c>
      <c r="BJ28" s="201">
        <v>42294</v>
      </c>
      <c r="BK28" s="203" t="s">
        <v>301</v>
      </c>
      <c r="BM28" s="205">
        <v>42</v>
      </c>
    </row>
    <row r="29" spans="1:65" x14ac:dyDescent="0.25">
      <c r="A29" s="205" t="s">
        <v>1708</v>
      </c>
      <c r="B29" s="205" t="s">
        <v>2223</v>
      </c>
      <c r="C29" s="205" t="s">
        <v>2224</v>
      </c>
      <c r="D29" s="205" t="s">
        <v>2225</v>
      </c>
      <c r="E29" s="201">
        <v>42282</v>
      </c>
      <c r="F29" s="205" t="s">
        <v>582</v>
      </c>
      <c r="G29" s="205" t="s">
        <v>232</v>
      </c>
      <c r="H29" s="205" t="s">
        <v>2226</v>
      </c>
      <c r="I29" s="205" t="s">
        <v>2227</v>
      </c>
      <c r="J29" s="205" t="s">
        <v>423</v>
      </c>
      <c r="K29" s="205" t="s">
        <v>450</v>
      </c>
      <c r="L29" s="205" t="s">
        <v>451</v>
      </c>
      <c r="M29" s="205" t="s">
        <v>452</v>
      </c>
      <c r="O29" s="200" t="s">
        <v>246</v>
      </c>
      <c r="P29" s="200" t="s">
        <v>2228</v>
      </c>
      <c r="Q29" s="205" t="s">
        <v>452</v>
      </c>
      <c r="R29" s="202">
        <v>34</v>
      </c>
      <c r="U29" s="205" t="s">
        <v>456</v>
      </c>
      <c r="W29" s="205" t="s">
        <v>234</v>
      </c>
      <c r="X29" s="205" t="s">
        <v>235</v>
      </c>
      <c r="Y29" s="200" t="s">
        <v>417</v>
      </c>
      <c r="Z29" s="205" t="s">
        <v>2229</v>
      </c>
      <c r="AA29" s="200" t="s">
        <v>399</v>
      </c>
      <c r="AB29" s="205" t="s">
        <v>2230</v>
      </c>
      <c r="AC29" s="200" t="s">
        <v>380</v>
      </c>
      <c r="AD29" s="205" t="s">
        <v>2231</v>
      </c>
      <c r="AE29" s="205" t="s">
        <v>232</v>
      </c>
      <c r="AF29" s="205" t="s">
        <v>2232</v>
      </c>
      <c r="AG29" s="205" t="s">
        <v>239</v>
      </c>
      <c r="AH29" s="205" t="s">
        <v>239</v>
      </c>
      <c r="AI29" s="205" t="s">
        <v>2233</v>
      </c>
      <c r="AJ29" s="205" t="s">
        <v>2234</v>
      </c>
      <c r="AK29" s="205" t="s">
        <v>2235</v>
      </c>
      <c r="AL29" s="205" t="s">
        <v>239</v>
      </c>
      <c r="AM29" s="205" t="s">
        <v>239</v>
      </c>
      <c r="AN29" s="205" t="s">
        <v>239</v>
      </c>
      <c r="AO29" s="200" t="s">
        <v>239</v>
      </c>
      <c r="AP29" s="200" t="s">
        <v>239</v>
      </c>
      <c r="AQ29" s="200" t="s">
        <v>235</v>
      </c>
      <c r="AR29" s="200" t="s">
        <v>239</v>
      </c>
      <c r="AS29" s="200" t="s">
        <v>262</v>
      </c>
      <c r="AT29" s="200" t="s">
        <v>299</v>
      </c>
      <c r="AU29" s="200" t="s">
        <v>241</v>
      </c>
      <c r="AV29" s="205" t="s">
        <v>242</v>
      </c>
      <c r="AW29" s="205" t="s">
        <v>243</v>
      </c>
      <c r="AY29" s="205" t="s">
        <v>239</v>
      </c>
      <c r="AZ29" s="205" t="s">
        <v>2236</v>
      </c>
      <c r="BA29" s="205" t="s">
        <v>244</v>
      </c>
      <c r="BB29" s="205" t="s">
        <v>2236</v>
      </c>
      <c r="BD29" s="205" t="s">
        <v>239</v>
      </c>
      <c r="BE29" s="205" t="s">
        <v>446</v>
      </c>
      <c r="BF29" s="205" t="s">
        <v>457</v>
      </c>
      <c r="BH29" s="205" t="s">
        <v>456</v>
      </c>
      <c r="BI29" s="202">
        <v>34</v>
      </c>
      <c r="BJ29" s="201">
        <v>42292</v>
      </c>
      <c r="BK29" s="203" t="s">
        <v>301</v>
      </c>
      <c r="BM29" s="205">
        <v>42</v>
      </c>
    </row>
    <row r="30" spans="1:65" x14ac:dyDescent="0.25">
      <c r="A30" s="205" t="s">
        <v>1708</v>
      </c>
      <c r="B30" s="205" t="s">
        <v>2237</v>
      </c>
      <c r="C30" s="205" t="s">
        <v>2238</v>
      </c>
      <c r="D30" s="205" t="s">
        <v>2239</v>
      </c>
      <c r="E30" s="201">
        <v>42282</v>
      </c>
      <c r="F30" s="205" t="s">
        <v>2240</v>
      </c>
      <c r="G30" s="205" t="s">
        <v>232</v>
      </c>
      <c r="H30" s="205" t="s">
        <v>2241</v>
      </c>
      <c r="I30" s="205" t="s">
        <v>531</v>
      </c>
      <c r="J30" s="205" t="s">
        <v>2242</v>
      </c>
      <c r="K30" s="205" t="s">
        <v>450</v>
      </c>
      <c r="L30" s="205" t="s">
        <v>451</v>
      </c>
      <c r="M30" s="205" t="s">
        <v>463</v>
      </c>
      <c r="O30" s="200" t="s">
        <v>382</v>
      </c>
      <c r="P30" s="200" t="s">
        <v>2243</v>
      </c>
      <c r="Q30" s="205" t="s">
        <v>463</v>
      </c>
      <c r="R30" s="202">
        <v>35</v>
      </c>
      <c r="U30" s="205" t="s">
        <v>456</v>
      </c>
      <c r="W30" s="205" t="s">
        <v>234</v>
      </c>
      <c r="X30" s="205" t="s">
        <v>302</v>
      </c>
      <c r="Y30" s="200" t="s">
        <v>280</v>
      </c>
      <c r="Z30" s="205" t="s">
        <v>2244</v>
      </c>
      <c r="AA30" s="200" t="s">
        <v>2245</v>
      </c>
      <c r="AB30" s="205" t="s">
        <v>2246</v>
      </c>
      <c r="AC30" s="200" t="s">
        <v>369</v>
      </c>
      <c r="AD30" s="205" t="s">
        <v>2247</v>
      </c>
      <c r="AE30" s="205" t="s">
        <v>232</v>
      </c>
      <c r="AF30" s="205" t="s">
        <v>2248</v>
      </c>
      <c r="AG30" s="205" t="s">
        <v>239</v>
      </c>
      <c r="AH30" s="205" t="s">
        <v>239</v>
      </c>
      <c r="AI30" s="205" t="s">
        <v>2249</v>
      </c>
      <c r="AJ30" s="205" t="s">
        <v>2250</v>
      </c>
      <c r="AK30" s="205" t="s">
        <v>239</v>
      </c>
      <c r="AL30" s="205" t="s">
        <v>239</v>
      </c>
      <c r="AM30" s="205" t="s">
        <v>239</v>
      </c>
      <c r="AN30" s="205" t="s">
        <v>239</v>
      </c>
      <c r="AO30" s="200" t="s">
        <v>239</v>
      </c>
      <c r="AP30" s="200" t="s">
        <v>239</v>
      </c>
      <c r="AQ30" s="200" t="s">
        <v>235</v>
      </c>
      <c r="AR30" s="200" t="s">
        <v>239</v>
      </c>
      <c r="AS30" s="200" t="s">
        <v>262</v>
      </c>
      <c r="AT30" s="200" t="s">
        <v>299</v>
      </c>
      <c r="AU30" s="200" t="s">
        <v>241</v>
      </c>
      <c r="AV30" s="205" t="s">
        <v>242</v>
      </c>
      <c r="AW30" s="205" t="s">
        <v>243</v>
      </c>
      <c r="AY30" s="205" t="s">
        <v>239</v>
      </c>
      <c r="AZ30" s="205" t="s">
        <v>2251</v>
      </c>
      <c r="BA30" s="205" t="s">
        <v>244</v>
      </c>
      <c r="BB30" s="205" t="s">
        <v>244</v>
      </c>
      <c r="BD30" s="205" t="s">
        <v>239</v>
      </c>
      <c r="BE30" s="205" t="s">
        <v>446</v>
      </c>
      <c r="BF30" s="205" t="s">
        <v>457</v>
      </c>
      <c r="BH30" s="205" t="s">
        <v>456</v>
      </c>
      <c r="BI30" s="202">
        <v>35</v>
      </c>
      <c r="BJ30" s="201">
        <v>42293</v>
      </c>
      <c r="BK30" s="203" t="s">
        <v>245</v>
      </c>
      <c r="BL30" s="204">
        <v>170</v>
      </c>
      <c r="BM30" s="205">
        <v>42</v>
      </c>
    </row>
    <row r="31" spans="1:65" x14ac:dyDescent="0.25">
      <c r="A31" s="205" t="s">
        <v>1708</v>
      </c>
      <c r="B31" s="205" t="s">
        <v>2252</v>
      </c>
      <c r="C31" s="205" t="s">
        <v>2253</v>
      </c>
      <c r="D31" s="205" t="s">
        <v>2254</v>
      </c>
      <c r="E31" s="201">
        <v>42282</v>
      </c>
      <c r="F31" s="205" t="s">
        <v>2255</v>
      </c>
      <c r="G31" s="205" t="s">
        <v>232</v>
      </c>
      <c r="H31" s="205" t="s">
        <v>2256</v>
      </c>
      <c r="I31" s="205" t="s">
        <v>2257</v>
      </c>
      <c r="K31" s="205" t="s">
        <v>450</v>
      </c>
      <c r="L31" s="205" t="s">
        <v>451</v>
      </c>
      <c r="M31" s="205" t="s">
        <v>452</v>
      </c>
      <c r="O31" s="200" t="s">
        <v>246</v>
      </c>
      <c r="P31" s="200" t="s">
        <v>2258</v>
      </c>
      <c r="Q31" s="205" t="s">
        <v>452</v>
      </c>
      <c r="R31" s="202">
        <v>36</v>
      </c>
      <c r="U31" s="205" t="s">
        <v>456</v>
      </c>
      <c r="W31" s="205" t="s">
        <v>234</v>
      </c>
      <c r="X31" s="205" t="s">
        <v>275</v>
      </c>
      <c r="Y31" s="200" t="s">
        <v>2259</v>
      </c>
      <c r="Z31" s="205" t="s">
        <v>2260</v>
      </c>
      <c r="AA31" s="200" t="s">
        <v>414</v>
      </c>
      <c r="AB31" s="205" t="s">
        <v>2261</v>
      </c>
      <c r="AC31" s="200" t="s">
        <v>308</v>
      </c>
      <c r="AD31" s="205" t="s">
        <v>536</v>
      </c>
      <c r="AE31" s="205" t="s">
        <v>232</v>
      </c>
      <c r="AF31" s="205" t="s">
        <v>2262</v>
      </c>
      <c r="AG31" s="205" t="s">
        <v>343</v>
      </c>
      <c r="AH31" s="205" t="s">
        <v>239</v>
      </c>
      <c r="AI31" s="205" t="s">
        <v>2263</v>
      </c>
      <c r="AJ31" s="205" t="s">
        <v>2264</v>
      </c>
      <c r="AK31" s="205" t="s">
        <v>239</v>
      </c>
      <c r="AL31" s="205" t="s">
        <v>239</v>
      </c>
      <c r="AM31" s="205" t="s">
        <v>239</v>
      </c>
      <c r="AN31" s="205" t="s">
        <v>239</v>
      </c>
      <c r="AO31" s="200" t="s">
        <v>235</v>
      </c>
      <c r="AP31" s="200" t="s">
        <v>235</v>
      </c>
      <c r="AQ31" s="200" t="s">
        <v>235</v>
      </c>
      <c r="AR31" s="200" t="s">
        <v>239</v>
      </c>
      <c r="AS31" s="200" t="s">
        <v>299</v>
      </c>
      <c r="AT31" s="200" t="s">
        <v>299</v>
      </c>
      <c r="AU31" s="200" t="s">
        <v>241</v>
      </c>
      <c r="AV31" s="205" t="s">
        <v>242</v>
      </c>
      <c r="AW31" s="205" t="s">
        <v>243</v>
      </c>
      <c r="AX31" s="200" t="s">
        <v>2265</v>
      </c>
      <c r="AY31" s="205" t="s">
        <v>300</v>
      </c>
      <c r="AZ31" s="205" t="s">
        <v>2266</v>
      </c>
      <c r="BA31" s="205" t="s">
        <v>244</v>
      </c>
      <c r="BB31" s="205" t="s">
        <v>2266</v>
      </c>
      <c r="BD31" s="205" t="s">
        <v>239</v>
      </c>
      <c r="BE31" s="205" t="s">
        <v>446</v>
      </c>
      <c r="BF31" s="205" t="s">
        <v>457</v>
      </c>
      <c r="BH31" s="205" t="s">
        <v>456</v>
      </c>
      <c r="BI31" s="202">
        <v>36</v>
      </c>
      <c r="BJ31" s="201">
        <v>42292</v>
      </c>
      <c r="BK31" s="203" t="s">
        <v>301</v>
      </c>
      <c r="BM31" s="205">
        <v>42</v>
      </c>
    </row>
    <row r="32" spans="1:65" x14ac:dyDescent="0.25">
      <c r="A32" s="205" t="s">
        <v>1708</v>
      </c>
      <c r="B32" s="205" t="s">
        <v>2267</v>
      </c>
      <c r="C32" s="205" t="s">
        <v>2268</v>
      </c>
      <c r="D32" s="205" t="s">
        <v>2269</v>
      </c>
      <c r="E32" s="201">
        <v>42282</v>
      </c>
      <c r="F32" s="205" t="s">
        <v>2270</v>
      </c>
      <c r="G32" s="205" t="s">
        <v>232</v>
      </c>
      <c r="H32" s="205" t="s">
        <v>2271</v>
      </c>
      <c r="I32" s="205" t="s">
        <v>2272</v>
      </c>
      <c r="K32" s="205" t="s">
        <v>453</v>
      </c>
      <c r="L32" s="205" t="s">
        <v>461</v>
      </c>
      <c r="M32" s="205" t="s">
        <v>462</v>
      </c>
      <c r="O32" s="200" t="s">
        <v>303</v>
      </c>
      <c r="P32" s="200" t="s">
        <v>2273</v>
      </c>
      <c r="Q32" s="205" t="s">
        <v>462</v>
      </c>
      <c r="R32" s="202">
        <v>37</v>
      </c>
      <c r="U32" s="205" t="s">
        <v>456</v>
      </c>
      <c r="W32" s="205" t="s">
        <v>234</v>
      </c>
      <c r="X32" s="205" t="s">
        <v>253</v>
      </c>
      <c r="Y32" s="200" t="s">
        <v>554</v>
      </c>
      <c r="Z32" s="205" t="s">
        <v>530</v>
      </c>
      <c r="AA32" s="200" t="s">
        <v>415</v>
      </c>
      <c r="AB32" s="205" t="s">
        <v>2274</v>
      </c>
      <c r="AC32" s="200" t="s">
        <v>269</v>
      </c>
      <c r="AD32" s="205" t="s">
        <v>2275</v>
      </c>
      <c r="AE32" s="205" t="s">
        <v>232</v>
      </c>
      <c r="AF32" s="205" t="s">
        <v>2276</v>
      </c>
      <c r="AG32" s="205" t="s">
        <v>239</v>
      </c>
      <c r="AH32" s="205" t="s">
        <v>239</v>
      </c>
      <c r="AI32" s="205" t="s">
        <v>2277</v>
      </c>
      <c r="AJ32" s="205" t="s">
        <v>2278</v>
      </c>
      <c r="AK32" s="205" t="s">
        <v>239</v>
      </c>
      <c r="AL32" s="205" t="s">
        <v>239</v>
      </c>
      <c r="AM32" s="205" t="s">
        <v>239</v>
      </c>
      <c r="AN32" s="205" t="s">
        <v>239</v>
      </c>
      <c r="AO32" s="200" t="s">
        <v>235</v>
      </c>
      <c r="AP32" s="200" t="s">
        <v>235</v>
      </c>
      <c r="AQ32" s="200" t="s">
        <v>235</v>
      </c>
      <c r="AR32" s="200" t="s">
        <v>235</v>
      </c>
      <c r="AS32" s="200" t="s">
        <v>299</v>
      </c>
      <c r="AT32" s="200" t="s">
        <v>299</v>
      </c>
      <c r="AU32" s="200" t="s">
        <v>240</v>
      </c>
      <c r="AV32" s="205" t="s">
        <v>242</v>
      </c>
      <c r="AW32" s="205" t="s">
        <v>243</v>
      </c>
      <c r="AY32" s="205" t="s">
        <v>239</v>
      </c>
      <c r="AZ32" s="205" t="s">
        <v>2279</v>
      </c>
      <c r="BA32" s="205" t="s">
        <v>244</v>
      </c>
      <c r="BB32" s="205" t="s">
        <v>244</v>
      </c>
      <c r="BD32" s="205" t="s">
        <v>239</v>
      </c>
      <c r="BE32" s="205" t="s">
        <v>446</v>
      </c>
      <c r="BF32" s="205" t="s">
        <v>457</v>
      </c>
      <c r="BH32" s="205" t="s">
        <v>456</v>
      </c>
      <c r="BI32" s="202">
        <v>37</v>
      </c>
      <c r="BJ32" s="201">
        <v>42296</v>
      </c>
      <c r="BK32" s="203" t="s">
        <v>245</v>
      </c>
      <c r="BL32" s="204">
        <v>430.34</v>
      </c>
    </row>
    <row r="33" spans="1:65" x14ac:dyDescent="0.25">
      <c r="A33" s="205" t="s">
        <v>1708</v>
      </c>
      <c r="B33" s="205" t="s">
        <v>2280</v>
      </c>
      <c r="C33" s="205" t="s">
        <v>2281</v>
      </c>
      <c r="D33" s="205" t="s">
        <v>2282</v>
      </c>
      <c r="E33" s="201">
        <v>42282</v>
      </c>
      <c r="F33" s="205" t="s">
        <v>277</v>
      </c>
      <c r="G33" s="205" t="s">
        <v>232</v>
      </c>
      <c r="H33" s="205" t="s">
        <v>2283</v>
      </c>
      <c r="I33" s="205" t="s">
        <v>855</v>
      </c>
      <c r="J33" s="205" t="s">
        <v>353</v>
      </c>
      <c r="K33" s="205" t="s">
        <v>475</v>
      </c>
      <c r="L33" s="205" t="s">
        <v>476</v>
      </c>
      <c r="M33" s="205" t="s">
        <v>477</v>
      </c>
      <c r="O33" s="200" t="s">
        <v>246</v>
      </c>
      <c r="P33" s="200" t="s">
        <v>2284</v>
      </c>
      <c r="Q33" s="205" t="s">
        <v>477</v>
      </c>
      <c r="R33" s="202">
        <v>38</v>
      </c>
      <c r="U33" s="205" t="s">
        <v>456</v>
      </c>
      <c r="W33" s="205" t="s">
        <v>234</v>
      </c>
      <c r="X33" s="205" t="s">
        <v>243</v>
      </c>
      <c r="Y33" s="200" t="s">
        <v>340</v>
      </c>
      <c r="Z33" s="205" t="s">
        <v>2285</v>
      </c>
      <c r="AB33" s="205" t="s">
        <v>238</v>
      </c>
      <c r="AD33" s="205" t="s">
        <v>238</v>
      </c>
      <c r="AE33" s="205" t="s">
        <v>232</v>
      </c>
      <c r="AF33" s="205" t="s">
        <v>2286</v>
      </c>
      <c r="AG33" s="205" t="s">
        <v>239</v>
      </c>
      <c r="AH33" s="205" t="s">
        <v>239</v>
      </c>
      <c r="AI33" s="205" t="s">
        <v>2287</v>
      </c>
      <c r="AJ33" s="205" t="s">
        <v>2288</v>
      </c>
      <c r="AK33" s="205" t="s">
        <v>2289</v>
      </c>
      <c r="AL33" s="205" t="s">
        <v>239</v>
      </c>
      <c r="AM33" s="205" t="s">
        <v>239</v>
      </c>
      <c r="AN33" s="205" t="s">
        <v>239</v>
      </c>
      <c r="AO33" s="200" t="s">
        <v>235</v>
      </c>
      <c r="AP33" s="200" t="s">
        <v>235</v>
      </c>
      <c r="AQ33" s="200" t="s">
        <v>235</v>
      </c>
      <c r="AR33" s="200" t="s">
        <v>235</v>
      </c>
      <c r="AS33" s="200" t="s">
        <v>299</v>
      </c>
      <c r="AT33" s="200" t="s">
        <v>299</v>
      </c>
      <c r="AU33" s="200" t="s">
        <v>240</v>
      </c>
      <c r="AV33" s="205" t="s">
        <v>242</v>
      </c>
      <c r="AW33" s="205" t="s">
        <v>243</v>
      </c>
      <c r="AY33" s="205" t="s">
        <v>239</v>
      </c>
      <c r="AZ33" s="205" t="s">
        <v>2290</v>
      </c>
      <c r="BA33" s="205" t="s">
        <v>244</v>
      </c>
      <c r="BB33" s="205" t="s">
        <v>244</v>
      </c>
      <c r="BD33" s="205" t="s">
        <v>239</v>
      </c>
      <c r="BE33" s="205" t="s">
        <v>446</v>
      </c>
      <c r="BF33" s="205" t="s">
        <v>457</v>
      </c>
      <c r="BH33" s="205" t="s">
        <v>456</v>
      </c>
      <c r="BI33" s="202">
        <v>38</v>
      </c>
      <c r="BJ33" s="201">
        <v>42293</v>
      </c>
      <c r="BK33" s="203" t="s">
        <v>301</v>
      </c>
      <c r="BM33" s="205">
        <v>42</v>
      </c>
    </row>
    <row r="34" spans="1:65" x14ac:dyDescent="0.25">
      <c r="A34" s="205" t="s">
        <v>1708</v>
      </c>
      <c r="B34" s="205" t="s">
        <v>2291</v>
      </c>
      <c r="C34" s="205" t="s">
        <v>2292</v>
      </c>
      <c r="D34" s="205" t="s">
        <v>2293</v>
      </c>
      <c r="E34" s="201">
        <v>42282</v>
      </c>
      <c r="F34" s="205" t="s">
        <v>2294</v>
      </c>
      <c r="G34" s="205" t="s">
        <v>232</v>
      </c>
      <c r="H34" s="205" t="s">
        <v>2295</v>
      </c>
      <c r="I34" s="205" t="s">
        <v>2296</v>
      </c>
      <c r="J34" s="205" t="s">
        <v>379</v>
      </c>
      <c r="K34" s="205" t="s">
        <v>475</v>
      </c>
      <c r="L34" s="205" t="s">
        <v>476</v>
      </c>
      <c r="M34" s="205" t="s">
        <v>477</v>
      </c>
      <c r="O34" s="200" t="s">
        <v>2297</v>
      </c>
      <c r="P34" s="200" t="s">
        <v>2298</v>
      </c>
      <c r="Q34" s="205" t="s">
        <v>477</v>
      </c>
      <c r="R34" s="202">
        <v>39</v>
      </c>
      <c r="U34" s="205" t="s">
        <v>456</v>
      </c>
      <c r="W34" s="205" t="s">
        <v>234</v>
      </c>
      <c r="X34" s="205" t="s">
        <v>253</v>
      </c>
      <c r="Y34" s="200" t="s">
        <v>503</v>
      </c>
      <c r="Z34" s="205" t="s">
        <v>2247</v>
      </c>
      <c r="AA34" s="200" t="s">
        <v>383</v>
      </c>
      <c r="AB34" s="205" t="s">
        <v>2247</v>
      </c>
      <c r="AC34" s="200" t="s">
        <v>317</v>
      </c>
      <c r="AD34" s="205" t="s">
        <v>2247</v>
      </c>
      <c r="AE34" s="205" t="s">
        <v>232</v>
      </c>
      <c r="AF34" s="205" t="s">
        <v>2299</v>
      </c>
      <c r="AG34" s="205" t="s">
        <v>239</v>
      </c>
      <c r="AH34" s="205" t="s">
        <v>239</v>
      </c>
      <c r="AI34" s="205" t="s">
        <v>579</v>
      </c>
      <c r="AJ34" s="205" t="s">
        <v>579</v>
      </c>
      <c r="AK34" s="205" t="s">
        <v>239</v>
      </c>
      <c r="AL34" s="205" t="s">
        <v>239</v>
      </c>
      <c r="AM34" s="205" t="s">
        <v>239</v>
      </c>
      <c r="AN34" s="205" t="s">
        <v>239</v>
      </c>
      <c r="AO34" s="200" t="s">
        <v>239</v>
      </c>
      <c r="AP34" s="200" t="s">
        <v>239</v>
      </c>
      <c r="AQ34" s="200" t="s">
        <v>235</v>
      </c>
      <c r="AR34" s="200" t="s">
        <v>239</v>
      </c>
      <c r="AS34" s="200" t="s">
        <v>262</v>
      </c>
      <c r="AT34" s="200" t="s">
        <v>299</v>
      </c>
      <c r="AU34" s="200" t="s">
        <v>241</v>
      </c>
      <c r="AV34" s="205" t="s">
        <v>242</v>
      </c>
      <c r="AW34" s="205" t="s">
        <v>243</v>
      </c>
      <c r="AY34" s="205" t="s">
        <v>239</v>
      </c>
      <c r="AZ34" s="205" t="s">
        <v>2300</v>
      </c>
      <c r="BA34" s="205" t="s">
        <v>244</v>
      </c>
      <c r="BB34" s="205" t="s">
        <v>244</v>
      </c>
      <c r="BD34" s="205" t="s">
        <v>239</v>
      </c>
      <c r="BE34" s="205" t="s">
        <v>446</v>
      </c>
      <c r="BF34" s="205" t="s">
        <v>457</v>
      </c>
      <c r="BH34" s="205" t="s">
        <v>456</v>
      </c>
      <c r="BI34" s="202">
        <v>39</v>
      </c>
      <c r="BJ34" s="201">
        <v>42293</v>
      </c>
      <c r="BK34" s="203" t="s">
        <v>301</v>
      </c>
      <c r="BM34" s="205">
        <v>42</v>
      </c>
    </row>
    <row r="35" spans="1:65" x14ac:dyDescent="0.25">
      <c r="A35" s="205" t="s">
        <v>1708</v>
      </c>
      <c r="B35" s="205" t="s">
        <v>2301</v>
      </c>
      <c r="C35" s="205" t="s">
        <v>2302</v>
      </c>
      <c r="D35" s="205" t="s">
        <v>2303</v>
      </c>
      <c r="E35" s="201">
        <v>42282</v>
      </c>
      <c r="F35" s="205" t="s">
        <v>2304</v>
      </c>
      <c r="G35" s="205" t="s">
        <v>232</v>
      </c>
      <c r="H35" s="205" t="s">
        <v>2305</v>
      </c>
      <c r="I35" s="205" t="s">
        <v>2306</v>
      </c>
      <c r="J35" s="205" t="s">
        <v>2307</v>
      </c>
      <c r="K35" s="205" t="s">
        <v>453</v>
      </c>
      <c r="L35" s="205" t="s">
        <v>461</v>
      </c>
      <c r="M35" s="205" t="s">
        <v>462</v>
      </c>
      <c r="O35" s="200" t="s">
        <v>2308</v>
      </c>
      <c r="P35" s="200" t="s">
        <v>2309</v>
      </c>
      <c r="Q35" s="205" t="s">
        <v>462</v>
      </c>
      <c r="R35" s="202">
        <v>40</v>
      </c>
      <c r="U35" s="205" t="s">
        <v>456</v>
      </c>
      <c r="W35" s="205" t="s">
        <v>234</v>
      </c>
      <c r="X35" s="205" t="s">
        <v>400</v>
      </c>
      <c r="Y35" s="200" t="s">
        <v>1117</v>
      </c>
      <c r="Z35" s="205" t="s">
        <v>260</v>
      </c>
      <c r="AA35" s="200" t="s">
        <v>425</v>
      </c>
      <c r="AB35" s="205" t="s">
        <v>2310</v>
      </c>
      <c r="AC35" s="200" t="s">
        <v>428</v>
      </c>
      <c r="AD35" s="205" t="s">
        <v>2311</v>
      </c>
      <c r="AE35" s="205" t="s">
        <v>232</v>
      </c>
      <c r="AF35" s="205" t="s">
        <v>2312</v>
      </c>
      <c r="AG35" s="205" t="s">
        <v>239</v>
      </c>
      <c r="AH35" s="205" t="s">
        <v>239</v>
      </c>
      <c r="AI35" s="205" t="s">
        <v>2313</v>
      </c>
      <c r="AJ35" s="205" t="s">
        <v>2314</v>
      </c>
      <c r="AK35" s="205" t="s">
        <v>239</v>
      </c>
      <c r="AL35" s="205" t="s">
        <v>239</v>
      </c>
      <c r="AM35" s="205" t="s">
        <v>2315</v>
      </c>
      <c r="AN35" s="205" t="s">
        <v>239</v>
      </c>
      <c r="AO35" s="200" t="s">
        <v>235</v>
      </c>
      <c r="AP35" s="200" t="s">
        <v>235</v>
      </c>
      <c r="AQ35" s="200" t="s">
        <v>235</v>
      </c>
      <c r="AR35" s="200" t="s">
        <v>235</v>
      </c>
      <c r="AS35" s="200" t="s">
        <v>299</v>
      </c>
      <c r="AT35" s="200" t="s">
        <v>299</v>
      </c>
      <c r="AU35" s="200" t="s">
        <v>299</v>
      </c>
      <c r="AV35" s="205" t="s">
        <v>242</v>
      </c>
      <c r="AW35" s="205" t="s">
        <v>243</v>
      </c>
      <c r="AX35" s="200" t="s">
        <v>2316</v>
      </c>
      <c r="AY35" s="205" t="s">
        <v>272</v>
      </c>
      <c r="AZ35" s="205" t="s">
        <v>2317</v>
      </c>
      <c r="BA35" s="205" t="s">
        <v>244</v>
      </c>
      <c r="BB35" s="205" t="s">
        <v>244</v>
      </c>
      <c r="BC35" s="200" t="s">
        <v>256</v>
      </c>
      <c r="BD35" s="205" t="s">
        <v>239</v>
      </c>
      <c r="BE35" s="205" t="s">
        <v>446</v>
      </c>
      <c r="BF35" s="205" t="s">
        <v>457</v>
      </c>
      <c r="BH35" s="205" t="s">
        <v>456</v>
      </c>
      <c r="BI35" s="202">
        <v>40</v>
      </c>
      <c r="BJ35" s="201">
        <v>42296</v>
      </c>
      <c r="BK35" s="203" t="s">
        <v>301</v>
      </c>
    </row>
    <row r="36" spans="1:65" x14ac:dyDescent="0.25">
      <c r="A36" s="205" t="s">
        <v>1708</v>
      </c>
      <c r="B36" s="205" t="s">
        <v>2318</v>
      </c>
      <c r="C36" s="205" t="s">
        <v>2319</v>
      </c>
      <c r="D36" s="205" t="s">
        <v>2320</v>
      </c>
      <c r="E36" s="201">
        <v>42282</v>
      </c>
      <c r="F36" s="205" t="s">
        <v>2321</v>
      </c>
      <c r="G36" s="205" t="s">
        <v>232</v>
      </c>
      <c r="H36" s="205" t="s">
        <v>2322</v>
      </c>
      <c r="I36" s="205" t="s">
        <v>2323</v>
      </c>
      <c r="K36" s="205" t="s">
        <v>450</v>
      </c>
      <c r="L36" s="205" t="s">
        <v>451</v>
      </c>
      <c r="M36" s="205" t="s">
        <v>452</v>
      </c>
      <c r="O36" s="200" t="s">
        <v>608</v>
      </c>
      <c r="P36" s="200" t="s">
        <v>2324</v>
      </c>
      <c r="Q36" s="205" t="s">
        <v>452</v>
      </c>
      <c r="R36" s="202">
        <v>41</v>
      </c>
      <c r="U36" s="205" t="s">
        <v>456</v>
      </c>
      <c r="W36" s="205" t="s">
        <v>234</v>
      </c>
      <c r="X36" s="205" t="s">
        <v>302</v>
      </c>
      <c r="Y36" s="200" t="s">
        <v>2325</v>
      </c>
      <c r="Z36" s="205" t="s">
        <v>284</v>
      </c>
      <c r="AA36" s="200" t="s">
        <v>506</v>
      </c>
      <c r="AB36" s="205" t="s">
        <v>2326</v>
      </c>
      <c r="AC36" s="200" t="s">
        <v>517</v>
      </c>
      <c r="AD36" s="205" t="s">
        <v>2327</v>
      </c>
      <c r="AE36" s="205" t="s">
        <v>232</v>
      </c>
      <c r="AF36" s="205" t="s">
        <v>2328</v>
      </c>
      <c r="AG36" s="205" t="s">
        <v>239</v>
      </c>
      <c r="AH36" s="205" t="s">
        <v>239</v>
      </c>
      <c r="AI36" s="205" t="s">
        <v>2329</v>
      </c>
      <c r="AJ36" s="205" t="s">
        <v>2330</v>
      </c>
      <c r="AK36" s="205" t="s">
        <v>239</v>
      </c>
      <c r="AL36" s="205" t="s">
        <v>239</v>
      </c>
      <c r="AM36" s="205" t="s">
        <v>239</v>
      </c>
      <c r="AN36" s="205" t="s">
        <v>239</v>
      </c>
      <c r="AO36" s="200" t="s">
        <v>235</v>
      </c>
      <c r="AP36" s="200" t="s">
        <v>235</v>
      </c>
      <c r="AQ36" s="200" t="s">
        <v>235</v>
      </c>
      <c r="AR36" s="200" t="s">
        <v>239</v>
      </c>
      <c r="AS36" s="200" t="s">
        <v>299</v>
      </c>
      <c r="AT36" s="200" t="s">
        <v>299</v>
      </c>
      <c r="AU36" s="200" t="s">
        <v>241</v>
      </c>
      <c r="AV36" s="205" t="s">
        <v>242</v>
      </c>
      <c r="AW36" s="205" t="s">
        <v>243</v>
      </c>
      <c r="AY36" s="205" t="s">
        <v>239</v>
      </c>
      <c r="AZ36" s="205" t="s">
        <v>2331</v>
      </c>
      <c r="BA36" s="205" t="s">
        <v>244</v>
      </c>
      <c r="BB36" s="205" t="s">
        <v>2332</v>
      </c>
      <c r="BC36" s="200" t="s">
        <v>256</v>
      </c>
      <c r="BD36" s="205" t="s">
        <v>239</v>
      </c>
      <c r="BE36" s="205" t="s">
        <v>446</v>
      </c>
      <c r="BF36" s="205" t="s">
        <v>457</v>
      </c>
      <c r="BH36" s="205" t="s">
        <v>456</v>
      </c>
      <c r="BI36" s="202">
        <v>41</v>
      </c>
      <c r="BJ36" s="201">
        <v>42292</v>
      </c>
      <c r="BK36" s="203" t="s">
        <v>301</v>
      </c>
      <c r="BM36" s="205">
        <v>42</v>
      </c>
    </row>
    <row r="37" spans="1:65" x14ac:dyDescent="0.25">
      <c r="A37" s="205" t="s">
        <v>1708</v>
      </c>
      <c r="B37" s="205" t="s">
        <v>2333</v>
      </c>
      <c r="C37" s="205" t="s">
        <v>2334</v>
      </c>
      <c r="D37" s="205" t="s">
        <v>2335</v>
      </c>
      <c r="E37" s="201">
        <v>42282</v>
      </c>
      <c r="F37" s="205" t="s">
        <v>250</v>
      </c>
      <c r="G37" s="205" t="s">
        <v>232</v>
      </c>
      <c r="H37" s="205" t="s">
        <v>2336</v>
      </c>
      <c r="I37" s="205" t="s">
        <v>2337</v>
      </c>
      <c r="J37" s="205" t="s">
        <v>635</v>
      </c>
      <c r="K37" s="205" t="s">
        <v>447</v>
      </c>
      <c r="L37" s="205" t="s">
        <v>448</v>
      </c>
      <c r="M37" s="205" t="s">
        <v>449</v>
      </c>
      <c r="O37" s="200" t="s">
        <v>513</v>
      </c>
      <c r="P37" s="200" t="s">
        <v>2338</v>
      </c>
      <c r="Q37" s="205" t="s">
        <v>449</v>
      </c>
      <c r="R37" s="202">
        <v>42</v>
      </c>
      <c r="U37" s="205" t="s">
        <v>456</v>
      </c>
      <c r="W37" s="205" t="s">
        <v>234</v>
      </c>
      <c r="X37" s="205" t="s">
        <v>243</v>
      </c>
      <c r="Z37" s="205" t="s">
        <v>238</v>
      </c>
      <c r="AB37" s="205" t="s">
        <v>238</v>
      </c>
      <c r="AD37" s="205" t="s">
        <v>238</v>
      </c>
      <c r="AE37" s="205" t="s">
        <v>232</v>
      </c>
      <c r="AF37" s="205" t="s">
        <v>2339</v>
      </c>
      <c r="AG37" s="205" t="s">
        <v>239</v>
      </c>
      <c r="AH37" s="205" t="s">
        <v>239</v>
      </c>
      <c r="AI37" s="205" t="s">
        <v>2340</v>
      </c>
      <c r="AJ37" s="205" t="s">
        <v>2341</v>
      </c>
      <c r="AK37" s="205" t="s">
        <v>2342</v>
      </c>
      <c r="AL37" s="205" t="s">
        <v>239</v>
      </c>
      <c r="AM37" s="205" t="s">
        <v>239</v>
      </c>
      <c r="AN37" s="205" t="s">
        <v>239</v>
      </c>
      <c r="AO37" s="200" t="s">
        <v>235</v>
      </c>
      <c r="AP37" s="200" t="s">
        <v>239</v>
      </c>
      <c r="AQ37" s="200" t="s">
        <v>235</v>
      </c>
      <c r="AR37" s="200" t="s">
        <v>235</v>
      </c>
      <c r="AS37" s="200" t="s">
        <v>299</v>
      </c>
      <c r="AT37" s="200" t="s">
        <v>299</v>
      </c>
      <c r="AU37" s="200" t="s">
        <v>299</v>
      </c>
      <c r="AV37" s="205" t="s">
        <v>242</v>
      </c>
      <c r="AW37" s="205" t="s">
        <v>243</v>
      </c>
      <c r="AY37" s="205" t="s">
        <v>239</v>
      </c>
      <c r="AZ37" s="205" t="s">
        <v>2343</v>
      </c>
      <c r="BA37" s="205" t="s">
        <v>244</v>
      </c>
      <c r="BB37" s="205" t="s">
        <v>244</v>
      </c>
      <c r="BD37" s="205" t="s">
        <v>239</v>
      </c>
      <c r="BE37" s="205" t="s">
        <v>446</v>
      </c>
      <c r="BF37" s="205" t="s">
        <v>457</v>
      </c>
      <c r="BH37" s="205" t="s">
        <v>456</v>
      </c>
      <c r="BI37" s="202">
        <v>42</v>
      </c>
      <c r="BJ37" s="201">
        <v>42296</v>
      </c>
      <c r="BK37" s="203" t="s">
        <v>301</v>
      </c>
    </row>
    <row r="38" spans="1:65" x14ac:dyDescent="0.25">
      <c r="A38" s="205" t="s">
        <v>1708</v>
      </c>
      <c r="B38" s="205" t="s">
        <v>2344</v>
      </c>
      <c r="C38" s="205" t="s">
        <v>2345</v>
      </c>
      <c r="D38" s="205" t="s">
        <v>2346</v>
      </c>
      <c r="E38" s="201">
        <v>42282</v>
      </c>
      <c r="F38" s="205" t="s">
        <v>2347</v>
      </c>
      <c r="G38" s="205" t="s">
        <v>232</v>
      </c>
      <c r="H38" s="205" t="s">
        <v>2348</v>
      </c>
      <c r="I38" s="205" t="s">
        <v>2349</v>
      </c>
      <c r="K38" s="205" t="s">
        <v>453</v>
      </c>
      <c r="L38" s="205" t="s">
        <v>454</v>
      </c>
      <c r="M38" s="205" t="s">
        <v>462</v>
      </c>
      <c r="O38" s="200" t="s">
        <v>267</v>
      </c>
      <c r="P38" s="200" t="s">
        <v>2350</v>
      </c>
      <c r="Q38" s="205" t="s">
        <v>462</v>
      </c>
      <c r="R38" s="202">
        <v>43</v>
      </c>
      <c r="U38" s="205" t="s">
        <v>456</v>
      </c>
      <c r="W38" s="205" t="s">
        <v>234</v>
      </c>
      <c r="X38" s="205" t="s">
        <v>331</v>
      </c>
      <c r="Y38" s="200" t="s">
        <v>624</v>
      </c>
      <c r="Z38" s="205" t="s">
        <v>2351</v>
      </c>
      <c r="AA38" s="200" t="s">
        <v>858</v>
      </c>
      <c r="AB38" s="205" t="s">
        <v>2352</v>
      </c>
      <c r="AC38" s="200" t="s">
        <v>327</v>
      </c>
      <c r="AD38" s="205" t="s">
        <v>370</v>
      </c>
      <c r="AE38" s="205" t="s">
        <v>232</v>
      </c>
      <c r="AF38" s="205" t="s">
        <v>2353</v>
      </c>
      <c r="AG38" s="205" t="s">
        <v>239</v>
      </c>
      <c r="AH38" s="205" t="s">
        <v>239</v>
      </c>
      <c r="AI38" s="205" t="s">
        <v>2354</v>
      </c>
      <c r="AJ38" s="205" t="s">
        <v>2355</v>
      </c>
      <c r="AK38" s="205" t="s">
        <v>2356</v>
      </c>
      <c r="AL38" s="205" t="s">
        <v>239</v>
      </c>
      <c r="AM38" s="205" t="s">
        <v>239</v>
      </c>
      <c r="AN38" s="205" t="s">
        <v>239</v>
      </c>
      <c r="AO38" s="200" t="s">
        <v>235</v>
      </c>
      <c r="AP38" s="200" t="s">
        <v>235</v>
      </c>
      <c r="AQ38" s="200" t="s">
        <v>235</v>
      </c>
      <c r="AR38" s="200" t="s">
        <v>235</v>
      </c>
      <c r="AS38" s="200" t="s">
        <v>299</v>
      </c>
      <c r="AT38" s="200" t="s">
        <v>299</v>
      </c>
      <c r="AU38" s="200" t="s">
        <v>299</v>
      </c>
      <c r="AV38" s="205" t="s">
        <v>242</v>
      </c>
      <c r="AW38" s="205" t="s">
        <v>243</v>
      </c>
      <c r="AX38" s="200" t="s">
        <v>2265</v>
      </c>
      <c r="AY38" s="205" t="s">
        <v>235</v>
      </c>
      <c r="AZ38" s="205" t="s">
        <v>2357</v>
      </c>
      <c r="BA38" s="205" t="s">
        <v>244</v>
      </c>
      <c r="BB38" s="205" t="s">
        <v>244</v>
      </c>
      <c r="BD38" s="205" t="s">
        <v>239</v>
      </c>
      <c r="BE38" s="205" t="s">
        <v>446</v>
      </c>
      <c r="BF38" s="205" t="s">
        <v>457</v>
      </c>
      <c r="BH38" s="205" t="s">
        <v>456</v>
      </c>
      <c r="BI38" s="202">
        <v>43</v>
      </c>
      <c r="BJ38" s="201">
        <v>42296</v>
      </c>
      <c r="BK38" s="203" t="s">
        <v>301</v>
      </c>
    </row>
    <row r="39" spans="1:65" x14ac:dyDescent="0.25">
      <c r="A39" s="205" t="s">
        <v>1708</v>
      </c>
      <c r="B39" s="205" t="s">
        <v>2358</v>
      </c>
      <c r="C39" s="205" t="s">
        <v>2359</v>
      </c>
      <c r="D39" s="205" t="s">
        <v>2360</v>
      </c>
      <c r="E39" s="201">
        <v>42282</v>
      </c>
      <c r="F39" s="205" t="s">
        <v>2361</v>
      </c>
      <c r="G39" s="205" t="s">
        <v>232</v>
      </c>
      <c r="H39" s="205" t="s">
        <v>2362</v>
      </c>
      <c r="I39" s="205" t="s">
        <v>631</v>
      </c>
      <c r="J39" s="205" t="s">
        <v>2363</v>
      </c>
      <c r="K39" s="205" t="s">
        <v>447</v>
      </c>
      <c r="L39" s="205" t="s">
        <v>448</v>
      </c>
      <c r="M39" s="205" t="s">
        <v>449</v>
      </c>
      <c r="O39" s="200" t="s">
        <v>290</v>
      </c>
      <c r="P39" s="200" t="s">
        <v>2364</v>
      </c>
      <c r="Q39" s="205" t="s">
        <v>449</v>
      </c>
      <c r="R39" s="202">
        <v>44</v>
      </c>
      <c r="U39" s="205" t="s">
        <v>456</v>
      </c>
      <c r="W39" s="205" t="s">
        <v>234</v>
      </c>
      <c r="X39" s="205" t="s">
        <v>243</v>
      </c>
      <c r="Y39" s="200" t="s">
        <v>340</v>
      </c>
      <c r="Z39" s="205" t="s">
        <v>2365</v>
      </c>
      <c r="AA39" s="200" t="s">
        <v>279</v>
      </c>
      <c r="AB39" s="205" t="s">
        <v>2366</v>
      </c>
      <c r="AC39" s="200" t="s">
        <v>351</v>
      </c>
      <c r="AD39" s="205" t="s">
        <v>2367</v>
      </c>
      <c r="AE39" s="205" t="s">
        <v>232</v>
      </c>
      <c r="AF39" s="205" t="s">
        <v>2368</v>
      </c>
      <c r="AG39" s="205" t="s">
        <v>239</v>
      </c>
      <c r="AH39" s="205" t="s">
        <v>239</v>
      </c>
      <c r="AI39" s="205" t="s">
        <v>2369</v>
      </c>
      <c r="AJ39" s="205" t="s">
        <v>2370</v>
      </c>
      <c r="AK39" s="205" t="s">
        <v>2371</v>
      </c>
      <c r="AL39" s="205" t="s">
        <v>239</v>
      </c>
      <c r="AM39" s="205" t="s">
        <v>239</v>
      </c>
      <c r="AN39" s="205" t="s">
        <v>239</v>
      </c>
      <c r="AO39" s="200" t="s">
        <v>235</v>
      </c>
      <c r="AP39" s="200" t="s">
        <v>235</v>
      </c>
      <c r="AQ39" s="200" t="s">
        <v>239</v>
      </c>
      <c r="AR39" s="200" t="s">
        <v>235</v>
      </c>
      <c r="AS39" s="200" t="s">
        <v>299</v>
      </c>
      <c r="AT39" s="200" t="s">
        <v>241</v>
      </c>
      <c r="AU39" s="200" t="s">
        <v>299</v>
      </c>
      <c r="AV39" s="205" t="s">
        <v>242</v>
      </c>
      <c r="AW39" s="205" t="s">
        <v>243</v>
      </c>
      <c r="AY39" s="205" t="s">
        <v>239</v>
      </c>
      <c r="AZ39" s="205" t="s">
        <v>2372</v>
      </c>
      <c r="BA39" s="205" t="s">
        <v>244</v>
      </c>
      <c r="BB39" s="205" t="s">
        <v>2373</v>
      </c>
      <c r="BD39" s="205" t="s">
        <v>239</v>
      </c>
      <c r="BE39" s="205" t="s">
        <v>446</v>
      </c>
      <c r="BF39" s="205" t="s">
        <v>457</v>
      </c>
      <c r="BH39" s="205" t="s">
        <v>456</v>
      </c>
      <c r="BI39" s="202">
        <v>44</v>
      </c>
      <c r="BJ39" s="201">
        <v>42294</v>
      </c>
      <c r="BK39" s="203" t="s">
        <v>301</v>
      </c>
      <c r="BM39" s="205">
        <v>42</v>
      </c>
    </row>
    <row r="40" spans="1:65" x14ac:dyDescent="0.25">
      <c r="A40" s="205" t="s">
        <v>1708</v>
      </c>
      <c r="B40" s="205" t="s">
        <v>2374</v>
      </c>
      <c r="C40" s="205" t="s">
        <v>2375</v>
      </c>
      <c r="D40" s="205" t="s">
        <v>2376</v>
      </c>
      <c r="E40" s="201">
        <v>42282</v>
      </c>
      <c r="F40" s="205" t="s">
        <v>2377</v>
      </c>
      <c r="G40" s="205" t="s">
        <v>232</v>
      </c>
      <c r="H40" s="205" t="s">
        <v>2378</v>
      </c>
      <c r="I40" s="205" t="s">
        <v>2379</v>
      </c>
      <c r="K40" s="205" t="s">
        <v>453</v>
      </c>
      <c r="L40" s="205" t="s">
        <v>448</v>
      </c>
      <c r="M40" s="205" t="s">
        <v>449</v>
      </c>
      <c r="O40" s="200" t="s">
        <v>382</v>
      </c>
      <c r="P40" s="200" t="s">
        <v>2380</v>
      </c>
      <c r="Q40" s="205" t="s">
        <v>449</v>
      </c>
      <c r="R40" s="202">
        <v>45</v>
      </c>
      <c r="U40" s="205" t="s">
        <v>456</v>
      </c>
      <c r="W40" s="205" t="s">
        <v>234</v>
      </c>
      <c r="X40" s="205" t="s">
        <v>302</v>
      </c>
      <c r="Y40" s="200" t="s">
        <v>428</v>
      </c>
      <c r="Z40" s="205" t="s">
        <v>2381</v>
      </c>
      <c r="AA40" s="200" t="s">
        <v>416</v>
      </c>
      <c r="AB40" s="205" t="s">
        <v>2382</v>
      </c>
      <c r="AC40" s="200" t="s">
        <v>356</v>
      </c>
      <c r="AD40" s="205" t="s">
        <v>2383</v>
      </c>
      <c r="AE40" s="205" t="s">
        <v>232</v>
      </c>
      <c r="AF40" s="205" t="s">
        <v>2384</v>
      </c>
      <c r="AG40" s="205" t="s">
        <v>239</v>
      </c>
      <c r="AH40" s="205" t="s">
        <v>239</v>
      </c>
      <c r="AI40" s="205" t="s">
        <v>2385</v>
      </c>
      <c r="AJ40" s="205" t="s">
        <v>2385</v>
      </c>
      <c r="AK40" s="205" t="s">
        <v>239</v>
      </c>
      <c r="AL40" s="205" t="s">
        <v>239</v>
      </c>
      <c r="AM40" s="205" t="s">
        <v>239</v>
      </c>
      <c r="AN40" s="205" t="s">
        <v>239</v>
      </c>
      <c r="AO40" s="200" t="s">
        <v>239</v>
      </c>
      <c r="AP40" s="200" t="s">
        <v>239</v>
      </c>
      <c r="AQ40" s="200" t="s">
        <v>235</v>
      </c>
      <c r="AR40" s="200" t="s">
        <v>239</v>
      </c>
      <c r="AS40" s="200" t="s">
        <v>262</v>
      </c>
      <c r="AT40" s="200" t="s">
        <v>299</v>
      </c>
      <c r="AU40" s="200" t="s">
        <v>241</v>
      </c>
      <c r="AV40" s="205" t="s">
        <v>242</v>
      </c>
      <c r="AW40" s="205" t="s">
        <v>243</v>
      </c>
      <c r="AY40" s="205" t="s">
        <v>239</v>
      </c>
      <c r="AZ40" s="205" t="s">
        <v>2386</v>
      </c>
      <c r="BA40" s="205" t="s">
        <v>244</v>
      </c>
      <c r="BB40" s="205" t="s">
        <v>244</v>
      </c>
      <c r="BD40" s="205" t="s">
        <v>239</v>
      </c>
      <c r="BE40" s="205" t="s">
        <v>446</v>
      </c>
      <c r="BF40" s="205" t="s">
        <v>457</v>
      </c>
      <c r="BH40" s="205" t="s">
        <v>456</v>
      </c>
      <c r="BI40" s="202">
        <v>45</v>
      </c>
      <c r="BJ40" s="201">
        <v>42294</v>
      </c>
      <c r="BK40" s="203" t="s">
        <v>245</v>
      </c>
      <c r="BL40" s="204">
        <v>103.18</v>
      </c>
      <c r="BM40" s="205">
        <v>42</v>
      </c>
    </row>
    <row r="41" spans="1:65" x14ac:dyDescent="0.25">
      <c r="A41" s="205" t="s">
        <v>2387</v>
      </c>
      <c r="B41" s="205" t="s">
        <v>2388</v>
      </c>
      <c r="C41" s="205" t="s">
        <v>2389</v>
      </c>
      <c r="D41" s="205" t="s">
        <v>2390</v>
      </c>
      <c r="E41" s="201">
        <v>42282</v>
      </c>
      <c r="F41" s="205" t="s">
        <v>311</v>
      </c>
      <c r="G41" s="205" t="s">
        <v>232</v>
      </c>
      <c r="H41" s="205" t="s">
        <v>2391</v>
      </c>
      <c r="I41" s="205" t="s">
        <v>2392</v>
      </c>
      <c r="K41" s="205" t="s">
        <v>447</v>
      </c>
      <c r="L41" s="205" t="s">
        <v>448</v>
      </c>
      <c r="M41" s="205" t="s">
        <v>455</v>
      </c>
      <c r="O41" s="200" t="s">
        <v>274</v>
      </c>
      <c r="P41" s="200" t="s">
        <v>2393</v>
      </c>
      <c r="Q41" s="205" t="s">
        <v>455</v>
      </c>
      <c r="R41" s="202">
        <v>46</v>
      </c>
      <c r="U41" s="205" t="s">
        <v>456</v>
      </c>
      <c r="W41" s="205" t="s">
        <v>234</v>
      </c>
      <c r="X41" s="205" t="s">
        <v>300</v>
      </c>
      <c r="Y41" s="200" t="s">
        <v>510</v>
      </c>
      <c r="Z41" s="205" t="s">
        <v>2394</v>
      </c>
      <c r="AA41" s="200" t="s">
        <v>512</v>
      </c>
      <c r="AB41" s="205" t="s">
        <v>2395</v>
      </c>
      <c r="AC41" s="200" t="s">
        <v>307</v>
      </c>
      <c r="AD41" s="205" t="s">
        <v>2396</v>
      </c>
      <c r="AE41" s="205" t="s">
        <v>232</v>
      </c>
      <c r="AF41" s="205" t="s">
        <v>2397</v>
      </c>
      <c r="AG41" s="205" t="s">
        <v>239</v>
      </c>
      <c r="AH41" s="205" t="s">
        <v>239</v>
      </c>
      <c r="AI41" s="205" t="s">
        <v>2398</v>
      </c>
      <c r="AJ41" s="205" t="s">
        <v>2399</v>
      </c>
      <c r="AK41" s="205" t="s">
        <v>2400</v>
      </c>
      <c r="AL41" s="205" t="s">
        <v>239</v>
      </c>
      <c r="AM41" s="205" t="s">
        <v>239</v>
      </c>
      <c r="AN41" s="205" t="s">
        <v>239</v>
      </c>
      <c r="AO41" s="200" t="s">
        <v>235</v>
      </c>
      <c r="AP41" s="200" t="s">
        <v>235</v>
      </c>
      <c r="AQ41" s="200" t="s">
        <v>235</v>
      </c>
      <c r="AR41" s="200" t="s">
        <v>235</v>
      </c>
      <c r="AS41" s="200" t="s">
        <v>299</v>
      </c>
      <c r="AT41" s="200" t="s">
        <v>299</v>
      </c>
      <c r="AU41" s="200" t="s">
        <v>240</v>
      </c>
      <c r="AV41" s="205" t="s">
        <v>242</v>
      </c>
      <c r="AW41" s="205" t="s">
        <v>243</v>
      </c>
      <c r="AY41" s="205" t="s">
        <v>239</v>
      </c>
      <c r="AZ41" s="205" t="s">
        <v>2401</v>
      </c>
      <c r="BA41" s="205" t="s">
        <v>244</v>
      </c>
      <c r="BB41" s="205" t="s">
        <v>244</v>
      </c>
      <c r="BD41" s="205" t="s">
        <v>239</v>
      </c>
      <c r="BE41" s="205" t="s">
        <v>446</v>
      </c>
      <c r="BF41" s="205" t="s">
        <v>457</v>
      </c>
      <c r="BH41" s="205" t="s">
        <v>456</v>
      </c>
      <c r="BI41" s="202">
        <v>46</v>
      </c>
      <c r="BJ41" s="201">
        <v>42296</v>
      </c>
      <c r="BK41" s="203" t="s">
        <v>301</v>
      </c>
    </row>
    <row r="42" spans="1:65" x14ac:dyDescent="0.25">
      <c r="A42" s="205" t="s">
        <v>2387</v>
      </c>
      <c r="B42" s="205" t="s">
        <v>2402</v>
      </c>
      <c r="C42" s="205" t="s">
        <v>2403</v>
      </c>
      <c r="D42" s="205" t="s">
        <v>2404</v>
      </c>
      <c r="E42" s="201">
        <v>42282</v>
      </c>
      <c r="F42" s="205" t="s">
        <v>292</v>
      </c>
      <c r="G42" s="205" t="s">
        <v>232</v>
      </c>
      <c r="H42" s="205" t="s">
        <v>2405</v>
      </c>
      <c r="I42" s="205" t="s">
        <v>2406</v>
      </c>
      <c r="J42" s="205" t="s">
        <v>490</v>
      </c>
      <c r="K42" s="205" t="s">
        <v>450</v>
      </c>
      <c r="L42" s="205" t="s">
        <v>451</v>
      </c>
      <c r="M42" s="205" t="s">
        <v>463</v>
      </c>
      <c r="O42" s="200" t="s">
        <v>389</v>
      </c>
      <c r="P42" s="200" t="s">
        <v>2407</v>
      </c>
      <c r="Q42" s="205" t="s">
        <v>463</v>
      </c>
      <c r="R42" s="202">
        <v>47</v>
      </c>
      <c r="U42" s="205" t="s">
        <v>456</v>
      </c>
      <c r="W42" s="205" t="s">
        <v>234</v>
      </c>
      <c r="X42" s="205" t="s">
        <v>309</v>
      </c>
      <c r="Y42" s="200" t="s">
        <v>415</v>
      </c>
      <c r="Z42" s="205" t="s">
        <v>478</v>
      </c>
      <c r="AA42" s="200" t="s">
        <v>308</v>
      </c>
      <c r="AB42" s="205" t="s">
        <v>478</v>
      </c>
      <c r="AD42" s="205" t="s">
        <v>238</v>
      </c>
      <c r="AE42" s="205" t="s">
        <v>232</v>
      </c>
      <c r="AF42" s="205" t="s">
        <v>2408</v>
      </c>
      <c r="AG42" s="205" t="s">
        <v>239</v>
      </c>
      <c r="AH42" s="205" t="s">
        <v>239</v>
      </c>
      <c r="AI42" s="205" t="s">
        <v>491</v>
      </c>
      <c r="AJ42" s="205" t="s">
        <v>899</v>
      </c>
      <c r="AK42" s="205" t="s">
        <v>239</v>
      </c>
      <c r="AL42" s="205" t="s">
        <v>239</v>
      </c>
      <c r="AM42" s="205" t="s">
        <v>239</v>
      </c>
      <c r="AN42" s="205" t="s">
        <v>239</v>
      </c>
      <c r="AO42" s="200" t="s">
        <v>239</v>
      </c>
      <c r="AP42" s="200" t="s">
        <v>239</v>
      </c>
      <c r="AQ42" s="200" t="s">
        <v>235</v>
      </c>
      <c r="AR42" s="200" t="s">
        <v>239</v>
      </c>
      <c r="AS42" s="200" t="s">
        <v>262</v>
      </c>
      <c r="AT42" s="200" t="s">
        <v>299</v>
      </c>
      <c r="AU42" s="200" t="s">
        <v>241</v>
      </c>
      <c r="AV42" s="205" t="s">
        <v>242</v>
      </c>
      <c r="AW42" s="205" t="s">
        <v>243</v>
      </c>
      <c r="AY42" s="205" t="s">
        <v>239</v>
      </c>
      <c r="AZ42" s="205" t="s">
        <v>2409</v>
      </c>
      <c r="BA42" s="205" t="s">
        <v>244</v>
      </c>
      <c r="BB42" s="205" t="s">
        <v>244</v>
      </c>
      <c r="BD42" s="205" t="s">
        <v>239</v>
      </c>
      <c r="BE42" s="205" t="s">
        <v>446</v>
      </c>
      <c r="BF42" s="205" t="s">
        <v>457</v>
      </c>
      <c r="BH42" s="205" t="s">
        <v>456</v>
      </c>
      <c r="BI42" s="202">
        <v>47</v>
      </c>
      <c r="BJ42" s="201">
        <v>42292</v>
      </c>
      <c r="BK42" s="203" t="s">
        <v>301</v>
      </c>
      <c r="BM42" s="205">
        <v>42</v>
      </c>
    </row>
    <row r="43" spans="1:65" x14ac:dyDescent="0.25">
      <c r="A43" s="205" t="s">
        <v>2387</v>
      </c>
      <c r="B43" s="205" t="s">
        <v>2410</v>
      </c>
      <c r="C43" s="205" t="s">
        <v>2411</v>
      </c>
      <c r="D43" s="205" t="s">
        <v>2412</v>
      </c>
      <c r="E43" s="201">
        <v>42282</v>
      </c>
      <c r="F43" s="205" t="s">
        <v>358</v>
      </c>
      <c r="G43" s="205" t="s">
        <v>232</v>
      </c>
      <c r="H43" s="205" t="s">
        <v>2413</v>
      </c>
      <c r="I43" s="205" t="s">
        <v>2414</v>
      </c>
      <c r="K43" s="205" t="s">
        <v>453</v>
      </c>
      <c r="L43" s="205" t="s">
        <v>454</v>
      </c>
      <c r="M43" s="205" t="s">
        <v>455</v>
      </c>
      <c r="O43" s="200" t="s">
        <v>2415</v>
      </c>
      <c r="P43" s="200" t="s">
        <v>2416</v>
      </c>
      <c r="Q43" s="205" t="s">
        <v>455</v>
      </c>
      <c r="R43" s="202">
        <v>48</v>
      </c>
      <c r="U43" s="205" t="s">
        <v>456</v>
      </c>
      <c r="W43" s="205" t="s">
        <v>234</v>
      </c>
      <c r="X43" s="205" t="s">
        <v>640</v>
      </c>
      <c r="Y43" s="200" t="s">
        <v>628</v>
      </c>
      <c r="Z43" s="205" t="s">
        <v>2417</v>
      </c>
      <c r="AA43" s="200" t="s">
        <v>641</v>
      </c>
      <c r="AB43" s="205" t="s">
        <v>2418</v>
      </c>
      <c r="AC43" s="200" t="s">
        <v>325</v>
      </c>
      <c r="AD43" s="205" t="s">
        <v>366</v>
      </c>
      <c r="AE43" s="205" t="s">
        <v>232</v>
      </c>
      <c r="AF43" s="205" t="s">
        <v>2419</v>
      </c>
      <c r="AG43" s="205" t="s">
        <v>239</v>
      </c>
      <c r="AH43" s="205" t="s">
        <v>239</v>
      </c>
      <c r="AI43" s="205" t="s">
        <v>2420</v>
      </c>
      <c r="AJ43" s="205" t="s">
        <v>1329</v>
      </c>
      <c r="AK43" s="205" t="s">
        <v>2421</v>
      </c>
      <c r="AL43" s="205" t="s">
        <v>239</v>
      </c>
      <c r="AM43" s="205" t="s">
        <v>239</v>
      </c>
      <c r="AN43" s="205" t="s">
        <v>239</v>
      </c>
      <c r="AO43" s="200" t="s">
        <v>235</v>
      </c>
      <c r="AP43" s="200" t="s">
        <v>235</v>
      </c>
      <c r="AQ43" s="200" t="s">
        <v>239</v>
      </c>
      <c r="AR43" s="200" t="s">
        <v>239</v>
      </c>
      <c r="AS43" s="200" t="s">
        <v>299</v>
      </c>
      <c r="AT43" s="200" t="s">
        <v>241</v>
      </c>
      <c r="AU43" s="200" t="s">
        <v>241</v>
      </c>
      <c r="AV43" s="205" t="s">
        <v>242</v>
      </c>
      <c r="AW43" s="205" t="s">
        <v>243</v>
      </c>
      <c r="AX43" s="200" t="s">
        <v>2422</v>
      </c>
      <c r="AY43" s="205" t="s">
        <v>300</v>
      </c>
      <c r="AZ43" s="205" t="s">
        <v>2423</v>
      </c>
      <c r="BA43" s="205" t="s">
        <v>244</v>
      </c>
      <c r="BB43" s="205" t="s">
        <v>244</v>
      </c>
      <c r="BD43" s="205" t="s">
        <v>239</v>
      </c>
      <c r="BE43" s="205" t="s">
        <v>446</v>
      </c>
      <c r="BF43" s="205" t="s">
        <v>457</v>
      </c>
      <c r="BH43" s="205" t="s">
        <v>456</v>
      </c>
      <c r="BI43" s="202">
        <v>48</v>
      </c>
      <c r="BJ43" s="201">
        <v>42296</v>
      </c>
      <c r="BK43" s="203" t="s">
        <v>301</v>
      </c>
    </row>
    <row r="44" spans="1:65" x14ac:dyDescent="0.25">
      <c r="A44" s="205" t="s">
        <v>2387</v>
      </c>
      <c r="B44" s="205" t="s">
        <v>2424</v>
      </c>
      <c r="C44" s="205" t="s">
        <v>2425</v>
      </c>
      <c r="D44" s="205" t="s">
        <v>2426</v>
      </c>
      <c r="E44" s="201">
        <v>42282</v>
      </c>
      <c r="F44" s="205" t="s">
        <v>2427</v>
      </c>
      <c r="G44" s="205" t="s">
        <v>232</v>
      </c>
      <c r="H44" s="205" t="s">
        <v>2428</v>
      </c>
      <c r="I44" s="205" t="s">
        <v>2429</v>
      </c>
      <c r="K44" s="205" t="s">
        <v>453</v>
      </c>
      <c r="L44" s="205" t="s">
        <v>461</v>
      </c>
      <c r="M44" s="205" t="s">
        <v>462</v>
      </c>
      <c r="O44" s="200" t="s">
        <v>468</v>
      </c>
      <c r="P44" s="200" t="s">
        <v>2430</v>
      </c>
      <c r="Q44" s="205" t="s">
        <v>462</v>
      </c>
      <c r="R44" s="202">
        <v>49</v>
      </c>
      <c r="U44" s="205" t="s">
        <v>456</v>
      </c>
      <c r="W44" s="205" t="s">
        <v>234</v>
      </c>
      <c r="X44" s="205" t="s">
        <v>295</v>
      </c>
      <c r="Y44" s="200" t="s">
        <v>339</v>
      </c>
      <c r="Z44" s="205" t="s">
        <v>496</v>
      </c>
      <c r="AA44" s="200" t="s">
        <v>308</v>
      </c>
      <c r="AB44" s="205" t="s">
        <v>496</v>
      </c>
      <c r="AC44" s="200" t="s">
        <v>2245</v>
      </c>
      <c r="AD44" s="205" t="s">
        <v>496</v>
      </c>
      <c r="AE44" s="205" t="s">
        <v>232</v>
      </c>
      <c r="AF44" s="205" t="s">
        <v>2431</v>
      </c>
      <c r="AG44" s="205" t="s">
        <v>239</v>
      </c>
      <c r="AH44" s="205" t="s">
        <v>239</v>
      </c>
      <c r="AI44" s="205" t="s">
        <v>2432</v>
      </c>
      <c r="AJ44" s="205" t="s">
        <v>498</v>
      </c>
      <c r="AK44" s="205" t="s">
        <v>239</v>
      </c>
      <c r="AL44" s="205" t="s">
        <v>239</v>
      </c>
      <c r="AM44" s="205" t="s">
        <v>239</v>
      </c>
      <c r="AN44" s="205" t="s">
        <v>239</v>
      </c>
      <c r="AO44" s="200" t="s">
        <v>239</v>
      </c>
      <c r="AP44" s="200" t="s">
        <v>239</v>
      </c>
      <c r="AQ44" s="200" t="s">
        <v>235</v>
      </c>
      <c r="AR44" s="200" t="s">
        <v>239</v>
      </c>
      <c r="AS44" s="200" t="s">
        <v>262</v>
      </c>
      <c r="AT44" s="200" t="s">
        <v>299</v>
      </c>
      <c r="AU44" s="200" t="s">
        <v>241</v>
      </c>
      <c r="AV44" s="205" t="s">
        <v>242</v>
      </c>
      <c r="AW44" s="205" t="s">
        <v>243</v>
      </c>
      <c r="AX44" s="200" t="s">
        <v>2433</v>
      </c>
      <c r="AY44" s="205" t="s">
        <v>235</v>
      </c>
      <c r="AZ44" s="205" t="s">
        <v>2434</v>
      </c>
      <c r="BA44" s="205" t="s">
        <v>244</v>
      </c>
      <c r="BB44" s="205" t="s">
        <v>244</v>
      </c>
      <c r="BC44" s="200" t="s">
        <v>256</v>
      </c>
      <c r="BD44" s="205" t="s">
        <v>239</v>
      </c>
      <c r="BE44" s="205" t="s">
        <v>446</v>
      </c>
      <c r="BF44" s="205" t="s">
        <v>457</v>
      </c>
      <c r="BH44" s="205" t="s">
        <v>456</v>
      </c>
      <c r="BI44" s="202">
        <v>49</v>
      </c>
      <c r="BJ44" s="201">
        <v>42296</v>
      </c>
      <c r="BK44" s="203" t="s">
        <v>301</v>
      </c>
    </row>
    <row r="45" spans="1:65" x14ac:dyDescent="0.25">
      <c r="A45" s="205" t="s">
        <v>2387</v>
      </c>
      <c r="B45" s="205" t="s">
        <v>2435</v>
      </c>
      <c r="C45" s="205" t="s">
        <v>2436</v>
      </c>
      <c r="D45" s="205" t="s">
        <v>2437</v>
      </c>
      <c r="E45" s="201">
        <v>42282</v>
      </c>
      <c r="F45" s="205" t="s">
        <v>2438</v>
      </c>
      <c r="G45" s="205" t="s">
        <v>232</v>
      </c>
      <c r="H45" s="205" t="s">
        <v>2439</v>
      </c>
      <c r="I45" s="205" t="s">
        <v>2440</v>
      </c>
      <c r="J45" s="205" t="s">
        <v>2441</v>
      </c>
      <c r="K45" s="205" t="s">
        <v>450</v>
      </c>
      <c r="L45" s="205" t="s">
        <v>451</v>
      </c>
      <c r="M45" s="205" t="s">
        <v>452</v>
      </c>
      <c r="O45" s="200" t="s">
        <v>288</v>
      </c>
      <c r="P45" s="200" t="s">
        <v>2442</v>
      </c>
      <c r="Q45" s="205" t="s">
        <v>452</v>
      </c>
      <c r="R45" s="202">
        <v>50</v>
      </c>
      <c r="U45" s="205" t="s">
        <v>456</v>
      </c>
      <c r="V45" s="205" t="s">
        <v>2443</v>
      </c>
      <c r="W45" s="205" t="s">
        <v>234</v>
      </c>
      <c r="X45" s="205" t="s">
        <v>265</v>
      </c>
      <c r="Y45" s="200" t="s">
        <v>297</v>
      </c>
      <c r="Z45" s="205" t="s">
        <v>1479</v>
      </c>
      <c r="AA45" s="200" t="s">
        <v>251</v>
      </c>
      <c r="AB45" s="205" t="s">
        <v>260</v>
      </c>
      <c r="AC45" s="200" t="s">
        <v>2444</v>
      </c>
      <c r="AD45" s="205" t="s">
        <v>2445</v>
      </c>
      <c r="AE45" s="205" t="s">
        <v>232</v>
      </c>
      <c r="AF45" s="205" t="s">
        <v>2446</v>
      </c>
      <c r="AG45" s="205" t="s">
        <v>239</v>
      </c>
      <c r="AH45" s="205" t="s">
        <v>239</v>
      </c>
      <c r="AI45" s="205" t="s">
        <v>2447</v>
      </c>
      <c r="AJ45" s="205" t="s">
        <v>335</v>
      </c>
      <c r="AK45" s="205" t="s">
        <v>2448</v>
      </c>
      <c r="AL45" s="205" t="s">
        <v>239</v>
      </c>
      <c r="AM45" s="205" t="s">
        <v>239</v>
      </c>
      <c r="AN45" s="205" t="s">
        <v>239</v>
      </c>
      <c r="AO45" s="200" t="s">
        <v>235</v>
      </c>
      <c r="AP45" s="200" t="s">
        <v>235</v>
      </c>
      <c r="AQ45" s="200" t="s">
        <v>239</v>
      </c>
      <c r="AR45" s="200" t="s">
        <v>239</v>
      </c>
      <c r="AS45" s="200" t="s">
        <v>299</v>
      </c>
      <c r="AT45" s="200" t="s">
        <v>241</v>
      </c>
      <c r="AU45" s="200" t="s">
        <v>241</v>
      </c>
      <c r="AV45" s="205" t="s">
        <v>242</v>
      </c>
      <c r="AW45" s="205" t="s">
        <v>243</v>
      </c>
      <c r="AY45" s="205" t="s">
        <v>239</v>
      </c>
      <c r="AZ45" s="205" t="s">
        <v>2449</v>
      </c>
      <c r="BA45" s="205" t="s">
        <v>244</v>
      </c>
      <c r="BB45" s="205" t="s">
        <v>244</v>
      </c>
      <c r="BD45" s="205" t="s">
        <v>239</v>
      </c>
      <c r="BE45" s="205" t="s">
        <v>446</v>
      </c>
      <c r="BF45" s="205" t="s">
        <v>457</v>
      </c>
      <c r="BH45" s="205" t="s">
        <v>456</v>
      </c>
      <c r="BI45" s="202">
        <v>50</v>
      </c>
      <c r="BJ45" s="201">
        <v>42292</v>
      </c>
      <c r="BK45" s="203" t="s">
        <v>301</v>
      </c>
      <c r="BM45" s="205">
        <v>42</v>
      </c>
    </row>
    <row r="46" spans="1:65" x14ac:dyDescent="0.25">
      <c r="A46" s="205" t="s">
        <v>2387</v>
      </c>
      <c r="B46" s="205" t="s">
        <v>2450</v>
      </c>
      <c r="C46" s="205" t="s">
        <v>2451</v>
      </c>
      <c r="D46" s="205" t="s">
        <v>2452</v>
      </c>
      <c r="E46" s="201">
        <v>42282</v>
      </c>
      <c r="F46" s="205" t="s">
        <v>1921</v>
      </c>
      <c r="G46" s="205" t="s">
        <v>232</v>
      </c>
      <c r="H46" s="205" t="s">
        <v>2453</v>
      </c>
      <c r="I46" s="205" t="s">
        <v>2454</v>
      </c>
      <c r="J46" s="205" t="s">
        <v>1064</v>
      </c>
      <c r="K46" s="205" t="s">
        <v>447</v>
      </c>
      <c r="L46" s="205" t="s">
        <v>448</v>
      </c>
      <c r="M46" s="205" t="s">
        <v>455</v>
      </c>
      <c r="O46" s="200" t="s">
        <v>323</v>
      </c>
      <c r="P46" s="200" t="s">
        <v>2455</v>
      </c>
      <c r="Q46" s="205" t="s">
        <v>455</v>
      </c>
      <c r="R46" s="202">
        <v>51</v>
      </c>
      <c r="U46" s="205" t="s">
        <v>456</v>
      </c>
      <c r="W46" s="205" t="s">
        <v>234</v>
      </c>
      <c r="X46" s="205" t="s">
        <v>309</v>
      </c>
      <c r="Y46" s="200" t="s">
        <v>428</v>
      </c>
      <c r="Z46" s="205" t="s">
        <v>366</v>
      </c>
      <c r="AA46" s="200" t="s">
        <v>383</v>
      </c>
      <c r="AB46" s="205" t="s">
        <v>511</v>
      </c>
      <c r="AC46" s="200" t="s">
        <v>279</v>
      </c>
      <c r="AD46" s="205" t="s">
        <v>366</v>
      </c>
      <c r="AE46" s="205" t="s">
        <v>232</v>
      </c>
      <c r="AF46" s="205" t="s">
        <v>2456</v>
      </c>
      <c r="AG46" s="205" t="s">
        <v>239</v>
      </c>
      <c r="AH46" s="205" t="s">
        <v>239</v>
      </c>
      <c r="AI46" s="205" t="s">
        <v>2457</v>
      </c>
      <c r="AJ46" s="205" t="s">
        <v>2458</v>
      </c>
      <c r="AK46" s="205" t="s">
        <v>239</v>
      </c>
      <c r="AL46" s="205" t="s">
        <v>239</v>
      </c>
      <c r="AM46" s="205" t="s">
        <v>239</v>
      </c>
      <c r="AN46" s="205" t="s">
        <v>239</v>
      </c>
      <c r="AO46" s="200" t="s">
        <v>235</v>
      </c>
      <c r="AP46" s="200" t="s">
        <v>235</v>
      </c>
      <c r="AQ46" s="200" t="s">
        <v>235</v>
      </c>
      <c r="AR46" s="200" t="s">
        <v>239</v>
      </c>
      <c r="AS46" s="200" t="s">
        <v>299</v>
      </c>
      <c r="AT46" s="200" t="s">
        <v>299</v>
      </c>
      <c r="AU46" s="200" t="s">
        <v>241</v>
      </c>
      <c r="AV46" s="205" t="s">
        <v>242</v>
      </c>
      <c r="AW46" s="205" t="s">
        <v>243</v>
      </c>
      <c r="AY46" s="205" t="s">
        <v>239</v>
      </c>
      <c r="AZ46" s="205" t="s">
        <v>2459</v>
      </c>
      <c r="BA46" s="205" t="s">
        <v>244</v>
      </c>
      <c r="BB46" s="205" t="s">
        <v>244</v>
      </c>
      <c r="BD46" s="205" t="s">
        <v>239</v>
      </c>
      <c r="BE46" s="205" t="s">
        <v>446</v>
      </c>
      <c r="BF46" s="205" t="s">
        <v>457</v>
      </c>
      <c r="BH46" s="205" t="s">
        <v>456</v>
      </c>
      <c r="BI46" s="202">
        <v>51</v>
      </c>
      <c r="BJ46" s="201">
        <v>42294</v>
      </c>
      <c r="BK46" s="203" t="s">
        <v>301</v>
      </c>
      <c r="BM46" s="205">
        <v>42</v>
      </c>
    </row>
    <row r="47" spans="1:65" x14ac:dyDescent="0.25">
      <c r="A47" s="205" t="s">
        <v>2387</v>
      </c>
      <c r="B47" s="205" t="s">
        <v>2460</v>
      </c>
      <c r="C47" s="205" t="s">
        <v>2461</v>
      </c>
      <c r="D47" s="205" t="s">
        <v>2462</v>
      </c>
      <c r="E47" s="201">
        <v>42282</v>
      </c>
      <c r="F47" s="205" t="s">
        <v>2463</v>
      </c>
      <c r="G47" s="205" t="s">
        <v>232</v>
      </c>
      <c r="H47" s="205" t="s">
        <v>2464</v>
      </c>
      <c r="I47" s="205" t="s">
        <v>2465</v>
      </c>
      <c r="J47" s="205" t="s">
        <v>551</v>
      </c>
      <c r="K47" s="205" t="s">
        <v>475</v>
      </c>
      <c r="L47" s="205" t="s">
        <v>476</v>
      </c>
      <c r="M47" s="205" t="s">
        <v>477</v>
      </c>
      <c r="Q47" s="205" t="s">
        <v>477</v>
      </c>
      <c r="R47" s="202">
        <v>52</v>
      </c>
      <c r="U47" s="205" t="s">
        <v>456</v>
      </c>
      <c r="X47" s="205" t="s">
        <v>309</v>
      </c>
      <c r="Y47" s="200" t="s">
        <v>287</v>
      </c>
      <c r="Z47" s="205" t="s">
        <v>2466</v>
      </c>
      <c r="AA47" s="200" t="s">
        <v>297</v>
      </c>
      <c r="AB47" s="205" t="s">
        <v>2467</v>
      </c>
      <c r="AC47" s="200" t="s">
        <v>316</v>
      </c>
      <c r="AD47" s="205" t="s">
        <v>2468</v>
      </c>
      <c r="AE47" s="205" t="s">
        <v>232</v>
      </c>
      <c r="AF47" s="205" t="s">
        <v>2469</v>
      </c>
      <c r="AG47" s="205" t="s">
        <v>239</v>
      </c>
      <c r="AH47" s="205" t="s">
        <v>239</v>
      </c>
      <c r="AI47" s="205" t="s">
        <v>489</v>
      </c>
      <c r="AJ47" s="205" t="s">
        <v>2470</v>
      </c>
      <c r="AK47" s="205" t="s">
        <v>239</v>
      </c>
      <c r="AL47" s="205" t="s">
        <v>239</v>
      </c>
      <c r="AM47" s="205" t="s">
        <v>239</v>
      </c>
      <c r="AN47" s="205" t="s">
        <v>239</v>
      </c>
      <c r="AO47" s="200" t="s">
        <v>235</v>
      </c>
      <c r="AP47" s="200" t="s">
        <v>239</v>
      </c>
      <c r="AQ47" s="200" t="s">
        <v>239</v>
      </c>
      <c r="AR47" s="200" t="s">
        <v>239</v>
      </c>
      <c r="AS47" s="200" t="s">
        <v>299</v>
      </c>
      <c r="AT47" s="200" t="s">
        <v>241</v>
      </c>
      <c r="AU47" s="200" t="s">
        <v>241</v>
      </c>
      <c r="AV47" s="205" t="s">
        <v>242</v>
      </c>
      <c r="AW47" s="205" t="s">
        <v>243</v>
      </c>
      <c r="AY47" s="205" t="s">
        <v>239</v>
      </c>
      <c r="AZ47" s="205" t="s">
        <v>2471</v>
      </c>
      <c r="BA47" s="205" t="s">
        <v>244</v>
      </c>
      <c r="BB47" s="205" t="s">
        <v>244</v>
      </c>
      <c r="BD47" s="205" t="s">
        <v>239</v>
      </c>
      <c r="BE47" s="205" t="s">
        <v>446</v>
      </c>
      <c r="BF47" s="205" t="s">
        <v>457</v>
      </c>
      <c r="BH47" s="205" t="s">
        <v>456</v>
      </c>
      <c r="BI47" s="202">
        <v>52</v>
      </c>
      <c r="BJ47" s="201">
        <v>42292</v>
      </c>
      <c r="BK47" s="203" t="s">
        <v>245</v>
      </c>
      <c r="BL47" s="204">
        <v>95.69</v>
      </c>
      <c r="BM47" s="205">
        <v>42</v>
      </c>
    </row>
    <row r="48" spans="1:65" x14ac:dyDescent="0.25">
      <c r="A48" s="205" t="s">
        <v>2387</v>
      </c>
      <c r="B48" s="205" t="s">
        <v>2472</v>
      </c>
      <c r="C48" s="205" t="s">
        <v>2473</v>
      </c>
      <c r="D48" s="205" t="s">
        <v>2474</v>
      </c>
      <c r="E48" s="201">
        <v>42282</v>
      </c>
      <c r="F48" s="205" t="s">
        <v>2475</v>
      </c>
      <c r="G48" s="205" t="s">
        <v>232</v>
      </c>
      <c r="H48" s="205" t="s">
        <v>2476</v>
      </c>
      <c r="I48" s="205" t="s">
        <v>2477</v>
      </c>
      <c r="J48" s="205" t="s">
        <v>576</v>
      </c>
      <c r="K48" s="205" t="s">
        <v>453</v>
      </c>
      <c r="L48" s="205" t="s">
        <v>448</v>
      </c>
      <c r="M48" s="205" t="s">
        <v>455</v>
      </c>
      <c r="O48" s="200" t="s">
        <v>274</v>
      </c>
      <c r="P48" s="200" t="s">
        <v>2478</v>
      </c>
      <c r="Q48" s="205" t="s">
        <v>455</v>
      </c>
      <c r="R48" s="202">
        <v>53</v>
      </c>
      <c r="U48" s="205" t="s">
        <v>456</v>
      </c>
      <c r="W48" s="205" t="s">
        <v>234</v>
      </c>
      <c r="X48" s="205" t="s">
        <v>332</v>
      </c>
      <c r="Y48" s="200" t="s">
        <v>2387</v>
      </c>
      <c r="Z48" s="205" t="s">
        <v>2479</v>
      </c>
      <c r="AA48" s="200" t="s">
        <v>548</v>
      </c>
      <c r="AB48" s="205" t="s">
        <v>2480</v>
      </c>
      <c r="AC48" s="200" t="s">
        <v>320</v>
      </c>
      <c r="AD48" s="205" t="s">
        <v>2231</v>
      </c>
      <c r="AE48" s="205" t="s">
        <v>232</v>
      </c>
      <c r="AF48" s="205" t="s">
        <v>2481</v>
      </c>
      <c r="AG48" s="205" t="s">
        <v>239</v>
      </c>
      <c r="AH48" s="205" t="s">
        <v>239</v>
      </c>
      <c r="AI48" s="205" t="s">
        <v>2482</v>
      </c>
      <c r="AJ48" s="205" t="s">
        <v>2483</v>
      </c>
      <c r="AK48" s="205" t="s">
        <v>2484</v>
      </c>
      <c r="AL48" s="205" t="s">
        <v>239</v>
      </c>
      <c r="AM48" s="205" t="s">
        <v>239</v>
      </c>
      <c r="AN48" s="205" t="s">
        <v>239</v>
      </c>
      <c r="AO48" s="200" t="s">
        <v>235</v>
      </c>
      <c r="AP48" s="200" t="s">
        <v>235</v>
      </c>
      <c r="AQ48" s="200" t="s">
        <v>235</v>
      </c>
      <c r="AR48" s="200" t="s">
        <v>235</v>
      </c>
      <c r="AS48" s="200" t="s">
        <v>299</v>
      </c>
      <c r="AT48" s="200" t="s">
        <v>299</v>
      </c>
      <c r="AU48" s="200" t="s">
        <v>299</v>
      </c>
      <c r="AV48" s="205" t="s">
        <v>242</v>
      </c>
      <c r="AW48" s="205" t="s">
        <v>243</v>
      </c>
      <c r="AX48" s="200" t="s">
        <v>1582</v>
      </c>
      <c r="AY48" s="205" t="s">
        <v>235</v>
      </c>
      <c r="AZ48" s="205" t="s">
        <v>2485</v>
      </c>
      <c r="BA48" s="205" t="s">
        <v>244</v>
      </c>
      <c r="BB48" s="205" t="s">
        <v>244</v>
      </c>
      <c r="BD48" s="205" t="s">
        <v>239</v>
      </c>
      <c r="BE48" s="205" t="s">
        <v>446</v>
      </c>
      <c r="BF48" s="205" t="s">
        <v>457</v>
      </c>
      <c r="BH48" s="205" t="s">
        <v>456</v>
      </c>
      <c r="BI48" s="202">
        <v>53</v>
      </c>
      <c r="BJ48" s="201">
        <v>42294</v>
      </c>
      <c r="BK48" s="203" t="s">
        <v>301</v>
      </c>
      <c r="BM48" s="205">
        <v>42</v>
      </c>
    </row>
    <row r="49" spans="1:65" x14ac:dyDescent="0.25">
      <c r="A49" s="205" t="s">
        <v>2387</v>
      </c>
      <c r="B49" s="205" t="s">
        <v>2486</v>
      </c>
      <c r="C49" s="205" t="s">
        <v>2487</v>
      </c>
      <c r="D49" s="205" t="s">
        <v>2488</v>
      </c>
      <c r="E49" s="201">
        <v>42282</v>
      </c>
      <c r="F49" s="205" t="s">
        <v>2489</v>
      </c>
      <c r="G49" s="205" t="s">
        <v>232</v>
      </c>
      <c r="H49" s="205" t="s">
        <v>2490</v>
      </c>
      <c r="I49" s="205" t="s">
        <v>547</v>
      </c>
      <c r="J49" s="205" t="s">
        <v>480</v>
      </c>
      <c r="K49" s="205" t="s">
        <v>447</v>
      </c>
      <c r="L49" s="205" t="s">
        <v>448</v>
      </c>
      <c r="M49" s="205" t="s">
        <v>449</v>
      </c>
      <c r="O49" s="200" t="s">
        <v>345</v>
      </c>
      <c r="P49" s="200" t="s">
        <v>2491</v>
      </c>
      <c r="Q49" s="205" t="s">
        <v>449</v>
      </c>
      <c r="R49" s="202">
        <v>54</v>
      </c>
      <c r="U49" s="205" t="s">
        <v>456</v>
      </c>
      <c r="W49" s="205" t="s">
        <v>234</v>
      </c>
      <c r="X49" s="205" t="s">
        <v>265</v>
      </c>
      <c r="Y49" s="200" t="s">
        <v>413</v>
      </c>
      <c r="Z49" s="205" t="s">
        <v>2492</v>
      </c>
      <c r="AA49" s="200" t="s">
        <v>286</v>
      </c>
      <c r="AB49" s="205" t="s">
        <v>2493</v>
      </c>
      <c r="AC49" s="200" t="s">
        <v>313</v>
      </c>
      <c r="AD49" s="205" t="s">
        <v>2494</v>
      </c>
      <c r="AE49" s="205" t="s">
        <v>232</v>
      </c>
      <c r="AF49" s="205" t="s">
        <v>2495</v>
      </c>
      <c r="AG49" s="205" t="s">
        <v>239</v>
      </c>
      <c r="AH49" s="205" t="s">
        <v>239</v>
      </c>
      <c r="AI49" s="205" t="s">
        <v>665</v>
      </c>
      <c r="AJ49" s="205" t="s">
        <v>499</v>
      </c>
      <c r="AK49" s="205" t="s">
        <v>499</v>
      </c>
      <c r="AL49" s="205" t="s">
        <v>239</v>
      </c>
      <c r="AM49" s="205" t="s">
        <v>239</v>
      </c>
      <c r="AN49" s="205" t="s">
        <v>239</v>
      </c>
      <c r="AO49" s="200" t="s">
        <v>239</v>
      </c>
      <c r="AP49" s="200" t="s">
        <v>239</v>
      </c>
      <c r="AQ49" s="200" t="s">
        <v>235</v>
      </c>
      <c r="AR49" s="200" t="s">
        <v>239</v>
      </c>
      <c r="AS49" s="200" t="s">
        <v>262</v>
      </c>
      <c r="AT49" s="200" t="s">
        <v>299</v>
      </c>
      <c r="AU49" s="200" t="s">
        <v>241</v>
      </c>
      <c r="AV49" s="205" t="s">
        <v>242</v>
      </c>
      <c r="AW49" s="205" t="s">
        <v>243</v>
      </c>
      <c r="AY49" s="205" t="s">
        <v>239</v>
      </c>
      <c r="AZ49" s="205" t="s">
        <v>2496</v>
      </c>
      <c r="BA49" s="205" t="s">
        <v>244</v>
      </c>
      <c r="BB49" s="205" t="s">
        <v>2497</v>
      </c>
      <c r="BD49" s="205" t="s">
        <v>239</v>
      </c>
      <c r="BE49" s="205" t="s">
        <v>446</v>
      </c>
      <c r="BF49" s="205" t="s">
        <v>457</v>
      </c>
      <c r="BH49" s="205" t="s">
        <v>456</v>
      </c>
      <c r="BI49" s="202">
        <v>54</v>
      </c>
      <c r="BJ49" s="201">
        <v>42294</v>
      </c>
      <c r="BK49" s="203" t="s">
        <v>301</v>
      </c>
      <c r="BM49" s="205">
        <v>42</v>
      </c>
    </row>
    <row r="50" spans="1:65" x14ac:dyDescent="0.25">
      <c r="A50" s="205" t="s">
        <v>2387</v>
      </c>
      <c r="B50" s="205" t="s">
        <v>2498</v>
      </c>
      <c r="C50" s="205" t="s">
        <v>2499</v>
      </c>
      <c r="D50" s="205" t="s">
        <v>2500</v>
      </c>
      <c r="E50" s="201">
        <v>42282</v>
      </c>
      <c r="F50" s="205" t="s">
        <v>2501</v>
      </c>
      <c r="G50" s="205" t="s">
        <v>232</v>
      </c>
      <c r="H50" s="205" t="s">
        <v>2502</v>
      </c>
      <c r="I50" s="205" t="s">
        <v>2503</v>
      </c>
      <c r="K50" s="205" t="s">
        <v>464</v>
      </c>
      <c r="L50" s="205" t="s">
        <v>465</v>
      </c>
      <c r="M50" s="205" t="s">
        <v>466</v>
      </c>
      <c r="O50" s="200" t="s">
        <v>246</v>
      </c>
      <c r="P50" s="200" t="s">
        <v>2504</v>
      </c>
      <c r="Q50" s="205" t="s">
        <v>466</v>
      </c>
      <c r="R50" s="202">
        <v>55</v>
      </c>
      <c r="U50" s="205" t="s">
        <v>456</v>
      </c>
      <c r="W50" s="205" t="s">
        <v>234</v>
      </c>
      <c r="X50" s="205" t="s">
        <v>391</v>
      </c>
      <c r="Y50" s="200" t="s">
        <v>417</v>
      </c>
      <c r="Z50" s="205" t="s">
        <v>2505</v>
      </c>
      <c r="AA50" s="200" t="s">
        <v>308</v>
      </c>
      <c r="AB50" s="205" t="s">
        <v>2506</v>
      </c>
      <c r="AC50" s="200" t="s">
        <v>282</v>
      </c>
      <c r="AD50" s="205" t="s">
        <v>2506</v>
      </c>
      <c r="AE50" s="205" t="s">
        <v>232</v>
      </c>
      <c r="AF50" s="205" t="s">
        <v>2507</v>
      </c>
      <c r="AG50" s="205" t="s">
        <v>239</v>
      </c>
      <c r="AH50" s="205" t="s">
        <v>239</v>
      </c>
      <c r="AI50" s="205" t="s">
        <v>2508</v>
      </c>
      <c r="AJ50" s="205" t="s">
        <v>2509</v>
      </c>
      <c r="AK50" s="205" t="s">
        <v>2510</v>
      </c>
      <c r="AL50" s="205" t="s">
        <v>239</v>
      </c>
      <c r="AM50" s="205" t="s">
        <v>239</v>
      </c>
      <c r="AN50" s="205" t="s">
        <v>239</v>
      </c>
      <c r="AO50" s="200" t="s">
        <v>235</v>
      </c>
      <c r="AP50" s="200" t="s">
        <v>235</v>
      </c>
      <c r="AQ50" s="200" t="s">
        <v>239</v>
      </c>
      <c r="AR50" s="200" t="s">
        <v>235</v>
      </c>
      <c r="AS50" s="200" t="s">
        <v>299</v>
      </c>
      <c r="AT50" s="200" t="s">
        <v>241</v>
      </c>
      <c r="AU50" s="200" t="s">
        <v>299</v>
      </c>
      <c r="AV50" s="205" t="s">
        <v>242</v>
      </c>
      <c r="AW50" s="205" t="s">
        <v>243</v>
      </c>
      <c r="AY50" s="205" t="s">
        <v>239</v>
      </c>
      <c r="AZ50" s="205" t="s">
        <v>2511</v>
      </c>
      <c r="BA50" s="205" t="s">
        <v>244</v>
      </c>
      <c r="BB50" s="205" t="s">
        <v>244</v>
      </c>
      <c r="BD50" s="205" t="s">
        <v>239</v>
      </c>
      <c r="BE50" s="205" t="s">
        <v>446</v>
      </c>
      <c r="BF50" s="205" t="s">
        <v>457</v>
      </c>
      <c r="BH50" s="205" t="s">
        <v>456</v>
      </c>
      <c r="BI50" s="202">
        <v>55</v>
      </c>
      <c r="BJ50" s="201">
        <v>42293</v>
      </c>
      <c r="BK50" s="203" t="s">
        <v>301</v>
      </c>
      <c r="BM50" s="205">
        <v>42</v>
      </c>
    </row>
    <row r="51" spans="1:65" x14ac:dyDescent="0.25">
      <c r="A51" s="205" t="s">
        <v>2387</v>
      </c>
      <c r="B51" s="205" t="s">
        <v>2512</v>
      </c>
      <c r="C51" s="205" t="s">
        <v>2513</v>
      </c>
      <c r="D51" s="205" t="s">
        <v>2514</v>
      </c>
      <c r="E51" s="201">
        <v>42282</v>
      </c>
      <c r="F51" s="205" t="s">
        <v>2515</v>
      </c>
      <c r="G51" s="205" t="s">
        <v>232</v>
      </c>
      <c r="H51" s="205" t="s">
        <v>2516</v>
      </c>
      <c r="I51" s="205" t="s">
        <v>2517</v>
      </c>
      <c r="K51" s="205" t="s">
        <v>484</v>
      </c>
      <c r="L51" s="205" t="s">
        <v>465</v>
      </c>
      <c r="M51" s="205" t="s">
        <v>466</v>
      </c>
      <c r="O51" s="200" t="s">
        <v>246</v>
      </c>
      <c r="P51" s="200" t="s">
        <v>2518</v>
      </c>
      <c r="Q51" s="205" t="s">
        <v>466</v>
      </c>
      <c r="R51" s="202">
        <v>56</v>
      </c>
      <c r="U51" s="205" t="s">
        <v>456</v>
      </c>
      <c r="W51" s="205" t="s">
        <v>234</v>
      </c>
      <c r="X51" s="205" t="s">
        <v>542</v>
      </c>
      <c r="Y51" s="200" t="s">
        <v>340</v>
      </c>
      <c r="Z51" s="205" t="s">
        <v>2519</v>
      </c>
      <c r="AA51" s="200" t="s">
        <v>376</v>
      </c>
      <c r="AB51" s="205" t="s">
        <v>2520</v>
      </c>
      <c r="AC51" s="200" t="s">
        <v>322</v>
      </c>
      <c r="AD51" s="205" t="s">
        <v>2521</v>
      </c>
      <c r="AE51" s="205" t="s">
        <v>232</v>
      </c>
      <c r="AF51" s="205" t="s">
        <v>1608</v>
      </c>
      <c r="AG51" s="205" t="s">
        <v>239</v>
      </c>
      <c r="AH51" s="205" t="s">
        <v>239</v>
      </c>
      <c r="AI51" s="205" t="s">
        <v>2522</v>
      </c>
      <c r="AJ51" s="205" t="s">
        <v>2523</v>
      </c>
      <c r="AK51" s="205" t="s">
        <v>239</v>
      </c>
      <c r="AL51" s="205" t="s">
        <v>239</v>
      </c>
      <c r="AM51" s="205" t="s">
        <v>239</v>
      </c>
      <c r="AN51" s="205" t="s">
        <v>239</v>
      </c>
      <c r="AO51" s="200" t="s">
        <v>235</v>
      </c>
      <c r="AP51" s="200" t="s">
        <v>235</v>
      </c>
      <c r="AQ51" s="200" t="s">
        <v>239</v>
      </c>
      <c r="AR51" s="200" t="s">
        <v>239</v>
      </c>
      <c r="AS51" s="200" t="s">
        <v>299</v>
      </c>
      <c r="AT51" s="200" t="s">
        <v>241</v>
      </c>
      <c r="AU51" s="200" t="s">
        <v>241</v>
      </c>
      <c r="AV51" s="205" t="s">
        <v>242</v>
      </c>
      <c r="AW51" s="205" t="s">
        <v>243</v>
      </c>
      <c r="AY51" s="205" t="s">
        <v>239</v>
      </c>
      <c r="AZ51" s="205" t="s">
        <v>2524</v>
      </c>
      <c r="BA51" s="205" t="s">
        <v>244</v>
      </c>
      <c r="BB51" s="205" t="s">
        <v>244</v>
      </c>
      <c r="BD51" s="205" t="s">
        <v>239</v>
      </c>
      <c r="BE51" s="205" t="s">
        <v>446</v>
      </c>
      <c r="BF51" s="205" t="s">
        <v>457</v>
      </c>
      <c r="BH51" s="205" t="s">
        <v>456</v>
      </c>
      <c r="BI51" s="202">
        <v>56</v>
      </c>
      <c r="BJ51" s="201">
        <v>42296</v>
      </c>
      <c r="BK51" s="203" t="s">
        <v>301</v>
      </c>
    </row>
    <row r="52" spans="1:65" x14ac:dyDescent="0.25">
      <c r="A52" s="205" t="s">
        <v>2525</v>
      </c>
      <c r="B52" s="205" t="s">
        <v>2526</v>
      </c>
      <c r="C52" s="205" t="s">
        <v>2527</v>
      </c>
      <c r="D52" s="205" t="s">
        <v>2528</v>
      </c>
      <c r="E52" s="201">
        <v>42282</v>
      </c>
      <c r="F52" s="205" t="s">
        <v>356</v>
      </c>
      <c r="G52" s="205" t="s">
        <v>232</v>
      </c>
      <c r="H52" s="205" t="s">
        <v>2529</v>
      </c>
      <c r="I52" s="205" t="s">
        <v>2530</v>
      </c>
      <c r="K52" s="205" t="s">
        <v>453</v>
      </c>
      <c r="L52" s="205" t="s">
        <v>461</v>
      </c>
      <c r="M52" s="205" t="s">
        <v>470</v>
      </c>
      <c r="O52" s="200" t="s">
        <v>344</v>
      </c>
      <c r="P52" s="200" t="s">
        <v>2531</v>
      </c>
      <c r="Q52" s="205" t="s">
        <v>470</v>
      </c>
      <c r="R52" s="202">
        <v>57</v>
      </c>
      <c r="U52" s="205" t="s">
        <v>456</v>
      </c>
      <c r="W52" s="205" t="s">
        <v>234</v>
      </c>
      <c r="X52" s="205" t="s">
        <v>291</v>
      </c>
      <c r="Y52" s="200" t="s">
        <v>580</v>
      </c>
      <c r="Z52" s="205" t="s">
        <v>2532</v>
      </c>
      <c r="AA52" s="200" t="s">
        <v>548</v>
      </c>
      <c r="AB52" s="205" t="s">
        <v>2532</v>
      </c>
      <c r="AC52" s="200" t="s">
        <v>503</v>
      </c>
      <c r="AD52" s="205" t="s">
        <v>352</v>
      </c>
      <c r="AE52" s="205" t="s">
        <v>232</v>
      </c>
      <c r="AF52" s="205" t="s">
        <v>2533</v>
      </c>
      <c r="AG52" s="205" t="s">
        <v>239</v>
      </c>
      <c r="AH52" s="205" t="s">
        <v>239</v>
      </c>
      <c r="AI52" s="205" t="s">
        <v>2534</v>
      </c>
      <c r="AJ52" s="205" t="s">
        <v>2535</v>
      </c>
      <c r="AK52" s="205" t="s">
        <v>239</v>
      </c>
      <c r="AL52" s="205" t="s">
        <v>2536</v>
      </c>
      <c r="AM52" s="205" t="s">
        <v>239</v>
      </c>
      <c r="AN52" s="205" t="s">
        <v>239</v>
      </c>
      <c r="AO52" s="200" t="s">
        <v>235</v>
      </c>
      <c r="AP52" s="200" t="s">
        <v>235</v>
      </c>
      <c r="AQ52" s="200" t="s">
        <v>235</v>
      </c>
      <c r="AR52" s="200" t="s">
        <v>235</v>
      </c>
      <c r="AS52" s="200" t="s">
        <v>299</v>
      </c>
      <c r="AT52" s="200" t="s">
        <v>299</v>
      </c>
      <c r="AU52" s="200" t="s">
        <v>299</v>
      </c>
      <c r="AV52" s="205" t="s">
        <v>242</v>
      </c>
      <c r="AW52" s="205" t="s">
        <v>243</v>
      </c>
      <c r="AX52" s="200" t="s">
        <v>2537</v>
      </c>
      <c r="AY52" s="205" t="s">
        <v>300</v>
      </c>
      <c r="AZ52" s="205" t="s">
        <v>2538</v>
      </c>
      <c r="BA52" s="205" t="s">
        <v>244</v>
      </c>
      <c r="BB52" s="205" t="s">
        <v>244</v>
      </c>
      <c r="BD52" s="205" t="s">
        <v>239</v>
      </c>
      <c r="BE52" s="205" t="s">
        <v>446</v>
      </c>
      <c r="BF52" s="205" t="s">
        <v>457</v>
      </c>
      <c r="BH52" s="205" t="s">
        <v>456</v>
      </c>
      <c r="BI52" s="202">
        <v>57</v>
      </c>
      <c r="BJ52" s="201">
        <v>42294</v>
      </c>
      <c r="BK52" s="203" t="s">
        <v>301</v>
      </c>
      <c r="BM52" s="205">
        <v>42</v>
      </c>
    </row>
    <row r="53" spans="1:65" x14ac:dyDescent="0.25">
      <c r="A53" s="205" t="s">
        <v>2525</v>
      </c>
      <c r="B53" s="205" t="s">
        <v>2539</v>
      </c>
      <c r="C53" s="205" t="s">
        <v>2540</v>
      </c>
      <c r="D53" s="205" t="s">
        <v>2541</v>
      </c>
      <c r="E53" s="201">
        <v>42282</v>
      </c>
      <c r="F53" s="205" t="s">
        <v>2542</v>
      </c>
      <c r="G53" s="205" t="s">
        <v>232</v>
      </c>
      <c r="H53" s="205" t="s">
        <v>2543</v>
      </c>
      <c r="I53" s="205" t="s">
        <v>2544</v>
      </c>
      <c r="J53" s="205" t="s">
        <v>381</v>
      </c>
      <c r="K53" s="205" t="s">
        <v>450</v>
      </c>
      <c r="L53" s="205" t="s">
        <v>451</v>
      </c>
      <c r="M53" s="205" t="s">
        <v>452</v>
      </c>
      <c r="O53" s="200" t="s">
        <v>377</v>
      </c>
      <c r="P53" s="200" t="s">
        <v>2545</v>
      </c>
      <c r="Q53" s="205" t="s">
        <v>452</v>
      </c>
      <c r="R53" s="202">
        <v>58</v>
      </c>
      <c r="U53" s="205" t="s">
        <v>456</v>
      </c>
      <c r="W53" s="205" t="s">
        <v>234</v>
      </c>
      <c r="X53" s="205" t="s">
        <v>275</v>
      </c>
      <c r="Y53" s="200" t="s">
        <v>280</v>
      </c>
      <c r="Z53" s="205" t="s">
        <v>2546</v>
      </c>
      <c r="AA53" s="200" t="s">
        <v>1926</v>
      </c>
      <c r="AB53" s="205" t="s">
        <v>2547</v>
      </c>
      <c r="AC53" s="200" t="s">
        <v>525</v>
      </c>
      <c r="AD53" s="205" t="s">
        <v>2548</v>
      </c>
      <c r="AE53" s="205" t="s">
        <v>232</v>
      </c>
      <c r="AF53" s="205" t="s">
        <v>2549</v>
      </c>
      <c r="AG53" s="205" t="s">
        <v>239</v>
      </c>
      <c r="AH53" s="205" t="s">
        <v>239</v>
      </c>
      <c r="AI53" s="205" t="s">
        <v>2550</v>
      </c>
      <c r="AJ53" s="205" t="s">
        <v>2551</v>
      </c>
      <c r="AK53" s="205" t="s">
        <v>239</v>
      </c>
      <c r="AL53" s="205" t="s">
        <v>239</v>
      </c>
      <c r="AM53" s="205" t="s">
        <v>239</v>
      </c>
      <c r="AN53" s="205" t="s">
        <v>239</v>
      </c>
      <c r="AO53" s="200" t="s">
        <v>235</v>
      </c>
      <c r="AP53" s="200" t="s">
        <v>235</v>
      </c>
      <c r="AQ53" s="200" t="s">
        <v>239</v>
      </c>
      <c r="AR53" s="200" t="s">
        <v>239</v>
      </c>
      <c r="AS53" s="200" t="s">
        <v>299</v>
      </c>
      <c r="AT53" s="200" t="s">
        <v>241</v>
      </c>
      <c r="AU53" s="200" t="s">
        <v>241</v>
      </c>
      <c r="AV53" s="205" t="s">
        <v>242</v>
      </c>
      <c r="AW53" s="205" t="s">
        <v>243</v>
      </c>
      <c r="AX53" s="200" t="s">
        <v>2552</v>
      </c>
      <c r="AY53" s="205" t="s">
        <v>235</v>
      </c>
      <c r="AZ53" s="205" t="s">
        <v>2553</v>
      </c>
      <c r="BA53" s="205" t="s">
        <v>244</v>
      </c>
      <c r="BB53" s="205" t="s">
        <v>244</v>
      </c>
      <c r="BD53" s="205" t="s">
        <v>239</v>
      </c>
      <c r="BE53" s="205" t="s">
        <v>446</v>
      </c>
      <c r="BF53" s="205" t="s">
        <v>457</v>
      </c>
      <c r="BH53" s="205" t="s">
        <v>456</v>
      </c>
      <c r="BI53" s="202">
        <v>58</v>
      </c>
      <c r="BJ53" s="201">
        <v>42296</v>
      </c>
      <c r="BK53" s="203" t="s">
        <v>301</v>
      </c>
    </row>
    <row r="54" spans="1:65" x14ac:dyDescent="0.25">
      <c r="A54" s="205" t="s">
        <v>2525</v>
      </c>
      <c r="B54" s="205" t="s">
        <v>2554</v>
      </c>
      <c r="C54" s="205" t="s">
        <v>2555</v>
      </c>
      <c r="D54" s="205" t="s">
        <v>2556</v>
      </c>
      <c r="E54" s="201">
        <v>42282</v>
      </c>
      <c r="F54" s="205" t="s">
        <v>1949</v>
      </c>
      <c r="G54" s="205" t="s">
        <v>232</v>
      </c>
      <c r="H54" s="205" t="s">
        <v>273</v>
      </c>
      <c r="I54" s="205" t="s">
        <v>2557</v>
      </c>
      <c r="J54" s="205" t="s">
        <v>424</v>
      </c>
      <c r="K54" s="205" t="s">
        <v>471</v>
      </c>
      <c r="L54" s="205" t="s">
        <v>472</v>
      </c>
      <c r="M54" s="205" t="s">
        <v>473</v>
      </c>
      <c r="O54" s="200" t="s">
        <v>264</v>
      </c>
      <c r="P54" s="200" t="s">
        <v>2558</v>
      </c>
      <c r="Q54" s="205" t="s">
        <v>473</v>
      </c>
      <c r="R54" s="202">
        <v>59</v>
      </c>
      <c r="U54" s="205" t="s">
        <v>456</v>
      </c>
      <c r="W54" s="205" t="s">
        <v>234</v>
      </c>
      <c r="X54" s="205" t="s">
        <v>309</v>
      </c>
      <c r="Y54" s="200" t="s">
        <v>414</v>
      </c>
      <c r="Z54" s="205" t="s">
        <v>2559</v>
      </c>
      <c r="AA54" s="200" t="s">
        <v>304</v>
      </c>
      <c r="AB54" s="205" t="s">
        <v>2560</v>
      </c>
      <c r="AC54" s="200" t="s">
        <v>314</v>
      </c>
      <c r="AD54" s="205" t="s">
        <v>2561</v>
      </c>
      <c r="AE54" s="205" t="s">
        <v>232</v>
      </c>
      <c r="AF54" s="205" t="s">
        <v>2562</v>
      </c>
      <c r="AG54" s="205" t="s">
        <v>239</v>
      </c>
      <c r="AH54" s="205" t="s">
        <v>239</v>
      </c>
      <c r="AI54" s="205" t="s">
        <v>533</v>
      </c>
      <c r="AJ54" s="205" t="s">
        <v>2563</v>
      </c>
      <c r="AK54" s="205" t="s">
        <v>239</v>
      </c>
      <c r="AL54" s="205" t="s">
        <v>239</v>
      </c>
      <c r="AM54" s="205" t="s">
        <v>239</v>
      </c>
      <c r="AN54" s="205" t="s">
        <v>239</v>
      </c>
      <c r="AO54" s="200" t="s">
        <v>239</v>
      </c>
      <c r="AP54" s="200" t="s">
        <v>239</v>
      </c>
      <c r="AQ54" s="200" t="s">
        <v>235</v>
      </c>
      <c r="AR54" s="200" t="s">
        <v>239</v>
      </c>
      <c r="AS54" s="200" t="s">
        <v>262</v>
      </c>
      <c r="AT54" s="200" t="s">
        <v>299</v>
      </c>
      <c r="AU54" s="200" t="s">
        <v>241</v>
      </c>
      <c r="AV54" s="205" t="s">
        <v>242</v>
      </c>
      <c r="AW54" s="205" t="s">
        <v>243</v>
      </c>
      <c r="AY54" s="205" t="s">
        <v>239</v>
      </c>
      <c r="AZ54" s="205" t="s">
        <v>244</v>
      </c>
      <c r="BA54" s="205" t="s">
        <v>244</v>
      </c>
      <c r="BB54" s="205" t="s">
        <v>244</v>
      </c>
      <c r="BD54" s="205" t="s">
        <v>239</v>
      </c>
      <c r="BE54" s="205" t="s">
        <v>446</v>
      </c>
      <c r="BF54" s="205" t="s">
        <v>457</v>
      </c>
      <c r="BH54" s="205" t="s">
        <v>456</v>
      </c>
      <c r="BI54" s="202">
        <v>59</v>
      </c>
      <c r="BJ54" s="201">
        <v>42294</v>
      </c>
      <c r="BK54" s="203" t="s">
        <v>301</v>
      </c>
      <c r="BM54" s="205">
        <v>42</v>
      </c>
    </row>
    <row r="55" spans="1:65" x14ac:dyDescent="0.25">
      <c r="A55" s="205" t="s">
        <v>2525</v>
      </c>
      <c r="B55" s="205" t="s">
        <v>2564</v>
      </c>
      <c r="C55" s="205" t="s">
        <v>2565</v>
      </c>
      <c r="D55" s="205" t="s">
        <v>2566</v>
      </c>
      <c r="E55" s="201">
        <v>42282</v>
      </c>
      <c r="F55" s="205" t="s">
        <v>329</v>
      </c>
      <c r="G55" s="205" t="s">
        <v>232</v>
      </c>
      <c r="H55" s="205" t="s">
        <v>2567</v>
      </c>
      <c r="I55" s="205" t="s">
        <v>2568</v>
      </c>
      <c r="J55" s="205" t="s">
        <v>375</v>
      </c>
      <c r="K55" s="205" t="s">
        <v>450</v>
      </c>
      <c r="L55" s="205" t="s">
        <v>451</v>
      </c>
      <c r="M55" s="205" t="s">
        <v>452</v>
      </c>
      <c r="O55" s="200" t="s">
        <v>377</v>
      </c>
      <c r="P55" s="200" t="s">
        <v>2569</v>
      </c>
      <c r="Q55" s="205" t="s">
        <v>452</v>
      </c>
      <c r="R55" s="202">
        <v>60</v>
      </c>
      <c r="U55" s="205" t="s">
        <v>456</v>
      </c>
      <c r="W55" s="205" t="s">
        <v>234</v>
      </c>
      <c r="X55" s="205" t="s">
        <v>253</v>
      </c>
      <c r="Y55" s="200" t="s">
        <v>520</v>
      </c>
      <c r="Z55" s="205" t="s">
        <v>370</v>
      </c>
      <c r="AA55" s="200" t="s">
        <v>250</v>
      </c>
      <c r="AB55" s="205" t="s">
        <v>2570</v>
      </c>
      <c r="AD55" s="205" t="s">
        <v>238</v>
      </c>
      <c r="AE55" s="205" t="s">
        <v>232</v>
      </c>
      <c r="AF55" s="205" t="s">
        <v>2571</v>
      </c>
      <c r="AG55" s="205" t="s">
        <v>239</v>
      </c>
      <c r="AH55" s="205" t="s">
        <v>239</v>
      </c>
      <c r="AI55" s="205" t="s">
        <v>2572</v>
      </c>
      <c r="AJ55" s="205" t="s">
        <v>2573</v>
      </c>
      <c r="AK55" s="205" t="s">
        <v>239</v>
      </c>
      <c r="AL55" s="205" t="s">
        <v>239</v>
      </c>
      <c r="AM55" s="205" t="s">
        <v>239</v>
      </c>
      <c r="AN55" s="205" t="s">
        <v>239</v>
      </c>
      <c r="AO55" s="200" t="s">
        <v>235</v>
      </c>
      <c r="AP55" s="200" t="s">
        <v>235</v>
      </c>
      <c r="AQ55" s="200" t="s">
        <v>239</v>
      </c>
      <c r="AR55" s="200" t="s">
        <v>239</v>
      </c>
      <c r="AS55" s="200" t="s">
        <v>299</v>
      </c>
      <c r="AT55" s="200" t="s">
        <v>241</v>
      </c>
      <c r="AU55" s="200" t="s">
        <v>241</v>
      </c>
      <c r="AV55" s="205" t="s">
        <v>242</v>
      </c>
      <c r="AW55" s="205" t="s">
        <v>243</v>
      </c>
      <c r="AY55" s="205" t="s">
        <v>239</v>
      </c>
      <c r="AZ55" s="205" t="s">
        <v>2574</v>
      </c>
      <c r="BA55" s="205" t="s">
        <v>244</v>
      </c>
      <c r="BB55" s="205" t="s">
        <v>244</v>
      </c>
      <c r="BD55" s="205" t="s">
        <v>239</v>
      </c>
      <c r="BE55" s="205" t="s">
        <v>446</v>
      </c>
      <c r="BF55" s="205" t="s">
        <v>457</v>
      </c>
      <c r="BH55" s="205" t="s">
        <v>456</v>
      </c>
      <c r="BI55" s="202">
        <v>60</v>
      </c>
      <c r="BJ55" s="201">
        <v>42296</v>
      </c>
      <c r="BK55" s="203" t="s">
        <v>245</v>
      </c>
      <c r="BL55" s="204">
        <v>463.29</v>
      </c>
    </row>
    <row r="56" spans="1:65" x14ac:dyDescent="0.25">
      <c r="A56" s="205" t="s">
        <v>2525</v>
      </c>
      <c r="B56" s="205" t="s">
        <v>2575</v>
      </c>
      <c r="C56" s="205" t="s">
        <v>2576</v>
      </c>
      <c r="D56" s="205" t="s">
        <v>2577</v>
      </c>
      <c r="E56" s="201">
        <v>42282</v>
      </c>
      <c r="F56" s="205" t="s">
        <v>336</v>
      </c>
      <c r="G56" s="205" t="s">
        <v>232</v>
      </c>
      <c r="H56" s="205" t="s">
        <v>2578</v>
      </c>
      <c r="I56" s="205" t="s">
        <v>2579</v>
      </c>
      <c r="K56" s="205" t="s">
        <v>442</v>
      </c>
      <c r="L56" s="205" t="s">
        <v>443</v>
      </c>
      <c r="M56" s="205" t="s">
        <v>444</v>
      </c>
      <c r="O56" s="200" t="s">
        <v>467</v>
      </c>
      <c r="P56" s="200" t="s">
        <v>2580</v>
      </c>
      <c r="Q56" s="205" t="s">
        <v>444</v>
      </c>
      <c r="R56" s="202">
        <v>61</v>
      </c>
      <c r="U56" s="205" t="s">
        <v>456</v>
      </c>
      <c r="W56" s="205" t="s">
        <v>234</v>
      </c>
      <c r="X56" s="205" t="s">
        <v>546</v>
      </c>
      <c r="Y56" s="200" t="s">
        <v>294</v>
      </c>
      <c r="Z56" s="205" t="s">
        <v>2581</v>
      </c>
      <c r="AA56" s="200" t="s">
        <v>990</v>
      </c>
      <c r="AB56" s="205" t="s">
        <v>2582</v>
      </c>
      <c r="AC56" s="200" t="s">
        <v>2583</v>
      </c>
      <c r="AD56" s="205" t="s">
        <v>2582</v>
      </c>
      <c r="AE56" s="205" t="s">
        <v>232</v>
      </c>
      <c r="AF56" s="205" t="s">
        <v>2584</v>
      </c>
      <c r="AG56" s="205" t="s">
        <v>239</v>
      </c>
      <c r="AH56" s="205" t="s">
        <v>239</v>
      </c>
      <c r="AI56" s="205" t="s">
        <v>2585</v>
      </c>
      <c r="AJ56" s="205" t="s">
        <v>2586</v>
      </c>
      <c r="AK56" s="205" t="s">
        <v>239</v>
      </c>
      <c r="AL56" s="205" t="s">
        <v>239</v>
      </c>
      <c r="AM56" s="205" t="s">
        <v>239</v>
      </c>
      <c r="AN56" s="205" t="s">
        <v>239</v>
      </c>
      <c r="AO56" s="200" t="s">
        <v>235</v>
      </c>
      <c r="AP56" s="200" t="s">
        <v>235</v>
      </c>
      <c r="AQ56" s="200" t="s">
        <v>235</v>
      </c>
      <c r="AR56" s="200" t="s">
        <v>239</v>
      </c>
      <c r="AS56" s="200" t="s">
        <v>299</v>
      </c>
      <c r="AT56" s="200" t="s">
        <v>299</v>
      </c>
      <c r="AU56" s="200" t="s">
        <v>241</v>
      </c>
      <c r="AV56" s="205" t="s">
        <v>242</v>
      </c>
      <c r="AW56" s="205" t="s">
        <v>243</v>
      </c>
      <c r="AX56" s="200" t="s">
        <v>2587</v>
      </c>
      <c r="AY56" s="205" t="s">
        <v>235</v>
      </c>
      <c r="AZ56" s="205" t="s">
        <v>2588</v>
      </c>
      <c r="BA56" s="205" t="s">
        <v>2589</v>
      </c>
      <c r="BB56" s="205" t="s">
        <v>244</v>
      </c>
      <c r="BC56" s="200" t="s">
        <v>256</v>
      </c>
      <c r="BD56" s="205" t="s">
        <v>239</v>
      </c>
      <c r="BE56" s="205" t="s">
        <v>446</v>
      </c>
      <c r="BF56" s="205" t="s">
        <v>457</v>
      </c>
      <c r="BH56" s="205" t="s">
        <v>456</v>
      </c>
      <c r="BI56" s="202">
        <v>61</v>
      </c>
      <c r="BJ56" s="201">
        <v>42294</v>
      </c>
      <c r="BK56" s="203" t="s">
        <v>301</v>
      </c>
      <c r="BM56" s="205">
        <v>42</v>
      </c>
    </row>
    <row r="57" spans="1:65" x14ac:dyDescent="0.25">
      <c r="A57" s="205" t="s">
        <v>2525</v>
      </c>
      <c r="B57" s="205" t="s">
        <v>2590</v>
      </c>
      <c r="C57" s="205" t="s">
        <v>2591</v>
      </c>
      <c r="D57" s="205" t="s">
        <v>2592</v>
      </c>
      <c r="E57" s="201">
        <v>42282</v>
      </c>
      <c r="F57" s="205" t="s">
        <v>402</v>
      </c>
      <c r="G57" s="205" t="s">
        <v>232</v>
      </c>
      <c r="H57" s="205" t="s">
        <v>2593</v>
      </c>
      <c r="I57" s="205" t="s">
        <v>2594</v>
      </c>
      <c r="J57" s="205" t="s">
        <v>365</v>
      </c>
      <c r="K57" s="205" t="s">
        <v>450</v>
      </c>
      <c r="L57" s="205" t="s">
        <v>451</v>
      </c>
      <c r="M57" s="205" t="s">
        <v>452</v>
      </c>
      <c r="O57" s="200" t="s">
        <v>267</v>
      </c>
      <c r="P57" s="200" t="s">
        <v>2595</v>
      </c>
      <c r="Q57" s="205" t="s">
        <v>452</v>
      </c>
      <c r="R57" s="202">
        <v>62</v>
      </c>
      <c r="U57" s="205" t="s">
        <v>456</v>
      </c>
      <c r="W57" s="205" t="s">
        <v>234</v>
      </c>
      <c r="X57" s="205" t="s">
        <v>243</v>
      </c>
      <c r="Y57" s="200" t="s">
        <v>578</v>
      </c>
      <c r="Z57" s="205" t="s">
        <v>2596</v>
      </c>
      <c r="AA57" s="200" t="s">
        <v>417</v>
      </c>
      <c r="AB57" s="205" t="s">
        <v>2597</v>
      </c>
      <c r="AD57" s="205" t="s">
        <v>238</v>
      </c>
      <c r="AE57" s="205" t="s">
        <v>232</v>
      </c>
      <c r="AF57" s="205" t="s">
        <v>2598</v>
      </c>
      <c r="AG57" s="205" t="s">
        <v>239</v>
      </c>
      <c r="AH57" s="205" t="s">
        <v>239</v>
      </c>
      <c r="AI57" s="205" t="s">
        <v>2599</v>
      </c>
      <c r="AJ57" s="205" t="s">
        <v>2600</v>
      </c>
      <c r="AK57" s="205" t="s">
        <v>2601</v>
      </c>
      <c r="AL57" s="205" t="s">
        <v>239</v>
      </c>
      <c r="AM57" s="205" t="s">
        <v>239</v>
      </c>
      <c r="AN57" s="205" t="s">
        <v>239</v>
      </c>
      <c r="AO57" s="200" t="s">
        <v>235</v>
      </c>
      <c r="AP57" s="200" t="s">
        <v>235</v>
      </c>
      <c r="AQ57" s="200" t="s">
        <v>235</v>
      </c>
      <c r="AR57" s="200" t="s">
        <v>235</v>
      </c>
      <c r="AS57" s="200" t="s">
        <v>299</v>
      </c>
      <c r="AT57" s="200" t="s">
        <v>299</v>
      </c>
      <c r="AU57" s="200" t="s">
        <v>299</v>
      </c>
      <c r="AV57" s="205" t="s">
        <v>242</v>
      </c>
      <c r="AW57" s="205" t="s">
        <v>243</v>
      </c>
      <c r="AX57" s="200" t="s">
        <v>2602</v>
      </c>
      <c r="AY57" s="205" t="s">
        <v>235</v>
      </c>
      <c r="AZ57" s="205" t="s">
        <v>2603</v>
      </c>
      <c r="BA57" s="205" t="s">
        <v>244</v>
      </c>
      <c r="BB57" s="205" t="s">
        <v>244</v>
      </c>
      <c r="BD57" s="205" t="s">
        <v>239</v>
      </c>
      <c r="BE57" s="205" t="s">
        <v>446</v>
      </c>
      <c r="BF57" s="205" t="s">
        <v>457</v>
      </c>
      <c r="BH57" s="205" t="s">
        <v>456</v>
      </c>
      <c r="BI57" s="202">
        <v>62</v>
      </c>
      <c r="BJ57" s="201">
        <v>42292</v>
      </c>
      <c r="BK57" s="203" t="s">
        <v>301</v>
      </c>
      <c r="BM57" s="205">
        <v>42</v>
      </c>
    </row>
    <row r="58" spans="1:65" x14ac:dyDescent="0.25">
      <c r="A58" s="205" t="s">
        <v>2525</v>
      </c>
      <c r="B58" s="205" t="s">
        <v>2604</v>
      </c>
      <c r="C58" s="205" t="s">
        <v>2605</v>
      </c>
      <c r="D58" s="205" t="s">
        <v>2606</v>
      </c>
      <c r="E58" s="201">
        <v>42282</v>
      </c>
      <c r="F58" s="205" t="s">
        <v>2607</v>
      </c>
      <c r="G58" s="205" t="s">
        <v>232</v>
      </c>
      <c r="H58" s="205" t="s">
        <v>2608</v>
      </c>
      <c r="I58" s="205" t="s">
        <v>2609</v>
      </c>
      <c r="K58" s="205" t="s">
        <v>450</v>
      </c>
      <c r="L58" s="205" t="s">
        <v>451</v>
      </c>
      <c r="M58" s="205" t="s">
        <v>452</v>
      </c>
      <c r="O58" s="200" t="s">
        <v>267</v>
      </c>
      <c r="P58" s="200" t="s">
        <v>2610</v>
      </c>
      <c r="Q58" s="205" t="s">
        <v>452</v>
      </c>
      <c r="R58" s="202">
        <v>63</v>
      </c>
      <c r="U58" s="205" t="s">
        <v>456</v>
      </c>
      <c r="W58" s="205" t="s">
        <v>234</v>
      </c>
      <c r="X58" s="205" t="s">
        <v>253</v>
      </c>
      <c r="Y58" s="200" t="s">
        <v>506</v>
      </c>
      <c r="Z58" s="205" t="s">
        <v>2611</v>
      </c>
      <c r="AA58" s="200" t="s">
        <v>281</v>
      </c>
      <c r="AB58" s="205" t="s">
        <v>2612</v>
      </c>
      <c r="AC58" s="200" t="s">
        <v>2613</v>
      </c>
      <c r="AD58" s="205" t="s">
        <v>1941</v>
      </c>
      <c r="AE58" s="205" t="s">
        <v>232</v>
      </c>
      <c r="AF58" s="205" t="s">
        <v>2614</v>
      </c>
      <c r="AG58" s="205" t="s">
        <v>2615</v>
      </c>
      <c r="AH58" s="205" t="s">
        <v>239</v>
      </c>
      <c r="AI58" s="205" t="s">
        <v>2616</v>
      </c>
      <c r="AJ58" s="205" t="s">
        <v>2617</v>
      </c>
      <c r="AK58" s="205" t="s">
        <v>239</v>
      </c>
      <c r="AL58" s="205" t="s">
        <v>239</v>
      </c>
      <c r="AM58" s="205" t="s">
        <v>239</v>
      </c>
      <c r="AN58" s="205" t="s">
        <v>239</v>
      </c>
      <c r="AO58" s="200" t="s">
        <v>239</v>
      </c>
      <c r="AP58" s="200" t="s">
        <v>239</v>
      </c>
      <c r="AQ58" s="200" t="s">
        <v>235</v>
      </c>
      <c r="AR58" s="200" t="s">
        <v>239</v>
      </c>
      <c r="AS58" s="200" t="s">
        <v>262</v>
      </c>
      <c r="AT58" s="200" t="s">
        <v>299</v>
      </c>
      <c r="AU58" s="200" t="s">
        <v>241</v>
      </c>
      <c r="AV58" s="205" t="s">
        <v>242</v>
      </c>
      <c r="AW58" s="205" t="s">
        <v>243</v>
      </c>
      <c r="AY58" s="205" t="s">
        <v>239</v>
      </c>
      <c r="AZ58" s="205" t="s">
        <v>2618</v>
      </c>
      <c r="BA58" s="205" t="s">
        <v>244</v>
      </c>
      <c r="BB58" s="205" t="s">
        <v>2619</v>
      </c>
      <c r="BD58" s="205" t="s">
        <v>239</v>
      </c>
      <c r="BE58" s="205" t="s">
        <v>446</v>
      </c>
      <c r="BF58" s="205" t="s">
        <v>457</v>
      </c>
      <c r="BH58" s="205" t="s">
        <v>456</v>
      </c>
      <c r="BI58" s="202">
        <v>63</v>
      </c>
      <c r="BJ58" s="201">
        <v>42286</v>
      </c>
      <c r="BK58" s="203" t="s">
        <v>245</v>
      </c>
      <c r="BL58" s="204">
        <v>200</v>
      </c>
      <c r="BM58" s="205">
        <v>41</v>
      </c>
    </row>
    <row r="59" spans="1:65" x14ac:dyDescent="0.25">
      <c r="A59" s="205" t="s">
        <v>2525</v>
      </c>
      <c r="B59" s="205" t="s">
        <v>2620</v>
      </c>
      <c r="C59" s="205" t="s">
        <v>2621</v>
      </c>
      <c r="D59" s="205" t="s">
        <v>2622</v>
      </c>
      <c r="E59" s="201">
        <v>42282</v>
      </c>
      <c r="F59" s="205" t="s">
        <v>356</v>
      </c>
      <c r="G59" s="205" t="s">
        <v>232</v>
      </c>
      <c r="H59" s="205" t="s">
        <v>2623</v>
      </c>
      <c r="I59" s="205" t="s">
        <v>2624</v>
      </c>
      <c r="J59" s="205" t="s">
        <v>365</v>
      </c>
      <c r="K59" s="205" t="s">
        <v>450</v>
      </c>
      <c r="L59" s="205" t="s">
        <v>451</v>
      </c>
      <c r="M59" s="205" t="s">
        <v>452</v>
      </c>
      <c r="O59" s="200" t="s">
        <v>264</v>
      </c>
      <c r="P59" s="200" t="s">
        <v>2625</v>
      </c>
      <c r="Q59" s="205" t="s">
        <v>452</v>
      </c>
      <c r="R59" s="202">
        <v>64</v>
      </c>
      <c r="U59" s="205" t="s">
        <v>456</v>
      </c>
      <c r="W59" s="205" t="s">
        <v>234</v>
      </c>
      <c r="X59" s="205" t="s">
        <v>302</v>
      </c>
      <c r="Y59" s="200" t="s">
        <v>610</v>
      </c>
      <c r="Z59" s="205" t="s">
        <v>2626</v>
      </c>
      <c r="AA59" s="200" t="s">
        <v>250</v>
      </c>
      <c r="AB59" s="205" t="s">
        <v>2627</v>
      </c>
      <c r="AD59" s="205" t="s">
        <v>238</v>
      </c>
      <c r="AE59" s="205" t="s">
        <v>232</v>
      </c>
      <c r="AF59" s="205" t="s">
        <v>1242</v>
      </c>
      <c r="AG59" s="205" t="s">
        <v>239</v>
      </c>
      <c r="AH59" s="205" t="s">
        <v>239</v>
      </c>
      <c r="AI59" s="205" t="s">
        <v>487</v>
      </c>
      <c r="AJ59" s="205" t="s">
        <v>2628</v>
      </c>
      <c r="AK59" s="205" t="s">
        <v>239</v>
      </c>
      <c r="AL59" s="205" t="s">
        <v>239</v>
      </c>
      <c r="AM59" s="205" t="s">
        <v>239</v>
      </c>
      <c r="AN59" s="205" t="s">
        <v>239</v>
      </c>
      <c r="AO59" s="200" t="s">
        <v>239</v>
      </c>
      <c r="AP59" s="200" t="s">
        <v>239</v>
      </c>
      <c r="AQ59" s="200" t="s">
        <v>235</v>
      </c>
      <c r="AR59" s="200" t="s">
        <v>239</v>
      </c>
      <c r="AS59" s="200" t="s">
        <v>262</v>
      </c>
      <c r="AT59" s="200" t="s">
        <v>299</v>
      </c>
      <c r="AU59" s="200" t="s">
        <v>241</v>
      </c>
      <c r="AV59" s="205" t="s">
        <v>242</v>
      </c>
      <c r="AW59" s="205" t="s">
        <v>243</v>
      </c>
      <c r="AY59" s="205" t="s">
        <v>239</v>
      </c>
      <c r="AZ59" s="205" t="s">
        <v>2629</v>
      </c>
      <c r="BA59" s="205" t="s">
        <v>244</v>
      </c>
      <c r="BB59" s="205" t="s">
        <v>244</v>
      </c>
      <c r="BD59" s="205" t="s">
        <v>239</v>
      </c>
      <c r="BE59" s="205" t="s">
        <v>446</v>
      </c>
      <c r="BF59" s="205" t="s">
        <v>457</v>
      </c>
      <c r="BH59" s="205" t="s">
        <v>456</v>
      </c>
      <c r="BI59" s="202">
        <v>64</v>
      </c>
      <c r="BJ59" s="201">
        <v>42292</v>
      </c>
      <c r="BK59" s="203" t="s">
        <v>301</v>
      </c>
      <c r="BM59" s="205">
        <v>42</v>
      </c>
    </row>
    <row r="60" spans="1:65" x14ac:dyDescent="0.25">
      <c r="A60" s="205" t="s">
        <v>2525</v>
      </c>
      <c r="B60" s="205" t="s">
        <v>2630</v>
      </c>
      <c r="C60" s="205" t="s">
        <v>2631</v>
      </c>
      <c r="D60" s="205" t="s">
        <v>2632</v>
      </c>
      <c r="E60" s="201">
        <v>42282</v>
      </c>
      <c r="F60" s="205" t="s">
        <v>2633</v>
      </c>
      <c r="G60" s="205" t="s">
        <v>232</v>
      </c>
      <c r="H60" s="205" t="s">
        <v>2634</v>
      </c>
      <c r="I60" s="205" t="s">
        <v>631</v>
      </c>
      <c r="J60" s="205" t="s">
        <v>2635</v>
      </c>
      <c r="K60" s="205" t="s">
        <v>447</v>
      </c>
      <c r="L60" s="205" t="s">
        <v>448</v>
      </c>
      <c r="M60" s="205" t="s">
        <v>449</v>
      </c>
      <c r="O60" s="200" t="s">
        <v>513</v>
      </c>
      <c r="P60" s="200" t="s">
        <v>2636</v>
      </c>
      <c r="Q60" s="205" t="s">
        <v>449</v>
      </c>
      <c r="R60" s="202">
        <v>65</v>
      </c>
      <c r="U60" s="205" t="s">
        <v>456</v>
      </c>
      <c r="W60" s="205" t="s">
        <v>234</v>
      </c>
      <c r="X60" s="205" t="s">
        <v>295</v>
      </c>
      <c r="Y60" s="200" t="s">
        <v>512</v>
      </c>
      <c r="Z60" s="205" t="s">
        <v>2637</v>
      </c>
      <c r="AA60" s="200" t="s">
        <v>292</v>
      </c>
      <c r="AB60" s="205" t="s">
        <v>2638</v>
      </c>
      <c r="AC60" s="200" t="s">
        <v>384</v>
      </c>
      <c r="AD60" s="205" t="s">
        <v>637</v>
      </c>
      <c r="AE60" s="205" t="s">
        <v>232</v>
      </c>
      <c r="AF60" s="205" t="s">
        <v>2639</v>
      </c>
      <c r="AG60" s="205" t="s">
        <v>2640</v>
      </c>
      <c r="AH60" s="205" t="s">
        <v>239</v>
      </c>
      <c r="AI60" s="205" t="s">
        <v>638</v>
      </c>
      <c r="AJ60" s="205" t="s">
        <v>638</v>
      </c>
      <c r="AK60" s="205" t="s">
        <v>2641</v>
      </c>
      <c r="AL60" s="205" t="s">
        <v>239</v>
      </c>
      <c r="AM60" s="205" t="s">
        <v>239</v>
      </c>
      <c r="AN60" s="205" t="s">
        <v>239</v>
      </c>
      <c r="AO60" s="200" t="s">
        <v>235</v>
      </c>
      <c r="AP60" s="200" t="s">
        <v>239</v>
      </c>
      <c r="AQ60" s="200" t="s">
        <v>239</v>
      </c>
      <c r="AR60" s="200" t="s">
        <v>239</v>
      </c>
      <c r="AS60" s="200" t="s">
        <v>240</v>
      </c>
      <c r="AT60" s="200" t="s">
        <v>241</v>
      </c>
      <c r="AU60" s="200" t="s">
        <v>241</v>
      </c>
      <c r="AV60" s="205" t="s">
        <v>242</v>
      </c>
      <c r="AW60" s="205" t="s">
        <v>243</v>
      </c>
      <c r="AY60" s="205" t="s">
        <v>239</v>
      </c>
      <c r="AZ60" s="205" t="s">
        <v>2642</v>
      </c>
      <c r="BA60" s="205" t="s">
        <v>244</v>
      </c>
      <c r="BB60" s="205" t="s">
        <v>244</v>
      </c>
      <c r="BD60" s="205" t="s">
        <v>239</v>
      </c>
      <c r="BE60" s="205" t="s">
        <v>446</v>
      </c>
      <c r="BF60" s="205" t="s">
        <v>457</v>
      </c>
      <c r="BH60" s="205" t="s">
        <v>456</v>
      </c>
      <c r="BI60" s="202">
        <v>65</v>
      </c>
      <c r="BJ60" s="201">
        <v>42283</v>
      </c>
      <c r="BK60" s="203" t="s">
        <v>245</v>
      </c>
      <c r="BL60" s="204">
        <v>169.04</v>
      </c>
      <c r="BM60" s="205">
        <v>41</v>
      </c>
    </row>
    <row r="61" spans="1:65" x14ac:dyDescent="0.25">
      <c r="A61" s="205" t="s">
        <v>2525</v>
      </c>
      <c r="B61" s="205" t="s">
        <v>2643</v>
      </c>
      <c r="C61" s="205" t="s">
        <v>2644</v>
      </c>
      <c r="D61" s="205" t="s">
        <v>2645</v>
      </c>
      <c r="E61" s="201">
        <v>42282</v>
      </c>
      <c r="F61" s="205" t="s">
        <v>2646</v>
      </c>
      <c r="G61" s="205" t="s">
        <v>232</v>
      </c>
      <c r="H61" s="205" t="s">
        <v>2647</v>
      </c>
      <c r="I61" s="205" t="s">
        <v>2648</v>
      </c>
      <c r="J61" s="205" t="s">
        <v>2649</v>
      </c>
      <c r="K61" s="205" t="s">
        <v>453</v>
      </c>
      <c r="L61" s="205" t="s">
        <v>454</v>
      </c>
      <c r="M61" s="205" t="s">
        <v>462</v>
      </c>
      <c r="O61" s="200" t="s">
        <v>323</v>
      </c>
      <c r="P61" s="200" t="s">
        <v>2650</v>
      </c>
      <c r="Q61" s="205" t="s">
        <v>462</v>
      </c>
      <c r="R61" s="202">
        <v>66</v>
      </c>
      <c r="U61" s="205" t="s">
        <v>456</v>
      </c>
      <c r="W61" s="205" t="s">
        <v>234</v>
      </c>
      <c r="X61" s="205" t="s">
        <v>546</v>
      </c>
      <c r="Y61" s="200" t="s">
        <v>339</v>
      </c>
      <c r="Z61" s="205" t="s">
        <v>2651</v>
      </c>
      <c r="AA61" s="200" t="s">
        <v>298</v>
      </c>
      <c r="AB61" s="205" t="s">
        <v>2652</v>
      </c>
      <c r="AC61" s="200" t="s">
        <v>357</v>
      </c>
      <c r="AD61" s="205" t="s">
        <v>2653</v>
      </c>
      <c r="AE61" s="205" t="s">
        <v>232</v>
      </c>
      <c r="AF61" s="205" t="s">
        <v>2654</v>
      </c>
      <c r="AG61" s="205" t="s">
        <v>239</v>
      </c>
      <c r="AH61" s="205" t="s">
        <v>239</v>
      </c>
      <c r="AI61" s="205" t="s">
        <v>2655</v>
      </c>
      <c r="AJ61" s="205" t="s">
        <v>2656</v>
      </c>
      <c r="AK61" s="205" t="s">
        <v>239</v>
      </c>
      <c r="AL61" s="205" t="s">
        <v>239</v>
      </c>
      <c r="AM61" s="205" t="s">
        <v>239</v>
      </c>
      <c r="AN61" s="205" t="s">
        <v>239</v>
      </c>
      <c r="AO61" s="200" t="s">
        <v>235</v>
      </c>
      <c r="AP61" s="200" t="s">
        <v>235</v>
      </c>
      <c r="AQ61" s="200" t="s">
        <v>235</v>
      </c>
      <c r="AR61" s="200" t="s">
        <v>239</v>
      </c>
      <c r="AS61" s="200" t="s">
        <v>299</v>
      </c>
      <c r="AT61" s="200" t="s">
        <v>299</v>
      </c>
      <c r="AU61" s="200" t="s">
        <v>241</v>
      </c>
      <c r="AV61" s="205" t="s">
        <v>242</v>
      </c>
      <c r="AW61" s="205" t="s">
        <v>243</v>
      </c>
      <c r="AX61" s="200" t="s">
        <v>2657</v>
      </c>
      <c r="AY61" s="205" t="s">
        <v>235</v>
      </c>
      <c r="AZ61" s="205" t="s">
        <v>2658</v>
      </c>
      <c r="BA61" s="205" t="s">
        <v>244</v>
      </c>
      <c r="BB61" s="205" t="s">
        <v>2659</v>
      </c>
      <c r="BD61" s="205" t="s">
        <v>239</v>
      </c>
      <c r="BE61" s="205" t="s">
        <v>446</v>
      </c>
      <c r="BF61" s="205" t="s">
        <v>457</v>
      </c>
      <c r="BH61" s="205" t="s">
        <v>456</v>
      </c>
      <c r="BI61" s="202">
        <v>66</v>
      </c>
      <c r="BJ61" s="201">
        <v>42296</v>
      </c>
      <c r="BK61" s="203" t="s">
        <v>301</v>
      </c>
    </row>
    <row r="62" spans="1:65" x14ac:dyDescent="0.25">
      <c r="A62" s="205" t="s">
        <v>2525</v>
      </c>
      <c r="B62" s="205" t="s">
        <v>2660</v>
      </c>
      <c r="C62" s="205" t="s">
        <v>2661</v>
      </c>
      <c r="D62" s="205" t="s">
        <v>2662</v>
      </c>
      <c r="E62" s="201">
        <v>42282</v>
      </c>
      <c r="F62" s="205" t="s">
        <v>2663</v>
      </c>
      <c r="G62" s="205" t="s">
        <v>232</v>
      </c>
      <c r="H62" s="205" t="s">
        <v>2664</v>
      </c>
      <c r="I62" s="205" t="s">
        <v>2665</v>
      </c>
      <c r="K62" s="205" t="s">
        <v>450</v>
      </c>
      <c r="L62" s="205" t="s">
        <v>451</v>
      </c>
      <c r="M62" s="205" t="s">
        <v>452</v>
      </c>
      <c r="O62" s="200" t="s">
        <v>467</v>
      </c>
      <c r="P62" s="200" t="s">
        <v>2666</v>
      </c>
      <c r="Q62" s="205" t="s">
        <v>452</v>
      </c>
      <c r="R62" s="202">
        <v>67</v>
      </c>
      <c r="U62" s="205" t="s">
        <v>456</v>
      </c>
      <c r="W62" s="205" t="s">
        <v>234</v>
      </c>
      <c r="X62" s="205" t="s">
        <v>275</v>
      </c>
      <c r="Y62" s="200" t="s">
        <v>550</v>
      </c>
      <c r="Z62" s="205" t="s">
        <v>2667</v>
      </c>
      <c r="AA62" s="200" t="s">
        <v>339</v>
      </c>
      <c r="AB62" s="205" t="s">
        <v>2668</v>
      </c>
      <c r="AC62" s="200" t="s">
        <v>315</v>
      </c>
      <c r="AD62" s="205" t="s">
        <v>2669</v>
      </c>
      <c r="AE62" s="205" t="s">
        <v>232</v>
      </c>
      <c r="AF62" s="205" t="s">
        <v>2670</v>
      </c>
      <c r="AG62" s="205" t="s">
        <v>239</v>
      </c>
      <c r="AH62" s="205" t="s">
        <v>239</v>
      </c>
      <c r="AI62" s="205" t="s">
        <v>2671</v>
      </c>
      <c r="AJ62" s="205" t="s">
        <v>2672</v>
      </c>
      <c r="AK62" s="205" t="s">
        <v>239</v>
      </c>
      <c r="AL62" s="205" t="s">
        <v>239</v>
      </c>
      <c r="AM62" s="205" t="s">
        <v>239</v>
      </c>
      <c r="AN62" s="205" t="s">
        <v>239</v>
      </c>
      <c r="AO62" s="200" t="s">
        <v>239</v>
      </c>
      <c r="AP62" s="200" t="s">
        <v>239</v>
      </c>
      <c r="AQ62" s="200" t="s">
        <v>235</v>
      </c>
      <c r="AR62" s="200" t="s">
        <v>239</v>
      </c>
      <c r="AS62" s="200" t="s">
        <v>262</v>
      </c>
      <c r="AT62" s="200" t="s">
        <v>299</v>
      </c>
      <c r="AU62" s="200" t="s">
        <v>241</v>
      </c>
      <c r="AV62" s="205" t="s">
        <v>242</v>
      </c>
      <c r="AW62" s="205" t="s">
        <v>243</v>
      </c>
      <c r="AX62" s="200" t="s">
        <v>2673</v>
      </c>
      <c r="AY62" s="205" t="s">
        <v>235</v>
      </c>
      <c r="AZ62" s="205" t="s">
        <v>2674</v>
      </c>
      <c r="BA62" s="205" t="s">
        <v>244</v>
      </c>
      <c r="BB62" s="205" t="s">
        <v>2675</v>
      </c>
      <c r="BC62" s="200" t="s">
        <v>256</v>
      </c>
      <c r="BD62" s="205" t="s">
        <v>239</v>
      </c>
      <c r="BE62" s="205" t="s">
        <v>446</v>
      </c>
      <c r="BF62" s="205" t="s">
        <v>457</v>
      </c>
      <c r="BH62" s="205" t="s">
        <v>456</v>
      </c>
      <c r="BI62" s="202">
        <v>67</v>
      </c>
      <c r="BJ62" s="201">
        <v>42285</v>
      </c>
      <c r="BK62" s="203" t="s">
        <v>245</v>
      </c>
      <c r="BL62" s="204">
        <v>77.989999999999995</v>
      </c>
      <c r="BM62" s="205">
        <v>41</v>
      </c>
    </row>
    <row r="63" spans="1:65" x14ac:dyDescent="0.25">
      <c r="A63" s="205" t="s">
        <v>2525</v>
      </c>
      <c r="B63" s="205" t="s">
        <v>2676</v>
      </c>
      <c r="C63" s="205" t="s">
        <v>2677</v>
      </c>
      <c r="D63" s="205" t="s">
        <v>2678</v>
      </c>
      <c r="E63" s="201">
        <v>42282</v>
      </c>
      <c r="F63" s="205" t="s">
        <v>2679</v>
      </c>
      <c r="G63" s="205" t="s">
        <v>232</v>
      </c>
      <c r="H63" s="205" t="s">
        <v>2680</v>
      </c>
      <c r="I63" s="205" t="s">
        <v>2681</v>
      </c>
      <c r="J63" s="205" t="s">
        <v>2682</v>
      </c>
      <c r="K63" s="205" t="s">
        <v>464</v>
      </c>
      <c r="L63" s="205" t="s">
        <v>465</v>
      </c>
      <c r="M63" s="205" t="s">
        <v>466</v>
      </c>
      <c r="O63" s="200" t="s">
        <v>377</v>
      </c>
      <c r="P63" s="200" t="s">
        <v>2683</v>
      </c>
      <c r="Q63" s="205" t="s">
        <v>466</v>
      </c>
      <c r="R63" s="202">
        <v>68</v>
      </c>
      <c r="U63" s="205" t="s">
        <v>456</v>
      </c>
      <c r="W63" s="205" t="s">
        <v>234</v>
      </c>
      <c r="X63" s="205" t="s">
        <v>265</v>
      </c>
      <c r="Y63" s="200" t="s">
        <v>422</v>
      </c>
      <c r="Z63" s="205" t="s">
        <v>237</v>
      </c>
      <c r="AA63" s="200" t="s">
        <v>297</v>
      </c>
      <c r="AB63" s="205" t="s">
        <v>2684</v>
      </c>
      <c r="AC63" s="200" t="s">
        <v>277</v>
      </c>
      <c r="AD63" s="205" t="s">
        <v>387</v>
      </c>
      <c r="AE63" s="205" t="s">
        <v>232</v>
      </c>
      <c r="AF63" s="205" t="s">
        <v>2685</v>
      </c>
      <c r="AG63" s="205" t="s">
        <v>239</v>
      </c>
      <c r="AH63" s="205" t="s">
        <v>239</v>
      </c>
      <c r="AI63" s="205" t="s">
        <v>2686</v>
      </c>
      <c r="AJ63" s="205" t="s">
        <v>2687</v>
      </c>
      <c r="AK63" s="205" t="s">
        <v>2688</v>
      </c>
      <c r="AL63" s="205" t="s">
        <v>239</v>
      </c>
      <c r="AM63" s="205" t="s">
        <v>239</v>
      </c>
      <c r="AN63" s="205" t="s">
        <v>239</v>
      </c>
      <c r="AO63" s="200" t="s">
        <v>235</v>
      </c>
      <c r="AP63" s="200" t="s">
        <v>235</v>
      </c>
      <c r="AQ63" s="200" t="s">
        <v>235</v>
      </c>
      <c r="AR63" s="200" t="s">
        <v>235</v>
      </c>
      <c r="AS63" s="200" t="s">
        <v>299</v>
      </c>
      <c r="AT63" s="200" t="s">
        <v>299</v>
      </c>
      <c r="AU63" s="200" t="s">
        <v>240</v>
      </c>
      <c r="AV63" s="205" t="s">
        <v>242</v>
      </c>
      <c r="AW63" s="205" t="s">
        <v>243</v>
      </c>
      <c r="AY63" s="205" t="s">
        <v>239</v>
      </c>
      <c r="AZ63" s="205" t="s">
        <v>2689</v>
      </c>
      <c r="BA63" s="205" t="s">
        <v>244</v>
      </c>
      <c r="BB63" s="205" t="s">
        <v>2690</v>
      </c>
      <c r="BD63" s="205" t="s">
        <v>239</v>
      </c>
      <c r="BE63" s="205" t="s">
        <v>446</v>
      </c>
      <c r="BF63" s="205" t="s">
        <v>457</v>
      </c>
      <c r="BH63" s="205" t="s">
        <v>456</v>
      </c>
      <c r="BI63" s="202">
        <v>68</v>
      </c>
      <c r="BJ63" s="201">
        <v>42289</v>
      </c>
      <c r="BK63" s="203" t="s">
        <v>245</v>
      </c>
      <c r="BL63" s="204">
        <v>341.39</v>
      </c>
      <c r="BM63" s="205">
        <v>42</v>
      </c>
    </row>
    <row r="64" spans="1:65" x14ac:dyDescent="0.25">
      <c r="A64" s="205" t="s">
        <v>2691</v>
      </c>
      <c r="B64" s="205" t="s">
        <v>2692</v>
      </c>
      <c r="C64" s="205" t="s">
        <v>2693</v>
      </c>
      <c r="D64" s="205" t="s">
        <v>2694</v>
      </c>
      <c r="E64" s="201">
        <v>42282</v>
      </c>
      <c r="F64" s="205" t="s">
        <v>2695</v>
      </c>
      <c r="G64" s="205" t="s">
        <v>232</v>
      </c>
      <c r="H64" s="205" t="s">
        <v>2696</v>
      </c>
      <c r="I64" s="205" t="s">
        <v>2697</v>
      </c>
      <c r="J64" s="205" t="s">
        <v>568</v>
      </c>
      <c r="K64" s="205" t="s">
        <v>447</v>
      </c>
      <c r="L64" s="205" t="s">
        <v>448</v>
      </c>
      <c r="M64" s="205" t="s">
        <v>449</v>
      </c>
      <c r="O64" s="200" t="s">
        <v>344</v>
      </c>
      <c r="P64" s="200" t="s">
        <v>2698</v>
      </c>
      <c r="Q64" s="205" t="s">
        <v>449</v>
      </c>
      <c r="R64" s="202">
        <v>69</v>
      </c>
      <c r="U64" s="205" t="s">
        <v>456</v>
      </c>
      <c r="W64" s="205" t="s">
        <v>234</v>
      </c>
      <c r="X64" s="205" t="s">
        <v>271</v>
      </c>
      <c r="Y64" s="200" t="s">
        <v>624</v>
      </c>
      <c r="Z64" s="205" t="s">
        <v>2699</v>
      </c>
      <c r="AA64" s="200" t="s">
        <v>250</v>
      </c>
      <c r="AB64" s="205" t="s">
        <v>2700</v>
      </c>
      <c r="AC64" s="200" t="s">
        <v>296</v>
      </c>
      <c r="AD64" s="205" t="s">
        <v>2701</v>
      </c>
      <c r="AE64" s="205" t="s">
        <v>232</v>
      </c>
      <c r="AF64" s="205" t="s">
        <v>2702</v>
      </c>
      <c r="AG64" s="205" t="s">
        <v>239</v>
      </c>
      <c r="AH64" s="205" t="s">
        <v>239</v>
      </c>
      <c r="AI64" s="205" t="s">
        <v>2703</v>
      </c>
      <c r="AJ64" s="205" t="s">
        <v>2704</v>
      </c>
      <c r="AK64" s="205" t="s">
        <v>239</v>
      </c>
      <c r="AL64" s="205" t="s">
        <v>239</v>
      </c>
      <c r="AM64" s="205" t="s">
        <v>239</v>
      </c>
      <c r="AN64" s="205" t="s">
        <v>239</v>
      </c>
      <c r="AO64" s="200" t="s">
        <v>235</v>
      </c>
      <c r="AP64" s="200" t="s">
        <v>235</v>
      </c>
      <c r="AQ64" s="200" t="s">
        <v>235</v>
      </c>
      <c r="AR64" s="200" t="s">
        <v>235</v>
      </c>
      <c r="AS64" s="200" t="s">
        <v>299</v>
      </c>
      <c r="AT64" s="200" t="s">
        <v>299</v>
      </c>
      <c r="AU64" s="200" t="s">
        <v>240</v>
      </c>
      <c r="AV64" s="205" t="s">
        <v>242</v>
      </c>
      <c r="AW64" s="205" t="s">
        <v>243</v>
      </c>
      <c r="AX64" s="200" t="s">
        <v>2705</v>
      </c>
      <c r="AY64" s="205" t="s">
        <v>235</v>
      </c>
      <c r="AZ64" s="205" t="s">
        <v>2706</v>
      </c>
      <c r="BA64" s="205" t="s">
        <v>244</v>
      </c>
      <c r="BB64" s="205" t="s">
        <v>2706</v>
      </c>
      <c r="BD64" s="205" t="s">
        <v>239</v>
      </c>
      <c r="BE64" s="205" t="s">
        <v>446</v>
      </c>
      <c r="BF64" s="205" t="s">
        <v>457</v>
      </c>
      <c r="BH64" s="205" t="s">
        <v>456</v>
      </c>
      <c r="BI64" s="202">
        <v>69</v>
      </c>
      <c r="BJ64" s="201">
        <v>42294</v>
      </c>
      <c r="BK64" s="203" t="s">
        <v>301</v>
      </c>
      <c r="BM64" s="205">
        <v>42</v>
      </c>
    </row>
    <row r="65" spans="1:65" x14ac:dyDescent="0.25">
      <c r="A65" s="205" t="s">
        <v>2691</v>
      </c>
      <c r="B65" s="205" t="s">
        <v>2707</v>
      </c>
      <c r="C65" s="205" t="s">
        <v>2708</v>
      </c>
      <c r="D65" s="205" t="s">
        <v>2709</v>
      </c>
      <c r="E65" s="201">
        <v>42282</v>
      </c>
      <c r="F65" s="205" t="s">
        <v>2695</v>
      </c>
      <c r="G65" s="205" t="s">
        <v>232</v>
      </c>
      <c r="H65" s="205" t="s">
        <v>2710</v>
      </c>
      <c r="I65" s="205" t="s">
        <v>2711</v>
      </c>
      <c r="J65" s="205" t="s">
        <v>2712</v>
      </c>
      <c r="K65" s="205" t="s">
        <v>447</v>
      </c>
      <c r="L65" s="205" t="s">
        <v>448</v>
      </c>
      <c r="M65" s="205" t="s">
        <v>449</v>
      </c>
      <c r="O65" s="200" t="s">
        <v>267</v>
      </c>
      <c r="P65" s="200" t="s">
        <v>2713</v>
      </c>
      <c r="Q65" s="205" t="s">
        <v>449</v>
      </c>
      <c r="R65" s="202">
        <v>70</v>
      </c>
      <c r="U65" s="205" t="s">
        <v>456</v>
      </c>
      <c r="W65" s="205" t="s">
        <v>234</v>
      </c>
      <c r="X65" s="205" t="s">
        <v>271</v>
      </c>
      <c r="Y65" s="200" t="s">
        <v>578</v>
      </c>
      <c r="Z65" s="205" t="s">
        <v>2714</v>
      </c>
      <c r="AA65" s="200" t="s">
        <v>286</v>
      </c>
      <c r="AB65" s="205" t="s">
        <v>2715</v>
      </c>
      <c r="AC65" s="200" t="s">
        <v>277</v>
      </c>
      <c r="AD65" s="205" t="s">
        <v>2716</v>
      </c>
      <c r="AE65" s="205" t="s">
        <v>232</v>
      </c>
      <c r="AF65" s="205" t="s">
        <v>2717</v>
      </c>
      <c r="AG65" s="205" t="s">
        <v>239</v>
      </c>
      <c r="AH65" s="205" t="s">
        <v>239</v>
      </c>
      <c r="AI65" s="205" t="s">
        <v>2718</v>
      </c>
      <c r="AJ65" s="205" t="s">
        <v>2719</v>
      </c>
      <c r="AK65" s="205" t="s">
        <v>239</v>
      </c>
      <c r="AL65" s="205" t="s">
        <v>239</v>
      </c>
      <c r="AM65" s="205" t="s">
        <v>239</v>
      </c>
      <c r="AN65" s="205" t="s">
        <v>239</v>
      </c>
      <c r="AO65" s="200" t="s">
        <v>239</v>
      </c>
      <c r="AP65" s="200" t="s">
        <v>239</v>
      </c>
      <c r="AQ65" s="200" t="s">
        <v>235</v>
      </c>
      <c r="AR65" s="200" t="s">
        <v>239</v>
      </c>
      <c r="AS65" s="200" t="s">
        <v>262</v>
      </c>
      <c r="AT65" s="200" t="s">
        <v>299</v>
      </c>
      <c r="AU65" s="200" t="s">
        <v>241</v>
      </c>
      <c r="AV65" s="205" t="s">
        <v>242</v>
      </c>
      <c r="AW65" s="205" t="s">
        <v>243</v>
      </c>
      <c r="AY65" s="205" t="s">
        <v>239</v>
      </c>
      <c r="AZ65" s="205" t="s">
        <v>2720</v>
      </c>
      <c r="BA65" s="205" t="s">
        <v>244</v>
      </c>
      <c r="BB65" s="205" t="s">
        <v>244</v>
      </c>
      <c r="BD65" s="205" t="s">
        <v>239</v>
      </c>
      <c r="BE65" s="205" t="s">
        <v>446</v>
      </c>
      <c r="BF65" s="205" t="s">
        <v>457</v>
      </c>
      <c r="BH65" s="205" t="s">
        <v>456</v>
      </c>
      <c r="BI65" s="202">
        <v>70</v>
      </c>
      <c r="BJ65" s="201">
        <v>42294</v>
      </c>
      <c r="BK65" s="203" t="s">
        <v>301</v>
      </c>
      <c r="BM65" s="205">
        <v>42</v>
      </c>
    </row>
    <row r="66" spans="1:65" x14ac:dyDescent="0.25">
      <c r="A66" s="205" t="s">
        <v>2691</v>
      </c>
      <c r="B66" s="205" t="s">
        <v>2721</v>
      </c>
      <c r="C66" s="205" t="s">
        <v>2722</v>
      </c>
      <c r="D66" s="205" t="s">
        <v>2723</v>
      </c>
      <c r="E66" s="201">
        <v>42282</v>
      </c>
      <c r="F66" s="205" t="s">
        <v>378</v>
      </c>
      <c r="G66" s="205" t="s">
        <v>232</v>
      </c>
      <c r="H66" s="205" t="s">
        <v>2724</v>
      </c>
      <c r="I66" s="205" t="s">
        <v>2725</v>
      </c>
      <c r="J66" s="205" t="s">
        <v>381</v>
      </c>
      <c r="K66" s="205" t="s">
        <v>450</v>
      </c>
      <c r="L66" s="205" t="s">
        <v>451</v>
      </c>
      <c r="M66" s="205" t="s">
        <v>452</v>
      </c>
      <c r="O66" s="200" t="s">
        <v>389</v>
      </c>
      <c r="P66" s="200" t="s">
        <v>2726</v>
      </c>
      <c r="Q66" s="205" t="s">
        <v>452</v>
      </c>
      <c r="R66" s="202">
        <v>71</v>
      </c>
      <c r="U66" s="205" t="s">
        <v>456</v>
      </c>
      <c r="W66" s="205" t="s">
        <v>234</v>
      </c>
      <c r="X66" s="205" t="s">
        <v>542</v>
      </c>
      <c r="Y66" s="200" t="s">
        <v>2727</v>
      </c>
      <c r="Z66" s="205" t="s">
        <v>2728</v>
      </c>
      <c r="AA66" s="200" t="s">
        <v>336</v>
      </c>
      <c r="AB66" s="205" t="s">
        <v>1941</v>
      </c>
      <c r="AD66" s="205" t="s">
        <v>238</v>
      </c>
      <c r="AE66" s="205" t="s">
        <v>232</v>
      </c>
      <c r="AF66" s="205" t="s">
        <v>2729</v>
      </c>
      <c r="AG66" s="205" t="s">
        <v>239</v>
      </c>
      <c r="AH66" s="205" t="s">
        <v>239</v>
      </c>
      <c r="AI66" s="205" t="s">
        <v>1646</v>
      </c>
      <c r="AJ66" s="205" t="s">
        <v>1646</v>
      </c>
      <c r="AK66" s="205" t="s">
        <v>239</v>
      </c>
      <c r="AL66" s="205" t="s">
        <v>239</v>
      </c>
      <c r="AM66" s="205" t="s">
        <v>239</v>
      </c>
      <c r="AN66" s="205" t="s">
        <v>239</v>
      </c>
      <c r="AO66" s="200" t="s">
        <v>239</v>
      </c>
      <c r="AP66" s="200" t="s">
        <v>239</v>
      </c>
      <c r="AQ66" s="200" t="s">
        <v>235</v>
      </c>
      <c r="AR66" s="200" t="s">
        <v>239</v>
      </c>
      <c r="AS66" s="200" t="s">
        <v>262</v>
      </c>
      <c r="AT66" s="200" t="s">
        <v>299</v>
      </c>
      <c r="AU66" s="200" t="s">
        <v>241</v>
      </c>
      <c r="AV66" s="205" t="s">
        <v>242</v>
      </c>
      <c r="AW66" s="205" t="s">
        <v>243</v>
      </c>
      <c r="AY66" s="205" t="s">
        <v>239</v>
      </c>
      <c r="AZ66" s="205" t="s">
        <v>2730</v>
      </c>
      <c r="BA66" s="205" t="s">
        <v>244</v>
      </c>
      <c r="BB66" s="205" t="s">
        <v>244</v>
      </c>
      <c r="BD66" s="205" t="s">
        <v>239</v>
      </c>
      <c r="BE66" s="205" t="s">
        <v>446</v>
      </c>
      <c r="BF66" s="205" t="s">
        <v>457</v>
      </c>
      <c r="BH66" s="205" t="s">
        <v>456</v>
      </c>
      <c r="BI66" s="202">
        <v>71</v>
      </c>
      <c r="BJ66" s="201">
        <v>42293</v>
      </c>
      <c r="BK66" s="203" t="s">
        <v>245</v>
      </c>
      <c r="BL66" s="204">
        <v>137.08000000000001</v>
      </c>
      <c r="BM66" s="205">
        <v>42</v>
      </c>
    </row>
    <row r="67" spans="1:65" x14ac:dyDescent="0.25">
      <c r="A67" s="205" t="s">
        <v>2691</v>
      </c>
      <c r="B67" s="205" t="s">
        <v>2731</v>
      </c>
      <c r="C67" s="205" t="s">
        <v>2732</v>
      </c>
      <c r="D67" s="205" t="s">
        <v>2733</v>
      </c>
      <c r="E67" s="201">
        <v>42282</v>
      </c>
      <c r="F67" s="205" t="s">
        <v>414</v>
      </c>
      <c r="G67" s="205" t="s">
        <v>232</v>
      </c>
      <c r="H67" s="205" t="s">
        <v>2734</v>
      </c>
      <c r="I67" s="205" t="s">
        <v>2735</v>
      </c>
      <c r="K67" s="205" t="s">
        <v>464</v>
      </c>
      <c r="L67" s="205" t="s">
        <v>465</v>
      </c>
      <c r="M67" s="205" t="s">
        <v>466</v>
      </c>
      <c r="O67" s="200" t="s">
        <v>264</v>
      </c>
      <c r="P67" s="200" t="s">
        <v>2736</v>
      </c>
      <c r="Q67" s="205" t="s">
        <v>466</v>
      </c>
      <c r="R67" s="202">
        <v>72</v>
      </c>
      <c r="U67" s="205" t="s">
        <v>456</v>
      </c>
      <c r="W67" s="205" t="s">
        <v>234</v>
      </c>
      <c r="X67" s="205" t="s">
        <v>235</v>
      </c>
      <c r="Z67" s="205" t="s">
        <v>238</v>
      </c>
      <c r="AB67" s="205" t="s">
        <v>238</v>
      </c>
      <c r="AD67" s="205" t="s">
        <v>238</v>
      </c>
      <c r="AE67" s="205" t="s">
        <v>232</v>
      </c>
      <c r="AF67" s="205" t="s">
        <v>2737</v>
      </c>
      <c r="AG67" s="205" t="s">
        <v>239</v>
      </c>
      <c r="AH67" s="205" t="s">
        <v>239</v>
      </c>
      <c r="AI67" s="205" t="s">
        <v>529</v>
      </c>
      <c r="AJ67" s="205" t="s">
        <v>2093</v>
      </c>
      <c r="AK67" s="205" t="s">
        <v>607</v>
      </c>
      <c r="AL67" s="205" t="s">
        <v>239</v>
      </c>
      <c r="AM67" s="205" t="s">
        <v>239</v>
      </c>
      <c r="AN67" s="205" t="s">
        <v>239</v>
      </c>
      <c r="AO67" s="200" t="s">
        <v>239</v>
      </c>
      <c r="AP67" s="200" t="s">
        <v>239</v>
      </c>
      <c r="AQ67" s="200" t="s">
        <v>235</v>
      </c>
      <c r="AR67" s="200" t="s">
        <v>239</v>
      </c>
      <c r="AS67" s="200" t="s">
        <v>262</v>
      </c>
      <c r="AT67" s="200" t="s">
        <v>299</v>
      </c>
      <c r="AU67" s="200" t="s">
        <v>241</v>
      </c>
      <c r="AV67" s="205" t="s">
        <v>242</v>
      </c>
      <c r="AW67" s="205" t="s">
        <v>243</v>
      </c>
      <c r="AY67" s="205" t="s">
        <v>239</v>
      </c>
      <c r="AZ67" s="205" t="s">
        <v>2738</v>
      </c>
      <c r="BA67" s="205" t="s">
        <v>244</v>
      </c>
      <c r="BB67" s="205" t="s">
        <v>244</v>
      </c>
      <c r="BD67" s="205" t="s">
        <v>239</v>
      </c>
      <c r="BE67" s="205" t="s">
        <v>446</v>
      </c>
      <c r="BF67" s="205" t="s">
        <v>457</v>
      </c>
      <c r="BH67" s="205" t="s">
        <v>456</v>
      </c>
      <c r="BI67" s="202">
        <v>72</v>
      </c>
      <c r="BJ67" s="201">
        <v>42296</v>
      </c>
      <c r="BK67" s="203" t="s">
        <v>301</v>
      </c>
    </row>
    <row r="68" spans="1:65" x14ac:dyDescent="0.25">
      <c r="A68" s="205" t="s">
        <v>2691</v>
      </c>
      <c r="B68" s="205" t="s">
        <v>2739</v>
      </c>
      <c r="C68" s="205" t="s">
        <v>2740</v>
      </c>
      <c r="D68" s="205" t="s">
        <v>2741</v>
      </c>
      <c r="E68" s="201">
        <v>42282</v>
      </c>
      <c r="F68" s="205" t="s">
        <v>2742</v>
      </c>
      <c r="G68" s="205" t="s">
        <v>232</v>
      </c>
      <c r="H68" s="205" t="s">
        <v>2743</v>
      </c>
      <c r="I68" s="205" t="s">
        <v>2744</v>
      </c>
      <c r="K68" s="205" t="s">
        <v>450</v>
      </c>
      <c r="L68" s="205" t="s">
        <v>451</v>
      </c>
      <c r="M68" s="205" t="s">
        <v>463</v>
      </c>
      <c r="O68" s="200" t="s">
        <v>513</v>
      </c>
      <c r="P68" s="200" t="s">
        <v>2745</v>
      </c>
      <c r="Q68" s="205" t="s">
        <v>463</v>
      </c>
      <c r="R68" s="202">
        <v>73</v>
      </c>
      <c r="U68" s="205" t="s">
        <v>456</v>
      </c>
      <c r="W68" s="205" t="s">
        <v>234</v>
      </c>
      <c r="X68" s="205" t="s">
        <v>542</v>
      </c>
      <c r="Y68" s="200" t="s">
        <v>628</v>
      </c>
      <c r="Z68" s="205" t="s">
        <v>285</v>
      </c>
      <c r="AA68" s="200" t="s">
        <v>561</v>
      </c>
      <c r="AB68" s="205" t="s">
        <v>2746</v>
      </c>
      <c r="AC68" s="200" t="s">
        <v>250</v>
      </c>
      <c r="AD68" s="205" t="s">
        <v>2747</v>
      </c>
      <c r="AE68" s="205" t="s">
        <v>232</v>
      </c>
      <c r="AF68" s="205" t="s">
        <v>2748</v>
      </c>
      <c r="AG68" s="205" t="s">
        <v>239</v>
      </c>
      <c r="AH68" s="205" t="s">
        <v>239</v>
      </c>
      <c r="AI68" s="205" t="s">
        <v>2749</v>
      </c>
      <c r="AJ68" s="205" t="s">
        <v>2750</v>
      </c>
      <c r="AK68" s="205" t="s">
        <v>239</v>
      </c>
      <c r="AL68" s="205" t="s">
        <v>239</v>
      </c>
      <c r="AM68" s="205" t="s">
        <v>239</v>
      </c>
      <c r="AN68" s="205" t="s">
        <v>239</v>
      </c>
      <c r="AO68" s="200" t="s">
        <v>235</v>
      </c>
      <c r="AP68" s="200" t="s">
        <v>235</v>
      </c>
      <c r="AQ68" s="200" t="s">
        <v>235</v>
      </c>
      <c r="AR68" s="200" t="s">
        <v>235</v>
      </c>
      <c r="AS68" s="200" t="s">
        <v>299</v>
      </c>
      <c r="AT68" s="200" t="s">
        <v>299</v>
      </c>
      <c r="AU68" s="200" t="s">
        <v>240</v>
      </c>
      <c r="AV68" s="205" t="s">
        <v>242</v>
      </c>
      <c r="AW68" s="205" t="s">
        <v>243</v>
      </c>
      <c r="AY68" s="205" t="s">
        <v>239</v>
      </c>
      <c r="AZ68" s="205" t="s">
        <v>2751</v>
      </c>
      <c r="BA68" s="205" t="s">
        <v>244</v>
      </c>
      <c r="BB68" s="205" t="s">
        <v>244</v>
      </c>
      <c r="BD68" s="205" t="s">
        <v>239</v>
      </c>
      <c r="BE68" s="205" t="s">
        <v>446</v>
      </c>
      <c r="BF68" s="205" t="s">
        <v>457</v>
      </c>
      <c r="BH68" s="205" t="s">
        <v>456</v>
      </c>
      <c r="BI68" s="202">
        <v>73</v>
      </c>
      <c r="BJ68" s="201">
        <v>42292</v>
      </c>
      <c r="BK68" s="203" t="s">
        <v>301</v>
      </c>
      <c r="BM68" s="205">
        <v>42</v>
      </c>
    </row>
    <row r="69" spans="1:65" x14ac:dyDescent="0.25">
      <c r="A69" s="205" t="s">
        <v>2691</v>
      </c>
      <c r="B69" s="205" t="s">
        <v>2752</v>
      </c>
      <c r="C69" s="205" t="s">
        <v>2753</v>
      </c>
      <c r="D69" s="205" t="s">
        <v>2754</v>
      </c>
      <c r="E69" s="201">
        <v>42282</v>
      </c>
      <c r="F69" s="205" t="s">
        <v>2755</v>
      </c>
      <c r="G69" s="205" t="s">
        <v>232</v>
      </c>
      <c r="H69" s="205" t="s">
        <v>2756</v>
      </c>
      <c r="I69" s="205" t="s">
        <v>2757</v>
      </c>
      <c r="K69" s="205" t="s">
        <v>447</v>
      </c>
      <c r="L69" s="205" t="s">
        <v>448</v>
      </c>
      <c r="M69" s="205" t="s">
        <v>449</v>
      </c>
      <c r="O69" s="200" t="s">
        <v>467</v>
      </c>
      <c r="P69" s="200" t="s">
        <v>2758</v>
      </c>
      <c r="Q69" s="205" t="s">
        <v>449</v>
      </c>
      <c r="R69" s="202">
        <v>74</v>
      </c>
      <c r="U69" s="205" t="s">
        <v>456</v>
      </c>
      <c r="W69" s="205" t="s">
        <v>234</v>
      </c>
      <c r="X69" s="205" t="s">
        <v>542</v>
      </c>
      <c r="Y69" s="200" t="s">
        <v>639</v>
      </c>
      <c r="Z69" s="205" t="s">
        <v>260</v>
      </c>
      <c r="AA69" s="200" t="s">
        <v>550</v>
      </c>
      <c r="AB69" s="205" t="s">
        <v>2759</v>
      </c>
      <c r="AC69" s="200" t="s">
        <v>336</v>
      </c>
      <c r="AD69" s="205" t="s">
        <v>366</v>
      </c>
      <c r="AE69" s="205" t="s">
        <v>232</v>
      </c>
      <c r="AF69" s="205" t="s">
        <v>2760</v>
      </c>
      <c r="AG69" s="205" t="s">
        <v>239</v>
      </c>
      <c r="AH69" s="205" t="s">
        <v>239</v>
      </c>
      <c r="AI69" s="205" t="s">
        <v>2761</v>
      </c>
      <c r="AJ69" s="205" t="s">
        <v>2762</v>
      </c>
      <c r="AK69" s="205" t="s">
        <v>239</v>
      </c>
      <c r="AL69" s="205" t="s">
        <v>239</v>
      </c>
      <c r="AM69" s="205" t="s">
        <v>239</v>
      </c>
      <c r="AN69" s="205" t="s">
        <v>239</v>
      </c>
      <c r="AO69" s="200" t="s">
        <v>235</v>
      </c>
      <c r="AP69" s="200" t="s">
        <v>235</v>
      </c>
      <c r="AQ69" s="200" t="s">
        <v>235</v>
      </c>
      <c r="AR69" s="200" t="s">
        <v>235</v>
      </c>
      <c r="AS69" s="200" t="s">
        <v>299</v>
      </c>
      <c r="AT69" s="200" t="s">
        <v>299</v>
      </c>
      <c r="AU69" s="200" t="s">
        <v>240</v>
      </c>
      <c r="AV69" s="205" t="s">
        <v>242</v>
      </c>
      <c r="AW69" s="205" t="s">
        <v>243</v>
      </c>
      <c r="AY69" s="205" t="s">
        <v>239</v>
      </c>
      <c r="AZ69" s="205" t="s">
        <v>2763</v>
      </c>
      <c r="BA69" s="205" t="s">
        <v>244</v>
      </c>
      <c r="BB69" s="205" t="s">
        <v>244</v>
      </c>
      <c r="BC69" s="200" t="s">
        <v>256</v>
      </c>
      <c r="BD69" s="205" t="s">
        <v>239</v>
      </c>
      <c r="BE69" s="205" t="s">
        <v>446</v>
      </c>
      <c r="BF69" s="205" t="s">
        <v>457</v>
      </c>
      <c r="BH69" s="205" t="s">
        <v>456</v>
      </c>
      <c r="BI69" s="202">
        <v>74</v>
      </c>
      <c r="BJ69" s="201">
        <v>42296</v>
      </c>
      <c r="BK69" s="203" t="s">
        <v>301</v>
      </c>
    </row>
    <row r="70" spans="1:65" x14ac:dyDescent="0.25">
      <c r="A70" s="205" t="s">
        <v>2691</v>
      </c>
      <c r="B70" s="205" t="s">
        <v>2764</v>
      </c>
      <c r="C70" s="205" t="s">
        <v>2765</v>
      </c>
      <c r="D70" s="205" t="s">
        <v>2766</v>
      </c>
      <c r="E70" s="201">
        <v>42282</v>
      </c>
      <c r="F70" s="205" t="s">
        <v>422</v>
      </c>
      <c r="G70" s="205" t="s">
        <v>232</v>
      </c>
      <c r="H70" s="205" t="s">
        <v>2767</v>
      </c>
      <c r="I70" s="205" t="s">
        <v>2768</v>
      </c>
      <c r="J70" s="205" t="s">
        <v>537</v>
      </c>
      <c r="K70" s="205" t="s">
        <v>464</v>
      </c>
      <c r="L70" s="205" t="s">
        <v>465</v>
      </c>
      <c r="M70" s="205" t="s">
        <v>466</v>
      </c>
      <c r="O70" s="200" t="s">
        <v>513</v>
      </c>
      <c r="P70" s="200" t="s">
        <v>2769</v>
      </c>
      <c r="Q70" s="205" t="s">
        <v>466</v>
      </c>
      <c r="R70" s="202">
        <v>75</v>
      </c>
      <c r="U70" s="205" t="s">
        <v>456</v>
      </c>
      <c r="W70" s="205" t="s">
        <v>234</v>
      </c>
      <c r="X70" s="205" t="s">
        <v>302</v>
      </c>
      <c r="Z70" s="205" t="s">
        <v>238</v>
      </c>
      <c r="AB70" s="205" t="s">
        <v>238</v>
      </c>
      <c r="AD70" s="205" t="s">
        <v>238</v>
      </c>
      <c r="AE70" s="205" t="s">
        <v>232</v>
      </c>
      <c r="AF70" s="205" t="s">
        <v>2770</v>
      </c>
      <c r="AG70" s="205" t="s">
        <v>239</v>
      </c>
      <c r="AH70" s="205" t="s">
        <v>239</v>
      </c>
      <c r="AI70" s="205" t="s">
        <v>2771</v>
      </c>
      <c r="AJ70" s="205" t="s">
        <v>2772</v>
      </c>
      <c r="AK70" s="205" t="s">
        <v>239</v>
      </c>
      <c r="AL70" s="205" t="s">
        <v>239</v>
      </c>
      <c r="AM70" s="205" t="s">
        <v>239</v>
      </c>
      <c r="AN70" s="205" t="s">
        <v>239</v>
      </c>
      <c r="AO70" s="200" t="s">
        <v>235</v>
      </c>
      <c r="AP70" s="200" t="s">
        <v>235</v>
      </c>
      <c r="AQ70" s="200" t="s">
        <v>235</v>
      </c>
      <c r="AR70" s="200" t="s">
        <v>235</v>
      </c>
      <c r="AS70" s="200" t="s">
        <v>299</v>
      </c>
      <c r="AT70" s="200" t="s">
        <v>299</v>
      </c>
      <c r="AU70" s="200" t="s">
        <v>299</v>
      </c>
      <c r="AV70" s="205" t="s">
        <v>242</v>
      </c>
      <c r="AW70" s="205" t="s">
        <v>243</v>
      </c>
      <c r="AY70" s="205" t="s">
        <v>239</v>
      </c>
      <c r="AZ70" s="205" t="s">
        <v>2773</v>
      </c>
      <c r="BA70" s="205" t="s">
        <v>244</v>
      </c>
      <c r="BB70" s="205" t="s">
        <v>2774</v>
      </c>
      <c r="BD70" s="205" t="s">
        <v>239</v>
      </c>
      <c r="BE70" s="205" t="s">
        <v>446</v>
      </c>
      <c r="BF70" s="205" t="s">
        <v>457</v>
      </c>
      <c r="BH70" s="205" t="s">
        <v>456</v>
      </c>
      <c r="BI70" s="202">
        <v>75</v>
      </c>
      <c r="BJ70" s="201">
        <v>42294</v>
      </c>
      <c r="BK70" s="203" t="s">
        <v>245</v>
      </c>
      <c r="BL70" s="204">
        <v>460.68</v>
      </c>
      <c r="BM70" s="205">
        <v>42</v>
      </c>
    </row>
    <row r="71" spans="1:65" x14ac:dyDescent="0.25">
      <c r="A71" s="205" t="s">
        <v>2691</v>
      </c>
      <c r="B71" s="205" t="s">
        <v>2775</v>
      </c>
      <c r="C71" s="205" t="s">
        <v>2776</v>
      </c>
      <c r="D71" s="205" t="s">
        <v>2777</v>
      </c>
      <c r="E71" s="201">
        <v>42282</v>
      </c>
      <c r="F71" s="205" t="s">
        <v>564</v>
      </c>
      <c r="G71" s="205" t="s">
        <v>232</v>
      </c>
      <c r="H71" s="205" t="s">
        <v>2778</v>
      </c>
      <c r="I71" s="205" t="s">
        <v>1310</v>
      </c>
      <c r="J71" s="205" t="s">
        <v>423</v>
      </c>
      <c r="K71" s="205" t="s">
        <v>471</v>
      </c>
      <c r="L71" s="205" t="s">
        <v>472</v>
      </c>
      <c r="M71" s="205" t="s">
        <v>473</v>
      </c>
      <c r="O71" s="200" t="s">
        <v>288</v>
      </c>
      <c r="P71" s="200" t="s">
        <v>2779</v>
      </c>
      <c r="Q71" s="205" t="s">
        <v>473</v>
      </c>
      <c r="R71" s="202">
        <v>76</v>
      </c>
      <c r="U71" s="205" t="s">
        <v>456</v>
      </c>
      <c r="W71" s="205" t="s">
        <v>234</v>
      </c>
      <c r="X71" s="205" t="s">
        <v>271</v>
      </c>
      <c r="Y71" s="200" t="s">
        <v>2780</v>
      </c>
      <c r="Z71" s="205" t="s">
        <v>352</v>
      </c>
      <c r="AA71" s="200" t="s">
        <v>554</v>
      </c>
      <c r="AB71" s="205" t="s">
        <v>2781</v>
      </c>
      <c r="AC71" s="200" t="s">
        <v>414</v>
      </c>
      <c r="AD71" s="205" t="s">
        <v>2782</v>
      </c>
      <c r="AE71" s="205" t="s">
        <v>232</v>
      </c>
      <c r="AF71" s="205" t="s">
        <v>2783</v>
      </c>
      <c r="AG71" s="205" t="s">
        <v>239</v>
      </c>
      <c r="AH71" s="205" t="s">
        <v>239</v>
      </c>
      <c r="AI71" s="205" t="s">
        <v>2784</v>
      </c>
      <c r="AJ71" s="205" t="s">
        <v>2785</v>
      </c>
      <c r="AK71" s="205" t="s">
        <v>239</v>
      </c>
      <c r="AL71" s="205" t="s">
        <v>239</v>
      </c>
      <c r="AM71" s="205" t="s">
        <v>239</v>
      </c>
      <c r="AN71" s="205" t="s">
        <v>239</v>
      </c>
      <c r="AO71" s="200" t="s">
        <v>235</v>
      </c>
      <c r="AP71" s="200" t="s">
        <v>235</v>
      </c>
      <c r="AQ71" s="200" t="s">
        <v>235</v>
      </c>
      <c r="AR71" s="200" t="s">
        <v>239</v>
      </c>
      <c r="AS71" s="200" t="s">
        <v>299</v>
      </c>
      <c r="AT71" s="200" t="s">
        <v>299</v>
      </c>
      <c r="AU71" s="200" t="s">
        <v>241</v>
      </c>
      <c r="AV71" s="205" t="s">
        <v>242</v>
      </c>
      <c r="AW71" s="205" t="s">
        <v>243</v>
      </c>
      <c r="AY71" s="205" t="s">
        <v>239</v>
      </c>
      <c r="AZ71" s="205" t="s">
        <v>2786</v>
      </c>
      <c r="BA71" s="205" t="s">
        <v>244</v>
      </c>
      <c r="BB71" s="205" t="s">
        <v>244</v>
      </c>
      <c r="BD71" s="205" t="s">
        <v>239</v>
      </c>
      <c r="BE71" s="205" t="s">
        <v>446</v>
      </c>
      <c r="BF71" s="205" t="s">
        <v>457</v>
      </c>
      <c r="BH71" s="205" t="s">
        <v>456</v>
      </c>
      <c r="BI71" s="202">
        <v>76</v>
      </c>
      <c r="BJ71" s="201">
        <v>42286</v>
      </c>
      <c r="BK71" s="203" t="s">
        <v>245</v>
      </c>
      <c r="BL71" s="204">
        <v>101.41</v>
      </c>
      <c r="BM71" s="205">
        <v>41</v>
      </c>
    </row>
    <row r="72" spans="1:65" x14ac:dyDescent="0.25">
      <c r="A72" s="205" t="s">
        <v>2691</v>
      </c>
      <c r="B72" s="205" t="s">
        <v>2787</v>
      </c>
      <c r="C72" s="205" t="s">
        <v>2788</v>
      </c>
      <c r="D72" s="205" t="s">
        <v>2789</v>
      </c>
      <c r="E72" s="201">
        <v>42282</v>
      </c>
      <c r="F72" s="205" t="s">
        <v>336</v>
      </c>
      <c r="G72" s="205" t="s">
        <v>232</v>
      </c>
      <c r="H72" s="205" t="s">
        <v>2790</v>
      </c>
      <c r="I72" s="205" t="s">
        <v>2791</v>
      </c>
      <c r="K72" s="205" t="s">
        <v>471</v>
      </c>
      <c r="L72" s="205" t="s">
        <v>472</v>
      </c>
      <c r="M72" s="205" t="s">
        <v>473</v>
      </c>
      <c r="Q72" s="205" t="s">
        <v>473</v>
      </c>
      <c r="R72" s="202">
        <v>77</v>
      </c>
      <c r="U72" s="205" t="s">
        <v>456</v>
      </c>
      <c r="W72" s="205" t="s">
        <v>234</v>
      </c>
      <c r="X72" s="205" t="s">
        <v>302</v>
      </c>
      <c r="Y72" s="200" t="s">
        <v>297</v>
      </c>
      <c r="Z72" s="205" t="s">
        <v>583</v>
      </c>
      <c r="AA72" s="200" t="s">
        <v>307</v>
      </c>
      <c r="AB72" s="205" t="s">
        <v>583</v>
      </c>
      <c r="AC72" s="200" t="s">
        <v>263</v>
      </c>
      <c r="AD72" s="205" t="s">
        <v>583</v>
      </c>
      <c r="AE72" s="205" t="s">
        <v>232</v>
      </c>
      <c r="AF72" s="205" t="s">
        <v>2792</v>
      </c>
      <c r="AG72" s="205" t="s">
        <v>239</v>
      </c>
      <c r="AH72" s="205" t="s">
        <v>239</v>
      </c>
      <c r="AI72" s="205" t="s">
        <v>487</v>
      </c>
      <c r="AJ72" s="205" t="s">
        <v>2793</v>
      </c>
      <c r="AK72" s="205" t="s">
        <v>239</v>
      </c>
      <c r="AL72" s="205" t="s">
        <v>239</v>
      </c>
      <c r="AM72" s="205" t="s">
        <v>239</v>
      </c>
      <c r="AN72" s="205" t="s">
        <v>239</v>
      </c>
      <c r="AO72" s="200" t="s">
        <v>239</v>
      </c>
      <c r="AP72" s="200" t="s">
        <v>239</v>
      </c>
      <c r="AQ72" s="200" t="s">
        <v>235</v>
      </c>
      <c r="AR72" s="200" t="s">
        <v>239</v>
      </c>
      <c r="AS72" s="200" t="s">
        <v>262</v>
      </c>
      <c r="AT72" s="200" t="s">
        <v>299</v>
      </c>
      <c r="AU72" s="200" t="s">
        <v>241</v>
      </c>
      <c r="AV72" s="205" t="s">
        <v>242</v>
      </c>
      <c r="AW72" s="205" t="s">
        <v>243</v>
      </c>
      <c r="AY72" s="205" t="s">
        <v>239</v>
      </c>
      <c r="AZ72" s="205" t="s">
        <v>2794</v>
      </c>
      <c r="BA72" s="205" t="s">
        <v>244</v>
      </c>
      <c r="BB72" s="205" t="s">
        <v>244</v>
      </c>
      <c r="BD72" s="205" t="s">
        <v>239</v>
      </c>
      <c r="BE72" s="205" t="s">
        <v>446</v>
      </c>
      <c r="BF72" s="205" t="s">
        <v>457</v>
      </c>
      <c r="BH72" s="205" t="s">
        <v>456</v>
      </c>
      <c r="BI72" s="202">
        <v>77</v>
      </c>
      <c r="BJ72" s="201">
        <v>42293</v>
      </c>
      <c r="BK72" s="203" t="s">
        <v>301</v>
      </c>
      <c r="BM72" s="205">
        <v>42</v>
      </c>
    </row>
    <row r="73" spans="1:65" x14ac:dyDescent="0.25">
      <c r="A73" s="205" t="s">
        <v>2691</v>
      </c>
      <c r="B73" s="205" t="s">
        <v>2795</v>
      </c>
      <c r="C73" s="205" t="s">
        <v>2796</v>
      </c>
      <c r="D73" s="205" t="s">
        <v>2797</v>
      </c>
      <c r="E73" s="201">
        <v>42282</v>
      </c>
      <c r="F73" s="205" t="s">
        <v>2798</v>
      </c>
      <c r="G73" s="205" t="s">
        <v>232</v>
      </c>
      <c r="H73" s="205" t="s">
        <v>2799</v>
      </c>
      <c r="I73" s="205" t="s">
        <v>492</v>
      </c>
      <c r="J73" s="205" t="s">
        <v>2800</v>
      </c>
      <c r="K73" s="205" t="s">
        <v>471</v>
      </c>
      <c r="L73" s="205" t="s">
        <v>472</v>
      </c>
      <c r="M73" s="205" t="s">
        <v>473</v>
      </c>
      <c r="O73" s="200" t="s">
        <v>377</v>
      </c>
      <c r="P73" s="200" t="s">
        <v>2801</v>
      </c>
      <c r="Q73" s="205" t="s">
        <v>473</v>
      </c>
      <c r="R73" s="202">
        <v>78</v>
      </c>
      <c r="U73" s="205" t="s">
        <v>456</v>
      </c>
      <c r="W73" s="205" t="s">
        <v>234</v>
      </c>
      <c r="X73" s="205" t="s">
        <v>408</v>
      </c>
      <c r="Y73" s="200" t="s">
        <v>548</v>
      </c>
      <c r="Z73" s="205" t="s">
        <v>2802</v>
      </c>
      <c r="AA73" s="200" t="s">
        <v>503</v>
      </c>
      <c r="AB73" s="205" t="s">
        <v>2803</v>
      </c>
      <c r="AC73" s="200" t="s">
        <v>259</v>
      </c>
      <c r="AD73" s="205" t="s">
        <v>2803</v>
      </c>
      <c r="AE73" s="205" t="s">
        <v>232</v>
      </c>
      <c r="AF73" s="205" t="s">
        <v>2804</v>
      </c>
      <c r="AG73" s="205" t="s">
        <v>239</v>
      </c>
      <c r="AH73" s="205" t="s">
        <v>239</v>
      </c>
      <c r="AI73" s="205" t="s">
        <v>2805</v>
      </c>
      <c r="AJ73" s="205" t="s">
        <v>2806</v>
      </c>
      <c r="AK73" s="205" t="s">
        <v>239</v>
      </c>
      <c r="AL73" s="205" t="s">
        <v>239</v>
      </c>
      <c r="AM73" s="205" t="s">
        <v>239</v>
      </c>
      <c r="AN73" s="205" t="s">
        <v>239</v>
      </c>
      <c r="AO73" s="200" t="s">
        <v>235</v>
      </c>
      <c r="AP73" s="200" t="s">
        <v>235</v>
      </c>
      <c r="AQ73" s="200" t="s">
        <v>235</v>
      </c>
      <c r="AR73" s="200" t="s">
        <v>239</v>
      </c>
      <c r="AS73" s="200" t="s">
        <v>299</v>
      </c>
      <c r="AT73" s="200" t="s">
        <v>299</v>
      </c>
      <c r="AU73" s="200" t="s">
        <v>241</v>
      </c>
      <c r="AV73" s="205" t="s">
        <v>242</v>
      </c>
      <c r="AW73" s="205" t="s">
        <v>243</v>
      </c>
      <c r="AX73" s="200" t="s">
        <v>2807</v>
      </c>
      <c r="AY73" s="205" t="s">
        <v>300</v>
      </c>
      <c r="AZ73" s="205" t="s">
        <v>2808</v>
      </c>
      <c r="BA73" s="205" t="s">
        <v>244</v>
      </c>
      <c r="BB73" s="205" t="s">
        <v>2808</v>
      </c>
      <c r="BD73" s="205" t="s">
        <v>239</v>
      </c>
      <c r="BE73" s="205" t="s">
        <v>446</v>
      </c>
      <c r="BF73" s="205" t="s">
        <v>457</v>
      </c>
      <c r="BH73" s="205" t="s">
        <v>456</v>
      </c>
      <c r="BI73" s="202">
        <v>78</v>
      </c>
      <c r="BJ73" s="201">
        <v>42294</v>
      </c>
      <c r="BK73" s="203" t="s">
        <v>301</v>
      </c>
      <c r="BM73" s="205">
        <v>42</v>
      </c>
    </row>
    <row r="74" spans="1:65" x14ac:dyDescent="0.25">
      <c r="A74" s="205" t="s">
        <v>2691</v>
      </c>
      <c r="B74" s="205" t="s">
        <v>2809</v>
      </c>
      <c r="C74" s="205" t="s">
        <v>2810</v>
      </c>
      <c r="D74" s="205" t="s">
        <v>2811</v>
      </c>
      <c r="E74" s="201">
        <v>42282</v>
      </c>
      <c r="F74" s="205" t="s">
        <v>327</v>
      </c>
      <c r="G74" s="205" t="s">
        <v>232</v>
      </c>
      <c r="H74" s="205" t="s">
        <v>2812</v>
      </c>
      <c r="I74" s="205" t="s">
        <v>483</v>
      </c>
      <c r="J74" s="205" t="s">
        <v>2813</v>
      </c>
      <c r="K74" s="205" t="s">
        <v>447</v>
      </c>
      <c r="L74" s="205" t="s">
        <v>448</v>
      </c>
      <c r="M74" s="205" t="s">
        <v>455</v>
      </c>
      <c r="O74" s="200" t="s">
        <v>288</v>
      </c>
      <c r="P74" s="200" t="s">
        <v>2814</v>
      </c>
      <c r="Q74" s="205" t="s">
        <v>455</v>
      </c>
      <c r="R74" s="202">
        <v>79</v>
      </c>
      <c r="U74" s="205" t="s">
        <v>456</v>
      </c>
      <c r="W74" s="205" t="s">
        <v>234</v>
      </c>
      <c r="X74" s="205" t="s">
        <v>542</v>
      </c>
      <c r="Y74" s="200" t="s">
        <v>580</v>
      </c>
      <c r="Z74" s="205" t="s">
        <v>2815</v>
      </c>
      <c r="AB74" s="205" t="s">
        <v>238</v>
      </c>
      <c r="AD74" s="205" t="s">
        <v>238</v>
      </c>
      <c r="AE74" s="205" t="s">
        <v>232</v>
      </c>
      <c r="AF74" s="205" t="s">
        <v>2816</v>
      </c>
      <c r="AG74" s="205" t="s">
        <v>239</v>
      </c>
      <c r="AH74" s="205" t="s">
        <v>239</v>
      </c>
      <c r="AI74" s="205" t="s">
        <v>2817</v>
      </c>
      <c r="AJ74" s="205" t="s">
        <v>2818</v>
      </c>
      <c r="AK74" s="205" t="s">
        <v>239</v>
      </c>
      <c r="AL74" s="205" t="s">
        <v>239</v>
      </c>
      <c r="AM74" s="205" t="s">
        <v>239</v>
      </c>
      <c r="AN74" s="205" t="s">
        <v>239</v>
      </c>
      <c r="AO74" s="200" t="s">
        <v>235</v>
      </c>
      <c r="AP74" s="200" t="s">
        <v>235</v>
      </c>
      <c r="AQ74" s="200" t="s">
        <v>235</v>
      </c>
      <c r="AR74" s="200" t="s">
        <v>239</v>
      </c>
      <c r="AS74" s="200" t="s">
        <v>299</v>
      </c>
      <c r="AT74" s="200" t="s">
        <v>299</v>
      </c>
      <c r="AU74" s="200" t="s">
        <v>241</v>
      </c>
      <c r="AV74" s="205" t="s">
        <v>242</v>
      </c>
      <c r="AW74" s="205" t="s">
        <v>243</v>
      </c>
      <c r="AY74" s="205" t="s">
        <v>239</v>
      </c>
      <c r="AZ74" s="205" t="s">
        <v>2819</v>
      </c>
      <c r="BA74" s="205" t="s">
        <v>244</v>
      </c>
      <c r="BB74" s="205" t="s">
        <v>244</v>
      </c>
      <c r="BD74" s="205" t="s">
        <v>239</v>
      </c>
      <c r="BE74" s="205" t="s">
        <v>446</v>
      </c>
      <c r="BF74" s="205" t="s">
        <v>457</v>
      </c>
      <c r="BH74" s="205" t="s">
        <v>456</v>
      </c>
      <c r="BI74" s="202">
        <v>79</v>
      </c>
      <c r="BJ74" s="201">
        <v>42293</v>
      </c>
      <c r="BK74" s="203" t="s">
        <v>245</v>
      </c>
      <c r="BL74" s="204">
        <v>179.45</v>
      </c>
      <c r="BM74" s="205">
        <v>42</v>
      </c>
    </row>
    <row r="75" spans="1:65" x14ac:dyDescent="0.25">
      <c r="A75" s="205" t="s">
        <v>2691</v>
      </c>
      <c r="B75" s="205" t="s">
        <v>2820</v>
      </c>
      <c r="C75" s="205" t="s">
        <v>2821</v>
      </c>
      <c r="D75" s="205" t="s">
        <v>2822</v>
      </c>
      <c r="E75" s="201">
        <v>42282</v>
      </c>
      <c r="F75" s="205" t="s">
        <v>2823</v>
      </c>
      <c r="G75" s="205" t="s">
        <v>232</v>
      </c>
      <c r="H75" s="205" t="s">
        <v>2824</v>
      </c>
      <c r="I75" s="205" t="s">
        <v>577</v>
      </c>
      <c r="J75" s="205" t="s">
        <v>2825</v>
      </c>
      <c r="K75" s="205" t="s">
        <v>453</v>
      </c>
      <c r="L75" s="205" t="s">
        <v>448</v>
      </c>
      <c r="M75" s="205" t="s">
        <v>455</v>
      </c>
      <c r="Q75" s="205" t="s">
        <v>455</v>
      </c>
      <c r="R75" s="202">
        <v>80</v>
      </c>
      <c r="U75" s="205" t="s">
        <v>456</v>
      </c>
      <c r="W75" s="205" t="s">
        <v>234</v>
      </c>
      <c r="X75" s="205" t="s">
        <v>235</v>
      </c>
      <c r="Y75" s="200" t="s">
        <v>1233</v>
      </c>
      <c r="Z75" s="205" t="s">
        <v>2826</v>
      </c>
      <c r="AA75" s="200" t="s">
        <v>550</v>
      </c>
      <c r="AB75" s="205" t="s">
        <v>2827</v>
      </c>
      <c r="AC75" s="200" t="s">
        <v>518</v>
      </c>
      <c r="AD75" s="205" t="s">
        <v>2827</v>
      </c>
      <c r="AE75" s="205" t="s">
        <v>232</v>
      </c>
      <c r="AF75" s="205" t="s">
        <v>2828</v>
      </c>
      <c r="AG75" s="205" t="s">
        <v>2829</v>
      </c>
      <c r="AH75" s="205" t="s">
        <v>239</v>
      </c>
      <c r="AI75" s="205" t="s">
        <v>2830</v>
      </c>
      <c r="AJ75" s="205" t="s">
        <v>2831</v>
      </c>
      <c r="AK75" s="205" t="s">
        <v>2832</v>
      </c>
      <c r="AL75" s="205" t="s">
        <v>239</v>
      </c>
      <c r="AM75" s="205" t="s">
        <v>239</v>
      </c>
      <c r="AN75" s="205" t="s">
        <v>239</v>
      </c>
      <c r="AO75" s="200" t="s">
        <v>235</v>
      </c>
      <c r="AP75" s="200" t="s">
        <v>235</v>
      </c>
      <c r="AQ75" s="200" t="s">
        <v>235</v>
      </c>
      <c r="AR75" s="200" t="s">
        <v>239</v>
      </c>
      <c r="AS75" s="200" t="s">
        <v>299</v>
      </c>
      <c r="AT75" s="200" t="s">
        <v>299</v>
      </c>
      <c r="AU75" s="200" t="s">
        <v>241</v>
      </c>
      <c r="AV75" s="205" t="s">
        <v>242</v>
      </c>
      <c r="AW75" s="205" t="s">
        <v>243</v>
      </c>
      <c r="AX75" s="200" t="s">
        <v>2833</v>
      </c>
      <c r="AY75" s="205" t="s">
        <v>272</v>
      </c>
      <c r="AZ75" s="205" t="s">
        <v>2834</v>
      </c>
      <c r="BA75" s="205" t="s">
        <v>244</v>
      </c>
      <c r="BB75" s="205" t="s">
        <v>244</v>
      </c>
      <c r="BD75" s="205" t="s">
        <v>239</v>
      </c>
      <c r="BE75" s="205" t="s">
        <v>446</v>
      </c>
      <c r="BF75" s="205" t="s">
        <v>457</v>
      </c>
      <c r="BH75" s="205" t="s">
        <v>456</v>
      </c>
      <c r="BI75" s="202">
        <v>80</v>
      </c>
      <c r="BJ75" s="201">
        <v>42294</v>
      </c>
      <c r="BK75" s="203" t="s">
        <v>301</v>
      </c>
      <c r="BM75" s="205">
        <v>42</v>
      </c>
    </row>
    <row r="76" spans="1:65" x14ac:dyDescent="0.25">
      <c r="A76" s="205" t="s">
        <v>2691</v>
      </c>
      <c r="B76" s="205" t="s">
        <v>2835</v>
      </c>
      <c r="C76" s="205" t="s">
        <v>2836</v>
      </c>
      <c r="D76" s="205" t="s">
        <v>2837</v>
      </c>
      <c r="E76" s="201">
        <v>42282</v>
      </c>
      <c r="F76" s="205" t="s">
        <v>2838</v>
      </c>
      <c r="G76" s="205" t="s">
        <v>232</v>
      </c>
      <c r="H76" s="205" t="s">
        <v>2839</v>
      </c>
      <c r="I76" s="205" t="s">
        <v>1572</v>
      </c>
      <c r="J76" s="205" t="s">
        <v>2840</v>
      </c>
      <c r="K76" s="205" t="s">
        <v>450</v>
      </c>
      <c r="L76" s="205" t="s">
        <v>451</v>
      </c>
      <c r="M76" s="205" t="s">
        <v>452</v>
      </c>
      <c r="O76" s="200" t="s">
        <v>389</v>
      </c>
      <c r="P76" s="200" t="s">
        <v>2841</v>
      </c>
      <c r="Q76" s="205" t="s">
        <v>452</v>
      </c>
      <c r="R76" s="202">
        <v>81</v>
      </c>
      <c r="U76" s="205" t="s">
        <v>456</v>
      </c>
      <c r="W76" s="205" t="s">
        <v>234</v>
      </c>
      <c r="X76" s="205" t="s">
        <v>546</v>
      </c>
      <c r="Y76" s="200" t="s">
        <v>580</v>
      </c>
      <c r="Z76" s="205" t="s">
        <v>366</v>
      </c>
      <c r="AA76" s="200" t="s">
        <v>397</v>
      </c>
      <c r="AB76" s="205" t="s">
        <v>2842</v>
      </c>
      <c r="AC76" s="200" t="s">
        <v>397</v>
      </c>
      <c r="AD76" s="205" t="s">
        <v>2843</v>
      </c>
      <c r="AE76" s="205" t="s">
        <v>232</v>
      </c>
      <c r="AF76" s="205" t="s">
        <v>2844</v>
      </c>
      <c r="AG76" s="205" t="s">
        <v>343</v>
      </c>
      <c r="AH76" s="205" t="s">
        <v>239</v>
      </c>
      <c r="AI76" s="205" t="s">
        <v>2845</v>
      </c>
      <c r="AJ76" s="205" t="s">
        <v>2846</v>
      </c>
      <c r="AK76" s="205" t="s">
        <v>239</v>
      </c>
      <c r="AL76" s="205" t="s">
        <v>239</v>
      </c>
      <c r="AM76" s="205" t="s">
        <v>239</v>
      </c>
      <c r="AN76" s="205" t="s">
        <v>239</v>
      </c>
      <c r="AO76" s="200" t="s">
        <v>235</v>
      </c>
      <c r="AP76" s="200" t="s">
        <v>235</v>
      </c>
      <c r="AQ76" s="200" t="s">
        <v>235</v>
      </c>
      <c r="AR76" s="200" t="s">
        <v>239</v>
      </c>
      <c r="AS76" s="200" t="s">
        <v>299</v>
      </c>
      <c r="AT76" s="200" t="s">
        <v>299</v>
      </c>
      <c r="AU76" s="200" t="s">
        <v>241</v>
      </c>
      <c r="AV76" s="205" t="s">
        <v>242</v>
      </c>
      <c r="AW76" s="205" t="s">
        <v>243</v>
      </c>
      <c r="AX76" s="200" t="s">
        <v>1972</v>
      </c>
      <c r="AY76" s="205" t="s">
        <v>300</v>
      </c>
      <c r="AZ76" s="205" t="s">
        <v>2847</v>
      </c>
      <c r="BA76" s="205" t="s">
        <v>244</v>
      </c>
      <c r="BB76" s="205" t="s">
        <v>244</v>
      </c>
      <c r="BD76" s="205" t="s">
        <v>239</v>
      </c>
      <c r="BE76" s="205" t="s">
        <v>446</v>
      </c>
      <c r="BF76" s="205" t="s">
        <v>457</v>
      </c>
      <c r="BH76" s="205" t="s">
        <v>456</v>
      </c>
      <c r="BI76" s="202">
        <v>81</v>
      </c>
      <c r="BJ76" s="201">
        <v>42292</v>
      </c>
      <c r="BK76" s="203" t="s">
        <v>301</v>
      </c>
      <c r="BM76" s="205">
        <v>42</v>
      </c>
    </row>
    <row r="77" spans="1:65" x14ac:dyDescent="0.25">
      <c r="A77" s="205" t="s">
        <v>1889</v>
      </c>
      <c r="B77" s="205" t="s">
        <v>2848</v>
      </c>
      <c r="C77" s="205" t="s">
        <v>1369</v>
      </c>
      <c r="D77" s="205" t="s">
        <v>1370</v>
      </c>
      <c r="E77" s="201">
        <v>42282</v>
      </c>
      <c r="F77" s="205" t="s">
        <v>341</v>
      </c>
      <c r="G77" s="205" t="s">
        <v>232</v>
      </c>
      <c r="H77" s="205" t="s">
        <v>273</v>
      </c>
      <c r="I77" s="205" t="s">
        <v>500</v>
      </c>
      <c r="J77" s="205" t="s">
        <v>1371</v>
      </c>
      <c r="K77" s="205" t="s">
        <v>447</v>
      </c>
      <c r="L77" s="205" t="s">
        <v>448</v>
      </c>
      <c r="M77" s="205" t="s">
        <v>449</v>
      </c>
      <c r="O77" s="200" t="s">
        <v>389</v>
      </c>
      <c r="P77" s="200" t="s">
        <v>1372</v>
      </c>
      <c r="Q77" s="205" t="s">
        <v>449</v>
      </c>
      <c r="R77" s="202">
        <v>82</v>
      </c>
      <c r="U77" s="205" t="s">
        <v>456</v>
      </c>
      <c r="W77" s="205" t="s">
        <v>234</v>
      </c>
      <c r="X77" s="205" t="s">
        <v>235</v>
      </c>
      <c r="Y77" s="200" t="s">
        <v>503</v>
      </c>
      <c r="Z77" s="205" t="s">
        <v>1373</v>
      </c>
      <c r="AA77" s="200" t="s">
        <v>407</v>
      </c>
      <c r="AB77" s="205" t="s">
        <v>1374</v>
      </c>
      <c r="AC77" s="200" t="s">
        <v>307</v>
      </c>
      <c r="AD77" s="205" t="s">
        <v>1375</v>
      </c>
      <c r="AE77" s="205" t="s">
        <v>232</v>
      </c>
      <c r="AF77" s="205" t="s">
        <v>2849</v>
      </c>
      <c r="AG77" s="205" t="s">
        <v>239</v>
      </c>
      <c r="AH77" s="205" t="s">
        <v>239</v>
      </c>
      <c r="AI77" s="205" t="s">
        <v>2850</v>
      </c>
      <c r="AJ77" s="205" t="s">
        <v>1377</v>
      </c>
      <c r="AK77" s="205" t="s">
        <v>1377</v>
      </c>
      <c r="AL77" s="205" t="s">
        <v>239</v>
      </c>
      <c r="AM77" s="205" t="s">
        <v>239</v>
      </c>
      <c r="AN77" s="205" t="s">
        <v>239</v>
      </c>
      <c r="AO77" s="200" t="s">
        <v>235</v>
      </c>
      <c r="AP77" s="200" t="s">
        <v>235</v>
      </c>
      <c r="AQ77" s="200" t="s">
        <v>235</v>
      </c>
      <c r="AR77" s="200" t="s">
        <v>235</v>
      </c>
      <c r="AS77" s="200" t="s">
        <v>299</v>
      </c>
      <c r="AT77" s="200" t="s">
        <v>299</v>
      </c>
      <c r="AU77" s="200" t="s">
        <v>299</v>
      </c>
      <c r="AV77" s="205" t="s">
        <v>242</v>
      </c>
      <c r="AW77" s="205" t="s">
        <v>482</v>
      </c>
      <c r="AY77" s="205" t="s">
        <v>239</v>
      </c>
      <c r="AZ77" s="205" t="s">
        <v>244</v>
      </c>
      <c r="BA77" s="205" t="s">
        <v>244</v>
      </c>
      <c r="BB77" s="205" t="s">
        <v>1378</v>
      </c>
      <c r="BD77" s="205" t="s">
        <v>239</v>
      </c>
      <c r="BE77" s="205" t="s">
        <v>446</v>
      </c>
      <c r="BF77" s="205" t="s">
        <v>457</v>
      </c>
      <c r="BH77" s="205" t="s">
        <v>456</v>
      </c>
      <c r="BI77" s="202">
        <v>82</v>
      </c>
      <c r="BK77" s="203" t="s">
        <v>289</v>
      </c>
    </row>
    <row r="78" spans="1:65" x14ac:dyDescent="0.25">
      <c r="A78" s="205" t="s">
        <v>1889</v>
      </c>
      <c r="B78" s="205" t="s">
        <v>2851</v>
      </c>
      <c r="C78" s="205" t="s">
        <v>1422</v>
      </c>
      <c r="D78" s="205" t="s">
        <v>1423</v>
      </c>
      <c r="E78" s="201">
        <v>42282</v>
      </c>
      <c r="F78" s="205" t="s">
        <v>1424</v>
      </c>
      <c r="G78" s="205" t="s">
        <v>232</v>
      </c>
      <c r="H78" s="205" t="s">
        <v>1425</v>
      </c>
      <c r="I78" s="205" t="s">
        <v>1426</v>
      </c>
      <c r="J78" s="205" t="s">
        <v>381</v>
      </c>
      <c r="K78" s="205" t="s">
        <v>450</v>
      </c>
      <c r="L78" s="205" t="s">
        <v>451</v>
      </c>
      <c r="M78" s="205" t="s">
        <v>463</v>
      </c>
      <c r="O78" s="200" t="s">
        <v>344</v>
      </c>
      <c r="P78" s="200" t="s">
        <v>1427</v>
      </c>
      <c r="Q78" s="205" t="s">
        <v>463</v>
      </c>
      <c r="R78" s="202">
        <v>83</v>
      </c>
      <c r="U78" s="205" t="s">
        <v>456</v>
      </c>
      <c r="W78" s="205" t="s">
        <v>234</v>
      </c>
      <c r="X78" s="205" t="s">
        <v>235</v>
      </c>
      <c r="Y78" s="200" t="s">
        <v>510</v>
      </c>
      <c r="Z78" s="205" t="s">
        <v>1428</v>
      </c>
      <c r="AA78" s="200" t="s">
        <v>416</v>
      </c>
      <c r="AB78" s="205" t="s">
        <v>1429</v>
      </c>
      <c r="AC78" s="200" t="s">
        <v>282</v>
      </c>
      <c r="AD78" s="205" t="s">
        <v>1430</v>
      </c>
      <c r="AE78" s="205" t="s">
        <v>232</v>
      </c>
      <c r="AF78" s="205" t="s">
        <v>2852</v>
      </c>
      <c r="AG78" s="205" t="s">
        <v>239</v>
      </c>
      <c r="AH78" s="205" t="s">
        <v>239</v>
      </c>
      <c r="AI78" s="205" t="s">
        <v>2853</v>
      </c>
      <c r="AJ78" s="205" t="s">
        <v>1432</v>
      </c>
      <c r="AK78" s="205" t="s">
        <v>2854</v>
      </c>
      <c r="AL78" s="205" t="s">
        <v>239</v>
      </c>
      <c r="AM78" s="205" t="s">
        <v>239</v>
      </c>
      <c r="AN78" s="205" t="s">
        <v>239</v>
      </c>
      <c r="AO78" s="200" t="s">
        <v>235</v>
      </c>
      <c r="AP78" s="200" t="s">
        <v>235</v>
      </c>
      <c r="AQ78" s="200" t="s">
        <v>235</v>
      </c>
      <c r="AR78" s="200" t="s">
        <v>235</v>
      </c>
      <c r="AS78" s="200" t="s">
        <v>299</v>
      </c>
      <c r="AT78" s="200" t="s">
        <v>299</v>
      </c>
      <c r="AU78" s="200" t="s">
        <v>299</v>
      </c>
      <c r="AV78" s="205" t="s">
        <v>242</v>
      </c>
      <c r="AW78" s="205" t="s">
        <v>482</v>
      </c>
      <c r="AY78" s="205" t="s">
        <v>239</v>
      </c>
      <c r="AZ78" s="205" t="s">
        <v>1434</v>
      </c>
      <c r="BA78" s="205" t="s">
        <v>244</v>
      </c>
      <c r="BB78" s="205" t="s">
        <v>244</v>
      </c>
      <c r="BD78" s="205" t="s">
        <v>239</v>
      </c>
      <c r="BE78" s="205" t="s">
        <v>446</v>
      </c>
      <c r="BF78" s="205" t="s">
        <v>457</v>
      </c>
      <c r="BH78" s="205" t="s">
        <v>456</v>
      </c>
      <c r="BI78" s="202">
        <v>83</v>
      </c>
      <c r="BK78" s="203" t="s">
        <v>289</v>
      </c>
    </row>
    <row r="79" spans="1:65" x14ac:dyDescent="0.25">
      <c r="A79" s="205" t="s">
        <v>1889</v>
      </c>
      <c r="B79" s="205" t="s">
        <v>2855</v>
      </c>
      <c r="C79" s="205" t="s">
        <v>1568</v>
      </c>
      <c r="D79" s="205" t="s">
        <v>1569</v>
      </c>
      <c r="E79" s="201">
        <v>42282</v>
      </c>
      <c r="F79" s="205" t="s">
        <v>1570</v>
      </c>
      <c r="G79" s="205" t="s">
        <v>232</v>
      </c>
      <c r="H79" s="205" t="s">
        <v>1571</v>
      </c>
      <c r="I79" s="205" t="s">
        <v>1572</v>
      </c>
      <c r="J79" s="205" t="s">
        <v>1573</v>
      </c>
      <c r="K79" s="205" t="s">
        <v>450</v>
      </c>
      <c r="L79" s="205" t="s">
        <v>451</v>
      </c>
      <c r="M79" s="205" t="s">
        <v>452</v>
      </c>
      <c r="O79" s="200" t="s">
        <v>274</v>
      </c>
      <c r="P79" s="200" t="s">
        <v>1574</v>
      </c>
      <c r="Q79" s="205" t="s">
        <v>452</v>
      </c>
      <c r="R79" s="202">
        <v>84</v>
      </c>
      <c r="U79" s="205" t="s">
        <v>456</v>
      </c>
      <c r="W79" s="205" t="s">
        <v>234</v>
      </c>
      <c r="X79" s="205" t="s">
        <v>331</v>
      </c>
      <c r="Y79" s="200" t="s">
        <v>574</v>
      </c>
      <c r="Z79" s="205" t="s">
        <v>1575</v>
      </c>
      <c r="AA79" s="200" t="s">
        <v>414</v>
      </c>
      <c r="AB79" s="205" t="s">
        <v>1576</v>
      </c>
      <c r="AC79" s="200" t="s">
        <v>266</v>
      </c>
      <c r="AD79" s="205" t="s">
        <v>1577</v>
      </c>
      <c r="AE79" s="205" t="s">
        <v>232</v>
      </c>
      <c r="AF79" s="205" t="s">
        <v>1578</v>
      </c>
      <c r="AG79" s="205" t="s">
        <v>239</v>
      </c>
      <c r="AH79" s="205" t="s">
        <v>239</v>
      </c>
      <c r="AI79" s="205" t="s">
        <v>1579</v>
      </c>
      <c r="AJ79" s="205" t="s">
        <v>1580</v>
      </c>
      <c r="AK79" s="205" t="s">
        <v>1581</v>
      </c>
      <c r="AL79" s="205" t="s">
        <v>239</v>
      </c>
      <c r="AM79" s="205" t="s">
        <v>239</v>
      </c>
      <c r="AN79" s="205" t="s">
        <v>239</v>
      </c>
      <c r="AO79" s="200" t="s">
        <v>235</v>
      </c>
      <c r="AP79" s="200" t="s">
        <v>235</v>
      </c>
      <c r="AQ79" s="200" t="s">
        <v>235</v>
      </c>
      <c r="AR79" s="200" t="s">
        <v>235</v>
      </c>
      <c r="AS79" s="200" t="s">
        <v>299</v>
      </c>
      <c r="AT79" s="200" t="s">
        <v>299</v>
      </c>
      <c r="AU79" s="200" t="s">
        <v>299</v>
      </c>
      <c r="AV79" s="205" t="s">
        <v>242</v>
      </c>
      <c r="AW79" s="205" t="s">
        <v>482</v>
      </c>
      <c r="AX79" s="200" t="s">
        <v>1582</v>
      </c>
      <c r="AY79" s="205" t="s">
        <v>300</v>
      </c>
      <c r="AZ79" s="205" t="s">
        <v>1583</v>
      </c>
      <c r="BA79" s="205" t="s">
        <v>244</v>
      </c>
      <c r="BB79" s="205" t="s">
        <v>1584</v>
      </c>
      <c r="BD79" s="205" t="s">
        <v>239</v>
      </c>
      <c r="BE79" s="205" t="s">
        <v>446</v>
      </c>
      <c r="BF79" s="205" t="s">
        <v>457</v>
      </c>
      <c r="BH79" s="205" t="s">
        <v>456</v>
      </c>
      <c r="BI79" s="202">
        <v>84</v>
      </c>
      <c r="BK79" s="203" t="s">
        <v>289</v>
      </c>
    </row>
    <row r="80" spans="1:65" x14ac:dyDescent="0.25">
      <c r="A80" s="205" t="s">
        <v>1876</v>
      </c>
      <c r="B80" s="205" t="s">
        <v>2856</v>
      </c>
      <c r="C80" s="205" t="s">
        <v>1677</v>
      </c>
      <c r="D80" s="205" t="s">
        <v>1678</v>
      </c>
      <c r="E80" s="201">
        <v>42282</v>
      </c>
      <c r="F80" s="205" t="s">
        <v>311</v>
      </c>
      <c r="G80" s="205" t="s">
        <v>232</v>
      </c>
      <c r="H80" s="205" t="s">
        <v>1679</v>
      </c>
      <c r="I80" s="205" t="s">
        <v>1680</v>
      </c>
      <c r="J80" s="205" t="s">
        <v>418</v>
      </c>
      <c r="K80" s="205" t="s">
        <v>450</v>
      </c>
      <c r="L80" s="205" t="s">
        <v>451</v>
      </c>
      <c r="M80" s="205" t="s">
        <v>452</v>
      </c>
      <c r="O80" s="200" t="s">
        <v>246</v>
      </c>
      <c r="P80" s="200" t="s">
        <v>1681</v>
      </c>
      <c r="Q80" s="205" t="s">
        <v>452</v>
      </c>
      <c r="R80" s="202">
        <v>85</v>
      </c>
      <c r="U80" s="205" t="s">
        <v>456</v>
      </c>
      <c r="W80" s="205" t="s">
        <v>234</v>
      </c>
      <c r="X80" s="205" t="s">
        <v>300</v>
      </c>
      <c r="Y80" s="200" t="s">
        <v>396</v>
      </c>
      <c r="Z80" s="205" t="s">
        <v>1682</v>
      </c>
      <c r="AA80" s="200" t="s">
        <v>337</v>
      </c>
      <c r="AB80" s="205" t="s">
        <v>1683</v>
      </c>
      <c r="AC80" s="200" t="s">
        <v>690</v>
      </c>
      <c r="AD80" s="205" t="s">
        <v>1684</v>
      </c>
      <c r="AE80" s="205" t="s">
        <v>232</v>
      </c>
      <c r="AF80" s="205" t="s">
        <v>2857</v>
      </c>
      <c r="AG80" s="205" t="s">
        <v>239</v>
      </c>
      <c r="AH80" s="205" t="s">
        <v>239</v>
      </c>
      <c r="AI80" s="205" t="s">
        <v>2858</v>
      </c>
      <c r="AJ80" s="205" t="s">
        <v>474</v>
      </c>
      <c r="AK80" s="205" t="s">
        <v>997</v>
      </c>
      <c r="AL80" s="205" t="s">
        <v>239</v>
      </c>
      <c r="AM80" s="205" t="s">
        <v>239</v>
      </c>
      <c r="AN80" s="205" t="s">
        <v>239</v>
      </c>
      <c r="AO80" s="200" t="s">
        <v>235</v>
      </c>
      <c r="AP80" s="200" t="s">
        <v>235</v>
      </c>
      <c r="AQ80" s="200" t="s">
        <v>235</v>
      </c>
      <c r="AR80" s="200" t="s">
        <v>235</v>
      </c>
      <c r="AS80" s="200" t="s">
        <v>299</v>
      </c>
      <c r="AT80" s="200" t="s">
        <v>299</v>
      </c>
      <c r="AU80" s="200" t="s">
        <v>299</v>
      </c>
      <c r="AV80" s="205" t="s">
        <v>242</v>
      </c>
      <c r="AW80" s="205" t="s">
        <v>482</v>
      </c>
      <c r="AY80" s="205" t="s">
        <v>239</v>
      </c>
      <c r="AZ80" s="205" t="s">
        <v>1687</v>
      </c>
      <c r="BA80" s="205" t="s">
        <v>244</v>
      </c>
      <c r="BB80" s="205" t="s">
        <v>244</v>
      </c>
      <c r="BD80" s="205" t="s">
        <v>239</v>
      </c>
      <c r="BE80" s="205" t="s">
        <v>446</v>
      </c>
      <c r="BF80" s="205" t="s">
        <v>457</v>
      </c>
      <c r="BH80" s="205" t="s">
        <v>456</v>
      </c>
      <c r="BI80" s="202">
        <v>85</v>
      </c>
      <c r="BK80" s="203" t="s">
        <v>289</v>
      </c>
    </row>
    <row r="81" spans="1:65" x14ac:dyDescent="0.25">
      <c r="A81" s="205" t="s">
        <v>1876</v>
      </c>
      <c r="B81" s="205" t="s">
        <v>2859</v>
      </c>
      <c r="C81" s="205" t="s">
        <v>1650</v>
      </c>
      <c r="D81" s="205" t="s">
        <v>1651</v>
      </c>
      <c r="E81" s="201">
        <v>42282</v>
      </c>
      <c r="F81" s="205" t="s">
        <v>1025</v>
      </c>
      <c r="G81" s="205" t="s">
        <v>232</v>
      </c>
      <c r="H81" s="205" t="s">
        <v>1652</v>
      </c>
      <c r="I81" s="205" t="s">
        <v>1653</v>
      </c>
      <c r="J81" s="205" t="s">
        <v>632</v>
      </c>
      <c r="K81" s="205" t="s">
        <v>475</v>
      </c>
      <c r="L81" s="205" t="s">
        <v>476</v>
      </c>
      <c r="M81" s="205" t="s">
        <v>477</v>
      </c>
      <c r="O81" s="200" t="s">
        <v>264</v>
      </c>
      <c r="P81" s="200" t="s">
        <v>1654</v>
      </c>
      <c r="Q81" s="205" t="s">
        <v>477</v>
      </c>
      <c r="R81" s="202">
        <v>86</v>
      </c>
      <c r="U81" s="205" t="s">
        <v>456</v>
      </c>
      <c r="W81" s="205" t="s">
        <v>234</v>
      </c>
      <c r="X81" s="205" t="s">
        <v>291</v>
      </c>
      <c r="Y81" s="200" t="s">
        <v>425</v>
      </c>
      <c r="Z81" s="205" t="s">
        <v>1655</v>
      </c>
      <c r="AA81" s="200" t="s">
        <v>327</v>
      </c>
      <c r="AB81" s="205" t="s">
        <v>370</v>
      </c>
      <c r="AC81" s="200" t="s">
        <v>286</v>
      </c>
      <c r="AD81" s="205" t="s">
        <v>1656</v>
      </c>
      <c r="AE81" s="205" t="s">
        <v>232</v>
      </c>
      <c r="AF81" s="205" t="s">
        <v>1657</v>
      </c>
      <c r="AG81" s="205" t="s">
        <v>239</v>
      </c>
      <c r="AH81" s="205" t="s">
        <v>239</v>
      </c>
      <c r="AI81" s="205" t="s">
        <v>1658</v>
      </c>
      <c r="AJ81" s="205" t="s">
        <v>1659</v>
      </c>
      <c r="AK81" s="205" t="s">
        <v>1660</v>
      </c>
      <c r="AL81" s="205" t="s">
        <v>239</v>
      </c>
      <c r="AM81" s="205" t="s">
        <v>239</v>
      </c>
      <c r="AN81" s="205" t="s">
        <v>239</v>
      </c>
      <c r="AO81" s="200" t="s">
        <v>235</v>
      </c>
      <c r="AP81" s="200" t="s">
        <v>235</v>
      </c>
      <c r="AQ81" s="200" t="s">
        <v>235</v>
      </c>
      <c r="AR81" s="200" t="s">
        <v>235</v>
      </c>
      <c r="AS81" s="200" t="s">
        <v>299</v>
      </c>
      <c r="AT81" s="200" t="s">
        <v>299</v>
      </c>
      <c r="AU81" s="200" t="s">
        <v>299</v>
      </c>
      <c r="AV81" s="205" t="s">
        <v>242</v>
      </c>
      <c r="AW81" s="205" t="s">
        <v>482</v>
      </c>
      <c r="AY81" s="205" t="s">
        <v>239</v>
      </c>
      <c r="AZ81" s="205" t="s">
        <v>1661</v>
      </c>
      <c r="BA81" s="205" t="s">
        <v>244</v>
      </c>
      <c r="BB81" s="205" t="s">
        <v>244</v>
      </c>
      <c r="BD81" s="205" t="s">
        <v>239</v>
      </c>
      <c r="BE81" s="205" t="s">
        <v>446</v>
      </c>
      <c r="BF81" s="205" t="s">
        <v>457</v>
      </c>
      <c r="BH81" s="205" t="s">
        <v>456</v>
      </c>
      <c r="BI81" s="202">
        <v>86</v>
      </c>
      <c r="BK81" s="203" t="s">
        <v>289</v>
      </c>
    </row>
    <row r="82" spans="1:65" x14ac:dyDescent="0.25">
      <c r="A82" s="205" t="s">
        <v>1876</v>
      </c>
      <c r="B82" s="205" t="s">
        <v>2860</v>
      </c>
      <c r="C82" s="205" t="s">
        <v>2861</v>
      </c>
      <c r="D82" s="205" t="s">
        <v>2862</v>
      </c>
      <c r="E82" s="201">
        <v>42282</v>
      </c>
      <c r="F82" s="205" t="s">
        <v>308</v>
      </c>
      <c r="G82" s="205" t="s">
        <v>232</v>
      </c>
      <c r="H82" s="205" t="s">
        <v>2863</v>
      </c>
      <c r="I82" s="205" t="s">
        <v>479</v>
      </c>
      <c r="J82" s="205" t="s">
        <v>2864</v>
      </c>
      <c r="K82" s="205" t="s">
        <v>453</v>
      </c>
      <c r="L82" s="205" t="s">
        <v>454</v>
      </c>
      <c r="M82" s="205" t="s">
        <v>462</v>
      </c>
      <c r="O82" s="200" t="s">
        <v>323</v>
      </c>
      <c r="P82" s="200" t="s">
        <v>2865</v>
      </c>
      <c r="Q82" s="205" t="s">
        <v>462</v>
      </c>
      <c r="R82" s="202">
        <v>87</v>
      </c>
      <c r="U82" s="205" t="s">
        <v>456</v>
      </c>
      <c r="W82" s="205" t="s">
        <v>234</v>
      </c>
      <c r="X82" s="205" t="s">
        <v>235</v>
      </c>
      <c r="Z82" s="205" t="s">
        <v>238</v>
      </c>
      <c r="AB82" s="205" t="s">
        <v>238</v>
      </c>
      <c r="AD82" s="205" t="s">
        <v>238</v>
      </c>
      <c r="AE82" s="205" t="s">
        <v>232</v>
      </c>
      <c r="AF82" s="205" t="s">
        <v>2866</v>
      </c>
      <c r="AG82" s="205" t="s">
        <v>239</v>
      </c>
      <c r="AH82" s="205" t="s">
        <v>239</v>
      </c>
      <c r="AI82" s="205" t="s">
        <v>2867</v>
      </c>
      <c r="AJ82" s="205" t="s">
        <v>474</v>
      </c>
      <c r="AK82" s="205" t="s">
        <v>2868</v>
      </c>
      <c r="AL82" s="205" t="s">
        <v>239</v>
      </c>
      <c r="AM82" s="205" t="s">
        <v>239</v>
      </c>
      <c r="AN82" s="205" t="s">
        <v>239</v>
      </c>
      <c r="AO82" s="200" t="s">
        <v>239</v>
      </c>
      <c r="AP82" s="200" t="s">
        <v>239</v>
      </c>
      <c r="AQ82" s="200" t="s">
        <v>239</v>
      </c>
      <c r="AR82" s="200" t="s">
        <v>235</v>
      </c>
      <c r="AS82" s="200" t="s">
        <v>262</v>
      </c>
      <c r="AT82" s="200" t="s">
        <v>241</v>
      </c>
      <c r="AU82" s="200" t="s">
        <v>299</v>
      </c>
      <c r="AV82" s="205" t="s">
        <v>242</v>
      </c>
      <c r="AW82" s="205" t="s">
        <v>482</v>
      </c>
      <c r="AY82" s="205" t="s">
        <v>239</v>
      </c>
      <c r="AZ82" s="205" t="s">
        <v>2869</v>
      </c>
      <c r="BA82" s="205" t="s">
        <v>244</v>
      </c>
      <c r="BB82" s="205" t="s">
        <v>426</v>
      </c>
      <c r="BD82" s="205" t="s">
        <v>239</v>
      </c>
      <c r="BE82" s="205" t="s">
        <v>446</v>
      </c>
      <c r="BF82" s="205" t="s">
        <v>457</v>
      </c>
      <c r="BH82" s="205" t="s">
        <v>456</v>
      </c>
      <c r="BI82" s="202">
        <v>87</v>
      </c>
      <c r="BJ82" s="201">
        <v>42296</v>
      </c>
      <c r="BK82" s="203" t="s">
        <v>301</v>
      </c>
    </row>
    <row r="83" spans="1:65" x14ac:dyDescent="0.25">
      <c r="A83" s="205" t="s">
        <v>1708</v>
      </c>
      <c r="B83" s="205" t="s">
        <v>2870</v>
      </c>
      <c r="C83" s="205" t="s">
        <v>2871</v>
      </c>
      <c r="D83" s="205" t="s">
        <v>2872</v>
      </c>
      <c r="E83" s="201">
        <v>42282</v>
      </c>
      <c r="F83" s="205" t="s">
        <v>2873</v>
      </c>
      <c r="G83" s="205" t="s">
        <v>232</v>
      </c>
      <c r="H83" s="205" t="s">
        <v>2874</v>
      </c>
      <c r="I83" s="205" t="s">
        <v>2875</v>
      </c>
      <c r="K83" s="205" t="s">
        <v>453</v>
      </c>
      <c r="L83" s="205" t="s">
        <v>454</v>
      </c>
      <c r="M83" s="205" t="s">
        <v>462</v>
      </c>
      <c r="O83" s="200" t="s">
        <v>2876</v>
      </c>
      <c r="P83" s="200" t="s">
        <v>2877</v>
      </c>
      <c r="Q83" s="205" t="s">
        <v>462</v>
      </c>
      <c r="R83" s="202">
        <v>88</v>
      </c>
      <c r="U83" s="205" t="s">
        <v>456</v>
      </c>
      <c r="W83" s="205" t="s">
        <v>234</v>
      </c>
      <c r="X83" s="205" t="s">
        <v>391</v>
      </c>
      <c r="Y83" s="200" t="s">
        <v>339</v>
      </c>
      <c r="Z83" s="205" t="s">
        <v>260</v>
      </c>
      <c r="AA83" s="200" t="s">
        <v>337</v>
      </c>
      <c r="AB83" s="205" t="s">
        <v>285</v>
      </c>
      <c r="AC83" s="200" t="s">
        <v>314</v>
      </c>
      <c r="AD83" s="205" t="s">
        <v>2878</v>
      </c>
      <c r="AE83" s="205" t="s">
        <v>232</v>
      </c>
      <c r="AF83" s="205" t="s">
        <v>2879</v>
      </c>
      <c r="AG83" s="205" t="s">
        <v>239</v>
      </c>
      <c r="AH83" s="205" t="s">
        <v>239</v>
      </c>
      <c r="AI83" s="205" t="s">
        <v>2880</v>
      </c>
      <c r="AJ83" s="205" t="s">
        <v>2881</v>
      </c>
      <c r="AK83" s="205" t="s">
        <v>2882</v>
      </c>
      <c r="AL83" s="205" t="s">
        <v>542</v>
      </c>
      <c r="AM83" s="205" t="s">
        <v>239</v>
      </c>
      <c r="AN83" s="205" t="s">
        <v>239</v>
      </c>
      <c r="AO83" s="200" t="s">
        <v>239</v>
      </c>
      <c r="AP83" s="200" t="s">
        <v>239</v>
      </c>
      <c r="AQ83" s="200" t="s">
        <v>239</v>
      </c>
      <c r="AR83" s="200" t="s">
        <v>235</v>
      </c>
      <c r="AS83" s="200" t="s">
        <v>262</v>
      </c>
      <c r="AT83" s="200" t="s">
        <v>241</v>
      </c>
      <c r="AU83" s="200" t="s">
        <v>299</v>
      </c>
      <c r="AV83" s="205" t="s">
        <v>242</v>
      </c>
      <c r="AW83" s="205" t="s">
        <v>482</v>
      </c>
      <c r="AX83" s="200" t="s">
        <v>2883</v>
      </c>
      <c r="AY83" s="205" t="s">
        <v>235</v>
      </c>
      <c r="AZ83" s="205" t="s">
        <v>2884</v>
      </c>
      <c r="BA83" s="205" t="s">
        <v>244</v>
      </c>
      <c r="BB83" s="205" t="s">
        <v>2885</v>
      </c>
      <c r="BD83" s="205" t="s">
        <v>239</v>
      </c>
      <c r="BE83" s="205" t="s">
        <v>446</v>
      </c>
      <c r="BF83" s="205" t="s">
        <v>457</v>
      </c>
      <c r="BH83" s="205" t="s">
        <v>456</v>
      </c>
      <c r="BI83" s="202">
        <v>88</v>
      </c>
      <c r="BJ83" s="201">
        <v>42294</v>
      </c>
      <c r="BK83" s="203" t="s">
        <v>301</v>
      </c>
      <c r="BM83" s="205">
        <v>42</v>
      </c>
    </row>
    <row r="84" spans="1:65" x14ac:dyDescent="0.25">
      <c r="A84" s="205" t="s">
        <v>1708</v>
      </c>
      <c r="B84" s="205" t="s">
        <v>2886</v>
      </c>
      <c r="C84" s="205" t="s">
        <v>2887</v>
      </c>
      <c r="D84" s="205" t="s">
        <v>2888</v>
      </c>
      <c r="E84" s="201">
        <v>42282</v>
      </c>
      <c r="F84" s="205" t="s">
        <v>2889</v>
      </c>
      <c r="G84" s="205" t="s">
        <v>232</v>
      </c>
      <c r="H84" s="205" t="s">
        <v>2890</v>
      </c>
      <c r="I84" s="205" t="s">
        <v>2891</v>
      </c>
      <c r="K84" s="205" t="s">
        <v>453</v>
      </c>
      <c r="L84" s="205" t="s">
        <v>454</v>
      </c>
      <c r="M84" s="205" t="s">
        <v>462</v>
      </c>
      <c r="O84" s="200" t="s">
        <v>344</v>
      </c>
      <c r="P84" s="200" t="s">
        <v>2892</v>
      </c>
      <c r="Q84" s="205" t="s">
        <v>462</v>
      </c>
      <c r="R84" s="202">
        <v>89</v>
      </c>
      <c r="U84" s="205" t="s">
        <v>456</v>
      </c>
      <c r="W84" s="205" t="s">
        <v>234</v>
      </c>
      <c r="X84" s="205" t="s">
        <v>350</v>
      </c>
      <c r="Y84" s="200" t="s">
        <v>308</v>
      </c>
      <c r="Z84" s="205" t="s">
        <v>260</v>
      </c>
      <c r="AA84" s="200" t="s">
        <v>392</v>
      </c>
      <c r="AB84" s="205" t="s">
        <v>260</v>
      </c>
      <c r="AC84" s="200" t="s">
        <v>380</v>
      </c>
      <c r="AD84" s="205" t="s">
        <v>260</v>
      </c>
      <c r="AE84" s="205" t="s">
        <v>232</v>
      </c>
      <c r="AF84" s="205" t="s">
        <v>2893</v>
      </c>
      <c r="AG84" s="205" t="s">
        <v>239</v>
      </c>
      <c r="AH84" s="205" t="s">
        <v>239</v>
      </c>
      <c r="AI84" s="205" t="s">
        <v>2894</v>
      </c>
      <c r="AJ84" s="205" t="s">
        <v>2895</v>
      </c>
      <c r="AK84" s="205" t="s">
        <v>2896</v>
      </c>
      <c r="AL84" s="205" t="s">
        <v>2897</v>
      </c>
      <c r="AM84" s="205" t="s">
        <v>239</v>
      </c>
      <c r="AN84" s="205" t="s">
        <v>239</v>
      </c>
      <c r="AO84" s="200" t="s">
        <v>239</v>
      </c>
      <c r="AP84" s="200" t="s">
        <v>239</v>
      </c>
      <c r="AQ84" s="200" t="s">
        <v>239</v>
      </c>
      <c r="AR84" s="200" t="s">
        <v>235</v>
      </c>
      <c r="AS84" s="200" t="s">
        <v>262</v>
      </c>
      <c r="AT84" s="200" t="s">
        <v>241</v>
      </c>
      <c r="AU84" s="200" t="s">
        <v>299</v>
      </c>
      <c r="AV84" s="205" t="s">
        <v>242</v>
      </c>
      <c r="AW84" s="205" t="s">
        <v>482</v>
      </c>
      <c r="AY84" s="205" t="s">
        <v>239</v>
      </c>
      <c r="AZ84" s="205" t="s">
        <v>2898</v>
      </c>
      <c r="BA84" s="205" t="s">
        <v>244</v>
      </c>
      <c r="BB84" s="205" t="s">
        <v>244</v>
      </c>
      <c r="BD84" s="205" t="s">
        <v>239</v>
      </c>
      <c r="BE84" s="205" t="s">
        <v>446</v>
      </c>
      <c r="BF84" s="205" t="s">
        <v>457</v>
      </c>
      <c r="BH84" s="205" t="s">
        <v>456</v>
      </c>
      <c r="BI84" s="202">
        <v>89</v>
      </c>
      <c r="BJ84" s="201">
        <v>42294</v>
      </c>
      <c r="BK84" s="203" t="s">
        <v>301</v>
      </c>
      <c r="BM84" s="205">
        <v>42</v>
      </c>
    </row>
    <row r="85" spans="1:65" x14ac:dyDescent="0.25">
      <c r="A85" s="205" t="s">
        <v>1708</v>
      </c>
      <c r="B85" s="205" t="s">
        <v>2899</v>
      </c>
      <c r="C85" s="205" t="s">
        <v>2015</v>
      </c>
      <c r="D85" s="205" t="s">
        <v>2016</v>
      </c>
      <c r="E85" s="201">
        <v>42282</v>
      </c>
      <c r="F85" s="205" t="s">
        <v>297</v>
      </c>
      <c r="G85" s="205" t="s">
        <v>232</v>
      </c>
      <c r="H85" s="205" t="s">
        <v>2017</v>
      </c>
      <c r="I85" s="205" t="s">
        <v>2018</v>
      </c>
      <c r="J85" s="205" t="s">
        <v>379</v>
      </c>
      <c r="K85" s="205" t="s">
        <v>453</v>
      </c>
      <c r="L85" s="205" t="s">
        <v>448</v>
      </c>
      <c r="M85" s="205" t="s">
        <v>455</v>
      </c>
      <c r="O85" s="200" t="s">
        <v>274</v>
      </c>
      <c r="P85" s="200" t="s">
        <v>2019</v>
      </c>
      <c r="Q85" s="205" t="s">
        <v>455</v>
      </c>
      <c r="R85" s="202">
        <v>90</v>
      </c>
      <c r="U85" s="205" t="s">
        <v>456</v>
      </c>
      <c r="W85" s="205" t="s">
        <v>234</v>
      </c>
      <c r="X85" s="205" t="s">
        <v>272</v>
      </c>
      <c r="Y85" s="200" t="s">
        <v>259</v>
      </c>
      <c r="Z85" s="205" t="s">
        <v>2020</v>
      </c>
      <c r="AA85" s="200" t="s">
        <v>266</v>
      </c>
      <c r="AB85" s="205" t="s">
        <v>2021</v>
      </c>
      <c r="AD85" s="205" t="s">
        <v>238</v>
      </c>
      <c r="AE85" s="205" t="s">
        <v>232</v>
      </c>
      <c r="AF85" s="205" t="s">
        <v>2022</v>
      </c>
      <c r="AG85" s="205" t="s">
        <v>239</v>
      </c>
      <c r="AH85" s="205" t="s">
        <v>2023</v>
      </c>
      <c r="AI85" s="205" t="s">
        <v>2024</v>
      </c>
      <c r="AJ85" s="205" t="s">
        <v>2025</v>
      </c>
      <c r="AK85" s="205" t="s">
        <v>2026</v>
      </c>
      <c r="AL85" s="205" t="s">
        <v>239</v>
      </c>
      <c r="AM85" s="205" t="s">
        <v>239</v>
      </c>
      <c r="AN85" s="205" t="s">
        <v>239</v>
      </c>
      <c r="AO85" s="200" t="s">
        <v>235</v>
      </c>
      <c r="AP85" s="200" t="s">
        <v>235</v>
      </c>
      <c r="AQ85" s="200" t="s">
        <v>235</v>
      </c>
      <c r="AR85" s="200" t="s">
        <v>235</v>
      </c>
      <c r="AS85" s="200" t="s">
        <v>299</v>
      </c>
      <c r="AT85" s="200" t="s">
        <v>299</v>
      </c>
      <c r="AU85" s="200" t="s">
        <v>299</v>
      </c>
      <c r="AV85" s="205" t="s">
        <v>242</v>
      </c>
      <c r="AW85" s="205" t="s">
        <v>482</v>
      </c>
      <c r="AY85" s="205" t="s">
        <v>239</v>
      </c>
      <c r="AZ85" s="205" t="s">
        <v>2027</v>
      </c>
      <c r="BA85" s="205" t="s">
        <v>244</v>
      </c>
      <c r="BB85" s="205" t="s">
        <v>244</v>
      </c>
      <c r="BD85" s="205" t="s">
        <v>239</v>
      </c>
      <c r="BE85" s="205" t="s">
        <v>446</v>
      </c>
      <c r="BF85" s="205" t="s">
        <v>457</v>
      </c>
      <c r="BH85" s="205" t="s">
        <v>456</v>
      </c>
      <c r="BI85" s="202">
        <v>90</v>
      </c>
      <c r="BK85" s="203" t="s">
        <v>289</v>
      </c>
    </row>
    <row r="86" spans="1:65" x14ac:dyDescent="0.25">
      <c r="A86" s="205" t="s">
        <v>1708</v>
      </c>
      <c r="B86" s="205" t="s">
        <v>2900</v>
      </c>
      <c r="C86" s="205" t="s">
        <v>2901</v>
      </c>
      <c r="D86" s="205" t="s">
        <v>2902</v>
      </c>
      <c r="E86" s="201">
        <v>42282</v>
      </c>
      <c r="F86" s="205" t="s">
        <v>990</v>
      </c>
      <c r="G86" s="205" t="s">
        <v>232</v>
      </c>
      <c r="H86" s="205" t="s">
        <v>273</v>
      </c>
      <c r="I86" s="205" t="s">
        <v>2903</v>
      </c>
      <c r="J86" s="205" t="s">
        <v>381</v>
      </c>
      <c r="K86" s="205" t="s">
        <v>450</v>
      </c>
      <c r="L86" s="205" t="s">
        <v>451</v>
      </c>
      <c r="M86" s="205" t="s">
        <v>452</v>
      </c>
      <c r="O86" s="200" t="s">
        <v>274</v>
      </c>
      <c r="P86" s="200" t="s">
        <v>2904</v>
      </c>
      <c r="Q86" s="205" t="s">
        <v>452</v>
      </c>
      <c r="R86" s="202">
        <v>91</v>
      </c>
      <c r="U86" s="205" t="s">
        <v>456</v>
      </c>
      <c r="W86" s="205" t="s">
        <v>234</v>
      </c>
      <c r="X86" s="205" t="s">
        <v>332</v>
      </c>
      <c r="Y86" s="200" t="s">
        <v>280</v>
      </c>
      <c r="Z86" s="205" t="s">
        <v>2905</v>
      </c>
      <c r="AA86" s="200" t="s">
        <v>324</v>
      </c>
      <c r="AB86" s="205" t="s">
        <v>2906</v>
      </c>
      <c r="AC86" s="200" t="s">
        <v>410</v>
      </c>
      <c r="AD86" s="205" t="s">
        <v>2907</v>
      </c>
      <c r="AE86" s="205" t="s">
        <v>232</v>
      </c>
      <c r="AF86" s="205" t="s">
        <v>2908</v>
      </c>
      <c r="AG86" s="205" t="s">
        <v>239</v>
      </c>
      <c r="AH86" s="205" t="s">
        <v>239</v>
      </c>
      <c r="AI86" s="205" t="s">
        <v>2909</v>
      </c>
      <c r="AJ86" s="205" t="s">
        <v>474</v>
      </c>
      <c r="AK86" s="205" t="s">
        <v>2910</v>
      </c>
      <c r="AL86" s="205" t="s">
        <v>239</v>
      </c>
      <c r="AM86" s="205" t="s">
        <v>239</v>
      </c>
      <c r="AN86" s="205" t="s">
        <v>239</v>
      </c>
      <c r="AO86" s="200" t="s">
        <v>239</v>
      </c>
      <c r="AP86" s="200" t="s">
        <v>239</v>
      </c>
      <c r="AQ86" s="200" t="s">
        <v>239</v>
      </c>
      <c r="AR86" s="200" t="s">
        <v>235</v>
      </c>
      <c r="AS86" s="200" t="s">
        <v>262</v>
      </c>
      <c r="AT86" s="200" t="s">
        <v>241</v>
      </c>
      <c r="AU86" s="200" t="s">
        <v>299</v>
      </c>
      <c r="AV86" s="205" t="s">
        <v>242</v>
      </c>
      <c r="AW86" s="205" t="s">
        <v>482</v>
      </c>
      <c r="AY86" s="205" t="s">
        <v>239</v>
      </c>
      <c r="AZ86" s="205" t="s">
        <v>244</v>
      </c>
      <c r="BA86" s="205" t="s">
        <v>244</v>
      </c>
      <c r="BB86" s="205" t="s">
        <v>2911</v>
      </c>
      <c r="BD86" s="205" t="s">
        <v>239</v>
      </c>
      <c r="BE86" s="205" t="s">
        <v>446</v>
      </c>
      <c r="BF86" s="205" t="s">
        <v>457</v>
      </c>
      <c r="BH86" s="205" t="s">
        <v>456</v>
      </c>
      <c r="BI86" s="202">
        <v>91</v>
      </c>
      <c r="BJ86" s="201">
        <v>42292</v>
      </c>
      <c r="BK86" s="203" t="s">
        <v>301</v>
      </c>
      <c r="BM86" s="205">
        <v>42</v>
      </c>
    </row>
    <row r="87" spans="1:65" x14ac:dyDescent="0.25">
      <c r="A87" s="205" t="s">
        <v>1708</v>
      </c>
      <c r="B87" s="205" t="s">
        <v>2912</v>
      </c>
      <c r="C87" s="205" t="s">
        <v>2042</v>
      </c>
      <c r="D87" s="205" t="s">
        <v>2043</v>
      </c>
      <c r="E87" s="201">
        <v>42282</v>
      </c>
      <c r="F87" s="205" t="s">
        <v>359</v>
      </c>
      <c r="G87" s="205" t="s">
        <v>232</v>
      </c>
      <c r="H87" s="205" t="s">
        <v>273</v>
      </c>
      <c r="I87" s="205" t="s">
        <v>2044</v>
      </c>
      <c r="J87" s="205" t="s">
        <v>381</v>
      </c>
      <c r="K87" s="205" t="s">
        <v>453</v>
      </c>
      <c r="L87" s="205" t="s">
        <v>454</v>
      </c>
      <c r="M87" s="205" t="s">
        <v>455</v>
      </c>
      <c r="O87" s="200" t="s">
        <v>274</v>
      </c>
      <c r="P87" s="200" t="s">
        <v>2045</v>
      </c>
      <c r="Q87" s="205" t="s">
        <v>455</v>
      </c>
      <c r="R87" s="202">
        <v>92</v>
      </c>
      <c r="U87" s="205" t="s">
        <v>456</v>
      </c>
      <c r="W87" s="205" t="s">
        <v>234</v>
      </c>
      <c r="X87" s="205" t="s">
        <v>243</v>
      </c>
      <c r="Y87" s="200" t="s">
        <v>422</v>
      </c>
      <c r="Z87" s="205" t="s">
        <v>2046</v>
      </c>
      <c r="AA87" s="200" t="s">
        <v>414</v>
      </c>
      <c r="AB87" s="205" t="s">
        <v>2047</v>
      </c>
      <c r="AC87" s="200" t="s">
        <v>614</v>
      </c>
      <c r="AD87" s="205" t="s">
        <v>2048</v>
      </c>
      <c r="AE87" s="205" t="s">
        <v>232</v>
      </c>
      <c r="AF87" s="205" t="s">
        <v>2049</v>
      </c>
      <c r="AG87" s="205" t="s">
        <v>239</v>
      </c>
      <c r="AH87" s="205" t="s">
        <v>239</v>
      </c>
      <c r="AI87" s="205" t="s">
        <v>2050</v>
      </c>
      <c r="AJ87" s="205" t="s">
        <v>2051</v>
      </c>
      <c r="AK87" s="205" t="s">
        <v>2052</v>
      </c>
      <c r="AL87" s="205" t="s">
        <v>239</v>
      </c>
      <c r="AM87" s="205" t="s">
        <v>239</v>
      </c>
      <c r="AN87" s="205" t="s">
        <v>239</v>
      </c>
      <c r="AO87" s="200" t="s">
        <v>235</v>
      </c>
      <c r="AP87" s="200" t="s">
        <v>235</v>
      </c>
      <c r="AQ87" s="200" t="s">
        <v>235</v>
      </c>
      <c r="AR87" s="200" t="s">
        <v>235</v>
      </c>
      <c r="AS87" s="200" t="s">
        <v>299</v>
      </c>
      <c r="AT87" s="200" t="s">
        <v>299</v>
      </c>
      <c r="AU87" s="200" t="s">
        <v>299</v>
      </c>
      <c r="AV87" s="205" t="s">
        <v>242</v>
      </c>
      <c r="AW87" s="205" t="s">
        <v>482</v>
      </c>
      <c r="AY87" s="205" t="s">
        <v>239</v>
      </c>
      <c r="AZ87" s="205" t="s">
        <v>244</v>
      </c>
      <c r="BA87" s="205" t="s">
        <v>244</v>
      </c>
      <c r="BB87" s="205" t="s">
        <v>244</v>
      </c>
      <c r="BD87" s="205" t="s">
        <v>239</v>
      </c>
      <c r="BE87" s="205" t="s">
        <v>446</v>
      </c>
      <c r="BF87" s="205" t="s">
        <v>457</v>
      </c>
      <c r="BH87" s="205" t="s">
        <v>456</v>
      </c>
      <c r="BI87" s="202">
        <v>92</v>
      </c>
      <c r="BK87" s="203" t="s">
        <v>289</v>
      </c>
    </row>
    <row r="88" spans="1:65" x14ac:dyDescent="0.25">
      <c r="A88" s="205" t="s">
        <v>1708</v>
      </c>
      <c r="B88" s="205" t="s">
        <v>2913</v>
      </c>
      <c r="C88" s="205" t="s">
        <v>2914</v>
      </c>
      <c r="D88" s="205" t="s">
        <v>2915</v>
      </c>
      <c r="E88" s="201">
        <v>42282</v>
      </c>
      <c r="F88" s="205" t="s">
        <v>2916</v>
      </c>
      <c r="G88" s="205" t="s">
        <v>232</v>
      </c>
      <c r="H88" s="205" t="s">
        <v>2917</v>
      </c>
      <c r="I88" s="205" t="s">
        <v>573</v>
      </c>
      <c r="J88" s="205" t="s">
        <v>2918</v>
      </c>
      <c r="K88" s="205" t="s">
        <v>471</v>
      </c>
      <c r="L88" s="205" t="s">
        <v>472</v>
      </c>
      <c r="M88" s="205" t="s">
        <v>473</v>
      </c>
      <c r="O88" s="200" t="s">
        <v>246</v>
      </c>
      <c r="P88" s="200" t="s">
        <v>2919</v>
      </c>
      <c r="Q88" s="205" t="s">
        <v>473</v>
      </c>
      <c r="R88" s="202">
        <v>93</v>
      </c>
      <c r="U88" s="205" t="s">
        <v>456</v>
      </c>
      <c r="W88" s="205" t="s">
        <v>234</v>
      </c>
      <c r="X88" s="205" t="s">
        <v>302</v>
      </c>
      <c r="Y88" s="200" t="s">
        <v>315</v>
      </c>
      <c r="Z88" s="205" t="s">
        <v>2920</v>
      </c>
      <c r="AA88" s="200" t="s">
        <v>261</v>
      </c>
      <c r="AB88" s="205" t="s">
        <v>2920</v>
      </c>
      <c r="AC88" s="200" t="s">
        <v>349</v>
      </c>
      <c r="AD88" s="205" t="s">
        <v>2921</v>
      </c>
      <c r="AE88" s="205" t="s">
        <v>232</v>
      </c>
      <c r="AF88" s="205" t="s">
        <v>2922</v>
      </c>
      <c r="AG88" s="205" t="s">
        <v>239</v>
      </c>
      <c r="AH88" s="205" t="s">
        <v>239</v>
      </c>
      <c r="AI88" s="205" t="s">
        <v>2923</v>
      </c>
      <c r="AJ88" s="205" t="s">
        <v>2924</v>
      </c>
      <c r="AK88" s="205" t="s">
        <v>2925</v>
      </c>
      <c r="AL88" s="205" t="s">
        <v>239</v>
      </c>
      <c r="AM88" s="205" t="s">
        <v>239</v>
      </c>
      <c r="AN88" s="205" t="s">
        <v>239</v>
      </c>
      <c r="AO88" s="200" t="s">
        <v>239</v>
      </c>
      <c r="AP88" s="200" t="s">
        <v>239</v>
      </c>
      <c r="AQ88" s="200" t="s">
        <v>239</v>
      </c>
      <c r="AR88" s="200" t="s">
        <v>235</v>
      </c>
      <c r="AS88" s="200" t="s">
        <v>262</v>
      </c>
      <c r="AT88" s="200" t="s">
        <v>241</v>
      </c>
      <c r="AU88" s="200" t="s">
        <v>299</v>
      </c>
      <c r="AV88" s="205" t="s">
        <v>242</v>
      </c>
      <c r="AW88" s="205" t="s">
        <v>482</v>
      </c>
      <c r="AY88" s="205" t="s">
        <v>239</v>
      </c>
      <c r="AZ88" s="205" t="s">
        <v>2926</v>
      </c>
      <c r="BA88" s="205" t="s">
        <v>244</v>
      </c>
      <c r="BB88" s="205" t="s">
        <v>244</v>
      </c>
      <c r="BD88" s="205" t="s">
        <v>239</v>
      </c>
      <c r="BE88" s="205" t="s">
        <v>446</v>
      </c>
      <c r="BF88" s="205" t="s">
        <v>457</v>
      </c>
      <c r="BH88" s="205" t="s">
        <v>456</v>
      </c>
      <c r="BI88" s="202">
        <v>93</v>
      </c>
      <c r="BJ88" s="201">
        <v>42292</v>
      </c>
      <c r="BK88" s="203" t="s">
        <v>395</v>
      </c>
      <c r="BM88" s="205">
        <v>42</v>
      </c>
    </row>
    <row r="89" spans="1:65" x14ac:dyDescent="0.25">
      <c r="A89" s="205" t="s">
        <v>1708</v>
      </c>
      <c r="B89" s="205" t="s">
        <v>2927</v>
      </c>
      <c r="C89" s="205" t="s">
        <v>2054</v>
      </c>
      <c r="D89" s="205" t="s">
        <v>2055</v>
      </c>
      <c r="E89" s="201">
        <v>42282</v>
      </c>
      <c r="F89" s="205" t="s">
        <v>2056</v>
      </c>
      <c r="G89" s="205" t="s">
        <v>232</v>
      </c>
      <c r="H89" s="205" t="s">
        <v>2057</v>
      </c>
      <c r="I89" s="205" t="s">
        <v>2058</v>
      </c>
      <c r="J89" s="205" t="s">
        <v>2059</v>
      </c>
      <c r="K89" s="205" t="s">
        <v>464</v>
      </c>
      <c r="L89" s="205" t="s">
        <v>465</v>
      </c>
      <c r="M89" s="205" t="s">
        <v>466</v>
      </c>
      <c r="O89" s="200" t="s">
        <v>345</v>
      </c>
      <c r="P89" s="200" t="s">
        <v>2060</v>
      </c>
      <c r="Q89" s="205" t="s">
        <v>466</v>
      </c>
      <c r="R89" s="202">
        <v>94</v>
      </c>
      <c r="U89" s="205" t="s">
        <v>456</v>
      </c>
      <c r="W89" s="205" t="s">
        <v>234</v>
      </c>
      <c r="X89" s="205" t="s">
        <v>300</v>
      </c>
      <c r="Y89" s="200" t="s">
        <v>340</v>
      </c>
      <c r="Z89" s="205" t="s">
        <v>2061</v>
      </c>
      <c r="AA89" s="200" t="s">
        <v>276</v>
      </c>
      <c r="AB89" s="205" t="s">
        <v>2062</v>
      </c>
      <c r="AC89" s="200" t="s">
        <v>380</v>
      </c>
      <c r="AD89" s="205" t="s">
        <v>2063</v>
      </c>
      <c r="AE89" s="205" t="s">
        <v>232</v>
      </c>
      <c r="AF89" s="205" t="s">
        <v>2064</v>
      </c>
      <c r="AG89" s="205" t="s">
        <v>239</v>
      </c>
      <c r="AH89" s="205" t="s">
        <v>239</v>
      </c>
      <c r="AI89" s="205" t="s">
        <v>2065</v>
      </c>
      <c r="AJ89" s="205" t="s">
        <v>2066</v>
      </c>
      <c r="AK89" s="205" t="s">
        <v>2067</v>
      </c>
      <c r="AL89" s="205" t="s">
        <v>239</v>
      </c>
      <c r="AM89" s="205" t="s">
        <v>239</v>
      </c>
      <c r="AN89" s="205" t="s">
        <v>239</v>
      </c>
      <c r="AO89" s="200" t="s">
        <v>235</v>
      </c>
      <c r="AP89" s="200" t="s">
        <v>235</v>
      </c>
      <c r="AQ89" s="200" t="s">
        <v>235</v>
      </c>
      <c r="AR89" s="200" t="s">
        <v>235</v>
      </c>
      <c r="AS89" s="200" t="s">
        <v>299</v>
      </c>
      <c r="AT89" s="200" t="s">
        <v>299</v>
      </c>
      <c r="AU89" s="200" t="s">
        <v>299</v>
      </c>
      <c r="AV89" s="205" t="s">
        <v>242</v>
      </c>
      <c r="AW89" s="205" t="s">
        <v>482</v>
      </c>
      <c r="AY89" s="205" t="s">
        <v>239</v>
      </c>
      <c r="AZ89" s="205" t="s">
        <v>2068</v>
      </c>
      <c r="BA89" s="205" t="s">
        <v>244</v>
      </c>
      <c r="BB89" s="205" t="s">
        <v>2069</v>
      </c>
      <c r="BC89" s="200" t="s">
        <v>256</v>
      </c>
      <c r="BD89" s="205" t="s">
        <v>239</v>
      </c>
      <c r="BE89" s="205" t="s">
        <v>446</v>
      </c>
      <c r="BF89" s="205" t="s">
        <v>457</v>
      </c>
      <c r="BH89" s="205" t="s">
        <v>456</v>
      </c>
      <c r="BI89" s="202">
        <v>94</v>
      </c>
      <c r="BK89" s="203" t="s">
        <v>289</v>
      </c>
    </row>
    <row r="90" spans="1:65" x14ac:dyDescent="0.25">
      <c r="A90" s="205" t="s">
        <v>2387</v>
      </c>
      <c r="B90" s="205" t="s">
        <v>2928</v>
      </c>
      <c r="C90" s="205" t="s">
        <v>2118</v>
      </c>
      <c r="D90" s="205" t="s">
        <v>2119</v>
      </c>
      <c r="E90" s="201">
        <v>42282</v>
      </c>
      <c r="F90" s="205" t="s">
        <v>2120</v>
      </c>
      <c r="G90" s="205" t="s">
        <v>232</v>
      </c>
      <c r="H90" s="205" t="s">
        <v>2121</v>
      </c>
      <c r="I90" s="205" t="s">
        <v>2122</v>
      </c>
      <c r="K90" s="205" t="s">
        <v>453</v>
      </c>
      <c r="L90" s="205" t="s">
        <v>454</v>
      </c>
      <c r="M90" s="205" t="s">
        <v>462</v>
      </c>
      <c r="O90" s="200" t="s">
        <v>252</v>
      </c>
      <c r="P90" s="200" t="s">
        <v>2123</v>
      </c>
      <c r="Q90" s="205" t="s">
        <v>462</v>
      </c>
      <c r="R90" s="202">
        <v>95</v>
      </c>
      <c r="U90" s="205" t="s">
        <v>456</v>
      </c>
      <c r="W90" s="205" t="s">
        <v>234</v>
      </c>
      <c r="X90" s="205" t="s">
        <v>300</v>
      </c>
      <c r="Y90" s="200" t="s">
        <v>550</v>
      </c>
      <c r="Z90" s="205" t="s">
        <v>2124</v>
      </c>
      <c r="AA90" s="200" t="s">
        <v>277</v>
      </c>
      <c r="AB90" s="205" t="s">
        <v>2125</v>
      </c>
      <c r="AC90" s="200" t="s">
        <v>333</v>
      </c>
      <c r="AD90" s="205" t="s">
        <v>2126</v>
      </c>
      <c r="AE90" s="205" t="s">
        <v>232</v>
      </c>
      <c r="AF90" s="205" t="s">
        <v>2127</v>
      </c>
      <c r="AG90" s="205" t="s">
        <v>239</v>
      </c>
      <c r="AH90" s="205" t="s">
        <v>239</v>
      </c>
      <c r="AI90" s="205" t="s">
        <v>2128</v>
      </c>
      <c r="AJ90" s="205" t="s">
        <v>2129</v>
      </c>
      <c r="AK90" s="205" t="s">
        <v>2130</v>
      </c>
      <c r="AL90" s="205" t="s">
        <v>2131</v>
      </c>
      <c r="AM90" s="205" t="s">
        <v>239</v>
      </c>
      <c r="AN90" s="205" t="s">
        <v>239</v>
      </c>
      <c r="AO90" s="200" t="s">
        <v>235</v>
      </c>
      <c r="AP90" s="200" t="s">
        <v>235</v>
      </c>
      <c r="AQ90" s="200" t="s">
        <v>235</v>
      </c>
      <c r="AR90" s="200" t="s">
        <v>235</v>
      </c>
      <c r="AS90" s="200" t="s">
        <v>299</v>
      </c>
      <c r="AT90" s="200" t="s">
        <v>299</v>
      </c>
      <c r="AU90" s="200" t="s">
        <v>299</v>
      </c>
      <c r="AV90" s="205" t="s">
        <v>242</v>
      </c>
      <c r="AW90" s="205" t="s">
        <v>482</v>
      </c>
      <c r="AY90" s="205" t="s">
        <v>239</v>
      </c>
      <c r="AZ90" s="205" t="s">
        <v>2132</v>
      </c>
      <c r="BA90" s="205" t="s">
        <v>244</v>
      </c>
      <c r="BB90" s="205" t="s">
        <v>244</v>
      </c>
      <c r="BC90" s="200" t="s">
        <v>256</v>
      </c>
      <c r="BD90" s="205" t="s">
        <v>239</v>
      </c>
      <c r="BE90" s="205" t="s">
        <v>446</v>
      </c>
      <c r="BF90" s="205" t="s">
        <v>457</v>
      </c>
      <c r="BH90" s="205" t="s">
        <v>456</v>
      </c>
      <c r="BI90" s="202">
        <v>95</v>
      </c>
      <c r="BK90" s="203" t="s">
        <v>289</v>
      </c>
    </row>
    <row r="91" spans="1:65" x14ac:dyDescent="0.25">
      <c r="A91" s="205" t="s">
        <v>2387</v>
      </c>
      <c r="B91" s="205" t="s">
        <v>2929</v>
      </c>
      <c r="C91" s="205" t="s">
        <v>584</v>
      </c>
      <c r="D91" s="205" t="s">
        <v>585</v>
      </c>
      <c r="E91" s="201">
        <v>42282</v>
      </c>
      <c r="F91" s="205" t="s">
        <v>572</v>
      </c>
      <c r="G91" s="205" t="s">
        <v>232</v>
      </c>
      <c r="H91" s="205" t="s">
        <v>586</v>
      </c>
      <c r="I91" s="205" t="s">
        <v>587</v>
      </c>
      <c r="K91" s="205" t="s">
        <v>453</v>
      </c>
      <c r="L91" s="205" t="s">
        <v>461</v>
      </c>
      <c r="M91" s="205" t="s">
        <v>470</v>
      </c>
      <c r="O91" s="200" t="s">
        <v>267</v>
      </c>
      <c r="P91" s="200" t="s">
        <v>588</v>
      </c>
      <c r="Q91" s="205" t="s">
        <v>470</v>
      </c>
      <c r="R91" s="202">
        <v>96</v>
      </c>
      <c r="U91" s="205" t="s">
        <v>456</v>
      </c>
      <c r="W91" s="205" t="s">
        <v>234</v>
      </c>
      <c r="X91" s="205" t="s">
        <v>309</v>
      </c>
      <c r="Z91" s="205" t="s">
        <v>238</v>
      </c>
      <c r="AB91" s="205" t="s">
        <v>238</v>
      </c>
      <c r="AD91" s="205" t="s">
        <v>238</v>
      </c>
      <c r="AE91" s="205" t="s">
        <v>232</v>
      </c>
      <c r="AF91" s="205" t="s">
        <v>2930</v>
      </c>
      <c r="AG91" s="205" t="s">
        <v>2931</v>
      </c>
      <c r="AH91" s="205" t="s">
        <v>239</v>
      </c>
      <c r="AI91" s="205" t="s">
        <v>2932</v>
      </c>
      <c r="AJ91" s="205" t="s">
        <v>2933</v>
      </c>
      <c r="AK91" s="205" t="s">
        <v>2934</v>
      </c>
      <c r="AL91" s="205" t="s">
        <v>239</v>
      </c>
      <c r="AM91" s="205" t="s">
        <v>239</v>
      </c>
      <c r="AN91" s="205" t="s">
        <v>239</v>
      </c>
      <c r="AO91" s="200" t="s">
        <v>239</v>
      </c>
      <c r="AP91" s="200" t="s">
        <v>239</v>
      </c>
      <c r="AQ91" s="200" t="s">
        <v>239</v>
      </c>
      <c r="AR91" s="200" t="s">
        <v>235</v>
      </c>
      <c r="AS91" s="200" t="s">
        <v>262</v>
      </c>
      <c r="AT91" s="200" t="s">
        <v>241</v>
      </c>
      <c r="AU91" s="200" t="s">
        <v>299</v>
      </c>
      <c r="AV91" s="205" t="s">
        <v>242</v>
      </c>
      <c r="AW91" s="205" t="s">
        <v>482</v>
      </c>
      <c r="AY91" s="205" t="s">
        <v>239</v>
      </c>
      <c r="AZ91" s="205" t="s">
        <v>589</v>
      </c>
      <c r="BA91" s="205" t="s">
        <v>244</v>
      </c>
      <c r="BB91" s="205" t="s">
        <v>244</v>
      </c>
      <c r="BD91" s="205" t="s">
        <v>239</v>
      </c>
      <c r="BE91" s="205" t="s">
        <v>446</v>
      </c>
      <c r="BF91" s="205" t="s">
        <v>457</v>
      </c>
      <c r="BH91" s="205" t="s">
        <v>456</v>
      </c>
      <c r="BI91" s="202">
        <v>96</v>
      </c>
      <c r="BJ91" s="201">
        <v>42294</v>
      </c>
      <c r="BK91" s="203" t="s">
        <v>301</v>
      </c>
      <c r="BM91" s="205">
        <v>42</v>
      </c>
    </row>
    <row r="92" spans="1:65" x14ac:dyDescent="0.25">
      <c r="A92" s="205" t="s">
        <v>2387</v>
      </c>
      <c r="B92" s="205" t="s">
        <v>2935</v>
      </c>
      <c r="C92" s="205" t="s">
        <v>2134</v>
      </c>
      <c r="D92" s="205" t="s">
        <v>2135</v>
      </c>
      <c r="E92" s="201">
        <v>42282</v>
      </c>
      <c r="F92" s="205" t="s">
        <v>2136</v>
      </c>
      <c r="G92" s="205" t="s">
        <v>232</v>
      </c>
      <c r="H92" s="205" t="s">
        <v>2137</v>
      </c>
      <c r="I92" s="205" t="s">
        <v>2138</v>
      </c>
      <c r="J92" s="205" t="s">
        <v>480</v>
      </c>
      <c r="K92" s="205" t="s">
        <v>447</v>
      </c>
      <c r="L92" s="205" t="s">
        <v>448</v>
      </c>
      <c r="M92" s="205" t="s">
        <v>449</v>
      </c>
      <c r="O92" s="200" t="s">
        <v>246</v>
      </c>
      <c r="P92" s="200" t="s">
        <v>2139</v>
      </c>
      <c r="Q92" s="205" t="s">
        <v>449</v>
      </c>
      <c r="R92" s="202">
        <v>97</v>
      </c>
      <c r="U92" s="205" t="s">
        <v>456</v>
      </c>
      <c r="W92" s="205" t="s">
        <v>234</v>
      </c>
      <c r="X92" s="205" t="s">
        <v>265</v>
      </c>
      <c r="Y92" s="200" t="s">
        <v>515</v>
      </c>
      <c r="Z92" s="205" t="s">
        <v>678</v>
      </c>
      <c r="AA92" s="200" t="s">
        <v>517</v>
      </c>
      <c r="AB92" s="205" t="s">
        <v>2140</v>
      </c>
      <c r="AC92" s="200" t="s">
        <v>325</v>
      </c>
      <c r="AD92" s="205" t="s">
        <v>678</v>
      </c>
      <c r="AE92" s="205" t="s">
        <v>232</v>
      </c>
      <c r="AF92" s="205" t="s">
        <v>2141</v>
      </c>
      <c r="AG92" s="205" t="s">
        <v>239</v>
      </c>
      <c r="AH92" s="205" t="s">
        <v>239</v>
      </c>
      <c r="AI92" s="205" t="s">
        <v>2142</v>
      </c>
      <c r="AJ92" s="205" t="s">
        <v>2143</v>
      </c>
      <c r="AK92" s="205" t="s">
        <v>2144</v>
      </c>
      <c r="AL92" s="205" t="s">
        <v>239</v>
      </c>
      <c r="AM92" s="205" t="s">
        <v>239</v>
      </c>
      <c r="AN92" s="205" t="s">
        <v>239</v>
      </c>
      <c r="AO92" s="200" t="s">
        <v>235</v>
      </c>
      <c r="AP92" s="200" t="s">
        <v>235</v>
      </c>
      <c r="AQ92" s="200" t="s">
        <v>235</v>
      </c>
      <c r="AR92" s="200" t="s">
        <v>235</v>
      </c>
      <c r="AS92" s="200" t="s">
        <v>299</v>
      </c>
      <c r="AT92" s="200" t="s">
        <v>299</v>
      </c>
      <c r="AU92" s="200" t="s">
        <v>299</v>
      </c>
      <c r="AV92" s="205" t="s">
        <v>242</v>
      </c>
      <c r="AW92" s="205" t="s">
        <v>482</v>
      </c>
      <c r="AY92" s="205" t="s">
        <v>239</v>
      </c>
      <c r="AZ92" s="205" t="s">
        <v>2145</v>
      </c>
      <c r="BA92" s="205" t="s">
        <v>244</v>
      </c>
      <c r="BB92" s="205" t="s">
        <v>244</v>
      </c>
      <c r="BD92" s="205" t="s">
        <v>239</v>
      </c>
      <c r="BE92" s="205" t="s">
        <v>446</v>
      </c>
      <c r="BF92" s="205" t="s">
        <v>457</v>
      </c>
      <c r="BH92" s="205" t="s">
        <v>456</v>
      </c>
      <c r="BI92" s="202">
        <v>97</v>
      </c>
      <c r="BK92" s="203" t="s">
        <v>289</v>
      </c>
    </row>
    <row r="93" spans="1:65" x14ac:dyDescent="0.25">
      <c r="A93" s="205" t="s">
        <v>2525</v>
      </c>
      <c r="B93" s="205" t="s">
        <v>2936</v>
      </c>
      <c r="C93" s="205" t="s">
        <v>2937</v>
      </c>
      <c r="D93" s="205" t="s">
        <v>2938</v>
      </c>
      <c r="E93" s="201">
        <v>42282</v>
      </c>
      <c r="F93" s="205" t="s">
        <v>354</v>
      </c>
      <c r="G93" s="205" t="s">
        <v>232</v>
      </c>
      <c r="H93" s="205" t="s">
        <v>2939</v>
      </c>
      <c r="I93" s="205" t="s">
        <v>2940</v>
      </c>
      <c r="K93" s="205" t="s">
        <v>447</v>
      </c>
      <c r="L93" s="205" t="s">
        <v>448</v>
      </c>
      <c r="M93" s="205" t="s">
        <v>449</v>
      </c>
      <c r="O93" s="200" t="s">
        <v>288</v>
      </c>
      <c r="P93" s="200" t="s">
        <v>2941</v>
      </c>
      <c r="Q93" s="205" t="s">
        <v>449</v>
      </c>
      <c r="R93" s="202">
        <v>98</v>
      </c>
      <c r="U93" s="205" t="s">
        <v>456</v>
      </c>
      <c r="W93" s="205" t="s">
        <v>234</v>
      </c>
      <c r="X93" s="205" t="s">
        <v>291</v>
      </c>
      <c r="Y93" s="200" t="s">
        <v>336</v>
      </c>
      <c r="Z93" s="205" t="s">
        <v>284</v>
      </c>
      <c r="AA93" s="200" t="s">
        <v>351</v>
      </c>
      <c r="AB93" s="205" t="s">
        <v>364</v>
      </c>
      <c r="AC93" s="200" t="s">
        <v>1351</v>
      </c>
      <c r="AD93" s="205" t="s">
        <v>2942</v>
      </c>
      <c r="AE93" s="205" t="s">
        <v>232</v>
      </c>
      <c r="AF93" s="205" t="s">
        <v>2943</v>
      </c>
      <c r="AG93" s="205" t="s">
        <v>239</v>
      </c>
      <c r="AH93" s="205" t="s">
        <v>239</v>
      </c>
      <c r="AI93" s="205" t="s">
        <v>2944</v>
      </c>
      <c r="AJ93" s="205" t="s">
        <v>2945</v>
      </c>
      <c r="AK93" s="205" t="s">
        <v>2946</v>
      </c>
      <c r="AL93" s="205" t="s">
        <v>2947</v>
      </c>
      <c r="AM93" s="205" t="s">
        <v>239</v>
      </c>
      <c r="AN93" s="205" t="s">
        <v>239</v>
      </c>
      <c r="AO93" s="200" t="s">
        <v>239</v>
      </c>
      <c r="AP93" s="200" t="s">
        <v>239</v>
      </c>
      <c r="AQ93" s="200" t="s">
        <v>239</v>
      </c>
      <c r="AR93" s="200" t="s">
        <v>235</v>
      </c>
      <c r="AS93" s="200" t="s">
        <v>262</v>
      </c>
      <c r="AT93" s="200" t="s">
        <v>241</v>
      </c>
      <c r="AU93" s="200" t="s">
        <v>299</v>
      </c>
      <c r="AV93" s="205" t="s">
        <v>242</v>
      </c>
      <c r="AW93" s="205" t="s">
        <v>482</v>
      </c>
      <c r="AY93" s="205" t="s">
        <v>239</v>
      </c>
      <c r="AZ93" s="205" t="s">
        <v>2948</v>
      </c>
      <c r="BA93" s="205" t="s">
        <v>244</v>
      </c>
      <c r="BB93" s="205" t="s">
        <v>244</v>
      </c>
      <c r="BD93" s="205" t="s">
        <v>239</v>
      </c>
      <c r="BE93" s="205" t="s">
        <v>446</v>
      </c>
      <c r="BF93" s="205" t="s">
        <v>457</v>
      </c>
      <c r="BH93" s="205" t="s">
        <v>456</v>
      </c>
      <c r="BI93" s="202">
        <v>98</v>
      </c>
      <c r="BJ93" s="201">
        <v>42296</v>
      </c>
      <c r="BK93" s="203" t="s">
        <v>301</v>
      </c>
    </row>
    <row r="94" spans="1:65" x14ac:dyDescent="0.25">
      <c r="A94" s="205" t="s">
        <v>2525</v>
      </c>
      <c r="B94" s="205" t="s">
        <v>2949</v>
      </c>
      <c r="C94" s="205" t="s">
        <v>2195</v>
      </c>
      <c r="D94" s="205" t="s">
        <v>2196</v>
      </c>
      <c r="E94" s="201">
        <v>42282</v>
      </c>
      <c r="F94" s="205" t="s">
        <v>2197</v>
      </c>
      <c r="G94" s="205" t="s">
        <v>232</v>
      </c>
      <c r="H94" s="205" t="s">
        <v>2198</v>
      </c>
      <c r="I94" s="205" t="s">
        <v>2199</v>
      </c>
      <c r="J94" s="205" t="s">
        <v>2200</v>
      </c>
      <c r="K94" s="205" t="s">
        <v>453</v>
      </c>
      <c r="L94" s="205" t="s">
        <v>461</v>
      </c>
      <c r="M94" s="205" t="s">
        <v>460</v>
      </c>
      <c r="O94" s="200" t="s">
        <v>377</v>
      </c>
      <c r="P94" s="200" t="s">
        <v>2201</v>
      </c>
      <c r="Q94" s="205" t="s">
        <v>460</v>
      </c>
      <c r="R94" s="202">
        <v>99</v>
      </c>
      <c r="U94" s="205" t="s">
        <v>456</v>
      </c>
      <c r="W94" s="205" t="s">
        <v>234</v>
      </c>
      <c r="X94" s="205" t="s">
        <v>235</v>
      </c>
      <c r="Y94" s="200" t="s">
        <v>340</v>
      </c>
      <c r="Z94" s="205" t="s">
        <v>2202</v>
      </c>
      <c r="AA94" s="200" t="s">
        <v>297</v>
      </c>
      <c r="AB94" s="205" t="s">
        <v>859</v>
      </c>
      <c r="AC94" s="200" t="s">
        <v>380</v>
      </c>
      <c r="AD94" s="205" t="s">
        <v>260</v>
      </c>
      <c r="AE94" s="205" t="s">
        <v>232</v>
      </c>
      <c r="AF94" s="205" t="s">
        <v>2203</v>
      </c>
      <c r="AG94" s="205" t="s">
        <v>239</v>
      </c>
      <c r="AH94" s="205" t="s">
        <v>239</v>
      </c>
      <c r="AI94" s="205" t="s">
        <v>2204</v>
      </c>
      <c r="AJ94" s="205" t="s">
        <v>2205</v>
      </c>
      <c r="AK94" s="205" t="s">
        <v>2206</v>
      </c>
      <c r="AL94" s="205" t="s">
        <v>239</v>
      </c>
      <c r="AM94" s="205" t="s">
        <v>239</v>
      </c>
      <c r="AN94" s="205" t="s">
        <v>239</v>
      </c>
      <c r="AO94" s="200" t="s">
        <v>235</v>
      </c>
      <c r="AP94" s="200" t="s">
        <v>235</v>
      </c>
      <c r="AQ94" s="200" t="s">
        <v>239</v>
      </c>
      <c r="AR94" s="200" t="s">
        <v>235</v>
      </c>
      <c r="AS94" s="200" t="s">
        <v>299</v>
      </c>
      <c r="AT94" s="200" t="s">
        <v>241</v>
      </c>
      <c r="AU94" s="200" t="s">
        <v>299</v>
      </c>
      <c r="AV94" s="205" t="s">
        <v>242</v>
      </c>
      <c r="AW94" s="205" t="s">
        <v>482</v>
      </c>
      <c r="AX94" s="200" t="s">
        <v>2207</v>
      </c>
      <c r="AY94" s="205" t="s">
        <v>243</v>
      </c>
      <c r="AZ94" s="205" t="s">
        <v>2208</v>
      </c>
      <c r="BA94" s="205" t="s">
        <v>2209</v>
      </c>
      <c r="BB94" s="205" t="s">
        <v>2210</v>
      </c>
      <c r="BD94" s="205" t="s">
        <v>239</v>
      </c>
      <c r="BE94" s="205" t="s">
        <v>446</v>
      </c>
      <c r="BF94" s="205" t="s">
        <v>457</v>
      </c>
      <c r="BH94" s="205" t="s">
        <v>456</v>
      </c>
      <c r="BI94" s="202">
        <v>99</v>
      </c>
      <c r="BK94" s="203" t="s">
        <v>289</v>
      </c>
    </row>
    <row r="95" spans="1:65" x14ac:dyDescent="0.25">
      <c r="A95" s="205" t="s">
        <v>2525</v>
      </c>
      <c r="B95" s="205" t="s">
        <v>2950</v>
      </c>
      <c r="C95" s="205" t="s">
        <v>2302</v>
      </c>
      <c r="D95" s="205" t="s">
        <v>2303</v>
      </c>
      <c r="E95" s="201">
        <v>42282</v>
      </c>
      <c r="F95" s="205" t="s">
        <v>2304</v>
      </c>
      <c r="G95" s="205" t="s">
        <v>232</v>
      </c>
      <c r="H95" s="205" t="s">
        <v>2305</v>
      </c>
      <c r="I95" s="205" t="s">
        <v>2306</v>
      </c>
      <c r="J95" s="205" t="s">
        <v>2307</v>
      </c>
      <c r="K95" s="205" t="s">
        <v>453</v>
      </c>
      <c r="L95" s="205" t="s">
        <v>461</v>
      </c>
      <c r="M95" s="205" t="s">
        <v>462</v>
      </c>
      <c r="O95" s="200" t="s">
        <v>2308</v>
      </c>
      <c r="P95" s="200" t="s">
        <v>2309</v>
      </c>
      <c r="Q95" s="205" t="s">
        <v>462</v>
      </c>
      <c r="R95" s="202">
        <v>100</v>
      </c>
      <c r="U95" s="205" t="s">
        <v>456</v>
      </c>
      <c r="W95" s="205" t="s">
        <v>234</v>
      </c>
      <c r="X95" s="205" t="s">
        <v>400</v>
      </c>
      <c r="Y95" s="200" t="s">
        <v>1117</v>
      </c>
      <c r="Z95" s="205" t="s">
        <v>260</v>
      </c>
      <c r="AA95" s="200" t="s">
        <v>425</v>
      </c>
      <c r="AB95" s="205" t="s">
        <v>2310</v>
      </c>
      <c r="AC95" s="200" t="s">
        <v>428</v>
      </c>
      <c r="AD95" s="205" t="s">
        <v>2311</v>
      </c>
      <c r="AE95" s="205" t="s">
        <v>232</v>
      </c>
      <c r="AF95" s="205" t="s">
        <v>2312</v>
      </c>
      <c r="AG95" s="205" t="s">
        <v>239</v>
      </c>
      <c r="AH95" s="205" t="s">
        <v>239</v>
      </c>
      <c r="AI95" s="205" t="s">
        <v>2313</v>
      </c>
      <c r="AJ95" s="205" t="s">
        <v>2314</v>
      </c>
      <c r="AK95" s="205" t="s">
        <v>239</v>
      </c>
      <c r="AL95" s="205" t="s">
        <v>239</v>
      </c>
      <c r="AM95" s="205" t="s">
        <v>2315</v>
      </c>
      <c r="AN95" s="205" t="s">
        <v>239</v>
      </c>
      <c r="AO95" s="200" t="s">
        <v>235</v>
      </c>
      <c r="AP95" s="200" t="s">
        <v>235</v>
      </c>
      <c r="AQ95" s="200" t="s">
        <v>235</v>
      </c>
      <c r="AR95" s="200" t="s">
        <v>235</v>
      </c>
      <c r="AS95" s="200" t="s">
        <v>299</v>
      </c>
      <c r="AT95" s="200" t="s">
        <v>299</v>
      </c>
      <c r="AU95" s="200" t="s">
        <v>299</v>
      </c>
      <c r="AV95" s="205" t="s">
        <v>242</v>
      </c>
      <c r="AW95" s="205" t="s">
        <v>482</v>
      </c>
      <c r="AX95" s="200" t="s">
        <v>2316</v>
      </c>
      <c r="AY95" s="205" t="s">
        <v>272</v>
      </c>
      <c r="AZ95" s="205" t="s">
        <v>2317</v>
      </c>
      <c r="BA95" s="205" t="s">
        <v>244</v>
      </c>
      <c r="BB95" s="205" t="s">
        <v>244</v>
      </c>
      <c r="BC95" s="200" t="s">
        <v>256</v>
      </c>
      <c r="BD95" s="205" t="s">
        <v>239</v>
      </c>
      <c r="BE95" s="205" t="s">
        <v>446</v>
      </c>
      <c r="BF95" s="205" t="s">
        <v>457</v>
      </c>
      <c r="BH95" s="205" t="s">
        <v>456</v>
      </c>
      <c r="BI95" s="202">
        <v>100</v>
      </c>
      <c r="BK95" s="203" t="s">
        <v>289</v>
      </c>
    </row>
    <row r="96" spans="1:65" x14ac:dyDescent="0.25">
      <c r="A96" s="205" t="s">
        <v>2525</v>
      </c>
      <c r="B96" s="205" t="s">
        <v>2951</v>
      </c>
      <c r="C96" s="205" t="s">
        <v>2334</v>
      </c>
      <c r="D96" s="205" t="s">
        <v>2335</v>
      </c>
      <c r="E96" s="201">
        <v>42282</v>
      </c>
      <c r="F96" s="205" t="s">
        <v>250</v>
      </c>
      <c r="G96" s="205" t="s">
        <v>232</v>
      </c>
      <c r="H96" s="205" t="s">
        <v>2336</v>
      </c>
      <c r="I96" s="205" t="s">
        <v>2337</v>
      </c>
      <c r="J96" s="205" t="s">
        <v>635</v>
      </c>
      <c r="K96" s="205" t="s">
        <v>447</v>
      </c>
      <c r="L96" s="205" t="s">
        <v>448</v>
      </c>
      <c r="M96" s="205" t="s">
        <v>449</v>
      </c>
      <c r="O96" s="200" t="s">
        <v>513</v>
      </c>
      <c r="P96" s="200" t="s">
        <v>2338</v>
      </c>
      <c r="Q96" s="205" t="s">
        <v>449</v>
      </c>
      <c r="R96" s="202">
        <v>101</v>
      </c>
      <c r="U96" s="205" t="s">
        <v>456</v>
      </c>
      <c r="W96" s="205" t="s">
        <v>234</v>
      </c>
      <c r="X96" s="205" t="s">
        <v>243</v>
      </c>
      <c r="Z96" s="205" t="s">
        <v>238</v>
      </c>
      <c r="AB96" s="205" t="s">
        <v>238</v>
      </c>
      <c r="AD96" s="205" t="s">
        <v>238</v>
      </c>
      <c r="AE96" s="205" t="s">
        <v>232</v>
      </c>
      <c r="AF96" s="205" t="s">
        <v>2339</v>
      </c>
      <c r="AG96" s="205" t="s">
        <v>239</v>
      </c>
      <c r="AH96" s="205" t="s">
        <v>239</v>
      </c>
      <c r="AI96" s="205" t="s">
        <v>2340</v>
      </c>
      <c r="AJ96" s="205" t="s">
        <v>2341</v>
      </c>
      <c r="AK96" s="205" t="s">
        <v>2342</v>
      </c>
      <c r="AL96" s="205" t="s">
        <v>239</v>
      </c>
      <c r="AM96" s="205" t="s">
        <v>239</v>
      </c>
      <c r="AN96" s="205" t="s">
        <v>239</v>
      </c>
      <c r="AO96" s="200" t="s">
        <v>235</v>
      </c>
      <c r="AP96" s="200" t="s">
        <v>239</v>
      </c>
      <c r="AQ96" s="200" t="s">
        <v>235</v>
      </c>
      <c r="AR96" s="200" t="s">
        <v>235</v>
      </c>
      <c r="AS96" s="200" t="s">
        <v>299</v>
      </c>
      <c r="AT96" s="200" t="s">
        <v>299</v>
      </c>
      <c r="AU96" s="200" t="s">
        <v>299</v>
      </c>
      <c r="AV96" s="205" t="s">
        <v>242</v>
      </c>
      <c r="AW96" s="205" t="s">
        <v>482</v>
      </c>
      <c r="AY96" s="205" t="s">
        <v>239</v>
      </c>
      <c r="AZ96" s="205" t="s">
        <v>2343</v>
      </c>
      <c r="BA96" s="205" t="s">
        <v>244</v>
      </c>
      <c r="BB96" s="205" t="s">
        <v>244</v>
      </c>
      <c r="BD96" s="205" t="s">
        <v>239</v>
      </c>
      <c r="BE96" s="205" t="s">
        <v>446</v>
      </c>
      <c r="BF96" s="205" t="s">
        <v>457</v>
      </c>
      <c r="BH96" s="205" t="s">
        <v>456</v>
      </c>
      <c r="BI96" s="202">
        <v>101</v>
      </c>
      <c r="BK96" s="203" t="s">
        <v>289</v>
      </c>
    </row>
    <row r="97" spans="1:65" x14ac:dyDescent="0.25">
      <c r="A97" s="205" t="s">
        <v>2525</v>
      </c>
      <c r="B97" s="205" t="s">
        <v>2952</v>
      </c>
      <c r="C97" s="205" t="s">
        <v>2345</v>
      </c>
      <c r="D97" s="205" t="s">
        <v>2346</v>
      </c>
      <c r="E97" s="201">
        <v>42282</v>
      </c>
      <c r="F97" s="205" t="s">
        <v>2347</v>
      </c>
      <c r="G97" s="205" t="s">
        <v>232</v>
      </c>
      <c r="H97" s="205" t="s">
        <v>2348</v>
      </c>
      <c r="I97" s="205" t="s">
        <v>2349</v>
      </c>
      <c r="K97" s="205" t="s">
        <v>453</v>
      </c>
      <c r="L97" s="205" t="s">
        <v>454</v>
      </c>
      <c r="M97" s="205" t="s">
        <v>462</v>
      </c>
      <c r="O97" s="200" t="s">
        <v>267</v>
      </c>
      <c r="P97" s="200" t="s">
        <v>2350</v>
      </c>
      <c r="Q97" s="205" t="s">
        <v>462</v>
      </c>
      <c r="R97" s="202">
        <v>102</v>
      </c>
      <c r="U97" s="205" t="s">
        <v>456</v>
      </c>
      <c r="W97" s="205" t="s">
        <v>234</v>
      </c>
      <c r="X97" s="205" t="s">
        <v>331</v>
      </c>
      <c r="Y97" s="200" t="s">
        <v>624</v>
      </c>
      <c r="Z97" s="205" t="s">
        <v>2351</v>
      </c>
      <c r="AA97" s="200" t="s">
        <v>858</v>
      </c>
      <c r="AB97" s="205" t="s">
        <v>2352</v>
      </c>
      <c r="AC97" s="200" t="s">
        <v>327</v>
      </c>
      <c r="AD97" s="205" t="s">
        <v>370</v>
      </c>
      <c r="AE97" s="205" t="s">
        <v>232</v>
      </c>
      <c r="AF97" s="205" t="s">
        <v>2353</v>
      </c>
      <c r="AG97" s="205" t="s">
        <v>239</v>
      </c>
      <c r="AH97" s="205" t="s">
        <v>239</v>
      </c>
      <c r="AI97" s="205" t="s">
        <v>2354</v>
      </c>
      <c r="AJ97" s="205" t="s">
        <v>2355</v>
      </c>
      <c r="AK97" s="205" t="s">
        <v>2356</v>
      </c>
      <c r="AL97" s="205" t="s">
        <v>239</v>
      </c>
      <c r="AM97" s="205" t="s">
        <v>239</v>
      </c>
      <c r="AN97" s="205" t="s">
        <v>239</v>
      </c>
      <c r="AO97" s="200" t="s">
        <v>235</v>
      </c>
      <c r="AP97" s="200" t="s">
        <v>235</v>
      </c>
      <c r="AQ97" s="200" t="s">
        <v>235</v>
      </c>
      <c r="AR97" s="200" t="s">
        <v>235</v>
      </c>
      <c r="AS97" s="200" t="s">
        <v>299</v>
      </c>
      <c r="AT97" s="200" t="s">
        <v>299</v>
      </c>
      <c r="AU97" s="200" t="s">
        <v>299</v>
      </c>
      <c r="AV97" s="205" t="s">
        <v>242</v>
      </c>
      <c r="AW97" s="205" t="s">
        <v>482</v>
      </c>
      <c r="AX97" s="200" t="s">
        <v>2265</v>
      </c>
      <c r="AY97" s="205" t="s">
        <v>235</v>
      </c>
      <c r="AZ97" s="205" t="s">
        <v>2357</v>
      </c>
      <c r="BA97" s="205" t="s">
        <v>244</v>
      </c>
      <c r="BB97" s="205" t="s">
        <v>244</v>
      </c>
      <c r="BD97" s="205" t="s">
        <v>239</v>
      </c>
      <c r="BE97" s="205" t="s">
        <v>446</v>
      </c>
      <c r="BF97" s="205" t="s">
        <v>457</v>
      </c>
      <c r="BH97" s="205" t="s">
        <v>456</v>
      </c>
      <c r="BI97" s="202">
        <v>102</v>
      </c>
      <c r="BK97" s="203" t="s">
        <v>289</v>
      </c>
    </row>
    <row r="98" spans="1:65" x14ac:dyDescent="0.25">
      <c r="A98" s="205" t="s">
        <v>2525</v>
      </c>
      <c r="B98" s="205" t="s">
        <v>2953</v>
      </c>
      <c r="C98" s="205" t="s">
        <v>2359</v>
      </c>
      <c r="D98" s="205" t="s">
        <v>2360</v>
      </c>
      <c r="E98" s="201">
        <v>42282</v>
      </c>
      <c r="F98" s="205" t="s">
        <v>2361</v>
      </c>
      <c r="G98" s="205" t="s">
        <v>232</v>
      </c>
      <c r="H98" s="205" t="s">
        <v>2362</v>
      </c>
      <c r="I98" s="205" t="s">
        <v>631</v>
      </c>
      <c r="J98" s="205" t="s">
        <v>2363</v>
      </c>
      <c r="K98" s="205" t="s">
        <v>447</v>
      </c>
      <c r="L98" s="205" t="s">
        <v>448</v>
      </c>
      <c r="M98" s="205" t="s">
        <v>449</v>
      </c>
      <c r="O98" s="200" t="s">
        <v>290</v>
      </c>
      <c r="P98" s="200" t="s">
        <v>2364</v>
      </c>
      <c r="Q98" s="205" t="s">
        <v>449</v>
      </c>
      <c r="R98" s="202">
        <v>103</v>
      </c>
      <c r="U98" s="205" t="s">
        <v>456</v>
      </c>
      <c r="W98" s="205" t="s">
        <v>234</v>
      </c>
      <c r="X98" s="205" t="s">
        <v>243</v>
      </c>
      <c r="Y98" s="200" t="s">
        <v>340</v>
      </c>
      <c r="Z98" s="205" t="s">
        <v>2365</v>
      </c>
      <c r="AA98" s="200" t="s">
        <v>279</v>
      </c>
      <c r="AB98" s="205" t="s">
        <v>2366</v>
      </c>
      <c r="AC98" s="200" t="s">
        <v>351</v>
      </c>
      <c r="AD98" s="205" t="s">
        <v>2367</v>
      </c>
      <c r="AE98" s="205" t="s">
        <v>232</v>
      </c>
      <c r="AF98" s="205" t="s">
        <v>2368</v>
      </c>
      <c r="AG98" s="205" t="s">
        <v>239</v>
      </c>
      <c r="AH98" s="205" t="s">
        <v>239</v>
      </c>
      <c r="AI98" s="205" t="s">
        <v>2369</v>
      </c>
      <c r="AJ98" s="205" t="s">
        <v>2370</v>
      </c>
      <c r="AK98" s="205" t="s">
        <v>2371</v>
      </c>
      <c r="AL98" s="205" t="s">
        <v>239</v>
      </c>
      <c r="AM98" s="205" t="s">
        <v>239</v>
      </c>
      <c r="AN98" s="205" t="s">
        <v>239</v>
      </c>
      <c r="AO98" s="200" t="s">
        <v>235</v>
      </c>
      <c r="AP98" s="200" t="s">
        <v>235</v>
      </c>
      <c r="AQ98" s="200" t="s">
        <v>239</v>
      </c>
      <c r="AR98" s="200" t="s">
        <v>235</v>
      </c>
      <c r="AS98" s="200" t="s">
        <v>299</v>
      </c>
      <c r="AT98" s="200" t="s">
        <v>241</v>
      </c>
      <c r="AU98" s="200" t="s">
        <v>299</v>
      </c>
      <c r="AV98" s="205" t="s">
        <v>242</v>
      </c>
      <c r="AW98" s="205" t="s">
        <v>482</v>
      </c>
      <c r="AY98" s="205" t="s">
        <v>239</v>
      </c>
      <c r="AZ98" s="205" t="s">
        <v>2372</v>
      </c>
      <c r="BA98" s="205" t="s">
        <v>244</v>
      </c>
      <c r="BB98" s="205" t="s">
        <v>2373</v>
      </c>
      <c r="BD98" s="205" t="s">
        <v>239</v>
      </c>
      <c r="BE98" s="205" t="s">
        <v>446</v>
      </c>
      <c r="BF98" s="205" t="s">
        <v>457</v>
      </c>
      <c r="BH98" s="205" t="s">
        <v>456</v>
      </c>
      <c r="BI98" s="202">
        <v>103</v>
      </c>
      <c r="BK98" s="203" t="s">
        <v>289</v>
      </c>
    </row>
    <row r="99" spans="1:65" x14ac:dyDescent="0.25">
      <c r="A99" s="205" t="s">
        <v>2525</v>
      </c>
      <c r="B99" s="205" t="s">
        <v>2954</v>
      </c>
      <c r="C99" s="205" t="s">
        <v>2955</v>
      </c>
      <c r="D99" s="205" t="s">
        <v>2956</v>
      </c>
      <c r="E99" s="201">
        <v>42282</v>
      </c>
      <c r="F99" s="205" t="s">
        <v>2957</v>
      </c>
      <c r="G99" s="205" t="s">
        <v>232</v>
      </c>
      <c r="H99" s="205" t="s">
        <v>273</v>
      </c>
      <c r="I99" s="205" t="s">
        <v>2958</v>
      </c>
      <c r="K99" s="205" t="s">
        <v>471</v>
      </c>
      <c r="L99" s="205" t="s">
        <v>472</v>
      </c>
      <c r="M99" s="205" t="s">
        <v>473</v>
      </c>
      <c r="O99" s="200" t="s">
        <v>409</v>
      </c>
      <c r="P99" s="200" t="s">
        <v>2959</v>
      </c>
      <c r="Q99" s="205" t="s">
        <v>473</v>
      </c>
      <c r="R99" s="202">
        <v>104</v>
      </c>
      <c r="U99" s="205" t="s">
        <v>456</v>
      </c>
      <c r="W99" s="205" t="s">
        <v>234</v>
      </c>
      <c r="X99" s="205" t="s">
        <v>363</v>
      </c>
      <c r="Y99" s="200" t="s">
        <v>417</v>
      </c>
      <c r="Z99" s="205" t="s">
        <v>419</v>
      </c>
      <c r="AA99" s="200" t="s">
        <v>297</v>
      </c>
      <c r="AB99" s="205" t="s">
        <v>2960</v>
      </c>
      <c r="AC99" s="200" t="s">
        <v>306</v>
      </c>
      <c r="AD99" s="205" t="s">
        <v>255</v>
      </c>
      <c r="AE99" s="205" t="s">
        <v>232</v>
      </c>
      <c r="AF99" s="205" t="s">
        <v>2961</v>
      </c>
      <c r="AG99" s="205" t="s">
        <v>2962</v>
      </c>
      <c r="AH99" s="205" t="s">
        <v>239</v>
      </c>
      <c r="AI99" s="205" t="s">
        <v>2963</v>
      </c>
      <c r="AJ99" s="205" t="s">
        <v>2964</v>
      </c>
      <c r="AK99" s="205" t="s">
        <v>2965</v>
      </c>
      <c r="AL99" s="205" t="s">
        <v>239</v>
      </c>
      <c r="AM99" s="205" t="s">
        <v>239</v>
      </c>
      <c r="AN99" s="205" t="s">
        <v>239</v>
      </c>
      <c r="AO99" s="200" t="s">
        <v>239</v>
      </c>
      <c r="AP99" s="200" t="s">
        <v>239</v>
      </c>
      <c r="AQ99" s="200" t="s">
        <v>239</v>
      </c>
      <c r="AR99" s="200" t="s">
        <v>235</v>
      </c>
      <c r="AS99" s="200" t="s">
        <v>262</v>
      </c>
      <c r="AT99" s="200" t="s">
        <v>241</v>
      </c>
      <c r="AU99" s="200" t="s">
        <v>299</v>
      </c>
      <c r="AV99" s="205" t="s">
        <v>242</v>
      </c>
      <c r="AW99" s="205" t="s">
        <v>482</v>
      </c>
      <c r="AY99" s="205" t="s">
        <v>239</v>
      </c>
      <c r="AZ99" s="205" t="s">
        <v>244</v>
      </c>
      <c r="BA99" s="205" t="s">
        <v>244</v>
      </c>
      <c r="BB99" s="205" t="s">
        <v>2966</v>
      </c>
      <c r="BD99" s="205" t="s">
        <v>239</v>
      </c>
      <c r="BE99" s="205" t="s">
        <v>446</v>
      </c>
      <c r="BF99" s="205" t="s">
        <v>457</v>
      </c>
      <c r="BH99" s="205" t="s">
        <v>456</v>
      </c>
      <c r="BI99" s="202">
        <v>104</v>
      </c>
      <c r="BJ99" s="201">
        <v>42293</v>
      </c>
      <c r="BK99" s="203" t="s">
        <v>301</v>
      </c>
      <c r="BM99" s="205">
        <v>42</v>
      </c>
    </row>
    <row r="100" spans="1:65" x14ac:dyDescent="0.25">
      <c r="A100" s="205" t="s">
        <v>2691</v>
      </c>
      <c r="B100" s="205" t="s">
        <v>2967</v>
      </c>
      <c r="C100" s="205" t="s">
        <v>2968</v>
      </c>
      <c r="D100" s="205" t="s">
        <v>2969</v>
      </c>
      <c r="E100" s="201">
        <v>42282</v>
      </c>
      <c r="F100" s="205" t="s">
        <v>333</v>
      </c>
      <c r="G100" s="205" t="s">
        <v>232</v>
      </c>
      <c r="H100" s="205" t="s">
        <v>2970</v>
      </c>
      <c r="I100" s="205" t="s">
        <v>2971</v>
      </c>
      <c r="K100" s="205" t="s">
        <v>450</v>
      </c>
      <c r="L100" s="205" t="s">
        <v>451</v>
      </c>
      <c r="M100" s="205" t="s">
        <v>452</v>
      </c>
      <c r="O100" s="200" t="s">
        <v>274</v>
      </c>
      <c r="P100" s="200" t="s">
        <v>2972</v>
      </c>
      <c r="Q100" s="205" t="s">
        <v>452</v>
      </c>
      <c r="R100" s="202">
        <v>105</v>
      </c>
      <c r="U100" s="205" t="s">
        <v>456</v>
      </c>
      <c r="W100" s="205" t="s">
        <v>234</v>
      </c>
      <c r="X100" s="205" t="s">
        <v>309</v>
      </c>
      <c r="Y100" s="200" t="s">
        <v>506</v>
      </c>
      <c r="Z100" s="205" t="s">
        <v>284</v>
      </c>
      <c r="AA100" s="200" t="s">
        <v>296</v>
      </c>
      <c r="AB100" s="205" t="s">
        <v>2973</v>
      </c>
      <c r="AC100" s="200" t="s">
        <v>269</v>
      </c>
      <c r="AD100" s="205" t="s">
        <v>2973</v>
      </c>
      <c r="AE100" s="205" t="s">
        <v>232</v>
      </c>
      <c r="AF100" s="205" t="s">
        <v>2974</v>
      </c>
      <c r="AG100" s="205" t="s">
        <v>2975</v>
      </c>
      <c r="AH100" s="205" t="s">
        <v>239</v>
      </c>
      <c r="AI100" s="205" t="s">
        <v>2976</v>
      </c>
      <c r="AJ100" s="205" t="s">
        <v>2977</v>
      </c>
      <c r="AK100" s="205" t="s">
        <v>2978</v>
      </c>
      <c r="AL100" s="205" t="s">
        <v>239</v>
      </c>
      <c r="AM100" s="205" t="s">
        <v>239</v>
      </c>
      <c r="AN100" s="205" t="s">
        <v>239</v>
      </c>
      <c r="AO100" s="200" t="s">
        <v>239</v>
      </c>
      <c r="AP100" s="200" t="s">
        <v>239</v>
      </c>
      <c r="AQ100" s="200" t="s">
        <v>239</v>
      </c>
      <c r="AR100" s="200" t="s">
        <v>235</v>
      </c>
      <c r="AS100" s="200" t="s">
        <v>262</v>
      </c>
      <c r="AT100" s="200" t="s">
        <v>241</v>
      </c>
      <c r="AU100" s="200" t="s">
        <v>299</v>
      </c>
      <c r="AV100" s="205" t="s">
        <v>242</v>
      </c>
      <c r="AW100" s="205" t="s">
        <v>482</v>
      </c>
      <c r="AY100" s="205" t="s">
        <v>239</v>
      </c>
      <c r="AZ100" s="205" t="s">
        <v>2979</v>
      </c>
      <c r="BA100" s="205" t="s">
        <v>244</v>
      </c>
      <c r="BB100" s="205" t="s">
        <v>244</v>
      </c>
      <c r="BD100" s="205" t="s">
        <v>239</v>
      </c>
      <c r="BE100" s="205" t="s">
        <v>446</v>
      </c>
      <c r="BF100" s="205" t="s">
        <v>457</v>
      </c>
      <c r="BH100" s="205" t="s">
        <v>456</v>
      </c>
      <c r="BI100" s="202">
        <v>105</v>
      </c>
      <c r="BJ100" s="201">
        <v>42292</v>
      </c>
      <c r="BK100" s="203" t="s">
        <v>395</v>
      </c>
      <c r="BM100" s="205">
        <v>42</v>
      </c>
    </row>
    <row r="101" spans="1:65" x14ac:dyDescent="0.25">
      <c r="A101" s="205" t="s">
        <v>2691</v>
      </c>
      <c r="B101" s="205" t="s">
        <v>2980</v>
      </c>
      <c r="C101" s="205" t="s">
        <v>2473</v>
      </c>
      <c r="D101" s="205" t="s">
        <v>2474</v>
      </c>
      <c r="E101" s="201">
        <v>42282</v>
      </c>
      <c r="F101" s="205" t="s">
        <v>2475</v>
      </c>
      <c r="G101" s="205" t="s">
        <v>232</v>
      </c>
      <c r="H101" s="205" t="s">
        <v>2476</v>
      </c>
      <c r="I101" s="205" t="s">
        <v>2477</v>
      </c>
      <c r="J101" s="205" t="s">
        <v>576</v>
      </c>
      <c r="K101" s="205" t="s">
        <v>453</v>
      </c>
      <c r="L101" s="205" t="s">
        <v>448</v>
      </c>
      <c r="M101" s="205" t="s">
        <v>455</v>
      </c>
      <c r="O101" s="200" t="s">
        <v>274</v>
      </c>
      <c r="P101" s="200" t="s">
        <v>2478</v>
      </c>
      <c r="Q101" s="205" t="s">
        <v>455</v>
      </c>
      <c r="R101" s="202">
        <v>106</v>
      </c>
      <c r="U101" s="205" t="s">
        <v>456</v>
      </c>
      <c r="W101" s="205" t="s">
        <v>234</v>
      </c>
      <c r="X101" s="205" t="s">
        <v>332</v>
      </c>
      <c r="Y101" s="200" t="s">
        <v>2387</v>
      </c>
      <c r="Z101" s="205" t="s">
        <v>2479</v>
      </c>
      <c r="AA101" s="200" t="s">
        <v>548</v>
      </c>
      <c r="AB101" s="205" t="s">
        <v>2480</v>
      </c>
      <c r="AC101" s="200" t="s">
        <v>320</v>
      </c>
      <c r="AD101" s="205" t="s">
        <v>2231</v>
      </c>
      <c r="AE101" s="205" t="s">
        <v>232</v>
      </c>
      <c r="AF101" s="205" t="s">
        <v>2481</v>
      </c>
      <c r="AG101" s="205" t="s">
        <v>239</v>
      </c>
      <c r="AH101" s="205" t="s">
        <v>239</v>
      </c>
      <c r="AI101" s="205" t="s">
        <v>2482</v>
      </c>
      <c r="AJ101" s="205" t="s">
        <v>2483</v>
      </c>
      <c r="AK101" s="205" t="s">
        <v>2484</v>
      </c>
      <c r="AL101" s="205" t="s">
        <v>239</v>
      </c>
      <c r="AM101" s="205" t="s">
        <v>239</v>
      </c>
      <c r="AN101" s="205" t="s">
        <v>239</v>
      </c>
      <c r="AO101" s="200" t="s">
        <v>235</v>
      </c>
      <c r="AP101" s="200" t="s">
        <v>235</v>
      </c>
      <c r="AQ101" s="200" t="s">
        <v>235</v>
      </c>
      <c r="AR101" s="200" t="s">
        <v>235</v>
      </c>
      <c r="AS101" s="200" t="s">
        <v>299</v>
      </c>
      <c r="AT101" s="200" t="s">
        <v>299</v>
      </c>
      <c r="AU101" s="200" t="s">
        <v>299</v>
      </c>
      <c r="AV101" s="205" t="s">
        <v>242</v>
      </c>
      <c r="AW101" s="205" t="s">
        <v>482</v>
      </c>
      <c r="AX101" s="200" t="s">
        <v>1582</v>
      </c>
      <c r="AY101" s="205" t="s">
        <v>235</v>
      </c>
      <c r="AZ101" s="205" t="s">
        <v>2485</v>
      </c>
      <c r="BA101" s="205" t="s">
        <v>244</v>
      </c>
      <c r="BB101" s="205" t="s">
        <v>244</v>
      </c>
      <c r="BD101" s="205" t="s">
        <v>239</v>
      </c>
      <c r="BE101" s="205" t="s">
        <v>446</v>
      </c>
      <c r="BF101" s="205" t="s">
        <v>457</v>
      </c>
      <c r="BH101" s="205" t="s">
        <v>456</v>
      </c>
      <c r="BI101" s="202">
        <v>106</v>
      </c>
      <c r="BK101" s="203" t="s">
        <v>289</v>
      </c>
    </row>
    <row r="102" spans="1:65" x14ac:dyDescent="0.25">
      <c r="A102" s="205" t="s">
        <v>2691</v>
      </c>
      <c r="B102" s="205" t="s">
        <v>2981</v>
      </c>
      <c r="C102" s="205" t="s">
        <v>2499</v>
      </c>
      <c r="D102" s="205" t="s">
        <v>2500</v>
      </c>
      <c r="E102" s="201">
        <v>42282</v>
      </c>
      <c r="F102" s="205" t="s">
        <v>2501</v>
      </c>
      <c r="G102" s="205" t="s">
        <v>232</v>
      </c>
      <c r="H102" s="205" t="s">
        <v>2502</v>
      </c>
      <c r="I102" s="205" t="s">
        <v>2503</v>
      </c>
      <c r="K102" s="205" t="s">
        <v>464</v>
      </c>
      <c r="L102" s="205" t="s">
        <v>465</v>
      </c>
      <c r="M102" s="205" t="s">
        <v>466</v>
      </c>
      <c r="O102" s="200" t="s">
        <v>246</v>
      </c>
      <c r="P102" s="200" t="s">
        <v>2504</v>
      </c>
      <c r="Q102" s="205" t="s">
        <v>466</v>
      </c>
      <c r="R102" s="202">
        <v>107</v>
      </c>
      <c r="U102" s="205" t="s">
        <v>456</v>
      </c>
      <c r="W102" s="205" t="s">
        <v>234</v>
      </c>
      <c r="X102" s="205" t="s">
        <v>391</v>
      </c>
      <c r="Y102" s="200" t="s">
        <v>417</v>
      </c>
      <c r="Z102" s="205" t="s">
        <v>2505</v>
      </c>
      <c r="AA102" s="200" t="s">
        <v>308</v>
      </c>
      <c r="AB102" s="205" t="s">
        <v>2506</v>
      </c>
      <c r="AC102" s="200" t="s">
        <v>282</v>
      </c>
      <c r="AD102" s="205" t="s">
        <v>2506</v>
      </c>
      <c r="AE102" s="205" t="s">
        <v>232</v>
      </c>
      <c r="AF102" s="205" t="s">
        <v>2507</v>
      </c>
      <c r="AG102" s="205" t="s">
        <v>239</v>
      </c>
      <c r="AH102" s="205" t="s">
        <v>239</v>
      </c>
      <c r="AI102" s="205" t="s">
        <v>2508</v>
      </c>
      <c r="AJ102" s="205" t="s">
        <v>2509</v>
      </c>
      <c r="AK102" s="205" t="s">
        <v>2510</v>
      </c>
      <c r="AL102" s="205" t="s">
        <v>239</v>
      </c>
      <c r="AM102" s="205" t="s">
        <v>239</v>
      </c>
      <c r="AN102" s="205" t="s">
        <v>239</v>
      </c>
      <c r="AO102" s="200" t="s">
        <v>235</v>
      </c>
      <c r="AP102" s="200" t="s">
        <v>235</v>
      </c>
      <c r="AQ102" s="200" t="s">
        <v>239</v>
      </c>
      <c r="AR102" s="200" t="s">
        <v>235</v>
      </c>
      <c r="AS102" s="200" t="s">
        <v>299</v>
      </c>
      <c r="AT102" s="200" t="s">
        <v>241</v>
      </c>
      <c r="AU102" s="200" t="s">
        <v>299</v>
      </c>
      <c r="AV102" s="205" t="s">
        <v>242</v>
      </c>
      <c r="AW102" s="205" t="s">
        <v>482</v>
      </c>
      <c r="AY102" s="205" t="s">
        <v>239</v>
      </c>
      <c r="AZ102" s="205" t="s">
        <v>2511</v>
      </c>
      <c r="BA102" s="205" t="s">
        <v>244</v>
      </c>
      <c r="BB102" s="205" t="s">
        <v>244</v>
      </c>
      <c r="BD102" s="205" t="s">
        <v>239</v>
      </c>
      <c r="BE102" s="205" t="s">
        <v>446</v>
      </c>
      <c r="BF102" s="205" t="s">
        <v>457</v>
      </c>
      <c r="BH102" s="205" t="s">
        <v>456</v>
      </c>
      <c r="BI102" s="202">
        <v>107</v>
      </c>
      <c r="BK102" s="203" t="s">
        <v>289</v>
      </c>
    </row>
    <row r="103" spans="1:65" x14ac:dyDescent="0.25">
      <c r="C103" s="199"/>
    </row>
    <row r="113" spans="62:64" x14ac:dyDescent="0.25">
      <c r="BJ113" s="205"/>
      <c r="BK113" s="205"/>
      <c r="BL113" s="205"/>
    </row>
    <row r="114" spans="62:64" x14ac:dyDescent="0.25">
      <c r="BJ114" s="205"/>
      <c r="BK114" s="205"/>
      <c r="BL114" s="205"/>
    </row>
    <row r="115" spans="62:64" x14ac:dyDescent="0.25">
      <c r="BJ115" s="205"/>
      <c r="BK115" s="205"/>
      <c r="BL115" s="205"/>
    </row>
    <row r="116" spans="62:64" x14ac:dyDescent="0.25">
      <c r="BJ116" s="205"/>
      <c r="BK116" s="205"/>
      <c r="BL116" s="205"/>
    </row>
    <row r="117" spans="62:64" x14ac:dyDescent="0.25">
      <c r="BJ117" s="205"/>
      <c r="BK117" s="205"/>
      <c r="BL117" s="205"/>
    </row>
    <row r="118" spans="62:64" x14ac:dyDescent="0.25">
      <c r="BJ118" s="205"/>
      <c r="BK118" s="205"/>
      <c r="BL118" s="205"/>
    </row>
    <row r="119" spans="62:64" x14ac:dyDescent="0.25">
      <c r="BJ119" s="205"/>
      <c r="BK119" s="205"/>
      <c r="BL119" s="205"/>
    </row>
    <row r="120" spans="62:64" x14ac:dyDescent="0.25">
      <c r="BJ120" s="205"/>
      <c r="BK120" s="205"/>
      <c r="BL120" s="205"/>
    </row>
    <row r="121" spans="62:64" x14ac:dyDescent="0.25">
      <c r="BJ121" s="205"/>
      <c r="BK121" s="205"/>
      <c r="BL121" s="205"/>
    </row>
    <row r="122" spans="62:64" x14ac:dyDescent="0.25">
      <c r="BJ122" s="205"/>
      <c r="BK122" s="205"/>
      <c r="BL122" s="205"/>
    </row>
    <row r="123" spans="62:64" x14ac:dyDescent="0.25">
      <c r="BJ123" s="205"/>
      <c r="BK123" s="205"/>
      <c r="BL123" s="205"/>
    </row>
    <row r="124" spans="62:64" x14ac:dyDescent="0.25">
      <c r="BJ124" s="205"/>
      <c r="BK124" s="205"/>
      <c r="BL124" s="205"/>
    </row>
    <row r="125" spans="62:64" x14ac:dyDescent="0.25">
      <c r="BJ125" s="205"/>
      <c r="BK125" s="205"/>
      <c r="BL125" s="205"/>
    </row>
    <row r="126" spans="62:64" x14ac:dyDescent="0.25">
      <c r="BJ126" s="205"/>
      <c r="BK126" s="205"/>
      <c r="BL126" s="205"/>
    </row>
    <row r="127" spans="62:64" x14ac:dyDescent="0.25">
      <c r="BJ127" s="205"/>
      <c r="BK127" s="205"/>
      <c r="BL127" s="205"/>
    </row>
    <row r="128" spans="62:64" x14ac:dyDescent="0.25">
      <c r="BJ128" s="205"/>
      <c r="BK128" s="205"/>
      <c r="BL128" s="205"/>
    </row>
    <row r="129" spans="62:64" x14ac:dyDescent="0.25">
      <c r="BJ129" s="205"/>
      <c r="BK129" s="205"/>
      <c r="BL129" s="205"/>
    </row>
    <row r="130" spans="62:64" x14ac:dyDescent="0.25">
      <c r="BJ130" s="205"/>
      <c r="BK130" s="205"/>
      <c r="BL130" s="205"/>
    </row>
    <row r="131" spans="62:64" x14ac:dyDescent="0.25">
      <c r="BJ131" s="205"/>
      <c r="BK131" s="205"/>
      <c r="BL131" s="205"/>
    </row>
    <row r="132" spans="62:64" x14ac:dyDescent="0.25">
      <c r="BJ132" s="205"/>
      <c r="BK132" s="205"/>
      <c r="BL132" s="205"/>
    </row>
    <row r="133" spans="62:64" x14ac:dyDescent="0.25">
      <c r="BJ133" s="205"/>
      <c r="BK133" s="205"/>
      <c r="BL133" s="205"/>
    </row>
    <row r="134" spans="62:64" x14ac:dyDescent="0.25">
      <c r="BJ134" s="205"/>
      <c r="BK134" s="205"/>
      <c r="BL134" s="205"/>
    </row>
    <row r="135" spans="62:64" x14ac:dyDescent="0.25">
      <c r="BJ135" s="205"/>
      <c r="BK135" s="205"/>
      <c r="BL135" s="205"/>
    </row>
    <row r="136" spans="62:64" x14ac:dyDescent="0.25">
      <c r="BJ136" s="205"/>
      <c r="BK136" s="205"/>
      <c r="BL136" s="205"/>
    </row>
    <row r="137" spans="62:64" x14ac:dyDescent="0.25">
      <c r="BJ137" s="205"/>
      <c r="BK137" s="205"/>
      <c r="BL137" s="205"/>
    </row>
    <row r="138" spans="62:64" x14ac:dyDescent="0.25">
      <c r="BJ138" s="205"/>
      <c r="BK138" s="205"/>
      <c r="BL138" s="205"/>
    </row>
    <row r="139" spans="62:64" x14ac:dyDescent="0.25">
      <c r="BJ139" s="205"/>
      <c r="BK139" s="205"/>
      <c r="BL139" s="205"/>
    </row>
    <row r="140" spans="62:64" x14ac:dyDescent="0.25">
      <c r="BJ140" s="205"/>
      <c r="BK140" s="205"/>
      <c r="BL140" s="205"/>
    </row>
    <row r="141" spans="62:64" x14ac:dyDescent="0.25">
      <c r="BJ141" s="205"/>
      <c r="BK141" s="205"/>
      <c r="BL141" s="205"/>
    </row>
    <row r="142" spans="62:64" x14ac:dyDescent="0.25">
      <c r="BJ142" s="205"/>
      <c r="BK142" s="205"/>
      <c r="BL142" s="205"/>
    </row>
    <row r="143" spans="62:64" x14ac:dyDescent="0.25">
      <c r="BJ143" s="205"/>
      <c r="BK143" s="205"/>
      <c r="BL143" s="205"/>
    </row>
    <row r="144" spans="62:64" x14ac:dyDescent="0.25">
      <c r="BJ144" s="205"/>
      <c r="BK144" s="205"/>
      <c r="BL144" s="205"/>
    </row>
    <row r="145" spans="62:64" x14ac:dyDescent="0.25">
      <c r="BJ145" s="205"/>
      <c r="BK145" s="205"/>
      <c r="BL145" s="205"/>
    </row>
    <row r="146" spans="62:64" x14ac:dyDescent="0.25">
      <c r="BJ146" s="205"/>
      <c r="BK146" s="205"/>
      <c r="BL146" s="205"/>
    </row>
    <row r="147" spans="62:64" x14ac:dyDescent="0.25">
      <c r="BJ147" s="205"/>
      <c r="BK147" s="205"/>
      <c r="BL147" s="205"/>
    </row>
    <row r="148" spans="62:64" x14ac:dyDescent="0.25">
      <c r="BJ148" s="205"/>
      <c r="BK148" s="205"/>
      <c r="BL148" s="205"/>
    </row>
    <row r="149" spans="62:64" x14ac:dyDescent="0.25">
      <c r="BJ149" s="205"/>
      <c r="BK149" s="205"/>
      <c r="BL149" s="205"/>
    </row>
    <row r="150" spans="62:64" x14ac:dyDescent="0.25">
      <c r="BJ150" s="205"/>
      <c r="BK150" s="205"/>
      <c r="BL150" s="205"/>
    </row>
    <row r="151" spans="62:64" x14ac:dyDescent="0.25">
      <c r="BJ151" s="205"/>
      <c r="BK151" s="205"/>
      <c r="BL151" s="205"/>
    </row>
    <row r="152" spans="62:64" x14ac:dyDescent="0.25">
      <c r="BJ152" s="205"/>
      <c r="BK152" s="205"/>
      <c r="BL152" s="205"/>
    </row>
    <row r="153" spans="62:64" x14ac:dyDescent="0.25">
      <c r="BJ153" s="205"/>
      <c r="BK153" s="205"/>
      <c r="BL153" s="205"/>
    </row>
    <row r="154" spans="62:64" x14ac:dyDescent="0.25">
      <c r="BJ154" s="205"/>
      <c r="BK154" s="205"/>
      <c r="BL154" s="205"/>
    </row>
    <row r="155" spans="62:64" x14ac:dyDescent="0.25">
      <c r="BJ155" s="205"/>
      <c r="BK155" s="205"/>
      <c r="BL155" s="205"/>
    </row>
    <row r="156" spans="62:64" x14ac:dyDescent="0.25">
      <c r="BJ156" s="205"/>
      <c r="BK156" s="205"/>
      <c r="BL156" s="205"/>
    </row>
    <row r="157" spans="62:64" x14ac:dyDescent="0.25">
      <c r="BJ157" s="205"/>
      <c r="BK157" s="205"/>
      <c r="BL157" s="205"/>
    </row>
    <row r="158" spans="62:64" x14ac:dyDescent="0.25">
      <c r="BJ158" s="205"/>
      <c r="BK158" s="205"/>
      <c r="BL158" s="205"/>
    </row>
    <row r="159" spans="62:64" x14ac:dyDescent="0.25">
      <c r="BJ159" s="205"/>
      <c r="BK159" s="205"/>
      <c r="BL159" s="205"/>
    </row>
    <row r="160" spans="62:64" x14ac:dyDescent="0.25">
      <c r="BJ160" s="205"/>
      <c r="BK160" s="205"/>
      <c r="BL160" s="205"/>
    </row>
    <row r="161" spans="62:64" x14ac:dyDescent="0.25">
      <c r="BJ161" s="205"/>
      <c r="BK161" s="205"/>
      <c r="BL161" s="205"/>
    </row>
    <row r="162" spans="62:64" x14ac:dyDescent="0.25">
      <c r="BJ162" s="205"/>
      <c r="BK162" s="205"/>
      <c r="BL162" s="205"/>
    </row>
    <row r="163" spans="62:64" x14ac:dyDescent="0.25">
      <c r="BJ163" s="205"/>
      <c r="BK163" s="205"/>
      <c r="BL163" s="205"/>
    </row>
    <row r="164" spans="62:64" x14ac:dyDescent="0.25">
      <c r="BJ164" s="205"/>
      <c r="BK164" s="205"/>
      <c r="BL164" s="205"/>
    </row>
    <row r="165" spans="62:64" x14ac:dyDescent="0.25">
      <c r="BJ165" s="205"/>
      <c r="BK165" s="205"/>
      <c r="BL165" s="205"/>
    </row>
    <row r="166" spans="62:64" x14ac:dyDescent="0.25">
      <c r="BJ166" s="205"/>
      <c r="BK166" s="205"/>
      <c r="BL166" s="205"/>
    </row>
    <row r="167" spans="62:64" x14ac:dyDescent="0.25">
      <c r="BJ167" s="205"/>
      <c r="BK167" s="205"/>
      <c r="BL167" s="205"/>
    </row>
    <row r="168" spans="62:64" x14ac:dyDescent="0.25">
      <c r="BJ168" s="205"/>
      <c r="BK168" s="205"/>
      <c r="BL168" s="205"/>
    </row>
    <row r="169" spans="62:64" x14ac:dyDescent="0.25">
      <c r="BJ169" s="205"/>
      <c r="BK169" s="205"/>
      <c r="BL169" s="205"/>
    </row>
    <row r="170" spans="62:64" x14ac:dyDescent="0.25">
      <c r="BJ170" s="205"/>
      <c r="BK170" s="205"/>
      <c r="BL170" s="205"/>
    </row>
    <row r="171" spans="62:64" x14ac:dyDescent="0.25">
      <c r="BJ171" s="205"/>
      <c r="BK171" s="205"/>
      <c r="BL171" s="205"/>
    </row>
    <row r="172" spans="62:64" x14ac:dyDescent="0.25">
      <c r="BJ172" s="205"/>
      <c r="BK172" s="205"/>
      <c r="BL172" s="205"/>
    </row>
    <row r="173" spans="62:64" x14ac:dyDescent="0.25">
      <c r="BJ173" s="205"/>
      <c r="BK173" s="205"/>
      <c r="BL173" s="205"/>
    </row>
    <row r="174" spans="62:64" x14ac:dyDescent="0.25">
      <c r="BJ174" s="205"/>
      <c r="BK174" s="205"/>
      <c r="BL174" s="205"/>
    </row>
    <row r="175" spans="62:64" x14ac:dyDescent="0.25">
      <c r="BJ175" s="205"/>
      <c r="BK175" s="205"/>
      <c r="BL175" s="205"/>
    </row>
    <row r="176" spans="62:64" x14ac:dyDescent="0.25">
      <c r="BJ176" s="205"/>
      <c r="BK176" s="205"/>
      <c r="BL176" s="205"/>
    </row>
    <row r="177" spans="62:64" x14ac:dyDescent="0.25">
      <c r="BJ177" s="205"/>
      <c r="BK177" s="205"/>
      <c r="BL177" s="205"/>
    </row>
    <row r="178" spans="62:64" x14ac:dyDescent="0.25">
      <c r="BJ178" s="205"/>
      <c r="BK178" s="205"/>
      <c r="BL178" s="205"/>
    </row>
    <row r="179" spans="62:64" x14ac:dyDescent="0.25">
      <c r="BJ179" s="205"/>
      <c r="BK179" s="205"/>
      <c r="BL179" s="205"/>
    </row>
    <row r="180" spans="62:64" x14ac:dyDescent="0.25">
      <c r="BJ180" s="205"/>
      <c r="BK180" s="205"/>
      <c r="BL180" s="205"/>
    </row>
    <row r="181" spans="62:64" x14ac:dyDescent="0.25">
      <c r="BJ181" s="205"/>
      <c r="BK181" s="205"/>
      <c r="BL181" s="205"/>
    </row>
    <row r="182" spans="62:64" x14ac:dyDescent="0.25">
      <c r="BJ182" s="205"/>
      <c r="BK182" s="205"/>
      <c r="BL182" s="205"/>
    </row>
    <row r="183" spans="62:64" x14ac:dyDescent="0.25">
      <c r="BJ183" s="205"/>
      <c r="BK183" s="205"/>
      <c r="BL183" s="205"/>
    </row>
    <row r="184" spans="62:64" x14ac:dyDescent="0.25">
      <c r="BJ184" s="205"/>
      <c r="BK184" s="205"/>
      <c r="BL184" s="205"/>
    </row>
    <row r="185" spans="62:64" x14ac:dyDescent="0.25">
      <c r="BJ185" s="205"/>
      <c r="BK185" s="205"/>
      <c r="BL185" s="205"/>
    </row>
    <row r="186" spans="62:64" x14ac:dyDescent="0.25">
      <c r="BJ186" s="205"/>
      <c r="BK186" s="205"/>
      <c r="BL186" s="205"/>
    </row>
    <row r="187" spans="62:64" x14ac:dyDescent="0.25">
      <c r="BJ187" s="205"/>
      <c r="BK187" s="205"/>
      <c r="BL187" s="205"/>
    </row>
    <row r="188" spans="62:64" x14ac:dyDescent="0.25">
      <c r="BJ188" s="205"/>
      <c r="BK188" s="205"/>
      <c r="BL188" s="205"/>
    </row>
    <row r="189" spans="62:64" x14ac:dyDescent="0.25">
      <c r="BJ189" s="205"/>
      <c r="BK189" s="205"/>
      <c r="BL189" s="205"/>
    </row>
    <row r="190" spans="62:64" x14ac:dyDescent="0.25">
      <c r="BJ190" s="205"/>
      <c r="BK190" s="205"/>
      <c r="BL190" s="205"/>
    </row>
    <row r="191" spans="62:64" x14ac:dyDescent="0.25">
      <c r="BJ191" s="205"/>
      <c r="BK191" s="205"/>
      <c r="BL191" s="205"/>
    </row>
    <row r="192" spans="62:64" x14ac:dyDescent="0.25">
      <c r="BJ192" s="205"/>
      <c r="BK192" s="205"/>
      <c r="BL192" s="205"/>
    </row>
    <row r="193" spans="62:64" x14ac:dyDescent="0.25">
      <c r="BJ193" s="205"/>
      <c r="BK193" s="205"/>
      <c r="BL193" s="205"/>
    </row>
    <row r="194" spans="62:64" x14ac:dyDescent="0.25">
      <c r="BJ194" s="205"/>
      <c r="BK194" s="205"/>
      <c r="BL194" s="205"/>
    </row>
    <row r="195" spans="62:64" x14ac:dyDescent="0.25">
      <c r="BJ195" s="205"/>
      <c r="BK195" s="205"/>
      <c r="BL195" s="205"/>
    </row>
    <row r="196" spans="62:64" x14ac:dyDescent="0.25">
      <c r="BJ196" s="205"/>
      <c r="BK196" s="205"/>
      <c r="BL196" s="205"/>
    </row>
    <row r="197" spans="62:64" x14ac:dyDescent="0.25">
      <c r="BJ197" s="205"/>
      <c r="BK197" s="205"/>
      <c r="BL197" s="205"/>
    </row>
    <row r="198" spans="62:64" x14ac:dyDescent="0.25">
      <c r="BJ198" s="205"/>
      <c r="BK198" s="205"/>
      <c r="BL198" s="205"/>
    </row>
    <row r="199" spans="62:64" x14ac:dyDescent="0.25">
      <c r="BJ199" s="205"/>
      <c r="BK199" s="205"/>
      <c r="BL199" s="205"/>
    </row>
    <row r="200" spans="62:64" x14ac:dyDescent="0.25">
      <c r="BJ200" s="205"/>
      <c r="BK200" s="205"/>
      <c r="BL200" s="205"/>
    </row>
    <row r="201" spans="62:64" x14ac:dyDescent="0.25">
      <c r="BJ201" s="205"/>
      <c r="BK201" s="205"/>
      <c r="BL201" s="205"/>
    </row>
    <row r="202" spans="62:64" x14ac:dyDescent="0.25">
      <c r="BJ202" s="205"/>
      <c r="BK202" s="205"/>
      <c r="BL202" s="205"/>
    </row>
    <row r="203" spans="62:64" x14ac:dyDescent="0.25">
      <c r="BJ203" s="205"/>
      <c r="BK203" s="205"/>
      <c r="BL203" s="205"/>
    </row>
    <row r="204" spans="62:64" x14ac:dyDescent="0.25">
      <c r="BJ204" s="205"/>
      <c r="BK204" s="205"/>
      <c r="BL204" s="205"/>
    </row>
    <row r="205" spans="62:64" x14ac:dyDescent="0.25">
      <c r="BJ205" s="205"/>
      <c r="BK205" s="205"/>
      <c r="BL205" s="205"/>
    </row>
    <row r="206" spans="62:64" x14ac:dyDescent="0.25">
      <c r="BJ206" s="205"/>
      <c r="BK206" s="205"/>
      <c r="BL206" s="205"/>
    </row>
    <row r="207" spans="62:64" x14ac:dyDescent="0.25">
      <c r="BJ207" s="205"/>
      <c r="BK207" s="205"/>
      <c r="BL207" s="205"/>
    </row>
    <row r="208" spans="62:64" x14ac:dyDescent="0.25">
      <c r="BJ208" s="205"/>
      <c r="BK208" s="205"/>
      <c r="BL208" s="205"/>
    </row>
    <row r="225" spans="62:64" x14ac:dyDescent="0.25">
      <c r="BJ225" s="205"/>
      <c r="BK225" s="205"/>
      <c r="BL225" s="205"/>
    </row>
    <row r="226" spans="62:64" x14ac:dyDescent="0.25">
      <c r="BJ226" s="205"/>
      <c r="BK226" s="205"/>
      <c r="BL226" s="205"/>
    </row>
    <row r="227" spans="62:64" x14ac:dyDescent="0.25">
      <c r="BJ227" s="205"/>
      <c r="BK227" s="205"/>
      <c r="BL227" s="205"/>
    </row>
    <row r="228" spans="62:64" x14ac:dyDescent="0.25">
      <c r="BJ228" s="205"/>
      <c r="BK228" s="205"/>
      <c r="BL228" s="205"/>
    </row>
    <row r="229" spans="62:64" x14ac:dyDescent="0.25">
      <c r="BJ229" s="205"/>
      <c r="BK229" s="205"/>
      <c r="BL229" s="205"/>
    </row>
    <row r="230" spans="62:64" x14ac:dyDescent="0.25">
      <c r="BJ230" s="205"/>
      <c r="BK230" s="205"/>
      <c r="BL230" s="205"/>
    </row>
    <row r="231" spans="62:64" x14ac:dyDescent="0.25">
      <c r="BJ231" s="205"/>
      <c r="BK231" s="205"/>
      <c r="BL231" s="205"/>
    </row>
    <row r="232" spans="62:64" x14ac:dyDescent="0.25">
      <c r="BJ232" s="205"/>
      <c r="BK232" s="205"/>
      <c r="BL232" s="205"/>
    </row>
    <row r="233" spans="62:64" x14ac:dyDescent="0.25">
      <c r="BJ233" s="205"/>
      <c r="BK233" s="205"/>
      <c r="BL233" s="205"/>
    </row>
    <row r="234" spans="62:64" x14ac:dyDescent="0.25">
      <c r="BJ234" s="205"/>
      <c r="BK234" s="205"/>
      <c r="BL234" s="205"/>
    </row>
    <row r="235" spans="62:64" x14ac:dyDescent="0.25">
      <c r="BJ235" s="205"/>
      <c r="BK235" s="205"/>
      <c r="BL235" s="205"/>
    </row>
    <row r="236" spans="62:64" x14ac:dyDescent="0.25">
      <c r="BJ236" s="205"/>
      <c r="BK236" s="205"/>
      <c r="BL236" s="205"/>
    </row>
    <row r="237" spans="62:64" x14ac:dyDescent="0.25">
      <c r="BJ237" s="205"/>
      <c r="BK237" s="205"/>
      <c r="BL237" s="205"/>
    </row>
    <row r="238" spans="62:64" x14ac:dyDescent="0.25">
      <c r="BJ238" s="205"/>
      <c r="BK238" s="205"/>
      <c r="BL238" s="205"/>
    </row>
    <row r="239" spans="62:64" x14ac:dyDescent="0.25">
      <c r="BJ239" s="205"/>
      <c r="BK239" s="205"/>
      <c r="BL239" s="205"/>
    </row>
    <row r="240" spans="62:64" x14ac:dyDescent="0.25">
      <c r="BJ240" s="205"/>
      <c r="BK240" s="205"/>
      <c r="BL240" s="205"/>
    </row>
    <row r="241" spans="62:64" x14ac:dyDescent="0.25">
      <c r="BJ241" s="205"/>
      <c r="BK241" s="205"/>
      <c r="BL241" s="205"/>
    </row>
    <row r="242" spans="62:64" x14ac:dyDescent="0.25">
      <c r="BJ242" s="205"/>
      <c r="BK242" s="205"/>
      <c r="BL242" s="205"/>
    </row>
    <row r="243" spans="62:64" x14ac:dyDescent="0.25">
      <c r="BJ243" s="205"/>
      <c r="BK243" s="205"/>
      <c r="BL243" s="205"/>
    </row>
    <row r="244" spans="62:64" x14ac:dyDescent="0.25">
      <c r="BJ244" s="205"/>
      <c r="BK244" s="205"/>
      <c r="BL244" s="205"/>
    </row>
    <row r="245" spans="62:64" x14ac:dyDescent="0.25">
      <c r="BJ245" s="205"/>
      <c r="BK245" s="205"/>
      <c r="BL245" s="205"/>
    </row>
    <row r="246" spans="62:64" x14ac:dyDescent="0.25">
      <c r="BJ246" s="205"/>
      <c r="BK246" s="205"/>
      <c r="BL246" s="205"/>
    </row>
    <row r="247" spans="62:64" x14ac:dyDescent="0.25">
      <c r="BJ247" s="205"/>
      <c r="BK247" s="205"/>
      <c r="BL247" s="205"/>
    </row>
    <row r="248" spans="62:64" x14ac:dyDescent="0.25">
      <c r="BJ248" s="205"/>
      <c r="BK248" s="205"/>
      <c r="BL248" s="205"/>
    </row>
    <row r="249" spans="62:64" x14ac:dyDescent="0.25">
      <c r="BJ249" s="205"/>
      <c r="BK249" s="205"/>
      <c r="BL249" s="205"/>
    </row>
    <row r="250" spans="62:64" x14ac:dyDescent="0.25">
      <c r="BJ250" s="205"/>
      <c r="BK250" s="205"/>
      <c r="BL250" s="205"/>
    </row>
    <row r="251" spans="62:64" x14ac:dyDescent="0.25">
      <c r="BJ251" s="205"/>
      <c r="BK251" s="205"/>
      <c r="BL251" s="205"/>
    </row>
    <row r="252" spans="62:64" x14ac:dyDescent="0.25">
      <c r="BJ252" s="205"/>
      <c r="BK252" s="205"/>
      <c r="BL252" s="205"/>
    </row>
    <row r="253" spans="62:64" x14ac:dyDescent="0.25">
      <c r="BJ253" s="205"/>
      <c r="BK253" s="205"/>
      <c r="BL253" s="205"/>
    </row>
    <row r="254" spans="62:64" x14ac:dyDescent="0.25">
      <c r="BJ254" s="205"/>
      <c r="BK254" s="205"/>
      <c r="BL254" s="205"/>
    </row>
    <row r="255" spans="62:64" x14ac:dyDescent="0.25">
      <c r="BJ255" s="205"/>
      <c r="BK255" s="205"/>
      <c r="BL255" s="205"/>
    </row>
    <row r="256" spans="62:64" x14ac:dyDescent="0.25">
      <c r="BJ256" s="205"/>
      <c r="BK256" s="205"/>
      <c r="BL256" s="205"/>
    </row>
    <row r="257" spans="62:64" x14ac:dyDescent="0.25">
      <c r="BJ257" s="205"/>
      <c r="BK257" s="205"/>
      <c r="BL257" s="205"/>
    </row>
    <row r="258" spans="62:64" x14ac:dyDescent="0.25">
      <c r="BJ258" s="205"/>
      <c r="BK258" s="205"/>
      <c r="BL258" s="205"/>
    </row>
    <row r="259" spans="62:64" x14ac:dyDescent="0.25">
      <c r="BJ259" s="205"/>
      <c r="BK259" s="205"/>
      <c r="BL259" s="205"/>
    </row>
    <row r="260" spans="62:64" x14ac:dyDescent="0.25">
      <c r="BJ260" s="205"/>
      <c r="BK260" s="205"/>
      <c r="BL260" s="205"/>
    </row>
    <row r="261" spans="62:64" x14ac:dyDescent="0.25">
      <c r="BJ261" s="205"/>
      <c r="BK261" s="205"/>
      <c r="BL261" s="205"/>
    </row>
    <row r="262" spans="62:64" x14ac:dyDescent="0.25">
      <c r="BJ262" s="205"/>
      <c r="BK262" s="205"/>
      <c r="BL262" s="205"/>
    </row>
    <row r="263" spans="62:64" x14ac:dyDescent="0.25">
      <c r="BJ263" s="205"/>
      <c r="BK263" s="205"/>
      <c r="BL263" s="205"/>
    </row>
    <row r="264" spans="62:64" x14ac:dyDescent="0.25">
      <c r="BJ264" s="205"/>
      <c r="BK264" s="205"/>
      <c r="BL264" s="205"/>
    </row>
    <row r="265" spans="62:64" x14ac:dyDescent="0.25">
      <c r="BJ265" s="205"/>
      <c r="BK265" s="205"/>
      <c r="BL265" s="205"/>
    </row>
    <row r="266" spans="62:64" x14ac:dyDescent="0.25">
      <c r="BJ266" s="205"/>
      <c r="BK266" s="205"/>
      <c r="BL266" s="205"/>
    </row>
    <row r="267" spans="62:64" x14ac:dyDescent="0.25">
      <c r="BJ267" s="205"/>
      <c r="BK267" s="205"/>
      <c r="BL267" s="205"/>
    </row>
    <row r="268" spans="62:64" x14ac:dyDescent="0.25">
      <c r="BJ268" s="205"/>
      <c r="BK268" s="205"/>
      <c r="BL268" s="205"/>
    </row>
    <row r="269" spans="62:64" x14ac:dyDescent="0.25">
      <c r="BJ269" s="205"/>
      <c r="BK269" s="205"/>
      <c r="BL269" s="205"/>
    </row>
    <row r="270" spans="62:64" x14ac:dyDescent="0.25">
      <c r="BJ270" s="205"/>
      <c r="BK270" s="205"/>
      <c r="BL270" s="205"/>
    </row>
    <row r="271" spans="62:64" x14ac:dyDescent="0.25">
      <c r="BJ271" s="205"/>
      <c r="BK271" s="205"/>
      <c r="BL271" s="205"/>
    </row>
    <row r="272" spans="62:64" x14ac:dyDescent="0.25">
      <c r="BJ272" s="205"/>
      <c r="BK272" s="205"/>
      <c r="BL272" s="205"/>
    </row>
    <row r="273" spans="62:64" x14ac:dyDescent="0.25">
      <c r="BJ273" s="205"/>
      <c r="BK273" s="205"/>
      <c r="BL273" s="205"/>
    </row>
    <row r="274" spans="62:64" x14ac:dyDescent="0.25">
      <c r="BJ274" s="205"/>
      <c r="BK274" s="205"/>
      <c r="BL274" s="205"/>
    </row>
    <row r="275" spans="62:64" x14ac:dyDescent="0.25">
      <c r="BJ275" s="205"/>
      <c r="BK275" s="205"/>
      <c r="BL275" s="205"/>
    </row>
    <row r="276" spans="62:64" x14ac:dyDescent="0.25">
      <c r="BJ276" s="205"/>
      <c r="BK276" s="205"/>
      <c r="BL276" s="205"/>
    </row>
    <row r="277" spans="62:64" x14ac:dyDescent="0.25">
      <c r="BJ277" s="205"/>
      <c r="BK277" s="205"/>
      <c r="BL277" s="205"/>
    </row>
    <row r="278" spans="62:64" x14ac:dyDescent="0.25">
      <c r="BJ278" s="205"/>
      <c r="BK278" s="205"/>
      <c r="BL278" s="205"/>
    </row>
    <row r="279" spans="62:64" x14ac:dyDescent="0.25">
      <c r="BJ279" s="205"/>
      <c r="BK279" s="205"/>
      <c r="BL279" s="205"/>
    </row>
    <row r="280" spans="62:64" x14ac:dyDescent="0.25">
      <c r="BJ280" s="205"/>
      <c r="BK280" s="205"/>
      <c r="BL280" s="205"/>
    </row>
    <row r="281" spans="62:64" x14ac:dyDescent="0.25">
      <c r="BJ281" s="205"/>
      <c r="BK281" s="205"/>
      <c r="BL281" s="205"/>
    </row>
    <row r="282" spans="62:64" x14ac:dyDescent="0.25">
      <c r="BJ282" s="205"/>
      <c r="BK282" s="205"/>
      <c r="BL282" s="205"/>
    </row>
    <row r="283" spans="62:64" x14ac:dyDescent="0.25">
      <c r="BJ283" s="205"/>
      <c r="BK283" s="205"/>
      <c r="BL283" s="205"/>
    </row>
    <row r="284" spans="62:64" x14ac:dyDescent="0.25">
      <c r="BJ284" s="205"/>
      <c r="BK284" s="205"/>
      <c r="BL284" s="205"/>
    </row>
    <row r="285" spans="62:64" x14ac:dyDescent="0.25">
      <c r="BJ285" s="205"/>
      <c r="BK285" s="205"/>
      <c r="BL285" s="205"/>
    </row>
    <row r="286" spans="62:64" x14ac:dyDescent="0.25">
      <c r="BJ286" s="205"/>
      <c r="BK286" s="205"/>
      <c r="BL286" s="205"/>
    </row>
    <row r="287" spans="62:64" x14ac:dyDescent="0.25">
      <c r="BJ287" s="205"/>
      <c r="BK287" s="205"/>
      <c r="BL287" s="205"/>
    </row>
    <row r="288" spans="62:64" x14ac:dyDescent="0.25">
      <c r="BJ288" s="205"/>
      <c r="BK288" s="205"/>
      <c r="BL288" s="205"/>
    </row>
    <row r="289" spans="62:64" x14ac:dyDescent="0.25">
      <c r="BJ289" s="205"/>
      <c r="BK289" s="205"/>
      <c r="BL289" s="205"/>
    </row>
    <row r="290" spans="62:64" x14ac:dyDescent="0.25">
      <c r="BJ290" s="205"/>
      <c r="BK290" s="205"/>
      <c r="BL290" s="205"/>
    </row>
    <row r="291" spans="62:64" x14ac:dyDescent="0.25">
      <c r="BJ291" s="205"/>
      <c r="BK291" s="205"/>
      <c r="BL291" s="205"/>
    </row>
    <row r="292" spans="62:64" x14ac:dyDescent="0.25">
      <c r="BJ292" s="205"/>
      <c r="BK292" s="205"/>
      <c r="BL292" s="205"/>
    </row>
    <row r="293" spans="62:64" x14ac:dyDescent="0.25">
      <c r="BJ293" s="205"/>
      <c r="BK293" s="205"/>
      <c r="BL293" s="205"/>
    </row>
    <row r="294" spans="62:64" x14ac:dyDescent="0.25">
      <c r="BJ294" s="205"/>
      <c r="BK294" s="205"/>
      <c r="BL294" s="205"/>
    </row>
    <row r="295" spans="62:64" x14ac:dyDescent="0.25">
      <c r="BJ295" s="205"/>
      <c r="BK295" s="205"/>
      <c r="BL295" s="205"/>
    </row>
    <row r="296" spans="62:64" x14ac:dyDescent="0.25">
      <c r="BJ296" s="205"/>
      <c r="BK296" s="205"/>
      <c r="BL296" s="205"/>
    </row>
    <row r="297" spans="62:64" x14ac:dyDescent="0.25">
      <c r="BJ297" s="205"/>
      <c r="BK297" s="205"/>
      <c r="BL297" s="205"/>
    </row>
    <row r="298" spans="62:64" x14ac:dyDescent="0.25">
      <c r="BJ298" s="205"/>
      <c r="BK298" s="205"/>
      <c r="BL298" s="205"/>
    </row>
    <row r="299" spans="62:64" x14ac:dyDescent="0.25">
      <c r="BJ299" s="205"/>
      <c r="BK299" s="205"/>
      <c r="BL299" s="205"/>
    </row>
    <row r="300" spans="62:64" x14ac:dyDescent="0.25">
      <c r="BJ300" s="205"/>
      <c r="BK300" s="205"/>
      <c r="BL300" s="205"/>
    </row>
    <row r="301" spans="62:64" x14ac:dyDescent="0.25">
      <c r="BJ301" s="205"/>
      <c r="BK301" s="205"/>
      <c r="BL301" s="205"/>
    </row>
    <row r="302" spans="62:64" x14ac:dyDescent="0.25">
      <c r="BJ302" s="205"/>
      <c r="BK302" s="205"/>
      <c r="BL302" s="205"/>
    </row>
    <row r="303" spans="62:64" x14ac:dyDescent="0.25">
      <c r="BJ303" s="205"/>
      <c r="BK303" s="205"/>
      <c r="BL303" s="205"/>
    </row>
    <row r="304" spans="62:64" x14ac:dyDescent="0.25">
      <c r="BJ304" s="205"/>
      <c r="BK304" s="205"/>
      <c r="BL304" s="205"/>
    </row>
    <row r="305" spans="62:64" x14ac:dyDescent="0.25">
      <c r="BJ305" s="205"/>
      <c r="BK305" s="205"/>
      <c r="BL305" s="205"/>
    </row>
    <row r="306" spans="62:64" x14ac:dyDescent="0.25">
      <c r="BJ306" s="205"/>
      <c r="BK306" s="205"/>
      <c r="BL306" s="205"/>
    </row>
    <row r="307" spans="62:64" x14ac:dyDescent="0.25">
      <c r="BJ307" s="205"/>
      <c r="BK307" s="205"/>
      <c r="BL307" s="205"/>
    </row>
    <row r="308" spans="62:64" x14ac:dyDescent="0.25">
      <c r="BJ308" s="205"/>
      <c r="BK308" s="205"/>
      <c r="BL308" s="205"/>
    </row>
    <row r="309" spans="62:64" x14ac:dyDescent="0.25">
      <c r="BJ309" s="205"/>
      <c r="BK309" s="205"/>
      <c r="BL309" s="205"/>
    </row>
    <row r="310" spans="62:64" x14ac:dyDescent="0.25">
      <c r="BJ310" s="205"/>
      <c r="BK310" s="205"/>
      <c r="BL310" s="205"/>
    </row>
    <row r="311" spans="62:64" x14ac:dyDescent="0.25">
      <c r="BJ311" s="205"/>
      <c r="BK311" s="205"/>
      <c r="BL311" s="205"/>
    </row>
    <row r="312" spans="62:64" x14ac:dyDescent="0.25">
      <c r="BJ312" s="205"/>
      <c r="BK312" s="205"/>
      <c r="BL312" s="205"/>
    </row>
    <row r="313" spans="62:64" x14ac:dyDescent="0.25">
      <c r="BJ313" s="205"/>
      <c r="BK313" s="205"/>
      <c r="BL313" s="205"/>
    </row>
    <row r="314" spans="62:64" x14ac:dyDescent="0.25">
      <c r="BJ314" s="205"/>
      <c r="BK314" s="205"/>
      <c r="BL314" s="205"/>
    </row>
    <row r="315" spans="62:64" x14ac:dyDescent="0.25">
      <c r="BJ315" s="205"/>
      <c r="BK315" s="205"/>
      <c r="BL315" s="205"/>
    </row>
    <row r="316" spans="62:64" x14ac:dyDescent="0.25">
      <c r="BJ316" s="205"/>
      <c r="BK316" s="205"/>
      <c r="BL316" s="205"/>
    </row>
    <row r="317" spans="62:64" x14ac:dyDescent="0.25">
      <c r="BJ317" s="205"/>
      <c r="BK317" s="205"/>
      <c r="BL317" s="205"/>
    </row>
    <row r="318" spans="62:64" x14ac:dyDescent="0.25">
      <c r="BJ318" s="205"/>
      <c r="BK318" s="205"/>
      <c r="BL318" s="205"/>
    </row>
    <row r="319" spans="62:64" x14ac:dyDescent="0.25">
      <c r="BJ319" s="205"/>
      <c r="BK319" s="205"/>
      <c r="BL319" s="205"/>
    </row>
    <row r="320" spans="62:64" x14ac:dyDescent="0.25">
      <c r="BJ320" s="205"/>
      <c r="BK320" s="205"/>
      <c r="BL320" s="205"/>
    </row>
    <row r="321" spans="62:64" x14ac:dyDescent="0.25">
      <c r="BJ321" s="205"/>
      <c r="BK321" s="205"/>
      <c r="BL321" s="205"/>
    </row>
    <row r="322" spans="62:64" x14ac:dyDescent="0.25">
      <c r="BJ322" s="205"/>
      <c r="BK322" s="205"/>
      <c r="BL322" s="205"/>
    </row>
    <row r="323" spans="62:64" x14ac:dyDescent="0.25">
      <c r="BJ323" s="205"/>
      <c r="BK323" s="205"/>
      <c r="BL323" s="205"/>
    </row>
    <row r="324" spans="62:64" x14ac:dyDescent="0.25">
      <c r="BJ324" s="205"/>
      <c r="BK324" s="205"/>
      <c r="BL324" s="205"/>
    </row>
    <row r="325" spans="62:64" x14ac:dyDescent="0.25">
      <c r="BJ325" s="205"/>
      <c r="BK325" s="205"/>
      <c r="BL325" s="205"/>
    </row>
    <row r="326" spans="62:64" x14ac:dyDescent="0.25">
      <c r="BJ326" s="205"/>
      <c r="BK326" s="205"/>
      <c r="BL326" s="205"/>
    </row>
    <row r="327" spans="62:64" x14ac:dyDescent="0.25">
      <c r="BJ327" s="205"/>
      <c r="BK327" s="205"/>
      <c r="BL327" s="205"/>
    </row>
    <row r="328" spans="62:64" x14ac:dyDescent="0.25">
      <c r="BJ328" s="205"/>
      <c r="BK328" s="205"/>
      <c r="BL328" s="205"/>
    </row>
    <row r="329" spans="62:64" x14ac:dyDescent="0.25">
      <c r="BJ329" s="205"/>
      <c r="BK329" s="205"/>
      <c r="BL329" s="205"/>
    </row>
    <row r="330" spans="62:64" x14ac:dyDescent="0.25">
      <c r="BJ330" s="205"/>
      <c r="BK330" s="205"/>
      <c r="BL330" s="205"/>
    </row>
    <row r="331" spans="62:64" x14ac:dyDescent="0.25">
      <c r="BJ331" s="205"/>
      <c r="BK331" s="205"/>
      <c r="BL331" s="205"/>
    </row>
    <row r="332" spans="62:64" x14ac:dyDescent="0.25">
      <c r="BJ332" s="205"/>
      <c r="BK332" s="205"/>
      <c r="BL332" s="205"/>
    </row>
    <row r="333" spans="62:64" x14ac:dyDescent="0.25">
      <c r="BJ333" s="205"/>
      <c r="BK333" s="205"/>
      <c r="BL333" s="205"/>
    </row>
    <row r="334" spans="62:64" x14ac:dyDescent="0.25">
      <c r="BJ334" s="205"/>
      <c r="BK334" s="205"/>
      <c r="BL334" s="205"/>
    </row>
    <row r="335" spans="62:64" x14ac:dyDescent="0.25">
      <c r="BJ335" s="205"/>
      <c r="BK335" s="205"/>
      <c r="BL335" s="205"/>
    </row>
    <row r="336" spans="62:64" x14ac:dyDescent="0.25">
      <c r="BJ336" s="205"/>
      <c r="BK336" s="205"/>
      <c r="BL336" s="205"/>
    </row>
    <row r="337" spans="62:64" x14ac:dyDescent="0.25">
      <c r="BJ337" s="205"/>
      <c r="BK337" s="205"/>
      <c r="BL337" s="205"/>
    </row>
    <row r="338" spans="62:64" x14ac:dyDescent="0.25">
      <c r="BJ338" s="205"/>
      <c r="BK338" s="205"/>
      <c r="BL338" s="205"/>
    </row>
    <row r="339" spans="62:64" x14ac:dyDescent="0.25">
      <c r="BJ339" s="205"/>
      <c r="BK339" s="205"/>
      <c r="BL339" s="205"/>
    </row>
    <row r="340" spans="62:64" x14ac:dyDescent="0.25">
      <c r="BJ340" s="205"/>
      <c r="BK340" s="205"/>
      <c r="BL340" s="205"/>
    </row>
    <row r="341" spans="62:64" x14ac:dyDescent="0.25">
      <c r="BJ341" s="205"/>
      <c r="BK341" s="205"/>
      <c r="BL341" s="205"/>
    </row>
    <row r="342" spans="62:64" x14ac:dyDescent="0.25">
      <c r="BJ342" s="205"/>
      <c r="BK342" s="205"/>
      <c r="BL342" s="205"/>
    </row>
    <row r="343" spans="62:64" x14ac:dyDescent="0.25">
      <c r="BJ343" s="205"/>
      <c r="BK343" s="205"/>
      <c r="BL343" s="205"/>
    </row>
    <row r="344" spans="62:64" x14ac:dyDescent="0.25">
      <c r="BJ344" s="205"/>
      <c r="BK344" s="205"/>
      <c r="BL344" s="205"/>
    </row>
    <row r="345" spans="62:64" x14ac:dyDescent="0.25">
      <c r="BJ345" s="205"/>
      <c r="BK345" s="205"/>
      <c r="BL345" s="205"/>
    </row>
    <row r="346" spans="62:64" x14ac:dyDescent="0.25">
      <c r="BJ346" s="205"/>
      <c r="BK346" s="205"/>
      <c r="BL346" s="205"/>
    </row>
    <row r="347" spans="62:64" x14ac:dyDescent="0.25">
      <c r="BJ347" s="205"/>
      <c r="BK347" s="205"/>
      <c r="BL347" s="205"/>
    </row>
    <row r="348" spans="62:64" x14ac:dyDescent="0.25">
      <c r="BJ348" s="205"/>
      <c r="BK348" s="205"/>
      <c r="BL348" s="205"/>
    </row>
    <row r="349" spans="62:64" x14ac:dyDescent="0.25">
      <c r="BJ349" s="205"/>
      <c r="BK349" s="205"/>
      <c r="BL349" s="205"/>
    </row>
    <row r="350" spans="62:64" x14ac:dyDescent="0.25">
      <c r="BJ350" s="205"/>
      <c r="BK350" s="205"/>
      <c r="BL350" s="205"/>
    </row>
    <row r="351" spans="62:64" x14ac:dyDescent="0.25">
      <c r="BJ351" s="205"/>
      <c r="BK351" s="205"/>
      <c r="BL351" s="205"/>
    </row>
    <row r="352" spans="62:64" x14ac:dyDescent="0.25">
      <c r="BJ352" s="205"/>
      <c r="BK352" s="205"/>
      <c r="BL352" s="205"/>
    </row>
    <row r="353" spans="62:64" x14ac:dyDescent="0.25">
      <c r="BJ353" s="205"/>
      <c r="BK353" s="205"/>
      <c r="BL353" s="205"/>
    </row>
    <row r="354" spans="62:64" x14ac:dyDescent="0.25">
      <c r="BJ354" s="205"/>
      <c r="BK354" s="205"/>
      <c r="BL354" s="205"/>
    </row>
    <row r="355" spans="62:64" x14ac:dyDescent="0.25">
      <c r="BJ355" s="205"/>
      <c r="BK355" s="205"/>
      <c r="BL355" s="205"/>
    </row>
    <row r="356" spans="62:64" x14ac:dyDescent="0.25">
      <c r="BJ356" s="205"/>
      <c r="BK356" s="205"/>
      <c r="BL356" s="205"/>
    </row>
    <row r="357" spans="62:64" x14ac:dyDescent="0.25">
      <c r="BJ357" s="205"/>
      <c r="BK357" s="205"/>
      <c r="BL357" s="205"/>
    </row>
    <row r="358" spans="62:64" x14ac:dyDescent="0.25">
      <c r="BJ358" s="205"/>
      <c r="BK358" s="205"/>
      <c r="BL358" s="205"/>
    </row>
    <row r="359" spans="62:64" x14ac:dyDescent="0.25">
      <c r="BJ359" s="205"/>
      <c r="BK359" s="205"/>
      <c r="BL359" s="205"/>
    </row>
    <row r="360" spans="62:64" x14ac:dyDescent="0.25">
      <c r="BJ360" s="205"/>
      <c r="BK360" s="205"/>
      <c r="BL360" s="205"/>
    </row>
    <row r="361" spans="62:64" x14ac:dyDescent="0.25">
      <c r="BJ361" s="205"/>
      <c r="BK361" s="205"/>
      <c r="BL361" s="205"/>
    </row>
    <row r="362" spans="62:64" x14ac:dyDescent="0.25">
      <c r="BJ362" s="205"/>
      <c r="BK362" s="205"/>
      <c r="BL362" s="205"/>
    </row>
    <row r="363" spans="62:64" x14ac:dyDescent="0.25">
      <c r="BJ363" s="205"/>
      <c r="BK363" s="205"/>
      <c r="BL363" s="205"/>
    </row>
    <row r="364" spans="62:64" x14ac:dyDescent="0.25">
      <c r="BJ364" s="205"/>
      <c r="BK364" s="205"/>
      <c r="BL364" s="205"/>
    </row>
    <row r="365" spans="62:64" x14ac:dyDescent="0.25">
      <c r="BJ365" s="205"/>
      <c r="BK365" s="205"/>
      <c r="BL365" s="205"/>
    </row>
    <row r="366" spans="62:64" x14ac:dyDescent="0.25">
      <c r="BJ366" s="205"/>
      <c r="BK366" s="205"/>
      <c r="BL366" s="205"/>
    </row>
    <row r="367" spans="62:64" x14ac:dyDescent="0.25">
      <c r="BJ367" s="205"/>
      <c r="BK367" s="205"/>
      <c r="BL367" s="205"/>
    </row>
    <row r="368" spans="62:64" x14ac:dyDescent="0.25">
      <c r="BJ368" s="205"/>
      <c r="BK368" s="205"/>
      <c r="BL368" s="205"/>
    </row>
    <row r="369" spans="62:64" x14ac:dyDescent="0.25">
      <c r="BJ369" s="205"/>
      <c r="BK369" s="205"/>
      <c r="BL369" s="205"/>
    </row>
    <row r="370" spans="62:64" x14ac:dyDescent="0.25">
      <c r="BJ370" s="205"/>
      <c r="BK370" s="205"/>
      <c r="BL370" s="205"/>
    </row>
    <row r="371" spans="62:64" x14ac:dyDescent="0.25">
      <c r="BJ371" s="205"/>
      <c r="BK371" s="205"/>
      <c r="BL371" s="205"/>
    </row>
    <row r="372" spans="62:64" x14ac:dyDescent="0.25">
      <c r="BJ372" s="205"/>
      <c r="BK372" s="205"/>
      <c r="BL372" s="205"/>
    </row>
    <row r="373" spans="62:64" x14ac:dyDescent="0.25">
      <c r="BJ373" s="205"/>
      <c r="BK373" s="205"/>
      <c r="BL373" s="205"/>
    </row>
    <row r="374" spans="62:64" x14ac:dyDescent="0.25">
      <c r="BJ374" s="205"/>
      <c r="BK374" s="205"/>
      <c r="BL374" s="205"/>
    </row>
    <row r="375" spans="62:64" x14ac:dyDescent="0.25">
      <c r="BJ375" s="205"/>
      <c r="BK375" s="205"/>
      <c r="BL375" s="205"/>
    </row>
    <row r="376" spans="62:64" x14ac:dyDescent="0.25">
      <c r="BJ376" s="205"/>
      <c r="BK376" s="205"/>
      <c r="BL376" s="205"/>
    </row>
    <row r="377" spans="62:64" x14ac:dyDescent="0.25">
      <c r="BJ377" s="205"/>
      <c r="BK377" s="205"/>
      <c r="BL377" s="205"/>
    </row>
    <row r="378" spans="62:64" x14ac:dyDescent="0.25">
      <c r="BJ378" s="205"/>
      <c r="BK378" s="205"/>
      <c r="BL378" s="205"/>
    </row>
    <row r="379" spans="62:64" x14ac:dyDescent="0.25">
      <c r="BJ379" s="205"/>
      <c r="BK379" s="205"/>
      <c r="BL379" s="205"/>
    </row>
    <row r="380" spans="62:64" x14ac:dyDescent="0.25">
      <c r="BJ380" s="205"/>
      <c r="BK380" s="205"/>
      <c r="BL380" s="205"/>
    </row>
    <row r="381" spans="62:64" x14ac:dyDescent="0.25">
      <c r="BJ381" s="205"/>
      <c r="BK381" s="205"/>
      <c r="BL381" s="205"/>
    </row>
    <row r="382" spans="62:64" x14ac:dyDescent="0.25">
      <c r="BJ382" s="205"/>
      <c r="BK382" s="205"/>
      <c r="BL382" s="205"/>
    </row>
    <row r="383" spans="62:64" x14ac:dyDescent="0.25">
      <c r="BJ383" s="205"/>
      <c r="BK383" s="205"/>
      <c r="BL383" s="205"/>
    </row>
    <row r="384" spans="62:64" x14ac:dyDescent="0.25">
      <c r="BJ384" s="205"/>
      <c r="BK384" s="205"/>
      <c r="BL384" s="205"/>
    </row>
    <row r="385" spans="62:64" x14ac:dyDescent="0.25">
      <c r="BJ385" s="205"/>
      <c r="BK385" s="205"/>
      <c r="BL385" s="205"/>
    </row>
    <row r="386" spans="62:64" x14ac:dyDescent="0.25">
      <c r="BJ386" s="205"/>
      <c r="BK386" s="205"/>
      <c r="BL386" s="205"/>
    </row>
    <row r="387" spans="62:64" x14ac:dyDescent="0.25">
      <c r="BJ387" s="205"/>
      <c r="BK387" s="205"/>
      <c r="BL387" s="205"/>
    </row>
    <row r="388" spans="62:64" x14ac:dyDescent="0.25">
      <c r="BJ388" s="205"/>
      <c r="BK388" s="205"/>
      <c r="BL388" s="205"/>
    </row>
    <row r="389" spans="62:64" x14ac:dyDescent="0.25">
      <c r="BJ389" s="205"/>
      <c r="BK389" s="205"/>
      <c r="BL389" s="205"/>
    </row>
    <row r="390" spans="62:64" x14ac:dyDescent="0.25">
      <c r="BJ390" s="205"/>
      <c r="BK390" s="205"/>
      <c r="BL390" s="205"/>
    </row>
    <row r="391" spans="62:64" x14ac:dyDescent="0.25">
      <c r="BJ391" s="205"/>
      <c r="BK391" s="205"/>
      <c r="BL391" s="205"/>
    </row>
    <row r="392" spans="62:64" x14ac:dyDescent="0.25">
      <c r="BJ392" s="205"/>
      <c r="BK392" s="205"/>
      <c r="BL392" s="205"/>
    </row>
    <row r="393" spans="62:64" x14ac:dyDescent="0.25">
      <c r="BJ393" s="205"/>
      <c r="BK393" s="205"/>
      <c r="BL393" s="205"/>
    </row>
    <row r="394" spans="62:64" x14ac:dyDescent="0.25">
      <c r="BJ394" s="205"/>
      <c r="BK394" s="205"/>
      <c r="BL394" s="205"/>
    </row>
    <row r="395" spans="62:64" x14ac:dyDescent="0.25">
      <c r="BJ395" s="205"/>
      <c r="BK395" s="205"/>
      <c r="BL395" s="205"/>
    </row>
    <row r="396" spans="62:64" x14ac:dyDescent="0.25">
      <c r="BJ396" s="205"/>
      <c r="BK396" s="205"/>
      <c r="BL396" s="205"/>
    </row>
    <row r="397" spans="62:64" x14ac:dyDescent="0.25">
      <c r="BJ397" s="205"/>
      <c r="BK397" s="205"/>
      <c r="BL397" s="205"/>
    </row>
    <row r="398" spans="62:64" x14ac:dyDescent="0.25">
      <c r="BJ398" s="205"/>
      <c r="BK398" s="205"/>
      <c r="BL398" s="205"/>
    </row>
    <row r="399" spans="62:64" x14ac:dyDescent="0.25">
      <c r="BJ399" s="205"/>
      <c r="BK399" s="205"/>
      <c r="BL399" s="205"/>
    </row>
    <row r="400" spans="62:64" x14ac:dyDescent="0.25">
      <c r="BJ400" s="205"/>
      <c r="BK400" s="205"/>
      <c r="BL400" s="205"/>
    </row>
    <row r="401" spans="62:64" x14ac:dyDescent="0.25">
      <c r="BJ401" s="205"/>
      <c r="BK401" s="205"/>
      <c r="BL401" s="205"/>
    </row>
    <row r="402" spans="62:64" x14ac:dyDescent="0.25">
      <c r="BJ402" s="205"/>
      <c r="BK402" s="205"/>
      <c r="BL402" s="205"/>
    </row>
    <row r="403" spans="62:64" x14ac:dyDescent="0.25">
      <c r="BJ403" s="205"/>
      <c r="BK403" s="205"/>
      <c r="BL403" s="205"/>
    </row>
    <row r="404" spans="62:64" x14ac:dyDescent="0.25">
      <c r="BJ404" s="205"/>
      <c r="BK404" s="205"/>
      <c r="BL404" s="205"/>
    </row>
    <row r="405" spans="62:64" x14ac:dyDescent="0.25">
      <c r="BJ405" s="205"/>
      <c r="BK405" s="205"/>
      <c r="BL405" s="205"/>
    </row>
    <row r="406" spans="62:64" x14ac:dyDescent="0.25">
      <c r="BJ406" s="205"/>
      <c r="BK406" s="205"/>
      <c r="BL406" s="205"/>
    </row>
    <row r="407" spans="62:64" x14ac:dyDescent="0.25">
      <c r="BJ407" s="205"/>
      <c r="BK407" s="205"/>
      <c r="BL407" s="205"/>
    </row>
    <row r="408" spans="62:64" x14ac:dyDescent="0.25">
      <c r="BJ408" s="205"/>
      <c r="BK408" s="205"/>
      <c r="BL408" s="205"/>
    </row>
    <row r="409" spans="62:64" x14ac:dyDescent="0.25">
      <c r="BJ409" s="205"/>
      <c r="BK409" s="205"/>
      <c r="BL409" s="205"/>
    </row>
    <row r="410" spans="62:64" x14ac:dyDescent="0.25">
      <c r="BJ410" s="205"/>
      <c r="BK410" s="205"/>
      <c r="BL410" s="205"/>
    </row>
    <row r="411" spans="62:64" x14ac:dyDescent="0.25">
      <c r="BJ411" s="205"/>
      <c r="BK411" s="205"/>
      <c r="BL411" s="205"/>
    </row>
    <row r="412" spans="62:64" x14ac:dyDescent="0.25">
      <c r="BJ412" s="205"/>
      <c r="BK412" s="205"/>
      <c r="BL412" s="205"/>
    </row>
    <row r="413" spans="62:64" x14ac:dyDescent="0.25">
      <c r="BJ413" s="205"/>
      <c r="BK413" s="205"/>
      <c r="BL413" s="205"/>
    </row>
    <row r="414" spans="62:64" x14ac:dyDescent="0.25">
      <c r="BJ414" s="205"/>
      <c r="BK414" s="205"/>
      <c r="BL414" s="205"/>
    </row>
    <row r="415" spans="62:64" x14ac:dyDescent="0.25">
      <c r="BJ415" s="205"/>
      <c r="BK415" s="205"/>
      <c r="BL415" s="205"/>
    </row>
    <row r="416" spans="62:64" x14ac:dyDescent="0.25">
      <c r="BJ416" s="205"/>
      <c r="BK416" s="205"/>
      <c r="BL416" s="205"/>
    </row>
    <row r="417" spans="62:64" x14ac:dyDescent="0.25">
      <c r="BJ417" s="205"/>
      <c r="BK417" s="205"/>
      <c r="BL417" s="205"/>
    </row>
    <row r="418" spans="62:64" x14ac:dyDescent="0.25">
      <c r="BJ418" s="205"/>
      <c r="BK418" s="205"/>
      <c r="BL418" s="205"/>
    </row>
    <row r="419" spans="62:64" x14ac:dyDescent="0.25">
      <c r="BJ419" s="205"/>
      <c r="BK419" s="205"/>
      <c r="BL419" s="205"/>
    </row>
    <row r="420" spans="62:64" x14ac:dyDescent="0.25">
      <c r="BJ420" s="205"/>
      <c r="BK420" s="205"/>
      <c r="BL420" s="205"/>
    </row>
    <row r="421" spans="62:64" x14ac:dyDescent="0.25">
      <c r="BJ421" s="205"/>
      <c r="BK421" s="205"/>
      <c r="BL421" s="205"/>
    </row>
    <row r="422" spans="62:64" x14ac:dyDescent="0.25">
      <c r="BJ422" s="205"/>
      <c r="BK422" s="205"/>
      <c r="BL422" s="205"/>
    </row>
    <row r="423" spans="62:64" x14ac:dyDescent="0.25">
      <c r="BJ423" s="205"/>
      <c r="BK423" s="205"/>
      <c r="BL423" s="205"/>
    </row>
    <row r="424" spans="62:64" x14ac:dyDescent="0.25">
      <c r="BJ424" s="205"/>
      <c r="BK424" s="205"/>
      <c r="BL424" s="205"/>
    </row>
    <row r="425" spans="62:64" x14ac:dyDescent="0.25">
      <c r="BJ425" s="205"/>
      <c r="BK425" s="205"/>
      <c r="BL425" s="205"/>
    </row>
    <row r="426" spans="62:64" x14ac:dyDescent="0.25">
      <c r="BJ426" s="205"/>
      <c r="BK426" s="205"/>
      <c r="BL426" s="205"/>
    </row>
    <row r="427" spans="62:64" x14ac:dyDescent="0.25">
      <c r="BJ427" s="205"/>
      <c r="BK427" s="205"/>
      <c r="BL427" s="205"/>
    </row>
    <row r="428" spans="62:64" x14ac:dyDescent="0.25">
      <c r="BJ428" s="205"/>
      <c r="BK428" s="205"/>
      <c r="BL428" s="205"/>
    </row>
    <row r="429" spans="62:64" x14ac:dyDescent="0.25">
      <c r="BJ429" s="205"/>
      <c r="BK429" s="205"/>
      <c r="BL429" s="205"/>
    </row>
    <row r="430" spans="62:64" x14ac:dyDescent="0.25">
      <c r="BJ430" s="205"/>
      <c r="BK430" s="205"/>
      <c r="BL430" s="205"/>
    </row>
    <row r="431" spans="62:64" x14ac:dyDescent="0.25">
      <c r="BJ431" s="205"/>
      <c r="BK431" s="205"/>
      <c r="BL431" s="205"/>
    </row>
    <row r="432" spans="62:64" x14ac:dyDescent="0.25">
      <c r="BJ432" s="205"/>
      <c r="BK432" s="205"/>
      <c r="BL432" s="205"/>
    </row>
    <row r="433" spans="62:64" x14ac:dyDescent="0.25">
      <c r="BJ433" s="205"/>
      <c r="BK433" s="205"/>
      <c r="BL433" s="205"/>
    </row>
    <row r="434" spans="62:64" x14ac:dyDescent="0.25">
      <c r="BJ434" s="205"/>
      <c r="BK434" s="205"/>
      <c r="BL434" s="205"/>
    </row>
    <row r="435" spans="62:64" x14ac:dyDescent="0.25">
      <c r="BJ435" s="205"/>
      <c r="BK435" s="205"/>
      <c r="BL435" s="205"/>
    </row>
    <row r="436" spans="62:64" x14ac:dyDescent="0.25">
      <c r="BJ436" s="205"/>
      <c r="BK436" s="205"/>
      <c r="BL436" s="205"/>
    </row>
    <row r="437" spans="62:64" x14ac:dyDescent="0.25">
      <c r="BJ437" s="205"/>
      <c r="BK437" s="205"/>
      <c r="BL437" s="205"/>
    </row>
    <row r="438" spans="62:64" x14ac:dyDescent="0.25">
      <c r="BJ438" s="205"/>
      <c r="BK438" s="205"/>
      <c r="BL438" s="205"/>
    </row>
    <row r="439" spans="62:64" x14ac:dyDescent="0.25">
      <c r="BJ439" s="205"/>
      <c r="BK439" s="205"/>
      <c r="BL439" s="205"/>
    </row>
    <row r="440" spans="62:64" x14ac:dyDescent="0.25">
      <c r="BJ440" s="205"/>
      <c r="BK440" s="205"/>
      <c r="BL440" s="205"/>
    </row>
    <row r="441" spans="62:64" x14ac:dyDescent="0.25">
      <c r="BJ441" s="205"/>
      <c r="BK441" s="205"/>
      <c r="BL441" s="205"/>
    </row>
    <row r="442" spans="62:64" x14ac:dyDescent="0.25">
      <c r="BJ442" s="205"/>
      <c r="BK442" s="205"/>
      <c r="BL442" s="205"/>
    </row>
    <row r="443" spans="62:64" x14ac:dyDescent="0.25">
      <c r="BJ443" s="205"/>
      <c r="BK443" s="205"/>
      <c r="BL443" s="205"/>
    </row>
    <row r="444" spans="62:64" x14ac:dyDescent="0.25">
      <c r="BJ444" s="205"/>
      <c r="BK444" s="205"/>
      <c r="BL444" s="205"/>
    </row>
    <row r="445" spans="62:64" x14ac:dyDescent="0.25">
      <c r="BJ445" s="205"/>
      <c r="BK445" s="205"/>
      <c r="BL445" s="205"/>
    </row>
    <row r="446" spans="62:64" x14ac:dyDescent="0.25">
      <c r="BJ446" s="205"/>
      <c r="BK446" s="205"/>
      <c r="BL446" s="205"/>
    </row>
    <row r="447" spans="62:64" x14ac:dyDescent="0.25">
      <c r="BJ447" s="205"/>
      <c r="BK447" s="205"/>
      <c r="BL447" s="205"/>
    </row>
    <row r="448" spans="62:64" x14ac:dyDescent="0.25">
      <c r="BJ448" s="205"/>
      <c r="BK448" s="205"/>
      <c r="BL448" s="205"/>
    </row>
    <row r="449" spans="62:64" x14ac:dyDescent="0.25">
      <c r="BJ449" s="205"/>
      <c r="BK449" s="205"/>
      <c r="BL449" s="205"/>
    </row>
    <row r="450" spans="62:64" x14ac:dyDescent="0.25">
      <c r="BJ450" s="205"/>
      <c r="BK450" s="205"/>
      <c r="BL450" s="205"/>
    </row>
    <row r="451" spans="62:64" x14ac:dyDescent="0.25">
      <c r="BJ451" s="205"/>
      <c r="BK451" s="205"/>
      <c r="BL451" s="205"/>
    </row>
    <row r="452" spans="62:64" x14ac:dyDescent="0.25">
      <c r="BJ452" s="205"/>
      <c r="BK452" s="205"/>
      <c r="BL452" s="205"/>
    </row>
    <row r="453" spans="62:64" x14ac:dyDescent="0.25">
      <c r="BJ453" s="205"/>
      <c r="BK453" s="205"/>
      <c r="BL453" s="205"/>
    </row>
    <row r="454" spans="62:64" x14ac:dyDescent="0.25">
      <c r="BJ454" s="205"/>
      <c r="BK454" s="205"/>
      <c r="BL454" s="205"/>
    </row>
    <row r="455" spans="62:64" x14ac:dyDescent="0.25">
      <c r="BJ455" s="205"/>
      <c r="BK455" s="205"/>
      <c r="BL455" s="205"/>
    </row>
    <row r="456" spans="62:64" x14ac:dyDescent="0.25">
      <c r="BJ456" s="205"/>
      <c r="BK456" s="205"/>
      <c r="BL456" s="205"/>
    </row>
    <row r="457" spans="62:64" x14ac:dyDescent="0.25">
      <c r="BJ457" s="205"/>
      <c r="BK457" s="205"/>
      <c r="BL457" s="205"/>
    </row>
    <row r="458" spans="62:64" x14ac:dyDescent="0.25">
      <c r="BJ458" s="205"/>
      <c r="BK458" s="205"/>
      <c r="BL458" s="205"/>
    </row>
    <row r="459" spans="62:64" x14ac:dyDescent="0.25">
      <c r="BJ459" s="205"/>
      <c r="BK459" s="205"/>
      <c r="BL459" s="205"/>
    </row>
    <row r="460" spans="62:64" x14ac:dyDescent="0.25">
      <c r="BJ460" s="205"/>
      <c r="BK460" s="205"/>
      <c r="BL460" s="205"/>
    </row>
    <row r="461" spans="62:64" x14ac:dyDescent="0.25">
      <c r="BJ461" s="205"/>
      <c r="BK461" s="205"/>
      <c r="BL461" s="205"/>
    </row>
    <row r="462" spans="62:64" x14ac:dyDescent="0.25">
      <c r="BJ462" s="205"/>
      <c r="BK462" s="205"/>
      <c r="BL462" s="205"/>
    </row>
    <row r="463" spans="62:64" x14ac:dyDescent="0.25">
      <c r="BJ463" s="205"/>
      <c r="BK463" s="205"/>
      <c r="BL463" s="205"/>
    </row>
    <row r="464" spans="62:64" x14ac:dyDescent="0.25">
      <c r="BJ464" s="205"/>
      <c r="BK464" s="205"/>
      <c r="BL464" s="205"/>
    </row>
    <row r="465" spans="62:64" x14ac:dyDescent="0.25">
      <c r="BJ465" s="205"/>
      <c r="BK465" s="205"/>
      <c r="BL465" s="205"/>
    </row>
    <row r="466" spans="62:64" x14ac:dyDescent="0.25">
      <c r="BJ466" s="205"/>
      <c r="BK466" s="205"/>
      <c r="BL466" s="205"/>
    </row>
    <row r="467" spans="62:64" x14ac:dyDescent="0.25">
      <c r="BJ467" s="205"/>
      <c r="BK467" s="205"/>
      <c r="BL467" s="205"/>
    </row>
    <row r="468" spans="62:64" x14ac:dyDescent="0.25">
      <c r="BJ468" s="205"/>
      <c r="BK468" s="205"/>
      <c r="BL468" s="205"/>
    </row>
    <row r="469" spans="62:64" x14ac:dyDescent="0.25">
      <c r="BJ469" s="205"/>
      <c r="BK469" s="205"/>
      <c r="BL469" s="205"/>
    </row>
    <row r="470" spans="62:64" x14ac:dyDescent="0.25">
      <c r="BJ470" s="205"/>
      <c r="BK470" s="205"/>
      <c r="BL470" s="205"/>
    </row>
    <row r="471" spans="62:64" x14ac:dyDescent="0.25">
      <c r="BJ471" s="205"/>
      <c r="BK471" s="205"/>
      <c r="BL471" s="205"/>
    </row>
    <row r="472" spans="62:64" x14ac:dyDescent="0.25">
      <c r="BJ472" s="205"/>
      <c r="BK472" s="205"/>
      <c r="BL472" s="205"/>
    </row>
    <row r="473" spans="62:64" x14ac:dyDescent="0.25">
      <c r="BJ473" s="205"/>
      <c r="BK473" s="205"/>
      <c r="BL473" s="205"/>
    </row>
    <row r="474" spans="62:64" x14ac:dyDescent="0.25">
      <c r="BJ474" s="205"/>
      <c r="BK474" s="205"/>
      <c r="BL474" s="205"/>
    </row>
    <row r="475" spans="62:64" x14ac:dyDescent="0.25">
      <c r="BJ475" s="205"/>
      <c r="BK475" s="205"/>
      <c r="BL475" s="205"/>
    </row>
    <row r="476" spans="62:64" x14ac:dyDescent="0.25">
      <c r="BJ476" s="205"/>
      <c r="BK476" s="205"/>
      <c r="BL476" s="205"/>
    </row>
    <row r="477" spans="62:64" x14ac:dyDescent="0.25">
      <c r="BJ477" s="205"/>
      <c r="BK477" s="205"/>
      <c r="BL477" s="205"/>
    </row>
    <row r="478" spans="62:64" x14ac:dyDescent="0.25">
      <c r="BJ478" s="205"/>
      <c r="BK478" s="205"/>
      <c r="BL478" s="205"/>
    </row>
    <row r="479" spans="62:64" x14ac:dyDescent="0.25">
      <c r="BJ479" s="205"/>
      <c r="BK479" s="205"/>
      <c r="BL479" s="205"/>
    </row>
    <row r="480" spans="62:64" x14ac:dyDescent="0.25">
      <c r="BJ480" s="205"/>
      <c r="BK480" s="205"/>
      <c r="BL480" s="205"/>
    </row>
    <row r="481" spans="62:64" x14ac:dyDescent="0.25">
      <c r="BJ481" s="205"/>
      <c r="BK481" s="205"/>
      <c r="BL481" s="205"/>
    </row>
    <row r="482" spans="62:64" x14ac:dyDescent="0.25">
      <c r="BJ482" s="205"/>
      <c r="BK482" s="205"/>
      <c r="BL482" s="205"/>
    </row>
    <row r="483" spans="62:64" x14ac:dyDescent="0.25">
      <c r="BJ483" s="205"/>
      <c r="BK483" s="205"/>
      <c r="BL483" s="205"/>
    </row>
    <row r="484" spans="62:64" x14ac:dyDescent="0.25">
      <c r="BJ484" s="205"/>
      <c r="BK484" s="205"/>
      <c r="BL484" s="205"/>
    </row>
    <row r="485" spans="62:64" x14ac:dyDescent="0.25">
      <c r="BJ485" s="205"/>
      <c r="BK485" s="205"/>
      <c r="BL485" s="205"/>
    </row>
    <row r="486" spans="62:64" x14ac:dyDescent="0.25">
      <c r="BJ486" s="205"/>
      <c r="BK486" s="205"/>
      <c r="BL486" s="205"/>
    </row>
    <row r="487" spans="62:64" x14ac:dyDescent="0.25">
      <c r="BJ487" s="205"/>
      <c r="BK487" s="205"/>
      <c r="BL487" s="205"/>
    </row>
    <row r="488" spans="62:64" x14ac:dyDescent="0.25">
      <c r="BJ488" s="205"/>
      <c r="BK488" s="205"/>
      <c r="BL488" s="205"/>
    </row>
    <row r="489" spans="62:64" x14ac:dyDescent="0.25">
      <c r="BJ489" s="205"/>
      <c r="BK489" s="205"/>
      <c r="BL489" s="205"/>
    </row>
    <row r="490" spans="62:64" x14ac:dyDescent="0.25">
      <c r="BJ490" s="205"/>
      <c r="BK490" s="205"/>
      <c r="BL490" s="205"/>
    </row>
    <row r="491" spans="62:64" x14ac:dyDescent="0.25">
      <c r="BJ491" s="205"/>
      <c r="BK491" s="205"/>
      <c r="BL491" s="205"/>
    </row>
    <row r="492" spans="62:64" x14ac:dyDescent="0.25">
      <c r="BJ492" s="205"/>
      <c r="BK492" s="205"/>
      <c r="BL492" s="205"/>
    </row>
    <row r="493" spans="62:64" x14ac:dyDescent="0.25">
      <c r="BJ493" s="205"/>
      <c r="BK493" s="205"/>
      <c r="BL493" s="205"/>
    </row>
    <row r="494" spans="62:64" x14ac:dyDescent="0.25">
      <c r="BJ494" s="205"/>
      <c r="BK494" s="205"/>
      <c r="BL494" s="205"/>
    </row>
    <row r="495" spans="62:64" x14ac:dyDescent="0.25">
      <c r="BJ495" s="205"/>
      <c r="BK495" s="205"/>
      <c r="BL495" s="205"/>
    </row>
    <row r="496" spans="62:64" x14ac:dyDescent="0.25">
      <c r="BJ496" s="205"/>
      <c r="BK496" s="205"/>
      <c r="BL496" s="205"/>
    </row>
    <row r="497" spans="62:64" x14ac:dyDescent="0.25">
      <c r="BJ497" s="205"/>
      <c r="BK497" s="205"/>
      <c r="BL497" s="205"/>
    </row>
    <row r="498" spans="62:64" x14ac:dyDescent="0.25">
      <c r="BJ498" s="205"/>
      <c r="BK498" s="205"/>
      <c r="BL498" s="205"/>
    </row>
    <row r="499" spans="62:64" x14ac:dyDescent="0.25">
      <c r="BJ499" s="205"/>
      <c r="BK499" s="205"/>
      <c r="BL499" s="205"/>
    </row>
    <row r="500" spans="62:64" x14ac:dyDescent="0.25">
      <c r="BJ500" s="205"/>
      <c r="BK500" s="205"/>
      <c r="BL500" s="205"/>
    </row>
    <row r="501" spans="62:64" x14ac:dyDescent="0.25">
      <c r="BJ501" s="205"/>
      <c r="BK501" s="205"/>
      <c r="BL501" s="205"/>
    </row>
    <row r="502" spans="62:64" x14ac:dyDescent="0.25">
      <c r="BJ502" s="205"/>
      <c r="BK502" s="205"/>
      <c r="BL502" s="205"/>
    </row>
    <row r="503" spans="62:64" x14ac:dyDescent="0.25">
      <c r="BJ503" s="205"/>
      <c r="BK503" s="205"/>
      <c r="BL503" s="205"/>
    </row>
    <row r="504" spans="62:64" x14ac:dyDescent="0.25">
      <c r="BJ504" s="205"/>
      <c r="BK504" s="205"/>
      <c r="BL504" s="205"/>
    </row>
    <row r="505" spans="62:64" x14ac:dyDescent="0.25">
      <c r="BJ505" s="205"/>
      <c r="BK505" s="205"/>
      <c r="BL505" s="205"/>
    </row>
    <row r="506" spans="62:64" x14ac:dyDescent="0.25">
      <c r="BJ506" s="205"/>
      <c r="BK506" s="205"/>
      <c r="BL506" s="205"/>
    </row>
    <row r="507" spans="62:64" x14ac:dyDescent="0.25">
      <c r="BJ507" s="205"/>
      <c r="BK507" s="205"/>
      <c r="BL507" s="205"/>
    </row>
    <row r="508" spans="62:64" x14ac:dyDescent="0.25">
      <c r="BJ508" s="205"/>
      <c r="BK508" s="205"/>
      <c r="BL508" s="205"/>
    </row>
    <row r="509" spans="62:64" x14ac:dyDescent="0.25">
      <c r="BJ509" s="205"/>
      <c r="BK509" s="205"/>
      <c r="BL509" s="205"/>
    </row>
    <row r="510" spans="62:64" x14ac:dyDescent="0.25">
      <c r="BJ510" s="205"/>
      <c r="BK510" s="205"/>
      <c r="BL510" s="205"/>
    </row>
    <row r="511" spans="62:64" x14ac:dyDescent="0.25">
      <c r="BJ511" s="205"/>
      <c r="BK511" s="205"/>
      <c r="BL511" s="205"/>
    </row>
    <row r="512" spans="62:64" x14ac:dyDescent="0.25">
      <c r="BJ512" s="205"/>
      <c r="BK512" s="205"/>
      <c r="BL512" s="205"/>
    </row>
    <row r="513" spans="62:64" x14ac:dyDescent="0.25">
      <c r="BJ513" s="205"/>
      <c r="BK513" s="205"/>
      <c r="BL513" s="205"/>
    </row>
    <row r="514" spans="62:64" x14ac:dyDescent="0.25">
      <c r="BJ514" s="205"/>
      <c r="BK514" s="205"/>
      <c r="BL514" s="205"/>
    </row>
    <row r="515" spans="62:64" x14ac:dyDescent="0.25">
      <c r="BJ515" s="205"/>
      <c r="BK515" s="205"/>
      <c r="BL515" s="205"/>
    </row>
    <row r="516" spans="62:64" x14ac:dyDescent="0.25">
      <c r="BJ516" s="205"/>
      <c r="BK516" s="205"/>
      <c r="BL516" s="205"/>
    </row>
    <row r="517" spans="62:64" x14ac:dyDescent="0.25">
      <c r="BJ517" s="205"/>
      <c r="BK517" s="205"/>
      <c r="BL517" s="205"/>
    </row>
    <row r="518" spans="62:64" x14ac:dyDescent="0.25">
      <c r="BJ518" s="205"/>
      <c r="BK518" s="205"/>
      <c r="BL518" s="205"/>
    </row>
    <row r="519" spans="62:64" x14ac:dyDescent="0.25">
      <c r="BJ519" s="205"/>
      <c r="BK519" s="205"/>
      <c r="BL519" s="205"/>
    </row>
    <row r="520" spans="62:64" x14ac:dyDescent="0.25">
      <c r="BJ520" s="205"/>
      <c r="BK520" s="205"/>
      <c r="BL520" s="205"/>
    </row>
    <row r="521" spans="62:64" x14ac:dyDescent="0.25">
      <c r="BJ521" s="205"/>
      <c r="BK521" s="205"/>
      <c r="BL521" s="205"/>
    </row>
    <row r="522" spans="62:64" x14ac:dyDescent="0.25">
      <c r="BJ522" s="205"/>
      <c r="BK522" s="205"/>
      <c r="BL522" s="205"/>
    </row>
    <row r="523" spans="62:64" x14ac:dyDescent="0.25">
      <c r="BJ523" s="205"/>
      <c r="BK523" s="205"/>
      <c r="BL523" s="205"/>
    </row>
    <row r="524" spans="62:64" x14ac:dyDescent="0.25">
      <c r="BJ524" s="205"/>
      <c r="BK524" s="205"/>
      <c r="BL524" s="205"/>
    </row>
    <row r="525" spans="62:64" x14ac:dyDescent="0.25">
      <c r="BJ525" s="205"/>
      <c r="BK525" s="205"/>
      <c r="BL525" s="205"/>
    </row>
    <row r="526" spans="62:64" x14ac:dyDescent="0.25">
      <c r="BJ526" s="205"/>
      <c r="BK526" s="205"/>
      <c r="BL526" s="205"/>
    </row>
    <row r="527" spans="62:64" x14ac:dyDescent="0.25">
      <c r="BJ527" s="205"/>
      <c r="BK527" s="205"/>
      <c r="BL527" s="205"/>
    </row>
    <row r="528" spans="62:64" x14ac:dyDescent="0.25">
      <c r="BJ528" s="205"/>
      <c r="BK528" s="205"/>
      <c r="BL528" s="205"/>
    </row>
    <row r="529" spans="62:64" x14ac:dyDescent="0.25">
      <c r="BJ529" s="205"/>
      <c r="BK529" s="205"/>
      <c r="BL529" s="205"/>
    </row>
    <row r="530" spans="62:64" x14ac:dyDescent="0.25">
      <c r="BJ530" s="205"/>
      <c r="BK530" s="205"/>
      <c r="BL530" s="205"/>
    </row>
    <row r="531" spans="62:64" x14ac:dyDescent="0.25">
      <c r="BJ531" s="205"/>
      <c r="BK531" s="205"/>
      <c r="BL531" s="205"/>
    </row>
    <row r="532" spans="62:64" x14ac:dyDescent="0.25">
      <c r="BJ532" s="205"/>
      <c r="BK532" s="205"/>
      <c r="BL532" s="205"/>
    </row>
    <row r="533" spans="62:64" x14ac:dyDescent="0.25">
      <c r="BJ533" s="205"/>
      <c r="BK533" s="205"/>
      <c r="BL533" s="205"/>
    </row>
    <row r="534" spans="62:64" x14ac:dyDescent="0.25">
      <c r="BJ534" s="205"/>
      <c r="BK534" s="205"/>
      <c r="BL534" s="205"/>
    </row>
    <row r="535" spans="62:64" x14ac:dyDescent="0.25">
      <c r="BJ535" s="205"/>
      <c r="BK535" s="205"/>
      <c r="BL535" s="205"/>
    </row>
    <row r="536" spans="62:64" x14ac:dyDescent="0.25">
      <c r="BJ536" s="205"/>
      <c r="BK536" s="205"/>
      <c r="BL536" s="205"/>
    </row>
    <row r="537" spans="62:64" x14ac:dyDescent="0.25">
      <c r="BJ537" s="205"/>
      <c r="BK537" s="205"/>
      <c r="BL537" s="205"/>
    </row>
    <row r="538" spans="62:64" x14ac:dyDescent="0.25">
      <c r="BJ538" s="205"/>
      <c r="BK538" s="205"/>
      <c r="BL538" s="205"/>
    </row>
    <row r="539" spans="62:64" x14ac:dyDescent="0.25">
      <c r="BJ539" s="205"/>
      <c r="BK539" s="205"/>
      <c r="BL539" s="205"/>
    </row>
    <row r="540" spans="62:64" x14ac:dyDescent="0.25">
      <c r="BJ540" s="205"/>
      <c r="BK540" s="205"/>
      <c r="BL540" s="205"/>
    </row>
    <row r="541" spans="62:64" x14ac:dyDescent="0.25">
      <c r="BJ541" s="205"/>
      <c r="BK541" s="205"/>
      <c r="BL541" s="205"/>
    </row>
    <row r="542" spans="62:64" x14ac:dyDescent="0.25">
      <c r="BJ542" s="205"/>
      <c r="BK542" s="205"/>
      <c r="BL542" s="205"/>
    </row>
    <row r="543" spans="62:64" x14ac:dyDescent="0.25">
      <c r="BJ543" s="205"/>
      <c r="BK543" s="205"/>
      <c r="BL543" s="205"/>
    </row>
    <row r="544" spans="62:64" x14ac:dyDescent="0.25">
      <c r="BJ544" s="205"/>
      <c r="BK544" s="205"/>
      <c r="BL544" s="205"/>
    </row>
    <row r="545" spans="62:64" x14ac:dyDescent="0.25">
      <c r="BJ545" s="205"/>
      <c r="BK545" s="205"/>
      <c r="BL545" s="205"/>
    </row>
    <row r="546" spans="62:64" x14ac:dyDescent="0.25">
      <c r="BJ546" s="205"/>
      <c r="BK546" s="205"/>
      <c r="BL546" s="205"/>
    </row>
    <row r="547" spans="62:64" x14ac:dyDescent="0.25">
      <c r="BJ547" s="205"/>
      <c r="BK547" s="205"/>
      <c r="BL547" s="205"/>
    </row>
    <row r="548" spans="62:64" x14ac:dyDescent="0.25">
      <c r="BJ548" s="205"/>
      <c r="BK548" s="205"/>
      <c r="BL548" s="205"/>
    </row>
    <row r="549" spans="62:64" x14ac:dyDescent="0.25">
      <c r="BJ549" s="205"/>
      <c r="BK549" s="205"/>
      <c r="BL549" s="205"/>
    </row>
    <row r="550" spans="62:64" x14ac:dyDescent="0.25">
      <c r="BJ550" s="205"/>
      <c r="BK550" s="205"/>
      <c r="BL550" s="205"/>
    </row>
    <row r="551" spans="62:64" x14ac:dyDescent="0.25">
      <c r="BJ551" s="205"/>
      <c r="BK551" s="205"/>
      <c r="BL551" s="205"/>
    </row>
    <row r="552" spans="62:64" x14ac:dyDescent="0.25">
      <c r="BJ552" s="205"/>
      <c r="BK552" s="205"/>
      <c r="BL552" s="205"/>
    </row>
    <row r="553" spans="62:64" x14ac:dyDescent="0.25">
      <c r="BJ553" s="205"/>
      <c r="BK553" s="205"/>
      <c r="BL553" s="205"/>
    </row>
    <row r="554" spans="62:64" x14ac:dyDescent="0.25">
      <c r="BJ554" s="205"/>
      <c r="BK554" s="205"/>
      <c r="BL554" s="205"/>
    </row>
    <row r="555" spans="62:64" x14ac:dyDescent="0.25">
      <c r="BJ555" s="205"/>
      <c r="BK555" s="205"/>
      <c r="BL555" s="205"/>
    </row>
    <row r="556" spans="62:64" x14ac:dyDescent="0.25">
      <c r="BJ556" s="205"/>
      <c r="BK556" s="205"/>
      <c r="BL556" s="205"/>
    </row>
    <row r="557" spans="62:64" x14ac:dyDescent="0.25">
      <c r="BJ557" s="205"/>
      <c r="BK557" s="205"/>
      <c r="BL557" s="205"/>
    </row>
    <row r="558" spans="62:64" x14ac:dyDescent="0.25">
      <c r="BJ558" s="205"/>
      <c r="BK558" s="205"/>
      <c r="BL558" s="205"/>
    </row>
    <row r="559" spans="62:64" x14ac:dyDescent="0.25">
      <c r="BJ559" s="205"/>
      <c r="BK559" s="205"/>
      <c r="BL559" s="205"/>
    </row>
    <row r="560" spans="62:64" x14ac:dyDescent="0.25">
      <c r="BJ560" s="205"/>
      <c r="BK560" s="205"/>
      <c r="BL560" s="205"/>
    </row>
    <row r="561" spans="62:64" x14ac:dyDescent="0.25">
      <c r="BJ561" s="205"/>
      <c r="BK561" s="205"/>
      <c r="BL561" s="205"/>
    </row>
    <row r="562" spans="62:64" x14ac:dyDescent="0.25">
      <c r="BJ562" s="205"/>
      <c r="BK562" s="205"/>
      <c r="BL562" s="205"/>
    </row>
    <row r="563" spans="62:64" x14ac:dyDescent="0.25">
      <c r="BJ563" s="205"/>
      <c r="BK563" s="205"/>
      <c r="BL563" s="205"/>
    </row>
    <row r="564" spans="62:64" x14ac:dyDescent="0.25">
      <c r="BJ564" s="205"/>
      <c r="BK564" s="205"/>
      <c r="BL564" s="205"/>
    </row>
    <row r="565" spans="62:64" x14ac:dyDescent="0.25">
      <c r="BJ565" s="205"/>
      <c r="BK565" s="205"/>
      <c r="BL565" s="205"/>
    </row>
    <row r="566" spans="62:64" x14ac:dyDescent="0.25">
      <c r="BJ566" s="205"/>
      <c r="BK566" s="205"/>
      <c r="BL566" s="205"/>
    </row>
    <row r="567" spans="62:64" x14ac:dyDescent="0.25">
      <c r="BJ567" s="205"/>
      <c r="BK567" s="205"/>
      <c r="BL567" s="205"/>
    </row>
    <row r="568" spans="62:64" x14ac:dyDescent="0.25">
      <c r="BJ568" s="205"/>
      <c r="BK568" s="205"/>
      <c r="BL568" s="205"/>
    </row>
    <row r="569" spans="62:64" x14ac:dyDescent="0.25">
      <c r="BJ569" s="205"/>
      <c r="BK569" s="205"/>
      <c r="BL569" s="205"/>
    </row>
    <row r="570" spans="62:64" x14ac:dyDescent="0.25">
      <c r="BJ570" s="205"/>
      <c r="BK570" s="205"/>
      <c r="BL570" s="205"/>
    </row>
    <row r="571" spans="62:64" x14ac:dyDescent="0.25">
      <c r="BJ571" s="205"/>
      <c r="BK571" s="205"/>
      <c r="BL571" s="205"/>
    </row>
    <row r="572" spans="62:64" x14ac:dyDescent="0.25">
      <c r="BJ572" s="205"/>
      <c r="BK572" s="205"/>
      <c r="BL572" s="205"/>
    </row>
    <row r="573" spans="62:64" x14ac:dyDescent="0.25">
      <c r="BJ573" s="205"/>
      <c r="BK573" s="205"/>
      <c r="BL573" s="205"/>
    </row>
    <row r="574" spans="62:64" x14ac:dyDescent="0.25">
      <c r="BJ574" s="205"/>
      <c r="BK574" s="205"/>
      <c r="BL574" s="205"/>
    </row>
    <row r="575" spans="62:64" x14ac:dyDescent="0.25">
      <c r="BJ575" s="205"/>
      <c r="BK575" s="205"/>
      <c r="BL575" s="205"/>
    </row>
    <row r="576" spans="62:64" x14ac:dyDescent="0.25">
      <c r="BJ576" s="205"/>
      <c r="BK576" s="205"/>
      <c r="BL576" s="205"/>
    </row>
    <row r="577" spans="62:64" x14ac:dyDescent="0.25">
      <c r="BJ577" s="205"/>
      <c r="BK577" s="205"/>
      <c r="BL577" s="205"/>
    </row>
    <row r="578" spans="62:64" x14ac:dyDescent="0.25">
      <c r="BJ578" s="205"/>
      <c r="BK578" s="205"/>
      <c r="BL578" s="205"/>
    </row>
    <row r="579" spans="62:64" x14ac:dyDescent="0.25">
      <c r="BJ579" s="205"/>
      <c r="BK579" s="205"/>
      <c r="BL579" s="205"/>
    </row>
    <row r="580" spans="62:64" x14ac:dyDescent="0.25">
      <c r="BJ580" s="205"/>
      <c r="BK580" s="205"/>
      <c r="BL580" s="205"/>
    </row>
    <row r="581" spans="62:64" x14ac:dyDescent="0.25">
      <c r="BJ581" s="205"/>
      <c r="BK581" s="205"/>
      <c r="BL581" s="205"/>
    </row>
    <row r="582" spans="62:64" x14ac:dyDescent="0.25">
      <c r="BJ582" s="205"/>
      <c r="BK582" s="205"/>
      <c r="BL582" s="205"/>
    </row>
    <row r="583" spans="62:64" x14ac:dyDescent="0.25">
      <c r="BJ583" s="205"/>
      <c r="BK583" s="205"/>
      <c r="BL583" s="205"/>
    </row>
    <row r="584" spans="62:64" x14ac:dyDescent="0.25">
      <c r="BJ584" s="205"/>
      <c r="BK584" s="205"/>
      <c r="BL584" s="205"/>
    </row>
    <row r="585" spans="62:64" x14ac:dyDescent="0.25">
      <c r="BJ585" s="205"/>
      <c r="BK585" s="205"/>
      <c r="BL585" s="205"/>
    </row>
    <row r="586" spans="62:64" x14ac:dyDescent="0.25">
      <c r="BJ586" s="205"/>
      <c r="BK586" s="205"/>
      <c r="BL586" s="205"/>
    </row>
    <row r="587" spans="62:64" x14ac:dyDescent="0.25">
      <c r="BJ587" s="205"/>
      <c r="BK587" s="205"/>
      <c r="BL587" s="205"/>
    </row>
    <row r="588" spans="62:64" x14ac:dyDescent="0.25">
      <c r="BJ588" s="205"/>
      <c r="BK588" s="205"/>
      <c r="BL588" s="205"/>
    </row>
    <row r="589" spans="62:64" x14ac:dyDescent="0.25">
      <c r="BJ589" s="205"/>
      <c r="BK589" s="205"/>
      <c r="BL589" s="205"/>
    </row>
    <row r="590" spans="62:64" x14ac:dyDescent="0.25">
      <c r="BJ590" s="205"/>
      <c r="BK590" s="205"/>
      <c r="BL590" s="205"/>
    </row>
    <row r="591" spans="62:64" x14ac:dyDescent="0.25">
      <c r="BJ591" s="205"/>
      <c r="BK591" s="205"/>
      <c r="BL591" s="205"/>
    </row>
    <row r="592" spans="62:64" x14ac:dyDescent="0.25">
      <c r="BJ592" s="205"/>
      <c r="BK592" s="205"/>
      <c r="BL592" s="205"/>
    </row>
    <row r="593" spans="62:64" x14ac:dyDescent="0.25">
      <c r="BJ593" s="205"/>
      <c r="BK593" s="205"/>
      <c r="BL593" s="205"/>
    </row>
    <row r="594" spans="62:64" x14ac:dyDescent="0.25">
      <c r="BJ594" s="205"/>
      <c r="BK594" s="205"/>
      <c r="BL594" s="205"/>
    </row>
    <row r="595" spans="62:64" x14ac:dyDescent="0.25">
      <c r="BJ595" s="205"/>
      <c r="BK595" s="205"/>
      <c r="BL595" s="205"/>
    </row>
    <row r="596" spans="62:64" x14ac:dyDescent="0.25">
      <c r="BJ596" s="205"/>
      <c r="BK596" s="205"/>
      <c r="BL596" s="205"/>
    </row>
    <row r="597" spans="62:64" x14ac:dyDescent="0.25">
      <c r="BJ597" s="205"/>
      <c r="BK597" s="205"/>
      <c r="BL597" s="205"/>
    </row>
    <row r="598" spans="62:64" x14ac:dyDescent="0.25">
      <c r="BJ598" s="205"/>
      <c r="BK598" s="205"/>
      <c r="BL598" s="205"/>
    </row>
    <row r="599" spans="62:64" x14ac:dyDescent="0.25">
      <c r="BJ599" s="205"/>
      <c r="BK599" s="205"/>
      <c r="BL599" s="205"/>
    </row>
    <row r="600" spans="62:64" x14ac:dyDescent="0.25">
      <c r="BJ600" s="205"/>
      <c r="BK600" s="205"/>
      <c r="BL600" s="205"/>
    </row>
    <row r="601" spans="62:64" x14ac:dyDescent="0.25">
      <c r="BJ601" s="205"/>
      <c r="BK601" s="205"/>
      <c r="BL601" s="205"/>
    </row>
    <row r="602" spans="62:64" x14ac:dyDescent="0.25">
      <c r="BJ602" s="205"/>
      <c r="BK602" s="205"/>
      <c r="BL602" s="205"/>
    </row>
    <row r="603" spans="62:64" x14ac:dyDescent="0.25">
      <c r="BJ603" s="205"/>
      <c r="BK603" s="205"/>
      <c r="BL603" s="205"/>
    </row>
    <row r="604" spans="62:64" x14ac:dyDescent="0.25">
      <c r="BJ604" s="205"/>
      <c r="BK604" s="205"/>
      <c r="BL604" s="205"/>
    </row>
    <row r="605" spans="62:64" x14ac:dyDescent="0.25">
      <c r="BJ605" s="205"/>
      <c r="BK605" s="205"/>
      <c r="BL605" s="205"/>
    </row>
    <row r="606" spans="62:64" x14ac:dyDescent="0.25">
      <c r="BJ606" s="205"/>
      <c r="BK606" s="205"/>
      <c r="BL606" s="205"/>
    </row>
    <row r="607" spans="62:64" x14ac:dyDescent="0.25">
      <c r="BJ607" s="205"/>
      <c r="BK607" s="205"/>
      <c r="BL607" s="205"/>
    </row>
    <row r="608" spans="62:64" x14ac:dyDescent="0.25">
      <c r="BJ608" s="205"/>
      <c r="BK608" s="205"/>
      <c r="BL608" s="205"/>
    </row>
    <row r="609" spans="62:64" x14ac:dyDescent="0.25">
      <c r="BJ609" s="205"/>
      <c r="BK609" s="205"/>
      <c r="BL609" s="205"/>
    </row>
    <row r="610" spans="62:64" x14ac:dyDescent="0.25">
      <c r="BJ610" s="205"/>
      <c r="BK610" s="205"/>
      <c r="BL610" s="205"/>
    </row>
    <row r="611" spans="62:64" x14ac:dyDescent="0.25">
      <c r="BJ611" s="205"/>
      <c r="BK611" s="205"/>
      <c r="BL611" s="205"/>
    </row>
    <row r="612" spans="62:64" x14ac:dyDescent="0.25">
      <c r="BJ612" s="205"/>
      <c r="BK612" s="205"/>
      <c r="BL612" s="205"/>
    </row>
    <row r="613" spans="62:64" x14ac:dyDescent="0.25">
      <c r="BJ613" s="205"/>
      <c r="BK613" s="205"/>
      <c r="BL613" s="205"/>
    </row>
    <row r="614" spans="62:64" x14ac:dyDescent="0.25">
      <c r="BJ614" s="205"/>
      <c r="BK614" s="205"/>
      <c r="BL614" s="205"/>
    </row>
    <row r="615" spans="62:64" x14ac:dyDescent="0.25">
      <c r="BJ615" s="205"/>
      <c r="BK615" s="205"/>
      <c r="BL615" s="205"/>
    </row>
    <row r="616" spans="62:64" x14ac:dyDescent="0.25">
      <c r="BJ616" s="205"/>
      <c r="BK616" s="205"/>
      <c r="BL616" s="205"/>
    </row>
    <row r="617" spans="62:64" x14ac:dyDescent="0.25">
      <c r="BJ617" s="205"/>
      <c r="BK617" s="205"/>
      <c r="BL617" s="205"/>
    </row>
    <row r="618" spans="62:64" x14ac:dyDescent="0.25">
      <c r="BJ618" s="205"/>
      <c r="BK618" s="205"/>
      <c r="BL618" s="205"/>
    </row>
    <row r="619" spans="62:64" x14ac:dyDescent="0.25">
      <c r="BJ619" s="205"/>
      <c r="BK619" s="205"/>
      <c r="BL619" s="205"/>
    </row>
    <row r="620" spans="62:64" x14ac:dyDescent="0.25">
      <c r="BJ620" s="205"/>
      <c r="BK620" s="205"/>
      <c r="BL620" s="205"/>
    </row>
    <row r="621" spans="62:64" x14ac:dyDescent="0.25">
      <c r="BJ621" s="205"/>
      <c r="BK621" s="205"/>
      <c r="BL621" s="205"/>
    </row>
    <row r="622" spans="62:64" x14ac:dyDescent="0.25">
      <c r="BJ622" s="205"/>
      <c r="BK622" s="205"/>
      <c r="BL622" s="205"/>
    </row>
    <row r="623" spans="62:64" x14ac:dyDescent="0.25">
      <c r="BJ623" s="205"/>
      <c r="BK623" s="205"/>
      <c r="BL623" s="205"/>
    </row>
    <row r="624" spans="62:64" x14ac:dyDescent="0.25">
      <c r="BJ624" s="205"/>
      <c r="BK624" s="205"/>
      <c r="BL624" s="205"/>
    </row>
    <row r="625" spans="62:64" x14ac:dyDescent="0.25">
      <c r="BJ625" s="205"/>
      <c r="BK625" s="205"/>
      <c r="BL625" s="205"/>
    </row>
    <row r="626" spans="62:64" x14ac:dyDescent="0.25">
      <c r="BJ626" s="205"/>
      <c r="BK626" s="205"/>
      <c r="BL626" s="205"/>
    </row>
    <row r="627" spans="62:64" x14ac:dyDescent="0.25">
      <c r="BJ627" s="205"/>
      <c r="BK627" s="205"/>
      <c r="BL627" s="205"/>
    </row>
    <row r="628" spans="62:64" x14ac:dyDescent="0.25">
      <c r="BJ628" s="205"/>
      <c r="BK628" s="205"/>
      <c r="BL628" s="205"/>
    </row>
    <row r="629" spans="62:64" x14ac:dyDescent="0.25">
      <c r="BJ629" s="205"/>
      <c r="BK629" s="205"/>
      <c r="BL629" s="205"/>
    </row>
    <row r="630" spans="62:64" x14ac:dyDescent="0.25">
      <c r="BJ630" s="205"/>
      <c r="BK630" s="205"/>
      <c r="BL630" s="205"/>
    </row>
    <row r="631" spans="62:64" x14ac:dyDescent="0.25">
      <c r="BJ631" s="205"/>
      <c r="BK631" s="205"/>
      <c r="BL631" s="205"/>
    </row>
    <row r="632" spans="62:64" x14ac:dyDescent="0.25">
      <c r="BJ632" s="205"/>
      <c r="BK632" s="205"/>
      <c r="BL632" s="205"/>
    </row>
    <row r="633" spans="62:64" x14ac:dyDescent="0.25">
      <c r="BJ633" s="205"/>
      <c r="BK633" s="205"/>
      <c r="BL633" s="205"/>
    </row>
    <row r="634" spans="62:64" x14ac:dyDescent="0.25">
      <c r="BJ634" s="205"/>
      <c r="BK634" s="205"/>
      <c r="BL634" s="205"/>
    </row>
    <row r="635" spans="62:64" x14ac:dyDescent="0.25">
      <c r="BJ635" s="205"/>
      <c r="BK635" s="205"/>
      <c r="BL635" s="205"/>
    </row>
    <row r="636" spans="62:64" x14ac:dyDescent="0.25">
      <c r="BJ636" s="205"/>
      <c r="BK636" s="205"/>
      <c r="BL636" s="205"/>
    </row>
    <row r="637" spans="62:64" x14ac:dyDescent="0.25">
      <c r="BJ637" s="205"/>
      <c r="BK637" s="205"/>
      <c r="BL637" s="205"/>
    </row>
    <row r="638" spans="62:64" x14ac:dyDescent="0.25">
      <c r="BJ638" s="205"/>
      <c r="BK638" s="205"/>
      <c r="BL638" s="205"/>
    </row>
    <row r="639" spans="62:64" x14ac:dyDescent="0.25">
      <c r="BJ639" s="205"/>
      <c r="BK639" s="205"/>
      <c r="BL639" s="205"/>
    </row>
    <row r="640" spans="62:64" x14ac:dyDescent="0.25">
      <c r="BJ640" s="205"/>
      <c r="BK640" s="205"/>
      <c r="BL640" s="205"/>
    </row>
    <row r="641" spans="62:64" x14ac:dyDescent="0.25">
      <c r="BJ641" s="205"/>
      <c r="BK641" s="205"/>
      <c r="BL641" s="205"/>
    </row>
    <row r="642" spans="62:64" x14ac:dyDescent="0.25">
      <c r="BJ642" s="205"/>
      <c r="BK642" s="205"/>
      <c r="BL642" s="205"/>
    </row>
    <row r="643" spans="62:64" x14ac:dyDescent="0.25">
      <c r="BJ643" s="205"/>
      <c r="BK643" s="205"/>
      <c r="BL643" s="205"/>
    </row>
    <row r="644" spans="62:64" x14ac:dyDescent="0.25">
      <c r="BJ644" s="205"/>
      <c r="BK644" s="205"/>
      <c r="BL644" s="205"/>
    </row>
    <row r="645" spans="62:64" x14ac:dyDescent="0.25">
      <c r="BJ645" s="205"/>
      <c r="BK645" s="205"/>
      <c r="BL645" s="205"/>
    </row>
    <row r="646" spans="62:64" x14ac:dyDescent="0.25">
      <c r="BJ646" s="205"/>
      <c r="BK646" s="205"/>
      <c r="BL646" s="205"/>
    </row>
    <row r="647" spans="62:64" x14ac:dyDescent="0.25">
      <c r="BJ647" s="205"/>
      <c r="BK647" s="205"/>
      <c r="BL647" s="205"/>
    </row>
    <row r="648" spans="62:64" x14ac:dyDescent="0.25">
      <c r="BJ648" s="205"/>
      <c r="BK648" s="205"/>
      <c r="BL648" s="205"/>
    </row>
    <row r="649" spans="62:64" x14ac:dyDescent="0.25">
      <c r="BJ649" s="205"/>
      <c r="BK649" s="205"/>
      <c r="BL649" s="205"/>
    </row>
    <row r="650" spans="62:64" x14ac:dyDescent="0.25">
      <c r="BJ650" s="205"/>
      <c r="BK650" s="205"/>
      <c r="BL650" s="205"/>
    </row>
    <row r="651" spans="62:64" x14ac:dyDescent="0.25">
      <c r="BJ651" s="205"/>
      <c r="BK651" s="205"/>
      <c r="BL651" s="205"/>
    </row>
    <row r="652" spans="62:64" x14ac:dyDescent="0.25">
      <c r="BJ652" s="205"/>
      <c r="BK652" s="205"/>
      <c r="BL652" s="205"/>
    </row>
    <row r="653" spans="62:64" x14ac:dyDescent="0.25">
      <c r="BJ653" s="205"/>
      <c r="BK653" s="205"/>
      <c r="BL653" s="205"/>
    </row>
    <row r="654" spans="62:64" x14ac:dyDescent="0.25">
      <c r="BJ654" s="205"/>
      <c r="BK654" s="205"/>
      <c r="BL654" s="205"/>
    </row>
    <row r="655" spans="62:64" x14ac:dyDescent="0.25">
      <c r="BJ655" s="205"/>
      <c r="BK655" s="205"/>
      <c r="BL655" s="205"/>
    </row>
    <row r="656" spans="62:64" x14ac:dyDescent="0.25">
      <c r="BJ656" s="205"/>
      <c r="BK656" s="205"/>
      <c r="BL656" s="205"/>
    </row>
    <row r="657" spans="62:64" x14ac:dyDescent="0.25">
      <c r="BJ657" s="205"/>
      <c r="BK657" s="205"/>
      <c r="BL657" s="205"/>
    </row>
    <row r="658" spans="62:64" x14ac:dyDescent="0.25">
      <c r="BJ658" s="205"/>
      <c r="BK658" s="205"/>
      <c r="BL658" s="205"/>
    </row>
    <row r="659" spans="62:64" x14ac:dyDescent="0.25">
      <c r="BJ659" s="205"/>
      <c r="BK659" s="205"/>
      <c r="BL659" s="205"/>
    </row>
    <row r="660" spans="62:64" x14ac:dyDescent="0.25">
      <c r="BJ660" s="205"/>
      <c r="BK660" s="205"/>
      <c r="BL660" s="205"/>
    </row>
    <row r="661" spans="62:64" x14ac:dyDescent="0.25">
      <c r="BJ661" s="205"/>
      <c r="BK661" s="205"/>
      <c r="BL661" s="205"/>
    </row>
    <row r="662" spans="62:64" x14ac:dyDescent="0.25">
      <c r="BJ662" s="205"/>
      <c r="BK662" s="205"/>
      <c r="BL662" s="205"/>
    </row>
    <row r="663" spans="62:64" x14ac:dyDescent="0.25">
      <c r="BJ663" s="205"/>
      <c r="BK663" s="205"/>
      <c r="BL663" s="205"/>
    </row>
    <row r="664" spans="62:64" x14ac:dyDescent="0.25">
      <c r="BJ664" s="205"/>
      <c r="BK664" s="205"/>
      <c r="BL664" s="205"/>
    </row>
    <row r="665" spans="62:64" x14ac:dyDescent="0.25">
      <c r="BJ665" s="205"/>
      <c r="BK665" s="205"/>
      <c r="BL665" s="205"/>
    </row>
    <row r="666" spans="62:64" x14ac:dyDescent="0.25">
      <c r="BJ666" s="205"/>
      <c r="BK666" s="205"/>
      <c r="BL666" s="205"/>
    </row>
    <row r="667" spans="62:64" x14ac:dyDescent="0.25">
      <c r="BJ667" s="205"/>
      <c r="BK667" s="205"/>
      <c r="BL667" s="205"/>
    </row>
    <row r="668" spans="62:64" x14ac:dyDescent="0.25">
      <c r="BJ668" s="205"/>
      <c r="BK668" s="205"/>
      <c r="BL668" s="205"/>
    </row>
    <row r="669" spans="62:64" x14ac:dyDescent="0.25">
      <c r="BJ669" s="205"/>
      <c r="BK669" s="205"/>
      <c r="BL669" s="205"/>
    </row>
    <row r="670" spans="62:64" x14ac:dyDescent="0.25">
      <c r="BJ670" s="205"/>
      <c r="BK670" s="205"/>
      <c r="BL670" s="205"/>
    </row>
    <row r="671" spans="62:64" x14ac:dyDescent="0.25">
      <c r="BJ671" s="205"/>
      <c r="BK671" s="205"/>
      <c r="BL671" s="205"/>
    </row>
    <row r="672" spans="62:64" x14ac:dyDescent="0.25">
      <c r="BJ672" s="205"/>
      <c r="BK672" s="205"/>
      <c r="BL672" s="205"/>
    </row>
    <row r="673" spans="62:64" x14ac:dyDescent="0.25">
      <c r="BJ673" s="205"/>
      <c r="BK673" s="205"/>
      <c r="BL673" s="205"/>
    </row>
    <row r="674" spans="62:64" x14ac:dyDescent="0.25">
      <c r="BJ674" s="205"/>
      <c r="BK674" s="205"/>
      <c r="BL674" s="205"/>
    </row>
    <row r="675" spans="62:64" x14ac:dyDescent="0.25">
      <c r="BJ675" s="205"/>
      <c r="BK675" s="205"/>
      <c r="BL675" s="205"/>
    </row>
    <row r="676" spans="62:64" x14ac:dyDescent="0.25">
      <c r="BJ676" s="205"/>
      <c r="BK676" s="205"/>
      <c r="BL676" s="205"/>
    </row>
    <row r="677" spans="62:64" x14ac:dyDescent="0.25">
      <c r="BJ677" s="205"/>
      <c r="BK677" s="205"/>
      <c r="BL677" s="205"/>
    </row>
    <row r="678" spans="62:64" x14ac:dyDescent="0.25">
      <c r="BJ678" s="205"/>
      <c r="BK678" s="205"/>
      <c r="BL678" s="205"/>
    </row>
    <row r="679" spans="62:64" x14ac:dyDescent="0.25">
      <c r="BJ679" s="205"/>
      <c r="BK679" s="205"/>
      <c r="BL679" s="205"/>
    </row>
    <row r="680" spans="62:64" x14ac:dyDescent="0.25">
      <c r="BJ680" s="205"/>
      <c r="BK680" s="205"/>
      <c r="BL680" s="205"/>
    </row>
    <row r="681" spans="62:64" x14ac:dyDescent="0.25">
      <c r="BJ681" s="205"/>
      <c r="BK681" s="205"/>
      <c r="BL681" s="205"/>
    </row>
    <row r="682" spans="62:64" x14ac:dyDescent="0.25">
      <c r="BJ682" s="205"/>
      <c r="BK682" s="205"/>
      <c r="BL682" s="205"/>
    </row>
    <row r="683" spans="62:64" x14ac:dyDescent="0.25">
      <c r="BJ683" s="205"/>
      <c r="BK683" s="205"/>
      <c r="BL683" s="205"/>
    </row>
    <row r="684" spans="62:64" x14ac:dyDescent="0.25">
      <c r="BJ684" s="205"/>
      <c r="BK684" s="205"/>
      <c r="BL684" s="205"/>
    </row>
    <row r="685" spans="62:64" x14ac:dyDescent="0.25">
      <c r="BJ685" s="205"/>
      <c r="BK685" s="205"/>
      <c r="BL685" s="205"/>
    </row>
    <row r="686" spans="62:64" x14ac:dyDescent="0.25">
      <c r="BJ686" s="205"/>
      <c r="BK686" s="205"/>
      <c r="BL686" s="205"/>
    </row>
    <row r="687" spans="62:64" x14ac:dyDescent="0.25">
      <c r="BJ687" s="205"/>
      <c r="BK687" s="205"/>
      <c r="BL687" s="205"/>
    </row>
    <row r="688" spans="62:64" x14ac:dyDescent="0.25">
      <c r="BJ688" s="205"/>
      <c r="BK688" s="205"/>
      <c r="BL688" s="205"/>
    </row>
    <row r="689" spans="62:64" x14ac:dyDescent="0.25">
      <c r="BJ689" s="205"/>
      <c r="BK689" s="205"/>
      <c r="BL689" s="205"/>
    </row>
    <row r="690" spans="62:64" x14ac:dyDescent="0.25">
      <c r="BJ690" s="205"/>
      <c r="BK690" s="205"/>
      <c r="BL690" s="205"/>
    </row>
    <row r="691" spans="62:64" x14ac:dyDescent="0.25">
      <c r="BJ691" s="205"/>
      <c r="BK691" s="205"/>
      <c r="BL691" s="205"/>
    </row>
    <row r="692" spans="62:64" x14ac:dyDescent="0.25">
      <c r="BJ692" s="205"/>
      <c r="BK692" s="205"/>
      <c r="BL692" s="205"/>
    </row>
    <row r="693" spans="62:64" x14ac:dyDescent="0.25">
      <c r="BJ693" s="205"/>
      <c r="BK693" s="205"/>
      <c r="BL693" s="205"/>
    </row>
    <row r="694" spans="62:64" x14ac:dyDescent="0.25">
      <c r="BJ694" s="205"/>
      <c r="BK694" s="205"/>
      <c r="BL694" s="205"/>
    </row>
    <row r="695" spans="62:64" x14ac:dyDescent="0.25">
      <c r="BJ695" s="205"/>
      <c r="BK695" s="205"/>
      <c r="BL695" s="205"/>
    </row>
    <row r="696" spans="62:64" x14ac:dyDescent="0.25">
      <c r="BJ696" s="205"/>
      <c r="BK696" s="205"/>
      <c r="BL696" s="205"/>
    </row>
    <row r="697" spans="62:64" x14ac:dyDescent="0.25">
      <c r="BJ697" s="205"/>
      <c r="BK697" s="205"/>
      <c r="BL697" s="205"/>
    </row>
    <row r="698" spans="62:64" x14ac:dyDescent="0.25">
      <c r="BJ698" s="205"/>
      <c r="BK698" s="205"/>
      <c r="BL698" s="205"/>
    </row>
    <row r="699" spans="62:64" x14ac:dyDescent="0.25">
      <c r="BJ699" s="205"/>
      <c r="BK699" s="205"/>
      <c r="BL699" s="205"/>
    </row>
    <row r="700" spans="62:64" x14ac:dyDescent="0.25">
      <c r="BJ700" s="205"/>
      <c r="BK700" s="205"/>
      <c r="BL700" s="205"/>
    </row>
    <row r="701" spans="62:64" x14ac:dyDescent="0.25">
      <c r="BJ701" s="205"/>
      <c r="BK701" s="205"/>
      <c r="BL701" s="205"/>
    </row>
    <row r="702" spans="62:64" x14ac:dyDescent="0.25">
      <c r="BJ702" s="205"/>
      <c r="BK702" s="205"/>
      <c r="BL702" s="205"/>
    </row>
    <row r="703" spans="62:64" x14ac:dyDescent="0.25">
      <c r="BJ703" s="205"/>
      <c r="BK703" s="205"/>
      <c r="BL703" s="205"/>
    </row>
    <row r="704" spans="62:64" x14ac:dyDescent="0.25">
      <c r="BJ704" s="205"/>
      <c r="BK704" s="205"/>
      <c r="BL704" s="205"/>
    </row>
    <row r="705" spans="62:64" x14ac:dyDescent="0.25">
      <c r="BJ705" s="205"/>
      <c r="BK705" s="205"/>
      <c r="BL705" s="205"/>
    </row>
    <row r="706" spans="62:64" x14ac:dyDescent="0.25">
      <c r="BJ706" s="205"/>
      <c r="BK706" s="205"/>
      <c r="BL706" s="205"/>
    </row>
    <row r="707" spans="62:64" x14ac:dyDescent="0.25">
      <c r="BJ707" s="205"/>
      <c r="BK707" s="205"/>
      <c r="BL707" s="205"/>
    </row>
    <row r="708" spans="62:64" x14ac:dyDescent="0.25">
      <c r="BJ708" s="205"/>
      <c r="BK708" s="205"/>
      <c r="BL708" s="205"/>
    </row>
    <row r="709" spans="62:64" x14ac:dyDescent="0.25">
      <c r="BJ709" s="205"/>
      <c r="BK709" s="205"/>
      <c r="BL709" s="205"/>
    </row>
    <row r="710" spans="62:64" x14ac:dyDescent="0.25">
      <c r="BJ710" s="205"/>
      <c r="BK710" s="205"/>
      <c r="BL710" s="205"/>
    </row>
    <row r="711" spans="62:64" x14ac:dyDescent="0.25">
      <c r="BJ711" s="205"/>
      <c r="BK711" s="205"/>
      <c r="BL711" s="205"/>
    </row>
    <row r="712" spans="62:64" x14ac:dyDescent="0.25">
      <c r="BJ712" s="205"/>
      <c r="BK712" s="205"/>
      <c r="BL712" s="205"/>
    </row>
    <row r="713" spans="62:64" x14ac:dyDescent="0.25">
      <c r="BJ713" s="205"/>
      <c r="BK713" s="205"/>
      <c r="BL713" s="205"/>
    </row>
    <row r="714" spans="62:64" x14ac:dyDescent="0.25">
      <c r="BJ714" s="205"/>
      <c r="BK714" s="205"/>
      <c r="BL714" s="205"/>
    </row>
    <row r="715" spans="62:64" x14ac:dyDescent="0.25">
      <c r="BJ715" s="205"/>
      <c r="BK715" s="205"/>
      <c r="BL715" s="205"/>
    </row>
    <row r="716" spans="62:64" x14ac:dyDescent="0.25">
      <c r="BJ716" s="205"/>
      <c r="BK716" s="205"/>
      <c r="BL716" s="205"/>
    </row>
    <row r="717" spans="62:64" x14ac:dyDescent="0.25">
      <c r="BJ717" s="205"/>
      <c r="BK717" s="205"/>
      <c r="BL717" s="205"/>
    </row>
    <row r="718" spans="62:64" x14ac:dyDescent="0.25">
      <c r="BJ718" s="205"/>
      <c r="BK718" s="205"/>
      <c r="BL718" s="205"/>
    </row>
    <row r="719" spans="62:64" x14ac:dyDescent="0.25">
      <c r="BJ719" s="205"/>
      <c r="BK719" s="205"/>
      <c r="BL719" s="205"/>
    </row>
    <row r="720" spans="62:64" x14ac:dyDescent="0.25">
      <c r="BJ720" s="205"/>
      <c r="BK720" s="205"/>
      <c r="BL720" s="205"/>
    </row>
    <row r="721" spans="62:64" x14ac:dyDescent="0.25">
      <c r="BJ721" s="205"/>
      <c r="BK721" s="205"/>
      <c r="BL721" s="205"/>
    </row>
    <row r="722" spans="62:64" x14ac:dyDescent="0.25">
      <c r="BJ722" s="205"/>
      <c r="BK722" s="205"/>
      <c r="BL722" s="205"/>
    </row>
    <row r="723" spans="62:64" x14ac:dyDescent="0.25">
      <c r="BJ723" s="205"/>
      <c r="BK723" s="205"/>
      <c r="BL723" s="205"/>
    </row>
    <row r="724" spans="62:64" x14ac:dyDescent="0.25">
      <c r="BJ724" s="205"/>
      <c r="BK724" s="205"/>
      <c r="BL724" s="205"/>
    </row>
    <row r="725" spans="62:64" x14ac:dyDescent="0.25">
      <c r="BJ725" s="205"/>
      <c r="BK725" s="205"/>
      <c r="BL725" s="205"/>
    </row>
    <row r="726" spans="62:64" x14ac:dyDescent="0.25">
      <c r="BJ726" s="205"/>
      <c r="BK726" s="205"/>
      <c r="BL726" s="205"/>
    </row>
    <row r="727" spans="62:64" x14ac:dyDescent="0.25">
      <c r="BJ727" s="205"/>
      <c r="BK727" s="205"/>
      <c r="BL727" s="205"/>
    </row>
    <row r="728" spans="62:64" x14ac:dyDescent="0.25">
      <c r="BJ728" s="205"/>
      <c r="BK728" s="205"/>
      <c r="BL728" s="205"/>
    </row>
    <row r="729" spans="62:64" x14ac:dyDescent="0.25">
      <c r="BJ729" s="205"/>
      <c r="BK729" s="205"/>
      <c r="BL729" s="205"/>
    </row>
    <row r="730" spans="62:64" x14ac:dyDescent="0.25">
      <c r="BJ730" s="205"/>
      <c r="BK730" s="205"/>
      <c r="BL730" s="205"/>
    </row>
    <row r="731" spans="62:64" x14ac:dyDescent="0.25">
      <c r="BJ731" s="205"/>
      <c r="BK731" s="205"/>
      <c r="BL731" s="205"/>
    </row>
    <row r="732" spans="62:64" x14ac:dyDescent="0.25">
      <c r="BJ732" s="205"/>
      <c r="BK732" s="205"/>
      <c r="BL732" s="205"/>
    </row>
    <row r="733" spans="62:64" x14ac:dyDescent="0.25">
      <c r="BJ733" s="205"/>
      <c r="BK733" s="205"/>
      <c r="BL733" s="205"/>
    </row>
    <row r="734" spans="62:64" x14ac:dyDescent="0.25">
      <c r="BJ734" s="205"/>
      <c r="BK734" s="205"/>
      <c r="BL734" s="205"/>
    </row>
    <row r="735" spans="62:64" x14ac:dyDescent="0.25">
      <c r="BJ735" s="205"/>
      <c r="BK735" s="205"/>
      <c r="BL735" s="205"/>
    </row>
    <row r="736" spans="62:64" x14ac:dyDescent="0.25">
      <c r="BJ736" s="205"/>
      <c r="BK736" s="205"/>
      <c r="BL736" s="205"/>
    </row>
    <row r="737" spans="62:64" x14ac:dyDescent="0.25">
      <c r="BJ737" s="205"/>
      <c r="BK737" s="205"/>
      <c r="BL737" s="205"/>
    </row>
    <row r="738" spans="62:64" x14ac:dyDescent="0.25">
      <c r="BJ738" s="205"/>
      <c r="BK738" s="205"/>
      <c r="BL738" s="205"/>
    </row>
    <row r="739" spans="62:64" x14ac:dyDescent="0.25">
      <c r="BJ739" s="205"/>
      <c r="BK739" s="205"/>
      <c r="BL739" s="205"/>
    </row>
    <row r="740" spans="62:64" x14ac:dyDescent="0.25">
      <c r="BJ740" s="205"/>
      <c r="BK740" s="205"/>
      <c r="BL740" s="205"/>
    </row>
    <row r="741" spans="62:64" x14ac:dyDescent="0.25">
      <c r="BJ741" s="205"/>
      <c r="BK741" s="205"/>
      <c r="BL741" s="205"/>
    </row>
    <row r="742" spans="62:64" x14ac:dyDescent="0.25">
      <c r="BJ742" s="205"/>
      <c r="BK742" s="205"/>
      <c r="BL742" s="205"/>
    </row>
    <row r="743" spans="62:64" x14ac:dyDescent="0.25">
      <c r="BJ743" s="205"/>
      <c r="BK743" s="205"/>
      <c r="BL743" s="205"/>
    </row>
    <row r="744" spans="62:64" x14ac:dyDescent="0.25">
      <c r="BJ744" s="205"/>
      <c r="BK744" s="205"/>
      <c r="BL744" s="205"/>
    </row>
    <row r="745" spans="62:64" x14ac:dyDescent="0.25">
      <c r="BJ745" s="205"/>
      <c r="BK745" s="205"/>
      <c r="BL745" s="205"/>
    </row>
    <row r="746" spans="62:64" x14ac:dyDescent="0.25">
      <c r="BJ746" s="205"/>
      <c r="BK746" s="205"/>
      <c r="BL746" s="205"/>
    </row>
    <row r="747" spans="62:64" x14ac:dyDescent="0.25">
      <c r="BJ747" s="205"/>
      <c r="BK747" s="205"/>
      <c r="BL747" s="205"/>
    </row>
    <row r="748" spans="62:64" x14ac:dyDescent="0.25">
      <c r="BJ748" s="205"/>
      <c r="BK748" s="205"/>
      <c r="BL748" s="205"/>
    </row>
    <row r="749" spans="62:64" x14ac:dyDescent="0.25">
      <c r="BJ749" s="205"/>
      <c r="BK749" s="205"/>
      <c r="BL749" s="205"/>
    </row>
    <row r="750" spans="62:64" x14ac:dyDescent="0.25">
      <c r="BJ750" s="205"/>
      <c r="BK750" s="205"/>
      <c r="BL750" s="205"/>
    </row>
    <row r="751" spans="62:64" x14ac:dyDescent="0.25">
      <c r="BJ751" s="205"/>
      <c r="BK751" s="205"/>
      <c r="BL751" s="205"/>
    </row>
    <row r="752" spans="62:64" x14ac:dyDescent="0.25">
      <c r="BJ752" s="205"/>
      <c r="BK752" s="205"/>
      <c r="BL752" s="205"/>
    </row>
    <row r="753" spans="62:64" x14ac:dyDescent="0.25">
      <c r="BJ753" s="205"/>
      <c r="BK753" s="205"/>
      <c r="BL753" s="205"/>
    </row>
    <row r="754" spans="62:64" x14ac:dyDescent="0.25">
      <c r="BJ754" s="205"/>
      <c r="BK754" s="205"/>
      <c r="BL754" s="205"/>
    </row>
    <row r="755" spans="62:64" x14ac:dyDescent="0.25">
      <c r="BJ755" s="205"/>
      <c r="BK755" s="205"/>
      <c r="BL755" s="205"/>
    </row>
    <row r="756" spans="62:64" x14ac:dyDescent="0.25">
      <c r="BJ756" s="205"/>
      <c r="BK756" s="205"/>
      <c r="BL756" s="205"/>
    </row>
    <row r="757" spans="62:64" x14ac:dyDescent="0.25">
      <c r="BJ757" s="205"/>
      <c r="BK757" s="205"/>
      <c r="BL757" s="205"/>
    </row>
    <row r="758" spans="62:64" x14ac:dyDescent="0.25">
      <c r="BJ758" s="205"/>
      <c r="BK758" s="205"/>
      <c r="BL758" s="205"/>
    </row>
    <row r="759" spans="62:64" x14ac:dyDescent="0.25">
      <c r="BJ759" s="205"/>
      <c r="BK759" s="205"/>
      <c r="BL759" s="205"/>
    </row>
    <row r="760" spans="62:64" x14ac:dyDescent="0.25">
      <c r="BJ760" s="205"/>
      <c r="BK760" s="205"/>
      <c r="BL760" s="205"/>
    </row>
    <row r="761" spans="62:64" x14ac:dyDescent="0.25">
      <c r="BJ761" s="205"/>
      <c r="BK761" s="205"/>
      <c r="BL761" s="205"/>
    </row>
    <row r="762" spans="62:64" x14ac:dyDescent="0.25">
      <c r="BJ762" s="205"/>
      <c r="BK762" s="205"/>
      <c r="BL762" s="205"/>
    </row>
    <row r="763" spans="62:64" x14ac:dyDescent="0.25">
      <c r="BJ763" s="205"/>
      <c r="BK763" s="205"/>
      <c r="BL763" s="205"/>
    </row>
    <row r="764" spans="62:64" x14ac:dyDescent="0.25">
      <c r="BJ764" s="205"/>
      <c r="BK764" s="205"/>
      <c r="BL764" s="205"/>
    </row>
    <row r="765" spans="62:64" x14ac:dyDescent="0.25">
      <c r="BJ765" s="205"/>
      <c r="BK765" s="205"/>
      <c r="BL765" s="205"/>
    </row>
    <row r="766" spans="62:64" x14ac:dyDescent="0.25">
      <c r="BJ766" s="205"/>
      <c r="BK766" s="205"/>
      <c r="BL766" s="205"/>
    </row>
    <row r="767" spans="62:64" x14ac:dyDescent="0.25">
      <c r="BJ767" s="205"/>
      <c r="BK767" s="205"/>
      <c r="BL767" s="205"/>
    </row>
    <row r="768" spans="62:64" x14ac:dyDescent="0.25">
      <c r="BJ768" s="205"/>
      <c r="BK768" s="205"/>
      <c r="BL768" s="205"/>
    </row>
    <row r="769" spans="62:64" x14ac:dyDescent="0.25">
      <c r="BJ769" s="205"/>
      <c r="BK769" s="205"/>
      <c r="BL769" s="205"/>
    </row>
    <row r="770" spans="62:64" x14ac:dyDescent="0.25">
      <c r="BJ770" s="205"/>
      <c r="BK770" s="205"/>
      <c r="BL770" s="205"/>
    </row>
    <row r="771" spans="62:64" x14ac:dyDescent="0.25">
      <c r="BJ771" s="205"/>
      <c r="BK771" s="205"/>
      <c r="BL771" s="205"/>
    </row>
    <row r="772" spans="62:64" x14ac:dyDescent="0.25">
      <c r="BJ772" s="205"/>
      <c r="BK772" s="205"/>
      <c r="BL772" s="205"/>
    </row>
    <row r="773" spans="62:64" x14ac:dyDescent="0.25">
      <c r="BJ773" s="205"/>
      <c r="BK773" s="205"/>
      <c r="BL773" s="205"/>
    </row>
    <row r="774" spans="62:64" x14ac:dyDescent="0.25">
      <c r="BJ774" s="205"/>
      <c r="BK774" s="205"/>
      <c r="BL774" s="205"/>
    </row>
    <row r="775" spans="62:64" x14ac:dyDescent="0.25">
      <c r="BJ775" s="205"/>
      <c r="BK775" s="205"/>
      <c r="BL775" s="205"/>
    </row>
    <row r="776" spans="62:64" x14ac:dyDescent="0.25">
      <c r="BJ776" s="205"/>
      <c r="BK776" s="205"/>
      <c r="BL776" s="205"/>
    </row>
    <row r="777" spans="62:64" x14ac:dyDescent="0.25">
      <c r="BJ777" s="205"/>
      <c r="BK777" s="205"/>
      <c r="BL777" s="205"/>
    </row>
    <row r="778" spans="62:64" x14ac:dyDescent="0.25">
      <c r="BJ778" s="205"/>
      <c r="BK778" s="205"/>
      <c r="BL778" s="205"/>
    </row>
    <row r="779" spans="62:64" x14ac:dyDescent="0.25">
      <c r="BJ779" s="205"/>
      <c r="BK779" s="205"/>
      <c r="BL779" s="205"/>
    </row>
    <row r="780" spans="62:64" x14ac:dyDescent="0.25">
      <c r="BJ780" s="205"/>
      <c r="BK780" s="205"/>
      <c r="BL780" s="205"/>
    </row>
    <row r="781" spans="62:64" x14ac:dyDescent="0.25">
      <c r="BJ781" s="205"/>
      <c r="BK781" s="205"/>
      <c r="BL781" s="205"/>
    </row>
    <row r="782" spans="62:64" x14ac:dyDescent="0.25">
      <c r="BJ782" s="205"/>
      <c r="BK782" s="205"/>
      <c r="BL782" s="205"/>
    </row>
    <row r="783" spans="62:64" x14ac:dyDescent="0.25">
      <c r="BJ783" s="205"/>
      <c r="BK783" s="205"/>
      <c r="BL783" s="205"/>
    </row>
    <row r="784" spans="62:64" x14ac:dyDescent="0.25">
      <c r="BJ784" s="205"/>
      <c r="BK784" s="205"/>
      <c r="BL784" s="205"/>
    </row>
    <row r="785" spans="62:64" x14ac:dyDescent="0.25">
      <c r="BJ785" s="205"/>
      <c r="BK785" s="205"/>
      <c r="BL785" s="205"/>
    </row>
    <row r="786" spans="62:64" x14ac:dyDescent="0.25">
      <c r="BJ786" s="205"/>
      <c r="BK786" s="205"/>
      <c r="BL786" s="205"/>
    </row>
    <row r="787" spans="62:64" x14ac:dyDescent="0.25">
      <c r="BJ787" s="205"/>
      <c r="BK787" s="205"/>
      <c r="BL787" s="205"/>
    </row>
    <row r="788" spans="62:64" x14ac:dyDescent="0.25">
      <c r="BJ788" s="205"/>
      <c r="BK788" s="205"/>
      <c r="BL788" s="205"/>
    </row>
    <row r="789" spans="62:64" x14ac:dyDescent="0.25">
      <c r="BJ789" s="205"/>
      <c r="BK789" s="205"/>
      <c r="BL789" s="205"/>
    </row>
    <row r="790" spans="62:64" x14ac:dyDescent="0.25">
      <c r="BJ790" s="205"/>
      <c r="BK790" s="205"/>
      <c r="BL790" s="205"/>
    </row>
    <row r="791" spans="62:64" x14ac:dyDescent="0.25">
      <c r="BJ791" s="205"/>
      <c r="BK791" s="205"/>
      <c r="BL791" s="205"/>
    </row>
    <row r="792" spans="62:64" x14ac:dyDescent="0.25">
      <c r="BJ792" s="205"/>
      <c r="BK792" s="205"/>
      <c r="BL792" s="205"/>
    </row>
    <row r="793" spans="62:64" x14ac:dyDescent="0.25">
      <c r="BJ793" s="205"/>
      <c r="BK793" s="205"/>
      <c r="BL793" s="205"/>
    </row>
    <row r="794" spans="62:64" x14ac:dyDescent="0.25">
      <c r="BJ794" s="205"/>
      <c r="BK794" s="205"/>
      <c r="BL794" s="205"/>
    </row>
    <row r="795" spans="62:64" x14ac:dyDescent="0.25">
      <c r="BJ795" s="205"/>
      <c r="BK795" s="205"/>
      <c r="BL795" s="205"/>
    </row>
    <row r="796" spans="62:64" x14ac:dyDescent="0.25">
      <c r="BJ796" s="205"/>
      <c r="BK796" s="205"/>
      <c r="BL796" s="205"/>
    </row>
    <row r="797" spans="62:64" x14ac:dyDescent="0.25">
      <c r="BJ797" s="205"/>
      <c r="BK797" s="205"/>
      <c r="BL797" s="205"/>
    </row>
    <row r="798" spans="62:64" x14ac:dyDescent="0.25">
      <c r="BJ798" s="205"/>
      <c r="BK798" s="205"/>
      <c r="BL798" s="205"/>
    </row>
    <row r="799" spans="62:64" x14ac:dyDescent="0.25">
      <c r="BJ799" s="205"/>
      <c r="BK799" s="205"/>
      <c r="BL799" s="205"/>
    </row>
    <row r="800" spans="62:64" x14ac:dyDescent="0.25">
      <c r="BJ800" s="205"/>
      <c r="BK800" s="205"/>
      <c r="BL800" s="205"/>
    </row>
    <row r="801" spans="62:64" x14ac:dyDescent="0.25">
      <c r="BJ801" s="205"/>
      <c r="BK801" s="205"/>
      <c r="BL801" s="205"/>
    </row>
    <row r="802" spans="62:64" x14ac:dyDescent="0.25">
      <c r="BJ802" s="205"/>
      <c r="BK802" s="205"/>
      <c r="BL802" s="205"/>
    </row>
    <row r="803" spans="62:64" x14ac:dyDescent="0.25">
      <c r="BJ803" s="205"/>
      <c r="BK803" s="205"/>
      <c r="BL803" s="205"/>
    </row>
    <row r="804" spans="62:64" x14ac:dyDescent="0.25">
      <c r="BJ804" s="205"/>
      <c r="BK804" s="205"/>
      <c r="BL804" s="205"/>
    </row>
    <row r="805" spans="62:64" x14ac:dyDescent="0.25">
      <c r="BJ805" s="205"/>
      <c r="BK805" s="205"/>
      <c r="BL805" s="205"/>
    </row>
    <row r="806" spans="62:64" x14ac:dyDescent="0.25">
      <c r="BJ806" s="205"/>
      <c r="BK806" s="205"/>
      <c r="BL806" s="205"/>
    </row>
    <row r="807" spans="62:64" x14ac:dyDescent="0.25">
      <c r="BJ807" s="205"/>
      <c r="BK807" s="205"/>
      <c r="BL807" s="205"/>
    </row>
    <row r="808" spans="62:64" x14ac:dyDescent="0.25">
      <c r="BJ808" s="205"/>
      <c r="BK808" s="205"/>
      <c r="BL808" s="205"/>
    </row>
    <row r="809" spans="62:64" x14ac:dyDescent="0.25">
      <c r="BJ809" s="205"/>
      <c r="BK809" s="205"/>
      <c r="BL809" s="205"/>
    </row>
    <row r="810" spans="62:64" x14ac:dyDescent="0.25">
      <c r="BJ810" s="205"/>
      <c r="BK810" s="205"/>
      <c r="BL810" s="205"/>
    </row>
    <row r="811" spans="62:64" x14ac:dyDescent="0.25">
      <c r="BJ811" s="205"/>
      <c r="BK811" s="205"/>
      <c r="BL811" s="205"/>
    </row>
    <row r="812" spans="62:64" x14ac:dyDescent="0.25">
      <c r="BJ812" s="205"/>
      <c r="BK812" s="205"/>
      <c r="BL812" s="205"/>
    </row>
    <row r="813" spans="62:64" x14ac:dyDescent="0.25">
      <c r="BJ813" s="205"/>
      <c r="BK813" s="205"/>
      <c r="BL813" s="205"/>
    </row>
    <row r="814" spans="62:64" x14ac:dyDescent="0.25">
      <c r="BJ814" s="205"/>
      <c r="BK814" s="205"/>
      <c r="BL814" s="205"/>
    </row>
    <row r="815" spans="62:64" x14ac:dyDescent="0.25">
      <c r="BJ815" s="205"/>
      <c r="BK815" s="205"/>
      <c r="BL815" s="205"/>
    </row>
    <row r="816" spans="62:64" x14ac:dyDescent="0.25">
      <c r="BJ816" s="205"/>
      <c r="BK816" s="205"/>
      <c r="BL816" s="205"/>
    </row>
    <row r="817" spans="62:64" x14ac:dyDescent="0.25">
      <c r="BJ817" s="205"/>
      <c r="BK817" s="205"/>
      <c r="BL817" s="205"/>
    </row>
    <row r="818" spans="62:64" x14ac:dyDescent="0.25">
      <c r="BJ818" s="205"/>
      <c r="BK818" s="205"/>
      <c r="BL818" s="205"/>
    </row>
    <row r="819" spans="62:64" x14ac:dyDescent="0.25">
      <c r="BJ819" s="205"/>
      <c r="BK819" s="205"/>
      <c r="BL819" s="205"/>
    </row>
    <row r="820" spans="62:64" x14ac:dyDescent="0.25">
      <c r="BJ820" s="205"/>
      <c r="BK820" s="205"/>
      <c r="BL820" s="205"/>
    </row>
    <row r="821" spans="62:64" x14ac:dyDescent="0.25">
      <c r="BJ821" s="205"/>
      <c r="BK821" s="205"/>
      <c r="BL821" s="205"/>
    </row>
    <row r="822" spans="62:64" x14ac:dyDescent="0.25">
      <c r="BJ822" s="205"/>
      <c r="BK822" s="205"/>
      <c r="BL822" s="205"/>
    </row>
    <row r="823" spans="62:64" x14ac:dyDescent="0.25">
      <c r="BJ823" s="205"/>
      <c r="BK823" s="205"/>
      <c r="BL823" s="205"/>
    </row>
    <row r="824" spans="62:64" x14ac:dyDescent="0.25">
      <c r="BJ824" s="205"/>
      <c r="BK824" s="205"/>
      <c r="BL824" s="205"/>
    </row>
    <row r="825" spans="62:64" x14ac:dyDescent="0.25">
      <c r="BJ825" s="205"/>
      <c r="BK825" s="205"/>
      <c r="BL825" s="205"/>
    </row>
    <row r="826" spans="62:64" x14ac:dyDescent="0.25">
      <c r="BJ826" s="205"/>
      <c r="BK826" s="205"/>
      <c r="BL826" s="205"/>
    </row>
    <row r="827" spans="62:64" x14ac:dyDescent="0.25">
      <c r="BJ827" s="205"/>
      <c r="BK827" s="205"/>
      <c r="BL827" s="205"/>
    </row>
    <row r="828" spans="62:64" x14ac:dyDescent="0.25">
      <c r="BJ828" s="205"/>
      <c r="BK828" s="205"/>
      <c r="BL828" s="205"/>
    </row>
    <row r="829" spans="62:64" x14ac:dyDescent="0.25">
      <c r="BJ829" s="205"/>
      <c r="BK829" s="205"/>
      <c r="BL829" s="205"/>
    </row>
    <row r="830" spans="62:64" x14ac:dyDescent="0.25">
      <c r="BJ830" s="205"/>
      <c r="BK830" s="205"/>
      <c r="BL830" s="205"/>
    </row>
    <row r="831" spans="62:64" x14ac:dyDescent="0.25">
      <c r="BJ831" s="205"/>
      <c r="BK831" s="205"/>
      <c r="BL831" s="205"/>
    </row>
    <row r="832" spans="62:64" x14ac:dyDescent="0.25">
      <c r="BJ832" s="205"/>
      <c r="BK832" s="205"/>
      <c r="BL832" s="205"/>
    </row>
    <row r="833" spans="62:64" x14ac:dyDescent="0.25">
      <c r="BJ833" s="205"/>
      <c r="BK833" s="205"/>
      <c r="BL833" s="205"/>
    </row>
    <row r="834" spans="62:64" x14ac:dyDescent="0.25">
      <c r="BJ834" s="205"/>
      <c r="BK834" s="205"/>
      <c r="BL834" s="205"/>
    </row>
    <row r="835" spans="62:64" x14ac:dyDescent="0.25">
      <c r="BJ835" s="205"/>
      <c r="BK835" s="205"/>
      <c r="BL835" s="205"/>
    </row>
    <row r="836" spans="62:64" x14ac:dyDescent="0.25">
      <c r="BJ836" s="205"/>
      <c r="BK836" s="205"/>
      <c r="BL836" s="205"/>
    </row>
    <row r="837" spans="62:64" x14ac:dyDescent="0.25">
      <c r="BJ837" s="205"/>
      <c r="BK837" s="205"/>
      <c r="BL837" s="205"/>
    </row>
    <row r="838" spans="62:64" x14ac:dyDescent="0.25">
      <c r="BJ838" s="205"/>
      <c r="BK838" s="205"/>
      <c r="BL838" s="205"/>
    </row>
    <row r="839" spans="62:64" x14ac:dyDescent="0.25">
      <c r="BJ839" s="205"/>
      <c r="BK839" s="205"/>
      <c r="BL839" s="205"/>
    </row>
    <row r="840" spans="62:64" x14ac:dyDescent="0.25">
      <c r="BJ840" s="205"/>
      <c r="BK840" s="205"/>
      <c r="BL840" s="205"/>
    </row>
    <row r="841" spans="62:64" x14ac:dyDescent="0.25">
      <c r="BJ841" s="205"/>
      <c r="BK841" s="205"/>
      <c r="BL841" s="205"/>
    </row>
    <row r="842" spans="62:64" x14ac:dyDescent="0.25">
      <c r="BJ842" s="205"/>
      <c r="BK842" s="205"/>
      <c r="BL842" s="205"/>
    </row>
    <row r="843" spans="62:64" x14ac:dyDescent="0.25">
      <c r="BJ843" s="205"/>
      <c r="BK843" s="205"/>
      <c r="BL843" s="205"/>
    </row>
    <row r="844" spans="62:64" x14ac:dyDescent="0.25">
      <c r="BJ844" s="205"/>
      <c r="BK844" s="205"/>
      <c r="BL844" s="205"/>
    </row>
    <row r="845" spans="62:64" x14ac:dyDescent="0.25">
      <c r="BJ845" s="205"/>
      <c r="BK845" s="205"/>
      <c r="BL845" s="205"/>
    </row>
    <row r="846" spans="62:64" x14ac:dyDescent="0.25">
      <c r="BJ846" s="205"/>
      <c r="BK846" s="205"/>
      <c r="BL846" s="205"/>
    </row>
    <row r="847" spans="62:64" x14ac:dyDescent="0.25">
      <c r="BJ847" s="205"/>
      <c r="BK847" s="205"/>
      <c r="BL847" s="205"/>
    </row>
    <row r="848" spans="62:64" x14ac:dyDescent="0.25">
      <c r="BJ848" s="205"/>
      <c r="BK848" s="205"/>
      <c r="BL848" s="205"/>
    </row>
    <row r="849" spans="62:64" x14ac:dyDescent="0.25">
      <c r="BJ849" s="205"/>
      <c r="BK849" s="205"/>
      <c r="BL849" s="205"/>
    </row>
    <row r="850" spans="62:64" x14ac:dyDescent="0.25">
      <c r="BJ850" s="205"/>
      <c r="BK850" s="205"/>
      <c r="BL850" s="205"/>
    </row>
    <row r="851" spans="62:64" x14ac:dyDescent="0.25">
      <c r="BJ851" s="205"/>
      <c r="BK851" s="205"/>
      <c r="BL851" s="205"/>
    </row>
    <row r="852" spans="62:64" x14ac:dyDescent="0.25">
      <c r="BJ852" s="205"/>
      <c r="BK852" s="205"/>
      <c r="BL852" s="205"/>
    </row>
    <row r="853" spans="62:64" x14ac:dyDescent="0.25">
      <c r="BJ853" s="205"/>
      <c r="BK853" s="205"/>
      <c r="BL853" s="205"/>
    </row>
    <row r="854" spans="62:64" x14ac:dyDescent="0.25">
      <c r="BJ854" s="205"/>
      <c r="BK854" s="205"/>
      <c r="BL854" s="205"/>
    </row>
    <row r="855" spans="62:64" x14ac:dyDescent="0.25">
      <c r="BJ855" s="205"/>
      <c r="BK855" s="205"/>
      <c r="BL855" s="205"/>
    </row>
    <row r="856" spans="62:64" x14ac:dyDescent="0.25">
      <c r="BJ856" s="205"/>
      <c r="BK856" s="205"/>
      <c r="BL856" s="205"/>
    </row>
    <row r="857" spans="62:64" x14ac:dyDescent="0.25">
      <c r="BJ857" s="205"/>
      <c r="BK857" s="205"/>
      <c r="BL857" s="205"/>
    </row>
    <row r="858" spans="62:64" x14ac:dyDescent="0.25">
      <c r="BJ858" s="205"/>
      <c r="BK858" s="205"/>
      <c r="BL858" s="205"/>
    </row>
    <row r="859" spans="62:64" x14ac:dyDescent="0.25">
      <c r="BJ859" s="205"/>
      <c r="BK859" s="205"/>
      <c r="BL859" s="205"/>
    </row>
    <row r="860" spans="62:64" x14ac:dyDescent="0.25">
      <c r="BJ860" s="205"/>
      <c r="BK860" s="205"/>
      <c r="BL860" s="205"/>
    </row>
    <row r="861" spans="62:64" x14ac:dyDescent="0.25">
      <c r="BJ861" s="205"/>
      <c r="BK861" s="205"/>
      <c r="BL861" s="205"/>
    </row>
    <row r="862" spans="62:64" x14ac:dyDescent="0.25">
      <c r="BJ862" s="205"/>
      <c r="BK862" s="205"/>
      <c r="BL862" s="205"/>
    </row>
    <row r="863" spans="62:64" x14ac:dyDescent="0.25">
      <c r="BJ863" s="205"/>
      <c r="BK863" s="205"/>
      <c r="BL863" s="205"/>
    </row>
    <row r="864" spans="62:64" x14ac:dyDescent="0.25">
      <c r="BJ864" s="205"/>
      <c r="BK864" s="205"/>
      <c r="BL864" s="205"/>
    </row>
    <row r="865" spans="62:64" x14ac:dyDescent="0.25">
      <c r="BJ865" s="205"/>
      <c r="BK865" s="205"/>
      <c r="BL865" s="205"/>
    </row>
    <row r="866" spans="62:64" x14ac:dyDescent="0.25">
      <c r="BJ866" s="205"/>
      <c r="BK866" s="205"/>
      <c r="BL866" s="205"/>
    </row>
    <row r="867" spans="62:64" x14ac:dyDescent="0.25">
      <c r="BJ867" s="205"/>
      <c r="BK867" s="205"/>
      <c r="BL867" s="205"/>
    </row>
    <row r="868" spans="62:64" x14ac:dyDescent="0.25">
      <c r="BJ868" s="205"/>
      <c r="BK868" s="205"/>
      <c r="BL868" s="205"/>
    </row>
    <row r="869" spans="62:64" x14ac:dyDescent="0.25">
      <c r="BJ869" s="205"/>
      <c r="BK869" s="205"/>
      <c r="BL869" s="205"/>
    </row>
    <row r="870" spans="62:64" x14ac:dyDescent="0.25">
      <c r="BJ870" s="205"/>
      <c r="BK870" s="205"/>
      <c r="BL870" s="205"/>
    </row>
    <row r="871" spans="62:64" x14ac:dyDescent="0.25">
      <c r="BJ871" s="205"/>
      <c r="BK871" s="205"/>
      <c r="BL871" s="205"/>
    </row>
    <row r="872" spans="62:64" x14ac:dyDescent="0.25">
      <c r="BJ872" s="205"/>
      <c r="BK872" s="205"/>
      <c r="BL872" s="205"/>
    </row>
    <row r="873" spans="62:64" x14ac:dyDescent="0.25">
      <c r="BJ873" s="205"/>
      <c r="BK873" s="205"/>
      <c r="BL873" s="205"/>
    </row>
    <row r="874" spans="62:64" x14ac:dyDescent="0.25">
      <c r="BJ874" s="205"/>
      <c r="BK874" s="205"/>
      <c r="BL874" s="205"/>
    </row>
    <row r="875" spans="62:64" x14ac:dyDescent="0.25">
      <c r="BJ875" s="205"/>
      <c r="BK875" s="205"/>
      <c r="BL875" s="205"/>
    </row>
    <row r="876" spans="62:64" x14ac:dyDescent="0.25">
      <c r="BJ876" s="205"/>
      <c r="BK876" s="205"/>
      <c r="BL876" s="205"/>
    </row>
    <row r="877" spans="62:64" x14ac:dyDescent="0.25">
      <c r="BJ877" s="205"/>
      <c r="BK877" s="205"/>
      <c r="BL877" s="205"/>
    </row>
    <row r="878" spans="62:64" x14ac:dyDescent="0.25">
      <c r="BJ878" s="205"/>
      <c r="BK878" s="205"/>
      <c r="BL878" s="205"/>
    </row>
    <row r="879" spans="62:64" x14ac:dyDescent="0.25">
      <c r="BJ879" s="205"/>
      <c r="BK879" s="205"/>
      <c r="BL879" s="205"/>
    </row>
    <row r="880" spans="62:64" x14ac:dyDescent="0.25">
      <c r="BJ880" s="205"/>
      <c r="BK880" s="205"/>
      <c r="BL880" s="205"/>
    </row>
    <row r="881" spans="62:64" x14ac:dyDescent="0.25">
      <c r="BJ881" s="205"/>
      <c r="BK881" s="205"/>
      <c r="BL881" s="205"/>
    </row>
    <row r="882" spans="62:64" x14ac:dyDescent="0.25">
      <c r="BJ882" s="205"/>
      <c r="BK882" s="205"/>
      <c r="BL882" s="205"/>
    </row>
    <row r="883" spans="62:64" x14ac:dyDescent="0.25">
      <c r="BJ883" s="205"/>
      <c r="BK883" s="205"/>
      <c r="BL883" s="205"/>
    </row>
    <row r="884" spans="62:64" x14ac:dyDescent="0.25">
      <c r="BJ884" s="205"/>
      <c r="BK884" s="205"/>
      <c r="BL884" s="205"/>
    </row>
    <row r="885" spans="62:64" x14ac:dyDescent="0.25">
      <c r="BJ885" s="205"/>
      <c r="BK885" s="205"/>
      <c r="BL885" s="205"/>
    </row>
    <row r="886" spans="62:64" x14ac:dyDescent="0.25">
      <c r="BJ886" s="205"/>
      <c r="BK886" s="205"/>
      <c r="BL886" s="205"/>
    </row>
    <row r="887" spans="62:64" x14ac:dyDescent="0.25">
      <c r="BJ887" s="205"/>
      <c r="BK887" s="205"/>
      <c r="BL887" s="205"/>
    </row>
    <row r="888" spans="62:64" x14ac:dyDescent="0.25">
      <c r="BJ888" s="205"/>
      <c r="BK888" s="205"/>
      <c r="BL888" s="205"/>
    </row>
    <row r="889" spans="62:64" x14ac:dyDescent="0.25">
      <c r="BJ889" s="205"/>
      <c r="BK889" s="205"/>
      <c r="BL889" s="205"/>
    </row>
    <row r="890" spans="62:64" x14ac:dyDescent="0.25">
      <c r="BJ890" s="205"/>
      <c r="BK890" s="205"/>
      <c r="BL890" s="205"/>
    </row>
    <row r="891" spans="62:64" x14ac:dyDescent="0.25">
      <c r="BJ891" s="205"/>
      <c r="BK891" s="205"/>
      <c r="BL891" s="205"/>
    </row>
    <row r="892" spans="62:64" x14ac:dyDescent="0.25">
      <c r="BJ892" s="205"/>
      <c r="BK892" s="205"/>
      <c r="BL892" s="205"/>
    </row>
    <row r="893" spans="62:64" x14ac:dyDescent="0.25">
      <c r="BJ893" s="205"/>
      <c r="BK893" s="205"/>
      <c r="BL893" s="205"/>
    </row>
    <row r="894" spans="62:64" x14ac:dyDescent="0.25">
      <c r="BJ894" s="205"/>
      <c r="BK894" s="205"/>
      <c r="BL894" s="205"/>
    </row>
    <row r="895" spans="62:64" x14ac:dyDescent="0.25">
      <c r="BJ895" s="205"/>
      <c r="BK895" s="205"/>
      <c r="BL895" s="205"/>
    </row>
    <row r="896" spans="62:64" x14ac:dyDescent="0.25">
      <c r="BJ896" s="205"/>
      <c r="BK896" s="205"/>
      <c r="BL896" s="205"/>
    </row>
    <row r="897" spans="62:64" x14ac:dyDescent="0.25">
      <c r="BJ897" s="205"/>
      <c r="BK897" s="205"/>
      <c r="BL897" s="205"/>
    </row>
    <row r="898" spans="62:64" x14ac:dyDescent="0.25">
      <c r="BJ898" s="205"/>
      <c r="BK898" s="205"/>
      <c r="BL898" s="205"/>
    </row>
    <row r="899" spans="62:64" x14ac:dyDescent="0.25">
      <c r="BJ899" s="205"/>
      <c r="BK899" s="205"/>
      <c r="BL899" s="205"/>
    </row>
    <row r="900" spans="62:64" x14ac:dyDescent="0.25">
      <c r="BJ900" s="205"/>
      <c r="BK900" s="205"/>
      <c r="BL900" s="205"/>
    </row>
    <row r="901" spans="62:64" x14ac:dyDescent="0.25">
      <c r="BJ901" s="205"/>
      <c r="BK901" s="205"/>
      <c r="BL901" s="205"/>
    </row>
    <row r="902" spans="62:64" x14ac:dyDescent="0.25">
      <c r="BJ902" s="205"/>
      <c r="BK902" s="205"/>
      <c r="BL902" s="205"/>
    </row>
    <row r="903" spans="62:64" x14ac:dyDescent="0.25">
      <c r="BJ903" s="205"/>
      <c r="BK903" s="205"/>
      <c r="BL903" s="205"/>
    </row>
    <row r="904" spans="62:64" x14ac:dyDescent="0.25">
      <c r="BJ904" s="205"/>
      <c r="BK904" s="205"/>
      <c r="BL904" s="205"/>
    </row>
    <row r="905" spans="62:64" x14ac:dyDescent="0.25">
      <c r="BJ905" s="205"/>
      <c r="BK905" s="205"/>
      <c r="BL905" s="205"/>
    </row>
    <row r="906" spans="62:64" x14ac:dyDescent="0.25">
      <c r="BJ906" s="205"/>
      <c r="BK906" s="205"/>
      <c r="BL906" s="205"/>
    </row>
    <row r="907" spans="62:64" x14ac:dyDescent="0.25">
      <c r="BJ907" s="205"/>
      <c r="BK907" s="205"/>
      <c r="BL907" s="205"/>
    </row>
    <row r="908" spans="62:64" x14ac:dyDescent="0.25">
      <c r="BJ908" s="205"/>
      <c r="BK908" s="205"/>
      <c r="BL908" s="205"/>
    </row>
    <row r="909" spans="62:64" x14ac:dyDescent="0.25">
      <c r="BJ909" s="205"/>
      <c r="BK909" s="205"/>
      <c r="BL909" s="205"/>
    </row>
    <row r="910" spans="62:64" x14ac:dyDescent="0.25">
      <c r="BJ910" s="205"/>
      <c r="BK910" s="205"/>
      <c r="BL910" s="205"/>
    </row>
    <row r="911" spans="62:64" x14ac:dyDescent="0.25">
      <c r="BJ911" s="205"/>
      <c r="BK911" s="205"/>
      <c r="BL911" s="205"/>
    </row>
    <row r="912" spans="62:64" x14ac:dyDescent="0.25">
      <c r="BJ912" s="205"/>
      <c r="BK912" s="205"/>
      <c r="BL912" s="205"/>
    </row>
    <row r="913" spans="62:64" x14ac:dyDescent="0.25">
      <c r="BJ913" s="205"/>
      <c r="BK913" s="205"/>
      <c r="BL913" s="205"/>
    </row>
    <row r="914" spans="62:64" x14ac:dyDescent="0.25">
      <c r="BJ914" s="205"/>
      <c r="BK914" s="205"/>
      <c r="BL914" s="205"/>
    </row>
    <row r="915" spans="62:64" x14ac:dyDescent="0.25">
      <c r="BJ915" s="205"/>
      <c r="BK915" s="205"/>
      <c r="BL915" s="205"/>
    </row>
    <row r="916" spans="62:64" x14ac:dyDescent="0.25">
      <c r="BJ916" s="205"/>
      <c r="BK916" s="205"/>
      <c r="BL916" s="205"/>
    </row>
    <row r="917" spans="62:64" x14ac:dyDescent="0.25">
      <c r="BJ917" s="205"/>
      <c r="BK917" s="205"/>
      <c r="BL917" s="205"/>
    </row>
    <row r="918" spans="62:64" x14ac:dyDescent="0.25">
      <c r="BJ918" s="205"/>
      <c r="BK918" s="205"/>
      <c r="BL918" s="205"/>
    </row>
    <row r="919" spans="62:64" x14ac:dyDescent="0.25">
      <c r="BJ919" s="205"/>
      <c r="BK919" s="205"/>
      <c r="BL919" s="205"/>
    </row>
    <row r="920" spans="62:64" x14ac:dyDescent="0.25">
      <c r="BJ920" s="205"/>
      <c r="BK920" s="205"/>
      <c r="BL920" s="205"/>
    </row>
    <row r="921" spans="62:64" x14ac:dyDescent="0.25">
      <c r="BJ921" s="205"/>
      <c r="BK921" s="205"/>
      <c r="BL921" s="205"/>
    </row>
    <row r="922" spans="62:64" x14ac:dyDescent="0.25">
      <c r="BJ922" s="205"/>
      <c r="BK922" s="205"/>
      <c r="BL922" s="205"/>
    </row>
    <row r="923" spans="62:64" x14ac:dyDescent="0.25">
      <c r="BJ923" s="205"/>
      <c r="BK923" s="205"/>
      <c r="BL923" s="205"/>
    </row>
    <row r="924" spans="62:64" x14ac:dyDescent="0.25">
      <c r="BJ924" s="205"/>
      <c r="BK924" s="205"/>
      <c r="BL924" s="205"/>
    </row>
    <row r="925" spans="62:64" x14ac:dyDescent="0.25">
      <c r="BJ925" s="205"/>
      <c r="BK925" s="205"/>
      <c r="BL925" s="205"/>
    </row>
    <row r="926" spans="62:64" x14ac:dyDescent="0.25">
      <c r="BJ926" s="205"/>
      <c r="BK926" s="205"/>
      <c r="BL926" s="205"/>
    </row>
    <row r="927" spans="62:64" x14ac:dyDescent="0.25">
      <c r="BJ927" s="205"/>
      <c r="BK927" s="205"/>
      <c r="BL927" s="205"/>
    </row>
    <row r="928" spans="62:64" x14ac:dyDescent="0.25">
      <c r="BJ928" s="205"/>
      <c r="BK928" s="205"/>
      <c r="BL928" s="205"/>
    </row>
    <row r="929" spans="62:64" x14ac:dyDescent="0.25">
      <c r="BJ929" s="205"/>
      <c r="BK929" s="205"/>
      <c r="BL929" s="205"/>
    </row>
    <row r="930" spans="62:64" x14ac:dyDescent="0.25">
      <c r="BJ930" s="205"/>
      <c r="BK930" s="205"/>
      <c r="BL930" s="205"/>
    </row>
    <row r="931" spans="62:64" x14ac:dyDescent="0.25">
      <c r="BJ931" s="205"/>
      <c r="BK931" s="205"/>
      <c r="BL931" s="205"/>
    </row>
    <row r="932" spans="62:64" x14ac:dyDescent="0.25">
      <c r="BJ932" s="205"/>
      <c r="BK932" s="205"/>
      <c r="BL932" s="205"/>
    </row>
    <row r="933" spans="62:64" x14ac:dyDescent="0.25">
      <c r="BJ933" s="205"/>
      <c r="BK933" s="205"/>
      <c r="BL933" s="205"/>
    </row>
    <row r="934" spans="62:64" x14ac:dyDescent="0.25">
      <c r="BJ934" s="205"/>
      <c r="BK934" s="205"/>
      <c r="BL934" s="205"/>
    </row>
    <row r="935" spans="62:64" x14ac:dyDescent="0.25">
      <c r="BJ935" s="205"/>
      <c r="BK935" s="205"/>
      <c r="BL935" s="205"/>
    </row>
    <row r="936" spans="62:64" x14ac:dyDescent="0.25">
      <c r="BJ936" s="205"/>
      <c r="BK936" s="205"/>
      <c r="BL936" s="205"/>
    </row>
    <row r="937" spans="62:64" x14ac:dyDescent="0.25">
      <c r="BJ937" s="205"/>
      <c r="BK937" s="205"/>
      <c r="BL937" s="205"/>
    </row>
    <row r="938" spans="62:64" x14ac:dyDescent="0.25">
      <c r="BJ938" s="205"/>
      <c r="BK938" s="205"/>
      <c r="BL938" s="205"/>
    </row>
    <row r="939" spans="62:64" x14ac:dyDescent="0.25">
      <c r="BJ939" s="205"/>
      <c r="BK939" s="205"/>
      <c r="BL939" s="205"/>
    </row>
    <row r="940" spans="62:64" x14ac:dyDescent="0.25">
      <c r="BJ940" s="205"/>
      <c r="BK940" s="205"/>
      <c r="BL940" s="205"/>
    </row>
    <row r="941" spans="62:64" x14ac:dyDescent="0.25">
      <c r="BJ941" s="205"/>
      <c r="BK941" s="205"/>
      <c r="BL941" s="205"/>
    </row>
    <row r="942" spans="62:64" x14ac:dyDescent="0.25">
      <c r="BJ942" s="205"/>
      <c r="BK942" s="205"/>
      <c r="BL942" s="205"/>
    </row>
    <row r="943" spans="62:64" x14ac:dyDescent="0.25">
      <c r="BJ943" s="205"/>
      <c r="BK943" s="205"/>
      <c r="BL943" s="205"/>
    </row>
    <row r="944" spans="62:64" x14ac:dyDescent="0.25">
      <c r="BJ944" s="205"/>
      <c r="BK944" s="205"/>
      <c r="BL944" s="205"/>
    </row>
    <row r="945" spans="62:64" x14ac:dyDescent="0.25">
      <c r="BJ945" s="205"/>
      <c r="BK945" s="205"/>
      <c r="BL945" s="205"/>
    </row>
    <row r="946" spans="62:64" x14ac:dyDescent="0.25">
      <c r="BJ946" s="205"/>
      <c r="BK946" s="205"/>
      <c r="BL946" s="205"/>
    </row>
    <row r="947" spans="62:64" x14ac:dyDescent="0.25">
      <c r="BJ947" s="205"/>
      <c r="BK947" s="205"/>
      <c r="BL947" s="205"/>
    </row>
    <row r="948" spans="62:64" x14ac:dyDescent="0.25">
      <c r="BJ948" s="205"/>
      <c r="BK948" s="205"/>
      <c r="BL948" s="205"/>
    </row>
    <row r="949" spans="62:64" x14ac:dyDescent="0.25">
      <c r="BJ949" s="205"/>
      <c r="BK949" s="205"/>
      <c r="BL949" s="205"/>
    </row>
    <row r="950" spans="62:64" x14ac:dyDescent="0.25">
      <c r="BJ950" s="205"/>
      <c r="BK950" s="205"/>
      <c r="BL950" s="205"/>
    </row>
    <row r="951" spans="62:64" x14ac:dyDescent="0.25">
      <c r="BJ951" s="205"/>
      <c r="BK951" s="205"/>
      <c r="BL951" s="205"/>
    </row>
    <row r="952" spans="62:64" x14ac:dyDescent="0.25">
      <c r="BJ952" s="205"/>
      <c r="BK952" s="205"/>
      <c r="BL952" s="205"/>
    </row>
    <row r="953" spans="62:64" x14ac:dyDescent="0.25">
      <c r="BJ953" s="205"/>
      <c r="BK953" s="205"/>
      <c r="BL953" s="205"/>
    </row>
    <row r="954" spans="62:64" x14ac:dyDescent="0.25">
      <c r="BJ954" s="205"/>
      <c r="BK954" s="205"/>
      <c r="BL954" s="205"/>
    </row>
    <row r="955" spans="62:64" x14ac:dyDescent="0.25">
      <c r="BJ955" s="205"/>
      <c r="BK955" s="205"/>
      <c r="BL955" s="205"/>
    </row>
    <row r="956" spans="62:64" x14ac:dyDescent="0.25">
      <c r="BJ956" s="205"/>
      <c r="BK956" s="205"/>
      <c r="BL956" s="205"/>
    </row>
    <row r="957" spans="62:64" x14ac:dyDescent="0.25">
      <c r="BJ957" s="205"/>
      <c r="BK957" s="205"/>
      <c r="BL957" s="205"/>
    </row>
    <row r="958" spans="62:64" x14ac:dyDescent="0.25">
      <c r="BJ958" s="205"/>
      <c r="BK958" s="205"/>
      <c r="BL958" s="205"/>
    </row>
    <row r="959" spans="62:64" x14ac:dyDescent="0.25">
      <c r="BJ959" s="205"/>
      <c r="BK959" s="205"/>
      <c r="BL959" s="205"/>
    </row>
    <row r="960" spans="62:64" x14ac:dyDescent="0.25">
      <c r="BJ960" s="205"/>
      <c r="BK960" s="205"/>
      <c r="BL960" s="205"/>
    </row>
    <row r="961" spans="62:64" x14ac:dyDescent="0.25">
      <c r="BJ961" s="205"/>
      <c r="BK961" s="205"/>
      <c r="BL961" s="205"/>
    </row>
    <row r="962" spans="62:64" x14ac:dyDescent="0.25">
      <c r="BJ962" s="205"/>
      <c r="BK962" s="205"/>
      <c r="BL962" s="205"/>
    </row>
    <row r="963" spans="62:64" x14ac:dyDescent="0.25">
      <c r="BJ963" s="205"/>
      <c r="BK963" s="205"/>
      <c r="BL963" s="205"/>
    </row>
    <row r="964" spans="62:64" x14ac:dyDescent="0.25">
      <c r="BJ964" s="205"/>
      <c r="BK964" s="205"/>
      <c r="BL964" s="205"/>
    </row>
    <row r="965" spans="62:64" x14ac:dyDescent="0.25">
      <c r="BJ965" s="205"/>
      <c r="BK965" s="205"/>
      <c r="BL965" s="205"/>
    </row>
    <row r="966" spans="62:64" x14ac:dyDescent="0.25">
      <c r="BJ966" s="205"/>
      <c r="BK966" s="205"/>
      <c r="BL966" s="205"/>
    </row>
    <row r="967" spans="62:64" x14ac:dyDescent="0.25">
      <c r="BJ967" s="205"/>
      <c r="BK967" s="205"/>
      <c r="BL967" s="205"/>
    </row>
    <row r="968" spans="62:64" x14ac:dyDescent="0.25">
      <c r="BJ968" s="205"/>
      <c r="BK968" s="205"/>
      <c r="BL968" s="205"/>
    </row>
    <row r="969" spans="62:64" x14ac:dyDescent="0.25">
      <c r="BJ969" s="205"/>
      <c r="BK969" s="205"/>
      <c r="BL969" s="205"/>
    </row>
    <row r="970" spans="62:64" x14ac:dyDescent="0.25">
      <c r="BJ970" s="205"/>
      <c r="BK970" s="205"/>
      <c r="BL970" s="205"/>
    </row>
    <row r="971" spans="62:64" x14ac:dyDescent="0.25">
      <c r="BJ971" s="205"/>
      <c r="BK971" s="205"/>
      <c r="BL971" s="205"/>
    </row>
    <row r="972" spans="62:64" x14ac:dyDescent="0.25">
      <c r="BJ972" s="205"/>
      <c r="BK972" s="205"/>
      <c r="BL972" s="205"/>
    </row>
    <row r="973" spans="62:64" x14ac:dyDescent="0.25">
      <c r="BJ973" s="205"/>
      <c r="BK973" s="205"/>
      <c r="BL973" s="205"/>
    </row>
    <row r="974" spans="62:64" x14ac:dyDescent="0.25">
      <c r="BJ974" s="205"/>
      <c r="BK974" s="205"/>
      <c r="BL974" s="205"/>
    </row>
    <row r="975" spans="62:64" x14ac:dyDescent="0.25">
      <c r="BJ975" s="205"/>
      <c r="BK975" s="205"/>
      <c r="BL975" s="205"/>
    </row>
    <row r="976" spans="62:64" x14ac:dyDescent="0.25">
      <c r="BJ976" s="205"/>
      <c r="BK976" s="205"/>
      <c r="BL976" s="205"/>
    </row>
    <row r="977" spans="62:64" x14ac:dyDescent="0.25">
      <c r="BJ977" s="205"/>
      <c r="BK977" s="205"/>
      <c r="BL977" s="205"/>
    </row>
    <row r="978" spans="62:64" x14ac:dyDescent="0.25">
      <c r="BJ978" s="205"/>
      <c r="BK978" s="205"/>
      <c r="BL978" s="205"/>
    </row>
    <row r="979" spans="62:64" x14ac:dyDescent="0.25">
      <c r="BJ979" s="205"/>
      <c r="BK979" s="205"/>
      <c r="BL979" s="205"/>
    </row>
    <row r="980" spans="62:64" x14ac:dyDescent="0.25">
      <c r="BJ980" s="205"/>
      <c r="BK980" s="205"/>
      <c r="BL980" s="205"/>
    </row>
    <row r="981" spans="62:64" x14ac:dyDescent="0.25">
      <c r="BJ981" s="205"/>
      <c r="BK981" s="205"/>
      <c r="BL981" s="205"/>
    </row>
    <row r="982" spans="62:64" x14ac:dyDescent="0.25">
      <c r="BJ982" s="205"/>
      <c r="BK982" s="205"/>
      <c r="BL982" s="205"/>
    </row>
    <row r="983" spans="62:64" x14ac:dyDescent="0.25">
      <c r="BJ983" s="205"/>
      <c r="BK983" s="205"/>
      <c r="BL983" s="205"/>
    </row>
    <row r="984" spans="62:64" x14ac:dyDescent="0.25">
      <c r="BJ984" s="205"/>
      <c r="BK984" s="205"/>
      <c r="BL984" s="205"/>
    </row>
    <row r="985" spans="62:64" x14ac:dyDescent="0.25">
      <c r="BJ985" s="205"/>
      <c r="BK985" s="205"/>
      <c r="BL985" s="205"/>
    </row>
    <row r="986" spans="62:64" x14ac:dyDescent="0.25">
      <c r="BJ986" s="205"/>
      <c r="BK986" s="205"/>
      <c r="BL986" s="205"/>
    </row>
    <row r="987" spans="62:64" x14ac:dyDescent="0.25">
      <c r="BJ987" s="205"/>
      <c r="BK987" s="205"/>
      <c r="BL987" s="205"/>
    </row>
    <row r="988" spans="62:64" x14ac:dyDescent="0.25">
      <c r="BJ988" s="205"/>
      <c r="BK988" s="205"/>
      <c r="BL988" s="205"/>
    </row>
    <row r="989" spans="62:64" x14ac:dyDescent="0.25">
      <c r="BJ989" s="205"/>
      <c r="BK989" s="205"/>
      <c r="BL989" s="205"/>
    </row>
    <row r="990" spans="62:64" x14ac:dyDescent="0.25">
      <c r="BJ990" s="205"/>
      <c r="BK990" s="205"/>
      <c r="BL990" s="205"/>
    </row>
    <row r="991" spans="62:64" x14ac:dyDescent="0.25">
      <c r="BJ991" s="205"/>
      <c r="BK991" s="205"/>
      <c r="BL991" s="205"/>
    </row>
    <row r="992" spans="62:64" x14ac:dyDescent="0.25">
      <c r="BJ992" s="205"/>
      <c r="BK992" s="205"/>
      <c r="BL992" s="205"/>
    </row>
    <row r="993" spans="62:64" x14ac:dyDescent="0.25">
      <c r="BJ993" s="205"/>
      <c r="BK993" s="205"/>
      <c r="BL993" s="205"/>
    </row>
    <row r="994" spans="62:64" x14ac:dyDescent="0.25">
      <c r="BJ994" s="205"/>
      <c r="BK994" s="205"/>
      <c r="BL994" s="205"/>
    </row>
    <row r="995" spans="62:64" x14ac:dyDescent="0.25">
      <c r="BJ995" s="205"/>
      <c r="BK995" s="205"/>
      <c r="BL995" s="205"/>
    </row>
    <row r="996" spans="62:64" x14ac:dyDescent="0.25">
      <c r="BJ996" s="205"/>
      <c r="BK996" s="205"/>
      <c r="BL996" s="205"/>
    </row>
    <row r="997" spans="62:64" x14ac:dyDescent="0.25">
      <c r="BJ997" s="205"/>
      <c r="BK997" s="205"/>
      <c r="BL997" s="205"/>
    </row>
    <row r="998" spans="62:64" x14ac:dyDescent="0.25">
      <c r="BJ998" s="205"/>
      <c r="BK998" s="205"/>
      <c r="BL998" s="205"/>
    </row>
    <row r="999" spans="62:64" x14ac:dyDescent="0.25">
      <c r="BJ999" s="205"/>
      <c r="BK999" s="205"/>
      <c r="BL999" s="205"/>
    </row>
    <row r="1000" spans="62:64" x14ac:dyDescent="0.25">
      <c r="BJ1000" s="205"/>
      <c r="BK1000" s="205"/>
      <c r="BL1000" s="205"/>
    </row>
    <row r="1001" spans="62:64" x14ac:dyDescent="0.25">
      <c r="BJ1001" s="205"/>
      <c r="BK1001" s="205"/>
      <c r="BL1001" s="205"/>
    </row>
    <row r="1002" spans="62:64" x14ac:dyDescent="0.25">
      <c r="BJ1002" s="205"/>
      <c r="BK1002" s="205"/>
      <c r="BL1002" s="205"/>
    </row>
    <row r="1003" spans="62:64" x14ac:dyDescent="0.25">
      <c r="BJ1003" s="205"/>
      <c r="BK1003" s="205"/>
      <c r="BL1003" s="205"/>
    </row>
    <row r="1004" spans="62:64" x14ac:dyDescent="0.25">
      <c r="BJ1004" s="205"/>
      <c r="BK1004" s="205"/>
      <c r="BL1004" s="205"/>
    </row>
    <row r="1005" spans="62:64" x14ac:dyDescent="0.25">
      <c r="BJ1005" s="205"/>
      <c r="BK1005" s="205"/>
      <c r="BL1005" s="205"/>
    </row>
    <row r="1006" spans="62:64" x14ac:dyDescent="0.25">
      <c r="BJ1006" s="205"/>
      <c r="BK1006" s="205"/>
      <c r="BL1006" s="205"/>
    </row>
    <row r="1007" spans="62:64" x14ac:dyDescent="0.25">
      <c r="BJ1007" s="205"/>
      <c r="BK1007" s="205"/>
      <c r="BL1007" s="205"/>
    </row>
    <row r="1008" spans="62:64" x14ac:dyDescent="0.25">
      <c r="BJ1008" s="205"/>
      <c r="BK1008" s="205"/>
      <c r="BL1008" s="205"/>
    </row>
    <row r="1009" spans="62:64" x14ac:dyDescent="0.25">
      <c r="BJ1009" s="205"/>
      <c r="BK1009" s="205"/>
      <c r="BL1009" s="205"/>
    </row>
    <row r="1010" spans="62:64" x14ac:dyDescent="0.25">
      <c r="BJ1010" s="205"/>
      <c r="BK1010" s="205"/>
      <c r="BL1010" s="205"/>
    </row>
    <row r="1011" spans="62:64" x14ac:dyDescent="0.25">
      <c r="BJ1011" s="205"/>
      <c r="BK1011" s="205"/>
      <c r="BL1011" s="205"/>
    </row>
    <row r="1012" spans="62:64" x14ac:dyDescent="0.25">
      <c r="BJ1012" s="205"/>
      <c r="BK1012" s="205"/>
      <c r="BL1012" s="205"/>
    </row>
    <row r="1013" spans="62:64" x14ac:dyDescent="0.25">
      <c r="BJ1013" s="205"/>
      <c r="BK1013" s="205"/>
      <c r="BL1013" s="205"/>
    </row>
    <row r="1014" spans="62:64" x14ac:dyDescent="0.25">
      <c r="BJ1014" s="205"/>
      <c r="BK1014" s="205"/>
      <c r="BL1014" s="205"/>
    </row>
    <row r="1015" spans="62:64" x14ac:dyDescent="0.25">
      <c r="BJ1015" s="205"/>
      <c r="BK1015" s="205"/>
      <c r="BL1015" s="205"/>
    </row>
    <row r="1016" spans="62:64" x14ac:dyDescent="0.25">
      <c r="BJ1016" s="205"/>
      <c r="BK1016" s="205"/>
      <c r="BL1016" s="205"/>
    </row>
    <row r="1017" spans="62:64" x14ac:dyDescent="0.25">
      <c r="BJ1017" s="205"/>
      <c r="BK1017" s="205"/>
      <c r="BL1017" s="205"/>
    </row>
    <row r="1018" spans="62:64" x14ac:dyDescent="0.25">
      <c r="BJ1018" s="205"/>
      <c r="BK1018" s="205"/>
      <c r="BL1018" s="205"/>
    </row>
    <row r="1019" spans="62:64" x14ac:dyDescent="0.25">
      <c r="BJ1019" s="205"/>
      <c r="BK1019" s="205"/>
      <c r="BL1019" s="205"/>
    </row>
    <row r="1020" spans="62:64" x14ac:dyDescent="0.25">
      <c r="BJ1020" s="205"/>
      <c r="BK1020" s="205"/>
      <c r="BL1020" s="205"/>
    </row>
    <row r="1021" spans="62:64" x14ac:dyDescent="0.25">
      <c r="BJ1021" s="205"/>
      <c r="BK1021" s="205"/>
      <c r="BL1021" s="205"/>
    </row>
    <row r="1022" spans="62:64" x14ac:dyDescent="0.25">
      <c r="BJ1022" s="205"/>
      <c r="BK1022" s="205"/>
      <c r="BL1022" s="205"/>
    </row>
    <row r="1023" spans="62:64" x14ac:dyDescent="0.25">
      <c r="BJ1023" s="205"/>
      <c r="BK1023" s="205"/>
      <c r="BL1023" s="205"/>
    </row>
    <row r="1024" spans="62:64" x14ac:dyDescent="0.25">
      <c r="BJ1024" s="205"/>
      <c r="BK1024" s="205"/>
      <c r="BL1024" s="205"/>
    </row>
    <row r="1025" spans="62:64" x14ac:dyDescent="0.25">
      <c r="BJ1025" s="205"/>
      <c r="BK1025" s="205"/>
      <c r="BL1025" s="205"/>
    </row>
    <row r="1026" spans="62:64" x14ac:dyDescent="0.25">
      <c r="BJ1026" s="205"/>
      <c r="BK1026" s="205"/>
      <c r="BL1026" s="205"/>
    </row>
    <row r="1027" spans="62:64" x14ac:dyDescent="0.25">
      <c r="BJ1027" s="205"/>
      <c r="BK1027" s="205"/>
      <c r="BL1027" s="205"/>
    </row>
    <row r="1028" spans="62:64" x14ac:dyDescent="0.25">
      <c r="BJ1028" s="205"/>
      <c r="BK1028" s="205"/>
      <c r="BL1028" s="205"/>
    </row>
    <row r="1029" spans="62:64" x14ac:dyDescent="0.25">
      <c r="BJ1029" s="205"/>
      <c r="BK1029" s="205"/>
      <c r="BL1029" s="205"/>
    </row>
    <row r="1030" spans="62:64" x14ac:dyDescent="0.25">
      <c r="BJ1030" s="205"/>
      <c r="BK1030" s="205"/>
      <c r="BL1030" s="205"/>
    </row>
    <row r="1031" spans="62:64" x14ac:dyDescent="0.25">
      <c r="BJ1031" s="205"/>
      <c r="BK1031" s="205"/>
      <c r="BL1031" s="205"/>
    </row>
    <row r="1032" spans="62:64" x14ac:dyDescent="0.25">
      <c r="BJ1032" s="205"/>
      <c r="BK1032" s="205"/>
      <c r="BL1032" s="205"/>
    </row>
    <row r="1033" spans="62:64" x14ac:dyDescent="0.25">
      <c r="BJ1033" s="205"/>
      <c r="BK1033" s="205"/>
      <c r="BL1033" s="205"/>
    </row>
    <row r="1034" spans="62:64" x14ac:dyDescent="0.25">
      <c r="BJ1034" s="205"/>
      <c r="BK1034" s="205"/>
      <c r="BL1034" s="205"/>
    </row>
    <row r="1035" spans="62:64" x14ac:dyDescent="0.25">
      <c r="BJ1035" s="205"/>
      <c r="BK1035" s="205"/>
      <c r="BL1035" s="205"/>
    </row>
    <row r="1036" spans="62:64" x14ac:dyDescent="0.25">
      <c r="BJ1036" s="205"/>
      <c r="BK1036" s="205"/>
      <c r="BL1036" s="205"/>
    </row>
    <row r="1037" spans="62:64" x14ac:dyDescent="0.25">
      <c r="BJ1037" s="205"/>
      <c r="BK1037" s="205"/>
      <c r="BL1037" s="205"/>
    </row>
    <row r="1038" spans="62:64" x14ac:dyDescent="0.25">
      <c r="BJ1038" s="205"/>
      <c r="BK1038" s="205"/>
      <c r="BL1038" s="205"/>
    </row>
    <row r="1039" spans="62:64" x14ac:dyDescent="0.25">
      <c r="BJ1039" s="205"/>
      <c r="BK1039" s="205"/>
      <c r="BL1039" s="205"/>
    </row>
    <row r="1040" spans="62:64" x14ac:dyDescent="0.25">
      <c r="BJ1040" s="205"/>
      <c r="BK1040" s="205"/>
      <c r="BL1040" s="205"/>
    </row>
    <row r="1041" spans="62:64" x14ac:dyDescent="0.25">
      <c r="BJ1041" s="205"/>
      <c r="BK1041" s="205"/>
      <c r="BL1041" s="205"/>
    </row>
    <row r="1042" spans="62:64" x14ac:dyDescent="0.25">
      <c r="BJ1042" s="205"/>
      <c r="BK1042" s="205"/>
      <c r="BL1042" s="205"/>
    </row>
    <row r="1043" spans="62:64" x14ac:dyDescent="0.25">
      <c r="BJ1043" s="205"/>
      <c r="BK1043" s="205"/>
      <c r="BL1043" s="205"/>
    </row>
    <row r="1044" spans="62:64" x14ac:dyDescent="0.25">
      <c r="BJ1044" s="205"/>
      <c r="BK1044" s="205"/>
      <c r="BL1044" s="205"/>
    </row>
    <row r="1045" spans="62:64" x14ac:dyDescent="0.25">
      <c r="BJ1045" s="205"/>
      <c r="BK1045" s="205"/>
      <c r="BL1045" s="205"/>
    </row>
    <row r="1046" spans="62:64" x14ac:dyDescent="0.25">
      <c r="BJ1046" s="205"/>
      <c r="BK1046" s="205"/>
      <c r="BL1046" s="205"/>
    </row>
    <row r="1047" spans="62:64" x14ac:dyDescent="0.25">
      <c r="BJ1047" s="205"/>
      <c r="BK1047" s="205"/>
      <c r="BL1047" s="205"/>
    </row>
    <row r="1048" spans="62:64" x14ac:dyDescent="0.25">
      <c r="BJ1048" s="205"/>
      <c r="BK1048" s="205"/>
      <c r="BL1048" s="205"/>
    </row>
    <row r="1049" spans="62:64" x14ac:dyDescent="0.25">
      <c r="BJ1049" s="205"/>
      <c r="BK1049" s="205"/>
      <c r="BL1049" s="205"/>
    </row>
    <row r="1050" spans="62:64" x14ac:dyDescent="0.25">
      <c r="BJ1050" s="205"/>
      <c r="BK1050" s="205"/>
      <c r="BL1050" s="205"/>
    </row>
    <row r="1051" spans="62:64" x14ac:dyDescent="0.25">
      <c r="BJ1051" s="205"/>
      <c r="BK1051" s="205"/>
      <c r="BL1051" s="205"/>
    </row>
    <row r="1052" spans="62:64" x14ac:dyDescent="0.25">
      <c r="BJ1052" s="205"/>
      <c r="BK1052" s="205"/>
      <c r="BL1052" s="205"/>
    </row>
    <row r="1053" spans="62:64" x14ac:dyDescent="0.25">
      <c r="BJ1053" s="205"/>
      <c r="BK1053" s="205"/>
      <c r="BL1053" s="205"/>
    </row>
    <row r="1054" spans="62:64" x14ac:dyDescent="0.25">
      <c r="BJ1054" s="205"/>
      <c r="BK1054" s="205"/>
      <c r="BL1054" s="205"/>
    </row>
    <row r="1055" spans="62:64" x14ac:dyDescent="0.25">
      <c r="BJ1055" s="205"/>
      <c r="BK1055" s="205"/>
      <c r="BL1055" s="205"/>
    </row>
    <row r="1056" spans="62:64" x14ac:dyDescent="0.25">
      <c r="BJ1056" s="205"/>
      <c r="BK1056" s="205"/>
      <c r="BL1056" s="205"/>
    </row>
    <row r="1057" spans="62:64" x14ac:dyDescent="0.25">
      <c r="BJ1057" s="205"/>
      <c r="BK1057" s="205"/>
      <c r="BL1057" s="205"/>
    </row>
    <row r="1058" spans="62:64" x14ac:dyDescent="0.25">
      <c r="BJ1058" s="205"/>
      <c r="BK1058" s="205"/>
      <c r="BL1058" s="205"/>
    </row>
    <row r="1059" spans="62:64" x14ac:dyDescent="0.25">
      <c r="BJ1059" s="205"/>
      <c r="BK1059" s="205"/>
      <c r="BL1059" s="205"/>
    </row>
    <row r="1060" spans="62:64" x14ac:dyDescent="0.25">
      <c r="BJ1060" s="205"/>
      <c r="BK1060" s="205"/>
      <c r="BL1060" s="205"/>
    </row>
    <row r="1061" spans="62:64" x14ac:dyDescent="0.25">
      <c r="BJ1061" s="205"/>
      <c r="BK1061" s="205"/>
      <c r="BL1061" s="205"/>
    </row>
    <row r="1062" spans="62:64" x14ac:dyDescent="0.25">
      <c r="BJ1062" s="205"/>
      <c r="BK1062" s="205"/>
      <c r="BL1062" s="205"/>
    </row>
    <row r="1063" spans="62:64" x14ac:dyDescent="0.25">
      <c r="BJ1063" s="205"/>
      <c r="BK1063" s="205"/>
      <c r="BL1063" s="205"/>
    </row>
    <row r="1064" spans="62:64" x14ac:dyDescent="0.25">
      <c r="BJ1064" s="205"/>
      <c r="BK1064" s="205"/>
      <c r="BL1064" s="205"/>
    </row>
    <row r="1065" spans="62:64" x14ac:dyDescent="0.25">
      <c r="BJ1065" s="205"/>
      <c r="BK1065" s="205"/>
      <c r="BL1065" s="205"/>
    </row>
    <row r="1066" spans="62:64" x14ac:dyDescent="0.25">
      <c r="BJ1066" s="205"/>
      <c r="BK1066" s="205"/>
      <c r="BL1066" s="205"/>
    </row>
    <row r="1067" spans="62:64" x14ac:dyDescent="0.25">
      <c r="BJ1067" s="205"/>
      <c r="BK1067" s="205"/>
      <c r="BL1067" s="205"/>
    </row>
    <row r="1068" spans="62:64" x14ac:dyDescent="0.25">
      <c r="BJ1068" s="205"/>
      <c r="BK1068" s="205"/>
      <c r="BL1068" s="205"/>
    </row>
    <row r="1069" spans="62:64" x14ac:dyDescent="0.25">
      <c r="BJ1069" s="205"/>
      <c r="BK1069" s="205"/>
      <c r="BL1069" s="205"/>
    </row>
    <row r="1070" spans="62:64" x14ac:dyDescent="0.25">
      <c r="BJ1070" s="205"/>
      <c r="BK1070" s="205"/>
      <c r="BL1070" s="205"/>
    </row>
    <row r="1071" spans="62:64" x14ac:dyDescent="0.25">
      <c r="BJ1071" s="205"/>
      <c r="BK1071" s="205"/>
      <c r="BL1071" s="205"/>
    </row>
    <row r="1072" spans="62:64" x14ac:dyDescent="0.25">
      <c r="BJ1072" s="205"/>
      <c r="BK1072" s="205"/>
      <c r="BL1072" s="205"/>
    </row>
    <row r="1073" spans="62:64" x14ac:dyDescent="0.25">
      <c r="BJ1073" s="205"/>
      <c r="BK1073" s="205"/>
      <c r="BL1073" s="205"/>
    </row>
    <row r="1074" spans="62:64" x14ac:dyDescent="0.25">
      <c r="BJ1074" s="205"/>
      <c r="BK1074" s="205"/>
      <c r="BL1074" s="205"/>
    </row>
    <row r="1075" spans="62:64" x14ac:dyDescent="0.25">
      <c r="BJ1075" s="205"/>
      <c r="BK1075" s="205"/>
      <c r="BL1075" s="205"/>
    </row>
    <row r="1076" spans="62:64" x14ac:dyDescent="0.25">
      <c r="BJ1076" s="205"/>
      <c r="BK1076" s="205"/>
      <c r="BL1076" s="205"/>
    </row>
    <row r="1077" spans="62:64" x14ac:dyDescent="0.25">
      <c r="BJ1077" s="205"/>
      <c r="BK1077" s="205"/>
      <c r="BL1077" s="205"/>
    </row>
    <row r="1078" spans="62:64" x14ac:dyDescent="0.25">
      <c r="BJ1078" s="205"/>
      <c r="BK1078" s="205"/>
      <c r="BL1078" s="205"/>
    </row>
    <row r="1079" spans="62:64" x14ac:dyDescent="0.25">
      <c r="BJ1079" s="205"/>
      <c r="BK1079" s="205"/>
      <c r="BL1079" s="205"/>
    </row>
    <row r="1080" spans="62:64" x14ac:dyDescent="0.25">
      <c r="BJ1080" s="205"/>
      <c r="BK1080" s="205"/>
      <c r="BL1080" s="205"/>
    </row>
    <row r="1081" spans="62:64" x14ac:dyDescent="0.25">
      <c r="BJ1081" s="205"/>
      <c r="BK1081" s="205"/>
      <c r="BL1081" s="205"/>
    </row>
    <row r="1082" spans="62:64" x14ac:dyDescent="0.25">
      <c r="BJ1082" s="205"/>
      <c r="BK1082" s="205"/>
      <c r="BL1082" s="205"/>
    </row>
    <row r="1083" spans="62:64" x14ac:dyDescent="0.25">
      <c r="BJ1083" s="205"/>
      <c r="BK1083" s="205"/>
      <c r="BL1083" s="205"/>
    </row>
    <row r="1084" spans="62:64" x14ac:dyDescent="0.25">
      <c r="BJ1084" s="205"/>
      <c r="BK1084" s="205"/>
      <c r="BL1084" s="205"/>
    </row>
    <row r="1085" spans="62:64" x14ac:dyDescent="0.25">
      <c r="BJ1085" s="205"/>
      <c r="BK1085" s="205"/>
      <c r="BL1085" s="205"/>
    </row>
    <row r="1086" spans="62:64" x14ac:dyDescent="0.25">
      <c r="BJ1086" s="205"/>
      <c r="BK1086" s="205"/>
      <c r="BL1086" s="205"/>
    </row>
    <row r="1087" spans="62:64" x14ac:dyDescent="0.25">
      <c r="BJ1087" s="205"/>
      <c r="BK1087" s="205"/>
      <c r="BL1087" s="205"/>
    </row>
    <row r="1088" spans="62:64" x14ac:dyDescent="0.25">
      <c r="BJ1088" s="205"/>
      <c r="BK1088" s="205"/>
      <c r="BL1088" s="205"/>
    </row>
    <row r="1089" spans="62:64" x14ac:dyDescent="0.25">
      <c r="BJ1089" s="205"/>
      <c r="BK1089" s="205"/>
      <c r="BL1089" s="205"/>
    </row>
    <row r="1090" spans="62:64" x14ac:dyDescent="0.25">
      <c r="BJ1090" s="205"/>
      <c r="BK1090" s="205"/>
      <c r="BL1090" s="205"/>
    </row>
    <row r="1091" spans="62:64" x14ac:dyDescent="0.25">
      <c r="BJ1091" s="205"/>
      <c r="BK1091" s="205"/>
      <c r="BL1091" s="205"/>
    </row>
    <row r="1092" spans="62:64" x14ac:dyDescent="0.25">
      <c r="BJ1092" s="205"/>
      <c r="BK1092" s="205"/>
      <c r="BL1092" s="205"/>
    </row>
    <row r="1093" spans="62:64" x14ac:dyDescent="0.25">
      <c r="BJ1093" s="205"/>
      <c r="BK1093" s="205"/>
      <c r="BL1093" s="205"/>
    </row>
    <row r="1094" spans="62:64" x14ac:dyDescent="0.25">
      <c r="BJ1094" s="205"/>
      <c r="BK1094" s="205"/>
      <c r="BL1094" s="205"/>
    </row>
    <row r="1095" spans="62:64" x14ac:dyDescent="0.25">
      <c r="BJ1095" s="205"/>
      <c r="BK1095" s="205"/>
      <c r="BL1095" s="205"/>
    </row>
    <row r="1096" spans="62:64" x14ac:dyDescent="0.25">
      <c r="BJ1096" s="205"/>
      <c r="BK1096" s="205"/>
      <c r="BL1096" s="205"/>
    </row>
    <row r="1097" spans="62:64" x14ac:dyDescent="0.25">
      <c r="BJ1097" s="205"/>
      <c r="BK1097" s="205"/>
      <c r="BL1097" s="205"/>
    </row>
    <row r="1098" spans="62:64" x14ac:dyDescent="0.25">
      <c r="BJ1098" s="205"/>
      <c r="BK1098" s="205"/>
      <c r="BL1098" s="205"/>
    </row>
    <row r="1099" spans="62:64" x14ac:dyDescent="0.25">
      <c r="BJ1099" s="205"/>
      <c r="BK1099" s="205"/>
      <c r="BL1099" s="205"/>
    </row>
    <row r="1100" spans="62:64" x14ac:dyDescent="0.25">
      <c r="BJ1100" s="205"/>
      <c r="BK1100" s="205"/>
      <c r="BL1100" s="205"/>
    </row>
    <row r="1101" spans="62:64" x14ac:dyDescent="0.25">
      <c r="BJ1101" s="205"/>
      <c r="BK1101" s="205"/>
      <c r="BL1101" s="205"/>
    </row>
    <row r="1102" spans="62:64" x14ac:dyDescent="0.25">
      <c r="BJ1102" s="205"/>
      <c r="BK1102" s="205"/>
      <c r="BL1102" s="205"/>
    </row>
    <row r="1103" spans="62:64" x14ac:dyDescent="0.25">
      <c r="BJ1103" s="205"/>
      <c r="BK1103" s="205"/>
      <c r="BL1103" s="205"/>
    </row>
    <row r="1104" spans="62:64" x14ac:dyDescent="0.25">
      <c r="BJ1104" s="205"/>
      <c r="BK1104" s="205"/>
      <c r="BL1104" s="205"/>
    </row>
    <row r="1105" spans="62:64" x14ac:dyDescent="0.25">
      <c r="BJ1105" s="205"/>
      <c r="BK1105" s="205"/>
      <c r="BL1105" s="205"/>
    </row>
    <row r="1106" spans="62:64" x14ac:dyDescent="0.25">
      <c r="BJ1106" s="205"/>
      <c r="BK1106" s="205"/>
      <c r="BL1106" s="205"/>
    </row>
    <row r="1107" spans="62:64" x14ac:dyDescent="0.25">
      <c r="BJ1107" s="205"/>
      <c r="BK1107" s="205"/>
      <c r="BL1107" s="205"/>
    </row>
    <row r="1108" spans="62:64" x14ac:dyDescent="0.25">
      <c r="BJ1108" s="205"/>
      <c r="BK1108" s="205"/>
      <c r="BL1108" s="205"/>
    </row>
    <row r="1109" spans="62:64" x14ac:dyDescent="0.25">
      <c r="BJ1109" s="205"/>
      <c r="BK1109" s="205"/>
      <c r="BL1109" s="205"/>
    </row>
    <row r="1110" spans="62:64" x14ac:dyDescent="0.25">
      <c r="BJ1110" s="205"/>
      <c r="BK1110" s="205"/>
      <c r="BL1110" s="205"/>
    </row>
    <row r="1111" spans="62:64" x14ac:dyDescent="0.25">
      <c r="BJ1111" s="205"/>
      <c r="BK1111" s="205"/>
      <c r="BL1111" s="205"/>
    </row>
    <row r="1112" spans="62:64" x14ac:dyDescent="0.25">
      <c r="BJ1112" s="205"/>
      <c r="BK1112" s="205"/>
      <c r="BL1112" s="205"/>
    </row>
    <row r="1113" spans="62:64" x14ac:dyDescent="0.25">
      <c r="BJ1113" s="205"/>
      <c r="BK1113" s="205"/>
      <c r="BL1113" s="205"/>
    </row>
    <row r="1114" spans="62:64" x14ac:dyDescent="0.25">
      <c r="BJ1114" s="205"/>
      <c r="BK1114" s="205"/>
      <c r="BL1114" s="205"/>
    </row>
    <row r="1115" spans="62:64" x14ac:dyDescent="0.25">
      <c r="BJ1115" s="205"/>
      <c r="BK1115" s="205"/>
      <c r="BL1115" s="205"/>
    </row>
    <row r="1116" spans="62:64" x14ac:dyDescent="0.25">
      <c r="BJ1116" s="205"/>
      <c r="BK1116" s="205"/>
      <c r="BL1116" s="205"/>
    </row>
    <row r="1117" spans="62:64" x14ac:dyDescent="0.25">
      <c r="BJ1117" s="205"/>
      <c r="BK1117" s="205"/>
      <c r="BL1117" s="205"/>
    </row>
    <row r="1118" spans="62:64" x14ac:dyDescent="0.25">
      <c r="BJ1118" s="205"/>
      <c r="BK1118" s="205"/>
      <c r="BL1118" s="205"/>
    </row>
    <row r="1119" spans="62:64" x14ac:dyDescent="0.25">
      <c r="BJ1119" s="205"/>
      <c r="BK1119" s="205"/>
      <c r="BL1119" s="205"/>
    </row>
    <row r="1120" spans="62:64" x14ac:dyDescent="0.25">
      <c r="BJ1120" s="205"/>
      <c r="BK1120" s="205"/>
      <c r="BL1120" s="205"/>
    </row>
    <row r="1121" spans="62:64" x14ac:dyDescent="0.25">
      <c r="BJ1121" s="205"/>
      <c r="BK1121" s="205"/>
      <c r="BL1121" s="205"/>
    </row>
    <row r="1122" spans="62:64" x14ac:dyDescent="0.25">
      <c r="BJ1122" s="205"/>
      <c r="BK1122" s="205"/>
      <c r="BL1122" s="205"/>
    </row>
    <row r="1123" spans="62:64" x14ac:dyDescent="0.25">
      <c r="BJ1123" s="205"/>
      <c r="BK1123" s="205"/>
      <c r="BL1123" s="205"/>
    </row>
    <row r="1124" spans="62:64" x14ac:dyDescent="0.25">
      <c r="BJ1124" s="205"/>
      <c r="BK1124" s="205"/>
      <c r="BL1124" s="205"/>
    </row>
    <row r="1125" spans="62:64" x14ac:dyDescent="0.25">
      <c r="BJ1125" s="205"/>
      <c r="BK1125" s="205"/>
      <c r="BL1125" s="205"/>
    </row>
    <row r="1126" spans="62:64" x14ac:dyDescent="0.25">
      <c r="BJ1126" s="205"/>
      <c r="BK1126" s="205"/>
      <c r="BL1126" s="205"/>
    </row>
    <row r="1127" spans="62:64" x14ac:dyDescent="0.25">
      <c r="BJ1127" s="205"/>
      <c r="BK1127" s="205"/>
      <c r="BL1127" s="205"/>
    </row>
    <row r="1128" spans="62:64" x14ac:dyDescent="0.25">
      <c r="BJ1128" s="205"/>
      <c r="BK1128" s="205"/>
      <c r="BL1128" s="205"/>
    </row>
    <row r="1129" spans="62:64" x14ac:dyDescent="0.25">
      <c r="BJ1129" s="205"/>
      <c r="BK1129" s="205"/>
      <c r="BL1129" s="205"/>
    </row>
    <row r="1130" spans="62:64" x14ac:dyDescent="0.25">
      <c r="BJ1130" s="205"/>
      <c r="BK1130" s="205"/>
      <c r="BL1130" s="205"/>
    </row>
    <row r="1131" spans="62:64" x14ac:dyDescent="0.25">
      <c r="BJ1131" s="205"/>
      <c r="BK1131" s="205"/>
      <c r="BL1131" s="205"/>
    </row>
    <row r="1132" spans="62:64" x14ac:dyDescent="0.25">
      <c r="BJ1132" s="205"/>
      <c r="BK1132" s="205"/>
      <c r="BL1132" s="205"/>
    </row>
    <row r="1133" spans="62:64" x14ac:dyDescent="0.25">
      <c r="BJ1133" s="205"/>
      <c r="BK1133" s="205"/>
      <c r="BL1133" s="205"/>
    </row>
    <row r="1134" spans="62:64" x14ac:dyDescent="0.25">
      <c r="BJ1134" s="205"/>
      <c r="BK1134" s="205"/>
      <c r="BL1134" s="205"/>
    </row>
    <row r="1135" spans="62:64" x14ac:dyDescent="0.25">
      <c r="BJ1135" s="205"/>
      <c r="BK1135" s="205"/>
      <c r="BL1135" s="205"/>
    </row>
    <row r="1136" spans="62:64" x14ac:dyDescent="0.25">
      <c r="BJ1136" s="205"/>
      <c r="BK1136" s="205"/>
      <c r="BL1136" s="205"/>
    </row>
    <row r="1137" spans="62:64" x14ac:dyDescent="0.25">
      <c r="BJ1137" s="205"/>
      <c r="BK1137" s="205"/>
      <c r="BL1137" s="205"/>
    </row>
    <row r="1138" spans="62:64" x14ac:dyDescent="0.25">
      <c r="BJ1138" s="205"/>
      <c r="BK1138" s="205"/>
      <c r="BL1138" s="205"/>
    </row>
    <row r="1139" spans="62:64" x14ac:dyDescent="0.25">
      <c r="BJ1139" s="205"/>
      <c r="BK1139" s="205"/>
      <c r="BL1139" s="205"/>
    </row>
    <row r="1140" spans="62:64" x14ac:dyDescent="0.25">
      <c r="BJ1140" s="205"/>
      <c r="BK1140" s="205"/>
      <c r="BL1140" s="205"/>
    </row>
    <row r="1141" spans="62:64" x14ac:dyDescent="0.25">
      <c r="BJ1141" s="205"/>
      <c r="BK1141" s="205"/>
      <c r="BL1141" s="205"/>
    </row>
    <row r="1142" spans="62:64" x14ac:dyDescent="0.25">
      <c r="BJ1142" s="205"/>
      <c r="BK1142" s="205"/>
      <c r="BL1142" s="205"/>
    </row>
    <row r="1143" spans="62:64" x14ac:dyDescent="0.25">
      <c r="BJ1143" s="205"/>
      <c r="BK1143" s="205"/>
      <c r="BL1143" s="205"/>
    </row>
    <row r="1144" spans="62:64" x14ac:dyDescent="0.25">
      <c r="BJ1144" s="205"/>
      <c r="BK1144" s="205"/>
      <c r="BL1144" s="205"/>
    </row>
    <row r="1145" spans="62:64" x14ac:dyDescent="0.25">
      <c r="BJ1145" s="205"/>
      <c r="BK1145" s="205"/>
      <c r="BL1145" s="205"/>
    </row>
    <row r="1146" spans="62:64" x14ac:dyDescent="0.25">
      <c r="BJ1146" s="205"/>
      <c r="BK1146" s="205"/>
      <c r="BL1146" s="205"/>
    </row>
    <row r="1147" spans="62:64" x14ac:dyDescent="0.25">
      <c r="BJ1147" s="205"/>
      <c r="BK1147" s="205"/>
      <c r="BL1147" s="205"/>
    </row>
    <row r="1148" spans="62:64" x14ac:dyDescent="0.25">
      <c r="BJ1148" s="205"/>
      <c r="BK1148" s="205"/>
      <c r="BL1148" s="205"/>
    </row>
    <row r="1149" spans="62:64" x14ac:dyDescent="0.25">
      <c r="BJ1149" s="205"/>
      <c r="BK1149" s="205"/>
      <c r="BL1149" s="205"/>
    </row>
    <row r="1150" spans="62:64" x14ac:dyDescent="0.25">
      <c r="BJ1150" s="205"/>
      <c r="BK1150" s="205"/>
      <c r="BL1150" s="205"/>
    </row>
    <row r="1151" spans="62:64" x14ac:dyDescent="0.25">
      <c r="BJ1151" s="205"/>
      <c r="BK1151" s="205"/>
      <c r="BL1151" s="205"/>
    </row>
    <row r="1152" spans="62:64" x14ac:dyDescent="0.25">
      <c r="BJ1152" s="205"/>
      <c r="BK1152" s="205"/>
      <c r="BL1152" s="205"/>
    </row>
    <row r="1153" spans="62:64" x14ac:dyDescent="0.25">
      <c r="BJ1153" s="205"/>
      <c r="BK1153" s="205"/>
      <c r="BL1153" s="205"/>
    </row>
    <row r="1154" spans="62:64" x14ac:dyDescent="0.25">
      <c r="BJ1154" s="205"/>
      <c r="BK1154" s="205"/>
      <c r="BL1154" s="205"/>
    </row>
    <row r="1155" spans="62:64" x14ac:dyDescent="0.25">
      <c r="BJ1155" s="205"/>
      <c r="BK1155" s="205"/>
      <c r="BL1155" s="205"/>
    </row>
    <row r="1156" spans="62:64" x14ac:dyDescent="0.25">
      <c r="BJ1156" s="205"/>
      <c r="BK1156" s="205"/>
      <c r="BL1156" s="205"/>
    </row>
    <row r="1157" spans="62:64" x14ac:dyDescent="0.25">
      <c r="BJ1157" s="205"/>
      <c r="BK1157" s="205"/>
      <c r="BL1157" s="205"/>
    </row>
    <row r="1158" spans="62:64" x14ac:dyDescent="0.25">
      <c r="BJ1158" s="205"/>
      <c r="BK1158" s="205"/>
      <c r="BL1158" s="205"/>
    </row>
    <row r="1159" spans="62:64" x14ac:dyDescent="0.25">
      <c r="BJ1159" s="205"/>
      <c r="BK1159" s="205"/>
      <c r="BL1159" s="205"/>
    </row>
    <row r="1160" spans="62:64" x14ac:dyDescent="0.25">
      <c r="BJ1160" s="205"/>
      <c r="BK1160" s="205"/>
      <c r="BL1160" s="205"/>
    </row>
    <row r="1161" spans="62:64" x14ac:dyDescent="0.25">
      <c r="BJ1161" s="205"/>
      <c r="BK1161" s="205"/>
      <c r="BL1161" s="205"/>
    </row>
    <row r="1162" spans="62:64" x14ac:dyDescent="0.25">
      <c r="BJ1162" s="205"/>
      <c r="BK1162" s="205"/>
      <c r="BL1162" s="205"/>
    </row>
    <row r="1163" spans="62:64" x14ac:dyDescent="0.25">
      <c r="BJ1163" s="205"/>
      <c r="BK1163" s="205"/>
      <c r="BL1163" s="205"/>
    </row>
    <row r="1164" spans="62:64" x14ac:dyDescent="0.25">
      <c r="BJ1164" s="205"/>
      <c r="BK1164" s="205"/>
      <c r="BL1164" s="205"/>
    </row>
    <row r="1165" spans="62:64" x14ac:dyDescent="0.25">
      <c r="BJ1165" s="205"/>
      <c r="BK1165" s="205"/>
      <c r="BL1165" s="205"/>
    </row>
    <row r="1166" spans="62:64" x14ac:dyDescent="0.25">
      <c r="BJ1166" s="205"/>
      <c r="BK1166" s="205"/>
      <c r="BL1166" s="205"/>
    </row>
    <row r="1167" spans="62:64" x14ac:dyDescent="0.25">
      <c r="BJ1167" s="205"/>
      <c r="BK1167" s="205"/>
      <c r="BL1167" s="205"/>
    </row>
    <row r="1168" spans="62:64" x14ac:dyDescent="0.25">
      <c r="BJ1168" s="205"/>
      <c r="BK1168" s="205"/>
      <c r="BL1168" s="205"/>
    </row>
    <row r="1169" spans="62:64" x14ac:dyDescent="0.25">
      <c r="BJ1169" s="205"/>
      <c r="BK1169" s="205"/>
      <c r="BL1169" s="205"/>
    </row>
    <row r="1170" spans="62:64" x14ac:dyDescent="0.25">
      <c r="BJ1170" s="205"/>
      <c r="BK1170" s="205"/>
      <c r="BL1170" s="205"/>
    </row>
    <row r="1171" spans="62:64" x14ac:dyDescent="0.25">
      <c r="BJ1171" s="205"/>
      <c r="BK1171" s="205"/>
      <c r="BL1171" s="205"/>
    </row>
    <row r="1172" spans="62:64" x14ac:dyDescent="0.25">
      <c r="BJ1172" s="205"/>
      <c r="BK1172" s="205"/>
      <c r="BL1172" s="205"/>
    </row>
    <row r="1173" spans="62:64" x14ac:dyDescent="0.25">
      <c r="BJ1173" s="205"/>
      <c r="BK1173" s="205"/>
      <c r="BL1173" s="205"/>
    </row>
    <row r="1174" spans="62:64" x14ac:dyDescent="0.25">
      <c r="BJ1174" s="205"/>
      <c r="BK1174" s="205"/>
      <c r="BL1174" s="205"/>
    </row>
    <row r="1175" spans="62:64" x14ac:dyDescent="0.25">
      <c r="BJ1175" s="205"/>
      <c r="BK1175" s="205"/>
      <c r="BL1175" s="205"/>
    </row>
    <row r="1176" spans="62:64" x14ac:dyDescent="0.25">
      <c r="BJ1176" s="205"/>
      <c r="BK1176" s="205"/>
      <c r="BL1176" s="205"/>
    </row>
    <row r="1177" spans="62:64" x14ac:dyDescent="0.25">
      <c r="BJ1177" s="205"/>
      <c r="BK1177" s="205"/>
      <c r="BL1177" s="205"/>
    </row>
    <row r="1178" spans="62:64" x14ac:dyDescent="0.25">
      <c r="BJ1178" s="205"/>
      <c r="BK1178" s="205"/>
      <c r="BL1178" s="205"/>
    </row>
    <row r="1179" spans="62:64" x14ac:dyDescent="0.25">
      <c r="BJ1179" s="205"/>
      <c r="BK1179" s="205"/>
      <c r="BL1179" s="205"/>
    </row>
    <row r="1180" spans="62:64" x14ac:dyDescent="0.25">
      <c r="BJ1180" s="205"/>
      <c r="BK1180" s="205"/>
      <c r="BL1180" s="205"/>
    </row>
    <row r="1181" spans="62:64" x14ac:dyDescent="0.25">
      <c r="BJ1181" s="205"/>
      <c r="BK1181" s="205"/>
      <c r="BL1181" s="205"/>
    </row>
    <row r="1182" spans="62:64" x14ac:dyDescent="0.25">
      <c r="BJ1182" s="205"/>
      <c r="BK1182" s="205"/>
      <c r="BL1182" s="205"/>
    </row>
    <row r="1183" spans="62:64" x14ac:dyDescent="0.25">
      <c r="BJ1183" s="205"/>
      <c r="BK1183" s="205"/>
      <c r="BL1183" s="205"/>
    </row>
    <row r="1184" spans="62:64" x14ac:dyDescent="0.25">
      <c r="BJ1184" s="205"/>
      <c r="BK1184" s="205"/>
      <c r="BL1184" s="205"/>
    </row>
    <row r="1185" spans="62:64" x14ac:dyDescent="0.25">
      <c r="BJ1185" s="205"/>
      <c r="BK1185" s="205"/>
      <c r="BL1185" s="205"/>
    </row>
    <row r="1186" spans="62:64" x14ac:dyDescent="0.25">
      <c r="BJ1186" s="205"/>
      <c r="BK1186" s="205"/>
      <c r="BL1186" s="205"/>
    </row>
    <row r="1187" spans="62:64" x14ac:dyDescent="0.25">
      <c r="BJ1187" s="205"/>
      <c r="BK1187" s="205"/>
      <c r="BL1187" s="205"/>
    </row>
    <row r="1188" spans="62:64" x14ac:dyDescent="0.25">
      <c r="BJ1188" s="205"/>
      <c r="BK1188" s="205"/>
      <c r="BL1188" s="205"/>
    </row>
    <row r="1189" spans="62:64" x14ac:dyDescent="0.25">
      <c r="BJ1189" s="205"/>
      <c r="BK1189" s="205"/>
      <c r="BL1189" s="205"/>
    </row>
    <row r="1190" spans="62:64" x14ac:dyDescent="0.25">
      <c r="BJ1190" s="205"/>
      <c r="BK1190" s="205"/>
      <c r="BL1190" s="205"/>
    </row>
    <row r="1191" spans="62:64" x14ac:dyDescent="0.25">
      <c r="BJ1191" s="205"/>
      <c r="BK1191" s="205"/>
      <c r="BL1191" s="205"/>
    </row>
    <row r="1192" spans="62:64" x14ac:dyDescent="0.25">
      <c r="BJ1192" s="205"/>
      <c r="BK1192" s="205"/>
      <c r="BL1192" s="205"/>
    </row>
    <row r="1193" spans="62:64" x14ac:dyDescent="0.25">
      <c r="BJ1193" s="205"/>
      <c r="BK1193" s="205"/>
      <c r="BL1193" s="205"/>
    </row>
    <row r="1194" spans="62:64" x14ac:dyDescent="0.25">
      <c r="BJ1194" s="205"/>
      <c r="BK1194" s="205"/>
      <c r="BL1194" s="205"/>
    </row>
    <row r="1195" spans="62:64" x14ac:dyDescent="0.25">
      <c r="BJ1195" s="205"/>
      <c r="BK1195" s="205"/>
      <c r="BL1195" s="205"/>
    </row>
    <row r="1196" spans="62:64" x14ac:dyDescent="0.25">
      <c r="BJ1196" s="205"/>
      <c r="BK1196" s="205"/>
      <c r="BL1196" s="205"/>
    </row>
    <row r="1197" spans="62:64" x14ac:dyDescent="0.25">
      <c r="BJ1197" s="205"/>
      <c r="BK1197" s="205"/>
      <c r="BL1197" s="205"/>
    </row>
    <row r="1198" spans="62:64" x14ac:dyDescent="0.25">
      <c r="BJ1198" s="205"/>
      <c r="BK1198" s="205"/>
      <c r="BL1198" s="205"/>
    </row>
    <row r="1199" spans="62:64" x14ac:dyDescent="0.25">
      <c r="BJ1199" s="205"/>
      <c r="BK1199" s="205"/>
      <c r="BL1199" s="205"/>
    </row>
    <row r="1200" spans="62:64" x14ac:dyDescent="0.25">
      <c r="BJ1200" s="205"/>
      <c r="BK1200" s="205"/>
      <c r="BL1200" s="205"/>
    </row>
    <row r="1201" spans="62:64" x14ac:dyDescent="0.25">
      <c r="BJ1201" s="205"/>
      <c r="BK1201" s="205"/>
      <c r="BL1201" s="205"/>
    </row>
    <row r="1202" spans="62:64" x14ac:dyDescent="0.25">
      <c r="BJ1202" s="205"/>
      <c r="BK1202" s="205"/>
      <c r="BL1202" s="205"/>
    </row>
    <row r="1203" spans="62:64" x14ac:dyDescent="0.25">
      <c r="BJ1203" s="205"/>
      <c r="BK1203" s="205"/>
      <c r="BL1203" s="205"/>
    </row>
    <row r="1204" spans="62:64" x14ac:dyDescent="0.25">
      <c r="BJ1204" s="205"/>
      <c r="BK1204" s="205"/>
      <c r="BL1204" s="205"/>
    </row>
    <row r="1205" spans="62:64" x14ac:dyDescent="0.25">
      <c r="BJ1205" s="205"/>
      <c r="BK1205" s="205"/>
      <c r="BL1205" s="205"/>
    </row>
    <row r="1206" spans="62:64" x14ac:dyDescent="0.25">
      <c r="BJ1206" s="205"/>
      <c r="BK1206" s="205"/>
      <c r="BL1206" s="205"/>
    </row>
    <row r="1207" spans="62:64" x14ac:dyDescent="0.25">
      <c r="BJ1207" s="205"/>
      <c r="BK1207" s="205"/>
      <c r="BL1207" s="205"/>
    </row>
    <row r="1208" spans="62:64" x14ac:dyDescent="0.25">
      <c r="BJ1208" s="205"/>
      <c r="BK1208" s="205"/>
      <c r="BL1208" s="205"/>
    </row>
    <row r="1209" spans="62:64" x14ac:dyDescent="0.25">
      <c r="BJ1209" s="205"/>
      <c r="BK1209" s="205"/>
      <c r="BL1209" s="205"/>
    </row>
    <row r="1210" spans="62:64" x14ac:dyDescent="0.25">
      <c r="BJ1210" s="205"/>
      <c r="BK1210" s="205"/>
      <c r="BL1210" s="205"/>
    </row>
    <row r="1211" spans="62:64" x14ac:dyDescent="0.25">
      <c r="BJ1211" s="205"/>
      <c r="BK1211" s="205"/>
      <c r="BL1211" s="205"/>
    </row>
    <row r="1212" spans="62:64" x14ac:dyDescent="0.25">
      <c r="BJ1212" s="205"/>
      <c r="BK1212" s="205"/>
      <c r="BL1212" s="205"/>
    </row>
    <row r="1213" spans="62:64" x14ac:dyDescent="0.25">
      <c r="BJ1213" s="205"/>
      <c r="BK1213" s="205"/>
      <c r="BL1213" s="205"/>
    </row>
    <row r="1214" spans="62:64" x14ac:dyDescent="0.25">
      <c r="BJ1214" s="205"/>
      <c r="BK1214" s="205"/>
      <c r="BL1214" s="205"/>
    </row>
    <row r="1215" spans="62:64" x14ac:dyDescent="0.25">
      <c r="BJ1215" s="205"/>
      <c r="BK1215" s="205"/>
      <c r="BL1215" s="205"/>
    </row>
    <row r="1216" spans="62:64" x14ac:dyDescent="0.25">
      <c r="BJ1216" s="205"/>
      <c r="BK1216" s="205"/>
      <c r="BL1216" s="205"/>
    </row>
    <row r="1217" spans="62:64" x14ac:dyDescent="0.25">
      <c r="BJ1217" s="205"/>
      <c r="BK1217" s="205"/>
      <c r="BL1217" s="205"/>
    </row>
    <row r="1218" spans="62:64" x14ac:dyDescent="0.25">
      <c r="BJ1218" s="205"/>
      <c r="BK1218" s="205"/>
      <c r="BL1218" s="205"/>
    </row>
    <row r="1219" spans="62:64" x14ac:dyDescent="0.25">
      <c r="BJ1219" s="205"/>
      <c r="BK1219" s="205"/>
      <c r="BL1219" s="205"/>
    </row>
    <row r="1220" spans="62:64" x14ac:dyDescent="0.25">
      <c r="BJ1220" s="205"/>
      <c r="BK1220" s="205"/>
      <c r="BL1220" s="205"/>
    </row>
    <row r="1221" spans="62:64" x14ac:dyDescent="0.25">
      <c r="BJ1221" s="205"/>
      <c r="BK1221" s="205"/>
      <c r="BL1221" s="205"/>
    </row>
    <row r="1222" spans="62:64" x14ac:dyDescent="0.25">
      <c r="BJ1222" s="205"/>
      <c r="BK1222" s="205"/>
      <c r="BL1222" s="205"/>
    </row>
    <row r="1223" spans="62:64" x14ac:dyDescent="0.25">
      <c r="BJ1223" s="205"/>
      <c r="BK1223" s="205"/>
      <c r="BL1223" s="205"/>
    </row>
    <row r="1224" spans="62:64" x14ac:dyDescent="0.25">
      <c r="BJ1224" s="205"/>
      <c r="BK1224" s="205"/>
      <c r="BL1224" s="205"/>
    </row>
    <row r="1225" spans="62:64" x14ac:dyDescent="0.25">
      <c r="BJ1225" s="205"/>
      <c r="BK1225" s="205"/>
      <c r="BL1225" s="205"/>
    </row>
    <row r="1226" spans="62:64" x14ac:dyDescent="0.25">
      <c r="BJ1226" s="205"/>
      <c r="BK1226" s="205"/>
      <c r="BL1226" s="205"/>
    </row>
    <row r="1227" spans="62:64" x14ac:dyDescent="0.25">
      <c r="BJ1227" s="205"/>
      <c r="BK1227" s="205"/>
      <c r="BL1227" s="205"/>
    </row>
    <row r="1228" spans="62:64" x14ac:dyDescent="0.25">
      <c r="BJ1228" s="205"/>
      <c r="BK1228" s="205"/>
      <c r="BL1228" s="205"/>
    </row>
    <row r="1229" spans="62:64" x14ac:dyDescent="0.25">
      <c r="BJ1229" s="205"/>
      <c r="BK1229" s="205"/>
      <c r="BL1229" s="205"/>
    </row>
    <row r="1230" spans="62:64" x14ac:dyDescent="0.25">
      <c r="BJ1230" s="205"/>
      <c r="BK1230" s="205"/>
      <c r="BL1230" s="205"/>
    </row>
    <row r="1231" spans="62:64" x14ac:dyDescent="0.25">
      <c r="BJ1231" s="205"/>
      <c r="BK1231" s="205"/>
      <c r="BL1231" s="205"/>
    </row>
    <row r="1232" spans="62:64" x14ac:dyDescent="0.25">
      <c r="BJ1232" s="205"/>
      <c r="BK1232" s="205"/>
      <c r="BL1232" s="205"/>
    </row>
    <row r="1233" spans="62:64" x14ac:dyDescent="0.25">
      <c r="BJ1233" s="205"/>
      <c r="BK1233" s="205"/>
      <c r="BL1233" s="205"/>
    </row>
    <row r="1234" spans="62:64" x14ac:dyDescent="0.25">
      <c r="BJ1234" s="205"/>
      <c r="BK1234" s="205"/>
      <c r="BL1234" s="205"/>
    </row>
    <row r="1235" spans="62:64" x14ac:dyDescent="0.25">
      <c r="BJ1235" s="205"/>
      <c r="BK1235" s="205"/>
      <c r="BL1235" s="205"/>
    </row>
    <row r="1236" spans="62:64" x14ac:dyDescent="0.25">
      <c r="BJ1236" s="205"/>
      <c r="BK1236" s="205"/>
      <c r="BL1236" s="205"/>
    </row>
    <row r="1237" spans="62:64" x14ac:dyDescent="0.25">
      <c r="BJ1237" s="205"/>
      <c r="BK1237" s="205"/>
      <c r="BL1237" s="205"/>
    </row>
    <row r="1238" spans="62:64" x14ac:dyDescent="0.25">
      <c r="BJ1238" s="205"/>
      <c r="BK1238" s="205"/>
      <c r="BL1238" s="205"/>
    </row>
    <row r="1239" spans="62:64" x14ac:dyDescent="0.25">
      <c r="BJ1239" s="205"/>
      <c r="BK1239" s="205"/>
      <c r="BL1239" s="205"/>
    </row>
    <row r="1240" spans="62:64" x14ac:dyDescent="0.25">
      <c r="BJ1240" s="205"/>
      <c r="BK1240" s="205"/>
      <c r="BL1240" s="205"/>
    </row>
    <row r="1241" spans="62:64" x14ac:dyDescent="0.25">
      <c r="BJ1241" s="205"/>
      <c r="BK1241" s="205"/>
      <c r="BL1241" s="205"/>
    </row>
    <row r="1242" spans="62:64" x14ac:dyDescent="0.25">
      <c r="BJ1242" s="205"/>
      <c r="BK1242" s="205"/>
      <c r="BL1242" s="205"/>
    </row>
    <row r="1243" spans="62:64" x14ac:dyDescent="0.25">
      <c r="BJ1243" s="205"/>
      <c r="BK1243" s="205"/>
      <c r="BL1243" s="205"/>
    </row>
    <row r="1244" spans="62:64" x14ac:dyDescent="0.25">
      <c r="BJ1244" s="205"/>
      <c r="BK1244" s="205"/>
      <c r="BL1244" s="205"/>
    </row>
    <row r="1245" spans="62:64" x14ac:dyDescent="0.25">
      <c r="BJ1245" s="205"/>
      <c r="BK1245" s="205"/>
      <c r="BL1245" s="205"/>
    </row>
    <row r="1246" spans="62:64" x14ac:dyDescent="0.25">
      <c r="BJ1246" s="205"/>
      <c r="BK1246" s="205"/>
      <c r="BL1246" s="205"/>
    </row>
    <row r="1247" spans="62:64" x14ac:dyDescent="0.25">
      <c r="BJ1247" s="205"/>
      <c r="BK1247" s="205"/>
      <c r="BL1247" s="205"/>
    </row>
    <row r="1248" spans="62:64" x14ac:dyDescent="0.25">
      <c r="BJ1248" s="205"/>
      <c r="BK1248" s="205"/>
      <c r="BL1248" s="205"/>
    </row>
    <row r="1249" spans="62:64" x14ac:dyDescent="0.25">
      <c r="BJ1249" s="205"/>
      <c r="BK1249" s="205"/>
      <c r="BL1249" s="205"/>
    </row>
    <row r="1250" spans="62:64" x14ac:dyDescent="0.25">
      <c r="BJ1250" s="205"/>
      <c r="BK1250" s="205"/>
      <c r="BL1250" s="205"/>
    </row>
    <row r="1251" spans="62:64" x14ac:dyDescent="0.25">
      <c r="BJ1251" s="205"/>
      <c r="BK1251" s="205"/>
      <c r="BL1251" s="205"/>
    </row>
    <row r="1252" spans="62:64" x14ac:dyDescent="0.25">
      <c r="BJ1252" s="205"/>
      <c r="BK1252" s="205"/>
      <c r="BL1252" s="205"/>
    </row>
    <row r="1253" spans="62:64" x14ac:dyDescent="0.25">
      <c r="BJ1253" s="205"/>
      <c r="BK1253" s="205"/>
      <c r="BL1253" s="205"/>
    </row>
    <row r="1254" spans="62:64" x14ac:dyDescent="0.25">
      <c r="BJ1254" s="205"/>
      <c r="BK1254" s="205"/>
      <c r="BL1254" s="205"/>
    </row>
    <row r="1255" spans="62:64" x14ac:dyDescent="0.25">
      <c r="BJ1255" s="205"/>
      <c r="BK1255" s="205"/>
      <c r="BL1255" s="205"/>
    </row>
    <row r="1256" spans="62:64" x14ac:dyDescent="0.25">
      <c r="BJ1256" s="205"/>
      <c r="BK1256" s="205"/>
      <c r="BL1256" s="205"/>
    </row>
    <row r="1257" spans="62:64" x14ac:dyDescent="0.25">
      <c r="BJ1257" s="205"/>
      <c r="BK1257" s="205"/>
      <c r="BL1257" s="205"/>
    </row>
    <row r="1258" spans="62:64" x14ac:dyDescent="0.25">
      <c r="BJ1258" s="205"/>
      <c r="BK1258" s="205"/>
      <c r="BL1258" s="205"/>
    </row>
    <row r="1259" spans="62:64" x14ac:dyDescent="0.25">
      <c r="BJ1259" s="205"/>
      <c r="BK1259" s="205"/>
      <c r="BL1259" s="205"/>
    </row>
    <row r="1260" spans="62:64" x14ac:dyDescent="0.25">
      <c r="BJ1260" s="205"/>
      <c r="BK1260" s="205"/>
      <c r="BL1260" s="205"/>
    </row>
    <row r="1261" spans="62:64" x14ac:dyDescent="0.25">
      <c r="BJ1261" s="205"/>
      <c r="BK1261" s="205"/>
      <c r="BL1261" s="205"/>
    </row>
    <row r="1262" spans="62:64" x14ac:dyDescent="0.25">
      <c r="BJ1262" s="205"/>
      <c r="BK1262" s="205"/>
      <c r="BL1262" s="205"/>
    </row>
    <row r="1263" spans="62:64" x14ac:dyDescent="0.25">
      <c r="BJ1263" s="205"/>
      <c r="BK1263" s="205"/>
      <c r="BL1263" s="205"/>
    </row>
    <row r="1264" spans="62:64" x14ac:dyDescent="0.25">
      <c r="BJ1264" s="205"/>
      <c r="BK1264" s="205"/>
      <c r="BL1264" s="205"/>
    </row>
    <row r="1265" spans="62:64" x14ac:dyDescent="0.25">
      <c r="BJ1265" s="205"/>
      <c r="BK1265" s="205"/>
      <c r="BL1265" s="205"/>
    </row>
    <row r="1266" spans="62:64" x14ac:dyDescent="0.25">
      <c r="BJ1266" s="205"/>
      <c r="BK1266" s="205"/>
      <c r="BL1266" s="205"/>
    </row>
    <row r="1267" spans="62:64" x14ac:dyDescent="0.25">
      <c r="BJ1267" s="205"/>
      <c r="BK1267" s="205"/>
      <c r="BL1267" s="205"/>
    </row>
    <row r="1268" spans="62:64" x14ac:dyDescent="0.25">
      <c r="BJ1268" s="205"/>
      <c r="BK1268" s="205"/>
      <c r="BL1268" s="205"/>
    </row>
    <row r="1269" spans="62:64" x14ac:dyDescent="0.25">
      <c r="BJ1269" s="205"/>
      <c r="BK1269" s="205"/>
      <c r="BL1269" s="205"/>
    </row>
    <row r="1270" spans="62:64" x14ac:dyDescent="0.25">
      <c r="BJ1270" s="205"/>
      <c r="BK1270" s="205"/>
      <c r="BL1270" s="205"/>
    </row>
    <row r="1271" spans="62:64" x14ac:dyDescent="0.25">
      <c r="BJ1271" s="205"/>
      <c r="BK1271" s="205"/>
      <c r="BL1271" s="205"/>
    </row>
    <row r="1272" spans="62:64" x14ac:dyDescent="0.25">
      <c r="BJ1272" s="205"/>
      <c r="BK1272" s="205"/>
      <c r="BL1272" s="205"/>
    </row>
    <row r="1273" spans="62:64" x14ac:dyDescent="0.25">
      <c r="BJ1273" s="205"/>
      <c r="BK1273" s="205"/>
      <c r="BL1273" s="205"/>
    </row>
    <row r="1274" spans="62:64" x14ac:dyDescent="0.25">
      <c r="BJ1274" s="205"/>
      <c r="BK1274" s="205"/>
      <c r="BL1274" s="205"/>
    </row>
    <row r="1275" spans="62:64" x14ac:dyDescent="0.25">
      <c r="BJ1275" s="205"/>
      <c r="BK1275" s="205"/>
      <c r="BL1275" s="205"/>
    </row>
    <row r="1276" spans="62:64" x14ac:dyDescent="0.25">
      <c r="BJ1276" s="205"/>
      <c r="BK1276" s="205"/>
      <c r="BL1276" s="205"/>
    </row>
    <row r="1277" spans="62:64" x14ac:dyDescent="0.25">
      <c r="BJ1277" s="205"/>
      <c r="BK1277" s="205"/>
      <c r="BL1277" s="205"/>
    </row>
    <row r="1278" spans="62:64" x14ac:dyDescent="0.25">
      <c r="BJ1278" s="205"/>
      <c r="BK1278" s="205"/>
      <c r="BL1278" s="205"/>
    </row>
    <row r="1279" spans="62:64" x14ac:dyDescent="0.25">
      <c r="BJ1279" s="205"/>
      <c r="BK1279" s="205"/>
      <c r="BL1279" s="205"/>
    </row>
    <row r="1280" spans="62:64" x14ac:dyDescent="0.25">
      <c r="BJ1280" s="205"/>
      <c r="BK1280" s="205"/>
      <c r="BL1280" s="205"/>
    </row>
    <row r="1281" spans="62:64" x14ac:dyDescent="0.25">
      <c r="BJ1281" s="205"/>
      <c r="BK1281" s="205"/>
      <c r="BL1281" s="205"/>
    </row>
    <row r="1282" spans="62:64" x14ac:dyDescent="0.25">
      <c r="BJ1282" s="205"/>
      <c r="BK1282" s="205"/>
      <c r="BL1282" s="205"/>
    </row>
    <row r="1283" spans="62:64" x14ac:dyDescent="0.25">
      <c r="BJ1283" s="205"/>
      <c r="BK1283" s="205"/>
      <c r="BL1283" s="205"/>
    </row>
    <row r="1284" spans="62:64" x14ac:dyDescent="0.25">
      <c r="BJ1284" s="205"/>
      <c r="BK1284" s="205"/>
      <c r="BL1284" s="20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N1284"/>
  <sheetViews>
    <sheetView workbookViewId="0">
      <selection activeCell="BK5" sqref="BK5"/>
    </sheetView>
  </sheetViews>
  <sheetFormatPr defaultRowHeight="15" x14ac:dyDescent="0.25"/>
  <cols>
    <col min="1" max="1" width="10.5703125" style="205" bestFit="1" customWidth="1"/>
    <col min="2" max="2" width="18" style="205" bestFit="1" customWidth="1"/>
    <col min="3" max="3" width="14.85546875" style="205" bestFit="1" customWidth="1"/>
    <col min="4" max="4" width="22.140625" style="205" bestFit="1" customWidth="1"/>
    <col min="5" max="5" width="12.7109375" style="205" bestFit="1" customWidth="1"/>
    <col min="6" max="6" width="10.7109375" style="205" hidden="1" customWidth="1"/>
    <col min="7" max="8" width="0" style="205" hidden="1" customWidth="1"/>
    <col min="9" max="9" width="24.5703125" style="205" bestFit="1" customWidth="1"/>
    <col min="10" max="10" width="18.7109375" style="205" hidden="1" customWidth="1"/>
    <col min="11" max="11" width="19.140625" style="205" hidden="1" customWidth="1"/>
    <col min="12" max="12" width="6" style="205" hidden="1" customWidth="1"/>
    <col min="13" max="13" width="5.28515625" style="205" hidden="1" customWidth="1"/>
    <col min="14" max="14" width="6.42578125" style="205" hidden="1" customWidth="1"/>
    <col min="15" max="15" width="11.85546875" style="205" hidden="1" customWidth="1"/>
    <col min="16" max="16" width="26.7109375" style="205" hidden="1" customWidth="1"/>
    <col min="17" max="17" width="5.28515625" style="205" hidden="1" customWidth="1"/>
    <col min="18" max="18" width="6.7109375" style="205" hidden="1" customWidth="1"/>
    <col min="19" max="19" width="10.7109375" style="205" hidden="1" customWidth="1"/>
    <col min="20" max="20" width="17.7109375" style="205" hidden="1" customWidth="1"/>
    <col min="21" max="21" width="7.85546875" style="205" hidden="1" customWidth="1"/>
    <col min="22" max="22" width="12.28515625" style="205" hidden="1" customWidth="1"/>
    <col min="23" max="23" width="10.140625" style="205" hidden="1" customWidth="1"/>
    <col min="24" max="24" width="9.5703125" style="205" hidden="1" customWidth="1"/>
    <col min="25" max="25" width="15.140625" style="205" hidden="1" customWidth="1"/>
    <col min="26" max="26" width="21.7109375" style="205" hidden="1" customWidth="1"/>
    <col min="27" max="27" width="15.140625" style="205" hidden="1" customWidth="1"/>
    <col min="28" max="28" width="21.7109375" style="205" hidden="1" customWidth="1"/>
    <col min="29" max="29" width="15.140625" style="205" hidden="1" customWidth="1"/>
    <col min="30" max="30" width="21.7109375" style="205" hidden="1" customWidth="1"/>
    <col min="31" max="31" width="11.85546875" style="205" hidden="1" customWidth="1"/>
    <col min="32" max="32" width="10.28515625" style="205" hidden="1" customWidth="1"/>
    <col min="33" max="33" width="14.7109375" style="205" hidden="1" customWidth="1"/>
    <col min="34" max="35" width="11" style="205" hidden="1" customWidth="1"/>
    <col min="36" max="37" width="12" style="205" hidden="1" customWidth="1"/>
    <col min="38" max="38" width="13.140625" style="205" hidden="1" customWidth="1"/>
    <col min="39" max="39" width="14.140625" style="205" hidden="1" customWidth="1"/>
    <col min="40" max="40" width="12.140625" style="205" hidden="1" customWidth="1"/>
    <col min="41" max="41" width="15.7109375" style="205" hidden="1" customWidth="1"/>
    <col min="42" max="42" width="17.5703125" style="205" hidden="1" customWidth="1"/>
    <col min="43" max="43" width="15.28515625" style="205" hidden="1" customWidth="1"/>
    <col min="44" max="44" width="16.7109375" style="205" hidden="1" customWidth="1"/>
    <col min="45" max="45" width="9.140625" style="205" hidden="1" customWidth="1"/>
    <col min="46" max="47" width="9.28515625" style="205" hidden="1" customWidth="1"/>
    <col min="48" max="48" width="9.140625" style="205" hidden="1" customWidth="1"/>
    <col min="49" max="49" width="8.85546875" style="205" hidden="1" customWidth="1"/>
    <col min="50" max="50" width="18.140625" style="205" hidden="1" customWidth="1"/>
    <col min="51" max="51" width="23.5703125" style="205" hidden="1" customWidth="1"/>
    <col min="52" max="52" width="13.28515625" style="205" hidden="1" customWidth="1"/>
    <col min="53" max="53" width="16" style="205" hidden="1" customWidth="1"/>
    <col min="54" max="54" width="13.7109375" style="205" hidden="1" customWidth="1"/>
    <col min="55" max="55" width="15.5703125" style="205" hidden="1" customWidth="1"/>
    <col min="56" max="56" width="26.7109375" style="205" hidden="1" customWidth="1"/>
    <col min="57" max="57" width="7.28515625" style="205" hidden="1" customWidth="1"/>
    <col min="58" max="61" width="9.140625" style="205"/>
    <col min="62" max="62" width="10.5703125" style="201" bestFit="1" customWidth="1"/>
    <col min="63" max="63" width="9.140625" style="203"/>
    <col min="64" max="64" width="9.140625" style="204"/>
    <col min="65" max="16384" width="9.140625" style="205"/>
  </cols>
  <sheetData>
    <row r="1" spans="1:66" x14ac:dyDescent="0.25">
      <c r="A1" s="205" t="s">
        <v>166</v>
      </c>
      <c r="B1" s="205" t="s">
        <v>167</v>
      </c>
      <c r="C1" s="205" t="s">
        <v>168</v>
      </c>
      <c r="D1" s="205" t="s">
        <v>169</v>
      </c>
      <c r="E1" s="205" t="s">
        <v>170</v>
      </c>
      <c r="F1" s="205" t="s">
        <v>171</v>
      </c>
      <c r="G1" s="205" t="s">
        <v>172</v>
      </c>
      <c r="H1" s="205" t="s">
        <v>173</v>
      </c>
      <c r="I1" s="205" t="s">
        <v>174</v>
      </c>
      <c r="J1" s="205" t="s">
        <v>175</v>
      </c>
      <c r="K1" s="205" t="s">
        <v>176</v>
      </c>
      <c r="L1" s="205" t="s">
        <v>177</v>
      </c>
      <c r="M1" s="205" t="s">
        <v>178</v>
      </c>
      <c r="N1" s="205" t="s">
        <v>179</v>
      </c>
      <c r="O1" s="205" t="s">
        <v>180</v>
      </c>
      <c r="P1" s="205" t="s">
        <v>181</v>
      </c>
      <c r="Q1" s="205" t="s">
        <v>182</v>
      </c>
      <c r="R1" s="205" t="s">
        <v>183</v>
      </c>
      <c r="S1" s="205" t="s">
        <v>184</v>
      </c>
      <c r="T1" s="205" t="s">
        <v>185</v>
      </c>
      <c r="U1" s="205" t="s">
        <v>186</v>
      </c>
      <c r="V1" s="205" t="s">
        <v>187</v>
      </c>
      <c r="W1" s="205" t="s">
        <v>188</v>
      </c>
      <c r="X1" s="205" t="s">
        <v>189</v>
      </c>
      <c r="Y1" s="205" t="s">
        <v>190</v>
      </c>
      <c r="Z1" s="205" t="s">
        <v>191</v>
      </c>
      <c r="AA1" s="205" t="s">
        <v>192</v>
      </c>
      <c r="AB1" s="205" t="s">
        <v>193</v>
      </c>
      <c r="AC1" s="205" t="s">
        <v>194</v>
      </c>
      <c r="AD1" s="205" t="s">
        <v>195</v>
      </c>
      <c r="AE1" s="205" t="s">
        <v>196</v>
      </c>
      <c r="AF1" s="205" t="s">
        <v>197</v>
      </c>
      <c r="AG1" s="205" t="s">
        <v>198</v>
      </c>
      <c r="AH1" s="205" t="s">
        <v>199</v>
      </c>
      <c r="AI1" s="205" t="s">
        <v>200</v>
      </c>
      <c r="AJ1" s="205" t="s">
        <v>201</v>
      </c>
      <c r="AK1" s="205" t="s">
        <v>202</v>
      </c>
      <c r="AL1" s="205" t="s">
        <v>203</v>
      </c>
      <c r="AM1" s="205" t="s">
        <v>204</v>
      </c>
      <c r="AN1" s="205" t="s">
        <v>205</v>
      </c>
      <c r="AO1" s="205" t="s">
        <v>206</v>
      </c>
      <c r="AP1" s="205" t="s">
        <v>207</v>
      </c>
      <c r="AQ1" s="205" t="s">
        <v>208</v>
      </c>
      <c r="AR1" s="205" t="s">
        <v>209</v>
      </c>
      <c r="AS1" s="205" t="s">
        <v>210</v>
      </c>
      <c r="AT1" s="205" t="s">
        <v>211</v>
      </c>
      <c r="AU1" s="205" t="s">
        <v>212</v>
      </c>
      <c r="AV1" s="205" t="s">
        <v>213</v>
      </c>
      <c r="AW1" s="205" t="s">
        <v>214</v>
      </c>
      <c r="AX1" s="205" t="s">
        <v>215</v>
      </c>
      <c r="AY1" s="205" t="s">
        <v>216</v>
      </c>
      <c r="AZ1" s="205" t="s">
        <v>217</v>
      </c>
      <c r="BA1" s="205" t="s">
        <v>218</v>
      </c>
      <c r="BB1" s="205" t="s">
        <v>219</v>
      </c>
      <c r="BC1" s="205" t="s">
        <v>220</v>
      </c>
      <c r="BD1" s="205" t="s">
        <v>221</v>
      </c>
      <c r="BE1" s="205" t="s">
        <v>222</v>
      </c>
      <c r="BF1" s="205" t="s">
        <v>223</v>
      </c>
      <c r="BG1" s="205" t="s">
        <v>224</v>
      </c>
      <c r="BH1" s="205" t="s">
        <v>186</v>
      </c>
      <c r="BI1" s="205" t="s">
        <v>183</v>
      </c>
      <c r="BJ1" s="201" t="s">
        <v>225</v>
      </c>
      <c r="BK1" s="203" t="s">
        <v>226</v>
      </c>
      <c r="BL1" s="204" t="s">
        <v>227</v>
      </c>
      <c r="BM1" s="205" t="s">
        <v>228</v>
      </c>
      <c r="BN1" s="205" t="s">
        <v>229</v>
      </c>
    </row>
    <row r="2" spans="1:66" x14ac:dyDescent="0.25">
      <c r="A2" s="205" t="s">
        <v>1117</v>
      </c>
      <c r="B2" s="205" t="s">
        <v>3015</v>
      </c>
      <c r="C2" s="205" t="s">
        <v>3016</v>
      </c>
      <c r="D2" s="205" t="s">
        <v>3017</v>
      </c>
      <c r="E2" s="201">
        <v>42289</v>
      </c>
      <c r="F2" s="205" t="s">
        <v>373</v>
      </c>
      <c r="G2" s="205" t="s">
        <v>232</v>
      </c>
      <c r="H2" s="205" t="s">
        <v>3018</v>
      </c>
      <c r="I2" s="205" t="s">
        <v>3019</v>
      </c>
      <c r="K2" s="205" t="s">
        <v>453</v>
      </c>
      <c r="L2" s="205" t="s">
        <v>454</v>
      </c>
      <c r="M2" s="205" t="s">
        <v>462</v>
      </c>
      <c r="O2" s="200" t="s">
        <v>411</v>
      </c>
      <c r="P2" s="200" t="s">
        <v>3020</v>
      </c>
      <c r="Q2" s="205" t="s">
        <v>462</v>
      </c>
      <c r="R2" s="202">
        <v>3</v>
      </c>
      <c r="U2" s="205" t="s">
        <v>456</v>
      </c>
      <c r="X2" s="205" t="s">
        <v>326</v>
      </c>
      <c r="Y2" s="200" t="s">
        <v>3021</v>
      </c>
      <c r="Z2" s="205" t="s">
        <v>3022</v>
      </c>
      <c r="AA2" s="200" t="s">
        <v>336</v>
      </c>
      <c r="AB2" s="205" t="s">
        <v>3023</v>
      </c>
      <c r="AC2" s="200" t="s">
        <v>401</v>
      </c>
      <c r="AD2" s="205" t="s">
        <v>3024</v>
      </c>
      <c r="AE2" s="205" t="s">
        <v>232</v>
      </c>
      <c r="AF2" s="205" t="s">
        <v>3025</v>
      </c>
      <c r="AG2" s="205" t="s">
        <v>239</v>
      </c>
      <c r="AH2" s="205" t="s">
        <v>239</v>
      </c>
      <c r="AI2" s="205" t="s">
        <v>3026</v>
      </c>
      <c r="AJ2" s="205" t="s">
        <v>3027</v>
      </c>
      <c r="AK2" s="205" t="s">
        <v>3028</v>
      </c>
      <c r="AL2" s="205" t="s">
        <v>239</v>
      </c>
      <c r="AM2" s="205" t="s">
        <v>239</v>
      </c>
      <c r="AN2" s="205" t="s">
        <v>239</v>
      </c>
      <c r="AO2" s="200" t="s">
        <v>235</v>
      </c>
      <c r="AP2" s="200" t="s">
        <v>235</v>
      </c>
      <c r="AQ2" s="200" t="s">
        <v>235</v>
      </c>
      <c r="AR2" s="200" t="s">
        <v>239</v>
      </c>
      <c r="AS2" s="200" t="s">
        <v>299</v>
      </c>
      <c r="AT2" s="200" t="s">
        <v>299</v>
      </c>
      <c r="AU2" s="200" t="s">
        <v>241</v>
      </c>
      <c r="AV2" s="205" t="s">
        <v>242</v>
      </c>
      <c r="AW2" s="205" t="s">
        <v>243</v>
      </c>
      <c r="AY2" s="200" t="s">
        <v>239</v>
      </c>
      <c r="AZ2" s="205" t="s">
        <v>3029</v>
      </c>
      <c r="BA2" s="205" t="s">
        <v>244</v>
      </c>
      <c r="BB2" s="205" t="s">
        <v>244</v>
      </c>
      <c r="BD2" s="205" t="s">
        <v>239</v>
      </c>
      <c r="BE2" s="205" t="s">
        <v>446</v>
      </c>
      <c r="BF2" s="205" t="s">
        <v>457</v>
      </c>
      <c r="BH2" s="205" t="s">
        <v>456</v>
      </c>
      <c r="BI2" s="202">
        <v>3</v>
      </c>
    </row>
    <row r="3" spans="1:66" x14ac:dyDescent="0.25">
      <c r="A3" s="205" t="s">
        <v>1117</v>
      </c>
      <c r="B3" s="205" t="s">
        <v>3030</v>
      </c>
      <c r="C3" s="205" t="s">
        <v>3031</v>
      </c>
      <c r="D3" s="205" t="s">
        <v>3032</v>
      </c>
      <c r="E3" s="201">
        <v>42289</v>
      </c>
      <c r="F3" s="205" t="s">
        <v>314</v>
      </c>
      <c r="G3" s="205" t="s">
        <v>232</v>
      </c>
      <c r="H3" s="205" t="s">
        <v>3033</v>
      </c>
      <c r="I3" s="205" t="s">
        <v>3034</v>
      </c>
      <c r="J3" s="205" t="s">
        <v>649</v>
      </c>
      <c r="K3" s="205" t="s">
        <v>471</v>
      </c>
      <c r="L3" s="205" t="s">
        <v>472</v>
      </c>
      <c r="M3" s="205" t="s">
        <v>473</v>
      </c>
      <c r="O3" s="200" t="s">
        <v>323</v>
      </c>
      <c r="P3" s="200" t="s">
        <v>3035</v>
      </c>
      <c r="Q3" s="205" t="s">
        <v>473</v>
      </c>
      <c r="R3" s="202">
        <v>4</v>
      </c>
      <c r="U3" s="205" t="s">
        <v>456</v>
      </c>
      <c r="X3" s="205" t="s">
        <v>275</v>
      </c>
      <c r="Y3" s="200" t="s">
        <v>250</v>
      </c>
      <c r="Z3" s="205" t="s">
        <v>3036</v>
      </c>
      <c r="AA3" s="200" t="s">
        <v>266</v>
      </c>
      <c r="AB3" s="205" t="s">
        <v>255</v>
      </c>
      <c r="AD3" s="205" t="s">
        <v>238</v>
      </c>
      <c r="AE3" s="205" t="s">
        <v>232</v>
      </c>
      <c r="AF3" s="205" t="s">
        <v>3037</v>
      </c>
      <c r="AG3" s="205" t="s">
        <v>239</v>
      </c>
      <c r="AH3" s="205" t="s">
        <v>239</v>
      </c>
      <c r="AI3" s="205" t="s">
        <v>3038</v>
      </c>
      <c r="AJ3" s="205" t="s">
        <v>3039</v>
      </c>
      <c r="AK3" s="205" t="s">
        <v>3040</v>
      </c>
      <c r="AL3" s="205" t="s">
        <v>239</v>
      </c>
      <c r="AM3" s="205" t="s">
        <v>239</v>
      </c>
      <c r="AN3" s="205" t="s">
        <v>239</v>
      </c>
      <c r="AO3" s="200" t="s">
        <v>235</v>
      </c>
      <c r="AP3" s="200" t="s">
        <v>235</v>
      </c>
      <c r="AQ3" s="200" t="s">
        <v>239</v>
      </c>
      <c r="AR3" s="200" t="s">
        <v>239</v>
      </c>
      <c r="AS3" s="200" t="s">
        <v>299</v>
      </c>
      <c r="AT3" s="200" t="s">
        <v>241</v>
      </c>
      <c r="AU3" s="200" t="s">
        <v>241</v>
      </c>
      <c r="AV3" s="205" t="s">
        <v>242</v>
      </c>
      <c r="AW3" s="205" t="s">
        <v>243</v>
      </c>
      <c r="AY3" s="200" t="s">
        <v>239</v>
      </c>
      <c r="AZ3" s="205" t="s">
        <v>3041</v>
      </c>
      <c r="BA3" s="205" t="s">
        <v>244</v>
      </c>
      <c r="BB3" s="205" t="s">
        <v>244</v>
      </c>
      <c r="BD3" s="205" t="s">
        <v>239</v>
      </c>
      <c r="BE3" s="205" t="s">
        <v>446</v>
      </c>
      <c r="BF3" s="205" t="s">
        <v>457</v>
      </c>
      <c r="BH3" s="205" t="s">
        <v>456</v>
      </c>
      <c r="BI3" s="202">
        <v>4</v>
      </c>
    </row>
    <row r="4" spans="1:66" x14ac:dyDescent="0.25">
      <c r="A4" s="205" t="s">
        <v>1117</v>
      </c>
      <c r="B4" s="205" t="s">
        <v>3042</v>
      </c>
      <c r="C4" s="205" t="s">
        <v>3043</v>
      </c>
      <c r="D4" s="205" t="s">
        <v>3044</v>
      </c>
      <c r="E4" s="201">
        <v>42289</v>
      </c>
      <c r="F4" s="205" t="s">
        <v>278</v>
      </c>
      <c r="G4" s="205" t="s">
        <v>232</v>
      </c>
      <c r="H4" s="205" t="s">
        <v>3045</v>
      </c>
      <c r="I4" s="205" t="s">
        <v>3046</v>
      </c>
      <c r="K4" s="205" t="s">
        <v>475</v>
      </c>
      <c r="L4" s="205" t="s">
        <v>476</v>
      </c>
      <c r="M4" s="205" t="s">
        <v>477</v>
      </c>
      <c r="O4" s="200" t="s">
        <v>621</v>
      </c>
      <c r="P4" s="200" t="s">
        <v>3047</v>
      </c>
      <c r="Q4" s="205" t="s">
        <v>477</v>
      </c>
      <c r="R4" s="202">
        <v>5</v>
      </c>
      <c r="U4" s="205" t="s">
        <v>456</v>
      </c>
      <c r="X4" s="205" t="s">
        <v>302</v>
      </c>
      <c r="Y4" s="200" t="s">
        <v>561</v>
      </c>
      <c r="Z4" s="205" t="s">
        <v>3048</v>
      </c>
      <c r="AA4" s="200" t="s">
        <v>417</v>
      </c>
      <c r="AB4" s="205" t="s">
        <v>3049</v>
      </c>
      <c r="AC4" s="200" t="s">
        <v>3050</v>
      </c>
      <c r="AD4" s="205" t="s">
        <v>3051</v>
      </c>
      <c r="AE4" s="205" t="s">
        <v>232</v>
      </c>
      <c r="AF4" s="205" t="s">
        <v>3052</v>
      </c>
      <c r="AG4" s="205" t="s">
        <v>239</v>
      </c>
      <c r="AH4" s="205" t="s">
        <v>239</v>
      </c>
      <c r="AI4" s="205" t="s">
        <v>3053</v>
      </c>
      <c r="AJ4" s="205" t="s">
        <v>3054</v>
      </c>
      <c r="AK4" s="205" t="s">
        <v>3055</v>
      </c>
      <c r="AL4" s="205" t="s">
        <v>239</v>
      </c>
      <c r="AM4" s="205" t="s">
        <v>239</v>
      </c>
      <c r="AN4" s="205" t="s">
        <v>239</v>
      </c>
      <c r="AO4" s="200" t="s">
        <v>239</v>
      </c>
      <c r="AP4" s="200" t="s">
        <v>239</v>
      </c>
      <c r="AQ4" s="200" t="s">
        <v>235</v>
      </c>
      <c r="AR4" s="200" t="s">
        <v>239</v>
      </c>
      <c r="AS4" s="200" t="s">
        <v>262</v>
      </c>
      <c r="AT4" s="200" t="s">
        <v>299</v>
      </c>
      <c r="AU4" s="200" t="s">
        <v>241</v>
      </c>
      <c r="AV4" s="205" t="s">
        <v>242</v>
      </c>
      <c r="AW4" s="205" t="s">
        <v>243</v>
      </c>
      <c r="AY4" s="200" t="s">
        <v>239</v>
      </c>
      <c r="AZ4" s="205" t="s">
        <v>3056</v>
      </c>
      <c r="BA4" s="205" t="s">
        <v>244</v>
      </c>
      <c r="BB4" s="205" t="s">
        <v>244</v>
      </c>
      <c r="BD4" s="205" t="s">
        <v>239</v>
      </c>
      <c r="BE4" s="205" t="s">
        <v>446</v>
      </c>
      <c r="BF4" s="205" t="s">
        <v>457</v>
      </c>
      <c r="BH4" s="205" t="s">
        <v>456</v>
      </c>
      <c r="BI4" s="202">
        <v>5</v>
      </c>
    </row>
    <row r="5" spans="1:66" x14ac:dyDescent="0.25">
      <c r="A5" s="205" t="s">
        <v>1117</v>
      </c>
      <c r="B5" s="205" t="s">
        <v>3057</v>
      </c>
      <c r="C5" s="205" t="s">
        <v>3058</v>
      </c>
      <c r="D5" s="205" t="s">
        <v>3059</v>
      </c>
      <c r="E5" s="201">
        <v>42289</v>
      </c>
      <c r="F5" s="205" t="s">
        <v>647</v>
      </c>
      <c r="G5" s="205" t="s">
        <v>232</v>
      </c>
      <c r="H5" s="205" t="s">
        <v>3060</v>
      </c>
      <c r="I5" s="205" t="s">
        <v>3061</v>
      </c>
      <c r="K5" s="205" t="s">
        <v>450</v>
      </c>
      <c r="L5" s="205" t="s">
        <v>451</v>
      </c>
      <c r="M5" s="205" t="s">
        <v>452</v>
      </c>
      <c r="O5" s="200" t="s">
        <v>264</v>
      </c>
      <c r="P5" s="200" t="s">
        <v>3062</v>
      </c>
      <c r="Q5" s="205" t="s">
        <v>452</v>
      </c>
      <c r="R5" s="202">
        <v>6</v>
      </c>
      <c r="U5" s="205" t="s">
        <v>456</v>
      </c>
      <c r="X5" s="205" t="s">
        <v>390</v>
      </c>
      <c r="Y5" s="200" t="s">
        <v>327</v>
      </c>
      <c r="Z5" s="205" t="s">
        <v>567</v>
      </c>
      <c r="AA5" s="200" t="s">
        <v>349</v>
      </c>
      <c r="AB5" s="205" t="s">
        <v>3063</v>
      </c>
      <c r="AC5" s="200" t="s">
        <v>3064</v>
      </c>
      <c r="AD5" s="205" t="s">
        <v>3065</v>
      </c>
      <c r="AE5" s="205" t="s">
        <v>232</v>
      </c>
      <c r="AF5" s="205" t="s">
        <v>3066</v>
      </c>
      <c r="AG5" s="205" t="s">
        <v>239</v>
      </c>
      <c r="AH5" s="205" t="s">
        <v>239</v>
      </c>
      <c r="AI5" s="205" t="s">
        <v>3067</v>
      </c>
      <c r="AJ5" s="205" t="s">
        <v>3068</v>
      </c>
      <c r="AK5" s="205" t="s">
        <v>3069</v>
      </c>
      <c r="AL5" s="205" t="s">
        <v>3070</v>
      </c>
      <c r="AM5" s="205" t="s">
        <v>239</v>
      </c>
      <c r="AN5" s="205" t="s">
        <v>239</v>
      </c>
      <c r="AO5" s="200" t="s">
        <v>239</v>
      </c>
      <c r="AP5" s="200" t="s">
        <v>239</v>
      </c>
      <c r="AQ5" s="200" t="s">
        <v>235</v>
      </c>
      <c r="AR5" s="200" t="s">
        <v>239</v>
      </c>
      <c r="AS5" s="200" t="s">
        <v>262</v>
      </c>
      <c r="AT5" s="200" t="s">
        <v>299</v>
      </c>
      <c r="AU5" s="200" t="s">
        <v>241</v>
      </c>
      <c r="AV5" s="205" t="s">
        <v>242</v>
      </c>
      <c r="AW5" s="205" t="s">
        <v>243</v>
      </c>
      <c r="AX5" s="200" t="s">
        <v>3071</v>
      </c>
      <c r="AY5" s="200" t="s">
        <v>235</v>
      </c>
      <c r="AZ5" s="205" t="s">
        <v>3072</v>
      </c>
      <c r="BA5" s="205" t="s">
        <v>244</v>
      </c>
      <c r="BB5" s="205" t="s">
        <v>3072</v>
      </c>
      <c r="BD5" s="205" t="s">
        <v>239</v>
      </c>
      <c r="BE5" s="205" t="s">
        <v>446</v>
      </c>
      <c r="BF5" s="205" t="s">
        <v>457</v>
      </c>
      <c r="BH5" s="205" t="s">
        <v>456</v>
      </c>
      <c r="BI5" s="202">
        <v>6</v>
      </c>
    </row>
    <row r="6" spans="1:66" x14ac:dyDescent="0.25">
      <c r="A6" s="205" t="s">
        <v>1117</v>
      </c>
      <c r="B6" s="205" t="s">
        <v>3073</v>
      </c>
      <c r="C6" s="205" t="s">
        <v>3074</v>
      </c>
      <c r="D6" s="205" t="s">
        <v>3075</v>
      </c>
      <c r="E6" s="201">
        <v>42289</v>
      </c>
      <c r="F6" s="205" t="s">
        <v>3076</v>
      </c>
      <c r="G6" s="205" t="s">
        <v>232</v>
      </c>
      <c r="H6" s="205" t="s">
        <v>3077</v>
      </c>
      <c r="I6" s="205" t="s">
        <v>3078</v>
      </c>
      <c r="J6" s="205" t="s">
        <v>3079</v>
      </c>
      <c r="K6" s="205" t="s">
        <v>447</v>
      </c>
      <c r="L6" s="205" t="s">
        <v>448</v>
      </c>
      <c r="M6" s="205" t="s">
        <v>449</v>
      </c>
      <c r="O6" s="200" t="s">
        <v>2984</v>
      </c>
      <c r="P6" s="200" t="s">
        <v>3080</v>
      </c>
      <c r="Q6" s="205" t="s">
        <v>449</v>
      </c>
      <c r="R6" s="202">
        <v>7</v>
      </c>
      <c r="U6" s="205" t="s">
        <v>456</v>
      </c>
      <c r="X6" s="205" t="s">
        <v>546</v>
      </c>
      <c r="Y6" s="200" t="s">
        <v>413</v>
      </c>
      <c r="Z6" s="205" t="s">
        <v>3081</v>
      </c>
      <c r="AA6" s="200" t="s">
        <v>399</v>
      </c>
      <c r="AB6" s="205" t="s">
        <v>3082</v>
      </c>
      <c r="AC6" s="200" t="s">
        <v>359</v>
      </c>
      <c r="AD6" s="205" t="s">
        <v>3083</v>
      </c>
      <c r="AE6" s="205" t="s">
        <v>232</v>
      </c>
      <c r="AF6" s="205" t="s">
        <v>3084</v>
      </c>
      <c r="AG6" s="205" t="s">
        <v>239</v>
      </c>
      <c r="AH6" s="205" t="s">
        <v>239</v>
      </c>
      <c r="AI6" s="205" t="s">
        <v>3085</v>
      </c>
      <c r="AJ6" s="205" t="s">
        <v>3086</v>
      </c>
      <c r="AK6" s="205" t="s">
        <v>3087</v>
      </c>
      <c r="AL6" s="205" t="s">
        <v>239</v>
      </c>
      <c r="AM6" s="205" t="s">
        <v>239</v>
      </c>
      <c r="AN6" s="205" t="s">
        <v>239</v>
      </c>
      <c r="AO6" s="200" t="s">
        <v>235</v>
      </c>
      <c r="AP6" s="200" t="s">
        <v>235</v>
      </c>
      <c r="AQ6" s="200" t="s">
        <v>239</v>
      </c>
      <c r="AR6" s="200" t="s">
        <v>239</v>
      </c>
      <c r="AS6" s="200" t="s">
        <v>299</v>
      </c>
      <c r="AT6" s="200" t="s">
        <v>241</v>
      </c>
      <c r="AU6" s="200" t="s">
        <v>241</v>
      </c>
      <c r="AV6" s="205" t="s">
        <v>242</v>
      </c>
      <c r="AW6" s="205" t="s">
        <v>243</v>
      </c>
      <c r="AY6" s="200" t="s">
        <v>239</v>
      </c>
      <c r="AZ6" s="205" t="s">
        <v>3088</v>
      </c>
      <c r="BA6" s="205" t="s">
        <v>244</v>
      </c>
      <c r="BB6" s="205" t="s">
        <v>244</v>
      </c>
      <c r="BD6" s="205" t="s">
        <v>239</v>
      </c>
      <c r="BE6" s="205" t="s">
        <v>446</v>
      </c>
      <c r="BF6" s="205" t="s">
        <v>457</v>
      </c>
      <c r="BH6" s="205" t="s">
        <v>456</v>
      </c>
      <c r="BI6" s="202">
        <v>7</v>
      </c>
    </row>
    <row r="7" spans="1:66" x14ac:dyDescent="0.25">
      <c r="A7" s="205" t="s">
        <v>1117</v>
      </c>
      <c r="B7" s="205" t="s">
        <v>3089</v>
      </c>
      <c r="C7" s="205" t="s">
        <v>3090</v>
      </c>
      <c r="D7" s="205" t="s">
        <v>3091</v>
      </c>
      <c r="E7" s="201">
        <v>42289</v>
      </c>
      <c r="F7" s="205" t="s">
        <v>3092</v>
      </c>
      <c r="G7" s="205" t="s">
        <v>232</v>
      </c>
      <c r="H7" s="205" t="s">
        <v>3093</v>
      </c>
      <c r="I7" s="205" t="s">
        <v>3094</v>
      </c>
      <c r="J7" s="205" t="s">
        <v>3095</v>
      </c>
      <c r="K7" s="205" t="s">
        <v>453</v>
      </c>
      <c r="L7" s="205" t="s">
        <v>461</v>
      </c>
      <c r="M7" s="205" t="s">
        <v>460</v>
      </c>
      <c r="O7" s="200" t="s">
        <v>409</v>
      </c>
      <c r="P7" s="200" t="s">
        <v>3096</v>
      </c>
      <c r="Q7" s="205" t="s">
        <v>460</v>
      </c>
      <c r="R7" s="202">
        <v>8</v>
      </c>
      <c r="U7" s="205" t="s">
        <v>456</v>
      </c>
      <c r="X7" s="205" t="s">
        <v>363</v>
      </c>
      <c r="Y7" s="200" t="s">
        <v>336</v>
      </c>
      <c r="Z7" s="205" t="s">
        <v>3097</v>
      </c>
      <c r="AA7" s="200" t="s">
        <v>394</v>
      </c>
      <c r="AB7" s="205" t="s">
        <v>3098</v>
      </c>
      <c r="AC7" s="200" t="s">
        <v>1285</v>
      </c>
      <c r="AD7" s="205" t="s">
        <v>3099</v>
      </c>
      <c r="AE7" s="205" t="s">
        <v>232</v>
      </c>
      <c r="AF7" s="205" t="s">
        <v>3100</v>
      </c>
      <c r="AG7" s="205" t="s">
        <v>239</v>
      </c>
      <c r="AH7" s="205" t="s">
        <v>239</v>
      </c>
      <c r="AI7" s="205" t="s">
        <v>3101</v>
      </c>
      <c r="AJ7" s="205" t="s">
        <v>3102</v>
      </c>
      <c r="AK7" s="205" t="s">
        <v>3103</v>
      </c>
      <c r="AL7" s="205" t="s">
        <v>239</v>
      </c>
      <c r="AM7" s="205" t="s">
        <v>239</v>
      </c>
      <c r="AN7" s="205" t="s">
        <v>239</v>
      </c>
      <c r="AO7" s="200" t="s">
        <v>235</v>
      </c>
      <c r="AP7" s="200" t="s">
        <v>235</v>
      </c>
      <c r="AQ7" s="200" t="s">
        <v>235</v>
      </c>
      <c r="AR7" s="200" t="s">
        <v>235</v>
      </c>
      <c r="AS7" s="200" t="s">
        <v>299</v>
      </c>
      <c r="AT7" s="200" t="s">
        <v>299</v>
      </c>
      <c r="AU7" s="200" t="s">
        <v>299</v>
      </c>
      <c r="AV7" s="205" t="s">
        <v>242</v>
      </c>
      <c r="AW7" s="205" t="s">
        <v>243</v>
      </c>
      <c r="AY7" s="200" t="s">
        <v>239</v>
      </c>
      <c r="AZ7" s="205" t="s">
        <v>3104</v>
      </c>
      <c r="BA7" s="205" t="s">
        <v>244</v>
      </c>
      <c r="BB7" s="205" t="s">
        <v>244</v>
      </c>
      <c r="BD7" s="205" t="s">
        <v>239</v>
      </c>
      <c r="BE7" s="205" t="s">
        <v>446</v>
      </c>
      <c r="BF7" s="205" t="s">
        <v>457</v>
      </c>
      <c r="BH7" s="205" t="s">
        <v>456</v>
      </c>
      <c r="BI7" s="202">
        <v>8</v>
      </c>
    </row>
    <row r="8" spans="1:66" x14ac:dyDescent="0.25">
      <c r="A8" s="205" t="s">
        <v>1117</v>
      </c>
      <c r="B8" s="205" t="s">
        <v>3105</v>
      </c>
      <c r="C8" s="205" t="s">
        <v>3106</v>
      </c>
      <c r="D8" s="205" t="s">
        <v>3107</v>
      </c>
      <c r="E8" s="201">
        <v>42289</v>
      </c>
      <c r="F8" s="205" t="s">
        <v>3108</v>
      </c>
      <c r="G8" s="205" t="s">
        <v>232</v>
      </c>
      <c r="H8" s="205" t="s">
        <v>3109</v>
      </c>
      <c r="I8" s="205" t="s">
        <v>3110</v>
      </c>
      <c r="J8" s="205" t="s">
        <v>3111</v>
      </c>
      <c r="K8" s="205" t="s">
        <v>447</v>
      </c>
      <c r="L8" s="205" t="s">
        <v>448</v>
      </c>
      <c r="M8" s="205" t="s">
        <v>455</v>
      </c>
      <c r="O8" s="200" t="s">
        <v>344</v>
      </c>
      <c r="P8" s="200" t="s">
        <v>3112</v>
      </c>
      <c r="Q8" s="205" t="s">
        <v>455</v>
      </c>
      <c r="R8" s="202">
        <v>9</v>
      </c>
      <c r="U8" s="205" t="s">
        <v>456</v>
      </c>
      <c r="X8" s="205" t="s">
        <v>249</v>
      </c>
      <c r="Y8" s="200" t="s">
        <v>2325</v>
      </c>
      <c r="Z8" s="205" t="s">
        <v>364</v>
      </c>
      <c r="AA8" s="200" t="s">
        <v>2325</v>
      </c>
      <c r="AB8" s="205" t="s">
        <v>2124</v>
      </c>
      <c r="AC8" s="200" t="s">
        <v>1889</v>
      </c>
      <c r="AD8" s="205" t="s">
        <v>3113</v>
      </c>
      <c r="AE8" s="205" t="s">
        <v>232</v>
      </c>
      <c r="AF8" s="205" t="s">
        <v>3114</v>
      </c>
      <c r="AG8" s="205" t="s">
        <v>239</v>
      </c>
      <c r="AH8" s="205" t="s">
        <v>239</v>
      </c>
      <c r="AI8" s="205" t="s">
        <v>3115</v>
      </c>
      <c r="AJ8" s="205" t="s">
        <v>3116</v>
      </c>
      <c r="AK8" s="205" t="s">
        <v>3117</v>
      </c>
      <c r="AL8" s="205" t="s">
        <v>239</v>
      </c>
      <c r="AM8" s="205" t="s">
        <v>239</v>
      </c>
      <c r="AN8" s="205" t="s">
        <v>239</v>
      </c>
      <c r="AO8" s="200" t="s">
        <v>235</v>
      </c>
      <c r="AP8" s="200" t="s">
        <v>235</v>
      </c>
      <c r="AQ8" s="200" t="s">
        <v>235</v>
      </c>
      <c r="AR8" s="200" t="s">
        <v>235</v>
      </c>
      <c r="AS8" s="200" t="s">
        <v>299</v>
      </c>
      <c r="AT8" s="200" t="s">
        <v>299</v>
      </c>
      <c r="AU8" s="200" t="s">
        <v>299</v>
      </c>
      <c r="AV8" s="205" t="s">
        <v>242</v>
      </c>
      <c r="AW8" s="205" t="s">
        <v>243</v>
      </c>
      <c r="AX8" s="200" t="s">
        <v>3118</v>
      </c>
      <c r="AY8" s="200" t="s">
        <v>265</v>
      </c>
      <c r="AZ8" s="205" t="s">
        <v>3119</v>
      </c>
      <c r="BA8" s="205" t="s">
        <v>244</v>
      </c>
      <c r="BB8" s="205" t="s">
        <v>244</v>
      </c>
      <c r="BD8" s="205" t="s">
        <v>239</v>
      </c>
      <c r="BE8" s="205" t="s">
        <v>446</v>
      </c>
      <c r="BF8" s="205" t="s">
        <v>457</v>
      </c>
      <c r="BH8" s="205" t="s">
        <v>456</v>
      </c>
      <c r="BI8" s="202">
        <v>9</v>
      </c>
    </row>
    <row r="9" spans="1:66" x14ac:dyDescent="0.25">
      <c r="A9" s="205" t="s">
        <v>1117</v>
      </c>
      <c r="B9" s="205" t="s">
        <v>3120</v>
      </c>
      <c r="C9" s="205" t="s">
        <v>3121</v>
      </c>
      <c r="D9" s="205" t="s">
        <v>3122</v>
      </c>
      <c r="E9" s="201">
        <v>42289</v>
      </c>
      <c r="F9" s="205" t="s">
        <v>3123</v>
      </c>
      <c r="G9" s="205" t="s">
        <v>232</v>
      </c>
      <c r="H9" s="205" t="s">
        <v>3124</v>
      </c>
      <c r="I9" s="205" t="s">
        <v>469</v>
      </c>
      <c r="J9" s="205" t="s">
        <v>3125</v>
      </c>
      <c r="K9" s="205" t="s">
        <v>453</v>
      </c>
      <c r="L9" s="205" t="s">
        <v>461</v>
      </c>
      <c r="M9" s="205" t="s">
        <v>470</v>
      </c>
      <c r="O9" s="200" t="s">
        <v>264</v>
      </c>
      <c r="P9" s="200" t="s">
        <v>3126</v>
      </c>
      <c r="Q9" s="205" t="s">
        <v>470</v>
      </c>
      <c r="R9" s="202">
        <v>10</v>
      </c>
      <c r="U9" s="205" t="s">
        <v>456</v>
      </c>
      <c r="X9" s="205" t="s">
        <v>546</v>
      </c>
      <c r="Y9" s="200" t="s">
        <v>603</v>
      </c>
      <c r="Z9" s="205" t="s">
        <v>478</v>
      </c>
      <c r="AA9" s="200" t="s">
        <v>414</v>
      </c>
      <c r="AB9" s="205" t="s">
        <v>478</v>
      </c>
      <c r="AC9" s="200" t="s">
        <v>308</v>
      </c>
      <c r="AD9" s="205" t="s">
        <v>478</v>
      </c>
      <c r="AE9" s="205" t="s">
        <v>232</v>
      </c>
      <c r="AF9" s="205" t="s">
        <v>3127</v>
      </c>
      <c r="AG9" s="205" t="s">
        <v>239</v>
      </c>
      <c r="AH9" s="205" t="s">
        <v>239</v>
      </c>
      <c r="AI9" s="205" t="s">
        <v>491</v>
      </c>
      <c r="AJ9" s="205" t="s">
        <v>3128</v>
      </c>
      <c r="AK9" s="205" t="s">
        <v>3129</v>
      </c>
      <c r="AL9" s="205" t="s">
        <v>239</v>
      </c>
      <c r="AM9" s="205" t="s">
        <v>239</v>
      </c>
      <c r="AN9" s="205" t="s">
        <v>239</v>
      </c>
      <c r="AO9" s="200" t="s">
        <v>239</v>
      </c>
      <c r="AP9" s="200" t="s">
        <v>239</v>
      </c>
      <c r="AQ9" s="200" t="s">
        <v>235</v>
      </c>
      <c r="AR9" s="200" t="s">
        <v>239</v>
      </c>
      <c r="AS9" s="200" t="s">
        <v>262</v>
      </c>
      <c r="AT9" s="200" t="s">
        <v>299</v>
      </c>
      <c r="AU9" s="200" t="s">
        <v>241</v>
      </c>
      <c r="AV9" s="205" t="s">
        <v>242</v>
      </c>
      <c r="AW9" s="205" t="s">
        <v>243</v>
      </c>
      <c r="AY9" s="200" t="s">
        <v>239</v>
      </c>
      <c r="AZ9" s="205" t="s">
        <v>3130</v>
      </c>
      <c r="BA9" s="205" t="s">
        <v>244</v>
      </c>
      <c r="BB9" s="205" t="s">
        <v>244</v>
      </c>
      <c r="BD9" s="205" t="s">
        <v>239</v>
      </c>
      <c r="BE9" s="205" t="s">
        <v>446</v>
      </c>
      <c r="BF9" s="205" t="s">
        <v>457</v>
      </c>
      <c r="BH9" s="205" t="s">
        <v>456</v>
      </c>
      <c r="BI9" s="202">
        <v>10</v>
      </c>
    </row>
    <row r="10" spans="1:66" x14ac:dyDescent="0.25">
      <c r="A10" s="205" t="s">
        <v>1117</v>
      </c>
      <c r="B10" s="205" t="s">
        <v>3131</v>
      </c>
      <c r="C10" s="205" t="s">
        <v>3132</v>
      </c>
      <c r="D10" s="205" t="s">
        <v>3133</v>
      </c>
      <c r="E10" s="201">
        <v>42289</v>
      </c>
      <c r="F10" s="205" t="s">
        <v>2646</v>
      </c>
      <c r="G10" s="205" t="s">
        <v>232</v>
      </c>
      <c r="H10" s="205" t="s">
        <v>3134</v>
      </c>
      <c r="I10" s="205" t="s">
        <v>3135</v>
      </c>
      <c r="J10" s="205" t="s">
        <v>3136</v>
      </c>
      <c r="K10" s="205" t="s">
        <v>453</v>
      </c>
      <c r="L10" s="205" t="s">
        <v>454</v>
      </c>
      <c r="M10" s="205" t="s">
        <v>455</v>
      </c>
      <c r="O10" s="200" t="s">
        <v>274</v>
      </c>
      <c r="P10" s="200" t="s">
        <v>3137</v>
      </c>
      <c r="Q10" s="205" t="s">
        <v>455</v>
      </c>
      <c r="R10" s="202">
        <v>11</v>
      </c>
      <c r="U10" s="205" t="s">
        <v>456</v>
      </c>
      <c r="X10" s="205" t="s">
        <v>546</v>
      </c>
      <c r="Y10" s="200" t="s">
        <v>510</v>
      </c>
      <c r="Z10" s="205" t="s">
        <v>3138</v>
      </c>
      <c r="AA10" s="200" t="s">
        <v>510</v>
      </c>
      <c r="AB10" s="205" t="s">
        <v>2351</v>
      </c>
      <c r="AC10" s="200" t="s">
        <v>297</v>
      </c>
      <c r="AD10" s="205" t="s">
        <v>2505</v>
      </c>
      <c r="AE10" s="205" t="s">
        <v>232</v>
      </c>
      <c r="AF10" s="205" t="s">
        <v>3139</v>
      </c>
      <c r="AG10" s="205" t="s">
        <v>239</v>
      </c>
      <c r="AH10" s="205" t="s">
        <v>239</v>
      </c>
      <c r="AI10" s="205" t="s">
        <v>3140</v>
      </c>
      <c r="AJ10" s="205" t="s">
        <v>3141</v>
      </c>
      <c r="AK10" s="205" t="s">
        <v>3142</v>
      </c>
      <c r="AL10" s="205" t="s">
        <v>239</v>
      </c>
      <c r="AM10" s="205" t="s">
        <v>239</v>
      </c>
      <c r="AN10" s="205" t="s">
        <v>239</v>
      </c>
      <c r="AO10" s="200" t="s">
        <v>235</v>
      </c>
      <c r="AP10" s="200" t="s">
        <v>235</v>
      </c>
      <c r="AQ10" s="200" t="s">
        <v>235</v>
      </c>
      <c r="AR10" s="200" t="s">
        <v>235</v>
      </c>
      <c r="AS10" s="200" t="s">
        <v>299</v>
      </c>
      <c r="AT10" s="200" t="s">
        <v>299</v>
      </c>
      <c r="AU10" s="200" t="s">
        <v>240</v>
      </c>
      <c r="AV10" s="205" t="s">
        <v>242</v>
      </c>
      <c r="AW10" s="205" t="s">
        <v>243</v>
      </c>
      <c r="AY10" s="200" t="s">
        <v>239</v>
      </c>
      <c r="AZ10" s="205" t="s">
        <v>3143</v>
      </c>
      <c r="BA10" s="205" t="s">
        <v>244</v>
      </c>
      <c r="BB10" s="205" t="s">
        <v>244</v>
      </c>
      <c r="BD10" s="205" t="s">
        <v>239</v>
      </c>
      <c r="BE10" s="205" t="s">
        <v>446</v>
      </c>
      <c r="BF10" s="205" t="s">
        <v>457</v>
      </c>
      <c r="BH10" s="205" t="s">
        <v>456</v>
      </c>
      <c r="BI10" s="202">
        <v>11</v>
      </c>
    </row>
    <row r="11" spans="1:66" x14ac:dyDescent="0.25">
      <c r="A11" s="205" t="s">
        <v>1117</v>
      </c>
      <c r="B11" s="205" t="s">
        <v>3144</v>
      </c>
      <c r="C11" s="205" t="s">
        <v>3145</v>
      </c>
      <c r="D11" s="205" t="s">
        <v>3146</v>
      </c>
      <c r="E11" s="201">
        <v>42289</v>
      </c>
      <c r="F11" s="205" t="s">
        <v>428</v>
      </c>
      <c r="G11" s="205" t="s">
        <v>232</v>
      </c>
      <c r="H11" s="205" t="s">
        <v>3147</v>
      </c>
      <c r="I11" s="205" t="s">
        <v>3148</v>
      </c>
      <c r="J11" s="205" t="s">
        <v>3149</v>
      </c>
      <c r="K11" s="205" t="s">
        <v>450</v>
      </c>
      <c r="L11" s="205" t="s">
        <v>451</v>
      </c>
      <c r="M11" s="205" t="s">
        <v>452</v>
      </c>
      <c r="O11" s="200" t="s">
        <v>274</v>
      </c>
      <c r="P11" s="200" t="s">
        <v>3150</v>
      </c>
      <c r="Q11" s="205" t="s">
        <v>452</v>
      </c>
      <c r="R11" s="202">
        <v>12</v>
      </c>
      <c r="U11" s="205" t="s">
        <v>456</v>
      </c>
      <c r="X11" s="205" t="s">
        <v>363</v>
      </c>
      <c r="Z11" s="205" t="s">
        <v>238</v>
      </c>
      <c r="AB11" s="205" t="s">
        <v>238</v>
      </c>
      <c r="AD11" s="205" t="s">
        <v>238</v>
      </c>
      <c r="AE11" s="205" t="s">
        <v>232</v>
      </c>
      <c r="AF11" s="205" t="s">
        <v>3151</v>
      </c>
      <c r="AG11" s="205" t="s">
        <v>239</v>
      </c>
      <c r="AH11" s="205" t="s">
        <v>239</v>
      </c>
      <c r="AI11" s="205" t="s">
        <v>3152</v>
      </c>
      <c r="AJ11" s="205" t="s">
        <v>3153</v>
      </c>
      <c r="AK11" s="205" t="s">
        <v>3154</v>
      </c>
      <c r="AL11" s="205" t="s">
        <v>239</v>
      </c>
      <c r="AM11" s="205" t="s">
        <v>239</v>
      </c>
      <c r="AN11" s="205" t="s">
        <v>239</v>
      </c>
      <c r="AO11" s="200" t="s">
        <v>235</v>
      </c>
      <c r="AP11" s="200" t="s">
        <v>235</v>
      </c>
      <c r="AQ11" s="200" t="s">
        <v>235</v>
      </c>
      <c r="AR11" s="200" t="s">
        <v>235</v>
      </c>
      <c r="AS11" s="200" t="s">
        <v>299</v>
      </c>
      <c r="AT11" s="200" t="s">
        <v>299</v>
      </c>
      <c r="AU11" s="200" t="s">
        <v>240</v>
      </c>
      <c r="AV11" s="205" t="s">
        <v>242</v>
      </c>
      <c r="AW11" s="205" t="s">
        <v>243</v>
      </c>
      <c r="AY11" s="200" t="s">
        <v>239</v>
      </c>
      <c r="AZ11" s="205" t="s">
        <v>3155</v>
      </c>
      <c r="BA11" s="205" t="s">
        <v>244</v>
      </c>
      <c r="BB11" s="205" t="s">
        <v>244</v>
      </c>
      <c r="BD11" s="205" t="s">
        <v>239</v>
      </c>
      <c r="BE11" s="205" t="s">
        <v>446</v>
      </c>
      <c r="BF11" s="205" t="s">
        <v>457</v>
      </c>
      <c r="BH11" s="205" t="s">
        <v>456</v>
      </c>
      <c r="BI11" s="202">
        <v>12</v>
      </c>
    </row>
    <row r="12" spans="1:66" x14ac:dyDescent="0.25">
      <c r="A12" s="205" t="s">
        <v>1117</v>
      </c>
      <c r="B12" s="205" t="s">
        <v>3156</v>
      </c>
      <c r="C12" s="205" t="s">
        <v>3157</v>
      </c>
      <c r="D12" s="205" t="s">
        <v>3158</v>
      </c>
      <c r="E12" s="201">
        <v>42289</v>
      </c>
      <c r="F12" s="205" t="s">
        <v>314</v>
      </c>
      <c r="G12" s="205" t="s">
        <v>232</v>
      </c>
      <c r="H12" s="205" t="s">
        <v>3159</v>
      </c>
      <c r="I12" s="205" t="s">
        <v>3160</v>
      </c>
      <c r="K12" s="205" t="s">
        <v>464</v>
      </c>
      <c r="L12" s="205" t="s">
        <v>465</v>
      </c>
      <c r="M12" s="205" t="s">
        <v>466</v>
      </c>
      <c r="O12" s="200" t="s">
        <v>409</v>
      </c>
      <c r="P12" s="200" t="s">
        <v>3161</v>
      </c>
      <c r="Q12" s="205" t="s">
        <v>466</v>
      </c>
      <c r="R12" s="202">
        <v>13</v>
      </c>
      <c r="U12" s="205" t="s">
        <v>456</v>
      </c>
      <c r="X12" s="205" t="s">
        <v>275</v>
      </c>
      <c r="Y12" s="200" t="s">
        <v>580</v>
      </c>
      <c r="Z12" s="205" t="s">
        <v>3162</v>
      </c>
      <c r="AA12" s="200" t="s">
        <v>380</v>
      </c>
      <c r="AB12" s="205" t="s">
        <v>859</v>
      </c>
      <c r="AC12" s="200" t="s">
        <v>348</v>
      </c>
      <c r="AD12" s="205" t="s">
        <v>2021</v>
      </c>
      <c r="AE12" s="205" t="s">
        <v>232</v>
      </c>
      <c r="AF12" s="205" t="s">
        <v>3163</v>
      </c>
      <c r="AG12" s="205" t="s">
        <v>3164</v>
      </c>
      <c r="AH12" s="205" t="s">
        <v>239</v>
      </c>
      <c r="AI12" s="205" t="s">
        <v>3165</v>
      </c>
      <c r="AJ12" s="205" t="s">
        <v>3166</v>
      </c>
      <c r="AK12" s="205" t="s">
        <v>3167</v>
      </c>
      <c r="AL12" s="205" t="s">
        <v>239</v>
      </c>
      <c r="AM12" s="205" t="s">
        <v>239</v>
      </c>
      <c r="AN12" s="205" t="s">
        <v>239</v>
      </c>
      <c r="AO12" s="200" t="s">
        <v>235</v>
      </c>
      <c r="AP12" s="200" t="s">
        <v>235</v>
      </c>
      <c r="AQ12" s="200" t="s">
        <v>235</v>
      </c>
      <c r="AR12" s="200" t="s">
        <v>235</v>
      </c>
      <c r="AS12" s="200" t="s">
        <v>299</v>
      </c>
      <c r="AT12" s="200" t="s">
        <v>299</v>
      </c>
      <c r="AU12" s="200" t="s">
        <v>240</v>
      </c>
      <c r="AV12" s="205" t="s">
        <v>242</v>
      </c>
      <c r="AW12" s="205" t="s">
        <v>243</v>
      </c>
      <c r="AY12" s="200" t="s">
        <v>239</v>
      </c>
      <c r="AZ12" s="205" t="s">
        <v>3168</v>
      </c>
      <c r="BA12" s="205" t="s">
        <v>244</v>
      </c>
      <c r="BB12" s="205" t="s">
        <v>244</v>
      </c>
      <c r="BD12" s="205" t="s">
        <v>239</v>
      </c>
      <c r="BE12" s="205" t="s">
        <v>446</v>
      </c>
      <c r="BF12" s="205" t="s">
        <v>457</v>
      </c>
      <c r="BH12" s="205" t="s">
        <v>456</v>
      </c>
      <c r="BI12" s="202">
        <v>13</v>
      </c>
    </row>
    <row r="13" spans="1:66" x14ac:dyDescent="0.25">
      <c r="A13" s="205" t="s">
        <v>2325</v>
      </c>
      <c r="B13" s="205" t="s">
        <v>3169</v>
      </c>
      <c r="C13" s="205" t="s">
        <v>3170</v>
      </c>
      <c r="D13" s="205" t="s">
        <v>3171</v>
      </c>
      <c r="E13" s="201">
        <v>42289</v>
      </c>
      <c r="F13" s="205" t="s">
        <v>3172</v>
      </c>
      <c r="G13" s="205" t="s">
        <v>232</v>
      </c>
      <c r="H13" s="205" t="s">
        <v>3173</v>
      </c>
      <c r="I13" s="205" t="s">
        <v>3174</v>
      </c>
      <c r="J13" s="205" t="s">
        <v>3175</v>
      </c>
      <c r="K13" s="205" t="s">
        <v>453</v>
      </c>
      <c r="L13" s="205" t="s">
        <v>448</v>
      </c>
      <c r="M13" s="205" t="s">
        <v>449</v>
      </c>
      <c r="O13" s="200" t="s">
        <v>468</v>
      </c>
      <c r="P13" s="200" t="s">
        <v>3176</v>
      </c>
      <c r="Q13" s="205" t="s">
        <v>449</v>
      </c>
      <c r="R13" s="202">
        <v>14</v>
      </c>
      <c r="U13" s="205" t="s">
        <v>456</v>
      </c>
      <c r="X13" s="205" t="s">
        <v>332</v>
      </c>
      <c r="Y13" s="200" t="s">
        <v>680</v>
      </c>
      <c r="Z13" s="205" t="s">
        <v>3177</v>
      </c>
      <c r="AA13" s="200" t="s">
        <v>2259</v>
      </c>
      <c r="AB13" s="205" t="s">
        <v>3178</v>
      </c>
      <c r="AC13" s="200" t="s">
        <v>308</v>
      </c>
      <c r="AD13" s="205" t="s">
        <v>3179</v>
      </c>
      <c r="AE13" s="205" t="s">
        <v>232</v>
      </c>
      <c r="AF13" s="205" t="s">
        <v>3180</v>
      </c>
      <c r="AG13" s="205" t="s">
        <v>3181</v>
      </c>
      <c r="AH13" s="205" t="s">
        <v>239</v>
      </c>
      <c r="AI13" s="205" t="s">
        <v>3182</v>
      </c>
      <c r="AJ13" s="205" t="s">
        <v>3183</v>
      </c>
      <c r="AK13" s="205" t="s">
        <v>3184</v>
      </c>
      <c r="AL13" s="205" t="s">
        <v>239</v>
      </c>
      <c r="AM13" s="205" t="s">
        <v>239</v>
      </c>
      <c r="AN13" s="205" t="s">
        <v>239</v>
      </c>
      <c r="AO13" s="200" t="s">
        <v>235</v>
      </c>
      <c r="AP13" s="200" t="s">
        <v>235</v>
      </c>
      <c r="AQ13" s="200" t="s">
        <v>235</v>
      </c>
      <c r="AR13" s="200" t="s">
        <v>239</v>
      </c>
      <c r="AS13" s="200" t="s">
        <v>299</v>
      </c>
      <c r="AT13" s="200" t="s">
        <v>299</v>
      </c>
      <c r="AU13" s="200" t="s">
        <v>241</v>
      </c>
      <c r="AV13" s="205" t="s">
        <v>242</v>
      </c>
      <c r="AW13" s="205" t="s">
        <v>243</v>
      </c>
      <c r="AX13" s="200" t="s">
        <v>2265</v>
      </c>
      <c r="AY13" s="200" t="s">
        <v>300</v>
      </c>
      <c r="AZ13" s="205" t="s">
        <v>3185</v>
      </c>
      <c r="BA13" s="205" t="s">
        <v>244</v>
      </c>
      <c r="BB13" s="205" t="s">
        <v>244</v>
      </c>
      <c r="BC13" s="200" t="s">
        <v>256</v>
      </c>
      <c r="BD13" s="205" t="s">
        <v>239</v>
      </c>
      <c r="BE13" s="205" t="s">
        <v>446</v>
      </c>
      <c r="BF13" s="205" t="s">
        <v>457</v>
      </c>
      <c r="BH13" s="205" t="s">
        <v>456</v>
      </c>
      <c r="BI13" s="202">
        <v>14</v>
      </c>
      <c r="BJ13" s="201">
        <v>42291</v>
      </c>
      <c r="BK13" s="203" t="s">
        <v>245</v>
      </c>
      <c r="BL13" s="204">
        <v>481.4</v>
      </c>
      <c r="BM13" s="205">
        <v>42</v>
      </c>
    </row>
    <row r="14" spans="1:66" x14ac:dyDescent="0.25">
      <c r="A14" s="205" t="s">
        <v>2325</v>
      </c>
      <c r="B14" s="205" t="s">
        <v>3186</v>
      </c>
      <c r="C14" s="205" t="s">
        <v>3187</v>
      </c>
      <c r="D14" s="205" t="s">
        <v>3188</v>
      </c>
      <c r="E14" s="201">
        <v>42289</v>
      </c>
      <c r="F14" s="205" t="s">
        <v>374</v>
      </c>
      <c r="G14" s="205" t="s">
        <v>232</v>
      </c>
      <c r="H14" s="205" t="s">
        <v>3189</v>
      </c>
      <c r="I14" s="205" t="s">
        <v>3190</v>
      </c>
      <c r="J14" s="205" t="s">
        <v>3191</v>
      </c>
      <c r="K14" s="205" t="s">
        <v>447</v>
      </c>
      <c r="L14" s="205" t="s">
        <v>448</v>
      </c>
      <c r="M14" s="205" t="s">
        <v>455</v>
      </c>
      <c r="O14" s="200" t="s">
        <v>513</v>
      </c>
      <c r="P14" s="200" t="s">
        <v>3192</v>
      </c>
      <c r="Q14" s="205" t="s">
        <v>455</v>
      </c>
      <c r="R14" s="202">
        <v>15</v>
      </c>
      <c r="U14" s="205" t="s">
        <v>456</v>
      </c>
      <c r="X14" s="205" t="s">
        <v>249</v>
      </c>
      <c r="Y14" s="200" t="s">
        <v>550</v>
      </c>
      <c r="Z14" s="205" t="s">
        <v>3193</v>
      </c>
      <c r="AA14" s="200" t="s">
        <v>641</v>
      </c>
      <c r="AB14" s="205" t="s">
        <v>237</v>
      </c>
      <c r="AC14" s="200" t="s">
        <v>287</v>
      </c>
      <c r="AD14" s="205" t="s">
        <v>3194</v>
      </c>
      <c r="AE14" s="205" t="s">
        <v>232</v>
      </c>
      <c r="AF14" s="205" t="s">
        <v>3195</v>
      </c>
      <c r="AG14" s="205" t="s">
        <v>239</v>
      </c>
      <c r="AH14" s="205" t="s">
        <v>239</v>
      </c>
      <c r="AI14" s="205" t="s">
        <v>3196</v>
      </c>
      <c r="AJ14" s="205" t="s">
        <v>3197</v>
      </c>
      <c r="AK14" s="205" t="s">
        <v>3198</v>
      </c>
      <c r="AL14" s="205" t="s">
        <v>239</v>
      </c>
      <c r="AM14" s="205" t="s">
        <v>239</v>
      </c>
      <c r="AN14" s="205" t="s">
        <v>239</v>
      </c>
      <c r="AO14" s="200" t="s">
        <v>235</v>
      </c>
      <c r="AP14" s="200" t="s">
        <v>235</v>
      </c>
      <c r="AQ14" s="200" t="s">
        <v>235</v>
      </c>
      <c r="AR14" s="200" t="s">
        <v>235</v>
      </c>
      <c r="AS14" s="200" t="s">
        <v>299</v>
      </c>
      <c r="AT14" s="200" t="s">
        <v>299</v>
      </c>
      <c r="AU14" s="200" t="s">
        <v>299</v>
      </c>
      <c r="AV14" s="205" t="s">
        <v>242</v>
      </c>
      <c r="AW14" s="205" t="s">
        <v>243</v>
      </c>
      <c r="AX14" s="200" t="s">
        <v>1582</v>
      </c>
      <c r="AY14" s="200" t="s">
        <v>235</v>
      </c>
      <c r="AZ14" s="205" t="s">
        <v>3199</v>
      </c>
      <c r="BA14" s="205" t="s">
        <v>244</v>
      </c>
      <c r="BB14" s="205" t="s">
        <v>244</v>
      </c>
      <c r="BD14" s="205" t="s">
        <v>239</v>
      </c>
      <c r="BE14" s="205" t="s">
        <v>446</v>
      </c>
      <c r="BF14" s="205" t="s">
        <v>457</v>
      </c>
      <c r="BH14" s="205" t="s">
        <v>456</v>
      </c>
      <c r="BI14" s="202">
        <v>15</v>
      </c>
    </row>
    <row r="15" spans="1:66" x14ac:dyDescent="0.25">
      <c r="A15" s="205" t="s">
        <v>2325</v>
      </c>
      <c r="B15" s="205" t="s">
        <v>3200</v>
      </c>
      <c r="C15" s="205" t="s">
        <v>3201</v>
      </c>
      <c r="D15" s="205" t="s">
        <v>3202</v>
      </c>
      <c r="E15" s="201">
        <v>42289</v>
      </c>
      <c r="F15" s="205" t="s">
        <v>3203</v>
      </c>
      <c r="G15" s="205" t="s">
        <v>232</v>
      </c>
      <c r="H15" s="205" t="s">
        <v>3204</v>
      </c>
      <c r="I15" s="205" t="s">
        <v>3205</v>
      </c>
      <c r="J15" s="205" t="s">
        <v>3136</v>
      </c>
      <c r="K15" s="205" t="s">
        <v>453</v>
      </c>
      <c r="L15" s="205" t="s">
        <v>454</v>
      </c>
      <c r="M15" s="205" t="s">
        <v>455</v>
      </c>
      <c r="O15" s="200" t="s">
        <v>288</v>
      </c>
      <c r="P15" s="200" t="s">
        <v>3206</v>
      </c>
      <c r="Q15" s="205" t="s">
        <v>455</v>
      </c>
      <c r="R15" s="202">
        <v>16</v>
      </c>
      <c r="U15" s="205" t="s">
        <v>456</v>
      </c>
      <c r="X15" s="205" t="s">
        <v>302</v>
      </c>
      <c r="Y15" s="200" t="s">
        <v>519</v>
      </c>
      <c r="Z15" s="205" t="s">
        <v>3207</v>
      </c>
      <c r="AA15" s="200" t="s">
        <v>517</v>
      </c>
      <c r="AB15" s="205" t="s">
        <v>3208</v>
      </c>
      <c r="AC15" s="200" t="s">
        <v>502</v>
      </c>
      <c r="AD15" s="205" t="s">
        <v>3209</v>
      </c>
      <c r="AE15" s="205" t="s">
        <v>232</v>
      </c>
      <c r="AF15" s="205" t="s">
        <v>3210</v>
      </c>
      <c r="AG15" s="205" t="s">
        <v>239</v>
      </c>
      <c r="AH15" s="205" t="s">
        <v>239</v>
      </c>
      <c r="AI15" s="205" t="s">
        <v>3211</v>
      </c>
      <c r="AJ15" s="205" t="s">
        <v>3212</v>
      </c>
      <c r="AK15" s="205" t="s">
        <v>3213</v>
      </c>
      <c r="AL15" s="205" t="s">
        <v>239</v>
      </c>
      <c r="AM15" s="205" t="s">
        <v>239</v>
      </c>
      <c r="AN15" s="205" t="s">
        <v>239</v>
      </c>
      <c r="AO15" s="200" t="s">
        <v>235</v>
      </c>
      <c r="AP15" s="200" t="s">
        <v>235</v>
      </c>
      <c r="AQ15" s="200" t="s">
        <v>235</v>
      </c>
      <c r="AR15" s="200" t="s">
        <v>235</v>
      </c>
      <c r="AS15" s="200" t="s">
        <v>299</v>
      </c>
      <c r="AT15" s="200" t="s">
        <v>299</v>
      </c>
      <c r="AU15" s="200" t="s">
        <v>299</v>
      </c>
      <c r="AV15" s="205" t="s">
        <v>242</v>
      </c>
      <c r="AW15" s="205" t="s">
        <v>243</v>
      </c>
      <c r="AY15" s="200" t="s">
        <v>239</v>
      </c>
      <c r="AZ15" s="205" t="s">
        <v>3214</v>
      </c>
      <c r="BA15" s="205" t="s">
        <v>244</v>
      </c>
      <c r="BB15" s="205" t="s">
        <v>244</v>
      </c>
      <c r="BD15" s="205" t="s">
        <v>239</v>
      </c>
      <c r="BE15" s="205" t="s">
        <v>446</v>
      </c>
      <c r="BF15" s="205" t="s">
        <v>457</v>
      </c>
      <c r="BH15" s="205" t="s">
        <v>456</v>
      </c>
      <c r="BI15" s="202">
        <v>16</v>
      </c>
    </row>
    <row r="16" spans="1:66" x14ac:dyDescent="0.25">
      <c r="A16" s="205" t="s">
        <v>2325</v>
      </c>
      <c r="B16" s="205" t="s">
        <v>3215</v>
      </c>
      <c r="C16" s="205" t="s">
        <v>3216</v>
      </c>
      <c r="D16" s="205" t="s">
        <v>3217</v>
      </c>
      <c r="E16" s="201">
        <v>42289</v>
      </c>
      <c r="F16" s="205" t="s">
        <v>3203</v>
      </c>
      <c r="G16" s="205" t="s">
        <v>232</v>
      </c>
      <c r="H16" s="205" t="s">
        <v>3218</v>
      </c>
      <c r="I16" s="205" t="s">
        <v>3219</v>
      </c>
      <c r="K16" s="205" t="s">
        <v>450</v>
      </c>
      <c r="L16" s="205" t="s">
        <v>451</v>
      </c>
      <c r="M16" s="205" t="s">
        <v>452</v>
      </c>
      <c r="O16" s="200" t="s">
        <v>264</v>
      </c>
      <c r="P16" s="200" t="s">
        <v>3220</v>
      </c>
      <c r="Q16" s="205" t="s">
        <v>452</v>
      </c>
      <c r="R16" s="202">
        <v>17</v>
      </c>
      <c r="U16" s="205" t="s">
        <v>456</v>
      </c>
      <c r="X16" s="205" t="s">
        <v>335</v>
      </c>
      <c r="Y16" s="200" t="s">
        <v>510</v>
      </c>
      <c r="Z16" s="205" t="s">
        <v>3221</v>
      </c>
      <c r="AA16" s="200" t="s">
        <v>416</v>
      </c>
      <c r="AB16" s="205" t="s">
        <v>3222</v>
      </c>
      <c r="AC16" s="200" t="s">
        <v>690</v>
      </c>
      <c r="AD16" s="205" t="s">
        <v>3223</v>
      </c>
      <c r="AE16" s="205" t="s">
        <v>232</v>
      </c>
      <c r="AF16" s="205" t="s">
        <v>3224</v>
      </c>
      <c r="AG16" s="205" t="s">
        <v>239</v>
      </c>
      <c r="AH16" s="205" t="s">
        <v>239</v>
      </c>
      <c r="AI16" s="205" t="s">
        <v>3225</v>
      </c>
      <c r="AJ16" s="205" t="s">
        <v>3226</v>
      </c>
      <c r="AK16" s="205" t="s">
        <v>239</v>
      </c>
      <c r="AL16" s="205" t="s">
        <v>239</v>
      </c>
      <c r="AM16" s="205" t="s">
        <v>239</v>
      </c>
      <c r="AN16" s="205" t="s">
        <v>239</v>
      </c>
      <c r="AO16" s="200" t="s">
        <v>239</v>
      </c>
      <c r="AP16" s="200" t="s">
        <v>239</v>
      </c>
      <c r="AQ16" s="200" t="s">
        <v>235</v>
      </c>
      <c r="AR16" s="200" t="s">
        <v>239</v>
      </c>
      <c r="AS16" s="200" t="s">
        <v>262</v>
      </c>
      <c r="AT16" s="200" t="s">
        <v>299</v>
      </c>
      <c r="AU16" s="200" t="s">
        <v>241</v>
      </c>
      <c r="AV16" s="205" t="s">
        <v>242</v>
      </c>
      <c r="AW16" s="205" t="s">
        <v>243</v>
      </c>
      <c r="AX16" s="200" t="s">
        <v>3227</v>
      </c>
      <c r="AY16" s="200" t="s">
        <v>235</v>
      </c>
      <c r="AZ16" s="205" t="s">
        <v>3228</v>
      </c>
      <c r="BA16" s="205" t="s">
        <v>244</v>
      </c>
      <c r="BB16" s="205" t="s">
        <v>244</v>
      </c>
      <c r="BD16" s="205" t="s">
        <v>239</v>
      </c>
      <c r="BE16" s="205" t="s">
        <v>446</v>
      </c>
      <c r="BF16" s="205" t="s">
        <v>457</v>
      </c>
      <c r="BH16" s="205" t="s">
        <v>456</v>
      </c>
      <c r="BI16" s="202">
        <v>17</v>
      </c>
    </row>
    <row r="17" spans="1:65" x14ac:dyDescent="0.25">
      <c r="A17" s="205" t="s">
        <v>2325</v>
      </c>
      <c r="B17" s="205" t="s">
        <v>3229</v>
      </c>
      <c r="C17" s="205" t="s">
        <v>3230</v>
      </c>
      <c r="D17" s="205" t="s">
        <v>3231</v>
      </c>
      <c r="E17" s="201">
        <v>42289</v>
      </c>
      <c r="F17" s="205" t="s">
        <v>3232</v>
      </c>
      <c r="G17" s="205" t="s">
        <v>232</v>
      </c>
      <c r="H17" s="205" t="s">
        <v>3233</v>
      </c>
      <c r="I17" s="205" t="s">
        <v>3234</v>
      </c>
      <c r="K17" s="205" t="s">
        <v>453</v>
      </c>
      <c r="L17" s="205" t="s">
        <v>461</v>
      </c>
      <c r="M17" s="205" t="s">
        <v>470</v>
      </c>
      <c r="O17" s="200" t="s">
        <v>467</v>
      </c>
      <c r="P17" s="200" t="s">
        <v>3235</v>
      </c>
      <c r="Q17" s="205" t="s">
        <v>470</v>
      </c>
      <c r="R17" s="202">
        <v>18</v>
      </c>
      <c r="U17" s="205" t="s">
        <v>456</v>
      </c>
      <c r="X17" s="205" t="s">
        <v>271</v>
      </c>
      <c r="Y17" s="200" t="s">
        <v>574</v>
      </c>
      <c r="Z17" s="205" t="s">
        <v>3236</v>
      </c>
      <c r="AA17" s="200" t="s">
        <v>250</v>
      </c>
      <c r="AB17" s="205" t="s">
        <v>237</v>
      </c>
      <c r="AC17" s="200" t="s">
        <v>360</v>
      </c>
      <c r="AD17" s="205" t="s">
        <v>3237</v>
      </c>
      <c r="AE17" s="205" t="s">
        <v>232</v>
      </c>
      <c r="AF17" s="205" t="s">
        <v>3238</v>
      </c>
      <c r="AG17" s="205" t="s">
        <v>239</v>
      </c>
      <c r="AH17" s="205" t="s">
        <v>239</v>
      </c>
      <c r="AI17" s="205" t="s">
        <v>3239</v>
      </c>
      <c r="AJ17" s="205" t="s">
        <v>1786</v>
      </c>
      <c r="AK17" s="205" t="s">
        <v>239</v>
      </c>
      <c r="AL17" s="205" t="s">
        <v>239</v>
      </c>
      <c r="AM17" s="205" t="s">
        <v>239</v>
      </c>
      <c r="AN17" s="205" t="s">
        <v>239</v>
      </c>
      <c r="AO17" s="200" t="s">
        <v>235</v>
      </c>
      <c r="AP17" s="200" t="s">
        <v>235</v>
      </c>
      <c r="AQ17" s="200" t="s">
        <v>235</v>
      </c>
      <c r="AR17" s="200" t="s">
        <v>239</v>
      </c>
      <c r="AS17" s="200" t="s">
        <v>299</v>
      </c>
      <c r="AT17" s="200" t="s">
        <v>299</v>
      </c>
      <c r="AU17" s="200" t="s">
        <v>241</v>
      </c>
      <c r="AV17" s="205" t="s">
        <v>242</v>
      </c>
      <c r="AW17" s="205" t="s">
        <v>243</v>
      </c>
      <c r="AY17" s="200" t="s">
        <v>239</v>
      </c>
      <c r="AZ17" s="205" t="s">
        <v>3240</v>
      </c>
      <c r="BA17" s="205" t="s">
        <v>244</v>
      </c>
      <c r="BB17" s="205" t="s">
        <v>244</v>
      </c>
      <c r="BC17" s="200" t="s">
        <v>256</v>
      </c>
      <c r="BD17" s="205" t="s">
        <v>239</v>
      </c>
      <c r="BE17" s="205" t="s">
        <v>446</v>
      </c>
      <c r="BF17" s="205" t="s">
        <v>457</v>
      </c>
      <c r="BH17" s="205" t="s">
        <v>456</v>
      </c>
      <c r="BI17" s="202">
        <v>18</v>
      </c>
    </row>
    <row r="18" spans="1:65" x14ac:dyDescent="0.25">
      <c r="A18" s="205" t="s">
        <v>2325</v>
      </c>
      <c r="B18" s="205" t="s">
        <v>3241</v>
      </c>
      <c r="C18" s="205" t="s">
        <v>3242</v>
      </c>
      <c r="D18" s="205" t="s">
        <v>3243</v>
      </c>
      <c r="E18" s="201">
        <v>42289</v>
      </c>
      <c r="F18" s="205" t="s">
        <v>3244</v>
      </c>
      <c r="G18" s="205" t="s">
        <v>232</v>
      </c>
      <c r="H18" s="205" t="s">
        <v>273</v>
      </c>
      <c r="I18" s="205" t="s">
        <v>636</v>
      </c>
      <c r="J18" s="205" t="s">
        <v>3245</v>
      </c>
      <c r="K18" s="205" t="s">
        <v>447</v>
      </c>
      <c r="L18" s="205" t="s">
        <v>448</v>
      </c>
      <c r="M18" s="205" t="s">
        <v>455</v>
      </c>
      <c r="O18" s="200" t="s">
        <v>513</v>
      </c>
      <c r="P18" s="200" t="s">
        <v>3246</v>
      </c>
      <c r="Q18" s="205" t="s">
        <v>455</v>
      </c>
      <c r="R18" s="202">
        <v>19</v>
      </c>
      <c r="U18" s="205" t="s">
        <v>456</v>
      </c>
      <c r="X18" s="205" t="s">
        <v>295</v>
      </c>
      <c r="Y18" s="200" t="s">
        <v>257</v>
      </c>
      <c r="Z18" s="205" t="s">
        <v>3247</v>
      </c>
      <c r="AA18" s="200" t="s">
        <v>297</v>
      </c>
      <c r="AB18" s="205" t="s">
        <v>3248</v>
      </c>
      <c r="AC18" s="200" t="s">
        <v>380</v>
      </c>
      <c r="AD18" s="205" t="s">
        <v>3249</v>
      </c>
      <c r="AE18" s="205" t="s">
        <v>232</v>
      </c>
      <c r="AF18" s="205" t="s">
        <v>3250</v>
      </c>
      <c r="AG18" s="205" t="s">
        <v>239</v>
      </c>
      <c r="AH18" s="205" t="s">
        <v>239</v>
      </c>
      <c r="AI18" s="205" t="s">
        <v>3251</v>
      </c>
      <c r="AJ18" s="205" t="s">
        <v>3252</v>
      </c>
      <c r="AK18" s="205" t="s">
        <v>239</v>
      </c>
      <c r="AL18" s="205" t="s">
        <v>239</v>
      </c>
      <c r="AM18" s="205" t="s">
        <v>239</v>
      </c>
      <c r="AN18" s="205" t="s">
        <v>239</v>
      </c>
      <c r="AO18" s="200" t="s">
        <v>235</v>
      </c>
      <c r="AP18" s="200" t="s">
        <v>235</v>
      </c>
      <c r="AQ18" s="200" t="s">
        <v>235</v>
      </c>
      <c r="AR18" s="200" t="s">
        <v>239</v>
      </c>
      <c r="AS18" s="200" t="s">
        <v>299</v>
      </c>
      <c r="AT18" s="200" t="s">
        <v>299</v>
      </c>
      <c r="AU18" s="200" t="s">
        <v>241</v>
      </c>
      <c r="AV18" s="205" t="s">
        <v>242</v>
      </c>
      <c r="AW18" s="205" t="s">
        <v>243</v>
      </c>
      <c r="AY18" s="200" t="s">
        <v>239</v>
      </c>
      <c r="AZ18" s="205" t="s">
        <v>244</v>
      </c>
      <c r="BA18" s="205" t="s">
        <v>244</v>
      </c>
      <c r="BB18" s="205" t="s">
        <v>244</v>
      </c>
      <c r="BD18" s="205" t="s">
        <v>239</v>
      </c>
      <c r="BE18" s="205" t="s">
        <v>446</v>
      </c>
      <c r="BF18" s="205" t="s">
        <v>457</v>
      </c>
      <c r="BH18" s="205" t="s">
        <v>456</v>
      </c>
      <c r="BI18" s="202">
        <v>19</v>
      </c>
    </row>
    <row r="19" spans="1:65" x14ac:dyDescent="0.25">
      <c r="A19" s="205" t="s">
        <v>2325</v>
      </c>
      <c r="B19" s="205" t="s">
        <v>3253</v>
      </c>
      <c r="C19" s="205" t="s">
        <v>3254</v>
      </c>
      <c r="D19" s="205" t="s">
        <v>3255</v>
      </c>
      <c r="E19" s="201">
        <v>42289</v>
      </c>
      <c r="F19" s="205" t="s">
        <v>2515</v>
      </c>
      <c r="G19" s="205" t="s">
        <v>232</v>
      </c>
      <c r="H19" s="205" t="s">
        <v>3256</v>
      </c>
      <c r="I19" s="205" t="s">
        <v>1558</v>
      </c>
      <c r="J19" s="205" t="s">
        <v>3257</v>
      </c>
      <c r="K19" s="205" t="s">
        <v>450</v>
      </c>
      <c r="L19" s="205" t="s">
        <v>451</v>
      </c>
      <c r="M19" s="205" t="s">
        <v>452</v>
      </c>
      <c r="O19" s="200" t="s">
        <v>389</v>
      </c>
      <c r="P19" s="200" t="s">
        <v>3258</v>
      </c>
      <c r="Q19" s="205" t="s">
        <v>452</v>
      </c>
      <c r="R19" s="202">
        <v>20</v>
      </c>
      <c r="U19" s="205" t="s">
        <v>456</v>
      </c>
      <c r="X19" s="205" t="s">
        <v>542</v>
      </c>
      <c r="Y19" s="200" t="s">
        <v>280</v>
      </c>
      <c r="Z19" s="205" t="s">
        <v>3259</v>
      </c>
      <c r="AA19" s="200" t="s">
        <v>517</v>
      </c>
      <c r="AB19" s="205" t="s">
        <v>478</v>
      </c>
      <c r="AC19" s="200" t="s">
        <v>261</v>
      </c>
      <c r="AD19" s="205" t="s">
        <v>478</v>
      </c>
      <c r="AE19" s="205" t="s">
        <v>232</v>
      </c>
      <c r="AF19" s="205" t="s">
        <v>626</v>
      </c>
      <c r="AG19" s="205" t="s">
        <v>239</v>
      </c>
      <c r="AH19" s="205" t="s">
        <v>239</v>
      </c>
      <c r="AI19" s="205" t="s">
        <v>491</v>
      </c>
      <c r="AJ19" s="205" t="s">
        <v>491</v>
      </c>
      <c r="AK19" s="205" t="s">
        <v>899</v>
      </c>
      <c r="AL19" s="205" t="s">
        <v>239</v>
      </c>
      <c r="AM19" s="205" t="s">
        <v>239</v>
      </c>
      <c r="AN19" s="205" t="s">
        <v>239</v>
      </c>
      <c r="AO19" s="200" t="s">
        <v>239</v>
      </c>
      <c r="AP19" s="200" t="s">
        <v>239</v>
      </c>
      <c r="AQ19" s="200" t="s">
        <v>235</v>
      </c>
      <c r="AR19" s="200" t="s">
        <v>239</v>
      </c>
      <c r="AS19" s="200" t="s">
        <v>262</v>
      </c>
      <c r="AT19" s="200" t="s">
        <v>299</v>
      </c>
      <c r="AU19" s="200" t="s">
        <v>241</v>
      </c>
      <c r="AV19" s="205" t="s">
        <v>242</v>
      </c>
      <c r="AW19" s="205" t="s">
        <v>243</v>
      </c>
      <c r="AY19" s="200" t="s">
        <v>239</v>
      </c>
      <c r="AZ19" s="205" t="s">
        <v>3260</v>
      </c>
      <c r="BA19" s="205" t="s">
        <v>244</v>
      </c>
      <c r="BB19" s="205" t="s">
        <v>244</v>
      </c>
      <c r="BD19" s="205" t="s">
        <v>239</v>
      </c>
      <c r="BE19" s="205" t="s">
        <v>446</v>
      </c>
      <c r="BF19" s="205" t="s">
        <v>457</v>
      </c>
      <c r="BH19" s="205" t="s">
        <v>456</v>
      </c>
      <c r="BI19" s="202">
        <v>20</v>
      </c>
    </row>
    <row r="20" spans="1:65" x14ac:dyDescent="0.25">
      <c r="A20" s="205" t="s">
        <v>3261</v>
      </c>
      <c r="B20" s="205" t="s">
        <v>3262</v>
      </c>
      <c r="C20" s="205" t="s">
        <v>3263</v>
      </c>
      <c r="D20" s="205" t="s">
        <v>3264</v>
      </c>
      <c r="E20" s="201">
        <v>42289</v>
      </c>
      <c r="F20" s="205" t="s">
        <v>582</v>
      </c>
      <c r="G20" s="205" t="s">
        <v>232</v>
      </c>
      <c r="H20" s="205" t="s">
        <v>3265</v>
      </c>
      <c r="I20" s="205" t="s">
        <v>3266</v>
      </c>
      <c r="K20" s="205" t="s">
        <v>453</v>
      </c>
      <c r="L20" s="205" t="s">
        <v>461</v>
      </c>
      <c r="M20" s="205" t="s">
        <v>462</v>
      </c>
      <c r="O20" s="200" t="s">
        <v>246</v>
      </c>
      <c r="P20" s="200" t="s">
        <v>3267</v>
      </c>
      <c r="Q20" s="205" t="s">
        <v>462</v>
      </c>
      <c r="R20" s="202">
        <v>21</v>
      </c>
      <c r="U20" s="205" t="s">
        <v>456</v>
      </c>
      <c r="X20" s="205" t="s">
        <v>331</v>
      </c>
      <c r="Y20" s="200" t="s">
        <v>619</v>
      </c>
      <c r="Z20" s="205" t="s">
        <v>3268</v>
      </c>
      <c r="AA20" s="200" t="s">
        <v>503</v>
      </c>
      <c r="AB20" s="205" t="s">
        <v>3269</v>
      </c>
      <c r="AC20" s="200" t="s">
        <v>503</v>
      </c>
      <c r="AD20" s="205" t="s">
        <v>3270</v>
      </c>
      <c r="AE20" s="205" t="s">
        <v>232</v>
      </c>
      <c r="AF20" s="205" t="s">
        <v>3271</v>
      </c>
      <c r="AG20" s="205" t="s">
        <v>239</v>
      </c>
      <c r="AH20" s="205" t="s">
        <v>239</v>
      </c>
      <c r="AI20" s="205" t="s">
        <v>3272</v>
      </c>
      <c r="AJ20" s="205" t="s">
        <v>3273</v>
      </c>
      <c r="AK20" s="205" t="s">
        <v>239</v>
      </c>
      <c r="AL20" s="205" t="s">
        <v>239</v>
      </c>
      <c r="AM20" s="205" t="s">
        <v>239</v>
      </c>
      <c r="AN20" s="205" t="s">
        <v>239</v>
      </c>
      <c r="AO20" s="200" t="s">
        <v>235</v>
      </c>
      <c r="AP20" s="200" t="s">
        <v>235</v>
      </c>
      <c r="AQ20" s="200" t="s">
        <v>235</v>
      </c>
      <c r="AR20" s="200" t="s">
        <v>235</v>
      </c>
      <c r="AS20" s="200" t="s">
        <v>299</v>
      </c>
      <c r="AT20" s="200" t="s">
        <v>299</v>
      </c>
      <c r="AU20" s="200" t="s">
        <v>299</v>
      </c>
      <c r="AV20" s="205" t="s">
        <v>242</v>
      </c>
      <c r="AW20" s="205" t="s">
        <v>243</v>
      </c>
      <c r="AY20" s="200" t="s">
        <v>239</v>
      </c>
      <c r="AZ20" s="205" t="s">
        <v>3274</v>
      </c>
      <c r="BA20" s="205" t="s">
        <v>244</v>
      </c>
      <c r="BB20" s="205" t="s">
        <v>244</v>
      </c>
      <c r="BD20" s="205" t="s">
        <v>239</v>
      </c>
      <c r="BE20" s="205" t="s">
        <v>446</v>
      </c>
      <c r="BF20" s="205" t="s">
        <v>457</v>
      </c>
      <c r="BH20" s="205" t="s">
        <v>456</v>
      </c>
      <c r="BI20" s="202">
        <v>21</v>
      </c>
    </row>
    <row r="21" spans="1:65" x14ac:dyDescent="0.25">
      <c r="A21" s="205" t="s">
        <v>3261</v>
      </c>
      <c r="B21" s="205" t="s">
        <v>3275</v>
      </c>
      <c r="C21" s="205" t="s">
        <v>3276</v>
      </c>
      <c r="D21" s="205" t="s">
        <v>3277</v>
      </c>
      <c r="E21" s="201">
        <v>42289</v>
      </c>
      <c r="F21" s="205" t="s">
        <v>3278</v>
      </c>
      <c r="G21" s="205" t="s">
        <v>232</v>
      </c>
      <c r="H21" s="205" t="s">
        <v>3279</v>
      </c>
      <c r="I21" s="205" t="s">
        <v>3280</v>
      </c>
      <c r="J21" s="205" t="s">
        <v>3281</v>
      </c>
      <c r="K21" s="205" t="s">
        <v>453</v>
      </c>
      <c r="L21" s="205" t="s">
        <v>448</v>
      </c>
      <c r="M21" s="205" t="s">
        <v>449</v>
      </c>
      <c r="Q21" s="205" t="s">
        <v>449</v>
      </c>
      <c r="R21" s="202">
        <v>22</v>
      </c>
      <c r="U21" s="205" t="s">
        <v>456</v>
      </c>
      <c r="X21" s="205" t="s">
        <v>275</v>
      </c>
      <c r="Y21" s="200" t="s">
        <v>422</v>
      </c>
      <c r="Z21" s="205" t="s">
        <v>3282</v>
      </c>
      <c r="AA21" s="200" t="s">
        <v>362</v>
      </c>
      <c r="AB21" s="205" t="s">
        <v>3283</v>
      </c>
      <c r="AC21" s="200" t="s">
        <v>263</v>
      </c>
      <c r="AD21" s="205" t="s">
        <v>3284</v>
      </c>
      <c r="AE21" s="205" t="s">
        <v>232</v>
      </c>
      <c r="AF21" s="205" t="s">
        <v>3285</v>
      </c>
      <c r="AG21" s="205" t="s">
        <v>239</v>
      </c>
      <c r="AH21" s="205" t="s">
        <v>239</v>
      </c>
      <c r="AI21" s="205" t="s">
        <v>3286</v>
      </c>
      <c r="AJ21" s="205" t="s">
        <v>3287</v>
      </c>
      <c r="AK21" s="205" t="s">
        <v>3288</v>
      </c>
      <c r="AL21" s="205" t="s">
        <v>239</v>
      </c>
      <c r="AM21" s="205" t="s">
        <v>239</v>
      </c>
      <c r="AN21" s="205" t="s">
        <v>239</v>
      </c>
      <c r="AO21" s="200" t="s">
        <v>235</v>
      </c>
      <c r="AP21" s="200" t="s">
        <v>235</v>
      </c>
      <c r="AQ21" s="200" t="s">
        <v>235</v>
      </c>
      <c r="AR21" s="200" t="s">
        <v>239</v>
      </c>
      <c r="AS21" s="200" t="s">
        <v>299</v>
      </c>
      <c r="AT21" s="200" t="s">
        <v>299</v>
      </c>
      <c r="AU21" s="200" t="s">
        <v>241</v>
      </c>
      <c r="AV21" s="205" t="s">
        <v>242</v>
      </c>
      <c r="AW21" s="205" t="s">
        <v>243</v>
      </c>
      <c r="AY21" s="200" t="s">
        <v>239</v>
      </c>
      <c r="AZ21" s="205" t="s">
        <v>3289</v>
      </c>
      <c r="BA21" s="205" t="s">
        <v>244</v>
      </c>
      <c r="BB21" s="205" t="s">
        <v>244</v>
      </c>
      <c r="BD21" s="205" t="s">
        <v>239</v>
      </c>
      <c r="BE21" s="205" t="s">
        <v>446</v>
      </c>
      <c r="BF21" s="205" t="s">
        <v>457</v>
      </c>
      <c r="BH21" s="205" t="s">
        <v>456</v>
      </c>
      <c r="BI21" s="202">
        <v>22</v>
      </c>
    </row>
    <row r="22" spans="1:65" x14ac:dyDescent="0.25">
      <c r="A22" s="205" t="s">
        <v>3261</v>
      </c>
      <c r="B22" s="205" t="s">
        <v>3290</v>
      </c>
      <c r="C22" s="205" t="s">
        <v>3291</v>
      </c>
      <c r="D22" s="205" t="s">
        <v>3292</v>
      </c>
      <c r="E22" s="201">
        <v>42289</v>
      </c>
      <c r="F22" s="205" t="s">
        <v>3293</v>
      </c>
      <c r="G22" s="205" t="s">
        <v>232</v>
      </c>
      <c r="H22" s="205" t="s">
        <v>3294</v>
      </c>
      <c r="I22" s="205" t="s">
        <v>3295</v>
      </c>
      <c r="K22" s="205" t="s">
        <v>450</v>
      </c>
      <c r="L22" s="205" t="s">
        <v>451</v>
      </c>
      <c r="M22" s="205" t="s">
        <v>452</v>
      </c>
      <c r="O22" s="200" t="s">
        <v>246</v>
      </c>
      <c r="P22" s="200" t="s">
        <v>3296</v>
      </c>
      <c r="Q22" s="205" t="s">
        <v>452</v>
      </c>
      <c r="R22" s="202">
        <v>23</v>
      </c>
      <c r="U22" s="205" t="s">
        <v>456</v>
      </c>
      <c r="X22" s="205" t="s">
        <v>542</v>
      </c>
      <c r="Y22" s="200" t="s">
        <v>518</v>
      </c>
      <c r="Z22" s="205" t="s">
        <v>3297</v>
      </c>
      <c r="AA22" s="200" t="s">
        <v>517</v>
      </c>
      <c r="AB22" s="205" t="s">
        <v>3298</v>
      </c>
      <c r="AC22" s="200" t="s">
        <v>378</v>
      </c>
      <c r="AD22" s="205" t="s">
        <v>3299</v>
      </c>
      <c r="AE22" s="205" t="s">
        <v>232</v>
      </c>
      <c r="AF22" s="205" t="s">
        <v>3300</v>
      </c>
      <c r="AG22" s="205" t="s">
        <v>239</v>
      </c>
      <c r="AH22" s="205" t="s">
        <v>239</v>
      </c>
      <c r="AI22" s="205" t="s">
        <v>3301</v>
      </c>
      <c r="AJ22" s="205" t="s">
        <v>3302</v>
      </c>
      <c r="AK22" s="205" t="s">
        <v>3303</v>
      </c>
      <c r="AL22" s="205" t="s">
        <v>239</v>
      </c>
      <c r="AM22" s="205" t="s">
        <v>239</v>
      </c>
      <c r="AN22" s="205" t="s">
        <v>239</v>
      </c>
      <c r="AO22" s="200" t="s">
        <v>235</v>
      </c>
      <c r="AP22" s="200" t="s">
        <v>235</v>
      </c>
      <c r="AQ22" s="200" t="s">
        <v>235</v>
      </c>
      <c r="AR22" s="200" t="s">
        <v>239</v>
      </c>
      <c r="AS22" s="200" t="s">
        <v>299</v>
      </c>
      <c r="AT22" s="200" t="s">
        <v>299</v>
      </c>
      <c r="AU22" s="200" t="s">
        <v>241</v>
      </c>
      <c r="AV22" s="205" t="s">
        <v>242</v>
      </c>
      <c r="AW22" s="205" t="s">
        <v>243</v>
      </c>
      <c r="AY22" s="200" t="s">
        <v>239</v>
      </c>
      <c r="AZ22" s="205" t="s">
        <v>3304</v>
      </c>
      <c r="BA22" s="205" t="s">
        <v>244</v>
      </c>
      <c r="BB22" s="205" t="s">
        <v>244</v>
      </c>
      <c r="BD22" s="205" t="s">
        <v>239</v>
      </c>
      <c r="BE22" s="205" t="s">
        <v>446</v>
      </c>
      <c r="BF22" s="205" t="s">
        <v>457</v>
      </c>
      <c r="BH22" s="205" t="s">
        <v>456</v>
      </c>
      <c r="BI22" s="202">
        <v>23</v>
      </c>
    </row>
    <row r="23" spans="1:65" x14ac:dyDescent="0.25">
      <c r="A23" s="205" t="s">
        <v>3261</v>
      </c>
      <c r="B23" s="205" t="s">
        <v>3305</v>
      </c>
      <c r="C23" s="205" t="s">
        <v>3306</v>
      </c>
      <c r="D23" s="205" t="s">
        <v>3307</v>
      </c>
      <c r="E23" s="201">
        <v>42289</v>
      </c>
      <c r="F23" s="205" t="s">
        <v>402</v>
      </c>
      <c r="G23" s="205" t="s">
        <v>232</v>
      </c>
      <c r="H23" s="205" t="s">
        <v>3308</v>
      </c>
      <c r="I23" s="205" t="s">
        <v>3309</v>
      </c>
      <c r="K23" s="205" t="s">
        <v>450</v>
      </c>
      <c r="L23" s="205" t="s">
        <v>451</v>
      </c>
      <c r="M23" s="205" t="s">
        <v>452</v>
      </c>
      <c r="O23" s="200" t="s">
        <v>382</v>
      </c>
      <c r="P23" s="200" t="s">
        <v>3310</v>
      </c>
      <c r="Q23" s="205" t="s">
        <v>452</v>
      </c>
      <c r="R23" s="202">
        <v>24</v>
      </c>
      <c r="U23" s="205" t="s">
        <v>456</v>
      </c>
      <c r="X23" s="205" t="s">
        <v>3311</v>
      </c>
      <c r="Y23" s="200" t="s">
        <v>574</v>
      </c>
      <c r="Z23" s="205" t="s">
        <v>3312</v>
      </c>
      <c r="AA23" s="200" t="s">
        <v>427</v>
      </c>
      <c r="AB23" s="205" t="s">
        <v>3313</v>
      </c>
      <c r="AC23" s="200" t="s">
        <v>297</v>
      </c>
      <c r="AD23" s="205" t="s">
        <v>3314</v>
      </c>
      <c r="AE23" s="205" t="s">
        <v>232</v>
      </c>
      <c r="AF23" s="205" t="s">
        <v>3315</v>
      </c>
      <c r="AG23" s="205" t="s">
        <v>239</v>
      </c>
      <c r="AH23" s="205" t="s">
        <v>239</v>
      </c>
      <c r="AI23" s="205" t="s">
        <v>3316</v>
      </c>
      <c r="AJ23" s="205" t="s">
        <v>3317</v>
      </c>
      <c r="AK23" s="205" t="s">
        <v>239</v>
      </c>
      <c r="AL23" s="205" t="s">
        <v>239</v>
      </c>
      <c r="AM23" s="205" t="s">
        <v>239</v>
      </c>
      <c r="AN23" s="205" t="s">
        <v>239</v>
      </c>
      <c r="AO23" s="200" t="s">
        <v>239</v>
      </c>
      <c r="AP23" s="200" t="s">
        <v>239</v>
      </c>
      <c r="AQ23" s="200" t="s">
        <v>235</v>
      </c>
      <c r="AR23" s="200" t="s">
        <v>239</v>
      </c>
      <c r="AS23" s="200" t="s">
        <v>262</v>
      </c>
      <c r="AT23" s="200" t="s">
        <v>299</v>
      </c>
      <c r="AU23" s="200" t="s">
        <v>241</v>
      </c>
      <c r="AV23" s="205" t="s">
        <v>242</v>
      </c>
      <c r="AW23" s="205" t="s">
        <v>243</v>
      </c>
      <c r="AY23" s="200" t="s">
        <v>239</v>
      </c>
      <c r="AZ23" s="205" t="s">
        <v>3318</v>
      </c>
      <c r="BA23" s="205" t="s">
        <v>244</v>
      </c>
      <c r="BB23" s="205" t="s">
        <v>244</v>
      </c>
      <c r="BD23" s="205" t="s">
        <v>239</v>
      </c>
      <c r="BE23" s="205" t="s">
        <v>446</v>
      </c>
      <c r="BF23" s="205" t="s">
        <v>457</v>
      </c>
      <c r="BH23" s="205" t="s">
        <v>456</v>
      </c>
      <c r="BI23" s="202">
        <v>24</v>
      </c>
    </row>
    <row r="24" spans="1:65" x14ac:dyDescent="0.25">
      <c r="A24" s="205" t="s">
        <v>3261</v>
      </c>
      <c r="B24" s="205" t="s">
        <v>3319</v>
      </c>
      <c r="C24" s="205" t="s">
        <v>3320</v>
      </c>
      <c r="D24" s="205" t="s">
        <v>3321</v>
      </c>
      <c r="E24" s="201">
        <v>42289</v>
      </c>
      <c r="F24" s="205" t="s">
        <v>3322</v>
      </c>
      <c r="G24" s="205" t="s">
        <v>232</v>
      </c>
      <c r="H24" s="205" t="s">
        <v>3323</v>
      </c>
      <c r="I24" s="205" t="s">
        <v>488</v>
      </c>
      <c r="J24" s="205" t="s">
        <v>3324</v>
      </c>
      <c r="K24" s="205" t="s">
        <v>475</v>
      </c>
      <c r="L24" s="205" t="s">
        <v>476</v>
      </c>
      <c r="M24" s="205" t="s">
        <v>477</v>
      </c>
      <c r="Q24" s="205" t="s">
        <v>477</v>
      </c>
      <c r="R24" s="202">
        <v>25</v>
      </c>
      <c r="U24" s="205" t="s">
        <v>456</v>
      </c>
      <c r="X24" s="205" t="s">
        <v>546</v>
      </c>
      <c r="Y24" s="200" t="s">
        <v>515</v>
      </c>
      <c r="Z24" s="205" t="s">
        <v>3325</v>
      </c>
      <c r="AA24" s="200" t="s">
        <v>269</v>
      </c>
      <c r="AB24" s="205" t="s">
        <v>3326</v>
      </c>
      <c r="AC24" s="200" t="s">
        <v>406</v>
      </c>
      <c r="AD24" s="205" t="s">
        <v>3327</v>
      </c>
      <c r="AE24" s="205" t="s">
        <v>232</v>
      </c>
      <c r="AF24" s="205" t="s">
        <v>3328</v>
      </c>
      <c r="AG24" s="205" t="s">
        <v>239</v>
      </c>
      <c r="AH24" s="205" t="s">
        <v>239</v>
      </c>
      <c r="AI24" s="205" t="s">
        <v>3329</v>
      </c>
      <c r="AJ24" s="205" t="s">
        <v>489</v>
      </c>
      <c r="AK24" s="205" t="s">
        <v>489</v>
      </c>
      <c r="AL24" s="205" t="s">
        <v>239</v>
      </c>
      <c r="AM24" s="205" t="s">
        <v>239</v>
      </c>
      <c r="AN24" s="205" t="s">
        <v>239</v>
      </c>
      <c r="AO24" s="200" t="s">
        <v>235</v>
      </c>
      <c r="AP24" s="200" t="s">
        <v>239</v>
      </c>
      <c r="AQ24" s="200" t="s">
        <v>239</v>
      </c>
      <c r="AR24" s="200" t="s">
        <v>239</v>
      </c>
      <c r="AS24" s="200" t="s">
        <v>299</v>
      </c>
      <c r="AT24" s="200" t="s">
        <v>241</v>
      </c>
      <c r="AU24" s="200" t="s">
        <v>241</v>
      </c>
      <c r="AV24" s="205" t="s">
        <v>242</v>
      </c>
      <c r="AW24" s="205" t="s">
        <v>243</v>
      </c>
      <c r="AY24" s="200" t="s">
        <v>239</v>
      </c>
      <c r="AZ24" s="205" t="s">
        <v>3330</v>
      </c>
      <c r="BA24" s="205" t="s">
        <v>244</v>
      </c>
      <c r="BB24" s="205" t="s">
        <v>244</v>
      </c>
      <c r="BD24" s="205" t="s">
        <v>239</v>
      </c>
      <c r="BE24" s="205" t="s">
        <v>446</v>
      </c>
      <c r="BF24" s="205" t="s">
        <v>457</v>
      </c>
      <c r="BH24" s="205" t="s">
        <v>456</v>
      </c>
      <c r="BI24" s="202">
        <v>25</v>
      </c>
    </row>
    <row r="25" spans="1:65" x14ac:dyDescent="0.25">
      <c r="A25" s="205" t="s">
        <v>3261</v>
      </c>
      <c r="B25" s="205" t="s">
        <v>3331</v>
      </c>
      <c r="C25" s="205" t="s">
        <v>3332</v>
      </c>
      <c r="D25" s="205" t="s">
        <v>3333</v>
      </c>
      <c r="E25" s="201">
        <v>42289</v>
      </c>
      <c r="F25" s="205" t="s">
        <v>3334</v>
      </c>
      <c r="G25" s="205" t="s">
        <v>232</v>
      </c>
      <c r="H25" s="205" t="s">
        <v>3335</v>
      </c>
      <c r="I25" s="205" t="s">
        <v>3336</v>
      </c>
      <c r="K25" s="205" t="s">
        <v>453</v>
      </c>
      <c r="L25" s="205" t="s">
        <v>454</v>
      </c>
      <c r="M25" s="205" t="s">
        <v>462</v>
      </c>
      <c r="O25" s="200" t="s">
        <v>246</v>
      </c>
      <c r="P25" s="200" t="s">
        <v>3337</v>
      </c>
      <c r="Q25" s="205" t="s">
        <v>462</v>
      </c>
      <c r="R25" s="202">
        <v>26</v>
      </c>
      <c r="U25" s="205" t="s">
        <v>456</v>
      </c>
      <c r="X25" s="205" t="s">
        <v>331</v>
      </c>
      <c r="Y25" s="200" t="s">
        <v>619</v>
      </c>
      <c r="Z25" s="205" t="s">
        <v>3338</v>
      </c>
      <c r="AA25" s="200" t="s">
        <v>250</v>
      </c>
      <c r="AB25" s="205" t="s">
        <v>3339</v>
      </c>
      <c r="AC25" s="200" t="s">
        <v>297</v>
      </c>
      <c r="AD25" s="205" t="s">
        <v>3340</v>
      </c>
      <c r="AE25" s="205" t="s">
        <v>232</v>
      </c>
      <c r="AF25" s="205" t="s">
        <v>3341</v>
      </c>
      <c r="AG25" s="205" t="s">
        <v>239</v>
      </c>
      <c r="AH25" s="205" t="s">
        <v>239</v>
      </c>
      <c r="AI25" s="205" t="s">
        <v>3342</v>
      </c>
      <c r="AJ25" s="205" t="s">
        <v>3342</v>
      </c>
      <c r="AK25" s="205" t="s">
        <v>239</v>
      </c>
      <c r="AL25" s="205" t="s">
        <v>239</v>
      </c>
      <c r="AM25" s="205" t="s">
        <v>239</v>
      </c>
      <c r="AN25" s="205" t="s">
        <v>239</v>
      </c>
      <c r="AO25" s="200" t="s">
        <v>235</v>
      </c>
      <c r="AP25" s="200" t="s">
        <v>235</v>
      </c>
      <c r="AQ25" s="200" t="s">
        <v>239</v>
      </c>
      <c r="AR25" s="200" t="s">
        <v>239</v>
      </c>
      <c r="AS25" s="200" t="s">
        <v>299</v>
      </c>
      <c r="AT25" s="200" t="s">
        <v>241</v>
      </c>
      <c r="AU25" s="200" t="s">
        <v>241</v>
      </c>
      <c r="AV25" s="205" t="s">
        <v>242</v>
      </c>
      <c r="AW25" s="205" t="s">
        <v>243</v>
      </c>
      <c r="AY25" s="200" t="s">
        <v>239</v>
      </c>
      <c r="AZ25" s="205" t="s">
        <v>3343</v>
      </c>
      <c r="BA25" s="205" t="s">
        <v>244</v>
      </c>
      <c r="BB25" s="205" t="s">
        <v>244</v>
      </c>
      <c r="BD25" s="205" t="s">
        <v>239</v>
      </c>
      <c r="BE25" s="205" t="s">
        <v>446</v>
      </c>
      <c r="BF25" s="205" t="s">
        <v>457</v>
      </c>
      <c r="BH25" s="205" t="s">
        <v>456</v>
      </c>
      <c r="BI25" s="202">
        <v>26</v>
      </c>
    </row>
    <row r="26" spans="1:65" x14ac:dyDescent="0.25">
      <c r="A26" s="205" t="s">
        <v>3261</v>
      </c>
      <c r="B26" s="205" t="s">
        <v>3344</v>
      </c>
      <c r="C26" s="205" t="s">
        <v>3345</v>
      </c>
      <c r="D26" s="205" t="s">
        <v>3346</v>
      </c>
      <c r="E26" s="201">
        <v>42289</v>
      </c>
      <c r="F26" s="205" t="s">
        <v>3347</v>
      </c>
      <c r="G26" s="205" t="s">
        <v>232</v>
      </c>
      <c r="H26" s="205" t="s">
        <v>3348</v>
      </c>
      <c r="I26" s="205" t="s">
        <v>3349</v>
      </c>
      <c r="J26" s="205" t="s">
        <v>3350</v>
      </c>
      <c r="K26" s="205" t="s">
        <v>453</v>
      </c>
      <c r="L26" s="205" t="s">
        <v>454</v>
      </c>
      <c r="M26" s="205" t="s">
        <v>462</v>
      </c>
      <c r="O26" s="200" t="s">
        <v>389</v>
      </c>
      <c r="P26" s="200" t="s">
        <v>3351</v>
      </c>
      <c r="Q26" s="205" t="s">
        <v>462</v>
      </c>
      <c r="R26" s="202">
        <v>27</v>
      </c>
      <c r="U26" s="205" t="s">
        <v>456</v>
      </c>
      <c r="X26" s="205" t="s">
        <v>542</v>
      </c>
      <c r="Y26" s="200" t="s">
        <v>3021</v>
      </c>
      <c r="Z26" s="205" t="s">
        <v>1656</v>
      </c>
      <c r="AA26" s="200" t="s">
        <v>358</v>
      </c>
      <c r="AB26" s="205" t="s">
        <v>3352</v>
      </c>
      <c r="AC26" s="200" t="s">
        <v>1926</v>
      </c>
      <c r="AD26" s="205" t="s">
        <v>3353</v>
      </c>
      <c r="AE26" s="205" t="s">
        <v>232</v>
      </c>
      <c r="AF26" s="205" t="s">
        <v>3354</v>
      </c>
      <c r="AG26" s="205" t="s">
        <v>239</v>
      </c>
      <c r="AH26" s="205" t="s">
        <v>239</v>
      </c>
      <c r="AI26" s="205" t="s">
        <v>3355</v>
      </c>
      <c r="AJ26" s="205" t="s">
        <v>3356</v>
      </c>
      <c r="AK26" s="205" t="s">
        <v>3357</v>
      </c>
      <c r="AL26" s="205" t="s">
        <v>239</v>
      </c>
      <c r="AM26" s="205" t="s">
        <v>239</v>
      </c>
      <c r="AN26" s="205" t="s">
        <v>239</v>
      </c>
      <c r="AO26" s="200" t="s">
        <v>235</v>
      </c>
      <c r="AP26" s="200" t="s">
        <v>235</v>
      </c>
      <c r="AQ26" s="200" t="s">
        <v>235</v>
      </c>
      <c r="AR26" s="200" t="s">
        <v>239</v>
      </c>
      <c r="AS26" s="200" t="s">
        <v>299</v>
      </c>
      <c r="AT26" s="200" t="s">
        <v>299</v>
      </c>
      <c r="AU26" s="200" t="s">
        <v>241</v>
      </c>
      <c r="AV26" s="205" t="s">
        <v>242</v>
      </c>
      <c r="AW26" s="205" t="s">
        <v>243</v>
      </c>
      <c r="AY26" s="200" t="s">
        <v>239</v>
      </c>
      <c r="AZ26" s="205" t="s">
        <v>3358</v>
      </c>
      <c r="BA26" s="205" t="s">
        <v>244</v>
      </c>
      <c r="BB26" s="205" t="s">
        <v>244</v>
      </c>
      <c r="BD26" s="205" t="s">
        <v>239</v>
      </c>
      <c r="BE26" s="205" t="s">
        <v>446</v>
      </c>
      <c r="BF26" s="205" t="s">
        <v>457</v>
      </c>
      <c r="BH26" s="205" t="s">
        <v>456</v>
      </c>
      <c r="BI26" s="202">
        <v>27</v>
      </c>
    </row>
    <row r="27" spans="1:65" x14ac:dyDescent="0.25">
      <c r="A27" s="205" t="s">
        <v>3359</v>
      </c>
      <c r="B27" s="205" t="s">
        <v>3360</v>
      </c>
      <c r="C27" s="205" t="s">
        <v>3361</v>
      </c>
      <c r="D27" s="205" t="s">
        <v>3362</v>
      </c>
      <c r="E27" s="201">
        <v>42289</v>
      </c>
      <c r="F27" s="205" t="s">
        <v>3363</v>
      </c>
      <c r="G27" s="205" t="s">
        <v>232</v>
      </c>
      <c r="H27" s="205" t="s">
        <v>3364</v>
      </c>
      <c r="I27" s="205" t="s">
        <v>3365</v>
      </c>
      <c r="K27" s="205" t="s">
        <v>453</v>
      </c>
      <c r="L27" s="205" t="s">
        <v>454</v>
      </c>
      <c r="M27" s="205" t="s">
        <v>462</v>
      </c>
      <c r="O27" s="200" t="s">
        <v>513</v>
      </c>
      <c r="P27" s="200" t="s">
        <v>3366</v>
      </c>
      <c r="Q27" s="205" t="s">
        <v>462</v>
      </c>
      <c r="R27" s="202">
        <v>28</v>
      </c>
      <c r="S27" s="205" t="s">
        <v>3367</v>
      </c>
      <c r="U27" s="205" t="s">
        <v>456</v>
      </c>
      <c r="X27" s="205" t="s">
        <v>271</v>
      </c>
      <c r="Y27" s="200" t="s">
        <v>259</v>
      </c>
      <c r="Z27" s="205" t="s">
        <v>3368</v>
      </c>
      <c r="AA27" s="200" t="s">
        <v>394</v>
      </c>
      <c r="AB27" s="205" t="s">
        <v>3369</v>
      </c>
      <c r="AC27" s="200" t="s">
        <v>625</v>
      </c>
      <c r="AD27" s="205" t="s">
        <v>522</v>
      </c>
      <c r="AE27" s="205" t="s">
        <v>232</v>
      </c>
      <c r="AF27" s="205" t="s">
        <v>3370</v>
      </c>
      <c r="AG27" s="205" t="s">
        <v>239</v>
      </c>
      <c r="AH27" s="205" t="s">
        <v>239</v>
      </c>
      <c r="AI27" s="205" t="s">
        <v>3371</v>
      </c>
      <c r="AJ27" s="205" t="s">
        <v>3372</v>
      </c>
      <c r="AK27" s="205" t="s">
        <v>239</v>
      </c>
      <c r="AL27" s="205" t="s">
        <v>239</v>
      </c>
      <c r="AM27" s="205" t="s">
        <v>239</v>
      </c>
      <c r="AN27" s="205" t="s">
        <v>239</v>
      </c>
      <c r="AO27" s="200" t="s">
        <v>235</v>
      </c>
      <c r="AP27" s="200" t="s">
        <v>235</v>
      </c>
      <c r="AQ27" s="200" t="s">
        <v>235</v>
      </c>
      <c r="AR27" s="200" t="s">
        <v>239</v>
      </c>
      <c r="AS27" s="200" t="s">
        <v>299</v>
      </c>
      <c r="AT27" s="200" t="s">
        <v>299</v>
      </c>
      <c r="AU27" s="200" t="s">
        <v>241</v>
      </c>
      <c r="AV27" s="205" t="s">
        <v>242</v>
      </c>
      <c r="AW27" s="205" t="s">
        <v>243</v>
      </c>
      <c r="AY27" s="200" t="s">
        <v>239</v>
      </c>
      <c r="AZ27" s="205" t="s">
        <v>3373</v>
      </c>
      <c r="BA27" s="205" t="s">
        <v>244</v>
      </c>
      <c r="BB27" s="205" t="s">
        <v>3374</v>
      </c>
      <c r="BD27" s="205" t="s">
        <v>239</v>
      </c>
      <c r="BE27" s="205" t="s">
        <v>446</v>
      </c>
      <c r="BF27" s="205" t="s">
        <v>457</v>
      </c>
      <c r="BH27" s="205" t="s">
        <v>456</v>
      </c>
      <c r="BI27" s="202">
        <v>28</v>
      </c>
    </row>
    <row r="28" spans="1:65" x14ac:dyDescent="0.25">
      <c r="A28" s="205" t="s">
        <v>3359</v>
      </c>
      <c r="B28" s="205" t="s">
        <v>3375</v>
      </c>
      <c r="C28" s="205" t="s">
        <v>3376</v>
      </c>
      <c r="D28" s="205" t="s">
        <v>3377</v>
      </c>
      <c r="E28" s="201">
        <v>42289</v>
      </c>
      <c r="F28" s="205" t="s">
        <v>1460</v>
      </c>
      <c r="G28" s="205" t="s">
        <v>232</v>
      </c>
      <c r="H28" s="205" t="s">
        <v>3378</v>
      </c>
      <c r="I28" s="205" t="s">
        <v>3379</v>
      </c>
      <c r="J28" s="205" t="s">
        <v>379</v>
      </c>
      <c r="K28" s="205" t="s">
        <v>453</v>
      </c>
      <c r="L28" s="205" t="s">
        <v>454</v>
      </c>
      <c r="M28" s="205" t="s">
        <v>455</v>
      </c>
      <c r="O28" s="200" t="s">
        <v>274</v>
      </c>
      <c r="P28" s="200" t="s">
        <v>3380</v>
      </c>
      <c r="Q28" s="205" t="s">
        <v>455</v>
      </c>
      <c r="R28" s="202">
        <v>29</v>
      </c>
      <c r="U28" s="205" t="s">
        <v>456</v>
      </c>
      <c r="X28" s="205" t="s">
        <v>235</v>
      </c>
      <c r="Y28" s="200" t="s">
        <v>603</v>
      </c>
      <c r="Z28" s="205" t="s">
        <v>3381</v>
      </c>
      <c r="AA28" s="200" t="s">
        <v>518</v>
      </c>
      <c r="AB28" s="205" t="s">
        <v>3382</v>
      </c>
      <c r="AC28" s="200" t="s">
        <v>517</v>
      </c>
      <c r="AD28" s="205" t="s">
        <v>3383</v>
      </c>
      <c r="AE28" s="205" t="s">
        <v>232</v>
      </c>
      <c r="AF28" s="205" t="s">
        <v>3384</v>
      </c>
      <c r="AG28" s="205" t="s">
        <v>239</v>
      </c>
      <c r="AH28" s="205" t="s">
        <v>239</v>
      </c>
      <c r="AI28" s="205" t="s">
        <v>3385</v>
      </c>
      <c r="AJ28" s="205" t="s">
        <v>3386</v>
      </c>
      <c r="AK28" s="205" t="s">
        <v>3387</v>
      </c>
      <c r="AL28" s="205" t="s">
        <v>239</v>
      </c>
      <c r="AM28" s="205" t="s">
        <v>239</v>
      </c>
      <c r="AN28" s="205" t="s">
        <v>239</v>
      </c>
      <c r="AO28" s="200" t="s">
        <v>235</v>
      </c>
      <c r="AP28" s="200" t="s">
        <v>235</v>
      </c>
      <c r="AQ28" s="200" t="s">
        <v>235</v>
      </c>
      <c r="AR28" s="200" t="s">
        <v>235</v>
      </c>
      <c r="AS28" s="200" t="s">
        <v>299</v>
      </c>
      <c r="AT28" s="200" t="s">
        <v>299</v>
      </c>
      <c r="AU28" s="200" t="s">
        <v>299</v>
      </c>
      <c r="AV28" s="205" t="s">
        <v>242</v>
      </c>
      <c r="AW28" s="205" t="s">
        <v>243</v>
      </c>
      <c r="AX28" s="200" t="s">
        <v>2537</v>
      </c>
      <c r="AY28" s="200" t="s">
        <v>235</v>
      </c>
      <c r="AZ28" s="205" t="s">
        <v>3388</v>
      </c>
      <c r="BA28" s="205" t="s">
        <v>244</v>
      </c>
      <c r="BB28" s="205" t="s">
        <v>244</v>
      </c>
      <c r="BD28" s="205" t="s">
        <v>239</v>
      </c>
      <c r="BE28" s="205" t="s">
        <v>446</v>
      </c>
      <c r="BF28" s="205" t="s">
        <v>457</v>
      </c>
      <c r="BH28" s="205" t="s">
        <v>456</v>
      </c>
      <c r="BI28" s="202">
        <v>29</v>
      </c>
    </row>
    <row r="29" spans="1:65" x14ac:dyDescent="0.25">
      <c r="A29" s="205" t="s">
        <v>3359</v>
      </c>
      <c r="B29" s="205" t="s">
        <v>3389</v>
      </c>
      <c r="C29" s="205" t="s">
        <v>3390</v>
      </c>
      <c r="D29" s="205" t="s">
        <v>3391</v>
      </c>
      <c r="E29" s="201">
        <v>42289</v>
      </c>
      <c r="F29" s="205" t="s">
        <v>396</v>
      </c>
      <c r="G29" s="205" t="s">
        <v>232</v>
      </c>
      <c r="H29" s="205" t="s">
        <v>3392</v>
      </c>
      <c r="I29" s="205" t="s">
        <v>3393</v>
      </c>
      <c r="J29" s="205" t="s">
        <v>490</v>
      </c>
      <c r="K29" s="205" t="s">
        <v>475</v>
      </c>
      <c r="L29" s="205" t="s">
        <v>476</v>
      </c>
      <c r="M29" s="205" t="s">
        <v>477</v>
      </c>
      <c r="O29" s="200" t="s">
        <v>323</v>
      </c>
      <c r="P29" s="200" t="s">
        <v>3394</v>
      </c>
      <c r="Q29" s="205" t="s">
        <v>477</v>
      </c>
      <c r="R29" s="202">
        <v>30</v>
      </c>
      <c r="U29" s="205" t="s">
        <v>456</v>
      </c>
      <c r="X29" s="205" t="s">
        <v>3311</v>
      </c>
      <c r="Y29" s="200" t="s">
        <v>1059</v>
      </c>
      <c r="Z29" s="205" t="s">
        <v>3395</v>
      </c>
      <c r="AB29" s="205" t="s">
        <v>238</v>
      </c>
      <c r="AD29" s="205" t="s">
        <v>238</v>
      </c>
      <c r="AE29" s="205" t="s">
        <v>232</v>
      </c>
      <c r="AF29" s="205" t="s">
        <v>3396</v>
      </c>
      <c r="AG29" s="205" t="s">
        <v>343</v>
      </c>
      <c r="AH29" s="205" t="s">
        <v>239</v>
      </c>
      <c r="AI29" s="205" t="s">
        <v>3397</v>
      </c>
      <c r="AJ29" s="205" t="s">
        <v>239</v>
      </c>
      <c r="AK29" s="205" t="s">
        <v>3398</v>
      </c>
      <c r="AL29" s="205" t="s">
        <v>239</v>
      </c>
      <c r="AM29" s="205" t="s">
        <v>239</v>
      </c>
      <c r="AN29" s="205" t="s">
        <v>239</v>
      </c>
      <c r="AO29" s="200" t="s">
        <v>235</v>
      </c>
      <c r="AP29" s="200" t="s">
        <v>235</v>
      </c>
      <c r="AQ29" s="200" t="s">
        <v>235</v>
      </c>
      <c r="AR29" s="200" t="s">
        <v>235</v>
      </c>
      <c r="AS29" s="200" t="s">
        <v>299</v>
      </c>
      <c r="AT29" s="200" t="s">
        <v>299</v>
      </c>
      <c r="AU29" s="200" t="s">
        <v>299</v>
      </c>
      <c r="AV29" s="205" t="s">
        <v>242</v>
      </c>
      <c r="AW29" s="205" t="s">
        <v>243</v>
      </c>
      <c r="AX29" s="200" t="s">
        <v>2537</v>
      </c>
      <c r="AY29" s="200" t="s">
        <v>235</v>
      </c>
      <c r="AZ29" s="205" t="s">
        <v>3399</v>
      </c>
      <c r="BA29" s="205" t="s">
        <v>3400</v>
      </c>
      <c r="BB29" s="205" t="s">
        <v>244</v>
      </c>
      <c r="BD29" s="205" t="s">
        <v>239</v>
      </c>
      <c r="BE29" s="205" t="s">
        <v>446</v>
      </c>
      <c r="BF29" s="205" t="s">
        <v>457</v>
      </c>
      <c r="BH29" s="205" t="s">
        <v>456</v>
      </c>
      <c r="BI29" s="202">
        <v>30</v>
      </c>
    </row>
    <row r="30" spans="1:65" x14ac:dyDescent="0.25">
      <c r="A30" s="205" t="s">
        <v>3359</v>
      </c>
      <c r="B30" s="205" t="s">
        <v>3401</v>
      </c>
      <c r="C30" s="205" t="s">
        <v>3402</v>
      </c>
      <c r="D30" s="205" t="s">
        <v>3403</v>
      </c>
      <c r="E30" s="201">
        <v>42289</v>
      </c>
      <c r="F30" s="205" t="s">
        <v>3404</v>
      </c>
      <c r="G30" s="205" t="s">
        <v>232</v>
      </c>
      <c r="H30" s="205" t="s">
        <v>3405</v>
      </c>
      <c r="I30" s="205" t="s">
        <v>3406</v>
      </c>
      <c r="J30" s="205" t="s">
        <v>3407</v>
      </c>
      <c r="K30" s="205" t="s">
        <v>450</v>
      </c>
      <c r="L30" s="205" t="s">
        <v>451</v>
      </c>
      <c r="M30" s="205" t="s">
        <v>463</v>
      </c>
      <c r="O30" s="200" t="s">
        <v>246</v>
      </c>
      <c r="P30" s="200" t="s">
        <v>3408</v>
      </c>
      <c r="Q30" s="205" t="s">
        <v>463</v>
      </c>
      <c r="R30" s="202">
        <v>31</v>
      </c>
      <c r="U30" s="205" t="s">
        <v>456</v>
      </c>
      <c r="X30" s="205" t="s">
        <v>291</v>
      </c>
      <c r="Y30" s="200" t="s">
        <v>646</v>
      </c>
      <c r="Z30" s="205" t="s">
        <v>3409</v>
      </c>
      <c r="AA30" s="200" t="s">
        <v>730</v>
      </c>
      <c r="AB30" s="205" t="s">
        <v>3410</v>
      </c>
      <c r="AC30" s="200" t="s">
        <v>338</v>
      </c>
      <c r="AD30" s="205" t="s">
        <v>3411</v>
      </c>
      <c r="AE30" s="205" t="s">
        <v>232</v>
      </c>
      <c r="AF30" s="205" t="s">
        <v>3412</v>
      </c>
      <c r="AG30" s="205" t="s">
        <v>3413</v>
      </c>
      <c r="AH30" s="205" t="s">
        <v>239</v>
      </c>
      <c r="AI30" s="205" t="s">
        <v>3414</v>
      </c>
      <c r="AJ30" s="205" t="s">
        <v>3415</v>
      </c>
      <c r="AK30" s="205" t="s">
        <v>3416</v>
      </c>
      <c r="AL30" s="205" t="s">
        <v>239</v>
      </c>
      <c r="AM30" s="205" t="s">
        <v>239</v>
      </c>
      <c r="AN30" s="205" t="s">
        <v>239</v>
      </c>
      <c r="AO30" s="200" t="s">
        <v>235</v>
      </c>
      <c r="AP30" s="200" t="s">
        <v>235</v>
      </c>
      <c r="AQ30" s="200" t="s">
        <v>235</v>
      </c>
      <c r="AR30" s="200" t="s">
        <v>239</v>
      </c>
      <c r="AS30" s="200" t="s">
        <v>299</v>
      </c>
      <c r="AT30" s="200" t="s">
        <v>299</v>
      </c>
      <c r="AU30" s="200" t="s">
        <v>241</v>
      </c>
      <c r="AV30" s="205" t="s">
        <v>242</v>
      </c>
      <c r="AW30" s="205" t="s">
        <v>243</v>
      </c>
      <c r="AX30" s="200" t="s">
        <v>3417</v>
      </c>
      <c r="AY30" s="200" t="s">
        <v>300</v>
      </c>
      <c r="AZ30" s="205" t="s">
        <v>3418</v>
      </c>
      <c r="BA30" s="205" t="s">
        <v>244</v>
      </c>
      <c r="BB30" s="205" t="s">
        <v>244</v>
      </c>
      <c r="BD30" s="205" t="s">
        <v>239</v>
      </c>
      <c r="BE30" s="205" t="s">
        <v>446</v>
      </c>
      <c r="BF30" s="205" t="s">
        <v>457</v>
      </c>
      <c r="BH30" s="205" t="s">
        <v>456</v>
      </c>
      <c r="BI30" s="202">
        <v>31</v>
      </c>
      <c r="BJ30" s="201">
        <v>42291</v>
      </c>
      <c r="BK30" s="203" t="s">
        <v>245</v>
      </c>
      <c r="BL30" s="204">
        <v>609.49</v>
      </c>
      <c r="BM30" s="205">
        <v>42</v>
      </c>
    </row>
    <row r="31" spans="1:65" x14ac:dyDescent="0.25">
      <c r="A31" s="205" t="s">
        <v>3359</v>
      </c>
      <c r="B31" s="205" t="s">
        <v>3419</v>
      </c>
      <c r="C31" s="205" t="s">
        <v>3420</v>
      </c>
      <c r="D31" s="205" t="s">
        <v>3421</v>
      </c>
      <c r="E31" s="201">
        <v>42289</v>
      </c>
      <c r="F31" s="205" t="s">
        <v>3422</v>
      </c>
      <c r="G31" s="205" t="s">
        <v>232</v>
      </c>
      <c r="H31" s="205" t="s">
        <v>3423</v>
      </c>
      <c r="I31" s="205" t="s">
        <v>3424</v>
      </c>
      <c r="K31" s="205" t="s">
        <v>453</v>
      </c>
      <c r="L31" s="205" t="s">
        <v>454</v>
      </c>
      <c r="M31" s="205" t="s">
        <v>462</v>
      </c>
      <c r="O31" s="200" t="s">
        <v>513</v>
      </c>
      <c r="P31" s="200" t="s">
        <v>3425</v>
      </c>
      <c r="Q31" s="205" t="s">
        <v>462</v>
      </c>
      <c r="R31" s="202">
        <v>32</v>
      </c>
      <c r="U31" s="205" t="s">
        <v>456</v>
      </c>
      <c r="X31" s="205" t="s">
        <v>546</v>
      </c>
      <c r="Y31" s="200" t="s">
        <v>641</v>
      </c>
      <c r="Z31" s="205" t="s">
        <v>3426</v>
      </c>
      <c r="AA31" s="200" t="s">
        <v>312</v>
      </c>
      <c r="AB31" s="205" t="s">
        <v>3427</v>
      </c>
      <c r="AC31" s="200" t="s">
        <v>376</v>
      </c>
      <c r="AD31" s="205" t="s">
        <v>3428</v>
      </c>
      <c r="AE31" s="205" t="s">
        <v>232</v>
      </c>
      <c r="AF31" s="205" t="s">
        <v>3429</v>
      </c>
      <c r="AG31" s="205" t="s">
        <v>239</v>
      </c>
      <c r="AH31" s="205" t="s">
        <v>239</v>
      </c>
      <c r="AI31" s="205" t="s">
        <v>3430</v>
      </c>
      <c r="AJ31" s="205" t="s">
        <v>3431</v>
      </c>
      <c r="AK31" s="205" t="s">
        <v>3432</v>
      </c>
      <c r="AL31" s="205" t="s">
        <v>239</v>
      </c>
      <c r="AM31" s="205" t="s">
        <v>239</v>
      </c>
      <c r="AN31" s="205" t="s">
        <v>239</v>
      </c>
      <c r="AO31" s="200" t="s">
        <v>235</v>
      </c>
      <c r="AP31" s="200" t="s">
        <v>235</v>
      </c>
      <c r="AQ31" s="200" t="s">
        <v>235</v>
      </c>
      <c r="AR31" s="200" t="s">
        <v>235</v>
      </c>
      <c r="AS31" s="200" t="s">
        <v>299</v>
      </c>
      <c r="AT31" s="200" t="s">
        <v>299</v>
      </c>
      <c r="AU31" s="200" t="s">
        <v>299</v>
      </c>
      <c r="AV31" s="205" t="s">
        <v>242</v>
      </c>
      <c r="AW31" s="205" t="s">
        <v>243</v>
      </c>
      <c r="AY31" s="200" t="s">
        <v>239</v>
      </c>
      <c r="AZ31" s="205" t="s">
        <v>3433</v>
      </c>
      <c r="BA31" s="205" t="s">
        <v>244</v>
      </c>
      <c r="BB31" s="205" t="s">
        <v>244</v>
      </c>
      <c r="BD31" s="205" t="s">
        <v>239</v>
      </c>
      <c r="BE31" s="205" t="s">
        <v>446</v>
      </c>
      <c r="BF31" s="205" t="s">
        <v>457</v>
      </c>
      <c r="BH31" s="205" t="s">
        <v>456</v>
      </c>
      <c r="BI31" s="202">
        <v>32</v>
      </c>
    </row>
    <row r="32" spans="1:65" x14ac:dyDescent="0.25">
      <c r="A32" s="205" t="s">
        <v>3359</v>
      </c>
      <c r="B32" s="205" t="s">
        <v>3434</v>
      </c>
      <c r="C32" s="205" t="s">
        <v>3435</v>
      </c>
      <c r="D32" s="205" t="s">
        <v>3436</v>
      </c>
      <c r="E32" s="201">
        <v>42289</v>
      </c>
      <c r="F32" s="205" t="s">
        <v>3437</v>
      </c>
      <c r="G32" s="205" t="s">
        <v>232</v>
      </c>
      <c r="H32" s="205" t="s">
        <v>3438</v>
      </c>
      <c r="I32" s="205" t="s">
        <v>3439</v>
      </c>
      <c r="J32" s="205" t="s">
        <v>743</v>
      </c>
      <c r="K32" s="205" t="s">
        <v>475</v>
      </c>
      <c r="L32" s="205" t="s">
        <v>476</v>
      </c>
      <c r="M32" s="205" t="s">
        <v>477</v>
      </c>
      <c r="O32" s="200" t="s">
        <v>513</v>
      </c>
      <c r="P32" s="200" t="s">
        <v>3440</v>
      </c>
      <c r="Q32" s="205" t="s">
        <v>477</v>
      </c>
      <c r="R32" s="202">
        <v>33</v>
      </c>
      <c r="U32" s="205" t="s">
        <v>456</v>
      </c>
      <c r="X32" s="205" t="s">
        <v>331</v>
      </c>
      <c r="Y32" s="200" t="s">
        <v>578</v>
      </c>
      <c r="Z32" s="205" t="s">
        <v>3441</v>
      </c>
      <c r="AA32" s="200" t="s">
        <v>372</v>
      </c>
      <c r="AB32" s="205" t="s">
        <v>3442</v>
      </c>
      <c r="AC32" s="200" t="s">
        <v>372</v>
      </c>
      <c r="AD32" s="205" t="s">
        <v>3442</v>
      </c>
      <c r="AE32" s="205" t="s">
        <v>232</v>
      </c>
      <c r="AF32" s="205" t="s">
        <v>3443</v>
      </c>
      <c r="AG32" s="205" t="s">
        <v>239</v>
      </c>
      <c r="AH32" s="205" t="s">
        <v>239</v>
      </c>
      <c r="AI32" s="205" t="s">
        <v>3444</v>
      </c>
      <c r="AJ32" s="205" t="s">
        <v>2470</v>
      </c>
      <c r="AK32" s="205" t="s">
        <v>239</v>
      </c>
      <c r="AL32" s="205" t="s">
        <v>239</v>
      </c>
      <c r="AM32" s="205" t="s">
        <v>239</v>
      </c>
      <c r="AN32" s="205" t="s">
        <v>239</v>
      </c>
      <c r="AO32" s="200" t="s">
        <v>235</v>
      </c>
      <c r="AP32" s="200" t="s">
        <v>239</v>
      </c>
      <c r="AQ32" s="200" t="s">
        <v>239</v>
      </c>
      <c r="AR32" s="200" t="s">
        <v>239</v>
      </c>
      <c r="AS32" s="200" t="s">
        <v>299</v>
      </c>
      <c r="AT32" s="200" t="s">
        <v>241</v>
      </c>
      <c r="AU32" s="200" t="s">
        <v>241</v>
      </c>
      <c r="AV32" s="205" t="s">
        <v>242</v>
      </c>
      <c r="AW32" s="205" t="s">
        <v>243</v>
      </c>
      <c r="AY32" s="200" t="s">
        <v>239</v>
      </c>
      <c r="AZ32" s="205" t="s">
        <v>3445</v>
      </c>
      <c r="BA32" s="205" t="s">
        <v>244</v>
      </c>
      <c r="BB32" s="205" t="s">
        <v>244</v>
      </c>
      <c r="BD32" s="205" t="s">
        <v>239</v>
      </c>
      <c r="BE32" s="205" t="s">
        <v>446</v>
      </c>
      <c r="BF32" s="205" t="s">
        <v>457</v>
      </c>
      <c r="BH32" s="205" t="s">
        <v>456</v>
      </c>
      <c r="BI32" s="202">
        <v>33</v>
      </c>
    </row>
    <row r="33" spans="1:65" x14ac:dyDescent="0.25">
      <c r="A33" s="205" t="s">
        <v>3359</v>
      </c>
      <c r="B33" s="205" t="s">
        <v>3446</v>
      </c>
      <c r="C33" s="205" t="s">
        <v>3447</v>
      </c>
      <c r="D33" s="205" t="s">
        <v>3448</v>
      </c>
      <c r="E33" s="201">
        <v>42289</v>
      </c>
      <c r="F33" s="205" t="s">
        <v>3449</v>
      </c>
      <c r="G33" s="205" t="s">
        <v>232</v>
      </c>
      <c r="H33" s="205" t="s">
        <v>3450</v>
      </c>
      <c r="I33" s="205" t="s">
        <v>3451</v>
      </c>
      <c r="J33" s="205" t="s">
        <v>3452</v>
      </c>
      <c r="K33" s="205" t="s">
        <v>450</v>
      </c>
      <c r="L33" s="205" t="s">
        <v>451</v>
      </c>
      <c r="M33" s="205" t="s">
        <v>463</v>
      </c>
      <c r="O33" s="200" t="s">
        <v>264</v>
      </c>
      <c r="P33" s="200" t="s">
        <v>3453</v>
      </c>
      <c r="Q33" s="205" t="s">
        <v>463</v>
      </c>
      <c r="R33" s="202">
        <v>34</v>
      </c>
      <c r="U33" s="205" t="s">
        <v>456</v>
      </c>
      <c r="X33" s="205" t="s">
        <v>350</v>
      </c>
      <c r="Y33" s="200" t="s">
        <v>427</v>
      </c>
      <c r="Z33" s="205" t="s">
        <v>3454</v>
      </c>
      <c r="AA33" s="200" t="s">
        <v>296</v>
      </c>
      <c r="AB33" s="205" t="s">
        <v>3454</v>
      </c>
      <c r="AC33" s="200" t="s">
        <v>292</v>
      </c>
      <c r="AD33" s="205" t="s">
        <v>3454</v>
      </c>
      <c r="AE33" s="205" t="s">
        <v>232</v>
      </c>
      <c r="AF33" s="205" t="s">
        <v>3455</v>
      </c>
      <c r="AG33" s="205" t="s">
        <v>239</v>
      </c>
      <c r="AH33" s="205" t="s">
        <v>239</v>
      </c>
      <c r="AI33" s="205" t="s">
        <v>2617</v>
      </c>
      <c r="AJ33" s="205" t="s">
        <v>487</v>
      </c>
      <c r="AK33" s="205" t="s">
        <v>239</v>
      </c>
      <c r="AL33" s="205" t="s">
        <v>239</v>
      </c>
      <c r="AM33" s="205" t="s">
        <v>239</v>
      </c>
      <c r="AN33" s="205" t="s">
        <v>239</v>
      </c>
      <c r="AO33" s="200" t="s">
        <v>239</v>
      </c>
      <c r="AP33" s="200" t="s">
        <v>239</v>
      </c>
      <c r="AQ33" s="200" t="s">
        <v>235</v>
      </c>
      <c r="AR33" s="200" t="s">
        <v>239</v>
      </c>
      <c r="AS33" s="200" t="s">
        <v>262</v>
      </c>
      <c r="AT33" s="200" t="s">
        <v>299</v>
      </c>
      <c r="AU33" s="200" t="s">
        <v>241</v>
      </c>
      <c r="AV33" s="205" t="s">
        <v>242</v>
      </c>
      <c r="AW33" s="205" t="s">
        <v>243</v>
      </c>
      <c r="AX33" s="200" t="s">
        <v>2316</v>
      </c>
      <c r="AY33" s="200" t="s">
        <v>235</v>
      </c>
      <c r="AZ33" s="205" t="s">
        <v>3456</v>
      </c>
      <c r="BA33" s="205" t="s">
        <v>244</v>
      </c>
      <c r="BB33" s="205" t="s">
        <v>244</v>
      </c>
      <c r="BD33" s="205" t="s">
        <v>239</v>
      </c>
      <c r="BE33" s="205" t="s">
        <v>446</v>
      </c>
      <c r="BF33" s="205" t="s">
        <v>457</v>
      </c>
      <c r="BH33" s="205" t="s">
        <v>456</v>
      </c>
      <c r="BI33" s="202">
        <v>34</v>
      </c>
    </row>
    <row r="34" spans="1:65" x14ac:dyDescent="0.25">
      <c r="A34" s="205" t="s">
        <v>3359</v>
      </c>
      <c r="B34" s="205" t="s">
        <v>3457</v>
      </c>
      <c r="C34" s="205" t="s">
        <v>3458</v>
      </c>
      <c r="D34" s="205" t="s">
        <v>3459</v>
      </c>
      <c r="E34" s="201">
        <v>42289</v>
      </c>
      <c r="F34" s="205" t="s">
        <v>412</v>
      </c>
      <c r="G34" s="205" t="s">
        <v>232</v>
      </c>
      <c r="H34" s="205" t="s">
        <v>3460</v>
      </c>
      <c r="I34" s="205" t="s">
        <v>3461</v>
      </c>
      <c r="J34" s="205" t="s">
        <v>3462</v>
      </c>
      <c r="K34" s="205" t="s">
        <v>450</v>
      </c>
      <c r="L34" s="205" t="s">
        <v>451</v>
      </c>
      <c r="M34" s="205" t="s">
        <v>452</v>
      </c>
      <c r="O34" s="200" t="s">
        <v>3463</v>
      </c>
      <c r="P34" s="200" t="s">
        <v>3464</v>
      </c>
      <c r="Q34" s="205" t="s">
        <v>452</v>
      </c>
      <c r="R34" s="202">
        <v>35</v>
      </c>
      <c r="U34" s="205" t="s">
        <v>456</v>
      </c>
      <c r="X34" s="205" t="s">
        <v>3311</v>
      </c>
      <c r="Y34" s="200" t="s">
        <v>901</v>
      </c>
      <c r="Z34" s="205" t="s">
        <v>3465</v>
      </c>
      <c r="AA34" s="200" t="s">
        <v>517</v>
      </c>
      <c r="AB34" s="205" t="s">
        <v>3466</v>
      </c>
      <c r="AC34" s="200" t="s">
        <v>315</v>
      </c>
      <c r="AD34" s="205" t="s">
        <v>3467</v>
      </c>
      <c r="AE34" s="205" t="s">
        <v>232</v>
      </c>
      <c r="AF34" s="205" t="s">
        <v>3468</v>
      </c>
      <c r="AG34" s="205" t="s">
        <v>343</v>
      </c>
      <c r="AH34" s="205" t="s">
        <v>239</v>
      </c>
      <c r="AI34" s="205" t="s">
        <v>3469</v>
      </c>
      <c r="AJ34" s="205" t="s">
        <v>239</v>
      </c>
      <c r="AK34" s="205" t="s">
        <v>3470</v>
      </c>
      <c r="AL34" s="205" t="s">
        <v>239</v>
      </c>
      <c r="AM34" s="205" t="s">
        <v>239</v>
      </c>
      <c r="AN34" s="205" t="s">
        <v>239</v>
      </c>
      <c r="AO34" s="200" t="s">
        <v>235</v>
      </c>
      <c r="AP34" s="200" t="s">
        <v>235</v>
      </c>
      <c r="AQ34" s="200" t="s">
        <v>235</v>
      </c>
      <c r="AR34" s="200" t="s">
        <v>235</v>
      </c>
      <c r="AS34" s="200" t="s">
        <v>299</v>
      </c>
      <c r="AT34" s="200" t="s">
        <v>299</v>
      </c>
      <c r="AU34" s="200" t="s">
        <v>299</v>
      </c>
      <c r="AV34" s="205" t="s">
        <v>242</v>
      </c>
      <c r="AW34" s="205" t="s">
        <v>243</v>
      </c>
      <c r="AX34" s="200" t="s">
        <v>2537</v>
      </c>
      <c r="AY34" s="200" t="s">
        <v>235</v>
      </c>
      <c r="AZ34" s="205" t="s">
        <v>3471</v>
      </c>
      <c r="BA34" s="205" t="s">
        <v>244</v>
      </c>
      <c r="BB34" s="205" t="s">
        <v>244</v>
      </c>
      <c r="BC34" s="200" t="s">
        <v>256</v>
      </c>
      <c r="BD34" s="205" t="s">
        <v>239</v>
      </c>
      <c r="BE34" s="205" t="s">
        <v>446</v>
      </c>
      <c r="BF34" s="205" t="s">
        <v>457</v>
      </c>
      <c r="BH34" s="205" t="s">
        <v>456</v>
      </c>
      <c r="BI34" s="202">
        <v>35</v>
      </c>
    </row>
    <row r="35" spans="1:65" x14ac:dyDescent="0.25">
      <c r="A35" s="205" t="s">
        <v>3359</v>
      </c>
      <c r="B35" s="205" t="s">
        <v>3472</v>
      </c>
      <c r="C35" s="205" t="s">
        <v>3473</v>
      </c>
      <c r="D35" s="205" t="s">
        <v>3474</v>
      </c>
      <c r="E35" s="201">
        <v>42289</v>
      </c>
      <c r="F35" s="205" t="s">
        <v>287</v>
      </c>
      <c r="G35" s="205" t="s">
        <v>232</v>
      </c>
      <c r="H35" s="205" t="s">
        <v>273</v>
      </c>
      <c r="I35" s="205" t="s">
        <v>3475</v>
      </c>
      <c r="J35" s="205" t="s">
        <v>557</v>
      </c>
      <c r="K35" s="205" t="s">
        <v>453</v>
      </c>
      <c r="L35" s="205" t="s">
        <v>448</v>
      </c>
      <c r="M35" s="205" t="s">
        <v>455</v>
      </c>
      <c r="O35" s="200" t="s">
        <v>3476</v>
      </c>
      <c r="P35" s="200" t="s">
        <v>3477</v>
      </c>
      <c r="Q35" s="205" t="s">
        <v>455</v>
      </c>
      <c r="R35" s="202">
        <v>36</v>
      </c>
      <c r="U35" s="205" t="s">
        <v>456</v>
      </c>
      <c r="X35" s="205" t="s">
        <v>319</v>
      </c>
      <c r="Y35" s="200" t="s">
        <v>417</v>
      </c>
      <c r="Z35" s="205" t="s">
        <v>3478</v>
      </c>
      <c r="AA35" s="200" t="s">
        <v>397</v>
      </c>
      <c r="AB35" s="205" t="s">
        <v>3479</v>
      </c>
      <c r="AC35" s="200" t="s">
        <v>397</v>
      </c>
      <c r="AD35" s="205" t="s">
        <v>2021</v>
      </c>
      <c r="AE35" s="205" t="s">
        <v>232</v>
      </c>
      <c r="AF35" s="205" t="s">
        <v>3480</v>
      </c>
      <c r="AG35" s="205" t="s">
        <v>239</v>
      </c>
      <c r="AH35" s="205" t="s">
        <v>3481</v>
      </c>
      <c r="AI35" s="205" t="s">
        <v>3482</v>
      </c>
      <c r="AJ35" s="205" t="s">
        <v>3483</v>
      </c>
      <c r="AK35" s="205" t="s">
        <v>239</v>
      </c>
      <c r="AL35" s="205" t="s">
        <v>239</v>
      </c>
      <c r="AM35" s="205" t="s">
        <v>239</v>
      </c>
      <c r="AN35" s="205" t="s">
        <v>239</v>
      </c>
      <c r="AO35" s="200" t="s">
        <v>235</v>
      </c>
      <c r="AP35" s="200" t="s">
        <v>235</v>
      </c>
      <c r="AQ35" s="200" t="s">
        <v>235</v>
      </c>
      <c r="AR35" s="200" t="s">
        <v>235</v>
      </c>
      <c r="AS35" s="200" t="s">
        <v>299</v>
      </c>
      <c r="AT35" s="200" t="s">
        <v>299</v>
      </c>
      <c r="AU35" s="200" t="s">
        <v>299</v>
      </c>
      <c r="AV35" s="205" t="s">
        <v>242</v>
      </c>
      <c r="AW35" s="205" t="s">
        <v>243</v>
      </c>
      <c r="AX35" s="200" t="s">
        <v>3484</v>
      </c>
      <c r="AY35" s="200" t="s">
        <v>235</v>
      </c>
      <c r="AZ35" s="205" t="s">
        <v>244</v>
      </c>
      <c r="BA35" s="205" t="s">
        <v>244</v>
      </c>
      <c r="BB35" s="205" t="s">
        <v>3485</v>
      </c>
      <c r="BD35" s="205" t="s">
        <v>239</v>
      </c>
      <c r="BE35" s="205" t="s">
        <v>446</v>
      </c>
      <c r="BF35" s="205" t="s">
        <v>457</v>
      </c>
      <c r="BH35" s="205" t="s">
        <v>456</v>
      </c>
      <c r="BI35" s="202">
        <v>36</v>
      </c>
    </row>
    <row r="36" spans="1:65" x14ac:dyDescent="0.25">
      <c r="A36" s="205" t="s">
        <v>3359</v>
      </c>
      <c r="B36" s="205" t="s">
        <v>3486</v>
      </c>
      <c r="C36" s="205" t="s">
        <v>3487</v>
      </c>
      <c r="D36" s="205" t="s">
        <v>3488</v>
      </c>
      <c r="E36" s="201">
        <v>42289</v>
      </c>
      <c r="F36" s="205" t="s">
        <v>3489</v>
      </c>
      <c r="G36" s="205" t="s">
        <v>232</v>
      </c>
      <c r="H36" s="205" t="s">
        <v>3490</v>
      </c>
      <c r="I36" s="205" t="s">
        <v>3475</v>
      </c>
      <c r="J36" s="205" t="s">
        <v>3452</v>
      </c>
      <c r="K36" s="205" t="s">
        <v>453</v>
      </c>
      <c r="L36" s="205" t="s">
        <v>448</v>
      </c>
      <c r="M36" s="205" t="s">
        <v>455</v>
      </c>
      <c r="O36" s="200" t="s">
        <v>290</v>
      </c>
      <c r="P36" s="200" t="s">
        <v>3491</v>
      </c>
      <c r="Q36" s="205" t="s">
        <v>455</v>
      </c>
      <c r="R36" s="202">
        <v>37</v>
      </c>
      <c r="U36" s="205" t="s">
        <v>456</v>
      </c>
      <c r="X36" s="205" t="s">
        <v>271</v>
      </c>
      <c r="Y36" s="200" t="s">
        <v>510</v>
      </c>
      <c r="Z36" s="205" t="s">
        <v>3492</v>
      </c>
      <c r="AA36" s="200" t="s">
        <v>340</v>
      </c>
      <c r="AB36" s="205" t="s">
        <v>3493</v>
      </c>
      <c r="AC36" s="200" t="s">
        <v>392</v>
      </c>
      <c r="AD36" s="205" t="s">
        <v>3493</v>
      </c>
      <c r="AE36" s="205" t="s">
        <v>232</v>
      </c>
      <c r="AF36" s="205" t="s">
        <v>3494</v>
      </c>
      <c r="AG36" s="205" t="s">
        <v>239</v>
      </c>
      <c r="AH36" s="205" t="s">
        <v>239</v>
      </c>
      <c r="AI36" s="205" t="s">
        <v>3495</v>
      </c>
      <c r="AJ36" s="205" t="s">
        <v>3496</v>
      </c>
      <c r="AK36" s="205" t="s">
        <v>239</v>
      </c>
      <c r="AL36" s="205" t="s">
        <v>239</v>
      </c>
      <c r="AM36" s="205" t="s">
        <v>239</v>
      </c>
      <c r="AN36" s="205" t="s">
        <v>239</v>
      </c>
      <c r="AO36" s="200" t="s">
        <v>235</v>
      </c>
      <c r="AP36" s="200" t="s">
        <v>235</v>
      </c>
      <c r="AQ36" s="200" t="s">
        <v>235</v>
      </c>
      <c r="AR36" s="200" t="s">
        <v>239</v>
      </c>
      <c r="AS36" s="200" t="s">
        <v>299</v>
      </c>
      <c r="AT36" s="200" t="s">
        <v>299</v>
      </c>
      <c r="AU36" s="200" t="s">
        <v>241</v>
      </c>
      <c r="AV36" s="205" t="s">
        <v>242</v>
      </c>
      <c r="AW36" s="205" t="s">
        <v>243</v>
      </c>
      <c r="AY36" s="200" t="s">
        <v>239</v>
      </c>
      <c r="AZ36" s="205" t="s">
        <v>3497</v>
      </c>
      <c r="BA36" s="205" t="s">
        <v>244</v>
      </c>
      <c r="BB36" s="205" t="s">
        <v>244</v>
      </c>
      <c r="BD36" s="205" t="s">
        <v>239</v>
      </c>
      <c r="BE36" s="205" t="s">
        <v>446</v>
      </c>
      <c r="BF36" s="205" t="s">
        <v>457</v>
      </c>
      <c r="BH36" s="205" t="s">
        <v>456</v>
      </c>
      <c r="BI36" s="202">
        <v>37</v>
      </c>
    </row>
    <row r="37" spans="1:65" x14ac:dyDescent="0.25">
      <c r="A37" s="205" t="s">
        <v>3359</v>
      </c>
      <c r="B37" s="205" t="s">
        <v>3498</v>
      </c>
      <c r="C37" s="205" t="s">
        <v>3499</v>
      </c>
      <c r="D37" s="205" t="s">
        <v>3500</v>
      </c>
      <c r="E37" s="201">
        <v>42289</v>
      </c>
      <c r="F37" s="205" t="s">
        <v>3501</v>
      </c>
      <c r="G37" s="205" t="s">
        <v>232</v>
      </c>
      <c r="H37" s="205" t="s">
        <v>3502</v>
      </c>
      <c r="I37" s="205" t="s">
        <v>3503</v>
      </c>
      <c r="J37" s="205" t="s">
        <v>3504</v>
      </c>
      <c r="K37" s="205" t="s">
        <v>442</v>
      </c>
      <c r="L37" s="205" t="s">
        <v>443</v>
      </c>
      <c r="M37" s="205" t="s">
        <v>444</v>
      </c>
      <c r="Q37" s="205" t="s">
        <v>444</v>
      </c>
      <c r="R37" s="202">
        <v>38</v>
      </c>
      <c r="U37" s="205" t="s">
        <v>456</v>
      </c>
      <c r="X37" s="205" t="s">
        <v>319</v>
      </c>
      <c r="Y37" s="200" t="s">
        <v>609</v>
      </c>
      <c r="Z37" s="205" t="s">
        <v>3505</v>
      </c>
      <c r="AA37" s="200" t="s">
        <v>609</v>
      </c>
      <c r="AB37" s="205" t="s">
        <v>3506</v>
      </c>
      <c r="AC37" s="200" t="s">
        <v>730</v>
      </c>
      <c r="AD37" s="205" t="s">
        <v>3507</v>
      </c>
      <c r="AE37" s="205" t="s">
        <v>232</v>
      </c>
      <c r="AF37" s="205" t="s">
        <v>633</v>
      </c>
      <c r="AG37" s="205" t="s">
        <v>239</v>
      </c>
      <c r="AH37" s="205" t="s">
        <v>239</v>
      </c>
      <c r="AI37" s="205" t="s">
        <v>2671</v>
      </c>
      <c r="AJ37" s="205" t="s">
        <v>3508</v>
      </c>
      <c r="AK37" s="205" t="s">
        <v>239</v>
      </c>
      <c r="AL37" s="205" t="s">
        <v>239</v>
      </c>
      <c r="AM37" s="205" t="s">
        <v>239</v>
      </c>
      <c r="AN37" s="205" t="s">
        <v>239</v>
      </c>
      <c r="AV37" s="205" t="s">
        <v>242</v>
      </c>
      <c r="AW37" s="205" t="s">
        <v>243</v>
      </c>
      <c r="AY37" s="200" t="s">
        <v>239</v>
      </c>
      <c r="AZ37" s="205" t="s">
        <v>3509</v>
      </c>
      <c r="BA37" s="205" t="s">
        <v>244</v>
      </c>
      <c r="BB37" s="205" t="s">
        <v>244</v>
      </c>
      <c r="BD37" s="205" t="s">
        <v>239</v>
      </c>
      <c r="BE37" s="205" t="s">
        <v>446</v>
      </c>
      <c r="BF37" s="205" t="s">
        <v>457</v>
      </c>
      <c r="BH37" s="205" t="s">
        <v>456</v>
      </c>
      <c r="BI37" s="202">
        <v>38</v>
      </c>
      <c r="BJ37" s="201">
        <v>42290</v>
      </c>
      <c r="BK37" s="203" t="s">
        <v>245</v>
      </c>
      <c r="BL37" s="204">
        <v>50.2</v>
      </c>
      <c r="BM37" s="205">
        <v>42</v>
      </c>
    </row>
    <row r="38" spans="1:65" x14ac:dyDescent="0.25">
      <c r="A38" s="205" t="s">
        <v>3359</v>
      </c>
      <c r="B38" s="205" t="s">
        <v>3510</v>
      </c>
      <c r="C38" s="205" t="s">
        <v>3511</v>
      </c>
      <c r="D38" s="205" t="s">
        <v>3512</v>
      </c>
      <c r="E38" s="201">
        <v>42289</v>
      </c>
      <c r="F38" s="205" t="s">
        <v>393</v>
      </c>
      <c r="G38" s="205" t="s">
        <v>232</v>
      </c>
      <c r="H38" s="205" t="s">
        <v>3513</v>
      </c>
      <c r="I38" s="205" t="s">
        <v>3514</v>
      </c>
      <c r="J38" s="205" t="s">
        <v>381</v>
      </c>
      <c r="K38" s="205" t="s">
        <v>453</v>
      </c>
      <c r="L38" s="205" t="s">
        <v>454</v>
      </c>
      <c r="M38" s="205" t="s">
        <v>455</v>
      </c>
      <c r="O38" s="200" t="s">
        <v>344</v>
      </c>
      <c r="P38" s="200" t="s">
        <v>3515</v>
      </c>
      <c r="Q38" s="205" t="s">
        <v>455</v>
      </c>
      <c r="R38" s="202">
        <v>39</v>
      </c>
      <c r="U38" s="205" t="s">
        <v>456</v>
      </c>
      <c r="X38" s="205" t="s">
        <v>640</v>
      </c>
      <c r="Y38" s="200" t="s">
        <v>901</v>
      </c>
      <c r="Z38" s="205" t="s">
        <v>3516</v>
      </c>
      <c r="AA38" s="200" t="s">
        <v>230</v>
      </c>
      <c r="AB38" s="205" t="s">
        <v>2351</v>
      </c>
      <c r="AC38" s="200" t="s">
        <v>261</v>
      </c>
      <c r="AD38" s="205" t="s">
        <v>3517</v>
      </c>
      <c r="AE38" s="205" t="s">
        <v>232</v>
      </c>
      <c r="AF38" s="205" t="s">
        <v>3518</v>
      </c>
      <c r="AG38" s="205" t="s">
        <v>239</v>
      </c>
      <c r="AH38" s="205" t="s">
        <v>239</v>
      </c>
      <c r="AI38" s="205" t="s">
        <v>3519</v>
      </c>
      <c r="AJ38" s="205" t="s">
        <v>3520</v>
      </c>
      <c r="AK38" s="205" t="s">
        <v>239</v>
      </c>
      <c r="AL38" s="205" t="s">
        <v>3521</v>
      </c>
      <c r="AM38" s="205" t="s">
        <v>239</v>
      </c>
      <c r="AN38" s="205" t="s">
        <v>239</v>
      </c>
      <c r="AO38" s="200" t="s">
        <v>235</v>
      </c>
      <c r="AP38" s="200" t="s">
        <v>235</v>
      </c>
      <c r="AQ38" s="200" t="s">
        <v>235</v>
      </c>
      <c r="AR38" s="200" t="s">
        <v>235</v>
      </c>
      <c r="AS38" s="200" t="s">
        <v>299</v>
      </c>
      <c r="AT38" s="200" t="s">
        <v>299</v>
      </c>
      <c r="AU38" s="200" t="s">
        <v>299</v>
      </c>
      <c r="AV38" s="205" t="s">
        <v>242</v>
      </c>
      <c r="AW38" s="205" t="s">
        <v>243</v>
      </c>
      <c r="AX38" s="200" t="s">
        <v>2537</v>
      </c>
      <c r="AY38" s="200" t="s">
        <v>235</v>
      </c>
      <c r="AZ38" s="205" t="s">
        <v>3522</v>
      </c>
      <c r="BA38" s="205" t="s">
        <v>244</v>
      </c>
      <c r="BB38" s="205" t="s">
        <v>244</v>
      </c>
      <c r="BD38" s="205" t="s">
        <v>239</v>
      </c>
      <c r="BE38" s="205" t="s">
        <v>446</v>
      </c>
      <c r="BF38" s="205" t="s">
        <v>457</v>
      </c>
      <c r="BH38" s="205" t="s">
        <v>456</v>
      </c>
      <c r="BI38" s="202">
        <v>39</v>
      </c>
    </row>
    <row r="39" spans="1:65" x14ac:dyDescent="0.25">
      <c r="A39" s="205" t="s">
        <v>3359</v>
      </c>
      <c r="B39" s="205" t="s">
        <v>3523</v>
      </c>
      <c r="C39" s="205" t="s">
        <v>3524</v>
      </c>
      <c r="D39" s="205" t="s">
        <v>3525</v>
      </c>
      <c r="E39" s="201">
        <v>42289</v>
      </c>
      <c r="F39" s="205" t="s">
        <v>3526</v>
      </c>
      <c r="G39" s="205" t="s">
        <v>232</v>
      </c>
      <c r="H39" s="205" t="s">
        <v>3527</v>
      </c>
      <c r="I39" s="205" t="s">
        <v>469</v>
      </c>
      <c r="J39" s="205" t="s">
        <v>3528</v>
      </c>
      <c r="K39" s="205" t="s">
        <v>453</v>
      </c>
      <c r="L39" s="205" t="s">
        <v>461</v>
      </c>
      <c r="M39" s="205" t="s">
        <v>470</v>
      </c>
      <c r="Q39" s="205" t="s">
        <v>470</v>
      </c>
      <c r="R39" s="202">
        <v>40</v>
      </c>
      <c r="U39" s="205" t="s">
        <v>456</v>
      </c>
      <c r="X39" s="205" t="s">
        <v>319</v>
      </c>
      <c r="Y39" s="200" t="s">
        <v>574</v>
      </c>
      <c r="Z39" s="205" t="s">
        <v>3529</v>
      </c>
      <c r="AA39" s="200" t="s">
        <v>417</v>
      </c>
      <c r="AB39" s="205" t="s">
        <v>3530</v>
      </c>
      <c r="AC39" s="200" t="s">
        <v>328</v>
      </c>
      <c r="AD39" s="205" t="s">
        <v>527</v>
      </c>
      <c r="AE39" s="205" t="s">
        <v>232</v>
      </c>
      <c r="AF39" s="205" t="s">
        <v>3531</v>
      </c>
      <c r="AG39" s="205" t="s">
        <v>239</v>
      </c>
      <c r="AH39" s="205" t="s">
        <v>239</v>
      </c>
      <c r="AI39" s="205" t="s">
        <v>3532</v>
      </c>
      <c r="AJ39" s="205" t="s">
        <v>494</v>
      </c>
      <c r="AK39" s="205" t="s">
        <v>239</v>
      </c>
      <c r="AL39" s="205" t="s">
        <v>239</v>
      </c>
      <c r="AM39" s="205" t="s">
        <v>239</v>
      </c>
      <c r="AN39" s="205" t="s">
        <v>239</v>
      </c>
      <c r="AO39" s="200" t="s">
        <v>235</v>
      </c>
      <c r="AP39" s="200" t="s">
        <v>235</v>
      </c>
      <c r="AQ39" s="200" t="s">
        <v>239</v>
      </c>
      <c r="AR39" s="200" t="s">
        <v>239</v>
      </c>
      <c r="AS39" s="200" t="s">
        <v>299</v>
      </c>
      <c r="AT39" s="200" t="s">
        <v>241</v>
      </c>
      <c r="AU39" s="200" t="s">
        <v>241</v>
      </c>
      <c r="AV39" s="205" t="s">
        <v>242</v>
      </c>
      <c r="AW39" s="205" t="s">
        <v>243</v>
      </c>
      <c r="AY39" s="200" t="s">
        <v>239</v>
      </c>
      <c r="AZ39" s="205" t="s">
        <v>3533</v>
      </c>
      <c r="BA39" s="205" t="s">
        <v>244</v>
      </c>
      <c r="BB39" s="205" t="s">
        <v>3533</v>
      </c>
      <c r="BD39" s="205" t="s">
        <v>239</v>
      </c>
      <c r="BE39" s="205" t="s">
        <v>446</v>
      </c>
      <c r="BF39" s="205" t="s">
        <v>457</v>
      </c>
      <c r="BH39" s="205" t="s">
        <v>456</v>
      </c>
      <c r="BI39" s="202">
        <v>40</v>
      </c>
      <c r="BJ39" s="201">
        <v>42292</v>
      </c>
      <c r="BK39" s="203" t="s">
        <v>245</v>
      </c>
      <c r="BL39" s="204">
        <v>186.24</v>
      </c>
      <c r="BM39" s="205">
        <v>42</v>
      </c>
    </row>
    <row r="40" spans="1:65" x14ac:dyDescent="0.25">
      <c r="A40" s="205" t="s">
        <v>2780</v>
      </c>
      <c r="B40" s="205" t="s">
        <v>3534</v>
      </c>
      <c r="C40" s="205" t="s">
        <v>3535</v>
      </c>
      <c r="D40" s="205" t="s">
        <v>3536</v>
      </c>
      <c r="E40" s="201">
        <v>42289</v>
      </c>
      <c r="F40" s="205" t="s">
        <v>3537</v>
      </c>
      <c r="G40" s="205" t="s">
        <v>232</v>
      </c>
      <c r="H40" s="205" t="s">
        <v>3538</v>
      </c>
      <c r="I40" s="205" t="s">
        <v>3539</v>
      </c>
      <c r="K40" s="205" t="s">
        <v>447</v>
      </c>
      <c r="L40" s="205" t="s">
        <v>448</v>
      </c>
      <c r="M40" s="205" t="s">
        <v>449</v>
      </c>
      <c r="O40" s="200" t="s">
        <v>513</v>
      </c>
      <c r="P40" s="200" t="s">
        <v>3540</v>
      </c>
      <c r="Q40" s="205" t="s">
        <v>449</v>
      </c>
      <c r="R40" s="202">
        <v>41</v>
      </c>
      <c r="U40" s="205" t="s">
        <v>456</v>
      </c>
      <c r="X40" s="205" t="s">
        <v>295</v>
      </c>
      <c r="Y40" s="200" t="s">
        <v>2259</v>
      </c>
      <c r="Z40" s="205" t="s">
        <v>3541</v>
      </c>
      <c r="AA40" s="200" t="s">
        <v>230</v>
      </c>
      <c r="AB40" s="205" t="s">
        <v>3542</v>
      </c>
      <c r="AC40" s="200" t="s">
        <v>337</v>
      </c>
      <c r="AD40" s="205" t="s">
        <v>3543</v>
      </c>
      <c r="AE40" s="205" t="s">
        <v>232</v>
      </c>
      <c r="AF40" s="205" t="s">
        <v>3544</v>
      </c>
      <c r="AG40" s="205" t="s">
        <v>239</v>
      </c>
      <c r="AH40" s="205" t="s">
        <v>239</v>
      </c>
      <c r="AI40" s="205" t="s">
        <v>3545</v>
      </c>
      <c r="AJ40" s="205" t="s">
        <v>3546</v>
      </c>
      <c r="AK40" s="205" t="s">
        <v>239</v>
      </c>
      <c r="AL40" s="205" t="s">
        <v>239</v>
      </c>
      <c r="AM40" s="205" t="s">
        <v>239</v>
      </c>
      <c r="AN40" s="205" t="s">
        <v>239</v>
      </c>
      <c r="AO40" s="200" t="s">
        <v>235</v>
      </c>
      <c r="AP40" s="200" t="s">
        <v>235</v>
      </c>
      <c r="AQ40" s="200" t="s">
        <v>235</v>
      </c>
      <c r="AR40" s="200" t="s">
        <v>239</v>
      </c>
      <c r="AS40" s="200" t="s">
        <v>299</v>
      </c>
      <c r="AT40" s="200" t="s">
        <v>299</v>
      </c>
      <c r="AU40" s="200" t="s">
        <v>241</v>
      </c>
      <c r="AV40" s="205" t="s">
        <v>242</v>
      </c>
      <c r="AW40" s="205" t="s">
        <v>243</v>
      </c>
      <c r="AY40" s="200" t="s">
        <v>239</v>
      </c>
      <c r="AZ40" s="205" t="s">
        <v>3547</v>
      </c>
      <c r="BA40" s="205" t="s">
        <v>244</v>
      </c>
      <c r="BB40" s="205" t="s">
        <v>244</v>
      </c>
      <c r="BD40" s="205" t="s">
        <v>239</v>
      </c>
      <c r="BE40" s="205" t="s">
        <v>446</v>
      </c>
      <c r="BF40" s="205" t="s">
        <v>457</v>
      </c>
      <c r="BH40" s="205" t="s">
        <v>456</v>
      </c>
      <c r="BI40" s="202">
        <v>41</v>
      </c>
    </row>
    <row r="41" spans="1:65" x14ac:dyDescent="0.25">
      <c r="A41" s="205" t="s">
        <v>2780</v>
      </c>
      <c r="B41" s="205" t="s">
        <v>3548</v>
      </c>
      <c r="C41" s="205" t="s">
        <v>3549</v>
      </c>
      <c r="D41" s="205" t="s">
        <v>3550</v>
      </c>
      <c r="E41" s="201">
        <v>42289</v>
      </c>
      <c r="F41" s="205" t="s">
        <v>3551</v>
      </c>
      <c r="G41" s="205" t="s">
        <v>232</v>
      </c>
      <c r="H41" s="205" t="s">
        <v>3552</v>
      </c>
      <c r="I41" s="205" t="s">
        <v>3553</v>
      </c>
      <c r="K41" s="205" t="s">
        <v>464</v>
      </c>
      <c r="L41" s="205" t="s">
        <v>465</v>
      </c>
      <c r="M41" s="205" t="s">
        <v>466</v>
      </c>
      <c r="O41" s="200" t="s">
        <v>513</v>
      </c>
      <c r="P41" s="200" t="s">
        <v>3554</v>
      </c>
      <c r="Q41" s="205" t="s">
        <v>466</v>
      </c>
      <c r="R41" s="202">
        <v>42</v>
      </c>
      <c r="U41" s="205" t="s">
        <v>456</v>
      </c>
      <c r="X41" s="205" t="s">
        <v>335</v>
      </c>
      <c r="Y41" s="200" t="s">
        <v>1059</v>
      </c>
      <c r="Z41" s="205" t="s">
        <v>260</v>
      </c>
      <c r="AA41" s="200" t="s">
        <v>280</v>
      </c>
      <c r="AB41" s="205" t="s">
        <v>334</v>
      </c>
      <c r="AC41" s="200" t="s">
        <v>340</v>
      </c>
      <c r="AD41" s="205" t="s">
        <v>268</v>
      </c>
      <c r="AE41" s="205" t="s">
        <v>232</v>
      </c>
      <c r="AF41" s="205" t="s">
        <v>1405</v>
      </c>
      <c r="AG41" s="205" t="s">
        <v>239</v>
      </c>
      <c r="AH41" s="205" t="s">
        <v>239</v>
      </c>
      <c r="AI41" s="205" t="s">
        <v>3555</v>
      </c>
      <c r="AJ41" s="205" t="s">
        <v>3556</v>
      </c>
      <c r="AK41" s="205" t="s">
        <v>239</v>
      </c>
      <c r="AL41" s="205" t="s">
        <v>239</v>
      </c>
      <c r="AM41" s="205" t="s">
        <v>239</v>
      </c>
      <c r="AN41" s="205" t="s">
        <v>239</v>
      </c>
      <c r="AO41" s="200" t="s">
        <v>235</v>
      </c>
      <c r="AP41" s="200" t="s">
        <v>239</v>
      </c>
      <c r="AQ41" s="200" t="s">
        <v>239</v>
      </c>
      <c r="AR41" s="200" t="s">
        <v>239</v>
      </c>
      <c r="AS41" s="200" t="s">
        <v>299</v>
      </c>
      <c r="AT41" s="200" t="s">
        <v>241</v>
      </c>
      <c r="AU41" s="200" t="s">
        <v>241</v>
      </c>
      <c r="AV41" s="205" t="s">
        <v>242</v>
      </c>
      <c r="AW41" s="205" t="s">
        <v>243</v>
      </c>
      <c r="AY41" s="200" t="s">
        <v>239</v>
      </c>
      <c r="AZ41" s="205" t="s">
        <v>3557</v>
      </c>
      <c r="BA41" s="205" t="s">
        <v>244</v>
      </c>
      <c r="BB41" s="205" t="s">
        <v>244</v>
      </c>
      <c r="BD41" s="205" t="s">
        <v>239</v>
      </c>
      <c r="BE41" s="205" t="s">
        <v>446</v>
      </c>
      <c r="BF41" s="205" t="s">
        <v>457</v>
      </c>
      <c r="BH41" s="205" t="s">
        <v>456</v>
      </c>
      <c r="BI41" s="202">
        <v>42</v>
      </c>
    </row>
    <row r="42" spans="1:65" x14ac:dyDescent="0.25">
      <c r="A42" s="205" t="s">
        <v>2780</v>
      </c>
      <c r="B42" s="205" t="s">
        <v>3558</v>
      </c>
      <c r="C42" s="205" t="s">
        <v>3559</v>
      </c>
      <c r="D42" s="205" t="s">
        <v>3560</v>
      </c>
      <c r="E42" s="201">
        <v>42289</v>
      </c>
      <c r="F42" s="205" t="s">
        <v>3561</v>
      </c>
      <c r="G42" s="205" t="s">
        <v>232</v>
      </c>
      <c r="H42" s="205" t="s">
        <v>3562</v>
      </c>
      <c r="I42" s="205" t="s">
        <v>3563</v>
      </c>
      <c r="J42" s="205" t="s">
        <v>3564</v>
      </c>
      <c r="K42" s="205" t="s">
        <v>450</v>
      </c>
      <c r="L42" s="205" t="s">
        <v>451</v>
      </c>
      <c r="M42" s="205" t="s">
        <v>452</v>
      </c>
      <c r="O42" s="200" t="s">
        <v>513</v>
      </c>
      <c r="P42" s="200" t="s">
        <v>3565</v>
      </c>
      <c r="Q42" s="205" t="s">
        <v>452</v>
      </c>
      <c r="R42" s="202">
        <v>43</v>
      </c>
      <c r="U42" s="205" t="s">
        <v>456</v>
      </c>
      <c r="X42" s="205" t="s">
        <v>3311</v>
      </c>
      <c r="Y42" s="200" t="s">
        <v>524</v>
      </c>
      <c r="Z42" s="205" t="s">
        <v>3566</v>
      </c>
      <c r="AA42" s="200" t="s">
        <v>398</v>
      </c>
      <c r="AB42" s="205" t="s">
        <v>260</v>
      </c>
      <c r="AC42" s="200" t="s">
        <v>371</v>
      </c>
      <c r="AD42" s="205" t="s">
        <v>3567</v>
      </c>
      <c r="AE42" s="205" t="s">
        <v>232</v>
      </c>
      <c r="AF42" s="205" t="s">
        <v>3568</v>
      </c>
      <c r="AG42" s="205" t="s">
        <v>239</v>
      </c>
      <c r="AH42" s="205" t="s">
        <v>239</v>
      </c>
      <c r="AI42" s="205" t="s">
        <v>3569</v>
      </c>
      <c r="AJ42" s="205" t="s">
        <v>3570</v>
      </c>
      <c r="AK42" s="205" t="s">
        <v>239</v>
      </c>
      <c r="AL42" s="205" t="s">
        <v>239</v>
      </c>
      <c r="AM42" s="205" t="s">
        <v>239</v>
      </c>
      <c r="AN42" s="205" t="s">
        <v>239</v>
      </c>
      <c r="AO42" s="200" t="s">
        <v>235</v>
      </c>
      <c r="AP42" s="200" t="s">
        <v>235</v>
      </c>
      <c r="AQ42" s="200" t="s">
        <v>235</v>
      </c>
      <c r="AR42" s="200" t="s">
        <v>239</v>
      </c>
      <c r="AS42" s="200" t="s">
        <v>299</v>
      </c>
      <c r="AT42" s="200" t="s">
        <v>299</v>
      </c>
      <c r="AU42" s="200" t="s">
        <v>241</v>
      </c>
      <c r="AV42" s="205" t="s">
        <v>242</v>
      </c>
      <c r="AW42" s="205" t="s">
        <v>243</v>
      </c>
      <c r="AY42" s="200" t="s">
        <v>239</v>
      </c>
      <c r="AZ42" s="205" t="s">
        <v>3571</v>
      </c>
      <c r="BA42" s="205" t="s">
        <v>244</v>
      </c>
      <c r="BB42" s="205" t="s">
        <v>244</v>
      </c>
      <c r="BD42" s="205" t="s">
        <v>239</v>
      </c>
      <c r="BE42" s="205" t="s">
        <v>446</v>
      </c>
      <c r="BF42" s="205" t="s">
        <v>457</v>
      </c>
      <c r="BH42" s="205" t="s">
        <v>456</v>
      </c>
      <c r="BI42" s="202">
        <v>43</v>
      </c>
      <c r="BJ42" s="201">
        <v>42296</v>
      </c>
      <c r="BK42" s="203" t="s">
        <v>245</v>
      </c>
      <c r="BL42" s="204">
        <v>317.2</v>
      </c>
    </row>
    <row r="43" spans="1:65" x14ac:dyDescent="0.25">
      <c r="A43" s="205" t="s">
        <v>2780</v>
      </c>
      <c r="B43" s="205" t="s">
        <v>3572</v>
      </c>
      <c r="C43" s="205" t="s">
        <v>3573</v>
      </c>
      <c r="D43" s="205" t="s">
        <v>3574</v>
      </c>
      <c r="E43" s="201">
        <v>42289</v>
      </c>
      <c r="F43" s="205" t="s">
        <v>3575</v>
      </c>
      <c r="G43" s="205" t="s">
        <v>232</v>
      </c>
      <c r="H43" s="205" t="s">
        <v>3576</v>
      </c>
      <c r="I43" s="205" t="s">
        <v>3577</v>
      </c>
      <c r="K43" s="205" t="s">
        <v>471</v>
      </c>
      <c r="L43" s="205" t="s">
        <v>472</v>
      </c>
      <c r="M43" s="205" t="s">
        <v>473</v>
      </c>
      <c r="O43" s="200" t="s">
        <v>252</v>
      </c>
      <c r="P43" s="200" t="s">
        <v>3578</v>
      </c>
      <c r="Q43" s="205" t="s">
        <v>473</v>
      </c>
      <c r="R43" s="202">
        <v>44</v>
      </c>
      <c r="U43" s="205" t="s">
        <v>456</v>
      </c>
      <c r="X43" s="205" t="s">
        <v>3311</v>
      </c>
      <c r="Y43" s="200" t="s">
        <v>518</v>
      </c>
      <c r="Z43" s="205" t="s">
        <v>3579</v>
      </c>
      <c r="AA43" s="200" t="s">
        <v>517</v>
      </c>
      <c r="AB43" s="205" t="s">
        <v>3580</v>
      </c>
      <c r="AC43" s="200" t="s">
        <v>324</v>
      </c>
      <c r="AD43" s="205" t="s">
        <v>3581</v>
      </c>
      <c r="AE43" s="205" t="s">
        <v>232</v>
      </c>
      <c r="AF43" s="205" t="s">
        <v>3582</v>
      </c>
      <c r="AG43" s="205" t="s">
        <v>239</v>
      </c>
      <c r="AH43" s="205" t="s">
        <v>239</v>
      </c>
      <c r="AI43" s="205" t="s">
        <v>3583</v>
      </c>
      <c r="AJ43" s="205" t="s">
        <v>3583</v>
      </c>
      <c r="AK43" s="205" t="s">
        <v>239</v>
      </c>
      <c r="AL43" s="205" t="s">
        <v>239</v>
      </c>
      <c r="AM43" s="205" t="s">
        <v>239</v>
      </c>
      <c r="AN43" s="205" t="s">
        <v>239</v>
      </c>
      <c r="AO43" s="200" t="s">
        <v>239</v>
      </c>
      <c r="AP43" s="200" t="s">
        <v>239</v>
      </c>
      <c r="AQ43" s="200" t="s">
        <v>235</v>
      </c>
      <c r="AR43" s="200" t="s">
        <v>239</v>
      </c>
      <c r="AS43" s="200" t="s">
        <v>262</v>
      </c>
      <c r="AT43" s="200" t="s">
        <v>299</v>
      </c>
      <c r="AU43" s="200" t="s">
        <v>241</v>
      </c>
      <c r="AV43" s="205" t="s">
        <v>242</v>
      </c>
      <c r="AW43" s="205" t="s">
        <v>243</v>
      </c>
      <c r="AY43" s="200" t="s">
        <v>239</v>
      </c>
      <c r="AZ43" s="205" t="s">
        <v>3584</v>
      </c>
      <c r="BA43" s="205" t="s">
        <v>244</v>
      </c>
      <c r="BB43" s="205" t="s">
        <v>244</v>
      </c>
      <c r="BC43" s="200" t="s">
        <v>256</v>
      </c>
      <c r="BD43" s="205" t="s">
        <v>239</v>
      </c>
      <c r="BE43" s="205" t="s">
        <v>446</v>
      </c>
      <c r="BF43" s="205" t="s">
        <v>457</v>
      </c>
      <c r="BH43" s="205" t="s">
        <v>456</v>
      </c>
      <c r="BI43" s="202">
        <v>44</v>
      </c>
    </row>
    <row r="44" spans="1:65" x14ac:dyDescent="0.25">
      <c r="A44" s="205" t="s">
        <v>2780</v>
      </c>
      <c r="B44" s="205" t="s">
        <v>3585</v>
      </c>
      <c r="C44" s="205" t="s">
        <v>3586</v>
      </c>
      <c r="D44" s="205" t="s">
        <v>3587</v>
      </c>
      <c r="E44" s="201">
        <v>42289</v>
      </c>
      <c r="F44" s="205" t="s">
        <v>3588</v>
      </c>
      <c r="G44" s="205" t="s">
        <v>232</v>
      </c>
      <c r="H44" s="205" t="s">
        <v>3589</v>
      </c>
      <c r="I44" s="205" t="s">
        <v>3590</v>
      </c>
      <c r="K44" s="205" t="s">
        <v>447</v>
      </c>
      <c r="L44" s="205" t="s">
        <v>448</v>
      </c>
      <c r="M44" s="205" t="s">
        <v>455</v>
      </c>
      <c r="O44" s="200" t="s">
        <v>252</v>
      </c>
      <c r="P44" s="200" t="s">
        <v>3591</v>
      </c>
      <c r="Q44" s="205" t="s">
        <v>455</v>
      </c>
      <c r="R44" s="202">
        <v>45</v>
      </c>
      <c r="U44" s="205" t="s">
        <v>456</v>
      </c>
      <c r="X44" s="205" t="s">
        <v>335</v>
      </c>
      <c r="Y44" s="200" t="s">
        <v>578</v>
      </c>
      <c r="Z44" s="205" t="s">
        <v>3592</v>
      </c>
      <c r="AA44" s="200" t="s">
        <v>427</v>
      </c>
      <c r="AB44" s="205" t="s">
        <v>3593</v>
      </c>
      <c r="AC44" s="200" t="s">
        <v>572</v>
      </c>
      <c r="AD44" s="205" t="s">
        <v>3594</v>
      </c>
      <c r="AE44" s="205" t="s">
        <v>232</v>
      </c>
      <c r="AF44" s="205" t="s">
        <v>3595</v>
      </c>
      <c r="AG44" s="205" t="s">
        <v>239</v>
      </c>
      <c r="AH44" s="205" t="s">
        <v>239</v>
      </c>
      <c r="AI44" s="205" t="s">
        <v>3596</v>
      </c>
      <c r="AJ44" s="205" t="s">
        <v>3597</v>
      </c>
      <c r="AK44" s="205" t="s">
        <v>239</v>
      </c>
      <c r="AL44" s="205" t="s">
        <v>239</v>
      </c>
      <c r="AM44" s="205" t="s">
        <v>239</v>
      </c>
      <c r="AN44" s="205" t="s">
        <v>239</v>
      </c>
      <c r="AO44" s="200" t="s">
        <v>235</v>
      </c>
      <c r="AP44" s="200" t="s">
        <v>235</v>
      </c>
      <c r="AQ44" s="200" t="s">
        <v>235</v>
      </c>
      <c r="AR44" s="200" t="s">
        <v>235</v>
      </c>
      <c r="AS44" s="200" t="s">
        <v>299</v>
      </c>
      <c r="AT44" s="200" t="s">
        <v>299</v>
      </c>
      <c r="AU44" s="200" t="s">
        <v>299</v>
      </c>
      <c r="AV44" s="205" t="s">
        <v>242</v>
      </c>
      <c r="AW44" s="205" t="s">
        <v>243</v>
      </c>
      <c r="AY44" s="200" t="s">
        <v>239</v>
      </c>
      <c r="AZ44" s="205" t="s">
        <v>3598</v>
      </c>
      <c r="BA44" s="205" t="s">
        <v>244</v>
      </c>
      <c r="BB44" s="205" t="s">
        <v>3599</v>
      </c>
      <c r="BC44" s="200" t="s">
        <v>256</v>
      </c>
      <c r="BD44" s="205" t="s">
        <v>239</v>
      </c>
      <c r="BE44" s="205" t="s">
        <v>446</v>
      </c>
      <c r="BF44" s="205" t="s">
        <v>457</v>
      </c>
      <c r="BH44" s="205" t="s">
        <v>456</v>
      </c>
      <c r="BI44" s="202">
        <v>45</v>
      </c>
    </row>
    <row r="45" spans="1:65" x14ac:dyDescent="0.25">
      <c r="A45" s="205" t="s">
        <v>2780</v>
      </c>
      <c r="B45" s="205" t="s">
        <v>3600</v>
      </c>
      <c r="C45" s="205" t="s">
        <v>3601</v>
      </c>
      <c r="D45" s="205" t="s">
        <v>3602</v>
      </c>
      <c r="E45" s="201">
        <v>42289</v>
      </c>
      <c r="F45" s="205" t="s">
        <v>414</v>
      </c>
      <c r="G45" s="205" t="s">
        <v>232</v>
      </c>
      <c r="H45" s="205" t="s">
        <v>3603</v>
      </c>
      <c r="I45" s="205" t="s">
        <v>3604</v>
      </c>
      <c r="K45" s="205" t="s">
        <v>453</v>
      </c>
      <c r="L45" s="205" t="s">
        <v>454</v>
      </c>
      <c r="M45" s="205" t="s">
        <v>455</v>
      </c>
      <c r="O45" s="200" t="s">
        <v>389</v>
      </c>
      <c r="P45" s="200" t="s">
        <v>3605</v>
      </c>
      <c r="Q45" s="205" t="s">
        <v>455</v>
      </c>
      <c r="R45" s="202">
        <v>46</v>
      </c>
      <c r="U45" s="205" t="s">
        <v>456</v>
      </c>
      <c r="X45" s="205" t="s">
        <v>295</v>
      </c>
      <c r="Z45" s="205" t="s">
        <v>238</v>
      </c>
      <c r="AB45" s="205" t="s">
        <v>238</v>
      </c>
      <c r="AD45" s="205" t="s">
        <v>238</v>
      </c>
      <c r="AE45" s="205" t="s">
        <v>232</v>
      </c>
      <c r="AF45" s="205" t="s">
        <v>3606</v>
      </c>
      <c r="AG45" s="205" t="s">
        <v>239</v>
      </c>
      <c r="AH45" s="205" t="s">
        <v>239</v>
      </c>
      <c r="AI45" s="205" t="s">
        <v>3607</v>
      </c>
      <c r="AJ45" s="205" t="s">
        <v>3608</v>
      </c>
      <c r="AK45" s="205" t="s">
        <v>239</v>
      </c>
      <c r="AL45" s="205" t="s">
        <v>239</v>
      </c>
      <c r="AM45" s="205" t="s">
        <v>239</v>
      </c>
      <c r="AN45" s="205" t="s">
        <v>239</v>
      </c>
      <c r="AO45" s="200" t="s">
        <v>235</v>
      </c>
      <c r="AP45" s="200" t="s">
        <v>235</v>
      </c>
      <c r="AQ45" s="200" t="s">
        <v>235</v>
      </c>
      <c r="AR45" s="200" t="s">
        <v>239</v>
      </c>
      <c r="AS45" s="200" t="s">
        <v>299</v>
      </c>
      <c r="AT45" s="200" t="s">
        <v>299</v>
      </c>
      <c r="AU45" s="200" t="s">
        <v>241</v>
      </c>
      <c r="AV45" s="205" t="s">
        <v>242</v>
      </c>
      <c r="AW45" s="205" t="s">
        <v>243</v>
      </c>
      <c r="AY45" s="200" t="s">
        <v>239</v>
      </c>
      <c r="AZ45" s="205" t="s">
        <v>3609</v>
      </c>
      <c r="BA45" s="205" t="s">
        <v>244</v>
      </c>
      <c r="BB45" s="205" t="s">
        <v>244</v>
      </c>
      <c r="BD45" s="205" t="s">
        <v>235</v>
      </c>
      <c r="BE45" s="205" t="s">
        <v>446</v>
      </c>
      <c r="BF45" s="205" t="s">
        <v>457</v>
      </c>
      <c r="BH45" s="205" t="s">
        <v>456</v>
      </c>
      <c r="BI45" s="202">
        <v>46</v>
      </c>
    </row>
    <row r="46" spans="1:65" x14ac:dyDescent="0.25">
      <c r="A46" s="205" t="s">
        <v>2780</v>
      </c>
      <c r="B46" s="205" t="s">
        <v>3610</v>
      </c>
      <c r="C46" s="205" t="s">
        <v>3611</v>
      </c>
      <c r="D46" s="205" t="s">
        <v>3612</v>
      </c>
      <c r="E46" s="201">
        <v>42289</v>
      </c>
      <c r="F46" s="205" t="s">
        <v>317</v>
      </c>
      <c r="G46" s="205" t="s">
        <v>232</v>
      </c>
      <c r="H46" s="205" t="s">
        <v>3613</v>
      </c>
      <c r="I46" s="205" t="s">
        <v>3614</v>
      </c>
      <c r="J46" s="205" t="s">
        <v>365</v>
      </c>
      <c r="K46" s="205" t="s">
        <v>450</v>
      </c>
      <c r="L46" s="205" t="s">
        <v>451</v>
      </c>
      <c r="M46" s="205" t="s">
        <v>463</v>
      </c>
      <c r="O46" s="200" t="s">
        <v>389</v>
      </c>
      <c r="P46" s="200" t="s">
        <v>3615</v>
      </c>
      <c r="Q46" s="205" t="s">
        <v>463</v>
      </c>
      <c r="R46" s="202">
        <v>47</v>
      </c>
      <c r="U46" s="205" t="s">
        <v>456</v>
      </c>
      <c r="X46" s="205" t="s">
        <v>390</v>
      </c>
      <c r="Y46" s="200" t="s">
        <v>624</v>
      </c>
      <c r="Z46" s="205" t="s">
        <v>3616</v>
      </c>
      <c r="AA46" s="200" t="s">
        <v>428</v>
      </c>
      <c r="AB46" s="205" t="s">
        <v>260</v>
      </c>
      <c r="AD46" s="205" t="s">
        <v>238</v>
      </c>
      <c r="AE46" s="205" t="s">
        <v>232</v>
      </c>
      <c r="AF46" s="205" t="s">
        <v>3617</v>
      </c>
      <c r="AG46" s="205" t="s">
        <v>239</v>
      </c>
      <c r="AH46" s="205" t="s">
        <v>239</v>
      </c>
      <c r="AI46" s="205" t="s">
        <v>487</v>
      </c>
      <c r="AJ46" s="205" t="s">
        <v>3618</v>
      </c>
      <c r="AK46" s="205" t="s">
        <v>239</v>
      </c>
      <c r="AL46" s="205" t="s">
        <v>239</v>
      </c>
      <c r="AM46" s="205" t="s">
        <v>239</v>
      </c>
      <c r="AN46" s="205" t="s">
        <v>239</v>
      </c>
      <c r="AO46" s="200" t="s">
        <v>239</v>
      </c>
      <c r="AP46" s="200" t="s">
        <v>239</v>
      </c>
      <c r="AQ46" s="200" t="s">
        <v>235</v>
      </c>
      <c r="AR46" s="200" t="s">
        <v>239</v>
      </c>
      <c r="AS46" s="200" t="s">
        <v>262</v>
      </c>
      <c r="AT46" s="200" t="s">
        <v>299</v>
      </c>
      <c r="AU46" s="200" t="s">
        <v>241</v>
      </c>
      <c r="AV46" s="205" t="s">
        <v>242</v>
      </c>
      <c r="AW46" s="205" t="s">
        <v>243</v>
      </c>
      <c r="AY46" s="200" t="s">
        <v>239</v>
      </c>
      <c r="AZ46" s="205" t="s">
        <v>3619</v>
      </c>
      <c r="BA46" s="205" t="s">
        <v>244</v>
      </c>
      <c r="BB46" s="205" t="s">
        <v>244</v>
      </c>
      <c r="BD46" s="205" t="s">
        <v>239</v>
      </c>
      <c r="BE46" s="205" t="s">
        <v>446</v>
      </c>
      <c r="BF46" s="205" t="s">
        <v>457</v>
      </c>
      <c r="BH46" s="205" t="s">
        <v>456</v>
      </c>
      <c r="BI46" s="202">
        <v>47</v>
      </c>
    </row>
    <row r="47" spans="1:65" x14ac:dyDescent="0.25">
      <c r="A47" s="205" t="s">
        <v>2780</v>
      </c>
      <c r="B47" s="205" t="s">
        <v>3620</v>
      </c>
      <c r="C47" s="205" t="s">
        <v>3621</v>
      </c>
      <c r="D47" s="205" t="s">
        <v>3622</v>
      </c>
      <c r="E47" s="201">
        <v>42289</v>
      </c>
      <c r="F47" s="205" t="s">
        <v>3623</v>
      </c>
      <c r="G47" s="205" t="s">
        <v>232</v>
      </c>
      <c r="H47" s="205" t="s">
        <v>3624</v>
      </c>
      <c r="I47" s="205" t="s">
        <v>547</v>
      </c>
      <c r="J47" s="205" t="s">
        <v>743</v>
      </c>
      <c r="K47" s="205" t="s">
        <v>447</v>
      </c>
      <c r="L47" s="205" t="s">
        <v>448</v>
      </c>
      <c r="M47" s="205" t="s">
        <v>449</v>
      </c>
      <c r="O47" s="200" t="s">
        <v>2308</v>
      </c>
      <c r="P47" s="200" t="s">
        <v>3625</v>
      </c>
      <c r="Q47" s="205" t="s">
        <v>449</v>
      </c>
      <c r="R47" s="202">
        <v>48</v>
      </c>
      <c r="U47" s="205" t="s">
        <v>456</v>
      </c>
      <c r="X47" s="205" t="s">
        <v>295</v>
      </c>
      <c r="Y47" s="200" t="s">
        <v>280</v>
      </c>
      <c r="Z47" s="205" t="s">
        <v>3626</v>
      </c>
      <c r="AA47" s="200" t="s">
        <v>306</v>
      </c>
      <c r="AB47" s="205" t="s">
        <v>3627</v>
      </c>
      <c r="AC47" s="200" t="s">
        <v>278</v>
      </c>
      <c r="AD47" s="205" t="s">
        <v>3626</v>
      </c>
      <c r="AE47" s="205" t="s">
        <v>232</v>
      </c>
      <c r="AF47" s="205" t="s">
        <v>3628</v>
      </c>
      <c r="AG47" s="205" t="s">
        <v>239</v>
      </c>
      <c r="AH47" s="205" t="s">
        <v>239</v>
      </c>
      <c r="AI47" s="205" t="s">
        <v>3629</v>
      </c>
      <c r="AJ47" s="205" t="s">
        <v>3629</v>
      </c>
      <c r="AK47" s="205" t="s">
        <v>239</v>
      </c>
      <c r="AL47" s="205" t="s">
        <v>239</v>
      </c>
      <c r="AM47" s="205" t="s">
        <v>239</v>
      </c>
      <c r="AN47" s="205" t="s">
        <v>239</v>
      </c>
      <c r="AO47" s="200" t="s">
        <v>239</v>
      </c>
      <c r="AP47" s="200" t="s">
        <v>239</v>
      </c>
      <c r="AQ47" s="200" t="s">
        <v>235</v>
      </c>
      <c r="AR47" s="200" t="s">
        <v>239</v>
      </c>
      <c r="AS47" s="200" t="s">
        <v>262</v>
      </c>
      <c r="AT47" s="200" t="s">
        <v>299</v>
      </c>
      <c r="AU47" s="200" t="s">
        <v>241</v>
      </c>
      <c r="AV47" s="205" t="s">
        <v>242</v>
      </c>
      <c r="AW47" s="205" t="s">
        <v>243</v>
      </c>
      <c r="AY47" s="200" t="s">
        <v>239</v>
      </c>
      <c r="AZ47" s="205" t="s">
        <v>3630</v>
      </c>
      <c r="BA47" s="205" t="s">
        <v>244</v>
      </c>
      <c r="BB47" s="205" t="s">
        <v>244</v>
      </c>
      <c r="BC47" s="200" t="s">
        <v>256</v>
      </c>
      <c r="BD47" s="205" t="s">
        <v>239</v>
      </c>
      <c r="BE47" s="205" t="s">
        <v>446</v>
      </c>
      <c r="BF47" s="205" t="s">
        <v>457</v>
      </c>
      <c r="BH47" s="205" t="s">
        <v>456</v>
      </c>
      <c r="BI47" s="202">
        <v>48</v>
      </c>
    </row>
    <row r="48" spans="1:65" x14ac:dyDescent="0.25">
      <c r="A48" s="205" t="s">
        <v>2780</v>
      </c>
      <c r="B48" s="205" t="s">
        <v>3631</v>
      </c>
      <c r="C48" s="205" t="s">
        <v>3632</v>
      </c>
      <c r="D48" s="205" t="s">
        <v>3633</v>
      </c>
      <c r="E48" s="201">
        <v>42289</v>
      </c>
      <c r="F48" s="205" t="s">
        <v>3634</v>
      </c>
      <c r="G48" s="205" t="s">
        <v>232</v>
      </c>
      <c r="H48" s="205" t="s">
        <v>3635</v>
      </c>
      <c r="I48" s="205" t="s">
        <v>3636</v>
      </c>
      <c r="K48" s="205" t="s">
        <v>464</v>
      </c>
      <c r="L48" s="205" t="s">
        <v>465</v>
      </c>
      <c r="M48" s="205" t="s">
        <v>466</v>
      </c>
      <c r="O48" s="200" t="s">
        <v>264</v>
      </c>
      <c r="P48" s="200" t="s">
        <v>3637</v>
      </c>
      <c r="Q48" s="205" t="s">
        <v>466</v>
      </c>
      <c r="R48" s="202">
        <v>49</v>
      </c>
      <c r="S48" s="205" t="s">
        <v>3638</v>
      </c>
      <c r="U48" s="205" t="s">
        <v>456</v>
      </c>
      <c r="X48" s="205" t="s">
        <v>253</v>
      </c>
      <c r="Y48" s="200" t="s">
        <v>619</v>
      </c>
      <c r="Z48" s="205" t="s">
        <v>3639</v>
      </c>
      <c r="AA48" s="200" t="s">
        <v>320</v>
      </c>
      <c r="AB48" s="205" t="s">
        <v>3640</v>
      </c>
      <c r="AC48" s="200" t="s">
        <v>358</v>
      </c>
      <c r="AD48" s="205" t="s">
        <v>3641</v>
      </c>
      <c r="AE48" s="205" t="s">
        <v>232</v>
      </c>
      <c r="AF48" s="205" t="s">
        <v>3642</v>
      </c>
      <c r="AG48" s="205" t="s">
        <v>239</v>
      </c>
      <c r="AH48" s="205" t="s">
        <v>239</v>
      </c>
      <c r="AI48" s="205" t="s">
        <v>3643</v>
      </c>
      <c r="AJ48" s="205" t="s">
        <v>3644</v>
      </c>
      <c r="AK48" s="205" t="s">
        <v>3645</v>
      </c>
      <c r="AL48" s="205" t="s">
        <v>239</v>
      </c>
      <c r="AM48" s="205" t="s">
        <v>239</v>
      </c>
      <c r="AN48" s="205" t="s">
        <v>239</v>
      </c>
      <c r="AO48" s="200" t="s">
        <v>235</v>
      </c>
      <c r="AP48" s="200" t="s">
        <v>235</v>
      </c>
      <c r="AQ48" s="200" t="s">
        <v>235</v>
      </c>
      <c r="AR48" s="200" t="s">
        <v>235</v>
      </c>
      <c r="AS48" s="200" t="s">
        <v>299</v>
      </c>
      <c r="AT48" s="200" t="s">
        <v>299</v>
      </c>
      <c r="AU48" s="200" t="s">
        <v>299</v>
      </c>
      <c r="AV48" s="205" t="s">
        <v>242</v>
      </c>
      <c r="AW48" s="205" t="s">
        <v>243</v>
      </c>
      <c r="AX48" s="200" t="s">
        <v>2833</v>
      </c>
      <c r="AY48" s="200" t="s">
        <v>272</v>
      </c>
      <c r="AZ48" s="205" t="s">
        <v>3646</v>
      </c>
      <c r="BA48" s="205" t="s">
        <v>244</v>
      </c>
      <c r="BB48" s="205" t="s">
        <v>244</v>
      </c>
      <c r="BD48" s="205" t="s">
        <v>239</v>
      </c>
      <c r="BE48" s="205" t="s">
        <v>446</v>
      </c>
      <c r="BF48" s="205" t="s">
        <v>457</v>
      </c>
      <c r="BH48" s="205" t="s">
        <v>456</v>
      </c>
      <c r="BI48" s="202">
        <v>49</v>
      </c>
    </row>
    <row r="49" spans="1:65" x14ac:dyDescent="0.25">
      <c r="A49" s="205" t="s">
        <v>2780</v>
      </c>
      <c r="B49" s="205" t="s">
        <v>3647</v>
      </c>
      <c r="C49" s="205" t="s">
        <v>3648</v>
      </c>
      <c r="D49" s="205" t="s">
        <v>3649</v>
      </c>
      <c r="E49" s="201">
        <v>42289</v>
      </c>
      <c r="F49" s="205" t="s">
        <v>3650</v>
      </c>
      <c r="G49" s="205" t="s">
        <v>232</v>
      </c>
      <c r="H49" s="205" t="s">
        <v>3651</v>
      </c>
      <c r="I49" s="205" t="s">
        <v>3652</v>
      </c>
      <c r="J49" s="205" t="s">
        <v>3653</v>
      </c>
      <c r="K49" s="205" t="s">
        <v>453</v>
      </c>
      <c r="L49" s="205" t="s">
        <v>448</v>
      </c>
      <c r="M49" s="205" t="s">
        <v>455</v>
      </c>
      <c r="O49" s="200" t="s">
        <v>252</v>
      </c>
      <c r="P49" s="200" t="s">
        <v>3654</v>
      </c>
      <c r="Q49" s="205" t="s">
        <v>455</v>
      </c>
      <c r="R49" s="202">
        <v>50</v>
      </c>
      <c r="U49" s="205" t="s">
        <v>456</v>
      </c>
      <c r="X49" s="205" t="s">
        <v>295</v>
      </c>
      <c r="Y49" s="200" t="s">
        <v>580</v>
      </c>
      <c r="Z49" s="205" t="s">
        <v>3655</v>
      </c>
      <c r="AA49" s="200" t="s">
        <v>427</v>
      </c>
      <c r="AB49" s="205" t="s">
        <v>3656</v>
      </c>
      <c r="AC49" s="200" t="s">
        <v>296</v>
      </c>
      <c r="AD49" s="205" t="s">
        <v>3657</v>
      </c>
      <c r="AE49" s="205" t="s">
        <v>232</v>
      </c>
      <c r="AF49" s="205" t="s">
        <v>3658</v>
      </c>
      <c r="AG49" s="205" t="s">
        <v>239</v>
      </c>
      <c r="AH49" s="205" t="s">
        <v>239</v>
      </c>
      <c r="AI49" s="205" t="s">
        <v>3659</v>
      </c>
      <c r="AJ49" s="205" t="s">
        <v>3660</v>
      </c>
      <c r="AK49" s="205" t="s">
        <v>3661</v>
      </c>
      <c r="AL49" s="205" t="s">
        <v>239</v>
      </c>
      <c r="AM49" s="205" t="s">
        <v>239</v>
      </c>
      <c r="AN49" s="205" t="s">
        <v>239</v>
      </c>
      <c r="AO49" s="200" t="s">
        <v>235</v>
      </c>
      <c r="AP49" s="200" t="s">
        <v>235</v>
      </c>
      <c r="AQ49" s="200" t="s">
        <v>235</v>
      </c>
      <c r="AR49" s="200" t="s">
        <v>239</v>
      </c>
      <c r="AS49" s="200" t="s">
        <v>299</v>
      </c>
      <c r="AT49" s="200" t="s">
        <v>299</v>
      </c>
      <c r="AU49" s="200" t="s">
        <v>241</v>
      </c>
      <c r="AV49" s="205" t="s">
        <v>242</v>
      </c>
      <c r="AW49" s="205" t="s">
        <v>243</v>
      </c>
      <c r="AY49" s="200" t="s">
        <v>239</v>
      </c>
      <c r="AZ49" s="205" t="s">
        <v>3662</v>
      </c>
      <c r="BA49" s="205" t="s">
        <v>244</v>
      </c>
      <c r="BB49" s="205" t="s">
        <v>244</v>
      </c>
      <c r="BC49" s="200" t="s">
        <v>256</v>
      </c>
      <c r="BD49" s="205" t="s">
        <v>239</v>
      </c>
      <c r="BE49" s="205" t="s">
        <v>446</v>
      </c>
      <c r="BF49" s="205" t="s">
        <v>457</v>
      </c>
      <c r="BH49" s="205" t="s">
        <v>456</v>
      </c>
      <c r="BI49" s="202">
        <v>50</v>
      </c>
    </row>
    <row r="50" spans="1:65" x14ac:dyDescent="0.25">
      <c r="A50" s="205" t="s">
        <v>2780</v>
      </c>
      <c r="B50" s="205" t="s">
        <v>3663</v>
      </c>
      <c r="C50" s="205" t="s">
        <v>3664</v>
      </c>
      <c r="D50" s="205" t="s">
        <v>3665</v>
      </c>
      <c r="E50" s="201">
        <v>42289</v>
      </c>
      <c r="F50" s="205" t="s">
        <v>310</v>
      </c>
      <c r="G50" s="205" t="s">
        <v>232</v>
      </c>
      <c r="H50" s="205" t="s">
        <v>3666</v>
      </c>
      <c r="I50" s="205" t="s">
        <v>3667</v>
      </c>
      <c r="K50" s="205" t="s">
        <v>453</v>
      </c>
      <c r="L50" s="205" t="s">
        <v>448</v>
      </c>
      <c r="M50" s="205" t="s">
        <v>449</v>
      </c>
      <c r="O50" s="200" t="s">
        <v>344</v>
      </c>
      <c r="P50" s="200" t="s">
        <v>3668</v>
      </c>
      <c r="Q50" s="205" t="s">
        <v>449</v>
      </c>
      <c r="R50" s="202">
        <v>51</v>
      </c>
      <c r="U50" s="205" t="s">
        <v>456</v>
      </c>
      <c r="X50" s="205" t="s">
        <v>295</v>
      </c>
      <c r="Y50" s="200" t="s">
        <v>610</v>
      </c>
      <c r="Z50" s="205" t="s">
        <v>3669</v>
      </c>
      <c r="AA50" s="200" t="s">
        <v>428</v>
      </c>
      <c r="AB50" s="205" t="s">
        <v>3670</v>
      </c>
      <c r="AC50" s="200" t="s">
        <v>296</v>
      </c>
      <c r="AD50" s="205" t="s">
        <v>237</v>
      </c>
      <c r="AE50" s="205" t="s">
        <v>232</v>
      </c>
      <c r="AF50" s="205" t="s">
        <v>3671</v>
      </c>
      <c r="AG50" s="205" t="s">
        <v>239</v>
      </c>
      <c r="AH50" s="205" t="s">
        <v>239</v>
      </c>
      <c r="AI50" s="205" t="s">
        <v>3672</v>
      </c>
      <c r="AJ50" s="205" t="s">
        <v>3673</v>
      </c>
      <c r="AK50" s="205" t="s">
        <v>239</v>
      </c>
      <c r="AL50" s="205" t="s">
        <v>239</v>
      </c>
      <c r="AM50" s="205" t="s">
        <v>239</v>
      </c>
      <c r="AN50" s="205" t="s">
        <v>239</v>
      </c>
      <c r="AO50" s="200" t="s">
        <v>235</v>
      </c>
      <c r="AP50" s="200" t="s">
        <v>235</v>
      </c>
      <c r="AQ50" s="200" t="s">
        <v>235</v>
      </c>
      <c r="AR50" s="200" t="s">
        <v>235</v>
      </c>
      <c r="AS50" s="200" t="s">
        <v>299</v>
      </c>
      <c r="AT50" s="200" t="s">
        <v>299</v>
      </c>
      <c r="AU50" s="200" t="s">
        <v>240</v>
      </c>
      <c r="AV50" s="205" t="s">
        <v>242</v>
      </c>
      <c r="AW50" s="205" t="s">
        <v>243</v>
      </c>
      <c r="AY50" s="200" t="s">
        <v>239</v>
      </c>
      <c r="AZ50" s="205" t="s">
        <v>3674</v>
      </c>
      <c r="BA50" s="205" t="s">
        <v>244</v>
      </c>
      <c r="BB50" s="205" t="s">
        <v>244</v>
      </c>
      <c r="BD50" s="205" t="s">
        <v>239</v>
      </c>
      <c r="BE50" s="205" t="s">
        <v>446</v>
      </c>
      <c r="BF50" s="205" t="s">
        <v>457</v>
      </c>
      <c r="BH50" s="205" t="s">
        <v>456</v>
      </c>
      <c r="BI50" s="202">
        <v>51</v>
      </c>
    </row>
    <row r="51" spans="1:65" x14ac:dyDescent="0.25">
      <c r="A51" s="205" t="s">
        <v>3675</v>
      </c>
      <c r="B51" s="205" t="s">
        <v>3676</v>
      </c>
      <c r="C51" s="205" t="s">
        <v>3677</v>
      </c>
      <c r="D51" s="205" t="s">
        <v>3678</v>
      </c>
      <c r="E51" s="201">
        <v>42289</v>
      </c>
      <c r="F51" s="205" t="s">
        <v>399</v>
      </c>
      <c r="G51" s="205" t="s">
        <v>232</v>
      </c>
      <c r="H51" s="205" t="s">
        <v>3679</v>
      </c>
      <c r="I51" s="205" t="s">
        <v>3680</v>
      </c>
      <c r="K51" s="205" t="s">
        <v>450</v>
      </c>
      <c r="L51" s="205" t="s">
        <v>451</v>
      </c>
      <c r="M51" s="205" t="s">
        <v>452</v>
      </c>
      <c r="Q51" s="205" t="s">
        <v>452</v>
      </c>
      <c r="R51" s="202">
        <v>52</v>
      </c>
      <c r="U51" s="205" t="s">
        <v>456</v>
      </c>
      <c r="X51" s="205" t="s">
        <v>319</v>
      </c>
      <c r="Y51" s="200" t="s">
        <v>1059</v>
      </c>
      <c r="Z51" s="205" t="s">
        <v>1132</v>
      </c>
      <c r="AB51" s="205" t="s">
        <v>238</v>
      </c>
      <c r="AD51" s="205" t="s">
        <v>238</v>
      </c>
      <c r="AE51" s="205" t="s">
        <v>232</v>
      </c>
      <c r="AF51" s="205" t="s">
        <v>3681</v>
      </c>
      <c r="AG51" s="205" t="s">
        <v>239</v>
      </c>
      <c r="AH51" s="205" t="s">
        <v>239</v>
      </c>
      <c r="AI51" s="205" t="s">
        <v>3682</v>
      </c>
      <c r="AJ51" s="205" t="s">
        <v>309</v>
      </c>
      <c r="AK51" s="205" t="s">
        <v>3683</v>
      </c>
      <c r="AL51" s="205" t="s">
        <v>239</v>
      </c>
      <c r="AM51" s="205" t="s">
        <v>239</v>
      </c>
      <c r="AN51" s="205" t="s">
        <v>239</v>
      </c>
      <c r="AO51" s="200" t="s">
        <v>235</v>
      </c>
      <c r="AP51" s="200" t="s">
        <v>235</v>
      </c>
      <c r="AQ51" s="200" t="s">
        <v>235</v>
      </c>
      <c r="AR51" s="200" t="s">
        <v>239</v>
      </c>
      <c r="AS51" s="200" t="s">
        <v>299</v>
      </c>
      <c r="AT51" s="200" t="s">
        <v>299</v>
      </c>
      <c r="AU51" s="200" t="s">
        <v>241</v>
      </c>
      <c r="AV51" s="205" t="s">
        <v>242</v>
      </c>
      <c r="AW51" s="205" t="s">
        <v>243</v>
      </c>
      <c r="AY51" s="200" t="s">
        <v>239</v>
      </c>
      <c r="AZ51" s="205" t="s">
        <v>3684</v>
      </c>
      <c r="BA51" s="205" t="s">
        <v>244</v>
      </c>
      <c r="BB51" s="205" t="s">
        <v>244</v>
      </c>
      <c r="BD51" s="205" t="s">
        <v>239</v>
      </c>
      <c r="BE51" s="205" t="s">
        <v>446</v>
      </c>
      <c r="BF51" s="205" t="s">
        <v>457</v>
      </c>
      <c r="BH51" s="205" t="s">
        <v>456</v>
      </c>
      <c r="BI51" s="202">
        <v>52</v>
      </c>
    </row>
    <row r="52" spans="1:65" x14ac:dyDescent="0.25">
      <c r="A52" s="205" t="s">
        <v>3675</v>
      </c>
      <c r="B52" s="205" t="s">
        <v>3685</v>
      </c>
      <c r="C52" s="205" t="s">
        <v>3686</v>
      </c>
      <c r="D52" s="205" t="s">
        <v>3687</v>
      </c>
      <c r="E52" s="201">
        <v>42289</v>
      </c>
      <c r="F52" s="205" t="s">
        <v>3688</v>
      </c>
      <c r="G52" s="205" t="s">
        <v>232</v>
      </c>
      <c r="H52" s="205" t="s">
        <v>3689</v>
      </c>
      <c r="I52" s="205" t="s">
        <v>3690</v>
      </c>
      <c r="K52" s="205" t="s">
        <v>447</v>
      </c>
      <c r="L52" s="205" t="s">
        <v>448</v>
      </c>
      <c r="M52" s="205" t="s">
        <v>449</v>
      </c>
      <c r="O52" s="200" t="s">
        <v>468</v>
      </c>
      <c r="P52" s="200" t="s">
        <v>3691</v>
      </c>
      <c r="Q52" s="205" t="s">
        <v>449</v>
      </c>
      <c r="R52" s="202">
        <v>53</v>
      </c>
      <c r="U52" s="205" t="s">
        <v>456</v>
      </c>
      <c r="X52" s="205" t="s">
        <v>295</v>
      </c>
      <c r="Y52" s="200" t="s">
        <v>517</v>
      </c>
      <c r="Z52" s="205" t="s">
        <v>3692</v>
      </c>
      <c r="AA52" s="200" t="s">
        <v>321</v>
      </c>
      <c r="AB52" s="205" t="s">
        <v>285</v>
      </c>
      <c r="AC52" s="200" t="s">
        <v>1002</v>
      </c>
      <c r="AD52" s="205" t="s">
        <v>3693</v>
      </c>
      <c r="AE52" s="205" t="s">
        <v>232</v>
      </c>
      <c r="AF52" s="205" t="s">
        <v>3694</v>
      </c>
      <c r="AG52" s="205" t="s">
        <v>239</v>
      </c>
      <c r="AH52" s="205" t="s">
        <v>239</v>
      </c>
      <c r="AI52" s="205" t="s">
        <v>3695</v>
      </c>
      <c r="AJ52" s="205" t="s">
        <v>3696</v>
      </c>
      <c r="AK52" s="205" t="s">
        <v>239</v>
      </c>
      <c r="AL52" s="205" t="s">
        <v>239</v>
      </c>
      <c r="AM52" s="205" t="s">
        <v>239</v>
      </c>
      <c r="AN52" s="205" t="s">
        <v>239</v>
      </c>
      <c r="AO52" s="200" t="s">
        <v>239</v>
      </c>
      <c r="AP52" s="200" t="s">
        <v>239</v>
      </c>
      <c r="AQ52" s="200" t="s">
        <v>235</v>
      </c>
      <c r="AR52" s="200" t="s">
        <v>239</v>
      </c>
      <c r="AS52" s="200" t="s">
        <v>262</v>
      </c>
      <c r="AT52" s="200" t="s">
        <v>299</v>
      </c>
      <c r="AU52" s="200" t="s">
        <v>241</v>
      </c>
      <c r="AV52" s="205" t="s">
        <v>242</v>
      </c>
      <c r="AW52" s="205" t="s">
        <v>243</v>
      </c>
      <c r="AY52" s="200" t="s">
        <v>239</v>
      </c>
      <c r="AZ52" s="205" t="s">
        <v>3697</v>
      </c>
      <c r="BA52" s="205" t="s">
        <v>3697</v>
      </c>
      <c r="BB52" s="205" t="s">
        <v>244</v>
      </c>
      <c r="BC52" s="200" t="s">
        <v>256</v>
      </c>
      <c r="BD52" s="205" t="s">
        <v>239</v>
      </c>
      <c r="BE52" s="205" t="s">
        <v>446</v>
      </c>
      <c r="BF52" s="205" t="s">
        <v>457</v>
      </c>
      <c r="BH52" s="205" t="s">
        <v>456</v>
      </c>
      <c r="BI52" s="202">
        <v>53</v>
      </c>
      <c r="BJ52" s="201">
        <v>42293</v>
      </c>
      <c r="BK52" s="203" t="s">
        <v>245</v>
      </c>
      <c r="BL52" s="204">
        <v>75.45</v>
      </c>
      <c r="BM52" s="205">
        <v>42</v>
      </c>
    </row>
    <row r="53" spans="1:65" x14ac:dyDescent="0.25">
      <c r="A53" s="205" t="s">
        <v>3675</v>
      </c>
      <c r="B53" s="205" t="s">
        <v>3698</v>
      </c>
      <c r="C53" s="205" t="s">
        <v>3699</v>
      </c>
      <c r="D53" s="205" t="s">
        <v>3700</v>
      </c>
      <c r="E53" s="201">
        <v>42289</v>
      </c>
      <c r="F53" s="205" t="s">
        <v>641</v>
      </c>
      <c r="G53" s="205" t="s">
        <v>232</v>
      </c>
      <c r="H53" s="205" t="s">
        <v>3701</v>
      </c>
      <c r="I53" s="205" t="s">
        <v>3702</v>
      </c>
      <c r="K53" s="205" t="s">
        <v>450</v>
      </c>
      <c r="L53" s="205" t="s">
        <v>451</v>
      </c>
      <c r="M53" s="205" t="s">
        <v>452</v>
      </c>
      <c r="O53" s="200" t="s">
        <v>513</v>
      </c>
      <c r="P53" s="200" t="s">
        <v>3703</v>
      </c>
      <c r="Q53" s="205" t="s">
        <v>452</v>
      </c>
      <c r="R53" s="202">
        <v>54</v>
      </c>
      <c r="U53" s="205" t="s">
        <v>456</v>
      </c>
      <c r="X53" s="205" t="s">
        <v>291</v>
      </c>
      <c r="Y53" s="200" t="s">
        <v>1059</v>
      </c>
      <c r="Z53" s="205" t="s">
        <v>237</v>
      </c>
      <c r="AA53" s="200" t="s">
        <v>664</v>
      </c>
      <c r="AB53" s="205" t="s">
        <v>595</v>
      </c>
      <c r="AD53" s="205" t="s">
        <v>238</v>
      </c>
      <c r="AE53" s="205" t="s">
        <v>232</v>
      </c>
      <c r="AF53" s="205" t="s">
        <v>3704</v>
      </c>
      <c r="AG53" s="205" t="s">
        <v>239</v>
      </c>
      <c r="AH53" s="205" t="s">
        <v>239</v>
      </c>
      <c r="AI53" s="205" t="s">
        <v>3705</v>
      </c>
      <c r="AJ53" s="205" t="s">
        <v>3706</v>
      </c>
      <c r="AK53" s="205" t="s">
        <v>3707</v>
      </c>
      <c r="AL53" s="205" t="s">
        <v>239</v>
      </c>
      <c r="AM53" s="205" t="s">
        <v>239</v>
      </c>
      <c r="AN53" s="205" t="s">
        <v>239</v>
      </c>
      <c r="AO53" s="200" t="s">
        <v>235</v>
      </c>
      <c r="AP53" s="200" t="s">
        <v>235</v>
      </c>
      <c r="AQ53" s="200" t="s">
        <v>235</v>
      </c>
      <c r="AR53" s="200" t="s">
        <v>239</v>
      </c>
      <c r="AS53" s="200" t="s">
        <v>299</v>
      </c>
      <c r="AT53" s="200" t="s">
        <v>299</v>
      </c>
      <c r="AU53" s="200" t="s">
        <v>241</v>
      </c>
      <c r="AV53" s="205" t="s">
        <v>242</v>
      </c>
      <c r="AW53" s="205" t="s">
        <v>243</v>
      </c>
      <c r="AX53" s="200" t="s">
        <v>2602</v>
      </c>
      <c r="AY53" s="200" t="s">
        <v>235</v>
      </c>
      <c r="AZ53" s="205" t="s">
        <v>3708</v>
      </c>
      <c r="BA53" s="205" t="s">
        <v>244</v>
      </c>
      <c r="BB53" s="205" t="s">
        <v>244</v>
      </c>
      <c r="BD53" s="205" t="s">
        <v>239</v>
      </c>
      <c r="BE53" s="205" t="s">
        <v>446</v>
      </c>
      <c r="BF53" s="205" t="s">
        <v>457</v>
      </c>
      <c r="BH53" s="205" t="s">
        <v>456</v>
      </c>
      <c r="BI53" s="202">
        <v>54</v>
      </c>
    </row>
    <row r="54" spans="1:65" x14ac:dyDescent="0.25">
      <c r="A54" s="205" t="s">
        <v>3675</v>
      </c>
      <c r="B54" s="205" t="s">
        <v>3709</v>
      </c>
      <c r="C54" s="205" t="s">
        <v>3710</v>
      </c>
      <c r="D54" s="205" t="s">
        <v>3711</v>
      </c>
      <c r="E54" s="201">
        <v>42289</v>
      </c>
      <c r="F54" s="205" t="s">
        <v>3347</v>
      </c>
      <c r="G54" s="205" t="s">
        <v>232</v>
      </c>
      <c r="H54" s="205" t="s">
        <v>3712</v>
      </c>
      <c r="I54" s="205" t="s">
        <v>3713</v>
      </c>
      <c r="K54" s="205" t="s">
        <v>450</v>
      </c>
      <c r="L54" s="205" t="s">
        <v>451</v>
      </c>
      <c r="M54" s="205" t="s">
        <v>452</v>
      </c>
      <c r="O54" s="200" t="s">
        <v>3714</v>
      </c>
      <c r="P54" s="200" t="s">
        <v>3715</v>
      </c>
      <c r="Q54" s="205" t="s">
        <v>452</v>
      </c>
      <c r="R54" s="202">
        <v>55</v>
      </c>
      <c r="U54" s="205" t="s">
        <v>456</v>
      </c>
      <c r="X54" s="205" t="s">
        <v>275</v>
      </c>
      <c r="Y54" s="200" t="s">
        <v>603</v>
      </c>
      <c r="Z54" s="205" t="s">
        <v>3716</v>
      </c>
      <c r="AA54" s="200" t="s">
        <v>550</v>
      </c>
      <c r="AB54" s="205" t="s">
        <v>3717</v>
      </c>
      <c r="AC54" s="200" t="s">
        <v>320</v>
      </c>
      <c r="AD54" s="205" t="s">
        <v>3718</v>
      </c>
      <c r="AE54" s="205" t="s">
        <v>232</v>
      </c>
      <c r="AF54" s="205" t="s">
        <v>3719</v>
      </c>
      <c r="AG54" s="205" t="s">
        <v>239</v>
      </c>
      <c r="AH54" s="205" t="s">
        <v>239</v>
      </c>
      <c r="AI54" s="205" t="s">
        <v>3720</v>
      </c>
      <c r="AJ54" s="205" t="s">
        <v>3721</v>
      </c>
      <c r="AK54" s="205" t="s">
        <v>630</v>
      </c>
      <c r="AL54" s="205" t="s">
        <v>239</v>
      </c>
      <c r="AM54" s="205" t="s">
        <v>239</v>
      </c>
      <c r="AN54" s="205" t="s">
        <v>239</v>
      </c>
      <c r="AO54" s="200" t="s">
        <v>235</v>
      </c>
      <c r="AP54" s="200" t="s">
        <v>235</v>
      </c>
      <c r="AQ54" s="200" t="s">
        <v>235</v>
      </c>
      <c r="AR54" s="200" t="s">
        <v>235</v>
      </c>
      <c r="AS54" s="200" t="s">
        <v>299</v>
      </c>
      <c r="AT54" s="200" t="s">
        <v>299</v>
      </c>
      <c r="AU54" s="200" t="s">
        <v>299</v>
      </c>
      <c r="AV54" s="205" t="s">
        <v>242</v>
      </c>
      <c r="AW54" s="205" t="s">
        <v>243</v>
      </c>
      <c r="AY54" s="200" t="s">
        <v>239</v>
      </c>
      <c r="AZ54" s="205" t="s">
        <v>3722</v>
      </c>
      <c r="BA54" s="205" t="s">
        <v>244</v>
      </c>
      <c r="BB54" s="205" t="s">
        <v>244</v>
      </c>
      <c r="BD54" s="205" t="s">
        <v>239</v>
      </c>
      <c r="BE54" s="205" t="s">
        <v>446</v>
      </c>
      <c r="BF54" s="205" t="s">
        <v>457</v>
      </c>
      <c r="BH54" s="205" t="s">
        <v>456</v>
      </c>
      <c r="BI54" s="202">
        <v>55</v>
      </c>
    </row>
    <row r="55" spans="1:65" x14ac:dyDescent="0.25">
      <c r="A55" s="205" t="s">
        <v>3675</v>
      </c>
      <c r="B55" s="205" t="s">
        <v>3723</v>
      </c>
      <c r="C55" s="205" t="s">
        <v>3724</v>
      </c>
      <c r="D55" s="205" t="s">
        <v>3725</v>
      </c>
      <c r="E55" s="201">
        <v>42289</v>
      </c>
      <c r="F55" s="205" t="s">
        <v>397</v>
      </c>
      <c r="G55" s="205" t="s">
        <v>232</v>
      </c>
      <c r="H55" s="205" t="s">
        <v>3726</v>
      </c>
      <c r="I55" s="205" t="s">
        <v>3727</v>
      </c>
      <c r="J55" s="205" t="s">
        <v>3728</v>
      </c>
      <c r="K55" s="205" t="s">
        <v>464</v>
      </c>
      <c r="L55" s="205" t="s">
        <v>465</v>
      </c>
      <c r="M55" s="205" t="s">
        <v>466</v>
      </c>
      <c r="O55" s="200" t="s">
        <v>274</v>
      </c>
      <c r="P55" s="200" t="s">
        <v>3729</v>
      </c>
      <c r="Q55" s="205" t="s">
        <v>466</v>
      </c>
      <c r="R55" s="202">
        <v>56</v>
      </c>
      <c r="U55" s="205" t="s">
        <v>456</v>
      </c>
      <c r="X55" s="205" t="s">
        <v>390</v>
      </c>
      <c r="Y55" s="200" t="s">
        <v>2525</v>
      </c>
      <c r="Z55" s="205" t="s">
        <v>3730</v>
      </c>
      <c r="AA55" s="200" t="s">
        <v>628</v>
      </c>
      <c r="AB55" s="205" t="s">
        <v>3731</v>
      </c>
      <c r="AD55" s="205" t="s">
        <v>238</v>
      </c>
      <c r="AE55" s="205" t="s">
        <v>232</v>
      </c>
      <c r="AF55" s="205" t="s">
        <v>3732</v>
      </c>
      <c r="AG55" s="205" t="s">
        <v>3733</v>
      </c>
      <c r="AH55" s="205" t="s">
        <v>239</v>
      </c>
      <c r="AI55" s="205" t="s">
        <v>3734</v>
      </c>
      <c r="AJ55" s="205" t="s">
        <v>239</v>
      </c>
      <c r="AK55" s="205" t="s">
        <v>3735</v>
      </c>
      <c r="AL55" s="205" t="s">
        <v>239</v>
      </c>
      <c r="AM55" s="205" t="s">
        <v>239</v>
      </c>
      <c r="AN55" s="205" t="s">
        <v>239</v>
      </c>
      <c r="AO55" s="200" t="s">
        <v>235</v>
      </c>
      <c r="AP55" s="200" t="s">
        <v>235</v>
      </c>
      <c r="AQ55" s="200" t="s">
        <v>235</v>
      </c>
      <c r="AR55" s="200" t="s">
        <v>235</v>
      </c>
      <c r="AS55" s="200" t="s">
        <v>299</v>
      </c>
      <c r="AT55" s="200" t="s">
        <v>299</v>
      </c>
      <c r="AU55" s="200" t="s">
        <v>299</v>
      </c>
      <c r="AV55" s="205" t="s">
        <v>242</v>
      </c>
      <c r="AW55" s="205" t="s">
        <v>243</v>
      </c>
      <c r="AX55" s="200" t="s">
        <v>3736</v>
      </c>
      <c r="AY55" s="200" t="s">
        <v>300</v>
      </c>
      <c r="AZ55" s="205" t="s">
        <v>3737</v>
      </c>
      <c r="BA55" s="205" t="s">
        <v>244</v>
      </c>
      <c r="BB55" s="205" t="s">
        <v>244</v>
      </c>
      <c r="BD55" s="205" t="s">
        <v>239</v>
      </c>
      <c r="BE55" s="205" t="s">
        <v>446</v>
      </c>
      <c r="BF55" s="205" t="s">
        <v>457</v>
      </c>
      <c r="BH55" s="205" t="s">
        <v>456</v>
      </c>
      <c r="BI55" s="202">
        <v>56</v>
      </c>
    </row>
    <row r="56" spans="1:65" x14ac:dyDescent="0.25">
      <c r="A56" s="205" t="s">
        <v>3675</v>
      </c>
      <c r="B56" s="205" t="s">
        <v>3738</v>
      </c>
      <c r="C56" s="205" t="s">
        <v>3739</v>
      </c>
      <c r="D56" s="205" t="s">
        <v>3740</v>
      </c>
      <c r="E56" s="201">
        <v>42289</v>
      </c>
      <c r="F56" s="205" t="s">
        <v>3741</v>
      </c>
      <c r="G56" s="205" t="s">
        <v>232</v>
      </c>
      <c r="H56" s="205" t="s">
        <v>3742</v>
      </c>
      <c r="I56" s="205" t="s">
        <v>3743</v>
      </c>
      <c r="K56" s="205" t="s">
        <v>450</v>
      </c>
      <c r="L56" s="205" t="s">
        <v>451</v>
      </c>
      <c r="M56" s="205" t="s">
        <v>463</v>
      </c>
      <c r="O56" s="200" t="s">
        <v>513</v>
      </c>
      <c r="P56" s="200" t="s">
        <v>3744</v>
      </c>
      <c r="Q56" s="205" t="s">
        <v>463</v>
      </c>
      <c r="R56" s="202">
        <v>57</v>
      </c>
      <c r="U56" s="205" t="s">
        <v>456</v>
      </c>
      <c r="X56" s="205" t="s">
        <v>272</v>
      </c>
      <c r="Y56" s="200" t="s">
        <v>2070</v>
      </c>
      <c r="Z56" s="205" t="s">
        <v>260</v>
      </c>
      <c r="AA56" s="200" t="s">
        <v>548</v>
      </c>
      <c r="AB56" s="205" t="s">
        <v>3745</v>
      </c>
      <c r="AC56" s="200" t="s">
        <v>517</v>
      </c>
      <c r="AD56" s="205" t="s">
        <v>3208</v>
      </c>
      <c r="AE56" s="205" t="s">
        <v>232</v>
      </c>
      <c r="AF56" s="205" t="s">
        <v>3746</v>
      </c>
      <c r="AG56" s="205" t="s">
        <v>239</v>
      </c>
      <c r="AH56" s="205" t="s">
        <v>239</v>
      </c>
      <c r="AI56" s="205" t="s">
        <v>3747</v>
      </c>
      <c r="AJ56" s="205" t="s">
        <v>3748</v>
      </c>
      <c r="AK56" s="205" t="s">
        <v>3749</v>
      </c>
      <c r="AL56" s="205" t="s">
        <v>239</v>
      </c>
      <c r="AM56" s="205" t="s">
        <v>239</v>
      </c>
      <c r="AN56" s="205" t="s">
        <v>239</v>
      </c>
      <c r="AO56" s="200" t="s">
        <v>235</v>
      </c>
      <c r="AP56" s="200" t="s">
        <v>235</v>
      </c>
      <c r="AQ56" s="200" t="s">
        <v>235</v>
      </c>
      <c r="AR56" s="200" t="s">
        <v>235</v>
      </c>
      <c r="AS56" s="200" t="s">
        <v>299</v>
      </c>
      <c r="AT56" s="200" t="s">
        <v>299</v>
      </c>
      <c r="AU56" s="200" t="s">
        <v>299</v>
      </c>
      <c r="AV56" s="205" t="s">
        <v>242</v>
      </c>
      <c r="AW56" s="205" t="s">
        <v>243</v>
      </c>
      <c r="AX56" s="200" t="s">
        <v>1582</v>
      </c>
      <c r="AY56" s="200" t="s">
        <v>300</v>
      </c>
      <c r="AZ56" s="205" t="s">
        <v>3750</v>
      </c>
      <c r="BA56" s="205" t="s">
        <v>244</v>
      </c>
      <c r="BB56" s="205" t="s">
        <v>244</v>
      </c>
      <c r="BD56" s="205" t="s">
        <v>239</v>
      </c>
      <c r="BE56" s="205" t="s">
        <v>446</v>
      </c>
      <c r="BF56" s="205" t="s">
        <v>457</v>
      </c>
      <c r="BH56" s="205" t="s">
        <v>456</v>
      </c>
      <c r="BI56" s="202">
        <v>57</v>
      </c>
    </row>
    <row r="57" spans="1:65" x14ac:dyDescent="0.25">
      <c r="A57" s="205" t="s">
        <v>3675</v>
      </c>
      <c r="B57" s="205" t="s">
        <v>3751</v>
      </c>
      <c r="C57" s="205" t="s">
        <v>3752</v>
      </c>
      <c r="D57" s="205" t="s">
        <v>3753</v>
      </c>
      <c r="E57" s="201">
        <v>42289</v>
      </c>
      <c r="F57" s="205" t="s">
        <v>338</v>
      </c>
      <c r="G57" s="205" t="s">
        <v>232</v>
      </c>
      <c r="H57" s="205" t="s">
        <v>3754</v>
      </c>
      <c r="I57" s="205" t="s">
        <v>3755</v>
      </c>
      <c r="K57" s="205" t="s">
        <v>447</v>
      </c>
      <c r="L57" s="205" t="s">
        <v>448</v>
      </c>
      <c r="M57" s="205" t="s">
        <v>455</v>
      </c>
      <c r="O57" s="200" t="s">
        <v>389</v>
      </c>
      <c r="P57" s="200" t="s">
        <v>3756</v>
      </c>
      <c r="Q57" s="205" t="s">
        <v>455</v>
      </c>
      <c r="R57" s="202">
        <v>58</v>
      </c>
      <c r="U57" s="205" t="s">
        <v>456</v>
      </c>
      <c r="X57" s="205" t="s">
        <v>271</v>
      </c>
      <c r="Y57" s="200" t="s">
        <v>603</v>
      </c>
      <c r="Z57" s="205" t="s">
        <v>370</v>
      </c>
      <c r="AB57" s="205" t="s">
        <v>238</v>
      </c>
      <c r="AD57" s="205" t="s">
        <v>238</v>
      </c>
      <c r="AE57" s="205" t="s">
        <v>232</v>
      </c>
      <c r="AF57" s="205" t="s">
        <v>3757</v>
      </c>
      <c r="AG57" s="205" t="s">
        <v>239</v>
      </c>
      <c r="AH57" s="205" t="s">
        <v>239</v>
      </c>
      <c r="AI57" s="205" t="s">
        <v>3758</v>
      </c>
      <c r="AJ57" s="205" t="s">
        <v>3759</v>
      </c>
      <c r="AK57" s="205" t="s">
        <v>239</v>
      </c>
      <c r="AL57" s="205" t="s">
        <v>239</v>
      </c>
      <c r="AM57" s="205" t="s">
        <v>239</v>
      </c>
      <c r="AN57" s="205" t="s">
        <v>239</v>
      </c>
      <c r="AO57" s="200" t="s">
        <v>235</v>
      </c>
      <c r="AP57" s="200" t="s">
        <v>235</v>
      </c>
      <c r="AQ57" s="200" t="s">
        <v>235</v>
      </c>
      <c r="AR57" s="200" t="s">
        <v>239</v>
      </c>
      <c r="AS57" s="200" t="s">
        <v>299</v>
      </c>
      <c r="AT57" s="200" t="s">
        <v>299</v>
      </c>
      <c r="AU57" s="200" t="s">
        <v>241</v>
      </c>
      <c r="AV57" s="205" t="s">
        <v>242</v>
      </c>
      <c r="AW57" s="205" t="s">
        <v>243</v>
      </c>
      <c r="AY57" s="200" t="s">
        <v>239</v>
      </c>
      <c r="AZ57" s="205" t="s">
        <v>3760</v>
      </c>
      <c r="BA57" s="205" t="s">
        <v>244</v>
      </c>
      <c r="BB57" s="205" t="s">
        <v>244</v>
      </c>
      <c r="BD57" s="205" t="s">
        <v>239</v>
      </c>
      <c r="BE57" s="205" t="s">
        <v>446</v>
      </c>
      <c r="BF57" s="205" t="s">
        <v>457</v>
      </c>
      <c r="BH57" s="205" t="s">
        <v>456</v>
      </c>
      <c r="BI57" s="202">
        <v>58</v>
      </c>
    </row>
    <row r="58" spans="1:65" x14ac:dyDescent="0.25">
      <c r="A58" s="205" t="s">
        <v>3675</v>
      </c>
      <c r="B58" s="205" t="s">
        <v>3761</v>
      </c>
      <c r="C58" s="205" t="s">
        <v>3762</v>
      </c>
      <c r="D58" s="205" t="s">
        <v>3763</v>
      </c>
      <c r="E58" s="201">
        <v>42289</v>
      </c>
      <c r="F58" s="205" t="s">
        <v>362</v>
      </c>
      <c r="G58" s="205" t="s">
        <v>232</v>
      </c>
      <c r="H58" s="205" t="s">
        <v>273</v>
      </c>
      <c r="I58" s="205" t="s">
        <v>3764</v>
      </c>
      <c r="J58" s="205" t="s">
        <v>3765</v>
      </c>
      <c r="K58" s="205" t="s">
        <v>450</v>
      </c>
      <c r="L58" s="205" t="s">
        <v>451</v>
      </c>
      <c r="M58" s="205" t="s">
        <v>452</v>
      </c>
      <c r="O58" s="200" t="s">
        <v>267</v>
      </c>
      <c r="P58" s="200" t="s">
        <v>3766</v>
      </c>
      <c r="Q58" s="205" t="s">
        <v>452</v>
      </c>
      <c r="R58" s="202">
        <v>59</v>
      </c>
      <c r="U58" s="205" t="s">
        <v>456</v>
      </c>
      <c r="V58" s="205" t="s">
        <v>2443</v>
      </c>
      <c r="X58" s="205" t="s">
        <v>319</v>
      </c>
      <c r="Z58" s="205" t="s">
        <v>238</v>
      </c>
      <c r="AB58" s="205" t="s">
        <v>238</v>
      </c>
      <c r="AD58" s="205" t="s">
        <v>238</v>
      </c>
      <c r="AE58" s="205" t="s">
        <v>232</v>
      </c>
      <c r="AF58" s="205" t="s">
        <v>1202</v>
      </c>
      <c r="AG58" s="205" t="s">
        <v>239</v>
      </c>
      <c r="AH58" s="205" t="s">
        <v>239</v>
      </c>
      <c r="AI58" s="205" t="s">
        <v>3767</v>
      </c>
      <c r="AJ58" s="205" t="s">
        <v>3768</v>
      </c>
      <c r="AK58" s="205" t="s">
        <v>239</v>
      </c>
      <c r="AL58" s="205" t="s">
        <v>239</v>
      </c>
      <c r="AM58" s="205" t="s">
        <v>239</v>
      </c>
      <c r="AN58" s="205" t="s">
        <v>239</v>
      </c>
      <c r="AO58" s="200" t="s">
        <v>235</v>
      </c>
      <c r="AP58" s="200" t="s">
        <v>239</v>
      </c>
      <c r="AQ58" s="200" t="s">
        <v>235</v>
      </c>
      <c r="AR58" s="200" t="s">
        <v>235</v>
      </c>
      <c r="AS58" s="200" t="s">
        <v>299</v>
      </c>
      <c r="AT58" s="200" t="s">
        <v>299</v>
      </c>
      <c r="AU58" s="200" t="s">
        <v>299</v>
      </c>
      <c r="AV58" s="205" t="s">
        <v>242</v>
      </c>
      <c r="AW58" s="205" t="s">
        <v>243</v>
      </c>
      <c r="AY58" s="200" t="s">
        <v>239</v>
      </c>
      <c r="AZ58" s="205" t="s">
        <v>244</v>
      </c>
      <c r="BA58" s="205" t="s">
        <v>244</v>
      </c>
      <c r="BB58" s="205" t="s">
        <v>3769</v>
      </c>
      <c r="BD58" s="205" t="s">
        <v>239</v>
      </c>
      <c r="BE58" s="205" t="s">
        <v>446</v>
      </c>
      <c r="BF58" s="205" t="s">
        <v>457</v>
      </c>
      <c r="BH58" s="205" t="s">
        <v>456</v>
      </c>
      <c r="BI58" s="202">
        <v>59</v>
      </c>
    </row>
    <row r="59" spans="1:65" x14ac:dyDescent="0.25">
      <c r="A59" s="205" t="s">
        <v>3675</v>
      </c>
      <c r="B59" s="205" t="s">
        <v>3770</v>
      </c>
      <c r="C59" s="205" t="s">
        <v>3771</v>
      </c>
      <c r="D59" s="205" t="s">
        <v>3772</v>
      </c>
      <c r="E59" s="201">
        <v>42289</v>
      </c>
      <c r="F59" s="205" t="s">
        <v>3773</v>
      </c>
      <c r="G59" s="205" t="s">
        <v>232</v>
      </c>
      <c r="H59" s="205" t="s">
        <v>3774</v>
      </c>
      <c r="I59" s="205" t="s">
        <v>3775</v>
      </c>
      <c r="J59" s="205" t="s">
        <v>353</v>
      </c>
      <c r="K59" s="205" t="s">
        <v>450</v>
      </c>
      <c r="L59" s="205" t="s">
        <v>451</v>
      </c>
      <c r="M59" s="205" t="s">
        <v>452</v>
      </c>
      <c r="O59" s="200" t="s">
        <v>377</v>
      </c>
      <c r="P59" s="200" t="s">
        <v>3776</v>
      </c>
      <c r="Q59" s="205" t="s">
        <v>452</v>
      </c>
      <c r="R59" s="202">
        <v>60</v>
      </c>
      <c r="U59" s="205" t="s">
        <v>456</v>
      </c>
      <c r="X59" s="205" t="s">
        <v>390</v>
      </c>
      <c r="Y59" s="200" t="s">
        <v>574</v>
      </c>
      <c r="Z59" s="205" t="s">
        <v>3777</v>
      </c>
      <c r="AA59" s="200" t="s">
        <v>510</v>
      </c>
      <c r="AB59" s="205" t="s">
        <v>3778</v>
      </c>
      <c r="AC59" s="200" t="s">
        <v>297</v>
      </c>
      <c r="AD59" s="205" t="s">
        <v>3779</v>
      </c>
      <c r="AE59" s="205" t="s">
        <v>232</v>
      </c>
      <c r="AF59" s="205" t="s">
        <v>3780</v>
      </c>
      <c r="AG59" s="205" t="s">
        <v>239</v>
      </c>
      <c r="AH59" s="205" t="s">
        <v>239</v>
      </c>
      <c r="AI59" s="205" t="s">
        <v>3781</v>
      </c>
      <c r="AJ59" s="205" t="s">
        <v>3782</v>
      </c>
      <c r="AK59" s="205" t="s">
        <v>239</v>
      </c>
      <c r="AL59" s="205" t="s">
        <v>239</v>
      </c>
      <c r="AM59" s="205" t="s">
        <v>239</v>
      </c>
      <c r="AN59" s="205" t="s">
        <v>239</v>
      </c>
      <c r="AO59" s="200" t="s">
        <v>235</v>
      </c>
      <c r="AP59" s="200" t="s">
        <v>235</v>
      </c>
      <c r="AQ59" s="200" t="s">
        <v>235</v>
      </c>
      <c r="AR59" s="200" t="s">
        <v>235</v>
      </c>
      <c r="AS59" s="200" t="s">
        <v>299</v>
      </c>
      <c r="AT59" s="200" t="s">
        <v>299</v>
      </c>
      <c r="AU59" s="200" t="s">
        <v>299</v>
      </c>
      <c r="AV59" s="205" t="s">
        <v>242</v>
      </c>
      <c r="AW59" s="205" t="s">
        <v>243</v>
      </c>
      <c r="AY59" s="200" t="s">
        <v>239</v>
      </c>
      <c r="AZ59" s="205" t="s">
        <v>3783</v>
      </c>
      <c r="BA59" s="205" t="s">
        <v>244</v>
      </c>
      <c r="BB59" s="205" t="s">
        <v>244</v>
      </c>
      <c r="BD59" s="205" t="s">
        <v>239</v>
      </c>
      <c r="BE59" s="205" t="s">
        <v>446</v>
      </c>
      <c r="BF59" s="205" t="s">
        <v>457</v>
      </c>
      <c r="BH59" s="205" t="s">
        <v>456</v>
      </c>
      <c r="BI59" s="202">
        <v>60</v>
      </c>
    </row>
    <row r="60" spans="1:65" x14ac:dyDescent="0.25">
      <c r="A60" s="205" t="s">
        <v>3675</v>
      </c>
      <c r="B60" s="205" t="s">
        <v>3784</v>
      </c>
      <c r="C60" s="205" t="s">
        <v>3785</v>
      </c>
      <c r="D60" s="205" t="s">
        <v>3786</v>
      </c>
      <c r="E60" s="201">
        <v>42289</v>
      </c>
      <c r="F60" s="205" t="s">
        <v>3787</v>
      </c>
      <c r="G60" s="205" t="s">
        <v>232</v>
      </c>
      <c r="H60" s="205" t="s">
        <v>3788</v>
      </c>
      <c r="I60" s="205" t="s">
        <v>3789</v>
      </c>
      <c r="J60" s="205" t="s">
        <v>418</v>
      </c>
      <c r="K60" s="205" t="s">
        <v>450</v>
      </c>
      <c r="L60" s="205" t="s">
        <v>451</v>
      </c>
      <c r="M60" s="205" t="s">
        <v>452</v>
      </c>
      <c r="O60" s="200" t="s">
        <v>267</v>
      </c>
      <c r="P60" s="200" t="s">
        <v>3790</v>
      </c>
      <c r="Q60" s="205" t="s">
        <v>452</v>
      </c>
      <c r="R60" s="202">
        <v>61</v>
      </c>
      <c r="U60" s="205" t="s">
        <v>456</v>
      </c>
      <c r="X60" s="205" t="s">
        <v>331</v>
      </c>
      <c r="Y60" s="200" t="s">
        <v>639</v>
      </c>
      <c r="Z60" s="205" t="s">
        <v>3791</v>
      </c>
      <c r="AA60" s="200" t="s">
        <v>266</v>
      </c>
      <c r="AB60" s="205" t="s">
        <v>3792</v>
      </c>
      <c r="AC60" s="200" t="s">
        <v>2245</v>
      </c>
      <c r="AD60" s="205" t="s">
        <v>3793</v>
      </c>
      <c r="AE60" s="205" t="s">
        <v>232</v>
      </c>
      <c r="AF60" s="205" t="s">
        <v>3794</v>
      </c>
      <c r="AG60" s="205" t="s">
        <v>239</v>
      </c>
      <c r="AH60" s="205" t="s">
        <v>239</v>
      </c>
      <c r="AI60" s="205" t="s">
        <v>3166</v>
      </c>
      <c r="AJ60" s="205" t="s">
        <v>3795</v>
      </c>
      <c r="AK60" s="205" t="s">
        <v>239</v>
      </c>
      <c r="AL60" s="205" t="s">
        <v>239</v>
      </c>
      <c r="AM60" s="205" t="s">
        <v>239</v>
      </c>
      <c r="AN60" s="205" t="s">
        <v>239</v>
      </c>
      <c r="AO60" s="200" t="s">
        <v>235</v>
      </c>
      <c r="AP60" s="200" t="s">
        <v>235</v>
      </c>
      <c r="AQ60" s="200" t="s">
        <v>235</v>
      </c>
      <c r="AR60" s="200" t="s">
        <v>235</v>
      </c>
      <c r="AS60" s="200" t="s">
        <v>299</v>
      </c>
      <c r="AT60" s="200" t="s">
        <v>299</v>
      </c>
      <c r="AU60" s="200" t="s">
        <v>240</v>
      </c>
      <c r="AV60" s="205" t="s">
        <v>242</v>
      </c>
      <c r="AW60" s="205" t="s">
        <v>243</v>
      </c>
      <c r="AY60" s="200" t="s">
        <v>239</v>
      </c>
      <c r="AZ60" s="205" t="s">
        <v>3796</v>
      </c>
      <c r="BA60" s="205" t="s">
        <v>244</v>
      </c>
      <c r="BB60" s="205" t="s">
        <v>3797</v>
      </c>
      <c r="BD60" s="205" t="s">
        <v>239</v>
      </c>
      <c r="BE60" s="205" t="s">
        <v>446</v>
      </c>
      <c r="BF60" s="205" t="s">
        <v>457</v>
      </c>
      <c r="BH60" s="205" t="s">
        <v>456</v>
      </c>
      <c r="BI60" s="202">
        <v>61</v>
      </c>
    </row>
    <row r="61" spans="1:65" x14ac:dyDescent="0.25">
      <c r="A61" s="205" t="s">
        <v>3675</v>
      </c>
      <c r="B61" s="205" t="s">
        <v>3798</v>
      </c>
      <c r="C61" s="205" t="s">
        <v>3799</v>
      </c>
      <c r="D61" s="205" t="s">
        <v>3800</v>
      </c>
      <c r="E61" s="201">
        <v>42289</v>
      </c>
      <c r="F61" s="205" t="s">
        <v>3801</v>
      </c>
      <c r="G61" s="205" t="s">
        <v>232</v>
      </c>
      <c r="H61" s="205" t="s">
        <v>3802</v>
      </c>
      <c r="I61" s="205" t="s">
        <v>3803</v>
      </c>
      <c r="J61" s="205" t="s">
        <v>3804</v>
      </c>
      <c r="K61" s="205" t="s">
        <v>447</v>
      </c>
      <c r="L61" s="205" t="s">
        <v>448</v>
      </c>
      <c r="M61" s="205" t="s">
        <v>455</v>
      </c>
      <c r="O61" s="200" t="s">
        <v>377</v>
      </c>
      <c r="P61" s="200" t="s">
        <v>3805</v>
      </c>
      <c r="Q61" s="205" t="s">
        <v>455</v>
      </c>
      <c r="R61" s="202">
        <v>62</v>
      </c>
      <c r="U61" s="205" t="s">
        <v>456</v>
      </c>
      <c r="X61" s="205" t="s">
        <v>295</v>
      </c>
      <c r="Y61" s="200" t="s">
        <v>609</v>
      </c>
      <c r="Z61" s="205" t="s">
        <v>293</v>
      </c>
      <c r="AA61" s="200" t="s">
        <v>578</v>
      </c>
      <c r="AB61" s="205" t="s">
        <v>285</v>
      </c>
      <c r="AC61" s="200" t="s">
        <v>413</v>
      </c>
      <c r="AD61" s="205" t="s">
        <v>293</v>
      </c>
      <c r="AE61" s="205" t="s">
        <v>232</v>
      </c>
      <c r="AF61" s="205" t="s">
        <v>3806</v>
      </c>
      <c r="AG61" s="205" t="s">
        <v>3807</v>
      </c>
      <c r="AH61" s="205" t="s">
        <v>239</v>
      </c>
      <c r="AI61" s="205" t="s">
        <v>3808</v>
      </c>
      <c r="AJ61" s="205" t="s">
        <v>3809</v>
      </c>
      <c r="AK61" s="205" t="s">
        <v>239</v>
      </c>
      <c r="AL61" s="205" t="s">
        <v>239</v>
      </c>
      <c r="AM61" s="205" t="s">
        <v>239</v>
      </c>
      <c r="AN61" s="205" t="s">
        <v>239</v>
      </c>
      <c r="AO61" s="200" t="s">
        <v>235</v>
      </c>
      <c r="AP61" s="200" t="s">
        <v>235</v>
      </c>
      <c r="AQ61" s="200" t="s">
        <v>235</v>
      </c>
      <c r="AR61" s="200" t="s">
        <v>239</v>
      </c>
      <c r="AS61" s="200" t="s">
        <v>299</v>
      </c>
      <c r="AT61" s="200" t="s">
        <v>299</v>
      </c>
      <c r="AU61" s="200" t="s">
        <v>241</v>
      </c>
      <c r="AV61" s="205" t="s">
        <v>242</v>
      </c>
      <c r="AW61" s="205" t="s">
        <v>243</v>
      </c>
      <c r="AY61" s="200" t="s">
        <v>239</v>
      </c>
      <c r="AZ61" s="205" t="s">
        <v>3810</v>
      </c>
      <c r="BA61" s="205" t="s">
        <v>3811</v>
      </c>
      <c r="BB61" s="205" t="s">
        <v>3810</v>
      </c>
      <c r="BD61" s="205" t="s">
        <v>239</v>
      </c>
      <c r="BE61" s="205" t="s">
        <v>446</v>
      </c>
      <c r="BF61" s="205" t="s">
        <v>457</v>
      </c>
      <c r="BH61" s="205" t="s">
        <v>456</v>
      </c>
      <c r="BI61" s="202">
        <v>62</v>
      </c>
    </row>
    <row r="62" spans="1:65" x14ac:dyDescent="0.25">
      <c r="A62" s="205" t="s">
        <v>3675</v>
      </c>
      <c r="B62" s="205" t="s">
        <v>3812</v>
      </c>
      <c r="C62" s="205" t="s">
        <v>3813</v>
      </c>
      <c r="D62" s="205" t="s">
        <v>3814</v>
      </c>
      <c r="E62" s="201">
        <v>42289</v>
      </c>
      <c r="F62" s="205" t="s">
        <v>341</v>
      </c>
      <c r="G62" s="205" t="s">
        <v>232</v>
      </c>
      <c r="H62" s="205" t="s">
        <v>3815</v>
      </c>
      <c r="I62" s="205" t="s">
        <v>3816</v>
      </c>
      <c r="K62" s="205" t="s">
        <v>453</v>
      </c>
      <c r="L62" s="205" t="s">
        <v>454</v>
      </c>
      <c r="M62" s="205" t="s">
        <v>455</v>
      </c>
      <c r="O62" s="200" t="s">
        <v>274</v>
      </c>
      <c r="P62" s="200" t="s">
        <v>3817</v>
      </c>
      <c r="Q62" s="205" t="s">
        <v>455</v>
      </c>
      <c r="R62" s="202">
        <v>63</v>
      </c>
      <c r="U62" s="205" t="s">
        <v>456</v>
      </c>
      <c r="X62" s="205" t="s">
        <v>235</v>
      </c>
      <c r="Y62" s="200" t="s">
        <v>664</v>
      </c>
      <c r="Z62" s="205" t="s">
        <v>3818</v>
      </c>
      <c r="AA62" s="200" t="s">
        <v>603</v>
      </c>
      <c r="AB62" s="205" t="s">
        <v>3819</v>
      </c>
      <c r="AC62" s="200" t="s">
        <v>342</v>
      </c>
      <c r="AD62" s="205" t="s">
        <v>370</v>
      </c>
      <c r="AE62" s="205" t="s">
        <v>232</v>
      </c>
      <c r="AF62" s="205" t="s">
        <v>3820</v>
      </c>
      <c r="AG62" s="205" t="s">
        <v>239</v>
      </c>
      <c r="AH62" s="205" t="s">
        <v>239</v>
      </c>
      <c r="AI62" s="205" t="s">
        <v>3821</v>
      </c>
      <c r="AJ62" s="205" t="s">
        <v>3822</v>
      </c>
      <c r="AK62" s="205" t="s">
        <v>239</v>
      </c>
      <c r="AL62" s="205" t="s">
        <v>3823</v>
      </c>
      <c r="AM62" s="205" t="s">
        <v>239</v>
      </c>
      <c r="AN62" s="205" t="s">
        <v>239</v>
      </c>
      <c r="AO62" s="200" t="s">
        <v>235</v>
      </c>
      <c r="AP62" s="200" t="s">
        <v>235</v>
      </c>
      <c r="AQ62" s="200" t="s">
        <v>235</v>
      </c>
      <c r="AR62" s="200" t="s">
        <v>235</v>
      </c>
      <c r="AS62" s="200" t="s">
        <v>299</v>
      </c>
      <c r="AT62" s="200" t="s">
        <v>299</v>
      </c>
      <c r="AU62" s="200" t="s">
        <v>299</v>
      </c>
      <c r="AV62" s="205" t="s">
        <v>242</v>
      </c>
      <c r="AW62" s="205" t="s">
        <v>243</v>
      </c>
      <c r="AX62" s="200" t="s">
        <v>3118</v>
      </c>
      <c r="AY62" s="200" t="s">
        <v>235</v>
      </c>
      <c r="AZ62" s="205" t="s">
        <v>3824</v>
      </c>
      <c r="BA62" s="205" t="s">
        <v>244</v>
      </c>
      <c r="BB62" s="205" t="s">
        <v>3825</v>
      </c>
      <c r="BD62" s="205" t="s">
        <v>239</v>
      </c>
      <c r="BE62" s="205" t="s">
        <v>446</v>
      </c>
      <c r="BF62" s="205" t="s">
        <v>457</v>
      </c>
      <c r="BH62" s="205" t="s">
        <v>456</v>
      </c>
      <c r="BI62" s="202">
        <v>63</v>
      </c>
    </row>
    <row r="63" spans="1:65" x14ac:dyDescent="0.25">
      <c r="A63" s="205" t="s">
        <v>3675</v>
      </c>
      <c r="B63" s="205" t="s">
        <v>3826</v>
      </c>
      <c r="C63" s="205" t="s">
        <v>3827</v>
      </c>
      <c r="D63" s="205" t="s">
        <v>3828</v>
      </c>
      <c r="E63" s="201">
        <v>42289</v>
      </c>
      <c r="F63" s="205" t="s">
        <v>312</v>
      </c>
      <c r="G63" s="205" t="s">
        <v>232</v>
      </c>
      <c r="H63" s="205" t="s">
        <v>3829</v>
      </c>
      <c r="I63" s="205" t="s">
        <v>3830</v>
      </c>
      <c r="K63" s="205" t="s">
        <v>453</v>
      </c>
      <c r="L63" s="205" t="s">
        <v>454</v>
      </c>
      <c r="M63" s="205" t="s">
        <v>462</v>
      </c>
      <c r="O63" s="200" t="s">
        <v>389</v>
      </c>
      <c r="P63" s="200" t="s">
        <v>3831</v>
      </c>
      <c r="Q63" s="205" t="s">
        <v>462</v>
      </c>
      <c r="R63" s="202">
        <v>64</v>
      </c>
      <c r="U63" s="205" t="s">
        <v>456</v>
      </c>
      <c r="X63" s="205" t="s">
        <v>355</v>
      </c>
      <c r="Y63" s="200" t="s">
        <v>1622</v>
      </c>
      <c r="Z63" s="205" t="s">
        <v>3832</v>
      </c>
      <c r="AA63" s="200" t="s">
        <v>250</v>
      </c>
      <c r="AB63" s="205" t="s">
        <v>3833</v>
      </c>
      <c r="AD63" s="205" t="s">
        <v>238</v>
      </c>
      <c r="AE63" s="205" t="s">
        <v>232</v>
      </c>
      <c r="AF63" s="205" t="s">
        <v>3834</v>
      </c>
      <c r="AG63" s="205" t="s">
        <v>3835</v>
      </c>
      <c r="AH63" s="205" t="s">
        <v>239</v>
      </c>
      <c r="AI63" s="205" t="s">
        <v>3836</v>
      </c>
      <c r="AJ63" s="205" t="s">
        <v>3837</v>
      </c>
      <c r="AK63" s="205" t="s">
        <v>3838</v>
      </c>
      <c r="AL63" s="205" t="s">
        <v>239</v>
      </c>
      <c r="AM63" s="205" t="s">
        <v>239</v>
      </c>
      <c r="AN63" s="205" t="s">
        <v>239</v>
      </c>
      <c r="AO63" s="200" t="s">
        <v>235</v>
      </c>
      <c r="AP63" s="200" t="s">
        <v>235</v>
      </c>
      <c r="AQ63" s="200" t="s">
        <v>235</v>
      </c>
      <c r="AR63" s="200" t="s">
        <v>239</v>
      </c>
      <c r="AS63" s="200" t="s">
        <v>299</v>
      </c>
      <c r="AT63" s="200" t="s">
        <v>299</v>
      </c>
      <c r="AU63" s="200" t="s">
        <v>241</v>
      </c>
      <c r="AV63" s="205" t="s">
        <v>242</v>
      </c>
      <c r="AW63" s="205" t="s">
        <v>243</v>
      </c>
      <c r="AX63" s="200" t="s">
        <v>3118</v>
      </c>
      <c r="AY63" s="200" t="s">
        <v>235</v>
      </c>
      <c r="AZ63" s="205" t="s">
        <v>3839</v>
      </c>
      <c r="BA63" s="205" t="s">
        <v>244</v>
      </c>
      <c r="BB63" s="205" t="s">
        <v>244</v>
      </c>
      <c r="BC63" s="200" t="s">
        <v>256</v>
      </c>
      <c r="BD63" s="205" t="s">
        <v>239</v>
      </c>
      <c r="BE63" s="205" t="s">
        <v>446</v>
      </c>
      <c r="BF63" s="205" t="s">
        <v>457</v>
      </c>
      <c r="BH63" s="205" t="s">
        <v>456</v>
      </c>
      <c r="BI63" s="202">
        <v>64</v>
      </c>
    </row>
    <row r="64" spans="1:65" x14ac:dyDescent="0.25">
      <c r="A64" s="205" t="s">
        <v>3675</v>
      </c>
      <c r="B64" s="205" t="s">
        <v>3840</v>
      </c>
      <c r="C64" s="205" t="s">
        <v>3841</v>
      </c>
      <c r="D64" s="205" t="s">
        <v>3842</v>
      </c>
      <c r="E64" s="201">
        <v>42289</v>
      </c>
      <c r="F64" s="205" t="s">
        <v>3773</v>
      </c>
      <c r="G64" s="205" t="s">
        <v>232</v>
      </c>
      <c r="H64" s="205" t="s">
        <v>3843</v>
      </c>
      <c r="I64" s="205" t="s">
        <v>3844</v>
      </c>
      <c r="J64" s="205" t="s">
        <v>623</v>
      </c>
      <c r="K64" s="205" t="s">
        <v>450</v>
      </c>
      <c r="L64" s="205" t="s">
        <v>451</v>
      </c>
      <c r="M64" s="205" t="s">
        <v>452</v>
      </c>
      <c r="O64" s="200" t="s">
        <v>3845</v>
      </c>
      <c r="P64" s="200" t="s">
        <v>3846</v>
      </c>
      <c r="Q64" s="205" t="s">
        <v>452</v>
      </c>
      <c r="R64" s="202">
        <v>65</v>
      </c>
      <c r="U64" s="205" t="s">
        <v>456</v>
      </c>
      <c r="X64" s="205" t="s">
        <v>390</v>
      </c>
      <c r="Y64" s="200" t="s">
        <v>664</v>
      </c>
      <c r="Z64" s="205" t="s">
        <v>237</v>
      </c>
      <c r="AA64" s="200" t="s">
        <v>641</v>
      </c>
      <c r="AB64" s="205" t="s">
        <v>530</v>
      </c>
      <c r="AC64" s="200" t="s">
        <v>3050</v>
      </c>
      <c r="AD64" s="205" t="s">
        <v>3847</v>
      </c>
      <c r="AE64" s="205" t="s">
        <v>232</v>
      </c>
      <c r="AF64" s="205" t="s">
        <v>3848</v>
      </c>
      <c r="AG64" s="205" t="s">
        <v>343</v>
      </c>
      <c r="AH64" s="205" t="s">
        <v>239</v>
      </c>
      <c r="AI64" s="205" t="s">
        <v>3849</v>
      </c>
      <c r="AJ64" s="205" t="s">
        <v>3850</v>
      </c>
      <c r="AK64" s="205" t="s">
        <v>239</v>
      </c>
      <c r="AL64" s="205" t="s">
        <v>239</v>
      </c>
      <c r="AM64" s="205" t="s">
        <v>239</v>
      </c>
      <c r="AN64" s="205" t="s">
        <v>239</v>
      </c>
      <c r="AO64" s="200" t="s">
        <v>235</v>
      </c>
      <c r="AP64" s="200" t="s">
        <v>235</v>
      </c>
      <c r="AQ64" s="200" t="s">
        <v>235</v>
      </c>
      <c r="AR64" s="200" t="s">
        <v>235</v>
      </c>
      <c r="AS64" s="200" t="s">
        <v>299</v>
      </c>
      <c r="AT64" s="200" t="s">
        <v>299</v>
      </c>
      <c r="AU64" s="200" t="s">
        <v>299</v>
      </c>
      <c r="AV64" s="205" t="s">
        <v>242</v>
      </c>
      <c r="AW64" s="205" t="s">
        <v>243</v>
      </c>
      <c r="AX64" s="200" t="s">
        <v>3118</v>
      </c>
      <c r="AY64" s="200" t="s">
        <v>235</v>
      </c>
      <c r="AZ64" s="205" t="s">
        <v>3851</v>
      </c>
      <c r="BA64" s="205" t="s">
        <v>3852</v>
      </c>
      <c r="BB64" s="205" t="s">
        <v>3853</v>
      </c>
      <c r="BD64" s="205" t="s">
        <v>239</v>
      </c>
      <c r="BE64" s="205" t="s">
        <v>446</v>
      </c>
      <c r="BF64" s="205" t="s">
        <v>457</v>
      </c>
      <c r="BH64" s="205" t="s">
        <v>456</v>
      </c>
      <c r="BI64" s="202">
        <v>65</v>
      </c>
    </row>
    <row r="65" spans="1:65" x14ac:dyDescent="0.25">
      <c r="A65" s="205" t="s">
        <v>3675</v>
      </c>
      <c r="B65" s="205" t="s">
        <v>3854</v>
      </c>
      <c r="C65" s="205" t="s">
        <v>3855</v>
      </c>
      <c r="D65" s="205" t="s">
        <v>3856</v>
      </c>
      <c r="E65" s="201">
        <v>42289</v>
      </c>
      <c r="F65" s="205" t="s">
        <v>351</v>
      </c>
      <c r="G65" s="205" t="s">
        <v>232</v>
      </c>
      <c r="H65" s="205" t="s">
        <v>3857</v>
      </c>
      <c r="I65" s="205" t="s">
        <v>3858</v>
      </c>
      <c r="K65" s="205" t="s">
        <v>471</v>
      </c>
      <c r="L65" s="205" t="s">
        <v>472</v>
      </c>
      <c r="M65" s="205" t="s">
        <v>473</v>
      </c>
      <c r="O65" s="200" t="s">
        <v>290</v>
      </c>
      <c r="P65" s="200" t="s">
        <v>3859</v>
      </c>
      <c r="Q65" s="205" t="s">
        <v>473</v>
      </c>
      <c r="R65" s="202">
        <v>66</v>
      </c>
      <c r="U65" s="205" t="s">
        <v>456</v>
      </c>
      <c r="X65" s="205" t="s">
        <v>331</v>
      </c>
      <c r="Y65" s="200" t="s">
        <v>417</v>
      </c>
      <c r="Z65" s="205" t="s">
        <v>3860</v>
      </c>
      <c r="AB65" s="205" t="s">
        <v>238</v>
      </c>
      <c r="AD65" s="205" t="s">
        <v>238</v>
      </c>
      <c r="AE65" s="205" t="s">
        <v>232</v>
      </c>
      <c r="AF65" s="205" t="s">
        <v>3861</v>
      </c>
      <c r="AG65" s="205" t="s">
        <v>239</v>
      </c>
      <c r="AH65" s="205" t="s">
        <v>239</v>
      </c>
      <c r="AI65" s="205" t="s">
        <v>3862</v>
      </c>
      <c r="AJ65" s="205" t="s">
        <v>3863</v>
      </c>
      <c r="AK65" s="205" t="s">
        <v>239</v>
      </c>
      <c r="AL65" s="205" t="s">
        <v>239</v>
      </c>
      <c r="AM65" s="205" t="s">
        <v>239</v>
      </c>
      <c r="AN65" s="205" t="s">
        <v>239</v>
      </c>
      <c r="AO65" s="200" t="s">
        <v>235</v>
      </c>
      <c r="AP65" s="200" t="s">
        <v>235</v>
      </c>
      <c r="AQ65" s="200" t="s">
        <v>235</v>
      </c>
      <c r="AR65" s="200" t="s">
        <v>239</v>
      </c>
      <c r="AS65" s="200" t="s">
        <v>299</v>
      </c>
      <c r="AT65" s="200" t="s">
        <v>299</v>
      </c>
      <c r="AU65" s="200" t="s">
        <v>241</v>
      </c>
      <c r="AV65" s="205" t="s">
        <v>242</v>
      </c>
      <c r="AW65" s="205" t="s">
        <v>243</v>
      </c>
      <c r="AY65" s="200" t="s">
        <v>239</v>
      </c>
      <c r="AZ65" s="205" t="s">
        <v>3864</v>
      </c>
      <c r="BA65" s="205" t="s">
        <v>244</v>
      </c>
      <c r="BB65" s="205" t="s">
        <v>244</v>
      </c>
      <c r="BD65" s="205" t="s">
        <v>239</v>
      </c>
      <c r="BE65" s="205" t="s">
        <v>446</v>
      </c>
      <c r="BF65" s="205" t="s">
        <v>457</v>
      </c>
      <c r="BH65" s="205" t="s">
        <v>456</v>
      </c>
      <c r="BI65" s="202">
        <v>66</v>
      </c>
    </row>
    <row r="66" spans="1:65" x14ac:dyDescent="0.25">
      <c r="A66" s="205" t="s">
        <v>3675</v>
      </c>
      <c r="B66" s="205" t="s">
        <v>3865</v>
      </c>
      <c r="C66" s="205" t="s">
        <v>3866</v>
      </c>
      <c r="D66" s="205" t="s">
        <v>3867</v>
      </c>
      <c r="E66" s="201">
        <v>42289</v>
      </c>
      <c r="F66" s="205" t="s">
        <v>416</v>
      </c>
      <c r="G66" s="205" t="s">
        <v>232</v>
      </c>
      <c r="H66" s="205" t="s">
        <v>3868</v>
      </c>
      <c r="I66" s="205" t="s">
        <v>3869</v>
      </c>
      <c r="J66" s="205" t="s">
        <v>3870</v>
      </c>
      <c r="K66" s="205" t="s">
        <v>447</v>
      </c>
      <c r="L66" s="205" t="s">
        <v>448</v>
      </c>
      <c r="M66" s="205" t="s">
        <v>455</v>
      </c>
      <c r="O66" s="200" t="s">
        <v>513</v>
      </c>
      <c r="P66" s="200" t="s">
        <v>3871</v>
      </c>
      <c r="Q66" s="205" t="s">
        <v>455</v>
      </c>
      <c r="R66" s="202">
        <v>67</v>
      </c>
      <c r="U66" s="205" t="s">
        <v>456</v>
      </c>
      <c r="X66" s="205" t="s">
        <v>331</v>
      </c>
      <c r="Y66" s="200" t="s">
        <v>2387</v>
      </c>
      <c r="Z66" s="205" t="s">
        <v>260</v>
      </c>
      <c r="AA66" s="200" t="s">
        <v>407</v>
      </c>
      <c r="AB66" s="205" t="s">
        <v>3872</v>
      </c>
      <c r="AD66" s="205" t="s">
        <v>238</v>
      </c>
      <c r="AE66" s="205" t="s">
        <v>232</v>
      </c>
      <c r="AF66" s="205" t="s">
        <v>3873</v>
      </c>
      <c r="AG66" s="205" t="s">
        <v>3661</v>
      </c>
      <c r="AH66" s="205" t="s">
        <v>239</v>
      </c>
      <c r="AI66" s="205" t="s">
        <v>3874</v>
      </c>
      <c r="AJ66" s="205" t="s">
        <v>3875</v>
      </c>
      <c r="AK66" s="205" t="s">
        <v>3876</v>
      </c>
      <c r="AL66" s="205" t="s">
        <v>239</v>
      </c>
      <c r="AM66" s="205" t="s">
        <v>239</v>
      </c>
      <c r="AN66" s="205" t="s">
        <v>239</v>
      </c>
      <c r="AO66" s="200" t="s">
        <v>235</v>
      </c>
      <c r="AP66" s="200" t="s">
        <v>235</v>
      </c>
      <c r="AQ66" s="200" t="s">
        <v>235</v>
      </c>
      <c r="AR66" s="200" t="s">
        <v>235</v>
      </c>
      <c r="AS66" s="200" t="s">
        <v>299</v>
      </c>
      <c r="AT66" s="200" t="s">
        <v>299</v>
      </c>
      <c r="AU66" s="200" t="s">
        <v>299</v>
      </c>
      <c r="AV66" s="205" t="s">
        <v>242</v>
      </c>
      <c r="AW66" s="205" t="s">
        <v>243</v>
      </c>
      <c r="AX66" s="200" t="s">
        <v>3877</v>
      </c>
      <c r="AY66" s="200" t="s">
        <v>300</v>
      </c>
      <c r="AZ66" s="205" t="s">
        <v>3878</v>
      </c>
      <c r="BA66" s="205" t="s">
        <v>244</v>
      </c>
      <c r="BB66" s="205" t="s">
        <v>244</v>
      </c>
      <c r="BD66" s="205" t="s">
        <v>239</v>
      </c>
      <c r="BE66" s="205" t="s">
        <v>446</v>
      </c>
      <c r="BF66" s="205" t="s">
        <v>457</v>
      </c>
      <c r="BH66" s="205" t="s">
        <v>456</v>
      </c>
      <c r="BI66" s="202">
        <v>67</v>
      </c>
    </row>
    <row r="67" spans="1:65" x14ac:dyDescent="0.25">
      <c r="A67" s="205" t="s">
        <v>3675</v>
      </c>
      <c r="B67" s="205" t="s">
        <v>3879</v>
      </c>
      <c r="C67" s="205" t="s">
        <v>3880</v>
      </c>
      <c r="D67" s="205" t="s">
        <v>3881</v>
      </c>
      <c r="E67" s="201">
        <v>42289</v>
      </c>
      <c r="F67" s="205" t="s">
        <v>3882</v>
      </c>
      <c r="G67" s="205" t="s">
        <v>232</v>
      </c>
      <c r="H67" s="205" t="s">
        <v>3883</v>
      </c>
      <c r="I67" s="205" t="s">
        <v>3884</v>
      </c>
      <c r="K67" s="205" t="s">
        <v>453</v>
      </c>
      <c r="L67" s="205" t="s">
        <v>461</v>
      </c>
      <c r="M67" s="205" t="s">
        <v>470</v>
      </c>
      <c r="O67" s="200" t="s">
        <v>3885</v>
      </c>
      <c r="P67" s="200" t="s">
        <v>3886</v>
      </c>
      <c r="Q67" s="205" t="s">
        <v>470</v>
      </c>
      <c r="R67" s="202">
        <v>68</v>
      </c>
      <c r="U67" s="205" t="s">
        <v>456</v>
      </c>
      <c r="X67" s="205" t="s">
        <v>271</v>
      </c>
      <c r="Y67" s="200" t="s">
        <v>516</v>
      </c>
      <c r="Z67" s="205" t="s">
        <v>3887</v>
      </c>
      <c r="AA67" s="200" t="s">
        <v>324</v>
      </c>
      <c r="AB67" s="205" t="s">
        <v>3888</v>
      </c>
      <c r="AC67" s="200" t="s">
        <v>384</v>
      </c>
      <c r="AD67" s="205" t="s">
        <v>3889</v>
      </c>
      <c r="AE67" s="205" t="s">
        <v>232</v>
      </c>
      <c r="AF67" s="205" t="s">
        <v>3890</v>
      </c>
      <c r="AG67" s="205" t="s">
        <v>239</v>
      </c>
      <c r="AH67" s="205" t="s">
        <v>239</v>
      </c>
      <c r="AI67" s="205" t="s">
        <v>3891</v>
      </c>
      <c r="AJ67" s="205" t="s">
        <v>3891</v>
      </c>
      <c r="AK67" s="205" t="s">
        <v>239</v>
      </c>
      <c r="AL67" s="205" t="s">
        <v>239</v>
      </c>
      <c r="AM67" s="205" t="s">
        <v>239</v>
      </c>
      <c r="AN67" s="205" t="s">
        <v>239</v>
      </c>
      <c r="AO67" s="200" t="s">
        <v>235</v>
      </c>
      <c r="AP67" s="200" t="s">
        <v>235</v>
      </c>
      <c r="AQ67" s="200" t="s">
        <v>239</v>
      </c>
      <c r="AR67" s="200" t="s">
        <v>239</v>
      </c>
      <c r="AS67" s="200" t="s">
        <v>299</v>
      </c>
      <c r="AT67" s="200" t="s">
        <v>241</v>
      </c>
      <c r="AU67" s="200" t="s">
        <v>241</v>
      </c>
      <c r="AV67" s="205" t="s">
        <v>242</v>
      </c>
      <c r="AW67" s="205" t="s">
        <v>243</v>
      </c>
      <c r="AY67" s="200" t="s">
        <v>239</v>
      </c>
      <c r="AZ67" s="205" t="s">
        <v>3892</v>
      </c>
      <c r="BA67" s="205" t="s">
        <v>244</v>
      </c>
      <c r="BB67" s="205" t="s">
        <v>3892</v>
      </c>
      <c r="BD67" s="205" t="s">
        <v>239</v>
      </c>
      <c r="BE67" s="205" t="s">
        <v>446</v>
      </c>
      <c r="BF67" s="205" t="s">
        <v>457</v>
      </c>
      <c r="BH67" s="205" t="s">
        <v>456</v>
      </c>
      <c r="BI67" s="202">
        <v>68</v>
      </c>
      <c r="BJ67" s="201">
        <v>42292</v>
      </c>
      <c r="BK67" s="203" t="s">
        <v>245</v>
      </c>
      <c r="BL67" s="204">
        <v>249.1</v>
      </c>
      <c r="BM67" s="205">
        <v>42</v>
      </c>
    </row>
    <row r="68" spans="1:65" x14ac:dyDescent="0.25">
      <c r="A68" s="205" t="s">
        <v>3675</v>
      </c>
      <c r="B68" s="205" t="s">
        <v>3893</v>
      </c>
      <c r="C68" s="205" t="s">
        <v>3894</v>
      </c>
      <c r="D68" s="205" t="s">
        <v>3895</v>
      </c>
      <c r="E68" s="201">
        <v>42289</v>
      </c>
      <c r="F68" s="205" t="s">
        <v>1860</v>
      </c>
      <c r="G68" s="205" t="s">
        <v>232</v>
      </c>
      <c r="H68" s="205" t="s">
        <v>3896</v>
      </c>
      <c r="I68" s="205" t="s">
        <v>3897</v>
      </c>
      <c r="J68" s="205" t="s">
        <v>3898</v>
      </c>
      <c r="K68" s="205" t="s">
        <v>447</v>
      </c>
      <c r="L68" s="205" t="s">
        <v>448</v>
      </c>
      <c r="M68" s="205" t="s">
        <v>449</v>
      </c>
      <c r="O68" s="200" t="s">
        <v>421</v>
      </c>
      <c r="P68" s="200" t="s">
        <v>3899</v>
      </c>
      <c r="Q68" s="205" t="s">
        <v>449</v>
      </c>
      <c r="R68" s="202">
        <v>69</v>
      </c>
      <c r="U68" s="205" t="s">
        <v>456</v>
      </c>
      <c r="X68" s="205" t="s">
        <v>319</v>
      </c>
      <c r="Y68" s="200" t="s">
        <v>3021</v>
      </c>
      <c r="Z68" s="205" t="s">
        <v>3900</v>
      </c>
      <c r="AA68" s="200" t="s">
        <v>339</v>
      </c>
      <c r="AB68" s="205" t="s">
        <v>3901</v>
      </c>
      <c r="AC68" s="200" t="s">
        <v>266</v>
      </c>
      <c r="AD68" s="205" t="s">
        <v>3902</v>
      </c>
      <c r="AE68" s="205" t="s">
        <v>232</v>
      </c>
      <c r="AF68" s="205" t="s">
        <v>3903</v>
      </c>
      <c r="AG68" s="205" t="s">
        <v>239</v>
      </c>
      <c r="AH68" s="205" t="s">
        <v>239</v>
      </c>
      <c r="AI68" s="205" t="s">
        <v>3904</v>
      </c>
      <c r="AJ68" s="205" t="s">
        <v>3905</v>
      </c>
      <c r="AK68" s="205" t="s">
        <v>239</v>
      </c>
      <c r="AL68" s="205" t="s">
        <v>239</v>
      </c>
      <c r="AM68" s="205" t="s">
        <v>239</v>
      </c>
      <c r="AN68" s="205" t="s">
        <v>239</v>
      </c>
      <c r="AO68" s="200" t="s">
        <v>235</v>
      </c>
      <c r="AP68" s="200" t="s">
        <v>235</v>
      </c>
      <c r="AQ68" s="200" t="s">
        <v>239</v>
      </c>
      <c r="AR68" s="200" t="s">
        <v>239</v>
      </c>
      <c r="AS68" s="200" t="s">
        <v>299</v>
      </c>
      <c r="AT68" s="200" t="s">
        <v>241</v>
      </c>
      <c r="AU68" s="200" t="s">
        <v>241</v>
      </c>
      <c r="AV68" s="205" t="s">
        <v>242</v>
      </c>
      <c r="AW68" s="205" t="s">
        <v>243</v>
      </c>
      <c r="AY68" s="200" t="s">
        <v>239</v>
      </c>
      <c r="AZ68" s="205" t="s">
        <v>3906</v>
      </c>
      <c r="BA68" s="205" t="s">
        <v>244</v>
      </c>
      <c r="BB68" s="205" t="s">
        <v>244</v>
      </c>
      <c r="BD68" s="205" t="s">
        <v>239</v>
      </c>
      <c r="BE68" s="205" t="s">
        <v>446</v>
      </c>
      <c r="BF68" s="205" t="s">
        <v>457</v>
      </c>
      <c r="BH68" s="205" t="s">
        <v>456</v>
      </c>
      <c r="BI68" s="202">
        <v>69</v>
      </c>
    </row>
    <row r="69" spans="1:65" x14ac:dyDescent="0.25">
      <c r="A69" s="205" t="s">
        <v>3675</v>
      </c>
      <c r="B69" s="205" t="s">
        <v>3907</v>
      </c>
      <c r="C69" s="205" t="s">
        <v>3908</v>
      </c>
      <c r="D69" s="205" t="s">
        <v>3909</v>
      </c>
      <c r="E69" s="201">
        <v>42289</v>
      </c>
      <c r="F69" s="205" t="s">
        <v>3910</v>
      </c>
      <c r="G69" s="205" t="s">
        <v>232</v>
      </c>
      <c r="H69" s="205" t="s">
        <v>3911</v>
      </c>
      <c r="I69" s="205" t="s">
        <v>3912</v>
      </c>
      <c r="J69" s="205" t="s">
        <v>504</v>
      </c>
      <c r="K69" s="205" t="s">
        <v>450</v>
      </c>
      <c r="L69" s="205" t="s">
        <v>451</v>
      </c>
      <c r="M69" s="205" t="s">
        <v>452</v>
      </c>
      <c r="O69" s="200" t="s">
        <v>467</v>
      </c>
      <c r="P69" s="200" t="s">
        <v>3913</v>
      </c>
      <c r="Q69" s="205" t="s">
        <v>452</v>
      </c>
      <c r="R69" s="202">
        <v>70</v>
      </c>
      <c r="U69" s="205" t="s">
        <v>456</v>
      </c>
      <c r="X69" s="205" t="s">
        <v>295</v>
      </c>
      <c r="Y69" s="200" t="s">
        <v>580</v>
      </c>
      <c r="Z69" s="205" t="s">
        <v>237</v>
      </c>
      <c r="AA69" s="200" t="s">
        <v>422</v>
      </c>
      <c r="AB69" s="205" t="s">
        <v>260</v>
      </c>
      <c r="AC69" s="200" t="s">
        <v>250</v>
      </c>
      <c r="AD69" s="205" t="s">
        <v>260</v>
      </c>
      <c r="AE69" s="205" t="s">
        <v>232</v>
      </c>
      <c r="AF69" s="205" t="s">
        <v>3914</v>
      </c>
      <c r="AG69" s="205" t="s">
        <v>239</v>
      </c>
      <c r="AH69" s="205" t="s">
        <v>239</v>
      </c>
      <c r="AI69" s="205" t="s">
        <v>3915</v>
      </c>
      <c r="AJ69" s="205" t="s">
        <v>3916</v>
      </c>
      <c r="AK69" s="205" t="s">
        <v>239</v>
      </c>
      <c r="AL69" s="205" t="s">
        <v>239</v>
      </c>
      <c r="AM69" s="205" t="s">
        <v>239</v>
      </c>
      <c r="AN69" s="205" t="s">
        <v>239</v>
      </c>
      <c r="AO69" s="200" t="s">
        <v>235</v>
      </c>
      <c r="AP69" s="200" t="s">
        <v>235</v>
      </c>
      <c r="AQ69" s="200" t="s">
        <v>235</v>
      </c>
      <c r="AR69" s="200" t="s">
        <v>235</v>
      </c>
      <c r="AS69" s="200" t="s">
        <v>299</v>
      </c>
      <c r="AT69" s="200" t="s">
        <v>299</v>
      </c>
      <c r="AU69" s="200" t="s">
        <v>240</v>
      </c>
      <c r="AV69" s="205" t="s">
        <v>242</v>
      </c>
      <c r="AW69" s="205" t="s">
        <v>243</v>
      </c>
      <c r="AY69" s="200" t="s">
        <v>239</v>
      </c>
      <c r="AZ69" s="205" t="s">
        <v>3917</v>
      </c>
      <c r="BA69" s="205" t="s">
        <v>244</v>
      </c>
      <c r="BB69" s="205" t="s">
        <v>244</v>
      </c>
      <c r="BC69" s="200" t="s">
        <v>256</v>
      </c>
      <c r="BD69" s="205" t="s">
        <v>239</v>
      </c>
      <c r="BE69" s="205" t="s">
        <v>446</v>
      </c>
      <c r="BF69" s="205" t="s">
        <v>457</v>
      </c>
      <c r="BH69" s="205" t="s">
        <v>456</v>
      </c>
      <c r="BI69" s="202">
        <v>70</v>
      </c>
    </row>
    <row r="70" spans="1:65" x14ac:dyDescent="0.25">
      <c r="A70" s="205" t="s">
        <v>3675</v>
      </c>
      <c r="B70" s="205" t="s">
        <v>3918</v>
      </c>
      <c r="C70" s="205" t="s">
        <v>3919</v>
      </c>
      <c r="D70" s="205" t="s">
        <v>3920</v>
      </c>
      <c r="E70" s="201">
        <v>42289</v>
      </c>
      <c r="F70" s="205" t="s">
        <v>3921</v>
      </c>
      <c r="G70" s="205" t="s">
        <v>232</v>
      </c>
      <c r="H70" s="205" t="s">
        <v>3922</v>
      </c>
      <c r="I70" s="205" t="s">
        <v>3923</v>
      </c>
      <c r="K70" s="205" t="s">
        <v>450</v>
      </c>
      <c r="L70" s="205" t="s">
        <v>451</v>
      </c>
      <c r="M70" s="205" t="s">
        <v>463</v>
      </c>
      <c r="O70" s="200" t="s">
        <v>629</v>
      </c>
      <c r="P70" s="200" t="s">
        <v>3924</v>
      </c>
      <c r="Q70" s="205" t="s">
        <v>463</v>
      </c>
      <c r="R70" s="202">
        <v>71</v>
      </c>
      <c r="U70" s="205" t="s">
        <v>456</v>
      </c>
      <c r="X70" s="205" t="s">
        <v>295</v>
      </c>
      <c r="Y70" s="200" t="s">
        <v>414</v>
      </c>
      <c r="Z70" s="205" t="s">
        <v>3925</v>
      </c>
      <c r="AA70" s="200" t="s">
        <v>342</v>
      </c>
      <c r="AB70" s="205" t="s">
        <v>3926</v>
      </c>
      <c r="AC70" s="200" t="s">
        <v>261</v>
      </c>
      <c r="AD70" s="205" t="s">
        <v>3927</v>
      </c>
      <c r="AE70" s="205" t="s">
        <v>232</v>
      </c>
      <c r="AF70" s="205" t="s">
        <v>3928</v>
      </c>
      <c r="AG70" s="205" t="s">
        <v>239</v>
      </c>
      <c r="AH70" s="205" t="s">
        <v>239</v>
      </c>
      <c r="AI70" s="205" t="s">
        <v>3929</v>
      </c>
      <c r="AJ70" s="205" t="s">
        <v>2672</v>
      </c>
      <c r="AK70" s="205" t="s">
        <v>239</v>
      </c>
      <c r="AL70" s="205" t="s">
        <v>239</v>
      </c>
      <c r="AM70" s="205" t="s">
        <v>239</v>
      </c>
      <c r="AN70" s="205" t="s">
        <v>239</v>
      </c>
      <c r="AO70" s="200" t="s">
        <v>239</v>
      </c>
      <c r="AP70" s="200" t="s">
        <v>239</v>
      </c>
      <c r="AQ70" s="200" t="s">
        <v>235</v>
      </c>
      <c r="AR70" s="200" t="s">
        <v>239</v>
      </c>
      <c r="AS70" s="200" t="s">
        <v>262</v>
      </c>
      <c r="AT70" s="200" t="s">
        <v>299</v>
      </c>
      <c r="AU70" s="200" t="s">
        <v>241</v>
      </c>
      <c r="AV70" s="205" t="s">
        <v>242</v>
      </c>
      <c r="AW70" s="205" t="s">
        <v>243</v>
      </c>
      <c r="AY70" s="200" t="s">
        <v>239</v>
      </c>
      <c r="AZ70" s="205" t="s">
        <v>3930</v>
      </c>
      <c r="BA70" s="205" t="s">
        <v>3930</v>
      </c>
      <c r="BB70" s="205" t="s">
        <v>244</v>
      </c>
      <c r="BC70" s="200" t="s">
        <v>256</v>
      </c>
      <c r="BD70" s="205" t="s">
        <v>239</v>
      </c>
      <c r="BE70" s="205" t="s">
        <v>446</v>
      </c>
      <c r="BF70" s="205" t="s">
        <v>457</v>
      </c>
      <c r="BH70" s="205" t="s">
        <v>456</v>
      </c>
      <c r="BI70" s="202">
        <v>71</v>
      </c>
    </row>
    <row r="71" spans="1:65" x14ac:dyDescent="0.25">
      <c r="A71" s="205" t="s">
        <v>3675</v>
      </c>
      <c r="B71" s="205" t="s">
        <v>3931</v>
      </c>
      <c r="C71" s="205" t="s">
        <v>3932</v>
      </c>
      <c r="D71" s="205" t="s">
        <v>3933</v>
      </c>
      <c r="E71" s="201">
        <v>42289</v>
      </c>
      <c r="F71" s="205" t="s">
        <v>3064</v>
      </c>
      <c r="G71" s="205" t="s">
        <v>232</v>
      </c>
      <c r="H71" s="205" t="s">
        <v>3934</v>
      </c>
      <c r="I71" s="205" t="s">
        <v>3935</v>
      </c>
      <c r="J71" s="205" t="s">
        <v>379</v>
      </c>
      <c r="K71" s="205" t="s">
        <v>450</v>
      </c>
      <c r="L71" s="205" t="s">
        <v>451</v>
      </c>
      <c r="M71" s="205" t="s">
        <v>463</v>
      </c>
      <c r="O71" s="200" t="s">
        <v>323</v>
      </c>
      <c r="P71" s="200" t="s">
        <v>3936</v>
      </c>
      <c r="Q71" s="205" t="s">
        <v>463</v>
      </c>
      <c r="R71" s="202">
        <v>72</v>
      </c>
      <c r="U71" s="205" t="s">
        <v>456</v>
      </c>
      <c r="X71" s="205" t="s">
        <v>390</v>
      </c>
      <c r="Y71" s="200" t="s">
        <v>603</v>
      </c>
      <c r="Z71" s="205" t="s">
        <v>3937</v>
      </c>
      <c r="AA71" s="200" t="s">
        <v>422</v>
      </c>
      <c r="AB71" s="205" t="s">
        <v>3938</v>
      </c>
      <c r="AC71" s="200" t="s">
        <v>407</v>
      </c>
      <c r="AD71" s="205" t="s">
        <v>3939</v>
      </c>
      <c r="AE71" s="205" t="s">
        <v>232</v>
      </c>
      <c r="AF71" s="205" t="s">
        <v>3940</v>
      </c>
      <c r="AG71" s="205" t="s">
        <v>239</v>
      </c>
      <c r="AH71" s="205" t="s">
        <v>239</v>
      </c>
      <c r="AI71" s="205" t="s">
        <v>3941</v>
      </c>
      <c r="AJ71" s="205" t="s">
        <v>3942</v>
      </c>
      <c r="AK71" s="205" t="s">
        <v>239</v>
      </c>
      <c r="AL71" s="205" t="s">
        <v>239</v>
      </c>
      <c r="AM71" s="205" t="s">
        <v>239</v>
      </c>
      <c r="AN71" s="205" t="s">
        <v>239</v>
      </c>
      <c r="AO71" s="200" t="s">
        <v>239</v>
      </c>
      <c r="AP71" s="200" t="s">
        <v>239</v>
      </c>
      <c r="AQ71" s="200" t="s">
        <v>235</v>
      </c>
      <c r="AR71" s="200" t="s">
        <v>239</v>
      </c>
      <c r="AS71" s="200" t="s">
        <v>262</v>
      </c>
      <c r="AT71" s="200" t="s">
        <v>299</v>
      </c>
      <c r="AU71" s="200" t="s">
        <v>241</v>
      </c>
      <c r="AV71" s="205" t="s">
        <v>242</v>
      </c>
      <c r="AW71" s="205" t="s">
        <v>243</v>
      </c>
      <c r="AY71" s="200" t="s">
        <v>239</v>
      </c>
      <c r="AZ71" s="205" t="s">
        <v>3943</v>
      </c>
      <c r="BA71" s="205" t="s">
        <v>244</v>
      </c>
      <c r="BB71" s="205" t="s">
        <v>244</v>
      </c>
      <c r="BD71" s="205" t="s">
        <v>239</v>
      </c>
      <c r="BE71" s="205" t="s">
        <v>446</v>
      </c>
      <c r="BF71" s="205" t="s">
        <v>457</v>
      </c>
      <c r="BH71" s="205" t="s">
        <v>456</v>
      </c>
      <c r="BI71" s="202">
        <v>72</v>
      </c>
    </row>
    <row r="72" spans="1:65" x14ac:dyDescent="0.25">
      <c r="A72" s="205" t="s">
        <v>3675</v>
      </c>
      <c r="B72" s="205" t="s">
        <v>3944</v>
      </c>
      <c r="C72" s="205" t="s">
        <v>3945</v>
      </c>
      <c r="D72" s="205" t="s">
        <v>3946</v>
      </c>
      <c r="E72" s="201">
        <v>42289</v>
      </c>
      <c r="F72" s="205" t="s">
        <v>3947</v>
      </c>
      <c r="G72" s="205" t="s">
        <v>232</v>
      </c>
      <c r="H72" s="205" t="s">
        <v>3948</v>
      </c>
      <c r="I72" s="205" t="s">
        <v>3949</v>
      </c>
      <c r="J72" s="205" t="s">
        <v>3950</v>
      </c>
      <c r="K72" s="205" t="s">
        <v>464</v>
      </c>
      <c r="L72" s="205" t="s">
        <v>465</v>
      </c>
      <c r="M72" s="205" t="s">
        <v>466</v>
      </c>
      <c r="O72" s="200" t="s">
        <v>288</v>
      </c>
      <c r="P72" s="200" t="s">
        <v>3951</v>
      </c>
      <c r="Q72" s="205" t="s">
        <v>466</v>
      </c>
      <c r="R72" s="202">
        <v>73</v>
      </c>
      <c r="U72" s="205" t="s">
        <v>456</v>
      </c>
      <c r="X72" s="205" t="s">
        <v>309</v>
      </c>
      <c r="Y72" s="200" t="s">
        <v>1622</v>
      </c>
      <c r="Z72" s="205" t="s">
        <v>3952</v>
      </c>
      <c r="AA72" s="200" t="s">
        <v>3021</v>
      </c>
      <c r="AB72" s="205" t="s">
        <v>255</v>
      </c>
      <c r="AC72" s="200" t="s">
        <v>287</v>
      </c>
      <c r="AD72" s="205" t="s">
        <v>3953</v>
      </c>
      <c r="AE72" s="205" t="s">
        <v>232</v>
      </c>
      <c r="AF72" s="205" t="s">
        <v>3954</v>
      </c>
      <c r="AG72" s="205" t="s">
        <v>239</v>
      </c>
      <c r="AH72" s="205" t="s">
        <v>239</v>
      </c>
      <c r="AI72" s="205" t="s">
        <v>3955</v>
      </c>
      <c r="AJ72" s="205" t="s">
        <v>3956</v>
      </c>
      <c r="AK72" s="205" t="s">
        <v>3957</v>
      </c>
      <c r="AL72" s="205" t="s">
        <v>239</v>
      </c>
      <c r="AM72" s="205" t="s">
        <v>239</v>
      </c>
      <c r="AN72" s="205" t="s">
        <v>239</v>
      </c>
      <c r="AO72" s="200" t="s">
        <v>235</v>
      </c>
      <c r="AP72" s="200" t="s">
        <v>235</v>
      </c>
      <c r="AQ72" s="200" t="s">
        <v>235</v>
      </c>
      <c r="AR72" s="200" t="s">
        <v>239</v>
      </c>
      <c r="AS72" s="200" t="s">
        <v>299</v>
      </c>
      <c r="AT72" s="200" t="s">
        <v>299</v>
      </c>
      <c r="AU72" s="200" t="s">
        <v>241</v>
      </c>
      <c r="AV72" s="205" t="s">
        <v>242</v>
      </c>
      <c r="AW72" s="205" t="s">
        <v>243</v>
      </c>
      <c r="AX72" s="200" t="s">
        <v>3736</v>
      </c>
      <c r="AY72" s="200" t="s">
        <v>300</v>
      </c>
      <c r="AZ72" s="205" t="s">
        <v>3958</v>
      </c>
      <c r="BA72" s="205" t="s">
        <v>244</v>
      </c>
      <c r="BB72" s="205" t="s">
        <v>244</v>
      </c>
      <c r="BD72" s="205" t="s">
        <v>239</v>
      </c>
      <c r="BE72" s="205" t="s">
        <v>446</v>
      </c>
      <c r="BF72" s="205" t="s">
        <v>457</v>
      </c>
      <c r="BH72" s="205" t="s">
        <v>456</v>
      </c>
      <c r="BI72" s="202">
        <v>73</v>
      </c>
    </row>
    <row r="73" spans="1:65" x14ac:dyDescent="0.25">
      <c r="A73" s="205" t="s">
        <v>3675</v>
      </c>
      <c r="B73" s="205" t="s">
        <v>3959</v>
      </c>
      <c r="C73" s="205" t="s">
        <v>3960</v>
      </c>
      <c r="D73" s="205" t="s">
        <v>3961</v>
      </c>
      <c r="E73" s="201">
        <v>42289</v>
      </c>
      <c r="F73" s="205" t="s">
        <v>3962</v>
      </c>
      <c r="G73" s="205" t="s">
        <v>232</v>
      </c>
      <c r="H73" s="205" t="s">
        <v>3963</v>
      </c>
      <c r="I73" s="205" t="s">
        <v>3964</v>
      </c>
      <c r="K73" s="205" t="s">
        <v>453</v>
      </c>
      <c r="L73" s="205" t="s">
        <v>461</v>
      </c>
      <c r="M73" s="205" t="s">
        <v>460</v>
      </c>
      <c r="O73" s="200" t="s">
        <v>513</v>
      </c>
      <c r="P73" s="200" t="s">
        <v>3965</v>
      </c>
      <c r="Q73" s="205" t="s">
        <v>460</v>
      </c>
      <c r="R73" s="202">
        <v>74</v>
      </c>
      <c r="U73" s="205" t="s">
        <v>456</v>
      </c>
      <c r="X73" s="205" t="s">
        <v>400</v>
      </c>
      <c r="Y73" s="200" t="s">
        <v>646</v>
      </c>
      <c r="Z73" s="205" t="s">
        <v>3966</v>
      </c>
      <c r="AA73" s="200" t="s">
        <v>503</v>
      </c>
      <c r="AB73" s="205" t="s">
        <v>3967</v>
      </c>
      <c r="AC73" s="200" t="s">
        <v>281</v>
      </c>
      <c r="AD73" s="205" t="s">
        <v>3162</v>
      </c>
      <c r="AE73" s="205" t="s">
        <v>232</v>
      </c>
      <c r="AF73" s="205" t="s">
        <v>3968</v>
      </c>
      <c r="AG73" s="205" t="s">
        <v>239</v>
      </c>
      <c r="AH73" s="205" t="s">
        <v>239</v>
      </c>
      <c r="AI73" s="205" t="s">
        <v>3969</v>
      </c>
      <c r="AJ73" s="205" t="s">
        <v>3970</v>
      </c>
      <c r="AK73" s="205" t="s">
        <v>239</v>
      </c>
      <c r="AL73" s="205" t="s">
        <v>239</v>
      </c>
      <c r="AM73" s="205" t="s">
        <v>239</v>
      </c>
      <c r="AN73" s="205" t="s">
        <v>239</v>
      </c>
      <c r="AO73" s="200" t="s">
        <v>235</v>
      </c>
      <c r="AP73" s="200" t="s">
        <v>235</v>
      </c>
      <c r="AQ73" s="200" t="s">
        <v>235</v>
      </c>
      <c r="AR73" s="200" t="s">
        <v>239</v>
      </c>
      <c r="AS73" s="200" t="s">
        <v>299</v>
      </c>
      <c r="AT73" s="200" t="s">
        <v>299</v>
      </c>
      <c r="AU73" s="200" t="s">
        <v>241</v>
      </c>
      <c r="AV73" s="205" t="s">
        <v>242</v>
      </c>
      <c r="AW73" s="205" t="s">
        <v>243</v>
      </c>
      <c r="AX73" s="200" t="s">
        <v>2587</v>
      </c>
      <c r="AY73" s="200" t="s">
        <v>272</v>
      </c>
      <c r="AZ73" s="205" t="s">
        <v>3971</v>
      </c>
      <c r="BA73" s="205" t="s">
        <v>244</v>
      </c>
      <c r="BB73" s="205" t="s">
        <v>3971</v>
      </c>
      <c r="BD73" s="205" t="s">
        <v>239</v>
      </c>
      <c r="BE73" s="205" t="s">
        <v>446</v>
      </c>
      <c r="BF73" s="205" t="s">
        <v>457</v>
      </c>
      <c r="BH73" s="205" t="s">
        <v>456</v>
      </c>
      <c r="BI73" s="202">
        <v>74</v>
      </c>
    </row>
    <row r="74" spans="1:65" x14ac:dyDescent="0.25">
      <c r="A74" s="205" t="s">
        <v>3675</v>
      </c>
      <c r="B74" s="205" t="s">
        <v>3972</v>
      </c>
      <c r="C74" s="205" t="s">
        <v>3973</v>
      </c>
      <c r="D74" s="205" t="s">
        <v>3974</v>
      </c>
      <c r="E74" s="201">
        <v>42289</v>
      </c>
      <c r="F74" s="205" t="s">
        <v>3975</v>
      </c>
      <c r="G74" s="205" t="s">
        <v>232</v>
      </c>
      <c r="H74" s="205" t="s">
        <v>3976</v>
      </c>
      <c r="I74" s="205" t="s">
        <v>3977</v>
      </c>
      <c r="K74" s="205" t="s">
        <v>453</v>
      </c>
      <c r="L74" s="205" t="s">
        <v>448</v>
      </c>
      <c r="M74" s="205" t="s">
        <v>449</v>
      </c>
      <c r="O74" s="200" t="s">
        <v>303</v>
      </c>
      <c r="P74" s="200" t="s">
        <v>3978</v>
      </c>
      <c r="Q74" s="205" t="s">
        <v>449</v>
      </c>
      <c r="R74" s="202">
        <v>75</v>
      </c>
      <c r="U74" s="205" t="s">
        <v>456</v>
      </c>
      <c r="X74" s="205" t="s">
        <v>253</v>
      </c>
      <c r="Y74" s="200" t="s">
        <v>541</v>
      </c>
      <c r="Z74" s="205" t="s">
        <v>3979</v>
      </c>
      <c r="AA74" s="200" t="s">
        <v>230</v>
      </c>
      <c r="AB74" s="205" t="s">
        <v>3980</v>
      </c>
      <c r="AC74" s="200" t="s">
        <v>261</v>
      </c>
      <c r="AD74" s="205" t="s">
        <v>3981</v>
      </c>
      <c r="AE74" s="205" t="s">
        <v>232</v>
      </c>
      <c r="AF74" s="205" t="s">
        <v>3982</v>
      </c>
      <c r="AG74" s="205" t="s">
        <v>239</v>
      </c>
      <c r="AH74" s="205" t="s">
        <v>239</v>
      </c>
      <c r="AI74" s="205" t="s">
        <v>3983</v>
      </c>
      <c r="AJ74" s="205" t="s">
        <v>3984</v>
      </c>
      <c r="AK74" s="205" t="s">
        <v>3985</v>
      </c>
      <c r="AL74" s="205" t="s">
        <v>239</v>
      </c>
      <c r="AM74" s="205" t="s">
        <v>239</v>
      </c>
      <c r="AN74" s="205" t="s">
        <v>239</v>
      </c>
      <c r="AO74" s="200" t="s">
        <v>235</v>
      </c>
      <c r="AP74" s="200" t="s">
        <v>235</v>
      </c>
      <c r="AQ74" s="200" t="s">
        <v>235</v>
      </c>
      <c r="AR74" s="200" t="s">
        <v>235</v>
      </c>
      <c r="AS74" s="200" t="s">
        <v>299</v>
      </c>
      <c r="AT74" s="200" t="s">
        <v>299</v>
      </c>
      <c r="AU74" s="200" t="s">
        <v>299</v>
      </c>
      <c r="AV74" s="205" t="s">
        <v>242</v>
      </c>
      <c r="AW74" s="205" t="s">
        <v>243</v>
      </c>
      <c r="AY74" s="200" t="s">
        <v>239</v>
      </c>
      <c r="AZ74" s="205" t="s">
        <v>3986</v>
      </c>
      <c r="BA74" s="205" t="s">
        <v>3987</v>
      </c>
      <c r="BB74" s="205" t="s">
        <v>3986</v>
      </c>
      <c r="BD74" s="205" t="s">
        <v>239</v>
      </c>
      <c r="BE74" s="205" t="s">
        <v>446</v>
      </c>
      <c r="BF74" s="205" t="s">
        <v>457</v>
      </c>
      <c r="BH74" s="205" t="s">
        <v>456</v>
      </c>
      <c r="BI74" s="202">
        <v>75</v>
      </c>
      <c r="BJ74" s="201">
        <v>42293</v>
      </c>
      <c r="BK74" s="203" t="s">
        <v>245</v>
      </c>
      <c r="BL74" s="204">
        <v>506.94</v>
      </c>
      <c r="BM74" s="205">
        <v>42</v>
      </c>
    </row>
    <row r="75" spans="1:65" x14ac:dyDescent="0.25">
      <c r="A75" s="205" t="s">
        <v>3675</v>
      </c>
      <c r="B75" s="205" t="s">
        <v>3988</v>
      </c>
      <c r="C75" s="205" t="s">
        <v>3989</v>
      </c>
      <c r="D75" s="205" t="s">
        <v>3990</v>
      </c>
      <c r="E75" s="201">
        <v>42289</v>
      </c>
      <c r="F75" s="205" t="s">
        <v>3991</v>
      </c>
      <c r="G75" s="205" t="s">
        <v>232</v>
      </c>
      <c r="H75" s="205" t="s">
        <v>3992</v>
      </c>
      <c r="I75" s="205" t="s">
        <v>3993</v>
      </c>
      <c r="K75" s="205" t="s">
        <v>484</v>
      </c>
      <c r="L75" s="205" t="s">
        <v>465</v>
      </c>
      <c r="M75" s="205" t="s">
        <v>466</v>
      </c>
      <c r="O75" s="200" t="s">
        <v>513</v>
      </c>
      <c r="P75" s="200" t="s">
        <v>3994</v>
      </c>
      <c r="Q75" s="205" t="s">
        <v>466</v>
      </c>
      <c r="R75" s="202">
        <v>76</v>
      </c>
      <c r="U75" s="205" t="s">
        <v>456</v>
      </c>
      <c r="X75" s="205" t="s">
        <v>331</v>
      </c>
      <c r="Y75" s="200" t="s">
        <v>398</v>
      </c>
      <c r="Z75" s="205" t="s">
        <v>3995</v>
      </c>
      <c r="AA75" s="200" t="s">
        <v>325</v>
      </c>
      <c r="AB75" s="205" t="s">
        <v>3996</v>
      </c>
      <c r="AC75" s="200" t="s">
        <v>298</v>
      </c>
      <c r="AD75" s="205" t="s">
        <v>3996</v>
      </c>
      <c r="AE75" s="205" t="s">
        <v>232</v>
      </c>
      <c r="AF75" s="205" t="s">
        <v>2469</v>
      </c>
      <c r="AG75" s="205" t="s">
        <v>239</v>
      </c>
      <c r="AH75" s="205" t="s">
        <v>239</v>
      </c>
      <c r="AI75" s="205" t="s">
        <v>489</v>
      </c>
      <c r="AJ75" s="205" t="s">
        <v>2470</v>
      </c>
      <c r="AK75" s="205" t="s">
        <v>239</v>
      </c>
      <c r="AL75" s="205" t="s">
        <v>239</v>
      </c>
      <c r="AM75" s="205" t="s">
        <v>239</v>
      </c>
      <c r="AN75" s="205" t="s">
        <v>239</v>
      </c>
      <c r="AO75" s="200" t="s">
        <v>235</v>
      </c>
      <c r="AP75" s="200" t="s">
        <v>239</v>
      </c>
      <c r="AQ75" s="200" t="s">
        <v>239</v>
      </c>
      <c r="AR75" s="200" t="s">
        <v>239</v>
      </c>
      <c r="AS75" s="200" t="s">
        <v>299</v>
      </c>
      <c r="AT75" s="200" t="s">
        <v>241</v>
      </c>
      <c r="AU75" s="200" t="s">
        <v>241</v>
      </c>
      <c r="AV75" s="205" t="s">
        <v>242</v>
      </c>
      <c r="AW75" s="205" t="s">
        <v>243</v>
      </c>
      <c r="AY75" s="200" t="s">
        <v>239</v>
      </c>
      <c r="AZ75" s="205" t="s">
        <v>3997</v>
      </c>
      <c r="BA75" s="205" t="s">
        <v>244</v>
      </c>
      <c r="BB75" s="205" t="s">
        <v>244</v>
      </c>
      <c r="BD75" s="205" t="s">
        <v>239</v>
      </c>
      <c r="BE75" s="205" t="s">
        <v>446</v>
      </c>
      <c r="BF75" s="205" t="s">
        <v>457</v>
      </c>
      <c r="BH75" s="205" t="s">
        <v>456</v>
      </c>
      <c r="BI75" s="202">
        <v>76</v>
      </c>
    </row>
    <row r="76" spans="1:65" x14ac:dyDescent="0.25">
      <c r="A76" s="205" t="s">
        <v>3675</v>
      </c>
      <c r="B76" s="205" t="s">
        <v>3998</v>
      </c>
      <c r="C76" s="205" t="s">
        <v>3999</v>
      </c>
      <c r="D76" s="205" t="s">
        <v>4000</v>
      </c>
      <c r="E76" s="201">
        <v>42289</v>
      </c>
      <c r="F76" s="205" t="s">
        <v>348</v>
      </c>
      <c r="G76" s="205" t="s">
        <v>232</v>
      </c>
      <c r="H76" s="205" t="s">
        <v>4001</v>
      </c>
      <c r="I76" s="205" t="s">
        <v>4002</v>
      </c>
      <c r="J76" s="205" t="s">
        <v>424</v>
      </c>
      <c r="K76" s="205" t="s">
        <v>450</v>
      </c>
      <c r="L76" s="205" t="s">
        <v>451</v>
      </c>
      <c r="M76" s="205" t="s">
        <v>452</v>
      </c>
      <c r="O76" s="200" t="s">
        <v>290</v>
      </c>
      <c r="P76" s="200" t="s">
        <v>4003</v>
      </c>
      <c r="Q76" s="205" t="s">
        <v>452</v>
      </c>
      <c r="R76" s="202">
        <v>77</v>
      </c>
      <c r="U76" s="205" t="s">
        <v>456</v>
      </c>
      <c r="X76" s="205" t="s">
        <v>546</v>
      </c>
      <c r="Y76" s="200" t="s">
        <v>646</v>
      </c>
      <c r="Z76" s="205" t="s">
        <v>285</v>
      </c>
      <c r="AA76" s="200" t="s">
        <v>510</v>
      </c>
      <c r="AB76" s="205" t="s">
        <v>4004</v>
      </c>
      <c r="AC76" s="200" t="s">
        <v>296</v>
      </c>
      <c r="AD76" s="205" t="s">
        <v>4005</v>
      </c>
      <c r="AE76" s="205" t="s">
        <v>232</v>
      </c>
      <c r="AF76" s="205" t="s">
        <v>4006</v>
      </c>
      <c r="AG76" s="205" t="s">
        <v>239</v>
      </c>
      <c r="AH76" s="205" t="s">
        <v>239</v>
      </c>
      <c r="AI76" s="205" t="s">
        <v>4007</v>
      </c>
      <c r="AJ76" s="205" t="s">
        <v>4008</v>
      </c>
      <c r="AK76" s="205" t="s">
        <v>400</v>
      </c>
      <c r="AL76" s="205" t="s">
        <v>239</v>
      </c>
      <c r="AM76" s="205" t="s">
        <v>239</v>
      </c>
      <c r="AN76" s="205" t="s">
        <v>239</v>
      </c>
      <c r="AO76" s="200" t="s">
        <v>235</v>
      </c>
      <c r="AP76" s="200" t="s">
        <v>235</v>
      </c>
      <c r="AQ76" s="200" t="s">
        <v>235</v>
      </c>
      <c r="AR76" s="200" t="s">
        <v>239</v>
      </c>
      <c r="AS76" s="200" t="s">
        <v>299</v>
      </c>
      <c r="AT76" s="200" t="s">
        <v>299</v>
      </c>
      <c r="AU76" s="200" t="s">
        <v>241</v>
      </c>
      <c r="AV76" s="205" t="s">
        <v>242</v>
      </c>
      <c r="AW76" s="205" t="s">
        <v>243</v>
      </c>
      <c r="AY76" s="200" t="s">
        <v>239</v>
      </c>
      <c r="AZ76" s="205" t="s">
        <v>4009</v>
      </c>
      <c r="BA76" s="205" t="s">
        <v>244</v>
      </c>
      <c r="BB76" s="205" t="s">
        <v>244</v>
      </c>
      <c r="BD76" s="205" t="s">
        <v>239</v>
      </c>
      <c r="BE76" s="205" t="s">
        <v>446</v>
      </c>
      <c r="BF76" s="205" t="s">
        <v>457</v>
      </c>
      <c r="BH76" s="205" t="s">
        <v>456</v>
      </c>
      <c r="BI76" s="202">
        <v>77</v>
      </c>
    </row>
    <row r="77" spans="1:65" x14ac:dyDescent="0.25">
      <c r="A77" s="205" t="s">
        <v>1117</v>
      </c>
      <c r="B77" s="205" t="s">
        <v>4010</v>
      </c>
      <c r="C77" s="205" t="s">
        <v>2527</v>
      </c>
      <c r="D77" s="205" t="s">
        <v>2528</v>
      </c>
      <c r="E77" s="201">
        <v>42289</v>
      </c>
      <c r="F77" s="205" t="s">
        <v>356</v>
      </c>
      <c r="G77" s="205" t="s">
        <v>232</v>
      </c>
      <c r="H77" s="205" t="s">
        <v>2529</v>
      </c>
      <c r="I77" s="205" t="s">
        <v>2530</v>
      </c>
      <c r="K77" s="205" t="s">
        <v>453</v>
      </c>
      <c r="L77" s="205" t="s">
        <v>461</v>
      </c>
      <c r="M77" s="205" t="s">
        <v>470</v>
      </c>
      <c r="O77" s="200" t="s">
        <v>344</v>
      </c>
      <c r="P77" s="200" t="s">
        <v>2531</v>
      </c>
      <c r="Q77" s="205" t="s">
        <v>470</v>
      </c>
      <c r="R77" s="202">
        <v>78</v>
      </c>
      <c r="U77" s="205" t="s">
        <v>456</v>
      </c>
      <c r="X77" s="205" t="s">
        <v>291</v>
      </c>
      <c r="Y77" s="200" t="s">
        <v>580</v>
      </c>
      <c r="Z77" s="205" t="s">
        <v>2532</v>
      </c>
      <c r="AA77" s="200" t="s">
        <v>548</v>
      </c>
      <c r="AB77" s="205" t="s">
        <v>2532</v>
      </c>
      <c r="AC77" s="200" t="s">
        <v>503</v>
      </c>
      <c r="AD77" s="205" t="s">
        <v>352</v>
      </c>
      <c r="AE77" s="205" t="s">
        <v>232</v>
      </c>
      <c r="AF77" s="205" t="s">
        <v>2533</v>
      </c>
      <c r="AG77" s="205" t="s">
        <v>239</v>
      </c>
      <c r="AH77" s="205" t="s">
        <v>239</v>
      </c>
      <c r="AI77" s="205" t="s">
        <v>2534</v>
      </c>
      <c r="AJ77" s="205" t="s">
        <v>2535</v>
      </c>
      <c r="AK77" s="205" t="s">
        <v>239</v>
      </c>
      <c r="AL77" s="205" t="s">
        <v>2536</v>
      </c>
      <c r="AM77" s="205" t="s">
        <v>239</v>
      </c>
      <c r="AN77" s="205" t="s">
        <v>239</v>
      </c>
      <c r="AO77" s="200" t="s">
        <v>235</v>
      </c>
      <c r="AP77" s="200" t="s">
        <v>235</v>
      </c>
      <c r="AQ77" s="200" t="s">
        <v>235</v>
      </c>
      <c r="AR77" s="200" t="s">
        <v>235</v>
      </c>
      <c r="AS77" s="200" t="s">
        <v>299</v>
      </c>
      <c r="AT77" s="200" t="s">
        <v>299</v>
      </c>
      <c r="AU77" s="200" t="s">
        <v>299</v>
      </c>
      <c r="AV77" s="205" t="s">
        <v>242</v>
      </c>
      <c r="AW77" s="205" t="s">
        <v>482</v>
      </c>
      <c r="AX77" s="200" t="s">
        <v>2537</v>
      </c>
      <c r="AY77" s="200" t="s">
        <v>300</v>
      </c>
      <c r="AZ77" s="205" t="s">
        <v>2538</v>
      </c>
      <c r="BA77" s="205" t="s">
        <v>244</v>
      </c>
      <c r="BB77" s="205" t="s">
        <v>244</v>
      </c>
      <c r="BD77" s="205" t="s">
        <v>239</v>
      </c>
      <c r="BE77" s="205" t="s">
        <v>446</v>
      </c>
      <c r="BF77" s="205" t="s">
        <v>457</v>
      </c>
      <c r="BH77" s="205" t="s">
        <v>456</v>
      </c>
      <c r="BI77" s="202">
        <v>78</v>
      </c>
      <c r="BK77" s="203" t="s">
        <v>289</v>
      </c>
    </row>
    <row r="78" spans="1:65" x14ac:dyDescent="0.25">
      <c r="A78" s="205" t="s">
        <v>1117</v>
      </c>
      <c r="B78" s="205" t="s">
        <v>4011</v>
      </c>
      <c r="C78" s="205" t="s">
        <v>2591</v>
      </c>
      <c r="D78" s="205" t="s">
        <v>2592</v>
      </c>
      <c r="E78" s="201">
        <v>42289</v>
      </c>
      <c r="F78" s="205" t="s">
        <v>402</v>
      </c>
      <c r="G78" s="205" t="s">
        <v>232</v>
      </c>
      <c r="H78" s="205" t="s">
        <v>2593</v>
      </c>
      <c r="I78" s="205" t="s">
        <v>2594</v>
      </c>
      <c r="J78" s="205" t="s">
        <v>365</v>
      </c>
      <c r="K78" s="205" t="s">
        <v>450</v>
      </c>
      <c r="L78" s="205" t="s">
        <v>451</v>
      </c>
      <c r="M78" s="205" t="s">
        <v>452</v>
      </c>
      <c r="O78" s="200" t="s">
        <v>267</v>
      </c>
      <c r="P78" s="200" t="s">
        <v>2595</v>
      </c>
      <c r="Q78" s="205" t="s">
        <v>452</v>
      </c>
      <c r="R78" s="202">
        <v>79</v>
      </c>
      <c r="U78" s="205" t="s">
        <v>456</v>
      </c>
      <c r="X78" s="205" t="s">
        <v>243</v>
      </c>
      <c r="Y78" s="200" t="s">
        <v>578</v>
      </c>
      <c r="Z78" s="205" t="s">
        <v>2596</v>
      </c>
      <c r="AA78" s="200" t="s">
        <v>417</v>
      </c>
      <c r="AB78" s="205" t="s">
        <v>2597</v>
      </c>
      <c r="AD78" s="205" t="s">
        <v>238</v>
      </c>
      <c r="AE78" s="205" t="s">
        <v>232</v>
      </c>
      <c r="AF78" s="205" t="s">
        <v>2598</v>
      </c>
      <c r="AG78" s="205" t="s">
        <v>239</v>
      </c>
      <c r="AH78" s="205" t="s">
        <v>239</v>
      </c>
      <c r="AI78" s="205" t="s">
        <v>2599</v>
      </c>
      <c r="AJ78" s="205" t="s">
        <v>2600</v>
      </c>
      <c r="AK78" s="205" t="s">
        <v>2601</v>
      </c>
      <c r="AL78" s="205" t="s">
        <v>239</v>
      </c>
      <c r="AM78" s="205" t="s">
        <v>239</v>
      </c>
      <c r="AN78" s="205" t="s">
        <v>239</v>
      </c>
      <c r="AO78" s="200" t="s">
        <v>235</v>
      </c>
      <c r="AP78" s="200" t="s">
        <v>235</v>
      </c>
      <c r="AQ78" s="200" t="s">
        <v>235</v>
      </c>
      <c r="AR78" s="200" t="s">
        <v>235</v>
      </c>
      <c r="AS78" s="200" t="s">
        <v>299</v>
      </c>
      <c r="AT78" s="200" t="s">
        <v>299</v>
      </c>
      <c r="AU78" s="200" t="s">
        <v>299</v>
      </c>
      <c r="AV78" s="205" t="s">
        <v>242</v>
      </c>
      <c r="AW78" s="205" t="s">
        <v>482</v>
      </c>
      <c r="AX78" s="200" t="s">
        <v>2602</v>
      </c>
      <c r="AY78" s="200" t="s">
        <v>235</v>
      </c>
      <c r="AZ78" s="205" t="s">
        <v>2603</v>
      </c>
      <c r="BA78" s="205" t="s">
        <v>244</v>
      </c>
      <c r="BB78" s="205" t="s">
        <v>244</v>
      </c>
      <c r="BD78" s="205" t="s">
        <v>239</v>
      </c>
      <c r="BE78" s="205" t="s">
        <v>446</v>
      </c>
      <c r="BF78" s="205" t="s">
        <v>457</v>
      </c>
      <c r="BH78" s="205" t="s">
        <v>456</v>
      </c>
      <c r="BI78" s="202">
        <v>79</v>
      </c>
      <c r="BK78" s="203" t="s">
        <v>289</v>
      </c>
    </row>
    <row r="79" spans="1:65" x14ac:dyDescent="0.25">
      <c r="A79" s="205" t="s">
        <v>2325</v>
      </c>
      <c r="B79" s="205" t="s">
        <v>4012</v>
      </c>
      <c r="C79" s="205" t="s">
        <v>2765</v>
      </c>
      <c r="D79" s="205" t="s">
        <v>2766</v>
      </c>
      <c r="E79" s="201">
        <v>42289</v>
      </c>
      <c r="F79" s="205" t="s">
        <v>422</v>
      </c>
      <c r="G79" s="205" t="s">
        <v>232</v>
      </c>
      <c r="H79" s="205" t="s">
        <v>2767</v>
      </c>
      <c r="I79" s="205" t="s">
        <v>2768</v>
      </c>
      <c r="J79" s="205" t="s">
        <v>537</v>
      </c>
      <c r="K79" s="205" t="s">
        <v>464</v>
      </c>
      <c r="L79" s="205" t="s">
        <v>465</v>
      </c>
      <c r="M79" s="205" t="s">
        <v>466</v>
      </c>
      <c r="O79" s="200" t="s">
        <v>513</v>
      </c>
      <c r="P79" s="200" t="s">
        <v>2769</v>
      </c>
      <c r="Q79" s="205" t="s">
        <v>466</v>
      </c>
      <c r="R79" s="202">
        <v>80</v>
      </c>
      <c r="U79" s="205" t="s">
        <v>456</v>
      </c>
      <c r="X79" s="205" t="s">
        <v>302</v>
      </c>
      <c r="Z79" s="205" t="s">
        <v>238</v>
      </c>
      <c r="AB79" s="205" t="s">
        <v>238</v>
      </c>
      <c r="AD79" s="205" t="s">
        <v>238</v>
      </c>
      <c r="AE79" s="205" t="s">
        <v>232</v>
      </c>
      <c r="AF79" s="205" t="s">
        <v>4013</v>
      </c>
      <c r="AG79" s="205" t="s">
        <v>239</v>
      </c>
      <c r="AH79" s="205" t="s">
        <v>239</v>
      </c>
      <c r="AI79" s="205" t="s">
        <v>4014</v>
      </c>
      <c r="AJ79" s="205" t="s">
        <v>2771</v>
      </c>
      <c r="AK79" s="205" t="s">
        <v>4015</v>
      </c>
      <c r="AL79" s="205" t="s">
        <v>239</v>
      </c>
      <c r="AM79" s="205" t="s">
        <v>239</v>
      </c>
      <c r="AN79" s="205" t="s">
        <v>239</v>
      </c>
      <c r="AO79" s="200" t="s">
        <v>235</v>
      </c>
      <c r="AP79" s="200" t="s">
        <v>235</v>
      </c>
      <c r="AQ79" s="200" t="s">
        <v>235</v>
      </c>
      <c r="AR79" s="200" t="s">
        <v>235</v>
      </c>
      <c r="AS79" s="200" t="s">
        <v>299</v>
      </c>
      <c r="AT79" s="200" t="s">
        <v>299</v>
      </c>
      <c r="AU79" s="200" t="s">
        <v>299</v>
      </c>
      <c r="AV79" s="205" t="s">
        <v>242</v>
      </c>
      <c r="AW79" s="205" t="s">
        <v>482</v>
      </c>
      <c r="AY79" s="200" t="s">
        <v>239</v>
      </c>
      <c r="AZ79" s="205" t="s">
        <v>2773</v>
      </c>
      <c r="BA79" s="205" t="s">
        <v>244</v>
      </c>
      <c r="BB79" s="205" t="s">
        <v>2774</v>
      </c>
      <c r="BD79" s="205" t="s">
        <v>239</v>
      </c>
      <c r="BE79" s="205" t="s">
        <v>446</v>
      </c>
      <c r="BF79" s="205" t="s">
        <v>457</v>
      </c>
      <c r="BH79" s="205" t="s">
        <v>456</v>
      </c>
      <c r="BI79" s="202">
        <v>80</v>
      </c>
      <c r="BK79" s="203" t="s">
        <v>289</v>
      </c>
    </row>
    <row r="80" spans="1:65" x14ac:dyDescent="0.25">
      <c r="A80" s="205" t="s">
        <v>3261</v>
      </c>
      <c r="B80" s="205" t="s">
        <v>4016</v>
      </c>
      <c r="C80" s="205" t="s">
        <v>3090</v>
      </c>
      <c r="D80" s="205" t="s">
        <v>3091</v>
      </c>
      <c r="E80" s="201">
        <v>42289</v>
      </c>
      <c r="F80" s="205" t="s">
        <v>3092</v>
      </c>
      <c r="G80" s="205" t="s">
        <v>232</v>
      </c>
      <c r="H80" s="205" t="s">
        <v>3093</v>
      </c>
      <c r="I80" s="205" t="s">
        <v>3094</v>
      </c>
      <c r="J80" s="205" t="s">
        <v>3095</v>
      </c>
      <c r="K80" s="205" t="s">
        <v>453</v>
      </c>
      <c r="L80" s="205" t="s">
        <v>461</v>
      </c>
      <c r="M80" s="205" t="s">
        <v>460</v>
      </c>
      <c r="O80" s="200" t="s">
        <v>409</v>
      </c>
      <c r="P80" s="200" t="s">
        <v>3096</v>
      </c>
      <c r="Q80" s="205" t="s">
        <v>460</v>
      </c>
      <c r="R80" s="202">
        <v>81</v>
      </c>
      <c r="U80" s="205" t="s">
        <v>456</v>
      </c>
      <c r="X80" s="205" t="s">
        <v>363</v>
      </c>
      <c r="Y80" s="200" t="s">
        <v>336</v>
      </c>
      <c r="Z80" s="205" t="s">
        <v>3097</v>
      </c>
      <c r="AA80" s="200" t="s">
        <v>394</v>
      </c>
      <c r="AB80" s="205" t="s">
        <v>3098</v>
      </c>
      <c r="AC80" s="200" t="s">
        <v>1285</v>
      </c>
      <c r="AD80" s="205" t="s">
        <v>3099</v>
      </c>
      <c r="AE80" s="205" t="s">
        <v>232</v>
      </c>
      <c r="AF80" s="205" t="s">
        <v>3100</v>
      </c>
      <c r="AG80" s="205" t="s">
        <v>239</v>
      </c>
      <c r="AH80" s="205" t="s">
        <v>239</v>
      </c>
      <c r="AI80" s="205" t="s">
        <v>3101</v>
      </c>
      <c r="AJ80" s="205" t="s">
        <v>3102</v>
      </c>
      <c r="AK80" s="205" t="s">
        <v>3103</v>
      </c>
      <c r="AL80" s="205" t="s">
        <v>239</v>
      </c>
      <c r="AM80" s="205" t="s">
        <v>239</v>
      </c>
      <c r="AN80" s="205" t="s">
        <v>239</v>
      </c>
      <c r="AO80" s="200" t="s">
        <v>235</v>
      </c>
      <c r="AP80" s="200" t="s">
        <v>235</v>
      </c>
      <c r="AQ80" s="200" t="s">
        <v>235</v>
      </c>
      <c r="AR80" s="200" t="s">
        <v>235</v>
      </c>
      <c r="AS80" s="200" t="s">
        <v>299</v>
      </c>
      <c r="AT80" s="200" t="s">
        <v>299</v>
      </c>
      <c r="AU80" s="200" t="s">
        <v>299</v>
      </c>
      <c r="AV80" s="205" t="s">
        <v>242</v>
      </c>
      <c r="AW80" s="205" t="s">
        <v>482</v>
      </c>
      <c r="AY80" s="200" t="s">
        <v>239</v>
      </c>
      <c r="AZ80" s="205" t="s">
        <v>3104</v>
      </c>
      <c r="BA80" s="205" t="s">
        <v>244</v>
      </c>
      <c r="BB80" s="205" t="s">
        <v>244</v>
      </c>
      <c r="BD80" s="205" t="s">
        <v>239</v>
      </c>
      <c r="BE80" s="205" t="s">
        <v>446</v>
      </c>
      <c r="BF80" s="205" t="s">
        <v>457</v>
      </c>
      <c r="BH80" s="205" t="s">
        <v>456</v>
      </c>
      <c r="BI80" s="202">
        <v>81</v>
      </c>
      <c r="BK80" s="203" t="s">
        <v>289</v>
      </c>
    </row>
    <row r="81" spans="1:65" x14ac:dyDescent="0.25">
      <c r="A81" s="205" t="s">
        <v>3261</v>
      </c>
      <c r="B81" s="205" t="s">
        <v>4017</v>
      </c>
      <c r="C81" s="205" t="s">
        <v>3106</v>
      </c>
      <c r="D81" s="205" t="s">
        <v>3107</v>
      </c>
      <c r="E81" s="201">
        <v>42289</v>
      </c>
      <c r="F81" s="205" t="s">
        <v>3108</v>
      </c>
      <c r="G81" s="205" t="s">
        <v>232</v>
      </c>
      <c r="H81" s="205" t="s">
        <v>3109</v>
      </c>
      <c r="I81" s="205" t="s">
        <v>3110</v>
      </c>
      <c r="J81" s="205" t="s">
        <v>3111</v>
      </c>
      <c r="K81" s="205" t="s">
        <v>447</v>
      </c>
      <c r="L81" s="205" t="s">
        <v>448</v>
      </c>
      <c r="M81" s="205" t="s">
        <v>455</v>
      </c>
      <c r="O81" s="200" t="s">
        <v>344</v>
      </c>
      <c r="P81" s="200" t="s">
        <v>3112</v>
      </c>
      <c r="Q81" s="205" t="s">
        <v>455</v>
      </c>
      <c r="R81" s="202">
        <v>82</v>
      </c>
      <c r="U81" s="205" t="s">
        <v>456</v>
      </c>
      <c r="X81" s="205" t="s">
        <v>249</v>
      </c>
      <c r="Y81" s="200" t="s">
        <v>2325</v>
      </c>
      <c r="Z81" s="205" t="s">
        <v>364</v>
      </c>
      <c r="AA81" s="200" t="s">
        <v>2325</v>
      </c>
      <c r="AB81" s="205" t="s">
        <v>2124</v>
      </c>
      <c r="AC81" s="200" t="s">
        <v>1889</v>
      </c>
      <c r="AD81" s="205" t="s">
        <v>3113</v>
      </c>
      <c r="AE81" s="205" t="s">
        <v>232</v>
      </c>
      <c r="AF81" s="205" t="s">
        <v>3114</v>
      </c>
      <c r="AG81" s="205" t="s">
        <v>239</v>
      </c>
      <c r="AH81" s="205" t="s">
        <v>239</v>
      </c>
      <c r="AI81" s="205" t="s">
        <v>3115</v>
      </c>
      <c r="AJ81" s="205" t="s">
        <v>3116</v>
      </c>
      <c r="AK81" s="205" t="s">
        <v>3117</v>
      </c>
      <c r="AL81" s="205" t="s">
        <v>239</v>
      </c>
      <c r="AM81" s="205" t="s">
        <v>239</v>
      </c>
      <c r="AN81" s="205" t="s">
        <v>239</v>
      </c>
      <c r="AO81" s="200" t="s">
        <v>235</v>
      </c>
      <c r="AP81" s="200" t="s">
        <v>235</v>
      </c>
      <c r="AQ81" s="200" t="s">
        <v>235</v>
      </c>
      <c r="AR81" s="200" t="s">
        <v>235</v>
      </c>
      <c r="AS81" s="200" t="s">
        <v>299</v>
      </c>
      <c r="AT81" s="200" t="s">
        <v>299</v>
      </c>
      <c r="AU81" s="200" t="s">
        <v>299</v>
      </c>
      <c r="AV81" s="205" t="s">
        <v>242</v>
      </c>
      <c r="AW81" s="205" t="s">
        <v>482</v>
      </c>
      <c r="AX81" s="200" t="s">
        <v>3118</v>
      </c>
      <c r="AY81" s="200" t="s">
        <v>265</v>
      </c>
      <c r="AZ81" s="205" t="s">
        <v>3119</v>
      </c>
      <c r="BA81" s="205" t="s">
        <v>244</v>
      </c>
      <c r="BB81" s="205" t="s">
        <v>244</v>
      </c>
      <c r="BD81" s="205" t="s">
        <v>239</v>
      </c>
      <c r="BE81" s="205" t="s">
        <v>446</v>
      </c>
      <c r="BF81" s="205" t="s">
        <v>457</v>
      </c>
      <c r="BH81" s="205" t="s">
        <v>456</v>
      </c>
      <c r="BI81" s="202">
        <v>82</v>
      </c>
      <c r="BK81" s="203" t="s">
        <v>289</v>
      </c>
    </row>
    <row r="82" spans="1:65" x14ac:dyDescent="0.25">
      <c r="A82" s="205" t="s">
        <v>4018</v>
      </c>
      <c r="B82" s="205" t="s">
        <v>4019</v>
      </c>
      <c r="C82" s="205" t="s">
        <v>4020</v>
      </c>
      <c r="D82" s="205" t="s">
        <v>4021</v>
      </c>
      <c r="E82" s="201">
        <v>42289</v>
      </c>
      <c r="F82" s="205" t="s">
        <v>3422</v>
      </c>
      <c r="G82" s="205" t="s">
        <v>232</v>
      </c>
      <c r="H82" s="205" t="s">
        <v>4022</v>
      </c>
      <c r="I82" s="205" t="s">
        <v>4023</v>
      </c>
      <c r="K82" s="205" t="s">
        <v>450</v>
      </c>
      <c r="L82" s="205" t="s">
        <v>451</v>
      </c>
      <c r="M82" s="205" t="s">
        <v>452</v>
      </c>
      <c r="O82" s="200" t="s">
        <v>290</v>
      </c>
      <c r="P82" s="200" t="s">
        <v>4024</v>
      </c>
      <c r="Q82" s="205" t="s">
        <v>452</v>
      </c>
      <c r="R82" s="202">
        <v>84</v>
      </c>
      <c r="U82" s="205" t="s">
        <v>456</v>
      </c>
      <c r="X82" s="205" t="s">
        <v>546</v>
      </c>
      <c r="Y82" s="200" t="s">
        <v>327</v>
      </c>
      <c r="Z82" s="205" t="s">
        <v>4025</v>
      </c>
      <c r="AA82" s="200" t="s">
        <v>357</v>
      </c>
      <c r="AB82" s="205" t="s">
        <v>4025</v>
      </c>
      <c r="AC82" s="200" t="s">
        <v>562</v>
      </c>
      <c r="AD82" s="205" t="s">
        <v>4026</v>
      </c>
      <c r="AE82" s="205" t="s">
        <v>232</v>
      </c>
      <c r="AF82" s="205" t="s">
        <v>4027</v>
      </c>
      <c r="AG82" s="205" t="s">
        <v>239</v>
      </c>
      <c r="AH82" s="205" t="s">
        <v>239</v>
      </c>
      <c r="AI82" s="205" t="s">
        <v>4028</v>
      </c>
      <c r="AJ82" s="205" t="s">
        <v>4029</v>
      </c>
      <c r="AK82" s="205" t="s">
        <v>4030</v>
      </c>
      <c r="AL82" s="205" t="s">
        <v>4031</v>
      </c>
      <c r="AM82" s="205" t="s">
        <v>239</v>
      </c>
      <c r="AN82" s="205" t="s">
        <v>239</v>
      </c>
      <c r="AO82" s="200" t="s">
        <v>239</v>
      </c>
      <c r="AP82" s="200" t="s">
        <v>239</v>
      </c>
      <c r="AQ82" s="200" t="s">
        <v>239</v>
      </c>
      <c r="AR82" s="200" t="s">
        <v>235</v>
      </c>
      <c r="AS82" s="200" t="s">
        <v>262</v>
      </c>
      <c r="AT82" s="200" t="s">
        <v>241</v>
      </c>
      <c r="AU82" s="200" t="s">
        <v>299</v>
      </c>
      <c r="AV82" s="205" t="s">
        <v>242</v>
      </c>
      <c r="AW82" s="205" t="s">
        <v>482</v>
      </c>
      <c r="AY82" s="200" t="s">
        <v>239</v>
      </c>
      <c r="AZ82" s="205" t="s">
        <v>4032</v>
      </c>
      <c r="BA82" s="205" t="s">
        <v>244</v>
      </c>
      <c r="BB82" s="205" t="s">
        <v>244</v>
      </c>
      <c r="BD82" s="205" t="s">
        <v>239</v>
      </c>
      <c r="BE82" s="205" t="s">
        <v>446</v>
      </c>
      <c r="BF82" s="205" t="s">
        <v>457</v>
      </c>
      <c r="BH82" s="205" t="s">
        <v>456</v>
      </c>
      <c r="BI82" s="202">
        <v>84</v>
      </c>
    </row>
    <row r="83" spans="1:65" x14ac:dyDescent="0.25">
      <c r="A83" s="205" t="s">
        <v>4018</v>
      </c>
      <c r="B83" s="205" t="s">
        <v>4033</v>
      </c>
      <c r="C83" s="205" t="s">
        <v>3187</v>
      </c>
      <c r="D83" s="205" t="s">
        <v>3188</v>
      </c>
      <c r="E83" s="201">
        <v>42289</v>
      </c>
      <c r="F83" s="205" t="s">
        <v>374</v>
      </c>
      <c r="G83" s="205" t="s">
        <v>232</v>
      </c>
      <c r="H83" s="205" t="s">
        <v>3189</v>
      </c>
      <c r="I83" s="205" t="s">
        <v>3190</v>
      </c>
      <c r="J83" s="205" t="s">
        <v>3191</v>
      </c>
      <c r="K83" s="205" t="s">
        <v>447</v>
      </c>
      <c r="L83" s="205" t="s">
        <v>448</v>
      </c>
      <c r="M83" s="205" t="s">
        <v>455</v>
      </c>
      <c r="O83" s="200" t="s">
        <v>513</v>
      </c>
      <c r="P83" s="200" t="s">
        <v>3192</v>
      </c>
      <c r="Q83" s="205" t="s">
        <v>455</v>
      </c>
      <c r="R83" s="202">
        <v>85</v>
      </c>
      <c r="U83" s="205" t="s">
        <v>456</v>
      </c>
      <c r="X83" s="205" t="s">
        <v>249</v>
      </c>
      <c r="Y83" s="200" t="s">
        <v>550</v>
      </c>
      <c r="Z83" s="205" t="s">
        <v>3193</v>
      </c>
      <c r="AA83" s="200" t="s">
        <v>641</v>
      </c>
      <c r="AB83" s="205" t="s">
        <v>237</v>
      </c>
      <c r="AC83" s="200" t="s">
        <v>287</v>
      </c>
      <c r="AD83" s="205" t="s">
        <v>3194</v>
      </c>
      <c r="AE83" s="205" t="s">
        <v>232</v>
      </c>
      <c r="AF83" s="205" t="s">
        <v>3195</v>
      </c>
      <c r="AG83" s="205" t="s">
        <v>239</v>
      </c>
      <c r="AH83" s="205" t="s">
        <v>239</v>
      </c>
      <c r="AI83" s="205" t="s">
        <v>3196</v>
      </c>
      <c r="AJ83" s="205" t="s">
        <v>3197</v>
      </c>
      <c r="AK83" s="205" t="s">
        <v>3198</v>
      </c>
      <c r="AL83" s="205" t="s">
        <v>239</v>
      </c>
      <c r="AM83" s="205" t="s">
        <v>239</v>
      </c>
      <c r="AN83" s="205" t="s">
        <v>239</v>
      </c>
      <c r="AO83" s="200" t="s">
        <v>235</v>
      </c>
      <c r="AP83" s="200" t="s">
        <v>235</v>
      </c>
      <c r="AQ83" s="200" t="s">
        <v>235</v>
      </c>
      <c r="AR83" s="200" t="s">
        <v>235</v>
      </c>
      <c r="AS83" s="200" t="s">
        <v>299</v>
      </c>
      <c r="AT83" s="200" t="s">
        <v>299</v>
      </c>
      <c r="AU83" s="200" t="s">
        <v>299</v>
      </c>
      <c r="AV83" s="205" t="s">
        <v>242</v>
      </c>
      <c r="AW83" s="205" t="s">
        <v>482</v>
      </c>
      <c r="AX83" s="200" t="s">
        <v>1582</v>
      </c>
      <c r="AY83" s="200" t="s">
        <v>235</v>
      </c>
      <c r="AZ83" s="205" t="s">
        <v>3199</v>
      </c>
      <c r="BA83" s="205" t="s">
        <v>244</v>
      </c>
      <c r="BB83" s="205" t="s">
        <v>244</v>
      </c>
      <c r="BD83" s="205" t="s">
        <v>239</v>
      </c>
      <c r="BE83" s="205" t="s">
        <v>446</v>
      </c>
      <c r="BF83" s="205" t="s">
        <v>457</v>
      </c>
      <c r="BH83" s="205" t="s">
        <v>456</v>
      </c>
      <c r="BI83" s="202">
        <v>85</v>
      </c>
      <c r="BK83" s="203" t="s">
        <v>289</v>
      </c>
    </row>
    <row r="84" spans="1:65" x14ac:dyDescent="0.25">
      <c r="A84" s="205" t="s">
        <v>4018</v>
      </c>
      <c r="B84" s="205" t="s">
        <v>4034</v>
      </c>
      <c r="C84" s="205" t="s">
        <v>3201</v>
      </c>
      <c r="D84" s="205" t="s">
        <v>3202</v>
      </c>
      <c r="E84" s="201">
        <v>42289</v>
      </c>
      <c r="F84" s="205" t="s">
        <v>3203</v>
      </c>
      <c r="G84" s="205" t="s">
        <v>232</v>
      </c>
      <c r="H84" s="205" t="s">
        <v>3204</v>
      </c>
      <c r="I84" s="205" t="s">
        <v>3205</v>
      </c>
      <c r="J84" s="205" t="s">
        <v>3136</v>
      </c>
      <c r="K84" s="205" t="s">
        <v>453</v>
      </c>
      <c r="L84" s="205" t="s">
        <v>454</v>
      </c>
      <c r="M84" s="205" t="s">
        <v>455</v>
      </c>
      <c r="O84" s="200" t="s">
        <v>288</v>
      </c>
      <c r="P84" s="200" t="s">
        <v>3206</v>
      </c>
      <c r="Q84" s="205" t="s">
        <v>455</v>
      </c>
      <c r="R84" s="202">
        <v>86</v>
      </c>
      <c r="U84" s="205" t="s">
        <v>456</v>
      </c>
      <c r="X84" s="205" t="s">
        <v>302</v>
      </c>
      <c r="Y84" s="200" t="s">
        <v>519</v>
      </c>
      <c r="Z84" s="205" t="s">
        <v>3207</v>
      </c>
      <c r="AA84" s="200" t="s">
        <v>517</v>
      </c>
      <c r="AB84" s="205" t="s">
        <v>3208</v>
      </c>
      <c r="AC84" s="200" t="s">
        <v>502</v>
      </c>
      <c r="AD84" s="205" t="s">
        <v>3209</v>
      </c>
      <c r="AE84" s="205" t="s">
        <v>232</v>
      </c>
      <c r="AF84" s="205" t="s">
        <v>3210</v>
      </c>
      <c r="AG84" s="205" t="s">
        <v>239</v>
      </c>
      <c r="AH84" s="205" t="s">
        <v>239</v>
      </c>
      <c r="AI84" s="205" t="s">
        <v>3211</v>
      </c>
      <c r="AJ84" s="205" t="s">
        <v>3212</v>
      </c>
      <c r="AK84" s="205" t="s">
        <v>3213</v>
      </c>
      <c r="AL84" s="205" t="s">
        <v>239</v>
      </c>
      <c r="AM84" s="205" t="s">
        <v>239</v>
      </c>
      <c r="AN84" s="205" t="s">
        <v>239</v>
      </c>
      <c r="AO84" s="200" t="s">
        <v>235</v>
      </c>
      <c r="AP84" s="200" t="s">
        <v>235</v>
      </c>
      <c r="AQ84" s="200" t="s">
        <v>235</v>
      </c>
      <c r="AR84" s="200" t="s">
        <v>235</v>
      </c>
      <c r="AS84" s="200" t="s">
        <v>299</v>
      </c>
      <c r="AT84" s="200" t="s">
        <v>299</v>
      </c>
      <c r="AU84" s="200" t="s">
        <v>299</v>
      </c>
      <c r="AV84" s="205" t="s">
        <v>242</v>
      </c>
      <c r="AW84" s="205" t="s">
        <v>482</v>
      </c>
      <c r="AY84" s="200" t="s">
        <v>239</v>
      </c>
      <c r="AZ84" s="205" t="s">
        <v>3214</v>
      </c>
      <c r="BA84" s="205" t="s">
        <v>244</v>
      </c>
      <c r="BB84" s="205" t="s">
        <v>244</v>
      </c>
      <c r="BD84" s="205" t="s">
        <v>239</v>
      </c>
      <c r="BE84" s="205" t="s">
        <v>446</v>
      </c>
      <c r="BF84" s="205" t="s">
        <v>457</v>
      </c>
      <c r="BH84" s="205" t="s">
        <v>456</v>
      </c>
      <c r="BI84" s="202">
        <v>86</v>
      </c>
      <c r="BK84" s="203" t="s">
        <v>289</v>
      </c>
    </row>
    <row r="85" spans="1:65" x14ac:dyDescent="0.25">
      <c r="A85" s="205" t="s">
        <v>4018</v>
      </c>
      <c r="B85" s="205" t="s">
        <v>4035</v>
      </c>
      <c r="C85" s="205" t="s">
        <v>4036</v>
      </c>
      <c r="D85" s="205" t="s">
        <v>4037</v>
      </c>
      <c r="E85" s="201">
        <v>42289</v>
      </c>
      <c r="F85" s="205" t="s">
        <v>254</v>
      </c>
      <c r="G85" s="205" t="s">
        <v>232</v>
      </c>
      <c r="H85" s="205" t="s">
        <v>4038</v>
      </c>
      <c r="I85" s="205" t="s">
        <v>4039</v>
      </c>
      <c r="K85" s="205" t="s">
        <v>453</v>
      </c>
      <c r="L85" s="205" t="s">
        <v>448</v>
      </c>
      <c r="M85" s="205" t="s">
        <v>449</v>
      </c>
      <c r="O85" s="200" t="s">
        <v>274</v>
      </c>
      <c r="P85" s="200" t="s">
        <v>4040</v>
      </c>
      <c r="Q85" s="205" t="s">
        <v>449</v>
      </c>
      <c r="R85" s="202">
        <v>87</v>
      </c>
      <c r="U85" s="205" t="s">
        <v>456</v>
      </c>
      <c r="X85" s="205" t="s">
        <v>363</v>
      </c>
      <c r="Y85" s="200" t="s">
        <v>417</v>
      </c>
      <c r="Z85" s="205" t="s">
        <v>4041</v>
      </c>
      <c r="AB85" s="205" t="s">
        <v>238</v>
      </c>
      <c r="AD85" s="205" t="s">
        <v>238</v>
      </c>
      <c r="AE85" s="205" t="s">
        <v>232</v>
      </c>
      <c r="AF85" s="205" t="s">
        <v>4042</v>
      </c>
      <c r="AG85" s="205" t="s">
        <v>239</v>
      </c>
      <c r="AH85" s="205" t="s">
        <v>239</v>
      </c>
      <c r="AI85" s="205" t="s">
        <v>4043</v>
      </c>
      <c r="AJ85" s="205" t="s">
        <v>4044</v>
      </c>
      <c r="AK85" s="205" t="s">
        <v>4045</v>
      </c>
      <c r="AL85" s="205" t="s">
        <v>239</v>
      </c>
      <c r="AM85" s="205" t="s">
        <v>239</v>
      </c>
      <c r="AN85" s="205" t="s">
        <v>239</v>
      </c>
      <c r="AO85" s="200" t="s">
        <v>239</v>
      </c>
      <c r="AP85" s="200" t="s">
        <v>239</v>
      </c>
      <c r="AQ85" s="200" t="s">
        <v>239</v>
      </c>
      <c r="AR85" s="200" t="s">
        <v>235</v>
      </c>
      <c r="AS85" s="200" t="s">
        <v>262</v>
      </c>
      <c r="AT85" s="200" t="s">
        <v>241</v>
      </c>
      <c r="AU85" s="200" t="s">
        <v>299</v>
      </c>
      <c r="AV85" s="205" t="s">
        <v>242</v>
      </c>
      <c r="AW85" s="205" t="s">
        <v>482</v>
      </c>
      <c r="AY85" s="200" t="s">
        <v>239</v>
      </c>
      <c r="AZ85" s="205" t="s">
        <v>4046</v>
      </c>
      <c r="BA85" s="205" t="s">
        <v>244</v>
      </c>
      <c r="BB85" s="205" t="s">
        <v>244</v>
      </c>
      <c r="BD85" s="205" t="s">
        <v>239</v>
      </c>
      <c r="BE85" s="205" t="s">
        <v>446</v>
      </c>
      <c r="BF85" s="205" t="s">
        <v>457</v>
      </c>
      <c r="BH85" s="205" t="s">
        <v>456</v>
      </c>
      <c r="BI85" s="202">
        <v>87</v>
      </c>
    </row>
    <row r="86" spans="1:65" x14ac:dyDescent="0.25">
      <c r="A86" s="205" t="s">
        <v>3359</v>
      </c>
      <c r="B86" s="205" t="s">
        <v>4047</v>
      </c>
      <c r="C86" s="205" t="s">
        <v>3263</v>
      </c>
      <c r="D86" s="205" t="s">
        <v>3264</v>
      </c>
      <c r="E86" s="201">
        <v>42289</v>
      </c>
      <c r="F86" s="205" t="s">
        <v>582</v>
      </c>
      <c r="G86" s="205" t="s">
        <v>232</v>
      </c>
      <c r="H86" s="205" t="s">
        <v>3265</v>
      </c>
      <c r="I86" s="205" t="s">
        <v>3266</v>
      </c>
      <c r="K86" s="205" t="s">
        <v>453</v>
      </c>
      <c r="L86" s="205" t="s">
        <v>461</v>
      </c>
      <c r="M86" s="205" t="s">
        <v>462</v>
      </c>
      <c r="O86" s="200" t="s">
        <v>246</v>
      </c>
      <c r="P86" s="200" t="s">
        <v>3267</v>
      </c>
      <c r="Q86" s="205" t="s">
        <v>462</v>
      </c>
      <c r="R86" s="202">
        <v>88</v>
      </c>
      <c r="U86" s="205" t="s">
        <v>456</v>
      </c>
      <c r="X86" s="205" t="s">
        <v>331</v>
      </c>
      <c r="Y86" s="200" t="s">
        <v>619</v>
      </c>
      <c r="Z86" s="205" t="s">
        <v>3268</v>
      </c>
      <c r="AA86" s="200" t="s">
        <v>503</v>
      </c>
      <c r="AB86" s="205" t="s">
        <v>3269</v>
      </c>
      <c r="AC86" s="200" t="s">
        <v>503</v>
      </c>
      <c r="AD86" s="205" t="s">
        <v>3270</v>
      </c>
      <c r="AE86" s="205" t="s">
        <v>232</v>
      </c>
      <c r="AF86" s="205" t="s">
        <v>3271</v>
      </c>
      <c r="AG86" s="205" t="s">
        <v>239</v>
      </c>
      <c r="AH86" s="205" t="s">
        <v>239</v>
      </c>
      <c r="AI86" s="205" t="s">
        <v>3272</v>
      </c>
      <c r="AJ86" s="205" t="s">
        <v>3273</v>
      </c>
      <c r="AK86" s="205" t="s">
        <v>239</v>
      </c>
      <c r="AL86" s="205" t="s">
        <v>239</v>
      </c>
      <c r="AM86" s="205" t="s">
        <v>239</v>
      </c>
      <c r="AN86" s="205" t="s">
        <v>239</v>
      </c>
      <c r="AO86" s="200" t="s">
        <v>235</v>
      </c>
      <c r="AP86" s="200" t="s">
        <v>235</v>
      </c>
      <c r="AQ86" s="200" t="s">
        <v>235</v>
      </c>
      <c r="AR86" s="200" t="s">
        <v>235</v>
      </c>
      <c r="AS86" s="200" t="s">
        <v>299</v>
      </c>
      <c r="AT86" s="200" t="s">
        <v>299</v>
      </c>
      <c r="AU86" s="200" t="s">
        <v>299</v>
      </c>
      <c r="AV86" s="205" t="s">
        <v>242</v>
      </c>
      <c r="AW86" s="205" t="s">
        <v>482</v>
      </c>
      <c r="AY86" s="200" t="s">
        <v>239</v>
      </c>
      <c r="AZ86" s="205" t="s">
        <v>3274</v>
      </c>
      <c r="BA86" s="205" t="s">
        <v>244</v>
      </c>
      <c r="BB86" s="205" t="s">
        <v>244</v>
      </c>
      <c r="BD86" s="205" t="s">
        <v>239</v>
      </c>
      <c r="BE86" s="205" t="s">
        <v>446</v>
      </c>
      <c r="BF86" s="205" t="s">
        <v>457</v>
      </c>
      <c r="BH86" s="205" t="s">
        <v>456</v>
      </c>
      <c r="BI86" s="202">
        <v>88</v>
      </c>
      <c r="BK86" s="203" t="s">
        <v>289</v>
      </c>
    </row>
    <row r="87" spans="1:65" x14ac:dyDescent="0.25">
      <c r="A87" s="205" t="s">
        <v>3359</v>
      </c>
      <c r="B87" s="205" t="s">
        <v>4048</v>
      </c>
      <c r="C87" s="205" t="s">
        <v>4049</v>
      </c>
      <c r="D87" s="205" t="s">
        <v>4050</v>
      </c>
      <c r="E87" s="201">
        <v>42289</v>
      </c>
      <c r="F87" s="205" t="s">
        <v>4051</v>
      </c>
      <c r="G87" s="205" t="s">
        <v>232</v>
      </c>
      <c r="H87" s="205" t="s">
        <v>273</v>
      </c>
      <c r="I87" s="205" t="s">
        <v>4052</v>
      </c>
      <c r="K87" s="205" t="s">
        <v>453</v>
      </c>
      <c r="L87" s="205" t="s">
        <v>461</v>
      </c>
      <c r="M87" s="205" t="s">
        <v>462</v>
      </c>
      <c r="Q87" s="205" t="s">
        <v>462</v>
      </c>
      <c r="R87" s="202">
        <v>89</v>
      </c>
      <c r="U87" s="205" t="s">
        <v>456</v>
      </c>
      <c r="X87" s="205" t="s">
        <v>271</v>
      </c>
      <c r="Y87" s="200" t="s">
        <v>294</v>
      </c>
      <c r="Z87" s="205" t="s">
        <v>237</v>
      </c>
      <c r="AA87" s="200" t="s">
        <v>346</v>
      </c>
      <c r="AB87" s="205" t="s">
        <v>4053</v>
      </c>
      <c r="AC87" s="200" t="s">
        <v>328</v>
      </c>
      <c r="AD87" s="205" t="s">
        <v>4053</v>
      </c>
      <c r="AE87" s="205" t="s">
        <v>232</v>
      </c>
      <c r="AF87" s="205" t="s">
        <v>4054</v>
      </c>
      <c r="AG87" s="205" t="s">
        <v>239</v>
      </c>
      <c r="AH87" s="205" t="s">
        <v>239</v>
      </c>
      <c r="AI87" s="205" t="s">
        <v>4055</v>
      </c>
      <c r="AJ87" s="205" t="s">
        <v>4056</v>
      </c>
      <c r="AK87" s="205" t="s">
        <v>4057</v>
      </c>
      <c r="AL87" s="205" t="s">
        <v>239</v>
      </c>
      <c r="AM87" s="205" t="s">
        <v>239</v>
      </c>
      <c r="AN87" s="205" t="s">
        <v>239</v>
      </c>
      <c r="AO87" s="200" t="s">
        <v>239</v>
      </c>
      <c r="AP87" s="200" t="s">
        <v>239</v>
      </c>
      <c r="AQ87" s="200" t="s">
        <v>239</v>
      </c>
      <c r="AR87" s="200" t="s">
        <v>235</v>
      </c>
      <c r="AS87" s="200" t="s">
        <v>262</v>
      </c>
      <c r="AT87" s="200" t="s">
        <v>241</v>
      </c>
      <c r="AU87" s="200" t="s">
        <v>299</v>
      </c>
      <c r="AV87" s="205" t="s">
        <v>242</v>
      </c>
      <c r="AW87" s="205" t="s">
        <v>482</v>
      </c>
      <c r="AY87" s="200" t="s">
        <v>239</v>
      </c>
      <c r="AZ87" s="205" t="s">
        <v>244</v>
      </c>
      <c r="BA87" s="205" t="s">
        <v>244</v>
      </c>
      <c r="BB87" s="205" t="s">
        <v>4058</v>
      </c>
      <c r="BD87" s="205" t="s">
        <v>239</v>
      </c>
      <c r="BE87" s="205" t="s">
        <v>446</v>
      </c>
      <c r="BF87" s="205" t="s">
        <v>457</v>
      </c>
      <c r="BH87" s="205" t="s">
        <v>456</v>
      </c>
      <c r="BI87" s="202">
        <v>89</v>
      </c>
    </row>
    <row r="88" spans="1:65" x14ac:dyDescent="0.25">
      <c r="A88" s="205" t="s">
        <v>2780</v>
      </c>
      <c r="B88" s="205" t="s">
        <v>4059</v>
      </c>
      <c r="C88" s="205" t="s">
        <v>3710</v>
      </c>
      <c r="D88" s="205" t="s">
        <v>3711</v>
      </c>
      <c r="E88" s="201">
        <v>42289</v>
      </c>
      <c r="F88" s="205" t="s">
        <v>3347</v>
      </c>
      <c r="G88" s="205" t="s">
        <v>232</v>
      </c>
      <c r="H88" s="205" t="s">
        <v>3712</v>
      </c>
      <c r="I88" s="205" t="s">
        <v>3713</v>
      </c>
      <c r="K88" s="205" t="s">
        <v>450</v>
      </c>
      <c r="L88" s="205" t="s">
        <v>451</v>
      </c>
      <c r="M88" s="205" t="s">
        <v>452</v>
      </c>
      <c r="O88" s="200" t="s">
        <v>3714</v>
      </c>
      <c r="P88" s="200" t="s">
        <v>3715</v>
      </c>
      <c r="Q88" s="205" t="s">
        <v>452</v>
      </c>
      <c r="R88" s="202">
        <v>90</v>
      </c>
      <c r="U88" s="205" t="s">
        <v>456</v>
      </c>
      <c r="X88" s="205" t="s">
        <v>275</v>
      </c>
      <c r="Y88" s="200" t="s">
        <v>603</v>
      </c>
      <c r="Z88" s="205" t="s">
        <v>3716</v>
      </c>
      <c r="AA88" s="200" t="s">
        <v>550</v>
      </c>
      <c r="AB88" s="205" t="s">
        <v>3717</v>
      </c>
      <c r="AC88" s="200" t="s">
        <v>320</v>
      </c>
      <c r="AD88" s="205" t="s">
        <v>3718</v>
      </c>
      <c r="AE88" s="205" t="s">
        <v>232</v>
      </c>
      <c r="AF88" s="205" t="s">
        <v>3719</v>
      </c>
      <c r="AG88" s="205" t="s">
        <v>239</v>
      </c>
      <c r="AH88" s="205" t="s">
        <v>239</v>
      </c>
      <c r="AI88" s="205" t="s">
        <v>3720</v>
      </c>
      <c r="AJ88" s="205" t="s">
        <v>3721</v>
      </c>
      <c r="AK88" s="205" t="s">
        <v>630</v>
      </c>
      <c r="AL88" s="205" t="s">
        <v>239</v>
      </c>
      <c r="AM88" s="205" t="s">
        <v>239</v>
      </c>
      <c r="AN88" s="205" t="s">
        <v>239</v>
      </c>
      <c r="AO88" s="200" t="s">
        <v>235</v>
      </c>
      <c r="AP88" s="200" t="s">
        <v>235</v>
      </c>
      <c r="AQ88" s="200" t="s">
        <v>235</v>
      </c>
      <c r="AR88" s="200" t="s">
        <v>235</v>
      </c>
      <c r="AS88" s="200" t="s">
        <v>299</v>
      </c>
      <c r="AT88" s="200" t="s">
        <v>299</v>
      </c>
      <c r="AU88" s="200" t="s">
        <v>299</v>
      </c>
      <c r="AV88" s="205" t="s">
        <v>242</v>
      </c>
      <c r="AW88" s="205" t="s">
        <v>482</v>
      </c>
      <c r="AY88" s="200" t="s">
        <v>239</v>
      </c>
      <c r="AZ88" s="205" t="s">
        <v>3722</v>
      </c>
      <c r="BA88" s="205" t="s">
        <v>244</v>
      </c>
      <c r="BB88" s="205" t="s">
        <v>244</v>
      </c>
      <c r="BD88" s="205" t="s">
        <v>239</v>
      </c>
      <c r="BE88" s="205" t="s">
        <v>446</v>
      </c>
      <c r="BF88" s="205" t="s">
        <v>457</v>
      </c>
      <c r="BH88" s="205" t="s">
        <v>456</v>
      </c>
      <c r="BI88" s="202">
        <v>90</v>
      </c>
      <c r="BK88" s="203" t="s">
        <v>289</v>
      </c>
    </row>
    <row r="89" spans="1:65" x14ac:dyDescent="0.25">
      <c r="A89" s="205" t="s">
        <v>2780</v>
      </c>
      <c r="B89" s="205" t="s">
        <v>4060</v>
      </c>
      <c r="C89" s="205" t="s">
        <v>3739</v>
      </c>
      <c r="D89" s="205" t="s">
        <v>3740</v>
      </c>
      <c r="E89" s="201">
        <v>42289</v>
      </c>
      <c r="F89" s="205" t="s">
        <v>3741</v>
      </c>
      <c r="G89" s="205" t="s">
        <v>232</v>
      </c>
      <c r="H89" s="205" t="s">
        <v>3742</v>
      </c>
      <c r="I89" s="205" t="s">
        <v>3743</v>
      </c>
      <c r="K89" s="205" t="s">
        <v>450</v>
      </c>
      <c r="L89" s="205" t="s">
        <v>451</v>
      </c>
      <c r="M89" s="205" t="s">
        <v>463</v>
      </c>
      <c r="O89" s="200" t="s">
        <v>513</v>
      </c>
      <c r="P89" s="200" t="s">
        <v>3744</v>
      </c>
      <c r="Q89" s="205" t="s">
        <v>463</v>
      </c>
      <c r="R89" s="202">
        <v>91</v>
      </c>
      <c r="U89" s="205" t="s">
        <v>456</v>
      </c>
      <c r="X89" s="205" t="s">
        <v>272</v>
      </c>
      <c r="Y89" s="200" t="s">
        <v>2070</v>
      </c>
      <c r="Z89" s="205" t="s">
        <v>260</v>
      </c>
      <c r="AA89" s="200" t="s">
        <v>548</v>
      </c>
      <c r="AB89" s="205" t="s">
        <v>3745</v>
      </c>
      <c r="AC89" s="200" t="s">
        <v>517</v>
      </c>
      <c r="AD89" s="205" t="s">
        <v>3208</v>
      </c>
      <c r="AE89" s="205" t="s">
        <v>232</v>
      </c>
      <c r="AF89" s="205" t="s">
        <v>3746</v>
      </c>
      <c r="AG89" s="205" t="s">
        <v>239</v>
      </c>
      <c r="AH89" s="205" t="s">
        <v>239</v>
      </c>
      <c r="AI89" s="205" t="s">
        <v>3747</v>
      </c>
      <c r="AJ89" s="205" t="s">
        <v>3748</v>
      </c>
      <c r="AK89" s="205" t="s">
        <v>3749</v>
      </c>
      <c r="AL89" s="205" t="s">
        <v>239</v>
      </c>
      <c r="AM89" s="205" t="s">
        <v>239</v>
      </c>
      <c r="AN89" s="205" t="s">
        <v>239</v>
      </c>
      <c r="AO89" s="200" t="s">
        <v>235</v>
      </c>
      <c r="AP89" s="200" t="s">
        <v>235</v>
      </c>
      <c r="AQ89" s="200" t="s">
        <v>235</v>
      </c>
      <c r="AR89" s="200" t="s">
        <v>235</v>
      </c>
      <c r="AS89" s="200" t="s">
        <v>299</v>
      </c>
      <c r="AT89" s="200" t="s">
        <v>299</v>
      </c>
      <c r="AU89" s="200" t="s">
        <v>299</v>
      </c>
      <c r="AV89" s="205" t="s">
        <v>242</v>
      </c>
      <c r="AW89" s="205" t="s">
        <v>482</v>
      </c>
      <c r="AX89" s="200" t="s">
        <v>1582</v>
      </c>
      <c r="AY89" s="200" t="s">
        <v>300</v>
      </c>
      <c r="AZ89" s="205" t="s">
        <v>3750</v>
      </c>
      <c r="BA89" s="205" t="s">
        <v>244</v>
      </c>
      <c r="BB89" s="205" t="s">
        <v>244</v>
      </c>
      <c r="BD89" s="205" t="s">
        <v>239</v>
      </c>
      <c r="BE89" s="205" t="s">
        <v>446</v>
      </c>
      <c r="BF89" s="205" t="s">
        <v>457</v>
      </c>
      <c r="BH89" s="205" t="s">
        <v>456</v>
      </c>
      <c r="BI89" s="202">
        <v>91</v>
      </c>
      <c r="BK89" s="203" t="s">
        <v>289</v>
      </c>
    </row>
    <row r="90" spans="1:65" x14ac:dyDescent="0.25">
      <c r="A90" s="205" t="s">
        <v>2780</v>
      </c>
      <c r="B90" s="205" t="s">
        <v>4061</v>
      </c>
      <c r="C90" s="205" t="s">
        <v>3771</v>
      </c>
      <c r="D90" s="205" t="s">
        <v>3772</v>
      </c>
      <c r="E90" s="201">
        <v>42289</v>
      </c>
      <c r="F90" s="205" t="s">
        <v>3773</v>
      </c>
      <c r="G90" s="205" t="s">
        <v>232</v>
      </c>
      <c r="H90" s="205" t="s">
        <v>3774</v>
      </c>
      <c r="I90" s="205" t="s">
        <v>3775</v>
      </c>
      <c r="J90" s="205" t="s">
        <v>353</v>
      </c>
      <c r="K90" s="205" t="s">
        <v>450</v>
      </c>
      <c r="L90" s="205" t="s">
        <v>451</v>
      </c>
      <c r="M90" s="205" t="s">
        <v>452</v>
      </c>
      <c r="O90" s="200" t="s">
        <v>377</v>
      </c>
      <c r="P90" s="200" t="s">
        <v>3776</v>
      </c>
      <c r="Q90" s="205" t="s">
        <v>452</v>
      </c>
      <c r="R90" s="202">
        <v>92</v>
      </c>
      <c r="U90" s="205" t="s">
        <v>456</v>
      </c>
      <c r="X90" s="205" t="s">
        <v>390</v>
      </c>
      <c r="Y90" s="200" t="s">
        <v>574</v>
      </c>
      <c r="Z90" s="205" t="s">
        <v>3777</v>
      </c>
      <c r="AA90" s="200" t="s">
        <v>510</v>
      </c>
      <c r="AB90" s="205" t="s">
        <v>3778</v>
      </c>
      <c r="AC90" s="200" t="s">
        <v>297</v>
      </c>
      <c r="AD90" s="205" t="s">
        <v>3779</v>
      </c>
      <c r="AE90" s="205" t="s">
        <v>232</v>
      </c>
      <c r="AF90" s="205" t="s">
        <v>3780</v>
      </c>
      <c r="AG90" s="205" t="s">
        <v>239</v>
      </c>
      <c r="AH90" s="205" t="s">
        <v>239</v>
      </c>
      <c r="AI90" s="205" t="s">
        <v>3781</v>
      </c>
      <c r="AJ90" s="205" t="s">
        <v>3782</v>
      </c>
      <c r="AK90" s="205" t="s">
        <v>239</v>
      </c>
      <c r="AL90" s="205" t="s">
        <v>239</v>
      </c>
      <c r="AM90" s="205" t="s">
        <v>239</v>
      </c>
      <c r="AN90" s="205" t="s">
        <v>239</v>
      </c>
      <c r="AO90" s="200" t="s">
        <v>235</v>
      </c>
      <c r="AP90" s="200" t="s">
        <v>235</v>
      </c>
      <c r="AQ90" s="200" t="s">
        <v>235</v>
      </c>
      <c r="AR90" s="200" t="s">
        <v>235</v>
      </c>
      <c r="AS90" s="200" t="s">
        <v>299</v>
      </c>
      <c r="AT90" s="200" t="s">
        <v>299</v>
      </c>
      <c r="AU90" s="200" t="s">
        <v>299</v>
      </c>
      <c r="AV90" s="205" t="s">
        <v>242</v>
      </c>
      <c r="AW90" s="205" t="s">
        <v>482</v>
      </c>
      <c r="AY90" s="200" t="s">
        <v>239</v>
      </c>
      <c r="AZ90" s="205" t="s">
        <v>3783</v>
      </c>
      <c r="BA90" s="205" t="s">
        <v>244</v>
      </c>
      <c r="BB90" s="205" t="s">
        <v>244</v>
      </c>
      <c r="BD90" s="205" t="s">
        <v>239</v>
      </c>
      <c r="BE90" s="205" t="s">
        <v>446</v>
      </c>
      <c r="BF90" s="205" t="s">
        <v>457</v>
      </c>
      <c r="BH90" s="205" t="s">
        <v>456</v>
      </c>
      <c r="BI90" s="202">
        <v>92</v>
      </c>
      <c r="BK90" s="203" t="s">
        <v>289</v>
      </c>
    </row>
    <row r="91" spans="1:65" x14ac:dyDescent="0.25">
      <c r="A91" s="205" t="s">
        <v>2780</v>
      </c>
      <c r="B91" s="205" t="s">
        <v>4062</v>
      </c>
      <c r="C91" s="205" t="s">
        <v>4063</v>
      </c>
      <c r="D91" s="205" t="s">
        <v>4064</v>
      </c>
      <c r="E91" s="201">
        <v>42289</v>
      </c>
      <c r="F91" s="205" t="s">
        <v>351</v>
      </c>
      <c r="G91" s="205" t="s">
        <v>232</v>
      </c>
      <c r="H91" s="205" t="s">
        <v>4065</v>
      </c>
      <c r="I91" s="205" t="s">
        <v>4066</v>
      </c>
      <c r="J91" s="205" t="s">
        <v>3407</v>
      </c>
      <c r="K91" s="205" t="s">
        <v>450</v>
      </c>
      <c r="L91" s="205" t="s">
        <v>451</v>
      </c>
      <c r="M91" s="205" t="s">
        <v>452</v>
      </c>
      <c r="O91" s="200" t="s">
        <v>513</v>
      </c>
      <c r="P91" s="200" t="s">
        <v>4067</v>
      </c>
      <c r="Q91" s="205" t="s">
        <v>452</v>
      </c>
      <c r="R91" s="202">
        <v>93</v>
      </c>
      <c r="U91" s="205" t="s">
        <v>456</v>
      </c>
      <c r="X91" s="205" t="s">
        <v>331</v>
      </c>
      <c r="Y91" s="200" t="s">
        <v>250</v>
      </c>
      <c r="Z91" s="205" t="s">
        <v>4068</v>
      </c>
      <c r="AA91" s="200" t="s">
        <v>308</v>
      </c>
      <c r="AB91" s="205" t="s">
        <v>4069</v>
      </c>
      <c r="AD91" s="205" t="s">
        <v>238</v>
      </c>
      <c r="AE91" s="205" t="s">
        <v>232</v>
      </c>
      <c r="AF91" s="205" t="s">
        <v>4070</v>
      </c>
      <c r="AG91" s="205" t="s">
        <v>4071</v>
      </c>
      <c r="AH91" s="205" t="s">
        <v>239</v>
      </c>
      <c r="AI91" s="205" t="s">
        <v>4072</v>
      </c>
      <c r="AJ91" s="205" t="s">
        <v>4073</v>
      </c>
      <c r="AK91" s="205" t="s">
        <v>4074</v>
      </c>
      <c r="AL91" s="205" t="s">
        <v>239</v>
      </c>
      <c r="AM91" s="205" t="s">
        <v>239</v>
      </c>
      <c r="AN91" s="205" t="s">
        <v>239</v>
      </c>
      <c r="AO91" s="200" t="s">
        <v>239</v>
      </c>
      <c r="AP91" s="200" t="s">
        <v>239</v>
      </c>
      <c r="AQ91" s="200" t="s">
        <v>239</v>
      </c>
      <c r="AR91" s="200" t="s">
        <v>235</v>
      </c>
      <c r="AS91" s="200" t="s">
        <v>262</v>
      </c>
      <c r="AT91" s="200" t="s">
        <v>241</v>
      </c>
      <c r="AU91" s="200" t="s">
        <v>299</v>
      </c>
      <c r="AV91" s="205" t="s">
        <v>242</v>
      </c>
      <c r="AW91" s="205" t="s">
        <v>482</v>
      </c>
      <c r="AY91" s="200" t="s">
        <v>239</v>
      </c>
      <c r="AZ91" s="205" t="s">
        <v>4075</v>
      </c>
      <c r="BA91" s="205" t="s">
        <v>244</v>
      </c>
      <c r="BB91" s="205" t="s">
        <v>244</v>
      </c>
      <c r="BD91" s="205" t="s">
        <v>239</v>
      </c>
      <c r="BE91" s="205" t="s">
        <v>446</v>
      </c>
      <c r="BF91" s="205" t="s">
        <v>457</v>
      </c>
      <c r="BH91" s="205" t="s">
        <v>456</v>
      </c>
      <c r="BI91" s="202">
        <v>93</v>
      </c>
      <c r="BJ91" s="201">
        <v>42291</v>
      </c>
      <c r="BK91" s="203" t="s">
        <v>245</v>
      </c>
      <c r="BL91" s="204">
        <v>124.63</v>
      </c>
      <c r="BM91" s="205">
        <v>42</v>
      </c>
    </row>
    <row r="92" spans="1:65" x14ac:dyDescent="0.25">
      <c r="A92" s="205" t="s">
        <v>2780</v>
      </c>
      <c r="B92" s="205" t="s">
        <v>4076</v>
      </c>
      <c r="C92" s="205" t="s">
        <v>3866</v>
      </c>
      <c r="D92" s="205" t="s">
        <v>3867</v>
      </c>
      <c r="E92" s="201">
        <v>42289</v>
      </c>
      <c r="F92" s="205" t="s">
        <v>416</v>
      </c>
      <c r="G92" s="205" t="s">
        <v>232</v>
      </c>
      <c r="H92" s="205" t="s">
        <v>3868</v>
      </c>
      <c r="I92" s="205" t="s">
        <v>3869</v>
      </c>
      <c r="J92" s="205" t="s">
        <v>3870</v>
      </c>
      <c r="K92" s="205" t="s">
        <v>447</v>
      </c>
      <c r="L92" s="205" t="s">
        <v>448</v>
      </c>
      <c r="M92" s="205" t="s">
        <v>455</v>
      </c>
      <c r="O92" s="200" t="s">
        <v>513</v>
      </c>
      <c r="P92" s="200" t="s">
        <v>3871</v>
      </c>
      <c r="Q92" s="205" t="s">
        <v>455</v>
      </c>
      <c r="R92" s="202">
        <v>94</v>
      </c>
      <c r="U92" s="205" t="s">
        <v>456</v>
      </c>
      <c r="X92" s="205" t="s">
        <v>331</v>
      </c>
      <c r="Y92" s="200" t="s">
        <v>2387</v>
      </c>
      <c r="Z92" s="205" t="s">
        <v>260</v>
      </c>
      <c r="AA92" s="200" t="s">
        <v>407</v>
      </c>
      <c r="AB92" s="205" t="s">
        <v>3872</v>
      </c>
      <c r="AD92" s="205" t="s">
        <v>238</v>
      </c>
      <c r="AE92" s="205" t="s">
        <v>232</v>
      </c>
      <c r="AF92" s="205" t="s">
        <v>3873</v>
      </c>
      <c r="AG92" s="205" t="s">
        <v>3661</v>
      </c>
      <c r="AH92" s="205" t="s">
        <v>239</v>
      </c>
      <c r="AI92" s="205" t="s">
        <v>3874</v>
      </c>
      <c r="AJ92" s="205" t="s">
        <v>3875</v>
      </c>
      <c r="AK92" s="205" t="s">
        <v>3876</v>
      </c>
      <c r="AL92" s="205" t="s">
        <v>239</v>
      </c>
      <c r="AM92" s="205" t="s">
        <v>239</v>
      </c>
      <c r="AN92" s="205" t="s">
        <v>239</v>
      </c>
      <c r="AO92" s="200" t="s">
        <v>235</v>
      </c>
      <c r="AP92" s="200" t="s">
        <v>235</v>
      </c>
      <c r="AQ92" s="200" t="s">
        <v>235</v>
      </c>
      <c r="AR92" s="200" t="s">
        <v>235</v>
      </c>
      <c r="AS92" s="200" t="s">
        <v>299</v>
      </c>
      <c r="AT92" s="200" t="s">
        <v>299</v>
      </c>
      <c r="AU92" s="200" t="s">
        <v>299</v>
      </c>
      <c r="AV92" s="205" t="s">
        <v>242</v>
      </c>
      <c r="AW92" s="205" t="s">
        <v>482</v>
      </c>
      <c r="AX92" s="200" t="s">
        <v>3877</v>
      </c>
      <c r="AY92" s="200" t="s">
        <v>300</v>
      </c>
      <c r="AZ92" s="205" t="s">
        <v>3878</v>
      </c>
      <c r="BA92" s="205" t="s">
        <v>244</v>
      </c>
      <c r="BB92" s="205" t="s">
        <v>244</v>
      </c>
      <c r="BD92" s="205" t="s">
        <v>239</v>
      </c>
      <c r="BE92" s="205" t="s">
        <v>446</v>
      </c>
      <c r="BF92" s="205" t="s">
        <v>457</v>
      </c>
      <c r="BH92" s="205" t="s">
        <v>456</v>
      </c>
      <c r="BI92" s="202">
        <v>94</v>
      </c>
      <c r="BK92" s="203" t="s">
        <v>289</v>
      </c>
    </row>
    <row r="93" spans="1:65" x14ac:dyDescent="0.25">
      <c r="A93" s="205" t="s">
        <v>2780</v>
      </c>
      <c r="B93" s="205" t="s">
        <v>4077</v>
      </c>
      <c r="C93" s="205" t="s">
        <v>3973</v>
      </c>
      <c r="D93" s="205" t="s">
        <v>3974</v>
      </c>
      <c r="E93" s="201">
        <v>42289</v>
      </c>
      <c r="F93" s="205" t="s">
        <v>3975</v>
      </c>
      <c r="G93" s="205" t="s">
        <v>232</v>
      </c>
      <c r="H93" s="205" t="s">
        <v>3976</v>
      </c>
      <c r="I93" s="205" t="s">
        <v>3977</v>
      </c>
      <c r="K93" s="205" t="s">
        <v>453</v>
      </c>
      <c r="L93" s="205" t="s">
        <v>448</v>
      </c>
      <c r="M93" s="205" t="s">
        <v>449</v>
      </c>
      <c r="O93" s="200" t="s">
        <v>303</v>
      </c>
      <c r="P93" s="200" t="s">
        <v>3978</v>
      </c>
      <c r="Q93" s="205" t="s">
        <v>449</v>
      </c>
      <c r="R93" s="202">
        <v>95</v>
      </c>
      <c r="U93" s="205" t="s">
        <v>456</v>
      </c>
      <c r="X93" s="205" t="s">
        <v>253</v>
      </c>
      <c r="Y93" s="200" t="s">
        <v>541</v>
      </c>
      <c r="Z93" s="205" t="s">
        <v>3979</v>
      </c>
      <c r="AA93" s="200" t="s">
        <v>230</v>
      </c>
      <c r="AB93" s="205" t="s">
        <v>3980</v>
      </c>
      <c r="AC93" s="200" t="s">
        <v>261</v>
      </c>
      <c r="AD93" s="205" t="s">
        <v>3981</v>
      </c>
      <c r="AE93" s="205" t="s">
        <v>232</v>
      </c>
      <c r="AF93" s="205" t="s">
        <v>3982</v>
      </c>
      <c r="AG93" s="205" t="s">
        <v>239</v>
      </c>
      <c r="AH93" s="205" t="s">
        <v>239</v>
      </c>
      <c r="AI93" s="205" t="s">
        <v>3983</v>
      </c>
      <c r="AJ93" s="205" t="s">
        <v>3984</v>
      </c>
      <c r="AK93" s="205" t="s">
        <v>3985</v>
      </c>
      <c r="AL93" s="205" t="s">
        <v>239</v>
      </c>
      <c r="AM93" s="205" t="s">
        <v>239</v>
      </c>
      <c r="AN93" s="205" t="s">
        <v>239</v>
      </c>
      <c r="AO93" s="200" t="s">
        <v>235</v>
      </c>
      <c r="AP93" s="200" t="s">
        <v>235</v>
      </c>
      <c r="AQ93" s="200" t="s">
        <v>235</v>
      </c>
      <c r="AR93" s="200" t="s">
        <v>235</v>
      </c>
      <c r="AS93" s="200" t="s">
        <v>299</v>
      </c>
      <c r="AT93" s="200" t="s">
        <v>299</v>
      </c>
      <c r="AU93" s="200" t="s">
        <v>299</v>
      </c>
      <c r="AV93" s="205" t="s">
        <v>242</v>
      </c>
      <c r="AW93" s="205" t="s">
        <v>482</v>
      </c>
      <c r="AY93" s="200" t="s">
        <v>239</v>
      </c>
      <c r="AZ93" s="205" t="s">
        <v>3986</v>
      </c>
      <c r="BA93" s="205" t="s">
        <v>3987</v>
      </c>
      <c r="BB93" s="205" t="s">
        <v>3986</v>
      </c>
      <c r="BD93" s="205" t="s">
        <v>239</v>
      </c>
      <c r="BE93" s="205" t="s">
        <v>446</v>
      </c>
      <c r="BF93" s="205" t="s">
        <v>457</v>
      </c>
      <c r="BH93" s="205" t="s">
        <v>456</v>
      </c>
      <c r="BI93" s="202">
        <v>95</v>
      </c>
      <c r="BK93" s="203" t="s">
        <v>289</v>
      </c>
    </row>
    <row r="94" spans="1:65" x14ac:dyDescent="0.25">
      <c r="A94" s="205" t="s">
        <v>3675</v>
      </c>
      <c r="B94" s="205" t="s">
        <v>4078</v>
      </c>
      <c r="C94" s="205" t="s">
        <v>3376</v>
      </c>
      <c r="D94" s="205" t="s">
        <v>3377</v>
      </c>
      <c r="E94" s="201">
        <v>42289</v>
      </c>
      <c r="F94" s="205" t="s">
        <v>1460</v>
      </c>
      <c r="G94" s="205" t="s">
        <v>232</v>
      </c>
      <c r="H94" s="205" t="s">
        <v>3378</v>
      </c>
      <c r="I94" s="205" t="s">
        <v>3379</v>
      </c>
      <c r="J94" s="205" t="s">
        <v>379</v>
      </c>
      <c r="K94" s="205" t="s">
        <v>453</v>
      </c>
      <c r="L94" s="205" t="s">
        <v>454</v>
      </c>
      <c r="M94" s="205" t="s">
        <v>455</v>
      </c>
      <c r="O94" s="200" t="s">
        <v>274</v>
      </c>
      <c r="P94" s="200" t="s">
        <v>3380</v>
      </c>
      <c r="Q94" s="205" t="s">
        <v>455</v>
      </c>
      <c r="R94" s="202">
        <v>96</v>
      </c>
      <c r="U94" s="205" t="s">
        <v>456</v>
      </c>
      <c r="X94" s="205" t="s">
        <v>235</v>
      </c>
      <c r="Y94" s="200" t="s">
        <v>603</v>
      </c>
      <c r="Z94" s="205" t="s">
        <v>3381</v>
      </c>
      <c r="AA94" s="200" t="s">
        <v>518</v>
      </c>
      <c r="AB94" s="205" t="s">
        <v>3382</v>
      </c>
      <c r="AC94" s="200" t="s">
        <v>517</v>
      </c>
      <c r="AD94" s="205" t="s">
        <v>3383</v>
      </c>
      <c r="AE94" s="205" t="s">
        <v>232</v>
      </c>
      <c r="AF94" s="205" t="s">
        <v>3384</v>
      </c>
      <c r="AG94" s="205" t="s">
        <v>239</v>
      </c>
      <c r="AH94" s="205" t="s">
        <v>239</v>
      </c>
      <c r="AI94" s="205" t="s">
        <v>3385</v>
      </c>
      <c r="AJ94" s="205" t="s">
        <v>3386</v>
      </c>
      <c r="AK94" s="205" t="s">
        <v>3387</v>
      </c>
      <c r="AL94" s="205" t="s">
        <v>239</v>
      </c>
      <c r="AM94" s="205" t="s">
        <v>239</v>
      </c>
      <c r="AN94" s="205" t="s">
        <v>239</v>
      </c>
      <c r="AO94" s="200" t="s">
        <v>235</v>
      </c>
      <c r="AP94" s="200" t="s">
        <v>235</v>
      </c>
      <c r="AQ94" s="200" t="s">
        <v>235</v>
      </c>
      <c r="AR94" s="200" t="s">
        <v>235</v>
      </c>
      <c r="AS94" s="200" t="s">
        <v>299</v>
      </c>
      <c r="AT94" s="200" t="s">
        <v>299</v>
      </c>
      <c r="AU94" s="200" t="s">
        <v>299</v>
      </c>
      <c r="AV94" s="205" t="s">
        <v>242</v>
      </c>
      <c r="AW94" s="205" t="s">
        <v>482</v>
      </c>
      <c r="AX94" s="200" t="s">
        <v>2537</v>
      </c>
      <c r="AY94" s="200" t="s">
        <v>235</v>
      </c>
      <c r="AZ94" s="205" t="s">
        <v>3388</v>
      </c>
      <c r="BA94" s="205" t="s">
        <v>244</v>
      </c>
      <c r="BB94" s="205" t="s">
        <v>244</v>
      </c>
      <c r="BD94" s="205" t="s">
        <v>239</v>
      </c>
      <c r="BE94" s="205" t="s">
        <v>446</v>
      </c>
      <c r="BF94" s="205" t="s">
        <v>457</v>
      </c>
      <c r="BH94" s="205" t="s">
        <v>456</v>
      </c>
      <c r="BI94" s="202">
        <v>96</v>
      </c>
      <c r="BK94" s="203" t="s">
        <v>289</v>
      </c>
    </row>
    <row r="95" spans="1:65" x14ac:dyDescent="0.25">
      <c r="A95" s="205" t="s">
        <v>3675</v>
      </c>
      <c r="B95" s="205" t="s">
        <v>4079</v>
      </c>
      <c r="C95" s="205" t="s">
        <v>3390</v>
      </c>
      <c r="D95" s="205" t="s">
        <v>3391</v>
      </c>
      <c r="E95" s="201">
        <v>42289</v>
      </c>
      <c r="F95" s="205" t="s">
        <v>396</v>
      </c>
      <c r="G95" s="205" t="s">
        <v>232</v>
      </c>
      <c r="H95" s="205" t="s">
        <v>3392</v>
      </c>
      <c r="I95" s="205" t="s">
        <v>3393</v>
      </c>
      <c r="J95" s="205" t="s">
        <v>490</v>
      </c>
      <c r="K95" s="205" t="s">
        <v>475</v>
      </c>
      <c r="L95" s="205" t="s">
        <v>476</v>
      </c>
      <c r="M95" s="205" t="s">
        <v>477</v>
      </c>
      <c r="O95" s="200" t="s">
        <v>323</v>
      </c>
      <c r="P95" s="200" t="s">
        <v>3394</v>
      </c>
      <c r="Q95" s="205" t="s">
        <v>477</v>
      </c>
      <c r="R95" s="202">
        <v>97</v>
      </c>
      <c r="U95" s="205" t="s">
        <v>456</v>
      </c>
      <c r="X95" s="205" t="s">
        <v>3311</v>
      </c>
      <c r="Y95" s="200" t="s">
        <v>1059</v>
      </c>
      <c r="Z95" s="205" t="s">
        <v>3395</v>
      </c>
      <c r="AB95" s="205" t="s">
        <v>238</v>
      </c>
      <c r="AD95" s="205" t="s">
        <v>238</v>
      </c>
      <c r="AE95" s="205" t="s">
        <v>232</v>
      </c>
      <c r="AF95" s="205" t="s">
        <v>3396</v>
      </c>
      <c r="AG95" s="205" t="s">
        <v>343</v>
      </c>
      <c r="AH95" s="205" t="s">
        <v>239</v>
      </c>
      <c r="AI95" s="205" t="s">
        <v>3397</v>
      </c>
      <c r="AJ95" s="205" t="s">
        <v>239</v>
      </c>
      <c r="AK95" s="205" t="s">
        <v>3398</v>
      </c>
      <c r="AL95" s="205" t="s">
        <v>239</v>
      </c>
      <c r="AM95" s="205" t="s">
        <v>239</v>
      </c>
      <c r="AN95" s="205" t="s">
        <v>239</v>
      </c>
      <c r="AO95" s="200" t="s">
        <v>235</v>
      </c>
      <c r="AP95" s="200" t="s">
        <v>235</v>
      </c>
      <c r="AQ95" s="200" t="s">
        <v>235</v>
      </c>
      <c r="AR95" s="200" t="s">
        <v>235</v>
      </c>
      <c r="AS95" s="200" t="s">
        <v>299</v>
      </c>
      <c r="AT95" s="200" t="s">
        <v>299</v>
      </c>
      <c r="AU95" s="200" t="s">
        <v>299</v>
      </c>
      <c r="AV95" s="205" t="s">
        <v>242</v>
      </c>
      <c r="AW95" s="205" t="s">
        <v>482</v>
      </c>
      <c r="AX95" s="200" t="s">
        <v>2537</v>
      </c>
      <c r="AY95" s="200" t="s">
        <v>235</v>
      </c>
      <c r="AZ95" s="205" t="s">
        <v>3399</v>
      </c>
      <c r="BA95" s="205" t="s">
        <v>3400</v>
      </c>
      <c r="BB95" s="205" t="s">
        <v>244</v>
      </c>
      <c r="BD95" s="205" t="s">
        <v>239</v>
      </c>
      <c r="BE95" s="205" t="s">
        <v>446</v>
      </c>
      <c r="BF95" s="205" t="s">
        <v>457</v>
      </c>
      <c r="BH95" s="205" t="s">
        <v>456</v>
      </c>
      <c r="BI95" s="202">
        <v>97</v>
      </c>
      <c r="BK95" s="203" t="s">
        <v>289</v>
      </c>
    </row>
    <row r="96" spans="1:65" x14ac:dyDescent="0.25">
      <c r="A96" s="205" t="s">
        <v>3675</v>
      </c>
      <c r="B96" s="205" t="s">
        <v>4080</v>
      </c>
      <c r="C96" s="205" t="s">
        <v>3420</v>
      </c>
      <c r="D96" s="205" t="s">
        <v>3421</v>
      </c>
      <c r="E96" s="201">
        <v>42289</v>
      </c>
      <c r="F96" s="205" t="s">
        <v>3422</v>
      </c>
      <c r="G96" s="205" t="s">
        <v>232</v>
      </c>
      <c r="H96" s="205" t="s">
        <v>3423</v>
      </c>
      <c r="I96" s="205" t="s">
        <v>3424</v>
      </c>
      <c r="K96" s="205" t="s">
        <v>453</v>
      </c>
      <c r="L96" s="205" t="s">
        <v>454</v>
      </c>
      <c r="M96" s="205" t="s">
        <v>462</v>
      </c>
      <c r="O96" s="200" t="s">
        <v>513</v>
      </c>
      <c r="P96" s="200" t="s">
        <v>3425</v>
      </c>
      <c r="Q96" s="205" t="s">
        <v>462</v>
      </c>
      <c r="R96" s="202">
        <v>98</v>
      </c>
      <c r="U96" s="205" t="s">
        <v>456</v>
      </c>
      <c r="X96" s="205" t="s">
        <v>546</v>
      </c>
      <c r="Y96" s="200" t="s">
        <v>641</v>
      </c>
      <c r="Z96" s="205" t="s">
        <v>3426</v>
      </c>
      <c r="AA96" s="200" t="s">
        <v>312</v>
      </c>
      <c r="AB96" s="205" t="s">
        <v>3427</v>
      </c>
      <c r="AC96" s="200" t="s">
        <v>376</v>
      </c>
      <c r="AD96" s="205" t="s">
        <v>3428</v>
      </c>
      <c r="AE96" s="205" t="s">
        <v>232</v>
      </c>
      <c r="AF96" s="205" t="s">
        <v>3429</v>
      </c>
      <c r="AG96" s="205" t="s">
        <v>239</v>
      </c>
      <c r="AH96" s="205" t="s">
        <v>239</v>
      </c>
      <c r="AI96" s="205" t="s">
        <v>3430</v>
      </c>
      <c r="AJ96" s="205" t="s">
        <v>3431</v>
      </c>
      <c r="AK96" s="205" t="s">
        <v>3432</v>
      </c>
      <c r="AL96" s="205" t="s">
        <v>239</v>
      </c>
      <c r="AM96" s="205" t="s">
        <v>239</v>
      </c>
      <c r="AN96" s="205" t="s">
        <v>239</v>
      </c>
      <c r="AO96" s="200" t="s">
        <v>235</v>
      </c>
      <c r="AP96" s="200" t="s">
        <v>235</v>
      </c>
      <c r="AQ96" s="200" t="s">
        <v>235</v>
      </c>
      <c r="AR96" s="200" t="s">
        <v>235</v>
      </c>
      <c r="AS96" s="200" t="s">
        <v>299</v>
      </c>
      <c r="AT96" s="200" t="s">
        <v>299</v>
      </c>
      <c r="AU96" s="200" t="s">
        <v>299</v>
      </c>
      <c r="AV96" s="205" t="s">
        <v>242</v>
      </c>
      <c r="AW96" s="205" t="s">
        <v>482</v>
      </c>
      <c r="AY96" s="200" t="s">
        <v>239</v>
      </c>
      <c r="AZ96" s="205" t="s">
        <v>3433</v>
      </c>
      <c r="BA96" s="205" t="s">
        <v>244</v>
      </c>
      <c r="BB96" s="205" t="s">
        <v>244</v>
      </c>
      <c r="BD96" s="205" t="s">
        <v>239</v>
      </c>
      <c r="BE96" s="205" t="s">
        <v>446</v>
      </c>
      <c r="BF96" s="205" t="s">
        <v>457</v>
      </c>
      <c r="BH96" s="205" t="s">
        <v>456</v>
      </c>
      <c r="BI96" s="202">
        <v>98</v>
      </c>
      <c r="BK96" s="203" t="s">
        <v>289</v>
      </c>
    </row>
    <row r="97" spans="1:64" x14ac:dyDescent="0.25">
      <c r="A97" s="205" t="s">
        <v>3675</v>
      </c>
      <c r="B97" s="205" t="s">
        <v>4081</v>
      </c>
      <c r="C97" s="205" t="s">
        <v>3458</v>
      </c>
      <c r="D97" s="205" t="s">
        <v>3459</v>
      </c>
      <c r="E97" s="201">
        <v>42289</v>
      </c>
      <c r="F97" s="205" t="s">
        <v>412</v>
      </c>
      <c r="G97" s="205" t="s">
        <v>232</v>
      </c>
      <c r="H97" s="205" t="s">
        <v>3460</v>
      </c>
      <c r="I97" s="205" t="s">
        <v>3461</v>
      </c>
      <c r="J97" s="205" t="s">
        <v>3462</v>
      </c>
      <c r="K97" s="205" t="s">
        <v>450</v>
      </c>
      <c r="L97" s="205" t="s">
        <v>451</v>
      </c>
      <c r="M97" s="205" t="s">
        <v>452</v>
      </c>
      <c r="O97" s="200" t="s">
        <v>3463</v>
      </c>
      <c r="P97" s="200" t="s">
        <v>3464</v>
      </c>
      <c r="Q97" s="205" t="s">
        <v>452</v>
      </c>
      <c r="R97" s="202">
        <v>99</v>
      </c>
      <c r="U97" s="205" t="s">
        <v>456</v>
      </c>
      <c r="X97" s="205" t="s">
        <v>3311</v>
      </c>
      <c r="Y97" s="200" t="s">
        <v>901</v>
      </c>
      <c r="Z97" s="205" t="s">
        <v>3465</v>
      </c>
      <c r="AA97" s="200" t="s">
        <v>517</v>
      </c>
      <c r="AB97" s="205" t="s">
        <v>3466</v>
      </c>
      <c r="AC97" s="200" t="s">
        <v>315</v>
      </c>
      <c r="AD97" s="205" t="s">
        <v>3467</v>
      </c>
      <c r="AE97" s="205" t="s">
        <v>232</v>
      </c>
      <c r="AF97" s="205" t="s">
        <v>3468</v>
      </c>
      <c r="AG97" s="205" t="s">
        <v>343</v>
      </c>
      <c r="AH97" s="205" t="s">
        <v>239</v>
      </c>
      <c r="AI97" s="205" t="s">
        <v>3469</v>
      </c>
      <c r="AJ97" s="205" t="s">
        <v>239</v>
      </c>
      <c r="AK97" s="205" t="s">
        <v>3470</v>
      </c>
      <c r="AL97" s="205" t="s">
        <v>239</v>
      </c>
      <c r="AM97" s="205" t="s">
        <v>239</v>
      </c>
      <c r="AN97" s="205" t="s">
        <v>239</v>
      </c>
      <c r="AO97" s="200" t="s">
        <v>235</v>
      </c>
      <c r="AP97" s="200" t="s">
        <v>235</v>
      </c>
      <c r="AQ97" s="200" t="s">
        <v>235</v>
      </c>
      <c r="AR97" s="200" t="s">
        <v>235</v>
      </c>
      <c r="AS97" s="200" t="s">
        <v>299</v>
      </c>
      <c r="AT97" s="200" t="s">
        <v>299</v>
      </c>
      <c r="AU97" s="200" t="s">
        <v>299</v>
      </c>
      <c r="AV97" s="205" t="s">
        <v>242</v>
      </c>
      <c r="AW97" s="205" t="s">
        <v>482</v>
      </c>
      <c r="AX97" s="200" t="s">
        <v>2537</v>
      </c>
      <c r="AY97" s="200" t="s">
        <v>235</v>
      </c>
      <c r="AZ97" s="205" t="s">
        <v>3471</v>
      </c>
      <c r="BA97" s="205" t="s">
        <v>244</v>
      </c>
      <c r="BB97" s="205" t="s">
        <v>244</v>
      </c>
      <c r="BC97" s="200" t="s">
        <v>256</v>
      </c>
      <c r="BD97" s="205" t="s">
        <v>239</v>
      </c>
      <c r="BE97" s="205" t="s">
        <v>446</v>
      </c>
      <c r="BF97" s="205" t="s">
        <v>457</v>
      </c>
      <c r="BH97" s="205" t="s">
        <v>456</v>
      </c>
      <c r="BI97" s="202">
        <v>99</v>
      </c>
      <c r="BK97" s="203" t="s">
        <v>289</v>
      </c>
      <c r="BL97" s="205"/>
    </row>
    <row r="98" spans="1:64" x14ac:dyDescent="0.25">
      <c r="A98" s="205" t="s">
        <v>3675</v>
      </c>
      <c r="B98" s="205" t="s">
        <v>4082</v>
      </c>
      <c r="C98" s="205" t="s">
        <v>3473</v>
      </c>
      <c r="D98" s="205" t="s">
        <v>3474</v>
      </c>
      <c r="E98" s="201">
        <v>42289</v>
      </c>
      <c r="F98" s="205" t="s">
        <v>287</v>
      </c>
      <c r="G98" s="205" t="s">
        <v>232</v>
      </c>
      <c r="H98" s="205" t="s">
        <v>273</v>
      </c>
      <c r="I98" s="205" t="s">
        <v>3475</v>
      </c>
      <c r="J98" s="205" t="s">
        <v>557</v>
      </c>
      <c r="K98" s="205" t="s">
        <v>453</v>
      </c>
      <c r="L98" s="205" t="s">
        <v>448</v>
      </c>
      <c r="M98" s="205" t="s">
        <v>455</v>
      </c>
      <c r="O98" s="200" t="s">
        <v>3476</v>
      </c>
      <c r="P98" s="200" t="s">
        <v>3477</v>
      </c>
      <c r="Q98" s="205" t="s">
        <v>455</v>
      </c>
      <c r="R98" s="202">
        <v>100</v>
      </c>
      <c r="U98" s="205" t="s">
        <v>456</v>
      </c>
      <c r="X98" s="205" t="s">
        <v>319</v>
      </c>
      <c r="Y98" s="200" t="s">
        <v>417</v>
      </c>
      <c r="Z98" s="205" t="s">
        <v>3478</v>
      </c>
      <c r="AA98" s="200" t="s">
        <v>397</v>
      </c>
      <c r="AB98" s="205" t="s">
        <v>3479</v>
      </c>
      <c r="AC98" s="200" t="s">
        <v>397</v>
      </c>
      <c r="AD98" s="205" t="s">
        <v>2021</v>
      </c>
      <c r="AE98" s="205" t="s">
        <v>232</v>
      </c>
      <c r="AF98" s="205" t="s">
        <v>3480</v>
      </c>
      <c r="AG98" s="205" t="s">
        <v>239</v>
      </c>
      <c r="AH98" s="205" t="s">
        <v>3481</v>
      </c>
      <c r="AI98" s="205" t="s">
        <v>3482</v>
      </c>
      <c r="AJ98" s="205" t="s">
        <v>3483</v>
      </c>
      <c r="AK98" s="205" t="s">
        <v>239</v>
      </c>
      <c r="AL98" s="205" t="s">
        <v>239</v>
      </c>
      <c r="AM98" s="205" t="s">
        <v>239</v>
      </c>
      <c r="AN98" s="205" t="s">
        <v>239</v>
      </c>
      <c r="AO98" s="200" t="s">
        <v>235</v>
      </c>
      <c r="AP98" s="200" t="s">
        <v>235</v>
      </c>
      <c r="AQ98" s="200" t="s">
        <v>235</v>
      </c>
      <c r="AR98" s="200" t="s">
        <v>235</v>
      </c>
      <c r="AS98" s="200" t="s">
        <v>299</v>
      </c>
      <c r="AT98" s="200" t="s">
        <v>299</v>
      </c>
      <c r="AU98" s="200" t="s">
        <v>299</v>
      </c>
      <c r="AV98" s="205" t="s">
        <v>242</v>
      </c>
      <c r="AW98" s="205" t="s">
        <v>482</v>
      </c>
      <c r="AX98" s="200" t="s">
        <v>3484</v>
      </c>
      <c r="AY98" s="200" t="s">
        <v>235</v>
      </c>
      <c r="AZ98" s="205" t="s">
        <v>244</v>
      </c>
      <c r="BA98" s="205" t="s">
        <v>244</v>
      </c>
      <c r="BB98" s="205" t="s">
        <v>3485</v>
      </c>
      <c r="BD98" s="205" t="s">
        <v>239</v>
      </c>
      <c r="BE98" s="205" t="s">
        <v>446</v>
      </c>
      <c r="BF98" s="205" t="s">
        <v>457</v>
      </c>
      <c r="BH98" s="205" t="s">
        <v>456</v>
      </c>
      <c r="BI98" s="202">
        <v>100</v>
      </c>
      <c r="BK98" s="203" t="s">
        <v>289</v>
      </c>
      <c r="BL98" s="205"/>
    </row>
    <row r="99" spans="1:64" x14ac:dyDescent="0.25">
      <c r="A99" s="205" t="s">
        <v>3675</v>
      </c>
      <c r="B99" s="205" t="s">
        <v>4083</v>
      </c>
      <c r="C99" s="205" t="s">
        <v>3511</v>
      </c>
      <c r="D99" s="205" t="s">
        <v>3512</v>
      </c>
      <c r="E99" s="201">
        <v>42289</v>
      </c>
      <c r="F99" s="205" t="s">
        <v>393</v>
      </c>
      <c r="G99" s="205" t="s">
        <v>232</v>
      </c>
      <c r="H99" s="205" t="s">
        <v>3513</v>
      </c>
      <c r="I99" s="205" t="s">
        <v>3514</v>
      </c>
      <c r="J99" s="205" t="s">
        <v>381</v>
      </c>
      <c r="K99" s="205" t="s">
        <v>453</v>
      </c>
      <c r="L99" s="205" t="s">
        <v>454</v>
      </c>
      <c r="M99" s="205" t="s">
        <v>455</v>
      </c>
      <c r="O99" s="200" t="s">
        <v>344</v>
      </c>
      <c r="P99" s="200" t="s">
        <v>3515</v>
      </c>
      <c r="Q99" s="205" t="s">
        <v>455</v>
      </c>
      <c r="R99" s="202">
        <v>101</v>
      </c>
      <c r="U99" s="205" t="s">
        <v>456</v>
      </c>
      <c r="X99" s="205" t="s">
        <v>640</v>
      </c>
      <c r="Y99" s="200" t="s">
        <v>901</v>
      </c>
      <c r="Z99" s="205" t="s">
        <v>3516</v>
      </c>
      <c r="AA99" s="200" t="s">
        <v>230</v>
      </c>
      <c r="AB99" s="205" t="s">
        <v>2351</v>
      </c>
      <c r="AC99" s="200" t="s">
        <v>261</v>
      </c>
      <c r="AD99" s="205" t="s">
        <v>3517</v>
      </c>
      <c r="AE99" s="205" t="s">
        <v>232</v>
      </c>
      <c r="AF99" s="205" t="s">
        <v>3518</v>
      </c>
      <c r="AG99" s="205" t="s">
        <v>239</v>
      </c>
      <c r="AH99" s="205" t="s">
        <v>239</v>
      </c>
      <c r="AI99" s="205" t="s">
        <v>3519</v>
      </c>
      <c r="AJ99" s="205" t="s">
        <v>3520</v>
      </c>
      <c r="AK99" s="205" t="s">
        <v>239</v>
      </c>
      <c r="AL99" s="205" t="s">
        <v>3521</v>
      </c>
      <c r="AM99" s="205" t="s">
        <v>239</v>
      </c>
      <c r="AN99" s="205" t="s">
        <v>239</v>
      </c>
      <c r="AO99" s="200" t="s">
        <v>235</v>
      </c>
      <c r="AP99" s="200" t="s">
        <v>235</v>
      </c>
      <c r="AQ99" s="200" t="s">
        <v>235</v>
      </c>
      <c r="AR99" s="200" t="s">
        <v>235</v>
      </c>
      <c r="AS99" s="200" t="s">
        <v>299</v>
      </c>
      <c r="AT99" s="200" t="s">
        <v>299</v>
      </c>
      <c r="AU99" s="200" t="s">
        <v>299</v>
      </c>
      <c r="AV99" s="205" t="s">
        <v>242</v>
      </c>
      <c r="AW99" s="205" t="s">
        <v>482</v>
      </c>
      <c r="AX99" s="200" t="s">
        <v>2537</v>
      </c>
      <c r="AY99" s="200" t="s">
        <v>235</v>
      </c>
      <c r="AZ99" s="205" t="s">
        <v>3522</v>
      </c>
      <c r="BA99" s="205" t="s">
        <v>244</v>
      </c>
      <c r="BB99" s="205" t="s">
        <v>244</v>
      </c>
      <c r="BD99" s="205" t="s">
        <v>239</v>
      </c>
      <c r="BE99" s="205" t="s">
        <v>446</v>
      </c>
      <c r="BF99" s="205" t="s">
        <v>457</v>
      </c>
      <c r="BH99" s="205" t="s">
        <v>456</v>
      </c>
      <c r="BI99" s="202">
        <v>101</v>
      </c>
      <c r="BK99" s="203" t="s">
        <v>289</v>
      </c>
      <c r="BL99" s="205"/>
    </row>
    <row r="100" spans="1:64" x14ac:dyDescent="0.25">
      <c r="A100" s="205" t="s">
        <v>3675</v>
      </c>
      <c r="B100" s="205" t="s">
        <v>4084</v>
      </c>
      <c r="C100" s="205" t="s">
        <v>4085</v>
      </c>
      <c r="D100" s="205" t="s">
        <v>4086</v>
      </c>
      <c r="E100" s="201">
        <v>42289</v>
      </c>
      <c r="F100" s="205" t="s">
        <v>4087</v>
      </c>
      <c r="G100" s="205" t="s">
        <v>232</v>
      </c>
      <c r="H100" s="205" t="s">
        <v>4088</v>
      </c>
      <c r="I100" s="205" t="s">
        <v>4089</v>
      </c>
      <c r="K100" s="205" t="s">
        <v>471</v>
      </c>
      <c r="L100" s="205" t="s">
        <v>472</v>
      </c>
      <c r="M100" s="205" t="s">
        <v>473</v>
      </c>
      <c r="Q100" s="205" t="s">
        <v>473</v>
      </c>
      <c r="R100" s="202">
        <v>102</v>
      </c>
      <c r="U100" s="205" t="s">
        <v>456</v>
      </c>
      <c r="X100" s="205" t="s">
        <v>542</v>
      </c>
      <c r="Y100" s="200" t="s">
        <v>416</v>
      </c>
      <c r="Z100" s="205" t="s">
        <v>237</v>
      </c>
      <c r="AA100" s="200" t="s">
        <v>371</v>
      </c>
      <c r="AB100" s="205" t="s">
        <v>4090</v>
      </c>
      <c r="AC100" s="200" t="s">
        <v>372</v>
      </c>
      <c r="AD100" s="205" t="s">
        <v>4090</v>
      </c>
      <c r="AE100" s="205" t="s">
        <v>232</v>
      </c>
      <c r="AF100" s="205" t="s">
        <v>4091</v>
      </c>
      <c r="AG100" s="205" t="s">
        <v>239</v>
      </c>
      <c r="AH100" s="205" t="s">
        <v>239</v>
      </c>
      <c r="AI100" s="205" t="s">
        <v>4092</v>
      </c>
      <c r="AJ100" s="205" t="s">
        <v>4093</v>
      </c>
      <c r="AK100" s="205" t="s">
        <v>4094</v>
      </c>
      <c r="AL100" s="205" t="s">
        <v>4095</v>
      </c>
      <c r="AM100" s="205" t="s">
        <v>239</v>
      </c>
      <c r="AN100" s="205" t="s">
        <v>239</v>
      </c>
      <c r="AO100" s="200" t="s">
        <v>239</v>
      </c>
      <c r="AP100" s="200" t="s">
        <v>239</v>
      </c>
      <c r="AQ100" s="200" t="s">
        <v>239</v>
      </c>
      <c r="AR100" s="200" t="s">
        <v>235</v>
      </c>
      <c r="AS100" s="200" t="s">
        <v>262</v>
      </c>
      <c r="AT100" s="200" t="s">
        <v>241</v>
      </c>
      <c r="AU100" s="200" t="s">
        <v>299</v>
      </c>
      <c r="AV100" s="205" t="s">
        <v>242</v>
      </c>
      <c r="AW100" s="205" t="s">
        <v>482</v>
      </c>
      <c r="AY100" s="200" t="s">
        <v>239</v>
      </c>
      <c r="AZ100" s="205" t="s">
        <v>4096</v>
      </c>
      <c r="BA100" s="205" t="s">
        <v>244</v>
      </c>
      <c r="BB100" s="205" t="s">
        <v>244</v>
      </c>
      <c r="BD100" s="205" t="s">
        <v>239</v>
      </c>
      <c r="BE100" s="205" t="s">
        <v>446</v>
      </c>
      <c r="BF100" s="205" t="s">
        <v>457</v>
      </c>
      <c r="BH100" s="205" t="s">
        <v>456</v>
      </c>
      <c r="BI100" s="202">
        <v>102</v>
      </c>
      <c r="BL100" s="205"/>
    </row>
    <row r="101" spans="1:64" x14ac:dyDescent="0.25">
      <c r="BL101" s="205"/>
    </row>
    <row r="102" spans="1:64" x14ac:dyDescent="0.25">
      <c r="BL102" s="205"/>
    </row>
    <row r="103" spans="1:64" x14ac:dyDescent="0.25">
      <c r="BL103" s="205"/>
    </row>
    <row r="104" spans="1:64" x14ac:dyDescent="0.25">
      <c r="BL104" s="205"/>
    </row>
    <row r="105" spans="1:64" x14ac:dyDescent="0.25">
      <c r="BL105" s="205"/>
    </row>
    <row r="106" spans="1:64" x14ac:dyDescent="0.25">
      <c r="BL106" s="205"/>
    </row>
    <row r="107" spans="1:64" x14ac:dyDescent="0.25">
      <c r="BL107" s="205"/>
    </row>
    <row r="108" spans="1:64" x14ac:dyDescent="0.25">
      <c r="BL108" s="205"/>
    </row>
    <row r="109" spans="1:64" x14ac:dyDescent="0.25">
      <c r="BL109" s="205"/>
    </row>
    <row r="110" spans="1:64" x14ac:dyDescent="0.25">
      <c r="BL110" s="205"/>
    </row>
    <row r="111" spans="1:64" x14ac:dyDescent="0.25">
      <c r="BL111" s="205"/>
    </row>
    <row r="112" spans="1:64" x14ac:dyDescent="0.25">
      <c r="BL112" s="205"/>
    </row>
    <row r="113" spans="62:64" x14ac:dyDescent="0.25">
      <c r="BJ113" s="205"/>
      <c r="BK113" s="205"/>
      <c r="BL113" s="205"/>
    </row>
    <row r="114" spans="62:64" x14ac:dyDescent="0.25">
      <c r="BJ114" s="205"/>
      <c r="BK114" s="205"/>
      <c r="BL114" s="205"/>
    </row>
    <row r="115" spans="62:64" x14ac:dyDescent="0.25">
      <c r="BJ115" s="205"/>
      <c r="BK115" s="205"/>
      <c r="BL115" s="205"/>
    </row>
    <row r="116" spans="62:64" x14ac:dyDescent="0.25">
      <c r="BJ116" s="205"/>
      <c r="BK116" s="205"/>
      <c r="BL116" s="205"/>
    </row>
    <row r="117" spans="62:64" x14ac:dyDescent="0.25">
      <c r="BJ117" s="205"/>
      <c r="BK117" s="205"/>
      <c r="BL117" s="205"/>
    </row>
    <row r="118" spans="62:64" x14ac:dyDescent="0.25">
      <c r="BJ118" s="205"/>
      <c r="BK118" s="205"/>
      <c r="BL118" s="205"/>
    </row>
    <row r="119" spans="62:64" x14ac:dyDescent="0.25">
      <c r="BJ119" s="205"/>
      <c r="BK119" s="205"/>
      <c r="BL119" s="205"/>
    </row>
    <row r="120" spans="62:64" x14ac:dyDescent="0.25">
      <c r="BJ120" s="205"/>
      <c r="BK120" s="205"/>
      <c r="BL120" s="205"/>
    </row>
    <row r="121" spans="62:64" x14ac:dyDescent="0.25">
      <c r="BJ121" s="205"/>
      <c r="BK121" s="205"/>
      <c r="BL121" s="205"/>
    </row>
    <row r="122" spans="62:64" x14ac:dyDescent="0.25">
      <c r="BJ122" s="205"/>
      <c r="BK122" s="205"/>
      <c r="BL122" s="205"/>
    </row>
    <row r="123" spans="62:64" x14ac:dyDescent="0.25">
      <c r="BJ123" s="205"/>
      <c r="BK123" s="205"/>
      <c r="BL123" s="205"/>
    </row>
    <row r="124" spans="62:64" x14ac:dyDescent="0.25">
      <c r="BJ124" s="205"/>
      <c r="BK124" s="205"/>
      <c r="BL124" s="205"/>
    </row>
    <row r="125" spans="62:64" x14ac:dyDescent="0.25">
      <c r="BJ125" s="205"/>
      <c r="BK125" s="205"/>
      <c r="BL125" s="205"/>
    </row>
    <row r="126" spans="62:64" x14ac:dyDescent="0.25">
      <c r="BJ126" s="205"/>
      <c r="BK126" s="205"/>
      <c r="BL126" s="205"/>
    </row>
    <row r="127" spans="62:64" x14ac:dyDescent="0.25">
      <c r="BJ127" s="205"/>
      <c r="BK127" s="205"/>
      <c r="BL127" s="205"/>
    </row>
    <row r="128" spans="62:64" x14ac:dyDescent="0.25">
      <c r="BJ128" s="205"/>
      <c r="BK128" s="205"/>
      <c r="BL128" s="205"/>
    </row>
    <row r="129" spans="62:64" x14ac:dyDescent="0.25">
      <c r="BJ129" s="205"/>
      <c r="BK129" s="205"/>
      <c r="BL129" s="205"/>
    </row>
    <row r="130" spans="62:64" x14ac:dyDescent="0.25">
      <c r="BJ130" s="205"/>
      <c r="BK130" s="205"/>
      <c r="BL130" s="205"/>
    </row>
    <row r="131" spans="62:64" x14ac:dyDescent="0.25">
      <c r="BJ131" s="205"/>
      <c r="BK131" s="205"/>
      <c r="BL131" s="205"/>
    </row>
    <row r="132" spans="62:64" x14ac:dyDescent="0.25">
      <c r="BJ132" s="205"/>
      <c r="BK132" s="205"/>
      <c r="BL132" s="205"/>
    </row>
    <row r="133" spans="62:64" x14ac:dyDescent="0.25">
      <c r="BJ133" s="205"/>
      <c r="BK133" s="205"/>
      <c r="BL133" s="205"/>
    </row>
    <row r="134" spans="62:64" x14ac:dyDescent="0.25">
      <c r="BJ134" s="205"/>
      <c r="BK134" s="205"/>
      <c r="BL134" s="205"/>
    </row>
    <row r="135" spans="62:64" x14ac:dyDescent="0.25">
      <c r="BJ135" s="205"/>
      <c r="BK135" s="205"/>
      <c r="BL135" s="205"/>
    </row>
    <row r="136" spans="62:64" x14ac:dyDescent="0.25">
      <c r="BJ136" s="205"/>
      <c r="BK136" s="205"/>
      <c r="BL136" s="205"/>
    </row>
    <row r="137" spans="62:64" x14ac:dyDescent="0.25">
      <c r="BJ137" s="205"/>
      <c r="BK137" s="205"/>
      <c r="BL137" s="205"/>
    </row>
    <row r="138" spans="62:64" x14ac:dyDescent="0.25">
      <c r="BJ138" s="205"/>
      <c r="BK138" s="205"/>
      <c r="BL138" s="205"/>
    </row>
    <row r="139" spans="62:64" x14ac:dyDescent="0.25">
      <c r="BJ139" s="205"/>
      <c r="BK139" s="205"/>
      <c r="BL139" s="205"/>
    </row>
    <row r="140" spans="62:64" x14ac:dyDescent="0.25">
      <c r="BJ140" s="205"/>
      <c r="BK140" s="205"/>
      <c r="BL140" s="205"/>
    </row>
    <row r="141" spans="62:64" x14ac:dyDescent="0.25">
      <c r="BJ141" s="205"/>
      <c r="BK141" s="205"/>
      <c r="BL141" s="205"/>
    </row>
    <row r="142" spans="62:64" x14ac:dyDescent="0.25">
      <c r="BJ142" s="205"/>
      <c r="BK142" s="205"/>
      <c r="BL142" s="205"/>
    </row>
    <row r="143" spans="62:64" x14ac:dyDescent="0.25">
      <c r="BJ143" s="205"/>
      <c r="BK143" s="205"/>
      <c r="BL143" s="205"/>
    </row>
    <row r="144" spans="62:64" x14ac:dyDescent="0.25">
      <c r="BJ144" s="205"/>
      <c r="BK144" s="205"/>
      <c r="BL144" s="205"/>
    </row>
    <row r="145" spans="62:64" x14ac:dyDescent="0.25">
      <c r="BJ145" s="205"/>
      <c r="BK145" s="205"/>
      <c r="BL145" s="205"/>
    </row>
    <row r="146" spans="62:64" x14ac:dyDescent="0.25">
      <c r="BJ146" s="205"/>
      <c r="BK146" s="205"/>
      <c r="BL146" s="205"/>
    </row>
    <row r="147" spans="62:64" x14ac:dyDescent="0.25">
      <c r="BJ147" s="205"/>
      <c r="BK147" s="205"/>
      <c r="BL147" s="205"/>
    </row>
    <row r="148" spans="62:64" x14ac:dyDescent="0.25">
      <c r="BJ148" s="205"/>
      <c r="BK148" s="205"/>
      <c r="BL148" s="205"/>
    </row>
    <row r="149" spans="62:64" x14ac:dyDescent="0.25">
      <c r="BJ149" s="205"/>
      <c r="BK149" s="205"/>
      <c r="BL149" s="205"/>
    </row>
    <row r="150" spans="62:64" x14ac:dyDescent="0.25">
      <c r="BJ150" s="205"/>
      <c r="BK150" s="205"/>
      <c r="BL150" s="205"/>
    </row>
    <row r="151" spans="62:64" x14ac:dyDescent="0.25">
      <c r="BJ151" s="205"/>
      <c r="BK151" s="205"/>
      <c r="BL151" s="205"/>
    </row>
    <row r="152" spans="62:64" x14ac:dyDescent="0.25">
      <c r="BJ152" s="205"/>
      <c r="BK152" s="205"/>
      <c r="BL152" s="205"/>
    </row>
    <row r="153" spans="62:64" x14ac:dyDescent="0.25">
      <c r="BJ153" s="205"/>
      <c r="BK153" s="205"/>
      <c r="BL153" s="205"/>
    </row>
    <row r="154" spans="62:64" x14ac:dyDescent="0.25">
      <c r="BJ154" s="205"/>
      <c r="BK154" s="205"/>
      <c r="BL154" s="205"/>
    </row>
    <row r="155" spans="62:64" x14ac:dyDescent="0.25">
      <c r="BJ155" s="205"/>
      <c r="BK155" s="205"/>
      <c r="BL155" s="205"/>
    </row>
    <row r="156" spans="62:64" x14ac:dyDescent="0.25">
      <c r="BJ156" s="205"/>
      <c r="BK156" s="205"/>
      <c r="BL156" s="205"/>
    </row>
    <row r="157" spans="62:64" x14ac:dyDescent="0.25">
      <c r="BJ157" s="205"/>
      <c r="BK157" s="205"/>
      <c r="BL157" s="205"/>
    </row>
    <row r="158" spans="62:64" x14ac:dyDescent="0.25">
      <c r="BJ158" s="205"/>
      <c r="BK158" s="205"/>
      <c r="BL158" s="205"/>
    </row>
    <row r="159" spans="62:64" x14ac:dyDescent="0.25">
      <c r="BJ159" s="205"/>
      <c r="BK159" s="205"/>
      <c r="BL159" s="205"/>
    </row>
    <row r="160" spans="62:64" x14ac:dyDescent="0.25">
      <c r="BJ160" s="205"/>
      <c r="BK160" s="205"/>
      <c r="BL160" s="205"/>
    </row>
    <row r="161" spans="62:64" x14ac:dyDescent="0.25">
      <c r="BJ161" s="205"/>
      <c r="BK161" s="205"/>
      <c r="BL161" s="205"/>
    </row>
    <row r="162" spans="62:64" x14ac:dyDescent="0.25">
      <c r="BJ162" s="205"/>
      <c r="BK162" s="205"/>
      <c r="BL162" s="205"/>
    </row>
    <row r="163" spans="62:64" x14ac:dyDescent="0.25">
      <c r="BJ163" s="205"/>
      <c r="BK163" s="205"/>
      <c r="BL163" s="205"/>
    </row>
    <row r="164" spans="62:64" x14ac:dyDescent="0.25">
      <c r="BJ164" s="205"/>
      <c r="BK164" s="205"/>
      <c r="BL164" s="205"/>
    </row>
    <row r="165" spans="62:64" x14ac:dyDescent="0.25">
      <c r="BJ165" s="205"/>
      <c r="BK165" s="205"/>
      <c r="BL165" s="205"/>
    </row>
    <row r="166" spans="62:64" x14ac:dyDescent="0.25">
      <c r="BJ166" s="205"/>
      <c r="BK166" s="205"/>
      <c r="BL166" s="205"/>
    </row>
    <row r="167" spans="62:64" x14ac:dyDescent="0.25">
      <c r="BJ167" s="205"/>
      <c r="BK167" s="205"/>
      <c r="BL167" s="205"/>
    </row>
    <row r="168" spans="62:64" x14ac:dyDescent="0.25">
      <c r="BJ168" s="205"/>
      <c r="BK168" s="205"/>
      <c r="BL168" s="205"/>
    </row>
    <row r="169" spans="62:64" x14ac:dyDescent="0.25">
      <c r="BJ169" s="205"/>
      <c r="BK169" s="205"/>
      <c r="BL169" s="205"/>
    </row>
    <row r="170" spans="62:64" x14ac:dyDescent="0.25">
      <c r="BJ170" s="205"/>
      <c r="BK170" s="205"/>
      <c r="BL170" s="205"/>
    </row>
    <row r="171" spans="62:64" x14ac:dyDescent="0.25">
      <c r="BJ171" s="205"/>
      <c r="BK171" s="205"/>
      <c r="BL171" s="205"/>
    </row>
    <row r="172" spans="62:64" x14ac:dyDescent="0.25">
      <c r="BJ172" s="205"/>
      <c r="BK172" s="205"/>
      <c r="BL172" s="205"/>
    </row>
    <row r="173" spans="62:64" x14ac:dyDescent="0.25">
      <c r="BJ173" s="205"/>
      <c r="BK173" s="205"/>
      <c r="BL173" s="205"/>
    </row>
    <row r="174" spans="62:64" x14ac:dyDescent="0.25">
      <c r="BJ174" s="205"/>
      <c r="BK174" s="205"/>
      <c r="BL174" s="205"/>
    </row>
    <row r="175" spans="62:64" x14ac:dyDescent="0.25">
      <c r="BJ175" s="205"/>
      <c r="BK175" s="205"/>
      <c r="BL175" s="205"/>
    </row>
    <row r="176" spans="62:64" x14ac:dyDescent="0.25">
      <c r="BJ176" s="205"/>
      <c r="BK176" s="205"/>
      <c r="BL176" s="205"/>
    </row>
    <row r="177" spans="62:64" x14ac:dyDescent="0.25">
      <c r="BJ177" s="205"/>
      <c r="BK177" s="205"/>
      <c r="BL177" s="205"/>
    </row>
    <row r="178" spans="62:64" x14ac:dyDescent="0.25">
      <c r="BJ178" s="205"/>
      <c r="BK178" s="205"/>
      <c r="BL178" s="205"/>
    </row>
    <row r="179" spans="62:64" x14ac:dyDescent="0.25">
      <c r="BJ179" s="205"/>
      <c r="BK179" s="205"/>
      <c r="BL179" s="205"/>
    </row>
    <row r="180" spans="62:64" x14ac:dyDescent="0.25">
      <c r="BJ180" s="205"/>
      <c r="BK180" s="205"/>
      <c r="BL180" s="205"/>
    </row>
    <row r="181" spans="62:64" x14ac:dyDescent="0.25">
      <c r="BJ181" s="205"/>
      <c r="BK181" s="205"/>
      <c r="BL181" s="205"/>
    </row>
    <row r="182" spans="62:64" x14ac:dyDescent="0.25">
      <c r="BJ182" s="205"/>
      <c r="BK182" s="205"/>
      <c r="BL182" s="205"/>
    </row>
    <row r="183" spans="62:64" x14ac:dyDescent="0.25">
      <c r="BJ183" s="205"/>
      <c r="BK183" s="205"/>
      <c r="BL183" s="205"/>
    </row>
    <row r="184" spans="62:64" x14ac:dyDescent="0.25">
      <c r="BJ184" s="205"/>
      <c r="BK184" s="205"/>
      <c r="BL184" s="205"/>
    </row>
    <row r="185" spans="62:64" x14ac:dyDescent="0.25">
      <c r="BJ185" s="205"/>
      <c r="BK185" s="205"/>
      <c r="BL185" s="205"/>
    </row>
    <row r="186" spans="62:64" x14ac:dyDescent="0.25">
      <c r="BJ186" s="205"/>
      <c r="BK186" s="205"/>
      <c r="BL186" s="205"/>
    </row>
    <row r="187" spans="62:64" x14ac:dyDescent="0.25">
      <c r="BJ187" s="205"/>
      <c r="BK187" s="205"/>
      <c r="BL187" s="205"/>
    </row>
    <row r="188" spans="62:64" x14ac:dyDescent="0.25">
      <c r="BJ188" s="205"/>
      <c r="BK188" s="205"/>
      <c r="BL188" s="205"/>
    </row>
    <row r="189" spans="62:64" x14ac:dyDescent="0.25">
      <c r="BJ189" s="205"/>
      <c r="BK189" s="205"/>
      <c r="BL189" s="205"/>
    </row>
    <row r="190" spans="62:64" x14ac:dyDescent="0.25">
      <c r="BJ190" s="205"/>
      <c r="BK190" s="205"/>
      <c r="BL190" s="205"/>
    </row>
    <row r="191" spans="62:64" x14ac:dyDescent="0.25">
      <c r="BJ191" s="205"/>
      <c r="BK191" s="205"/>
      <c r="BL191" s="205"/>
    </row>
    <row r="192" spans="62:64" x14ac:dyDescent="0.25">
      <c r="BJ192" s="205"/>
      <c r="BK192" s="205"/>
      <c r="BL192" s="205"/>
    </row>
    <row r="193" spans="62:64" x14ac:dyDescent="0.25">
      <c r="BJ193" s="205"/>
      <c r="BK193" s="205"/>
      <c r="BL193" s="205"/>
    </row>
    <row r="194" spans="62:64" x14ac:dyDescent="0.25">
      <c r="BJ194" s="205"/>
      <c r="BK194" s="205"/>
      <c r="BL194" s="205"/>
    </row>
    <row r="195" spans="62:64" x14ac:dyDescent="0.25">
      <c r="BJ195" s="205"/>
      <c r="BK195" s="205"/>
      <c r="BL195" s="205"/>
    </row>
    <row r="196" spans="62:64" x14ac:dyDescent="0.25">
      <c r="BJ196" s="205"/>
      <c r="BK196" s="205"/>
      <c r="BL196" s="205"/>
    </row>
    <row r="197" spans="62:64" x14ac:dyDescent="0.25">
      <c r="BJ197" s="205"/>
      <c r="BK197" s="205"/>
      <c r="BL197" s="205"/>
    </row>
    <row r="198" spans="62:64" x14ac:dyDescent="0.25">
      <c r="BJ198" s="205"/>
      <c r="BK198" s="205"/>
      <c r="BL198" s="205"/>
    </row>
    <row r="199" spans="62:64" x14ac:dyDescent="0.25">
      <c r="BJ199" s="205"/>
      <c r="BK199" s="205"/>
      <c r="BL199" s="205"/>
    </row>
    <row r="200" spans="62:64" x14ac:dyDescent="0.25">
      <c r="BJ200" s="205"/>
      <c r="BK200" s="205"/>
      <c r="BL200" s="205"/>
    </row>
    <row r="201" spans="62:64" x14ac:dyDescent="0.25">
      <c r="BJ201" s="205"/>
      <c r="BK201" s="205"/>
      <c r="BL201" s="205"/>
    </row>
    <row r="202" spans="62:64" x14ac:dyDescent="0.25">
      <c r="BJ202" s="205"/>
      <c r="BK202" s="205"/>
      <c r="BL202" s="205"/>
    </row>
    <row r="203" spans="62:64" x14ac:dyDescent="0.25">
      <c r="BJ203" s="205"/>
      <c r="BK203" s="205"/>
      <c r="BL203" s="205"/>
    </row>
    <row r="204" spans="62:64" x14ac:dyDescent="0.25">
      <c r="BJ204" s="205"/>
      <c r="BK204" s="205"/>
      <c r="BL204" s="205"/>
    </row>
    <row r="205" spans="62:64" x14ac:dyDescent="0.25">
      <c r="BJ205" s="205"/>
      <c r="BK205" s="205"/>
      <c r="BL205" s="205"/>
    </row>
    <row r="206" spans="62:64" x14ac:dyDescent="0.25">
      <c r="BJ206" s="205"/>
      <c r="BK206" s="205"/>
      <c r="BL206" s="205"/>
    </row>
    <row r="207" spans="62:64" x14ac:dyDescent="0.25">
      <c r="BJ207" s="205"/>
      <c r="BK207" s="205"/>
      <c r="BL207" s="205"/>
    </row>
    <row r="208" spans="62:64" x14ac:dyDescent="0.25">
      <c r="BJ208" s="205"/>
      <c r="BK208" s="205"/>
      <c r="BL208" s="205"/>
    </row>
    <row r="209" spans="62:64" x14ac:dyDescent="0.25">
      <c r="BJ209" s="205"/>
      <c r="BK209" s="205"/>
      <c r="BL209" s="205"/>
    </row>
    <row r="210" spans="62:64" x14ac:dyDescent="0.25">
      <c r="BJ210" s="205"/>
      <c r="BK210" s="205"/>
      <c r="BL210" s="205"/>
    </row>
    <row r="211" spans="62:64" x14ac:dyDescent="0.25">
      <c r="BJ211" s="205"/>
      <c r="BK211" s="205"/>
      <c r="BL211" s="205"/>
    </row>
    <row r="212" spans="62:64" x14ac:dyDescent="0.25">
      <c r="BJ212" s="205"/>
      <c r="BK212" s="205"/>
      <c r="BL212" s="205"/>
    </row>
    <row r="213" spans="62:64" x14ac:dyDescent="0.25">
      <c r="BJ213" s="205"/>
      <c r="BK213" s="205"/>
      <c r="BL213" s="205"/>
    </row>
    <row r="214" spans="62:64" x14ac:dyDescent="0.25">
      <c r="BJ214" s="205"/>
      <c r="BK214" s="205"/>
      <c r="BL214" s="205"/>
    </row>
    <row r="215" spans="62:64" x14ac:dyDescent="0.25">
      <c r="BJ215" s="205"/>
      <c r="BK215" s="205"/>
      <c r="BL215" s="205"/>
    </row>
    <row r="216" spans="62:64" x14ac:dyDescent="0.25">
      <c r="BJ216" s="205"/>
      <c r="BK216" s="205"/>
      <c r="BL216" s="205"/>
    </row>
    <row r="217" spans="62:64" x14ac:dyDescent="0.25">
      <c r="BJ217" s="205"/>
      <c r="BK217" s="205"/>
      <c r="BL217" s="205"/>
    </row>
    <row r="218" spans="62:64" x14ac:dyDescent="0.25">
      <c r="BJ218" s="205"/>
      <c r="BK218" s="205"/>
      <c r="BL218" s="205"/>
    </row>
    <row r="219" spans="62:64" x14ac:dyDescent="0.25">
      <c r="BJ219" s="205"/>
      <c r="BK219" s="205"/>
      <c r="BL219" s="205"/>
    </row>
    <row r="220" spans="62:64" x14ac:dyDescent="0.25">
      <c r="BJ220" s="205"/>
      <c r="BK220" s="205"/>
      <c r="BL220" s="205"/>
    </row>
    <row r="221" spans="62:64" x14ac:dyDescent="0.25">
      <c r="BJ221" s="205"/>
      <c r="BK221" s="205"/>
      <c r="BL221" s="205"/>
    </row>
    <row r="222" spans="62:64" x14ac:dyDescent="0.25">
      <c r="BJ222" s="205"/>
      <c r="BK222" s="205"/>
      <c r="BL222" s="205"/>
    </row>
    <row r="223" spans="62:64" x14ac:dyDescent="0.25">
      <c r="BJ223" s="205"/>
      <c r="BK223" s="205"/>
      <c r="BL223" s="205"/>
    </row>
    <row r="224" spans="62:64" x14ac:dyDescent="0.25">
      <c r="BJ224" s="205"/>
      <c r="BK224" s="205"/>
      <c r="BL224" s="205"/>
    </row>
    <row r="225" spans="62:64" x14ac:dyDescent="0.25">
      <c r="BJ225" s="205"/>
      <c r="BK225" s="205"/>
      <c r="BL225" s="205"/>
    </row>
    <row r="226" spans="62:64" x14ac:dyDescent="0.25">
      <c r="BJ226" s="205"/>
      <c r="BK226" s="205"/>
      <c r="BL226" s="205"/>
    </row>
    <row r="227" spans="62:64" x14ac:dyDescent="0.25">
      <c r="BJ227" s="205"/>
      <c r="BK227" s="205"/>
      <c r="BL227" s="205"/>
    </row>
    <row r="228" spans="62:64" x14ac:dyDescent="0.25">
      <c r="BJ228" s="205"/>
      <c r="BK228" s="205"/>
      <c r="BL228" s="205"/>
    </row>
    <row r="229" spans="62:64" x14ac:dyDescent="0.25">
      <c r="BJ229" s="205"/>
      <c r="BK229" s="205"/>
      <c r="BL229" s="205"/>
    </row>
    <row r="230" spans="62:64" x14ac:dyDescent="0.25">
      <c r="BJ230" s="205"/>
      <c r="BK230" s="205"/>
      <c r="BL230" s="205"/>
    </row>
    <row r="231" spans="62:64" x14ac:dyDescent="0.25">
      <c r="BJ231" s="205"/>
      <c r="BK231" s="205"/>
      <c r="BL231" s="205"/>
    </row>
    <row r="232" spans="62:64" x14ac:dyDescent="0.25">
      <c r="BJ232" s="205"/>
      <c r="BK232" s="205"/>
      <c r="BL232" s="205"/>
    </row>
    <row r="233" spans="62:64" x14ac:dyDescent="0.25">
      <c r="BJ233" s="205"/>
      <c r="BK233" s="205"/>
      <c r="BL233" s="205"/>
    </row>
    <row r="234" spans="62:64" x14ac:dyDescent="0.25">
      <c r="BJ234" s="205"/>
      <c r="BK234" s="205"/>
      <c r="BL234" s="205"/>
    </row>
    <row r="235" spans="62:64" x14ac:dyDescent="0.25">
      <c r="BJ235" s="205"/>
      <c r="BK235" s="205"/>
      <c r="BL235" s="205"/>
    </row>
    <row r="236" spans="62:64" x14ac:dyDescent="0.25">
      <c r="BJ236" s="205"/>
      <c r="BK236" s="205"/>
      <c r="BL236" s="205"/>
    </row>
    <row r="237" spans="62:64" x14ac:dyDescent="0.25">
      <c r="BJ237" s="205"/>
      <c r="BK237" s="205"/>
      <c r="BL237" s="205"/>
    </row>
    <row r="238" spans="62:64" x14ac:dyDescent="0.25">
      <c r="BJ238" s="205"/>
      <c r="BK238" s="205"/>
      <c r="BL238" s="205"/>
    </row>
    <row r="239" spans="62:64" x14ac:dyDescent="0.25">
      <c r="BJ239" s="205"/>
      <c r="BK239" s="205"/>
      <c r="BL239" s="205"/>
    </row>
    <row r="240" spans="62:64" x14ac:dyDescent="0.25">
      <c r="BJ240" s="205"/>
      <c r="BK240" s="205"/>
      <c r="BL240" s="205"/>
    </row>
    <row r="241" spans="62:64" x14ac:dyDescent="0.25">
      <c r="BJ241" s="205"/>
      <c r="BK241" s="205"/>
      <c r="BL241" s="205"/>
    </row>
    <row r="242" spans="62:64" x14ac:dyDescent="0.25">
      <c r="BJ242" s="205"/>
      <c r="BK242" s="205"/>
      <c r="BL242" s="205"/>
    </row>
    <row r="243" spans="62:64" x14ac:dyDescent="0.25">
      <c r="BJ243" s="205"/>
      <c r="BK243" s="205"/>
      <c r="BL243" s="205"/>
    </row>
    <row r="244" spans="62:64" x14ac:dyDescent="0.25">
      <c r="BJ244" s="205"/>
      <c r="BK244" s="205"/>
      <c r="BL244" s="205"/>
    </row>
    <row r="245" spans="62:64" x14ac:dyDescent="0.25">
      <c r="BJ245" s="205"/>
      <c r="BK245" s="205"/>
      <c r="BL245" s="205"/>
    </row>
    <row r="246" spans="62:64" x14ac:dyDescent="0.25">
      <c r="BJ246" s="205"/>
      <c r="BK246" s="205"/>
      <c r="BL246" s="205"/>
    </row>
    <row r="247" spans="62:64" x14ac:dyDescent="0.25">
      <c r="BJ247" s="205"/>
      <c r="BK247" s="205"/>
      <c r="BL247" s="205"/>
    </row>
    <row r="248" spans="62:64" x14ac:dyDescent="0.25">
      <c r="BJ248" s="205"/>
      <c r="BK248" s="205"/>
      <c r="BL248" s="205"/>
    </row>
    <row r="249" spans="62:64" x14ac:dyDescent="0.25">
      <c r="BJ249" s="205"/>
      <c r="BK249" s="205"/>
      <c r="BL249" s="205"/>
    </row>
    <row r="250" spans="62:64" x14ac:dyDescent="0.25">
      <c r="BJ250" s="205"/>
      <c r="BK250" s="205"/>
      <c r="BL250" s="205"/>
    </row>
    <row r="251" spans="62:64" x14ac:dyDescent="0.25">
      <c r="BJ251" s="205"/>
      <c r="BK251" s="205"/>
      <c r="BL251" s="205"/>
    </row>
    <row r="252" spans="62:64" x14ac:dyDescent="0.25">
      <c r="BJ252" s="205"/>
      <c r="BK252" s="205"/>
      <c r="BL252" s="205"/>
    </row>
    <row r="253" spans="62:64" x14ac:dyDescent="0.25">
      <c r="BJ253" s="205"/>
      <c r="BK253" s="205"/>
      <c r="BL253" s="205"/>
    </row>
    <row r="254" spans="62:64" x14ac:dyDescent="0.25">
      <c r="BJ254" s="205"/>
      <c r="BK254" s="205"/>
      <c r="BL254" s="205"/>
    </row>
    <row r="255" spans="62:64" x14ac:dyDescent="0.25">
      <c r="BJ255" s="205"/>
      <c r="BK255" s="205"/>
      <c r="BL255" s="205"/>
    </row>
    <row r="256" spans="62:64" x14ac:dyDescent="0.25">
      <c r="BJ256" s="205"/>
      <c r="BK256" s="205"/>
      <c r="BL256" s="205"/>
    </row>
    <row r="257" spans="62:64" x14ac:dyDescent="0.25">
      <c r="BJ257" s="205"/>
      <c r="BK257" s="205"/>
      <c r="BL257" s="205"/>
    </row>
    <row r="258" spans="62:64" x14ac:dyDescent="0.25">
      <c r="BJ258" s="205"/>
      <c r="BK258" s="205"/>
      <c r="BL258" s="205"/>
    </row>
    <row r="259" spans="62:64" x14ac:dyDescent="0.25">
      <c r="BJ259" s="205"/>
      <c r="BK259" s="205"/>
      <c r="BL259" s="205"/>
    </row>
    <row r="260" spans="62:64" x14ac:dyDescent="0.25">
      <c r="BJ260" s="205"/>
      <c r="BK260" s="205"/>
      <c r="BL260" s="205"/>
    </row>
    <row r="261" spans="62:64" x14ac:dyDescent="0.25">
      <c r="BJ261" s="205"/>
      <c r="BK261" s="205"/>
      <c r="BL261" s="205"/>
    </row>
    <row r="262" spans="62:64" x14ac:dyDescent="0.25">
      <c r="BJ262" s="205"/>
      <c r="BK262" s="205"/>
      <c r="BL262" s="205"/>
    </row>
    <row r="263" spans="62:64" x14ac:dyDescent="0.25">
      <c r="BJ263" s="205"/>
      <c r="BK263" s="205"/>
      <c r="BL263" s="205"/>
    </row>
    <row r="264" spans="62:64" x14ac:dyDescent="0.25">
      <c r="BJ264" s="205"/>
      <c r="BK264" s="205"/>
      <c r="BL264" s="205"/>
    </row>
    <row r="265" spans="62:64" x14ac:dyDescent="0.25">
      <c r="BJ265" s="205"/>
      <c r="BK265" s="205"/>
      <c r="BL265" s="205"/>
    </row>
    <row r="266" spans="62:64" x14ac:dyDescent="0.25">
      <c r="BJ266" s="205"/>
      <c r="BK266" s="205"/>
      <c r="BL266" s="205"/>
    </row>
    <row r="267" spans="62:64" x14ac:dyDescent="0.25">
      <c r="BJ267" s="205"/>
      <c r="BK267" s="205"/>
      <c r="BL267" s="205"/>
    </row>
    <row r="268" spans="62:64" x14ac:dyDescent="0.25">
      <c r="BJ268" s="205"/>
      <c r="BK268" s="205"/>
      <c r="BL268" s="205"/>
    </row>
    <row r="269" spans="62:64" x14ac:dyDescent="0.25">
      <c r="BJ269" s="205"/>
      <c r="BK269" s="205"/>
      <c r="BL269" s="205"/>
    </row>
    <row r="270" spans="62:64" x14ac:dyDescent="0.25">
      <c r="BJ270" s="205"/>
      <c r="BK270" s="205"/>
      <c r="BL270" s="205"/>
    </row>
    <row r="271" spans="62:64" x14ac:dyDescent="0.25">
      <c r="BJ271" s="205"/>
      <c r="BK271" s="205"/>
      <c r="BL271" s="205"/>
    </row>
    <row r="272" spans="62:64" x14ac:dyDescent="0.25">
      <c r="BJ272" s="205"/>
      <c r="BK272" s="205"/>
      <c r="BL272" s="205"/>
    </row>
    <row r="273" spans="62:64" x14ac:dyDescent="0.25">
      <c r="BJ273" s="205"/>
      <c r="BK273" s="205"/>
      <c r="BL273" s="205"/>
    </row>
    <row r="274" spans="62:64" x14ac:dyDescent="0.25">
      <c r="BJ274" s="205"/>
      <c r="BK274" s="205"/>
      <c r="BL274" s="205"/>
    </row>
    <row r="275" spans="62:64" x14ac:dyDescent="0.25">
      <c r="BJ275" s="205"/>
      <c r="BK275" s="205"/>
      <c r="BL275" s="205"/>
    </row>
    <row r="276" spans="62:64" x14ac:dyDescent="0.25">
      <c r="BJ276" s="205"/>
      <c r="BK276" s="205"/>
      <c r="BL276" s="205"/>
    </row>
    <row r="277" spans="62:64" x14ac:dyDescent="0.25">
      <c r="BJ277" s="205"/>
      <c r="BK277" s="205"/>
      <c r="BL277" s="205"/>
    </row>
    <row r="278" spans="62:64" x14ac:dyDescent="0.25">
      <c r="BJ278" s="205"/>
      <c r="BK278" s="205"/>
      <c r="BL278" s="205"/>
    </row>
    <row r="279" spans="62:64" x14ac:dyDescent="0.25">
      <c r="BJ279" s="205"/>
      <c r="BK279" s="205"/>
      <c r="BL279" s="205"/>
    </row>
    <row r="280" spans="62:64" x14ac:dyDescent="0.25">
      <c r="BJ280" s="205"/>
      <c r="BK280" s="205"/>
      <c r="BL280" s="205"/>
    </row>
    <row r="281" spans="62:64" x14ac:dyDescent="0.25">
      <c r="BJ281" s="205"/>
      <c r="BK281" s="205"/>
      <c r="BL281" s="205"/>
    </row>
    <row r="282" spans="62:64" x14ac:dyDescent="0.25">
      <c r="BJ282" s="205"/>
      <c r="BK282" s="205"/>
      <c r="BL282" s="205"/>
    </row>
    <row r="283" spans="62:64" x14ac:dyDescent="0.25">
      <c r="BJ283" s="205"/>
      <c r="BK283" s="205"/>
      <c r="BL283" s="205"/>
    </row>
    <row r="284" spans="62:64" x14ac:dyDescent="0.25">
      <c r="BJ284" s="205"/>
      <c r="BK284" s="205"/>
      <c r="BL284" s="205"/>
    </row>
    <row r="285" spans="62:64" x14ac:dyDescent="0.25">
      <c r="BJ285" s="205"/>
      <c r="BK285" s="205"/>
      <c r="BL285" s="205"/>
    </row>
    <row r="286" spans="62:64" x14ac:dyDescent="0.25">
      <c r="BJ286" s="205"/>
      <c r="BK286" s="205"/>
      <c r="BL286" s="205"/>
    </row>
    <row r="287" spans="62:64" x14ac:dyDescent="0.25">
      <c r="BJ287" s="205"/>
      <c r="BK287" s="205"/>
      <c r="BL287" s="205"/>
    </row>
    <row r="288" spans="62:64" x14ac:dyDescent="0.25">
      <c r="BJ288" s="205"/>
      <c r="BK288" s="205"/>
      <c r="BL288" s="205"/>
    </row>
    <row r="289" spans="62:64" x14ac:dyDescent="0.25">
      <c r="BJ289" s="205"/>
      <c r="BK289" s="205"/>
      <c r="BL289" s="205"/>
    </row>
    <row r="290" spans="62:64" x14ac:dyDescent="0.25">
      <c r="BJ290" s="205"/>
      <c r="BK290" s="205"/>
      <c r="BL290" s="205"/>
    </row>
    <row r="291" spans="62:64" x14ac:dyDescent="0.25">
      <c r="BJ291" s="205"/>
      <c r="BK291" s="205"/>
      <c r="BL291" s="205"/>
    </row>
    <row r="292" spans="62:64" x14ac:dyDescent="0.25">
      <c r="BJ292" s="205"/>
      <c r="BK292" s="205"/>
      <c r="BL292" s="205"/>
    </row>
    <row r="293" spans="62:64" x14ac:dyDescent="0.25">
      <c r="BJ293" s="205"/>
      <c r="BK293" s="205"/>
      <c r="BL293" s="205"/>
    </row>
    <row r="294" spans="62:64" x14ac:dyDescent="0.25">
      <c r="BJ294" s="205"/>
      <c r="BK294" s="205"/>
      <c r="BL294" s="205"/>
    </row>
    <row r="295" spans="62:64" x14ac:dyDescent="0.25">
      <c r="BJ295" s="205"/>
      <c r="BK295" s="205"/>
      <c r="BL295" s="205"/>
    </row>
    <row r="296" spans="62:64" x14ac:dyDescent="0.25">
      <c r="BJ296" s="205"/>
      <c r="BK296" s="205"/>
      <c r="BL296" s="205"/>
    </row>
    <row r="297" spans="62:64" x14ac:dyDescent="0.25">
      <c r="BJ297" s="205"/>
      <c r="BK297" s="205"/>
      <c r="BL297" s="205"/>
    </row>
    <row r="298" spans="62:64" x14ac:dyDescent="0.25">
      <c r="BJ298" s="205"/>
      <c r="BK298" s="205"/>
      <c r="BL298" s="205"/>
    </row>
    <row r="299" spans="62:64" x14ac:dyDescent="0.25">
      <c r="BJ299" s="205"/>
      <c r="BK299" s="205"/>
      <c r="BL299" s="205"/>
    </row>
    <row r="300" spans="62:64" x14ac:dyDescent="0.25">
      <c r="BJ300" s="205"/>
      <c r="BK300" s="205"/>
      <c r="BL300" s="205"/>
    </row>
    <row r="301" spans="62:64" x14ac:dyDescent="0.25">
      <c r="BJ301" s="205"/>
      <c r="BK301" s="205"/>
      <c r="BL301" s="205"/>
    </row>
    <row r="302" spans="62:64" x14ac:dyDescent="0.25">
      <c r="BJ302" s="205"/>
      <c r="BK302" s="205"/>
      <c r="BL302" s="205"/>
    </row>
    <row r="303" spans="62:64" x14ac:dyDescent="0.25">
      <c r="BJ303" s="205"/>
      <c r="BK303" s="205"/>
      <c r="BL303" s="205"/>
    </row>
    <row r="304" spans="62:64" x14ac:dyDescent="0.25">
      <c r="BJ304" s="205"/>
      <c r="BK304" s="205"/>
      <c r="BL304" s="205"/>
    </row>
    <row r="305" spans="62:64" x14ac:dyDescent="0.25">
      <c r="BJ305" s="205"/>
      <c r="BK305" s="205"/>
      <c r="BL305" s="205"/>
    </row>
    <row r="306" spans="62:64" x14ac:dyDescent="0.25">
      <c r="BJ306" s="205"/>
      <c r="BK306" s="205"/>
      <c r="BL306" s="205"/>
    </row>
    <row r="307" spans="62:64" x14ac:dyDescent="0.25">
      <c r="BJ307" s="205"/>
      <c r="BK307" s="205"/>
      <c r="BL307" s="205"/>
    </row>
    <row r="308" spans="62:64" x14ac:dyDescent="0.25">
      <c r="BJ308" s="205"/>
      <c r="BK308" s="205"/>
      <c r="BL308" s="205"/>
    </row>
    <row r="309" spans="62:64" x14ac:dyDescent="0.25">
      <c r="BJ309" s="205"/>
      <c r="BK309" s="205"/>
      <c r="BL309" s="205"/>
    </row>
    <row r="310" spans="62:64" x14ac:dyDescent="0.25">
      <c r="BJ310" s="205"/>
      <c r="BK310" s="205"/>
      <c r="BL310" s="205"/>
    </row>
    <row r="311" spans="62:64" x14ac:dyDescent="0.25">
      <c r="BJ311" s="205"/>
      <c r="BK311" s="205"/>
      <c r="BL311" s="205"/>
    </row>
    <row r="312" spans="62:64" x14ac:dyDescent="0.25">
      <c r="BJ312" s="205"/>
      <c r="BK312" s="205"/>
      <c r="BL312" s="205"/>
    </row>
    <row r="313" spans="62:64" x14ac:dyDescent="0.25">
      <c r="BJ313" s="205"/>
      <c r="BK313" s="205"/>
      <c r="BL313" s="205"/>
    </row>
    <row r="314" spans="62:64" x14ac:dyDescent="0.25">
      <c r="BJ314" s="205"/>
      <c r="BK314" s="205"/>
      <c r="BL314" s="205"/>
    </row>
    <row r="315" spans="62:64" x14ac:dyDescent="0.25">
      <c r="BJ315" s="205"/>
      <c r="BK315" s="205"/>
      <c r="BL315" s="205"/>
    </row>
    <row r="316" spans="62:64" x14ac:dyDescent="0.25">
      <c r="BJ316" s="205"/>
      <c r="BK316" s="205"/>
      <c r="BL316" s="205"/>
    </row>
    <row r="317" spans="62:64" x14ac:dyDescent="0.25">
      <c r="BJ317" s="205"/>
      <c r="BK317" s="205"/>
      <c r="BL317" s="205"/>
    </row>
    <row r="318" spans="62:64" x14ac:dyDescent="0.25">
      <c r="BJ318" s="205"/>
      <c r="BK318" s="205"/>
      <c r="BL318" s="205"/>
    </row>
    <row r="319" spans="62:64" x14ac:dyDescent="0.25">
      <c r="BJ319" s="205"/>
      <c r="BK319" s="205"/>
      <c r="BL319" s="205"/>
    </row>
    <row r="320" spans="62:64" x14ac:dyDescent="0.25">
      <c r="BJ320" s="205"/>
      <c r="BK320" s="205"/>
      <c r="BL320" s="205"/>
    </row>
    <row r="321" spans="62:64" x14ac:dyDescent="0.25">
      <c r="BJ321" s="205"/>
      <c r="BK321" s="205"/>
      <c r="BL321" s="205"/>
    </row>
    <row r="322" spans="62:64" x14ac:dyDescent="0.25">
      <c r="BJ322" s="205"/>
      <c r="BK322" s="205"/>
      <c r="BL322" s="205"/>
    </row>
    <row r="323" spans="62:64" x14ac:dyDescent="0.25">
      <c r="BJ323" s="205"/>
      <c r="BK323" s="205"/>
      <c r="BL323" s="205"/>
    </row>
    <row r="324" spans="62:64" x14ac:dyDescent="0.25">
      <c r="BJ324" s="205"/>
      <c r="BK324" s="205"/>
      <c r="BL324" s="205"/>
    </row>
    <row r="325" spans="62:64" x14ac:dyDescent="0.25">
      <c r="BJ325" s="205"/>
      <c r="BK325" s="205"/>
      <c r="BL325" s="205"/>
    </row>
    <row r="326" spans="62:64" x14ac:dyDescent="0.25">
      <c r="BJ326" s="205"/>
      <c r="BK326" s="205"/>
      <c r="BL326" s="205"/>
    </row>
    <row r="327" spans="62:64" x14ac:dyDescent="0.25">
      <c r="BJ327" s="205"/>
      <c r="BK327" s="205"/>
      <c r="BL327" s="205"/>
    </row>
    <row r="328" spans="62:64" x14ac:dyDescent="0.25">
      <c r="BJ328" s="205"/>
      <c r="BK328" s="205"/>
      <c r="BL328" s="205"/>
    </row>
    <row r="329" spans="62:64" x14ac:dyDescent="0.25">
      <c r="BJ329" s="205"/>
      <c r="BK329" s="205"/>
      <c r="BL329" s="205"/>
    </row>
    <row r="330" spans="62:64" x14ac:dyDescent="0.25">
      <c r="BJ330" s="205"/>
      <c r="BK330" s="205"/>
      <c r="BL330" s="205"/>
    </row>
    <row r="331" spans="62:64" x14ac:dyDescent="0.25">
      <c r="BJ331" s="205"/>
      <c r="BK331" s="205"/>
      <c r="BL331" s="205"/>
    </row>
    <row r="332" spans="62:64" x14ac:dyDescent="0.25">
      <c r="BJ332" s="205"/>
      <c r="BK332" s="205"/>
      <c r="BL332" s="205"/>
    </row>
    <row r="333" spans="62:64" x14ac:dyDescent="0.25">
      <c r="BJ333" s="205"/>
      <c r="BK333" s="205"/>
      <c r="BL333" s="205"/>
    </row>
    <row r="334" spans="62:64" x14ac:dyDescent="0.25">
      <c r="BJ334" s="205"/>
      <c r="BK334" s="205"/>
      <c r="BL334" s="205"/>
    </row>
    <row r="335" spans="62:64" x14ac:dyDescent="0.25">
      <c r="BJ335" s="205"/>
      <c r="BK335" s="205"/>
      <c r="BL335" s="205"/>
    </row>
    <row r="336" spans="62:64" x14ac:dyDescent="0.25">
      <c r="BJ336" s="205"/>
      <c r="BK336" s="205"/>
      <c r="BL336" s="205"/>
    </row>
    <row r="337" spans="62:64" x14ac:dyDescent="0.25">
      <c r="BJ337" s="205"/>
      <c r="BK337" s="205"/>
      <c r="BL337" s="205"/>
    </row>
    <row r="338" spans="62:64" x14ac:dyDescent="0.25">
      <c r="BJ338" s="205"/>
      <c r="BK338" s="205"/>
      <c r="BL338" s="205"/>
    </row>
    <row r="339" spans="62:64" x14ac:dyDescent="0.25">
      <c r="BJ339" s="205"/>
      <c r="BK339" s="205"/>
      <c r="BL339" s="205"/>
    </row>
    <row r="340" spans="62:64" x14ac:dyDescent="0.25">
      <c r="BJ340" s="205"/>
      <c r="BK340" s="205"/>
      <c r="BL340" s="205"/>
    </row>
    <row r="341" spans="62:64" x14ac:dyDescent="0.25">
      <c r="BJ341" s="205"/>
      <c r="BK341" s="205"/>
      <c r="BL341" s="205"/>
    </row>
    <row r="342" spans="62:64" x14ac:dyDescent="0.25">
      <c r="BJ342" s="205"/>
      <c r="BK342" s="205"/>
      <c r="BL342" s="205"/>
    </row>
    <row r="343" spans="62:64" x14ac:dyDescent="0.25">
      <c r="BJ343" s="205"/>
      <c r="BK343" s="205"/>
      <c r="BL343" s="205"/>
    </row>
    <row r="344" spans="62:64" x14ac:dyDescent="0.25">
      <c r="BJ344" s="205"/>
      <c r="BK344" s="205"/>
      <c r="BL344" s="205"/>
    </row>
    <row r="345" spans="62:64" x14ac:dyDescent="0.25">
      <c r="BJ345" s="205"/>
      <c r="BK345" s="205"/>
      <c r="BL345" s="205"/>
    </row>
    <row r="346" spans="62:64" x14ac:dyDescent="0.25">
      <c r="BJ346" s="205"/>
      <c r="BK346" s="205"/>
      <c r="BL346" s="205"/>
    </row>
    <row r="347" spans="62:64" x14ac:dyDescent="0.25">
      <c r="BJ347" s="205"/>
      <c r="BK347" s="205"/>
      <c r="BL347" s="205"/>
    </row>
    <row r="348" spans="62:64" x14ac:dyDescent="0.25">
      <c r="BJ348" s="205"/>
      <c r="BK348" s="205"/>
      <c r="BL348" s="205"/>
    </row>
    <row r="349" spans="62:64" x14ac:dyDescent="0.25">
      <c r="BJ349" s="205"/>
      <c r="BK349" s="205"/>
      <c r="BL349" s="205"/>
    </row>
    <row r="350" spans="62:64" x14ac:dyDescent="0.25">
      <c r="BJ350" s="205"/>
      <c r="BK350" s="205"/>
      <c r="BL350" s="205"/>
    </row>
    <row r="351" spans="62:64" x14ac:dyDescent="0.25">
      <c r="BJ351" s="205"/>
      <c r="BK351" s="205"/>
      <c r="BL351" s="205"/>
    </row>
    <row r="352" spans="62:64" x14ac:dyDescent="0.25">
      <c r="BJ352" s="205"/>
      <c r="BK352" s="205"/>
      <c r="BL352" s="205"/>
    </row>
    <row r="353" spans="62:64" x14ac:dyDescent="0.25">
      <c r="BJ353" s="205"/>
      <c r="BK353" s="205"/>
      <c r="BL353" s="205"/>
    </row>
    <row r="354" spans="62:64" x14ac:dyDescent="0.25">
      <c r="BJ354" s="205"/>
      <c r="BK354" s="205"/>
      <c r="BL354" s="205"/>
    </row>
    <row r="355" spans="62:64" x14ac:dyDescent="0.25">
      <c r="BJ355" s="205"/>
      <c r="BK355" s="205"/>
      <c r="BL355" s="205"/>
    </row>
    <row r="356" spans="62:64" x14ac:dyDescent="0.25">
      <c r="BJ356" s="205"/>
      <c r="BK356" s="205"/>
      <c r="BL356" s="205"/>
    </row>
    <row r="357" spans="62:64" x14ac:dyDescent="0.25">
      <c r="BJ357" s="205"/>
      <c r="BK357" s="205"/>
      <c r="BL357" s="205"/>
    </row>
    <row r="358" spans="62:64" x14ac:dyDescent="0.25">
      <c r="BJ358" s="205"/>
      <c r="BK358" s="205"/>
      <c r="BL358" s="205"/>
    </row>
    <row r="359" spans="62:64" x14ac:dyDescent="0.25">
      <c r="BJ359" s="205"/>
      <c r="BK359" s="205"/>
      <c r="BL359" s="205"/>
    </row>
    <row r="360" spans="62:64" x14ac:dyDescent="0.25">
      <c r="BJ360" s="205"/>
      <c r="BK360" s="205"/>
      <c r="BL360" s="205"/>
    </row>
    <row r="361" spans="62:64" x14ac:dyDescent="0.25">
      <c r="BJ361" s="205"/>
      <c r="BK361" s="205"/>
      <c r="BL361" s="205"/>
    </row>
    <row r="362" spans="62:64" x14ac:dyDescent="0.25">
      <c r="BJ362" s="205"/>
      <c r="BK362" s="205"/>
      <c r="BL362" s="205"/>
    </row>
    <row r="363" spans="62:64" x14ac:dyDescent="0.25">
      <c r="BJ363" s="205"/>
      <c r="BK363" s="205"/>
      <c r="BL363" s="205"/>
    </row>
    <row r="364" spans="62:64" x14ac:dyDescent="0.25">
      <c r="BJ364" s="205"/>
      <c r="BK364" s="205"/>
      <c r="BL364" s="205"/>
    </row>
    <row r="365" spans="62:64" x14ac:dyDescent="0.25">
      <c r="BJ365" s="205"/>
      <c r="BK365" s="205"/>
      <c r="BL365" s="205"/>
    </row>
    <row r="366" spans="62:64" x14ac:dyDescent="0.25">
      <c r="BJ366" s="205"/>
      <c r="BK366" s="205"/>
      <c r="BL366" s="205"/>
    </row>
    <row r="367" spans="62:64" x14ac:dyDescent="0.25">
      <c r="BJ367" s="205"/>
      <c r="BK367" s="205"/>
      <c r="BL367" s="205"/>
    </row>
    <row r="368" spans="62:64" x14ac:dyDescent="0.25">
      <c r="BJ368" s="205"/>
      <c r="BK368" s="205"/>
      <c r="BL368" s="205"/>
    </row>
    <row r="369" spans="62:64" x14ac:dyDescent="0.25">
      <c r="BJ369" s="205"/>
      <c r="BK369" s="205"/>
      <c r="BL369" s="205"/>
    </row>
    <row r="370" spans="62:64" x14ac:dyDescent="0.25">
      <c r="BJ370" s="205"/>
      <c r="BK370" s="205"/>
      <c r="BL370" s="205"/>
    </row>
    <row r="371" spans="62:64" x14ac:dyDescent="0.25">
      <c r="BJ371" s="205"/>
      <c r="BK371" s="205"/>
      <c r="BL371" s="205"/>
    </row>
    <row r="372" spans="62:64" x14ac:dyDescent="0.25">
      <c r="BJ372" s="205"/>
      <c r="BK372" s="205"/>
      <c r="BL372" s="205"/>
    </row>
    <row r="373" spans="62:64" x14ac:dyDescent="0.25">
      <c r="BJ373" s="205"/>
      <c r="BK373" s="205"/>
      <c r="BL373" s="205"/>
    </row>
    <row r="374" spans="62:64" x14ac:dyDescent="0.25">
      <c r="BJ374" s="205"/>
      <c r="BK374" s="205"/>
      <c r="BL374" s="205"/>
    </row>
    <row r="375" spans="62:64" x14ac:dyDescent="0.25">
      <c r="BJ375" s="205"/>
      <c r="BK375" s="205"/>
      <c r="BL375" s="205"/>
    </row>
    <row r="376" spans="62:64" x14ac:dyDescent="0.25">
      <c r="BJ376" s="205"/>
      <c r="BK376" s="205"/>
      <c r="BL376" s="205"/>
    </row>
    <row r="377" spans="62:64" x14ac:dyDescent="0.25">
      <c r="BJ377" s="205"/>
      <c r="BK377" s="205"/>
      <c r="BL377" s="205"/>
    </row>
    <row r="378" spans="62:64" x14ac:dyDescent="0.25">
      <c r="BJ378" s="205"/>
      <c r="BK378" s="205"/>
      <c r="BL378" s="205"/>
    </row>
    <row r="379" spans="62:64" x14ac:dyDescent="0.25">
      <c r="BJ379" s="205"/>
      <c r="BK379" s="205"/>
      <c r="BL379" s="205"/>
    </row>
    <row r="380" spans="62:64" x14ac:dyDescent="0.25">
      <c r="BJ380" s="205"/>
      <c r="BK380" s="205"/>
      <c r="BL380" s="205"/>
    </row>
    <row r="381" spans="62:64" x14ac:dyDescent="0.25">
      <c r="BJ381" s="205"/>
      <c r="BK381" s="205"/>
      <c r="BL381" s="205"/>
    </row>
    <row r="382" spans="62:64" x14ac:dyDescent="0.25">
      <c r="BJ382" s="205"/>
      <c r="BK382" s="205"/>
      <c r="BL382" s="205"/>
    </row>
    <row r="383" spans="62:64" x14ac:dyDescent="0.25">
      <c r="BJ383" s="205"/>
      <c r="BK383" s="205"/>
      <c r="BL383" s="205"/>
    </row>
    <row r="384" spans="62:64" x14ac:dyDescent="0.25">
      <c r="BJ384" s="205"/>
      <c r="BK384" s="205"/>
      <c r="BL384" s="205"/>
    </row>
    <row r="385" spans="62:64" x14ac:dyDescent="0.25">
      <c r="BJ385" s="205"/>
      <c r="BK385" s="205"/>
      <c r="BL385" s="205"/>
    </row>
    <row r="386" spans="62:64" x14ac:dyDescent="0.25">
      <c r="BJ386" s="205"/>
      <c r="BK386" s="205"/>
      <c r="BL386" s="205"/>
    </row>
    <row r="387" spans="62:64" x14ac:dyDescent="0.25">
      <c r="BJ387" s="205"/>
      <c r="BK387" s="205"/>
      <c r="BL387" s="205"/>
    </row>
    <row r="388" spans="62:64" x14ac:dyDescent="0.25">
      <c r="BJ388" s="205"/>
      <c r="BK388" s="205"/>
      <c r="BL388" s="205"/>
    </row>
    <row r="389" spans="62:64" x14ac:dyDescent="0.25">
      <c r="BJ389" s="205"/>
      <c r="BK389" s="205"/>
      <c r="BL389" s="205"/>
    </row>
    <row r="390" spans="62:64" x14ac:dyDescent="0.25">
      <c r="BJ390" s="205"/>
      <c r="BK390" s="205"/>
      <c r="BL390" s="205"/>
    </row>
    <row r="391" spans="62:64" x14ac:dyDescent="0.25">
      <c r="BJ391" s="205"/>
      <c r="BK391" s="205"/>
      <c r="BL391" s="205"/>
    </row>
    <row r="392" spans="62:64" x14ac:dyDescent="0.25">
      <c r="BJ392" s="205"/>
      <c r="BK392" s="205"/>
      <c r="BL392" s="205"/>
    </row>
    <row r="393" spans="62:64" x14ac:dyDescent="0.25">
      <c r="BJ393" s="205"/>
      <c r="BK393" s="205"/>
      <c r="BL393" s="205"/>
    </row>
    <row r="394" spans="62:64" x14ac:dyDescent="0.25">
      <c r="BJ394" s="205"/>
      <c r="BK394" s="205"/>
      <c r="BL394" s="205"/>
    </row>
    <row r="395" spans="62:64" x14ac:dyDescent="0.25">
      <c r="BJ395" s="205"/>
      <c r="BK395" s="205"/>
      <c r="BL395" s="205"/>
    </row>
    <row r="396" spans="62:64" x14ac:dyDescent="0.25">
      <c r="BJ396" s="205"/>
      <c r="BK396" s="205"/>
      <c r="BL396" s="205"/>
    </row>
    <row r="397" spans="62:64" x14ac:dyDescent="0.25">
      <c r="BJ397" s="205"/>
      <c r="BK397" s="205"/>
      <c r="BL397" s="205"/>
    </row>
    <row r="398" spans="62:64" x14ac:dyDescent="0.25">
      <c r="BJ398" s="205"/>
      <c r="BK398" s="205"/>
      <c r="BL398" s="205"/>
    </row>
    <row r="399" spans="62:64" x14ac:dyDescent="0.25">
      <c r="BJ399" s="205"/>
      <c r="BK399" s="205"/>
      <c r="BL399" s="205"/>
    </row>
    <row r="400" spans="62:64" x14ac:dyDescent="0.25">
      <c r="BJ400" s="205"/>
      <c r="BK400" s="205"/>
      <c r="BL400" s="205"/>
    </row>
    <row r="401" spans="62:64" x14ac:dyDescent="0.25">
      <c r="BJ401" s="205"/>
      <c r="BK401" s="205"/>
      <c r="BL401" s="205"/>
    </row>
    <row r="402" spans="62:64" x14ac:dyDescent="0.25">
      <c r="BJ402" s="205"/>
      <c r="BK402" s="205"/>
      <c r="BL402" s="205"/>
    </row>
    <row r="403" spans="62:64" x14ac:dyDescent="0.25">
      <c r="BJ403" s="205"/>
      <c r="BK403" s="205"/>
      <c r="BL403" s="205"/>
    </row>
    <row r="404" spans="62:64" x14ac:dyDescent="0.25">
      <c r="BJ404" s="205"/>
      <c r="BK404" s="205"/>
      <c r="BL404" s="205"/>
    </row>
    <row r="405" spans="62:64" x14ac:dyDescent="0.25">
      <c r="BJ405" s="205"/>
      <c r="BK405" s="205"/>
      <c r="BL405" s="205"/>
    </row>
    <row r="406" spans="62:64" x14ac:dyDescent="0.25">
      <c r="BJ406" s="205"/>
      <c r="BK406" s="205"/>
      <c r="BL406" s="205"/>
    </row>
    <row r="407" spans="62:64" x14ac:dyDescent="0.25">
      <c r="BJ407" s="205"/>
      <c r="BK407" s="205"/>
      <c r="BL407" s="205"/>
    </row>
    <row r="408" spans="62:64" x14ac:dyDescent="0.25">
      <c r="BJ408" s="205"/>
      <c r="BK408" s="205"/>
      <c r="BL408" s="205"/>
    </row>
    <row r="409" spans="62:64" x14ac:dyDescent="0.25">
      <c r="BJ409" s="205"/>
      <c r="BK409" s="205"/>
      <c r="BL409" s="205"/>
    </row>
    <row r="410" spans="62:64" x14ac:dyDescent="0.25">
      <c r="BJ410" s="205"/>
      <c r="BK410" s="205"/>
      <c r="BL410" s="205"/>
    </row>
    <row r="411" spans="62:64" x14ac:dyDescent="0.25">
      <c r="BJ411" s="205"/>
      <c r="BK411" s="205"/>
      <c r="BL411" s="205"/>
    </row>
    <row r="412" spans="62:64" x14ac:dyDescent="0.25">
      <c r="BJ412" s="205"/>
      <c r="BK412" s="205"/>
      <c r="BL412" s="205"/>
    </row>
    <row r="413" spans="62:64" x14ac:dyDescent="0.25">
      <c r="BJ413" s="205"/>
      <c r="BK413" s="205"/>
      <c r="BL413" s="205"/>
    </row>
    <row r="414" spans="62:64" x14ac:dyDescent="0.25">
      <c r="BJ414" s="205"/>
      <c r="BK414" s="205"/>
      <c r="BL414" s="205"/>
    </row>
    <row r="415" spans="62:64" x14ac:dyDescent="0.25">
      <c r="BJ415" s="205"/>
      <c r="BK415" s="205"/>
      <c r="BL415" s="205"/>
    </row>
    <row r="416" spans="62:64" x14ac:dyDescent="0.25">
      <c r="BJ416" s="205"/>
      <c r="BK416" s="205"/>
      <c r="BL416" s="205"/>
    </row>
    <row r="417" spans="62:64" x14ac:dyDescent="0.25">
      <c r="BJ417" s="205"/>
      <c r="BK417" s="205"/>
      <c r="BL417" s="205"/>
    </row>
    <row r="418" spans="62:64" x14ac:dyDescent="0.25">
      <c r="BJ418" s="205"/>
      <c r="BK418" s="205"/>
      <c r="BL418" s="205"/>
    </row>
    <row r="419" spans="62:64" x14ac:dyDescent="0.25">
      <c r="BJ419" s="205"/>
      <c r="BK419" s="205"/>
      <c r="BL419" s="205"/>
    </row>
    <row r="420" spans="62:64" x14ac:dyDescent="0.25">
      <c r="BJ420" s="205"/>
      <c r="BK420" s="205"/>
      <c r="BL420" s="205"/>
    </row>
    <row r="421" spans="62:64" x14ac:dyDescent="0.25">
      <c r="BJ421" s="205"/>
      <c r="BK421" s="205"/>
      <c r="BL421" s="205"/>
    </row>
    <row r="422" spans="62:64" x14ac:dyDescent="0.25">
      <c r="BJ422" s="205"/>
      <c r="BK422" s="205"/>
      <c r="BL422" s="205"/>
    </row>
    <row r="423" spans="62:64" x14ac:dyDescent="0.25">
      <c r="BJ423" s="205"/>
      <c r="BK423" s="205"/>
      <c r="BL423" s="205"/>
    </row>
    <row r="424" spans="62:64" x14ac:dyDescent="0.25">
      <c r="BJ424" s="205"/>
      <c r="BK424" s="205"/>
      <c r="BL424" s="205"/>
    </row>
    <row r="425" spans="62:64" x14ac:dyDescent="0.25">
      <c r="BJ425" s="205"/>
      <c r="BK425" s="205"/>
      <c r="BL425" s="205"/>
    </row>
    <row r="426" spans="62:64" x14ac:dyDescent="0.25">
      <c r="BJ426" s="205"/>
      <c r="BK426" s="205"/>
      <c r="BL426" s="205"/>
    </row>
    <row r="427" spans="62:64" x14ac:dyDescent="0.25">
      <c r="BJ427" s="205"/>
      <c r="BK427" s="205"/>
      <c r="BL427" s="205"/>
    </row>
    <row r="428" spans="62:64" x14ac:dyDescent="0.25">
      <c r="BJ428" s="205"/>
      <c r="BK428" s="205"/>
      <c r="BL428" s="205"/>
    </row>
    <row r="429" spans="62:64" x14ac:dyDescent="0.25">
      <c r="BJ429" s="205"/>
      <c r="BK429" s="205"/>
      <c r="BL429" s="205"/>
    </row>
    <row r="430" spans="62:64" x14ac:dyDescent="0.25">
      <c r="BJ430" s="205"/>
      <c r="BK430" s="205"/>
      <c r="BL430" s="205"/>
    </row>
    <row r="431" spans="62:64" x14ac:dyDescent="0.25">
      <c r="BJ431" s="205"/>
      <c r="BK431" s="205"/>
      <c r="BL431" s="205"/>
    </row>
    <row r="432" spans="62:64" x14ac:dyDescent="0.25">
      <c r="BJ432" s="205"/>
      <c r="BK432" s="205"/>
      <c r="BL432" s="205"/>
    </row>
    <row r="433" spans="62:64" x14ac:dyDescent="0.25">
      <c r="BJ433" s="205"/>
      <c r="BK433" s="205"/>
      <c r="BL433" s="205"/>
    </row>
    <row r="434" spans="62:64" x14ac:dyDescent="0.25">
      <c r="BJ434" s="205"/>
      <c r="BK434" s="205"/>
      <c r="BL434" s="205"/>
    </row>
    <row r="435" spans="62:64" x14ac:dyDescent="0.25">
      <c r="BJ435" s="205"/>
      <c r="BK435" s="205"/>
      <c r="BL435" s="205"/>
    </row>
    <row r="436" spans="62:64" x14ac:dyDescent="0.25">
      <c r="BJ436" s="205"/>
      <c r="BK436" s="205"/>
      <c r="BL436" s="205"/>
    </row>
    <row r="437" spans="62:64" x14ac:dyDescent="0.25">
      <c r="BJ437" s="205"/>
      <c r="BK437" s="205"/>
      <c r="BL437" s="205"/>
    </row>
    <row r="438" spans="62:64" x14ac:dyDescent="0.25">
      <c r="BJ438" s="205"/>
      <c r="BK438" s="205"/>
      <c r="BL438" s="205"/>
    </row>
    <row r="439" spans="62:64" x14ac:dyDescent="0.25">
      <c r="BJ439" s="205"/>
      <c r="BK439" s="205"/>
      <c r="BL439" s="205"/>
    </row>
    <row r="440" spans="62:64" x14ac:dyDescent="0.25">
      <c r="BJ440" s="205"/>
      <c r="BK440" s="205"/>
      <c r="BL440" s="205"/>
    </row>
    <row r="441" spans="62:64" x14ac:dyDescent="0.25">
      <c r="BJ441" s="205"/>
      <c r="BK441" s="205"/>
      <c r="BL441" s="205"/>
    </row>
    <row r="442" spans="62:64" x14ac:dyDescent="0.25">
      <c r="BJ442" s="205"/>
      <c r="BK442" s="205"/>
      <c r="BL442" s="205"/>
    </row>
    <row r="443" spans="62:64" x14ac:dyDescent="0.25">
      <c r="BJ443" s="205"/>
      <c r="BK443" s="205"/>
      <c r="BL443" s="205"/>
    </row>
    <row r="444" spans="62:64" x14ac:dyDescent="0.25">
      <c r="BJ444" s="205"/>
      <c r="BK444" s="205"/>
      <c r="BL444" s="205"/>
    </row>
    <row r="445" spans="62:64" x14ac:dyDescent="0.25">
      <c r="BJ445" s="205"/>
      <c r="BK445" s="205"/>
      <c r="BL445" s="205"/>
    </row>
    <row r="446" spans="62:64" x14ac:dyDescent="0.25">
      <c r="BJ446" s="205"/>
      <c r="BK446" s="205"/>
      <c r="BL446" s="205"/>
    </row>
    <row r="447" spans="62:64" x14ac:dyDescent="0.25">
      <c r="BJ447" s="205"/>
      <c r="BK447" s="205"/>
      <c r="BL447" s="205"/>
    </row>
    <row r="448" spans="62:64" x14ac:dyDescent="0.25">
      <c r="BJ448" s="205"/>
      <c r="BK448" s="205"/>
      <c r="BL448" s="205"/>
    </row>
    <row r="449" spans="62:64" x14ac:dyDescent="0.25">
      <c r="BJ449" s="205"/>
      <c r="BK449" s="205"/>
      <c r="BL449" s="205"/>
    </row>
    <row r="450" spans="62:64" x14ac:dyDescent="0.25">
      <c r="BJ450" s="205"/>
      <c r="BK450" s="205"/>
      <c r="BL450" s="205"/>
    </row>
    <row r="451" spans="62:64" x14ac:dyDescent="0.25">
      <c r="BJ451" s="205"/>
      <c r="BK451" s="205"/>
      <c r="BL451" s="205"/>
    </row>
    <row r="452" spans="62:64" x14ac:dyDescent="0.25">
      <c r="BJ452" s="205"/>
      <c r="BK452" s="205"/>
      <c r="BL452" s="205"/>
    </row>
    <row r="453" spans="62:64" x14ac:dyDescent="0.25">
      <c r="BJ453" s="205"/>
      <c r="BK453" s="205"/>
      <c r="BL453" s="205"/>
    </row>
    <row r="454" spans="62:64" x14ac:dyDescent="0.25">
      <c r="BJ454" s="205"/>
      <c r="BK454" s="205"/>
      <c r="BL454" s="205"/>
    </row>
    <row r="455" spans="62:64" x14ac:dyDescent="0.25">
      <c r="BJ455" s="205"/>
      <c r="BK455" s="205"/>
      <c r="BL455" s="205"/>
    </row>
    <row r="456" spans="62:64" x14ac:dyDescent="0.25">
      <c r="BJ456" s="205"/>
      <c r="BK456" s="205"/>
      <c r="BL456" s="205"/>
    </row>
    <row r="457" spans="62:64" x14ac:dyDescent="0.25">
      <c r="BJ457" s="205"/>
      <c r="BK457" s="205"/>
      <c r="BL457" s="205"/>
    </row>
    <row r="458" spans="62:64" x14ac:dyDescent="0.25">
      <c r="BJ458" s="205"/>
      <c r="BK458" s="205"/>
      <c r="BL458" s="205"/>
    </row>
    <row r="459" spans="62:64" x14ac:dyDescent="0.25">
      <c r="BJ459" s="205"/>
      <c r="BK459" s="205"/>
      <c r="BL459" s="205"/>
    </row>
    <row r="460" spans="62:64" x14ac:dyDescent="0.25">
      <c r="BJ460" s="205"/>
      <c r="BK460" s="205"/>
      <c r="BL460" s="205"/>
    </row>
    <row r="461" spans="62:64" x14ac:dyDescent="0.25">
      <c r="BJ461" s="205"/>
      <c r="BK461" s="205"/>
      <c r="BL461" s="205"/>
    </row>
    <row r="462" spans="62:64" x14ac:dyDescent="0.25">
      <c r="BJ462" s="205"/>
      <c r="BK462" s="205"/>
      <c r="BL462" s="205"/>
    </row>
    <row r="463" spans="62:64" x14ac:dyDescent="0.25">
      <c r="BJ463" s="205"/>
      <c r="BK463" s="205"/>
      <c r="BL463" s="205"/>
    </row>
    <row r="464" spans="62:64" x14ac:dyDescent="0.25">
      <c r="BJ464" s="205"/>
      <c r="BK464" s="205"/>
      <c r="BL464" s="205"/>
    </row>
    <row r="465" spans="62:64" x14ac:dyDescent="0.25">
      <c r="BJ465" s="205"/>
      <c r="BK465" s="205"/>
      <c r="BL465" s="205"/>
    </row>
    <row r="466" spans="62:64" x14ac:dyDescent="0.25">
      <c r="BJ466" s="205"/>
      <c r="BK466" s="205"/>
      <c r="BL466" s="205"/>
    </row>
    <row r="467" spans="62:64" x14ac:dyDescent="0.25">
      <c r="BJ467" s="205"/>
      <c r="BK467" s="205"/>
      <c r="BL467" s="205"/>
    </row>
    <row r="468" spans="62:64" x14ac:dyDescent="0.25">
      <c r="BJ468" s="205"/>
      <c r="BK468" s="205"/>
      <c r="BL468" s="205"/>
    </row>
    <row r="469" spans="62:64" x14ac:dyDescent="0.25">
      <c r="BJ469" s="205"/>
      <c r="BK469" s="205"/>
      <c r="BL469" s="205"/>
    </row>
    <row r="470" spans="62:64" x14ac:dyDescent="0.25">
      <c r="BJ470" s="205"/>
      <c r="BK470" s="205"/>
      <c r="BL470" s="205"/>
    </row>
    <row r="471" spans="62:64" x14ac:dyDescent="0.25">
      <c r="BJ471" s="205"/>
      <c r="BK471" s="205"/>
      <c r="BL471" s="205"/>
    </row>
    <row r="472" spans="62:64" x14ac:dyDescent="0.25">
      <c r="BJ472" s="205"/>
      <c r="BK472" s="205"/>
      <c r="BL472" s="205"/>
    </row>
    <row r="473" spans="62:64" x14ac:dyDescent="0.25">
      <c r="BJ473" s="205"/>
      <c r="BK473" s="205"/>
      <c r="BL473" s="205"/>
    </row>
    <row r="474" spans="62:64" x14ac:dyDescent="0.25">
      <c r="BJ474" s="205"/>
      <c r="BK474" s="205"/>
      <c r="BL474" s="205"/>
    </row>
    <row r="475" spans="62:64" x14ac:dyDescent="0.25">
      <c r="BJ475" s="205"/>
      <c r="BK475" s="205"/>
      <c r="BL475" s="205"/>
    </row>
    <row r="476" spans="62:64" x14ac:dyDescent="0.25">
      <c r="BJ476" s="205"/>
      <c r="BK476" s="205"/>
      <c r="BL476" s="205"/>
    </row>
    <row r="477" spans="62:64" x14ac:dyDescent="0.25">
      <c r="BJ477" s="205"/>
      <c r="BK477" s="205"/>
      <c r="BL477" s="205"/>
    </row>
    <row r="478" spans="62:64" x14ac:dyDescent="0.25">
      <c r="BJ478" s="205"/>
      <c r="BK478" s="205"/>
      <c r="BL478" s="205"/>
    </row>
    <row r="479" spans="62:64" x14ac:dyDescent="0.25">
      <c r="BJ479" s="205"/>
      <c r="BK479" s="205"/>
      <c r="BL479" s="205"/>
    </row>
    <row r="480" spans="62:64" x14ac:dyDescent="0.25">
      <c r="BJ480" s="205"/>
      <c r="BK480" s="205"/>
      <c r="BL480" s="205"/>
    </row>
    <row r="481" spans="62:64" x14ac:dyDescent="0.25">
      <c r="BJ481" s="205"/>
      <c r="BK481" s="205"/>
      <c r="BL481" s="205"/>
    </row>
    <row r="482" spans="62:64" x14ac:dyDescent="0.25">
      <c r="BJ482" s="205"/>
      <c r="BK482" s="205"/>
      <c r="BL482" s="205"/>
    </row>
    <row r="483" spans="62:64" x14ac:dyDescent="0.25">
      <c r="BJ483" s="205"/>
      <c r="BK483" s="205"/>
      <c r="BL483" s="205"/>
    </row>
    <row r="484" spans="62:64" x14ac:dyDescent="0.25">
      <c r="BJ484" s="205"/>
      <c r="BK484" s="205"/>
      <c r="BL484" s="205"/>
    </row>
    <row r="485" spans="62:64" x14ac:dyDescent="0.25">
      <c r="BJ485" s="205"/>
      <c r="BK485" s="205"/>
      <c r="BL485" s="205"/>
    </row>
    <row r="486" spans="62:64" x14ac:dyDescent="0.25">
      <c r="BJ486" s="205"/>
      <c r="BK486" s="205"/>
      <c r="BL486" s="205"/>
    </row>
    <row r="487" spans="62:64" x14ac:dyDescent="0.25">
      <c r="BJ487" s="205"/>
      <c r="BK487" s="205"/>
      <c r="BL487" s="205"/>
    </row>
    <row r="488" spans="62:64" x14ac:dyDescent="0.25">
      <c r="BJ488" s="205"/>
      <c r="BK488" s="205"/>
      <c r="BL488" s="205"/>
    </row>
    <row r="489" spans="62:64" x14ac:dyDescent="0.25">
      <c r="BJ489" s="205"/>
      <c r="BK489" s="205"/>
      <c r="BL489" s="205"/>
    </row>
    <row r="490" spans="62:64" x14ac:dyDescent="0.25">
      <c r="BJ490" s="205"/>
      <c r="BK490" s="205"/>
      <c r="BL490" s="205"/>
    </row>
    <row r="491" spans="62:64" x14ac:dyDescent="0.25">
      <c r="BJ491" s="205"/>
      <c r="BK491" s="205"/>
      <c r="BL491" s="205"/>
    </row>
    <row r="492" spans="62:64" x14ac:dyDescent="0.25">
      <c r="BJ492" s="205"/>
      <c r="BK492" s="205"/>
      <c r="BL492" s="205"/>
    </row>
    <row r="493" spans="62:64" x14ac:dyDescent="0.25">
      <c r="BJ493" s="205"/>
      <c r="BK493" s="205"/>
      <c r="BL493" s="205"/>
    </row>
    <row r="494" spans="62:64" x14ac:dyDescent="0.25">
      <c r="BJ494" s="205"/>
      <c r="BK494" s="205"/>
      <c r="BL494" s="205"/>
    </row>
    <row r="495" spans="62:64" x14ac:dyDescent="0.25">
      <c r="BJ495" s="205"/>
      <c r="BK495" s="205"/>
      <c r="BL495" s="205"/>
    </row>
    <row r="496" spans="62:64" x14ac:dyDescent="0.25">
      <c r="BJ496" s="205"/>
      <c r="BK496" s="205"/>
      <c r="BL496" s="205"/>
    </row>
    <row r="497" spans="62:64" x14ac:dyDescent="0.25">
      <c r="BJ497" s="205"/>
      <c r="BK497" s="205"/>
      <c r="BL497" s="205"/>
    </row>
    <row r="498" spans="62:64" x14ac:dyDescent="0.25">
      <c r="BJ498" s="205"/>
      <c r="BK498" s="205"/>
      <c r="BL498" s="205"/>
    </row>
    <row r="499" spans="62:64" x14ac:dyDescent="0.25">
      <c r="BJ499" s="205"/>
      <c r="BK499" s="205"/>
      <c r="BL499" s="205"/>
    </row>
    <row r="500" spans="62:64" x14ac:dyDescent="0.25">
      <c r="BJ500" s="205"/>
      <c r="BK500" s="205"/>
      <c r="BL500" s="205"/>
    </row>
    <row r="501" spans="62:64" x14ac:dyDescent="0.25">
      <c r="BJ501" s="205"/>
      <c r="BK501" s="205"/>
      <c r="BL501" s="205"/>
    </row>
    <row r="502" spans="62:64" x14ac:dyDescent="0.25">
      <c r="BJ502" s="205"/>
      <c r="BK502" s="205"/>
      <c r="BL502" s="205"/>
    </row>
    <row r="503" spans="62:64" x14ac:dyDescent="0.25">
      <c r="BJ503" s="205"/>
      <c r="BK503" s="205"/>
      <c r="BL503" s="205"/>
    </row>
    <row r="504" spans="62:64" x14ac:dyDescent="0.25">
      <c r="BJ504" s="205"/>
      <c r="BK504" s="205"/>
      <c r="BL504" s="205"/>
    </row>
    <row r="505" spans="62:64" x14ac:dyDescent="0.25">
      <c r="BJ505" s="205"/>
      <c r="BK505" s="205"/>
      <c r="BL505" s="205"/>
    </row>
    <row r="506" spans="62:64" x14ac:dyDescent="0.25">
      <c r="BJ506" s="205"/>
      <c r="BK506" s="205"/>
      <c r="BL506" s="205"/>
    </row>
    <row r="507" spans="62:64" x14ac:dyDescent="0.25">
      <c r="BJ507" s="205"/>
      <c r="BK507" s="205"/>
      <c r="BL507" s="205"/>
    </row>
    <row r="508" spans="62:64" x14ac:dyDescent="0.25">
      <c r="BJ508" s="205"/>
      <c r="BK508" s="205"/>
      <c r="BL508" s="205"/>
    </row>
    <row r="509" spans="62:64" x14ac:dyDescent="0.25">
      <c r="BJ509" s="205"/>
      <c r="BK509" s="205"/>
      <c r="BL509" s="205"/>
    </row>
    <row r="510" spans="62:64" x14ac:dyDescent="0.25">
      <c r="BJ510" s="205"/>
      <c r="BK510" s="205"/>
      <c r="BL510" s="205"/>
    </row>
    <row r="511" spans="62:64" x14ac:dyDescent="0.25">
      <c r="BJ511" s="205"/>
      <c r="BK511" s="205"/>
      <c r="BL511" s="205"/>
    </row>
    <row r="512" spans="62:64" x14ac:dyDescent="0.25">
      <c r="BJ512" s="205"/>
      <c r="BK512" s="205"/>
      <c r="BL512" s="205"/>
    </row>
    <row r="513" spans="62:64" x14ac:dyDescent="0.25">
      <c r="BJ513" s="205"/>
      <c r="BK513" s="205"/>
      <c r="BL513" s="205"/>
    </row>
    <row r="514" spans="62:64" x14ac:dyDescent="0.25">
      <c r="BJ514" s="205"/>
      <c r="BK514" s="205"/>
      <c r="BL514" s="205"/>
    </row>
    <row r="515" spans="62:64" x14ac:dyDescent="0.25">
      <c r="BJ515" s="205"/>
      <c r="BK515" s="205"/>
      <c r="BL515" s="205"/>
    </row>
    <row r="516" spans="62:64" x14ac:dyDescent="0.25">
      <c r="BJ516" s="205"/>
      <c r="BK516" s="205"/>
      <c r="BL516" s="205"/>
    </row>
    <row r="517" spans="62:64" x14ac:dyDescent="0.25">
      <c r="BJ517" s="205"/>
      <c r="BK517" s="205"/>
      <c r="BL517" s="205"/>
    </row>
    <row r="518" spans="62:64" x14ac:dyDescent="0.25">
      <c r="BJ518" s="205"/>
      <c r="BK518" s="205"/>
      <c r="BL518" s="205"/>
    </row>
    <row r="519" spans="62:64" x14ac:dyDescent="0.25">
      <c r="BJ519" s="205"/>
      <c r="BK519" s="205"/>
      <c r="BL519" s="205"/>
    </row>
    <row r="520" spans="62:64" x14ac:dyDescent="0.25">
      <c r="BJ520" s="205"/>
      <c r="BK520" s="205"/>
      <c r="BL520" s="205"/>
    </row>
    <row r="521" spans="62:64" x14ac:dyDescent="0.25">
      <c r="BJ521" s="205"/>
      <c r="BK521" s="205"/>
      <c r="BL521" s="205"/>
    </row>
    <row r="522" spans="62:64" x14ac:dyDescent="0.25">
      <c r="BJ522" s="205"/>
      <c r="BK522" s="205"/>
      <c r="BL522" s="205"/>
    </row>
    <row r="523" spans="62:64" x14ac:dyDescent="0.25">
      <c r="BJ523" s="205"/>
      <c r="BK523" s="205"/>
      <c r="BL523" s="205"/>
    </row>
    <row r="524" spans="62:64" x14ac:dyDescent="0.25">
      <c r="BJ524" s="205"/>
      <c r="BK524" s="205"/>
      <c r="BL524" s="205"/>
    </row>
    <row r="525" spans="62:64" x14ac:dyDescent="0.25">
      <c r="BJ525" s="205"/>
      <c r="BK525" s="205"/>
      <c r="BL525" s="205"/>
    </row>
    <row r="526" spans="62:64" x14ac:dyDescent="0.25">
      <c r="BJ526" s="205"/>
      <c r="BK526" s="205"/>
      <c r="BL526" s="205"/>
    </row>
    <row r="527" spans="62:64" x14ac:dyDescent="0.25">
      <c r="BJ527" s="205"/>
      <c r="BK527" s="205"/>
      <c r="BL527" s="205"/>
    </row>
    <row r="528" spans="62:64" x14ac:dyDescent="0.25">
      <c r="BJ528" s="205"/>
      <c r="BK528" s="205"/>
      <c r="BL528" s="205"/>
    </row>
    <row r="529" spans="62:64" x14ac:dyDescent="0.25">
      <c r="BJ529" s="205"/>
      <c r="BK529" s="205"/>
      <c r="BL529" s="205"/>
    </row>
    <row r="530" spans="62:64" x14ac:dyDescent="0.25">
      <c r="BJ530" s="205"/>
      <c r="BK530" s="205"/>
      <c r="BL530" s="205"/>
    </row>
    <row r="531" spans="62:64" x14ac:dyDescent="0.25">
      <c r="BJ531" s="205"/>
      <c r="BK531" s="205"/>
      <c r="BL531" s="205"/>
    </row>
    <row r="532" spans="62:64" x14ac:dyDescent="0.25">
      <c r="BJ532" s="205"/>
      <c r="BK532" s="205"/>
      <c r="BL532" s="205"/>
    </row>
    <row r="533" spans="62:64" x14ac:dyDescent="0.25">
      <c r="BJ533" s="205"/>
      <c r="BK533" s="205"/>
      <c r="BL533" s="205"/>
    </row>
    <row r="534" spans="62:64" x14ac:dyDescent="0.25">
      <c r="BJ534" s="205"/>
      <c r="BK534" s="205"/>
      <c r="BL534" s="205"/>
    </row>
    <row r="535" spans="62:64" x14ac:dyDescent="0.25">
      <c r="BJ535" s="205"/>
      <c r="BK535" s="205"/>
      <c r="BL535" s="205"/>
    </row>
    <row r="536" spans="62:64" x14ac:dyDescent="0.25">
      <c r="BJ536" s="205"/>
      <c r="BK536" s="205"/>
      <c r="BL536" s="205"/>
    </row>
    <row r="537" spans="62:64" x14ac:dyDescent="0.25">
      <c r="BJ537" s="205"/>
      <c r="BK537" s="205"/>
      <c r="BL537" s="205"/>
    </row>
    <row r="538" spans="62:64" x14ac:dyDescent="0.25">
      <c r="BJ538" s="205"/>
      <c r="BK538" s="205"/>
      <c r="BL538" s="205"/>
    </row>
    <row r="539" spans="62:64" x14ac:dyDescent="0.25">
      <c r="BJ539" s="205"/>
      <c r="BK539" s="205"/>
      <c r="BL539" s="205"/>
    </row>
    <row r="540" spans="62:64" x14ac:dyDescent="0.25">
      <c r="BJ540" s="205"/>
      <c r="BK540" s="205"/>
      <c r="BL540" s="205"/>
    </row>
    <row r="541" spans="62:64" x14ac:dyDescent="0.25">
      <c r="BJ541" s="205"/>
      <c r="BK541" s="205"/>
      <c r="BL541" s="205"/>
    </row>
    <row r="542" spans="62:64" x14ac:dyDescent="0.25">
      <c r="BJ542" s="205"/>
      <c r="BK542" s="205"/>
      <c r="BL542" s="205"/>
    </row>
    <row r="543" spans="62:64" x14ac:dyDescent="0.25">
      <c r="BJ543" s="205"/>
      <c r="BK543" s="205"/>
      <c r="BL543" s="205"/>
    </row>
    <row r="544" spans="62:64" x14ac:dyDescent="0.25">
      <c r="BJ544" s="205"/>
      <c r="BK544" s="205"/>
      <c r="BL544" s="205"/>
    </row>
    <row r="545" spans="62:64" x14ac:dyDescent="0.25">
      <c r="BJ545" s="205"/>
      <c r="BK545" s="205"/>
      <c r="BL545" s="205"/>
    </row>
    <row r="546" spans="62:64" x14ac:dyDescent="0.25">
      <c r="BJ546" s="205"/>
      <c r="BK546" s="205"/>
      <c r="BL546" s="205"/>
    </row>
    <row r="547" spans="62:64" x14ac:dyDescent="0.25">
      <c r="BJ547" s="205"/>
      <c r="BK547" s="205"/>
      <c r="BL547" s="205"/>
    </row>
    <row r="548" spans="62:64" x14ac:dyDescent="0.25">
      <c r="BJ548" s="205"/>
      <c r="BK548" s="205"/>
      <c r="BL548" s="205"/>
    </row>
    <row r="549" spans="62:64" x14ac:dyDescent="0.25">
      <c r="BJ549" s="205"/>
      <c r="BK549" s="205"/>
      <c r="BL549" s="205"/>
    </row>
    <row r="550" spans="62:64" x14ac:dyDescent="0.25">
      <c r="BJ550" s="205"/>
      <c r="BK550" s="205"/>
      <c r="BL550" s="205"/>
    </row>
    <row r="551" spans="62:64" x14ac:dyDescent="0.25">
      <c r="BJ551" s="205"/>
      <c r="BK551" s="205"/>
      <c r="BL551" s="205"/>
    </row>
    <row r="552" spans="62:64" x14ac:dyDescent="0.25">
      <c r="BJ552" s="205"/>
      <c r="BK552" s="205"/>
      <c r="BL552" s="205"/>
    </row>
    <row r="553" spans="62:64" x14ac:dyDescent="0.25">
      <c r="BJ553" s="205"/>
      <c r="BK553" s="205"/>
      <c r="BL553" s="205"/>
    </row>
    <row r="554" spans="62:64" x14ac:dyDescent="0.25">
      <c r="BJ554" s="205"/>
      <c r="BK554" s="205"/>
      <c r="BL554" s="205"/>
    </row>
    <row r="555" spans="62:64" x14ac:dyDescent="0.25">
      <c r="BJ555" s="205"/>
      <c r="BK555" s="205"/>
      <c r="BL555" s="205"/>
    </row>
    <row r="556" spans="62:64" x14ac:dyDescent="0.25">
      <c r="BJ556" s="205"/>
      <c r="BK556" s="205"/>
      <c r="BL556" s="205"/>
    </row>
    <row r="557" spans="62:64" x14ac:dyDescent="0.25">
      <c r="BJ557" s="205"/>
      <c r="BK557" s="205"/>
      <c r="BL557" s="205"/>
    </row>
    <row r="558" spans="62:64" x14ac:dyDescent="0.25">
      <c r="BJ558" s="205"/>
      <c r="BK558" s="205"/>
      <c r="BL558" s="205"/>
    </row>
    <row r="559" spans="62:64" x14ac:dyDescent="0.25">
      <c r="BJ559" s="205"/>
      <c r="BK559" s="205"/>
      <c r="BL559" s="205"/>
    </row>
    <row r="560" spans="62:64" x14ac:dyDescent="0.25">
      <c r="BJ560" s="205"/>
      <c r="BK560" s="205"/>
      <c r="BL560" s="205"/>
    </row>
    <row r="561" spans="62:64" x14ac:dyDescent="0.25">
      <c r="BJ561" s="205"/>
      <c r="BK561" s="205"/>
      <c r="BL561" s="205"/>
    </row>
    <row r="562" spans="62:64" x14ac:dyDescent="0.25">
      <c r="BJ562" s="205"/>
      <c r="BK562" s="205"/>
      <c r="BL562" s="205"/>
    </row>
    <row r="563" spans="62:64" x14ac:dyDescent="0.25">
      <c r="BJ563" s="205"/>
      <c r="BK563" s="205"/>
      <c r="BL563" s="205"/>
    </row>
    <row r="564" spans="62:64" x14ac:dyDescent="0.25">
      <c r="BJ564" s="205"/>
      <c r="BK564" s="205"/>
      <c r="BL564" s="205"/>
    </row>
    <row r="565" spans="62:64" x14ac:dyDescent="0.25">
      <c r="BJ565" s="205"/>
      <c r="BK565" s="205"/>
      <c r="BL565" s="205"/>
    </row>
    <row r="566" spans="62:64" x14ac:dyDescent="0.25">
      <c r="BJ566" s="205"/>
      <c r="BK566" s="205"/>
      <c r="BL566" s="205"/>
    </row>
    <row r="567" spans="62:64" x14ac:dyDescent="0.25">
      <c r="BJ567" s="205"/>
      <c r="BK567" s="205"/>
      <c r="BL567" s="205"/>
    </row>
    <row r="568" spans="62:64" x14ac:dyDescent="0.25">
      <c r="BJ568" s="205"/>
      <c r="BK568" s="205"/>
      <c r="BL568" s="205"/>
    </row>
    <row r="569" spans="62:64" x14ac:dyDescent="0.25">
      <c r="BJ569" s="205"/>
      <c r="BK569" s="205"/>
      <c r="BL569" s="205"/>
    </row>
    <row r="570" spans="62:64" x14ac:dyDescent="0.25">
      <c r="BJ570" s="205"/>
      <c r="BK570" s="205"/>
      <c r="BL570" s="205"/>
    </row>
    <row r="571" spans="62:64" x14ac:dyDescent="0.25">
      <c r="BJ571" s="205"/>
      <c r="BK571" s="205"/>
      <c r="BL571" s="205"/>
    </row>
    <row r="572" spans="62:64" x14ac:dyDescent="0.25">
      <c r="BJ572" s="205"/>
      <c r="BK572" s="205"/>
      <c r="BL572" s="205"/>
    </row>
    <row r="573" spans="62:64" x14ac:dyDescent="0.25">
      <c r="BJ573" s="205"/>
      <c r="BK573" s="205"/>
      <c r="BL573" s="205"/>
    </row>
    <row r="574" spans="62:64" x14ac:dyDescent="0.25">
      <c r="BJ574" s="205"/>
      <c r="BK574" s="205"/>
      <c r="BL574" s="205"/>
    </row>
    <row r="575" spans="62:64" x14ac:dyDescent="0.25">
      <c r="BJ575" s="205"/>
      <c r="BK575" s="205"/>
      <c r="BL575" s="205"/>
    </row>
    <row r="576" spans="62:64" x14ac:dyDescent="0.25">
      <c r="BJ576" s="205"/>
      <c r="BK576" s="205"/>
      <c r="BL576" s="205"/>
    </row>
    <row r="577" spans="62:64" x14ac:dyDescent="0.25">
      <c r="BJ577" s="205"/>
      <c r="BK577" s="205"/>
      <c r="BL577" s="205"/>
    </row>
    <row r="578" spans="62:64" x14ac:dyDescent="0.25">
      <c r="BJ578" s="205"/>
      <c r="BK578" s="205"/>
      <c r="BL578" s="205"/>
    </row>
    <row r="579" spans="62:64" x14ac:dyDescent="0.25">
      <c r="BJ579" s="205"/>
      <c r="BK579" s="205"/>
      <c r="BL579" s="205"/>
    </row>
    <row r="580" spans="62:64" x14ac:dyDescent="0.25">
      <c r="BJ580" s="205"/>
      <c r="BK580" s="205"/>
      <c r="BL580" s="205"/>
    </row>
    <row r="581" spans="62:64" x14ac:dyDescent="0.25">
      <c r="BJ581" s="205"/>
      <c r="BK581" s="205"/>
      <c r="BL581" s="205"/>
    </row>
    <row r="582" spans="62:64" x14ac:dyDescent="0.25">
      <c r="BJ582" s="205"/>
      <c r="BK582" s="205"/>
      <c r="BL582" s="205"/>
    </row>
    <row r="583" spans="62:64" x14ac:dyDescent="0.25">
      <c r="BJ583" s="205"/>
      <c r="BK583" s="205"/>
      <c r="BL583" s="205"/>
    </row>
    <row r="584" spans="62:64" x14ac:dyDescent="0.25">
      <c r="BJ584" s="205"/>
      <c r="BK584" s="205"/>
      <c r="BL584" s="205"/>
    </row>
    <row r="585" spans="62:64" x14ac:dyDescent="0.25">
      <c r="BJ585" s="205"/>
      <c r="BK585" s="205"/>
      <c r="BL585" s="205"/>
    </row>
    <row r="586" spans="62:64" x14ac:dyDescent="0.25">
      <c r="BJ586" s="205"/>
      <c r="BK586" s="205"/>
      <c r="BL586" s="205"/>
    </row>
    <row r="587" spans="62:64" x14ac:dyDescent="0.25">
      <c r="BJ587" s="205"/>
      <c r="BK587" s="205"/>
      <c r="BL587" s="205"/>
    </row>
    <row r="588" spans="62:64" x14ac:dyDescent="0.25">
      <c r="BJ588" s="205"/>
      <c r="BK588" s="205"/>
      <c r="BL588" s="205"/>
    </row>
    <row r="589" spans="62:64" x14ac:dyDescent="0.25">
      <c r="BJ589" s="205"/>
      <c r="BK589" s="205"/>
      <c r="BL589" s="205"/>
    </row>
    <row r="590" spans="62:64" x14ac:dyDescent="0.25">
      <c r="BJ590" s="205"/>
      <c r="BK590" s="205"/>
      <c r="BL590" s="205"/>
    </row>
    <row r="591" spans="62:64" x14ac:dyDescent="0.25">
      <c r="BJ591" s="205"/>
      <c r="BK591" s="205"/>
      <c r="BL591" s="205"/>
    </row>
    <row r="592" spans="62:64" x14ac:dyDescent="0.25">
      <c r="BJ592" s="205"/>
      <c r="BK592" s="205"/>
      <c r="BL592" s="205"/>
    </row>
    <row r="593" spans="62:64" x14ac:dyDescent="0.25">
      <c r="BJ593" s="205"/>
      <c r="BK593" s="205"/>
      <c r="BL593" s="205"/>
    </row>
    <row r="594" spans="62:64" x14ac:dyDescent="0.25">
      <c r="BJ594" s="205"/>
      <c r="BK594" s="205"/>
      <c r="BL594" s="205"/>
    </row>
    <row r="595" spans="62:64" x14ac:dyDescent="0.25">
      <c r="BJ595" s="205"/>
      <c r="BK595" s="205"/>
      <c r="BL595" s="205"/>
    </row>
    <row r="596" spans="62:64" x14ac:dyDescent="0.25">
      <c r="BJ596" s="205"/>
      <c r="BK596" s="205"/>
      <c r="BL596" s="205"/>
    </row>
    <row r="597" spans="62:64" x14ac:dyDescent="0.25">
      <c r="BJ597" s="205"/>
      <c r="BK597" s="205"/>
      <c r="BL597" s="205"/>
    </row>
    <row r="598" spans="62:64" x14ac:dyDescent="0.25">
      <c r="BJ598" s="205"/>
      <c r="BK598" s="205"/>
      <c r="BL598" s="205"/>
    </row>
    <row r="599" spans="62:64" x14ac:dyDescent="0.25">
      <c r="BJ599" s="205"/>
      <c r="BK599" s="205"/>
      <c r="BL599" s="205"/>
    </row>
    <row r="600" spans="62:64" x14ac:dyDescent="0.25">
      <c r="BJ600" s="205"/>
      <c r="BK600" s="205"/>
      <c r="BL600" s="205"/>
    </row>
    <row r="601" spans="62:64" x14ac:dyDescent="0.25">
      <c r="BJ601" s="205"/>
      <c r="BK601" s="205"/>
      <c r="BL601" s="205"/>
    </row>
    <row r="602" spans="62:64" x14ac:dyDescent="0.25">
      <c r="BJ602" s="205"/>
      <c r="BK602" s="205"/>
      <c r="BL602" s="205"/>
    </row>
    <row r="603" spans="62:64" x14ac:dyDescent="0.25">
      <c r="BJ603" s="205"/>
      <c r="BK603" s="205"/>
      <c r="BL603" s="205"/>
    </row>
    <row r="604" spans="62:64" x14ac:dyDescent="0.25">
      <c r="BJ604" s="205"/>
      <c r="BK604" s="205"/>
      <c r="BL604" s="205"/>
    </row>
    <row r="605" spans="62:64" x14ac:dyDescent="0.25">
      <c r="BJ605" s="205"/>
      <c r="BK605" s="205"/>
      <c r="BL605" s="205"/>
    </row>
    <row r="606" spans="62:64" x14ac:dyDescent="0.25">
      <c r="BJ606" s="205"/>
      <c r="BK606" s="205"/>
      <c r="BL606" s="205"/>
    </row>
    <row r="607" spans="62:64" x14ac:dyDescent="0.25">
      <c r="BJ607" s="205"/>
      <c r="BK607" s="205"/>
      <c r="BL607" s="205"/>
    </row>
    <row r="608" spans="62:64" x14ac:dyDescent="0.25">
      <c r="BJ608" s="205"/>
      <c r="BK608" s="205"/>
      <c r="BL608" s="205"/>
    </row>
    <row r="609" spans="62:64" x14ac:dyDescent="0.25">
      <c r="BJ609" s="205"/>
      <c r="BK609" s="205"/>
      <c r="BL609" s="205"/>
    </row>
    <row r="610" spans="62:64" x14ac:dyDescent="0.25">
      <c r="BJ610" s="205"/>
      <c r="BK610" s="205"/>
      <c r="BL610" s="205"/>
    </row>
    <row r="611" spans="62:64" x14ac:dyDescent="0.25">
      <c r="BJ611" s="205"/>
      <c r="BK611" s="205"/>
      <c r="BL611" s="205"/>
    </row>
    <row r="612" spans="62:64" x14ac:dyDescent="0.25">
      <c r="BJ612" s="205"/>
      <c r="BK612" s="205"/>
      <c r="BL612" s="205"/>
    </row>
    <row r="613" spans="62:64" x14ac:dyDescent="0.25">
      <c r="BJ613" s="205"/>
      <c r="BK613" s="205"/>
      <c r="BL613" s="205"/>
    </row>
    <row r="614" spans="62:64" x14ac:dyDescent="0.25">
      <c r="BJ614" s="205"/>
      <c r="BK614" s="205"/>
      <c r="BL614" s="205"/>
    </row>
    <row r="615" spans="62:64" x14ac:dyDescent="0.25">
      <c r="BJ615" s="205"/>
      <c r="BK615" s="205"/>
      <c r="BL615" s="205"/>
    </row>
    <row r="616" spans="62:64" x14ac:dyDescent="0.25">
      <c r="BJ616" s="205"/>
      <c r="BK616" s="205"/>
      <c r="BL616" s="205"/>
    </row>
    <row r="617" spans="62:64" x14ac:dyDescent="0.25">
      <c r="BJ617" s="205"/>
      <c r="BK617" s="205"/>
      <c r="BL617" s="205"/>
    </row>
    <row r="618" spans="62:64" x14ac:dyDescent="0.25">
      <c r="BJ618" s="205"/>
      <c r="BK618" s="205"/>
      <c r="BL618" s="205"/>
    </row>
    <row r="619" spans="62:64" x14ac:dyDescent="0.25">
      <c r="BJ619" s="205"/>
      <c r="BK619" s="205"/>
      <c r="BL619" s="205"/>
    </row>
    <row r="620" spans="62:64" x14ac:dyDescent="0.25">
      <c r="BJ620" s="205"/>
      <c r="BK620" s="205"/>
      <c r="BL620" s="205"/>
    </row>
    <row r="621" spans="62:64" x14ac:dyDescent="0.25">
      <c r="BJ621" s="205"/>
      <c r="BK621" s="205"/>
      <c r="BL621" s="205"/>
    </row>
    <row r="622" spans="62:64" x14ac:dyDescent="0.25">
      <c r="BJ622" s="205"/>
      <c r="BK622" s="205"/>
      <c r="BL622" s="205"/>
    </row>
    <row r="623" spans="62:64" x14ac:dyDescent="0.25">
      <c r="BJ623" s="205"/>
      <c r="BK623" s="205"/>
      <c r="BL623" s="205"/>
    </row>
    <row r="624" spans="62:64" x14ac:dyDescent="0.25">
      <c r="BJ624" s="205"/>
      <c r="BK624" s="205"/>
      <c r="BL624" s="205"/>
    </row>
    <row r="625" spans="62:64" x14ac:dyDescent="0.25">
      <c r="BJ625" s="205"/>
      <c r="BK625" s="205"/>
      <c r="BL625" s="205"/>
    </row>
    <row r="626" spans="62:64" x14ac:dyDescent="0.25">
      <c r="BJ626" s="205"/>
      <c r="BK626" s="205"/>
      <c r="BL626" s="205"/>
    </row>
    <row r="627" spans="62:64" x14ac:dyDescent="0.25">
      <c r="BJ627" s="205"/>
      <c r="BK627" s="205"/>
      <c r="BL627" s="205"/>
    </row>
    <row r="628" spans="62:64" x14ac:dyDescent="0.25">
      <c r="BJ628" s="205"/>
      <c r="BK628" s="205"/>
      <c r="BL628" s="205"/>
    </row>
    <row r="629" spans="62:64" x14ac:dyDescent="0.25">
      <c r="BJ629" s="205"/>
      <c r="BK629" s="205"/>
      <c r="BL629" s="205"/>
    </row>
    <row r="630" spans="62:64" x14ac:dyDescent="0.25">
      <c r="BJ630" s="205"/>
      <c r="BK630" s="205"/>
      <c r="BL630" s="205"/>
    </row>
    <row r="631" spans="62:64" x14ac:dyDescent="0.25">
      <c r="BJ631" s="205"/>
      <c r="BK631" s="205"/>
      <c r="BL631" s="205"/>
    </row>
    <row r="632" spans="62:64" x14ac:dyDescent="0.25">
      <c r="BJ632" s="205"/>
      <c r="BK632" s="205"/>
      <c r="BL632" s="205"/>
    </row>
    <row r="633" spans="62:64" x14ac:dyDescent="0.25">
      <c r="BJ633" s="205"/>
      <c r="BK633" s="205"/>
      <c r="BL633" s="205"/>
    </row>
    <row r="634" spans="62:64" x14ac:dyDescent="0.25">
      <c r="BJ634" s="205"/>
      <c r="BK634" s="205"/>
      <c r="BL634" s="205"/>
    </row>
    <row r="635" spans="62:64" x14ac:dyDescent="0.25">
      <c r="BJ635" s="205"/>
      <c r="BK635" s="205"/>
      <c r="BL635" s="205"/>
    </row>
    <row r="636" spans="62:64" x14ac:dyDescent="0.25">
      <c r="BJ636" s="205"/>
      <c r="BK636" s="205"/>
      <c r="BL636" s="205"/>
    </row>
    <row r="637" spans="62:64" x14ac:dyDescent="0.25">
      <c r="BJ637" s="205"/>
      <c r="BK637" s="205"/>
      <c r="BL637" s="205"/>
    </row>
    <row r="638" spans="62:64" x14ac:dyDescent="0.25">
      <c r="BJ638" s="205"/>
      <c r="BK638" s="205"/>
      <c r="BL638" s="205"/>
    </row>
    <row r="639" spans="62:64" x14ac:dyDescent="0.25">
      <c r="BJ639" s="205"/>
      <c r="BK639" s="205"/>
      <c r="BL639" s="205"/>
    </row>
    <row r="640" spans="62:64" x14ac:dyDescent="0.25">
      <c r="BJ640" s="205"/>
      <c r="BK640" s="205"/>
      <c r="BL640" s="205"/>
    </row>
    <row r="641" spans="62:64" x14ac:dyDescent="0.25">
      <c r="BJ641" s="205"/>
      <c r="BK641" s="205"/>
      <c r="BL641" s="205"/>
    </row>
    <row r="642" spans="62:64" x14ac:dyDescent="0.25">
      <c r="BJ642" s="205"/>
      <c r="BK642" s="205"/>
      <c r="BL642" s="205"/>
    </row>
    <row r="643" spans="62:64" x14ac:dyDescent="0.25">
      <c r="BJ643" s="205"/>
      <c r="BK643" s="205"/>
      <c r="BL643" s="205"/>
    </row>
    <row r="644" spans="62:64" x14ac:dyDescent="0.25">
      <c r="BJ644" s="205"/>
      <c r="BK644" s="205"/>
      <c r="BL644" s="205"/>
    </row>
    <row r="645" spans="62:64" x14ac:dyDescent="0.25">
      <c r="BJ645" s="205"/>
      <c r="BK645" s="205"/>
      <c r="BL645" s="205"/>
    </row>
    <row r="646" spans="62:64" x14ac:dyDescent="0.25">
      <c r="BJ646" s="205"/>
      <c r="BK646" s="205"/>
      <c r="BL646" s="205"/>
    </row>
    <row r="647" spans="62:64" x14ac:dyDescent="0.25">
      <c r="BJ647" s="205"/>
      <c r="BK647" s="205"/>
      <c r="BL647" s="205"/>
    </row>
    <row r="648" spans="62:64" x14ac:dyDescent="0.25">
      <c r="BJ648" s="205"/>
      <c r="BK648" s="205"/>
      <c r="BL648" s="205"/>
    </row>
    <row r="649" spans="62:64" x14ac:dyDescent="0.25">
      <c r="BJ649" s="205"/>
      <c r="BK649" s="205"/>
      <c r="BL649" s="205"/>
    </row>
    <row r="650" spans="62:64" x14ac:dyDescent="0.25">
      <c r="BJ650" s="205"/>
      <c r="BK650" s="205"/>
      <c r="BL650" s="205"/>
    </row>
    <row r="651" spans="62:64" x14ac:dyDescent="0.25">
      <c r="BJ651" s="205"/>
      <c r="BK651" s="205"/>
      <c r="BL651" s="205"/>
    </row>
    <row r="652" spans="62:64" x14ac:dyDescent="0.25">
      <c r="BJ652" s="205"/>
      <c r="BK652" s="205"/>
      <c r="BL652" s="205"/>
    </row>
    <row r="653" spans="62:64" x14ac:dyDescent="0.25">
      <c r="BJ653" s="205"/>
      <c r="BK653" s="205"/>
      <c r="BL653" s="205"/>
    </row>
    <row r="654" spans="62:64" x14ac:dyDescent="0.25">
      <c r="BJ654" s="205"/>
      <c r="BK654" s="205"/>
      <c r="BL654" s="205"/>
    </row>
    <row r="655" spans="62:64" x14ac:dyDescent="0.25">
      <c r="BJ655" s="205"/>
      <c r="BK655" s="205"/>
      <c r="BL655" s="205"/>
    </row>
    <row r="656" spans="62:64" x14ac:dyDescent="0.25">
      <c r="BJ656" s="205"/>
      <c r="BK656" s="205"/>
      <c r="BL656" s="205"/>
    </row>
    <row r="657" spans="62:64" x14ac:dyDescent="0.25">
      <c r="BJ657" s="205"/>
      <c r="BK657" s="205"/>
      <c r="BL657" s="205"/>
    </row>
    <row r="658" spans="62:64" x14ac:dyDescent="0.25">
      <c r="BJ658" s="205"/>
      <c r="BK658" s="205"/>
      <c r="BL658" s="205"/>
    </row>
    <row r="659" spans="62:64" x14ac:dyDescent="0.25">
      <c r="BJ659" s="205"/>
      <c r="BK659" s="205"/>
      <c r="BL659" s="205"/>
    </row>
    <row r="660" spans="62:64" x14ac:dyDescent="0.25">
      <c r="BJ660" s="205"/>
      <c r="BK660" s="205"/>
      <c r="BL660" s="205"/>
    </row>
    <row r="661" spans="62:64" x14ac:dyDescent="0.25">
      <c r="BJ661" s="205"/>
      <c r="BK661" s="205"/>
      <c r="BL661" s="205"/>
    </row>
    <row r="662" spans="62:64" x14ac:dyDescent="0.25">
      <c r="BJ662" s="205"/>
      <c r="BK662" s="205"/>
      <c r="BL662" s="205"/>
    </row>
    <row r="663" spans="62:64" x14ac:dyDescent="0.25">
      <c r="BJ663" s="205"/>
      <c r="BK663" s="205"/>
      <c r="BL663" s="205"/>
    </row>
    <row r="664" spans="62:64" x14ac:dyDescent="0.25">
      <c r="BJ664" s="205"/>
      <c r="BK664" s="205"/>
      <c r="BL664" s="205"/>
    </row>
    <row r="665" spans="62:64" x14ac:dyDescent="0.25">
      <c r="BJ665" s="205"/>
      <c r="BK665" s="205"/>
      <c r="BL665" s="205"/>
    </row>
    <row r="666" spans="62:64" x14ac:dyDescent="0.25">
      <c r="BJ666" s="205"/>
      <c r="BK666" s="205"/>
      <c r="BL666" s="205"/>
    </row>
    <row r="667" spans="62:64" x14ac:dyDescent="0.25">
      <c r="BJ667" s="205"/>
      <c r="BK667" s="205"/>
      <c r="BL667" s="205"/>
    </row>
    <row r="668" spans="62:64" x14ac:dyDescent="0.25">
      <c r="BJ668" s="205"/>
      <c r="BK668" s="205"/>
      <c r="BL668" s="205"/>
    </row>
    <row r="669" spans="62:64" x14ac:dyDescent="0.25">
      <c r="BJ669" s="205"/>
      <c r="BK669" s="205"/>
      <c r="BL669" s="205"/>
    </row>
    <row r="670" spans="62:64" x14ac:dyDescent="0.25">
      <c r="BJ670" s="205"/>
      <c r="BK670" s="205"/>
      <c r="BL670" s="205"/>
    </row>
    <row r="671" spans="62:64" x14ac:dyDescent="0.25">
      <c r="BJ671" s="205"/>
      <c r="BK671" s="205"/>
      <c r="BL671" s="205"/>
    </row>
    <row r="672" spans="62:64" x14ac:dyDescent="0.25">
      <c r="BJ672" s="205"/>
      <c r="BK672" s="205"/>
      <c r="BL672" s="205"/>
    </row>
    <row r="673" spans="62:64" x14ac:dyDescent="0.25">
      <c r="BJ673" s="205"/>
      <c r="BK673" s="205"/>
      <c r="BL673" s="205"/>
    </row>
    <row r="674" spans="62:64" x14ac:dyDescent="0.25">
      <c r="BJ674" s="205"/>
      <c r="BK674" s="205"/>
      <c r="BL674" s="205"/>
    </row>
    <row r="675" spans="62:64" x14ac:dyDescent="0.25">
      <c r="BJ675" s="205"/>
      <c r="BK675" s="205"/>
      <c r="BL675" s="205"/>
    </row>
    <row r="676" spans="62:64" x14ac:dyDescent="0.25">
      <c r="BJ676" s="205"/>
      <c r="BK676" s="205"/>
      <c r="BL676" s="205"/>
    </row>
    <row r="677" spans="62:64" x14ac:dyDescent="0.25">
      <c r="BJ677" s="205"/>
      <c r="BK677" s="205"/>
      <c r="BL677" s="205"/>
    </row>
    <row r="678" spans="62:64" x14ac:dyDescent="0.25">
      <c r="BJ678" s="205"/>
      <c r="BK678" s="205"/>
      <c r="BL678" s="205"/>
    </row>
    <row r="679" spans="62:64" x14ac:dyDescent="0.25">
      <c r="BJ679" s="205"/>
      <c r="BK679" s="205"/>
      <c r="BL679" s="205"/>
    </row>
    <row r="680" spans="62:64" x14ac:dyDescent="0.25">
      <c r="BJ680" s="205"/>
      <c r="BK680" s="205"/>
      <c r="BL680" s="205"/>
    </row>
    <row r="681" spans="62:64" x14ac:dyDescent="0.25">
      <c r="BJ681" s="205"/>
      <c r="BK681" s="205"/>
      <c r="BL681" s="205"/>
    </row>
    <row r="682" spans="62:64" x14ac:dyDescent="0.25">
      <c r="BJ682" s="205"/>
      <c r="BK682" s="205"/>
      <c r="BL682" s="205"/>
    </row>
    <row r="683" spans="62:64" x14ac:dyDescent="0.25">
      <c r="BJ683" s="205"/>
      <c r="BK683" s="205"/>
      <c r="BL683" s="205"/>
    </row>
    <row r="684" spans="62:64" x14ac:dyDescent="0.25">
      <c r="BJ684" s="205"/>
      <c r="BK684" s="205"/>
      <c r="BL684" s="205"/>
    </row>
    <row r="685" spans="62:64" x14ac:dyDescent="0.25">
      <c r="BJ685" s="205"/>
      <c r="BK685" s="205"/>
      <c r="BL685" s="205"/>
    </row>
    <row r="686" spans="62:64" x14ac:dyDescent="0.25">
      <c r="BJ686" s="205"/>
      <c r="BK686" s="205"/>
      <c r="BL686" s="205"/>
    </row>
    <row r="687" spans="62:64" x14ac:dyDescent="0.25">
      <c r="BJ687" s="205"/>
      <c r="BK687" s="205"/>
      <c r="BL687" s="205"/>
    </row>
    <row r="688" spans="62:64" x14ac:dyDescent="0.25">
      <c r="BJ688" s="205"/>
      <c r="BK688" s="205"/>
      <c r="BL688" s="205"/>
    </row>
    <row r="689" spans="62:64" x14ac:dyDescent="0.25">
      <c r="BJ689" s="205"/>
      <c r="BK689" s="205"/>
      <c r="BL689" s="205"/>
    </row>
    <row r="690" spans="62:64" x14ac:dyDescent="0.25">
      <c r="BJ690" s="205"/>
      <c r="BK690" s="205"/>
      <c r="BL690" s="205"/>
    </row>
    <row r="691" spans="62:64" x14ac:dyDescent="0.25">
      <c r="BJ691" s="205"/>
      <c r="BK691" s="205"/>
      <c r="BL691" s="205"/>
    </row>
    <row r="692" spans="62:64" x14ac:dyDescent="0.25">
      <c r="BJ692" s="205"/>
      <c r="BK692" s="205"/>
      <c r="BL692" s="205"/>
    </row>
    <row r="693" spans="62:64" x14ac:dyDescent="0.25">
      <c r="BJ693" s="205"/>
      <c r="BK693" s="205"/>
      <c r="BL693" s="205"/>
    </row>
    <row r="694" spans="62:64" x14ac:dyDescent="0.25">
      <c r="BJ694" s="205"/>
      <c r="BK694" s="205"/>
      <c r="BL694" s="205"/>
    </row>
    <row r="695" spans="62:64" x14ac:dyDescent="0.25">
      <c r="BJ695" s="205"/>
      <c r="BK695" s="205"/>
      <c r="BL695" s="205"/>
    </row>
    <row r="696" spans="62:64" x14ac:dyDescent="0.25">
      <c r="BJ696" s="205"/>
      <c r="BK696" s="205"/>
      <c r="BL696" s="205"/>
    </row>
    <row r="697" spans="62:64" x14ac:dyDescent="0.25">
      <c r="BJ697" s="205"/>
      <c r="BK697" s="205"/>
      <c r="BL697" s="205"/>
    </row>
    <row r="698" spans="62:64" x14ac:dyDescent="0.25">
      <c r="BJ698" s="205"/>
      <c r="BK698" s="205"/>
      <c r="BL698" s="205"/>
    </row>
    <row r="699" spans="62:64" x14ac:dyDescent="0.25">
      <c r="BJ699" s="205"/>
      <c r="BK699" s="205"/>
      <c r="BL699" s="205"/>
    </row>
    <row r="700" spans="62:64" x14ac:dyDescent="0.25">
      <c r="BJ700" s="205"/>
      <c r="BK700" s="205"/>
      <c r="BL700" s="205"/>
    </row>
    <row r="701" spans="62:64" x14ac:dyDescent="0.25">
      <c r="BJ701" s="205"/>
      <c r="BK701" s="205"/>
      <c r="BL701" s="205"/>
    </row>
    <row r="702" spans="62:64" x14ac:dyDescent="0.25">
      <c r="BJ702" s="205"/>
      <c r="BK702" s="205"/>
      <c r="BL702" s="205"/>
    </row>
    <row r="703" spans="62:64" x14ac:dyDescent="0.25">
      <c r="BJ703" s="205"/>
      <c r="BK703" s="205"/>
      <c r="BL703" s="205"/>
    </row>
    <row r="704" spans="62:64" x14ac:dyDescent="0.25">
      <c r="BJ704" s="205"/>
      <c r="BK704" s="205"/>
      <c r="BL704" s="205"/>
    </row>
    <row r="705" spans="62:64" x14ac:dyDescent="0.25">
      <c r="BJ705" s="205"/>
      <c r="BK705" s="205"/>
      <c r="BL705" s="205"/>
    </row>
    <row r="706" spans="62:64" x14ac:dyDescent="0.25">
      <c r="BJ706" s="205"/>
      <c r="BK706" s="205"/>
      <c r="BL706" s="205"/>
    </row>
    <row r="707" spans="62:64" x14ac:dyDescent="0.25">
      <c r="BJ707" s="205"/>
      <c r="BK707" s="205"/>
      <c r="BL707" s="205"/>
    </row>
    <row r="708" spans="62:64" x14ac:dyDescent="0.25">
      <c r="BJ708" s="205"/>
      <c r="BK708" s="205"/>
      <c r="BL708" s="205"/>
    </row>
    <row r="709" spans="62:64" x14ac:dyDescent="0.25">
      <c r="BJ709" s="205"/>
      <c r="BK709" s="205"/>
      <c r="BL709" s="205"/>
    </row>
    <row r="710" spans="62:64" x14ac:dyDescent="0.25">
      <c r="BJ710" s="205"/>
      <c r="BK710" s="205"/>
      <c r="BL710" s="205"/>
    </row>
    <row r="711" spans="62:64" x14ac:dyDescent="0.25">
      <c r="BJ711" s="205"/>
      <c r="BK711" s="205"/>
      <c r="BL711" s="205"/>
    </row>
    <row r="712" spans="62:64" x14ac:dyDescent="0.25">
      <c r="BJ712" s="205"/>
      <c r="BK712" s="205"/>
      <c r="BL712" s="205"/>
    </row>
    <row r="713" spans="62:64" x14ac:dyDescent="0.25">
      <c r="BJ713" s="205"/>
      <c r="BK713" s="205"/>
      <c r="BL713" s="205"/>
    </row>
    <row r="714" spans="62:64" x14ac:dyDescent="0.25">
      <c r="BJ714" s="205"/>
      <c r="BK714" s="205"/>
      <c r="BL714" s="205"/>
    </row>
    <row r="715" spans="62:64" x14ac:dyDescent="0.25">
      <c r="BJ715" s="205"/>
      <c r="BK715" s="205"/>
      <c r="BL715" s="205"/>
    </row>
    <row r="716" spans="62:64" x14ac:dyDescent="0.25">
      <c r="BJ716" s="205"/>
      <c r="BK716" s="205"/>
      <c r="BL716" s="205"/>
    </row>
    <row r="717" spans="62:64" x14ac:dyDescent="0.25">
      <c r="BJ717" s="205"/>
      <c r="BK717" s="205"/>
      <c r="BL717" s="205"/>
    </row>
    <row r="718" spans="62:64" x14ac:dyDescent="0.25">
      <c r="BJ718" s="205"/>
      <c r="BK718" s="205"/>
      <c r="BL718" s="205"/>
    </row>
    <row r="719" spans="62:64" x14ac:dyDescent="0.25">
      <c r="BJ719" s="205"/>
      <c r="BK719" s="205"/>
      <c r="BL719" s="205"/>
    </row>
    <row r="720" spans="62:64" x14ac:dyDescent="0.25">
      <c r="BJ720" s="205"/>
      <c r="BK720" s="205"/>
      <c r="BL720" s="205"/>
    </row>
    <row r="721" spans="62:64" x14ac:dyDescent="0.25">
      <c r="BJ721" s="205"/>
      <c r="BK721" s="205"/>
      <c r="BL721" s="205"/>
    </row>
    <row r="722" spans="62:64" x14ac:dyDescent="0.25">
      <c r="BJ722" s="205"/>
      <c r="BK722" s="205"/>
      <c r="BL722" s="205"/>
    </row>
    <row r="723" spans="62:64" x14ac:dyDescent="0.25">
      <c r="BJ723" s="205"/>
      <c r="BK723" s="205"/>
      <c r="BL723" s="205"/>
    </row>
    <row r="724" spans="62:64" x14ac:dyDescent="0.25">
      <c r="BJ724" s="205"/>
      <c r="BK724" s="205"/>
      <c r="BL724" s="205"/>
    </row>
    <row r="725" spans="62:64" x14ac:dyDescent="0.25">
      <c r="BJ725" s="205"/>
      <c r="BK725" s="205"/>
      <c r="BL725" s="205"/>
    </row>
    <row r="726" spans="62:64" x14ac:dyDescent="0.25">
      <c r="BJ726" s="205"/>
      <c r="BK726" s="205"/>
      <c r="BL726" s="205"/>
    </row>
    <row r="727" spans="62:64" x14ac:dyDescent="0.25">
      <c r="BJ727" s="205"/>
      <c r="BK727" s="205"/>
      <c r="BL727" s="205"/>
    </row>
    <row r="728" spans="62:64" x14ac:dyDescent="0.25">
      <c r="BJ728" s="205"/>
      <c r="BK728" s="205"/>
      <c r="BL728" s="205"/>
    </row>
    <row r="729" spans="62:64" x14ac:dyDescent="0.25">
      <c r="BJ729" s="205"/>
      <c r="BK729" s="205"/>
      <c r="BL729" s="205"/>
    </row>
    <row r="730" spans="62:64" x14ac:dyDescent="0.25">
      <c r="BJ730" s="205"/>
      <c r="BK730" s="205"/>
      <c r="BL730" s="205"/>
    </row>
    <row r="731" spans="62:64" x14ac:dyDescent="0.25">
      <c r="BJ731" s="205"/>
      <c r="BK731" s="205"/>
      <c r="BL731" s="205"/>
    </row>
    <row r="732" spans="62:64" x14ac:dyDescent="0.25">
      <c r="BJ732" s="205"/>
      <c r="BK732" s="205"/>
      <c r="BL732" s="205"/>
    </row>
    <row r="733" spans="62:64" x14ac:dyDescent="0.25">
      <c r="BJ733" s="205"/>
      <c r="BK733" s="205"/>
      <c r="BL733" s="205"/>
    </row>
    <row r="734" spans="62:64" x14ac:dyDescent="0.25">
      <c r="BJ734" s="205"/>
      <c r="BK734" s="205"/>
      <c r="BL734" s="205"/>
    </row>
    <row r="735" spans="62:64" x14ac:dyDescent="0.25">
      <c r="BJ735" s="205"/>
      <c r="BK735" s="205"/>
      <c r="BL735" s="205"/>
    </row>
    <row r="736" spans="62:64" x14ac:dyDescent="0.25">
      <c r="BJ736" s="205"/>
      <c r="BK736" s="205"/>
      <c r="BL736" s="205"/>
    </row>
    <row r="737" spans="62:64" x14ac:dyDescent="0.25">
      <c r="BJ737" s="205"/>
      <c r="BK737" s="205"/>
      <c r="BL737" s="205"/>
    </row>
    <row r="738" spans="62:64" x14ac:dyDescent="0.25">
      <c r="BJ738" s="205"/>
      <c r="BK738" s="205"/>
      <c r="BL738" s="205"/>
    </row>
    <row r="739" spans="62:64" x14ac:dyDescent="0.25">
      <c r="BJ739" s="205"/>
      <c r="BK739" s="205"/>
      <c r="BL739" s="205"/>
    </row>
    <row r="740" spans="62:64" x14ac:dyDescent="0.25">
      <c r="BJ740" s="205"/>
      <c r="BK740" s="205"/>
      <c r="BL740" s="205"/>
    </row>
    <row r="741" spans="62:64" x14ac:dyDescent="0.25">
      <c r="BJ741" s="205"/>
      <c r="BK741" s="205"/>
      <c r="BL741" s="205"/>
    </row>
    <row r="742" spans="62:64" x14ac:dyDescent="0.25">
      <c r="BJ742" s="205"/>
      <c r="BK742" s="205"/>
      <c r="BL742" s="205"/>
    </row>
    <row r="743" spans="62:64" x14ac:dyDescent="0.25">
      <c r="BJ743" s="205"/>
      <c r="BK743" s="205"/>
      <c r="BL743" s="205"/>
    </row>
    <row r="744" spans="62:64" x14ac:dyDescent="0.25">
      <c r="BJ744" s="205"/>
      <c r="BK744" s="205"/>
      <c r="BL744" s="205"/>
    </row>
    <row r="745" spans="62:64" x14ac:dyDescent="0.25">
      <c r="BJ745" s="205"/>
      <c r="BK745" s="205"/>
      <c r="BL745" s="205"/>
    </row>
    <row r="746" spans="62:64" x14ac:dyDescent="0.25">
      <c r="BJ746" s="205"/>
      <c r="BK746" s="205"/>
      <c r="BL746" s="205"/>
    </row>
    <row r="747" spans="62:64" x14ac:dyDescent="0.25">
      <c r="BJ747" s="205"/>
      <c r="BK747" s="205"/>
      <c r="BL747" s="205"/>
    </row>
    <row r="748" spans="62:64" x14ac:dyDescent="0.25">
      <c r="BJ748" s="205"/>
      <c r="BK748" s="205"/>
      <c r="BL748" s="205"/>
    </row>
    <row r="749" spans="62:64" x14ac:dyDescent="0.25">
      <c r="BJ749" s="205"/>
      <c r="BK749" s="205"/>
      <c r="BL749" s="205"/>
    </row>
    <row r="750" spans="62:64" x14ac:dyDescent="0.25">
      <c r="BJ750" s="205"/>
      <c r="BK750" s="205"/>
      <c r="BL750" s="205"/>
    </row>
    <row r="751" spans="62:64" x14ac:dyDescent="0.25">
      <c r="BJ751" s="205"/>
      <c r="BK751" s="205"/>
      <c r="BL751" s="205"/>
    </row>
    <row r="752" spans="62:64" x14ac:dyDescent="0.25">
      <c r="BJ752" s="205"/>
      <c r="BK752" s="205"/>
      <c r="BL752" s="205"/>
    </row>
    <row r="753" spans="62:64" x14ac:dyDescent="0.25">
      <c r="BJ753" s="205"/>
      <c r="BK753" s="205"/>
      <c r="BL753" s="205"/>
    </row>
    <row r="754" spans="62:64" x14ac:dyDescent="0.25">
      <c r="BJ754" s="205"/>
      <c r="BK754" s="205"/>
      <c r="BL754" s="205"/>
    </row>
    <row r="755" spans="62:64" x14ac:dyDescent="0.25">
      <c r="BJ755" s="205"/>
      <c r="BK755" s="205"/>
      <c r="BL755" s="205"/>
    </row>
    <row r="756" spans="62:64" x14ac:dyDescent="0.25">
      <c r="BJ756" s="205"/>
      <c r="BK756" s="205"/>
      <c r="BL756" s="205"/>
    </row>
    <row r="757" spans="62:64" x14ac:dyDescent="0.25">
      <c r="BJ757" s="205"/>
      <c r="BK757" s="205"/>
      <c r="BL757" s="205"/>
    </row>
    <row r="758" spans="62:64" x14ac:dyDescent="0.25">
      <c r="BJ758" s="205"/>
      <c r="BK758" s="205"/>
      <c r="BL758" s="205"/>
    </row>
    <row r="759" spans="62:64" x14ac:dyDescent="0.25">
      <c r="BJ759" s="205"/>
      <c r="BK759" s="205"/>
      <c r="BL759" s="205"/>
    </row>
    <row r="760" spans="62:64" x14ac:dyDescent="0.25">
      <c r="BJ760" s="205"/>
      <c r="BK760" s="205"/>
      <c r="BL760" s="205"/>
    </row>
    <row r="761" spans="62:64" x14ac:dyDescent="0.25">
      <c r="BJ761" s="205"/>
      <c r="BK761" s="205"/>
      <c r="BL761" s="205"/>
    </row>
    <row r="762" spans="62:64" x14ac:dyDescent="0.25">
      <c r="BJ762" s="205"/>
      <c r="BK762" s="205"/>
      <c r="BL762" s="205"/>
    </row>
    <row r="763" spans="62:64" x14ac:dyDescent="0.25">
      <c r="BJ763" s="205"/>
      <c r="BK763" s="205"/>
      <c r="BL763" s="205"/>
    </row>
    <row r="764" spans="62:64" x14ac:dyDescent="0.25">
      <c r="BJ764" s="205"/>
      <c r="BK764" s="205"/>
      <c r="BL764" s="205"/>
    </row>
    <row r="765" spans="62:64" x14ac:dyDescent="0.25">
      <c r="BJ765" s="205"/>
      <c r="BK765" s="205"/>
      <c r="BL765" s="205"/>
    </row>
    <row r="766" spans="62:64" x14ac:dyDescent="0.25">
      <c r="BJ766" s="205"/>
      <c r="BK766" s="205"/>
      <c r="BL766" s="205"/>
    </row>
    <row r="767" spans="62:64" x14ac:dyDescent="0.25">
      <c r="BJ767" s="205"/>
      <c r="BK767" s="205"/>
      <c r="BL767" s="205"/>
    </row>
    <row r="768" spans="62:64" x14ac:dyDescent="0.25">
      <c r="BJ768" s="205"/>
      <c r="BK768" s="205"/>
      <c r="BL768" s="205"/>
    </row>
    <row r="769" spans="62:64" x14ac:dyDescent="0.25">
      <c r="BJ769" s="205"/>
      <c r="BK769" s="205"/>
      <c r="BL769" s="205"/>
    </row>
    <row r="770" spans="62:64" x14ac:dyDescent="0.25">
      <c r="BJ770" s="205"/>
      <c r="BK770" s="205"/>
      <c r="BL770" s="205"/>
    </row>
    <row r="771" spans="62:64" x14ac:dyDescent="0.25">
      <c r="BJ771" s="205"/>
      <c r="BK771" s="205"/>
      <c r="BL771" s="205"/>
    </row>
    <row r="772" spans="62:64" x14ac:dyDescent="0.25">
      <c r="BJ772" s="205"/>
      <c r="BK772" s="205"/>
      <c r="BL772" s="205"/>
    </row>
    <row r="773" spans="62:64" x14ac:dyDescent="0.25">
      <c r="BJ773" s="205"/>
      <c r="BK773" s="205"/>
      <c r="BL773" s="205"/>
    </row>
    <row r="774" spans="62:64" x14ac:dyDescent="0.25">
      <c r="BJ774" s="205"/>
      <c r="BK774" s="205"/>
      <c r="BL774" s="205"/>
    </row>
    <row r="775" spans="62:64" x14ac:dyDescent="0.25">
      <c r="BJ775" s="205"/>
      <c r="BK775" s="205"/>
      <c r="BL775" s="205"/>
    </row>
    <row r="776" spans="62:64" x14ac:dyDescent="0.25">
      <c r="BJ776" s="205"/>
      <c r="BK776" s="205"/>
      <c r="BL776" s="205"/>
    </row>
    <row r="777" spans="62:64" x14ac:dyDescent="0.25">
      <c r="BJ777" s="205"/>
      <c r="BK777" s="205"/>
      <c r="BL777" s="205"/>
    </row>
    <row r="778" spans="62:64" x14ac:dyDescent="0.25">
      <c r="BJ778" s="205"/>
      <c r="BK778" s="205"/>
      <c r="BL778" s="205"/>
    </row>
    <row r="779" spans="62:64" x14ac:dyDescent="0.25">
      <c r="BJ779" s="205"/>
      <c r="BK779" s="205"/>
      <c r="BL779" s="205"/>
    </row>
    <row r="780" spans="62:64" x14ac:dyDescent="0.25">
      <c r="BJ780" s="205"/>
      <c r="BK780" s="205"/>
      <c r="BL780" s="205"/>
    </row>
    <row r="781" spans="62:64" x14ac:dyDescent="0.25">
      <c r="BJ781" s="205"/>
      <c r="BK781" s="205"/>
      <c r="BL781" s="205"/>
    </row>
    <row r="782" spans="62:64" x14ac:dyDescent="0.25">
      <c r="BJ782" s="205"/>
      <c r="BK782" s="205"/>
      <c r="BL782" s="205"/>
    </row>
    <row r="783" spans="62:64" x14ac:dyDescent="0.25">
      <c r="BJ783" s="205"/>
      <c r="BK783" s="205"/>
      <c r="BL783" s="205"/>
    </row>
    <row r="784" spans="62:64" x14ac:dyDescent="0.25">
      <c r="BJ784" s="205"/>
      <c r="BK784" s="205"/>
      <c r="BL784" s="205"/>
    </row>
    <row r="785" spans="62:64" x14ac:dyDescent="0.25">
      <c r="BJ785" s="205"/>
      <c r="BK785" s="205"/>
      <c r="BL785" s="205"/>
    </row>
    <row r="786" spans="62:64" x14ac:dyDescent="0.25">
      <c r="BJ786" s="205"/>
      <c r="BK786" s="205"/>
      <c r="BL786" s="205"/>
    </row>
    <row r="787" spans="62:64" x14ac:dyDescent="0.25">
      <c r="BJ787" s="205"/>
      <c r="BK787" s="205"/>
      <c r="BL787" s="205"/>
    </row>
    <row r="788" spans="62:64" x14ac:dyDescent="0.25">
      <c r="BJ788" s="205"/>
      <c r="BK788" s="205"/>
      <c r="BL788" s="205"/>
    </row>
    <row r="789" spans="62:64" x14ac:dyDescent="0.25">
      <c r="BJ789" s="205"/>
      <c r="BK789" s="205"/>
      <c r="BL789" s="205"/>
    </row>
    <row r="790" spans="62:64" x14ac:dyDescent="0.25">
      <c r="BJ790" s="205"/>
      <c r="BK790" s="205"/>
      <c r="BL790" s="205"/>
    </row>
    <row r="791" spans="62:64" x14ac:dyDescent="0.25">
      <c r="BJ791" s="205"/>
      <c r="BK791" s="205"/>
      <c r="BL791" s="205"/>
    </row>
    <row r="792" spans="62:64" x14ac:dyDescent="0.25">
      <c r="BJ792" s="205"/>
      <c r="BK792" s="205"/>
      <c r="BL792" s="205"/>
    </row>
    <row r="793" spans="62:64" x14ac:dyDescent="0.25">
      <c r="BJ793" s="205"/>
      <c r="BK793" s="205"/>
      <c r="BL793" s="205"/>
    </row>
    <row r="794" spans="62:64" x14ac:dyDescent="0.25">
      <c r="BJ794" s="205"/>
      <c r="BK794" s="205"/>
      <c r="BL794" s="205"/>
    </row>
    <row r="795" spans="62:64" x14ac:dyDescent="0.25">
      <c r="BJ795" s="205"/>
      <c r="BK795" s="205"/>
      <c r="BL795" s="205"/>
    </row>
    <row r="796" spans="62:64" x14ac:dyDescent="0.25">
      <c r="BJ796" s="205"/>
      <c r="BK796" s="205"/>
      <c r="BL796" s="205"/>
    </row>
    <row r="797" spans="62:64" x14ac:dyDescent="0.25">
      <c r="BJ797" s="205"/>
      <c r="BK797" s="205"/>
      <c r="BL797" s="205"/>
    </row>
    <row r="798" spans="62:64" x14ac:dyDescent="0.25">
      <c r="BJ798" s="205"/>
      <c r="BK798" s="205"/>
      <c r="BL798" s="205"/>
    </row>
    <row r="799" spans="62:64" x14ac:dyDescent="0.25">
      <c r="BJ799" s="205"/>
      <c r="BK799" s="205"/>
      <c r="BL799" s="205"/>
    </row>
    <row r="800" spans="62:64" x14ac:dyDescent="0.25">
      <c r="BJ800" s="205"/>
      <c r="BK800" s="205"/>
      <c r="BL800" s="205"/>
    </row>
    <row r="801" spans="62:64" x14ac:dyDescent="0.25">
      <c r="BJ801" s="205"/>
      <c r="BK801" s="205"/>
      <c r="BL801" s="205"/>
    </row>
    <row r="802" spans="62:64" x14ac:dyDescent="0.25">
      <c r="BJ802" s="205"/>
      <c r="BK802" s="205"/>
      <c r="BL802" s="205"/>
    </row>
    <row r="803" spans="62:64" x14ac:dyDescent="0.25">
      <c r="BJ803" s="205"/>
      <c r="BK803" s="205"/>
      <c r="BL803" s="205"/>
    </row>
    <row r="804" spans="62:64" x14ac:dyDescent="0.25">
      <c r="BJ804" s="205"/>
      <c r="BK804" s="205"/>
      <c r="BL804" s="205"/>
    </row>
    <row r="805" spans="62:64" x14ac:dyDescent="0.25">
      <c r="BJ805" s="205"/>
      <c r="BK805" s="205"/>
      <c r="BL805" s="205"/>
    </row>
    <row r="806" spans="62:64" x14ac:dyDescent="0.25">
      <c r="BJ806" s="205"/>
      <c r="BK806" s="205"/>
      <c r="BL806" s="205"/>
    </row>
    <row r="807" spans="62:64" x14ac:dyDescent="0.25">
      <c r="BJ807" s="205"/>
      <c r="BK807" s="205"/>
      <c r="BL807" s="205"/>
    </row>
    <row r="808" spans="62:64" x14ac:dyDescent="0.25">
      <c r="BJ808" s="205"/>
      <c r="BK808" s="205"/>
      <c r="BL808" s="205"/>
    </row>
    <row r="809" spans="62:64" x14ac:dyDescent="0.25">
      <c r="BJ809" s="205"/>
      <c r="BK809" s="205"/>
      <c r="BL809" s="205"/>
    </row>
    <row r="810" spans="62:64" x14ac:dyDescent="0.25">
      <c r="BJ810" s="205"/>
      <c r="BK810" s="205"/>
      <c r="BL810" s="205"/>
    </row>
    <row r="811" spans="62:64" x14ac:dyDescent="0.25">
      <c r="BJ811" s="205"/>
      <c r="BK811" s="205"/>
      <c r="BL811" s="205"/>
    </row>
    <row r="812" spans="62:64" x14ac:dyDescent="0.25">
      <c r="BJ812" s="205"/>
      <c r="BK812" s="205"/>
      <c r="BL812" s="205"/>
    </row>
    <row r="813" spans="62:64" x14ac:dyDescent="0.25">
      <c r="BJ813" s="205"/>
      <c r="BK813" s="205"/>
      <c r="BL813" s="205"/>
    </row>
    <row r="814" spans="62:64" x14ac:dyDescent="0.25">
      <c r="BJ814" s="205"/>
      <c r="BK814" s="205"/>
      <c r="BL814" s="205"/>
    </row>
    <row r="815" spans="62:64" x14ac:dyDescent="0.25">
      <c r="BJ815" s="205"/>
      <c r="BK815" s="205"/>
      <c r="BL815" s="205"/>
    </row>
    <row r="816" spans="62:64" x14ac:dyDescent="0.25">
      <c r="BJ816" s="205"/>
      <c r="BK816" s="205"/>
      <c r="BL816" s="205"/>
    </row>
    <row r="817" spans="62:64" x14ac:dyDescent="0.25">
      <c r="BJ817" s="205"/>
      <c r="BK817" s="205"/>
      <c r="BL817" s="205"/>
    </row>
    <row r="818" spans="62:64" x14ac:dyDescent="0.25">
      <c r="BJ818" s="205"/>
      <c r="BK818" s="205"/>
      <c r="BL818" s="205"/>
    </row>
    <row r="819" spans="62:64" x14ac:dyDescent="0.25">
      <c r="BJ819" s="205"/>
      <c r="BK819" s="205"/>
      <c r="BL819" s="205"/>
    </row>
    <row r="820" spans="62:64" x14ac:dyDescent="0.25">
      <c r="BJ820" s="205"/>
      <c r="BK820" s="205"/>
      <c r="BL820" s="205"/>
    </row>
    <row r="821" spans="62:64" x14ac:dyDescent="0.25">
      <c r="BJ821" s="205"/>
      <c r="BK821" s="205"/>
      <c r="BL821" s="205"/>
    </row>
    <row r="822" spans="62:64" x14ac:dyDescent="0.25">
      <c r="BJ822" s="205"/>
      <c r="BK822" s="205"/>
      <c r="BL822" s="205"/>
    </row>
    <row r="823" spans="62:64" x14ac:dyDescent="0.25">
      <c r="BJ823" s="205"/>
      <c r="BK823" s="205"/>
      <c r="BL823" s="205"/>
    </row>
    <row r="824" spans="62:64" x14ac:dyDescent="0.25">
      <c r="BJ824" s="205"/>
      <c r="BK824" s="205"/>
      <c r="BL824" s="205"/>
    </row>
    <row r="825" spans="62:64" x14ac:dyDescent="0.25">
      <c r="BJ825" s="205"/>
      <c r="BK825" s="205"/>
      <c r="BL825" s="205"/>
    </row>
    <row r="826" spans="62:64" x14ac:dyDescent="0.25">
      <c r="BJ826" s="205"/>
      <c r="BK826" s="205"/>
      <c r="BL826" s="205"/>
    </row>
    <row r="827" spans="62:64" x14ac:dyDescent="0.25">
      <c r="BJ827" s="205"/>
      <c r="BK827" s="205"/>
      <c r="BL827" s="205"/>
    </row>
    <row r="828" spans="62:64" x14ac:dyDescent="0.25">
      <c r="BJ828" s="205"/>
      <c r="BK828" s="205"/>
      <c r="BL828" s="205"/>
    </row>
    <row r="829" spans="62:64" x14ac:dyDescent="0.25">
      <c r="BJ829" s="205"/>
      <c r="BK829" s="205"/>
      <c r="BL829" s="205"/>
    </row>
    <row r="830" spans="62:64" x14ac:dyDescent="0.25">
      <c r="BJ830" s="205"/>
      <c r="BK830" s="205"/>
      <c r="BL830" s="205"/>
    </row>
    <row r="831" spans="62:64" x14ac:dyDescent="0.25">
      <c r="BJ831" s="205"/>
      <c r="BK831" s="205"/>
      <c r="BL831" s="205"/>
    </row>
    <row r="832" spans="62:64" x14ac:dyDescent="0.25">
      <c r="BJ832" s="205"/>
      <c r="BK832" s="205"/>
      <c r="BL832" s="205"/>
    </row>
    <row r="833" spans="62:64" x14ac:dyDescent="0.25">
      <c r="BJ833" s="205"/>
      <c r="BK833" s="205"/>
      <c r="BL833" s="205"/>
    </row>
    <row r="834" spans="62:64" x14ac:dyDescent="0.25">
      <c r="BJ834" s="205"/>
      <c r="BK834" s="205"/>
      <c r="BL834" s="205"/>
    </row>
    <row r="835" spans="62:64" x14ac:dyDescent="0.25">
      <c r="BJ835" s="205"/>
      <c r="BK835" s="205"/>
      <c r="BL835" s="205"/>
    </row>
    <row r="836" spans="62:64" x14ac:dyDescent="0.25">
      <c r="BJ836" s="205"/>
      <c r="BK836" s="205"/>
      <c r="BL836" s="205"/>
    </row>
    <row r="837" spans="62:64" x14ac:dyDescent="0.25">
      <c r="BJ837" s="205"/>
      <c r="BK837" s="205"/>
      <c r="BL837" s="205"/>
    </row>
    <row r="838" spans="62:64" x14ac:dyDescent="0.25">
      <c r="BJ838" s="205"/>
      <c r="BK838" s="205"/>
      <c r="BL838" s="205"/>
    </row>
    <row r="839" spans="62:64" x14ac:dyDescent="0.25">
      <c r="BJ839" s="205"/>
      <c r="BK839" s="205"/>
      <c r="BL839" s="205"/>
    </row>
    <row r="840" spans="62:64" x14ac:dyDescent="0.25">
      <c r="BJ840" s="205"/>
      <c r="BK840" s="205"/>
      <c r="BL840" s="205"/>
    </row>
    <row r="841" spans="62:64" x14ac:dyDescent="0.25">
      <c r="BJ841" s="205"/>
      <c r="BK841" s="205"/>
      <c r="BL841" s="205"/>
    </row>
    <row r="842" spans="62:64" x14ac:dyDescent="0.25">
      <c r="BJ842" s="205"/>
      <c r="BK842" s="205"/>
      <c r="BL842" s="205"/>
    </row>
    <row r="843" spans="62:64" x14ac:dyDescent="0.25">
      <c r="BJ843" s="205"/>
      <c r="BK843" s="205"/>
      <c r="BL843" s="205"/>
    </row>
    <row r="844" spans="62:64" x14ac:dyDescent="0.25">
      <c r="BJ844" s="205"/>
      <c r="BK844" s="205"/>
      <c r="BL844" s="205"/>
    </row>
    <row r="845" spans="62:64" x14ac:dyDescent="0.25">
      <c r="BJ845" s="205"/>
      <c r="BK845" s="205"/>
      <c r="BL845" s="205"/>
    </row>
    <row r="846" spans="62:64" x14ac:dyDescent="0.25">
      <c r="BJ846" s="205"/>
      <c r="BK846" s="205"/>
      <c r="BL846" s="205"/>
    </row>
    <row r="847" spans="62:64" x14ac:dyDescent="0.25">
      <c r="BJ847" s="205"/>
      <c r="BK847" s="205"/>
      <c r="BL847" s="205"/>
    </row>
    <row r="848" spans="62:64" x14ac:dyDescent="0.25">
      <c r="BJ848" s="205"/>
      <c r="BK848" s="205"/>
      <c r="BL848" s="205"/>
    </row>
    <row r="849" spans="62:64" x14ac:dyDescent="0.25">
      <c r="BJ849" s="205"/>
      <c r="BK849" s="205"/>
      <c r="BL849" s="205"/>
    </row>
    <row r="850" spans="62:64" x14ac:dyDescent="0.25">
      <c r="BJ850" s="205"/>
      <c r="BK850" s="205"/>
      <c r="BL850" s="205"/>
    </row>
    <row r="851" spans="62:64" x14ac:dyDescent="0.25">
      <c r="BJ851" s="205"/>
      <c r="BK851" s="205"/>
      <c r="BL851" s="205"/>
    </row>
    <row r="852" spans="62:64" x14ac:dyDescent="0.25">
      <c r="BJ852" s="205"/>
      <c r="BK852" s="205"/>
      <c r="BL852" s="205"/>
    </row>
    <row r="853" spans="62:64" x14ac:dyDescent="0.25">
      <c r="BJ853" s="205"/>
      <c r="BK853" s="205"/>
      <c r="BL853" s="205"/>
    </row>
    <row r="854" spans="62:64" x14ac:dyDescent="0.25">
      <c r="BJ854" s="205"/>
      <c r="BK854" s="205"/>
      <c r="BL854" s="205"/>
    </row>
    <row r="855" spans="62:64" x14ac:dyDescent="0.25">
      <c r="BJ855" s="205"/>
      <c r="BK855" s="205"/>
      <c r="BL855" s="205"/>
    </row>
    <row r="856" spans="62:64" x14ac:dyDescent="0.25">
      <c r="BJ856" s="205"/>
      <c r="BK856" s="205"/>
      <c r="BL856" s="205"/>
    </row>
    <row r="857" spans="62:64" x14ac:dyDescent="0.25">
      <c r="BJ857" s="205"/>
      <c r="BK857" s="205"/>
      <c r="BL857" s="205"/>
    </row>
    <row r="858" spans="62:64" x14ac:dyDescent="0.25">
      <c r="BJ858" s="205"/>
      <c r="BK858" s="205"/>
      <c r="BL858" s="205"/>
    </row>
    <row r="859" spans="62:64" x14ac:dyDescent="0.25">
      <c r="BJ859" s="205"/>
      <c r="BK859" s="205"/>
      <c r="BL859" s="205"/>
    </row>
    <row r="860" spans="62:64" x14ac:dyDescent="0.25">
      <c r="BJ860" s="205"/>
      <c r="BK860" s="205"/>
      <c r="BL860" s="205"/>
    </row>
    <row r="861" spans="62:64" x14ac:dyDescent="0.25">
      <c r="BJ861" s="205"/>
      <c r="BK861" s="205"/>
      <c r="BL861" s="205"/>
    </row>
    <row r="862" spans="62:64" x14ac:dyDescent="0.25">
      <c r="BJ862" s="205"/>
      <c r="BK862" s="205"/>
      <c r="BL862" s="205"/>
    </row>
    <row r="863" spans="62:64" x14ac:dyDescent="0.25">
      <c r="BJ863" s="205"/>
      <c r="BK863" s="205"/>
      <c r="BL863" s="205"/>
    </row>
    <row r="864" spans="62:64" x14ac:dyDescent="0.25">
      <c r="BJ864" s="205"/>
      <c r="BK864" s="205"/>
      <c r="BL864" s="205"/>
    </row>
    <row r="865" spans="62:64" x14ac:dyDescent="0.25">
      <c r="BJ865" s="205"/>
      <c r="BK865" s="205"/>
      <c r="BL865" s="205"/>
    </row>
    <row r="866" spans="62:64" x14ac:dyDescent="0.25">
      <c r="BJ866" s="205"/>
      <c r="BK866" s="205"/>
      <c r="BL866" s="205"/>
    </row>
    <row r="867" spans="62:64" x14ac:dyDescent="0.25">
      <c r="BJ867" s="205"/>
      <c r="BK867" s="205"/>
      <c r="BL867" s="205"/>
    </row>
    <row r="868" spans="62:64" x14ac:dyDescent="0.25">
      <c r="BJ868" s="205"/>
      <c r="BK868" s="205"/>
      <c r="BL868" s="205"/>
    </row>
    <row r="869" spans="62:64" x14ac:dyDescent="0.25">
      <c r="BJ869" s="205"/>
      <c r="BK869" s="205"/>
      <c r="BL869" s="205"/>
    </row>
    <row r="870" spans="62:64" x14ac:dyDescent="0.25">
      <c r="BJ870" s="205"/>
      <c r="BK870" s="205"/>
      <c r="BL870" s="205"/>
    </row>
    <row r="871" spans="62:64" x14ac:dyDescent="0.25">
      <c r="BJ871" s="205"/>
      <c r="BK871" s="205"/>
      <c r="BL871" s="205"/>
    </row>
    <row r="872" spans="62:64" x14ac:dyDescent="0.25">
      <c r="BJ872" s="205"/>
      <c r="BK872" s="205"/>
      <c r="BL872" s="205"/>
    </row>
    <row r="873" spans="62:64" x14ac:dyDescent="0.25">
      <c r="BJ873" s="205"/>
      <c r="BK873" s="205"/>
      <c r="BL873" s="205"/>
    </row>
    <row r="874" spans="62:64" x14ac:dyDescent="0.25">
      <c r="BJ874" s="205"/>
      <c r="BK874" s="205"/>
      <c r="BL874" s="205"/>
    </row>
    <row r="875" spans="62:64" x14ac:dyDescent="0.25">
      <c r="BJ875" s="205"/>
      <c r="BK875" s="205"/>
      <c r="BL875" s="205"/>
    </row>
    <row r="876" spans="62:64" x14ac:dyDescent="0.25">
      <c r="BJ876" s="205"/>
      <c r="BK876" s="205"/>
      <c r="BL876" s="205"/>
    </row>
    <row r="877" spans="62:64" x14ac:dyDescent="0.25">
      <c r="BJ877" s="205"/>
      <c r="BK877" s="205"/>
      <c r="BL877" s="205"/>
    </row>
    <row r="878" spans="62:64" x14ac:dyDescent="0.25">
      <c r="BJ878" s="205"/>
      <c r="BK878" s="205"/>
      <c r="BL878" s="205"/>
    </row>
    <row r="879" spans="62:64" x14ac:dyDescent="0.25">
      <c r="BJ879" s="205"/>
      <c r="BK879" s="205"/>
      <c r="BL879" s="205"/>
    </row>
    <row r="880" spans="62:64" x14ac:dyDescent="0.25">
      <c r="BJ880" s="205"/>
      <c r="BK880" s="205"/>
      <c r="BL880" s="205"/>
    </row>
    <row r="881" spans="62:64" x14ac:dyDescent="0.25">
      <c r="BJ881" s="205"/>
      <c r="BK881" s="205"/>
      <c r="BL881" s="205"/>
    </row>
    <row r="882" spans="62:64" x14ac:dyDescent="0.25">
      <c r="BJ882" s="205"/>
      <c r="BK882" s="205"/>
      <c r="BL882" s="205"/>
    </row>
    <row r="883" spans="62:64" x14ac:dyDescent="0.25">
      <c r="BJ883" s="205"/>
      <c r="BK883" s="205"/>
      <c r="BL883" s="205"/>
    </row>
    <row r="884" spans="62:64" x14ac:dyDescent="0.25">
      <c r="BJ884" s="205"/>
      <c r="BK884" s="205"/>
      <c r="BL884" s="205"/>
    </row>
    <row r="885" spans="62:64" x14ac:dyDescent="0.25">
      <c r="BJ885" s="205"/>
      <c r="BK885" s="205"/>
      <c r="BL885" s="205"/>
    </row>
    <row r="886" spans="62:64" x14ac:dyDescent="0.25">
      <c r="BJ886" s="205"/>
      <c r="BK886" s="205"/>
      <c r="BL886" s="205"/>
    </row>
    <row r="887" spans="62:64" x14ac:dyDescent="0.25">
      <c r="BJ887" s="205"/>
      <c r="BK887" s="205"/>
      <c r="BL887" s="205"/>
    </row>
    <row r="888" spans="62:64" x14ac:dyDescent="0.25">
      <c r="BJ888" s="205"/>
      <c r="BK888" s="205"/>
      <c r="BL888" s="205"/>
    </row>
    <row r="889" spans="62:64" x14ac:dyDescent="0.25">
      <c r="BJ889" s="205"/>
      <c r="BK889" s="205"/>
      <c r="BL889" s="205"/>
    </row>
    <row r="890" spans="62:64" x14ac:dyDescent="0.25">
      <c r="BJ890" s="205"/>
      <c r="BK890" s="205"/>
      <c r="BL890" s="205"/>
    </row>
    <row r="891" spans="62:64" x14ac:dyDescent="0.25">
      <c r="BJ891" s="205"/>
      <c r="BK891" s="205"/>
      <c r="BL891" s="205"/>
    </row>
    <row r="892" spans="62:64" x14ac:dyDescent="0.25">
      <c r="BJ892" s="205"/>
      <c r="BK892" s="205"/>
      <c r="BL892" s="205"/>
    </row>
    <row r="893" spans="62:64" x14ac:dyDescent="0.25">
      <c r="BJ893" s="205"/>
      <c r="BK893" s="205"/>
      <c r="BL893" s="205"/>
    </row>
    <row r="894" spans="62:64" x14ac:dyDescent="0.25">
      <c r="BJ894" s="205"/>
      <c r="BK894" s="205"/>
      <c r="BL894" s="205"/>
    </row>
    <row r="895" spans="62:64" x14ac:dyDescent="0.25">
      <c r="BJ895" s="205"/>
      <c r="BK895" s="205"/>
      <c r="BL895" s="205"/>
    </row>
    <row r="896" spans="62:64" x14ac:dyDescent="0.25">
      <c r="BJ896" s="205"/>
      <c r="BK896" s="205"/>
      <c r="BL896" s="205"/>
    </row>
    <row r="897" spans="62:64" x14ac:dyDescent="0.25">
      <c r="BJ897" s="205"/>
      <c r="BK897" s="205"/>
      <c r="BL897" s="205"/>
    </row>
    <row r="898" spans="62:64" x14ac:dyDescent="0.25">
      <c r="BJ898" s="205"/>
      <c r="BK898" s="205"/>
      <c r="BL898" s="205"/>
    </row>
    <row r="899" spans="62:64" x14ac:dyDescent="0.25">
      <c r="BJ899" s="205"/>
      <c r="BK899" s="205"/>
      <c r="BL899" s="205"/>
    </row>
    <row r="900" spans="62:64" x14ac:dyDescent="0.25">
      <c r="BJ900" s="205"/>
      <c r="BK900" s="205"/>
      <c r="BL900" s="205"/>
    </row>
    <row r="901" spans="62:64" x14ac:dyDescent="0.25">
      <c r="BJ901" s="205"/>
      <c r="BK901" s="205"/>
      <c r="BL901" s="205"/>
    </row>
    <row r="902" spans="62:64" x14ac:dyDescent="0.25">
      <c r="BJ902" s="205"/>
      <c r="BK902" s="205"/>
      <c r="BL902" s="205"/>
    </row>
    <row r="903" spans="62:64" x14ac:dyDescent="0.25">
      <c r="BJ903" s="205"/>
      <c r="BK903" s="205"/>
      <c r="BL903" s="205"/>
    </row>
    <row r="904" spans="62:64" x14ac:dyDescent="0.25">
      <c r="BJ904" s="205"/>
      <c r="BK904" s="205"/>
      <c r="BL904" s="205"/>
    </row>
    <row r="905" spans="62:64" x14ac:dyDescent="0.25">
      <c r="BJ905" s="205"/>
      <c r="BK905" s="205"/>
      <c r="BL905" s="205"/>
    </row>
    <row r="906" spans="62:64" x14ac:dyDescent="0.25">
      <c r="BJ906" s="205"/>
      <c r="BK906" s="205"/>
      <c r="BL906" s="205"/>
    </row>
    <row r="907" spans="62:64" x14ac:dyDescent="0.25">
      <c r="BJ907" s="205"/>
      <c r="BK907" s="205"/>
      <c r="BL907" s="205"/>
    </row>
    <row r="908" spans="62:64" x14ac:dyDescent="0.25">
      <c r="BJ908" s="205"/>
      <c r="BK908" s="205"/>
      <c r="BL908" s="205"/>
    </row>
    <row r="909" spans="62:64" x14ac:dyDescent="0.25">
      <c r="BJ909" s="205"/>
      <c r="BK909" s="205"/>
      <c r="BL909" s="205"/>
    </row>
    <row r="910" spans="62:64" x14ac:dyDescent="0.25">
      <c r="BJ910" s="205"/>
      <c r="BK910" s="205"/>
      <c r="BL910" s="205"/>
    </row>
    <row r="911" spans="62:64" x14ac:dyDescent="0.25">
      <c r="BJ911" s="205"/>
      <c r="BK911" s="205"/>
      <c r="BL911" s="205"/>
    </row>
    <row r="912" spans="62:64" x14ac:dyDescent="0.25">
      <c r="BJ912" s="205"/>
      <c r="BK912" s="205"/>
      <c r="BL912" s="205"/>
    </row>
    <row r="913" spans="62:64" x14ac:dyDescent="0.25">
      <c r="BJ913" s="205"/>
      <c r="BK913" s="205"/>
      <c r="BL913" s="205"/>
    </row>
    <row r="914" spans="62:64" x14ac:dyDescent="0.25">
      <c r="BJ914" s="205"/>
      <c r="BK914" s="205"/>
      <c r="BL914" s="205"/>
    </row>
    <row r="915" spans="62:64" x14ac:dyDescent="0.25">
      <c r="BJ915" s="205"/>
      <c r="BK915" s="205"/>
      <c r="BL915" s="205"/>
    </row>
    <row r="916" spans="62:64" x14ac:dyDescent="0.25">
      <c r="BJ916" s="205"/>
      <c r="BK916" s="205"/>
      <c r="BL916" s="205"/>
    </row>
    <row r="917" spans="62:64" x14ac:dyDescent="0.25">
      <c r="BJ917" s="205"/>
      <c r="BK917" s="205"/>
      <c r="BL917" s="205"/>
    </row>
    <row r="918" spans="62:64" x14ac:dyDescent="0.25">
      <c r="BJ918" s="205"/>
      <c r="BK918" s="205"/>
      <c r="BL918" s="205"/>
    </row>
    <row r="919" spans="62:64" x14ac:dyDescent="0.25">
      <c r="BJ919" s="205"/>
      <c r="BK919" s="205"/>
      <c r="BL919" s="205"/>
    </row>
    <row r="920" spans="62:64" x14ac:dyDescent="0.25">
      <c r="BJ920" s="205"/>
      <c r="BK920" s="205"/>
      <c r="BL920" s="205"/>
    </row>
    <row r="921" spans="62:64" x14ac:dyDescent="0.25">
      <c r="BJ921" s="205"/>
      <c r="BK921" s="205"/>
      <c r="BL921" s="205"/>
    </row>
    <row r="922" spans="62:64" x14ac:dyDescent="0.25">
      <c r="BJ922" s="205"/>
      <c r="BK922" s="205"/>
      <c r="BL922" s="205"/>
    </row>
    <row r="923" spans="62:64" x14ac:dyDescent="0.25">
      <c r="BJ923" s="205"/>
      <c r="BK923" s="205"/>
      <c r="BL923" s="205"/>
    </row>
    <row r="924" spans="62:64" x14ac:dyDescent="0.25">
      <c r="BJ924" s="205"/>
      <c r="BK924" s="205"/>
      <c r="BL924" s="205"/>
    </row>
    <row r="925" spans="62:64" x14ac:dyDescent="0.25">
      <c r="BJ925" s="205"/>
      <c r="BK925" s="205"/>
      <c r="BL925" s="205"/>
    </row>
    <row r="926" spans="62:64" x14ac:dyDescent="0.25">
      <c r="BJ926" s="205"/>
      <c r="BK926" s="205"/>
      <c r="BL926" s="205"/>
    </row>
    <row r="927" spans="62:64" x14ac:dyDescent="0.25">
      <c r="BJ927" s="205"/>
      <c r="BK927" s="205"/>
      <c r="BL927" s="205"/>
    </row>
    <row r="928" spans="62:64" x14ac:dyDescent="0.25">
      <c r="BJ928" s="205"/>
      <c r="BK928" s="205"/>
      <c r="BL928" s="205"/>
    </row>
    <row r="929" spans="62:64" x14ac:dyDescent="0.25">
      <c r="BJ929" s="205"/>
      <c r="BK929" s="205"/>
      <c r="BL929" s="205"/>
    </row>
    <row r="930" spans="62:64" x14ac:dyDescent="0.25">
      <c r="BJ930" s="205"/>
      <c r="BK930" s="205"/>
      <c r="BL930" s="205"/>
    </row>
    <row r="931" spans="62:64" x14ac:dyDescent="0.25">
      <c r="BJ931" s="205"/>
      <c r="BK931" s="205"/>
      <c r="BL931" s="205"/>
    </row>
    <row r="932" spans="62:64" x14ac:dyDescent="0.25">
      <c r="BJ932" s="205"/>
      <c r="BK932" s="205"/>
      <c r="BL932" s="205"/>
    </row>
    <row r="933" spans="62:64" x14ac:dyDescent="0.25">
      <c r="BJ933" s="205"/>
      <c r="BK933" s="205"/>
      <c r="BL933" s="205"/>
    </row>
    <row r="934" spans="62:64" x14ac:dyDescent="0.25">
      <c r="BJ934" s="205"/>
      <c r="BK934" s="205"/>
      <c r="BL934" s="205"/>
    </row>
    <row r="935" spans="62:64" x14ac:dyDescent="0.25">
      <c r="BJ935" s="205"/>
      <c r="BK935" s="205"/>
      <c r="BL935" s="205"/>
    </row>
    <row r="936" spans="62:64" x14ac:dyDescent="0.25">
      <c r="BJ936" s="205"/>
      <c r="BK936" s="205"/>
      <c r="BL936" s="205"/>
    </row>
    <row r="937" spans="62:64" x14ac:dyDescent="0.25">
      <c r="BJ937" s="205"/>
      <c r="BK937" s="205"/>
      <c r="BL937" s="205"/>
    </row>
    <row r="938" spans="62:64" x14ac:dyDescent="0.25">
      <c r="BJ938" s="205"/>
      <c r="BK938" s="205"/>
      <c r="BL938" s="205"/>
    </row>
    <row r="939" spans="62:64" x14ac:dyDescent="0.25">
      <c r="BJ939" s="205"/>
      <c r="BK939" s="205"/>
      <c r="BL939" s="205"/>
    </row>
    <row r="940" spans="62:64" x14ac:dyDescent="0.25">
      <c r="BJ940" s="205"/>
      <c r="BK940" s="205"/>
      <c r="BL940" s="205"/>
    </row>
    <row r="941" spans="62:64" x14ac:dyDescent="0.25">
      <c r="BJ941" s="205"/>
      <c r="BK941" s="205"/>
      <c r="BL941" s="205"/>
    </row>
    <row r="942" spans="62:64" x14ac:dyDescent="0.25">
      <c r="BJ942" s="205"/>
      <c r="BK942" s="205"/>
      <c r="BL942" s="205"/>
    </row>
    <row r="943" spans="62:64" x14ac:dyDescent="0.25">
      <c r="BJ943" s="205"/>
      <c r="BK943" s="205"/>
      <c r="BL943" s="205"/>
    </row>
    <row r="944" spans="62:64" x14ac:dyDescent="0.25">
      <c r="BJ944" s="205"/>
      <c r="BK944" s="205"/>
      <c r="BL944" s="205"/>
    </row>
    <row r="945" spans="62:64" x14ac:dyDescent="0.25">
      <c r="BJ945" s="205"/>
      <c r="BK945" s="205"/>
      <c r="BL945" s="205"/>
    </row>
    <row r="946" spans="62:64" x14ac:dyDescent="0.25">
      <c r="BJ946" s="205"/>
      <c r="BK946" s="205"/>
      <c r="BL946" s="205"/>
    </row>
    <row r="947" spans="62:64" x14ac:dyDescent="0.25">
      <c r="BJ947" s="205"/>
      <c r="BK947" s="205"/>
      <c r="BL947" s="205"/>
    </row>
    <row r="948" spans="62:64" x14ac:dyDescent="0.25">
      <c r="BJ948" s="205"/>
      <c r="BK948" s="205"/>
      <c r="BL948" s="205"/>
    </row>
    <row r="949" spans="62:64" x14ac:dyDescent="0.25">
      <c r="BJ949" s="205"/>
      <c r="BK949" s="205"/>
      <c r="BL949" s="205"/>
    </row>
    <row r="950" spans="62:64" x14ac:dyDescent="0.25">
      <c r="BJ950" s="205"/>
      <c r="BK950" s="205"/>
      <c r="BL950" s="205"/>
    </row>
    <row r="951" spans="62:64" x14ac:dyDescent="0.25">
      <c r="BJ951" s="205"/>
      <c r="BK951" s="205"/>
      <c r="BL951" s="205"/>
    </row>
    <row r="952" spans="62:64" x14ac:dyDescent="0.25">
      <c r="BJ952" s="205"/>
      <c r="BK952" s="205"/>
      <c r="BL952" s="205"/>
    </row>
    <row r="953" spans="62:64" x14ac:dyDescent="0.25">
      <c r="BJ953" s="205"/>
      <c r="BK953" s="205"/>
      <c r="BL953" s="205"/>
    </row>
    <row r="954" spans="62:64" x14ac:dyDescent="0.25">
      <c r="BJ954" s="205"/>
      <c r="BK954" s="205"/>
      <c r="BL954" s="205"/>
    </row>
    <row r="955" spans="62:64" x14ac:dyDescent="0.25">
      <c r="BJ955" s="205"/>
      <c r="BK955" s="205"/>
      <c r="BL955" s="205"/>
    </row>
    <row r="956" spans="62:64" x14ac:dyDescent="0.25">
      <c r="BJ956" s="205"/>
      <c r="BK956" s="205"/>
      <c r="BL956" s="205"/>
    </row>
    <row r="957" spans="62:64" x14ac:dyDescent="0.25">
      <c r="BJ957" s="205"/>
      <c r="BK957" s="205"/>
      <c r="BL957" s="205"/>
    </row>
    <row r="958" spans="62:64" x14ac:dyDescent="0.25">
      <c r="BJ958" s="205"/>
      <c r="BK958" s="205"/>
      <c r="BL958" s="205"/>
    </row>
    <row r="959" spans="62:64" x14ac:dyDescent="0.25">
      <c r="BJ959" s="205"/>
      <c r="BK959" s="205"/>
      <c r="BL959" s="205"/>
    </row>
    <row r="960" spans="62:64" x14ac:dyDescent="0.25">
      <c r="BJ960" s="205"/>
      <c r="BK960" s="205"/>
      <c r="BL960" s="205"/>
    </row>
    <row r="961" spans="62:64" x14ac:dyDescent="0.25">
      <c r="BJ961" s="205"/>
      <c r="BK961" s="205"/>
      <c r="BL961" s="205"/>
    </row>
    <row r="962" spans="62:64" x14ac:dyDescent="0.25">
      <c r="BJ962" s="205"/>
      <c r="BK962" s="205"/>
      <c r="BL962" s="205"/>
    </row>
    <row r="963" spans="62:64" x14ac:dyDescent="0.25">
      <c r="BJ963" s="205"/>
      <c r="BK963" s="205"/>
      <c r="BL963" s="205"/>
    </row>
    <row r="964" spans="62:64" x14ac:dyDescent="0.25">
      <c r="BJ964" s="205"/>
      <c r="BK964" s="205"/>
      <c r="BL964" s="205"/>
    </row>
    <row r="965" spans="62:64" x14ac:dyDescent="0.25">
      <c r="BJ965" s="205"/>
      <c r="BK965" s="205"/>
      <c r="BL965" s="205"/>
    </row>
    <row r="966" spans="62:64" x14ac:dyDescent="0.25">
      <c r="BJ966" s="205"/>
      <c r="BK966" s="205"/>
      <c r="BL966" s="205"/>
    </row>
    <row r="967" spans="62:64" x14ac:dyDescent="0.25">
      <c r="BJ967" s="205"/>
      <c r="BK967" s="205"/>
      <c r="BL967" s="205"/>
    </row>
    <row r="968" spans="62:64" x14ac:dyDescent="0.25">
      <c r="BJ968" s="205"/>
      <c r="BK968" s="205"/>
      <c r="BL968" s="205"/>
    </row>
    <row r="969" spans="62:64" x14ac:dyDescent="0.25">
      <c r="BJ969" s="205"/>
      <c r="BK969" s="205"/>
      <c r="BL969" s="205"/>
    </row>
    <row r="970" spans="62:64" x14ac:dyDescent="0.25">
      <c r="BJ970" s="205"/>
      <c r="BK970" s="205"/>
      <c r="BL970" s="205"/>
    </row>
    <row r="971" spans="62:64" x14ac:dyDescent="0.25">
      <c r="BJ971" s="205"/>
      <c r="BK971" s="205"/>
      <c r="BL971" s="205"/>
    </row>
    <row r="972" spans="62:64" x14ac:dyDescent="0.25">
      <c r="BJ972" s="205"/>
      <c r="BK972" s="205"/>
      <c r="BL972" s="205"/>
    </row>
    <row r="973" spans="62:64" x14ac:dyDescent="0.25">
      <c r="BJ973" s="205"/>
      <c r="BK973" s="205"/>
      <c r="BL973" s="205"/>
    </row>
    <row r="974" spans="62:64" x14ac:dyDescent="0.25">
      <c r="BJ974" s="205"/>
      <c r="BK974" s="205"/>
      <c r="BL974" s="205"/>
    </row>
    <row r="975" spans="62:64" x14ac:dyDescent="0.25">
      <c r="BJ975" s="205"/>
      <c r="BK975" s="205"/>
      <c r="BL975" s="205"/>
    </row>
    <row r="976" spans="62:64" x14ac:dyDescent="0.25">
      <c r="BJ976" s="205"/>
      <c r="BK976" s="205"/>
      <c r="BL976" s="205"/>
    </row>
    <row r="977" spans="62:64" x14ac:dyDescent="0.25">
      <c r="BJ977" s="205"/>
      <c r="BK977" s="205"/>
      <c r="BL977" s="205"/>
    </row>
    <row r="978" spans="62:64" x14ac:dyDescent="0.25">
      <c r="BJ978" s="205"/>
      <c r="BK978" s="205"/>
      <c r="BL978" s="205"/>
    </row>
    <row r="979" spans="62:64" x14ac:dyDescent="0.25">
      <c r="BJ979" s="205"/>
      <c r="BK979" s="205"/>
      <c r="BL979" s="205"/>
    </row>
    <row r="980" spans="62:64" x14ac:dyDescent="0.25">
      <c r="BJ980" s="205"/>
      <c r="BK980" s="205"/>
      <c r="BL980" s="205"/>
    </row>
    <row r="981" spans="62:64" x14ac:dyDescent="0.25">
      <c r="BJ981" s="205"/>
      <c r="BK981" s="205"/>
      <c r="BL981" s="205"/>
    </row>
    <row r="982" spans="62:64" x14ac:dyDescent="0.25">
      <c r="BJ982" s="205"/>
      <c r="BK982" s="205"/>
      <c r="BL982" s="205"/>
    </row>
    <row r="983" spans="62:64" x14ac:dyDescent="0.25">
      <c r="BJ983" s="205"/>
      <c r="BK983" s="205"/>
      <c r="BL983" s="205"/>
    </row>
    <row r="984" spans="62:64" x14ac:dyDescent="0.25">
      <c r="BJ984" s="205"/>
      <c r="BK984" s="205"/>
      <c r="BL984" s="205"/>
    </row>
    <row r="985" spans="62:64" x14ac:dyDescent="0.25">
      <c r="BJ985" s="205"/>
      <c r="BK985" s="205"/>
      <c r="BL985" s="205"/>
    </row>
    <row r="986" spans="62:64" x14ac:dyDescent="0.25">
      <c r="BJ986" s="205"/>
      <c r="BK986" s="205"/>
      <c r="BL986" s="205"/>
    </row>
    <row r="987" spans="62:64" x14ac:dyDescent="0.25">
      <c r="BJ987" s="205"/>
      <c r="BK987" s="205"/>
      <c r="BL987" s="205"/>
    </row>
    <row r="988" spans="62:64" x14ac:dyDescent="0.25">
      <c r="BJ988" s="205"/>
      <c r="BK988" s="205"/>
      <c r="BL988" s="205"/>
    </row>
    <row r="989" spans="62:64" x14ac:dyDescent="0.25">
      <c r="BJ989" s="205"/>
      <c r="BK989" s="205"/>
      <c r="BL989" s="205"/>
    </row>
    <row r="990" spans="62:64" x14ac:dyDescent="0.25">
      <c r="BJ990" s="205"/>
      <c r="BK990" s="205"/>
      <c r="BL990" s="205"/>
    </row>
    <row r="991" spans="62:64" x14ac:dyDescent="0.25">
      <c r="BJ991" s="205"/>
      <c r="BK991" s="205"/>
      <c r="BL991" s="205"/>
    </row>
    <row r="992" spans="62:64" x14ac:dyDescent="0.25">
      <c r="BJ992" s="205"/>
      <c r="BK992" s="205"/>
      <c r="BL992" s="205"/>
    </row>
    <row r="993" spans="62:64" x14ac:dyDescent="0.25">
      <c r="BJ993" s="205"/>
      <c r="BK993" s="205"/>
      <c r="BL993" s="205"/>
    </row>
    <row r="994" spans="62:64" x14ac:dyDescent="0.25">
      <c r="BJ994" s="205"/>
      <c r="BK994" s="205"/>
      <c r="BL994" s="205"/>
    </row>
    <row r="995" spans="62:64" x14ac:dyDescent="0.25">
      <c r="BJ995" s="205"/>
      <c r="BK995" s="205"/>
      <c r="BL995" s="205"/>
    </row>
    <row r="996" spans="62:64" x14ac:dyDescent="0.25">
      <c r="BJ996" s="205"/>
      <c r="BK996" s="205"/>
      <c r="BL996" s="205"/>
    </row>
    <row r="997" spans="62:64" x14ac:dyDescent="0.25">
      <c r="BJ997" s="205"/>
      <c r="BK997" s="205"/>
      <c r="BL997" s="205"/>
    </row>
    <row r="998" spans="62:64" x14ac:dyDescent="0.25">
      <c r="BJ998" s="205"/>
      <c r="BK998" s="205"/>
      <c r="BL998" s="205"/>
    </row>
    <row r="999" spans="62:64" x14ac:dyDescent="0.25">
      <c r="BJ999" s="205"/>
      <c r="BK999" s="205"/>
      <c r="BL999" s="205"/>
    </row>
    <row r="1000" spans="62:64" x14ac:dyDescent="0.25">
      <c r="BJ1000" s="205"/>
      <c r="BK1000" s="205"/>
      <c r="BL1000" s="205"/>
    </row>
    <row r="1001" spans="62:64" x14ac:dyDescent="0.25">
      <c r="BJ1001" s="205"/>
      <c r="BK1001" s="205"/>
      <c r="BL1001" s="205"/>
    </row>
    <row r="1002" spans="62:64" x14ac:dyDescent="0.25">
      <c r="BJ1002" s="205"/>
      <c r="BK1002" s="205"/>
      <c r="BL1002" s="205"/>
    </row>
    <row r="1003" spans="62:64" x14ac:dyDescent="0.25">
      <c r="BJ1003" s="205"/>
      <c r="BK1003" s="205"/>
      <c r="BL1003" s="205"/>
    </row>
    <row r="1004" spans="62:64" x14ac:dyDescent="0.25">
      <c r="BJ1004" s="205"/>
      <c r="BK1004" s="205"/>
      <c r="BL1004" s="205"/>
    </row>
    <row r="1005" spans="62:64" x14ac:dyDescent="0.25">
      <c r="BJ1005" s="205"/>
      <c r="BK1005" s="205"/>
      <c r="BL1005" s="205"/>
    </row>
    <row r="1006" spans="62:64" x14ac:dyDescent="0.25">
      <c r="BJ1006" s="205"/>
      <c r="BK1006" s="205"/>
      <c r="BL1006" s="205"/>
    </row>
    <row r="1007" spans="62:64" x14ac:dyDescent="0.25">
      <c r="BJ1007" s="205"/>
      <c r="BK1007" s="205"/>
      <c r="BL1007" s="205"/>
    </row>
    <row r="1008" spans="62:64" x14ac:dyDescent="0.25">
      <c r="BJ1008" s="205"/>
      <c r="BK1008" s="205"/>
      <c r="BL1008" s="205"/>
    </row>
    <row r="1009" spans="62:64" x14ac:dyDescent="0.25">
      <c r="BJ1009" s="205"/>
      <c r="BK1009" s="205"/>
      <c r="BL1009" s="205"/>
    </row>
    <row r="1010" spans="62:64" x14ac:dyDescent="0.25">
      <c r="BJ1010" s="205"/>
      <c r="BK1010" s="205"/>
      <c r="BL1010" s="205"/>
    </row>
    <row r="1011" spans="62:64" x14ac:dyDescent="0.25">
      <c r="BJ1011" s="205"/>
      <c r="BK1011" s="205"/>
      <c r="BL1011" s="205"/>
    </row>
    <row r="1012" spans="62:64" x14ac:dyDescent="0.25">
      <c r="BJ1012" s="205"/>
      <c r="BK1012" s="205"/>
      <c r="BL1012" s="205"/>
    </row>
    <row r="1013" spans="62:64" x14ac:dyDescent="0.25">
      <c r="BJ1013" s="205"/>
      <c r="BK1013" s="205"/>
      <c r="BL1013" s="205"/>
    </row>
    <row r="1014" spans="62:64" x14ac:dyDescent="0.25">
      <c r="BJ1014" s="205"/>
      <c r="BK1014" s="205"/>
      <c r="BL1014" s="205"/>
    </row>
    <row r="1015" spans="62:64" x14ac:dyDescent="0.25">
      <c r="BJ1015" s="205"/>
      <c r="BK1015" s="205"/>
      <c r="BL1015" s="205"/>
    </row>
    <row r="1016" spans="62:64" x14ac:dyDescent="0.25">
      <c r="BJ1016" s="205"/>
      <c r="BK1016" s="205"/>
      <c r="BL1016" s="205"/>
    </row>
    <row r="1017" spans="62:64" x14ac:dyDescent="0.25">
      <c r="BJ1017" s="205"/>
      <c r="BK1017" s="205"/>
      <c r="BL1017" s="205"/>
    </row>
    <row r="1018" spans="62:64" x14ac:dyDescent="0.25">
      <c r="BJ1018" s="205"/>
      <c r="BK1018" s="205"/>
      <c r="BL1018" s="205"/>
    </row>
    <row r="1019" spans="62:64" x14ac:dyDescent="0.25">
      <c r="BJ1019" s="205"/>
      <c r="BK1019" s="205"/>
      <c r="BL1019" s="205"/>
    </row>
    <row r="1020" spans="62:64" x14ac:dyDescent="0.25">
      <c r="BJ1020" s="205"/>
      <c r="BK1020" s="205"/>
      <c r="BL1020" s="205"/>
    </row>
    <row r="1021" spans="62:64" x14ac:dyDescent="0.25">
      <c r="BJ1021" s="205"/>
      <c r="BK1021" s="205"/>
      <c r="BL1021" s="205"/>
    </row>
    <row r="1022" spans="62:64" x14ac:dyDescent="0.25">
      <c r="BJ1022" s="205"/>
      <c r="BK1022" s="205"/>
      <c r="BL1022" s="205"/>
    </row>
    <row r="1023" spans="62:64" x14ac:dyDescent="0.25">
      <c r="BJ1023" s="205"/>
      <c r="BK1023" s="205"/>
      <c r="BL1023" s="205"/>
    </row>
    <row r="1024" spans="62:64" x14ac:dyDescent="0.25">
      <c r="BJ1024" s="205"/>
      <c r="BK1024" s="205"/>
      <c r="BL1024" s="205"/>
    </row>
    <row r="1025" spans="62:64" x14ac:dyDescent="0.25">
      <c r="BJ1025" s="205"/>
      <c r="BK1025" s="205"/>
      <c r="BL1025" s="205"/>
    </row>
    <row r="1026" spans="62:64" x14ac:dyDescent="0.25">
      <c r="BJ1026" s="205"/>
      <c r="BK1026" s="205"/>
      <c r="BL1026" s="205"/>
    </row>
    <row r="1027" spans="62:64" x14ac:dyDescent="0.25">
      <c r="BJ1027" s="205"/>
      <c r="BK1027" s="205"/>
      <c r="BL1027" s="205"/>
    </row>
    <row r="1028" spans="62:64" x14ac:dyDescent="0.25">
      <c r="BJ1028" s="205"/>
      <c r="BK1028" s="205"/>
      <c r="BL1028" s="205"/>
    </row>
    <row r="1029" spans="62:64" x14ac:dyDescent="0.25">
      <c r="BJ1029" s="205"/>
      <c r="BK1029" s="205"/>
      <c r="BL1029" s="205"/>
    </row>
    <row r="1030" spans="62:64" x14ac:dyDescent="0.25">
      <c r="BJ1030" s="205"/>
      <c r="BK1030" s="205"/>
      <c r="BL1030" s="205"/>
    </row>
    <row r="1031" spans="62:64" x14ac:dyDescent="0.25">
      <c r="BJ1031" s="205"/>
      <c r="BK1031" s="205"/>
      <c r="BL1031" s="205"/>
    </row>
    <row r="1032" spans="62:64" x14ac:dyDescent="0.25">
      <c r="BJ1032" s="205"/>
      <c r="BK1032" s="205"/>
      <c r="BL1032" s="205"/>
    </row>
    <row r="1033" spans="62:64" x14ac:dyDescent="0.25">
      <c r="BJ1033" s="205"/>
      <c r="BK1033" s="205"/>
      <c r="BL1033" s="205"/>
    </row>
    <row r="1034" spans="62:64" x14ac:dyDescent="0.25">
      <c r="BJ1034" s="205"/>
      <c r="BK1034" s="205"/>
      <c r="BL1034" s="205"/>
    </row>
    <row r="1035" spans="62:64" x14ac:dyDescent="0.25">
      <c r="BJ1035" s="205"/>
      <c r="BK1035" s="205"/>
      <c r="BL1035" s="205"/>
    </row>
    <row r="1036" spans="62:64" x14ac:dyDescent="0.25">
      <c r="BJ1036" s="205"/>
      <c r="BK1036" s="205"/>
      <c r="BL1036" s="205"/>
    </row>
    <row r="1037" spans="62:64" x14ac:dyDescent="0.25">
      <c r="BJ1037" s="205"/>
      <c r="BK1037" s="205"/>
      <c r="BL1037" s="205"/>
    </row>
    <row r="1038" spans="62:64" x14ac:dyDescent="0.25">
      <c r="BJ1038" s="205"/>
      <c r="BK1038" s="205"/>
      <c r="BL1038" s="205"/>
    </row>
    <row r="1039" spans="62:64" x14ac:dyDescent="0.25">
      <c r="BJ1039" s="205"/>
      <c r="BK1039" s="205"/>
      <c r="BL1039" s="205"/>
    </row>
    <row r="1040" spans="62:64" x14ac:dyDescent="0.25">
      <c r="BJ1040" s="205"/>
      <c r="BK1040" s="205"/>
      <c r="BL1040" s="205"/>
    </row>
    <row r="1041" spans="62:64" x14ac:dyDescent="0.25">
      <c r="BJ1041" s="205"/>
      <c r="BK1041" s="205"/>
      <c r="BL1041" s="205"/>
    </row>
    <row r="1042" spans="62:64" x14ac:dyDescent="0.25">
      <c r="BJ1042" s="205"/>
      <c r="BK1042" s="205"/>
      <c r="BL1042" s="205"/>
    </row>
    <row r="1043" spans="62:64" x14ac:dyDescent="0.25">
      <c r="BJ1043" s="205"/>
      <c r="BK1043" s="205"/>
      <c r="BL1043" s="205"/>
    </row>
    <row r="1044" spans="62:64" x14ac:dyDescent="0.25">
      <c r="BJ1044" s="205"/>
      <c r="BK1044" s="205"/>
      <c r="BL1044" s="205"/>
    </row>
    <row r="1045" spans="62:64" x14ac:dyDescent="0.25">
      <c r="BJ1045" s="205"/>
      <c r="BK1045" s="205"/>
      <c r="BL1045" s="205"/>
    </row>
    <row r="1046" spans="62:64" x14ac:dyDescent="0.25">
      <c r="BJ1046" s="205"/>
      <c r="BK1046" s="205"/>
      <c r="BL1046" s="205"/>
    </row>
    <row r="1047" spans="62:64" x14ac:dyDescent="0.25">
      <c r="BJ1047" s="205"/>
      <c r="BK1047" s="205"/>
      <c r="BL1047" s="205"/>
    </row>
    <row r="1048" spans="62:64" x14ac:dyDescent="0.25">
      <c r="BJ1048" s="205"/>
      <c r="BK1048" s="205"/>
      <c r="BL1048" s="205"/>
    </row>
    <row r="1049" spans="62:64" x14ac:dyDescent="0.25">
      <c r="BJ1049" s="205"/>
      <c r="BK1049" s="205"/>
      <c r="BL1049" s="205"/>
    </row>
    <row r="1050" spans="62:64" x14ac:dyDescent="0.25">
      <c r="BJ1050" s="205"/>
      <c r="BK1050" s="205"/>
      <c r="BL1050" s="205"/>
    </row>
    <row r="1051" spans="62:64" x14ac:dyDescent="0.25">
      <c r="BJ1051" s="205"/>
      <c r="BK1051" s="205"/>
      <c r="BL1051" s="205"/>
    </row>
    <row r="1052" spans="62:64" x14ac:dyDescent="0.25">
      <c r="BJ1052" s="205"/>
      <c r="BK1052" s="205"/>
      <c r="BL1052" s="205"/>
    </row>
    <row r="1053" spans="62:64" x14ac:dyDescent="0.25">
      <c r="BJ1053" s="205"/>
      <c r="BK1053" s="205"/>
      <c r="BL1053" s="205"/>
    </row>
    <row r="1054" spans="62:64" x14ac:dyDescent="0.25">
      <c r="BJ1054" s="205"/>
      <c r="BK1054" s="205"/>
      <c r="BL1054" s="205"/>
    </row>
    <row r="1055" spans="62:64" x14ac:dyDescent="0.25">
      <c r="BJ1055" s="205"/>
      <c r="BK1055" s="205"/>
      <c r="BL1055" s="205"/>
    </row>
    <row r="1056" spans="62:64" x14ac:dyDescent="0.25">
      <c r="BJ1056" s="205"/>
      <c r="BK1056" s="205"/>
      <c r="BL1056" s="205"/>
    </row>
    <row r="1057" spans="62:64" x14ac:dyDescent="0.25">
      <c r="BJ1057" s="205"/>
      <c r="BK1057" s="205"/>
      <c r="BL1057" s="205"/>
    </row>
    <row r="1058" spans="62:64" x14ac:dyDescent="0.25">
      <c r="BJ1058" s="205"/>
      <c r="BK1058" s="205"/>
      <c r="BL1058" s="205"/>
    </row>
    <row r="1059" spans="62:64" x14ac:dyDescent="0.25">
      <c r="BJ1059" s="205"/>
      <c r="BK1059" s="205"/>
      <c r="BL1059" s="205"/>
    </row>
    <row r="1060" spans="62:64" x14ac:dyDescent="0.25">
      <c r="BJ1060" s="205"/>
      <c r="BK1060" s="205"/>
      <c r="BL1060" s="205"/>
    </row>
    <row r="1061" spans="62:64" x14ac:dyDescent="0.25">
      <c r="BJ1061" s="205"/>
      <c r="BK1061" s="205"/>
      <c r="BL1061" s="205"/>
    </row>
    <row r="1062" spans="62:64" x14ac:dyDescent="0.25">
      <c r="BJ1062" s="205"/>
      <c r="BK1062" s="205"/>
      <c r="BL1062" s="205"/>
    </row>
    <row r="1063" spans="62:64" x14ac:dyDescent="0.25">
      <c r="BJ1063" s="205"/>
      <c r="BK1063" s="205"/>
      <c r="BL1063" s="205"/>
    </row>
    <row r="1064" spans="62:64" x14ac:dyDescent="0.25">
      <c r="BJ1064" s="205"/>
      <c r="BK1064" s="205"/>
      <c r="BL1064" s="205"/>
    </row>
    <row r="1065" spans="62:64" x14ac:dyDescent="0.25">
      <c r="BJ1065" s="205"/>
      <c r="BK1065" s="205"/>
      <c r="BL1065" s="205"/>
    </row>
    <row r="1066" spans="62:64" x14ac:dyDescent="0.25">
      <c r="BJ1066" s="205"/>
      <c r="BK1066" s="205"/>
      <c r="BL1066" s="205"/>
    </row>
    <row r="1067" spans="62:64" x14ac:dyDescent="0.25">
      <c r="BJ1067" s="205"/>
      <c r="BK1067" s="205"/>
      <c r="BL1067" s="205"/>
    </row>
    <row r="1068" spans="62:64" x14ac:dyDescent="0.25">
      <c r="BJ1068" s="205"/>
      <c r="BK1068" s="205"/>
      <c r="BL1068" s="205"/>
    </row>
    <row r="1069" spans="62:64" x14ac:dyDescent="0.25">
      <c r="BJ1069" s="205"/>
      <c r="BK1069" s="205"/>
      <c r="BL1069" s="205"/>
    </row>
    <row r="1070" spans="62:64" x14ac:dyDescent="0.25">
      <c r="BJ1070" s="205"/>
      <c r="BK1070" s="205"/>
      <c r="BL1070" s="205"/>
    </row>
    <row r="1071" spans="62:64" x14ac:dyDescent="0.25">
      <c r="BJ1071" s="205"/>
      <c r="BK1071" s="205"/>
      <c r="BL1071" s="205"/>
    </row>
    <row r="1072" spans="62:64" x14ac:dyDescent="0.25">
      <c r="BJ1072" s="205"/>
      <c r="BK1072" s="205"/>
      <c r="BL1072" s="205"/>
    </row>
    <row r="1073" spans="62:64" x14ac:dyDescent="0.25">
      <c r="BJ1073" s="205"/>
      <c r="BK1073" s="205"/>
      <c r="BL1073" s="205"/>
    </row>
    <row r="1074" spans="62:64" x14ac:dyDescent="0.25">
      <c r="BJ1074" s="205"/>
      <c r="BK1074" s="205"/>
      <c r="BL1074" s="205"/>
    </row>
    <row r="1075" spans="62:64" x14ac:dyDescent="0.25">
      <c r="BJ1075" s="205"/>
      <c r="BK1075" s="205"/>
      <c r="BL1075" s="205"/>
    </row>
    <row r="1076" spans="62:64" x14ac:dyDescent="0.25">
      <c r="BJ1076" s="205"/>
      <c r="BK1076" s="205"/>
      <c r="BL1076" s="205"/>
    </row>
    <row r="1077" spans="62:64" x14ac:dyDescent="0.25">
      <c r="BJ1077" s="205"/>
      <c r="BK1077" s="205"/>
      <c r="BL1077" s="205"/>
    </row>
    <row r="1078" spans="62:64" x14ac:dyDescent="0.25">
      <c r="BJ1078" s="205"/>
      <c r="BK1078" s="205"/>
      <c r="BL1078" s="205"/>
    </row>
    <row r="1079" spans="62:64" x14ac:dyDescent="0.25">
      <c r="BJ1079" s="205"/>
      <c r="BK1079" s="205"/>
      <c r="BL1079" s="205"/>
    </row>
    <row r="1080" spans="62:64" x14ac:dyDescent="0.25">
      <c r="BJ1080" s="205"/>
      <c r="BK1080" s="205"/>
      <c r="BL1080" s="205"/>
    </row>
    <row r="1081" spans="62:64" x14ac:dyDescent="0.25">
      <c r="BJ1081" s="205"/>
      <c r="BK1081" s="205"/>
      <c r="BL1081" s="205"/>
    </row>
    <row r="1082" spans="62:64" x14ac:dyDescent="0.25">
      <c r="BJ1082" s="205"/>
      <c r="BK1082" s="205"/>
      <c r="BL1082" s="205"/>
    </row>
    <row r="1083" spans="62:64" x14ac:dyDescent="0.25">
      <c r="BJ1083" s="205"/>
      <c r="BK1083" s="205"/>
      <c r="BL1083" s="205"/>
    </row>
    <row r="1084" spans="62:64" x14ac:dyDescent="0.25">
      <c r="BJ1084" s="205"/>
      <c r="BK1084" s="205"/>
      <c r="BL1084" s="205"/>
    </row>
    <row r="1085" spans="62:64" x14ac:dyDescent="0.25">
      <c r="BJ1085" s="205"/>
      <c r="BK1085" s="205"/>
      <c r="BL1085" s="205"/>
    </row>
    <row r="1086" spans="62:64" x14ac:dyDescent="0.25">
      <c r="BJ1086" s="205"/>
      <c r="BK1086" s="205"/>
      <c r="BL1086" s="205"/>
    </row>
    <row r="1087" spans="62:64" x14ac:dyDescent="0.25">
      <c r="BJ1087" s="205"/>
      <c r="BK1087" s="205"/>
      <c r="BL1087" s="205"/>
    </row>
    <row r="1088" spans="62:64" x14ac:dyDescent="0.25">
      <c r="BJ1088" s="205"/>
      <c r="BK1088" s="205"/>
      <c r="BL1088" s="205"/>
    </row>
    <row r="1089" spans="62:64" x14ac:dyDescent="0.25">
      <c r="BJ1089" s="205"/>
      <c r="BK1089" s="205"/>
      <c r="BL1089" s="205"/>
    </row>
    <row r="1090" spans="62:64" x14ac:dyDescent="0.25">
      <c r="BJ1090" s="205"/>
      <c r="BK1090" s="205"/>
      <c r="BL1090" s="205"/>
    </row>
    <row r="1091" spans="62:64" x14ac:dyDescent="0.25">
      <c r="BJ1091" s="205"/>
      <c r="BK1091" s="205"/>
      <c r="BL1091" s="205"/>
    </row>
    <row r="1092" spans="62:64" x14ac:dyDescent="0.25">
      <c r="BJ1092" s="205"/>
      <c r="BK1092" s="205"/>
      <c r="BL1092" s="205"/>
    </row>
    <row r="1093" spans="62:64" x14ac:dyDescent="0.25">
      <c r="BJ1093" s="205"/>
      <c r="BK1093" s="205"/>
      <c r="BL1093" s="205"/>
    </row>
    <row r="1094" spans="62:64" x14ac:dyDescent="0.25">
      <c r="BJ1094" s="205"/>
      <c r="BK1094" s="205"/>
      <c r="BL1094" s="205"/>
    </row>
    <row r="1095" spans="62:64" x14ac:dyDescent="0.25">
      <c r="BJ1095" s="205"/>
      <c r="BK1095" s="205"/>
      <c r="BL1095" s="205"/>
    </row>
    <row r="1096" spans="62:64" x14ac:dyDescent="0.25">
      <c r="BJ1096" s="205"/>
      <c r="BK1096" s="205"/>
      <c r="BL1096" s="205"/>
    </row>
    <row r="1097" spans="62:64" x14ac:dyDescent="0.25">
      <c r="BJ1097" s="205"/>
      <c r="BK1097" s="205"/>
      <c r="BL1097" s="205"/>
    </row>
    <row r="1098" spans="62:64" x14ac:dyDescent="0.25">
      <c r="BJ1098" s="205"/>
      <c r="BK1098" s="205"/>
      <c r="BL1098" s="205"/>
    </row>
    <row r="1099" spans="62:64" x14ac:dyDescent="0.25">
      <c r="BJ1099" s="205"/>
      <c r="BK1099" s="205"/>
      <c r="BL1099" s="205"/>
    </row>
    <row r="1100" spans="62:64" x14ac:dyDescent="0.25">
      <c r="BJ1100" s="205"/>
      <c r="BK1100" s="205"/>
      <c r="BL1100" s="205"/>
    </row>
    <row r="1101" spans="62:64" x14ac:dyDescent="0.25">
      <c r="BJ1101" s="205"/>
      <c r="BK1101" s="205"/>
      <c r="BL1101" s="205"/>
    </row>
    <row r="1102" spans="62:64" x14ac:dyDescent="0.25">
      <c r="BJ1102" s="205"/>
      <c r="BK1102" s="205"/>
      <c r="BL1102" s="205"/>
    </row>
    <row r="1103" spans="62:64" x14ac:dyDescent="0.25">
      <c r="BJ1103" s="205"/>
      <c r="BK1103" s="205"/>
      <c r="BL1103" s="205"/>
    </row>
    <row r="1104" spans="62:64" x14ac:dyDescent="0.25">
      <c r="BJ1104" s="205"/>
      <c r="BK1104" s="205"/>
      <c r="BL1104" s="205"/>
    </row>
    <row r="1105" spans="62:64" x14ac:dyDescent="0.25">
      <c r="BJ1105" s="205"/>
      <c r="BK1105" s="205"/>
      <c r="BL1105" s="205"/>
    </row>
    <row r="1106" spans="62:64" x14ac:dyDescent="0.25">
      <c r="BJ1106" s="205"/>
      <c r="BK1106" s="205"/>
      <c r="BL1106" s="205"/>
    </row>
    <row r="1107" spans="62:64" x14ac:dyDescent="0.25">
      <c r="BJ1107" s="205"/>
      <c r="BK1107" s="205"/>
      <c r="BL1107" s="205"/>
    </row>
    <row r="1108" spans="62:64" x14ac:dyDescent="0.25">
      <c r="BJ1108" s="205"/>
      <c r="BK1108" s="205"/>
      <c r="BL1108" s="205"/>
    </row>
    <row r="1109" spans="62:64" x14ac:dyDescent="0.25">
      <c r="BJ1109" s="205"/>
      <c r="BK1109" s="205"/>
      <c r="BL1109" s="205"/>
    </row>
    <row r="1110" spans="62:64" x14ac:dyDescent="0.25">
      <c r="BJ1110" s="205"/>
      <c r="BK1110" s="205"/>
      <c r="BL1110" s="205"/>
    </row>
    <row r="1111" spans="62:64" x14ac:dyDescent="0.25">
      <c r="BJ1111" s="205"/>
      <c r="BK1111" s="205"/>
      <c r="BL1111" s="205"/>
    </row>
    <row r="1112" spans="62:64" x14ac:dyDescent="0.25">
      <c r="BJ1112" s="205"/>
      <c r="BK1112" s="205"/>
      <c r="BL1112" s="205"/>
    </row>
    <row r="1113" spans="62:64" x14ac:dyDescent="0.25">
      <c r="BJ1113" s="205"/>
      <c r="BK1113" s="205"/>
      <c r="BL1113" s="205"/>
    </row>
    <row r="1114" spans="62:64" x14ac:dyDescent="0.25">
      <c r="BJ1114" s="205"/>
      <c r="BK1114" s="205"/>
      <c r="BL1114" s="205"/>
    </row>
    <row r="1115" spans="62:64" x14ac:dyDescent="0.25">
      <c r="BJ1115" s="205"/>
      <c r="BK1115" s="205"/>
      <c r="BL1115" s="205"/>
    </row>
    <row r="1116" spans="62:64" x14ac:dyDescent="0.25">
      <c r="BJ1116" s="205"/>
      <c r="BK1116" s="205"/>
      <c r="BL1116" s="205"/>
    </row>
    <row r="1117" spans="62:64" x14ac:dyDescent="0.25">
      <c r="BJ1117" s="205"/>
      <c r="BK1117" s="205"/>
      <c r="BL1117" s="205"/>
    </row>
    <row r="1118" spans="62:64" x14ac:dyDescent="0.25">
      <c r="BJ1118" s="205"/>
      <c r="BK1118" s="205"/>
      <c r="BL1118" s="205"/>
    </row>
    <row r="1119" spans="62:64" x14ac:dyDescent="0.25">
      <c r="BJ1119" s="205"/>
      <c r="BK1119" s="205"/>
      <c r="BL1119" s="205"/>
    </row>
    <row r="1120" spans="62:64" x14ac:dyDescent="0.25">
      <c r="BJ1120" s="205"/>
      <c r="BK1120" s="205"/>
      <c r="BL1120" s="205"/>
    </row>
    <row r="1121" spans="62:64" x14ac:dyDescent="0.25">
      <c r="BJ1121" s="205"/>
      <c r="BK1121" s="205"/>
      <c r="BL1121" s="205"/>
    </row>
    <row r="1122" spans="62:64" x14ac:dyDescent="0.25">
      <c r="BJ1122" s="205"/>
      <c r="BK1122" s="205"/>
      <c r="BL1122" s="205"/>
    </row>
    <row r="1123" spans="62:64" x14ac:dyDescent="0.25">
      <c r="BJ1123" s="205"/>
      <c r="BK1123" s="205"/>
      <c r="BL1123" s="205"/>
    </row>
    <row r="1124" spans="62:64" x14ac:dyDescent="0.25">
      <c r="BJ1124" s="205"/>
      <c r="BK1124" s="205"/>
      <c r="BL1124" s="205"/>
    </row>
    <row r="1125" spans="62:64" x14ac:dyDescent="0.25">
      <c r="BJ1125" s="205"/>
      <c r="BK1125" s="205"/>
      <c r="BL1125" s="205"/>
    </row>
    <row r="1126" spans="62:64" x14ac:dyDescent="0.25">
      <c r="BJ1126" s="205"/>
      <c r="BK1126" s="205"/>
      <c r="BL1126" s="205"/>
    </row>
    <row r="1127" spans="62:64" x14ac:dyDescent="0.25">
      <c r="BJ1127" s="205"/>
      <c r="BK1127" s="205"/>
      <c r="BL1127" s="205"/>
    </row>
    <row r="1128" spans="62:64" x14ac:dyDescent="0.25">
      <c r="BJ1128" s="205"/>
      <c r="BK1128" s="205"/>
      <c r="BL1128" s="205"/>
    </row>
    <row r="1129" spans="62:64" x14ac:dyDescent="0.25">
      <c r="BJ1129" s="205"/>
      <c r="BK1129" s="205"/>
      <c r="BL1129" s="205"/>
    </row>
    <row r="1130" spans="62:64" x14ac:dyDescent="0.25">
      <c r="BJ1130" s="205"/>
      <c r="BK1130" s="205"/>
      <c r="BL1130" s="205"/>
    </row>
    <row r="1131" spans="62:64" x14ac:dyDescent="0.25">
      <c r="BJ1131" s="205"/>
      <c r="BK1131" s="205"/>
      <c r="BL1131" s="205"/>
    </row>
    <row r="1132" spans="62:64" x14ac:dyDescent="0.25">
      <c r="BJ1132" s="205"/>
      <c r="BK1132" s="205"/>
      <c r="BL1132" s="205"/>
    </row>
    <row r="1133" spans="62:64" x14ac:dyDescent="0.25">
      <c r="BJ1133" s="205"/>
      <c r="BK1133" s="205"/>
      <c r="BL1133" s="205"/>
    </row>
    <row r="1134" spans="62:64" x14ac:dyDescent="0.25">
      <c r="BJ1134" s="205"/>
      <c r="BK1134" s="205"/>
      <c r="BL1134" s="205"/>
    </row>
    <row r="1135" spans="62:64" x14ac:dyDescent="0.25">
      <c r="BJ1135" s="205"/>
      <c r="BK1135" s="205"/>
      <c r="BL1135" s="205"/>
    </row>
    <row r="1136" spans="62:64" x14ac:dyDescent="0.25">
      <c r="BJ1136" s="205"/>
      <c r="BK1136" s="205"/>
      <c r="BL1136" s="205"/>
    </row>
    <row r="1137" spans="62:64" x14ac:dyDescent="0.25">
      <c r="BJ1137" s="205"/>
      <c r="BK1137" s="205"/>
      <c r="BL1137" s="205"/>
    </row>
    <row r="1138" spans="62:64" x14ac:dyDescent="0.25">
      <c r="BJ1138" s="205"/>
      <c r="BK1138" s="205"/>
      <c r="BL1138" s="205"/>
    </row>
    <row r="1139" spans="62:64" x14ac:dyDescent="0.25">
      <c r="BJ1139" s="205"/>
      <c r="BK1139" s="205"/>
      <c r="BL1139" s="205"/>
    </row>
    <row r="1140" spans="62:64" x14ac:dyDescent="0.25">
      <c r="BJ1140" s="205"/>
      <c r="BK1140" s="205"/>
      <c r="BL1140" s="205"/>
    </row>
    <row r="1141" spans="62:64" x14ac:dyDescent="0.25">
      <c r="BJ1141" s="205"/>
      <c r="BK1141" s="205"/>
      <c r="BL1141" s="205"/>
    </row>
    <row r="1142" spans="62:64" x14ac:dyDescent="0.25">
      <c r="BJ1142" s="205"/>
      <c r="BK1142" s="205"/>
      <c r="BL1142" s="205"/>
    </row>
    <row r="1143" spans="62:64" x14ac:dyDescent="0.25">
      <c r="BJ1143" s="205"/>
      <c r="BK1143" s="205"/>
      <c r="BL1143" s="205"/>
    </row>
    <row r="1144" spans="62:64" x14ac:dyDescent="0.25">
      <c r="BJ1144" s="205"/>
      <c r="BK1144" s="205"/>
      <c r="BL1144" s="205"/>
    </row>
    <row r="1145" spans="62:64" x14ac:dyDescent="0.25">
      <c r="BJ1145" s="205"/>
      <c r="BK1145" s="205"/>
      <c r="BL1145" s="205"/>
    </row>
    <row r="1146" spans="62:64" x14ac:dyDescent="0.25">
      <c r="BJ1146" s="205"/>
      <c r="BK1146" s="205"/>
      <c r="BL1146" s="205"/>
    </row>
    <row r="1147" spans="62:64" x14ac:dyDescent="0.25">
      <c r="BJ1147" s="205"/>
      <c r="BK1147" s="205"/>
      <c r="BL1147" s="205"/>
    </row>
    <row r="1148" spans="62:64" x14ac:dyDescent="0.25">
      <c r="BJ1148" s="205"/>
      <c r="BK1148" s="205"/>
      <c r="BL1148" s="205"/>
    </row>
    <row r="1149" spans="62:64" x14ac:dyDescent="0.25">
      <c r="BJ1149" s="205"/>
      <c r="BK1149" s="205"/>
      <c r="BL1149" s="205"/>
    </row>
    <row r="1150" spans="62:64" x14ac:dyDescent="0.25">
      <c r="BJ1150" s="205"/>
      <c r="BK1150" s="205"/>
      <c r="BL1150" s="205"/>
    </row>
    <row r="1151" spans="62:64" x14ac:dyDescent="0.25">
      <c r="BJ1151" s="205"/>
      <c r="BK1151" s="205"/>
      <c r="BL1151" s="205"/>
    </row>
    <row r="1152" spans="62:64" x14ac:dyDescent="0.25">
      <c r="BJ1152" s="205"/>
      <c r="BK1152" s="205"/>
      <c r="BL1152" s="205"/>
    </row>
    <row r="1153" spans="62:64" x14ac:dyDescent="0.25">
      <c r="BJ1153" s="205"/>
      <c r="BK1153" s="205"/>
      <c r="BL1153" s="205"/>
    </row>
    <row r="1154" spans="62:64" x14ac:dyDescent="0.25">
      <c r="BJ1154" s="205"/>
      <c r="BK1154" s="205"/>
      <c r="BL1154" s="205"/>
    </row>
    <row r="1155" spans="62:64" x14ac:dyDescent="0.25">
      <c r="BJ1155" s="205"/>
      <c r="BK1155" s="205"/>
      <c r="BL1155" s="205"/>
    </row>
    <row r="1156" spans="62:64" x14ac:dyDescent="0.25">
      <c r="BJ1156" s="205"/>
      <c r="BK1156" s="205"/>
      <c r="BL1156" s="205"/>
    </row>
    <row r="1157" spans="62:64" x14ac:dyDescent="0.25">
      <c r="BJ1157" s="205"/>
      <c r="BK1157" s="205"/>
      <c r="BL1157" s="205"/>
    </row>
    <row r="1158" spans="62:64" x14ac:dyDescent="0.25">
      <c r="BJ1158" s="205"/>
      <c r="BK1158" s="205"/>
      <c r="BL1158" s="205"/>
    </row>
    <row r="1159" spans="62:64" x14ac:dyDescent="0.25">
      <c r="BJ1159" s="205"/>
      <c r="BK1159" s="205"/>
      <c r="BL1159" s="205"/>
    </row>
    <row r="1160" spans="62:64" x14ac:dyDescent="0.25">
      <c r="BJ1160" s="205"/>
      <c r="BK1160" s="205"/>
      <c r="BL1160" s="205"/>
    </row>
    <row r="1161" spans="62:64" x14ac:dyDescent="0.25">
      <c r="BJ1161" s="205"/>
      <c r="BK1161" s="205"/>
      <c r="BL1161" s="205"/>
    </row>
    <row r="1162" spans="62:64" x14ac:dyDescent="0.25">
      <c r="BJ1162" s="205"/>
      <c r="BK1162" s="205"/>
      <c r="BL1162" s="205"/>
    </row>
    <row r="1163" spans="62:64" x14ac:dyDescent="0.25">
      <c r="BJ1163" s="205"/>
      <c r="BK1163" s="205"/>
      <c r="BL1163" s="205"/>
    </row>
    <row r="1164" spans="62:64" x14ac:dyDescent="0.25">
      <c r="BJ1164" s="205"/>
      <c r="BK1164" s="205"/>
      <c r="BL1164" s="205"/>
    </row>
    <row r="1165" spans="62:64" x14ac:dyDescent="0.25">
      <c r="BJ1165" s="205"/>
      <c r="BK1165" s="205"/>
      <c r="BL1165" s="205"/>
    </row>
    <row r="1166" spans="62:64" x14ac:dyDescent="0.25">
      <c r="BJ1166" s="205"/>
      <c r="BK1166" s="205"/>
      <c r="BL1166" s="205"/>
    </row>
    <row r="1167" spans="62:64" x14ac:dyDescent="0.25">
      <c r="BJ1167" s="205"/>
      <c r="BK1167" s="205"/>
      <c r="BL1167" s="205"/>
    </row>
    <row r="1168" spans="62:64" x14ac:dyDescent="0.25">
      <c r="BJ1168" s="205"/>
      <c r="BK1168" s="205"/>
      <c r="BL1168" s="205"/>
    </row>
    <row r="1169" spans="62:64" x14ac:dyDescent="0.25">
      <c r="BJ1169" s="205"/>
      <c r="BK1169" s="205"/>
      <c r="BL1169" s="205"/>
    </row>
    <row r="1170" spans="62:64" x14ac:dyDescent="0.25">
      <c r="BJ1170" s="205"/>
      <c r="BK1170" s="205"/>
      <c r="BL1170" s="205"/>
    </row>
    <row r="1171" spans="62:64" x14ac:dyDescent="0.25">
      <c r="BJ1171" s="205"/>
      <c r="BK1171" s="205"/>
      <c r="BL1171" s="205"/>
    </row>
    <row r="1172" spans="62:64" x14ac:dyDescent="0.25">
      <c r="BJ1172" s="205"/>
      <c r="BK1172" s="205"/>
      <c r="BL1172" s="205"/>
    </row>
    <row r="1173" spans="62:64" x14ac:dyDescent="0.25">
      <c r="BJ1173" s="205"/>
      <c r="BK1173" s="205"/>
      <c r="BL1173" s="205"/>
    </row>
    <row r="1174" spans="62:64" x14ac:dyDescent="0.25">
      <c r="BJ1174" s="205"/>
      <c r="BK1174" s="205"/>
      <c r="BL1174" s="205"/>
    </row>
    <row r="1175" spans="62:64" x14ac:dyDescent="0.25">
      <c r="BJ1175" s="205"/>
      <c r="BK1175" s="205"/>
      <c r="BL1175" s="205"/>
    </row>
    <row r="1176" spans="62:64" x14ac:dyDescent="0.25">
      <c r="BJ1176" s="205"/>
      <c r="BK1176" s="205"/>
      <c r="BL1176" s="205"/>
    </row>
    <row r="1177" spans="62:64" x14ac:dyDescent="0.25">
      <c r="BJ1177" s="205"/>
      <c r="BK1177" s="205"/>
      <c r="BL1177" s="205"/>
    </row>
    <row r="1178" spans="62:64" x14ac:dyDescent="0.25">
      <c r="BJ1178" s="205"/>
      <c r="BK1178" s="205"/>
      <c r="BL1178" s="205"/>
    </row>
    <row r="1179" spans="62:64" x14ac:dyDescent="0.25">
      <c r="BJ1179" s="205"/>
      <c r="BK1179" s="205"/>
      <c r="BL1179" s="205"/>
    </row>
    <row r="1180" spans="62:64" x14ac:dyDescent="0.25">
      <c r="BJ1180" s="205"/>
      <c r="BK1180" s="205"/>
      <c r="BL1180" s="205"/>
    </row>
    <row r="1181" spans="62:64" x14ac:dyDescent="0.25">
      <c r="BJ1181" s="205"/>
      <c r="BK1181" s="205"/>
      <c r="BL1181" s="205"/>
    </row>
    <row r="1182" spans="62:64" x14ac:dyDescent="0.25">
      <c r="BJ1182" s="205"/>
      <c r="BK1182" s="205"/>
      <c r="BL1182" s="205"/>
    </row>
    <row r="1183" spans="62:64" x14ac:dyDescent="0.25">
      <c r="BJ1183" s="205"/>
      <c r="BK1183" s="205"/>
      <c r="BL1183" s="205"/>
    </row>
    <row r="1184" spans="62:64" x14ac:dyDescent="0.25">
      <c r="BJ1184" s="205"/>
      <c r="BK1184" s="205"/>
      <c r="BL1184" s="205"/>
    </row>
    <row r="1185" spans="62:64" x14ac:dyDescent="0.25">
      <c r="BJ1185" s="205"/>
      <c r="BK1185" s="205"/>
      <c r="BL1185" s="205"/>
    </row>
    <row r="1186" spans="62:64" x14ac:dyDescent="0.25">
      <c r="BJ1186" s="205"/>
      <c r="BK1186" s="205"/>
      <c r="BL1186" s="205"/>
    </row>
    <row r="1187" spans="62:64" x14ac:dyDescent="0.25">
      <c r="BJ1187" s="205"/>
      <c r="BK1187" s="205"/>
      <c r="BL1187" s="205"/>
    </row>
    <row r="1188" spans="62:64" x14ac:dyDescent="0.25">
      <c r="BJ1188" s="205"/>
      <c r="BK1188" s="205"/>
      <c r="BL1188" s="205"/>
    </row>
    <row r="1189" spans="62:64" x14ac:dyDescent="0.25">
      <c r="BJ1189" s="205"/>
      <c r="BK1189" s="205"/>
      <c r="BL1189" s="205"/>
    </row>
    <row r="1190" spans="62:64" x14ac:dyDescent="0.25">
      <c r="BJ1190" s="205"/>
      <c r="BK1190" s="205"/>
      <c r="BL1190" s="205"/>
    </row>
    <row r="1191" spans="62:64" x14ac:dyDescent="0.25">
      <c r="BJ1191" s="205"/>
      <c r="BK1191" s="205"/>
      <c r="BL1191" s="205"/>
    </row>
    <row r="1192" spans="62:64" x14ac:dyDescent="0.25">
      <c r="BJ1192" s="205"/>
      <c r="BK1192" s="205"/>
      <c r="BL1192" s="205"/>
    </row>
    <row r="1193" spans="62:64" x14ac:dyDescent="0.25">
      <c r="BJ1193" s="205"/>
      <c r="BK1193" s="205"/>
      <c r="BL1193" s="205"/>
    </row>
    <row r="1194" spans="62:64" x14ac:dyDescent="0.25">
      <c r="BJ1194" s="205"/>
      <c r="BK1194" s="205"/>
      <c r="BL1194" s="205"/>
    </row>
    <row r="1195" spans="62:64" x14ac:dyDescent="0.25">
      <c r="BJ1195" s="205"/>
      <c r="BK1195" s="205"/>
      <c r="BL1195" s="205"/>
    </row>
    <row r="1196" spans="62:64" x14ac:dyDescent="0.25">
      <c r="BJ1196" s="205"/>
      <c r="BK1196" s="205"/>
      <c r="BL1196" s="205"/>
    </row>
    <row r="1197" spans="62:64" x14ac:dyDescent="0.25">
      <c r="BJ1197" s="205"/>
      <c r="BK1197" s="205"/>
      <c r="BL1197" s="205"/>
    </row>
    <row r="1198" spans="62:64" x14ac:dyDescent="0.25">
      <c r="BJ1198" s="205"/>
      <c r="BK1198" s="205"/>
      <c r="BL1198" s="205"/>
    </row>
    <row r="1199" spans="62:64" x14ac:dyDescent="0.25">
      <c r="BJ1199" s="205"/>
      <c r="BK1199" s="205"/>
      <c r="BL1199" s="205"/>
    </row>
    <row r="1200" spans="62:64" x14ac:dyDescent="0.25">
      <c r="BJ1200" s="205"/>
      <c r="BK1200" s="205"/>
      <c r="BL1200" s="205"/>
    </row>
    <row r="1201" spans="62:64" x14ac:dyDescent="0.25">
      <c r="BJ1201" s="205"/>
      <c r="BK1201" s="205"/>
      <c r="BL1201" s="205"/>
    </row>
    <row r="1202" spans="62:64" x14ac:dyDescent="0.25">
      <c r="BJ1202" s="205"/>
      <c r="BK1202" s="205"/>
      <c r="BL1202" s="205"/>
    </row>
    <row r="1203" spans="62:64" x14ac:dyDescent="0.25">
      <c r="BJ1203" s="205"/>
      <c r="BK1203" s="205"/>
      <c r="BL1203" s="205"/>
    </row>
    <row r="1204" spans="62:64" x14ac:dyDescent="0.25">
      <c r="BJ1204" s="205"/>
      <c r="BK1204" s="205"/>
      <c r="BL1204" s="205"/>
    </row>
    <row r="1205" spans="62:64" x14ac:dyDescent="0.25">
      <c r="BJ1205" s="205"/>
      <c r="BK1205" s="205"/>
      <c r="BL1205" s="205"/>
    </row>
    <row r="1206" spans="62:64" x14ac:dyDescent="0.25">
      <c r="BJ1206" s="205"/>
      <c r="BK1206" s="205"/>
      <c r="BL1206" s="205"/>
    </row>
    <row r="1207" spans="62:64" x14ac:dyDescent="0.25">
      <c r="BJ1207" s="205"/>
      <c r="BK1207" s="205"/>
      <c r="BL1207" s="205"/>
    </row>
    <row r="1208" spans="62:64" x14ac:dyDescent="0.25">
      <c r="BJ1208" s="205"/>
      <c r="BK1208" s="205"/>
      <c r="BL1208" s="205"/>
    </row>
    <row r="1209" spans="62:64" x14ac:dyDescent="0.25">
      <c r="BJ1209" s="205"/>
      <c r="BK1209" s="205"/>
      <c r="BL1209" s="205"/>
    </row>
    <row r="1210" spans="62:64" x14ac:dyDescent="0.25">
      <c r="BJ1210" s="205"/>
      <c r="BK1210" s="205"/>
      <c r="BL1210" s="205"/>
    </row>
    <row r="1211" spans="62:64" x14ac:dyDescent="0.25">
      <c r="BJ1211" s="205"/>
      <c r="BK1211" s="205"/>
      <c r="BL1211" s="205"/>
    </row>
    <row r="1212" spans="62:64" x14ac:dyDescent="0.25">
      <c r="BJ1212" s="205"/>
      <c r="BK1212" s="205"/>
      <c r="BL1212" s="205"/>
    </row>
    <row r="1213" spans="62:64" x14ac:dyDescent="0.25">
      <c r="BJ1213" s="205"/>
      <c r="BK1213" s="205"/>
      <c r="BL1213" s="205"/>
    </row>
    <row r="1214" spans="62:64" x14ac:dyDescent="0.25">
      <c r="BJ1214" s="205"/>
      <c r="BK1214" s="205"/>
      <c r="BL1214" s="205"/>
    </row>
    <row r="1215" spans="62:64" x14ac:dyDescent="0.25">
      <c r="BJ1215" s="205"/>
      <c r="BK1215" s="205"/>
      <c r="BL1215" s="205"/>
    </row>
    <row r="1216" spans="62:64" x14ac:dyDescent="0.25">
      <c r="BJ1216" s="205"/>
      <c r="BK1216" s="205"/>
      <c r="BL1216" s="205"/>
    </row>
    <row r="1217" spans="62:64" x14ac:dyDescent="0.25">
      <c r="BJ1217" s="205"/>
      <c r="BK1217" s="205"/>
      <c r="BL1217" s="205"/>
    </row>
    <row r="1218" spans="62:64" x14ac:dyDescent="0.25">
      <c r="BJ1218" s="205"/>
      <c r="BK1218" s="205"/>
      <c r="BL1218" s="205"/>
    </row>
    <row r="1219" spans="62:64" x14ac:dyDescent="0.25">
      <c r="BJ1219" s="205"/>
      <c r="BK1219" s="205"/>
      <c r="BL1219" s="205"/>
    </row>
    <row r="1220" spans="62:64" x14ac:dyDescent="0.25">
      <c r="BJ1220" s="205"/>
      <c r="BK1220" s="205"/>
      <c r="BL1220" s="205"/>
    </row>
    <row r="1221" spans="62:64" x14ac:dyDescent="0.25">
      <c r="BJ1221" s="205"/>
      <c r="BK1221" s="205"/>
      <c r="BL1221" s="205"/>
    </row>
    <row r="1222" spans="62:64" x14ac:dyDescent="0.25">
      <c r="BJ1222" s="205"/>
      <c r="BK1222" s="205"/>
      <c r="BL1222" s="205"/>
    </row>
    <row r="1223" spans="62:64" x14ac:dyDescent="0.25">
      <c r="BJ1223" s="205"/>
      <c r="BK1223" s="205"/>
      <c r="BL1223" s="205"/>
    </row>
    <row r="1224" spans="62:64" x14ac:dyDescent="0.25">
      <c r="BJ1224" s="205"/>
      <c r="BK1224" s="205"/>
      <c r="BL1224" s="205"/>
    </row>
    <row r="1225" spans="62:64" x14ac:dyDescent="0.25">
      <c r="BJ1225" s="205"/>
      <c r="BK1225" s="205"/>
      <c r="BL1225" s="205"/>
    </row>
    <row r="1226" spans="62:64" x14ac:dyDescent="0.25">
      <c r="BJ1226" s="205"/>
      <c r="BK1226" s="205"/>
      <c r="BL1226" s="205"/>
    </row>
    <row r="1227" spans="62:64" x14ac:dyDescent="0.25">
      <c r="BJ1227" s="205"/>
      <c r="BK1227" s="205"/>
      <c r="BL1227" s="205"/>
    </row>
    <row r="1228" spans="62:64" x14ac:dyDescent="0.25">
      <c r="BJ1228" s="205"/>
      <c r="BK1228" s="205"/>
      <c r="BL1228" s="205"/>
    </row>
    <row r="1229" spans="62:64" x14ac:dyDescent="0.25">
      <c r="BJ1229" s="205"/>
      <c r="BK1229" s="205"/>
      <c r="BL1229" s="205"/>
    </row>
    <row r="1230" spans="62:64" x14ac:dyDescent="0.25">
      <c r="BJ1230" s="205"/>
      <c r="BK1230" s="205"/>
      <c r="BL1230" s="205"/>
    </row>
    <row r="1231" spans="62:64" x14ac:dyDescent="0.25">
      <c r="BJ1231" s="205"/>
      <c r="BK1231" s="205"/>
      <c r="BL1231" s="205"/>
    </row>
    <row r="1232" spans="62:64" x14ac:dyDescent="0.25">
      <c r="BJ1232" s="205"/>
      <c r="BK1232" s="205"/>
      <c r="BL1232" s="205"/>
    </row>
    <row r="1233" spans="62:64" x14ac:dyDescent="0.25">
      <c r="BJ1233" s="205"/>
      <c r="BK1233" s="205"/>
      <c r="BL1233" s="205"/>
    </row>
    <row r="1234" spans="62:64" x14ac:dyDescent="0.25">
      <c r="BJ1234" s="205"/>
      <c r="BK1234" s="205"/>
      <c r="BL1234" s="205"/>
    </row>
    <row r="1235" spans="62:64" x14ac:dyDescent="0.25">
      <c r="BJ1235" s="205"/>
      <c r="BK1235" s="205"/>
      <c r="BL1235" s="205"/>
    </row>
    <row r="1236" spans="62:64" x14ac:dyDescent="0.25">
      <c r="BJ1236" s="205"/>
      <c r="BK1236" s="205"/>
      <c r="BL1236" s="205"/>
    </row>
    <row r="1237" spans="62:64" x14ac:dyDescent="0.25">
      <c r="BJ1237" s="205"/>
      <c r="BK1237" s="205"/>
      <c r="BL1237" s="205"/>
    </row>
    <row r="1238" spans="62:64" x14ac:dyDescent="0.25">
      <c r="BJ1238" s="205"/>
      <c r="BK1238" s="205"/>
      <c r="BL1238" s="205"/>
    </row>
    <row r="1239" spans="62:64" x14ac:dyDescent="0.25">
      <c r="BJ1239" s="205"/>
      <c r="BK1239" s="205"/>
      <c r="BL1239" s="205"/>
    </row>
    <row r="1240" spans="62:64" x14ac:dyDescent="0.25">
      <c r="BJ1240" s="205"/>
      <c r="BK1240" s="205"/>
      <c r="BL1240" s="205"/>
    </row>
    <row r="1241" spans="62:64" x14ac:dyDescent="0.25">
      <c r="BJ1241" s="205"/>
      <c r="BK1241" s="205"/>
      <c r="BL1241" s="205"/>
    </row>
    <row r="1242" spans="62:64" x14ac:dyDescent="0.25">
      <c r="BJ1242" s="205"/>
      <c r="BK1242" s="205"/>
      <c r="BL1242" s="205"/>
    </row>
    <row r="1243" spans="62:64" x14ac:dyDescent="0.25">
      <c r="BJ1243" s="205"/>
      <c r="BK1243" s="205"/>
      <c r="BL1243" s="205"/>
    </row>
    <row r="1244" spans="62:64" x14ac:dyDescent="0.25">
      <c r="BJ1244" s="205"/>
      <c r="BK1244" s="205"/>
      <c r="BL1244" s="205"/>
    </row>
    <row r="1245" spans="62:64" x14ac:dyDescent="0.25">
      <c r="BJ1245" s="205"/>
      <c r="BK1245" s="205"/>
      <c r="BL1245" s="205"/>
    </row>
    <row r="1246" spans="62:64" x14ac:dyDescent="0.25">
      <c r="BJ1246" s="205"/>
      <c r="BK1246" s="205"/>
      <c r="BL1246" s="205"/>
    </row>
    <row r="1247" spans="62:64" x14ac:dyDescent="0.25">
      <c r="BJ1247" s="205"/>
      <c r="BK1247" s="205"/>
      <c r="BL1247" s="205"/>
    </row>
    <row r="1248" spans="62:64" x14ac:dyDescent="0.25">
      <c r="BJ1248" s="205"/>
      <c r="BK1248" s="205"/>
      <c r="BL1248" s="205"/>
    </row>
    <row r="1249" spans="62:64" x14ac:dyDescent="0.25">
      <c r="BJ1249" s="205"/>
      <c r="BK1249" s="205"/>
      <c r="BL1249" s="205"/>
    </row>
    <row r="1250" spans="62:64" x14ac:dyDescent="0.25">
      <c r="BJ1250" s="205"/>
      <c r="BK1250" s="205"/>
      <c r="BL1250" s="205"/>
    </row>
    <row r="1251" spans="62:64" x14ac:dyDescent="0.25">
      <c r="BJ1251" s="205"/>
      <c r="BK1251" s="205"/>
      <c r="BL1251" s="205"/>
    </row>
    <row r="1252" spans="62:64" x14ac:dyDescent="0.25">
      <c r="BJ1252" s="205"/>
      <c r="BK1252" s="205"/>
      <c r="BL1252" s="205"/>
    </row>
    <row r="1253" spans="62:64" x14ac:dyDescent="0.25">
      <c r="BJ1253" s="205"/>
      <c r="BK1253" s="205"/>
      <c r="BL1253" s="205"/>
    </row>
    <row r="1254" spans="62:64" x14ac:dyDescent="0.25">
      <c r="BJ1254" s="205"/>
      <c r="BK1254" s="205"/>
      <c r="BL1254" s="205"/>
    </row>
    <row r="1255" spans="62:64" x14ac:dyDescent="0.25">
      <c r="BJ1255" s="205"/>
      <c r="BK1255" s="205"/>
      <c r="BL1255" s="205"/>
    </row>
    <row r="1256" spans="62:64" x14ac:dyDescent="0.25">
      <c r="BJ1256" s="205"/>
      <c r="BK1256" s="205"/>
      <c r="BL1256" s="205"/>
    </row>
    <row r="1257" spans="62:64" x14ac:dyDescent="0.25">
      <c r="BJ1257" s="205"/>
      <c r="BK1257" s="205"/>
      <c r="BL1257" s="205"/>
    </row>
    <row r="1258" spans="62:64" x14ac:dyDescent="0.25">
      <c r="BJ1258" s="205"/>
      <c r="BK1258" s="205"/>
      <c r="BL1258" s="205"/>
    </row>
    <row r="1259" spans="62:64" x14ac:dyDescent="0.25">
      <c r="BJ1259" s="205"/>
      <c r="BK1259" s="205"/>
      <c r="BL1259" s="205"/>
    </row>
    <row r="1260" spans="62:64" x14ac:dyDescent="0.25">
      <c r="BJ1260" s="205"/>
      <c r="BK1260" s="205"/>
      <c r="BL1260" s="205"/>
    </row>
    <row r="1261" spans="62:64" x14ac:dyDescent="0.25">
      <c r="BJ1261" s="205"/>
      <c r="BK1261" s="205"/>
      <c r="BL1261" s="205"/>
    </row>
    <row r="1262" spans="62:64" x14ac:dyDescent="0.25">
      <c r="BJ1262" s="205"/>
      <c r="BK1262" s="205"/>
      <c r="BL1262" s="205"/>
    </row>
    <row r="1263" spans="62:64" x14ac:dyDescent="0.25">
      <c r="BJ1263" s="205"/>
      <c r="BK1263" s="205"/>
      <c r="BL1263" s="205"/>
    </row>
    <row r="1264" spans="62:64" x14ac:dyDescent="0.25">
      <c r="BJ1264" s="205"/>
      <c r="BK1264" s="205"/>
      <c r="BL1264" s="205"/>
    </row>
    <row r="1265" spans="62:64" x14ac:dyDescent="0.25">
      <c r="BJ1265" s="205"/>
      <c r="BK1265" s="205"/>
      <c r="BL1265" s="205"/>
    </row>
    <row r="1266" spans="62:64" x14ac:dyDescent="0.25">
      <c r="BJ1266" s="205"/>
      <c r="BK1266" s="205"/>
      <c r="BL1266" s="205"/>
    </row>
    <row r="1267" spans="62:64" x14ac:dyDescent="0.25">
      <c r="BJ1267" s="205"/>
      <c r="BK1267" s="205"/>
      <c r="BL1267" s="205"/>
    </row>
    <row r="1268" spans="62:64" x14ac:dyDescent="0.25">
      <c r="BJ1268" s="205"/>
      <c r="BK1268" s="205"/>
      <c r="BL1268" s="205"/>
    </row>
    <row r="1269" spans="62:64" x14ac:dyDescent="0.25">
      <c r="BJ1269" s="205"/>
      <c r="BK1269" s="205"/>
      <c r="BL1269" s="205"/>
    </row>
    <row r="1270" spans="62:64" x14ac:dyDescent="0.25">
      <c r="BJ1270" s="205"/>
      <c r="BK1270" s="205"/>
      <c r="BL1270" s="205"/>
    </row>
    <row r="1271" spans="62:64" x14ac:dyDescent="0.25">
      <c r="BJ1271" s="205"/>
      <c r="BK1271" s="205"/>
      <c r="BL1271" s="205"/>
    </row>
    <row r="1272" spans="62:64" x14ac:dyDescent="0.25">
      <c r="BJ1272" s="205"/>
      <c r="BK1272" s="205"/>
      <c r="BL1272" s="205"/>
    </row>
    <row r="1273" spans="62:64" x14ac:dyDescent="0.25">
      <c r="BJ1273" s="205"/>
      <c r="BK1273" s="205"/>
      <c r="BL1273" s="205"/>
    </row>
    <row r="1274" spans="62:64" x14ac:dyDescent="0.25">
      <c r="BJ1274" s="205"/>
      <c r="BK1274" s="205"/>
      <c r="BL1274" s="205"/>
    </row>
    <row r="1275" spans="62:64" x14ac:dyDescent="0.25">
      <c r="BJ1275" s="205"/>
      <c r="BK1275" s="205"/>
      <c r="BL1275" s="205"/>
    </row>
    <row r="1276" spans="62:64" x14ac:dyDescent="0.25">
      <c r="BJ1276" s="205"/>
      <c r="BK1276" s="205"/>
      <c r="BL1276" s="205"/>
    </row>
    <row r="1277" spans="62:64" x14ac:dyDescent="0.25">
      <c r="BJ1277" s="205"/>
      <c r="BK1277" s="205"/>
      <c r="BL1277" s="205"/>
    </row>
    <row r="1278" spans="62:64" x14ac:dyDescent="0.25">
      <c r="BJ1278" s="205"/>
      <c r="BK1278" s="205"/>
      <c r="BL1278" s="205"/>
    </row>
    <row r="1279" spans="62:64" x14ac:dyDescent="0.25">
      <c r="BJ1279" s="205"/>
      <c r="BK1279" s="205"/>
      <c r="BL1279" s="205"/>
    </row>
    <row r="1280" spans="62:64" x14ac:dyDescent="0.25">
      <c r="BJ1280" s="205"/>
      <c r="BK1280" s="205"/>
      <c r="BL1280" s="205"/>
    </row>
    <row r="1281" spans="62:64" x14ac:dyDescent="0.25">
      <c r="BJ1281" s="205"/>
      <c r="BK1281" s="205"/>
      <c r="BL1281" s="205"/>
    </row>
    <row r="1282" spans="62:64" x14ac:dyDescent="0.25">
      <c r="BJ1282" s="205"/>
      <c r="BK1282" s="205"/>
      <c r="BL1282" s="205"/>
    </row>
    <row r="1283" spans="62:64" x14ac:dyDescent="0.25">
      <c r="BJ1283" s="205"/>
      <c r="BK1283" s="205"/>
      <c r="BL1283" s="205"/>
    </row>
    <row r="1284" spans="62:64" x14ac:dyDescent="0.25">
      <c r="BJ1284" s="205"/>
      <c r="BK1284" s="205"/>
      <c r="BL1284" s="20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Q"/>
  <dimension ref="A1:H34"/>
  <sheetViews>
    <sheetView workbookViewId="0">
      <selection activeCell="L10" sqref="L10"/>
    </sheetView>
  </sheetViews>
  <sheetFormatPr defaultRowHeight="15" x14ac:dyDescent="0.25"/>
  <cols>
    <col min="1" max="1" width="7.7109375" style="205" customWidth="1"/>
    <col min="2" max="2" width="10.7109375" style="205" customWidth="1"/>
    <col min="3" max="3" width="13.7109375" style="205" bestFit="1" customWidth="1"/>
    <col min="4" max="4" width="5.140625" style="205" bestFit="1" customWidth="1"/>
    <col min="5" max="5" width="21.7109375" style="205" customWidth="1"/>
    <col min="6" max="6" width="12.5703125" style="205" customWidth="1"/>
    <col min="7" max="7" width="26.7109375" style="205" customWidth="1"/>
    <col min="8" max="8" width="15.42578125" style="205" bestFit="1" customWidth="1"/>
    <col min="9" max="16384" width="9.140625" style="205"/>
  </cols>
  <sheetData>
    <row r="1" spans="1:8" x14ac:dyDescent="0.25">
      <c r="A1" s="206" t="s">
        <v>430</v>
      </c>
      <c r="B1" s="206" t="s">
        <v>538</v>
      </c>
      <c r="C1" s="206" t="s">
        <v>431</v>
      </c>
      <c r="D1" s="206" t="s">
        <v>432</v>
      </c>
      <c r="E1" s="206" t="s">
        <v>433</v>
      </c>
      <c r="F1" s="206" t="s">
        <v>434</v>
      </c>
      <c r="G1" s="206" t="s">
        <v>435</v>
      </c>
      <c r="H1" s="206" t="s">
        <v>436</v>
      </c>
    </row>
    <row r="2" spans="1:8" x14ac:dyDescent="0.25">
      <c r="A2" s="205">
        <v>53732</v>
      </c>
      <c r="B2" s="205" t="s">
        <v>457</v>
      </c>
      <c r="C2" s="201">
        <v>42294</v>
      </c>
      <c r="D2" s="205">
        <v>2</v>
      </c>
      <c r="E2" s="205" t="s">
        <v>2364</v>
      </c>
      <c r="F2" s="205" t="s">
        <v>290</v>
      </c>
      <c r="G2" s="205" t="s">
        <v>617</v>
      </c>
      <c r="H2" s="205" t="s">
        <v>93</v>
      </c>
    </row>
    <row r="3" spans="1:8" x14ac:dyDescent="0.25">
      <c r="A3" s="205">
        <v>53732</v>
      </c>
      <c r="B3" s="205" t="s">
        <v>457</v>
      </c>
      <c r="E3" s="205" t="s">
        <v>2990</v>
      </c>
      <c r="F3" s="205" t="s">
        <v>246</v>
      </c>
      <c r="G3" s="205" t="s">
        <v>2982</v>
      </c>
      <c r="H3" s="205" t="s">
        <v>93</v>
      </c>
    </row>
    <row r="4" spans="1:8" x14ac:dyDescent="0.25">
      <c r="A4" s="205">
        <v>53732</v>
      </c>
      <c r="B4" s="205" t="s">
        <v>457</v>
      </c>
      <c r="E4" s="205" t="s">
        <v>2991</v>
      </c>
      <c r="F4" s="205" t="s">
        <v>388</v>
      </c>
      <c r="G4" s="205" t="s">
        <v>2992</v>
      </c>
      <c r="H4" s="205" t="s">
        <v>93</v>
      </c>
    </row>
    <row r="5" spans="1:8" x14ac:dyDescent="0.25">
      <c r="A5" s="205">
        <v>53732</v>
      </c>
      <c r="B5" s="205" t="s">
        <v>457</v>
      </c>
      <c r="E5" s="205" t="s">
        <v>2993</v>
      </c>
      <c r="F5" s="205" t="s">
        <v>388</v>
      </c>
      <c r="G5" s="205" t="s">
        <v>2992</v>
      </c>
      <c r="H5" s="205" t="s">
        <v>93</v>
      </c>
    </row>
    <row r="6" spans="1:8" x14ac:dyDescent="0.25">
      <c r="A6" s="205">
        <v>53732</v>
      </c>
      <c r="B6" s="205" t="s">
        <v>457</v>
      </c>
      <c r="E6" s="205" t="s">
        <v>2994</v>
      </c>
      <c r="F6" s="205" t="s">
        <v>388</v>
      </c>
      <c r="G6" s="205" t="s">
        <v>2992</v>
      </c>
      <c r="H6" s="205" t="s">
        <v>93</v>
      </c>
    </row>
    <row r="7" spans="1:8" x14ac:dyDescent="0.25">
      <c r="A7" s="205">
        <v>53732</v>
      </c>
      <c r="B7" s="205" t="s">
        <v>457</v>
      </c>
      <c r="E7" s="205" t="s">
        <v>2995</v>
      </c>
      <c r="F7" s="205" t="s">
        <v>2985</v>
      </c>
      <c r="G7" s="205" t="s">
        <v>2986</v>
      </c>
      <c r="H7" s="205" t="s">
        <v>93</v>
      </c>
    </row>
    <row r="8" spans="1:8" x14ac:dyDescent="0.25">
      <c r="A8" s="205">
        <v>53732</v>
      </c>
      <c r="B8" s="205" t="s">
        <v>457</v>
      </c>
      <c r="E8" s="205" t="s">
        <v>2996</v>
      </c>
      <c r="F8" s="205" t="s">
        <v>388</v>
      </c>
      <c r="G8" s="205" t="s">
        <v>2992</v>
      </c>
      <c r="H8" s="205" t="s">
        <v>93</v>
      </c>
    </row>
    <row r="9" spans="1:8" x14ac:dyDescent="0.25">
      <c r="A9" s="205">
        <v>53732</v>
      </c>
      <c r="B9" s="205" t="s">
        <v>457</v>
      </c>
      <c r="E9" s="205" t="s">
        <v>2997</v>
      </c>
      <c r="F9" s="205" t="s">
        <v>2985</v>
      </c>
      <c r="G9" s="205" t="s">
        <v>2986</v>
      </c>
      <c r="H9" s="205" t="s">
        <v>93</v>
      </c>
    </row>
    <row r="10" spans="1:8" x14ac:dyDescent="0.25">
      <c r="A10" s="205">
        <v>53732</v>
      </c>
      <c r="B10" s="205" t="s">
        <v>457</v>
      </c>
      <c r="E10" s="205" t="s">
        <v>2998</v>
      </c>
      <c r="F10" s="205" t="s">
        <v>388</v>
      </c>
      <c r="G10" s="205" t="s">
        <v>2992</v>
      </c>
      <c r="H10" s="205" t="s">
        <v>93</v>
      </c>
    </row>
    <row r="11" spans="1:8" x14ac:dyDescent="0.25">
      <c r="A11" s="205">
        <v>53732</v>
      </c>
      <c r="B11" s="205" t="s">
        <v>457</v>
      </c>
      <c r="E11" s="205">
        <v>249463627</v>
      </c>
      <c r="F11" s="205" t="s">
        <v>264</v>
      </c>
      <c r="G11" s="205" t="s">
        <v>616</v>
      </c>
      <c r="H11" s="205" t="str">
        <f>IFERROR(IF(VLOOKUP(F11,'[1]EQ List'!A$2:B$200,2,FALSE)=0,"",VLOOKUP(F11,'[1]EQ List'!A$2:B$200,2,FALSE)),"")</f>
        <v>EMTA</v>
      </c>
    </row>
    <row r="12" spans="1:8" x14ac:dyDescent="0.25">
      <c r="A12" s="205">
        <v>53732</v>
      </c>
      <c r="B12" s="205" t="s">
        <v>457</v>
      </c>
      <c r="E12" s="205">
        <v>266427546</v>
      </c>
      <c r="F12" s="205" t="s">
        <v>267</v>
      </c>
      <c r="G12" s="205" t="s">
        <v>2988</v>
      </c>
      <c r="H12" s="205" t="str">
        <f>IFERROR(IF(VLOOKUP(F12,'[1]EQ List'!A$2:B$200,2,FALSE)=0,"",VLOOKUP(F12,'[1]EQ List'!A$2:B$200,2,FALSE)),"")</f>
        <v>EMTA</v>
      </c>
    </row>
    <row r="13" spans="1:8" x14ac:dyDescent="0.25">
      <c r="A13" s="205">
        <v>53732</v>
      </c>
      <c r="B13" s="205" t="s">
        <v>457</v>
      </c>
      <c r="E13" s="205">
        <v>267479743</v>
      </c>
      <c r="F13" s="205" t="s">
        <v>344</v>
      </c>
      <c r="G13" s="205" t="s">
        <v>1869</v>
      </c>
      <c r="H13" s="205" t="str">
        <f>IFERROR(IF(VLOOKUP(F13,'[1]EQ List'!A$2:B$200,2,FALSE)=0,"",VLOOKUP(F13,'[1]EQ List'!A$2:B$200,2,FALSE)),"")</f>
        <v>EMTA</v>
      </c>
    </row>
    <row r="14" spans="1:8" x14ac:dyDescent="0.25">
      <c r="A14" s="205">
        <v>53732</v>
      </c>
      <c r="B14" s="205" t="s">
        <v>457</v>
      </c>
      <c r="E14" s="205" t="s">
        <v>2999</v>
      </c>
      <c r="F14" s="205" t="s">
        <v>571</v>
      </c>
      <c r="G14" s="205" t="s">
        <v>2987</v>
      </c>
      <c r="H14" s="205" t="s">
        <v>92</v>
      </c>
    </row>
    <row r="15" spans="1:8" x14ac:dyDescent="0.25">
      <c r="A15" s="205">
        <v>53732</v>
      </c>
      <c r="B15" s="205" t="s">
        <v>457</v>
      </c>
      <c r="E15" s="205" t="s">
        <v>3000</v>
      </c>
      <c r="F15" s="205" t="s">
        <v>3001</v>
      </c>
      <c r="G15" s="205" t="s">
        <v>3002</v>
      </c>
      <c r="H15" s="205" t="str">
        <f>IFERROR(IF(VLOOKUP(F15,'[1]EQ List'!A$2:B$200,2,FALSE)=0,"",VLOOKUP(F15,'[1]EQ List'!A$2:B$200,2,FALSE)),"")</f>
        <v>EMTA</v>
      </c>
    </row>
    <row r="16" spans="1:8" x14ac:dyDescent="0.25">
      <c r="A16" s="205">
        <v>53732</v>
      </c>
      <c r="B16" s="205" t="s">
        <v>457</v>
      </c>
      <c r="C16" s="201">
        <v>42293</v>
      </c>
      <c r="D16" s="205">
        <v>3</v>
      </c>
      <c r="E16" s="205" t="s">
        <v>3003</v>
      </c>
      <c r="F16" s="205" t="s">
        <v>513</v>
      </c>
      <c r="G16" s="205" t="s">
        <v>2983</v>
      </c>
      <c r="H16" s="205" t="s">
        <v>92</v>
      </c>
    </row>
    <row r="17" spans="1:8" x14ac:dyDescent="0.25">
      <c r="A17" s="205">
        <v>53732</v>
      </c>
      <c r="B17" s="205" t="s">
        <v>457</v>
      </c>
      <c r="E17" s="205" t="s">
        <v>3004</v>
      </c>
      <c r="F17" s="205" t="s">
        <v>513</v>
      </c>
      <c r="G17" s="205" t="s">
        <v>2983</v>
      </c>
      <c r="H17" s="205" t="s">
        <v>92</v>
      </c>
    </row>
    <row r="18" spans="1:8" x14ac:dyDescent="0.25">
      <c r="A18" s="205">
        <v>53732</v>
      </c>
      <c r="B18" s="205" t="s">
        <v>457</v>
      </c>
      <c r="E18" s="205" t="s">
        <v>3005</v>
      </c>
      <c r="F18" s="205" t="s">
        <v>513</v>
      </c>
      <c r="G18" s="205" t="s">
        <v>2983</v>
      </c>
      <c r="H18" s="205" t="s">
        <v>92</v>
      </c>
    </row>
    <row r="19" spans="1:8" x14ac:dyDescent="0.25">
      <c r="A19" s="205">
        <v>53732</v>
      </c>
      <c r="B19" s="205" t="s">
        <v>457</v>
      </c>
      <c r="E19" s="205" t="s">
        <v>1993</v>
      </c>
      <c r="F19" s="205" t="s">
        <v>290</v>
      </c>
      <c r="G19" s="205" t="s">
        <v>617</v>
      </c>
      <c r="H19" s="205" t="s">
        <v>93</v>
      </c>
    </row>
    <row r="20" spans="1:8" x14ac:dyDescent="0.25">
      <c r="A20" s="205">
        <v>53732</v>
      </c>
      <c r="B20" s="205" t="s">
        <v>457</v>
      </c>
      <c r="E20" s="205" t="s">
        <v>3006</v>
      </c>
      <c r="F20" s="205" t="s">
        <v>288</v>
      </c>
      <c r="G20" s="205" t="s">
        <v>439</v>
      </c>
      <c r="H20" s="205" t="s">
        <v>93</v>
      </c>
    </row>
    <row r="21" spans="1:8" x14ac:dyDescent="0.25">
      <c r="A21" s="205">
        <v>53732</v>
      </c>
      <c r="B21" s="205" t="s">
        <v>457</v>
      </c>
      <c r="E21" s="205" t="s">
        <v>2504</v>
      </c>
      <c r="F21" s="205" t="s">
        <v>246</v>
      </c>
      <c r="G21" s="205" t="s">
        <v>2982</v>
      </c>
      <c r="H21" s="205" t="s">
        <v>93</v>
      </c>
    </row>
    <row r="22" spans="1:8" x14ac:dyDescent="0.25">
      <c r="A22" s="205">
        <v>53732</v>
      </c>
      <c r="B22" s="205" t="s">
        <v>457</v>
      </c>
      <c r="E22" s="205" t="s">
        <v>3007</v>
      </c>
      <c r="F22" s="205" t="s">
        <v>543</v>
      </c>
      <c r="G22" s="205" t="s">
        <v>2989</v>
      </c>
      <c r="H22" s="205" t="s">
        <v>94</v>
      </c>
    </row>
    <row r="23" spans="1:8" x14ac:dyDescent="0.25">
      <c r="A23" s="205">
        <v>53732</v>
      </c>
      <c r="B23" s="205" t="s">
        <v>457</v>
      </c>
      <c r="E23" s="205" t="s">
        <v>3008</v>
      </c>
      <c r="F23" s="205" t="s">
        <v>2876</v>
      </c>
      <c r="G23" s="205" t="s">
        <v>3009</v>
      </c>
      <c r="H23" s="205" t="s">
        <v>94</v>
      </c>
    </row>
    <row r="24" spans="1:8" x14ac:dyDescent="0.25">
      <c r="A24" s="205">
        <v>53732</v>
      </c>
      <c r="B24" s="205" t="s">
        <v>457</v>
      </c>
      <c r="C24" s="201">
        <v>42292</v>
      </c>
      <c r="D24" s="205">
        <v>4</v>
      </c>
      <c r="E24" s="205" t="s">
        <v>2972</v>
      </c>
      <c r="F24" s="205" t="s">
        <v>274</v>
      </c>
      <c r="G24" s="205" t="s">
        <v>437</v>
      </c>
      <c r="H24" s="205" t="s">
        <v>94</v>
      </c>
    </row>
    <row r="25" spans="1:8" x14ac:dyDescent="0.25">
      <c r="A25" s="205">
        <v>53732</v>
      </c>
      <c r="B25" s="205" t="s">
        <v>457</v>
      </c>
      <c r="E25" s="205" t="s">
        <v>3010</v>
      </c>
      <c r="F25" s="205" t="s">
        <v>3011</v>
      </c>
      <c r="G25" s="205" t="s">
        <v>617</v>
      </c>
      <c r="H25" s="205" t="s">
        <v>93</v>
      </c>
    </row>
    <row r="26" spans="1:8" x14ac:dyDescent="0.25">
      <c r="A26" s="205">
        <v>53732</v>
      </c>
      <c r="B26" s="205" t="s">
        <v>457</v>
      </c>
      <c r="E26" s="205" t="s">
        <v>2258</v>
      </c>
      <c r="F26" s="205" t="s">
        <v>246</v>
      </c>
      <c r="G26" s="205" t="s">
        <v>2982</v>
      </c>
      <c r="H26" s="205" t="s">
        <v>93</v>
      </c>
    </row>
    <row r="27" spans="1:8" x14ac:dyDescent="0.25">
      <c r="A27" s="205">
        <v>53732</v>
      </c>
      <c r="B27" s="205" t="s">
        <v>457</v>
      </c>
      <c r="E27" s="205" t="s">
        <v>3012</v>
      </c>
      <c r="F27" s="205" t="s">
        <v>421</v>
      </c>
      <c r="G27" s="205" t="s">
        <v>438</v>
      </c>
      <c r="H27" s="205" t="s">
        <v>93</v>
      </c>
    </row>
    <row r="28" spans="1:8" x14ac:dyDescent="0.25">
      <c r="A28" s="205">
        <v>53732</v>
      </c>
      <c r="B28" s="205" t="s">
        <v>457</v>
      </c>
      <c r="E28" s="205" t="s">
        <v>3013</v>
      </c>
      <c r="F28" s="205" t="s">
        <v>421</v>
      </c>
      <c r="G28" s="205" t="s">
        <v>438</v>
      </c>
      <c r="H28" s="205" t="s">
        <v>93</v>
      </c>
    </row>
    <row r="29" spans="1:8" x14ac:dyDescent="0.25">
      <c r="A29" s="205">
        <v>53732</v>
      </c>
      <c r="B29" s="205" t="s">
        <v>457</v>
      </c>
      <c r="E29" s="205">
        <v>244124923</v>
      </c>
      <c r="F29" s="205" t="s">
        <v>264</v>
      </c>
      <c r="G29" s="205" t="s">
        <v>616</v>
      </c>
      <c r="H29" s="205" t="s">
        <v>92</v>
      </c>
    </row>
    <row r="30" spans="1:8" x14ac:dyDescent="0.25">
      <c r="A30" s="205">
        <v>53732</v>
      </c>
      <c r="B30" s="205" t="s">
        <v>457</v>
      </c>
      <c r="E30" s="205" t="s">
        <v>2841</v>
      </c>
      <c r="F30" s="205" t="s">
        <v>571</v>
      </c>
      <c r="G30" s="205" t="s">
        <v>2987</v>
      </c>
      <c r="H30" s="205" t="s">
        <v>92</v>
      </c>
    </row>
    <row r="31" spans="1:8" x14ac:dyDescent="0.25">
      <c r="A31" s="205">
        <v>53732</v>
      </c>
      <c r="B31" s="205" t="s">
        <v>457</v>
      </c>
      <c r="C31" s="201">
        <v>42289</v>
      </c>
      <c r="D31" s="205">
        <v>7</v>
      </c>
      <c r="E31" s="205" t="s">
        <v>1694</v>
      </c>
      <c r="F31" s="205" t="s">
        <v>513</v>
      </c>
      <c r="G31" s="205" t="s">
        <v>2983</v>
      </c>
      <c r="H31" s="205" t="s">
        <v>92</v>
      </c>
    </row>
    <row r="32" spans="1:8" x14ac:dyDescent="0.25">
      <c r="A32" s="205">
        <v>53732</v>
      </c>
      <c r="B32" s="205" t="s">
        <v>457</v>
      </c>
      <c r="E32" s="205" t="s">
        <v>3014</v>
      </c>
      <c r="F32" s="205" t="s">
        <v>288</v>
      </c>
      <c r="G32" s="205" t="s">
        <v>439</v>
      </c>
      <c r="H32" s="205" t="s">
        <v>93</v>
      </c>
    </row>
    <row r="33" spans="1:8" x14ac:dyDescent="0.25">
      <c r="A33" s="205">
        <v>53732</v>
      </c>
      <c r="B33" s="205" t="s">
        <v>457</v>
      </c>
      <c r="E33" s="205" t="s">
        <v>1628</v>
      </c>
      <c r="F33" s="205" t="s">
        <v>246</v>
      </c>
      <c r="G33" s="205" t="s">
        <v>2982</v>
      </c>
      <c r="H33" s="205" t="s">
        <v>93</v>
      </c>
    </row>
    <row r="34" spans="1:8" x14ac:dyDescent="0.25">
      <c r="A34" s="205">
        <v>53732</v>
      </c>
      <c r="B34" s="205" t="s">
        <v>457</v>
      </c>
      <c r="E34" s="205">
        <v>236756626</v>
      </c>
      <c r="F34" s="205" t="s">
        <v>264</v>
      </c>
      <c r="G34" s="205" t="s">
        <v>616</v>
      </c>
      <c r="H34" s="205" t="str">
        <f>IFERROR(IF(VLOOKUP(F34,'[1]EQ List'!A$2:B$200,2,FALSE)=0,"",VLOOKUP(F34,'[1]EQ List'!A$2:B$200,2,FALSE)),"")</f>
        <v>EMTA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S139"/>
  <sheetViews>
    <sheetView topLeftCell="A6" zoomScaleNormal="100" workbookViewId="0">
      <selection activeCell="D20" sqref="D20"/>
    </sheetView>
  </sheetViews>
  <sheetFormatPr defaultRowHeight="15" x14ac:dyDescent="0.25"/>
  <cols>
    <col min="1" max="1" width="15.5703125" style="5" customWidth="1"/>
    <col min="2" max="2" width="10.7109375" style="5" customWidth="1"/>
    <col min="3" max="3" width="6.42578125" style="5" customWidth="1"/>
    <col min="4" max="5" width="16.7109375" style="5" customWidth="1"/>
    <col min="6" max="6" width="5.5703125" style="5" customWidth="1"/>
    <col min="7" max="8" width="16.7109375" style="5" customWidth="1"/>
    <col min="9" max="9" width="9.140625" style="5" customWidth="1"/>
    <col min="10" max="16" width="11.85546875" style="5" customWidth="1"/>
    <col min="17" max="17" width="1.5703125" style="5" customWidth="1"/>
    <col min="18" max="24" width="11.85546875" style="5" customWidth="1"/>
    <col min="25" max="25" width="1.5703125" style="5" customWidth="1"/>
    <col min="26" max="32" width="11.85546875" style="5" customWidth="1"/>
    <col min="33" max="33" width="1.5703125" style="5" customWidth="1"/>
    <col min="34" max="40" width="11.85546875" style="5" customWidth="1"/>
    <col min="41" max="41" width="1.5703125" style="5" customWidth="1"/>
    <col min="42" max="45" width="11.85546875" style="5" customWidth="1"/>
    <col min="46" max="16384" width="9.140625" style="5"/>
  </cols>
  <sheetData>
    <row r="1" spans="1:45" ht="15.75" thickBot="1" x14ac:dyDescent="0.3">
      <c r="J1" s="35" t="s">
        <v>82</v>
      </c>
      <c r="K1" s="36"/>
      <c r="L1" s="36"/>
      <c r="M1" s="36"/>
      <c r="N1" s="36"/>
      <c r="O1" s="36"/>
      <c r="P1" s="37"/>
      <c r="Q1" s="32"/>
      <c r="R1" s="44" t="s">
        <v>83</v>
      </c>
      <c r="S1" s="45"/>
      <c r="T1" s="45"/>
      <c r="U1" s="45"/>
      <c r="V1" s="45"/>
      <c r="W1" s="45"/>
      <c r="X1" s="46"/>
      <c r="Y1" s="31"/>
      <c r="Z1" s="35" t="s">
        <v>84</v>
      </c>
      <c r="AA1" s="36"/>
      <c r="AB1" s="36"/>
      <c r="AC1" s="36"/>
      <c r="AD1" s="36"/>
      <c r="AE1" s="36"/>
      <c r="AF1" s="37"/>
      <c r="AG1" s="31"/>
      <c r="AH1" s="44" t="s">
        <v>85</v>
      </c>
      <c r="AI1" s="45"/>
      <c r="AJ1" s="45"/>
      <c r="AK1" s="45"/>
      <c r="AL1" s="45"/>
      <c r="AM1" s="45"/>
      <c r="AN1" s="46"/>
      <c r="AO1" s="31"/>
      <c r="AP1" s="113" t="s">
        <v>96</v>
      </c>
      <c r="AQ1" s="114"/>
      <c r="AR1" s="114"/>
      <c r="AS1" s="115"/>
    </row>
    <row r="2" spans="1:45" ht="15.75" thickBot="1" x14ac:dyDescent="0.3">
      <c r="A2" s="215" t="s">
        <v>105</v>
      </c>
      <c r="B2" s="216"/>
      <c r="C2" s="11"/>
      <c r="D2" s="215" t="s">
        <v>113</v>
      </c>
      <c r="E2" s="216"/>
      <c r="F2" s="11"/>
      <c r="G2" s="215"/>
      <c r="H2" s="216"/>
      <c r="J2" s="40" t="s">
        <v>16</v>
      </c>
      <c r="K2" s="42" t="s">
        <v>17</v>
      </c>
      <c r="L2" s="42" t="s">
        <v>18</v>
      </c>
      <c r="M2" s="42" t="s">
        <v>19</v>
      </c>
      <c r="N2" s="42" t="s">
        <v>20</v>
      </c>
      <c r="O2" s="42" t="s">
        <v>21</v>
      </c>
      <c r="P2" s="38" t="s">
        <v>22</v>
      </c>
      <c r="Q2" s="33"/>
      <c r="R2" s="49" t="s">
        <v>16</v>
      </c>
      <c r="S2" s="51" t="s">
        <v>17</v>
      </c>
      <c r="T2" s="51" t="s">
        <v>18</v>
      </c>
      <c r="U2" s="51" t="s">
        <v>19</v>
      </c>
      <c r="V2" s="51" t="s">
        <v>20</v>
      </c>
      <c r="W2" s="51" t="s">
        <v>21</v>
      </c>
      <c r="X2" s="47" t="s">
        <v>22</v>
      </c>
      <c r="Y2" s="32"/>
      <c r="Z2" s="40" t="s">
        <v>16</v>
      </c>
      <c r="AA2" s="42" t="s">
        <v>17</v>
      </c>
      <c r="AB2" s="42" t="s">
        <v>18</v>
      </c>
      <c r="AC2" s="42" t="s">
        <v>19</v>
      </c>
      <c r="AD2" s="42" t="s">
        <v>20</v>
      </c>
      <c r="AE2" s="42" t="s">
        <v>21</v>
      </c>
      <c r="AF2" s="38" t="s">
        <v>22</v>
      </c>
      <c r="AG2" s="32"/>
      <c r="AH2" s="49" t="s">
        <v>16</v>
      </c>
      <c r="AI2" s="51" t="s">
        <v>17</v>
      </c>
      <c r="AJ2" s="51" t="s">
        <v>18</v>
      </c>
      <c r="AK2" s="51" t="s">
        <v>19</v>
      </c>
      <c r="AL2" s="51" t="s">
        <v>20</v>
      </c>
      <c r="AM2" s="51" t="s">
        <v>21</v>
      </c>
      <c r="AN2" s="47" t="s">
        <v>22</v>
      </c>
      <c r="AO2" s="32"/>
      <c r="AP2" s="116" t="s">
        <v>97</v>
      </c>
      <c r="AQ2" s="117"/>
      <c r="AR2" s="117"/>
      <c r="AS2" s="118"/>
    </row>
    <row r="3" spans="1:45" ht="15.75" thickBot="1" x14ac:dyDescent="0.3">
      <c r="A3" s="6" t="s">
        <v>58</v>
      </c>
      <c r="B3" s="7">
        <f>COUNTA(UserInput!F5:F24)</f>
        <v>1</v>
      </c>
      <c r="C3" s="9"/>
      <c r="D3" s="6" t="s">
        <v>56</v>
      </c>
      <c r="E3" s="24">
        <f>UserInput!F4</f>
        <v>42</v>
      </c>
      <c r="F3" s="9"/>
      <c r="G3" s="6"/>
      <c r="H3" s="7"/>
      <c r="J3" s="41">
        <f>$E$6</f>
        <v>42289</v>
      </c>
      <c r="K3" s="43">
        <f>$E$6+1</f>
        <v>42290</v>
      </c>
      <c r="L3" s="43">
        <f>$E$6+2</f>
        <v>42291</v>
      </c>
      <c r="M3" s="43">
        <f>$E$6+3</f>
        <v>42292</v>
      </c>
      <c r="N3" s="43">
        <f>$E$6+4</f>
        <v>42293</v>
      </c>
      <c r="O3" s="43">
        <f>$E$6+5</f>
        <v>42294</v>
      </c>
      <c r="P3" s="39">
        <f>$E$6+6</f>
        <v>42295</v>
      </c>
      <c r="Q3" s="34"/>
      <c r="R3" s="50">
        <f>$E$6</f>
        <v>42289</v>
      </c>
      <c r="S3" s="52">
        <f>$E$6+1</f>
        <v>42290</v>
      </c>
      <c r="T3" s="52">
        <f>$E$6+2</f>
        <v>42291</v>
      </c>
      <c r="U3" s="52">
        <f>$E$6+3</f>
        <v>42292</v>
      </c>
      <c r="V3" s="52">
        <f>$E$6+4</f>
        <v>42293</v>
      </c>
      <c r="W3" s="52">
        <f>$E$6+5</f>
        <v>42294</v>
      </c>
      <c r="X3" s="48">
        <f>$E$6+6</f>
        <v>42295</v>
      </c>
      <c r="Y3" s="33"/>
      <c r="Z3" s="41">
        <f>$E$6</f>
        <v>42289</v>
      </c>
      <c r="AA3" s="43">
        <f>$E$6+1</f>
        <v>42290</v>
      </c>
      <c r="AB3" s="43">
        <f>$E$6+2</f>
        <v>42291</v>
      </c>
      <c r="AC3" s="43">
        <f>$E$6+3</f>
        <v>42292</v>
      </c>
      <c r="AD3" s="43">
        <f>$E$6+4</f>
        <v>42293</v>
      </c>
      <c r="AE3" s="43">
        <f>$E$6+5</f>
        <v>42294</v>
      </c>
      <c r="AF3" s="39">
        <f>$E$6+6</f>
        <v>42295</v>
      </c>
      <c r="AG3" s="33"/>
      <c r="AH3" s="50">
        <f>$E$6</f>
        <v>42289</v>
      </c>
      <c r="AI3" s="52">
        <f>$E$6+1</f>
        <v>42290</v>
      </c>
      <c r="AJ3" s="52">
        <f>$E$6+2</f>
        <v>42291</v>
      </c>
      <c r="AK3" s="52">
        <f>$E$6+3</f>
        <v>42292</v>
      </c>
      <c r="AL3" s="52">
        <f>$E$6+4</f>
        <v>42293</v>
      </c>
      <c r="AM3" s="52">
        <f>$E$6+5</f>
        <v>42294</v>
      </c>
      <c r="AN3" s="48">
        <f>$E$6+6</f>
        <v>42295</v>
      </c>
      <c r="AO3" s="33"/>
      <c r="AP3" s="119" t="s">
        <v>93</v>
      </c>
      <c r="AQ3" s="120" t="s">
        <v>95</v>
      </c>
      <c r="AR3" s="120" t="s">
        <v>94</v>
      </c>
      <c r="AS3" s="121" t="s">
        <v>92</v>
      </c>
    </row>
    <row r="4" spans="1:45" ht="15.75" thickBot="1" x14ac:dyDescent="0.3">
      <c r="A4" s="6" t="s">
        <v>23</v>
      </c>
      <c r="B4" s="7">
        <f>IF(UserInput!F5="","",UserInput!F5)</f>
        <v>53732</v>
      </c>
      <c r="C4" s="9"/>
      <c r="D4" s="6" t="s">
        <v>52</v>
      </c>
      <c r="E4" s="26">
        <f>VLOOKUP(E3,Table2[],4)</f>
        <v>42275</v>
      </c>
      <c r="F4" s="9"/>
      <c r="G4" s="6"/>
      <c r="H4" s="7"/>
      <c r="J4" s="93">
        <f t="shared" ref="J4:P4" si="0">SUM(J$5:J$100)</f>
        <v>0</v>
      </c>
      <c r="K4" s="94">
        <f t="shared" si="0"/>
        <v>0</v>
      </c>
      <c r="L4" s="94">
        <f t="shared" si="0"/>
        <v>0</v>
      </c>
      <c r="M4" s="94">
        <f t="shared" si="0"/>
        <v>0</v>
      </c>
      <c r="N4" s="94">
        <f t="shared" si="0"/>
        <v>0</v>
      </c>
      <c r="O4" s="94">
        <f t="shared" si="0"/>
        <v>0</v>
      </c>
      <c r="P4" s="95">
        <f t="shared" si="0"/>
        <v>0</v>
      </c>
      <c r="Q4" s="34"/>
      <c r="R4" s="99">
        <f>COUNTA(R$5:R$100)</f>
        <v>0</v>
      </c>
      <c r="S4" s="100">
        <f t="shared" ref="S4:X4" si="1">COUNTA(S$5:S$100)</f>
        <v>0</v>
      </c>
      <c r="T4" s="100">
        <f t="shared" si="1"/>
        <v>0</v>
      </c>
      <c r="U4" s="100">
        <f t="shared" si="1"/>
        <v>0</v>
      </c>
      <c r="V4" s="100">
        <f t="shared" si="1"/>
        <v>0</v>
      </c>
      <c r="W4" s="100">
        <f t="shared" si="1"/>
        <v>0</v>
      </c>
      <c r="X4" s="101">
        <f t="shared" si="1"/>
        <v>0</v>
      </c>
      <c r="Y4" s="34"/>
      <c r="Z4" s="96">
        <f>SUM(Z$5:Z$100)</f>
        <v>0</v>
      </c>
      <c r="AA4" s="97">
        <f t="shared" ref="AA4:AF4" si="2">SUM(AA$5:AA$100)</f>
        <v>0</v>
      </c>
      <c r="AB4" s="97">
        <f t="shared" si="2"/>
        <v>0</v>
      </c>
      <c r="AC4" s="97">
        <f t="shared" si="2"/>
        <v>0</v>
      </c>
      <c r="AD4" s="97">
        <f t="shared" si="2"/>
        <v>0</v>
      </c>
      <c r="AE4" s="97">
        <f t="shared" si="2"/>
        <v>0</v>
      </c>
      <c r="AF4" s="98">
        <f t="shared" si="2"/>
        <v>0</v>
      </c>
      <c r="AG4" s="34"/>
      <c r="AH4" s="99">
        <f t="shared" ref="AH4:AS4" si="3">COUNTA(AH$5:AH$100)</f>
        <v>0</v>
      </c>
      <c r="AI4" s="100">
        <f t="shared" si="3"/>
        <v>0</v>
      </c>
      <c r="AJ4" s="100">
        <f t="shared" si="3"/>
        <v>0</v>
      </c>
      <c r="AK4" s="100">
        <f t="shared" si="3"/>
        <v>0</v>
      </c>
      <c r="AL4" s="100">
        <f t="shared" si="3"/>
        <v>0</v>
      </c>
      <c r="AM4" s="100">
        <f t="shared" si="3"/>
        <v>0</v>
      </c>
      <c r="AN4" s="101">
        <f t="shared" si="3"/>
        <v>0</v>
      </c>
      <c r="AO4" s="34"/>
      <c r="AP4" s="99">
        <f t="shared" si="3"/>
        <v>0</v>
      </c>
      <c r="AQ4" s="100">
        <f t="shared" si="3"/>
        <v>0</v>
      </c>
      <c r="AR4" s="100">
        <f t="shared" si="3"/>
        <v>0</v>
      </c>
      <c r="AS4" s="112">
        <f t="shared" si="3"/>
        <v>0</v>
      </c>
    </row>
    <row r="5" spans="1:45" x14ac:dyDescent="0.25">
      <c r="A5" s="6" t="s">
        <v>24</v>
      </c>
      <c r="B5" s="7" t="str">
        <f>IF(UserInput!F6="","",UserInput!F6)</f>
        <v/>
      </c>
      <c r="C5" s="9"/>
      <c r="D5" s="6" t="s">
        <v>53</v>
      </c>
      <c r="E5" s="26">
        <f>VLOOKUP(E3,Table2[],5)</f>
        <v>42282</v>
      </c>
      <c r="F5" s="9"/>
      <c r="G5" s="6"/>
      <c r="H5" s="7"/>
      <c r="J5" s="102"/>
      <c r="K5" s="102"/>
      <c r="L5" s="102"/>
      <c r="M5" s="102"/>
      <c r="N5" s="102"/>
      <c r="O5" s="102"/>
      <c r="P5" s="102"/>
      <c r="Q5" s="103"/>
      <c r="R5" s="105"/>
      <c r="S5" s="105"/>
      <c r="T5" s="105"/>
      <c r="U5" s="105"/>
      <c r="V5" s="105"/>
      <c r="W5" s="105"/>
      <c r="X5" s="105"/>
      <c r="Y5" s="103"/>
      <c r="Z5" s="102"/>
      <c r="AA5" s="102"/>
      <c r="AB5" s="102"/>
      <c r="AC5" s="102"/>
      <c r="AD5" s="102"/>
      <c r="AE5" s="102"/>
      <c r="AF5" s="102"/>
      <c r="AG5" s="103"/>
      <c r="AH5" s="105"/>
      <c r="AI5" s="105"/>
      <c r="AJ5" s="105"/>
      <c r="AK5" s="105"/>
      <c r="AL5" s="105"/>
      <c r="AM5" s="105"/>
      <c r="AN5" s="105"/>
      <c r="AO5" s="103"/>
      <c r="AP5" s="105"/>
      <c r="AQ5" s="105"/>
      <c r="AR5" s="105"/>
      <c r="AS5" s="105"/>
    </row>
    <row r="6" spans="1:45" x14ac:dyDescent="0.25">
      <c r="A6" s="6" t="s">
        <v>25</v>
      </c>
      <c r="B6" s="7" t="str">
        <f>IF(UserInput!F7="","",UserInput!F7)</f>
        <v/>
      </c>
      <c r="C6" s="9"/>
      <c r="D6" s="6" t="s">
        <v>54</v>
      </c>
      <c r="E6" s="26">
        <f>VLOOKUP(E3,Table2[],6)</f>
        <v>42289</v>
      </c>
      <c r="F6" s="9"/>
      <c r="G6" s="6"/>
      <c r="H6" s="7"/>
      <c r="J6" s="102"/>
      <c r="K6" s="102"/>
      <c r="L6" s="102"/>
      <c r="M6" s="102"/>
      <c r="N6" s="102"/>
      <c r="O6" s="102"/>
      <c r="P6" s="102"/>
      <c r="Q6" s="103"/>
      <c r="R6" s="105"/>
      <c r="S6" s="105"/>
      <c r="T6" s="105"/>
      <c r="U6" s="105"/>
      <c r="V6" s="105"/>
      <c r="W6" s="105"/>
      <c r="X6" s="105"/>
      <c r="Y6" s="103"/>
      <c r="Z6" s="102"/>
      <c r="AA6" s="102"/>
      <c r="AB6" s="102"/>
      <c r="AC6" s="102"/>
      <c r="AD6" s="102"/>
      <c r="AE6" s="102"/>
      <c r="AF6" s="102"/>
      <c r="AG6" s="103"/>
      <c r="AH6" s="105"/>
      <c r="AI6" s="105"/>
      <c r="AJ6" s="105"/>
      <c r="AK6" s="105"/>
      <c r="AL6" s="105"/>
      <c r="AM6" s="105"/>
      <c r="AN6" s="105"/>
      <c r="AO6" s="103"/>
      <c r="AP6" s="105"/>
      <c r="AQ6" s="105"/>
      <c r="AR6" s="105"/>
      <c r="AS6" s="105"/>
    </row>
    <row r="7" spans="1:45" x14ac:dyDescent="0.25">
      <c r="A7" s="6" t="s">
        <v>26</v>
      </c>
      <c r="B7" s="7" t="str">
        <f>IF(UserInput!F8="","",UserInput!F8)</f>
        <v/>
      </c>
      <c r="C7" s="9"/>
      <c r="D7" s="6" t="s">
        <v>55</v>
      </c>
      <c r="E7" s="26">
        <f>VLOOKUP(E3,Table2[],7)</f>
        <v>42282</v>
      </c>
      <c r="F7" s="21"/>
      <c r="G7" s="6"/>
      <c r="H7" s="7"/>
      <c r="J7" s="102"/>
      <c r="K7" s="102"/>
      <c r="L7" s="102"/>
      <c r="M7" s="102"/>
      <c r="N7" s="102"/>
      <c r="O7" s="102"/>
      <c r="P7" s="102"/>
      <c r="Q7" s="103"/>
      <c r="R7" s="105"/>
      <c r="S7" s="105"/>
      <c r="T7" s="105"/>
      <c r="U7" s="105"/>
      <c r="V7" s="105"/>
      <c r="W7" s="105"/>
      <c r="X7" s="105"/>
      <c r="Y7" s="103"/>
      <c r="Z7" s="102"/>
      <c r="AA7" s="102"/>
      <c r="AB7" s="102"/>
      <c r="AC7" s="102"/>
      <c r="AD7" s="102"/>
      <c r="AE7" s="102"/>
      <c r="AF7" s="102"/>
      <c r="AG7" s="103"/>
      <c r="AH7" s="105"/>
      <c r="AI7" s="105"/>
      <c r="AJ7" s="105"/>
      <c r="AK7" s="105"/>
      <c r="AL7" s="105"/>
      <c r="AM7" s="105"/>
      <c r="AN7" s="105"/>
      <c r="AO7" s="103"/>
      <c r="AP7" s="105"/>
      <c r="AQ7" s="105"/>
      <c r="AR7" s="105"/>
      <c r="AS7" s="105"/>
    </row>
    <row r="8" spans="1:45" x14ac:dyDescent="0.25">
      <c r="A8" s="6" t="s">
        <v>27</v>
      </c>
      <c r="B8" s="7" t="str">
        <f>IF(UserInput!F9="","",UserInput!F9)</f>
        <v/>
      </c>
      <c r="C8" s="9"/>
      <c r="D8" s="6" t="s">
        <v>106</v>
      </c>
      <c r="E8" s="26">
        <f>E6</f>
        <v>42289</v>
      </c>
      <c r="F8" s="9"/>
      <c r="G8" s="6"/>
      <c r="H8" s="7"/>
      <c r="J8" s="102"/>
      <c r="K8" s="102"/>
      <c r="L8" s="102"/>
      <c r="M8" s="102"/>
      <c r="N8" s="102"/>
      <c r="O8" s="102"/>
      <c r="P8" s="102"/>
      <c r="Q8" s="103"/>
      <c r="R8" s="105"/>
      <c r="S8" s="105"/>
      <c r="T8" s="105"/>
      <c r="U8" s="105"/>
      <c r="V8" s="105"/>
      <c r="W8" s="105"/>
      <c r="X8" s="105"/>
      <c r="Y8" s="103"/>
      <c r="Z8" s="102"/>
      <c r="AA8" s="102"/>
      <c r="AB8" s="102"/>
      <c r="AC8" s="102"/>
      <c r="AD8" s="102"/>
      <c r="AE8" s="102"/>
      <c r="AF8" s="102"/>
      <c r="AG8" s="103"/>
      <c r="AH8" s="105"/>
      <c r="AI8" s="105"/>
      <c r="AJ8" s="105"/>
      <c r="AK8" s="105"/>
      <c r="AL8" s="105"/>
      <c r="AM8" s="105"/>
      <c r="AN8" s="105"/>
      <c r="AO8" s="103"/>
      <c r="AP8" s="105"/>
      <c r="AQ8" s="105"/>
      <c r="AR8" s="105"/>
      <c r="AS8" s="105"/>
    </row>
    <row r="9" spans="1:45" x14ac:dyDescent="0.25">
      <c r="A9" s="6" t="s">
        <v>28</v>
      </c>
      <c r="B9" s="7" t="str">
        <f>IF(UserInput!F10="","",UserInput!F10)</f>
        <v/>
      </c>
      <c r="C9" s="9"/>
      <c r="D9" s="6" t="s">
        <v>107</v>
      </c>
      <c r="E9" s="26">
        <f t="shared" ref="E9:E14" si="4">E8+1</f>
        <v>42290</v>
      </c>
      <c r="F9" s="9"/>
      <c r="G9" s="6"/>
      <c r="H9" s="7"/>
      <c r="J9" s="102"/>
      <c r="K9" s="102"/>
      <c r="L9" s="102"/>
      <c r="M9" s="102"/>
      <c r="N9" s="102"/>
      <c r="O9" s="102"/>
      <c r="P9" s="102"/>
      <c r="Q9" s="103"/>
      <c r="R9" s="105"/>
      <c r="S9" s="105"/>
      <c r="T9" s="105"/>
      <c r="U9" s="105"/>
      <c r="V9" s="105"/>
      <c r="W9" s="105"/>
      <c r="X9" s="105"/>
      <c r="Y9" s="103"/>
      <c r="Z9" s="102"/>
      <c r="AA9" s="102"/>
      <c r="AB9" s="102"/>
      <c r="AC9" s="102"/>
      <c r="AD9" s="102"/>
      <c r="AE9" s="102"/>
      <c r="AF9" s="102"/>
      <c r="AG9" s="103"/>
      <c r="AH9" s="105"/>
      <c r="AI9" s="105"/>
      <c r="AJ9" s="105"/>
      <c r="AK9" s="105"/>
      <c r="AL9" s="105"/>
      <c r="AM9" s="105"/>
      <c r="AN9" s="105"/>
      <c r="AO9" s="103"/>
      <c r="AP9" s="105"/>
      <c r="AQ9" s="105"/>
      <c r="AR9" s="105"/>
      <c r="AS9" s="105"/>
    </row>
    <row r="10" spans="1:45" x14ac:dyDescent="0.25">
      <c r="A10" s="6" t="s">
        <v>29</v>
      </c>
      <c r="B10" s="7" t="str">
        <f>IF(UserInput!F11="","",UserInput!F11)</f>
        <v/>
      </c>
      <c r="C10" s="9"/>
      <c r="D10" s="6" t="s">
        <v>108</v>
      </c>
      <c r="E10" s="26">
        <f t="shared" si="4"/>
        <v>42291</v>
      </c>
      <c r="F10" s="9"/>
      <c r="G10" s="6"/>
      <c r="H10" s="7"/>
      <c r="J10" s="102"/>
      <c r="K10" s="102"/>
      <c r="L10" s="102"/>
      <c r="M10" s="102"/>
      <c r="N10" s="102"/>
      <c r="O10" s="102"/>
      <c r="P10" s="102"/>
      <c r="Q10" s="103"/>
      <c r="R10" s="105"/>
      <c r="S10" s="105"/>
      <c r="T10" s="105"/>
      <c r="U10" s="105"/>
      <c r="V10" s="105"/>
      <c r="W10" s="105"/>
      <c r="X10" s="105"/>
      <c r="Y10" s="103"/>
      <c r="Z10" s="102"/>
      <c r="AA10" s="102"/>
      <c r="AB10" s="102"/>
      <c r="AC10" s="102"/>
      <c r="AD10" s="102"/>
      <c r="AE10" s="102"/>
      <c r="AF10" s="102"/>
      <c r="AG10" s="103"/>
      <c r="AH10" s="105"/>
      <c r="AI10" s="105"/>
      <c r="AJ10" s="105"/>
      <c r="AK10" s="105"/>
      <c r="AL10" s="105"/>
      <c r="AM10" s="105"/>
      <c r="AN10" s="105"/>
      <c r="AO10" s="103"/>
      <c r="AP10" s="105"/>
      <c r="AQ10" s="105"/>
      <c r="AR10" s="105"/>
      <c r="AS10" s="105"/>
    </row>
    <row r="11" spans="1:45" x14ac:dyDescent="0.25">
      <c r="A11" s="6" t="s">
        <v>30</v>
      </c>
      <c r="B11" s="7" t="str">
        <f>IF(UserInput!F12="","",UserInput!F12)</f>
        <v/>
      </c>
      <c r="C11" s="9"/>
      <c r="D11" s="6" t="s">
        <v>109</v>
      </c>
      <c r="E11" s="26">
        <f t="shared" si="4"/>
        <v>42292</v>
      </c>
      <c r="F11" s="9"/>
      <c r="G11" s="6"/>
      <c r="H11" s="7"/>
      <c r="J11" s="102"/>
      <c r="K11" s="102"/>
      <c r="L11" s="102"/>
      <c r="M11" s="102"/>
      <c r="N11" s="102"/>
      <c r="O11" s="102"/>
      <c r="P11" s="102"/>
      <c r="Q11" s="103"/>
      <c r="R11" s="105"/>
      <c r="S11" s="105"/>
      <c r="T11" s="105"/>
      <c r="U11" s="105"/>
      <c r="V11" s="105"/>
      <c r="W11" s="105"/>
      <c r="X11" s="105"/>
      <c r="Y11" s="103"/>
      <c r="Z11" s="102"/>
      <c r="AA11" s="102"/>
      <c r="AB11" s="102"/>
      <c r="AC11" s="102"/>
      <c r="AD11" s="102"/>
      <c r="AE11" s="102"/>
      <c r="AF11" s="102"/>
      <c r="AG11" s="103"/>
      <c r="AH11" s="105"/>
      <c r="AI11" s="105"/>
      <c r="AJ11" s="105"/>
      <c r="AK11" s="105"/>
      <c r="AL11" s="105"/>
      <c r="AM11" s="105"/>
      <c r="AN11" s="105"/>
      <c r="AO11" s="103"/>
      <c r="AP11" s="105"/>
      <c r="AQ11" s="105"/>
      <c r="AR11" s="105"/>
      <c r="AS11" s="105"/>
    </row>
    <row r="12" spans="1:45" x14ac:dyDescent="0.25">
      <c r="A12" s="6" t="s">
        <v>31</v>
      </c>
      <c r="B12" s="7" t="str">
        <f>IF(UserInput!F13="","",UserInput!F13)</f>
        <v/>
      </c>
      <c r="C12" s="9"/>
      <c r="D12" s="6" t="s">
        <v>110</v>
      </c>
      <c r="E12" s="26">
        <f t="shared" si="4"/>
        <v>42293</v>
      </c>
      <c r="F12" s="9"/>
      <c r="G12" s="6"/>
      <c r="H12" s="7"/>
      <c r="J12" s="102"/>
      <c r="K12" s="102"/>
      <c r="L12" s="102"/>
      <c r="M12" s="102"/>
      <c r="N12" s="102"/>
      <c r="O12" s="102"/>
      <c r="P12" s="102"/>
      <c r="Q12" s="103"/>
      <c r="R12" s="105"/>
      <c r="S12" s="105"/>
      <c r="T12" s="105"/>
      <c r="U12" s="105"/>
      <c r="V12" s="105"/>
      <c r="W12" s="105"/>
      <c r="X12" s="105"/>
      <c r="Y12" s="103"/>
      <c r="Z12" s="102"/>
      <c r="AA12" s="102"/>
      <c r="AB12" s="102"/>
      <c r="AC12" s="102"/>
      <c r="AD12" s="102"/>
      <c r="AE12" s="102"/>
      <c r="AF12" s="102"/>
      <c r="AG12" s="103"/>
      <c r="AH12" s="105"/>
      <c r="AI12" s="105"/>
      <c r="AJ12" s="105"/>
      <c r="AK12" s="105"/>
      <c r="AL12" s="105"/>
      <c r="AM12" s="105"/>
      <c r="AN12" s="105"/>
      <c r="AO12" s="103"/>
      <c r="AP12" s="105"/>
      <c r="AQ12" s="105"/>
      <c r="AR12" s="105"/>
      <c r="AS12" s="105"/>
    </row>
    <row r="13" spans="1:45" x14ac:dyDescent="0.25">
      <c r="A13" s="6" t="s">
        <v>32</v>
      </c>
      <c r="B13" s="7" t="str">
        <f>IF(UserInput!F14="","",UserInput!F14)</f>
        <v/>
      </c>
      <c r="C13" s="9"/>
      <c r="D13" s="123" t="s">
        <v>111</v>
      </c>
      <c r="E13" s="26">
        <f t="shared" si="4"/>
        <v>42294</v>
      </c>
      <c r="F13" s="9"/>
      <c r="G13" s="6"/>
      <c r="H13" s="7"/>
      <c r="J13" s="102"/>
      <c r="K13" s="102"/>
      <c r="L13" s="102"/>
      <c r="M13" s="102"/>
      <c r="N13" s="102"/>
      <c r="O13" s="102"/>
      <c r="P13" s="102"/>
      <c r="Q13" s="103"/>
      <c r="R13" s="105"/>
      <c r="S13" s="105"/>
      <c r="T13" s="105"/>
      <c r="U13" s="105"/>
      <c r="V13" s="105"/>
      <c r="W13" s="105"/>
      <c r="X13" s="105"/>
      <c r="Y13" s="103"/>
      <c r="Z13" s="102"/>
      <c r="AA13" s="102"/>
      <c r="AB13" s="102"/>
      <c r="AC13" s="102"/>
      <c r="AD13" s="102"/>
      <c r="AE13" s="102"/>
      <c r="AF13" s="102"/>
      <c r="AG13" s="103"/>
      <c r="AH13" s="105"/>
      <c r="AI13" s="105"/>
      <c r="AJ13" s="105"/>
      <c r="AK13" s="105"/>
      <c r="AL13" s="105"/>
      <c r="AM13" s="105"/>
      <c r="AN13" s="105"/>
      <c r="AO13" s="103"/>
      <c r="AP13" s="105"/>
      <c r="AQ13" s="105"/>
      <c r="AR13" s="105"/>
      <c r="AS13" s="105"/>
    </row>
    <row r="14" spans="1:45" x14ac:dyDescent="0.25">
      <c r="A14" s="6" t="s">
        <v>33</v>
      </c>
      <c r="B14" s="7" t="str">
        <f>IF(UserInput!F15="","",UserInput!F15)</f>
        <v/>
      </c>
      <c r="C14" s="9"/>
      <c r="D14" s="123" t="s">
        <v>112</v>
      </c>
      <c r="E14" s="26">
        <f t="shared" si="4"/>
        <v>42295</v>
      </c>
      <c r="F14" s="9"/>
      <c r="G14" s="6"/>
      <c r="H14" s="7"/>
      <c r="J14" s="102"/>
      <c r="K14" s="102"/>
      <c r="L14" s="102"/>
      <c r="M14" s="102"/>
      <c r="N14" s="102"/>
      <c r="O14" s="102"/>
      <c r="P14" s="102"/>
      <c r="Q14" s="103"/>
      <c r="R14" s="105"/>
      <c r="S14" s="105"/>
      <c r="T14" s="105"/>
      <c r="U14" s="105"/>
      <c r="V14" s="105"/>
      <c r="W14" s="105"/>
      <c r="X14" s="105"/>
      <c r="Y14" s="103"/>
      <c r="Z14" s="102"/>
      <c r="AA14" s="102"/>
      <c r="AB14" s="102"/>
      <c r="AC14" s="102"/>
      <c r="AD14" s="102"/>
      <c r="AE14" s="102"/>
      <c r="AF14" s="102"/>
      <c r="AG14" s="103"/>
      <c r="AH14" s="105"/>
      <c r="AI14" s="105"/>
      <c r="AJ14" s="105"/>
      <c r="AK14" s="105"/>
      <c r="AL14" s="105"/>
      <c r="AM14" s="105"/>
      <c r="AN14" s="105"/>
      <c r="AO14" s="103"/>
      <c r="AP14" s="105"/>
      <c r="AQ14" s="105"/>
      <c r="AR14" s="105"/>
      <c r="AS14" s="105"/>
    </row>
    <row r="15" spans="1:45" x14ac:dyDescent="0.25">
      <c r="A15" s="6" t="s">
        <v>34</v>
      </c>
      <c r="B15" s="7" t="str">
        <f>IF(UserInput!F16="","",UserInput!F16)</f>
        <v/>
      </c>
      <c r="C15" s="9"/>
      <c r="D15" s="9"/>
      <c r="E15" s="22"/>
      <c r="F15" s="9"/>
      <c r="G15" s="6"/>
      <c r="H15" s="7"/>
      <c r="J15" s="102"/>
      <c r="K15" s="102"/>
      <c r="L15" s="102"/>
      <c r="M15" s="102"/>
      <c r="N15" s="102"/>
      <c r="O15" s="102"/>
      <c r="P15" s="102"/>
      <c r="Q15" s="103"/>
      <c r="R15" s="105"/>
      <c r="S15" s="105"/>
      <c r="T15" s="105"/>
      <c r="U15" s="105"/>
      <c r="V15" s="105"/>
      <c r="W15" s="105"/>
      <c r="X15" s="105"/>
      <c r="Y15" s="103"/>
      <c r="Z15" s="102"/>
      <c r="AA15" s="102"/>
      <c r="AB15" s="102"/>
      <c r="AC15" s="102"/>
      <c r="AD15" s="102"/>
      <c r="AE15" s="102"/>
      <c r="AF15" s="102"/>
      <c r="AG15" s="103"/>
      <c r="AH15" s="105"/>
      <c r="AI15" s="105"/>
      <c r="AJ15" s="105"/>
      <c r="AK15" s="105"/>
      <c r="AL15" s="105"/>
      <c r="AM15" s="105"/>
      <c r="AN15" s="105"/>
      <c r="AO15" s="103"/>
      <c r="AP15" s="105"/>
      <c r="AQ15" s="105"/>
      <c r="AR15" s="105"/>
      <c r="AS15" s="105"/>
    </row>
    <row r="16" spans="1:45" x14ac:dyDescent="0.25">
      <c r="A16" s="6" t="s">
        <v>35</v>
      </c>
      <c r="B16" s="7" t="str">
        <f>IF(UserInput!F17="","",UserInput!F17)</f>
        <v/>
      </c>
      <c r="C16" s="9"/>
      <c r="D16" s="9"/>
      <c r="E16" s="9"/>
      <c r="F16" s="9"/>
      <c r="G16" s="6"/>
      <c r="H16" s="7"/>
      <c r="J16" s="102"/>
      <c r="K16" s="102"/>
      <c r="L16" s="102"/>
      <c r="M16" s="102"/>
      <c r="N16" s="102"/>
      <c r="O16" s="102"/>
      <c r="P16" s="102"/>
      <c r="Q16" s="103"/>
      <c r="R16" s="105"/>
      <c r="S16" s="105"/>
      <c r="T16" s="105"/>
      <c r="U16" s="105"/>
      <c r="V16" s="105"/>
      <c r="W16" s="105"/>
      <c r="X16" s="105"/>
      <c r="Y16" s="103"/>
      <c r="Z16" s="102"/>
      <c r="AA16" s="102"/>
      <c r="AB16" s="102"/>
      <c r="AC16" s="102"/>
      <c r="AD16" s="102"/>
      <c r="AE16" s="102"/>
      <c r="AF16" s="102"/>
      <c r="AG16" s="103"/>
      <c r="AH16" s="105"/>
      <c r="AI16" s="105"/>
      <c r="AJ16" s="105"/>
      <c r="AK16" s="105"/>
      <c r="AL16" s="105"/>
      <c r="AM16" s="105"/>
      <c r="AN16" s="105"/>
      <c r="AO16" s="103"/>
      <c r="AP16" s="105"/>
      <c r="AQ16" s="105"/>
      <c r="AR16" s="105"/>
      <c r="AS16" s="105"/>
    </row>
    <row r="17" spans="1:45" x14ac:dyDescent="0.25">
      <c r="A17" s="6" t="s">
        <v>36</v>
      </c>
      <c r="B17" s="7" t="str">
        <f>IF(UserInput!F18="","",UserInput!F18)</f>
        <v/>
      </c>
      <c r="C17" s="9"/>
      <c r="D17" s="9"/>
      <c r="E17" s="9"/>
      <c r="F17" s="9"/>
      <c r="G17" s="6"/>
      <c r="H17" s="7"/>
      <c r="J17" s="102"/>
      <c r="K17" s="102"/>
      <c r="L17" s="102"/>
      <c r="M17" s="102"/>
      <c r="N17" s="102"/>
      <c r="O17" s="102"/>
      <c r="P17" s="102"/>
      <c r="Q17" s="103"/>
      <c r="R17" s="105"/>
      <c r="S17" s="105"/>
      <c r="T17" s="105"/>
      <c r="U17" s="105"/>
      <c r="V17" s="105"/>
      <c r="W17" s="105"/>
      <c r="X17" s="105"/>
      <c r="Y17" s="103"/>
      <c r="Z17" s="102"/>
      <c r="AA17" s="102"/>
      <c r="AB17" s="102"/>
      <c r="AC17" s="102"/>
      <c r="AD17" s="102"/>
      <c r="AE17" s="102"/>
      <c r="AF17" s="102"/>
      <c r="AG17" s="103"/>
      <c r="AH17" s="105"/>
      <c r="AI17" s="105"/>
      <c r="AJ17" s="105"/>
      <c r="AK17" s="105"/>
      <c r="AL17" s="105"/>
      <c r="AM17" s="105"/>
      <c r="AN17" s="105"/>
      <c r="AO17" s="103"/>
      <c r="AP17" s="105"/>
      <c r="AQ17" s="105"/>
      <c r="AR17" s="105"/>
      <c r="AS17" s="105"/>
    </row>
    <row r="18" spans="1:45" x14ac:dyDescent="0.25">
      <c r="A18" s="6" t="s">
        <v>37</v>
      </c>
      <c r="B18" s="7" t="str">
        <f>IF(UserInput!F19="","",UserInput!F19)</f>
        <v/>
      </c>
      <c r="C18" s="9"/>
      <c r="D18" s="9"/>
      <c r="E18" s="9"/>
      <c r="F18" s="9"/>
      <c r="G18" s="6"/>
      <c r="H18" s="7"/>
      <c r="J18" s="102"/>
      <c r="K18" s="102"/>
      <c r="L18" s="102"/>
      <c r="M18" s="102"/>
      <c r="N18" s="102"/>
      <c r="O18" s="102"/>
      <c r="P18" s="102"/>
      <c r="Q18" s="103"/>
      <c r="R18" s="105"/>
      <c r="S18" s="105"/>
      <c r="T18" s="105"/>
      <c r="U18" s="105"/>
      <c r="V18" s="105"/>
      <c r="W18" s="105"/>
      <c r="X18" s="105"/>
      <c r="Y18" s="103"/>
      <c r="Z18" s="102"/>
      <c r="AA18" s="102"/>
      <c r="AB18" s="102"/>
      <c r="AC18" s="102"/>
      <c r="AD18" s="102"/>
      <c r="AE18" s="102"/>
      <c r="AF18" s="102"/>
      <c r="AG18" s="103"/>
      <c r="AH18" s="105"/>
      <c r="AI18" s="105"/>
      <c r="AJ18" s="105"/>
      <c r="AK18" s="105"/>
      <c r="AL18" s="105"/>
      <c r="AM18" s="105"/>
      <c r="AN18" s="105"/>
      <c r="AO18" s="103"/>
      <c r="AP18" s="105"/>
      <c r="AQ18" s="105"/>
      <c r="AR18" s="105"/>
      <c r="AS18" s="105"/>
    </row>
    <row r="19" spans="1:45" x14ac:dyDescent="0.25">
      <c r="A19" s="6" t="s">
        <v>38</v>
      </c>
      <c r="B19" s="7" t="str">
        <f>IF(UserInput!F20="","",UserInput!F20)</f>
        <v/>
      </c>
      <c r="C19" s="9"/>
      <c r="D19" s="9"/>
      <c r="E19" s="9"/>
      <c r="F19" s="9"/>
      <c r="G19" s="6"/>
      <c r="H19" s="7"/>
      <c r="J19" s="102"/>
      <c r="K19" s="102"/>
      <c r="L19" s="102"/>
      <c r="M19" s="102"/>
      <c r="N19" s="102"/>
      <c r="O19" s="102"/>
      <c r="P19" s="102"/>
      <c r="Q19" s="103"/>
      <c r="R19" s="105"/>
      <c r="S19" s="105"/>
      <c r="T19" s="105"/>
      <c r="U19" s="105"/>
      <c r="V19" s="105"/>
      <c r="W19" s="105"/>
      <c r="X19" s="105"/>
      <c r="Y19" s="103"/>
      <c r="Z19" s="102"/>
      <c r="AA19" s="102"/>
      <c r="AB19" s="102"/>
      <c r="AC19" s="102"/>
      <c r="AD19" s="102"/>
      <c r="AE19" s="102"/>
      <c r="AF19" s="102"/>
      <c r="AG19" s="103"/>
      <c r="AH19" s="105"/>
      <c r="AI19" s="105"/>
      <c r="AJ19" s="105"/>
      <c r="AK19" s="105"/>
      <c r="AL19" s="105"/>
      <c r="AM19" s="105"/>
      <c r="AN19" s="105"/>
      <c r="AO19" s="103"/>
      <c r="AP19" s="105"/>
      <c r="AQ19" s="105"/>
      <c r="AR19" s="105"/>
      <c r="AS19" s="105"/>
    </row>
    <row r="20" spans="1:45" x14ac:dyDescent="0.25">
      <c r="A20" s="6" t="s">
        <v>39</v>
      </c>
      <c r="B20" s="7" t="str">
        <f>IF(UserInput!F21="","",UserInput!F21)</f>
        <v/>
      </c>
      <c r="C20" s="9"/>
      <c r="D20" s="9"/>
      <c r="E20" s="9"/>
      <c r="F20" s="9"/>
      <c r="G20" s="6"/>
      <c r="H20" s="7"/>
      <c r="J20" s="102"/>
      <c r="K20" s="102"/>
      <c r="L20" s="102"/>
      <c r="M20" s="102"/>
      <c r="N20" s="102"/>
      <c r="O20" s="102"/>
      <c r="P20" s="102"/>
      <c r="Q20" s="103"/>
      <c r="R20" s="105"/>
      <c r="S20" s="105"/>
      <c r="T20" s="105"/>
      <c r="U20" s="105"/>
      <c r="V20" s="105"/>
      <c r="W20" s="105"/>
      <c r="X20" s="105"/>
      <c r="Y20" s="103"/>
      <c r="Z20" s="102"/>
      <c r="AA20" s="102"/>
      <c r="AB20" s="102"/>
      <c r="AC20" s="102"/>
      <c r="AD20" s="102"/>
      <c r="AE20" s="102"/>
      <c r="AF20" s="102"/>
      <c r="AG20" s="103"/>
      <c r="AH20" s="105"/>
      <c r="AI20" s="105"/>
      <c r="AJ20" s="105"/>
      <c r="AK20" s="105"/>
      <c r="AL20" s="105"/>
      <c r="AM20" s="105"/>
      <c r="AN20" s="105"/>
      <c r="AO20" s="103"/>
      <c r="AP20" s="105"/>
      <c r="AQ20" s="105"/>
      <c r="AR20" s="105"/>
      <c r="AS20" s="105"/>
    </row>
    <row r="21" spans="1:45" x14ac:dyDescent="0.25">
      <c r="A21" s="6" t="s">
        <v>40</v>
      </c>
      <c r="B21" s="7" t="str">
        <f>IF(UserInput!F22="","",UserInput!F22)</f>
        <v/>
      </c>
      <c r="C21" s="9"/>
      <c r="D21" s="9"/>
      <c r="E21" s="9"/>
      <c r="F21" s="9"/>
      <c r="G21" s="6"/>
      <c r="H21" s="7"/>
      <c r="J21" s="102"/>
      <c r="K21" s="102"/>
      <c r="L21" s="102"/>
      <c r="M21" s="102"/>
      <c r="N21" s="102"/>
      <c r="O21" s="102"/>
      <c r="P21" s="102"/>
      <c r="Q21" s="103"/>
      <c r="R21" s="105"/>
      <c r="S21" s="105"/>
      <c r="T21" s="105"/>
      <c r="U21" s="105"/>
      <c r="V21" s="105"/>
      <c r="W21" s="105"/>
      <c r="X21" s="105"/>
      <c r="Y21" s="103"/>
      <c r="Z21" s="102"/>
      <c r="AA21" s="102"/>
      <c r="AB21" s="102"/>
      <c r="AC21" s="102"/>
      <c r="AD21" s="102"/>
      <c r="AE21" s="102"/>
      <c r="AF21" s="102"/>
      <c r="AG21" s="103"/>
      <c r="AH21" s="105"/>
      <c r="AI21" s="105"/>
      <c r="AJ21" s="105"/>
      <c r="AK21" s="105"/>
      <c r="AL21" s="105"/>
      <c r="AM21" s="105"/>
      <c r="AN21" s="105"/>
      <c r="AO21" s="103"/>
      <c r="AP21" s="105"/>
      <c r="AQ21" s="105"/>
      <c r="AR21" s="105"/>
      <c r="AS21" s="105"/>
    </row>
    <row r="22" spans="1:45" x14ac:dyDescent="0.25">
      <c r="A22" s="6" t="s">
        <v>41</v>
      </c>
      <c r="B22" s="7" t="str">
        <f>IF(UserInput!F23="","",UserInput!F23)</f>
        <v/>
      </c>
      <c r="C22" s="9"/>
      <c r="D22" s="9"/>
      <c r="E22" s="9"/>
      <c r="F22" s="9"/>
      <c r="G22" s="6"/>
      <c r="H22" s="7"/>
      <c r="J22" s="102"/>
      <c r="K22" s="102"/>
      <c r="L22" s="102"/>
      <c r="M22" s="102"/>
      <c r="N22" s="102"/>
      <c r="O22" s="102"/>
      <c r="P22" s="102"/>
      <c r="Q22" s="103"/>
      <c r="R22" s="105"/>
      <c r="S22" s="105"/>
      <c r="T22" s="105"/>
      <c r="U22" s="105"/>
      <c r="V22" s="105"/>
      <c r="W22" s="105"/>
      <c r="X22" s="105"/>
      <c r="Y22" s="103"/>
      <c r="Z22" s="102"/>
      <c r="AA22" s="102"/>
      <c r="AB22" s="102"/>
      <c r="AC22" s="102"/>
      <c r="AD22" s="102"/>
      <c r="AE22" s="102"/>
      <c r="AF22" s="102"/>
      <c r="AG22" s="103"/>
      <c r="AH22" s="105"/>
      <c r="AI22" s="105"/>
      <c r="AJ22" s="105"/>
      <c r="AK22" s="105"/>
      <c r="AL22" s="105"/>
      <c r="AM22" s="105"/>
      <c r="AN22" s="105"/>
      <c r="AO22" s="103"/>
      <c r="AP22" s="105"/>
      <c r="AQ22" s="105"/>
      <c r="AR22" s="105"/>
      <c r="AS22" s="105"/>
    </row>
    <row r="23" spans="1:45" x14ac:dyDescent="0.25">
      <c r="A23" s="6" t="s">
        <v>42</v>
      </c>
      <c r="B23" s="7" t="str">
        <f>IF(UserInput!F24="","",UserInput!F24)</f>
        <v/>
      </c>
      <c r="C23" s="9"/>
      <c r="D23" s="9"/>
      <c r="E23" s="9"/>
      <c r="F23" s="9"/>
      <c r="G23" s="6"/>
      <c r="H23" s="7"/>
      <c r="J23" s="102"/>
      <c r="K23" s="102"/>
      <c r="L23" s="102"/>
      <c r="M23" s="102"/>
      <c r="N23" s="102"/>
      <c r="O23" s="102"/>
      <c r="P23" s="102"/>
      <c r="Q23" s="103"/>
      <c r="R23" s="105"/>
      <c r="S23" s="105"/>
      <c r="T23" s="105"/>
      <c r="U23" s="105"/>
      <c r="V23" s="105"/>
      <c r="W23" s="105"/>
      <c r="X23" s="105"/>
      <c r="Y23" s="103"/>
      <c r="Z23" s="102"/>
      <c r="AA23" s="102"/>
      <c r="AB23" s="102"/>
      <c r="AC23" s="102"/>
      <c r="AD23" s="102"/>
      <c r="AE23" s="102"/>
      <c r="AF23" s="102"/>
      <c r="AG23" s="103"/>
      <c r="AH23" s="105"/>
      <c r="AI23" s="105"/>
      <c r="AJ23" s="105"/>
      <c r="AK23" s="105"/>
      <c r="AL23" s="105"/>
      <c r="AM23" s="105"/>
      <c r="AN23" s="105"/>
      <c r="AO23" s="103"/>
      <c r="AP23" s="105"/>
      <c r="AQ23" s="105"/>
      <c r="AR23" s="105"/>
      <c r="AS23" s="105"/>
    </row>
    <row r="24" spans="1:45" x14ac:dyDescent="0.25">
      <c r="A24" s="6" t="s">
        <v>42</v>
      </c>
      <c r="B24" s="7" t="str">
        <f>IF(UserInput!F25="","",UserInput!F25)</f>
        <v/>
      </c>
      <c r="C24" s="9"/>
      <c r="D24" s="9"/>
      <c r="E24" s="9"/>
      <c r="F24" s="9"/>
      <c r="G24" s="6"/>
      <c r="H24" s="7"/>
      <c r="J24" s="102"/>
      <c r="K24" s="102"/>
      <c r="L24" s="102"/>
      <c r="M24" s="102"/>
      <c r="N24" s="102"/>
      <c r="O24" s="102"/>
      <c r="P24" s="102"/>
      <c r="Q24" s="103"/>
      <c r="R24" s="105"/>
      <c r="S24" s="105"/>
      <c r="T24" s="105"/>
      <c r="U24" s="105"/>
      <c r="V24" s="105"/>
      <c r="W24" s="105"/>
      <c r="X24" s="105"/>
      <c r="Y24" s="103"/>
      <c r="Z24" s="102"/>
      <c r="AA24" s="102"/>
      <c r="AB24" s="102"/>
      <c r="AC24" s="102"/>
      <c r="AD24" s="102"/>
      <c r="AE24" s="102"/>
      <c r="AF24" s="102"/>
      <c r="AG24" s="103"/>
      <c r="AH24" s="105"/>
      <c r="AI24" s="105"/>
      <c r="AJ24" s="105"/>
      <c r="AK24" s="105"/>
      <c r="AL24" s="105"/>
      <c r="AM24" s="105"/>
      <c r="AN24" s="105"/>
      <c r="AO24" s="103"/>
      <c r="AP24" s="105"/>
      <c r="AQ24" s="105"/>
      <c r="AR24" s="105"/>
      <c r="AS24" s="105"/>
    </row>
    <row r="25" spans="1:45" x14ac:dyDescent="0.25">
      <c r="A25" s="6"/>
      <c r="B25" s="7" t="str">
        <f>IF(UserInput!F26="","",UserInput!F26)</f>
        <v/>
      </c>
      <c r="C25" s="9"/>
      <c r="D25" s="9"/>
      <c r="E25" s="9"/>
      <c r="F25" s="9"/>
      <c r="G25" s="6"/>
      <c r="H25" s="7"/>
      <c r="J25" s="102"/>
      <c r="K25" s="102"/>
      <c r="L25" s="102"/>
      <c r="M25" s="102"/>
      <c r="N25" s="102"/>
      <c r="O25" s="102"/>
      <c r="P25" s="102"/>
      <c r="Q25" s="103"/>
      <c r="R25" s="105"/>
      <c r="S25" s="105"/>
      <c r="T25" s="105"/>
      <c r="U25" s="105"/>
      <c r="V25" s="105"/>
      <c r="W25" s="105"/>
      <c r="X25" s="105"/>
      <c r="Y25" s="103"/>
      <c r="Z25" s="102"/>
      <c r="AA25" s="102"/>
      <c r="AB25" s="102"/>
      <c r="AC25" s="102"/>
      <c r="AD25" s="102"/>
      <c r="AE25" s="102"/>
      <c r="AF25" s="102"/>
      <c r="AG25" s="103"/>
      <c r="AH25" s="105"/>
      <c r="AI25" s="105"/>
      <c r="AJ25" s="105"/>
      <c r="AK25" s="105"/>
      <c r="AL25" s="105"/>
      <c r="AM25" s="105"/>
      <c r="AN25" s="105"/>
      <c r="AO25" s="103"/>
      <c r="AP25" s="105"/>
      <c r="AQ25" s="105"/>
      <c r="AR25" s="105"/>
      <c r="AS25" s="105"/>
    </row>
    <row r="26" spans="1:45" x14ac:dyDescent="0.25">
      <c r="A26" s="6"/>
      <c r="B26" s="7"/>
      <c r="C26" s="9"/>
      <c r="D26" s="9"/>
      <c r="E26" s="9"/>
      <c r="F26" s="9"/>
      <c r="G26" s="6"/>
      <c r="H26" s="7"/>
      <c r="J26" s="102"/>
      <c r="K26" s="102"/>
      <c r="L26" s="102"/>
      <c r="M26" s="102"/>
      <c r="N26" s="102"/>
      <c r="O26" s="102"/>
      <c r="P26" s="102"/>
      <c r="Q26" s="103"/>
      <c r="R26" s="105"/>
      <c r="S26" s="105"/>
      <c r="T26" s="105"/>
      <c r="U26" s="105"/>
      <c r="V26" s="105"/>
      <c r="W26" s="105"/>
      <c r="X26" s="105"/>
      <c r="Y26" s="103"/>
      <c r="Z26" s="102"/>
      <c r="AA26" s="102"/>
      <c r="AB26" s="102"/>
      <c r="AC26" s="102"/>
      <c r="AD26" s="102"/>
      <c r="AE26" s="102"/>
      <c r="AF26" s="102"/>
      <c r="AG26" s="103"/>
      <c r="AH26" s="105"/>
      <c r="AI26" s="105"/>
      <c r="AJ26" s="105"/>
      <c r="AK26" s="105"/>
      <c r="AL26" s="105"/>
      <c r="AM26" s="105"/>
      <c r="AN26" s="105"/>
      <c r="AO26" s="103"/>
      <c r="AP26" s="105"/>
      <c r="AQ26" s="105"/>
      <c r="AR26" s="105"/>
      <c r="AS26" s="105"/>
    </row>
    <row r="27" spans="1:45" x14ac:dyDescent="0.25">
      <c r="A27" s="6"/>
      <c r="B27" s="7"/>
      <c r="C27" s="9"/>
      <c r="D27" s="9"/>
      <c r="E27" s="9"/>
      <c r="F27" s="9"/>
      <c r="G27" s="6"/>
      <c r="H27" s="7"/>
      <c r="J27" s="102"/>
      <c r="K27" s="102"/>
      <c r="L27" s="102"/>
      <c r="M27" s="102"/>
      <c r="N27" s="102"/>
      <c r="O27" s="102"/>
      <c r="P27" s="102"/>
      <c r="Q27" s="103"/>
      <c r="R27" s="105"/>
      <c r="S27" s="105"/>
      <c r="T27" s="105"/>
      <c r="U27" s="105"/>
      <c r="V27" s="105"/>
      <c r="W27" s="105"/>
      <c r="X27" s="105"/>
      <c r="Y27" s="103"/>
      <c r="Z27" s="102"/>
      <c r="AA27" s="102"/>
      <c r="AB27" s="102"/>
      <c r="AC27" s="102"/>
      <c r="AD27" s="102"/>
      <c r="AE27" s="102"/>
      <c r="AF27" s="102"/>
      <c r="AG27" s="103"/>
      <c r="AH27" s="105"/>
      <c r="AI27" s="105"/>
      <c r="AJ27" s="105"/>
      <c r="AK27" s="105"/>
      <c r="AL27" s="105"/>
      <c r="AM27" s="105"/>
      <c r="AN27" s="105"/>
      <c r="AO27" s="103"/>
      <c r="AP27" s="105"/>
      <c r="AQ27" s="105"/>
      <c r="AR27" s="105"/>
      <c r="AS27" s="105"/>
    </row>
    <row r="28" spans="1:45" x14ac:dyDescent="0.25">
      <c r="A28" s="8"/>
      <c r="J28" s="102"/>
      <c r="K28" s="102"/>
      <c r="L28" s="102"/>
      <c r="M28" s="102"/>
      <c r="N28" s="102"/>
      <c r="O28" s="102"/>
      <c r="P28" s="102"/>
      <c r="Q28" s="103"/>
      <c r="R28" s="105"/>
      <c r="S28" s="105"/>
      <c r="T28" s="105"/>
      <c r="U28" s="105"/>
      <c r="V28" s="105"/>
      <c r="W28" s="105"/>
      <c r="X28" s="105"/>
      <c r="Y28" s="103"/>
      <c r="Z28" s="102"/>
      <c r="AA28" s="102"/>
      <c r="AB28" s="102"/>
      <c r="AC28" s="102"/>
      <c r="AD28" s="102"/>
      <c r="AE28" s="102"/>
      <c r="AF28" s="102"/>
      <c r="AG28" s="103"/>
      <c r="AH28" s="105"/>
      <c r="AI28" s="105"/>
      <c r="AJ28" s="105"/>
      <c r="AK28" s="105"/>
      <c r="AL28" s="105"/>
      <c r="AM28" s="105"/>
      <c r="AN28" s="105"/>
      <c r="AO28" s="103"/>
      <c r="AP28" s="105"/>
      <c r="AQ28" s="105"/>
      <c r="AR28" s="105"/>
      <c r="AS28" s="105"/>
    </row>
    <row r="29" spans="1:45" x14ac:dyDescent="0.25">
      <c r="A29" s="217" t="s">
        <v>43</v>
      </c>
      <c r="B29" s="218"/>
      <c r="C29" s="218"/>
      <c r="D29" s="218"/>
      <c r="E29" s="218"/>
      <c r="F29" s="218"/>
      <c r="G29" s="218"/>
      <c r="H29" s="219"/>
      <c r="J29" s="102"/>
      <c r="K29" s="102"/>
      <c r="L29" s="102"/>
      <c r="M29" s="102"/>
      <c r="N29" s="102"/>
      <c r="O29" s="102"/>
      <c r="P29" s="102"/>
      <c r="Q29" s="103"/>
      <c r="R29" s="105"/>
      <c r="S29" s="105"/>
      <c r="T29" s="105"/>
      <c r="U29" s="105"/>
      <c r="V29" s="105"/>
      <c r="W29" s="105"/>
      <c r="X29" s="105"/>
      <c r="Y29" s="103"/>
      <c r="Z29" s="102"/>
      <c r="AA29" s="102"/>
      <c r="AB29" s="102"/>
      <c r="AC29" s="102"/>
      <c r="AD29" s="102"/>
      <c r="AE29" s="102"/>
      <c r="AF29" s="102"/>
      <c r="AG29" s="103"/>
      <c r="AH29" s="105"/>
      <c r="AI29" s="105"/>
      <c r="AJ29" s="105"/>
      <c r="AK29" s="105"/>
      <c r="AL29" s="105"/>
      <c r="AM29" s="105"/>
      <c r="AN29" s="105"/>
      <c r="AO29" s="103"/>
      <c r="AP29" s="105"/>
      <c r="AQ29" s="105"/>
      <c r="AR29" s="105"/>
      <c r="AS29" s="105"/>
    </row>
    <row r="30" spans="1:45" x14ac:dyDescent="0.25">
      <c r="A30" s="16" t="s">
        <v>15</v>
      </c>
      <c r="B30" s="17" t="s">
        <v>16</v>
      </c>
      <c r="C30" s="17" t="s">
        <v>17</v>
      </c>
      <c r="D30" s="17" t="s">
        <v>18</v>
      </c>
      <c r="E30" s="17" t="s">
        <v>19</v>
      </c>
      <c r="F30" s="17" t="s">
        <v>20</v>
      </c>
      <c r="G30" s="17" t="s">
        <v>21</v>
      </c>
      <c r="H30" s="18" t="s">
        <v>22</v>
      </c>
      <c r="J30" s="102"/>
      <c r="K30" s="102"/>
      <c r="L30" s="102"/>
      <c r="M30" s="102"/>
      <c r="N30" s="102"/>
      <c r="O30" s="102"/>
      <c r="P30" s="102"/>
      <c r="Q30" s="103"/>
      <c r="R30" s="105"/>
      <c r="S30" s="105"/>
      <c r="T30" s="105"/>
      <c r="U30" s="105"/>
      <c r="V30" s="105"/>
      <c r="W30" s="105"/>
      <c r="X30" s="105"/>
      <c r="Y30" s="103"/>
      <c r="Z30" s="102"/>
      <c r="AA30" s="102"/>
      <c r="AB30" s="102"/>
      <c r="AC30" s="102"/>
      <c r="AD30" s="102"/>
      <c r="AE30" s="102"/>
      <c r="AF30" s="102"/>
      <c r="AG30" s="103"/>
      <c r="AH30" s="105"/>
      <c r="AI30" s="105"/>
      <c r="AJ30" s="105"/>
      <c r="AK30" s="105"/>
      <c r="AL30" s="105"/>
      <c r="AM30" s="105"/>
      <c r="AN30" s="105"/>
      <c r="AO30" s="103"/>
      <c r="AP30" s="105"/>
      <c r="AQ30" s="105"/>
      <c r="AR30" s="105"/>
      <c r="AS30" s="105"/>
    </row>
    <row r="31" spans="1:45" x14ac:dyDescent="0.25">
      <c r="A31" s="19">
        <v>1</v>
      </c>
      <c r="B31" s="12">
        <v>42002</v>
      </c>
      <c r="C31" s="12">
        <v>42003</v>
      </c>
      <c r="D31" s="12">
        <v>42004</v>
      </c>
      <c r="E31" s="12">
        <v>42005</v>
      </c>
      <c r="F31" s="12">
        <v>42006</v>
      </c>
      <c r="G31" s="12">
        <v>42007</v>
      </c>
      <c r="H31" s="13">
        <v>42008</v>
      </c>
      <c r="I31" s="5" t="s">
        <v>51</v>
      </c>
      <c r="J31" s="102"/>
      <c r="K31" s="102"/>
      <c r="L31" s="102"/>
      <c r="M31" s="102"/>
      <c r="N31" s="102"/>
      <c r="O31" s="102"/>
      <c r="P31" s="102"/>
      <c r="Q31" s="103"/>
      <c r="R31" s="105"/>
      <c r="S31" s="105"/>
      <c r="T31" s="105"/>
      <c r="U31" s="105"/>
      <c r="V31" s="105"/>
      <c r="W31" s="105"/>
      <c r="X31" s="105"/>
      <c r="Y31" s="103"/>
      <c r="Z31" s="102"/>
      <c r="AA31" s="102"/>
      <c r="AB31" s="102"/>
      <c r="AC31" s="102"/>
      <c r="AD31" s="102"/>
      <c r="AE31" s="102"/>
      <c r="AF31" s="102"/>
      <c r="AG31" s="103"/>
      <c r="AH31" s="105"/>
      <c r="AI31" s="105"/>
      <c r="AJ31" s="105"/>
      <c r="AK31" s="105"/>
      <c r="AL31" s="105"/>
      <c r="AM31" s="105"/>
      <c r="AN31" s="105"/>
      <c r="AO31" s="103"/>
      <c r="AP31" s="105"/>
      <c r="AQ31" s="105"/>
      <c r="AR31" s="105"/>
      <c r="AS31" s="105"/>
    </row>
    <row r="32" spans="1:45" x14ac:dyDescent="0.25">
      <c r="A32" s="19">
        <v>2</v>
      </c>
      <c r="B32" s="12">
        <v>42009</v>
      </c>
      <c r="C32" s="12">
        <v>42010</v>
      </c>
      <c r="D32" s="12">
        <v>42011</v>
      </c>
      <c r="E32" s="12">
        <v>42012</v>
      </c>
      <c r="F32" s="12">
        <v>42013</v>
      </c>
      <c r="G32" s="12">
        <v>42014</v>
      </c>
      <c r="H32" s="13">
        <v>42015</v>
      </c>
      <c r="J32" s="102"/>
      <c r="K32" s="102"/>
      <c r="L32" s="102"/>
      <c r="M32" s="102"/>
      <c r="N32" s="102"/>
      <c r="O32" s="102"/>
      <c r="P32" s="102"/>
      <c r="Q32" s="103"/>
      <c r="R32" s="105"/>
      <c r="S32" s="105"/>
      <c r="T32" s="105"/>
      <c r="U32" s="105"/>
      <c r="V32" s="105"/>
      <c r="W32" s="105"/>
      <c r="X32" s="105"/>
      <c r="Y32" s="103"/>
      <c r="Z32" s="102"/>
      <c r="AA32" s="102"/>
      <c r="AB32" s="102"/>
      <c r="AC32" s="102"/>
      <c r="AD32" s="102"/>
      <c r="AE32" s="102"/>
      <c r="AF32" s="102"/>
      <c r="AG32" s="103"/>
      <c r="AH32" s="105"/>
      <c r="AI32" s="105"/>
      <c r="AJ32" s="105"/>
      <c r="AK32" s="105"/>
      <c r="AL32" s="105"/>
      <c r="AM32" s="105"/>
      <c r="AN32" s="105"/>
      <c r="AO32" s="103"/>
      <c r="AP32" s="105"/>
      <c r="AQ32" s="105"/>
      <c r="AR32" s="105"/>
      <c r="AS32" s="105"/>
    </row>
    <row r="33" spans="1:45" x14ac:dyDescent="0.25">
      <c r="A33" s="19">
        <v>3</v>
      </c>
      <c r="B33" s="12">
        <v>42016</v>
      </c>
      <c r="C33" s="12">
        <v>42017</v>
      </c>
      <c r="D33" s="12">
        <v>42018</v>
      </c>
      <c r="E33" s="12">
        <v>42019</v>
      </c>
      <c r="F33" s="12">
        <v>42020</v>
      </c>
      <c r="G33" s="12">
        <v>42021</v>
      </c>
      <c r="H33" s="13">
        <v>42022</v>
      </c>
      <c r="J33" s="102"/>
      <c r="K33" s="102"/>
      <c r="L33" s="102"/>
      <c r="M33" s="102"/>
      <c r="N33" s="102"/>
      <c r="O33" s="102"/>
      <c r="P33" s="102"/>
      <c r="Q33" s="103"/>
      <c r="R33" s="105"/>
      <c r="S33" s="105"/>
      <c r="T33" s="105"/>
      <c r="U33" s="105"/>
      <c r="V33" s="105"/>
      <c r="W33" s="105"/>
      <c r="X33" s="105"/>
      <c r="Y33" s="103"/>
      <c r="Z33" s="102"/>
      <c r="AA33" s="102"/>
      <c r="AB33" s="102"/>
      <c r="AC33" s="102"/>
      <c r="AD33" s="102"/>
      <c r="AE33" s="102"/>
      <c r="AF33" s="102"/>
      <c r="AG33" s="103"/>
      <c r="AH33" s="105"/>
      <c r="AI33" s="105"/>
      <c r="AJ33" s="105"/>
      <c r="AK33" s="105"/>
      <c r="AL33" s="105"/>
      <c r="AM33" s="105"/>
      <c r="AN33" s="105"/>
      <c r="AO33" s="103"/>
      <c r="AP33" s="105"/>
      <c r="AQ33" s="105"/>
      <c r="AR33" s="105"/>
      <c r="AS33" s="105"/>
    </row>
    <row r="34" spans="1:45" x14ac:dyDescent="0.25">
      <c r="A34" s="19">
        <v>4</v>
      </c>
      <c r="B34" s="12">
        <v>42023</v>
      </c>
      <c r="C34" s="12">
        <v>42024</v>
      </c>
      <c r="D34" s="12">
        <v>42025</v>
      </c>
      <c r="E34" s="12">
        <v>42026</v>
      </c>
      <c r="F34" s="12">
        <v>42027</v>
      </c>
      <c r="G34" s="12">
        <v>42028</v>
      </c>
      <c r="H34" s="13">
        <v>42029</v>
      </c>
      <c r="J34" s="102"/>
      <c r="K34" s="102"/>
      <c r="L34" s="102"/>
      <c r="M34" s="102"/>
      <c r="N34" s="102"/>
      <c r="O34" s="102"/>
      <c r="P34" s="102"/>
      <c r="Q34" s="103"/>
      <c r="R34" s="105"/>
      <c r="S34" s="105"/>
      <c r="T34" s="105"/>
      <c r="U34" s="105"/>
      <c r="V34" s="105"/>
      <c r="W34" s="105"/>
      <c r="X34" s="105"/>
      <c r="Y34" s="103"/>
      <c r="Z34" s="102"/>
      <c r="AA34" s="102"/>
      <c r="AB34" s="102"/>
      <c r="AC34" s="102"/>
      <c r="AD34" s="102"/>
      <c r="AE34" s="102"/>
      <c r="AF34" s="102"/>
      <c r="AG34" s="103"/>
      <c r="AH34" s="105"/>
      <c r="AI34" s="105"/>
      <c r="AJ34" s="105"/>
      <c r="AK34" s="105"/>
      <c r="AL34" s="105"/>
      <c r="AM34" s="105"/>
      <c r="AN34" s="105"/>
      <c r="AO34" s="103"/>
      <c r="AP34" s="105"/>
      <c r="AQ34" s="105"/>
      <c r="AR34" s="105"/>
      <c r="AS34" s="105"/>
    </row>
    <row r="35" spans="1:45" x14ac:dyDescent="0.25">
      <c r="A35" s="19">
        <v>5</v>
      </c>
      <c r="B35" s="12">
        <v>42030</v>
      </c>
      <c r="C35" s="12">
        <v>42031</v>
      </c>
      <c r="D35" s="12">
        <v>42032</v>
      </c>
      <c r="E35" s="12">
        <v>42033</v>
      </c>
      <c r="F35" s="12">
        <v>42034</v>
      </c>
      <c r="G35" s="12">
        <v>42035</v>
      </c>
      <c r="H35" s="13">
        <v>42036</v>
      </c>
      <c r="J35" s="102"/>
      <c r="K35" s="102"/>
      <c r="L35" s="102"/>
      <c r="M35" s="102"/>
      <c r="N35" s="102"/>
      <c r="O35" s="102"/>
      <c r="P35" s="102"/>
      <c r="Q35" s="103"/>
      <c r="R35" s="105"/>
      <c r="S35" s="105"/>
      <c r="T35" s="105"/>
      <c r="U35" s="105"/>
      <c r="V35" s="105"/>
      <c r="W35" s="105"/>
      <c r="X35" s="105"/>
      <c r="Y35" s="103"/>
      <c r="Z35" s="102"/>
      <c r="AA35" s="102"/>
      <c r="AB35" s="102"/>
      <c r="AC35" s="102"/>
      <c r="AD35" s="102"/>
      <c r="AE35" s="102"/>
      <c r="AF35" s="102"/>
      <c r="AG35" s="103"/>
      <c r="AH35" s="105"/>
      <c r="AI35" s="105"/>
      <c r="AJ35" s="105"/>
      <c r="AK35" s="105"/>
      <c r="AL35" s="105"/>
      <c r="AM35" s="105"/>
      <c r="AN35" s="105"/>
      <c r="AO35" s="103"/>
      <c r="AP35" s="105"/>
      <c r="AQ35" s="105"/>
      <c r="AR35" s="105"/>
      <c r="AS35" s="105"/>
    </row>
    <row r="36" spans="1:45" x14ac:dyDescent="0.25">
      <c r="A36" s="19">
        <v>6</v>
      </c>
      <c r="B36" s="12">
        <v>42037</v>
      </c>
      <c r="C36" s="12">
        <v>42038</v>
      </c>
      <c r="D36" s="12">
        <v>42039</v>
      </c>
      <c r="E36" s="12">
        <v>42040</v>
      </c>
      <c r="F36" s="12">
        <v>42041</v>
      </c>
      <c r="G36" s="12">
        <v>42042</v>
      </c>
      <c r="H36" s="13">
        <v>42043</v>
      </c>
      <c r="J36" s="102"/>
      <c r="K36" s="102"/>
      <c r="L36" s="102"/>
      <c r="M36" s="102"/>
      <c r="N36" s="102"/>
      <c r="O36" s="102"/>
      <c r="P36" s="102"/>
      <c r="Q36" s="103"/>
      <c r="R36" s="105"/>
      <c r="S36" s="105"/>
      <c r="T36" s="105"/>
      <c r="U36" s="105"/>
      <c r="V36" s="105"/>
      <c r="W36" s="105"/>
      <c r="X36" s="105"/>
      <c r="Y36" s="103"/>
      <c r="Z36" s="102"/>
      <c r="AA36" s="102"/>
      <c r="AB36" s="102"/>
      <c r="AC36" s="102"/>
      <c r="AD36" s="102"/>
      <c r="AE36" s="102"/>
      <c r="AF36" s="102"/>
      <c r="AG36" s="103"/>
      <c r="AH36" s="105"/>
      <c r="AI36" s="105"/>
      <c r="AJ36" s="105"/>
      <c r="AK36" s="105"/>
      <c r="AL36" s="105"/>
      <c r="AM36" s="105"/>
      <c r="AN36" s="105"/>
      <c r="AO36" s="103"/>
      <c r="AP36" s="105"/>
      <c r="AQ36" s="105"/>
      <c r="AR36" s="105"/>
      <c r="AS36" s="105"/>
    </row>
    <row r="37" spans="1:45" x14ac:dyDescent="0.25">
      <c r="A37" s="19">
        <v>7</v>
      </c>
      <c r="B37" s="12">
        <v>42044</v>
      </c>
      <c r="C37" s="12">
        <v>42045</v>
      </c>
      <c r="D37" s="12">
        <v>42046</v>
      </c>
      <c r="E37" s="12">
        <v>42047</v>
      </c>
      <c r="F37" s="12">
        <v>42048</v>
      </c>
      <c r="G37" s="12">
        <v>42049</v>
      </c>
      <c r="H37" s="13">
        <v>42050</v>
      </c>
      <c r="J37" s="102"/>
      <c r="K37" s="102"/>
      <c r="L37" s="102"/>
      <c r="M37" s="102"/>
      <c r="N37" s="102"/>
      <c r="O37" s="102"/>
      <c r="P37" s="102"/>
      <c r="Q37" s="103"/>
      <c r="R37" s="105"/>
      <c r="S37" s="105"/>
      <c r="T37" s="105"/>
      <c r="U37" s="105"/>
      <c r="V37" s="105"/>
      <c r="W37" s="105"/>
      <c r="X37" s="105"/>
      <c r="Y37" s="103"/>
      <c r="Z37" s="102"/>
      <c r="AA37" s="102"/>
      <c r="AB37" s="102"/>
      <c r="AC37" s="102"/>
      <c r="AD37" s="102"/>
      <c r="AE37" s="102"/>
      <c r="AF37" s="102"/>
      <c r="AG37" s="103"/>
      <c r="AH37" s="105"/>
      <c r="AI37" s="105"/>
      <c r="AJ37" s="105"/>
      <c r="AK37" s="105"/>
      <c r="AL37" s="105"/>
      <c r="AM37" s="105"/>
      <c r="AN37" s="105"/>
      <c r="AO37" s="103"/>
      <c r="AP37" s="105"/>
      <c r="AQ37" s="105"/>
      <c r="AR37" s="105"/>
      <c r="AS37" s="105"/>
    </row>
    <row r="38" spans="1:45" x14ac:dyDescent="0.25">
      <c r="A38" s="19">
        <v>8</v>
      </c>
      <c r="B38" s="12">
        <v>42051</v>
      </c>
      <c r="C38" s="12">
        <v>42052</v>
      </c>
      <c r="D38" s="12">
        <v>42053</v>
      </c>
      <c r="E38" s="12">
        <v>42054</v>
      </c>
      <c r="F38" s="12">
        <v>42055</v>
      </c>
      <c r="G38" s="12">
        <v>42056</v>
      </c>
      <c r="H38" s="13">
        <v>42057</v>
      </c>
      <c r="J38" s="102"/>
      <c r="K38" s="102"/>
      <c r="L38" s="102"/>
      <c r="M38" s="102"/>
      <c r="N38" s="102"/>
      <c r="O38" s="102"/>
      <c r="P38" s="102"/>
      <c r="Q38" s="103"/>
      <c r="R38" s="105"/>
      <c r="S38" s="105"/>
      <c r="T38" s="105"/>
      <c r="U38" s="105"/>
      <c r="V38" s="105"/>
      <c r="W38" s="105"/>
      <c r="X38" s="105"/>
      <c r="Y38" s="103"/>
      <c r="Z38" s="102"/>
      <c r="AA38" s="102"/>
      <c r="AB38" s="102"/>
      <c r="AC38" s="102"/>
      <c r="AD38" s="102"/>
      <c r="AE38" s="102"/>
      <c r="AF38" s="102"/>
      <c r="AG38" s="103"/>
      <c r="AH38" s="105"/>
      <c r="AI38" s="105"/>
      <c r="AJ38" s="105"/>
      <c r="AK38" s="105"/>
      <c r="AL38" s="105"/>
      <c r="AM38" s="105"/>
      <c r="AN38" s="105"/>
      <c r="AO38" s="103"/>
      <c r="AP38" s="105"/>
      <c r="AQ38" s="105"/>
      <c r="AR38" s="105"/>
      <c r="AS38" s="105"/>
    </row>
    <row r="39" spans="1:45" x14ac:dyDescent="0.25">
      <c r="A39" s="19">
        <v>9</v>
      </c>
      <c r="B39" s="12">
        <v>42058</v>
      </c>
      <c r="C39" s="12">
        <v>42059</v>
      </c>
      <c r="D39" s="12">
        <v>42060</v>
      </c>
      <c r="E39" s="12">
        <v>42061</v>
      </c>
      <c r="F39" s="12">
        <v>42062</v>
      </c>
      <c r="G39" s="12">
        <v>42063</v>
      </c>
      <c r="H39" s="13">
        <v>42064</v>
      </c>
      <c r="J39" s="102"/>
      <c r="K39" s="102"/>
      <c r="L39" s="102"/>
      <c r="M39" s="102"/>
      <c r="N39" s="102"/>
      <c r="O39" s="102"/>
      <c r="P39" s="102"/>
      <c r="Q39" s="103"/>
      <c r="R39" s="105"/>
      <c r="S39" s="105"/>
      <c r="T39" s="105"/>
      <c r="U39" s="105"/>
      <c r="V39" s="105"/>
      <c r="W39" s="105"/>
      <c r="X39" s="105"/>
      <c r="Y39" s="103"/>
      <c r="Z39" s="102"/>
      <c r="AA39" s="102"/>
      <c r="AB39" s="102"/>
      <c r="AC39" s="102"/>
      <c r="AD39" s="102"/>
      <c r="AE39" s="102"/>
      <c r="AF39" s="102"/>
      <c r="AG39" s="103"/>
      <c r="AH39" s="105"/>
      <c r="AI39" s="105"/>
      <c r="AJ39" s="105"/>
      <c r="AK39" s="105"/>
      <c r="AL39" s="105"/>
      <c r="AM39" s="105"/>
      <c r="AN39" s="105"/>
      <c r="AO39" s="103"/>
      <c r="AP39" s="105"/>
      <c r="AQ39" s="105"/>
      <c r="AR39" s="105"/>
      <c r="AS39" s="105"/>
    </row>
    <row r="40" spans="1:45" x14ac:dyDescent="0.25">
      <c r="A40" s="19">
        <v>10</v>
      </c>
      <c r="B40" s="12">
        <v>42065</v>
      </c>
      <c r="C40" s="12">
        <v>42066</v>
      </c>
      <c r="D40" s="12">
        <v>42067</v>
      </c>
      <c r="E40" s="12">
        <v>42068</v>
      </c>
      <c r="F40" s="12">
        <v>42069</v>
      </c>
      <c r="G40" s="12">
        <v>42070</v>
      </c>
      <c r="H40" s="13">
        <v>42071</v>
      </c>
      <c r="J40" s="102"/>
      <c r="K40" s="102"/>
      <c r="L40" s="102"/>
      <c r="M40" s="102"/>
      <c r="N40" s="102"/>
      <c r="O40" s="102"/>
      <c r="P40" s="102"/>
      <c r="Q40" s="103"/>
      <c r="R40" s="105"/>
      <c r="S40" s="105"/>
      <c r="T40" s="105"/>
      <c r="U40" s="105"/>
      <c r="V40" s="105"/>
      <c r="W40" s="105"/>
      <c r="X40" s="105"/>
      <c r="Y40" s="103"/>
      <c r="Z40" s="102"/>
      <c r="AA40" s="102"/>
      <c r="AB40" s="102"/>
      <c r="AC40" s="102"/>
      <c r="AD40" s="102"/>
      <c r="AE40" s="102"/>
      <c r="AF40" s="102"/>
      <c r="AG40" s="103"/>
      <c r="AH40" s="105"/>
      <c r="AI40" s="105"/>
      <c r="AJ40" s="105"/>
      <c r="AK40" s="105"/>
      <c r="AL40" s="105"/>
      <c r="AM40" s="105"/>
      <c r="AN40" s="105"/>
      <c r="AO40" s="103"/>
      <c r="AP40" s="105"/>
      <c r="AQ40" s="105"/>
      <c r="AR40" s="105"/>
      <c r="AS40" s="105"/>
    </row>
    <row r="41" spans="1:45" x14ac:dyDescent="0.25">
      <c r="A41" s="19">
        <v>11</v>
      </c>
      <c r="B41" s="12">
        <v>42072</v>
      </c>
      <c r="C41" s="12">
        <v>42073</v>
      </c>
      <c r="D41" s="12">
        <v>42074</v>
      </c>
      <c r="E41" s="12">
        <v>42075</v>
      </c>
      <c r="F41" s="12">
        <v>42076</v>
      </c>
      <c r="G41" s="12">
        <v>42077</v>
      </c>
      <c r="H41" s="13">
        <v>42078</v>
      </c>
      <c r="J41" s="102"/>
      <c r="K41" s="102"/>
      <c r="L41" s="102"/>
      <c r="M41" s="102"/>
      <c r="N41" s="102"/>
      <c r="O41" s="102"/>
      <c r="P41" s="102"/>
      <c r="Q41" s="103"/>
      <c r="R41" s="105"/>
      <c r="S41" s="105"/>
      <c r="T41" s="105"/>
      <c r="U41" s="105"/>
      <c r="V41" s="105"/>
      <c r="W41" s="105"/>
      <c r="X41" s="105"/>
      <c r="Y41" s="103"/>
      <c r="Z41" s="102"/>
      <c r="AA41" s="102"/>
      <c r="AB41" s="102"/>
      <c r="AC41" s="102"/>
      <c r="AD41" s="102"/>
      <c r="AE41" s="102"/>
      <c r="AF41" s="102"/>
      <c r="AG41" s="103"/>
      <c r="AH41" s="105"/>
      <c r="AI41" s="105"/>
      <c r="AJ41" s="105"/>
      <c r="AK41" s="105"/>
      <c r="AL41" s="105"/>
      <c r="AM41" s="105"/>
      <c r="AN41" s="105"/>
      <c r="AO41" s="103"/>
      <c r="AP41" s="105"/>
      <c r="AQ41" s="105"/>
      <c r="AR41" s="105"/>
      <c r="AS41" s="105"/>
    </row>
    <row r="42" spans="1:45" x14ac:dyDescent="0.25">
      <c r="A42" s="19">
        <v>12</v>
      </c>
      <c r="B42" s="12">
        <v>42079</v>
      </c>
      <c r="C42" s="12">
        <v>42080</v>
      </c>
      <c r="D42" s="12">
        <v>42081</v>
      </c>
      <c r="E42" s="12">
        <v>42082</v>
      </c>
      <c r="F42" s="12">
        <v>42083</v>
      </c>
      <c r="G42" s="12">
        <v>42084</v>
      </c>
      <c r="H42" s="13">
        <v>42085</v>
      </c>
      <c r="J42" s="102"/>
      <c r="K42" s="102"/>
      <c r="L42" s="102"/>
      <c r="M42" s="102"/>
      <c r="N42" s="102"/>
      <c r="O42" s="102"/>
      <c r="P42" s="102"/>
      <c r="Q42" s="103"/>
      <c r="R42" s="105"/>
      <c r="S42" s="105"/>
      <c r="T42" s="105"/>
      <c r="U42" s="105"/>
      <c r="V42" s="105"/>
      <c r="W42" s="105"/>
      <c r="X42" s="105"/>
      <c r="Y42" s="103"/>
      <c r="Z42" s="102"/>
      <c r="AA42" s="102"/>
      <c r="AB42" s="102"/>
      <c r="AC42" s="102"/>
      <c r="AD42" s="102"/>
      <c r="AE42" s="102"/>
      <c r="AF42" s="102"/>
      <c r="AG42" s="103"/>
      <c r="AH42" s="105"/>
      <c r="AI42" s="105"/>
      <c r="AJ42" s="105"/>
      <c r="AK42" s="105"/>
      <c r="AL42" s="105"/>
      <c r="AM42" s="105"/>
      <c r="AN42" s="105"/>
      <c r="AO42" s="103"/>
      <c r="AP42" s="105"/>
      <c r="AQ42" s="105"/>
      <c r="AR42" s="105"/>
      <c r="AS42" s="105"/>
    </row>
    <row r="43" spans="1:45" x14ac:dyDescent="0.25">
      <c r="A43" s="19">
        <v>13</v>
      </c>
      <c r="B43" s="12">
        <v>42086</v>
      </c>
      <c r="C43" s="12">
        <v>42087</v>
      </c>
      <c r="D43" s="12">
        <v>42088</v>
      </c>
      <c r="E43" s="12">
        <v>42089</v>
      </c>
      <c r="F43" s="12">
        <v>42090</v>
      </c>
      <c r="G43" s="12">
        <v>42091</v>
      </c>
      <c r="H43" s="13">
        <v>42092</v>
      </c>
      <c r="J43" s="102"/>
      <c r="K43" s="102"/>
      <c r="L43" s="102"/>
      <c r="M43" s="102"/>
      <c r="N43" s="102"/>
      <c r="O43" s="102"/>
      <c r="P43" s="102"/>
      <c r="Q43" s="103"/>
      <c r="R43" s="105"/>
      <c r="S43" s="105"/>
      <c r="T43" s="105"/>
      <c r="U43" s="105"/>
      <c r="V43" s="105"/>
      <c r="W43" s="105"/>
      <c r="X43" s="105"/>
      <c r="Y43" s="103"/>
      <c r="Z43" s="102"/>
      <c r="AA43" s="102"/>
      <c r="AB43" s="102"/>
      <c r="AC43" s="102"/>
      <c r="AD43" s="102"/>
      <c r="AE43" s="102"/>
      <c r="AF43" s="102"/>
      <c r="AG43" s="103"/>
      <c r="AH43" s="105"/>
      <c r="AI43" s="105"/>
      <c r="AJ43" s="105"/>
      <c r="AK43" s="105"/>
      <c r="AL43" s="105"/>
      <c r="AM43" s="105"/>
      <c r="AN43" s="105"/>
      <c r="AO43" s="103"/>
      <c r="AP43" s="105"/>
      <c r="AQ43" s="105"/>
      <c r="AR43" s="105"/>
      <c r="AS43" s="105"/>
    </row>
    <row r="44" spans="1:45" x14ac:dyDescent="0.25">
      <c r="A44" s="19">
        <v>14</v>
      </c>
      <c r="B44" s="12">
        <v>42093</v>
      </c>
      <c r="C44" s="12">
        <v>42094</v>
      </c>
      <c r="D44" s="12">
        <v>42095</v>
      </c>
      <c r="E44" s="12">
        <v>42096</v>
      </c>
      <c r="F44" s="12">
        <v>42097</v>
      </c>
      <c r="G44" s="12">
        <v>42098</v>
      </c>
      <c r="H44" s="13">
        <v>42099</v>
      </c>
      <c r="J44" s="102"/>
      <c r="K44" s="102"/>
      <c r="L44" s="102"/>
      <c r="M44" s="102"/>
      <c r="N44" s="102"/>
      <c r="O44" s="102"/>
      <c r="P44" s="102"/>
      <c r="Q44" s="103"/>
      <c r="R44" s="105"/>
      <c r="S44" s="105"/>
      <c r="T44" s="105"/>
      <c r="U44" s="105"/>
      <c r="V44" s="105"/>
      <c r="W44" s="105"/>
      <c r="X44" s="105"/>
      <c r="Y44" s="103"/>
      <c r="Z44" s="102"/>
      <c r="AA44" s="102"/>
      <c r="AB44" s="102"/>
      <c r="AC44" s="102"/>
      <c r="AD44" s="102"/>
      <c r="AE44" s="102"/>
      <c r="AF44" s="102"/>
      <c r="AG44" s="103"/>
      <c r="AH44" s="105"/>
      <c r="AI44" s="105"/>
      <c r="AJ44" s="105"/>
      <c r="AK44" s="105"/>
      <c r="AL44" s="105"/>
      <c r="AM44" s="105"/>
      <c r="AN44" s="105"/>
      <c r="AO44" s="103"/>
      <c r="AP44" s="105"/>
      <c r="AQ44" s="105"/>
      <c r="AR44" s="105"/>
      <c r="AS44" s="105"/>
    </row>
    <row r="45" spans="1:45" x14ac:dyDescent="0.25">
      <c r="A45" s="19">
        <v>15</v>
      </c>
      <c r="B45" s="12">
        <v>42100</v>
      </c>
      <c r="C45" s="12">
        <v>42101</v>
      </c>
      <c r="D45" s="12">
        <v>42102</v>
      </c>
      <c r="E45" s="12">
        <v>42103</v>
      </c>
      <c r="F45" s="12">
        <v>42104</v>
      </c>
      <c r="G45" s="12">
        <v>42105</v>
      </c>
      <c r="H45" s="13">
        <v>42106</v>
      </c>
      <c r="J45" s="102"/>
      <c r="K45" s="102"/>
      <c r="L45" s="102"/>
      <c r="M45" s="102"/>
      <c r="N45" s="102"/>
      <c r="O45" s="102"/>
      <c r="P45" s="102"/>
      <c r="Q45" s="103"/>
      <c r="R45" s="105"/>
      <c r="S45" s="105"/>
      <c r="T45" s="105"/>
      <c r="U45" s="105"/>
      <c r="V45" s="105"/>
      <c r="W45" s="105"/>
      <c r="X45" s="105"/>
      <c r="Y45" s="103"/>
      <c r="Z45" s="102"/>
      <c r="AA45" s="102"/>
      <c r="AB45" s="102"/>
      <c r="AC45" s="102"/>
      <c r="AD45" s="102"/>
      <c r="AE45" s="102"/>
      <c r="AF45" s="102"/>
      <c r="AG45" s="103"/>
      <c r="AH45" s="105"/>
      <c r="AI45" s="105"/>
      <c r="AJ45" s="105"/>
      <c r="AK45" s="105"/>
      <c r="AL45" s="105"/>
      <c r="AM45" s="105"/>
      <c r="AN45" s="105"/>
      <c r="AO45" s="103"/>
      <c r="AP45" s="105"/>
      <c r="AQ45" s="105"/>
      <c r="AR45" s="105"/>
      <c r="AS45" s="105"/>
    </row>
    <row r="46" spans="1:45" x14ac:dyDescent="0.25">
      <c r="A46" s="19">
        <v>16</v>
      </c>
      <c r="B46" s="12">
        <v>42107</v>
      </c>
      <c r="C46" s="12">
        <v>42108</v>
      </c>
      <c r="D46" s="12">
        <v>42109</v>
      </c>
      <c r="E46" s="12">
        <v>42110</v>
      </c>
      <c r="F46" s="12">
        <v>42111</v>
      </c>
      <c r="G46" s="12">
        <v>42112</v>
      </c>
      <c r="H46" s="13">
        <v>42113</v>
      </c>
      <c r="J46" s="102"/>
      <c r="K46" s="102"/>
      <c r="L46" s="102"/>
      <c r="M46" s="102"/>
      <c r="N46" s="102"/>
      <c r="O46" s="102"/>
      <c r="P46" s="102"/>
      <c r="Q46" s="103"/>
      <c r="R46" s="105"/>
      <c r="S46" s="105"/>
      <c r="T46" s="105"/>
      <c r="U46" s="105"/>
      <c r="V46" s="105"/>
      <c r="W46" s="105"/>
      <c r="X46" s="105"/>
      <c r="Y46" s="103"/>
      <c r="Z46" s="102"/>
      <c r="AA46" s="102"/>
      <c r="AB46" s="102"/>
      <c r="AC46" s="102"/>
      <c r="AD46" s="102"/>
      <c r="AE46" s="102"/>
      <c r="AF46" s="102"/>
      <c r="AG46" s="103"/>
      <c r="AH46" s="105"/>
      <c r="AI46" s="105"/>
      <c r="AJ46" s="105"/>
      <c r="AK46" s="105"/>
      <c r="AL46" s="105"/>
      <c r="AM46" s="105"/>
      <c r="AN46" s="105"/>
      <c r="AO46" s="103"/>
      <c r="AP46" s="105"/>
      <c r="AQ46" s="105"/>
      <c r="AR46" s="105"/>
      <c r="AS46" s="105"/>
    </row>
    <row r="47" spans="1:45" x14ac:dyDescent="0.25">
      <c r="A47" s="19">
        <v>17</v>
      </c>
      <c r="B47" s="12">
        <v>42114</v>
      </c>
      <c r="C47" s="12">
        <v>42115</v>
      </c>
      <c r="D47" s="12">
        <v>42116</v>
      </c>
      <c r="E47" s="12">
        <v>42117</v>
      </c>
      <c r="F47" s="12">
        <v>42118</v>
      </c>
      <c r="G47" s="12">
        <v>42119</v>
      </c>
      <c r="H47" s="13">
        <v>42120</v>
      </c>
      <c r="J47" s="102"/>
      <c r="K47" s="102"/>
      <c r="L47" s="102"/>
      <c r="M47" s="102"/>
      <c r="N47" s="102"/>
      <c r="O47" s="102"/>
      <c r="P47" s="102"/>
      <c r="Q47" s="103"/>
      <c r="R47" s="105"/>
      <c r="S47" s="105"/>
      <c r="T47" s="105"/>
      <c r="U47" s="105"/>
      <c r="V47" s="105"/>
      <c r="W47" s="105"/>
      <c r="X47" s="105"/>
      <c r="Y47" s="103"/>
      <c r="Z47" s="102"/>
      <c r="AA47" s="102"/>
      <c r="AB47" s="102"/>
      <c r="AC47" s="102"/>
      <c r="AD47" s="102"/>
      <c r="AE47" s="102"/>
      <c r="AF47" s="102"/>
      <c r="AG47" s="103"/>
      <c r="AH47" s="105"/>
      <c r="AI47" s="105"/>
      <c r="AJ47" s="105"/>
      <c r="AK47" s="105"/>
      <c r="AL47" s="105"/>
      <c r="AM47" s="105"/>
      <c r="AN47" s="105"/>
      <c r="AO47" s="103"/>
      <c r="AP47" s="105"/>
      <c r="AQ47" s="105"/>
      <c r="AR47" s="105"/>
      <c r="AS47" s="105"/>
    </row>
    <row r="48" spans="1:45" x14ac:dyDescent="0.25">
      <c r="A48" s="19">
        <v>18</v>
      </c>
      <c r="B48" s="12">
        <v>42121</v>
      </c>
      <c r="C48" s="12">
        <v>42122</v>
      </c>
      <c r="D48" s="12">
        <v>42123</v>
      </c>
      <c r="E48" s="12">
        <v>42124</v>
      </c>
      <c r="F48" s="12">
        <v>42125</v>
      </c>
      <c r="G48" s="12">
        <v>42126</v>
      </c>
      <c r="H48" s="13">
        <v>42127</v>
      </c>
      <c r="J48" s="102"/>
      <c r="K48" s="102"/>
      <c r="L48" s="102"/>
      <c r="M48" s="102"/>
      <c r="N48" s="102"/>
      <c r="O48" s="102"/>
      <c r="P48" s="102"/>
      <c r="Q48" s="103"/>
      <c r="R48" s="105"/>
      <c r="S48" s="105"/>
      <c r="T48" s="105"/>
      <c r="U48" s="105"/>
      <c r="V48" s="105"/>
      <c r="W48" s="105"/>
      <c r="X48" s="105"/>
      <c r="Y48" s="103"/>
      <c r="Z48" s="102"/>
      <c r="AA48" s="102"/>
      <c r="AB48" s="102"/>
      <c r="AC48" s="102"/>
      <c r="AD48" s="102"/>
      <c r="AE48" s="102"/>
      <c r="AF48" s="102"/>
      <c r="AG48" s="103"/>
      <c r="AH48" s="105"/>
      <c r="AI48" s="105"/>
      <c r="AJ48" s="105"/>
      <c r="AK48" s="105"/>
      <c r="AL48" s="105"/>
      <c r="AM48" s="105"/>
      <c r="AN48" s="105"/>
      <c r="AO48" s="103"/>
      <c r="AP48" s="105"/>
      <c r="AQ48" s="105"/>
      <c r="AR48" s="105"/>
      <c r="AS48" s="105"/>
    </row>
    <row r="49" spans="1:45" x14ac:dyDescent="0.25">
      <c r="A49" s="19">
        <v>19</v>
      </c>
      <c r="B49" s="12">
        <v>42128</v>
      </c>
      <c r="C49" s="12">
        <v>42129</v>
      </c>
      <c r="D49" s="12">
        <v>42130</v>
      </c>
      <c r="E49" s="12">
        <v>42131</v>
      </c>
      <c r="F49" s="12">
        <v>42132</v>
      </c>
      <c r="G49" s="12">
        <v>42133</v>
      </c>
      <c r="H49" s="13">
        <v>42134</v>
      </c>
      <c r="J49" s="102"/>
      <c r="K49" s="102"/>
      <c r="L49" s="102"/>
      <c r="M49" s="102"/>
      <c r="N49" s="102"/>
      <c r="O49" s="102"/>
      <c r="P49" s="102"/>
      <c r="Q49" s="103"/>
      <c r="R49" s="105"/>
      <c r="S49" s="105"/>
      <c r="T49" s="105"/>
      <c r="U49" s="105"/>
      <c r="V49" s="105"/>
      <c r="W49" s="105"/>
      <c r="X49" s="105"/>
      <c r="Y49" s="103"/>
      <c r="Z49" s="102"/>
      <c r="AA49" s="102"/>
      <c r="AB49" s="102"/>
      <c r="AC49" s="102"/>
      <c r="AD49" s="102"/>
      <c r="AE49" s="102"/>
      <c r="AF49" s="102"/>
      <c r="AG49" s="103"/>
      <c r="AH49" s="105"/>
      <c r="AI49" s="105"/>
      <c r="AJ49" s="105"/>
      <c r="AK49" s="105"/>
      <c r="AL49" s="105"/>
      <c r="AM49" s="105"/>
      <c r="AN49" s="105"/>
      <c r="AO49" s="103"/>
      <c r="AP49" s="105"/>
      <c r="AQ49" s="105"/>
      <c r="AR49" s="105"/>
      <c r="AS49" s="105"/>
    </row>
    <row r="50" spans="1:45" x14ac:dyDescent="0.25">
      <c r="A50" s="19">
        <v>20</v>
      </c>
      <c r="B50" s="12">
        <v>42135</v>
      </c>
      <c r="C50" s="12">
        <v>42136</v>
      </c>
      <c r="D50" s="12">
        <v>42137</v>
      </c>
      <c r="E50" s="12">
        <v>42138</v>
      </c>
      <c r="F50" s="12">
        <v>42139</v>
      </c>
      <c r="G50" s="12">
        <v>42140</v>
      </c>
      <c r="H50" s="13">
        <v>42141</v>
      </c>
      <c r="J50" s="102"/>
      <c r="K50" s="102"/>
      <c r="L50" s="102"/>
      <c r="M50" s="102"/>
      <c r="N50" s="102"/>
      <c r="O50" s="102"/>
      <c r="P50" s="102"/>
      <c r="Q50" s="103"/>
      <c r="R50" s="105"/>
      <c r="S50" s="105"/>
      <c r="T50" s="105"/>
      <c r="U50" s="105"/>
      <c r="V50" s="105"/>
      <c r="W50" s="105"/>
      <c r="X50" s="105"/>
      <c r="Y50" s="103"/>
      <c r="Z50" s="102"/>
      <c r="AA50" s="102"/>
      <c r="AB50" s="102"/>
      <c r="AC50" s="102"/>
      <c r="AD50" s="102"/>
      <c r="AE50" s="102"/>
      <c r="AF50" s="102"/>
      <c r="AG50" s="103"/>
      <c r="AH50" s="105"/>
      <c r="AI50" s="105"/>
      <c r="AJ50" s="105"/>
      <c r="AK50" s="105"/>
      <c r="AL50" s="105"/>
      <c r="AM50" s="105"/>
      <c r="AN50" s="105"/>
      <c r="AO50" s="103"/>
      <c r="AP50" s="105"/>
      <c r="AQ50" s="105"/>
      <c r="AR50" s="105"/>
      <c r="AS50" s="105"/>
    </row>
    <row r="51" spans="1:45" x14ac:dyDescent="0.25">
      <c r="A51" s="19">
        <v>21</v>
      </c>
      <c r="B51" s="12">
        <v>42142</v>
      </c>
      <c r="C51" s="12">
        <v>42143</v>
      </c>
      <c r="D51" s="12">
        <v>42144</v>
      </c>
      <c r="E51" s="12">
        <v>42145</v>
      </c>
      <c r="F51" s="12">
        <v>42146</v>
      </c>
      <c r="G51" s="12">
        <v>42147</v>
      </c>
      <c r="H51" s="13">
        <v>42148</v>
      </c>
      <c r="J51" s="102"/>
      <c r="K51" s="102"/>
      <c r="L51" s="102"/>
      <c r="M51" s="102"/>
      <c r="N51" s="102"/>
      <c r="O51" s="102"/>
      <c r="P51" s="102"/>
      <c r="Q51" s="103"/>
      <c r="R51" s="105"/>
      <c r="S51" s="105"/>
      <c r="T51" s="105"/>
      <c r="U51" s="105"/>
      <c r="V51" s="105"/>
      <c r="W51" s="105"/>
      <c r="X51" s="105"/>
      <c r="Y51" s="103"/>
      <c r="Z51" s="102"/>
      <c r="AA51" s="102"/>
      <c r="AB51" s="102"/>
      <c r="AC51" s="102"/>
      <c r="AD51" s="102"/>
      <c r="AE51" s="102"/>
      <c r="AF51" s="102"/>
      <c r="AG51" s="103"/>
      <c r="AH51" s="105"/>
      <c r="AI51" s="105"/>
      <c r="AJ51" s="105"/>
      <c r="AK51" s="105"/>
      <c r="AL51" s="105"/>
      <c r="AM51" s="105"/>
      <c r="AN51" s="105"/>
      <c r="AO51" s="103"/>
      <c r="AP51" s="105"/>
      <c r="AQ51" s="105"/>
      <c r="AR51" s="105"/>
      <c r="AS51" s="105"/>
    </row>
    <row r="52" spans="1:45" x14ac:dyDescent="0.25">
      <c r="A52" s="19">
        <v>22</v>
      </c>
      <c r="B52" s="12">
        <v>42149</v>
      </c>
      <c r="C52" s="12">
        <v>42150</v>
      </c>
      <c r="D52" s="12">
        <v>42151</v>
      </c>
      <c r="E52" s="12">
        <v>42152</v>
      </c>
      <c r="F52" s="12">
        <v>42153</v>
      </c>
      <c r="G52" s="12">
        <v>42154</v>
      </c>
      <c r="H52" s="13">
        <v>42155</v>
      </c>
      <c r="J52" s="102"/>
      <c r="K52" s="102"/>
      <c r="L52" s="102"/>
      <c r="M52" s="102"/>
      <c r="N52" s="102"/>
      <c r="O52" s="102"/>
      <c r="P52" s="102"/>
      <c r="Q52" s="103"/>
      <c r="R52" s="105"/>
      <c r="S52" s="105"/>
      <c r="T52" s="105"/>
      <c r="U52" s="105"/>
      <c r="V52" s="105"/>
      <c r="W52" s="105"/>
      <c r="X52" s="105"/>
      <c r="Y52" s="103"/>
      <c r="Z52" s="102"/>
      <c r="AA52" s="102"/>
      <c r="AB52" s="102"/>
      <c r="AC52" s="102"/>
      <c r="AD52" s="102"/>
      <c r="AE52" s="102"/>
      <c r="AF52" s="102"/>
      <c r="AG52" s="103"/>
      <c r="AH52" s="105"/>
      <c r="AI52" s="105"/>
      <c r="AJ52" s="105"/>
      <c r="AK52" s="105"/>
      <c r="AL52" s="105"/>
      <c r="AM52" s="105"/>
      <c r="AN52" s="105"/>
      <c r="AO52" s="103"/>
      <c r="AP52" s="105"/>
      <c r="AQ52" s="105"/>
      <c r="AR52" s="105"/>
      <c r="AS52" s="105"/>
    </row>
    <row r="53" spans="1:45" x14ac:dyDescent="0.25">
      <c r="A53" s="19">
        <v>23</v>
      </c>
      <c r="B53" s="12">
        <v>42156</v>
      </c>
      <c r="C53" s="12">
        <v>42157</v>
      </c>
      <c r="D53" s="12">
        <v>42158</v>
      </c>
      <c r="E53" s="12">
        <v>42159</v>
      </c>
      <c r="F53" s="12">
        <v>42160</v>
      </c>
      <c r="G53" s="12">
        <v>42161</v>
      </c>
      <c r="H53" s="13">
        <v>42162</v>
      </c>
      <c r="J53" s="102"/>
      <c r="K53" s="102"/>
      <c r="L53" s="102"/>
      <c r="M53" s="102"/>
      <c r="N53" s="102"/>
      <c r="O53" s="102"/>
      <c r="P53" s="102"/>
      <c r="Q53" s="103"/>
      <c r="R53" s="105"/>
      <c r="S53" s="105"/>
      <c r="T53" s="105"/>
      <c r="U53" s="105"/>
      <c r="V53" s="105"/>
      <c r="W53" s="105"/>
      <c r="X53" s="105"/>
      <c r="Y53" s="103"/>
      <c r="Z53" s="102"/>
      <c r="AA53" s="102"/>
      <c r="AB53" s="102"/>
      <c r="AC53" s="102"/>
      <c r="AD53" s="102"/>
      <c r="AE53" s="102"/>
      <c r="AF53" s="102"/>
      <c r="AG53" s="103"/>
      <c r="AH53" s="105"/>
      <c r="AI53" s="105"/>
      <c r="AJ53" s="105"/>
      <c r="AK53" s="105"/>
      <c r="AL53" s="105"/>
      <c r="AM53" s="105"/>
      <c r="AN53" s="105"/>
      <c r="AO53" s="103"/>
      <c r="AP53" s="105"/>
      <c r="AQ53" s="105"/>
      <c r="AR53" s="105"/>
      <c r="AS53" s="105"/>
    </row>
    <row r="54" spans="1:45" x14ac:dyDescent="0.25">
      <c r="A54" s="19">
        <v>24</v>
      </c>
      <c r="B54" s="12">
        <v>42163</v>
      </c>
      <c r="C54" s="12">
        <v>42164</v>
      </c>
      <c r="D54" s="12">
        <v>42165</v>
      </c>
      <c r="E54" s="12">
        <v>42166</v>
      </c>
      <c r="F54" s="12">
        <v>42167</v>
      </c>
      <c r="G54" s="12">
        <v>42168</v>
      </c>
      <c r="H54" s="13">
        <v>42169</v>
      </c>
      <c r="J54" s="102"/>
      <c r="K54" s="102"/>
      <c r="L54" s="102"/>
      <c r="M54" s="102"/>
      <c r="N54" s="102"/>
      <c r="O54" s="102"/>
      <c r="P54" s="102"/>
      <c r="Q54" s="103"/>
      <c r="R54" s="105"/>
      <c r="S54" s="105"/>
      <c r="T54" s="105"/>
      <c r="U54" s="105"/>
      <c r="V54" s="105"/>
      <c r="W54" s="105"/>
      <c r="X54" s="105"/>
      <c r="Y54" s="103"/>
      <c r="Z54" s="102"/>
      <c r="AA54" s="102"/>
      <c r="AB54" s="102"/>
      <c r="AC54" s="102"/>
      <c r="AD54" s="102"/>
      <c r="AE54" s="102"/>
      <c r="AF54" s="102"/>
      <c r="AG54" s="103"/>
      <c r="AH54" s="105"/>
      <c r="AI54" s="105"/>
      <c r="AJ54" s="105"/>
      <c r="AK54" s="105"/>
      <c r="AL54" s="105"/>
      <c r="AM54" s="105"/>
      <c r="AN54" s="105"/>
      <c r="AO54" s="103"/>
      <c r="AP54" s="105"/>
      <c r="AQ54" s="105"/>
      <c r="AR54" s="105"/>
      <c r="AS54" s="105"/>
    </row>
    <row r="55" spans="1:45" x14ac:dyDescent="0.25">
      <c r="A55" s="19">
        <v>25</v>
      </c>
      <c r="B55" s="12">
        <v>42170</v>
      </c>
      <c r="C55" s="12">
        <v>42171</v>
      </c>
      <c r="D55" s="12">
        <v>42172</v>
      </c>
      <c r="E55" s="12">
        <v>42173</v>
      </c>
      <c r="F55" s="12">
        <v>42174</v>
      </c>
      <c r="G55" s="12">
        <v>42175</v>
      </c>
      <c r="H55" s="13">
        <v>42176</v>
      </c>
      <c r="J55" s="102"/>
      <c r="K55" s="102"/>
      <c r="L55" s="102"/>
      <c r="M55" s="102"/>
      <c r="N55" s="102"/>
      <c r="O55" s="102"/>
      <c r="P55" s="102"/>
      <c r="Q55" s="103"/>
      <c r="R55" s="105"/>
      <c r="S55" s="105"/>
      <c r="T55" s="105"/>
      <c r="U55" s="105"/>
      <c r="V55" s="105"/>
      <c r="W55" s="105"/>
      <c r="X55" s="105"/>
      <c r="Y55" s="103"/>
      <c r="Z55" s="102"/>
      <c r="AA55" s="102"/>
      <c r="AB55" s="102"/>
      <c r="AC55" s="102"/>
      <c r="AD55" s="102"/>
      <c r="AE55" s="102"/>
      <c r="AF55" s="102"/>
      <c r="AG55" s="103"/>
      <c r="AH55" s="105"/>
      <c r="AI55" s="105"/>
      <c r="AJ55" s="105"/>
      <c r="AK55" s="105"/>
      <c r="AL55" s="105"/>
      <c r="AM55" s="105"/>
      <c r="AN55" s="105"/>
      <c r="AO55" s="103"/>
      <c r="AP55" s="105"/>
      <c r="AQ55" s="105"/>
      <c r="AR55" s="105"/>
      <c r="AS55" s="105"/>
    </row>
    <row r="56" spans="1:45" x14ac:dyDescent="0.25">
      <c r="A56" s="19">
        <v>26</v>
      </c>
      <c r="B56" s="12">
        <v>42177</v>
      </c>
      <c r="C56" s="12">
        <v>42178</v>
      </c>
      <c r="D56" s="12">
        <v>42179</v>
      </c>
      <c r="E56" s="12">
        <v>42180</v>
      </c>
      <c r="F56" s="12">
        <v>42181</v>
      </c>
      <c r="G56" s="12">
        <v>42182</v>
      </c>
      <c r="H56" s="13">
        <v>42183</v>
      </c>
      <c r="J56" s="102"/>
      <c r="K56" s="102"/>
      <c r="L56" s="102"/>
      <c r="M56" s="102"/>
      <c r="N56" s="102"/>
      <c r="O56" s="102"/>
      <c r="P56" s="102"/>
      <c r="Q56" s="103"/>
      <c r="R56" s="105"/>
      <c r="S56" s="105"/>
      <c r="T56" s="105"/>
      <c r="U56" s="105"/>
      <c r="V56" s="105"/>
      <c r="W56" s="105"/>
      <c r="X56" s="105"/>
      <c r="Y56" s="103"/>
      <c r="Z56" s="102"/>
      <c r="AA56" s="102"/>
      <c r="AB56" s="102"/>
      <c r="AC56" s="102"/>
      <c r="AD56" s="102"/>
      <c r="AE56" s="102"/>
      <c r="AF56" s="102"/>
      <c r="AG56" s="103"/>
      <c r="AH56" s="105"/>
      <c r="AI56" s="105"/>
      <c r="AJ56" s="105"/>
      <c r="AK56" s="105"/>
      <c r="AL56" s="105"/>
      <c r="AM56" s="105"/>
      <c r="AN56" s="105"/>
      <c r="AO56" s="103"/>
      <c r="AP56" s="105"/>
      <c r="AQ56" s="105"/>
      <c r="AR56" s="105"/>
      <c r="AS56" s="105"/>
    </row>
    <row r="57" spans="1:45" x14ac:dyDescent="0.25">
      <c r="A57" s="19">
        <v>27</v>
      </c>
      <c r="B57" s="12">
        <v>42184</v>
      </c>
      <c r="C57" s="12">
        <v>42185</v>
      </c>
      <c r="D57" s="12">
        <v>42186</v>
      </c>
      <c r="E57" s="12">
        <v>42187</v>
      </c>
      <c r="F57" s="12">
        <v>42188</v>
      </c>
      <c r="G57" s="12">
        <v>42189</v>
      </c>
      <c r="H57" s="13">
        <v>42190</v>
      </c>
      <c r="J57" s="102"/>
      <c r="K57" s="102"/>
      <c r="L57" s="102"/>
      <c r="M57" s="102"/>
      <c r="N57" s="102"/>
      <c r="O57" s="102"/>
      <c r="P57" s="102"/>
      <c r="Q57" s="103"/>
      <c r="R57" s="105"/>
      <c r="S57" s="105"/>
      <c r="T57" s="105"/>
      <c r="U57" s="105"/>
      <c r="V57" s="105"/>
      <c r="W57" s="105"/>
      <c r="X57" s="105"/>
      <c r="Y57" s="103"/>
      <c r="Z57" s="102"/>
      <c r="AA57" s="102"/>
      <c r="AB57" s="102"/>
      <c r="AC57" s="102"/>
      <c r="AD57" s="102"/>
      <c r="AE57" s="102"/>
      <c r="AF57" s="102"/>
      <c r="AG57" s="103"/>
      <c r="AH57" s="105"/>
      <c r="AI57" s="105"/>
      <c r="AJ57" s="105"/>
      <c r="AK57" s="105"/>
      <c r="AL57" s="105"/>
      <c r="AM57" s="105"/>
      <c r="AN57" s="105"/>
      <c r="AO57" s="103"/>
      <c r="AP57" s="105"/>
      <c r="AQ57" s="105"/>
      <c r="AR57" s="105"/>
      <c r="AS57" s="105"/>
    </row>
    <row r="58" spans="1:45" x14ac:dyDescent="0.25">
      <c r="A58" s="19">
        <v>28</v>
      </c>
      <c r="B58" s="12">
        <v>42191</v>
      </c>
      <c r="C58" s="12">
        <v>42192</v>
      </c>
      <c r="D58" s="12">
        <v>42193</v>
      </c>
      <c r="E58" s="12">
        <v>42194</v>
      </c>
      <c r="F58" s="12">
        <v>42195</v>
      </c>
      <c r="G58" s="12">
        <v>42196</v>
      </c>
      <c r="H58" s="13">
        <v>42197</v>
      </c>
      <c r="J58" s="102"/>
      <c r="K58" s="102"/>
      <c r="L58" s="102"/>
      <c r="M58" s="102"/>
      <c r="N58" s="102"/>
      <c r="O58" s="102"/>
      <c r="P58" s="102"/>
      <c r="Q58" s="103"/>
      <c r="R58" s="105"/>
      <c r="S58" s="105"/>
      <c r="T58" s="105"/>
      <c r="U58" s="105"/>
      <c r="V58" s="105"/>
      <c r="W58" s="105"/>
      <c r="X58" s="105"/>
      <c r="Y58" s="103"/>
      <c r="Z58" s="102"/>
      <c r="AA58" s="102"/>
      <c r="AB58" s="102"/>
      <c r="AC58" s="102"/>
      <c r="AD58" s="102"/>
      <c r="AE58" s="102"/>
      <c r="AF58" s="102"/>
      <c r="AG58" s="103"/>
      <c r="AH58" s="105"/>
      <c r="AI58" s="105"/>
      <c r="AJ58" s="105"/>
      <c r="AK58" s="105"/>
      <c r="AL58" s="105"/>
      <c r="AM58" s="105"/>
      <c r="AN58" s="105"/>
      <c r="AO58" s="103"/>
      <c r="AP58" s="105"/>
      <c r="AQ58" s="105"/>
      <c r="AR58" s="105"/>
      <c r="AS58" s="105"/>
    </row>
    <row r="59" spans="1:45" x14ac:dyDescent="0.25">
      <c r="A59" s="19">
        <v>29</v>
      </c>
      <c r="B59" s="12">
        <v>42198</v>
      </c>
      <c r="C59" s="12">
        <v>42199</v>
      </c>
      <c r="D59" s="12">
        <v>42200</v>
      </c>
      <c r="E59" s="12">
        <v>42201</v>
      </c>
      <c r="F59" s="12">
        <v>42202</v>
      </c>
      <c r="G59" s="12">
        <v>42203</v>
      </c>
      <c r="H59" s="13">
        <v>42204</v>
      </c>
      <c r="J59" s="102"/>
      <c r="K59" s="102"/>
      <c r="L59" s="102"/>
      <c r="M59" s="102"/>
      <c r="N59" s="102"/>
      <c r="O59" s="102"/>
      <c r="P59" s="102"/>
      <c r="Q59" s="103"/>
      <c r="R59" s="105"/>
      <c r="S59" s="105"/>
      <c r="T59" s="105"/>
      <c r="U59" s="105"/>
      <c r="V59" s="105"/>
      <c r="W59" s="105"/>
      <c r="X59" s="105"/>
      <c r="Y59" s="103"/>
      <c r="Z59" s="102"/>
      <c r="AA59" s="102"/>
      <c r="AB59" s="102"/>
      <c r="AC59" s="102"/>
      <c r="AD59" s="102"/>
      <c r="AE59" s="102"/>
      <c r="AF59" s="102"/>
      <c r="AG59" s="103"/>
      <c r="AH59" s="105"/>
      <c r="AI59" s="105"/>
      <c r="AJ59" s="105"/>
      <c r="AK59" s="105"/>
      <c r="AL59" s="105"/>
      <c r="AM59" s="105"/>
      <c r="AN59" s="105"/>
      <c r="AO59" s="103"/>
      <c r="AP59" s="105"/>
      <c r="AQ59" s="105"/>
      <c r="AR59" s="105"/>
      <c r="AS59" s="105"/>
    </row>
    <row r="60" spans="1:45" x14ac:dyDescent="0.25">
      <c r="A60" s="19">
        <v>30</v>
      </c>
      <c r="B60" s="12">
        <v>42205</v>
      </c>
      <c r="C60" s="12">
        <v>42206</v>
      </c>
      <c r="D60" s="12">
        <v>42207</v>
      </c>
      <c r="E60" s="12">
        <v>42208</v>
      </c>
      <c r="F60" s="12">
        <v>42209</v>
      </c>
      <c r="G60" s="12">
        <v>42210</v>
      </c>
      <c r="H60" s="13">
        <v>42211</v>
      </c>
      <c r="J60" s="102"/>
      <c r="K60" s="102"/>
      <c r="L60" s="102"/>
      <c r="M60" s="102"/>
      <c r="N60" s="102"/>
      <c r="O60" s="102"/>
      <c r="P60" s="102"/>
      <c r="Q60" s="103"/>
      <c r="R60" s="105"/>
      <c r="S60" s="105"/>
      <c r="T60" s="105"/>
      <c r="U60" s="105"/>
      <c r="V60" s="105"/>
      <c r="W60" s="105"/>
      <c r="X60" s="105"/>
      <c r="Y60" s="103"/>
      <c r="Z60" s="102"/>
      <c r="AA60" s="102"/>
      <c r="AB60" s="102"/>
      <c r="AC60" s="102"/>
      <c r="AD60" s="102"/>
      <c r="AE60" s="102"/>
      <c r="AF60" s="102"/>
      <c r="AG60" s="103"/>
      <c r="AH60" s="105"/>
      <c r="AI60" s="105"/>
      <c r="AJ60" s="105"/>
      <c r="AK60" s="105"/>
      <c r="AL60" s="105"/>
      <c r="AM60" s="105"/>
      <c r="AN60" s="105"/>
      <c r="AO60" s="103"/>
      <c r="AP60" s="105"/>
      <c r="AQ60" s="105"/>
      <c r="AR60" s="105"/>
      <c r="AS60" s="105"/>
    </row>
    <row r="61" spans="1:45" x14ac:dyDescent="0.25">
      <c r="A61" s="19">
        <v>31</v>
      </c>
      <c r="B61" s="12">
        <v>42212</v>
      </c>
      <c r="C61" s="12">
        <v>42213</v>
      </c>
      <c r="D61" s="12">
        <v>42214</v>
      </c>
      <c r="E61" s="12">
        <v>42215</v>
      </c>
      <c r="F61" s="12">
        <v>42216</v>
      </c>
      <c r="G61" s="12">
        <v>42217</v>
      </c>
      <c r="H61" s="13">
        <v>42218</v>
      </c>
      <c r="J61" s="102"/>
      <c r="K61" s="102"/>
      <c r="L61" s="102"/>
      <c r="M61" s="102"/>
      <c r="N61" s="102"/>
      <c r="O61" s="102"/>
      <c r="P61" s="102"/>
      <c r="Q61" s="103"/>
      <c r="R61" s="105"/>
      <c r="S61" s="105"/>
      <c r="T61" s="105"/>
      <c r="U61" s="105"/>
      <c r="V61" s="105"/>
      <c r="W61" s="105"/>
      <c r="X61" s="105"/>
      <c r="Y61" s="103"/>
      <c r="Z61" s="102"/>
      <c r="AA61" s="102"/>
      <c r="AB61" s="102"/>
      <c r="AC61" s="102"/>
      <c r="AD61" s="102"/>
      <c r="AE61" s="102"/>
      <c r="AF61" s="102"/>
      <c r="AG61" s="103"/>
      <c r="AH61" s="105"/>
      <c r="AI61" s="105"/>
      <c r="AJ61" s="105"/>
      <c r="AK61" s="105"/>
      <c r="AL61" s="105"/>
      <c r="AM61" s="105"/>
      <c r="AN61" s="105"/>
      <c r="AO61" s="103"/>
      <c r="AP61" s="105"/>
      <c r="AQ61" s="105"/>
      <c r="AR61" s="105"/>
      <c r="AS61" s="105"/>
    </row>
    <row r="62" spans="1:45" x14ac:dyDescent="0.25">
      <c r="A62" s="19">
        <v>32</v>
      </c>
      <c r="B62" s="12">
        <v>42219</v>
      </c>
      <c r="C62" s="12">
        <v>42220</v>
      </c>
      <c r="D62" s="12">
        <v>42221</v>
      </c>
      <c r="E62" s="12">
        <v>42222</v>
      </c>
      <c r="F62" s="12">
        <v>42223</v>
      </c>
      <c r="G62" s="12">
        <v>42224</v>
      </c>
      <c r="H62" s="13">
        <v>42225</v>
      </c>
      <c r="J62" s="102"/>
      <c r="K62" s="102"/>
      <c r="L62" s="102"/>
      <c r="M62" s="102"/>
      <c r="N62" s="102"/>
      <c r="O62" s="102"/>
      <c r="P62" s="102"/>
      <c r="Q62" s="103"/>
      <c r="R62" s="105"/>
      <c r="S62" s="105"/>
      <c r="T62" s="105"/>
      <c r="U62" s="105"/>
      <c r="V62" s="105"/>
      <c r="W62" s="105"/>
      <c r="X62" s="105"/>
      <c r="Y62" s="103"/>
      <c r="Z62" s="102"/>
      <c r="AA62" s="102"/>
      <c r="AB62" s="102"/>
      <c r="AC62" s="102"/>
      <c r="AD62" s="102"/>
      <c r="AE62" s="102"/>
      <c r="AF62" s="102"/>
      <c r="AG62" s="103"/>
      <c r="AH62" s="105"/>
      <c r="AI62" s="105"/>
      <c r="AJ62" s="105"/>
      <c r="AK62" s="105"/>
      <c r="AL62" s="105"/>
      <c r="AM62" s="105"/>
      <c r="AN62" s="105"/>
      <c r="AO62" s="103"/>
      <c r="AP62" s="105"/>
      <c r="AQ62" s="105"/>
      <c r="AR62" s="105"/>
      <c r="AS62" s="105"/>
    </row>
    <row r="63" spans="1:45" x14ac:dyDescent="0.25">
      <c r="A63" s="19">
        <v>33</v>
      </c>
      <c r="B63" s="12">
        <v>42226</v>
      </c>
      <c r="C63" s="12">
        <v>42227</v>
      </c>
      <c r="D63" s="12">
        <v>42228</v>
      </c>
      <c r="E63" s="12">
        <v>42229</v>
      </c>
      <c r="F63" s="12">
        <v>42230</v>
      </c>
      <c r="G63" s="12">
        <v>42231</v>
      </c>
      <c r="H63" s="13">
        <v>42232</v>
      </c>
      <c r="J63" s="102"/>
      <c r="K63" s="102"/>
      <c r="L63" s="102"/>
      <c r="M63" s="102"/>
      <c r="N63" s="102"/>
      <c r="O63" s="102"/>
      <c r="P63" s="102"/>
      <c r="Q63" s="103"/>
      <c r="R63" s="105"/>
      <c r="S63" s="105"/>
      <c r="T63" s="105"/>
      <c r="U63" s="105"/>
      <c r="V63" s="105"/>
      <c r="W63" s="105"/>
      <c r="X63" s="105"/>
      <c r="Y63" s="103"/>
      <c r="Z63" s="102"/>
      <c r="AA63" s="102"/>
      <c r="AB63" s="102"/>
      <c r="AC63" s="102"/>
      <c r="AD63" s="102"/>
      <c r="AE63" s="102"/>
      <c r="AF63" s="102"/>
      <c r="AG63" s="103"/>
      <c r="AH63" s="105"/>
      <c r="AI63" s="105"/>
      <c r="AJ63" s="105"/>
      <c r="AK63" s="105"/>
      <c r="AL63" s="105"/>
      <c r="AM63" s="105"/>
      <c r="AN63" s="105"/>
      <c r="AO63" s="103"/>
      <c r="AP63" s="105"/>
      <c r="AQ63" s="105"/>
      <c r="AR63" s="105"/>
      <c r="AS63" s="105"/>
    </row>
    <row r="64" spans="1:45" x14ac:dyDescent="0.25">
      <c r="A64" s="19">
        <v>34</v>
      </c>
      <c r="B64" s="12">
        <v>42233</v>
      </c>
      <c r="C64" s="12">
        <v>42234</v>
      </c>
      <c r="D64" s="12">
        <v>42235</v>
      </c>
      <c r="E64" s="12">
        <v>42236</v>
      </c>
      <c r="F64" s="12">
        <v>42237</v>
      </c>
      <c r="G64" s="12">
        <v>42238</v>
      </c>
      <c r="H64" s="13">
        <v>42239</v>
      </c>
      <c r="J64" s="102"/>
      <c r="K64" s="102"/>
      <c r="L64" s="102"/>
      <c r="M64" s="102"/>
      <c r="N64" s="102"/>
      <c r="O64" s="102"/>
      <c r="P64" s="102"/>
      <c r="Q64" s="103"/>
      <c r="R64" s="105"/>
      <c r="S64" s="105"/>
      <c r="T64" s="105"/>
      <c r="U64" s="105"/>
      <c r="V64" s="105"/>
      <c r="W64" s="105"/>
      <c r="X64" s="105"/>
      <c r="Y64" s="103"/>
      <c r="Z64" s="102"/>
      <c r="AA64" s="102"/>
      <c r="AB64" s="102"/>
      <c r="AC64" s="102"/>
      <c r="AD64" s="102"/>
      <c r="AE64" s="102"/>
      <c r="AF64" s="102"/>
      <c r="AG64" s="103"/>
      <c r="AH64" s="105"/>
      <c r="AI64" s="105"/>
      <c r="AJ64" s="105"/>
      <c r="AK64" s="105"/>
      <c r="AL64" s="105"/>
      <c r="AM64" s="105"/>
      <c r="AN64" s="105"/>
      <c r="AO64" s="103"/>
      <c r="AP64" s="105"/>
      <c r="AQ64" s="105"/>
      <c r="AR64" s="105"/>
      <c r="AS64" s="105"/>
    </row>
    <row r="65" spans="1:45" x14ac:dyDescent="0.25">
      <c r="A65" s="19">
        <v>35</v>
      </c>
      <c r="B65" s="12">
        <v>42240</v>
      </c>
      <c r="C65" s="12">
        <v>42241</v>
      </c>
      <c r="D65" s="12">
        <v>42242</v>
      </c>
      <c r="E65" s="12">
        <v>42243</v>
      </c>
      <c r="F65" s="12">
        <v>42244</v>
      </c>
      <c r="G65" s="12">
        <v>42245</v>
      </c>
      <c r="H65" s="13">
        <v>42246</v>
      </c>
      <c r="J65" s="102"/>
      <c r="K65" s="102"/>
      <c r="L65" s="102"/>
      <c r="M65" s="102"/>
      <c r="N65" s="102"/>
      <c r="O65" s="102"/>
      <c r="P65" s="102"/>
      <c r="Q65" s="103"/>
      <c r="R65" s="105"/>
      <c r="S65" s="105"/>
      <c r="T65" s="105"/>
      <c r="U65" s="105"/>
      <c r="V65" s="105"/>
      <c r="W65" s="105"/>
      <c r="X65" s="105"/>
      <c r="Y65" s="103"/>
      <c r="Z65" s="102"/>
      <c r="AA65" s="102"/>
      <c r="AB65" s="102"/>
      <c r="AC65" s="102"/>
      <c r="AD65" s="102"/>
      <c r="AE65" s="102"/>
      <c r="AF65" s="102"/>
      <c r="AG65" s="103"/>
      <c r="AH65" s="105"/>
      <c r="AI65" s="105"/>
      <c r="AJ65" s="105"/>
      <c r="AK65" s="105"/>
      <c r="AL65" s="105"/>
      <c r="AM65" s="105"/>
      <c r="AN65" s="105"/>
      <c r="AO65" s="103"/>
      <c r="AP65" s="105"/>
      <c r="AQ65" s="105"/>
      <c r="AR65" s="105"/>
      <c r="AS65" s="105"/>
    </row>
    <row r="66" spans="1:45" x14ac:dyDescent="0.25">
      <c r="A66" s="19">
        <v>36</v>
      </c>
      <c r="B66" s="12">
        <v>42247</v>
      </c>
      <c r="C66" s="12">
        <v>42248</v>
      </c>
      <c r="D66" s="12">
        <v>42249</v>
      </c>
      <c r="E66" s="12">
        <v>42250</v>
      </c>
      <c r="F66" s="12">
        <v>42251</v>
      </c>
      <c r="G66" s="12">
        <v>42252</v>
      </c>
      <c r="H66" s="13">
        <v>42253</v>
      </c>
      <c r="J66" s="102"/>
      <c r="K66" s="102"/>
      <c r="L66" s="102"/>
      <c r="M66" s="102"/>
      <c r="N66" s="102"/>
      <c r="O66" s="102"/>
      <c r="P66" s="102"/>
      <c r="Q66" s="103"/>
      <c r="R66" s="105"/>
      <c r="S66" s="105"/>
      <c r="T66" s="105"/>
      <c r="U66" s="105"/>
      <c r="V66" s="105"/>
      <c r="W66" s="105"/>
      <c r="X66" s="105"/>
      <c r="Y66" s="103"/>
      <c r="Z66" s="102"/>
      <c r="AA66" s="102"/>
      <c r="AB66" s="102"/>
      <c r="AC66" s="102"/>
      <c r="AD66" s="102"/>
      <c r="AE66" s="102"/>
      <c r="AF66" s="102"/>
      <c r="AG66" s="103"/>
      <c r="AH66" s="105"/>
      <c r="AI66" s="105"/>
      <c r="AJ66" s="105"/>
      <c r="AK66" s="105"/>
      <c r="AL66" s="105"/>
      <c r="AM66" s="105"/>
      <c r="AN66" s="105"/>
      <c r="AO66" s="103"/>
      <c r="AP66" s="105"/>
      <c r="AQ66" s="105"/>
      <c r="AR66" s="105"/>
      <c r="AS66" s="105"/>
    </row>
    <row r="67" spans="1:45" x14ac:dyDescent="0.25">
      <c r="A67" s="19">
        <v>37</v>
      </c>
      <c r="B67" s="12">
        <v>42254</v>
      </c>
      <c r="C67" s="12">
        <v>42255</v>
      </c>
      <c r="D67" s="12">
        <v>42256</v>
      </c>
      <c r="E67" s="12">
        <v>42257</v>
      </c>
      <c r="F67" s="12">
        <v>42258</v>
      </c>
      <c r="G67" s="12">
        <v>42259</v>
      </c>
      <c r="H67" s="13">
        <v>42260</v>
      </c>
      <c r="J67" s="102"/>
      <c r="K67" s="102"/>
      <c r="L67" s="102"/>
      <c r="M67" s="102"/>
      <c r="N67" s="102"/>
      <c r="O67" s="102"/>
      <c r="P67" s="102"/>
      <c r="Q67" s="103"/>
      <c r="R67" s="105"/>
      <c r="S67" s="105"/>
      <c r="T67" s="105"/>
      <c r="U67" s="105"/>
      <c r="V67" s="105"/>
      <c r="W67" s="105"/>
      <c r="X67" s="105"/>
      <c r="Y67" s="103"/>
      <c r="Z67" s="102"/>
      <c r="AA67" s="102"/>
      <c r="AB67" s="102"/>
      <c r="AC67" s="102"/>
      <c r="AD67" s="102"/>
      <c r="AE67" s="102"/>
      <c r="AF67" s="102"/>
      <c r="AG67" s="103"/>
      <c r="AH67" s="105"/>
      <c r="AI67" s="105"/>
      <c r="AJ67" s="105"/>
      <c r="AK67" s="105"/>
      <c r="AL67" s="105"/>
      <c r="AM67" s="105"/>
      <c r="AN67" s="105"/>
      <c r="AO67" s="103"/>
      <c r="AP67" s="105"/>
      <c r="AQ67" s="105"/>
      <c r="AR67" s="105"/>
      <c r="AS67" s="105"/>
    </row>
    <row r="68" spans="1:45" x14ac:dyDescent="0.25">
      <c r="A68" s="19">
        <v>38</v>
      </c>
      <c r="B68" s="12">
        <v>42261</v>
      </c>
      <c r="C68" s="12">
        <v>42262</v>
      </c>
      <c r="D68" s="12">
        <v>42263</v>
      </c>
      <c r="E68" s="12">
        <v>42264</v>
      </c>
      <c r="F68" s="12">
        <v>42265</v>
      </c>
      <c r="G68" s="12">
        <v>42266</v>
      </c>
      <c r="H68" s="13">
        <v>42267</v>
      </c>
      <c r="J68" s="102"/>
      <c r="K68" s="102"/>
      <c r="L68" s="102"/>
      <c r="M68" s="102"/>
      <c r="N68" s="102"/>
      <c r="O68" s="102"/>
      <c r="P68" s="102"/>
      <c r="Q68" s="103"/>
      <c r="R68" s="105"/>
      <c r="S68" s="105"/>
      <c r="T68" s="105"/>
      <c r="U68" s="105"/>
      <c r="V68" s="105"/>
      <c r="W68" s="105"/>
      <c r="X68" s="105"/>
      <c r="Y68" s="103"/>
      <c r="Z68" s="102"/>
      <c r="AA68" s="102"/>
      <c r="AB68" s="102"/>
      <c r="AC68" s="102"/>
      <c r="AD68" s="102"/>
      <c r="AE68" s="102"/>
      <c r="AF68" s="102"/>
      <c r="AG68" s="103"/>
      <c r="AH68" s="105"/>
      <c r="AI68" s="105"/>
      <c r="AJ68" s="105"/>
      <c r="AK68" s="105"/>
      <c r="AL68" s="105"/>
      <c r="AM68" s="105"/>
      <c r="AN68" s="105"/>
      <c r="AO68" s="103"/>
      <c r="AP68" s="105"/>
      <c r="AQ68" s="105"/>
      <c r="AR68" s="105"/>
      <c r="AS68" s="105"/>
    </row>
    <row r="69" spans="1:45" x14ac:dyDescent="0.25">
      <c r="A69" s="19">
        <v>39</v>
      </c>
      <c r="B69" s="12">
        <v>42268</v>
      </c>
      <c r="C69" s="12">
        <v>42269</v>
      </c>
      <c r="D69" s="12">
        <v>42270</v>
      </c>
      <c r="E69" s="12">
        <v>42271</v>
      </c>
      <c r="F69" s="12">
        <v>42272</v>
      </c>
      <c r="G69" s="12">
        <v>42273</v>
      </c>
      <c r="H69" s="13">
        <v>42274</v>
      </c>
      <c r="J69" s="102"/>
      <c r="K69" s="102"/>
      <c r="L69" s="102"/>
      <c r="M69" s="102"/>
      <c r="N69" s="102"/>
      <c r="O69" s="102"/>
      <c r="P69" s="102"/>
      <c r="Q69" s="103"/>
      <c r="R69" s="105"/>
      <c r="S69" s="105"/>
      <c r="T69" s="105"/>
      <c r="U69" s="105"/>
      <c r="V69" s="105"/>
      <c r="W69" s="105"/>
      <c r="X69" s="105"/>
      <c r="Y69" s="103"/>
      <c r="Z69" s="102"/>
      <c r="AA69" s="102"/>
      <c r="AB69" s="102"/>
      <c r="AC69" s="102"/>
      <c r="AD69" s="102"/>
      <c r="AE69" s="102"/>
      <c r="AF69" s="102"/>
      <c r="AG69" s="103"/>
      <c r="AH69" s="105"/>
      <c r="AI69" s="105"/>
      <c r="AJ69" s="105"/>
      <c r="AK69" s="105"/>
      <c r="AL69" s="105"/>
      <c r="AM69" s="105"/>
      <c r="AN69" s="105"/>
      <c r="AO69" s="103"/>
      <c r="AP69" s="105"/>
      <c r="AQ69" s="105"/>
      <c r="AR69" s="105"/>
      <c r="AS69" s="105"/>
    </row>
    <row r="70" spans="1:45" x14ac:dyDescent="0.25">
      <c r="A70" s="19">
        <v>40</v>
      </c>
      <c r="B70" s="12">
        <v>42275</v>
      </c>
      <c r="C70" s="12">
        <v>42276</v>
      </c>
      <c r="D70" s="12">
        <v>42277</v>
      </c>
      <c r="E70" s="12">
        <v>42278</v>
      </c>
      <c r="F70" s="12">
        <v>42279</v>
      </c>
      <c r="G70" s="12">
        <v>42280</v>
      </c>
      <c r="H70" s="13">
        <v>42281</v>
      </c>
      <c r="J70" s="102"/>
      <c r="K70" s="102"/>
      <c r="L70" s="102"/>
      <c r="M70" s="102"/>
      <c r="N70" s="102"/>
      <c r="O70" s="102"/>
      <c r="P70" s="102"/>
      <c r="Q70" s="103"/>
      <c r="R70" s="105"/>
      <c r="S70" s="105"/>
      <c r="T70" s="105"/>
      <c r="U70" s="105"/>
      <c r="V70" s="105"/>
      <c r="W70" s="105"/>
      <c r="X70" s="105"/>
      <c r="Y70" s="103"/>
      <c r="Z70" s="102"/>
      <c r="AA70" s="102"/>
      <c r="AB70" s="102"/>
      <c r="AC70" s="102"/>
      <c r="AD70" s="102"/>
      <c r="AE70" s="102"/>
      <c r="AF70" s="102"/>
      <c r="AG70" s="103"/>
      <c r="AH70" s="105"/>
      <c r="AI70" s="105"/>
      <c r="AJ70" s="105"/>
      <c r="AK70" s="105"/>
      <c r="AL70" s="105"/>
      <c r="AM70" s="105"/>
      <c r="AN70" s="105"/>
      <c r="AO70" s="103"/>
      <c r="AP70" s="105"/>
      <c r="AQ70" s="105"/>
      <c r="AR70" s="105"/>
      <c r="AS70" s="105"/>
    </row>
    <row r="71" spans="1:45" x14ac:dyDescent="0.25">
      <c r="A71" s="19">
        <v>41</v>
      </c>
      <c r="B71" s="12">
        <v>42282</v>
      </c>
      <c r="C71" s="12">
        <v>42283</v>
      </c>
      <c r="D71" s="12">
        <v>42284</v>
      </c>
      <c r="E71" s="12">
        <v>42285</v>
      </c>
      <c r="F71" s="12">
        <v>42286</v>
      </c>
      <c r="G71" s="12">
        <v>42287</v>
      </c>
      <c r="H71" s="13">
        <v>42288</v>
      </c>
      <c r="J71" s="102"/>
      <c r="K71" s="102"/>
      <c r="L71" s="102"/>
      <c r="M71" s="102"/>
      <c r="N71" s="102"/>
      <c r="O71" s="102"/>
      <c r="P71" s="102"/>
      <c r="Q71" s="103"/>
      <c r="R71" s="105"/>
      <c r="S71" s="105"/>
      <c r="T71" s="105"/>
      <c r="U71" s="105"/>
      <c r="V71" s="105"/>
      <c r="W71" s="105"/>
      <c r="X71" s="105"/>
      <c r="Y71" s="103"/>
      <c r="Z71" s="102"/>
      <c r="AA71" s="102"/>
      <c r="AB71" s="102"/>
      <c r="AC71" s="102"/>
      <c r="AD71" s="102"/>
      <c r="AE71" s="102"/>
      <c r="AF71" s="102"/>
      <c r="AG71" s="103"/>
      <c r="AH71" s="105"/>
      <c r="AI71" s="105"/>
      <c r="AJ71" s="105"/>
      <c r="AK71" s="105"/>
      <c r="AL71" s="105"/>
      <c r="AM71" s="105"/>
      <c r="AN71" s="105"/>
      <c r="AO71" s="103"/>
      <c r="AP71" s="105"/>
      <c r="AQ71" s="105"/>
      <c r="AR71" s="105"/>
      <c r="AS71" s="105"/>
    </row>
    <row r="72" spans="1:45" x14ac:dyDescent="0.25">
      <c r="A72" s="19">
        <v>42</v>
      </c>
      <c r="B72" s="12">
        <v>42289</v>
      </c>
      <c r="C72" s="12">
        <v>42290</v>
      </c>
      <c r="D72" s="12">
        <v>42291</v>
      </c>
      <c r="E72" s="12">
        <v>42292</v>
      </c>
      <c r="F72" s="12">
        <v>42293</v>
      </c>
      <c r="G72" s="12">
        <v>42294</v>
      </c>
      <c r="H72" s="13">
        <v>42295</v>
      </c>
      <c r="J72" s="102"/>
      <c r="K72" s="102"/>
      <c r="L72" s="102"/>
      <c r="M72" s="102"/>
      <c r="N72" s="102"/>
      <c r="O72" s="102"/>
      <c r="P72" s="102"/>
      <c r="Q72" s="103"/>
      <c r="R72" s="105"/>
      <c r="S72" s="105"/>
      <c r="T72" s="105"/>
      <c r="U72" s="105"/>
      <c r="V72" s="105"/>
      <c r="W72" s="105"/>
      <c r="X72" s="105"/>
      <c r="Y72" s="103"/>
      <c r="Z72" s="102"/>
      <c r="AA72" s="102"/>
      <c r="AB72" s="102"/>
      <c r="AC72" s="102"/>
      <c r="AD72" s="102"/>
      <c r="AE72" s="102"/>
      <c r="AF72" s="102"/>
      <c r="AG72" s="103"/>
      <c r="AH72" s="105"/>
      <c r="AI72" s="105"/>
      <c r="AJ72" s="105"/>
      <c r="AK72" s="105"/>
      <c r="AL72" s="105"/>
      <c r="AM72" s="105"/>
      <c r="AN72" s="105"/>
      <c r="AO72" s="103"/>
      <c r="AP72" s="105"/>
      <c r="AQ72" s="105"/>
      <c r="AR72" s="105"/>
      <c r="AS72" s="105"/>
    </row>
    <row r="73" spans="1:45" x14ac:dyDescent="0.25">
      <c r="A73" s="19">
        <v>43</v>
      </c>
      <c r="B73" s="12">
        <v>42296</v>
      </c>
      <c r="C73" s="12">
        <v>42297</v>
      </c>
      <c r="D73" s="12">
        <v>42298</v>
      </c>
      <c r="E73" s="12">
        <v>42299</v>
      </c>
      <c r="F73" s="12">
        <v>42300</v>
      </c>
      <c r="G73" s="12">
        <v>42301</v>
      </c>
      <c r="H73" s="13">
        <v>42302</v>
      </c>
      <c r="J73" s="102"/>
      <c r="K73" s="102"/>
      <c r="L73" s="102"/>
      <c r="M73" s="102"/>
      <c r="N73" s="102"/>
      <c r="O73" s="102"/>
      <c r="P73" s="102"/>
      <c r="Q73" s="103"/>
      <c r="R73" s="105"/>
      <c r="S73" s="105"/>
      <c r="T73" s="105"/>
      <c r="U73" s="105"/>
      <c r="V73" s="105"/>
      <c r="W73" s="105"/>
      <c r="X73" s="105"/>
      <c r="Y73" s="103"/>
      <c r="Z73" s="102"/>
      <c r="AA73" s="102"/>
      <c r="AB73" s="102"/>
      <c r="AC73" s="102"/>
      <c r="AD73" s="102"/>
      <c r="AE73" s="102"/>
      <c r="AF73" s="102"/>
      <c r="AG73" s="103"/>
      <c r="AH73" s="105"/>
      <c r="AI73" s="105"/>
      <c r="AJ73" s="105"/>
      <c r="AK73" s="105"/>
      <c r="AL73" s="105"/>
      <c r="AM73" s="105"/>
      <c r="AN73" s="105"/>
      <c r="AO73" s="103"/>
      <c r="AP73" s="105"/>
      <c r="AQ73" s="105"/>
      <c r="AR73" s="105"/>
      <c r="AS73" s="105"/>
    </row>
    <row r="74" spans="1:45" x14ac:dyDescent="0.25">
      <c r="A74" s="19">
        <v>44</v>
      </c>
      <c r="B74" s="12">
        <v>42303</v>
      </c>
      <c r="C74" s="12">
        <v>42304</v>
      </c>
      <c r="D74" s="12">
        <v>42305</v>
      </c>
      <c r="E74" s="12">
        <v>42306</v>
      </c>
      <c r="F74" s="12">
        <v>42307</v>
      </c>
      <c r="G74" s="12">
        <v>42308</v>
      </c>
      <c r="H74" s="13">
        <v>42309</v>
      </c>
      <c r="J74" s="102"/>
      <c r="K74" s="102"/>
      <c r="L74" s="102"/>
      <c r="M74" s="102"/>
      <c r="N74" s="102"/>
      <c r="O74" s="102"/>
      <c r="P74" s="102"/>
      <c r="Q74" s="103"/>
      <c r="R74" s="105"/>
      <c r="S74" s="105"/>
      <c r="T74" s="105"/>
      <c r="U74" s="105"/>
      <c r="V74" s="105"/>
      <c r="W74" s="105"/>
      <c r="X74" s="105"/>
      <c r="Y74" s="103"/>
      <c r="Z74" s="102"/>
      <c r="AA74" s="102"/>
      <c r="AB74" s="102"/>
      <c r="AC74" s="102"/>
      <c r="AD74" s="102"/>
      <c r="AE74" s="102"/>
      <c r="AF74" s="102"/>
      <c r="AG74" s="103"/>
      <c r="AH74" s="105"/>
      <c r="AI74" s="105"/>
      <c r="AJ74" s="105"/>
      <c r="AK74" s="105"/>
      <c r="AL74" s="105"/>
      <c r="AM74" s="105"/>
      <c r="AN74" s="105"/>
      <c r="AO74" s="103"/>
      <c r="AP74" s="105"/>
      <c r="AQ74" s="105"/>
      <c r="AR74" s="105"/>
      <c r="AS74" s="105"/>
    </row>
    <row r="75" spans="1:45" x14ac:dyDescent="0.25">
      <c r="A75" s="19">
        <v>45</v>
      </c>
      <c r="B75" s="12">
        <v>42310</v>
      </c>
      <c r="C75" s="12">
        <v>42311</v>
      </c>
      <c r="D75" s="12">
        <v>42312</v>
      </c>
      <c r="E75" s="12">
        <v>42313</v>
      </c>
      <c r="F75" s="12">
        <v>42314</v>
      </c>
      <c r="G75" s="12">
        <v>42315</v>
      </c>
      <c r="H75" s="13">
        <v>42316</v>
      </c>
      <c r="J75" s="102"/>
      <c r="K75" s="102"/>
      <c r="L75" s="102"/>
      <c r="M75" s="102"/>
      <c r="N75" s="102"/>
      <c r="O75" s="102"/>
      <c r="P75" s="102"/>
      <c r="Q75" s="103"/>
      <c r="R75" s="105"/>
      <c r="S75" s="105"/>
      <c r="T75" s="105"/>
      <c r="U75" s="105"/>
      <c r="V75" s="105"/>
      <c r="W75" s="105"/>
      <c r="X75" s="105"/>
      <c r="Y75" s="103"/>
      <c r="Z75" s="102"/>
      <c r="AA75" s="102"/>
      <c r="AB75" s="102"/>
      <c r="AC75" s="102"/>
      <c r="AD75" s="102"/>
      <c r="AE75" s="102"/>
      <c r="AF75" s="102"/>
      <c r="AG75" s="103"/>
      <c r="AH75" s="105"/>
      <c r="AI75" s="105"/>
      <c r="AJ75" s="105"/>
      <c r="AK75" s="105"/>
      <c r="AL75" s="105"/>
      <c r="AM75" s="105"/>
      <c r="AN75" s="105"/>
      <c r="AO75" s="103"/>
      <c r="AP75" s="105"/>
      <c r="AQ75" s="105"/>
      <c r="AR75" s="105"/>
      <c r="AS75" s="105"/>
    </row>
    <row r="76" spans="1:45" x14ac:dyDescent="0.25">
      <c r="A76" s="19">
        <v>46</v>
      </c>
      <c r="B76" s="12">
        <v>42317</v>
      </c>
      <c r="C76" s="12">
        <v>42318</v>
      </c>
      <c r="D76" s="12">
        <v>42319</v>
      </c>
      <c r="E76" s="12">
        <v>42320</v>
      </c>
      <c r="F76" s="12">
        <v>42321</v>
      </c>
      <c r="G76" s="12">
        <v>42322</v>
      </c>
      <c r="H76" s="13">
        <v>42323</v>
      </c>
      <c r="J76" s="102"/>
      <c r="K76" s="102"/>
      <c r="L76" s="102"/>
      <c r="M76" s="102"/>
      <c r="N76" s="102"/>
      <c r="O76" s="102"/>
      <c r="P76" s="102"/>
      <c r="Q76" s="103"/>
      <c r="R76" s="105"/>
      <c r="S76" s="105"/>
      <c r="T76" s="105"/>
      <c r="U76" s="105"/>
      <c r="V76" s="105"/>
      <c r="W76" s="105"/>
      <c r="X76" s="105"/>
      <c r="Y76" s="103"/>
      <c r="Z76" s="102"/>
      <c r="AA76" s="102"/>
      <c r="AB76" s="102"/>
      <c r="AC76" s="102"/>
      <c r="AD76" s="102"/>
      <c r="AE76" s="102"/>
      <c r="AF76" s="102"/>
      <c r="AG76" s="103"/>
      <c r="AH76" s="105"/>
      <c r="AI76" s="105"/>
      <c r="AJ76" s="105"/>
      <c r="AK76" s="105"/>
      <c r="AL76" s="105"/>
      <c r="AM76" s="105"/>
      <c r="AN76" s="105"/>
      <c r="AO76" s="103"/>
      <c r="AP76" s="105"/>
      <c r="AQ76" s="105"/>
      <c r="AR76" s="105"/>
      <c r="AS76" s="105"/>
    </row>
    <row r="77" spans="1:45" x14ac:dyDescent="0.25">
      <c r="A77" s="19">
        <v>47</v>
      </c>
      <c r="B77" s="12">
        <v>42324</v>
      </c>
      <c r="C77" s="12">
        <v>42325</v>
      </c>
      <c r="D77" s="12">
        <v>42326</v>
      </c>
      <c r="E77" s="12">
        <v>42327</v>
      </c>
      <c r="F77" s="12">
        <v>42328</v>
      </c>
      <c r="G77" s="12">
        <v>42329</v>
      </c>
      <c r="H77" s="13">
        <v>42330</v>
      </c>
      <c r="J77" s="102"/>
      <c r="K77" s="102"/>
      <c r="L77" s="102"/>
      <c r="M77" s="102"/>
      <c r="N77" s="102"/>
      <c r="O77" s="102"/>
      <c r="P77" s="102"/>
      <c r="Q77" s="103"/>
      <c r="R77" s="105"/>
      <c r="S77" s="105"/>
      <c r="T77" s="105"/>
      <c r="U77" s="105"/>
      <c r="V77" s="105"/>
      <c r="W77" s="105"/>
      <c r="X77" s="105"/>
      <c r="Y77" s="103"/>
      <c r="Z77" s="102"/>
      <c r="AA77" s="102"/>
      <c r="AB77" s="102"/>
      <c r="AC77" s="102"/>
      <c r="AD77" s="102"/>
      <c r="AE77" s="102"/>
      <c r="AF77" s="102"/>
      <c r="AG77" s="103"/>
      <c r="AH77" s="105"/>
      <c r="AI77" s="105"/>
      <c r="AJ77" s="105"/>
      <c r="AK77" s="105"/>
      <c r="AL77" s="105"/>
      <c r="AM77" s="105"/>
      <c r="AN77" s="105"/>
      <c r="AO77" s="103"/>
      <c r="AP77" s="105"/>
      <c r="AQ77" s="105"/>
      <c r="AR77" s="105"/>
      <c r="AS77" s="105"/>
    </row>
    <row r="78" spans="1:45" x14ac:dyDescent="0.25">
      <c r="A78" s="19">
        <v>48</v>
      </c>
      <c r="B78" s="12">
        <v>42331</v>
      </c>
      <c r="C78" s="12">
        <v>42332</v>
      </c>
      <c r="D78" s="12">
        <v>42333</v>
      </c>
      <c r="E78" s="12">
        <v>42334</v>
      </c>
      <c r="F78" s="12">
        <v>42335</v>
      </c>
      <c r="G78" s="12">
        <v>42336</v>
      </c>
      <c r="H78" s="13">
        <v>42337</v>
      </c>
      <c r="J78" s="102"/>
      <c r="K78" s="102"/>
      <c r="L78" s="102"/>
      <c r="M78" s="102"/>
      <c r="N78" s="102"/>
      <c r="O78" s="102"/>
      <c r="P78" s="102"/>
      <c r="Q78" s="103"/>
      <c r="R78" s="105"/>
      <c r="S78" s="105"/>
      <c r="T78" s="105"/>
      <c r="U78" s="105"/>
      <c r="V78" s="105"/>
      <c r="W78" s="105"/>
      <c r="X78" s="105"/>
      <c r="Y78" s="103"/>
      <c r="Z78" s="102"/>
      <c r="AA78" s="102"/>
      <c r="AB78" s="102"/>
      <c r="AC78" s="102"/>
      <c r="AD78" s="102"/>
      <c r="AE78" s="102"/>
      <c r="AF78" s="102"/>
      <c r="AG78" s="103"/>
      <c r="AH78" s="105"/>
      <c r="AI78" s="105"/>
      <c r="AJ78" s="105"/>
      <c r="AK78" s="105"/>
      <c r="AL78" s="105"/>
      <c r="AM78" s="105"/>
      <c r="AN78" s="105"/>
      <c r="AO78" s="103"/>
      <c r="AP78" s="105"/>
      <c r="AQ78" s="105"/>
      <c r="AR78" s="105"/>
      <c r="AS78" s="105"/>
    </row>
    <row r="79" spans="1:45" x14ac:dyDescent="0.25">
      <c r="A79" s="19">
        <v>49</v>
      </c>
      <c r="B79" s="12">
        <v>42338</v>
      </c>
      <c r="C79" s="12">
        <v>42339</v>
      </c>
      <c r="D79" s="12">
        <v>42340</v>
      </c>
      <c r="E79" s="12">
        <v>42341</v>
      </c>
      <c r="F79" s="12">
        <v>42342</v>
      </c>
      <c r="G79" s="12">
        <v>42343</v>
      </c>
      <c r="H79" s="13">
        <v>42344</v>
      </c>
      <c r="J79" s="102"/>
      <c r="K79" s="102"/>
      <c r="L79" s="102"/>
      <c r="M79" s="102"/>
      <c r="N79" s="102"/>
      <c r="O79" s="102"/>
      <c r="P79" s="102"/>
      <c r="Q79" s="103"/>
      <c r="R79" s="105"/>
      <c r="S79" s="105"/>
      <c r="T79" s="105"/>
      <c r="U79" s="105"/>
      <c r="V79" s="105"/>
      <c r="W79" s="105"/>
      <c r="X79" s="105"/>
      <c r="Y79" s="103"/>
      <c r="Z79" s="102"/>
      <c r="AA79" s="102"/>
      <c r="AB79" s="102"/>
      <c r="AC79" s="102"/>
      <c r="AD79" s="102"/>
      <c r="AE79" s="102"/>
      <c r="AF79" s="102"/>
      <c r="AG79" s="103"/>
      <c r="AH79" s="105"/>
      <c r="AI79" s="105"/>
      <c r="AJ79" s="105"/>
      <c r="AK79" s="105"/>
      <c r="AL79" s="105"/>
      <c r="AM79" s="105"/>
      <c r="AN79" s="105"/>
      <c r="AO79" s="103"/>
      <c r="AP79" s="105"/>
      <c r="AQ79" s="105"/>
      <c r="AR79" s="105"/>
      <c r="AS79" s="105"/>
    </row>
    <row r="80" spans="1:45" x14ac:dyDescent="0.25">
      <c r="A80" s="19">
        <v>50</v>
      </c>
      <c r="B80" s="12">
        <v>42345</v>
      </c>
      <c r="C80" s="12">
        <v>42346</v>
      </c>
      <c r="D80" s="12">
        <v>42347</v>
      </c>
      <c r="E80" s="12">
        <v>42348</v>
      </c>
      <c r="F80" s="12">
        <v>42349</v>
      </c>
      <c r="G80" s="12">
        <v>42350</v>
      </c>
      <c r="H80" s="13">
        <v>42351</v>
      </c>
      <c r="J80" s="102"/>
      <c r="K80" s="102"/>
      <c r="L80" s="102"/>
      <c r="M80" s="102"/>
      <c r="N80" s="102"/>
      <c r="O80" s="102"/>
      <c r="P80" s="102"/>
      <c r="Q80" s="103"/>
      <c r="R80" s="105"/>
      <c r="S80" s="105"/>
      <c r="T80" s="105"/>
      <c r="U80" s="105"/>
      <c r="V80" s="105"/>
      <c r="W80" s="105"/>
      <c r="X80" s="105"/>
      <c r="Y80" s="103"/>
      <c r="Z80" s="102"/>
      <c r="AA80" s="102"/>
      <c r="AB80" s="102"/>
      <c r="AC80" s="102"/>
      <c r="AD80" s="102"/>
      <c r="AE80" s="102"/>
      <c r="AF80" s="102"/>
      <c r="AG80" s="103"/>
      <c r="AH80" s="105"/>
      <c r="AI80" s="105"/>
      <c r="AJ80" s="105"/>
      <c r="AK80" s="105"/>
      <c r="AL80" s="105"/>
      <c r="AM80" s="105"/>
      <c r="AN80" s="105"/>
      <c r="AO80" s="103"/>
      <c r="AP80" s="105"/>
      <c r="AQ80" s="105"/>
      <c r="AR80" s="105"/>
      <c r="AS80" s="105"/>
    </row>
    <row r="81" spans="1:45" x14ac:dyDescent="0.25">
      <c r="A81" s="19">
        <v>51</v>
      </c>
      <c r="B81" s="12">
        <v>42352</v>
      </c>
      <c r="C81" s="12">
        <v>42353</v>
      </c>
      <c r="D81" s="12">
        <v>42354</v>
      </c>
      <c r="E81" s="12">
        <v>42355</v>
      </c>
      <c r="F81" s="12">
        <v>42356</v>
      </c>
      <c r="G81" s="12">
        <v>42357</v>
      </c>
      <c r="H81" s="13">
        <v>42358</v>
      </c>
      <c r="J81" s="102"/>
      <c r="K81" s="102"/>
      <c r="L81" s="102"/>
      <c r="M81" s="102"/>
      <c r="N81" s="102"/>
      <c r="O81" s="102"/>
      <c r="P81" s="102"/>
      <c r="Q81" s="103"/>
      <c r="R81" s="105"/>
      <c r="S81" s="105"/>
      <c r="T81" s="105"/>
      <c r="U81" s="105"/>
      <c r="V81" s="105"/>
      <c r="W81" s="105"/>
      <c r="X81" s="105"/>
      <c r="Y81" s="103"/>
      <c r="Z81" s="102"/>
      <c r="AA81" s="102"/>
      <c r="AB81" s="102"/>
      <c r="AC81" s="102"/>
      <c r="AD81" s="102"/>
      <c r="AE81" s="102"/>
      <c r="AF81" s="102"/>
      <c r="AG81" s="103"/>
      <c r="AH81" s="105"/>
      <c r="AI81" s="105"/>
      <c r="AJ81" s="105"/>
      <c r="AK81" s="105"/>
      <c r="AL81" s="105"/>
      <c r="AM81" s="105"/>
      <c r="AN81" s="105"/>
      <c r="AO81" s="103"/>
      <c r="AP81" s="105"/>
      <c r="AQ81" s="105"/>
      <c r="AR81" s="105"/>
      <c r="AS81" s="105"/>
    </row>
    <row r="82" spans="1:45" x14ac:dyDescent="0.25">
      <c r="A82" s="19">
        <v>52</v>
      </c>
      <c r="B82" s="12">
        <v>42359</v>
      </c>
      <c r="C82" s="12">
        <v>42360</v>
      </c>
      <c r="D82" s="12">
        <v>42361</v>
      </c>
      <c r="E82" s="12">
        <v>42362</v>
      </c>
      <c r="F82" s="12">
        <v>42363</v>
      </c>
      <c r="G82" s="12">
        <v>42364</v>
      </c>
      <c r="H82" s="13">
        <v>42365</v>
      </c>
      <c r="J82" s="102"/>
      <c r="K82" s="102"/>
      <c r="L82" s="102"/>
      <c r="M82" s="102"/>
      <c r="N82" s="102"/>
      <c r="O82" s="102"/>
      <c r="P82" s="102"/>
      <c r="Q82" s="103"/>
      <c r="R82" s="105"/>
      <c r="S82" s="105"/>
      <c r="T82" s="105"/>
      <c r="U82" s="105"/>
      <c r="V82" s="105"/>
      <c r="W82" s="105"/>
      <c r="X82" s="105"/>
      <c r="Y82" s="103"/>
      <c r="Z82" s="102"/>
      <c r="AA82" s="102"/>
      <c r="AB82" s="102"/>
      <c r="AC82" s="102"/>
      <c r="AD82" s="102"/>
      <c r="AE82" s="102"/>
      <c r="AF82" s="102"/>
      <c r="AG82" s="103"/>
      <c r="AH82" s="105"/>
      <c r="AI82" s="105"/>
      <c r="AJ82" s="105"/>
      <c r="AK82" s="105"/>
      <c r="AL82" s="105"/>
      <c r="AM82" s="105"/>
      <c r="AN82" s="105"/>
      <c r="AO82" s="103"/>
      <c r="AP82" s="105"/>
      <c r="AQ82" s="105"/>
      <c r="AR82" s="105"/>
      <c r="AS82" s="105"/>
    </row>
    <row r="83" spans="1:45" x14ac:dyDescent="0.25">
      <c r="A83" s="20">
        <v>53</v>
      </c>
      <c r="B83" s="14">
        <v>42366</v>
      </c>
      <c r="C83" s="14">
        <v>42367</v>
      </c>
      <c r="D83" s="14">
        <v>42368</v>
      </c>
      <c r="E83" s="14">
        <v>42369</v>
      </c>
      <c r="F83" s="14">
        <v>42370</v>
      </c>
      <c r="G83" s="14">
        <v>42371</v>
      </c>
      <c r="H83" s="15">
        <v>42372</v>
      </c>
      <c r="J83" s="102"/>
      <c r="K83" s="102"/>
      <c r="L83" s="102"/>
      <c r="M83" s="102"/>
      <c r="N83" s="102"/>
      <c r="O83" s="102"/>
      <c r="P83" s="102"/>
      <c r="Q83" s="103"/>
      <c r="R83" s="105"/>
      <c r="S83" s="105"/>
      <c r="T83" s="105"/>
      <c r="U83" s="105"/>
      <c r="V83" s="105"/>
      <c r="W83" s="105"/>
      <c r="X83" s="105"/>
      <c r="Y83" s="103"/>
      <c r="Z83" s="102"/>
      <c r="AA83" s="102"/>
      <c r="AB83" s="102"/>
      <c r="AC83" s="102"/>
      <c r="AD83" s="102"/>
      <c r="AE83" s="102"/>
      <c r="AF83" s="102"/>
      <c r="AG83" s="103"/>
      <c r="AH83" s="105"/>
      <c r="AI83" s="105"/>
      <c r="AJ83" s="105"/>
      <c r="AK83" s="105"/>
      <c r="AL83" s="105"/>
      <c r="AM83" s="105"/>
      <c r="AN83" s="105"/>
      <c r="AO83" s="103"/>
      <c r="AP83" s="105"/>
      <c r="AQ83" s="105"/>
      <c r="AR83" s="105"/>
      <c r="AS83" s="105"/>
    </row>
    <row r="84" spans="1:45" x14ac:dyDescent="0.25">
      <c r="J84" s="102"/>
      <c r="K84" s="102"/>
      <c r="L84" s="102"/>
      <c r="M84" s="102"/>
      <c r="N84" s="102"/>
      <c r="O84" s="102"/>
      <c r="P84" s="102"/>
      <c r="Q84" s="103"/>
      <c r="R84" s="105"/>
      <c r="S84" s="105"/>
      <c r="T84" s="105"/>
      <c r="U84" s="105"/>
      <c r="V84" s="105"/>
      <c r="W84" s="105"/>
      <c r="X84" s="105"/>
      <c r="Y84" s="103"/>
      <c r="Z84" s="102"/>
      <c r="AA84" s="102"/>
      <c r="AB84" s="102"/>
      <c r="AC84" s="102"/>
      <c r="AD84" s="102"/>
      <c r="AE84" s="102"/>
      <c r="AF84" s="102"/>
      <c r="AG84" s="103"/>
      <c r="AH84" s="105"/>
      <c r="AI84" s="105"/>
      <c r="AJ84" s="105"/>
      <c r="AK84" s="105"/>
      <c r="AL84" s="105"/>
      <c r="AM84" s="105"/>
      <c r="AN84" s="105"/>
      <c r="AO84" s="103"/>
      <c r="AP84" s="105"/>
      <c r="AQ84" s="105"/>
      <c r="AR84" s="105"/>
      <c r="AS84" s="105"/>
    </row>
    <row r="85" spans="1:45" x14ac:dyDescent="0.25">
      <c r="A85" s="217" t="s">
        <v>44</v>
      </c>
      <c r="B85" s="218"/>
      <c r="C85" s="218"/>
      <c r="D85" s="218"/>
      <c r="E85" s="218"/>
      <c r="F85" s="218"/>
      <c r="G85" s="218"/>
      <c r="H85" s="219"/>
      <c r="J85" s="102"/>
      <c r="K85" s="102"/>
      <c r="L85" s="102"/>
      <c r="M85" s="102"/>
      <c r="N85" s="102"/>
      <c r="O85" s="102"/>
      <c r="P85" s="102"/>
      <c r="Q85" s="103"/>
      <c r="R85" s="105"/>
      <c r="S85" s="105"/>
      <c r="T85" s="105"/>
      <c r="U85" s="105"/>
      <c r="V85" s="105"/>
      <c r="W85" s="105"/>
      <c r="X85" s="105"/>
      <c r="Y85" s="103"/>
      <c r="Z85" s="102"/>
      <c r="AA85" s="102"/>
      <c r="AB85" s="102"/>
      <c r="AC85" s="102"/>
      <c r="AD85" s="102"/>
      <c r="AE85" s="102"/>
      <c r="AF85" s="102"/>
      <c r="AG85" s="103"/>
      <c r="AH85" s="105"/>
      <c r="AI85" s="105"/>
      <c r="AJ85" s="105"/>
      <c r="AK85" s="105"/>
      <c r="AL85" s="105"/>
      <c r="AM85" s="105"/>
      <c r="AN85" s="105"/>
      <c r="AO85" s="103"/>
      <c r="AP85" s="105"/>
      <c r="AQ85" s="105"/>
      <c r="AR85" s="105"/>
      <c r="AS85" s="105"/>
    </row>
    <row r="86" spans="1:45" x14ac:dyDescent="0.25">
      <c r="A86" s="16" t="s">
        <v>15</v>
      </c>
      <c r="B86" s="17" t="s">
        <v>45</v>
      </c>
      <c r="C86" s="17" t="s">
        <v>46</v>
      </c>
      <c r="D86" s="17" t="s">
        <v>47</v>
      </c>
      <c r="E86" s="17" t="s">
        <v>48</v>
      </c>
      <c r="F86" s="17" t="s">
        <v>49</v>
      </c>
      <c r="G86" s="17" t="s">
        <v>50</v>
      </c>
      <c r="H86" s="18" t="s">
        <v>57</v>
      </c>
      <c r="J86" s="102"/>
      <c r="K86" s="102"/>
      <c r="L86" s="102"/>
      <c r="M86" s="102"/>
      <c r="N86" s="102"/>
      <c r="O86" s="102"/>
      <c r="P86" s="102"/>
      <c r="Q86" s="103"/>
      <c r="R86" s="105"/>
      <c r="S86" s="105"/>
      <c r="T86" s="105"/>
      <c r="U86" s="105"/>
      <c r="V86" s="105"/>
      <c r="W86" s="105"/>
      <c r="X86" s="105"/>
      <c r="Y86" s="103"/>
      <c r="Z86" s="102"/>
      <c r="AA86" s="102"/>
      <c r="AB86" s="102"/>
      <c r="AC86" s="102"/>
      <c r="AD86" s="102"/>
      <c r="AE86" s="102"/>
      <c r="AF86" s="102"/>
      <c r="AG86" s="103"/>
      <c r="AH86" s="105"/>
      <c r="AI86" s="105"/>
      <c r="AJ86" s="105"/>
      <c r="AK86" s="105"/>
      <c r="AL86" s="105"/>
      <c r="AM86" s="105"/>
      <c r="AN86" s="105"/>
      <c r="AO86" s="103"/>
      <c r="AP86" s="105"/>
      <c r="AQ86" s="105"/>
      <c r="AR86" s="105"/>
      <c r="AS86" s="105"/>
    </row>
    <row r="87" spans="1:45" x14ac:dyDescent="0.25">
      <c r="A87" s="19">
        <v>1</v>
      </c>
      <c r="B87" s="12">
        <v>42002</v>
      </c>
      <c r="C87" s="12">
        <v>42008</v>
      </c>
      <c r="D87" s="12">
        <v>41988</v>
      </c>
      <c r="E87" s="12">
        <v>41995</v>
      </c>
      <c r="F87" s="12">
        <v>42002</v>
      </c>
      <c r="G87" s="12">
        <v>41995</v>
      </c>
      <c r="H87" s="13"/>
      <c r="J87" s="102"/>
      <c r="K87" s="102"/>
      <c r="L87" s="102"/>
      <c r="M87" s="102"/>
      <c r="N87" s="102"/>
      <c r="O87" s="102"/>
      <c r="P87" s="102"/>
      <c r="Q87" s="103"/>
      <c r="R87" s="105"/>
      <c r="S87" s="105"/>
      <c r="T87" s="105"/>
      <c r="U87" s="105"/>
      <c r="V87" s="105"/>
      <c r="W87" s="105"/>
      <c r="X87" s="105"/>
      <c r="Y87" s="103"/>
      <c r="Z87" s="102"/>
      <c r="AA87" s="102"/>
      <c r="AB87" s="102"/>
      <c r="AC87" s="102"/>
      <c r="AD87" s="102"/>
      <c r="AE87" s="102"/>
      <c r="AF87" s="102"/>
      <c r="AG87" s="103"/>
      <c r="AH87" s="105"/>
      <c r="AI87" s="105"/>
      <c r="AJ87" s="105"/>
      <c r="AK87" s="105"/>
      <c r="AL87" s="105"/>
      <c r="AM87" s="105"/>
      <c r="AN87" s="105"/>
      <c r="AO87" s="103"/>
      <c r="AP87" s="105"/>
      <c r="AQ87" s="105"/>
      <c r="AR87" s="105"/>
      <c r="AS87" s="105"/>
    </row>
    <row r="88" spans="1:45" x14ac:dyDescent="0.25">
      <c r="A88" s="19">
        <v>2</v>
      </c>
      <c r="B88" s="12">
        <v>42009</v>
      </c>
      <c r="C88" s="12">
        <v>42015</v>
      </c>
      <c r="D88" s="12">
        <v>41995</v>
      </c>
      <c r="E88" s="12">
        <v>42002</v>
      </c>
      <c r="F88" s="12">
        <v>42009</v>
      </c>
      <c r="G88" s="12">
        <v>42002</v>
      </c>
      <c r="H88" s="13"/>
      <c r="J88" s="102"/>
      <c r="K88" s="102"/>
      <c r="L88" s="102"/>
      <c r="M88" s="102"/>
      <c r="N88" s="102"/>
      <c r="O88" s="102"/>
      <c r="P88" s="102"/>
      <c r="Q88" s="103"/>
      <c r="R88" s="105"/>
      <c r="S88" s="105"/>
      <c r="T88" s="105"/>
      <c r="U88" s="105"/>
      <c r="V88" s="105"/>
      <c r="W88" s="105"/>
      <c r="X88" s="105"/>
      <c r="Y88" s="103"/>
      <c r="Z88" s="102"/>
      <c r="AA88" s="102"/>
      <c r="AB88" s="102"/>
      <c r="AC88" s="102"/>
      <c r="AD88" s="102"/>
      <c r="AE88" s="102"/>
      <c r="AF88" s="102"/>
      <c r="AG88" s="103"/>
      <c r="AH88" s="105"/>
      <c r="AI88" s="105"/>
      <c r="AJ88" s="105"/>
      <c r="AK88" s="105"/>
      <c r="AL88" s="105"/>
      <c r="AM88" s="105"/>
      <c r="AN88" s="105"/>
      <c r="AO88" s="103"/>
      <c r="AP88" s="105"/>
      <c r="AQ88" s="105"/>
      <c r="AR88" s="105"/>
      <c r="AS88" s="105"/>
    </row>
    <row r="89" spans="1:45" x14ac:dyDescent="0.25">
      <c r="A89" s="19">
        <v>3</v>
      </c>
      <c r="B89" s="12">
        <v>42016</v>
      </c>
      <c r="C89" s="12">
        <v>42022</v>
      </c>
      <c r="D89" s="12">
        <v>42002</v>
      </c>
      <c r="E89" s="12">
        <v>42009</v>
      </c>
      <c r="F89" s="12">
        <v>42016</v>
      </c>
      <c r="G89" s="12">
        <v>42009</v>
      </c>
      <c r="H89" s="13"/>
      <c r="J89" s="102"/>
      <c r="K89" s="102"/>
      <c r="L89" s="102"/>
      <c r="M89" s="102"/>
      <c r="N89" s="102"/>
      <c r="O89" s="102"/>
      <c r="P89" s="102"/>
      <c r="Q89" s="103"/>
      <c r="R89" s="105"/>
      <c r="S89" s="105"/>
      <c r="T89" s="105"/>
      <c r="U89" s="105"/>
      <c r="V89" s="105"/>
      <c r="W89" s="105"/>
      <c r="X89" s="105"/>
      <c r="Y89" s="103"/>
      <c r="Z89" s="102"/>
      <c r="AA89" s="102"/>
      <c r="AB89" s="102"/>
      <c r="AC89" s="102"/>
      <c r="AD89" s="102"/>
      <c r="AE89" s="102"/>
      <c r="AF89" s="102"/>
      <c r="AG89" s="103"/>
      <c r="AH89" s="105"/>
      <c r="AI89" s="105"/>
      <c r="AJ89" s="105"/>
      <c r="AK89" s="105"/>
      <c r="AL89" s="105"/>
      <c r="AM89" s="105"/>
      <c r="AN89" s="105"/>
      <c r="AO89" s="103"/>
      <c r="AP89" s="105"/>
      <c r="AQ89" s="105"/>
      <c r="AR89" s="105"/>
      <c r="AS89" s="105"/>
    </row>
    <row r="90" spans="1:45" x14ac:dyDescent="0.25">
      <c r="A90" s="19">
        <v>4</v>
      </c>
      <c r="B90" s="12">
        <v>42023</v>
      </c>
      <c r="C90" s="12">
        <v>42029</v>
      </c>
      <c r="D90" s="12">
        <v>42009</v>
      </c>
      <c r="E90" s="12">
        <v>42016</v>
      </c>
      <c r="F90" s="12">
        <v>42023</v>
      </c>
      <c r="G90" s="12">
        <v>42016</v>
      </c>
      <c r="H90" s="13"/>
      <c r="J90" s="102"/>
      <c r="K90" s="102"/>
      <c r="L90" s="102"/>
      <c r="M90" s="102"/>
      <c r="N90" s="102"/>
      <c r="O90" s="102"/>
      <c r="P90" s="102"/>
      <c r="Q90" s="103"/>
      <c r="R90" s="105"/>
      <c r="S90" s="105"/>
      <c r="T90" s="105"/>
      <c r="U90" s="105"/>
      <c r="V90" s="105"/>
      <c r="W90" s="105"/>
      <c r="X90" s="105"/>
      <c r="Y90" s="103"/>
      <c r="Z90" s="102"/>
      <c r="AA90" s="102"/>
      <c r="AB90" s="102"/>
      <c r="AC90" s="102"/>
      <c r="AD90" s="102"/>
      <c r="AE90" s="102"/>
      <c r="AF90" s="102"/>
      <c r="AG90" s="103"/>
      <c r="AH90" s="105"/>
      <c r="AI90" s="105"/>
      <c r="AJ90" s="105"/>
      <c r="AK90" s="105"/>
      <c r="AL90" s="105"/>
      <c r="AM90" s="105"/>
      <c r="AN90" s="105"/>
      <c r="AO90" s="103"/>
      <c r="AP90" s="105"/>
      <c r="AQ90" s="105"/>
      <c r="AR90" s="105"/>
      <c r="AS90" s="105"/>
    </row>
    <row r="91" spans="1:45" x14ac:dyDescent="0.25">
      <c r="A91" s="19">
        <v>5</v>
      </c>
      <c r="B91" s="12">
        <v>42030</v>
      </c>
      <c r="C91" s="12">
        <v>42036</v>
      </c>
      <c r="D91" s="12">
        <v>42016</v>
      </c>
      <c r="E91" s="12">
        <v>42023</v>
      </c>
      <c r="F91" s="12">
        <v>42030</v>
      </c>
      <c r="G91" s="12">
        <v>42023</v>
      </c>
      <c r="H91" s="13"/>
      <c r="J91" s="102"/>
      <c r="K91" s="102"/>
      <c r="L91" s="102"/>
      <c r="M91" s="102"/>
      <c r="N91" s="102"/>
      <c r="O91" s="102"/>
      <c r="P91" s="102"/>
      <c r="Q91" s="103"/>
      <c r="R91" s="105"/>
      <c r="S91" s="105"/>
      <c r="T91" s="105"/>
      <c r="U91" s="105"/>
      <c r="V91" s="105"/>
      <c r="W91" s="105"/>
      <c r="X91" s="105"/>
      <c r="Y91" s="103"/>
      <c r="Z91" s="102"/>
      <c r="AA91" s="102"/>
      <c r="AB91" s="102"/>
      <c r="AC91" s="102"/>
      <c r="AD91" s="102"/>
      <c r="AE91" s="102"/>
      <c r="AF91" s="102"/>
      <c r="AG91" s="103"/>
      <c r="AH91" s="105"/>
      <c r="AI91" s="105"/>
      <c r="AJ91" s="105"/>
      <c r="AK91" s="105"/>
      <c r="AL91" s="105"/>
      <c r="AM91" s="105"/>
      <c r="AN91" s="105"/>
      <c r="AO91" s="103"/>
      <c r="AP91" s="105"/>
      <c r="AQ91" s="105"/>
      <c r="AR91" s="105"/>
      <c r="AS91" s="105"/>
    </row>
    <row r="92" spans="1:45" x14ac:dyDescent="0.25">
      <c r="A92" s="19">
        <v>6</v>
      </c>
      <c r="B92" s="12">
        <v>42037</v>
      </c>
      <c r="C92" s="12">
        <v>42043</v>
      </c>
      <c r="D92" s="12">
        <v>42023</v>
      </c>
      <c r="E92" s="12">
        <v>42030</v>
      </c>
      <c r="F92" s="12">
        <v>42037</v>
      </c>
      <c r="G92" s="12">
        <v>42030</v>
      </c>
      <c r="H92" s="13"/>
      <c r="J92" s="102"/>
      <c r="K92" s="102"/>
      <c r="L92" s="102"/>
      <c r="M92" s="102"/>
      <c r="N92" s="102"/>
      <c r="O92" s="102"/>
      <c r="P92" s="102"/>
      <c r="Q92" s="103"/>
      <c r="R92" s="105"/>
      <c r="S92" s="105"/>
      <c r="T92" s="105"/>
      <c r="U92" s="105"/>
      <c r="V92" s="105"/>
      <c r="W92" s="105"/>
      <c r="X92" s="105"/>
      <c r="Y92" s="103"/>
      <c r="Z92" s="102"/>
      <c r="AA92" s="102"/>
      <c r="AB92" s="102"/>
      <c r="AC92" s="102"/>
      <c r="AD92" s="102"/>
      <c r="AE92" s="102"/>
      <c r="AF92" s="102"/>
      <c r="AG92" s="103"/>
      <c r="AH92" s="105"/>
      <c r="AI92" s="105"/>
      <c r="AJ92" s="105"/>
      <c r="AK92" s="105"/>
      <c r="AL92" s="105"/>
      <c r="AM92" s="105"/>
      <c r="AN92" s="105"/>
      <c r="AO92" s="103"/>
      <c r="AP92" s="105"/>
      <c r="AQ92" s="105"/>
      <c r="AR92" s="105"/>
      <c r="AS92" s="105"/>
    </row>
    <row r="93" spans="1:45" x14ac:dyDescent="0.25">
      <c r="A93" s="19">
        <v>7</v>
      </c>
      <c r="B93" s="12">
        <v>42044</v>
      </c>
      <c r="C93" s="12">
        <v>42050</v>
      </c>
      <c r="D93" s="12">
        <v>42030</v>
      </c>
      <c r="E93" s="12">
        <v>42037</v>
      </c>
      <c r="F93" s="12">
        <v>42044</v>
      </c>
      <c r="G93" s="12">
        <v>42037</v>
      </c>
      <c r="H93" s="13"/>
      <c r="J93" s="102"/>
      <c r="K93" s="102"/>
      <c r="L93" s="102"/>
      <c r="M93" s="102"/>
      <c r="N93" s="102"/>
      <c r="O93" s="102"/>
      <c r="P93" s="102"/>
      <c r="Q93" s="103"/>
      <c r="R93" s="105"/>
      <c r="S93" s="105"/>
      <c r="T93" s="105"/>
      <c r="U93" s="105"/>
      <c r="V93" s="105"/>
      <c r="W93" s="105"/>
      <c r="X93" s="105"/>
      <c r="Y93" s="103"/>
      <c r="Z93" s="102"/>
      <c r="AA93" s="102"/>
      <c r="AB93" s="102"/>
      <c r="AC93" s="102"/>
      <c r="AD93" s="102"/>
      <c r="AE93" s="102"/>
      <c r="AF93" s="102"/>
      <c r="AG93" s="103"/>
      <c r="AH93" s="105"/>
      <c r="AI93" s="105"/>
      <c r="AJ93" s="105"/>
      <c r="AK93" s="105"/>
      <c r="AL93" s="105"/>
      <c r="AM93" s="105"/>
      <c r="AN93" s="105"/>
      <c r="AO93" s="103"/>
      <c r="AP93" s="105"/>
      <c r="AQ93" s="105"/>
      <c r="AR93" s="105"/>
      <c r="AS93" s="105"/>
    </row>
    <row r="94" spans="1:45" x14ac:dyDescent="0.25">
      <c r="A94" s="19">
        <v>8</v>
      </c>
      <c r="B94" s="12">
        <v>42051</v>
      </c>
      <c r="C94" s="12">
        <v>42057</v>
      </c>
      <c r="D94" s="12">
        <v>42037</v>
      </c>
      <c r="E94" s="12">
        <v>42044</v>
      </c>
      <c r="F94" s="12">
        <v>42051</v>
      </c>
      <c r="G94" s="12">
        <v>42044</v>
      </c>
      <c r="H94" s="13"/>
      <c r="J94" s="102"/>
      <c r="K94" s="102"/>
      <c r="L94" s="102"/>
      <c r="M94" s="102"/>
      <c r="N94" s="102"/>
      <c r="O94" s="102"/>
      <c r="P94" s="102"/>
      <c r="Q94" s="103"/>
      <c r="R94" s="105"/>
      <c r="S94" s="105"/>
      <c r="T94" s="105"/>
      <c r="U94" s="105"/>
      <c r="V94" s="105"/>
      <c r="W94" s="105"/>
      <c r="X94" s="105"/>
      <c r="Y94" s="103"/>
      <c r="Z94" s="102"/>
      <c r="AA94" s="102"/>
      <c r="AB94" s="102"/>
      <c r="AC94" s="102"/>
      <c r="AD94" s="102"/>
      <c r="AE94" s="102"/>
      <c r="AF94" s="102"/>
      <c r="AG94" s="103"/>
      <c r="AH94" s="105"/>
      <c r="AI94" s="105"/>
      <c r="AJ94" s="105"/>
      <c r="AK94" s="105"/>
      <c r="AL94" s="105"/>
      <c r="AM94" s="105"/>
      <c r="AN94" s="105"/>
      <c r="AO94" s="103"/>
      <c r="AP94" s="105"/>
      <c r="AQ94" s="105"/>
      <c r="AR94" s="105"/>
      <c r="AS94" s="105"/>
    </row>
    <row r="95" spans="1:45" x14ac:dyDescent="0.25">
      <c r="A95" s="19">
        <v>9</v>
      </c>
      <c r="B95" s="12">
        <v>42058</v>
      </c>
      <c r="C95" s="12">
        <v>42064</v>
      </c>
      <c r="D95" s="12">
        <v>42044</v>
      </c>
      <c r="E95" s="12">
        <v>42051</v>
      </c>
      <c r="F95" s="12">
        <v>42058</v>
      </c>
      <c r="G95" s="12">
        <v>42051</v>
      </c>
      <c r="H95" s="13"/>
      <c r="J95" s="102"/>
      <c r="K95" s="102"/>
      <c r="L95" s="102"/>
      <c r="M95" s="102"/>
      <c r="N95" s="102"/>
      <c r="O95" s="102"/>
      <c r="P95" s="102"/>
      <c r="Q95" s="103"/>
      <c r="R95" s="105"/>
      <c r="S95" s="105"/>
      <c r="T95" s="105"/>
      <c r="U95" s="105"/>
      <c r="V95" s="105"/>
      <c r="W95" s="105"/>
      <c r="X95" s="105"/>
      <c r="Y95" s="103"/>
      <c r="Z95" s="102"/>
      <c r="AA95" s="102"/>
      <c r="AB95" s="102"/>
      <c r="AC95" s="102"/>
      <c r="AD95" s="102"/>
      <c r="AE95" s="102"/>
      <c r="AF95" s="102"/>
      <c r="AG95" s="103"/>
      <c r="AH95" s="105"/>
      <c r="AI95" s="105"/>
      <c r="AJ95" s="105"/>
      <c r="AK95" s="105"/>
      <c r="AL95" s="105"/>
      <c r="AM95" s="105"/>
      <c r="AN95" s="105"/>
      <c r="AO95" s="103"/>
      <c r="AP95" s="105"/>
      <c r="AQ95" s="105"/>
      <c r="AR95" s="105"/>
      <c r="AS95" s="105"/>
    </row>
    <row r="96" spans="1:45" x14ac:dyDescent="0.25">
      <c r="A96" s="19">
        <v>10</v>
      </c>
      <c r="B96" s="12">
        <v>42065</v>
      </c>
      <c r="C96" s="12">
        <v>42071</v>
      </c>
      <c r="D96" s="12">
        <v>42051</v>
      </c>
      <c r="E96" s="12">
        <v>42058</v>
      </c>
      <c r="F96" s="12">
        <v>42065</v>
      </c>
      <c r="G96" s="12">
        <v>42058</v>
      </c>
      <c r="H96" s="13"/>
      <c r="J96" s="102"/>
      <c r="K96" s="102"/>
      <c r="L96" s="102"/>
      <c r="M96" s="102"/>
      <c r="N96" s="102"/>
      <c r="O96" s="102"/>
      <c r="P96" s="102"/>
      <c r="Q96" s="103"/>
      <c r="R96" s="105"/>
      <c r="S96" s="105"/>
      <c r="T96" s="105"/>
      <c r="U96" s="105"/>
      <c r="V96" s="105"/>
      <c r="W96" s="105"/>
      <c r="X96" s="105"/>
      <c r="Y96" s="103"/>
      <c r="Z96" s="102"/>
      <c r="AA96" s="102"/>
      <c r="AB96" s="102"/>
      <c r="AC96" s="102"/>
      <c r="AD96" s="102"/>
      <c r="AE96" s="102"/>
      <c r="AF96" s="102"/>
      <c r="AG96" s="103"/>
      <c r="AH96" s="105"/>
      <c r="AI96" s="105"/>
      <c r="AJ96" s="105"/>
      <c r="AK96" s="105"/>
      <c r="AL96" s="105"/>
      <c r="AM96" s="105"/>
      <c r="AN96" s="105"/>
      <c r="AO96" s="103"/>
      <c r="AP96" s="105"/>
      <c r="AQ96" s="105"/>
      <c r="AR96" s="105"/>
      <c r="AS96" s="105"/>
    </row>
    <row r="97" spans="1:45" x14ac:dyDescent="0.25">
      <c r="A97" s="19">
        <v>11</v>
      </c>
      <c r="B97" s="12">
        <v>42072</v>
      </c>
      <c r="C97" s="12">
        <v>42078</v>
      </c>
      <c r="D97" s="12">
        <v>42058</v>
      </c>
      <c r="E97" s="12">
        <v>42065</v>
      </c>
      <c r="F97" s="12">
        <v>42072</v>
      </c>
      <c r="G97" s="12">
        <v>42065</v>
      </c>
      <c r="H97" s="13"/>
      <c r="J97" s="102"/>
      <c r="K97" s="102"/>
      <c r="L97" s="102"/>
      <c r="M97" s="102"/>
      <c r="N97" s="102"/>
      <c r="O97" s="102"/>
      <c r="P97" s="102"/>
      <c r="Q97" s="103"/>
      <c r="R97" s="105"/>
      <c r="S97" s="105"/>
      <c r="T97" s="105"/>
      <c r="U97" s="105"/>
      <c r="V97" s="105"/>
      <c r="W97" s="105"/>
      <c r="X97" s="105"/>
      <c r="Y97" s="103"/>
      <c r="Z97" s="102"/>
      <c r="AA97" s="102"/>
      <c r="AB97" s="102"/>
      <c r="AC97" s="102"/>
      <c r="AD97" s="102"/>
      <c r="AE97" s="102"/>
      <c r="AF97" s="102"/>
      <c r="AG97" s="103"/>
      <c r="AH97" s="105"/>
      <c r="AI97" s="105"/>
      <c r="AJ97" s="105"/>
      <c r="AK97" s="105"/>
      <c r="AL97" s="105"/>
      <c r="AM97" s="105"/>
      <c r="AN97" s="105"/>
      <c r="AO97" s="103"/>
      <c r="AP97" s="105"/>
      <c r="AQ97" s="105"/>
      <c r="AR97" s="105"/>
      <c r="AS97" s="105"/>
    </row>
    <row r="98" spans="1:45" x14ac:dyDescent="0.25">
      <c r="A98" s="19">
        <v>12</v>
      </c>
      <c r="B98" s="12">
        <v>42079</v>
      </c>
      <c r="C98" s="12">
        <v>42085</v>
      </c>
      <c r="D98" s="12">
        <v>42065</v>
      </c>
      <c r="E98" s="12">
        <v>42072</v>
      </c>
      <c r="F98" s="12">
        <v>42079</v>
      </c>
      <c r="G98" s="12">
        <v>42072</v>
      </c>
      <c r="H98" s="13"/>
      <c r="J98" s="102"/>
      <c r="K98" s="102"/>
      <c r="L98" s="102"/>
      <c r="M98" s="102"/>
      <c r="N98" s="102"/>
      <c r="O98" s="102"/>
      <c r="P98" s="102"/>
      <c r="Q98" s="103"/>
      <c r="R98" s="105"/>
      <c r="S98" s="105"/>
      <c r="T98" s="105"/>
      <c r="U98" s="105"/>
      <c r="V98" s="105"/>
      <c r="W98" s="105"/>
      <c r="X98" s="105"/>
      <c r="Y98" s="103"/>
      <c r="Z98" s="102"/>
      <c r="AA98" s="102"/>
      <c r="AB98" s="102"/>
      <c r="AC98" s="102"/>
      <c r="AD98" s="102"/>
      <c r="AE98" s="102"/>
      <c r="AF98" s="102"/>
      <c r="AG98" s="103"/>
      <c r="AH98" s="105"/>
      <c r="AI98" s="105"/>
      <c r="AJ98" s="105"/>
      <c r="AK98" s="105"/>
      <c r="AL98" s="105"/>
      <c r="AM98" s="105"/>
      <c r="AN98" s="105"/>
      <c r="AO98" s="103"/>
      <c r="AP98" s="105"/>
      <c r="AQ98" s="105"/>
      <c r="AR98" s="105"/>
      <c r="AS98" s="105"/>
    </row>
    <row r="99" spans="1:45" x14ac:dyDescent="0.25">
      <c r="A99" s="19">
        <v>13</v>
      </c>
      <c r="B99" s="12">
        <v>42086</v>
      </c>
      <c r="C99" s="12">
        <v>42092</v>
      </c>
      <c r="D99" s="12">
        <v>42072</v>
      </c>
      <c r="E99" s="12">
        <v>42079</v>
      </c>
      <c r="F99" s="12">
        <v>42086</v>
      </c>
      <c r="G99" s="12">
        <v>42079</v>
      </c>
      <c r="H99" s="13"/>
      <c r="J99" s="102"/>
      <c r="K99" s="102"/>
      <c r="L99" s="102"/>
      <c r="M99" s="102"/>
      <c r="N99" s="102"/>
      <c r="O99" s="102"/>
      <c r="P99" s="102"/>
      <c r="Q99" s="103"/>
      <c r="R99" s="105"/>
      <c r="S99" s="105"/>
      <c r="T99" s="105"/>
      <c r="U99" s="105"/>
      <c r="V99" s="105"/>
      <c r="W99" s="105"/>
      <c r="X99" s="105"/>
      <c r="Y99" s="103"/>
      <c r="Z99" s="102"/>
      <c r="AA99" s="102"/>
      <c r="AB99" s="102"/>
      <c r="AC99" s="102"/>
      <c r="AD99" s="102"/>
      <c r="AE99" s="102"/>
      <c r="AF99" s="102"/>
      <c r="AG99" s="103"/>
      <c r="AH99" s="105"/>
      <c r="AI99" s="105"/>
      <c r="AJ99" s="105"/>
      <c r="AK99" s="105"/>
      <c r="AL99" s="105"/>
      <c r="AM99" s="105"/>
      <c r="AN99" s="105"/>
      <c r="AO99" s="103"/>
      <c r="AP99" s="105"/>
      <c r="AQ99" s="105"/>
      <c r="AR99" s="105"/>
      <c r="AS99" s="105"/>
    </row>
    <row r="100" spans="1:45" x14ac:dyDescent="0.25">
      <c r="A100" s="19">
        <v>14</v>
      </c>
      <c r="B100" s="12">
        <v>42093</v>
      </c>
      <c r="C100" s="12">
        <v>42099</v>
      </c>
      <c r="D100" s="12">
        <v>42079</v>
      </c>
      <c r="E100" s="12">
        <v>42086</v>
      </c>
      <c r="F100" s="12">
        <v>42093</v>
      </c>
      <c r="G100" s="12">
        <v>42086</v>
      </c>
      <c r="H100" s="13"/>
      <c r="J100" s="102"/>
      <c r="K100" s="102"/>
      <c r="L100" s="102"/>
      <c r="M100" s="102"/>
      <c r="N100" s="102"/>
      <c r="O100" s="102"/>
      <c r="P100" s="102"/>
      <c r="Q100" s="103"/>
      <c r="R100" s="105"/>
      <c r="S100" s="105"/>
      <c r="T100" s="105"/>
      <c r="U100" s="105"/>
      <c r="V100" s="105"/>
      <c r="W100" s="105"/>
      <c r="X100" s="105"/>
      <c r="Y100" s="103"/>
      <c r="Z100" s="102"/>
      <c r="AA100" s="102"/>
      <c r="AB100" s="102"/>
      <c r="AC100" s="102"/>
      <c r="AD100" s="102"/>
      <c r="AE100" s="102"/>
      <c r="AF100" s="102"/>
      <c r="AG100" s="103"/>
      <c r="AH100" s="105"/>
      <c r="AI100" s="105"/>
      <c r="AJ100" s="105"/>
      <c r="AK100" s="105"/>
      <c r="AL100" s="105"/>
      <c r="AM100" s="105"/>
      <c r="AN100" s="105"/>
      <c r="AO100" s="103"/>
      <c r="AP100" s="105"/>
      <c r="AQ100" s="105"/>
      <c r="AR100" s="105"/>
      <c r="AS100" s="105"/>
    </row>
    <row r="101" spans="1:45" x14ac:dyDescent="0.25">
      <c r="A101" s="19">
        <v>15</v>
      </c>
      <c r="B101" s="12">
        <v>42100</v>
      </c>
      <c r="C101" s="12">
        <v>42106</v>
      </c>
      <c r="D101" s="12">
        <v>42086</v>
      </c>
      <c r="E101" s="12">
        <v>42093</v>
      </c>
      <c r="F101" s="12">
        <v>42100</v>
      </c>
      <c r="G101" s="12">
        <v>42093</v>
      </c>
      <c r="H101" s="13"/>
      <c r="J101" s="102"/>
      <c r="K101" s="102"/>
      <c r="L101" s="102"/>
      <c r="M101" s="102"/>
      <c r="N101" s="102"/>
      <c r="O101" s="102"/>
      <c r="P101" s="102"/>
      <c r="Q101" s="103"/>
      <c r="R101" s="105"/>
      <c r="S101" s="105"/>
      <c r="T101" s="105"/>
      <c r="U101" s="105"/>
      <c r="V101" s="105"/>
      <c r="W101" s="105"/>
      <c r="X101" s="105"/>
      <c r="Y101" s="103"/>
      <c r="Z101" s="102"/>
      <c r="AA101" s="102"/>
      <c r="AB101" s="102"/>
      <c r="AC101" s="102"/>
      <c r="AD101" s="102"/>
      <c r="AE101" s="102"/>
      <c r="AF101" s="102"/>
      <c r="AG101" s="103"/>
      <c r="AH101" s="105"/>
      <c r="AI101" s="105"/>
      <c r="AJ101" s="105"/>
      <c r="AK101" s="105"/>
      <c r="AL101" s="105"/>
      <c r="AM101" s="105"/>
      <c r="AN101" s="105"/>
      <c r="AO101" s="103"/>
      <c r="AP101" s="105"/>
      <c r="AQ101" s="105"/>
      <c r="AR101" s="105"/>
      <c r="AS101" s="105"/>
    </row>
    <row r="102" spans="1:45" x14ac:dyDescent="0.25">
      <c r="A102" s="19">
        <v>16</v>
      </c>
      <c r="B102" s="12">
        <v>42107</v>
      </c>
      <c r="C102" s="12">
        <v>42113</v>
      </c>
      <c r="D102" s="12">
        <v>42093</v>
      </c>
      <c r="E102" s="12">
        <v>42100</v>
      </c>
      <c r="F102" s="12">
        <v>42107</v>
      </c>
      <c r="G102" s="12">
        <v>42100</v>
      </c>
      <c r="H102" s="13"/>
      <c r="J102" s="102"/>
      <c r="K102" s="102"/>
      <c r="L102" s="102"/>
      <c r="M102" s="102"/>
      <c r="N102" s="102"/>
      <c r="O102" s="102"/>
      <c r="P102" s="102"/>
      <c r="Q102" s="103"/>
      <c r="R102" s="105"/>
      <c r="S102" s="105"/>
      <c r="T102" s="105"/>
      <c r="U102" s="105"/>
      <c r="V102" s="105"/>
      <c r="W102" s="105"/>
      <c r="X102" s="105"/>
      <c r="Y102" s="103"/>
      <c r="Z102" s="102"/>
      <c r="AA102" s="102"/>
      <c r="AB102" s="102"/>
      <c r="AC102" s="102"/>
      <c r="AD102" s="102"/>
      <c r="AE102" s="102"/>
      <c r="AF102" s="102"/>
      <c r="AG102" s="103"/>
      <c r="AH102" s="105"/>
      <c r="AI102" s="105"/>
      <c r="AJ102" s="105"/>
      <c r="AK102" s="105"/>
      <c r="AL102" s="105"/>
      <c r="AM102" s="105"/>
      <c r="AN102" s="105"/>
      <c r="AO102" s="103"/>
      <c r="AP102" s="105"/>
      <c r="AQ102" s="105"/>
      <c r="AR102" s="105"/>
      <c r="AS102" s="105"/>
    </row>
    <row r="103" spans="1:45" x14ac:dyDescent="0.25">
      <c r="A103" s="19">
        <v>17</v>
      </c>
      <c r="B103" s="12">
        <v>42114</v>
      </c>
      <c r="C103" s="12">
        <v>42120</v>
      </c>
      <c r="D103" s="12">
        <v>42100</v>
      </c>
      <c r="E103" s="12">
        <v>42107</v>
      </c>
      <c r="F103" s="12">
        <v>42114</v>
      </c>
      <c r="G103" s="12">
        <v>42107</v>
      </c>
      <c r="H103" s="13"/>
      <c r="J103" s="102"/>
      <c r="K103" s="102"/>
      <c r="L103" s="102"/>
      <c r="M103" s="102"/>
      <c r="N103" s="102"/>
      <c r="O103" s="102"/>
      <c r="P103" s="102"/>
      <c r="Q103" s="103"/>
      <c r="R103" s="105"/>
      <c r="S103" s="105"/>
      <c r="T103" s="105"/>
      <c r="U103" s="105"/>
      <c r="V103" s="105"/>
      <c r="W103" s="105"/>
      <c r="X103" s="105"/>
      <c r="Y103" s="103"/>
      <c r="Z103" s="102"/>
      <c r="AA103" s="102"/>
      <c r="AB103" s="102"/>
      <c r="AC103" s="102"/>
      <c r="AD103" s="102"/>
      <c r="AE103" s="102"/>
      <c r="AF103" s="102"/>
      <c r="AG103" s="103"/>
      <c r="AH103" s="105"/>
      <c r="AI103" s="105"/>
      <c r="AJ103" s="105"/>
      <c r="AK103" s="105"/>
      <c r="AL103" s="105"/>
      <c r="AM103" s="105"/>
      <c r="AN103" s="105"/>
      <c r="AO103" s="103"/>
      <c r="AP103" s="105"/>
      <c r="AQ103" s="105"/>
      <c r="AR103" s="105"/>
      <c r="AS103" s="105"/>
    </row>
    <row r="104" spans="1:45" x14ac:dyDescent="0.25">
      <c r="A104" s="19">
        <v>18</v>
      </c>
      <c r="B104" s="12">
        <v>42121</v>
      </c>
      <c r="C104" s="12">
        <v>42127</v>
      </c>
      <c r="D104" s="12">
        <v>42107</v>
      </c>
      <c r="E104" s="12">
        <v>42114</v>
      </c>
      <c r="F104" s="12">
        <v>42121</v>
      </c>
      <c r="G104" s="12">
        <v>42114</v>
      </c>
      <c r="H104" s="13"/>
      <c r="J104" s="102"/>
      <c r="K104" s="102"/>
      <c r="L104" s="102"/>
      <c r="M104" s="102"/>
      <c r="N104" s="102"/>
      <c r="O104" s="102"/>
      <c r="P104" s="102"/>
      <c r="Q104" s="103"/>
      <c r="R104" s="105"/>
      <c r="S104" s="105"/>
      <c r="T104" s="105"/>
      <c r="U104" s="105"/>
      <c r="V104" s="105"/>
      <c r="W104" s="105"/>
      <c r="X104" s="105"/>
      <c r="Y104" s="103"/>
      <c r="Z104" s="102"/>
      <c r="AA104" s="102"/>
      <c r="AB104" s="102"/>
      <c r="AC104" s="102"/>
      <c r="AD104" s="102"/>
      <c r="AE104" s="102"/>
      <c r="AF104" s="102"/>
      <c r="AG104" s="103"/>
      <c r="AH104" s="105"/>
      <c r="AI104" s="105"/>
      <c r="AJ104" s="105"/>
      <c r="AK104" s="105"/>
      <c r="AL104" s="105"/>
      <c r="AM104" s="105"/>
      <c r="AN104" s="105"/>
      <c r="AO104" s="103"/>
      <c r="AP104" s="105"/>
      <c r="AQ104" s="105"/>
      <c r="AR104" s="105"/>
      <c r="AS104" s="105"/>
    </row>
    <row r="105" spans="1:45" x14ac:dyDescent="0.25">
      <c r="A105" s="19">
        <v>19</v>
      </c>
      <c r="B105" s="12">
        <v>42128</v>
      </c>
      <c r="C105" s="12">
        <v>42134</v>
      </c>
      <c r="D105" s="12">
        <v>42114</v>
      </c>
      <c r="E105" s="12">
        <v>42121</v>
      </c>
      <c r="F105" s="12">
        <v>42128</v>
      </c>
      <c r="G105" s="12">
        <v>42121</v>
      </c>
      <c r="H105" s="13"/>
      <c r="J105" s="102"/>
      <c r="K105" s="102"/>
      <c r="L105" s="102"/>
      <c r="M105" s="102"/>
      <c r="N105" s="102"/>
      <c r="O105" s="102"/>
      <c r="P105" s="102"/>
      <c r="Q105" s="103"/>
      <c r="R105" s="105"/>
      <c r="S105" s="105"/>
      <c r="T105" s="105"/>
      <c r="U105" s="105"/>
      <c r="V105" s="105"/>
      <c r="W105" s="105"/>
      <c r="X105" s="105"/>
      <c r="Y105" s="103"/>
      <c r="Z105" s="102"/>
      <c r="AA105" s="102"/>
      <c r="AB105" s="102"/>
      <c r="AC105" s="102"/>
      <c r="AD105" s="102"/>
      <c r="AE105" s="102"/>
      <c r="AF105" s="102"/>
      <c r="AG105" s="103"/>
      <c r="AH105" s="105"/>
      <c r="AI105" s="105"/>
      <c r="AJ105" s="105"/>
      <c r="AK105" s="105"/>
      <c r="AL105" s="105"/>
      <c r="AM105" s="105"/>
      <c r="AN105" s="105"/>
      <c r="AO105" s="103"/>
      <c r="AP105" s="105"/>
      <c r="AQ105" s="105"/>
      <c r="AR105" s="105"/>
      <c r="AS105" s="105"/>
    </row>
    <row r="106" spans="1:45" x14ac:dyDescent="0.25">
      <c r="A106" s="19">
        <v>20</v>
      </c>
      <c r="B106" s="12">
        <v>42135</v>
      </c>
      <c r="C106" s="12">
        <v>42141</v>
      </c>
      <c r="D106" s="12">
        <v>42121</v>
      </c>
      <c r="E106" s="12">
        <v>42128</v>
      </c>
      <c r="F106" s="12">
        <v>42135</v>
      </c>
      <c r="G106" s="12">
        <v>42128</v>
      </c>
      <c r="H106" s="13"/>
      <c r="J106" s="102"/>
      <c r="K106" s="102"/>
      <c r="L106" s="102"/>
      <c r="M106" s="102"/>
      <c r="N106" s="102"/>
      <c r="O106" s="102"/>
      <c r="P106" s="102"/>
      <c r="Q106" s="103"/>
      <c r="R106" s="105"/>
      <c r="S106" s="105"/>
      <c r="T106" s="105"/>
      <c r="U106" s="105"/>
      <c r="V106" s="105"/>
      <c r="W106" s="105"/>
      <c r="X106" s="105"/>
      <c r="Y106" s="103"/>
      <c r="Z106" s="102"/>
      <c r="AA106" s="102"/>
      <c r="AB106" s="102"/>
      <c r="AC106" s="102"/>
      <c r="AD106" s="102"/>
      <c r="AE106" s="102"/>
      <c r="AF106" s="102"/>
      <c r="AG106" s="103"/>
      <c r="AH106" s="105"/>
      <c r="AI106" s="105"/>
      <c r="AJ106" s="105"/>
      <c r="AK106" s="105"/>
      <c r="AL106" s="105"/>
      <c r="AM106" s="105"/>
      <c r="AN106" s="105"/>
      <c r="AO106" s="103"/>
      <c r="AP106" s="105"/>
      <c r="AQ106" s="105"/>
      <c r="AR106" s="105"/>
      <c r="AS106" s="105"/>
    </row>
    <row r="107" spans="1:45" x14ac:dyDescent="0.25">
      <c r="A107" s="19">
        <v>21</v>
      </c>
      <c r="B107" s="12">
        <v>42142</v>
      </c>
      <c r="C107" s="12">
        <v>42148</v>
      </c>
      <c r="D107" s="12">
        <v>42128</v>
      </c>
      <c r="E107" s="12">
        <v>42135</v>
      </c>
      <c r="F107" s="12">
        <v>42142</v>
      </c>
      <c r="G107" s="12">
        <v>42135</v>
      </c>
      <c r="H107" s="13"/>
      <c r="J107" s="102"/>
      <c r="K107" s="102"/>
      <c r="L107" s="102"/>
      <c r="M107" s="102"/>
      <c r="N107" s="102"/>
      <c r="O107" s="102"/>
      <c r="P107" s="102"/>
      <c r="Q107" s="103"/>
      <c r="R107" s="105"/>
      <c r="S107" s="105"/>
      <c r="T107" s="105"/>
      <c r="U107" s="105"/>
      <c r="V107" s="105"/>
      <c r="W107" s="105"/>
      <c r="X107" s="105"/>
      <c r="Y107" s="103"/>
      <c r="Z107" s="102"/>
      <c r="AA107" s="102"/>
      <c r="AB107" s="102"/>
      <c r="AC107" s="102"/>
      <c r="AD107" s="102"/>
      <c r="AE107" s="102"/>
      <c r="AF107" s="102"/>
      <c r="AG107" s="103"/>
      <c r="AH107" s="105"/>
      <c r="AI107" s="105"/>
      <c r="AJ107" s="105"/>
      <c r="AK107" s="105"/>
      <c r="AL107" s="105"/>
      <c r="AM107" s="105"/>
      <c r="AN107" s="105"/>
      <c r="AO107" s="103"/>
      <c r="AP107" s="105"/>
      <c r="AQ107" s="105"/>
      <c r="AR107" s="105"/>
      <c r="AS107" s="105"/>
    </row>
    <row r="108" spans="1:45" x14ac:dyDescent="0.25">
      <c r="A108" s="19">
        <v>22</v>
      </c>
      <c r="B108" s="12">
        <v>42149</v>
      </c>
      <c r="C108" s="12">
        <v>42155</v>
      </c>
      <c r="D108" s="12">
        <v>42135</v>
      </c>
      <c r="E108" s="12">
        <v>42142</v>
      </c>
      <c r="F108" s="12">
        <v>42149</v>
      </c>
      <c r="G108" s="12">
        <v>42142</v>
      </c>
      <c r="H108" s="13"/>
      <c r="J108" s="102"/>
      <c r="K108" s="102"/>
      <c r="L108" s="102"/>
      <c r="M108" s="102"/>
      <c r="N108" s="102"/>
      <c r="O108" s="102"/>
      <c r="P108" s="102"/>
      <c r="Q108" s="103"/>
      <c r="R108" s="105"/>
      <c r="S108" s="105"/>
      <c r="T108" s="105"/>
      <c r="U108" s="105"/>
      <c r="V108" s="105"/>
      <c r="W108" s="105"/>
      <c r="X108" s="105"/>
      <c r="Y108" s="103"/>
      <c r="Z108" s="102"/>
      <c r="AA108" s="102"/>
      <c r="AB108" s="102"/>
      <c r="AC108" s="102"/>
      <c r="AD108" s="102"/>
      <c r="AE108" s="102"/>
      <c r="AF108" s="102"/>
      <c r="AG108" s="103"/>
      <c r="AH108" s="105"/>
      <c r="AI108" s="105"/>
      <c r="AJ108" s="105"/>
      <c r="AK108" s="105"/>
      <c r="AL108" s="105"/>
      <c r="AM108" s="105"/>
      <c r="AN108" s="105"/>
      <c r="AO108" s="103"/>
      <c r="AP108" s="105"/>
      <c r="AQ108" s="105"/>
      <c r="AR108" s="105"/>
      <c r="AS108" s="105"/>
    </row>
    <row r="109" spans="1:45" x14ac:dyDescent="0.25">
      <c r="A109" s="19">
        <v>23</v>
      </c>
      <c r="B109" s="12">
        <v>42156</v>
      </c>
      <c r="C109" s="12">
        <v>42162</v>
      </c>
      <c r="D109" s="12">
        <v>42142</v>
      </c>
      <c r="E109" s="12">
        <v>42149</v>
      </c>
      <c r="F109" s="12">
        <v>42156</v>
      </c>
      <c r="G109" s="12">
        <v>42149</v>
      </c>
      <c r="H109" s="13"/>
      <c r="J109" s="102"/>
      <c r="K109" s="102"/>
      <c r="L109" s="102"/>
      <c r="M109" s="102"/>
      <c r="N109" s="102"/>
      <c r="O109" s="102"/>
      <c r="P109" s="102"/>
      <c r="Q109" s="103"/>
      <c r="R109" s="105"/>
      <c r="S109" s="105"/>
      <c r="T109" s="105"/>
      <c r="U109" s="105"/>
      <c r="V109" s="105"/>
      <c r="W109" s="105"/>
      <c r="X109" s="105"/>
      <c r="Y109" s="103"/>
      <c r="Z109" s="102"/>
      <c r="AA109" s="102"/>
      <c r="AB109" s="102"/>
      <c r="AC109" s="102"/>
      <c r="AD109" s="102"/>
      <c r="AE109" s="102"/>
      <c r="AF109" s="102"/>
      <c r="AG109" s="103"/>
      <c r="AH109" s="105"/>
      <c r="AI109" s="105"/>
      <c r="AJ109" s="105"/>
      <c r="AK109" s="105"/>
      <c r="AL109" s="105"/>
      <c r="AM109" s="105"/>
      <c r="AN109" s="105"/>
      <c r="AO109" s="103"/>
      <c r="AP109" s="105"/>
      <c r="AQ109" s="105"/>
      <c r="AR109" s="105"/>
      <c r="AS109" s="105"/>
    </row>
    <row r="110" spans="1:45" x14ac:dyDescent="0.25">
      <c r="A110" s="19">
        <v>24</v>
      </c>
      <c r="B110" s="12">
        <v>42163</v>
      </c>
      <c r="C110" s="12">
        <v>42169</v>
      </c>
      <c r="D110" s="12">
        <v>42149</v>
      </c>
      <c r="E110" s="12">
        <v>42156</v>
      </c>
      <c r="F110" s="12">
        <v>42163</v>
      </c>
      <c r="G110" s="12">
        <v>42156</v>
      </c>
      <c r="H110" s="13"/>
      <c r="J110" s="102"/>
      <c r="K110" s="102"/>
      <c r="L110" s="102"/>
      <c r="M110" s="102"/>
      <c r="N110" s="102"/>
      <c r="O110" s="102"/>
      <c r="P110" s="102"/>
      <c r="Q110" s="103"/>
      <c r="R110" s="105"/>
      <c r="S110" s="105"/>
      <c r="T110" s="105"/>
      <c r="U110" s="105"/>
      <c r="V110" s="105"/>
      <c r="W110" s="105"/>
      <c r="X110" s="105"/>
      <c r="Y110" s="103"/>
      <c r="Z110" s="102"/>
      <c r="AA110" s="102"/>
      <c r="AB110" s="102"/>
      <c r="AC110" s="102"/>
      <c r="AD110" s="102"/>
      <c r="AE110" s="102"/>
      <c r="AF110" s="102"/>
      <c r="AG110" s="103"/>
      <c r="AH110" s="105"/>
      <c r="AI110" s="105"/>
      <c r="AJ110" s="105"/>
      <c r="AK110" s="105"/>
      <c r="AL110" s="105"/>
      <c r="AM110" s="105"/>
      <c r="AN110" s="105"/>
      <c r="AO110" s="103"/>
      <c r="AP110" s="105"/>
      <c r="AQ110" s="105"/>
      <c r="AR110" s="105"/>
      <c r="AS110" s="105"/>
    </row>
    <row r="111" spans="1:45" x14ac:dyDescent="0.25">
      <c r="A111" s="19">
        <v>25</v>
      </c>
      <c r="B111" s="12">
        <v>42170</v>
      </c>
      <c r="C111" s="12">
        <v>42176</v>
      </c>
      <c r="D111" s="12">
        <v>42156</v>
      </c>
      <c r="E111" s="12">
        <v>42163</v>
      </c>
      <c r="F111" s="12">
        <v>42170</v>
      </c>
      <c r="G111" s="12">
        <v>42163</v>
      </c>
      <c r="H111" s="13"/>
      <c r="J111" s="102"/>
      <c r="K111" s="102"/>
      <c r="L111" s="102"/>
      <c r="M111" s="102"/>
      <c r="N111" s="102"/>
      <c r="O111" s="102"/>
      <c r="P111" s="102"/>
      <c r="Q111" s="103"/>
      <c r="R111" s="105"/>
      <c r="S111" s="105"/>
      <c r="T111" s="105"/>
      <c r="U111" s="105"/>
      <c r="V111" s="105"/>
      <c r="W111" s="105"/>
      <c r="X111" s="105"/>
      <c r="Y111" s="103"/>
      <c r="Z111" s="102"/>
      <c r="AA111" s="102"/>
      <c r="AB111" s="102"/>
      <c r="AC111" s="102"/>
      <c r="AD111" s="102"/>
      <c r="AE111" s="102"/>
      <c r="AF111" s="102"/>
      <c r="AG111" s="103"/>
      <c r="AH111" s="105"/>
      <c r="AI111" s="105"/>
      <c r="AJ111" s="105"/>
      <c r="AK111" s="105"/>
      <c r="AL111" s="105"/>
      <c r="AM111" s="105"/>
      <c r="AN111" s="105"/>
      <c r="AO111" s="103"/>
      <c r="AP111" s="105"/>
      <c r="AQ111" s="105"/>
      <c r="AR111" s="105"/>
      <c r="AS111" s="105"/>
    </row>
    <row r="112" spans="1:45" x14ac:dyDescent="0.25">
      <c r="A112" s="19">
        <v>26</v>
      </c>
      <c r="B112" s="12">
        <v>42177</v>
      </c>
      <c r="C112" s="12">
        <v>42183</v>
      </c>
      <c r="D112" s="12">
        <v>42163</v>
      </c>
      <c r="E112" s="12">
        <v>42170</v>
      </c>
      <c r="F112" s="12">
        <v>42177</v>
      </c>
      <c r="G112" s="12">
        <v>42170</v>
      </c>
      <c r="H112" s="13"/>
      <c r="J112" s="102"/>
      <c r="K112" s="102"/>
      <c r="L112" s="102"/>
      <c r="M112" s="102"/>
      <c r="N112" s="102"/>
      <c r="O112" s="102"/>
      <c r="P112" s="102"/>
      <c r="Q112" s="103"/>
      <c r="R112" s="105"/>
      <c r="S112" s="105"/>
      <c r="T112" s="105"/>
      <c r="U112" s="105"/>
      <c r="V112" s="105"/>
      <c r="W112" s="105"/>
      <c r="X112" s="105"/>
      <c r="Y112" s="103"/>
      <c r="Z112" s="102"/>
      <c r="AA112" s="102"/>
      <c r="AB112" s="102"/>
      <c r="AC112" s="102"/>
      <c r="AD112" s="102"/>
      <c r="AE112" s="102"/>
      <c r="AF112" s="102"/>
      <c r="AG112" s="103"/>
      <c r="AH112" s="105"/>
      <c r="AI112" s="105"/>
      <c r="AJ112" s="105"/>
      <c r="AK112" s="105"/>
      <c r="AL112" s="105"/>
      <c r="AM112" s="105"/>
      <c r="AN112" s="105"/>
      <c r="AO112" s="103"/>
      <c r="AP112" s="105"/>
      <c r="AQ112" s="105"/>
      <c r="AR112" s="105"/>
      <c r="AS112" s="105"/>
    </row>
    <row r="113" spans="1:45" x14ac:dyDescent="0.25">
      <c r="A113" s="19">
        <v>27</v>
      </c>
      <c r="B113" s="12">
        <v>42184</v>
      </c>
      <c r="C113" s="12">
        <v>42190</v>
      </c>
      <c r="D113" s="12">
        <v>42170</v>
      </c>
      <c r="E113" s="12">
        <v>42177</v>
      </c>
      <c r="F113" s="12">
        <v>42184</v>
      </c>
      <c r="G113" s="12">
        <v>42177</v>
      </c>
      <c r="H113" s="13"/>
      <c r="J113" s="102"/>
      <c r="K113" s="102"/>
      <c r="L113" s="102"/>
      <c r="M113" s="102"/>
      <c r="N113" s="102"/>
      <c r="O113" s="102"/>
      <c r="P113" s="102"/>
      <c r="Q113" s="103"/>
      <c r="R113" s="105"/>
      <c r="S113" s="105"/>
      <c r="T113" s="105"/>
      <c r="U113" s="105"/>
      <c r="V113" s="105"/>
      <c r="W113" s="105"/>
      <c r="X113" s="105"/>
      <c r="Y113" s="103"/>
      <c r="Z113" s="102"/>
      <c r="AA113" s="102"/>
      <c r="AB113" s="102"/>
      <c r="AC113" s="102"/>
      <c r="AD113" s="102"/>
      <c r="AE113" s="102"/>
      <c r="AF113" s="102"/>
      <c r="AG113" s="103"/>
      <c r="AH113" s="105"/>
      <c r="AI113" s="105"/>
      <c r="AJ113" s="105"/>
      <c r="AK113" s="105"/>
      <c r="AL113" s="105"/>
      <c r="AM113" s="105"/>
      <c r="AN113" s="105"/>
      <c r="AO113" s="103"/>
      <c r="AP113" s="105"/>
      <c r="AQ113" s="105"/>
      <c r="AR113" s="105"/>
      <c r="AS113" s="105"/>
    </row>
    <row r="114" spans="1:45" x14ac:dyDescent="0.25">
      <c r="A114" s="19">
        <v>28</v>
      </c>
      <c r="B114" s="12">
        <v>42191</v>
      </c>
      <c r="C114" s="12">
        <v>42197</v>
      </c>
      <c r="D114" s="12">
        <v>42177</v>
      </c>
      <c r="E114" s="12">
        <v>42184</v>
      </c>
      <c r="F114" s="12">
        <v>42191</v>
      </c>
      <c r="G114" s="12">
        <v>42184</v>
      </c>
      <c r="H114" s="13"/>
      <c r="J114" s="102"/>
      <c r="K114" s="102"/>
      <c r="L114" s="102"/>
      <c r="M114" s="102"/>
      <c r="N114" s="102"/>
      <c r="O114" s="102"/>
      <c r="P114" s="102"/>
      <c r="Q114" s="103"/>
      <c r="R114" s="105"/>
      <c r="S114" s="105"/>
      <c r="T114" s="105"/>
      <c r="U114" s="105"/>
      <c r="V114" s="105"/>
      <c r="W114" s="105"/>
      <c r="X114" s="105"/>
      <c r="Y114" s="103"/>
      <c r="Z114" s="102"/>
      <c r="AA114" s="102"/>
      <c r="AB114" s="102"/>
      <c r="AC114" s="102"/>
      <c r="AD114" s="102"/>
      <c r="AE114" s="102"/>
      <c r="AF114" s="102"/>
      <c r="AG114" s="103"/>
      <c r="AH114" s="105"/>
      <c r="AI114" s="105"/>
      <c r="AJ114" s="105"/>
      <c r="AK114" s="105"/>
      <c r="AL114" s="105"/>
      <c r="AM114" s="105"/>
      <c r="AN114" s="105"/>
      <c r="AO114" s="103"/>
      <c r="AP114" s="105"/>
      <c r="AQ114" s="105"/>
      <c r="AR114" s="105"/>
      <c r="AS114" s="105"/>
    </row>
    <row r="115" spans="1:45" x14ac:dyDescent="0.25">
      <c r="A115" s="19">
        <v>29</v>
      </c>
      <c r="B115" s="12">
        <v>42198</v>
      </c>
      <c r="C115" s="12">
        <v>42204</v>
      </c>
      <c r="D115" s="12">
        <v>42184</v>
      </c>
      <c r="E115" s="12">
        <v>42191</v>
      </c>
      <c r="F115" s="12">
        <v>42198</v>
      </c>
      <c r="G115" s="12">
        <v>42191</v>
      </c>
      <c r="H115" s="13"/>
      <c r="J115" s="102"/>
      <c r="K115" s="102"/>
      <c r="L115" s="102"/>
      <c r="M115" s="102"/>
      <c r="N115" s="102"/>
      <c r="O115" s="102"/>
      <c r="P115" s="102"/>
      <c r="Q115" s="103"/>
      <c r="R115" s="105"/>
      <c r="S115" s="105"/>
      <c r="T115" s="105"/>
      <c r="U115" s="105"/>
      <c r="V115" s="105"/>
      <c r="W115" s="105"/>
      <c r="X115" s="105"/>
      <c r="Y115" s="103"/>
      <c r="Z115" s="102"/>
      <c r="AA115" s="102"/>
      <c r="AB115" s="102"/>
      <c r="AC115" s="102"/>
      <c r="AD115" s="102"/>
      <c r="AE115" s="102"/>
      <c r="AF115" s="102"/>
      <c r="AG115" s="103"/>
      <c r="AH115" s="105"/>
      <c r="AI115" s="105"/>
      <c r="AJ115" s="105"/>
      <c r="AK115" s="105"/>
      <c r="AL115" s="105"/>
      <c r="AM115" s="105"/>
      <c r="AN115" s="105"/>
      <c r="AO115" s="103"/>
      <c r="AP115" s="105"/>
      <c r="AQ115" s="105"/>
      <c r="AR115" s="105"/>
      <c r="AS115" s="105"/>
    </row>
    <row r="116" spans="1:45" x14ac:dyDescent="0.25">
      <c r="A116" s="19">
        <v>30</v>
      </c>
      <c r="B116" s="12">
        <v>42205</v>
      </c>
      <c r="C116" s="12">
        <v>42211</v>
      </c>
      <c r="D116" s="12">
        <v>42191</v>
      </c>
      <c r="E116" s="12">
        <v>42198</v>
      </c>
      <c r="F116" s="12">
        <v>42205</v>
      </c>
      <c r="G116" s="12">
        <v>42198</v>
      </c>
      <c r="H116" s="13"/>
      <c r="J116" s="102"/>
      <c r="K116" s="102"/>
      <c r="L116" s="102"/>
      <c r="M116" s="102"/>
      <c r="N116" s="102"/>
      <c r="O116" s="102"/>
      <c r="P116" s="102"/>
      <c r="Q116" s="103"/>
      <c r="R116" s="105"/>
      <c r="S116" s="105"/>
      <c r="T116" s="105"/>
      <c r="U116" s="105"/>
      <c r="V116" s="105"/>
      <c r="W116" s="105"/>
      <c r="X116" s="105"/>
      <c r="Y116" s="103"/>
      <c r="Z116" s="102"/>
      <c r="AA116" s="102"/>
      <c r="AB116" s="102"/>
      <c r="AC116" s="102"/>
      <c r="AD116" s="102"/>
      <c r="AE116" s="102"/>
      <c r="AF116" s="102"/>
      <c r="AG116" s="103"/>
      <c r="AH116" s="105"/>
      <c r="AI116" s="105"/>
      <c r="AJ116" s="105"/>
      <c r="AK116" s="105"/>
      <c r="AL116" s="105"/>
      <c r="AM116" s="105"/>
      <c r="AN116" s="105"/>
      <c r="AO116" s="103"/>
      <c r="AP116" s="105"/>
      <c r="AQ116" s="105"/>
      <c r="AR116" s="105"/>
      <c r="AS116" s="105"/>
    </row>
    <row r="117" spans="1:45" x14ac:dyDescent="0.25">
      <c r="A117" s="19">
        <v>31</v>
      </c>
      <c r="B117" s="12">
        <v>42212</v>
      </c>
      <c r="C117" s="12">
        <v>42218</v>
      </c>
      <c r="D117" s="12">
        <v>42198</v>
      </c>
      <c r="E117" s="12">
        <v>42205</v>
      </c>
      <c r="F117" s="12">
        <v>42212</v>
      </c>
      <c r="G117" s="12">
        <v>42205</v>
      </c>
      <c r="H117" s="13"/>
      <c r="J117" s="102"/>
      <c r="K117" s="102"/>
      <c r="L117" s="102"/>
      <c r="M117" s="102"/>
      <c r="N117" s="102"/>
      <c r="O117" s="102"/>
      <c r="P117" s="102"/>
      <c r="Q117" s="103"/>
      <c r="R117" s="105"/>
      <c r="S117" s="105"/>
      <c r="T117" s="105"/>
      <c r="U117" s="105"/>
      <c r="V117" s="105"/>
      <c r="W117" s="105"/>
      <c r="X117" s="105"/>
      <c r="Y117" s="103"/>
      <c r="Z117" s="102"/>
      <c r="AA117" s="102"/>
      <c r="AB117" s="102"/>
      <c r="AC117" s="102"/>
      <c r="AD117" s="102"/>
      <c r="AE117" s="102"/>
      <c r="AF117" s="102"/>
      <c r="AG117" s="103"/>
      <c r="AH117" s="105"/>
      <c r="AI117" s="105"/>
      <c r="AJ117" s="105"/>
      <c r="AK117" s="105"/>
      <c r="AL117" s="105"/>
      <c r="AM117" s="105"/>
      <c r="AN117" s="105"/>
      <c r="AO117" s="103"/>
      <c r="AP117" s="105"/>
      <c r="AQ117" s="105"/>
      <c r="AR117" s="105"/>
      <c r="AS117" s="105"/>
    </row>
    <row r="118" spans="1:45" x14ac:dyDescent="0.25">
      <c r="A118" s="19">
        <v>32</v>
      </c>
      <c r="B118" s="12">
        <v>42219</v>
      </c>
      <c r="C118" s="12">
        <v>42225</v>
      </c>
      <c r="D118" s="12">
        <v>42205</v>
      </c>
      <c r="E118" s="12">
        <v>42212</v>
      </c>
      <c r="F118" s="12">
        <v>42219</v>
      </c>
      <c r="G118" s="12">
        <v>42212</v>
      </c>
      <c r="H118" s="13"/>
      <c r="J118" s="102"/>
      <c r="K118" s="102"/>
      <c r="L118" s="102"/>
      <c r="M118" s="102"/>
      <c r="N118" s="102"/>
      <c r="O118" s="102"/>
      <c r="P118" s="102"/>
      <c r="Q118" s="103"/>
      <c r="R118" s="105"/>
      <c r="S118" s="105"/>
      <c r="T118" s="105"/>
      <c r="U118" s="105"/>
      <c r="V118" s="105"/>
      <c r="W118" s="105"/>
      <c r="X118" s="105"/>
      <c r="Y118" s="103"/>
      <c r="Z118" s="102"/>
      <c r="AA118" s="102"/>
      <c r="AB118" s="102"/>
      <c r="AC118" s="102"/>
      <c r="AD118" s="102"/>
      <c r="AE118" s="102"/>
      <c r="AF118" s="102"/>
      <c r="AG118" s="103"/>
      <c r="AH118" s="105"/>
      <c r="AI118" s="105"/>
      <c r="AJ118" s="105"/>
      <c r="AK118" s="105"/>
      <c r="AL118" s="105"/>
      <c r="AM118" s="105"/>
      <c r="AN118" s="105"/>
      <c r="AO118" s="103"/>
      <c r="AP118" s="105"/>
      <c r="AQ118" s="105"/>
      <c r="AR118" s="105"/>
      <c r="AS118" s="105"/>
    </row>
    <row r="119" spans="1:45" x14ac:dyDescent="0.25">
      <c r="A119" s="19">
        <v>33</v>
      </c>
      <c r="B119" s="12">
        <v>42226</v>
      </c>
      <c r="C119" s="12">
        <v>42232</v>
      </c>
      <c r="D119" s="12">
        <v>42212</v>
      </c>
      <c r="E119" s="12">
        <v>42219</v>
      </c>
      <c r="F119" s="12">
        <v>42226</v>
      </c>
      <c r="G119" s="12">
        <v>42219</v>
      </c>
      <c r="H119" s="13"/>
      <c r="J119" s="102"/>
      <c r="K119" s="102"/>
      <c r="L119" s="102"/>
      <c r="M119" s="102"/>
      <c r="N119" s="102"/>
      <c r="O119" s="102"/>
      <c r="P119" s="102"/>
      <c r="Q119" s="103"/>
      <c r="R119" s="105"/>
      <c r="S119" s="105"/>
      <c r="T119" s="105"/>
      <c r="U119" s="105"/>
      <c r="V119" s="105"/>
      <c r="W119" s="105"/>
      <c r="X119" s="105"/>
      <c r="Y119" s="103"/>
      <c r="Z119" s="102"/>
      <c r="AA119" s="102"/>
      <c r="AB119" s="102"/>
      <c r="AC119" s="102"/>
      <c r="AD119" s="102"/>
      <c r="AE119" s="102"/>
      <c r="AF119" s="102"/>
      <c r="AG119" s="103"/>
      <c r="AH119" s="105"/>
      <c r="AI119" s="105"/>
      <c r="AJ119" s="105"/>
      <c r="AK119" s="105"/>
      <c r="AL119" s="105"/>
      <c r="AM119" s="105"/>
      <c r="AN119" s="105"/>
      <c r="AO119" s="103"/>
      <c r="AP119" s="105"/>
      <c r="AQ119" s="105"/>
      <c r="AR119" s="105"/>
      <c r="AS119" s="105"/>
    </row>
    <row r="120" spans="1:45" x14ac:dyDescent="0.25">
      <c r="A120" s="19">
        <v>34</v>
      </c>
      <c r="B120" s="12">
        <v>42233</v>
      </c>
      <c r="C120" s="12">
        <v>42239</v>
      </c>
      <c r="D120" s="12">
        <v>42219</v>
      </c>
      <c r="E120" s="12">
        <v>42226</v>
      </c>
      <c r="F120" s="12">
        <v>42233</v>
      </c>
      <c r="G120" s="12">
        <v>42226</v>
      </c>
      <c r="H120" s="13"/>
      <c r="J120" s="102"/>
      <c r="K120" s="102"/>
      <c r="L120" s="102"/>
      <c r="M120" s="102"/>
      <c r="N120" s="102"/>
      <c r="O120" s="102"/>
      <c r="P120" s="102"/>
      <c r="Q120" s="103"/>
      <c r="R120" s="105"/>
      <c r="S120" s="105"/>
      <c r="T120" s="105"/>
      <c r="U120" s="105"/>
      <c r="V120" s="105"/>
      <c r="W120" s="105"/>
      <c r="X120" s="105"/>
      <c r="Y120" s="103"/>
      <c r="Z120" s="102"/>
      <c r="AA120" s="102"/>
      <c r="AB120" s="102"/>
      <c r="AC120" s="102"/>
      <c r="AD120" s="102"/>
      <c r="AE120" s="102"/>
      <c r="AF120" s="102"/>
      <c r="AG120" s="103"/>
      <c r="AH120" s="105"/>
      <c r="AI120" s="105"/>
      <c r="AJ120" s="105"/>
      <c r="AK120" s="105"/>
      <c r="AL120" s="105"/>
      <c r="AM120" s="105"/>
      <c r="AN120" s="105"/>
      <c r="AO120" s="103"/>
      <c r="AP120" s="105"/>
      <c r="AQ120" s="105"/>
      <c r="AR120" s="105"/>
      <c r="AS120" s="105"/>
    </row>
    <row r="121" spans="1:45" x14ac:dyDescent="0.25">
      <c r="A121" s="19">
        <v>35</v>
      </c>
      <c r="B121" s="12">
        <v>42240</v>
      </c>
      <c r="C121" s="12">
        <v>42246</v>
      </c>
      <c r="D121" s="12">
        <v>42226</v>
      </c>
      <c r="E121" s="12">
        <v>42233</v>
      </c>
      <c r="F121" s="12">
        <v>42240</v>
      </c>
      <c r="G121" s="12">
        <v>42233</v>
      </c>
      <c r="H121" s="13"/>
      <c r="J121" s="102"/>
      <c r="K121" s="102"/>
      <c r="L121" s="102"/>
      <c r="M121" s="102"/>
      <c r="N121" s="102"/>
      <c r="O121" s="102"/>
      <c r="P121" s="102"/>
      <c r="Q121" s="103"/>
      <c r="R121" s="105"/>
      <c r="S121" s="105"/>
      <c r="T121" s="105"/>
      <c r="U121" s="105"/>
      <c r="V121" s="105"/>
      <c r="W121" s="105"/>
      <c r="X121" s="105"/>
      <c r="Y121" s="103"/>
      <c r="Z121" s="102"/>
      <c r="AA121" s="102"/>
      <c r="AB121" s="102"/>
      <c r="AC121" s="102"/>
      <c r="AD121" s="102"/>
      <c r="AE121" s="102"/>
      <c r="AF121" s="102"/>
      <c r="AG121" s="103"/>
      <c r="AH121" s="105"/>
      <c r="AI121" s="105"/>
      <c r="AJ121" s="105"/>
      <c r="AK121" s="105"/>
      <c r="AL121" s="105"/>
      <c r="AM121" s="105"/>
      <c r="AN121" s="105"/>
      <c r="AO121" s="103"/>
      <c r="AP121" s="105"/>
      <c r="AQ121" s="105"/>
      <c r="AR121" s="105"/>
      <c r="AS121" s="105"/>
    </row>
    <row r="122" spans="1:45" x14ac:dyDescent="0.25">
      <c r="A122" s="19">
        <v>36</v>
      </c>
      <c r="B122" s="12">
        <v>42247</v>
      </c>
      <c r="C122" s="12">
        <v>42253</v>
      </c>
      <c r="D122" s="12">
        <v>42233</v>
      </c>
      <c r="E122" s="12">
        <v>42240</v>
      </c>
      <c r="F122" s="12">
        <v>42247</v>
      </c>
      <c r="G122" s="12">
        <v>42240</v>
      </c>
      <c r="H122" s="13"/>
      <c r="J122" s="102"/>
      <c r="K122" s="102"/>
      <c r="L122" s="102"/>
      <c r="M122" s="102"/>
      <c r="N122" s="102"/>
      <c r="O122" s="102"/>
      <c r="P122" s="102"/>
      <c r="Q122" s="103"/>
      <c r="R122" s="105"/>
      <c r="S122" s="105"/>
      <c r="T122" s="105"/>
      <c r="U122" s="105"/>
      <c r="V122" s="105"/>
      <c r="W122" s="105"/>
      <c r="X122" s="105"/>
      <c r="Y122" s="103"/>
      <c r="Z122" s="102"/>
      <c r="AA122" s="102"/>
      <c r="AB122" s="102"/>
      <c r="AC122" s="102"/>
      <c r="AD122" s="102"/>
      <c r="AE122" s="102"/>
      <c r="AF122" s="102"/>
      <c r="AG122" s="103"/>
      <c r="AH122" s="105"/>
      <c r="AI122" s="105"/>
      <c r="AJ122" s="105"/>
      <c r="AK122" s="105"/>
      <c r="AL122" s="105"/>
      <c r="AM122" s="105"/>
      <c r="AN122" s="105"/>
      <c r="AO122" s="103"/>
      <c r="AP122" s="105"/>
      <c r="AQ122" s="105"/>
      <c r="AR122" s="105"/>
      <c r="AS122" s="105"/>
    </row>
    <row r="123" spans="1:45" x14ac:dyDescent="0.25">
      <c r="A123" s="19">
        <v>37</v>
      </c>
      <c r="B123" s="12">
        <v>42254</v>
      </c>
      <c r="C123" s="12">
        <v>42260</v>
      </c>
      <c r="D123" s="12">
        <v>42240</v>
      </c>
      <c r="E123" s="12">
        <v>42247</v>
      </c>
      <c r="F123" s="12">
        <v>42254</v>
      </c>
      <c r="G123" s="12">
        <v>42247</v>
      </c>
      <c r="H123" s="13"/>
      <c r="J123" s="102"/>
      <c r="K123" s="102"/>
      <c r="L123" s="102"/>
      <c r="M123" s="102"/>
      <c r="N123" s="102"/>
      <c r="O123" s="102"/>
      <c r="P123" s="102"/>
      <c r="Q123" s="103"/>
      <c r="R123" s="105"/>
      <c r="S123" s="105"/>
      <c r="T123" s="105"/>
      <c r="U123" s="105"/>
      <c r="V123" s="105"/>
      <c r="W123" s="105"/>
      <c r="X123" s="105"/>
      <c r="Y123" s="103"/>
      <c r="Z123" s="102"/>
      <c r="AA123" s="102"/>
      <c r="AB123" s="102"/>
      <c r="AC123" s="102"/>
      <c r="AD123" s="102"/>
      <c r="AE123" s="102"/>
      <c r="AF123" s="102"/>
      <c r="AG123" s="103"/>
      <c r="AH123" s="105"/>
      <c r="AI123" s="105"/>
      <c r="AJ123" s="105"/>
      <c r="AK123" s="105"/>
      <c r="AL123" s="105"/>
      <c r="AM123" s="105"/>
      <c r="AN123" s="105"/>
      <c r="AO123" s="103"/>
      <c r="AP123" s="105"/>
      <c r="AQ123" s="105"/>
      <c r="AR123" s="105"/>
      <c r="AS123" s="105"/>
    </row>
    <row r="124" spans="1:45" x14ac:dyDescent="0.25">
      <c r="A124" s="19">
        <v>38</v>
      </c>
      <c r="B124" s="12">
        <v>42261</v>
      </c>
      <c r="C124" s="12">
        <v>42267</v>
      </c>
      <c r="D124" s="12">
        <v>42247</v>
      </c>
      <c r="E124" s="12">
        <v>42254</v>
      </c>
      <c r="F124" s="12">
        <v>42261</v>
      </c>
      <c r="G124" s="12">
        <v>42254</v>
      </c>
      <c r="H124" s="13"/>
      <c r="J124" s="102"/>
      <c r="K124" s="102"/>
      <c r="L124" s="102"/>
      <c r="M124" s="102"/>
      <c r="N124" s="102"/>
      <c r="O124" s="102"/>
      <c r="P124" s="102"/>
      <c r="Q124" s="103"/>
      <c r="R124" s="105"/>
      <c r="S124" s="105"/>
      <c r="T124" s="105"/>
      <c r="U124" s="105"/>
      <c r="V124" s="105"/>
      <c r="W124" s="105"/>
      <c r="X124" s="105"/>
      <c r="Y124" s="103"/>
      <c r="Z124" s="102"/>
      <c r="AA124" s="102"/>
      <c r="AB124" s="102"/>
      <c r="AC124" s="102"/>
      <c r="AD124" s="102"/>
      <c r="AE124" s="102"/>
      <c r="AF124" s="102"/>
      <c r="AG124" s="103"/>
      <c r="AH124" s="105"/>
      <c r="AI124" s="105"/>
      <c r="AJ124" s="105"/>
      <c r="AK124" s="105"/>
      <c r="AL124" s="105"/>
      <c r="AM124" s="105"/>
      <c r="AN124" s="105"/>
      <c r="AO124" s="103"/>
      <c r="AP124" s="105"/>
      <c r="AQ124" s="105"/>
      <c r="AR124" s="105"/>
      <c r="AS124" s="105"/>
    </row>
    <row r="125" spans="1:45" x14ac:dyDescent="0.25">
      <c r="A125" s="19">
        <v>39</v>
      </c>
      <c r="B125" s="12">
        <v>42268</v>
      </c>
      <c r="C125" s="12">
        <v>42274</v>
      </c>
      <c r="D125" s="12">
        <v>42254</v>
      </c>
      <c r="E125" s="12">
        <v>42261</v>
      </c>
      <c r="F125" s="12">
        <v>42268</v>
      </c>
      <c r="G125" s="12">
        <v>42261</v>
      </c>
      <c r="H125" s="13"/>
      <c r="R125" s="106"/>
      <c r="S125" s="106"/>
      <c r="T125" s="106"/>
      <c r="U125" s="106"/>
      <c r="V125" s="106"/>
      <c r="W125" s="106"/>
      <c r="X125" s="106"/>
      <c r="Z125" s="104"/>
      <c r="AA125" s="104"/>
      <c r="AB125" s="104"/>
      <c r="AC125" s="104"/>
      <c r="AD125" s="104"/>
      <c r="AE125" s="104"/>
      <c r="AF125" s="104"/>
    </row>
    <row r="126" spans="1:45" x14ac:dyDescent="0.25">
      <c r="A126" s="19">
        <v>40</v>
      </c>
      <c r="B126" s="12">
        <v>42275</v>
      </c>
      <c r="C126" s="12">
        <v>42281</v>
      </c>
      <c r="D126" s="12">
        <v>42261</v>
      </c>
      <c r="E126" s="12">
        <v>42268</v>
      </c>
      <c r="F126" s="12">
        <v>42275</v>
      </c>
      <c r="G126" s="12">
        <v>42268</v>
      </c>
      <c r="H126" s="13"/>
      <c r="R126" s="106"/>
      <c r="S126" s="106"/>
      <c r="T126" s="106"/>
      <c r="U126" s="106"/>
      <c r="V126" s="106"/>
      <c r="W126" s="106"/>
      <c r="X126" s="106"/>
      <c r="Z126" s="104"/>
      <c r="AA126" s="104"/>
      <c r="AB126" s="104"/>
      <c r="AC126" s="104"/>
      <c r="AD126" s="104"/>
      <c r="AE126" s="104"/>
      <c r="AF126" s="104"/>
    </row>
    <row r="127" spans="1:45" x14ac:dyDescent="0.25">
      <c r="A127" s="19">
        <v>41</v>
      </c>
      <c r="B127" s="12">
        <v>42282</v>
      </c>
      <c r="C127" s="12">
        <v>42288</v>
      </c>
      <c r="D127" s="12">
        <v>42268</v>
      </c>
      <c r="E127" s="12">
        <v>42275</v>
      </c>
      <c r="F127" s="12">
        <v>42282</v>
      </c>
      <c r="G127" s="12">
        <v>42275</v>
      </c>
      <c r="H127" s="13"/>
      <c r="R127" s="106"/>
      <c r="S127" s="106"/>
      <c r="T127" s="106"/>
      <c r="U127" s="106"/>
      <c r="V127" s="106"/>
      <c r="W127" s="106"/>
      <c r="X127" s="106"/>
      <c r="Z127" s="104"/>
      <c r="AA127" s="104"/>
      <c r="AB127" s="104"/>
      <c r="AC127" s="104"/>
      <c r="AD127" s="104"/>
      <c r="AE127" s="104"/>
      <c r="AF127" s="104"/>
    </row>
    <row r="128" spans="1:45" x14ac:dyDescent="0.25">
      <c r="A128" s="19">
        <v>42</v>
      </c>
      <c r="B128" s="12">
        <v>42289</v>
      </c>
      <c r="C128" s="12">
        <v>42295</v>
      </c>
      <c r="D128" s="12">
        <v>42275</v>
      </c>
      <c r="E128" s="12">
        <v>42282</v>
      </c>
      <c r="F128" s="12">
        <v>42289</v>
      </c>
      <c r="G128" s="12">
        <v>42282</v>
      </c>
      <c r="H128" s="13"/>
      <c r="R128" s="106"/>
      <c r="S128" s="106"/>
      <c r="T128" s="106"/>
      <c r="U128" s="106"/>
      <c r="V128" s="106"/>
      <c r="W128" s="106"/>
      <c r="X128" s="106"/>
      <c r="Z128" s="104"/>
      <c r="AA128" s="104"/>
      <c r="AB128" s="104"/>
      <c r="AC128" s="104"/>
      <c r="AD128" s="104"/>
      <c r="AE128" s="104"/>
      <c r="AF128" s="104"/>
    </row>
    <row r="129" spans="1:32" x14ac:dyDescent="0.25">
      <c r="A129" s="19">
        <v>43</v>
      </c>
      <c r="B129" s="12">
        <v>42296</v>
      </c>
      <c r="C129" s="12">
        <v>42302</v>
      </c>
      <c r="D129" s="12">
        <v>42282</v>
      </c>
      <c r="E129" s="12">
        <v>42289</v>
      </c>
      <c r="F129" s="12">
        <v>42296</v>
      </c>
      <c r="G129" s="12">
        <v>42289</v>
      </c>
      <c r="H129" s="13"/>
      <c r="R129" s="106"/>
      <c r="S129" s="106"/>
      <c r="T129" s="106"/>
      <c r="U129" s="106"/>
      <c r="V129" s="106"/>
      <c r="W129" s="106"/>
      <c r="X129" s="106"/>
      <c r="Z129" s="104"/>
      <c r="AA129" s="104"/>
      <c r="AB129" s="104"/>
      <c r="AC129" s="104"/>
      <c r="AD129" s="104"/>
      <c r="AE129" s="104"/>
      <c r="AF129" s="104"/>
    </row>
    <row r="130" spans="1:32" x14ac:dyDescent="0.25">
      <c r="A130" s="19">
        <v>44</v>
      </c>
      <c r="B130" s="12">
        <v>42303</v>
      </c>
      <c r="C130" s="12">
        <v>42309</v>
      </c>
      <c r="D130" s="12">
        <v>42289</v>
      </c>
      <c r="E130" s="12">
        <v>42296</v>
      </c>
      <c r="F130" s="12">
        <v>42303</v>
      </c>
      <c r="G130" s="12">
        <v>42296</v>
      </c>
      <c r="H130" s="13"/>
      <c r="R130" s="106"/>
      <c r="S130" s="106"/>
      <c r="T130" s="106"/>
      <c r="U130" s="106"/>
      <c r="V130" s="106"/>
      <c r="W130" s="106"/>
      <c r="X130" s="106"/>
      <c r="Z130" s="104"/>
      <c r="AA130" s="104"/>
      <c r="AB130" s="104"/>
      <c r="AC130" s="104"/>
      <c r="AD130" s="104"/>
      <c r="AE130" s="104"/>
      <c r="AF130" s="104"/>
    </row>
    <row r="131" spans="1:32" x14ac:dyDescent="0.25">
      <c r="A131" s="19">
        <v>45</v>
      </c>
      <c r="B131" s="12">
        <v>42310</v>
      </c>
      <c r="C131" s="12">
        <v>42316</v>
      </c>
      <c r="D131" s="12">
        <v>42296</v>
      </c>
      <c r="E131" s="12">
        <v>42303</v>
      </c>
      <c r="F131" s="12">
        <v>42310</v>
      </c>
      <c r="G131" s="12">
        <v>42303</v>
      </c>
      <c r="H131" s="13"/>
      <c r="R131" s="106"/>
      <c r="S131" s="106"/>
      <c r="T131" s="106"/>
      <c r="U131" s="106"/>
      <c r="V131" s="106"/>
      <c r="W131" s="106"/>
      <c r="X131" s="106"/>
      <c r="Z131" s="104"/>
      <c r="AA131" s="104"/>
      <c r="AB131" s="104"/>
      <c r="AC131" s="104"/>
      <c r="AD131" s="104"/>
      <c r="AE131" s="104"/>
      <c r="AF131" s="104"/>
    </row>
    <row r="132" spans="1:32" x14ac:dyDescent="0.25">
      <c r="A132" s="19">
        <v>46</v>
      </c>
      <c r="B132" s="12">
        <v>42317</v>
      </c>
      <c r="C132" s="12">
        <v>42323</v>
      </c>
      <c r="D132" s="12">
        <v>42303</v>
      </c>
      <c r="E132" s="12">
        <v>42310</v>
      </c>
      <c r="F132" s="12">
        <v>42317</v>
      </c>
      <c r="G132" s="12">
        <v>42310</v>
      </c>
      <c r="H132" s="13"/>
      <c r="R132" s="106"/>
      <c r="S132" s="106"/>
      <c r="T132" s="106"/>
      <c r="U132" s="106"/>
      <c r="V132" s="106"/>
      <c r="W132" s="106"/>
      <c r="X132" s="106"/>
      <c r="Z132" s="104"/>
      <c r="AA132" s="104"/>
      <c r="AB132" s="104"/>
      <c r="AC132" s="104"/>
      <c r="AD132" s="104"/>
      <c r="AE132" s="104"/>
      <c r="AF132" s="104"/>
    </row>
    <row r="133" spans="1:32" x14ac:dyDescent="0.25">
      <c r="A133" s="19">
        <v>47</v>
      </c>
      <c r="B133" s="12">
        <v>42324</v>
      </c>
      <c r="C133" s="12">
        <v>42330</v>
      </c>
      <c r="D133" s="12">
        <v>42310</v>
      </c>
      <c r="E133" s="12">
        <v>42317</v>
      </c>
      <c r="F133" s="12">
        <v>42324</v>
      </c>
      <c r="G133" s="12">
        <v>42317</v>
      </c>
      <c r="H133" s="13"/>
      <c r="R133" s="106"/>
      <c r="S133" s="106"/>
      <c r="T133" s="106"/>
      <c r="U133" s="106"/>
      <c r="V133" s="106"/>
      <c r="W133" s="106"/>
      <c r="X133" s="106"/>
      <c r="Z133" s="104"/>
      <c r="AA133" s="104"/>
      <c r="AB133" s="104"/>
      <c r="AC133" s="104"/>
      <c r="AD133" s="104"/>
      <c r="AE133" s="104"/>
      <c r="AF133" s="104"/>
    </row>
    <row r="134" spans="1:32" x14ac:dyDescent="0.25">
      <c r="A134" s="19">
        <v>48</v>
      </c>
      <c r="B134" s="12">
        <v>42331</v>
      </c>
      <c r="C134" s="12">
        <v>42337</v>
      </c>
      <c r="D134" s="12">
        <v>42317</v>
      </c>
      <c r="E134" s="12">
        <v>42324</v>
      </c>
      <c r="F134" s="12">
        <v>42331</v>
      </c>
      <c r="G134" s="12">
        <v>42324</v>
      </c>
      <c r="H134" s="13"/>
      <c r="R134" s="106"/>
      <c r="S134" s="106"/>
      <c r="T134" s="106"/>
      <c r="U134" s="106"/>
      <c r="V134" s="106"/>
      <c r="W134" s="106"/>
      <c r="X134" s="106"/>
      <c r="Z134" s="104"/>
      <c r="AA134" s="104"/>
      <c r="AB134" s="104"/>
      <c r="AC134" s="104"/>
      <c r="AD134" s="104"/>
      <c r="AE134" s="104"/>
      <c r="AF134" s="104"/>
    </row>
    <row r="135" spans="1:32" x14ac:dyDescent="0.25">
      <c r="A135" s="19">
        <v>49</v>
      </c>
      <c r="B135" s="12">
        <v>42338</v>
      </c>
      <c r="C135" s="12">
        <v>42344</v>
      </c>
      <c r="D135" s="12">
        <v>42324</v>
      </c>
      <c r="E135" s="12">
        <v>42331</v>
      </c>
      <c r="F135" s="12">
        <v>42338</v>
      </c>
      <c r="G135" s="12">
        <v>42331</v>
      </c>
      <c r="H135" s="13"/>
      <c r="R135" s="106"/>
      <c r="S135" s="106"/>
      <c r="T135" s="106"/>
      <c r="U135" s="106"/>
      <c r="V135" s="106"/>
      <c r="W135" s="106"/>
      <c r="X135" s="106"/>
    </row>
    <row r="136" spans="1:32" x14ac:dyDescent="0.25">
      <c r="A136" s="19">
        <v>50</v>
      </c>
      <c r="B136" s="12">
        <v>42345</v>
      </c>
      <c r="C136" s="12">
        <v>42351</v>
      </c>
      <c r="D136" s="12">
        <v>42331</v>
      </c>
      <c r="E136" s="12">
        <v>42338</v>
      </c>
      <c r="F136" s="12">
        <v>42345</v>
      </c>
      <c r="G136" s="12">
        <v>42338</v>
      </c>
      <c r="H136" s="13"/>
    </row>
    <row r="137" spans="1:32" x14ac:dyDescent="0.25">
      <c r="A137" s="19">
        <v>51</v>
      </c>
      <c r="B137" s="12">
        <v>42352</v>
      </c>
      <c r="C137" s="12">
        <v>42358</v>
      </c>
      <c r="D137" s="12">
        <v>42338</v>
      </c>
      <c r="E137" s="12">
        <v>42345</v>
      </c>
      <c r="F137" s="12">
        <v>42352</v>
      </c>
      <c r="G137" s="12">
        <v>42345</v>
      </c>
      <c r="H137" s="13"/>
    </row>
    <row r="138" spans="1:32" x14ac:dyDescent="0.25">
      <c r="A138" s="19">
        <v>52</v>
      </c>
      <c r="B138" s="12">
        <v>42359</v>
      </c>
      <c r="C138" s="12">
        <v>42365</v>
      </c>
      <c r="D138" s="12">
        <v>42345</v>
      </c>
      <c r="E138" s="12">
        <v>42352</v>
      </c>
      <c r="F138" s="12">
        <v>42359</v>
      </c>
      <c r="G138" s="12">
        <v>42352</v>
      </c>
      <c r="H138" s="13"/>
    </row>
    <row r="139" spans="1:32" x14ac:dyDescent="0.25">
      <c r="A139" s="20">
        <v>53</v>
      </c>
      <c r="B139" s="14">
        <v>42366</v>
      </c>
      <c r="C139" s="14">
        <v>42372</v>
      </c>
      <c r="D139" s="14">
        <v>42352</v>
      </c>
      <c r="E139" s="14">
        <v>42359</v>
      </c>
      <c r="F139" s="14">
        <v>42366</v>
      </c>
      <c r="G139" s="14">
        <v>42359</v>
      </c>
      <c r="H139" s="15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UserInput</vt:lpstr>
      <vt:lpstr>PAYROLL</vt:lpstr>
      <vt:lpstr>REPORTS</vt:lpstr>
      <vt:lpstr>Tracking</vt:lpstr>
      <vt:lpstr>Tracking1</vt:lpstr>
      <vt:lpstr>Tracking2</vt:lpstr>
      <vt:lpstr>Tracking3</vt:lpstr>
      <vt:lpstr>EQLogs</vt:lpstr>
      <vt:lpstr>tblPayroll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cp:lastPrinted>2015-08-11T15:47:10Z</cp:lastPrinted>
  <dcterms:created xsi:type="dcterms:W3CDTF">2015-06-14T20:34:55Z</dcterms:created>
  <dcterms:modified xsi:type="dcterms:W3CDTF">2015-10-27T17:37:27Z</dcterms:modified>
</cp:coreProperties>
</file>